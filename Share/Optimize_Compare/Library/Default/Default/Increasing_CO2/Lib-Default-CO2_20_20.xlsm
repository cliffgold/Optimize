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cd0e7a053322a97/Documents/GenAtomic/Optimize/Library/Default/Default/Increasing_CO2/"/>
    </mc:Choice>
  </mc:AlternateContent>
  <xr:revisionPtr revIDLastSave="1" documentId="13_ncr:1_{51AA8CC7-F0E0-423F-8A95-7EBDC1102326}" xr6:coauthVersionLast="47" xr6:coauthVersionMax="47" xr10:uidLastSave="{E890C898-E504-47DE-B19E-EA71A66D7AB7}"/>
  <bookViews>
    <workbookView xWindow="-90" yWindow="-90" windowWidth="16637" windowHeight="943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Delta_Corner">Graph!$T$5</definedName>
    <definedName name="filename_">Graph!$E$1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 s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 s="1"/>
  <c r="J10" i="1" s="1"/>
  <c r="J11" i="1" s="1"/>
  <c r="J12" i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G6" i="2"/>
  <c r="G5" i="2"/>
  <c r="G4" i="2"/>
  <c r="G3" i="2"/>
  <c r="K2" i="2"/>
  <c r="K3" i="2" s="1"/>
  <c r="K4" i="2" s="1"/>
  <c r="K5" i="2" s="1"/>
  <c r="K6" i="2" s="1"/>
  <c r="K7" i="2" s="1"/>
  <c r="G2" i="2"/>
  <c r="C1" i="2"/>
  <c r="K3" i="1"/>
  <c r="P8" i="1" a="1"/>
  <c r="O15" i="1" a="1"/>
  <c r="P30" i="1" a="1"/>
  <c r="M19" i="1" a="1"/>
  <c r="N17" i="1" a="1"/>
  <c r="N22" i="1" a="1"/>
  <c r="L14" i="1" a="1"/>
  <c r="K23" i="1" a="1"/>
  <c r="P18" i="1" a="1"/>
  <c r="L13" i="1" a="1"/>
  <c r="M16" i="1" a="1"/>
  <c r="M15" i="1" a="1"/>
  <c r="P23" i="1" a="1"/>
  <c r="M25" i="1" a="1"/>
  <c r="L26" i="1" a="1"/>
  <c r="K22" i="1" a="1"/>
  <c r="M21" i="1" a="1"/>
  <c r="L7" i="1" a="1"/>
  <c r="L29" i="1" a="1"/>
  <c r="O8" i="1" a="1"/>
  <c r="L19" i="1" a="1"/>
  <c r="N33" i="1" a="1"/>
  <c r="P14" i="1" a="1"/>
  <c r="N31" i="1" a="1"/>
  <c r="P7" i="1" a="1"/>
  <c r="O25" i="1" a="1"/>
  <c r="P21" i="1" a="1"/>
  <c r="P11" i="1" a="1"/>
  <c r="N27" i="1" a="1"/>
  <c r="K10" i="1" a="1"/>
  <c r="N7" i="1" a="1"/>
  <c r="N28" i="1" a="1"/>
  <c r="N23" i="1" a="1"/>
  <c r="L28" i="1" a="1"/>
  <c r="K21" i="1" a="1"/>
  <c r="O26" i="1" a="1"/>
  <c r="P24" i="1" a="1"/>
  <c r="M11" i="1" a="1"/>
  <c r="L8" i="1" a="1"/>
  <c r="L23" i="1" a="1"/>
  <c r="K31" i="1" a="1"/>
  <c r="N32" i="1" a="1"/>
  <c r="L22" i="1" a="1"/>
  <c r="M10" i="1" a="1"/>
  <c r="K19" i="1" a="1"/>
  <c r="P16" i="1" a="1"/>
  <c r="M18" i="1" a="1"/>
  <c r="K26" i="1" a="1"/>
  <c r="L17" i="1" a="1"/>
  <c r="M30" i="1" a="1"/>
  <c r="O12" i="1" a="1"/>
  <c r="K15" i="1" a="1"/>
  <c r="P32" i="1" a="1"/>
  <c r="P12" i="1" a="1"/>
  <c r="N12" i="1" a="1"/>
  <c r="P19" i="1" a="1"/>
  <c r="P27" i="1" a="1"/>
  <c r="O13" i="1" a="1"/>
  <c r="O23" i="1" a="1"/>
  <c r="K12" i="1" a="1"/>
  <c r="K16" i="1" a="1"/>
  <c r="K11" i="1" a="1"/>
  <c r="N14" i="1" a="1"/>
  <c r="O24" i="1" a="1"/>
  <c r="O20" i="1" a="1"/>
  <c r="O19" i="1" a="1"/>
  <c r="P26" i="1" a="1"/>
  <c r="M27" i="1" a="1"/>
  <c r="L18" i="1" a="1"/>
  <c r="N13" i="1" a="1"/>
  <c r="P9" i="1" a="1"/>
  <c r="K18" i="1" a="1"/>
  <c r="O29" i="1" a="1"/>
  <c r="M26" i="1" a="1"/>
  <c r="M22" i="1" a="1"/>
  <c r="L11" i="1" a="1"/>
  <c r="M17" i="1" a="1"/>
  <c r="O16" i="1" a="1"/>
  <c r="L16" i="1" a="1"/>
  <c r="M31" i="1" a="1"/>
  <c r="O7" i="1" a="1"/>
  <c r="L30" i="1" a="1"/>
  <c r="K28" i="1" a="1"/>
  <c r="N19" i="1" a="1"/>
  <c r="N30" i="1" a="1"/>
  <c r="M12" i="1" a="1"/>
  <c r="O22" i="1" a="1"/>
  <c r="M23" i="1" a="1"/>
  <c r="K27" i="1" a="1"/>
  <c r="O10" i="1" a="1"/>
  <c r="N29" i="1" a="1"/>
  <c r="M32" i="1" a="1"/>
  <c r="M7" i="1" a="1"/>
  <c r="P28" i="1" a="1"/>
  <c r="L9" i="1" a="1"/>
  <c r="K7" i="1" a="1"/>
  <c r="K25" i="1" a="1"/>
  <c r="N26" i="1" a="1"/>
  <c r="O17" i="1" a="1"/>
  <c r="M33" i="1" a="1"/>
  <c r="L25" i="1" a="1"/>
  <c r="O18" i="1" a="1"/>
  <c r="N11" i="1" a="1"/>
  <c r="M8" i="1" a="1"/>
  <c r="L21" i="1" a="1"/>
  <c r="L32" i="1" a="1"/>
  <c r="M24" i="1" a="1"/>
  <c r="O28" i="1" a="1"/>
  <c r="N24" i="1" a="1"/>
  <c r="K24" i="1" a="1"/>
  <c r="L12" i="1" a="1"/>
  <c r="P17" i="1" a="1"/>
  <c r="L31" i="1" a="1"/>
  <c r="P25" i="1" a="1"/>
  <c r="O27" i="1" a="1"/>
  <c r="P29" i="1" a="1"/>
  <c r="L10" i="1" a="1"/>
  <c r="L33" i="1" a="1"/>
  <c r="N21" i="1" a="1"/>
  <c r="N18" i="1" a="1"/>
  <c r="L24" i="1" a="1"/>
  <c r="O9" i="1" a="1"/>
  <c r="K20" i="1" a="1"/>
  <c r="P31" i="1" a="1"/>
  <c r="M20" i="1" a="1"/>
  <c r="K13" i="1" a="1"/>
  <c r="N10" i="1" a="1"/>
  <c r="K9" i="1" a="1"/>
  <c r="N20" i="1" a="1"/>
  <c r="M28" i="1" a="1"/>
  <c r="K30" i="1" a="1"/>
  <c r="L20" i="1" a="1"/>
  <c r="K33" i="1" a="1"/>
  <c r="O33" i="1" a="1"/>
  <c r="K14" i="1" a="1"/>
  <c r="P15" i="1" a="1"/>
  <c r="O11" i="1" a="1"/>
  <c r="K8" i="1" a="1"/>
  <c r="P33" i="1" a="1"/>
  <c r="P13" i="1" a="1"/>
  <c r="L27" i="1" a="1"/>
  <c r="O31" i="1" a="1"/>
  <c r="P22" i="1" a="1"/>
  <c r="N9" i="1" a="1"/>
  <c r="N25" i="1" a="1"/>
  <c r="K17" i="1" a="1"/>
  <c r="N16" i="1" a="1"/>
  <c r="M29" i="1" a="1"/>
  <c r="O32" i="1" a="1"/>
  <c r="L15" i="1" a="1"/>
  <c r="M14" i="1" a="1"/>
  <c r="P20" i="1" a="1"/>
  <c r="O30" i="1" a="1"/>
  <c r="M13" i="1" a="1"/>
  <c r="M9" i="1" a="1"/>
  <c r="O21" i="1" a="1"/>
  <c r="K29" i="1" a="1"/>
  <c r="P10" i="1" a="1"/>
  <c r="O14" i="1" a="1"/>
  <c r="N8" i="1" a="1"/>
  <c r="K32" i="1" a="1"/>
  <c r="N15" i="1" a="1"/>
  <c r="N32" i="1" l="1"/>
  <c r="O25" i="1"/>
  <c r="N20" i="1"/>
  <c r="P18" i="1"/>
  <c r="P30" i="1"/>
  <c r="K17" i="1"/>
  <c r="M15" i="1"/>
  <c r="M27" i="1"/>
  <c r="P25" i="1"/>
  <c r="Z24" i="1" s="1"/>
  <c r="K12" i="1"/>
  <c r="L17" i="1"/>
  <c r="V16" i="1" s="1"/>
  <c r="L29" i="1"/>
  <c r="V28" i="1" s="1"/>
  <c r="N15" i="1"/>
  <c r="X14" i="1" s="1"/>
  <c r="K29" i="1"/>
  <c r="N27" i="1"/>
  <c r="X26" i="1" s="1"/>
  <c r="P13" i="1"/>
  <c r="Z12" i="1" s="1"/>
  <c r="O13" i="1"/>
  <c r="Y12" i="1" s="1"/>
  <c r="K24" i="1"/>
  <c r="M10" i="1"/>
  <c r="W9" i="1" s="1"/>
  <c r="L10" i="1"/>
  <c r="V9" i="1" s="1"/>
  <c r="M22" i="1"/>
  <c r="W21" i="1" s="1"/>
  <c r="L22" i="1"/>
  <c r="V21" i="1" s="1"/>
  <c r="N8" i="1"/>
  <c r="X7" i="1" s="1"/>
  <c r="O32" i="1"/>
  <c r="Y31" i="1" s="1"/>
  <c r="O20" i="1"/>
  <c r="O8" i="1"/>
  <c r="L32" i="1"/>
  <c r="N30" i="1"/>
  <c r="P28" i="1"/>
  <c r="K27" i="1"/>
  <c r="M25" i="1"/>
  <c r="O23" i="1"/>
  <c r="L20" i="1"/>
  <c r="N18" i="1"/>
  <c r="P16" i="1"/>
  <c r="K15" i="1"/>
  <c r="M13" i="1"/>
  <c r="W12" i="1" s="1"/>
  <c r="O11" i="1"/>
  <c r="Y10" i="1" s="1"/>
  <c r="L8" i="1"/>
  <c r="P33" i="1"/>
  <c r="Z32" i="1" s="1"/>
  <c r="K32" i="1"/>
  <c r="M30" i="1"/>
  <c r="W29" i="1" s="1"/>
  <c r="O28" i="1"/>
  <c r="Y27" i="1" s="1"/>
  <c r="L25" i="1"/>
  <c r="V24" i="1" s="1"/>
  <c r="N23" i="1"/>
  <c r="X22" i="1" s="1"/>
  <c r="P21" i="1"/>
  <c r="Z20" i="1" s="1"/>
  <c r="K20" i="1"/>
  <c r="M18" i="1"/>
  <c r="W17" i="1" s="1"/>
  <c r="O16" i="1"/>
  <c r="L13" i="1"/>
  <c r="N11" i="1"/>
  <c r="P9" i="1"/>
  <c r="K8" i="1"/>
  <c r="O33" i="1"/>
  <c r="L30" i="1"/>
  <c r="N28" i="1"/>
  <c r="P26" i="1"/>
  <c r="K25" i="1"/>
  <c r="M23" i="1"/>
  <c r="O21" i="1"/>
  <c r="Y20" i="1" s="1"/>
  <c r="L18" i="1"/>
  <c r="V17" i="1" s="1"/>
  <c r="N16" i="1"/>
  <c r="X15" i="1" s="1"/>
  <c r="P14" i="1"/>
  <c r="K13" i="1"/>
  <c r="M11" i="1"/>
  <c r="O9" i="1"/>
  <c r="Y8" i="1" s="1"/>
  <c r="P11" i="1"/>
  <c r="Z10" i="1" s="1"/>
  <c r="M31" i="1"/>
  <c r="W30" i="1" s="1"/>
  <c r="O29" i="1"/>
  <c r="Y28" i="1" s="1"/>
  <c r="L26" i="1"/>
  <c r="V25" i="1" s="1"/>
  <c r="N24" i="1"/>
  <c r="X23" i="1" s="1"/>
  <c r="P22" i="1"/>
  <c r="Z21" i="1" s="1"/>
  <c r="K21" i="1"/>
  <c r="M19" i="1"/>
  <c r="O17" i="1"/>
  <c r="Y16" i="1" s="1"/>
  <c r="N12" i="1"/>
  <c r="P10" i="1"/>
  <c r="K9" i="1"/>
  <c r="M7" i="1"/>
  <c r="L15" i="1"/>
  <c r="O19" i="1"/>
  <c r="N13" i="1"/>
  <c r="X12" i="1" s="1"/>
  <c r="L23" i="1"/>
  <c r="K23" i="1"/>
  <c r="O30" i="1"/>
  <c r="L27" i="1"/>
  <c r="P23" i="1"/>
  <c r="M20" i="1"/>
  <c r="W19" i="1" s="1"/>
  <c r="M8" i="1"/>
  <c r="W7" i="1" s="1"/>
  <c r="N33" i="1"/>
  <c r="X32" i="1" s="1"/>
  <c r="K30" i="1"/>
  <c r="O26" i="1"/>
  <c r="Y25" i="1" s="1"/>
  <c r="P19" i="1"/>
  <c r="Z18" i="1" s="1"/>
  <c r="M16" i="1"/>
  <c r="W15" i="1" s="1"/>
  <c r="N9" i="1"/>
  <c r="M33" i="1"/>
  <c r="W32" i="1" s="1"/>
  <c r="L28" i="1"/>
  <c r="P24" i="1"/>
  <c r="L16" i="1"/>
  <c r="P12" i="1"/>
  <c r="M9" i="1"/>
  <c r="L33" i="1"/>
  <c r="V32" i="1" s="1"/>
  <c r="P29" i="1"/>
  <c r="Z28" i="1" s="1"/>
  <c r="O24" i="1"/>
  <c r="Y23" i="1" s="1"/>
  <c r="N19" i="1"/>
  <c r="K16" i="1"/>
  <c r="M14" i="1"/>
  <c r="O12" i="1"/>
  <c r="N7" i="1"/>
  <c r="K33" i="1"/>
  <c r="L14" i="1"/>
  <c r="V13" i="1" s="1"/>
  <c r="L31" i="1"/>
  <c r="V30" i="1" s="1"/>
  <c r="P27" i="1"/>
  <c r="Z26" i="1" s="1"/>
  <c r="K26" i="1"/>
  <c r="M24" i="1"/>
  <c r="W23" i="1" s="1"/>
  <c r="O22" i="1"/>
  <c r="Y21" i="1" s="1"/>
  <c r="L19" i="1"/>
  <c r="V18" i="1" s="1"/>
  <c r="N17" i="1"/>
  <c r="X16" i="1" s="1"/>
  <c r="P15" i="1"/>
  <c r="Z14" i="1" s="1"/>
  <c r="K14" i="1"/>
  <c r="M12" i="1"/>
  <c r="O10" i="1"/>
  <c r="P32" i="1"/>
  <c r="K31" i="1"/>
  <c r="M29" i="1"/>
  <c r="O27" i="1"/>
  <c r="L24" i="1"/>
  <c r="N22" i="1"/>
  <c r="P20" i="1"/>
  <c r="K19" i="1"/>
  <c r="M17" i="1"/>
  <c r="O15" i="1"/>
  <c r="Y14" i="1" s="1"/>
  <c r="L12" i="1"/>
  <c r="V11" i="1" s="1"/>
  <c r="N10" i="1"/>
  <c r="P8" i="1"/>
  <c r="Z7" i="1" s="1"/>
  <c r="K7" i="1"/>
  <c r="M32" i="1"/>
  <c r="N25" i="1"/>
  <c r="K22" i="1"/>
  <c r="O18" i="1"/>
  <c r="Y17" i="1" s="1"/>
  <c r="K10" i="1"/>
  <c r="P31" i="1"/>
  <c r="Z30" i="1" s="1"/>
  <c r="M28" i="1"/>
  <c r="W27" i="1" s="1"/>
  <c r="N21" i="1"/>
  <c r="X20" i="1" s="1"/>
  <c r="K18" i="1"/>
  <c r="O14" i="1"/>
  <c r="L11" i="1"/>
  <c r="P7" i="1"/>
  <c r="O31" i="1"/>
  <c r="N26" i="1"/>
  <c r="M21" i="1"/>
  <c r="N14" i="1"/>
  <c r="K11" i="1"/>
  <c r="O7" i="1"/>
  <c r="N31" i="1"/>
  <c r="X30" i="1" s="1"/>
  <c r="K28" i="1"/>
  <c r="M26" i="1"/>
  <c r="W25" i="1" s="1"/>
  <c r="L21" i="1"/>
  <c r="V20" i="1" s="1"/>
  <c r="P17" i="1"/>
  <c r="Z16" i="1" s="1"/>
  <c r="L9" i="1"/>
  <c r="V8" i="1" s="1"/>
  <c r="N29" i="1"/>
  <c r="X28" i="1" s="1"/>
  <c r="L7" i="1"/>
  <c r="T6" i="1"/>
  <c r="J6" i="1"/>
  <c r="M3" i="1"/>
  <c r="W3" i="1" s="1"/>
  <c r="K6" i="1" a="1"/>
  <c r="P6" i="1" a="1"/>
  <c r="M6" i="1" a="1"/>
  <c r="N6" i="1" a="1"/>
  <c r="L6" i="1" a="1"/>
  <c r="O6" i="1" a="1"/>
  <c r="X11" i="1" l="1"/>
  <c r="Q7" i="1"/>
  <c r="Z9" i="1"/>
  <c r="X8" i="1"/>
  <c r="Z25" i="1"/>
  <c r="Q22" i="1"/>
  <c r="U21" i="1"/>
  <c r="Q32" i="1"/>
  <c r="U31" i="1"/>
  <c r="Q10" i="1"/>
  <c r="U9" i="1"/>
  <c r="Q13" i="1"/>
  <c r="U12" i="1"/>
  <c r="Z13" i="1"/>
  <c r="X9" i="1"/>
  <c r="V26" i="1"/>
  <c r="Q28" i="1"/>
  <c r="AA27" i="1" s="1"/>
  <c r="U27" i="1"/>
  <c r="Y11" i="1"/>
  <c r="Q15" i="1"/>
  <c r="AA14" i="1" s="1"/>
  <c r="U14" i="1"/>
  <c r="W13" i="1"/>
  <c r="W22" i="1"/>
  <c r="Q19" i="1"/>
  <c r="AA18" i="1" s="1"/>
  <c r="U18" i="1"/>
  <c r="Q16" i="1"/>
  <c r="U15" i="1"/>
  <c r="Z19" i="1"/>
  <c r="X21" i="1"/>
  <c r="X27" i="1"/>
  <c r="Y22" i="1"/>
  <c r="V23" i="1"/>
  <c r="W14" i="1"/>
  <c r="Q14" i="1"/>
  <c r="U13" i="1"/>
  <c r="Q20" i="1"/>
  <c r="U19" i="1"/>
  <c r="Q30" i="1"/>
  <c r="U29" i="1"/>
  <c r="X24" i="1"/>
  <c r="Q26" i="1"/>
  <c r="AA25" i="1" s="1"/>
  <c r="U25" i="1"/>
  <c r="Q24" i="1"/>
  <c r="AA23" i="1" s="1"/>
  <c r="U23" i="1"/>
  <c r="W31" i="1"/>
  <c r="W10" i="1"/>
  <c r="Z22" i="1"/>
  <c r="V7" i="1"/>
  <c r="Q33" i="1"/>
  <c r="U32" i="1"/>
  <c r="Q29" i="1"/>
  <c r="U28" i="1"/>
  <c r="Y29" i="1"/>
  <c r="Q23" i="1"/>
  <c r="U22" i="1"/>
  <c r="W16" i="1"/>
  <c r="V22" i="1"/>
  <c r="Z15" i="1"/>
  <c r="Q25" i="1"/>
  <c r="U24" i="1"/>
  <c r="X17" i="1"/>
  <c r="Q12" i="1"/>
  <c r="U11" i="1"/>
  <c r="Q11" i="1"/>
  <c r="AA10" i="1" s="1"/>
  <c r="U10" i="1"/>
  <c r="X18" i="1"/>
  <c r="Y18" i="1"/>
  <c r="V19" i="1"/>
  <c r="X13" i="1"/>
  <c r="V14" i="1"/>
  <c r="W26" i="1"/>
  <c r="W20" i="1"/>
  <c r="V29" i="1"/>
  <c r="W24" i="1"/>
  <c r="X25" i="1"/>
  <c r="Y26" i="1"/>
  <c r="Q9" i="1"/>
  <c r="U8" i="1"/>
  <c r="Y32" i="1"/>
  <c r="Q27" i="1"/>
  <c r="U26" i="1"/>
  <c r="Q17" i="1"/>
  <c r="U16" i="1"/>
  <c r="Y30" i="1"/>
  <c r="W28" i="1"/>
  <c r="W8" i="1"/>
  <c r="Q8" i="1"/>
  <c r="AA7" i="1" s="1"/>
  <c r="U7" i="1"/>
  <c r="Z27" i="1"/>
  <c r="Z29" i="1"/>
  <c r="Q31" i="1"/>
  <c r="AA30" i="1" s="1"/>
  <c r="U30" i="1"/>
  <c r="Z11" i="1"/>
  <c r="Z8" i="1"/>
  <c r="X29" i="1"/>
  <c r="Z17" i="1"/>
  <c r="V10" i="1"/>
  <c r="Z31" i="1"/>
  <c r="V15" i="1"/>
  <c r="X10" i="1"/>
  <c r="V31" i="1"/>
  <c r="X19" i="1"/>
  <c r="Y13" i="1"/>
  <c r="Y9" i="1"/>
  <c r="Z23" i="1"/>
  <c r="W18" i="1"/>
  <c r="V12" i="1"/>
  <c r="Y7" i="1"/>
  <c r="Y24" i="1"/>
  <c r="Q18" i="1"/>
  <c r="AA17" i="1" s="1"/>
  <c r="U17" i="1"/>
  <c r="W11" i="1"/>
  <c r="V27" i="1"/>
  <c r="Q21" i="1"/>
  <c r="AA20" i="1" s="1"/>
  <c r="U20" i="1"/>
  <c r="Y15" i="1"/>
  <c r="Y19" i="1"/>
  <c r="X31" i="1"/>
  <c r="N6" i="1"/>
  <c r="M6" i="1"/>
  <c r="O6" i="1"/>
  <c r="P6" i="1"/>
  <c r="L6" i="1"/>
  <c r="K6" i="1"/>
  <c r="U6" i="1" s="1"/>
  <c r="AA22" i="1" l="1"/>
  <c r="AA32" i="1"/>
  <c r="AA28" i="1"/>
  <c r="AA15" i="1"/>
  <c r="AA8" i="1"/>
  <c r="AA11" i="1"/>
  <c r="AA29" i="1"/>
  <c r="AA19" i="1"/>
  <c r="AA12" i="1"/>
  <c r="AA24" i="1"/>
  <c r="AA16" i="1"/>
  <c r="AA13" i="1"/>
  <c r="AA9" i="1"/>
  <c r="AA26" i="1"/>
  <c r="AA31" i="1"/>
  <c r="AA21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43DD9759-CDED-4A05-8D0B-03DBDAC4D8C2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7A9C0C47-0037-4664-85D4-E19A88958155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<sst xmlns="http://schemas.openxmlformats.org/spreadsheetml/2006/main" count="1188" uniqueCount="181">
  <si>
    <t>Solar</t>
  </si>
  <si>
    <t>Wind</t>
  </si>
  <si>
    <t>Nuclear</t>
  </si>
  <si>
    <t>Gas</t>
  </si>
  <si>
    <t>Coal</t>
  </si>
  <si>
    <t>Storage</t>
  </si>
  <si>
    <t>Sum</t>
  </si>
  <si>
    <t>CO2_MTons</t>
  </si>
  <si>
    <t>Lib_Increasing_CO2_CO2_20_20_.xlsm</t>
  </si>
  <si>
    <t>Regions</t>
  </si>
  <si>
    <t>Regions_abbrs</t>
  </si>
  <si>
    <t>Params</t>
  </si>
  <si>
    <t>Units</t>
  </si>
  <si>
    <t>Mults</t>
  </si>
  <si>
    <t>Parm_Count</t>
  </si>
  <si>
    <t>1st ref</t>
  </si>
  <si>
    <t>NRG_Table</t>
  </si>
  <si>
    <t>CSV</t>
  </si>
  <si>
    <t>Offset</t>
  </si>
  <si>
    <t>Be Sure To Match Compare_Template.xlsx</t>
  </si>
  <si>
    <t>Entire US</t>
  </si>
  <si>
    <t>US</t>
  </si>
  <si>
    <t>Capacity</t>
  </si>
  <si>
    <t>GW</t>
  </si>
  <si>
    <t>California</t>
  </si>
  <si>
    <t>CAL</t>
  </si>
  <si>
    <t>Energy</t>
  </si>
  <si>
    <t>TWh</t>
  </si>
  <si>
    <t>Carolinas</t>
  </si>
  <si>
    <t>CAR</t>
  </si>
  <si>
    <t>Supply</t>
  </si>
  <si>
    <t>Central</t>
  </si>
  <si>
    <t>CENT</t>
  </si>
  <si>
    <t>Cost</t>
  </si>
  <si>
    <t>B$</t>
  </si>
  <si>
    <t>Florida</t>
  </si>
  <si>
    <t>FLA</t>
  </si>
  <si>
    <t>CO2_Cost</t>
  </si>
  <si>
    <t>Mid Atlantic</t>
  </si>
  <si>
    <t>MIDA</t>
  </si>
  <si>
    <t>MTons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</si>
  <si>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</si>
  <si>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</si>
  <si>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</si>
  <si>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</si>
  <si>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</si>
  <si>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</si>
  <si>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</si>
  <si>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</si>
  <si>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</si>
  <si>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</si>
  <si>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</si>
  <si>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</si>
  <si>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</si>
  <si>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</si>
  <si>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</si>
  <si>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</si>
  <si>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</si>
  <si>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</si>
  <si>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</si>
  <si>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</si>
  <si>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</si>
  <si>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</si>
  <si>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</si>
  <si>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Default</t>
  </si>
  <si>
    <t>Title</t>
  </si>
  <si>
    <t>Increasing_CO2</t>
  </si>
  <si>
    <t>Region</t>
  </si>
  <si>
    <t>Years</t>
  </si>
  <si>
    <t>CO2_Price</t>
  </si>
  <si>
    <t>Molten_Rate</t>
  </si>
  <si>
    <t>Interest</t>
  </si>
  <si>
    <t>Demand</t>
  </si>
  <si>
    <t>Coal_Capital</t>
  </si>
  <si>
    <t>Coal_Fixed</t>
  </si>
  <si>
    <t>Coal_Lifetime</t>
  </si>
  <si>
    <t>Coal_Max_PCT</t>
  </si>
  <si>
    <t>Coal_Variable</t>
  </si>
  <si>
    <t>Gas_Capital</t>
  </si>
  <si>
    <t>Gas_Fixed</t>
  </si>
  <si>
    <t>Gas_Lifetime</t>
  </si>
  <si>
    <t>Gas_Max_PCT</t>
  </si>
  <si>
    <t>Gas_Variable</t>
  </si>
  <si>
    <t>Nuclear_Capital</t>
  </si>
  <si>
    <t>Nuclear_Fixed</t>
  </si>
  <si>
    <t>Nuclear_Lifetime</t>
  </si>
  <si>
    <t>Nuclear_Max_PCT</t>
  </si>
  <si>
    <t>Nuclear_Variable</t>
  </si>
  <si>
    <t>Solar_Capital</t>
  </si>
  <si>
    <t>Solar_Fixed</t>
  </si>
  <si>
    <t>Solar_Lifetime</t>
  </si>
  <si>
    <t>Solar_Max_PCT</t>
  </si>
  <si>
    <t>Solar_Variable</t>
  </si>
  <si>
    <t>Battery_Capital</t>
  </si>
  <si>
    <t>Battery_Fixed</t>
  </si>
  <si>
    <t>Battery_Lifetime</t>
  </si>
  <si>
    <t>Battery_Max_PCT</t>
  </si>
  <si>
    <t>Battery_Variable</t>
  </si>
  <si>
    <t>Wind_Capital</t>
  </si>
  <si>
    <t>Wind_Fixed</t>
  </si>
  <si>
    <t>Wind_Lifetime</t>
  </si>
  <si>
    <t>Wind_Max_PCT</t>
  </si>
  <si>
    <t>Wind_Variable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</si>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</sst>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2" fillId="0" borderId="0" xfId="0" applyFont="1"/>
    <xf numFmtId="0" fontId="0" fillId="0" borderId="0" xfId="0" applyAlignment="1">
      <alignment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  <xf numFmtId="0" fontId="2" fillId="0" borderId="0" xfId="0" applyFont="1"/>
    <xf numFmtId="0" fontId="0" fillId="0" borderId="0" xfId="0"/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 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0.56689757000000007</c:v>
                </c:pt>
                <c:pt idx="1">
                  <c:v>0.55182045000000002</c:v>
                </c:pt>
                <c:pt idx="2">
                  <c:v>0.54286984999999999</c:v>
                </c:pt>
                <c:pt idx="3">
                  <c:v>0.54147588000000002</c:v>
                </c:pt>
                <c:pt idx="4">
                  <c:v>0.56564524000000005</c:v>
                </c:pt>
                <c:pt idx="5">
                  <c:v>0.58457634000000003</c:v>
                </c:pt>
                <c:pt idx="6">
                  <c:v>0.63878913000000004</c:v>
                </c:pt>
                <c:pt idx="7">
                  <c:v>0.69600857999999999</c:v>
                </c:pt>
                <c:pt idx="8">
                  <c:v>0.7371874100000001</c:v>
                </c:pt>
                <c:pt idx="9">
                  <c:v>0.77295478000000006</c:v>
                </c:pt>
                <c:pt idx="10">
                  <c:v>0.81947702</c:v>
                </c:pt>
                <c:pt idx="11">
                  <c:v>0.89583695999999979</c:v>
                </c:pt>
                <c:pt idx="12">
                  <c:v>1.0163611299999997</c:v>
                </c:pt>
                <c:pt idx="13">
                  <c:v>1.1205332299999999</c:v>
                </c:pt>
                <c:pt idx="14">
                  <c:v>1.2293047000000001</c:v>
                </c:pt>
                <c:pt idx="15">
                  <c:v>1.3704272800000001</c:v>
                </c:pt>
                <c:pt idx="16">
                  <c:v>1.5005542800000002</c:v>
                </c:pt>
                <c:pt idx="17">
                  <c:v>1.6158053199999998</c:v>
                </c:pt>
                <c:pt idx="18">
                  <c:v>1.72632422</c:v>
                </c:pt>
                <c:pt idx="19">
                  <c:v>1.84132008</c:v>
                </c:pt>
                <c:pt idx="20">
                  <c:v>1.9501730800000001</c:v>
                </c:pt>
                <c:pt idx="21">
                  <c:v>2.0684148799999997</c:v>
                </c:pt>
                <c:pt idx="22">
                  <c:v>2.1644871500000002</c:v>
                </c:pt>
                <c:pt idx="23">
                  <c:v>2.2782336300000003</c:v>
                </c:pt>
                <c:pt idx="24">
                  <c:v>2.3391833800000001</c:v>
                </c:pt>
                <c:pt idx="25">
                  <c:v>2.4094015200000003</c:v>
                </c:pt>
                <c:pt idx="26">
                  <c:v>2.48475622</c:v>
                </c:pt>
                <c:pt idx="27">
                  <c:v>2.5396254300000001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1.5709276299999999</c:v>
                </c:pt>
                <c:pt idx="1">
                  <c:v>1.5080897699999998</c:v>
                </c:pt>
                <c:pt idx="2">
                  <c:v>1.4493517400000002</c:v>
                </c:pt>
                <c:pt idx="3">
                  <c:v>1.39438394</c:v>
                </c:pt>
                <c:pt idx="4">
                  <c:v>1.37476011</c:v>
                </c:pt>
                <c:pt idx="5">
                  <c:v>1.4649983099999999</c:v>
                </c:pt>
                <c:pt idx="6">
                  <c:v>1.5805494199999999</c:v>
                </c:pt>
                <c:pt idx="7">
                  <c:v>1.7236668499999999</c:v>
                </c:pt>
                <c:pt idx="8">
                  <c:v>1.9270987600000002</c:v>
                </c:pt>
                <c:pt idx="9">
                  <c:v>2.1649417500000001</c:v>
                </c:pt>
                <c:pt idx="10">
                  <c:v>2.4119671600000001</c:v>
                </c:pt>
                <c:pt idx="11">
                  <c:v>2.66847301</c:v>
                </c:pt>
                <c:pt idx="12">
                  <c:v>2.9369608</c:v>
                </c:pt>
                <c:pt idx="13">
                  <c:v>3.21543358</c:v>
                </c:pt>
                <c:pt idx="14">
                  <c:v>3.5030031500000001</c:v>
                </c:pt>
                <c:pt idx="15">
                  <c:v>3.7985195500000004</c:v>
                </c:pt>
                <c:pt idx="16">
                  <c:v>4.1044980100000004</c:v>
                </c:pt>
                <c:pt idx="17">
                  <c:v>4.4204447400000006</c:v>
                </c:pt>
                <c:pt idx="18">
                  <c:v>4.7458001200000002</c:v>
                </c:pt>
                <c:pt idx="19">
                  <c:v>5.0801336699999995</c:v>
                </c:pt>
                <c:pt idx="20">
                  <c:v>5.4141992799999992</c:v>
                </c:pt>
                <c:pt idx="21">
                  <c:v>5.65792319</c:v>
                </c:pt>
                <c:pt idx="22">
                  <c:v>6.0034788199999998</c:v>
                </c:pt>
                <c:pt idx="23">
                  <c:v>6.3578397799999991</c:v>
                </c:pt>
                <c:pt idx="24">
                  <c:v>6.7146953499999995</c:v>
                </c:pt>
                <c:pt idx="25">
                  <c:v>7.0613649299999999</c:v>
                </c:pt>
                <c:pt idx="26">
                  <c:v>7.3949910599999997</c:v>
                </c:pt>
                <c:pt idx="27">
                  <c:v>7.6066124299999984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2.3350144899999998</c:v>
                </c:pt>
                <c:pt idx="1">
                  <c:v>2.2769925400000002</c:v>
                </c:pt>
                <c:pt idx="2">
                  <c:v>2.2196954900000003</c:v>
                </c:pt>
                <c:pt idx="3">
                  <c:v>2.1641981299999999</c:v>
                </c:pt>
                <c:pt idx="4">
                  <c:v>2.1100931200000002</c:v>
                </c:pt>
                <c:pt idx="5">
                  <c:v>2.0573435399999997</c:v>
                </c:pt>
                <c:pt idx="6">
                  <c:v>2.0060808199999998</c:v>
                </c:pt>
                <c:pt idx="7">
                  <c:v>1.9575414999999998</c:v>
                </c:pt>
                <c:pt idx="8">
                  <c:v>1.9137269700000001</c:v>
                </c:pt>
                <c:pt idx="9">
                  <c:v>1.9140788799999999</c:v>
                </c:pt>
                <c:pt idx="10">
                  <c:v>1.9370372500000002</c:v>
                </c:pt>
                <c:pt idx="11">
                  <c:v>2.3267278200000003</c:v>
                </c:pt>
                <c:pt idx="12">
                  <c:v>2.6959633600000004</c:v>
                </c:pt>
                <c:pt idx="13">
                  <c:v>3.19417887</c:v>
                </c:pt>
                <c:pt idx="14">
                  <c:v>3.6875925599999997</c:v>
                </c:pt>
                <c:pt idx="15">
                  <c:v>4.3366439000000003</c:v>
                </c:pt>
                <c:pt idx="16">
                  <c:v>5.0035082999999991</c:v>
                </c:pt>
                <c:pt idx="17">
                  <c:v>5.6898822000000004</c:v>
                </c:pt>
                <c:pt idx="18">
                  <c:v>6.3973671200000002</c:v>
                </c:pt>
                <c:pt idx="19">
                  <c:v>7.0735986200000003</c:v>
                </c:pt>
                <c:pt idx="20">
                  <c:v>7.6703728200000008</c:v>
                </c:pt>
                <c:pt idx="21">
                  <c:v>8.1583691700000003</c:v>
                </c:pt>
                <c:pt idx="22">
                  <c:v>8.6536660399999992</c:v>
                </c:pt>
                <c:pt idx="23">
                  <c:v>9.1669741300000016</c:v>
                </c:pt>
                <c:pt idx="24">
                  <c:v>9.7283548</c:v>
                </c:pt>
                <c:pt idx="25">
                  <c:v>10.306172100000001</c:v>
                </c:pt>
                <c:pt idx="26">
                  <c:v>10.84455116</c:v>
                </c:pt>
                <c:pt idx="27">
                  <c:v>11.401196999999998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751.93909753000003</c:v>
                </c:pt>
                <c:pt idx="1">
                  <c:v>819.31019516999993</c:v>
                </c:pt>
                <c:pt idx="2">
                  <c:v>886.21159565000005</c:v>
                </c:pt>
                <c:pt idx="3">
                  <c:v>952.00472732000003</c:v>
                </c:pt>
                <c:pt idx="4">
                  <c:v>1012.6008140900001</c:v>
                </c:pt>
                <c:pt idx="5">
                  <c:v>1065.0697987600001</c:v>
                </c:pt>
                <c:pt idx="6">
                  <c:v>1134.8121338800001</c:v>
                </c:pt>
                <c:pt idx="7">
                  <c:v>1218.4390840400001</c:v>
                </c:pt>
                <c:pt idx="8">
                  <c:v>1293.09394853</c:v>
                </c:pt>
                <c:pt idx="9">
                  <c:v>1354.7639918999998</c:v>
                </c:pt>
                <c:pt idx="10">
                  <c:v>1409.7442610399999</c:v>
                </c:pt>
                <c:pt idx="11">
                  <c:v>1411.6549493499999</c:v>
                </c:pt>
                <c:pt idx="12">
                  <c:v>1382.6589476499998</c:v>
                </c:pt>
                <c:pt idx="13">
                  <c:v>1321.6812862000002</c:v>
                </c:pt>
                <c:pt idx="14">
                  <c:v>1249.7139697</c:v>
                </c:pt>
                <c:pt idx="15">
                  <c:v>1150.9441744400001</c:v>
                </c:pt>
                <c:pt idx="16">
                  <c:v>1053.7076062899998</c:v>
                </c:pt>
                <c:pt idx="17">
                  <c:v>959.54249618000006</c:v>
                </c:pt>
                <c:pt idx="18">
                  <c:v>867.91176873000006</c:v>
                </c:pt>
                <c:pt idx="19">
                  <c:v>785.20192584999995</c:v>
                </c:pt>
                <c:pt idx="20">
                  <c:v>716.21053504999986</c:v>
                </c:pt>
                <c:pt idx="21">
                  <c:v>661.15929727999992</c:v>
                </c:pt>
                <c:pt idx="22">
                  <c:v>607.51602490999994</c:v>
                </c:pt>
                <c:pt idx="23">
                  <c:v>555.63349935000008</c:v>
                </c:pt>
                <c:pt idx="24">
                  <c:v>508.15698026000007</c:v>
                </c:pt>
                <c:pt idx="25">
                  <c:v>464.51031026000004</c:v>
                </c:pt>
                <c:pt idx="26">
                  <c:v>429.42047861000003</c:v>
                </c:pt>
                <c:pt idx="27">
                  <c:v>402.28977954999993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657.82763151999995</c:v>
                </c:pt>
                <c:pt idx="1">
                  <c:v>641.40322114000003</c:v>
                </c:pt>
                <c:pt idx="2">
                  <c:v>625.02378166999995</c:v>
                </c:pt>
                <c:pt idx="3">
                  <c:v>609.32303105000005</c:v>
                </c:pt>
                <c:pt idx="4">
                  <c:v>591.85553904999983</c:v>
                </c:pt>
                <c:pt idx="5">
                  <c:v>567.33719656999995</c:v>
                </c:pt>
                <c:pt idx="6">
                  <c:v>503.94009810999989</c:v>
                </c:pt>
                <c:pt idx="7">
                  <c:v>411.85662361999994</c:v>
                </c:pt>
                <c:pt idx="8">
                  <c:v>325.22882303</c:v>
                </c:pt>
                <c:pt idx="9">
                  <c:v>243.58922676</c:v>
                </c:pt>
                <c:pt idx="10">
                  <c:v>164.8472008</c:v>
                </c:pt>
                <c:pt idx="11">
                  <c:v>69.431982099999999</c:v>
                </c:pt>
                <c:pt idx="12">
                  <c:v>24.037084179999997</c:v>
                </c:pt>
                <c:pt idx="13">
                  <c:v>1.4444956999999998</c:v>
                </c:pt>
                <c:pt idx="14">
                  <c:v>0.17253814000000001</c:v>
                </c:pt>
                <c:pt idx="15">
                  <c:v>0.16822053000000001</c:v>
                </c:pt>
                <c:pt idx="16">
                  <c:v>0.16401500999999999</c:v>
                </c:pt>
                <c:pt idx="17">
                  <c:v>0.15991258999999999</c:v>
                </c:pt>
                <c:pt idx="18">
                  <c:v>0.15591457</c:v>
                </c:pt>
                <c:pt idx="19">
                  <c:v>0.15201671</c:v>
                </c:pt>
                <c:pt idx="20">
                  <c:v>0.14821629</c:v>
                </c:pt>
                <c:pt idx="21">
                  <c:v>0.14450803000000001</c:v>
                </c:pt>
                <c:pt idx="22">
                  <c:v>0.13990586999999999</c:v>
                </c:pt>
                <c:pt idx="23">
                  <c:v>0.13241633999999999</c:v>
                </c:pt>
                <c:pt idx="24">
                  <c:v>9.3969999999999996E-5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0</c:v>
                </c:pt>
                <c:pt idx="1">
                  <c:v>1.641E-5</c:v>
                </c:pt>
                <c:pt idx="2">
                  <c:v>7.3300000000000001E-6</c:v>
                </c:pt>
                <c:pt idx="3">
                  <c:v>9.2999999999999999E-7</c:v>
                </c:pt>
                <c:pt idx="4">
                  <c:v>3.8700000000000002E-6</c:v>
                </c:pt>
                <c:pt idx="5">
                  <c:v>6.0700000000000003E-6</c:v>
                </c:pt>
                <c:pt idx="6">
                  <c:v>1.13E-5</c:v>
                </c:pt>
                <c:pt idx="7">
                  <c:v>1.012E-5</c:v>
                </c:pt>
                <c:pt idx="8">
                  <c:v>3.3200000000000001E-5</c:v>
                </c:pt>
                <c:pt idx="9">
                  <c:v>2.3069999999999998E-5</c:v>
                </c:pt>
                <c:pt idx="10">
                  <c:v>4.6699999999999997E-5</c:v>
                </c:pt>
                <c:pt idx="11">
                  <c:v>5.6099999999999995E-5</c:v>
                </c:pt>
                <c:pt idx="12">
                  <c:v>4.7829999999999994E-5</c:v>
                </c:pt>
                <c:pt idx="13">
                  <c:v>4.6879999999999998E-5</c:v>
                </c:pt>
                <c:pt idx="14">
                  <c:v>3.9900000000000001E-5</c:v>
                </c:pt>
                <c:pt idx="15">
                  <c:v>4.091E-5</c:v>
                </c:pt>
                <c:pt idx="16">
                  <c:v>4.7050000000000005E-5</c:v>
                </c:pt>
                <c:pt idx="17">
                  <c:v>4.7420000000000003E-5</c:v>
                </c:pt>
                <c:pt idx="18">
                  <c:v>6.7649999999999991E-5</c:v>
                </c:pt>
                <c:pt idx="19">
                  <c:v>6.5279999999999998E-5</c:v>
                </c:pt>
                <c:pt idx="20">
                  <c:v>8.2269999999999983E-5</c:v>
                </c:pt>
                <c:pt idx="21">
                  <c:v>6.2310000000000005E-5</c:v>
                </c:pt>
                <c:pt idx="22">
                  <c:v>5.5349999999999997E-5</c:v>
                </c:pt>
                <c:pt idx="23">
                  <c:v>5.183000000000001E-5</c:v>
                </c:pt>
                <c:pt idx="24">
                  <c:v>4.6119999999999992E-5</c:v>
                </c:pt>
                <c:pt idx="25">
                  <c:v>4.2920000000000002E-5</c:v>
                </c:pt>
                <c:pt idx="26">
                  <c:v>4.0499999999999995E-5</c:v>
                </c:pt>
                <c:pt idx="27">
                  <c:v>4.0450000000000007E-5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 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-1.5077120000000055E-2</c:v>
                </c:pt>
                <c:pt idx="1">
                  <c:v>-8.9506000000000308E-3</c:v>
                </c:pt>
                <c:pt idx="2">
                  <c:v>-1.3939699999999666E-3</c:v>
                </c:pt>
                <c:pt idx="3">
                  <c:v>2.4169360000000029E-2</c:v>
                </c:pt>
                <c:pt idx="4">
                  <c:v>1.8931099999999979E-2</c:v>
                </c:pt>
                <c:pt idx="5">
                  <c:v>5.4212790000000011E-2</c:v>
                </c:pt>
                <c:pt idx="6">
                  <c:v>5.721944999999995E-2</c:v>
                </c:pt>
                <c:pt idx="7">
                  <c:v>4.1178830000000111E-2</c:v>
                </c:pt>
                <c:pt idx="8">
                  <c:v>3.5767369999999965E-2</c:v>
                </c:pt>
                <c:pt idx="9">
                  <c:v>4.6522239999999937E-2</c:v>
                </c:pt>
                <c:pt idx="10">
                  <c:v>7.6359939999999793E-2</c:v>
                </c:pt>
                <c:pt idx="11">
                  <c:v>0.12052416999999993</c:v>
                </c:pt>
                <c:pt idx="12">
                  <c:v>0.10417210000000021</c:v>
                </c:pt>
                <c:pt idx="13">
                  <c:v>0.1087714700000002</c:v>
                </c:pt>
                <c:pt idx="14">
                  <c:v>0.14112258</c:v>
                </c:pt>
                <c:pt idx="15">
                  <c:v>0.1301270000000001</c:v>
                </c:pt>
                <c:pt idx="16">
                  <c:v>0.11525103999999953</c:v>
                </c:pt>
                <c:pt idx="17">
                  <c:v>0.1105189000000002</c:v>
                </c:pt>
                <c:pt idx="18">
                  <c:v>0.11499586000000006</c:v>
                </c:pt>
                <c:pt idx="19">
                  <c:v>0.10885300000000009</c:v>
                </c:pt>
                <c:pt idx="20">
                  <c:v>0.11824179999999962</c:v>
                </c:pt>
                <c:pt idx="21">
                  <c:v>9.6072270000000515E-2</c:v>
                </c:pt>
                <c:pt idx="22">
                  <c:v>0.11374648000000009</c:v>
                </c:pt>
                <c:pt idx="23">
                  <c:v>6.0949749999999803E-2</c:v>
                </c:pt>
                <c:pt idx="24">
                  <c:v>7.0218140000000151E-2</c:v>
                </c:pt>
                <c:pt idx="25">
                  <c:v>7.5354699999999664E-2</c:v>
                </c:pt>
                <c:pt idx="26">
                  <c:v>5.4869210000000113E-2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-6.2837860000000134E-2</c:v>
                </c:pt>
                <c:pt idx="1">
                  <c:v>-5.8738029999999553E-2</c:v>
                </c:pt>
                <c:pt idx="2">
                  <c:v>-5.4967800000000233E-2</c:v>
                </c:pt>
                <c:pt idx="3">
                  <c:v>-1.9623830000000009E-2</c:v>
                </c:pt>
                <c:pt idx="4">
                  <c:v>9.0238199999999935E-2</c:v>
                </c:pt>
                <c:pt idx="5">
                  <c:v>0.11555110999999996</c:v>
                </c:pt>
                <c:pt idx="6">
                  <c:v>0.14311742999999999</c:v>
                </c:pt>
                <c:pt idx="7">
                  <c:v>0.20343191000000038</c:v>
                </c:pt>
                <c:pt idx="8">
                  <c:v>0.23784298999999987</c:v>
                </c:pt>
                <c:pt idx="9">
                  <c:v>0.24702541</c:v>
                </c:pt>
                <c:pt idx="10">
                  <c:v>0.25650584999999992</c:v>
                </c:pt>
                <c:pt idx="11">
                  <c:v>0.26848779</c:v>
                </c:pt>
                <c:pt idx="12">
                  <c:v>0.27847277999999998</c:v>
                </c:pt>
                <c:pt idx="13">
                  <c:v>0.28756957000000005</c:v>
                </c:pt>
                <c:pt idx="14">
                  <c:v>0.29551640000000035</c:v>
                </c:pt>
                <c:pt idx="15">
                  <c:v>0.30597845999999995</c:v>
                </c:pt>
                <c:pt idx="16">
                  <c:v>0.31594673000000029</c:v>
                </c:pt>
                <c:pt idx="17">
                  <c:v>0.32535537999999953</c:v>
                </c:pt>
                <c:pt idx="18">
                  <c:v>0.33433354999999931</c:v>
                </c:pt>
                <c:pt idx="19">
                  <c:v>0.33406560999999968</c:v>
                </c:pt>
                <c:pt idx="20">
                  <c:v>0.24372391000000082</c:v>
                </c:pt>
                <c:pt idx="21">
                  <c:v>0.34555562999999978</c:v>
                </c:pt>
                <c:pt idx="22">
                  <c:v>0.35436095999999928</c:v>
                </c:pt>
                <c:pt idx="23">
                  <c:v>0.35685557000000045</c:v>
                </c:pt>
                <c:pt idx="24">
                  <c:v>0.34666958000000037</c:v>
                </c:pt>
                <c:pt idx="25">
                  <c:v>0.33362612999999985</c:v>
                </c:pt>
                <c:pt idx="26">
                  <c:v>0.2116213699999987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-5.8021949999999656E-2</c:v>
                </c:pt>
                <c:pt idx="1">
                  <c:v>-5.7297049999999849E-2</c:v>
                </c:pt>
                <c:pt idx="2">
                  <c:v>-5.5497360000000384E-2</c:v>
                </c:pt>
                <c:pt idx="3">
                  <c:v>-5.4105009999999787E-2</c:v>
                </c:pt>
                <c:pt idx="4">
                  <c:v>-5.2749580000000407E-2</c:v>
                </c:pt>
                <c:pt idx="5">
                  <c:v>-5.1262719999999984E-2</c:v>
                </c:pt>
                <c:pt idx="6">
                  <c:v>-4.8539319999999941E-2</c:v>
                </c:pt>
                <c:pt idx="7">
                  <c:v>-4.3814529999999685E-2</c:v>
                </c:pt>
                <c:pt idx="8">
                  <c:v>3.5190999999978878E-4</c:v>
                </c:pt>
                <c:pt idx="9">
                  <c:v>2.2958370000000228E-2</c:v>
                </c:pt>
                <c:pt idx="10">
                  <c:v>0.38969057000000018</c:v>
                </c:pt>
                <c:pt idx="11">
                  <c:v>0.36923554000000003</c:v>
                </c:pt>
                <c:pt idx="12">
                  <c:v>0.49821550999999964</c:v>
                </c:pt>
                <c:pt idx="13">
                  <c:v>0.49341368999999968</c:v>
                </c:pt>
                <c:pt idx="14">
                  <c:v>0.64905134000000064</c:v>
                </c:pt>
                <c:pt idx="15">
                  <c:v>0.6668643999999988</c:v>
                </c:pt>
                <c:pt idx="16">
                  <c:v>0.68637390000000131</c:v>
                </c:pt>
                <c:pt idx="17">
                  <c:v>0.70748491999999974</c:v>
                </c:pt>
                <c:pt idx="18">
                  <c:v>0.6762315000000001</c:v>
                </c:pt>
                <c:pt idx="19">
                  <c:v>0.59677420000000048</c:v>
                </c:pt>
                <c:pt idx="20">
                  <c:v>0.48799634999999952</c:v>
                </c:pt>
                <c:pt idx="21">
                  <c:v>0.49529686999999889</c:v>
                </c:pt>
                <c:pt idx="22">
                  <c:v>0.51330809000000244</c:v>
                </c:pt>
                <c:pt idx="23">
                  <c:v>0.56138066999999836</c:v>
                </c:pt>
                <c:pt idx="24">
                  <c:v>0.57781730000000131</c:v>
                </c:pt>
                <c:pt idx="25">
                  <c:v>0.53837905999999869</c:v>
                </c:pt>
                <c:pt idx="26">
                  <c:v>0.55664583999999806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67.371097639999903</c:v>
                </c:pt>
                <c:pt idx="1">
                  <c:v>66.90140048000012</c:v>
                </c:pt>
                <c:pt idx="2">
                  <c:v>65.79313166999998</c:v>
                </c:pt>
                <c:pt idx="3">
                  <c:v>60.596086770000056</c:v>
                </c:pt>
                <c:pt idx="4">
                  <c:v>52.468984670000054</c:v>
                </c:pt>
                <c:pt idx="5">
                  <c:v>69.742335120000007</c:v>
                </c:pt>
                <c:pt idx="6">
                  <c:v>83.626950159999978</c:v>
                </c:pt>
                <c:pt idx="7">
                  <c:v>74.654864489999909</c:v>
                </c:pt>
                <c:pt idx="8">
                  <c:v>61.670043369999803</c:v>
                </c:pt>
                <c:pt idx="9">
                  <c:v>54.980269140000019</c:v>
                </c:pt>
                <c:pt idx="10">
                  <c:v>1.9106883100000687</c:v>
                </c:pt>
                <c:pt idx="11">
                  <c:v>-28.996001700000079</c:v>
                </c:pt>
                <c:pt idx="12">
                  <c:v>-60.977661449999687</c:v>
                </c:pt>
                <c:pt idx="13">
                  <c:v>-71.967316500000152</c:v>
                </c:pt>
                <c:pt idx="14">
                  <c:v>-98.76979525999991</c:v>
                </c:pt>
                <c:pt idx="15">
                  <c:v>-97.236568150000267</c:v>
                </c:pt>
                <c:pt idx="16">
                  <c:v>-94.165110109999773</c:v>
                </c:pt>
                <c:pt idx="17">
                  <c:v>-91.630727449999995</c:v>
                </c:pt>
                <c:pt idx="18">
                  <c:v>-82.70984288000011</c:v>
                </c:pt>
                <c:pt idx="19">
                  <c:v>-68.99139080000009</c:v>
                </c:pt>
                <c:pt idx="20">
                  <c:v>-55.051237769999943</c:v>
                </c:pt>
                <c:pt idx="21">
                  <c:v>-53.643272369999977</c:v>
                </c:pt>
                <c:pt idx="22">
                  <c:v>-51.882525559999863</c:v>
                </c:pt>
                <c:pt idx="23">
                  <c:v>-47.476519090000011</c:v>
                </c:pt>
                <c:pt idx="24">
                  <c:v>-43.646670000000029</c:v>
                </c:pt>
                <c:pt idx="25">
                  <c:v>-35.089831650000008</c:v>
                </c:pt>
                <c:pt idx="26">
                  <c:v>-27.130699060000097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-16.424410379999927</c:v>
                </c:pt>
                <c:pt idx="1">
                  <c:v>-16.379439470000079</c:v>
                </c:pt>
                <c:pt idx="2">
                  <c:v>-15.700750619999894</c:v>
                </c:pt>
                <c:pt idx="3">
                  <c:v>-17.46749200000022</c:v>
                </c:pt>
                <c:pt idx="4">
                  <c:v>-24.518342479999887</c:v>
                </c:pt>
                <c:pt idx="5">
                  <c:v>-63.397098460000052</c:v>
                </c:pt>
                <c:pt idx="6">
                  <c:v>-92.083474489999958</c:v>
                </c:pt>
                <c:pt idx="7">
                  <c:v>-86.627800589999936</c:v>
                </c:pt>
                <c:pt idx="8">
                  <c:v>-81.639596269999998</c:v>
                </c:pt>
                <c:pt idx="9">
                  <c:v>-78.742025960000007</c:v>
                </c:pt>
                <c:pt idx="10">
                  <c:v>-95.415218699999997</c:v>
                </c:pt>
                <c:pt idx="11">
                  <c:v>-45.394897920000005</c:v>
                </c:pt>
                <c:pt idx="12">
                  <c:v>-22.592588479999996</c:v>
                </c:pt>
                <c:pt idx="13">
                  <c:v>-1.2719575599999997</c:v>
                </c:pt>
                <c:pt idx="14">
                  <c:v>-4.3176099999999995E-3</c:v>
                </c:pt>
                <c:pt idx="15">
                  <c:v>-4.2055200000000181E-3</c:v>
                </c:pt>
                <c:pt idx="16">
                  <c:v>-4.1024199999999955E-3</c:v>
                </c:pt>
                <c:pt idx="17">
                  <c:v>-3.998019999999991E-3</c:v>
                </c:pt>
                <c:pt idx="18">
                  <c:v>-3.897860000000003E-3</c:v>
                </c:pt>
                <c:pt idx="19">
                  <c:v>-3.8004199999999988E-3</c:v>
                </c:pt>
                <c:pt idx="20">
                  <c:v>-3.708259999999991E-3</c:v>
                </c:pt>
                <c:pt idx="21">
                  <c:v>-4.6021600000000218E-3</c:v>
                </c:pt>
                <c:pt idx="22">
                  <c:v>-7.4895299999999942E-3</c:v>
                </c:pt>
                <c:pt idx="23">
                  <c:v>-0.13232236999999999</c:v>
                </c:pt>
                <c:pt idx="24">
                  <c:v>-9.3969999999999996E-5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1.641E-5</c:v>
                </c:pt>
                <c:pt idx="1">
                  <c:v>-9.0800000000000012E-6</c:v>
                </c:pt>
                <c:pt idx="2">
                  <c:v>-6.3999999999999997E-6</c:v>
                </c:pt>
                <c:pt idx="3">
                  <c:v>2.9400000000000002E-6</c:v>
                </c:pt>
                <c:pt idx="4">
                  <c:v>2.2000000000000001E-6</c:v>
                </c:pt>
                <c:pt idx="5">
                  <c:v>5.2299999999999999E-6</c:v>
                </c:pt>
                <c:pt idx="6">
                  <c:v>-1.1800000000000006E-6</c:v>
                </c:pt>
                <c:pt idx="7">
                  <c:v>2.3080000000000003E-5</c:v>
                </c:pt>
                <c:pt idx="8">
                  <c:v>-1.0130000000000003E-5</c:v>
                </c:pt>
                <c:pt idx="9">
                  <c:v>2.3629999999999999E-5</c:v>
                </c:pt>
                <c:pt idx="10">
                  <c:v>9.3999999999999981E-6</c:v>
                </c:pt>
                <c:pt idx="11">
                  <c:v>-8.2700000000000004E-6</c:v>
                </c:pt>
                <c:pt idx="12">
                  <c:v>-9.4999999999999599E-7</c:v>
                </c:pt>
                <c:pt idx="13">
                  <c:v>-6.9799999999999975E-6</c:v>
                </c:pt>
                <c:pt idx="14">
                  <c:v>1.0099999999999988E-6</c:v>
                </c:pt>
                <c:pt idx="15">
                  <c:v>6.1400000000000056E-6</c:v>
                </c:pt>
                <c:pt idx="16">
                  <c:v>3.6999999999999815E-7</c:v>
                </c:pt>
                <c:pt idx="17">
                  <c:v>2.0229999999999988E-5</c:v>
                </c:pt>
                <c:pt idx="18">
                  <c:v>-2.3699999999999926E-6</c:v>
                </c:pt>
                <c:pt idx="19">
                  <c:v>1.6989999999999985E-5</c:v>
                </c:pt>
                <c:pt idx="20">
                  <c:v>-1.9959999999999978E-5</c:v>
                </c:pt>
                <c:pt idx="21">
                  <c:v>-6.9600000000000079E-6</c:v>
                </c:pt>
                <c:pt idx="22">
                  <c:v>-3.5199999999999866E-6</c:v>
                </c:pt>
                <c:pt idx="23">
                  <c:v>-5.7100000000000182E-6</c:v>
                </c:pt>
                <c:pt idx="24">
                  <c:v>-3.1999999999999897E-6</c:v>
                </c:pt>
                <c:pt idx="25">
                  <c:v>-2.4200000000000073E-6</c:v>
                </c:pt>
                <c:pt idx="26">
                  <c:v>-4.9999999999987663E-8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3F97AB-36E5-4400-B351-8E9E69CC63E7}">
  <sheetPr codeName="Sheet2"/>
  <dimension ref="A1:M16"/>
  <sheetViews>
    <sheetView workbookViewId="0">
      <selection activeCell="I3" sqref="I3"/>
    </sheetView>
  </sheetViews>
  <sheetFormatPr defaultRowHeight="14.6" x14ac:dyDescent="0.85"/>
  <cols>
    <col min="1" max="3" width="12.07421875" customWidth="1"/>
    <col min="4" max="4" width="14.69140625" customWidth="1"/>
    <col min="5" max="5" width="1.65234375" bestFit="1" customWidth="1"/>
    <col min="6" max="6" width="8.265625" customWidth="1"/>
    <col min="7" max="7" width="9.15234375" customWidth="1"/>
    <col min="8" max="8" width="10.73046875" bestFit="1" customWidth="1"/>
  </cols>
  <sheetData>
    <row r="1" spans="1:13" s="3" customFormat="1" x14ac:dyDescent="0.85">
      <c r="A1" s="3" t="s">
        <v>9</v>
      </c>
      <c r="B1" s="3" t="s">
        <v>10</v>
      </c>
      <c r="C1" s="3" t="str">
        <f>A1</f>
        <v>Regions</v>
      </c>
      <c r="D1" s="8" t="s">
        <v>11</v>
      </c>
      <c r="E1" s="9"/>
      <c r="F1" s="3" t="s">
        <v>12</v>
      </c>
      <c r="G1" s="3" t="s">
        <v>13</v>
      </c>
      <c r="H1" s="3" t="s">
        <v>14</v>
      </c>
      <c r="I1" s="3" t="s">
        <v>15</v>
      </c>
      <c r="J1" s="3" t="s">
        <v>16</v>
      </c>
      <c r="K1" s="3" t="s">
        <v>17</v>
      </c>
      <c r="L1" s="3" t="s">
        <v>18</v>
      </c>
      <c r="M1" s="3" t="s">
        <v>19</v>
      </c>
    </row>
    <row r="2" spans="1:13" x14ac:dyDescent="0.85">
      <c r="A2" t="s">
        <v>20</v>
      </c>
      <c r="B2" t="s">
        <v>21</v>
      </c>
      <c r="C2" t="s">
        <v>20</v>
      </c>
      <c r="D2" s="4" t="s">
        <v>22</v>
      </c>
      <c r="E2" s="4">
        <v>0</v>
      </c>
      <c r="F2" s="4" t="s">
        <v>23</v>
      </c>
      <c r="G2" s="4">
        <f>1/1000</f>
        <v>1E-3</v>
      </c>
      <c r="H2" s="4">
        <v>11</v>
      </c>
      <c r="I2">
        <v>16</v>
      </c>
      <c r="J2" t="s">
        <v>0</v>
      </c>
      <c r="K2">
        <f>_1st_ref</f>
        <v>16</v>
      </c>
      <c r="L2">
        <v>1</v>
      </c>
    </row>
    <row r="3" spans="1:13" x14ac:dyDescent="0.85">
      <c r="A3" t="s">
        <v>24</v>
      </c>
      <c r="B3" t="s">
        <v>25</v>
      </c>
      <c r="C3" t="s">
        <v>24</v>
      </c>
      <c r="D3" s="4" t="s">
        <v>26</v>
      </c>
      <c r="E3" s="4">
        <v>1</v>
      </c>
      <c r="F3" s="4" t="s">
        <v>27</v>
      </c>
      <c r="G3" s="4">
        <f>1/1000000</f>
        <v>9.9999999999999995E-7</v>
      </c>
      <c r="H3" s="4"/>
      <c r="J3" t="s">
        <v>1</v>
      </c>
      <c r="K3">
        <f>K2+Param_Count</f>
        <v>27</v>
      </c>
      <c r="L3">
        <v>2</v>
      </c>
    </row>
    <row r="4" spans="1:13" x14ac:dyDescent="0.85">
      <c r="A4" t="s">
        <v>28</v>
      </c>
      <c r="B4" t="s">
        <v>29</v>
      </c>
      <c r="C4" t="s">
        <v>28</v>
      </c>
      <c r="D4" s="4" t="s">
        <v>30</v>
      </c>
      <c r="E4" s="4">
        <v>2</v>
      </c>
      <c r="F4" s="4" t="s">
        <v>27</v>
      </c>
      <c r="G4" s="4">
        <f>1/1000000</f>
        <v>9.9999999999999995E-7</v>
      </c>
      <c r="H4" s="4"/>
      <c r="J4" t="s">
        <v>2</v>
      </c>
      <c r="K4">
        <f>K3+Param_Count</f>
        <v>38</v>
      </c>
      <c r="L4">
        <v>3</v>
      </c>
    </row>
    <row r="5" spans="1:13" x14ac:dyDescent="0.85">
      <c r="A5" t="s">
        <v>31</v>
      </c>
      <c r="B5" t="s">
        <v>32</v>
      </c>
      <c r="C5" t="s">
        <v>31</v>
      </c>
      <c r="D5" s="4" t="s">
        <v>33</v>
      </c>
      <c r="E5" s="4">
        <v>3</v>
      </c>
      <c r="F5" s="4" t="s">
        <v>34</v>
      </c>
      <c r="G5" s="4">
        <f>1/1000</f>
        <v>1E-3</v>
      </c>
      <c r="H5" s="4"/>
      <c r="J5" t="s">
        <v>3</v>
      </c>
      <c r="K5">
        <f>K4+Param_Count</f>
        <v>49</v>
      </c>
      <c r="L5">
        <v>4</v>
      </c>
    </row>
    <row r="6" spans="1:13" x14ac:dyDescent="0.85">
      <c r="A6" t="s">
        <v>35</v>
      </c>
      <c r="B6" t="s">
        <v>36</v>
      </c>
      <c r="C6" t="s">
        <v>35</v>
      </c>
      <c r="D6" s="4" t="s">
        <v>37</v>
      </c>
      <c r="E6" s="4">
        <v>4</v>
      </c>
      <c r="F6" s="4" t="s">
        <v>34</v>
      </c>
      <c r="G6" s="4">
        <f>1/1000</f>
        <v>1E-3</v>
      </c>
      <c r="H6" s="4"/>
      <c r="J6" t="s">
        <v>4</v>
      </c>
      <c r="K6">
        <f>K5+Param_Count</f>
        <v>60</v>
      </c>
      <c r="L6">
        <v>5</v>
      </c>
    </row>
    <row r="7" spans="1:13" x14ac:dyDescent="0.85">
      <c r="A7" t="s">
        <v>38</v>
      </c>
      <c r="B7" t="s">
        <v>39</v>
      </c>
      <c r="C7" t="s">
        <v>38</v>
      </c>
      <c r="D7" s="4" t="s">
        <v>7</v>
      </c>
      <c r="E7" s="4">
        <v>5</v>
      </c>
      <c r="F7" s="4" t="s">
        <v>40</v>
      </c>
      <c r="G7" s="4">
        <v>1</v>
      </c>
      <c r="H7" s="4"/>
      <c r="J7" t="s">
        <v>5</v>
      </c>
      <c r="K7">
        <f>K6+Param_Count</f>
        <v>71</v>
      </c>
      <c r="L7">
        <v>6</v>
      </c>
    </row>
    <row r="8" spans="1:13" x14ac:dyDescent="0.85">
      <c r="A8" t="s">
        <v>41</v>
      </c>
      <c r="B8" t="s">
        <v>42</v>
      </c>
      <c r="C8" t="s">
        <v>41</v>
      </c>
      <c r="D8" s="4"/>
      <c r="E8" s="4"/>
      <c r="F8" s="4"/>
      <c r="G8" s="4"/>
      <c r="J8" t="s">
        <v>43</v>
      </c>
      <c r="L8">
        <v>7</v>
      </c>
    </row>
    <row r="9" spans="1:13" x14ac:dyDescent="0.85">
      <c r="A9" t="s">
        <v>44</v>
      </c>
      <c r="B9" t="s">
        <v>45</v>
      </c>
      <c r="C9" t="s">
        <v>44</v>
      </c>
      <c r="D9" s="3"/>
    </row>
    <row r="10" spans="1:13" x14ac:dyDescent="0.85">
      <c r="A10" t="s">
        <v>46</v>
      </c>
      <c r="B10" t="s">
        <v>47</v>
      </c>
      <c r="C10" t="s">
        <v>46</v>
      </c>
    </row>
    <row r="11" spans="1:13" x14ac:dyDescent="0.85">
      <c r="A11" t="s">
        <v>48</v>
      </c>
      <c r="B11" t="s">
        <v>49</v>
      </c>
      <c r="C11" t="s">
        <v>48</v>
      </c>
    </row>
    <row r="12" spans="1:13" x14ac:dyDescent="0.85">
      <c r="A12" t="s">
        <v>50</v>
      </c>
      <c r="B12" t="s">
        <v>51</v>
      </c>
      <c r="C12" t="s">
        <v>50</v>
      </c>
    </row>
    <row r="13" spans="1:13" x14ac:dyDescent="0.85">
      <c r="A13" t="s">
        <v>52</v>
      </c>
      <c r="B13" t="s">
        <v>53</v>
      </c>
      <c r="C13" t="s">
        <v>52</v>
      </c>
    </row>
    <row r="14" spans="1:13" x14ac:dyDescent="0.85">
      <c r="A14" t="s">
        <v>54</v>
      </c>
      <c r="B14" t="s">
        <v>55</v>
      </c>
      <c r="C14" t="s">
        <v>54</v>
      </c>
    </row>
    <row r="15" spans="1:13" x14ac:dyDescent="0.85">
      <c r="A15" t="s">
        <v>56</v>
      </c>
      <c r="B15" t="s">
        <v>57</v>
      </c>
      <c r="C15" t="s">
        <v>56</v>
      </c>
    </row>
    <row r="16" spans="1:13" x14ac:dyDescent="0.85"/>
  </sheetData>
  <mergeCells count="1">
    <mergeCell ref="D1:E1"/>
  </mergeCell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activeCell="A3" sqref="A3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6.149999999999999" x14ac:dyDescent="0.85">
      <c r="A1" s="2" t="s">
        <v>20</v>
      </c>
      <c r="E1" s="10" t="s">
        <v>8</v>
      </c>
      <c r="F1" s="10"/>
      <c r="G1" s="10"/>
    </row>
    <row r="2" spans="1:27" ht="14.65" x14ac:dyDescent="0.85">
      <c r="A2" s="2" t="s">
        <v>7</v>
      </c>
    </row>
    <row r="3" spans="1:27" ht="14.65" x14ac:dyDescent="0.85">
      <c r="K3" t="str">
        <f>VLOOKUP(Region, Region_lookup,2,FALSE)</f>
        <v>US</v>
      </c>
      <c r="M3" s="9" t="str">
        <f>$A$1 &amp; " - " &amp; $A$2 &amp; " (" &amp; VLOOKUP(A2,Param_Table,3,FALSE) &amp; ")"</f>
        <v>Entire US - CO2_MTons (MTons)</v>
      </c>
      <c r="N3" s="9"/>
      <c r="O3" s="9"/>
      <c r="W3" t="str">
        <f>$M$3 &amp; " -Yearly Change"</f>
        <v>Entire 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cm="1">
        <f t="array" aca="1" ref="K6" ca="1" xml:space="preserve"> VLOOKUP($A$2,Param_Table,4,FALSE) * OFFSET(INDIRECT(Region_abbr &amp; "!A1"), VLOOKUP($A$2,Param_Table,2,FALSE) + VLOOKUP(K$5,NRG_Table,2,FALSE),$J6+1)</f>
        <v>0.56689757000000007</v>
      </c>
      <c r="L6" s="1" cm="1">
        <f t="array" aca="1" ref="L6" ca="1" xml:space="preserve"> VLOOKUP($A$2,Param_Table,4,FALSE) * OFFSET(INDIRECT(Region_abbr &amp; "!A1"), VLOOKUP($A$2,Param_Table,2,FALSE) + VLOOKUP(L$5,NRG_Table,2,FALSE),$J6+1)</f>
        <v>1.5709276299999999</v>
      </c>
      <c r="M6" s="1" cm="1">
        <f t="array" aca="1" ref="M6" ca="1" xml:space="preserve"> VLOOKUP($A$2,Param_Table,4,FALSE) * OFFSET(INDIRECT(Region_abbr &amp; "!A1"), VLOOKUP($A$2,Param_Table,2,FALSE) + VLOOKUP(M$5,NRG_Table,2,FALSE),$J6+1)</f>
        <v>2.3350144899999998</v>
      </c>
      <c r="N6" s="1" cm="1">
        <f t="array" aca="1" ref="N6" ca="1" xml:space="preserve"> VLOOKUP($A$2,Param_Table,4,FALSE) * OFFSET(INDIRECT(Region_abbr &amp; "!A1"), VLOOKUP($A$2,Param_Table,2,FALSE) + VLOOKUP(N$5,NRG_Table,2,FALSE),$J6+1)</f>
        <v>751.93909753000003</v>
      </c>
      <c r="O6" s="1" cm="1">
        <f t="array" aca="1" ref="O6" ca="1" xml:space="preserve"> VLOOKUP($A$2,Param_Table,4,FALSE) * OFFSET(INDIRECT(Region_abbr &amp; "!A1"), VLOOKUP($A$2,Param_Table,2,FALSE) + VLOOKUP(O$5,NRG_Table,2,FALSE),$J6+1)</f>
        <v>657.82763151999995</v>
      </c>
      <c r="P6" s="1" cm="1">
        <f t="array" aca="1" ref="P6" ca="1" xml:space="preserve"> VLOOKUP($A$2,Param_Table,4,FALSE) * OFFSET(INDIRECT(Region_abbr &amp; "!A1"), VLOOKUP($A$2,Param_Table,2,FALSE) + VLOOKUP(P$5,NRG_Table,2,FALSE),$J6+1)</f>
        <v>0</v>
      </c>
      <c r="Q6" s="1">
        <f ca="1">SUM(K6:P6)</f>
        <v>1414.2395687399999</v>
      </c>
      <c r="T6">
        <f>T5+1</f>
        <v>1</v>
      </c>
      <c r="U6" s="1">
        <f ca="1">K7-K6</f>
        <v>-1.5077120000000055E-2</v>
      </c>
      <c r="V6" s="1">
        <f t="shared" ref="V6:AA6" ca="1" si="0">L7-L6</f>
        <v>-6.2837860000000134E-2</v>
      </c>
      <c r="W6" s="1">
        <f t="shared" ca="1" si="0"/>
        <v>-5.8021949999999656E-2</v>
      </c>
      <c r="X6" s="1">
        <f t="shared" ca="1" si="0"/>
        <v>67.371097639999903</v>
      </c>
      <c r="Y6" s="1">
        <f t="shared" ca="1" si="0"/>
        <v>-16.424410379999927</v>
      </c>
      <c r="Z6" s="1">
        <f t="shared" ca="1" si="0"/>
        <v>1.641E-5</v>
      </c>
      <c r="AA6" s="1">
        <f t="shared" ca="1" si="0"/>
        <v>50.81076674000019</v>
      </c>
    </row>
    <row r="7" spans="1:27" ht="14.65" x14ac:dyDescent="0.85">
      <c r="J7">
        <f t="shared" ref="J7:J33" si="1">J6+1</f>
        <v>1</v>
      </c>
      <c r="K7" s="1" cm="1">
        <f t="array" aca="1" ref="K7" ca="1" xml:space="preserve"> VLOOKUP($A$2,Param_Table,4,FALSE) * OFFSET(INDIRECT(Region_abbr &amp; "!A1"), VLOOKUP($A$2,Param_Table,2,FALSE) + VLOOKUP(K$5,NRG_Table,2,FALSE),$J7+1)</f>
        <v>0.55182045000000002</v>
      </c>
      <c r="L7" s="1" cm="1">
        <f t="array" aca="1" ref="L7" ca="1" xml:space="preserve"> VLOOKUP($A$2,Param_Table,4,FALSE) * OFFSET(INDIRECT(Region_abbr &amp; "!A1"), VLOOKUP($A$2,Param_Table,2,FALSE) + VLOOKUP(L$5,NRG_Table,2,FALSE),$J7+1)</f>
        <v>1.5080897699999998</v>
      </c>
      <c r="M7" s="1" cm="1">
        <f t="array" aca="1" ref="M7" ca="1" xml:space="preserve"> VLOOKUP($A$2,Param_Table,4,FALSE) * OFFSET(INDIRECT(Region_abbr &amp; "!A1"), VLOOKUP($A$2,Param_Table,2,FALSE) + VLOOKUP(M$5,NRG_Table,2,FALSE),$J7+1)</f>
        <v>2.2769925400000002</v>
      </c>
      <c r="N7" s="1" cm="1">
        <f t="array" aca="1" ref="N7" ca="1" xml:space="preserve"> VLOOKUP($A$2,Param_Table,4,FALSE) * OFFSET(INDIRECT(Region_abbr &amp; "!A1"), VLOOKUP($A$2,Param_Table,2,FALSE) + VLOOKUP(N$5,NRG_Table,2,FALSE),$J7+1)</f>
        <v>819.31019516999993</v>
      </c>
      <c r="O7" s="1" cm="1">
        <f t="array" aca="1" ref="O7" ca="1" xml:space="preserve"> VLOOKUP($A$2,Param_Table,4,FALSE) * OFFSET(INDIRECT(Region_abbr &amp; "!A1"), VLOOKUP($A$2,Param_Table,2,FALSE) + VLOOKUP(O$5,NRG_Table,2,FALSE),$J7+1)</f>
        <v>641.40322114000003</v>
      </c>
      <c r="P7" s="1" cm="1">
        <f t="array" aca="1" ref="P7" ca="1" xml:space="preserve"> VLOOKUP($A$2,Param_Table,4,FALSE) * OFFSET(INDIRECT(Region_abbr &amp; "!A1"), VLOOKUP($A$2,Param_Table,2,FALSE) + VLOOKUP(P$5,NRG_Table,2,FALSE),$J7+1)</f>
        <v>1.641E-5</v>
      </c>
      <c r="Q7" s="1">
        <f t="shared" ref="Q7:Q33" ca="1" si="2">SUM(K7:P7)</f>
        <v>1465.0503354800001</v>
      </c>
      <c r="T7">
        <f t="shared" ref="T7:T32" si="3">T6+1</f>
        <v>2</v>
      </c>
      <c r="U7" s="1">
        <f t="shared" ref="U7:U32" ca="1" si="4">K8-K7</f>
        <v>-8.9506000000000308E-3</v>
      </c>
      <c r="V7" s="1">
        <f t="shared" ref="V7:V32" ca="1" si="5">L8-L7</f>
        <v>-5.8738029999999553E-2</v>
      </c>
      <c r="W7" s="1">
        <f t="shared" ref="W7:W32" ca="1" si="6">M8-M7</f>
        <v>-5.7297049999999849E-2</v>
      </c>
      <c r="X7" s="1">
        <f t="shared" ref="X7:X32" ca="1" si="7">N8-N7</f>
        <v>66.90140048000012</v>
      </c>
      <c r="Y7" s="1">
        <f t="shared" ref="Y7:Y32" ca="1" si="8">O8-O7</f>
        <v>-16.379439470000079</v>
      </c>
      <c r="Z7" s="1">
        <f t="shared" ref="Z7:Z32" ca="1" si="9">P8-P7</f>
        <v>-9.0800000000000012E-6</v>
      </c>
      <c r="AA7" s="1">
        <f t="shared" ref="AA7:AA32" ca="1" si="10">Q8-Q7</f>
        <v>50.396966249999878</v>
      </c>
    </row>
    <row r="8" spans="1:27" ht="14.65" x14ac:dyDescent="0.85">
      <c r="J8">
        <f t="shared" si="1"/>
        <v>2</v>
      </c>
      <c r="K8" s="1" cm="1">
        <f t="array" aca="1" ref="K8" ca="1" xml:space="preserve"> VLOOKUP($A$2,Param_Table,4,FALSE) * OFFSET(INDIRECT(Region_abbr &amp; "!A1"), VLOOKUP($A$2,Param_Table,2,FALSE) + VLOOKUP(K$5,NRG_Table,2,FALSE),$J8+1)</f>
        <v>0.54286984999999999</v>
      </c>
      <c r="L8" s="1" cm="1">
        <f t="array" aca="1" ref="L8" ca="1" xml:space="preserve"> VLOOKUP($A$2,Param_Table,4,FALSE) * OFFSET(INDIRECT(Region_abbr &amp; "!A1"), VLOOKUP($A$2,Param_Table,2,FALSE) + VLOOKUP(L$5,NRG_Table,2,FALSE),$J8+1)</f>
        <v>1.4493517400000002</v>
      </c>
      <c r="M8" s="1" cm="1">
        <f t="array" aca="1" ref="M8" ca="1" xml:space="preserve"> VLOOKUP($A$2,Param_Table,4,FALSE) * OFFSET(INDIRECT(Region_abbr &amp; "!A1"), VLOOKUP($A$2,Param_Table,2,FALSE) + VLOOKUP(M$5,NRG_Table,2,FALSE),$J8+1)</f>
        <v>2.2196954900000003</v>
      </c>
      <c r="N8" s="1" cm="1">
        <f t="array" aca="1" ref="N8" ca="1" xml:space="preserve"> VLOOKUP($A$2,Param_Table,4,FALSE) * OFFSET(INDIRECT(Region_abbr &amp; "!A1"), VLOOKUP($A$2,Param_Table,2,FALSE) + VLOOKUP(N$5,NRG_Table,2,FALSE),$J8+1)</f>
        <v>886.21159565000005</v>
      </c>
      <c r="O8" s="1" cm="1">
        <f t="array" aca="1" ref="O8" ca="1" xml:space="preserve"> VLOOKUP($A$2,Param_Table,4,FALSE) * OFFSET(INDIRECT(Region_abbr &amp; "!A1"), VLOOKUP($A$2,Param_Table,2,FALSE) + VLOOKUP(O$5,NRG_Table,2,FALSE),$J8+1)</f>
        <v>625.02378166999995</v>
      </c>
      <c r="P8" s="1" cm="1">
        <f t="array" aca="1" ref="P8" ca="1" xml:space="preserve"> VLOOKUP($A$2,Param_Table,4,FALSE) * OFFSET(INDIRECT(Region_abbr &amp; "!A1"), VLOOKUP($A$2,Param_Table,2,FALSE) + VLOOKUP(P$5,NRG_Table,2,FALSE),$J8+1)</f>
        <v>7.3300000000000001E-6</v>
      </c>
      <c r="Q8" s="1">
        <f t="shared" ca="1" si="2"/>
        <v>1515.4473017299999</v>
      </c>
      <c r="T8">
        <f t="shared" si="3"/>
        <v>3</v>
      </c>
      <c r="U8" s="1">
        <f t="shared" ca="1" si="4"/>
        <v>-1.3939699999999666E-3</v>
      </c>
      <c r="V8" s="1">
        <f t="shared" ca="1" si="5"/>
        <v>-5.4967800000000233E-2</v>
      </c>
      <c r="W8" s="1">
        <f t="shared" ca="1" si="6"/>
        <v>-5.5497360000000384E-2</v>
      </c>
      <c r="X8" s="1">
        <f t="shared" ca="1" si="7"/>
        <v>65.79313166999998</v>
      </c>
      <c r="Y8" s="1">
        <f t="shared" ca="1" si="8"/>
        <v>-15.700750619999894</v>
      </c>
      <c r="Z8" s="1">
        <f t="shared" ca="1" si="9"/>
        <v>-6.3999999999999997E-6</v>
      </c>
      <c r="AA8" s="1">
        <f t="shared" ca="1" si="10"/>
        <v>49.980515520000154</v>
      </c>
    </row>
    <row r="9" spans="1:27" ht="14.65" x14ac:dyDescent="0.85">
      <c r="J9">
        <f t="shared" si="1"/>
        <v>3</v>
      </c>
      <c r="K9" s="1" cm="1">
        <f t="array" aca="1" ref="K9" ca="1" xml:space="preserve"> VLOOKUP($A$2,Param_Table,4,FALSE) * OFFSET(INDIRECT(Region_abbr &amp; "!A1"), VLOOKUP($A$2,Param_Table,2,FALSE) + VLOOKUP(K$5,NRG_Table,2,FALSE),$J9+1)</f>
        <v>0.54147588000000002</v>
      </c>
      <c r="L9" s="1" cm="1">
        <f t="array" aca="1" ref="L9" ca="1" xml:space="preserve"> VLOOKUP($A$2,Param_Table,4,FALSE) * OFFSET(INDIRECT(Region_abbr &amp; "!A1"), VLOOKUP($A$2,Param_Table,2,FALSE) + VLOOKUP(L$5,NRG_Table,2,FALSE),$J9+1)</f>
        <v>1.39438394</v>
      </c>
      <c r="M9" s="1" cm="1">
        <f t="array" aca="1" ref="M9" ca="1" xml:space="preserve"> VLOOKUP($A$2,Param_Table,4,FALSE) * OFFSET(INDIRECT(Region_abbr &amp; "!A1"), VLOOKUP($A$2,Param_Table,2,FALSE) + VLOOKUP(M$5,NRG_Table,2,FALSE),$J9+1)</f>
        <v>2.1641981299999999</v>
      </c>
      <c r="N9" s="1" cm="1">
        <f t="array" aca="1" ref="N9" ca="1" xml:space="preserve"> VLOOKUP($A$2,Param_Table,4,FALSE) * OFFSET(INDIRECT(Region_abbr &amp; "!A1"), VLOOKUP($A$2,Param_Table,2,FALSE) + VLOOKUP(N$5,NRG_Table,2,FALSE),$J9+1)</f>
        <v>952.00472732000003</v>
      </c>
      <c r="O9" s="1" cm="1">
        <f t="array" aca="1" ref="O9" ca="1" xml:space="preserve"> VLOOKUP($A$2,Param_Table,4,FALSE) * OFFSET(INDIRECT(Region_abbr &amp; "!A1"), VLOOKUP($A$2,Param_Table,2,FALSE) + VLOOKUP(O$5,NRG_Table,2,FALSE),$J9+1)</f>
        <v>609.32303105000005</v>
      </c>
      <c r="P9" s="1" cm="1">
        <f t="array" aca="1" ref="P9" ca="1" xml:space="preserve"> VLOOKUP($A$2,Param_Table,4,FALSE) * OFFSET(INDIRECT(Region_abbr &amp; "!A1"), VLOOKUP($A$2,Param_Table,2,FALSE) + VLOOKUP(P$5,NRG_Table,2,FALSE),$J9+1)</f>
        <v>9.2999999999999999E-7</v>
      </c>
      <c r="Q9" s="1">
        <f t="shared" ca="1" si="2"/>
        <v>1565.4278172500001</v>
      </c>
      <c r="T9">
        <f t="shared" si="3"/>
        <v>4</v>
      </c>
      <c r="U9" s="1">
        <f t="shared" ca="1" si="4"/>
        <v>2.4169360000000029E-2</v>
      </c>
      <c r="V9" s="1">
        <f t="shared" ca="1" si="5"/>
        <v>-1.9623830000000009E-2</v>
      </c>
      <c r="W9" s="1">
        <f t="shared" ca="1" si="6"/>
        <v>-5.4105009999999787E-2</v>
      </c>
      <c r="X9" s="1">
        <f t="shared" ca="1" si="7"/>
        <v>60.596086770000056</v>
      </c>
      <c r="Y9" s="1">
        <f t="shared" ca="1" si="8"/>
        <v>-17.46749200000022</v>
      </c>
      <c r="Z9" s="1">
        <f t="shared" ca="1" si="9"/>
        <v>2.9400000000000002E-6</v>
      </c>
      <c r="AA9" s="1">
        <f t="shared" ca="1" si="10"/>
        <v>43.079038229999924</v>
      </c>
    </row>
    <row r="10" spans="1:27" ht="14.65" x14ac:dyDescent="0.85">
      <c r="J10">
        <f t="shared" si="1"/>
        <v>4</v>
      </c>
      <c r="K10" s="1" cm="1">
        <f t="array" aca="1" ref="K10" ca="1" xml:space="preserve"> VLOOKUP($A$2,Param_Table,4,FALSE) * OFFSET(INDIRECT(Region_abbr &amp; "!A1"), VLOOKUP($A$2,Param_Table,2,FALSE) + VLOOKUP(K$5,NRG_Table,2,FALSE),$J10+1)</f>
        <v>0.56564524000000005</v>
      </c>
      <c r="L10" s="1" cm="1">
        <f t="array" aca="1" ref="L10" ca="1" xml:space="preserve"> VLOOKUP($A$2,Param_Table,4,FALSE) * OFFSET(INDIRECT(Region_abbr &amp; "!A1"), VLOOKUP($A$2,Param_Table,2,FALSE) + VLOOKUP(L$5,NRG_Table,2,FALSE),$J10+1)</f>
        <v>1.37476011</v>
      </c>
      <c r="M10" s="1" cm="1">
        <f t="array" aca="1" ref="M10" ca="1" xml:space="preserve"> VLOOKUP($A$2,Param_Table,4,FALSE) * OFFSET(INDIRECT(Region_abbr &amp; "!A1"), VLOOKUP($A$2,Param_Table,2,FALSE) + VLOOKUP(M$5,NRG_Table,2,FALSE),$J10+1)</f>
        <v>2.1100931200000002</v>
      </c>
      <c r="N10" s="1" cm="1">
        <f t="array" aca="1" ref="N10" ca="1" xml:space="preserve"> VLOOKUP($A$2,Param_Table,4,FALSE) * OFFSET(INDIRECT(Region_abbr &amp; "!A1"), VLOOKUP($A$2,Param_Table,2,FALSE) + VLOOKUP(N$5,NRG_Table,2,FALSE),$J10+1)</f>
        <v>1012.6008140900001</v>
      </c>
      <c r="O10" s="1" cm="1">
        <f t="array" aca="1" ref="O10" ca="1" xml:space="preserve"> VLOOKUP($A$2,Param_Table,4,FALSE) * OFFSET(INDIRECT(Region_abbr &amp; "!A1"), VLOOKUP($A$2,Param_Table,2,FALSE) + VLOOKUP(O$5,NRG_Table,2,FALSE),$J10+1)</f>
        <v>591.85553904999983</v>
      </c>
      <c r="P10" s="1" cm="1">
        <f t="array" aca="1" ref="P10" ca="1" xml:space="preserve"> VLOOKUP($A$2,Param_Table,4,FALSE) * OFFSET(INDIRECT(Region_abbr &amp; "!A1"), VLOOKUP($A$2,Param_Table,2,FALSE) + VLOOKUP(P$5,NRG_Table,2,FALSE),$J10+1)</f>
        <v>3.8700000000000002E-6</v>
      </c>
      <c r="Q10" s="1">
        <f t="shared" ca="1" si="2"/>
        <v>1608.50685548</v>
      </c>
      <c r="T10">
        <f t="shared" si="3"/>
        <v>5</v>
      </c>
      <c r="U10" s="1">
        <f t="shared" ca="1" si="4"/>
        <v>1.8931099999999979E-2</v>
      </c>
      <c r="V10" s="1">
        <f t="shared" ca="1" si="5"/>
        <v>9.0238199999999935E-2</v>
      </c>
      <c r="W10" s="1">
        <f t="shared" ca="1" si="6"/>
        <v>-5.2749580000000407E-2</v>
      </c>
      <c r="X10" s="1">
        <f t="shared" ca="1" si="7"/>
        <v>52.468984670000054</v>
      </c>
      <c r="Y10" s="1">
        <f t="shared" ca="1" si="8"/>
        <v>-24.518342479999887</v>
      </c>
      <c r="Z10" s="1">
        <f t="shared" ca="1" si="9"/>
        <v>2.2000000000000001E-6</v>
      </c>
      <c r="AA10" s="1">
        <f t="shared" ca="1" si="10"/>
        <v>28.007064110000101</v>
      </c>
    </row>
    <row r="11" spans="1:27" ht="14.65" x14ac:dyDescent="0.85">
      <c r="J11">
        <f t="shared" si="1"/>
        <v>5</v>
      </c>
      <c r="K11" s="1" cm="1">
        <f t="array" aca="1" ref="K11" ca="1" xml:space="preserve"> VLOOKUP($A$2,Param_Table,4,FALSE) * OFFSET(INDIRECT(Region_abbr &amp; "!A1"), VLOOKUP($A$2,Param_Table,2,FALSE) + VLOOKUP(K$5,NRG_Table,2,FALSE),$J11+1)</f>
        <v>0.58457634000000003</v>
      </c>
      <c r="L11" s="1" cm="1">
        <f t="array" aca="1" ref="L11" ca="1" xml:space="preserve"> VLOOKUP($A$2,Param_Table,4,FALSE) * OFFSET(INDIRECT(Region_abbr &amp; "!A1"), VLOOKUP($A$2,Param_Table,2,FALSE) + VLOOKUP(L$5,NRG_Table,2,FALSE),$J11+1)</f>
        <v>1.4649983099999999</v>
      </c>
      <c r="M11" s="1" cm="1">
        <f t="array" aca="1" ref="M11" ca="1" xml:space="preserve"> VLOOKUP($A$2,Param_Table,4,FALSE) * OFFSET(INDIRECT(Region_abbr &amp; "!A1"), VLOOKUP($A$2,Param_Table,2,FALSE) + VLOOKUP(M$5,NRG_Table,2,FALSE),$J11+1)</f>
        <v>2.0573435399999997</v>
      </c>
      <c r="N11" s="1" cm="1">
        <f t="array" aca="1" ref="N11" ca="1" xml:space="preserve"> VLOOKUP($A$2,Param_Table,4,FALSE) * OFFSET(INDIRECT(Region_abbr &amp; "!A1"), VLOOKUP($A$2,Param_Table,2,FALSE) + VLOOKUP(N$5,NRG_Table,2,FALSE),$J11+1)</f>
        <v>1065.0697987600001</v>
      </c>
      <c r="O11" s="1" cm="1">
        <f t="array" aca="1" ref="O11" ca="1" xml:space="preserve"> VLOOKUP($A$2,Param_Table,4,FALSE) * OFFSET(INDIRECT(Region_abbr &amp; "!A1"), VLOOKUP($A$2,Param_Table,2,FALSE) + VLOOKUP(O$5,NRG_Table,2,FALSE),$J11+1)</f>
        <v>567.33719656999995</v>
      </c>
      <c r="P11" s="1" cm="1">
        <f t="array" aca="1" ref="P11" ca="1" xml:space="preserve"> VLOOKUP($A$2,Param_Table,4,FALSE) * OFFSET(INDIRECT(Region_abbr &amp; "!A1"), VLOOKUP($A$2,Param_Table,2,FALSE) + VLOOKUP(P$5,NRG_Table,2,FALSE),$J11+1)</f>
        <v>6.0700000000000003E-6</v>
      </c>
      <c r="Q11" s="1">
        <f t="shared" ca="1" si="2"/>
        <v>1636.5139195900001</v>
      </c>
      <c r="T11">
        <f t="shared" si="3"/>
        <v>6</v>
      </c>
      <c r="U11" s="1">
        <f t="shared" ca="1" si="4"/>
        <v>5.4212790000000011E-2</v>
      </c>
      <c r="V11" s="1">
        <f t="shared" ca="1" si="5"/>
        <v>0.11555110999999996</v>
      </c>
      <c r="W11" s="1">
        <f t="shared" ca="1" si="6"/>
        <v>-5.1262719999999984E-2</v>
      </c>
      <c r="X11" s="1">
        <f t="shared" ca="1" si="7"/>
        <v>69.742335120000007</v>
      </c>
      <c r="Y11" s="1">
        <f t="shared" ca="1" si="8"/>
        <v>-63.397098460000052</v>
      </c>
      <c r="Z11" s="1">
        <f t="shared" ca="1" si="9"/>
        <v>5.2299999999999999E-6</v>
      </c>
      <c r="AA11" s="1">
        <f t="shared" ca="1" si="10"/>
        <v>6.4637430699999641</v>
      </c>
    </row>
    <row r="12" spans="1:27" ht="14.65" x14ac:dyDescent="0.85">
      <c r="J12">
        <f t="shared" si="1"/>
        <v>6</v>
      </c>
      <c r="K12" s="1" cm="1">
        <f t="array" aca="1" ref="K12" ca="1" xml:space="preserve"> VLOOKUP($A$2,Param_Table,4,FALSE) * OFFSET(INDIRECT(Region_abbr &amp; "!A1"), VLOOKUP($A$2,Param_Table,2,FALSE) + VLOOKUP(K$5,NRG_Table,2,FALSE),$J12+1)</f>
        <v>0.63878913000000004</v>
      </c>
      <c r="L12" s="1" cm="1">
        <f t="array" aca="1" ref="L12" ca="1" xml:space="preserve"> VLOOKUP($A$2,Param_Table,4,FALSE) * OFFSET(INDIRECT(Region_abbr &amp; "!A1"), VLOOKUP($A$2,Param_Table,2,FALSE) + VLOOKUP(L$5,NRG_Table,2,FALSE),$J12+1)</f>
        <v>1.5805494199999999</v>
      </c>
      <c r="M12" s="1" cm="1">
        <f t="array" aca="1" ref="M12" ca="1" xml:space="preserve"> VLOOKUP($A$2,Param_Table,4,FALSE) * OFFSET(INDIRECT(Region_abbr &amp; "!A1"), VLOOKUP($A$2,Param_Table,2,FALSE) + VLOOKUP(M$5,NRG_Table,2,FALSE),$J12+1)</f>
        <v>2.0060808199999998</v>
      </c>
      <c r="N12" s="1" cm="1">
        <f t="array" aca="1" ref="N12" ca="1" xml:space="preserve"> VLOOKUP($A$2,Param_Table,4,FALSE) * OFFSET(INDIRECT(Region_abbr &amp; "!A1"), VLOOKUP($A$2,Param_Table,2,FALSE) + VLOOKUP(N$5,NRG_Table,2,FALSE),$J12+1)</f>
        <v>1134.8121338800001</v>
      </c>
      <c r="O12" s="1" cm="1">
        <f t="array" aca="1" ref="O12" ca="1" xml:space="preserve"> VLOOKUP($A$2,Param_Table,4,FALSE) * OFFSET(INDIRECT(Region_abbr &amp; "!A1"), VLOOKUP($A$2,Param_Table,2,FALSE) + VLOOKUP(O$5,NRG_Table,2,FALSE),$J12+1)</f>
        <v>503.94009810999989</v>
      </c>
      <c r="P12" s="1" cm="1">
        <f t="array" aca="1" ref="P12" ca="1" xml:space="preserve"> VLOOKUP($A$2,Param_Table,4,FALSE) * OFFSET(INDIRECT(Region_abbr &amp; "!A1"), VLOOKUP($A$2,Param_Table,2,FALSE) + VLOOKUP(P$5,NRG_Table,2,FALSE),$J12+1)</f>
        <v>1.13E-5</v>
      </c>
      <c r="Q12" s="1">
        <f t="shared" ca="1" si="2"/>
        <v>1642.9776626600001</v>
      </c>
      <c r="T12">
        <f t="shared" si="3"/>
        <v>7</v>
      </c>
      <c r="U12" s="1">
        <f t="shared" ca="1" si="4"/>
        <v>5.721944999999995E-2</v>
      </c>
      <c r="V12" s="1">
        <f t="shared" ca="1" si="5"/>
        <v>0.14311742999999999</v>
      </c>
      <c r="W12" s="1">
        <f t="shared" ca="1" si="6"/>
        <v>-4.8539319999999941E-2</v>
      </c>
      <c r="X12" s="1">
        <f t="shared" ca="1" si="7"/>
        <v>83.626950159999978</v>
      </c>
      <c r="Y12" s="1">
        <f t="shared" ca="1" si="8"/>
        <v>-92.083474489999958</v>
      </c>
      <c r="Z12" s="1">
        <f t="shared" ca="1" si="9"/>
        <v>-1.1800000000000006E-6</v>
      </c>
      <c r="AA12" s="1">
        <f t="shared" ca="1" si="10"/>
        <v>-8.3047279499999149</v>
      </c>
    </row>
    <row r="13" spans="1:27" ht="14.65" x14ac:dyDescent="0.85">
      <c r="J13">
        <f t="shared" si="1"/>
        <v>7</v>
      </c>
      <c r="K13" s="1" cm="1">
        <f t="array" aca="1" ref="K13" ca="1" xml:space="preserve"> VLOOKUP($A$2,Param_Table,4,FALSE) * OFFSET(INDIRECT(Region_abbr &amp; "!A1"), VLOOKUP($A$2,Param_Table,2,FALSE) + VLOOKUP(K$5,NRG_Table,2,FALSE),$J13+1)</f>
        <v>0.69600857999999999</v>
      </c>
      <c r="L13" s="1" cm="1">
        <f t="array" aca="1" ref="L13" ca="1" xml:space="preserve"> VLOOKUP($A$2,Param_Table,4,FALSE) * OFFSET(INDIRECT(Region_abbr &amp; "!A1"), VLOOKUP($A$2,Param_Table,2,FALSE) + VLOOKUP(L$5,NRG_Table,2,FALSE),$J13+1)</f>
        <v>1.7236668499999999</v>
      </c>
      <c r="M13" s="1" cm="1">
        <f t="array" aca="1" ref="M13" ca="1" xml:space="preserve"> VLOOKUP($A$2,Param_Table,4,FALSE) * OFFSET(INDIRECT(Region_abbr &amp; "!A1"), VLOOKUP($A$2,Param_Table,2,FALSE) + VLOOKUP(M$5,NRG_Table,2,FALSE),$J13+1)</f>
        <v>1.9575414999999998</v>
      </c>
      <c r="N13" s="1" cm="1">
        <f t="array" aca="1" ref="N13" ca="1" xml:space="preserve"> VLOOKUP($A$2,Param_Table,4,FALSE) * OFFSET(INDIRECT(Region_abbr &amp; "!A1"), VLOOKUP($A$2,Param_Table,2,FALSE) + VLOOKUP(N$5,NRG_Table,2,FALSE),$J13+1)</f>
        <v>1218.4390840400001</v>
      </c>
      <c r="O13" s="1" cm="1">
        <f t="array" aca="1" ref="O13" ca="1" xml:space="preserve"> VLOOKUP($A$2,Param_Table,4,FALSE) * OFFSET(INDIRECT(Region_abbr &amp; "!A1"), VLOOKUP($A$2,Param_Table,2,FALSE) + VLOOKUP(O$5,NRG_Table,2,FALSE),$J13+1)</f>
        <v>411.85662361999994</v>
      </c>
      <c r="P13" s="1" cm="1">
        <f t="array" aca="1" ref="P13" ca="1" xml:space="preserve"> VLOOKUP($A$2,Param_Table,4,FALSE) * OFFSET(INDIRECT(Region_abbr &amp; "!A1"), VLOOKUP($A$2,Param_Table,2,FALSE) + VLOOKUP(P$5,NRG_Table,2,FALSE),$J13+1)</f>
        <v>1.012E-5</v>
      </c>
      <c r="Q13" s="1">
        <f t="shared" ca="1" si="2"/>
        <v>1634.6729347100002</v>
      </c>
      <c r="T13">
        <f t="shared" si="3"/>
        <v>8</v>
      </c>
      <c r="U13" s="1">
        <f t="shared" ca="1" si="4"/>
        <v>4.1178830000000111E-2</v>
      </c>
      <c r="V13" s="1">
        <f t="shared" ca="1" si="5"/>
        <v>0.20343191000000038</v>
      </c>
      <c r="W13" s="1">
        <f t="shared" ca="1" si="6"/>
        <v>-4.3814529999999685E-2</v>
      </c>
      <c r="X13" s="1">
        <f t="shared" ca="1" si="7"/>
        <v>74.654864489999909</v>
      </c>
      <c r="Y13" s="1">
        <f t="shared" ca="1" si="8"/>
        <v>-86.627800589999936</v>
      </c>
      <c r="Z13" s="1">
        <f t="shared" ca="1" si="9"/>
        <v>2.3080000000000003E-5</v>
      </c>
      <c r="AA13" s="1">
        <f t="shared" ca="1" si="10"/>
        <v>-11.772116810000171</v>
      </c>
    </row>
    <row r="14" spans="1:27" ht="14.65" x14ac:dyDescent="0.85">
      <c r="J14">
        <f t="shared" si="1"/>
        <v>8</v>
      </c>
      <c r="K14" s="1" cm="1">
        <f t="array" aca="1" ref="K14" ca="1" xml:space="preserve"> VLOOKUP($A$2,Param_Table,4,FALSE) * OFFSET(INDIRECT(Region_abbr &amp; "!A1"), VLOOKUP($A$2,Param_Table,2,FALSE) + VLOOKUP(K$5,NRG_Table,2,FALSE),$J14+1)</f>
        <v>0.7371874100000001</v>
      </c>
      <c r="L14" s="1" cm="1">
        <f t="array" aca="1" ref="L14" ca="1" xml:space="preserve"> VLOOKUP($A$2,Param_Table,4,FALSE) * OFFSET(INDIRECT(Region_abbr &amp; "!A1"), VLOOKUP($A$2,Param_Table,2,FALSE) + VLOOKUP(L$5,NRG_Table,2,FALSE),$J14+1)</f>
        <v>1.9270987600000002</v>
      </c>
      <c r="M14" s="1" cm="1">
        <f t="array" aca="1" ref="M14" ca="1" xml:space="preserve"> VLOOKUP($A$2,Param_Table,4,FALSE) * OFFSET(INDIRECT(Region_abbr &amp; "!A1"), VLOOKUP($A$2,Param_Table,2,FALSE) + VLOOKUP(M$5,NRG_Table,2,FALSE),$J14+1)</f>
        <v>1.9137269700000001</v>
      </c>
      <c r="N14" s="1" cm="1">
        <f t="array" aca="1" ref="N14" ca="1" xml:space="preserve"> VLOOKUP($A$2,Param_Table,4,FALSE) * OFFSET(INDIRECT(Region_abbr &amp; "!A1"), VLOOKUP($A$2,Param_Table,2,FALSE) + VLOOKUP(N$5,NRG_Table,2,FALSE),$J14+1)</f>
        <v>1293.09394853</v>
      </c>
      <c r="O14" s="1" cm="1">
        <f t="array" aca="1" ref="O14" ca="1" xml:space="preserve"> VLOOKUP($A$2,Param_Table,4,FALSE) * OFFSET(INDIRECT(Region_abbr &amp; "!A1"), VLOOKUP($A$2,Param_Table,2,FALSE) + VLOOKUP(O$5,NRG_Table,2,FALSE),$J14+1)</f>
        <v>325.22882303</v>
      </c>
      <c r="P14" s="1" cm="1">
        <f t="array" aca="1" ref="P14" ca="1" xml:space="preserve"> VLOOKUP($A$2,Param_Table,4,FALSE) * OFFSET(INDIRECT(Region_abbr &amp; "!A1"), VLOOKUP($A$2,Param_Table,2,FALSE) + VLOOKUP(P$5,NRG_Table,2,FALSE),$J14+1)</f>
        <v>3.3200000000000001E-5</v>
      </c>
      <c r="Q14" s="1">
        <f t="shared" ca="1" si="2"/>
        <v>1622.9008179</v>
      </c>
      <c r="T14">
        <f t="shared" si="3"/>
        <v>9</v>
      </c>
      <c r="U14" s="1">
        <f t="shared" ca="1" si="4"/>
        <v>3.5767369999999965E-2</v>
      </c>
      <c r="V14" s="1">
        <f t="shared" ca="1" si="5"/>
        <v>0.23784298999999987</v>
      </c>
      <c r="W14" s="1">
        <f t="shared" ca="1" si="6"/>
        <v>3.5190999999978878E-4</v>
      </c>
      <c r="X14" s="1">
        <f t="shared" ca="1" si="7"/>
        <v>61.670043369999803</v>
      </c>
      <c r="Y14" s="1">
        <f t="shared" ca="1" si="8"/>
        <v>-81.639596269999998</v>
      </c>
      <c r="Z14" s="1">
        <f t="shared" ca="1" si="9"/>
        <v>-1.0130000000000003E-5</v>
      </c>
      <c r="AA14" s="1">
        <f t="shared" ca="1" si="10"/>
        <v>-19.695600760000161</v>
      </c>
    </row>
    <row r="15" spans="1:27" ht="14.65" x14ac:dyDescent="0.85">
      <c r="J15">
        <f t="shared" si="1"/>
        <v>9</v>
      </c>
      <c r="K15" s="1" cm="1">
        <f t="array" aca="1" ref="K15" ca="1" xml:space="preserve"> VLOOKUP($A$2,Param_Table,4,FALSE) * OFFSET(INDIRECT(Region_abbr &amp; "!A1"), VLOOKUP($A$2,Param_Table,2,FALSE) + VLOOKUP(K$5,NRG_Table,2,FALSE),$J15+1)</f>
        <v>0.77295478000000006</v>
      </c>
      <c r="L15" s="1" cm="1">
        <f t="array" aca="1" ref="L15" ca="1" xml:space="preserve"> VLOOKUP($A$2,Param_Table,4,FALSE) * OFFSET(INDIRECT(Region_abbr &amp; "!A1"), VLOOKUP($A$2,Param_Table,2,FALSE) + VLOOKUP(L$5,NRG_Table,2,FALSE),$J15+1)</f>
        <v>2.1649417500000001</v>
      </c>
      <c r="M15" s="1" cm="1">
        <f t="array" aca="1" ref="M15" ca="1" xml:space="preserve"> VLOOKUP($A$2,Param_Table,4,FALSE) * OFFSET(INDIRECT(Region_abbr &amp; "!A1"), VLOOKUP($A$2,Param_Table,2,FALSE) + VLOOKUP(M$5,NRG_Table,2,FALSE),$J15+1)</f>
        <v>1.9140788799999999</v>
      </c>
      <c r="N15" s="1" cm="1">
        <f t="array" aca="1" ref="N15" ca="1" xml:space="preserve"> VLOOKUP($A$2,Param_Table,4,FALSE) * OFFSET(INDIRECT(Region_abbr &amp; "!A1"), VLOOKUP($A$2,Param_Table,2,FALSE) + VLOOKUP(N$5,NRG_Table,2,FALSE),$J15+1)</f>
        <v>1354.7639918999998</v>
      </c>
      <c r="O15" s="1" cm="1">
        <f t="array" aca="1" ref="O15" ca="1" xml:space="preserve"> VLOOKUP($A$2,Param_Table,4,FALSE) * OFFSET(INDIRECT(Region_abbr &amp; "!A1"), VLOOKUP($A$2,Param_Table,2,FALSE) + VLOOKUP(O$5,NRG_Table,2,FALSE),$J15+1)</f>
        <v>243.58922676</v>
      </c>
      <c r="P15" s="1" cm="1">
        <f t="array" aca="1" ref="P15" ca="1" xml:space="preserve"> VLOOKUP($A$2,Param_Table,4,FALSE) * OFFSET(INDIRECT(Region_abbr &amp; "!A1"), VLOOKUP($A$2,Param_Table,2,FALSE) + VLOOKUP(P$5,NRG_Table,2,FALSE),$J15+1)</f>
        <v>2.3069999999999998E-5</v>
      </c>
      <c r="Q15" s="1">
        <f t="shared" ca="1" si="2"/>
        <v>1603.2052171399998</v>
      </c>
      <c r="T15">
        <f t="shared" si="3"/>
        <v>10</v>
      </c>
      <c r="U15" s="1">
        <f t="shared" ca="1" si="4"/>
        <v>4.6522239999999937E-2</v>
      </c>
      <c r="V15" s="1">
        <f t="shared" ca="1" si="5"/>
        <v>0.24702541</v>
      </c>
      <c r="W15" s="1">
        <f t="shared" ca="1" si="6"/>
        <v>2.2958370000000228E-2</v>
      </c>
      <c r="X15" s="1">
        <f t="shared" ca="1" si="7"/>
        <v>54.980269140000019</v>
      </c>
      <c r="Y15" s="1">
        <f t="shared" ca="1" si="8"/>
        <v>-78.742025960000007</v>
      </c>
      <c r="Z15" s="1">
        <f t="shared" ca="1" si="9"/>
        <v>2.3629999999999999E-5</v>
      </c>
      <c r="AA15" s="1">
        <f t="shared" ca="1" si="10"/>
        <v>-23.445227169999953</v>
      </c>
    </row>
    <row r="16" spans="1:27" ht="14.65" x14ac:dyDescent="0.85">
      <c r="J16">
        <f t="shared" si="1"/>
        <v>10</v>
      </c>
      <c r="K16" s="1" cm="1">
        <f t="array" aca="1" ref="K16" ca="1" xml:space="preserve"> VLOOKUP($A$2,Param_Table,4,FALSE) * OFFSET(INDIRECT(Region_abbr &amp; "!A1"), VLOOKUP($A$2,Param_Table,2,FALSE) + VLOOKUP(K$5,NRG_Table,2,FALSE),$J16+1)</f>
        <v>0.81947702</v>
      </c>
      <c r="L16" s="1" cm="1">
        <f t="array" aca="1" ref="L16" ca="1" xml:space="preserve"> VLOOKUP($A$2,Param_Table,4,FALSE) * OFFSET(INDIRECT(Region_abbr &amp; "!A1"), VLOOKUP($A$2,Param_Table,2,FALSE) + VLOOKUP(L$5,NRG_Table,2,FALSE),$J16+1)</f>
        <v>2.4119671600000001</v>
      </c>
      <c r="M16" s="1" cm="1">
        <f t="array" aca="1" ref="M16" ca="1" xml:space="preserve"> VLOOKUP($A$2,Param_Table,4,FALSE) * OFFSET(INDIRECT(Region_abbr &amp; "!A1"), VLOOKUP($A$2,Param_Table,2,FALSE) + VLOOKUP(M$5,NRG_Table,2,FALSE),$J16+1)</f>
        <v>1.9370372500000002</v>
      </c>
      <c r="N16" s="1" cm="1">
        <f t="array" aca="1" ref="N16" ca="1" xml:space="preserve"> VLOOKUP($A$2,Param_Table,4,FALSE) * OFFSET(INDIRECT(Region_abbr &amp; "!A1"), VLOOKUP($A$2,Param_Table,2,FALSE) + VLOOKUP(N$5,NRG_Table,2,FALSE),$J16+1)</f>
        <v>1409.7442610399999</v>
      </c>
      <c r="O16" s="1" cm="1">
        <f t="array" aca="1" ref="O16" ca="1" xml:space="preserve"> VLOOKUP($A$2,Param_Table,4,FALSE) * OFFSET(INDIRECT(Region_abbr &amp; "!A1"), VLOOKUP($A$2,Param_Table,2,FALSE) + VLOOKUP(O$5,NRG_Table,2,FALSE),$J16+1)</f>
        <v>164.8472008</v>
      </c>
      <c r="P16" s="1" cm="1">
        <f t="array" aca="1" ref="P16" ca="1" xml:space="preserve"> VLOOKUP($A$2,Param_Table,4,FALSE) * OFFSET(INDIRECT(Region_abbr &amp; "!A1"), VLOOKUP($A$2,Param_Table,2,FALSE) + VLOOKUP(P$5,NRG_Table,2,FALSE),$J16+1)</f>
        <v>4.6699999999999997E-5</v>
      </c>
      <c r="Q16" s="1">
        <f t="shared" ca="1" si="2"/>
        <v>1579.7599899699999</v>
      </c>
      <c r="T16">
        <f t="shared" si="3"/>
        <v>11</v>
      </c>
      <c r="U16" s="1">
        <f t="shared" ca="1" si="4"/>
        <v>7.6359939999999793E-2</v>
      </c>
      <c r="V16" s="1">
        <f t="shared" ca="1" si="5"/>
        <v>0.25650584999999992</v>
      </c>
      <c r="W16" s="1">
        <f t="shared" ca="1" si="6"/>
        <v>0.38969057000000018</v>
      </c>
      <c r="X16" s="1">
        <f t="shared" ca="1" si="7"/>
        <v>1.9106883100000687</v>
      </c>
      <c r="Y16" s="1">
        <f t="shared" ca="1" si="8"/>
        <v>-95.415218699999997</v>
      </c>
      <c r="Z16" s="1">
        <f t="shared" ca="1" si="9"/>
        <v>9.3999999999999981E-6</v>
      </c>
      <c r="AA16" s="1">
        <f t="shared" ca="1" si="10"/>
        <v>-92.781964630000175</v>
      </c>
    </row>
    <row r="17" spans="10:27" ht="14.65" x14ac:dyDescent="0.85">
      <c r="J17">
        <f t="shared" si="1"/>
        <v>11</v>
      </c>
      <c r="K17" s="1" cm="1">
        <f t="array" aca="1" ref="K17" ca="1" xml:space="preserve"> VLOOKUP($A$2,Param_Table,4,FALSE) * OFFSET(INDIRECT(Region_abbr &amp; "!A1"), VLOOKUP($A$2,Param_Table,2,FALSE) + VLOOKUP(K$5,NRG_Table,2,FALSE),$J17+1)</f>
        <v>0.89583695999999979</v>
      </c>
      <c r="L17" s="1" cm="1">
        <f t="array" aca="1" ref="L17" ca="1" xml:space="preserve"> VLOOKUP($A$2,Param_Table,4,FALSE) * OFFSET(INDIRECT(Region_abbr &amp; "!A1"), VLOOKUP($A$2,Param_Table,2,FALSE) + VLOOKUP(L$5,NRG_Table,2,FALSE),$J17+1)</f>
        <v>2.66847301</v>
      </c>
      <c r="M17" s="1" cm="1">
        <f t="array" aca="1" ref="M17" ca="1" xml:space="preserve"> VLOOKUP($A$2,Param_Table,4,FALSE) * OFFSET(INDIRECT(Region_abbr &amp; "!A1"), VLOOKUP($A$2,Param_Table,2,FALSE) + VLOOKUP(M$5,NRG_Table,2,FALSE),$J17+1)</f>
        <v>2.3267278200000003</v>
      </c>
      <c r="N17" s="1" cm="1">
        <f t="array" aca="1" ref="N17" ca="1" xml:space="preserve"> VLOOKUP($A$2,Param_Table,4,FALSE) * OFFSET(INDIRECT(Region_abbr &amp; "!A1"), VLOOKUP($A$2,Param_Table,2,FALSE) + VLOOKUP(N$5,NRG_Table,2,FALSE),$J17+1)</f>
        <v>1411.6549493499999</v>
      </c>
      <c r="O17" s="1" cm="1">
        <f t="array" aca="1" ref="O17" ca="1" xml:space="preserve"> VLOOKUP($A$2,Param_Table,4,FALSE) * OFFSET(INDIRECT(Region_abbr &amp; "!A1"), VLOOKUP($A$2,Param_Table,2,FALSE) + VLOOKUP(O$5,NRG_Table,2,FALSE),$J17+1)</f>
        <v>69.431982099999999</v>
      </c>
      <c r="P17" s="1" cm="1">
        <f t="array" aca="1" ref="P17" ca="1" xml:space="preserve"> VLOOKUP($A$2,Param_Table,4,FALSE) * OFFSET(INDIRECT(Region_abbr &amp; "!A1"), VLOOKUP($A$2,Param_Table,2,FALSE) + VLOOKUP(P$5,NRG_Table,2,FALSE),$J17+1)</f>
        <v>5.6099999999999995E-5</v>
      </c>
      <c r="Q17" s="1">
        <f t="shared" ca="1" si="2"/>
        <v>1486.9780253399997</v>
      </c>
      <c r="T17">
        <f t="shared" si="3"/>
        <v>12</v>
      </c>
      <c r="U17" s="1">
        <f t="shared" ca="1" si="4"/>
        <v>0.12052416999999993</v>
      </c>
      <c r="V17" s="1">
        <f t="shared" ca="1" si="5"/>
        <v>0.26848779</v>
      </c>
      <c r="W17" s="1">
        <f t="shared" ca="1" si="6"/>
        <v>0.36923554000000003</v>
      </c>
      <c r="X17" s="1">
        <f t="shared" ca="1" si="7"/>
        <v>-28.996001700000079</v>
      </c>
      <c r="Y17" s="1">
        <f t="shared" ca="1" si="8"/>
        <v>-45.394897920000005</v>
      </c>
      <c r="Z17" s="1">
        <f t="shared" ca="1" si="9"/>
        <v>-8.2700000000000004E-6</v>
      </c>
      <c r="AA17" s="1">
        <f t="shared" ca="1" si="10"/>
        <v>-73.632660389999728</v>
      </c>
    </row>
    <row r="18" spans="10:27" ht="14.65" x14ac:dyDescent="0.85">
      <c r="J18">
        <f t="shared" si="1"/>
        <v>12</v>
      </c>
      <c r="K18" s="1" cm="1">
        <f t="array" aca="1" ref="K18" ca="1" xml:space="preserve"> VLOOKUP($A$2,Param_Table,4,FALSE) * OFFSET(INDIRECT(Region_abbr &amp; "!A1"), VLOOKUP($A$2,Param_Table,2,FALSE) + VLOOKUP(K$5,NRG_Table,2,FALSE),$J18+1)</f>
        <v>1.0163611299999997</v>
      </c>
      <c r="L18" s="1" cm="1">
        <f t="array" aca="1" ref="L18" ca="1" xml:space="preserve"> VLOOKUP($A$2,Param_Table,4,FALSE) * OFFSET(INDIRECT(Region_abbr &amp; "!A1"), VLOOKUP($A$2,Param_Table,2,FALSE) + VLOOKUP(L$5,NRG_Table,2,FALSE),$J18+1)</f>
        <v>2.9369608</v>
      </c>
      <c r="M18" s="1" cm="1">
        <f t="array" aca="1" ref="M18" ca="1" xml:space="preserve"> VLOOKUP($A$2,Param_Table,4,FALSE) * OFFSET(INDIRECT(Region_abbr &amp; "!A1"), VLOOKUP($A$2,Param_Table,2,FALSE) + VLOOKUP(M$5,NRG_Table,2,FALSE),$J18+1)</f>
        <v>2.6959633600000004</v>
      </c>
      <c r="N18" s="1" cm="1">
        <f t="array" aca="1" ref="N18" ca="1" xml:space="preserve"> VLOOKUP($A$2,Param_Table,4,FALSE) * OFFSET(INDIRECT(Region_abbr &amp; "!A1"), VLOOKUP($A$2,Param_Table,2,FALSE) + VLOOKUP(N$5,NRG_Table,2,FALSE),$J18+1)</f>
        <v>1382.6589476499998</v>
      </c>
      <c r="O18" s="1" cm="1">
        <f t="array" aca="1" ref="O18" ca="1" xml:space="preserve"> VLOOKUP($A$2,Param_Table,4,FALSE) * OFFSET(INDIRECT(Region_abbr &amp; "!A1"), VLOOKUP($A$2,Param_Table,2,FALSE) + VLOOKUP(O$5,NRG_Table,2,FALSE),$J18+1)</f>
        <v>24.037084179999997</v>
      </c>
      <c r="P18" s="1" cm="1">
        <f t="array" aca="1" ref="P18" ca="1" xml:space="preserve"> VLOOKUP($A$2,Param_Table,4,FALSE) * OFFSET(INDIRECT(Region_abbr &amp; "!A1"), VLOOKUP($A$2,Param_Table,2,FALSE) + VLOOKUP(P$5,NRG_Table,2,FALSE),$J18+1)</f>
        <v>4.7829999999999994E-5</v>
      </c>
      <c r="Q18" s="1">
        <f t="shared" ca="1" si="2"/>
        <v>1413.34536495</v>
      </c>
      <c r="T18">
        <f t="shared" si="3"/>
        <v>13</v>
      </c>
      <c r="U18" s="1">
        <f t="shared" ca="1" si="4"/>
        <v>0.10417210000000021</v>
      </c>
      <c r="V18" s="1">
        <f t="shared" ca="1" si="5"/>
        <v>0.27847277999999998</v>
      </c>
      <c r="W18" s="1">
        <f t="shared" ca="1" si="6"/>
        <v>0.49821550999999964</v>
      </c>
      <c r="X18" s="1">
        <f t="shared" ca="1" si="7"/>
        <v>-60.977661449999687</v>
      </c>
      <c r="Y18" s="1">
        <f t="shared" ca="1" si="8"/>
        <v>-22.592588479999996</v>
      </c>
      <c r="Z18" s="1">
        <f t="shared" ca="1" si="9"/>
        <v>-9.4999999999999599E-7</v>
      </c>
      <c r="AA18" s="1">
        <f t="shared" ca="1" si="10"/>
        <v>-82.689390489999823</v>
      </c>
    </row>
    <row r="19" spans="10:27" ht="14.65" x14ac:dyDescent="0.85">
      <c r="J19">
        <f t="shared" si="1"/>
        <v>13</v>
      </c>
      <c r="K19" s="1" cm="1">
        <f t="array" aca="1" ref="K19" ca="1" xml:space="preserve"> VLOOKUP($A$2,Param_Table,4,FALSE) * OFFSET(INDIRECT(Region_abbr &amp; "!A1"), VLOOKUP($A$2,Param_Table,2,FALSE) + VLOOKUP(K$5,NRG_Table,2,FALSE),$J19+1)</f>
        <v>1.1205332299999999</v>
      </c>
      <c r="L19" s="1" cm="1">
        <f t="array" aca="1" ref="L19" ca="1" xml:space="preserve"> VLOOKUP($A$2,Param_Table,4,FALSE) * OFFSET(INDIRECT(Region_abbr &amp; "!A1"), VLOOKUP($A$2,Param_Table,2,FALSE) + VLOOKUP(L$5,NRG_Table,2,FALSE),$J19+1)</f>
        <v>3.21543358</v>
      </c>
      <c r="M19" s="1" cm="1">
        <f t="array" aca="1" ref="M19" ca="1" xml:space="preserve"> VLOOKUP($A$2,Param_Table,4,FALSE) * OFFSET(INDIRECT(Region_abbr &amp; "!A1"), VLOOKUP($A$2,Param_Table,2,FALSE) + VLOOKUP(M$5,NRG_Table,2,FALSE),$J19+1)</f>
        <v>3.19417887</v>
      </c>
      <c r="N19" s="1" cm="1">
        <f t="array" aca="1" ref="N19" ca="1" xml:space="preserve"> VLOOKUP($A$2,Param_Table,4,FALSE) * OFFSET(INDIRECT(Region_abbr &amp; "!A1"), VLOOKUP($A$2,Param_Table,2,FALSE) + VLOOKUP(N$5,NRG_Table,2,FALSE),$J19+1)</f>
        <v>1321.6812862000002</v>
      </c>
      <c r="O19" s="1" cm="1">
        <f t="array" aca="1" ref="O19" ca="1" xml:space="preserve"> VLOOKUP($A$2,Param_Table,4,FALSE) * OFFSET(INDIRECT(Region_abbr &amp; "!A1"), VLOOKUP($A$2,Param_Table,2,FALSE) + VLOOKUP(O$5,NRG_Table,2,FALSE),$J19+1)</f>
        <v>1.4444956999999998</v>
      </c>
      <c r="P19" s="1" cm="1">
        <f t="array" aca="1" ref="P19" ca="1" xml:space="preserve"> VLOOKUP($A$2,Param_Table,4,FALSE) * OFFSET(INDIRECT(Region_abbr &amp; "!A1"), VLOOKUP($A$2,Param_Table,2,FALSE) + VLOOKUP(P$5,NRG_Table,2,FALSE),$J19+1)</f>
        <v>4.6879999999999998E-5</v>
      </c>
      <c r="Q19" s="1">
        <f t="shared" ca="1" si="2"/>
        <v>1330.6559744600002</v>
      </c>
      <c r="T19">
        <f t="shared" si="3"/>
        <v>14</v>
      </c>
      <c r="U19" s="1">
        <f t="shared" ca="1" si="4"/>
        <v>0.1087714700000002</v>
      </c>
      <c r="V19" s="1">
        <f t="shared" ca="1" si="5"/>
        <v>0.28756957000000005</v>
      </c>
      <c r="W19" s="1">
        <f t="shared" ca="1" si="6"/>
        <v>0.49341368999999968</v>
      </c>
      <c r="X19" s="1">
        <f t="shared" ca="1" si="7"/>
        <v>-71.967316500000152</v>
      </c>
      <c r="Y19" s="1">
        <f t="shared" ca="1" si="8"/>
        <v>-1.2719575599999997</v>
      </c>
      <c r="Z19" s="1">
        <f t="shared" ca="1" si="9"/>
        <v>-6.9799999999999975E-6</v>
      </c>
      <c r="AA19" s="1">
        <f t="shared" ca="1" si="10"/>
        <v>-72.349526310000101</v>
      </c>
    </row>
    <row r="20" spans="10:27" ht="14.65" x14ac:dyDescent="0.85">
      <c r="J20">
        <f t="shared" si="1"/>
        <v>14</v>
      </c>
      <c r="K20" s="1" cm="1">
        <f t="array" aca="1" ref="K20" ca="1" xml:space="preserve"> VLOOKUP($A$2,Param_Table,4,FALSE) * OFFSET(INDIRECT(Region_abbr &amp; "!A1"), VLOOKUP($A$2,Param_Table,2,FALSE) + VLOOKUP(K$5,NRG_Table,2,FALSE),$J20+1)</f>
        <v>1.2293047000000001</v>
      </c>
      <c r="L20" s="1" cm="1">
        <f t="array" aca="1" ref="L20" ca="1" xml:space="preserve"> VLOOKUP($A$2,Param_Table,4,FALSE) * OFFSET(INDIRECT(Region_abbr &amp; "!A1"), VLOOKUP($A$2,Param_Table,2,FALSE) + VLOOKUP(L$5,NRG_Table,2,FALSE),$J20+1)</f>
        <v>3.5030031500000001</v>
      </c>
      <c r="M20" s="1" cm="1">
        <f t="array" aca="1" ref="M20" ca="1" xml:space="preserve"> VLOOKUP($A$2,Param_Table,4,FALSE) * OFFSET(INDIRECT(Region_abbr &amp; "!A1"), VLOOKUP($A$2,Param_Table,2,FALSE) + VLOOKUP(M$5,NRG_Table,2,FALSE),$J20+1)</f>
        <v>3.6875925599999997</v>
      </c>
      <c r="N20" s="1" cm="1">
        <f t="array" aca="1" ref="N20" ca="1" xml:space="preserve"> VLOOKUP($A$2,Param_Table,4,FALSE) * OFFSET(INDIRECT(Region_abbr &amp; "!A1"), VLOOKUP($A$2,Param_Table,2,FALSE) + VLOOKUP(N$5,NRG_Table,2,FALSE),$J20+1)</f>
        <v>1249.7139697</v>
      </c>
      <c r="O20" s="1" cm="1">
        <f t="array" aca="1" ref="O20" ca="1" xml:space="preserve"> VLOOKUP($A$2,Param_Table,4,FALSE) * OFFSET(INDIRECT(Region_abbr &amp; "!A1"), VLOOKUP($A$2,Param_Table,2,FALSE) + VLOOKUP(O$5,NRG_Table,2,FALSE),$J20+1)</f>
        <v>0.17253814000000001</v>
      </c>
      <c r="P20" s="1" cm="1">
        <f t="array" aca="1" ref="P20" ca="1" xml:space="preserve"> VLOOKUP($A$2,Param_Table,4,FALSE) * OFFSET(INDIRECT(Region_abbr &amp; "!A1"), VLOOKUP($A$2,Param_Table,2,FALSE) + VLOOKUP(P$5,NRG_Table,2,FALSE),$J20+1)</f>
        <v>3.9900000000000001E-5</v>
      </c>
      <c r="Q20" s="1">
        <f t="shared" ca="1" si="2"/>
        <v>1258.3064481500001</v>
      </c>
      <c r="T20">
        <f t="shared" si="3"/>
        <v>15</v>
      </c>
      <c r="U20" s="1">
        <f t="shared" ca="1" si="4"/>
        <v>0.14112258</v>
      </c>
      <c r="V20" s="1">
        <f t="shared" ca="1" si="5"/>
        <v>0.29551640000000035</v>
      </c>
      <c r="W20" s="1">
        <f t="shared" ca="1" si="6"/>
        <v>0.64905134000000064</v>
      </c>
      <c r="X20" s="1">
        <f t="shared" ca="1" si="7"/>
        <v>-98.76979525999991</v>
      </c>
      <c r="Y20" s="1">
        <f t="shared" ca="1" si="8"/>
        <v>-4.3176099999999995E-3</v>
      </c>
      <c r="Z20" s="1">
        <f t="shared" ca="1" si="9"/>
        <v>1.0099999999999988E-6</v>
      </c>
      <c r="AA20" s="1">
        <f t="shared" ca="1" si="10"/>
        <v>-97.688421539999808</v>
      </c>
    </row>
    <row r="21" spans="10:27" ht="14.65" x14ac:dyDescent="0.85">
      <c r="J21">
        <f t="shared" si="1"/>
        <v>15</v>
      </c>
      <c r="K21" s="1" cm="1">
        <f t="array" aca="1" ref="K21" ca="1" xml:space="preserve"> VLOOKUP($A$2,Param_Table,4,FALSE) * OFFSET(INDIRECT(Region_abbr &amp; "!A1"), VLOOKUP($A$2,Param_Table,2,FALSE) + VLOOKUP(K$5,NRG_Table,2,FALSE),$J21+1)</f>
        <v>1.3704272800000001</v>
      </c>
      <c r="L21" s="1" cm="1">
        <f t="array" aca="1" ref="L21" ca="1" xml:space="preserve"> VLOOKUP($A$2,Param_Table,4,FALSE) * OFFSET(INDIRECT(Region_abbr &amp; "!A1"), VLOOKUP($A$2,Param_Table,2,FALSE) + VLOOKUP(L$5,NRG_Table,2,FALSE),$J21+1)</f>
        <v>3.7985195500000004</v>
      </c>
      <c r="M21" s="1" cm="1">
        <f t="array" aca="1" ref="M21" ca="1" xml:space="preserve"> VLOOKUP($A$2,Param_Table,4,FALSE) * OFFSET(INDIRECT(Region_abbr &amp; "!A1"), VLOOKUP($A$2,Param_Table,2,FALSE) + VLOOKUP(M$5,NRG_Table,2,FALSE),$J21+1)</f>
        <v>4.3366439000000003</v>
      </c>
      <c r="N21" s="1" cm="1">
        <f t="array" aca="1" ref="N21" ca="1" xml:space="preserve"> VLOOKUP($A$2,Param_Table,4,FALSE) * OFFSET(INDIRECT(Region_abbr &amp; "!A1"), VLOOKUP($A$2,Param_Table,2,FALSE) + VLOOKUP(N$5,NRG_Table,2,FALSE),$J21+1)</f>
        <v>1150.9441744400001</v>
      </c>
      <c r="O21" s="1" cm="1">
        <f t="array" aca="1" ref="O21" ca="1" xml:space="preserve"> VLOOKUP($A$2,Param_Table,4,FALSE) * OFFSET(INDIRECT(Region_abbr &amp; "!A1"), VLOOKUP($A$2,Param_Table,2,FALSE) + VLOOKUP(O$5,NRG_Table,2,FALSE),$J21+1)</f>
        <v>0.16822053000000001</v>
      </c>
      <c r="P21" s="1" cm="1">
        <f t="array" aca="1" ref="P21" ca="1" xml:space="preserve"> VLOOKUP($A$2,Param_Table,4,FALSE) * OFFSET(INDIRECT(Region_abbr &amp; "!A1"), VLOOKUP($A$2,Param_Table,2,FALSE) + VLOOKUP(P$5,NRG_Table,2,FALSE),$J21+1)</f>
        <v>4.091E-5</v>
      </c>
      <c r="Q21" s="1">
        <f t="shared" ca="1" si="2"/>
        <v>1160.6180266100002</v>
      </c>
      <c r="T21">
        <f t="shared" si="3"/>
        <v>16</v>
      </c>
      <c r="U21" s="1">
        <f t="shared" ca="1" si="4"/>
        <v>0.1301270000000001</v>
      </c>
      <c r="V21" s="1">
        <f t="shared" ca="1" si="5"/>
        <v>0.30597845999999995</v>
      </c>
      <c r="W21" s="1">
        <f t="shared" ca="1" si="6"/>
        <v>0.6668643999999988</v>
      </c>
      <c r="X21" s="1">
        <f t="shared" ca="1" si="7"/>
        <v>-97.236568150000267</v>
      </c>
      <c r="Y21" s="1">
        <f t="shared" ca="1" si="8"/>
        <v>-4.2055200000000181E-3</v>
      </c>
      <c r="Z21" s="1">
        <f t="shared" ca="1" si="9"/>
        <v>6.1400000000000056E-6</v>
      </c>
      <c r="AA21" s="1">
        <f t="shared" ca="1" si="10"/>
        <v>-96.137797670000509</v>
      </c>
    </row>
    <row r="22" spans="10:27" x14ac:dyDescent="0.85">
      <c r="J22">
        <f t="shared" si="1"/>
        <v>16</v>
      </c>
      <c r="K22" s="1" cm="1">
        <f t="array" aca="1" ref="K22" ca="1" xml:space="preserve"> VLOOKUP($A$2,Param_Table,4,FALSE) * OFFSET(INDIRECT(Region_abbr &amp; "!A1"), VLOOKUP($A$2,Param_Table,2,FALSE) + VLOOKUP(K$5,NRG_Table,2,FALSE),$J22+1)</f>
        <v>1.5005542800000002</v>
      </c>
      <c r="L22" s="1" cm="1">
        <f t="array" aca="1" ref="L22" ca="1" xml:space="preserve"> VLOOKUP($A$2,Param_Table,4,FALSE) * OFFSET(INDIRECT(Region_abbr &amp; "!A1"), VLOOKUP($A$2,Param_Table,2,FALSE) + VLOOKUP(L$5,NRG_Table,2,FALSE),$J22+1)</f>
        <v>4.1044980100000004</v>
      </c>
      <c r="M22" s="1" cm="1">
        <f t="array" aca="1" ref="M22" ca="1" xml:space="preserve"> VLOOKUP($A$2,Param_Table,4,FALSE) * OFFSET(INDIRECT(Region_abbr &amp; "!A1"), VLOOKUP($A$2,Param_Table,2,FALSE) + VLOOKUP(M$5,NRG_Table,2,FALSE),$J22+1)</f>
        <v>5.0035082999999991</v>
      </c>
      <c r="N22" s="1" cm="1">
        <f t="array" aca="1" ref="N22" ca="1" xml:space="preserve"> VLOOKUP($A$2,Param_Table,4,FALSE) * OFFSET(INDIRECT(Region_abbr &amp; "!A1"), VLOOKUP($A$2,Param_Table,2,FALSE) + VLOOKUP(N$5,NRG_Table,2,FALSE),$J22+1)</f>
        <v>1053.7076062899998</v>
      </c>
      <c r="O22" s="1" cm="1">
        <f t="array" aca="1" ref="O22" ca="1" xml:space="preserve"> VLOOKUP($A$2,Param_Table,4,FALSE) * OFFSET(INDIRECT(Region_abbr &amp; "!A1"), VLOOKUP($A$2,Param_Table,2,FALSE) + VLOOKUP(O$5,NRG_Table,2,FALSE),$J22+1)</f>
        <v>0.16401500999999999</v>
      </c>
      <c r="P22" s="1" cm="1">
        <f t="array" aca="1" ref="P22" ca="1" xml:space="preserve"> VLOOKUP($A$2,Param_Table,4,FALSE) * OFFSET(INDIRECT(Region_abbr &amp; "!A1"), VLOOKUP($A$2,Param_Table,2,FALSE) + VLOOKUP(P$5,NRG_Table,2,FALSE),$J22+1)</f>
        <v>4.7050000000000005E-5</v>
      </c>
      <c r="Q22" s="1">
        <f t="shared" ca="1" si="2"/>
        <v>1064.4802289399997</v>
      </c>
      <c r="T22">
        <f t="shared" si="3"/>
        <v>17</v>
      </c>
      <c r="U22" s="1">
        <f t="shared" ca="1" si="4"/>
        <v>0.11525103999999953</v>
      </c>
      <c r="V22" s="1">
        <f t="shared" ca="1" si="5"/>
        <v>0.31594673000000029</v>
      </c>
      <c r="W22" s="1">
        <f t="shared" ca="1" si="6"/>
        <v>0.68637390000000131</v>
      </c>
      <c r="X22" s="1">
        <f t="shared" ca="1" si="7"/>
        <v>-94.165110109999773</v>
      </c>
      <c r="Y22" s="1">
        <f t="shared" ca="1" si="8"/>
        <v>-4.1024199999999955E-3</v>
      </c>
      <c r="Z22" s="1">
        <f t="shared" ca="1" si="9"/>
        <v>3.6999999999999815E-7</v>
      </c>
      <c r="AA22" s="1">
        <f t="shared" ca="1" si="10"/>
        <v>-93.051640489999727</v>
      </c>
    </row>
    <row r="23" spans="10:27" x14ac:dyDescent="0.85">
      <c r="J23">
        <f t="shared" si="1"/>
        <v>17</v>
      </c>
      <c r="K23" s="1" cm="1">
        <f t="array" aca="1" ref="K23" ca="1" xml:space="preserve"> VLOOKUP($A$2,Param_Table,4,FALSE) * OFFSET(INDIRECT(Region_abbr &amp; "!A1"), VLOOKUP($A$2,Param_Table,2,FALSE) + VLOOKUP(K$5,NRG_Table,2,FALSE),$J23+1)</f>
        <v>1.6158053199999998</v>
      </c>
      <c r="L23" s="1" cm="1">
        <f t="array" aca="1" ref="L23" ca="1" xml:space="preserve"> VLOOKUP($A$2,Param_Table,4,FALSE) * OFFSET(INDIRECT(Region_abbr &amp; "!A1"), VLOOKUP($A$2,Param_Table,2,FALSE) + VLOOKUP(L$5,NRG_Table,2,FALSE),$J23+1)</f>
        <v>4.4204447400000006</v>
      </c>
      <c r="M23" s="1" cm="1">
        <f t="array" aca="1" ref="M23" ca="1" xml:space="preserve"> VLOOKUP($A$2,Param_Table,4,FALSE) * OFFSET(INDIRECT(Region_abbr &amp; "!A1"), VLOOKUP($A$2,Param_Table,2,FALSE) + VLOOKUP(M$5,NRG_Table,2,FALSE),$J23+1)</f>
        <v>5.6898822000000004</v>
      </c>
      <c r="N23" s="1" cm="1">
        <f t="array" aca="1" ref="N23" ca="1" xml:space="preserve"> VLOOKUP($A$2,Param_Table,4,FALSE) * OFFSET(INDIRECT(Region_abbr &amp; "!A1"), VLOOKUP($A$2,Param_Table,2,FALSE) + VLOOKUP(N$5,NRG_Table,2,FALSE),$J23+1)</f>
        <v>959.54249618000006</v>
      </c>
      <c r="O23" s="1" cm="1">
        <f t="array" aca="1" ref="O23" ca="1" xml:space="preserve"> VLOOKUP($A$2,Param_Table,4,FALSE) * OFFSET(INDIRECT(Region_abbr &amp; "!A1"), VLOOKUP($A$2,Param_Table,2,FALSE) + VLOOKUP(O$5,NRG_Table,2,FALSE),$J23+1)</f>
        <v>0.15991258999999999</v>
      </c>
      <c r="P23" s="1" cm="1">
        <f t="array" aca="1" ref="P23" ca="1" xml:space="preserve"> VLOOKUP($A$2,Param_Table,4,FALSE) * OFFSET(INDIRECT(Region_abbr &amp; "!A1"), VLOOKUP($A$2,Param_Table,2,FALSE) + VLOOKUP(P$5,NRG_Table,2,FALSE),$J23+1)</f>
        <v>4.7420000000000003E-5</v>
      </c>
      <c r="Q23" s="1">
        <f t="shared" ca="1" si="2"/>
        <v>971.42858845000001</v>
      </c>
      <c r="T23">
        <f t="shared" si="3"/>
        <v>18</v>
      </c>
      <c r="U23" s="1">
        <f t="shared" ca="1" si="4"/>
        <v>0.1105189000000002</v>
      </c>
      <c r="V23" s="1">
        <f t="shared" ca="1" si="5"/>
        <v>0.32535537999999953</v>
      </c>
      <c r="W23" s="1">
        <f t="shared" ca="1" si="6"/>
        <v>0.70748491999999974</v>
      </c>
      <c r="X23" s="1">
        <f t="shared" ca="1" si="7"/>
        <v>-91.630727449999995</v>
      </c>
      <c r="Y23" s="1">
        <f t="shared" ca="1" si="8"/>
        <v>-3.998019999999991E-3</v>
      </c>
      <c r="Z23" s="1">
        <f t="shared" ca="1" si="9"/>
        <v>2.0229999999999988E-5</v>
      </c>
      <c r="AA23" s="1">
        <f t="shared" ca="1" si="10"/>
        <v>-90.491346039999939</v>
      </c>
    </row>
    <row r="24" spans="10:27" x14ac:dyDescent="0.85">
      <c r="J24">
        <f t="shared" si="1"/>
        <v>18</v>
      </c>
      <c r="K24" s="1" cm="1">
        <f t="array" aca="1" ref="K24" ca="1" xml:space="preserve"> VLOOKUP($A$2,Param_Table,4,FALSE) * OFFSET(INDIRECT(Region_abbr &amp; "!A1"), VLOOKUP($A$2,Param_Table,2,FALSE) + VLOOKUP(K$5,NRG_Table,2,FALSE),$J24+1)</f>
        <v>1.72632422</v>
      </c>
      <c r="L24" s="1" cm="1">
        <f t="array" aca="1" ref="L24" ca="1" xml:space="preserve"> VLOOKUP($A$2,Param_Table,4,FALSE) * OFFSET(INDIRECT(Region_abbr &amp; "!A1"), VLOOKUP($A$2,Param_Table,2,FALSE) + VLOOKUP(L$5,NRG_Table,2,FALSE),$J24+1)</f>
        <v>4.7458001200000002</v>
      </c>
      <c r="M24" s="1" cm="1">
        <f t="array" aca="1" ref="M24" ca="1" xml:space="preserve"> VLOOKUP($A$2,Param_Table,4,FALSE) * OFFSET(INDIRECT(Region_abbr &amp; "!A1"), VLOOKUP($A$2,Param_Table,2,FALSE) + VLOOKUP(M$5,NRG_Table,2,FALSE),$J24+1)</f>
        <v>6.3973671200000002</v>
      </c>
      <c r="N24" s="1" cm="1">
        <f t="array" aca="1" ref="N24" ca="1" xml:space="preserve"> VLOOKUP($A$2,Param_Table,4,FALSE) * OFFSET(INDIRECT(Region_abbr &amp; "!A1"), VLOOKUP($A$2,Param_Table,2,FALSE) + VLOOKUP(N$5,NRG_Table,2,FALSE),$J24+1)</f>
        <v>867.91176873000006</v>
      </c>
      <c r="O24" s="1" cm="1">
        <f t="array" aca="1" ref="O24" ca="1" xml:space="preserve"> VLOOKUP($A$2,Param_Table,4,FALSE) * OFFSET(INDIRECT(Region_abbr &amp; "!A1"), VLOOKUP($A$2,Param_Table,2,FALSE) + VLOOKUP(O$5,NRG_Table,2,FALSE),$J24+1)</f>
        <v>0.15591457</v>
      </c>
      <c r="P24" s="1" cm="1">
        <f t="array" aca="1" ref="P24" ca="1" xml:space="preserve"> VLOOKUP($A$2,Param_Table,4,FALSE) * OFFSET(INDIRECT(Region_abbr &amp; "!A1"), VLOOKUP($A$2,Param_Table,2,FALSE) + VLOOKUP(P$5,NRG_Table,2,FALSE),$J24+1)</f>
        <v>6.7649999999999991E-5</v>
      </c>
      <c r="Q24" s="1">
        <f t="shared" ca="1" si="2"/>
        <v>880.93724241000007</v>
      </c>
      <c r="T24">
        <f t="shared" si="3"/>
        <v>19</v>
      </c>
      <c r="U24" s="1">
        <f t="shared" ca="1" si="4"/>
        <v>0.11499586000000006</v>
      </c>
      <c r="V24" s="1">
        <f t="shared" ca="1" si="5"/>
        <v>0.33433354999999931</v>
      </c>
      <c r="W24" s="1">
        <f t="shared" ca="1" si="6"/>
        <v>0.6762315000000001</v>
      </c>
      <c r="X24" s="1">
        <f t="shared" ca="1" si="7"/>
        <v>-82.70984288000011</v>
      </c>
      <c r="Y24" s="1">
        <f t="shared" ca="1" si="8"/>
        <v>-3.897860000000003E-3</v>
      </c>
      <c r="Z24" s="1">
        <f t="shared" ca="1" si="9"/>
        <v>-2.3699999999999926E-6</v>
      </c>
      <c r="AA24" s="1">
        <f t="shared" ca="1" si="10"/>
        <v>-81.588182200000119</v>
      </c>
    </row>
    <row r="25" spans="10:27" x14ac:dyDescent="0.85">
      <c r="J25">
        <f t="shared" si="1"/>
        <v>19</v>
      </c>
      <c r="K25" s="1" cm="1">
        <f t="array" aca="1" ref="K25" ca="1" xml:space="preserve"> VLOOKUP($A$2,Param_Table,4,FALSE) * OFFSET(INDIRECT(Region_abbr &amp; "!A1"), VLOOKUP($A$2,Param_Table,2,FALSE) + VLOOKUP(K$5,NRG_Table,2,FALSE),$J25+1)</f>
        <v>1.84132008</v>
      </c>
      <c r="L25" s="1" cm="1">
        <f t="array" aca="1" ref="L25" ca="1" xml:space="preserve"> VLOOKUP($A$2,Param_Table,4,FALSE) * OFFSET(INDIRECT(Region_abbr &amp; "!A1"), VLOOKUP($A$2,Param_Table,2,FALSE) + VLOOKUP(L$5,NRG_Table,2,FALSE),$J25+1)</f>
        <v>5.0801336699999995</v>
      </c>
      <c r="M25" s="1" cm="1">
        <f t="array" aca="1" ref="M25" ca="1" xml:space="preserve"> VLOOKUP($A$2,Param_Table,4,FALSE) * OFFSET(INDIRECT(Region_abbr &amp; "!A1"), VLOOKUP($A$2,Param_Table,2,FALSE) + VLOOKUP(M$5,NRG_Table,2,FALSE),$J25+1)</f>
        <v>7.0735986200000003</v>
      </c>
      <c r="N25" s="1" cm="1">
        <f t="array" aca="1" ref="N25" ca="1" xml:space="preserve"> VLOOKUP($A$2,Param_Table,4,FALSE) * OFFSET(INDIRECT(Region_abbr &amp; "!A1"), VLOOKUP($A$2,Param_Table,2,FALSE) + VLOOKUP(N$5,NRG_Table,2,FALSE),$J25+1)</f>
        <v>785.20192584999995</v>
      </c>
      <c r="O25" s="1" cm="1">
        <f t="array" aca="1" ref="O25" ca="1" xml:space="preserve"> VLOOKUP($A$2,Param_Table,4,FALSE) * OFFSET(INDIRECT(Region_abbr &amp; "!A1"), VLOOKUP($A$2,Param_Table,2,FALSE) + VLOOKUP(O$5,NRG_Table,2,FALSE),$J25+1)</f>
        <v>0.15201671</v>
      </c>
      <c r="P25" s="1" cm="1">
        <f t="array" aca="1" ref="P25" ca="1" xml:space="preserve"> VLOOKUP($A$2,Param_Table,4,FALSE) * OFFSET(INDIRECT(Region_abbr &amp; "!A1"), VLOOKUP($A$2,Param_Table,2,FALSE) + VLOOKUP(P$5,NRG_Table,2,FALSE),$J25+1)</f>
        <v>6.5279999999999998E-5</v>
      </c>
      <c r="Q25" s="1">
        <f t="shared" ca="1" si="2"/>
        <v>799.34906020999995</v>
      </c>
      <c r="T25">
        <f t="shared" si="3"/>
        <v>20</v>
      </c>
      <c r="U25" s="1">
        <f t="shared" ca="1" si="4"/>
        <v>0.10885300000000009</v>
      </c>
      <c r="V25" s="1">
        <f t="shared" ca="1" si="5"/>
        <v>0.33406560999999968</v>
      </c>
      <c r="W25" s="1">
        <f t="shared" ca="1" si="6"/>
        <v>0.59677420000000048</v>
      </c>
      <c r="X25" s="1">
        <f t="shared" ca="1" si="7"/>
        <v>-68.99139080000009</v>
      </c>
      <c r="Y25" s="1">
        <f t="shared" ca="1" si="8"/>
        <v>-3.8004199999999988E-3</v>
      </c>
      <c r="Z25" s="1">
        <f t="shared" ca="1" si="9"/>
        <v>1.6989999999999985E-5</v>
      </c>
      <c r="AA25" s="1">
        <f t="shared" ca="1" si="10"/>
        <v>-67.955481420000069</v>
      </c>
    </row>
    <row r="26" spans="10:27" x14ac:dyDescent="0.85">
      <c r="J26">
        <f t="shared" si="1"/>
        <v>20</v>
      </c>
      <c r="K26" s="1" cm="1">
        <f t="array" aca="1" ref="K26" ca="1" xml:space="preserve"> VLOOKUP($A$2,Param_Table,4,FALSE) * OFFSET(INDIRECT(Region_abbr &amp; "!A1"), VLOOKUP($A$2,Param_Table,2,FALSE) + VLOOKUP(K$5,NRG_Table,2,FALSE),$J26+1)</f>
        <v>1.9501730800000001</v>
      </c>
      <c r="L26" s="1" cm="1">
        <f t="array" aca="1" ref="L26" ca="1" xml:space="preserve"> VLOOKUP($A$2,Param_Table,4,FALSE) * OFFSET(INDIRECT(Region_abbr &amp; "!A1"), VLOOKUP($A$2,Param_Table,2,FALSE) + VLOOKUP(L$5,NRG_Table,2,FALSE),$J26+1)</f>
        <v>5.4141992799999992</v>
      </c>
      <c r="M26" s="1" cm="1">
        <f t="array" aca="1" ref="M26" ca="1" xml:space="preserve"> VLOOKUP($A$2,Param_Table,4,FALSE) * OFFSET(INDIRECT(Region_abbr &amp; "!A1"), VLOOKUP($A$2,Param_Table,2,FALSE) + VLOOKUP(M$5,NRG_Table,2,FALSE),$J26+1)</f>
        <v>7.6703728200000008</v>
      </c>
      <c r="N26" s="1" cm="1">
        <f t="array" aca="1" ref="N26" ca="1" xml:space="preserve"> VLOOKUP($A$2,Param_Table,4,FALSE) * OFFSET(INDIRECT(Region_abbr &amp; "!A1"), VLOOKUP($A$2,Param_Table,2,FALSE) + VLOOKUP(N$5,NRG_Table,2,FALSE),$J26+1)</f>
        <v>716.21053504999986</v>
      </c>
      <c r="O26" s="1" cm="1">
        <f t="array" aca="1" ref="O26" ca="1" xml:space="preserve"> VLOOKUP($A$2,Param_Table,4,FALSE) * OFFSET(INDIRECT(Region_abbr &amp; "!A1"), VLOOKUP($A$2,Param_Table,2,FALSE) + VLOOKUP(O$5,NRG_Table,2,FALSE),$J26+1)</f>
        <v>0.14821629</v>
      </c>
      <c r="P26" s="1" cm="1">
        <f t="array" aca="1" ref="P26" ca="1" xml:space="preserve"> VLOOKUP($A$2,Param_Table,4,FALSE) * OFFSET(INDIRECT(Region_abbr &amp; "!A1"), VLOOKUP($A$2,Param_Table,2,FALSE) + VLOOKUP(P$5,NRG_Table,2,FALSE),$J26+1)</f>
        <v>8.2269999999999983E-5</v>
      </c>
      <c r="Q26" s="1">
        <f t="shared" ca="1" si="2"/>
        <v>731.39357878999988</v>
      </c>
      <c r="T26">
        <f t="shared" si="3"/>
        <v>21</v>
      </c>
      <c r="U26" s="1">
        <f t="shared" ca="1" si="4"/>
        <v>0.11824179999999962</v>
      </c>
      <c r="V26" s="1">
        <f t="shared" ca="1" si="5"/>
        <v>0.24372391000000082</v>
      </c>
      <c r="W26" s="1">
        <f t="shared" ca="1" si="6"/>
        <v>0.48799634999999952</v>
      </c>
      <c r="X26" s="1">
        <f t="shared" ca="1" si="7"/>
        <v>-55.051237769999943</v>
      </c>
      <c r="Y26" s="1">
        <f t="shared" ca="1" si="8"/>
        <v>-3.708259999999991E-3</v>
      </c>
      <c r="Z26" s="1">
        <f t="shared" ca="1" si="9"/>
        <v>-1.9959999999999978E-5</v>
      </c>
      <c r="AA26" s="1">
        <f t="shared" ca="1" si="10"/>
        <v>-54.205003929999975</v>
      </c>
    </row>
    <row r="27" spans="10:27" x14ac:dyDescent="0.85">
      <c r="J27">
        <f t="shared" si="1"/>
        <v>21</v>
      </c>
      <c r="K27" s="1" cm="1">
        <f t="array" aca="1" ref="K27" ca="1" xml:space="preserve"> VLOOKUP($A$2,Param_Table,4,FALSE) * OFFSET(INDIRECT(Region_abbr &amp; "!A1"), VLOOKUP($A$2,Param_Table,2,FALSE) + VLOOKUP(K$5,NRG_Table,2,FALSE),$J27+1)</f>
        <v>2.0684148799999997</v>
      </c>
      <c r="L27" s="1" cm="1">
        <f t="array" aca="1" ref="L27" ca="1" xml:space="preserve"> VLOOKUP($A$2,Param_Table,4,FALSE) * OFFSET(INDIRECT(Region_abbr &amp; "!A1"), VLOOKUP($A$2,Param_Table,2,FALSE) + VLOOKUP(L$5,NRG_Table,2,FALSE),$J27+1)</f>
        <v>5.65792319</v>
      </c>
      <c r="M27" s="1" cm="1">
        <f t="array" aca="1" ref="M27" ca="1" xml:space="preserve"> VLOOKUP($A$2,Param_Table,4,FALSE) * OFFSET(INDIRECT(Region_abbr &amp; "!A1"), VLOOKUP($A$2,Param_Table,2,FALSE) + VLOOKUP(M$5,NRG_Table,2,FALSE),$J27+1)</f>
        <v>8.1583691700000003</v>
      </c>
      <c r="N27" s="1" cm="1">
        <f t="array" aca="1" ref="N27" ca="1" xml:space="preserve"> VLOOKUP($A$2,Param_Table,4,FALSE) * OFFSET(INDIRECT(Region_abbr &amp; "!A1"), VLOOKUP($A$2,Param_Table,2,FALSE) + VLOOKUP(N$5,NRG_Table,2,FALSE),$J27+1)</f>
        <v>661.15929727999992</v>
      </c>
      <c r="O27" s="1" cm="1">
        <f t="array" aca="1" ref="O27" ca="1" xml:space="preserve"> VLOOKUP($A$2,Param_Table,4,FALSE) * OFFSET(INDIRECT(Region_abbr &amp; "!A1"), VLOOKUP($A$2,Param_Table,2,FALSE) + VLOOKUP(O$5,NRG_Table,2,FALSE),$J27+1)</f>
        <v>0.14450803000000001</v>
      </c>
      <c r="P27" s="1" cm="1">
        <f t="array" aca="1" ref="P27" ca="1" xml:space="preserve"> VLOOKUP($A$2,Param_Table,4,FALSE) * OFFSET(INDIRECT(Region_abbr &amp; "!A1"), VLOOKUP($A$2,Param_Table,2,FALSE) + VLOOKUP(P$5,NRG_Table,2,FALSE),$J27+1)</f>
        <v>6.2310000000000005E-5</v>
      </c>
      <c r="Q27" s="1">
        <f t="shared" ca="1" si="2"/>
        <v>677.1885748599999</v>
      </c>
      <c r="T27">
        <f t="shared" si="3"/>
        <v>22</v>
      </c>
      <c r="U27" s="1">
        <f t="shared" ca="1" si="4"/>
        <v>9.6072270000000515E-2</v>
      </c>
      <c r="V27" s="1">
        <f t="shared" ca="1" si="5"/>
        <v>0.34555562999999978</v>
      </c>
      <c r="W27" s="1">
        <f t="shared" ca="1" si="6"/>
        <v>0.49529686999999889</v>
      </c>
      <c r="X27" s="1">
        <f t="shared" ca="1" si="7"/>
        <v>-53.643272369999977</v>
      </c>
      <c r="Y27" s="1">
        <f t="shared" ca="1" si="8"/>
        <v>-4.6021600000000218E-3</v>
      </c>
      <c r="Z27" s="1">
        <f t="shared" ca="1" si="9"/>
        <v>-6.9600000000000079E-6</v>
      </c>
      <c r="AA27" s="1">
        <f t="shared" ca="1" si="10"/>
        <v>-52.710956719999899</v>
      </c>
    </row>
    <row r="28" spans="10:27" x14ac:dyDescent="0.85">
      <c r="J28">
        <f t="shared" si="1"/>
        <v>22</v>
      </c>
      <c r="K28" s="1" cm="1">
        <f t="array" aca="1" ref="K28" ca="1" xml:space="preserve"> VLOOKUP($A$2,Param_Table,4,FALSE) * OFFSET(INDIRECT(Region_abbr &amp; "!A1"), VLOOKUP($A$2,Param_Table,2,FALSE) + VLOOKUP(K$5,NRG_Table,2,FALSE),$J28+1)</f>
        <v>2.1644871500000002</v>
      </c>
      <c r="L28" s="1" cm="1">
        <f t="array" aca="1" ref="L28" ca="1" xml:space="preserve"> VLOOKUP($A$2,Param_Table,4,FALSE) * OFFSET(INDIRECT(Region_abbr &amp; "!A1"), VLOOKUP($A$2,Param_Table,2,FALSE) + VLOOKUP(L$5,NRG_Table,2,FALSE),$J28+1)</f>
        <v>6.0034788199999998</v>
      </c>
      <c r="M28" s="1" cm="1">
        <f t="array" aca="1" ref="M28" ca="1" xml:space="preserve"> VLOOKUP($A$2,Param_Table,4,FALSE) * OFFSET(INDIRECT(Region_abbr &amp; "!A1"), VLOOKUP($A$2,Param_Table,2,FALSE) + VLOOKUP(M$5,NRG_Table,2,FALSE),$J28+1)</f>
        <v>8.6536660399999992</v>
      </c>
      <c r="N28" s="1" cm="1">
        <f t="array" aca="1" ref="N28" ca="1" xml:space="preserve"> VLOOKUP($A$2,Param_Table,4,FALSE) * OFFSET(INDIRECT(Region_abbr &amp; "!A1"), VLOOKUP($A$2,Param_Table,2,FALSE) + VLOOKUP(N$5,NRG_Table,2,FALSE),$J28+1)</f>
        <v>607.51602490999994</v>
      </c>
      <c r="O28" s="1" cm="1">
        <f t="array" aca="1" ref="O28" ca="1" xml:space="preserve"> VLOOKUP($A$2,Param_Table,4,FALSE) * OFFSET(INDIRECT(Region_abbr &amp; "!A1"), VLOOKUP($A$2,Param_Table,2,FALSE) + VLOOKUP(O$5,NRG_Table,2,FALSE),$J28+1)</f>
        <v>0.13990586999999999</v>
      </c>
      <c r="P28" s="1" cm="1">
        <f t="array" aca="1" ref="P28" ca="1" xml:space="preserve"> VLOOKUP($A$2,Param_Table,4,FALSE) * OFFSET(INDIRECT(Region_abbr &amp; "!A1"), VLOOKUP($A$2,Param_Table,2,FALSE) + VLOOKUP(P$5,NRG_Table,2,FALSE),$J28+1)</f>
        <v>5.5349999999999997E-5</v>
      </c>
      <c r="Q28" s="1">
        <f t="shared" ca="1" si="2"/>
        <v>624.47761814</v>
      </c>
      <c r="T28">
        <f t="shared" si="3"/>
        <v>23</v>
      </c>
      <c r="U28" s="1">
        <f t="shared" ca="1" si="4"/>
        <v>0.11374648000000009</v>
      </c>
      <c r="V28" s="1">
        <f t="shared" ca="1" si="5"/>
        <v>0.35436095999999928</v>
      </c>
      <c r="W28" s="1">
        <f t="shared" ca="1" si="6"/>
        <v>0.51330809000000244</v>
      </c>
      <c r="X28" s="1">
        <f t="shared" ca="1" si="7"/>
        <v>-51.882525559999863</v>
      </c>
      <c r="Y28" s="1">
        <f t="shared" ca="1" si="8"/>
        <v>-7.4895299999999942E-3</v>
      </c>
      <c r="Z28" s="1">
        <f t="shared" ca="1" si="9"/>
        <v>-3.5199999999999866E-6</v>
      </c>
      <c r="AA28" s="1">
        <f t="shared" ca="1" si="10"/>
        <v>-50.908603080000034</v>
      </c>
    </row>
    <row r="29" spans="10:27" x14ac:dyDescent="0.85">
      <c r="J29">
        <f t="shared" si="1"/>
        <v>23</v>
      </c>
      <c r="K29" s="1" cm="1">
        <f t="array" aca="1" ref="K29" ca="1" xml:space="preserve"> VLOOKUP($A$2,Param_Table,4,FALSE) * OFFSET(INDIRECT(Region_abbr &amp; "!A1"), VLOOKUP($A$2,Param_Table,2,FALSE) + VLOOKUP(K$5,NRG_Table,2,FALSE),$J29+1)</f>
        <v>2.2782336300000003</v>
      </c>
      <c r="L29" s="1" cm="1">
        <f t="array" aca="1" ref="L29" ca="1" xml:space="preserve"> VLOOKUP($A$2,Param_Table,4,FALSE) * OFFSET(INDIRECT(Region_abbr &amp; "!A1"), VLOOKUP($A$2,Param_Table,2,FALSE) + VLOOKUP(L$5,NRG_Table,2,FALSE),$J29+1)</f>
        <v>6.3578397799999991</v>
      </c>
      <c r="M29" s="1" cm="1">
        <f t="array" aca="1" ref="M29" ca="1" xml:space="preserve"> VLOOKUP($A$2,Param_Table,4,FALSE) * OFFSET(INDIRECT(Region_abbr &amp; "!A1"), VLOOKUP($A$2,Param_Table,2,FALSE) + VLOOKUP(M$5,NRG_Table,2,FALSE),$J29+1)</f>
        <v>9.1669741300000016</v>
      </c>
      <c r="N29" s="1" cm="1">
        <f t="array" aca="1" ref="N29" ca="1" xml:space="preserve"> VLOOKUP($A$2,Param_Table,4,FALSE) * OFFSET(INDIRECT(Region_abbr &amp; "!A1"), VLOOKUP($A$2,Param_Table,2,FALSE) + VLOOKUP(N$5,NRG_Table,2,FALSE),$J29+1)</f>
        <v>555.63349935000008</v>
      </c>
      <c r="O29" s="1" cm="1">
        <f t="array" aca="1" ref="O29" ca="1" xml:space="preserve"> VLOOKUP($A$2,Param_Table,4,FALSE) * OFFSET(INDIRECT(Region_abbr &amp; "!A1"), VLOOKUP($A$2,Param_Table,2,FALSE) + VLOOKUP(O$5,NRG_Table,2,FALSE),$J29+1)</f>
        <v>0.13241633999999999</v>
      </c>
      <c r="P29" s="1" cm="1">
        <f t="array" aca="1" ref="P29" ca="1" xml:space="preserve"> VLOOKUP($A$2,Param_Table,4,FALSE) * OFFSET(INDIRECT(Region_abbr &amp; "!A1"), VLOOKUP($A$2,Param_Table,2,FALSE) + VLOOKUP(P$5,NRG_Table,2,FALSE),$J29+1)</f>
        <v>5.183000000000001E-5</v>
      </c>
      <c r="Q29" s="1">
        <f t="shared" ca="1" si="2"/>
        <v>573.56901505999997</v>
      </c>
      <c r="T29">
        <f t="shared" si="3"/>
        <v>24</v>
      </c>
      <c r="U29" s="1">
        <f t="shared" ca="1" si="4"/>
        <v>6.0949749999999803E-2</v>
      </c>
      <c r="V29" s="1">
        <f t="shared" ca="1" si="5"/>
        <v>0.35685557000000045</v>
      </c>
      <c r="W29" s="1">
        <f t="shared" ca="1" si="6"/>
        <v>0.56138066999999836</v>
      </c>
      <c r="X29" s="1">
        <f t="shared" ca="1" si="7"/>
        <v>-47.476519090000011</v>
      </c>
      <c r="Y29" s="1">
        <f t="shared" ca="1" si="8"/>
        <v>-0.13232236999999999</v>
      </c>
      <c r="Z29" s="1">
        <f t="shared" ca="1" si="9"/>
        <v>-5.7100000000000182E-6</v>
      </c>
      <c r="AA29" s="1">
        <f t="shared" ca="1" si="10"/>
        <v>-46.629661179999971</v>
      </c>
    </row>
    <row r="30" spans="10:27" x14ac:dyDescent="0.85">
      <c r="J30">
        <f t="shared" si="1"/>
        <v>24</v>
      </c>
      <c r="K30" s="1" cm="1">
        <f t="array" aca="1" ref="K30" ca="1" xml:space="preserve"> VLOOKUP($A$2,Param_Table,4,FALSE) * OFFSET(INDIRECT(Region_abbr &amp; "!A1"), VLOOKUP($A$2,Param_Table,2,FALSE) + VLOOKUP(K$5,NRG_Table,2,FALSE),$J30+1)</f>
        <v>2.3391833800000001</v>
      </c>
      <c r="L30" s="1" cm="1">
        <f t="array" aca="1" ref="L30" ca="1" xml:space="preserve"> VLOOKUP($A$2,Param_Table,4,FALSE) * OFFSET(INDIRECT(Region_abbr &amp; "!A1"), VLOOKUP($A$2,Param_Table,2,FALSE) + VLOOKUP(L$5,NRG_Table,2,FALSE),$J30+1)</f>
        <v>6.7146953499999995</v>
      </c>
      <c r="M30" s="1" cm="1">
        <f t="array" aca="1" ref="M30" ca="1" xml:space="preserve"> VLOOKUP($A$2,Param_Table,4,FALSE) * OFFSET(INDIRECT(Region_abbr &amp; "!A1"), VLOOKUP($A$2,Param_Table,2,FALSE) + VLOOKUP(M$5,NRG_Table,2,FALSE),$J30+1)</f>
        <v>9.7283548</v>
      </c>
      <c r="N30" s="1" cm="1">
        <f t="array" aca="1" ref="N30" ca="1" xml:space="preserve"> VLOOKUP($A$2,Param_Table,4,FALSE) * OFFSET(INDIRECT(Region_abbr &amp; "!A1"), VLOOKUP($A$2,Param_Table,2,FALSE) + VLOOKUP(N$5,NRG_Table,2,FALSE),$J30+1)</f>
        <v>508.15698026000007</v>
      </c>
      <c r="O30" s="1" cm="1">
        <f t="array" aca="1" ref="O30" ca="1" xml:space="preserve"> VLOOKUP($A$2,Param_Table,4,FALSE) * OFFSET(INDIRECT(Region_abbr &amp; "!A1"), VLOOKUP($A$2,Param_Table,2,FALSE) + VLOOKUP(O$5,NRG_Table,2,FALSE),$J30+1)</f>
        <v>9.3969999999999996E-5</v>
      </c>
      <c r="P30" s="1" cm="1">
        <f t="array" aca="1" ref="P30" ca="1" xml:space="preserve"> VLOOKUP($A$2,Param_Table,4,FALSE) * OFFSET(INDIRECT(Region_abbr &amp; "!A1"), VLOOKUP($A$2,Param_Table,2,FALSE) + VLOOKUP(P$5,NRG_Table,2,FALSE),$J30+1)</f>
        <v>4.6119999999999992E-5</v>
      </c>
      <c r="Q30" s="1">
        <f t="shared" ca="1" si="2"/>
        <v>526.93935388</v>
      </c>
      <c r="T30">
        <f t="shared" si="3"/>
        <v>25</v>
      </c>
      <c r="U30" s="1">
        <f t="shared" ca="1" si="4"/>
        <v>7.0218140000000151E-2</v>
      </c>
      <c r="V30" s="1">
        <f t="shared" ca="1" si="5"/>
        <v>0.34666958000000037</v>
      </c>
      <c r="W30" s="1">
        <f t="shared" ca="1" si="6"/>
        <v>0.57781730000000131</v>
      </c>
      <c r="X30" s="1">
        <f t="shared" ca="1" si="7"/>
        <v>-43.646670000000029</v>
      </c>
      <c r="Y30" s="1">
        <f t="shared" ca="1" si="8"/>
        <v>-9.3969999999999996E-5</v>
      </c>
      <c r="Z30" s="1">
        <f t="shared" ca="1" si="9"/>
        <v>-3.1999999999999897E-6</v>
      </c>
      <c r="AA30" s="1">
        <f t="shared" ca="1" si="10"/>
        <v>-42.652062149999949</v>
      </c>
    </row>
    <row r="31" spans="10:27" x14ac:dyDescent="0.85">
      <c r="J31">
        <f t="shared" si="1"/>
        <v>25</v>
      </c>
      <c r="K31" s="1" cm="1">
        <f t="array" aca="1" ref="K31" ca="1" xml:space="preserve"> VLOOKUP($A$2,Param_Table,4,FALSE) * OFFSET(INDIRECT(Region_abbr &amp; "!A1"), VLOOKUP($A$2,Param_Table,2,FALSE) + VLOOKUP(K$5,NRG_Table,2,FALSE),$J31+1)</f>
        <v>2.4094015200000003</v>
      </c>
      <c r="L31" s="1" cm="1">
        <f t="array" aca="1" ref="L31" ca="1" xml:space="preserve"> VLOOKUP($A$2,Param_Table,4,FALSE) * OFFSET(INDIRECT(Region_abbr &amp; "!A1"), VLOOKUP($A$2,Param_Table,2,FALSE) + VLOOKUP(L$5,NRG_Table,2,FALSE),$J31+1)</f>
        <v>7.0613649299999999</v>
      </c>
      <c r="M31" s="1" cm="1">
        <f t="array" aca="1" ref="M31" ca="1" xml:space="preserve"> VLOOKUP($A$2,Param_Table,4,FALSE) * OFFSET(INDIRECT(Region_abbr &amp; "!A1"), VLOOKUP($A$2,Param_Table,2,FALSE) + VLOOKUP(M$5,NRG_Table,2,FALSE),$J31+1)</f>
        <v>10.306172100000001</v>
      </c>
      <c r="N31" s="1" cm="1">
        <f t="array" aca="1" ref="N31" ca="1" xml:space="preserve"> VLOOKUP($A$2,Param_Table,4,FALSE) * OFFSET(INDIRECT(Region_abbr &amp; "!A1"), VLOOKUP($A$2,Param_Table,2,FALSE) + VLOOKUP(N$5,NRG_Table,2,FALSE),$J31+1)</f>
        <v>464.51031026000004</v>
      </c>
      <c r="O31" s="1" cm="1">
        <f t="array" aca="1" ref="O31" ca="1" xml:space="preserve"> VLOOKUP($A$2,Param_Table,4,FALSE) * OFFSET(INDIRECT(Region_abbr &amp; "!A1"), VLOOKUP($A$2,Param_Table,2,FALSE) + VLOOKUP(O$5,NRG_Table,2,FALSE),$J31+1)</f>
        <v>0</v>
      </c>
      <c r="P31" s="1" cm="1">
        <f t="array" aca="1" ref="P31" ca="1" xml:space="preserve"> VLOOKUP($A$2,Param_Table,4,FALSE) * OFFSET(INDIRECT(Region_abbr &amp; "!A1"), VLOOKUP($A$2,Param_Table,2,FALSE) + VLOOKUP(P$5,NRG_Table,2,FALSE),$J31+1)</f>
        <v>4.2920000000000002E-5</v>
      </c>
      <c r="Q31" s="1">
        <f t="shared" ca="1" si="2"/>
        <v>484.28729173000005</v>
      </c>
      <c r="T31">
        <f t="shared" si="3"/>
        <v>26</v>
      </c>
      <c r="U31" s="1">
        <f t="shared" ca="1" si="4"/>
        <v>7.5354699999999664E-2</v>
      </c>
      <c r="V31" s="1">
        <f t="shared" ca="1" si="5"/>
        <v>0.33362612999999985</v>
      </c>
      <c r="W31" s="1">
        <f t="shared" ca="1" si="6"/>
        <v>0.53837905999999869</v>
      </c>
      <c r="X31" s="1">
        <f t="shared" ca="1" si="7"/>
        <v>-35.089831650000008</v>
      </c>
      <c r="Y31" s="1">
        <f t="shared" ca="1" si="8"/>
        <v>0</v>
      </c>
      <c r="Z31" s="1">
        <f t="shared" ca="1" si="9"/>
        <v>-2.4200000000000073E-6</v>
      </c>
      <c r="AA31" s="1">
        <f t="shared" ca="1" si="10"/>
        <v>-34.142474180000022</v>
      </c>
    </row>
    <row r="32" spans="10:27" x14ac:dyDescent="0.85">
      <c r="J32">
        <f t="shared" si="1"/>
        <v>26</v>
      </c>
      <c r="K32" s="1" cm="1">
        <f t="array" aca="1" ref="K32" ca="1" xml:space="preserve"> VLOOKUP($A$2,Param_Table,4,FALSE) * OFFSET(INDIRECT(Region_abbr &amp; "!A1"), VLOOKUP($A$2,Param_Table,2,FALSE) + VLOOKUP(K$5,NRG_Table,2,FALSE),$J32+1)</f>
        <v>2.48475622</v>
      </c>
      <c r="L32" s="1" cm="1">
        <f t="array" aca="1" ref="L32" ca="1" xml:space="preserve"> VLOOKUP($A$2,Param_Table,4,FALSE) * OFFSET(INDIRECT(Region_abbr &amp; "!A1"), VLOOKUP($A$2,Param_Table,2,FALSE) + VLOOKUP(L$5,NRG_Table,2,FALSE),$J32+1)</f>
        <v>7.3949910599999997</v>
      </c>
      <c r="M32" s="1" cm="1">
        <f t="array" aca="1" ref="M32" ca="1" xml:space="preserve"> VLOOKUP($A$2,Param_Table,4,FALSE) * OFFSET(INDIRECT(Region_abbr &amp; "!A1"), VLOOKUP($A$2,Param_Table,2,FALSE) + VLOOKUP(M$5,NRG_Table,2,FALSE),$J32+1)</f>
        <v>10.84455116</v>
      </c>
      <c r="N32" s="1" cm="1">
        <f t="array" aca="1" ref="N32" ca="1" xml:space="preserve"> VLOOKUP($A$2,Param_Table,4,FALSE) * OFFSET(INDIRECT(Region_abbr &amp; "!A1"), VLOOKUP($A$2,Param_Table,2,FALSE) + VLOOKUP(N$5,NRG_Table,2,FALSE),$J32+1)</f>
        <v>429.42047861000003</v>
      </c>
      <c r="O32" s="1" cm="1">
        <f t="array" aca="1" ref="O32" ca="1" xml:space="preserve"> VLOOKUP($A$2,Param_Table,4,FALSE) * OFFSET(INDIRECT(Region_abbr &amp; "!A1"), VLOOKUP($A$2,Param_Table,2,FALSE) + VLOOKUP(O$5,NRG_Table,2,FALSE),$J32+1)</f>
        <v>0</v>
      </c>
      <c r="P32" s="1" cm="1">
        <f t="array" aca="1" ref="P32" ca="1" xml:space="preserve"> VLOOKUP($A$2,Param_Table,4,FALSE) * OFFSET(INDIRECT(Region_abbr &amp; "!A1"), VLOOKUP($A$2,Param_Table,2,FALSE) + VLOOKUP(P$5,NRG_Table,2,FALSE),$J32+1)</f>
        <v>4.0499999999999995E-5</v>
      </c>
      <c r="Q32" s="1">
        <f t="shared" ca="1" si="2"/>
        <v>450.14481755000003</v>
      </c>
      <c r="T32">
        <f t="shared" si="3"/>
        <v>27</v>
      </c>
      <c r="U32" s="1">
        <f t="shared" ca="1" si="4"/>
        <v>5.4869210000000113E-2</v>
      </c>
      <c r="V32" s="1">
        <f t="shared" ca="1" si="5"/>
        <v>0.2116213699999987</v>
      </c>
      <c r="W32" s="1">
        <f t="shared" ca="1" si="6"/>
        <v>0.55664583999999806</v>
      </c>
      <c r="X32" s="1">
        <f t="shared" ca="1" si="7"/>
        <v>-27.130699060000097</v>
      </c>
      <c r="Y32" s="1">
        <f t="shared" ca="1" si="8"/>
        <v>0</v>
      </c>
      <c r="Z32" s="1">
        <f t="shared" ca="1" si="9"/>
        <v>-4.9999999999987663E-8</v>
      </c>
      <c r="AA32" s="1">
        <f t="shared" ca="1" si="10"/>
        <v>-26.307562690000111</v>
      </c>
    </row>
    <row r="33" spans="10:17" x14ac:dyDescent="0.85">
      <c r="J33">
        <f t="shared" si="1"/>
        <v>27</v>
      </c>
      <c r="K33" s="1" cm="1">
        <f t="array" aca="1" ref="K33" ca="1" xml:space="preserve"> VLOOKUP($A$2,Param_Table,4,FALSE) * OFFSET(INDIRECT(Region_abbr &amp; "!A1"), VLOOKUP($A$2,Param_Table,2,FALSE) + VLOOKUP(K$5,NRG_Table,2,FALSE),$J33+1)</f>
        <v>2.5396254300000001</v>
      </c>
      <c r="L33" s="1" cm="1">
        <f t="array" aca="1" ref="L33" ca="1" xml:space="preserve"> VLOOKUP($A$2,Param_Table,4,FALSE) * OFFSET(INDIRECT(Region_abbr &amp; "!A1"), VLOOKUP($A$2,Param_Table,2,FALSE) + VLOOKUP(L$5,NRG_Table,2,FALSE),$J33+1)</f>
        <v>7.6066124299999984</v>
      </c>
      <c r="M33" s="1" cm="1">
        <f t="array" aca="1" ref="M33" ca="1" xml:space="preserve"> VLOOKUP($A$2,Param_Table,4,FALSE) * OFFSET(INDIRECT(Region_abbr &amp; "!A1"), VLOOKUP($A$2,Param_Table,2,FALSE) + VLOOKUP(M$5,NRG_Table,2,FALSE),$J33+1)</f>
        <v>11.401196999999998</v>
      </c>
      <c r="N33" s="1" cm="1">
        <f t="array" aca="1" ref="N33" ca="1" xml:space="preserve"> VLOOKUP($A$2,Param_Table,4,FALSE) * OFFSET(INDIRECT(Region_abbr &amp; "!A1"), VLOOKUP($A$2,Param_Table,2,FALSE) + VLOOKUP(N$5,NRG_Table,2,FALSE),$J33+1)</f>
        <v>402.28977954999993</v>
      </c>
      <c r="O33" s="1" cm="1">
        <f t="array" aca="1" ref="O33" ca="1" xml:space="preserve"> VLOOKUP($A$2,Param_Table,4,FALSE) * OFFSET(INDIRECT(Region_abbr &amp; "!A1"), VLOOKUP($A$2,Param_Table,2,FALSE) + VLOOKUP(O$5,NRG_Table,2,FALSE),$J33+1)</f>
        <v>0</v>
      </c>
      <c r="P33" s="1" cm="1">
        <f t="array" aca="1" ref="P33" ca="1" xml:space="preserve"> VLOOKUP($A$2,Param_Table,4,FALSE) * OFFSET(INDIRECT(Region_abbr &amp; "!A1"), VLOOKUP($A$2,Param_Table,2,FALSE) + VLOOKUP(P$5,NRG_Table,2,FALSE),$J33+1)</f>
        <v>4.0450000000000007E-5</v>
      </c>
      <c r="Q33" s="1">
        <f t="shared" ca="1" si="2"/>
        <v>423.83725485999992</v>
      </c>
    </row>
  </sheetData>
  <mergeCells count="2">
    <mergeCell ref="M3:O3"/>
    <mergeCell ref="E1:G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F018DF-5688-4E5F-A672-F323E20EEAF1}">
  <sheetPr codeName="Sheet3"/>
  <dimension ref="A1:D41"/>
  <sheetViews>
    <sheetView workbookViewId="0">
      <selection activeCell="B3" sqref="B3"/>
    </sheetView>
  </sheetViews>
  <sheetFormatPr defaultRowHeight="14.6" x14ac:dyDescent="0.85"/>
  <cols>
    <col min="2" max="2" width="10.8828125" bestFit="1" customWidth="1"/>
  </cols>
  <sheetData>
    <row r="1" spans="1:4" x14ac:dyDescent="0.85">
      <c r="B1" t="s">
        <v>58</v>
      </c>
      <c r="C1" t="s">
        <v>59</v>
      </c>
      <c r="D1" t="s">
        <v>60</v>
      </c>
    </row>
    <row r="2" spans="1:4" x14ac:dyDescent="0.85">
      <c r="A2" t="s">
        <v>61</v>
      </c>
      <c r="B2" s="5">
        <v>45415</v>
      </c>
    </row>
    <row r="3" spans="1:4" x14ac:dyDescent="0.85">
      <c r="A3" t="s">
        <v>62</v>
      </c>
      <c r="B3" s="6">
        <v>45415.928017939812</v>
      </c>
    </row>
    <row r="4" spans="1:4" x14ac:dyDescent="0.85">
      <c r="A4" t="s">
        <v>63</v>
      </c>
      <c r="B4" t="s">
        <v>64</v>
      </c>
    </row>
    <row r="5" spans="1:4" x14ac:dyDescent="0.85">
      <c r="A5" t="s">
        <v>65</v>
      </c>
      <c r="B5" t="s">
        <v>66</v>
      </c>
    </row>
    <row r="6" spans="1:4" x14ac:dyDescent="0.85">
      <c r="A6" t="s">
        <v>67</v>
      </c>
      <c r="B6" t="s">
        <v>21</v>
      </c>
    </row>
    <row r="7" spans="1:4" x14ac:dyDescent="0.85">
      <c r="A7" t="s">
        <v>68</v>
      </c>
      <c r="C7">
        <v>27</v>
      </c>
    </row>
    <row r="8" spans="1:4" x14ac:dyDescent="0.85">
      <c r="A8" t="s">
        <v>69</v>
      </c>
      <c r="C8">
        <v>20</v>
      </c>
      <c r="D8">
        <v>20</v>
      </c>
    </row>
    <row r="9" spans="1:4" x14ac:dyDescent="0.85">
      <c r="A9" t="s">
        <v>70</v>
      </c>
      <c r="C9">
        <v>0</v>
      </c>
      <c r="D9">
        <v>1</v>
      </c>
    </row>
    <row r="10" spans="1:4" x14ac:dyDescent="0.85">
      <c r="A10" t="s">
        <v>71</v>
      </c>
      <c r="C10">
        <v>0.12</v>
      </c>
      <c r="D10">
        <v>1</v>
      </c>
    </row>
    <row r="11" spans="1:4" x14ac:dyDescent="0.85">
      <c r="A11" t="s">
        <v>72</v>
      </c>
      <c r="C11">
        <v>1.02</v>
      </c>
      <c r="D11">
        <v>1</v>
      </c>
    </row>
    <row r="12" spans="1:4" x14ac:dyDescent="0.85">
      <c r="A12" t="s">
        <v>73</v>
      </c>
      <c r="C12">
        <v>1</v>
      </c>
      <c r="D12">
        <v>1</v>
      </c>
    </row>
    <row r="13" spans="1:4" x14ac:dyDescent="0.85">
      <c r="A13" t="s">
        <v>74</v>
      </c>
      <c r="C13">
        <v>1</v>
      </c>
      <c r="D13">
        <v>1</v>
      </c>
    </row>
    <row r="14" spans="1:4" x14ac:dyDescent="0.85">
      <c r="A14" t="s">
        <v>75</v>
      </c>
      <c r="C14">
        <v>1</v>
      </c>
      <c r="D14">
        <v>1</v>
      </c>
    </row>
    <row r="15" spans="1:4" x14ac:dyDescent="0.85">
      <c r="A15" t="s">
        <v>76</v>
      </c>
      <c r="C15">
        <v>1</v>
      </c>
      <c r="D15">
        <v>1</v>
      </c>
    </row>
    <row r="16" spans="1:4" x14ac:dyDescent="0.85">
      <c r="A16" t="s">
        <v>77</v>
      </c>
      <c r="C16">
        <v>1</v>
      </c>
      <c r="D16">
        <v>1</v>
      </c>
    </row>
    <row r="17" spans="1:4" x14ac:dyDescent="0.85">
      <c r="A17" t="s">
        <v>78</v>
      </c>
      <c r="C17">
        <v>1</v>
      </c>
      <c r="D17">
        <v>1</v>
      </c>
    </row>
    <row r="18" spans="1:4" x14ac:dyDescent="0.85">
      <c r="A18" t="s">
        <v>79</v>
      </c>
      <c r="C18">
        <v>1</v>
      </c>
      <c r="D18">
        <v>1</v>
      </c>
    </row>
    <row r="19" spans="1:4" x14ac:dyDescent="0.85">
      <c r="A19" t="s">
        <v>80</v>
      </c>
      <c r="C19">
        <v>1</v>
      </c>
      <c r="D19">
        <v>1</v>
      </c>
    </row>
    <row r="20" spans="1:4" x14ac:dyDescent="0.85">
      <c r="A20" t="s">
        <v>81</v>
      </c>
      <c r="C20">
        <v>1</v>
      </c>
      <c r="D20">
        <v>1</v>
      </c>
    </row>
    <row r="21" spans="1:4" x14ac:dyDescent="0.85">
      <c r="A21" t="s">
        <v>82</v>
      </c>
      <c r="C21">
        <v>1</v>
      </c>
      <c r="D21">
        <v>1</v>
      </c>
    </row>
    <row r="22" spans="1:4" x14ac:dyDescent="0.85">
      <c r="A22" t="s">
        <v>83</v>
      </c>
      <c r="C22">
        <v>1</v>
      </c>
      <c r="D22">
        <v>1</v>
      </c>
    </row>
    <row r="23" spans="1:4" x14ac:dyDescent="0.85">
      <c r="A23" t="s">
        <v>84</v>
      </c>
      <c r="C23">
        <v>1</v>
      </c>
      <c r="D23">
        <v>1</v>
      </c>
    </row>
    <row r="24" spans="1:4" x14ac:dyDescent="0.85">
      <c r="A24" t="s">
        <v>85</v>
      </c>
      <c r="C24">
        <v>1</v>
      </c>
      <c r="D24">
        <v>1</v>
      </c>
    </row>
    <row r="25" spans="1:4" x14ac:dyDescent="0.85">
      <c r="A25" t="s">
        <v>86</v>
      </c>
      <c r="C25">
        <v>1</v>
      </c>
      <c r="D25">
        <v>1</v>
      </c>
    </row>
    <row r="26" spans="1:4" x14ac:dyDescent="0.85">
      <c r="A26" t="s">
        <v>87</v>
      </c>
      <c r="C26">
        <v>1</v>
      </c>
      <c r="D26">
        <v>1</v>
      </c>
    </row>
    <row r="27" spans="1:4" x14ac:dyDescent="0.85">
      <c r="A27" t="s">
        <v>88</v>
      </c>
      <c r="C27">
        <v>1</v>
      </c>
      <c r="D27">
        <v>1</v>
      </c>
    </row>
    <row r="28" spans="1:4" x14ac:dyDescent="0.85">
      <c r="A28" t="s">
        <v>89</v>
      </c>
      <c r="C28">
        <v>1</v>
      </c>
      <c r="D28">
        <v>1</v>
      </c>
    </row>
    <row r="29" spans="1:4" x14ac:dyDescent="0.85">
      <c r="A29" t="s">
        <v>90</v>
      </c>
      <c r="C29">
        <v>1</v>
      </c>
      <c r="D29">
        <v>1</v>
      </c>
    </row>
    <row r="30" spans="1:4" x14ac:dyDescent="0.85">
      <c r="A30" t="s">
        <v>91</v>
      </c>
      <c r="C30">
        <v>1</v>
      </c>
      <c r="D30">
        <v>1</v>
      </c>
    </row>
    <row r="31" spans="1:4" x14ac:dyDescent="0.85">
      <c r="A31" t="s">
        <v>92</v>
      </c>
      <c r="C31">
        <v>1</v>
      </c>
      <c r="D31">
        <v>1</v>
      </c>
    </row>
    <row r="32" spans="1:4" x14ac:dyDescent="0.85">
      <c r="A32" t="s">
        <v>93</v>
      </c>
      <c r="C32">
        <v>1</v>
      </c>
      <c r="D32">
        <v>1</v>
      </c>
    </row>
    <row r="33" spans="1:4" x14ac:dyDescent="0.85">
      <c r="A33" t="s">
        <v>94</v>
      </c>
      <c r="C33">
        <v>1</v>
      </c>
      <c r="D33">
        <v>1</v>
      </c>
    </row>
    <row r="34" spans="1:4" x14ac:dyDescent="0.85">
      <c r="A34" t="s">
        <v>95</v>
      </c>
      <c r="C34">
        <v>1</v>
      </c>
      <c r="D34">
        <v>1</v>
      </c>
    </row>
    <row r="35" spans="1:4" x14ac:dyDescent="0.85">
      <c r="A35" t="s">
        <v>96</v>
      </c>
      <c r="C35">
        <v>1</v>
      </c>
      <c r="D35">
        <v>1</v>
      </c>
    </row>
    <row r="36" spans="1:4" x14ac:dyDescent="0.85">
      <c r="A36" t="s">
        <v>97</v>
      </c>
      <c r="C36">
        <v>1</v>
      </c>
      <c r="D36">
        <v>1</v>
      </c>
    </row>
    <row r="37" spans="1:4" x14ac:dyDescent="0.85">
      <c r="A37" t="s">
        <v>98</v>
      </c>
      <c r="C37">
        <v>1</v>
      </c>
      <c r="D37">
        <v>1</v>
      </c>
    </row>
    <row r="38" spans="1:4" x14ac:dyDescent="0.85">
      <c r="A38" t="s">
        <v>99</v>
      </c>
      <c r="C38">
        <v>1</v>
      </c>
      <c r="D38">
        <v>1</v>
      </c>
    </row>
    <row r="39" spans="1:4" x14ac:dyDescent="0.85">
      <c r="A39" t="s">
        <v>100</v>
      </c>
      <c r="C39">
        <v>1</v>
      </c>
      <c r="D39">
        <v>1</v>
      </c>
    </row>
    <row r="40" spans="1:4" x14ac:dyDescent="0.85">
      <c r="A40" t="s">
        <v>101</v>
      </c>
      <c r="C40">
        <v>1</v>
      </c>
      <c r="D40">
        <v>1</v>
      </c>
    </row>
    <row r="41" spans="1:4" x14ac:dyDescent="0.85">
      <c r="A41" t="s">
        <v>102</v>
      </c>
      <c r="C41">
        <v>1</v>
      </c>
      <c r="D41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69DAA-9925-48BB-998A-E6B29A8ED50C}">
  <sheetPr codeName="Sheet4"/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29" x14ac:dyDescent="0.85">
      <c r="B1" s="7">
        <f>CAL!B1</f>
        <v>0</v>
      </c>
      <c r="C1" s="7">
        <f>CAL!C1</f>
        <v>1</v>
      </c>
      <c r="D1" s="7">
        <f>CAL!D1</f>
        <v>2</v>
      </c>
      <c r="E1" s="7">
        <f>CAL!E1</f>
        <v>3</v>
      </c>
      <c r="F1" s="7">
        <f>CAL!F1</f>
        <v>4</v>
      </c>
      <c r="G1" s="7">
        <f>CAL!G1</f>
        <v>5</v>
      </c>
      <c r="H1" s="7">
        <f>CAL!H1</f>
        <v>6</v>
      </c>
      <c r="I1" s="7">
        <f>CAL!I1</f>
        <v>7</v>
      </c>
      <c r="J1" s="7">
        <f>CAL!J1</f>
        <v>8</v>
      </c>
      <c r="K1" s="7">
        <f>CAL!K1</f>
        <v>9</v>
      </c>
      <c r="L1" s="7">
        <f>CAL!L1</f>
        <v>10</v>
      </c>
      <c r="M1" s="7">
        <f>CAL!M1</f>
        <v>11</v>
      </c>
      <c r="N1" s="7">
        <f>CAL!N1</f>
        <v>12</v>
      </c>
      <c r="O1" s="7">
        <f>CAL!O1</f>
        <v>13</v>
      </c>
      <c r="P1" s="7">
        <f>CAL!P1</f>
        <v>14</v>
      </c>
      <c r="Q1" s="7">
        <f>CAL!Q1</f>
        <v>15</v>
      </c>
      <c r="R1" s="7">
        <f>CAL!R1</f>
        <v>16</v>
      </c>
      <c r="S1" s="7">
        <f>CAL!S1</f>
        <v>17</v>
      </c>
      <c r="T1" s="7">
        <f>CAL!T1</f>
        <v>18</v>
      </c>
      <c r="U1" s="7">
        <f>CAL!U1</f>
        <v>19</v>
      </c>
      <c r="V1" s="7">
        <f>CAL!V1</f>
        <v>20</v>
      </c>
      <c r="W1" s="7">
        <f>CAL!W1</f>
        <v>21</v>
      </c>
      <c r="X1" s="7">
        <f>CAL!X1</f>
        <v>22</v>
      </c>
      <c r="Y1" s="7">
        <f>CAL!Y1</f>
        <v>23</v>
      </c>
      <c r="Z1" s="7">
        <f>CAL!Z1</f>
        <v>24</v>
      </c>
      <c r="AA1" s="7">
        <f>CAL!AA1</f>
        <v>25</v>
      </c>
      <c r="AB1" s="7">
        <f>CAL!AB1</f>
        <v>26</v>
      </c>
      <c r="AC1" s="7"/>
    </row>
    <row r="2" spans="1:29" x14ac:dyDescent="0.85">
      <c r="A2" t="str">
        <f>CAL!A2</f>
        <v>Year</v>
      </c>
      <c r="B2" s="7">
        <f>CAL!B2</f>
        <v>0</v>
      </c>
      <c r="C2" s="7">
        <f>CAL!C2</f>
        <v>1</v>
      </c>
      <c r="D2" s="7">
        <f>CAL!D2</f>
        <v>2</v>
      </c>
      <c r="E2" s="7">
        <f>CAL!E2</f>
        <v>3</v>
      </c>
      <c r="F2" s="7">
        <f>CAL!F2</f>
        <v>4</v>
      </c>
      <c r="G2" s="7">
        <f>CAL!G2</f>
        <v>5</v>
      </c>
      <c r="H2" s="7">
        <f>CAL!H2</f>
        <v>6</v>
      </c>
      <c r="I2" s="7">
        <f>CAL!I2</f>
        <v>7</v>
      </c>
      <c r="J2" s="7">
        <f>CAL!J2</f>
        <v>8</v>
      </c>
      <c r="K2" s="7">
        <f>CAL!K2</f>
        <v>9</v>
      </c>
      <c r="L2" s="7">
        <f>CAL!L2</f>
        <v>10</v>
      </c>
      <c r="M2" s="7">
        <f>CAL!M2</f>
        <v>11</v>
      </c>
      <c r="N2" s="7">
        <f>CAL!N2</f>
        <v>12</v>
      </c>
      <c r="O2" s="7">
        <f>CAL!O2</f>
        <v>13</v>
      </c>
      <c r="P2" s="7">
        <f>CAL!P2</f>
        <v>14</v>
      </c>
      <c r="Q2" s="7">
        <f>CAL!Q2</f>
        <v>15</v>
      </c>
      <c r="R2" s="7">
        <f>CAL!R2</f>
        <v>16</v>
      </c>
      <c r="S2" s="7">
        <f>CAL!S2</f>
        <v>17</v>
      </c>
      <c r="T2" s="7">
        <f>CAL!T2</f>
        <v>18</v>
      </c>
      <c r="U2" s="7">
        <f>CAL!U2</f>
        <v>19</v>
      </c>
      <c r="V2" s="7">
        <f>CAL!V2</f>
        <v>20</v>
      </c>
      <c r="W2" s="7">
        <f>CAL!W2</f>
        <v>21</v>
      </c>
      <c r="X2" s="7">
        <f>CAL!X2</f>
        <v>22</v>
      </c>
      <c r="Y2" s="7">
        <f>CAL!Y2</f>
        <v>23</v>
      </c>
      <c r="Z2" s="7">
        <f>CAL!Z2</f>
        <v>24</v>
      </c>
      <c r="AA2" s="7">
        <f>CAL!AA2</f>
        <v>25</v>
      </c>
      <c r="AB2" s="7">
        <f>CAL!AB2</f>
        <v>26</v>
      </c>
      <c r="AC2" s="7"/>
    </row>
    <row r="3" spans="1:29" x14ac:dyDescent="0.85">
      <c r="A3" t="str">
        <f>CAL!A3</f>
        <v>CO2_Price</v>
      </c>
      <c r="B3" s="7">
        <f xml:space="preserve"> 0 + CAL!B3 + CAR!B3 + CENT!B3 + FLA!B3 + MIDA!B3 + MIDW!B3 + NE!B3 + NY!B3 + NW!B3 + SE!B3 + SW!B3 + TEN!B3 + TEX!B3</f>
        <v>0</v>
      </c>
      <c r="C3" s="7">
        <f xml:space="preserve"> 0 + CAL!C3 + CAR!C3 + CENT!C3 + FLA!C3 + MIDA!C3 + MIDW!C3 + NE!C3 + NY!C3 + NW!C3 + SE!C3 + SW!C3 + TEN!C3 + TEX!C3</f>
        <v>260</v>
      </c>
      <c r="D3" s="7">
        <f xml:space="preserve"> 0 + CAL!D3 + CAR!D3 + CENT!D3 + FLA!D3 + MIDA!D3 + MIDW!D3 + NE!D3 + NY!D3 + NW!D3 + SE!D3 + SW!D3 + TEN!D3 + TEX!D3</f>
        <v>520</v>
      </c>
      <c r="E3" s="7">
        <f xml:space="preserve"> 0 + CAL!E3 + CAR!E3 + CENT!E3 + FLA!E3 + MIDA!E3 + MIDW!E3 + NE!E3 + NY!E3 + NW!E3 + SE!E3 + SW!E3 + TEN!E3 + TEX!E3</f>
        <v>780</v>
      </c>
      <c r="F3" s="7">
        <f xml:space="preserve"> 0 + CAL!F3 + CAR!F3 + CENT!F3 + FLA!F3 + MIDA!F3 + MIDW!F3 + NE!F3 + NY!F3 + NW!F3 + SE!F3 + SW!F3 + TEN!F3 + TEX!F3</f>
        <v>1040</v>
      </c>
      <c r="G3" s="7">
        <f xml:space="preserve"> 0 + CAL!G3 + CAR!G3 + CENT!G3 + FLA!G3 + MIDA!G3 + MIDW!G3 + NE!G3 + NY!G3 + NW!G3 + SE!G3 + SW!G3 + TEN!G3 + TEX!G3</f>
        <v>1300</v>
      </c>
      <c r="H3" s="7">
        <f xml:space="preserve"> 0 + CAL!H3 + CAR!H3 + CENT!H3 + FLA!H3 + MIDA!H3 + MIDW!H3 + NE!H3 + NY!H3 + NW!H3 + SE!H3 + SW!H3 + TEN!H3 + TEX!H3</f>
        <v>1560</v>
      </c>
      <c r="I3" s="7">
        <f xml:space="preserve"> 0 + CAL!I3 + CAR!I3 + CENT!I3 + FLA!I3 + MIDA!I3 + MIDW!I3 + NE!I3 + NY!I3 + NW!I3 + SE!I3 + SW!I3 + TEN!I3 + TEX!I3</f>
        <v>1820</v>
      </c>
      <c r="J3" s="7">
        <f xml:space="preserve"> 0 + CAL!J3 + CAR!J3 + CENT!J3 + FLA!J3 + MIDA!J3 + MIDW!J3 + NE!J3 + NY!J3 + NW!J3 + SE!J3 + SW!J3 + TEN!J3 + TEX!J3</f>
        <v>2080</v>
      </c>
      <c r="K3" s="7">
        <f xml:space="preserve"> 0 + CAL!K3 + CAR!K3 + CENT!K3 + FLA!K3 + MIDA!K3 + MIDW!K3 + NE!K3 + NY!K3 + NW!K3 + SE!K3 + SW!K3 + TEN!K3 + TEX!K3</f>
        <v>2340</v>
      </c>
      <c r="L3" s="7">
        <f xml:space="preserve"> 0 + CAL!L3 + CAR!L3 + CENT!L3 + FLA!L3 + MIDA!L3 + MIDW!L3 + NE!L3 + NY!L3 + NW!L3 + SE!L3 + SW!L3 + TEN!L3 + TEX!L3</f>
        <v>2600</v>
      </c>
      <c r="M3" s="7">
        <f xml:space="preserve"> 0 + CAL!M3 + CAR!M3 + CENT!M3 + FLA!M3 + MIDA!M3 + MIDW!M3 + NE!M3 + NY!M3 + NW!M3 + SE!M3 + SW!M3 + TEN!M3 + TEX!M3</f>
        <v>2860</v>
      </c>
      <c r="N3" s="7">
        <f xml:space="preserve"> 0 + CAL!N3 + CAR!N3 + CENT!N3 + FLA!N3 + MIDA!N3 + MIDW!N3 + NE!N3 + NY!N3 + NW!N3 + SE!N3 + SW!N3 + TEN!N3 + TEX!N3</f>
        <v>3120</v>
      </c>
      <c r="O3" s="7">
        <f xml:space="preserve"> 0 + CAL!O3 + CAR!O3 + CENT!O3 + FLA!O3 + MIDA!O3 + MIDW!O3 + NE!O3 + NY!O3 + NW!O3 + SE!O3 + SW!O3 + TEN!O3 + TEX!O3</f>
        <v>3380</v>
      </c>
      <c r="P3" s="7">
        <f xml:space="preserve"> 0 + CAL!P3 + CAR!P3 + CENT!P3 + FLA!P3 + MIDA!P3 + MIDW!P3 + NE!P3 + NY!P3 + NW!P3 + SE!P3 + SW!P3 + TEN!P3 + TEX!P3</f>
        <v>3640</v>
      </c>
      <c r="Q3" s="7">
        <f xml:space="preserve"> 0 + CAL!Q3 + CAR!Q3 + CENT!Q3 + FLA!Q3 + MIDA!Q3 + MIDW!Q3 + NE!Q3 + NY!Q3 + NW!Q3 + SE!Q3 + SW!Q3 + TEN!Q3 + TEX!Q3</f>
        <v>3900</v>
      </c>
      <c r="R3" s="7">
        <f xml:space="preserve"> 0 + CAL!R3 + CAR!R3 + CENT!R3 + FLA!R3 + MIDA!R3 + MIDW!R3 + NE!R3 + NY!R3 + NW!R3 + SE!R3 + SW!R3 + TEN!R3 + TEX!R3</f>
        <v>4160</v>
      </c>
      <c r="S3" s="7">
        <f xml:space="preserve"> 0 + CAL!S3 + CAR!S3 + CENT!S3 + FLA!S3 + MIDA!S3 + MIDW!S3 + NE!S3 + NY!S3 + NW!S3 + SE!S3 + SW!S3 + TEN!S3 + TEX!S3</f>
        <v>4420</v>
      </c>
      <c r="T3" s="7">
        <f xml:space="preserve"> 0 + CAL!T3 + CAR!T3 + CENT!T3 + FLA!T3 + MIDA!T3 + MIDW!T3 + NE!T3 + NY!T3 + NW!T3 + SE!T3 + SW!T3 + TEN!T3 + TEX!T3</f>
        <v>4680</v>
      </c>
      <c r="U3" s="7">
        <f xml:space="preserve"> 0 + CAL!U3 + CAR!U3 + CENT!U3 + FLA!U3 + MIDA!U3 + MIDW!U3 + NE!U3 + NY!U3 + NW!U3 + SE!U3 + SW!U3 + TEN!U3 + TEX!U3</f>
        <v>4940</v>
      </c>
      <c r="V3" s="7">
        <f xml:space="preserve"> 0 + CAL!V3 + CAR!V3 + CENT!V3 + FLA!V3 + MIDA!V3 + MIDW!V3 + NE!V3 + NY!V3 + NW!V3 + SE!V3 + SW!V3 + TEN!V3 + TEX!V3</f>
        <v>5200</v>
      </c>
      <c r="W3" s="7">
        <f xml:space="preserve"> 0 + CAL!W3 + CAR!W3 + CENT!W3 + FLA!W3 + MIDA!W3 + MIDW!W3 + NE!W3 + NY!W3 + NW!W3 + SE!W3 + SW!W3 + TEN!W3 + TEX!W3</f>
        <v>5460</v>
      </c>
      <c r="X3" s="7">
        <f xml:space="preserve"> 0 + CAL!X3 + CAR!X3 + CENT!X3 + FLA!X3 + MIDA!X3 + MIDW!X3 + NE!X3 + NY!X3 + NW!X3 + SE!X3 + SW!X3 + TEN!X3 + TEX!X3</f>
        <v>5720</v>
      </c>
      <c r="Y3" s="7">
        <f xml:space="preserve"> 0 + CAL!Y3 + CAR!Y3 + CENT!Y3 + FLA!Y3 + MIDA!Y3 + MIDW!Y3 + NE!Y3 + NY!Y3 + NW!Y3 + SE!Y3 + SW!Y3 + TEN!Y3 + TEX!Y3</f>
        <v>5980</v>
      </c>
      <c r="Z3" s="7">
        <f xml:space="preserve"> 0 + CAL!Z3 + CAR!Z3 + CENT!Z3 + FLA!Z3 + MIDA!Z3 + MIDW!Z3 + NE!Z3 + NY!Z3 + NW!Z3 + SE!Z3 + SW!Z3 + TEN!Z3 + TEX!Z3</f>
        <v>6240</v>
      </c>
      <c r="AA3" s="7">
        <f xml:space="preserve"> 0 + CAL!AA3 + CAR!AA3 + CENT!AA3 + FLA!AA3 + MIDA!AA3 + MIDW!AA3 + NE!AA3 + NY!AA3 + NW!AA3 + SE!AA3 + SW!AA3 + TEN!AA3 + TEX!AA3</f>
        <v>6500</v>
      </c>
      <c r="AB3" s="7">
        <f xml:space="preserve"> 0 + CAL!AB3 + CAR!AB3 + CENT!AB3 + FLA!AB3 + MIDA!AB3 + MIDW!AB3 + NE!AB3 + NY!AB3 + NW!AB3 + SE!AB3 + SW!AB3 + TEN!AB3 + TEX!AB3</f>
        <v>6760</v>
      </c>
      <c r="AC3" s="7">
        <f xml:space="preserve"> 0 + CAL!AC3 + CAR!AC3 + CENT!AC3 + FLA!AC3 + MIDA!AC3 + MIDW!AC3 + NE!AC3 + NY!AC3 + NW!AC3 + SE!AC3 + SW!AC3 + TEN!AC3 + TEX!AC3</f>
        <v>7020</v>
      </c>
    </row>
    <row r="4" spans="1:29" x14ac:dyDescent="0.85">
      <c r="A4" t="str">
        <f>CAL!A4</f>
        <v>Outage</v>
      </c>
      <c r="B4" s="7">
        <f xml:space="preserve"> 0 + CAL!B4 + CAR!B4 + CENT!B4 + FLA!B4 + MIDA!B4 + MIDW!B4 + NE!B4 + NY!B4 + NW!B4 + SE!B4 + SW!B4 + TEN!B4 + TEX!B4</f>
        <v>0</v>
      </c>
      <c r="C4" s="7">
        <f xml:space="preserve"> 0 + CAL!C4 + CAR!C4 + CENT!C4 + FLA!C4 + MIDA!C4 + MIDW!C4 + NE!C4 + NY!C4 + NW!C4 + SE!C4 + SW!C4 + TEN!C4 + TEX!C4</f>
        <v>7.0000000000000005E-8</v>
      </c>
      <c r="D4" s="7">
        <f xml:space="preserve"> 0 + CAL!D4 + CAR!D4 + CENT!D4 + FLA!D4 + MIDA!D4 + MIDW!D4 + NE!D4 + NY!D4 + NW!D4 + SE!D4 + SW!D4 + TEN!D4 + TEX!D4</f>
        <v>0</v>
      </c>
      <c r="E4" s="7">
        <f xml:space="preserve"> 0 + CAL!E4 + CAR!E4 + CENT!E4 + FLA!E4 + MIDA!E4 + MIDW!E4 + NE!E4 + NY!E4 + NW!E4 + SE!E4 + SW!E4 + TEN!E4 + TEX!E4</f>
        <v>0</v>
      </c>
      <c r="F4" s="7">
        <f xml:space="preserve"> 0 + CAL!F4 + CAR!F4 + CENT!F4 + FLA!F4 + MIDA!F4 + MIDW!F4 + NE!F4 + NY!F4 + NW!F4 + SE!F4 + SW!F4 + TEN!F4 + TEX!F4</f>
        <v>0</v>
      </c>
      <c r="G4" s="7">
        <f xml:space="preserve"> 0 + CAL!G4 + CAR!G4 + CENT!G4 + FLA!G4 + MIDA!G4 + MIDW!G4 + NE!G4 + NY!G4 + NW!G4 + SE!G4 + SW!G4 + TEN!G4 + TEX!G4</f>
        <v>0</v>
      </c>
      <c r="H4" s="7">
        <f xml:space="preserve"> 0 + CAL!H4 + CAR!H4 + CENT!H4 + FLA!H4 + MIDA!H4 + MIDW!H4 + NE!H4 + NY!H4 + NW!H4 + SE!H4 + SW!H4 + TEN!H4 + TEX!H4</f>
        <v>0</v>
      </c>
      <c r="I4" s="7">
        <f xml:space="preserve"> 0 + CAL!I4 + CAR!I4 + CENT!I4 + FLA!I4 + MIDA!I4 + MIDW!I4 + NE!I4 + NY!I4 + NW!I4 + SE!I4 + SW!I4 + TEN!I4 + TEX!I4</f>
        <v>0</v>
      </c>
      <c r="J4" s="7">
        <f xml:space="preserve"> 0 + CAL!J4 + CAR!J4 + CENT!J4 + FLA!J4 + MIDA!J4 + MIDW!J4 + NE!J4 + NY!J4 + NW!J4 + SE!J4 + SW!J4 + TEN!J4 + TEX!J4</f>
        <v>0</v>
      </c>
      <c r="K4" s="7">
        <f xml:space="preserve"> 0 + CAL!K4 + CAR!K4 + CENT!K4 + FLA!K4 + MIDA!K4 + MIDW!K4 + NE!K4 + NY!K4 + NW!K4 + SE!K4 + SW!K4 + TEN!K4 + TEX!K4</f>
        <v>0</v>
      </c>
      <c r="L4" s="7">
        <f xml:space="preserve"> 0 + CAL!L4 + CAR!L4 + CENT!L4 + FLA!L4 + MIDA!L4 + MIDW!L4 + NE!L4 + NY!L4 + NW!L4 + SE!L4 + SW!L4 + TEN!L4 + TEX!L4</f>
        <v>0</v>
      </c>
      <c r="M4" s="7">
        <f xml:space="preserve"> 0 + CAL!M4 + CAR!M4 + CENT!M4 + FLA!M4 + MIDA!M4 + MIDW!M4 + NE!M4 + NY!M4 + NW!M4 + SE!M4 + SW!M4 + TEN!M4 + TEX!M4</f>
        <v>0</v>
      </c>
      <c r="N4" s="7">
        <f xml:space="preserve"> 0 + CAL!N4 + CAR!N4 + CENT!N4 + FLA!N4 + MIDA!N4 + MIDW!N4 + NE!N4 + NY!N4 + NW!N4 + SE!N4 + SW!N4 + TEN!N4 + TEX!N4</f>
        <v>1E-8</v>
      </c>
      <c r="O4" s="7">
        <f xml:space="preserve"> 0 + CAL!O4 + CAR!O4 + CENT!O4 + FLA!O4 + MIDA!O4 + MIDW!O4 + NE!O4 + NY!O4 + NW!O4 + SE!O4 + SW!O4 + TEN!O4 + TEX!O4</f>
        <v>0</v>
      </c>
      <c r="P4" s="7">
        <f xml:space="preserve"> 0 + CAL!P4 + CAR!P4 + CENT!P4 + FLA!P4 + MIDA!P4 + MIDW!P4 + NE!P4 + NY!P4 + NW!P4 + SE!P4 + SW!P4 + TEN!P4 + TEX!P4</f>
        <v>0</v>
      </c>
      <c r="Q4" s="7">
        <f xml:space="preserve"> 0 + CAL!Q4 + CAR!Q4 + CENT!Q4 + FLA!Q4 + MIDA!Q4 + MIDW!Q4 + NE!Q4 + NY!Q4 + NW!Q4 + SE!Q4 + SW!Q4 + TEN!Q4 + TEX!Q4</f>
        <v>0</v>
      </c>
      <c r="R4" s="7">
        <f xml:space="preserve"> 0 + CAL!R4 + CAR!R4 + CENT!R4 + FLA!R4 + MIDA!R4 + MIDW!R4 + NE!R4 + NY!R4 + NW!R4 + SE!R4 + SW!R4 + TEN!R4 + TEX!R4</f>
        <v>0</v>
      </c>
      <c r="S4" s="7">
        <f xml:space="preserve"> 0 + CAL!S4 + CAR!S4 + CENT!S4 + FLA!S4 + MIDA!S4 + MIDW!S4 + NE!S4 + NY!S4 + NW!S4 + SE!S4 + SW!S4 + TEN!S4 + TEX!S4</f>
        <v>0</v>
      </c>
      <c r="T4" s="7">
        <f xml:space="preserve"> 0 + CAL!T4 + CAR!T4 + CENT!T4 + FLA!T4 + MIDA!T4 + MIDW!T4 + NE!T4 + NY!T4 + NW!T4 + SE!T4 + SW!T4 + TEN!T4 + TEX!T4</f>
        <v>0</v>
      </c>
      <c r="U4" s="7">
        <f xml:space="preserve"> 0 + CAL!U4 + CAR!U4 + CENT!U4 + FLA!U4 + MIDA!U4 + MIDW!U4 + NE!U4 + NY!U4 + NW!U4 + SE!U4 + SW!U4 + TEN!U4 + TEX!U4</f>
        <v>0</v>
      </c>
      <c r="V4" s="7">
        <f xml:space="preserve"> 0 + CAL!V4 + CAR!V4 + CENT!V4 + FLA!V4 + MIDA!V4 + MIDW!V4 + NE!V4 + NY!V4 + NW!V4 + SE!V4 + SW!V4 + TEN!V4 + TEX!V4</f>
        <v>0</v>
      </c>
      <c r="W4" s="7">
        <f xml:space="preserve"> 0 + CAL!W4 + CAR!W4 + CENT!W4 + FLA!W4 + MIDA!W4 + MIDW!W4 + NE!W4 + NY!W4 + NW!W4 + SE!W4 + SW!W4 + TEN!W4 + TEX!W4</f>
        <v>0</v>
      </c>
      <c r="X4" s="7">
        <f xml:space="preserve"> 0 + CAL!X4 + CAR!X4 + CENT!X4 + FLA!X4 + MIDA!X4 + MIDW!X4 + NE!X4 + NY!X4 + NW!X4 + SE!X4 + SW!X4 + TEN!X4 + TEX!X4</f>
        <v>4.0000000000000001E-8</v>
      </c>
      <c r="Y4" s="7">
        <f xml:space="preserve"> 0 + CAL!Y4 + CAR!Y4 + CENT!Y4 + FLA!Y4 + MIDA!Y4 + MIDW!Y4 + NE!Y4 + NY!Y4 + NW!Y4 + SE!Y4 + SW!Y4 + TEN!Y4 + TEX!Y4</f>
        <v>0</v>
      </c>
      <c r="Z4" s="7">
        <f xml:space="preserve"> 0 + CAL!Z4 + CAR!Z4 + CENT!Z4 + FLA!Z4 + MIDA!Z4 + MIDW!Z4 + NE!Z4 + NY!Z4 + NW!Z4 + SE!Z4 + SW!Z4 + TEN!Z4 + TEX!Z4</f>
        <v>0</v>
      </c>
      <c r="AA4" s="7">
        <f xml:space="preserve"> 0 + CAL!AA4 + CAR!AA4 + CENT!AA4 + FLA!AA4 + MIDA!AA4 + MIDW!AA4 + NE!AA4 + NY!AA4 + NW!AA4 + SE!AA4 + SW!AA4 + TEN!AA4 + TEX!AA4</f>
        <v>0</v>
      </c>
      <c r="AB4" s="7">
        <f xml:space="preserve"> 0 + CAL!AB4 + CAR!AB4 + CENT!AB4 + FLA!AB4 + MIDA!AB4 + MIDW!AB4 + NE!AB4 + NY!AB4 + NW!AB4 + SE!AB4 + SW!AB4 + TEN!AB4 + TEX!AB4</f>
        <v>0</v>
      </c>
      <c r="AC4" s="7">
        <f xml:space="preserve"> 0 + CAL!AC4 + CAR!AC4 + CENT!AC4 + FLA!AC4 + MIDA!AC4 + MIDW!AC4 + NE!AC4 + NY!AC4 + NW!AC4 + SE!AC4 + SW!AC4 + TEN!AC4 + TEX!AC4</f>
        <v>0</v>
      </c>
    </row>
    <row r="5" spans="1:29" x14ac:dyDescent="0.85">
      <c r="A5" t="str">
        <f>CAL!A5</f>
        <v>Total_MW</v>
      </c>
      <c r="B5" s="7">
        <f xml:space="preserve"> 0 + CAL!B5 + CAR!B5 + CENT!B5 + FLA!B5 + MIDA!B5 + MIDW!B5 + NE!B5 + NY!B5 + NW!B5 + SE!B5 + SW!B5 + TEN!B5 + TEX!B5</f>
        <v>910685.87</v>
      </c>
      <c r="C5" s="7">
        <f xml:space="preserve"> 0 + CAL!C5 + CAR!C5 + CENT!C5 + FLA!C5 + MIDA!C5 + MIDW!C5 + NE!C5 + NY!C5 + NW!C5 + SE!C5 + SW!C5 + TEN!C5 + TEX!C5</f>
        <v>917324.28036881017</v>
      </c>
      <c r="D5" s="7">
        <f xml:space="preserve"> 0 + CAL!D5 + CAR!D5 + CENT!D5 + FLA!D5 + MIDA!D5 + MIDW!D5 + NE!D5 + NY!D5 + NW!D5 + SE!D5 + SW!D5 + TEN!D5 + TEX!D5</f>
        <v>926303.50205473998</v>
      </c>
      <c r="E5" s="7">
        <f xml:space="preserve"> 0 + CAL!E5 + CAR!E5 + CENT!E5 + FLA!E5 + MIDA!E5 + MIDW!E5 + NE!E5 + NY!E5 + NW!E5 + SE!E5 + SW!E5 + TEN!E5 + TEX!E5</f>
        <v>936109.90624858998</v>
      </c>
      <c r="F5" s="7">
        <f xml:space="preserve"> 0 + CAL!F5 + CAR!F5 + CENT!F5 + FLA!F5 + MIDA!F5 + MIDW!F5 + NE!F5 + NY!F5 + NW!F5 + SE!F5 + SW!F5 + TEN!F5 + TEX!F5</f>
        <v>949854.45601020008</v>
      </c>
      <c r="G5" s="7">
        <f xml:space="preserve"> 0 + CAL!G5 + CAR!G5 + CENT!G5 + FLA!G5 + MIDA!G5 + MIDW!G5 + NE!G5 + NY!G5 + NW!G5 + SE!G5 + SW!G5 + TEN!G5 + TEX!G5</f>
        <v>970999.41569079005</v>
      </c>
      <c r="H5" s="7">
        <f xml:space="preserve"> 0 + CAL!H5 + CAR!H5 + CENT!H5 + FLA!H5 + MIDA!H5 + MIDW!H5 + NE!H5 + NY!H5 + NW!H5 + SE!H5 + SW!H5 + TEN!H5 + TEX!H5</f>
        <v>1005286.1416399099</v>
      </c>
      <c r="I5" s="7">
        <f xml:space="preserve"> 0 + CAL!I5 + CAR!I5 + CENT!I5 + FLA!I5 + MIDA!I5 + MIDW!I5 + NE!I5 + NY!I5 + NW!I5 + SE!I5 + SW!I5 + TEN!I5 + TEX!I5</f>
        <v>1050527.35870224</v>
      </c>
      <c r="J5" s="7">
        <f xml:space="preserve"> 0 + CAL!J5 + CAR!J5 + CENT!J5 + FLA!J5 + MIDA!J5 + MIDW!J5 + NE!J5 + NY!J5 + NW!J5 + SE!J5 + SW!J5 + TEN!J5 + TEX!J5</f>
        <v>1098239.7702989599</v>
      </c>
      <c r="K5" s="7">
        <f xml:space="preserve"> 0 + CAL!K5 + CAR!K5 + CENT!K5 + FLA!K5 + MIDA!K5 + MIDW!K5 + NE!K5 + NY!K5 + NW!K5 + SE!K5 + SW!K5 + TEN!K5 + TEX!K5</f>
        <v>1150972.0388396299</v>
      </c>
      <c r="L5" s="7">
        <f xml:space="preserve"> 0 + CAL!L5 + CAR!L5 + CENT!L5 + FLA!L5 + MIDA!L5 + MIDW!L5 + NE!L5 + NY!L5 + NW!L5 + SE!L5 + SW!L5 + TEN!L5 + TEX!L5</f>
        <v>1200024.2003586402</v>
      </c>
      <c r="M5" s="7">
        <f xml:space="preserve"> 0 + CAL!M5 + CAR!M5 + CENT!M5 + FLA!M5 + MIDA!M5 + MIDW!M5 + NE!M5 + NY!M5 + NW!M5 + SE!M5 + SW!M5 + TEN!M5 + TEX!M5</f>
        <v>1264584.84374563</v>
      </c>
      <c r="N5" s="7">
        <f xml:space="preserve"> 0 + CAL!N5 + CAR!N5 + CENT!N5 + FLA!N5 + MIDA!N5 + MIDW!N5 + NE!N5 + NY!N5 + NW!N5 + SE!N5 + SW!N5 + TEN!N5 + TEX!N5</f>
        <v>1323938.8271027098</v>
      </c>
      <c r="O5" s="7">
        <f xml:space="preserve"> 0 + CAL!O5 + CAR!O5 + CENT!O5 + FLA!O5 + MIDA!O5 + MIDW!O5 + NE!O5 + NY!O5 + NW!O5 + SE!O5 + SW!O5 + TEN!O5 + TEX!O5</f>
        <v>1380902.4728150202</v>
      </c>
      <c r="P5" s="7">
        <f xml:space="preserve"> 0 + CAL!P5 + CAR!P5 + CENT!P5 + FLA!P5 + MIDA!P5 + MIDW!P5 + NE!P5 + NY!P5 + NW!P5 + SE!P5 + SW!P5 + TEN!P5 + TEX!P5</f>
        <v>1433350.0830468398</v>
      </c>
      <c r="Q5" s="7">
        <f xml:space="preserve"> 0 + CAL!Q5 + CAR!Q5 + CENT!Q5 + FLA!Q5 + MIDA!Q5 + MIDW!Q5 + NE!Q5 + NY!Q5 + NW!Q5 + SE!Q5 + SW!Q5 + TEN!Q5 + TEX!Q5</f>
        <v>1494479.8733971899</v>
      </c>
      <c r="R5" s="7">
        <f xml:space="preserve"> 0 + CAL!R5 + CAR!R5 + CENT!R5 + FLA!R5 + MIDA!R5 + MIDW!R5 + NE!R5 + NY!R5 + NW!R5 + SE!R5 + SW!R5 + TEN!R5 + TEX!R5</f>
        <v>1555020.3978054803</v>
      </c>
      <c r="S5" s="7">
        <f xml:space="preserve"> 0 + CAL!S5 + CAR!S5 + CENT!S5 + FLA!S5 + MIDA!S5 + MIDW!S5 + NE!S5 + NY!S5 + NW!S5 + SE!S5 + SW!S5 + TEN!S5 + TEX!S5</f>
        <v>1615062.2452306501</v>
      </c>
      <c r="T5" s="7">
        <f xml:space="preserve"> 0 + CAL!T5 + CAR!T5 + CENT!T5 + FLA!T5 + MIDA!T5 + MIDW!T5 + NE!T5 + NY!T5 + NW!T5 + SE!T5 + SW!T5 + TEN!T5 + TEX!T5</f>
        <v>1675057.8848348199</v>
      </c>
      <c r="U5" s="7">
        <f xml:space="preserve"> 0 + CAL!U5 + CAR!U5 + CENT!U5 + FLA!U5 + MIDA!U5 + MIDW!U5 + NE!U5 + NY!U5 + NW!U5 + SE!U5 + SW!U5 + TEN!U5 + TEX!U5</f>
        <v>1736346.5250020702</v>
      </c>
      <c r="V5" s="7">
        <f xml:space="preserve"> 0 + CAL!V5 + CAR!V5 + CENT!V5 + FLA!V5 + MIDA!V5 + MIDW!V5 + NE!V5 + NY!V5 + NW!V5 + SE!V5 + SW!V5 + TEN!V5 + TEX!V5</f>
        <v>1797476.42159625</v>
      </c>
      <c r="W5" s="7">
        <f xml:space="preserve"> 0 + CAL!W5 + CAR!W5 + CENT!W5 + FLA!W5 + MIDA!W5 + MIDW!W5 + NE!W5 + NY!W5 + NW!W5 + SE!W5 + SW!W5 + TEN!W5 + TEX!W5</f>
        <v>1856325.4484499795</v>
      </c>
      <c r="X5" s="7">
        <f xml:space="preserve"> 0 + CAL!X5 + CAR!X5 + CENT!X5 + FLA!X5 + MIDA!X5 + MIDW!X5 + NE!X5 + NY!X5 + NW!X5 + SE!X5 + SW!X5 + TEN!X5 + TEX!X5</f>
        <v>1918835.66824591</v>
      </c>
      <c r="Y5" s="7">
        <f xml:space="preserve"> 0 + CAL!Y5 + CAR!Y5 + CENT!Y5 + FLA!Y5 + MIDA!Y5 + MIDW!Y5 + NE!Y5 + NY!Y5 + NW!Y5 + SE!Y5 + SW!Y5 + TEN!Y5 + TEX!Y5</f>
        <v>1986406.2544528903</v>
      </c>
      <c r="Z5" s="7">
        <f xml:space="preserve"> 0 + CAL!Z5 + CAR!Z5 + CENT!Z5 + FLA!Z5 + MIDA!Z5 + MIDW!Z5 + NE!Z5 + NY!Z5 + NW!Z5 + SE!Z5 + SW!Z5 + TEN!Z5 + TEX!Z5</f>
        <v>2047771.6388479799</v>
      </c>
      <c r="AA5" s="7">
        <f xml:space="preserve"> 0 + CAL!AA5 + CAR!AA5 + CENT!AA5 + FLA!AA5 + MIDA!AA5 + MIDW!AA5 + NE!AA5 + NY!AA5 + NW!AA5 + SE!AA5 + SW!AA5 + TEN!AA5 + TEX!AA5</f>
        <v>2110343.3693783302</v>
      </c>
      <c r="AB5" s="7">
        <f xml:space="preserve"> 0 + CAL!AB5 + CAR!AB5 + CENT!AB5 + FLA!AB5 + MIDA!AB5 + MIDW!AB5 + NE!AB5 + NY!AB5 + NW!AB5 + SE!AB5 + SW!AB5 + TEN!AB5 + TEX!AB5</f>
        <v>2172081.4121092902</v>
      </c>
      <c r="AC5" s="7">
        <f xml:space="preserve"> 0 + CAL!AC5 + CAR!AC5 + CENT!AC5 + FLA!AC5 + MIDA!AC5 + MIDW!AC5 + NE!AC5 + NY!AC5 + NW!AC5 + SE!AC5 + SW!AC5 + TEN!AC5 + TEX!AC5</f>
        <v>2221753.9663194399</v>
      </c>
    </row>
    <row r="6" spans="1:29" x14ac:dyDescent="0.85">
      <c r="A6" t="str">
        <f>CAL!A6</f>
        <v>Total_MWh</v>
      </c>
      <c r="B6" s="7">
        <f xml:space="preserve"> 0 + CAL!B6 + CAR!B6 + CENT!B6 + FLA!B6 + MIDA!B6 + MIDW!B6 + NE!B6 + NY!B6 + NW!B6 + SE!B6 + SW!B6 + TEN!B6 + TEX!B6</f>
        <v>3621247980.9375238</v>
      </c>
      <c r="C6" s="7">
        <f xml:space="preserve"> 0 + CAL!C6 + CAR!C6 + CENT!C6 + FLA!C6 + MIDA!C6 + MIDW!C6 + NE!C6 + NY!C6 + NW!C6 + SE!C6 + SW!C6 + TEN!C6 + TEX!C6</f>
        <v>3700644715.6155086</v>
      </c>
      <c r="D6" s="7">
        <f xml:space="preserve"> 0 + CAL!D6 + CAR!D6 + CENT!D6 + FLA!D6 + MIDA!D6 + MIDW!D6 + NE!D6 + NY!D6 + NW!D6 + SE!D6 + SW!D6 + TEN!D6 + TEX!D6</f>
        <v>3781629617.1640396</v>
      </c>
      <c r="E6" s="7">
        <f xml:space="preserve"> 0 + CAL!E6 + CAR!E6 + CENT!E6 + FLA!E6 + MIDA!E6 + MIDW!E6 + NE!E6 + NY!E6 + NW!E6 + SE!E6 + SW!E6 + TEN!E6 + TEX!E6</f>
        <v>3864234190.8286805</v>
      </c>
      <c r="F6" s="7">
        <f xml:space="preserve"> 0 + CAL!F6 + CAR!F6 + CENT!F6 + FLA!F6 + MIDA!F6 + MIDW!F6 + NE!F6 + NY!F6 + NW!F6 + SE!F6 + SW!F6 + TEN!F6 + TEX!F6</f>
        <v>3948490771.0496001</v>
      </c>
      <c r="G6" s="7">
        <f xml:space="preserve"> 0 + CAL!G6 + CAR!G6 + CENT!G6 + FLA!G6 + MIDA!G6 + MIDW!G6 + NE!G6 + NY!G6 + NW!G6 + SE!G6 + SW!G6 + TEN!G6 + TEX!G6</f>
        <v>4034432490.1383772</v>
      </c>
      <c r="H6" s="7">
        <f xml:space="preserve"> 0 + CAL!H6 + CAR!H6 + CENT!H6 + FLA!H6 + MIDA!H6 + MIDW!H6 + NE!H6 + NY!H6 + NW!H6 + SE!H6 + SW!H6 + TEN!H6 + TEX!H6</f>
        <v>4122093016.3859248</v>
      </c>
      <c r="I6" s="7">
        <f xml:space="preserve"> 0 + CAL!I6 + CAR!I6 + CENT!I6 + FLA!I6 + MIDA!I6 + MIDW!I6 + NE!I6 + NY!I6 + NW!I6 + SE!I6 + SW!I6 + TEN!I6 + TEX!I6</f>
        <v>4211506812.1557159</v>
      </c>
      <c r="J6" s="7">
        <f xml:space="preserve"> 0 + CAL!J6 + CAR!J6 + CENT!J6 + FLA!J6 + MIDA!J6 + MIDW!J6 + NE!J6 + NY!J6 + NW!J6 + SE!J6 + SW!J6 + TEN!J6 + TEX!J6</f>
        <v>4302708919.8231802</v>
      </c>
      <c r="K6" s="7">
        <f xml:space="preserve"> 0 + CAL!K6 + CAR!K6 + CENT!K6 + FLA!K6 + MIDA!K6 + MIDW!K6 + NE!K6 + NY!K6 + NW!K6 + SE!K6 + SW!K6 + TEN!K6 + TEX!K6</f>
        <v>4395737193.5221252</v>
      </c>
      <c r="L6" s="7">
        <f xml:space="preserve"> 0 + CAL!L6 + CAR!L6 + CENT!L6 + FLA!L6 + MIDA!L6 + MIDW!L6 + NE!L6 + NY!L6 + NW!L6 + SE!L6 + SW!L6 + TEN!L6 + TEX!L6</f>
        <v>4490628550.4314871</v>
      </c>
      <c r="M6" s="7">
        <f xml:space="preserve"> 0 + CAL!M6 + CAR!M6 + CENT!M6 + FLA!M6 + MIDA!M6 + MIDW!M6 + NE!M6 + NY!M6 + NW!M6 + SE!M6 + SW!M6 + TEN!M6 + TEX!M6</f>
        <v>4587463207.1223812</v>
      </c>
      <c r="N6" s="7">
        <f xml:space="preserve"> 0 + CAL!N6 + CAR!N6 + CENT!N6 + FLA!N6 + MIDA!N6 + MIDW!N6 + NE!N6 + NY!N6 + NW!N6 + SE!N6 + SW!N6 + TEN!N6 + TEX!N6</f>
        <v>4687233344.1179132</v>
      </c>
      <c r="O6" s="7">
        <f xml:space="preserve"> 0 + CAL!O6 + CAR!O6 + CENT!O6 + FLA!O6 + MIDA!O6 + MIDW!O6 + NE!O6 + NY!O6 + NW!O6 + SE!O6 + SW!O6 + TEN!O6 + TEX!O6</f>
        <v>4791761654.1246758</v>
      </c>
      <c r="P6" s="7">
        <f xml:space="preserve"> 0 + CAL!P6 + CAR!P6 + CENT!P6 + FLA!P6 + MIDA!P6 + MIDW!P6 + NE!P6 + NY!P6 + NW!P6 + SE!P6 + SW!P6 + TEN!P6 + TEX!P6</f>
        <v>4901456336.189415</v>
      </c>
      <c r="Q6" s="7">
        <f xml:space="preserve"> 0 + CAL!Q6 + CAR!Q6 + CENT!Q6 + FLA!Q6 + MIDA!Q6 + MIDW!Q6 + NE!Q6 + NY!Q6 + NW!Q6 + SE!Q6 + SW!Q6 + TEN!Q6 + TEX!Q6</f>
        <v>5018334120.9455509</v>
      </c>
      <c r="R6" s="7">
        <f xml:space="preserve"> 0 + CAL!R6 + CAR!R6 + CENT!R6 + FLA!R6 + MIDA!R6 + MIDW!R6 + NE!R6 + NY!R6 + NW!R6 + SE!R6 + SW!R6 + TEN!R6 + TEX!R6</f>
        <v>5144695164.3754387</v>
      </c>
      <c r="S6" s="7">
        <f xml:space="preserve"> 0 + CAL!S6 + CAR!S6 + CENT!S6 + FLA!S6 + MIDA!S6 + MIDW!S6 + NE!S6 + NY!S6 + NW!S6 + SE!S6 + SW!S6 + TEN!S6 + TEX!S6</f>
        <v>5283344660.5700798</v>
      </c>
      <c r="T6" s="7">
        <f xml:space="preserve"> 0 + CAL!T6 + CAR!T6 + CENT!T6 + FLA!T6 + MIDA!T6 + MIDW!T6 + NE!T6 + NY!T6 + NW!T6 + SE!T6 + SW!T6 + TEN!T6 + TEX!T6</f>
        <v>5435609224.0656881</v>
      </c>
      <c r="U6" s="7">
        <f xml:space="preserve"> 0 + CAL!U6 + CAR!U6 + CENT!U6 + FLA!U6 + MIDA!U6 + MIDW!U6 + NE!U6 + NY!U6 + NW!U6 + SE!U6 + SW!U6 + TEN!U6 + TEX!U6</f>
        <v>5598801938.6581306</v>
      </c>
      <c r="V6" s="7">
        <f xml:space="preserve"> 0 + CAL!V6 + CAR!V6 + CENT!V6 + FLA!V6 + MIDA!V6 + MIDW!V6 + NE!V6 + NY!V6 + NW!V6 + SE!V6 + SW!V6 + TEN!V6 + TEX!V6</f>
        <v>5762210280.7552824</v>
      </c>
      <c r="W6" s="7">
        <f xml:space="preserve"> 0 + CAL!W6 + CAR!W6 + CENT!W6 + FLA!W6 + MIDA!W6 + MIDW!W6 + NE!W6 + NY!W6 + NW!W6 + SE!W6 + SW!W6 + TEN!W6 + TEX!W6</f>
        <v>5897101080.3579693</v>
      </c>
      <c r="X6" s="7">
        <f xml:space="preserve"> 0 + CAL!X6 + CAR!X6 + CENT!X6 + FLA!X6 + MIDA!X6 + MIDW!X6 + NE!X6 + NY!X6 + NW!X6 + SE!X6 + SW!X6 + TEN!X6 + TEX!X6</f>
        <v>6058321727.2484713</v>
      </c>
      <c r="Y6" s="7">
        <f xml:space="preserve"> 0 + CAL!Y6 + CAR!Y6 + CENT!Y6 + FLA!Y6 + MIDA!Y6 + MIDW!Y6 + NE!Y6 + NY!Y6 + NW!Y6 + SE!Y6 + SW!Y6 + TEN!Y6 + TEX!Y6</f>
        <v>6234872118.505518</v>
      </c>
      <c r="Z6" s="7">
        <f xml:space="preserve"> 0 + CAL!Z6 + CAR!Z6 + CENT!Z6 + FLA!Z6 + MIDA!Z6 + MIDW!Z6 + NE!Z6 + NY!Z6 + NW!Z6 + SE!Z6 + SW!Z6 + TEN!Z6 + TEX!Z6</f>
        <v>6426350620.3829021</v>
      </c>
      <c r="AA6" s="7">
        <f xml:space="preserve"> 0 + CAL!AA6 + CAR!AA6 + CENT!AA6 + FLA!AA6 + MIDA!AA6 + MIDW!AA6 + NE!AA6 + NY!AA6 + NW!AA6 + SE!AA6 + SW!AA6 + TEN!AA6 + TEX!AA6</f>
        <v>6630592465.5608778</v>
      </c>
      <c r="AB6" s="7">
        <f xml:space="preserve"> 0 + CAL!AB6 + CAR!AB6 + CENT!AB6 + FLA!AB6 + MIDA!AB6 + MIDW!AB6 + NE!AB6 + NY!AB6 + NW!AB6 + SE!AB6 + SW!AB6 + TEN!AB6 + TEX!AB6</f>
        <v>6836917723.19732</v>
      </c>
      <c r="AC6" s="7">
        <f xml:space="preserve"> 0 + CAL!AC6 + CAR!AC6 + CENT!AC6 + FLA!AC6 + MIDA!AC6 + MIDW!AC6 + NE!AC6 + NY!AC6 + NW!AC6 + SE!AC6 + SW!AC6 + TEN!AC6 + TEX!AC6</f>
        <v>7030976749.541625</v>
      </c>
    </row>
    <row r="7" spans="1:29" x14ac:dyDescent="0.85">
      <c r="A7" t="str">
        <f>CAL!A7</f>
        <v>Total_Target</v>
      </c>
      <c r="B7" s="7">
        <f xml:space="preserve"> 0 + CAL!B7 + CAR!B7 + CENT!B7 + FLA!B7 + MIDA!B7 + MIDW!B7 + NE!B7 + NY!B7 + NW!B7 + SE!B7 + SW!B7 + TEN!B7 + TEX!B7</f>
        <v>3621247980.9375248</v>
      </c>
      <c r="C7" s="7">
        <f xml:space="preserve"> 0 + CAL!C7 + CAR!C7 + CENT!C7 + FLA!C7 + MIDA!C7 + MIDW!C7 + NE!C7 + NY!C7 + NW!C7 + SE!C7 + SW!C7 + TEN!C7 + TEX!C7</f>
        <v>3700644863.1633744</v>
      </c>
      <c r="D7" s="7">
        <f xml:space="preserve"> 0 + CAL!D7 + CAR!D7 + CENT!D7 + FLA!D7 + MIDA!D7 + MIDW!D7 + NE!D7 + NY!D7 + NW!D7 + SE!D7 + SW!D7 + TEN!D7 + TEX!D7</f>
        <v>3781629683.0337415</v>
      </c>
      <c r="E7" s="7">
        <f xml:space="preserve"> 0 + CAL!E7 + CAR!E7 + CENT!E7 + FLA!E7 + MIDA!E7 + MIDW!E7 + NE!E7 + NY!E7 + NW!E7 + SE!E7 + SW!E7 + TEN!E7 + TEX!E7</f>
        <v>3864234199.3015151</v>
      </c>
      <c r="F7" s="7">
        <f xml:space="preserve"> 0 + CAL!F7 + CAR!F7 + CENT!F7 + FLA!F7 + MIDA!F7 + MIDW!F7 + NE!F7 + NY!F7 + NW!F7 + SE!F7 + SW!F7 + TEN!F7 + TEX!F7</f>
        <v>3948490805.8946428</v>
      </c>
      <c r="G7" s="7">
        <f xml:space="preserve"> 0 + CAL!G7 + CAR!G7 + CENT!G7 + FLA!G7 + MIDA!G7 + MIDW!G7 + NE!G7 + NY!G7 + NW!G7 + SE!G7 + SW!G7 + TEN!G7 + TEX!G7</f>
        <v>4034432544.6196351</v>
      </c>
      <c r="H7" s="7">
        <f xml:space="preserve"> 0 + CAL!H7 + CAR!H7 + CENT!H7 + FLA!H7 + MIDA!H7 + MIDW!H7 + NE!H7 + NY!H7 + NW!H7 + SE!H7 + SW!H7 + TEN!H7 + TEX!H7</f>
        <v>4122093118.1191282</v>
      </c>
      <c r="I7" s="7">
        <f xml:space="preserve"> 0 + CAL!I7 + CAR!I7 + CENT!I7 + FLA!I7 + MIDA!I7 + MIDW!I7 + NE!I7 + NY!I7 + NW!I7 + SE!I7 + SW!I7 + TEN!I7 + TEX!I7</f>
        <v>4211506903.0886106</v>
      </c>
      <c r="J7" s="7">
        <f xml:space="preserve"> 0 + CAL!J7 + CAR!J7 + CENT!J7 + FLA!J7 + MIDA!J7 + MIDW!J7 + NE!J7 + NY!J7 + NW!J7 + SE!J7 + SW!J7 + TEN!J7 + TEX!J7</f>
        <v>4302708963.7574835</v>
      </c>
      <c r="K7" s="7">
        <f xml:space="preserve"> 0 + CAL!K7 + CAR!K7 + CENT!K7 + FLA!K7 + MIDA!K7 + MIDW!K7 + NE!K7 + NY!K7 + NW!K7 + SE!K7 + SW!K7 + TEN!K7 + TEX!K7</f>
        <v>4395735065.6397333</v>
      </c>
      <c r="L7" s="7">
        <f xml:space="preserve"> 0 + CAL!L7 + CAR!L7 + CENT!L7 + FLA!L7 + MIDA!L7 + MIDW!L7 + NE!L7 + NY!L7 + NW!L7 + SE!L7 + SW!L7 + TEN!L7 + TEX!L7</f>
        <v>4490621689.5596275</v>
      </c>
      <c r="M7" s="7">
        <f xml:space="preserve"> 0 + CAL!M7 + CAR!M7 + CENT!M7 + FLA!M7 + MIDA!M7 + MIDW!M7 + NE!M7 + NY!M7 + NW!M7 + SE!M7 + SW!M7 + TEN!M7 + TEX!M7</f>
        <v>4587406045.957922</v>
      </c>
      <c r="N7" s="7">
        <f xml:space="preserve"> 0 + CAL!N7 + CAR!N7 + CENT!N7 + FLA!N7 + MIDA!N7 + MIDW!N7 + NE!N7 + NY!N7 + NW!N7 + SE!N7 + SW!N7 + TEN!N7 + TEX!N7</f>
        <v>4686126089.4841795</v>
      </c>
      <c r="O7" s="7">
        <f xml:space="preserve"> 0 + CAL!O7 + CAR!O7 + CENT!O7 + FLA!O7 + MIDA!O7 + MIDW!O7 + NE!O7 + NY!O7 + NW!O7 + SE!O7 + SW!O7 + TEN!O7 + TEX!O7</f>
        <v>4786820533.8809576</v>
      </c>
      <c r="P7" s="7">
        <f xml:space="preserve"> 0 + CAL!P7 + CAR!P7 + CENT!P7 + FLA!P7 + MIDA!P7 + MIDW!P7 + NE!P7 + NY!P7 + NW!P7 + SE!P7 + SW!P7 + TEN!P7 + TEX!P7</f>
        <v>4889528867.1656771</v>
      </c>
      <c r="Q7" s="7">
        <f xml:space="preserve"> 0 + CAL!Q7 + CAR!Q7 + CENT!Q7 + FLA!Q7 + MIDA!Q7 + MIDW!Q7 + NE!Q7 + NY!Q7 + NW!Q7 + SE!Q7 + SW!Q7 + TEN!Q7 + TEX!Q7</f>
        <v>4994291367.1160936</v>
      </c>
      <c r="R7" s="7">
        <f xml:space="preserve"> 0 + CAL!R7 + CAR!R7 + CENT!R7 + FLA!R7 + MIDA!R7 + MIDW!R7 + NE!R7 + NY!R7 + NW!R7 + SE!R7 + SW!R7 + TEN!R7 + TEX!R7</f>
        <v>5101149117.0655155</v>
      </c>
      <c r="S7" s="7">
        <f xml:space="preserve"> 0 + CAL!S7 + CAR!S7 + CENT!S7 + FLA!S7 + MIDA!S7 + MIDW!S7 + NE!S7 + NY!S7 + NW!S7 + SE!S7 + SW!S7 + TEN!S7 + TEX!S7</f>
        <v>5210144022.0139265</v>
      </c>
      <c r="T7" s="7">
        <f xml:space="preserve"> 0 + CAL!T7 + CAR!T7 + CENT!T7 + FLA!T7 + MIDA!T7 + MIDW!T7 + NE!T7 + NY!T7 + NW!T7 + SE!T7 + SW!T7 + TEN!T7 + TEX!T7</f>
        <v>5321318825.0613079</v>
      </c>
      <c r="U7" s="7">
        <f xml:space="preserve"> 0 + CAL!U7 + CAR!U7 + CENT!U7 + FLA!U7 + MIDA!U7 + MIDW!U7 + NE!U7 + NY!U7 + NW!U7 + SE!U7 + SW!U7 + TEN!U7 + TEX!U7</f>
        <v>5434717124.1696339</v>
      </c>
      <c r="V7" s="7">
        <f xml:space="preserve"> 0 + CAL!V7 + CAR!V7 + CENT!V7 + FLA!V7 + MIDA!V7 + MIDW!V7 + NE!V7 + NY!V7 + NW!V7 + SE!V7 + SW!V7 + TEN!V7 + TEX!V7</f>
        <v>5550383389.2601204</v>
      </c>
      <c r="W7" s="7">
        <f xml:space="preserve"> 0 + CAL!W7 + CAR!W7 + CENT!W7 + FLA!W7 + MIDA!W7 + MIDW!W7 + NE!W7 + NY!W7 + NW!W7 + SE!W7 + SW!W7 + TEN!W7 + TEX!W7</f>
        <v>5668362979.6524277</v>
      </c>
      <c r="X7" s="7">
        <f xml:space="preserve"> 0 + CAL!X7 + CAR!X7 + CENT!X7 + FLA!X7 + MIDA!X7 + MIDW!X7 + NE!X7 + NY!X7 + NW!X7 + SE!X7 + SW!X7 + TEN!X7 + TEX!X7</f>
        <v>5788702161.8525734</v>
      </c>
      <c r="Y7" s="7">
        <f xml:space="preserve"> 0 + CAL!Y7 + CAR!Y7 + CENT!Y7 + FLA!Y7 + MIDA!Y7 + MIDW!Y7 + NE!Y7 + NY!Y7 + NW!Y7 + SE!Y7 + SW!Y7 + TEN!Y7 + TEX!Y7</f>
        <v>5911448127.6967182</v>
      </c>
      <c r="Z7" s="7">
        <f xml:space="preserve"> 0 + CAL!Z7 + CAR!Z7 + CENT!Z7 + FLA!Z7 + MIDA!Z7 + MIDW!Z7 + NE!Z7 + NY!Z7 + NW!Z7 + SE!Z7 + SW!Z7 + TEN!Z7 + TEX!Z7</f>
        <v>6036649012.8577595</v>
      </c>
      <c r="AA7" s="7">
        <f xml:space="preserve"> 0 + CAL!AA7 + CAR!AA7 + CENT!AA7 + FLA!AA7 + MIDA!AA7 + MIDW!AA7 + NE!AA7 + NY!AA7 + NW!AA7 + SE!AA7 + SW!AA7 + TEN!AA7 + TEX!AA7</f>
        <v>6164353915.7220154</v>
      </c>
      <c r="AB7" s="7">
        <f xml:space="preserve"> 0 + CAL!AB7 + CAR!AB7 + CENT!AB7 + FLA!AB7 + MIDA!AB7 + MIDW!AB7 + NE!AB7 + NY!AB7 + NW!AB7 + SE!AB7 + SW!AB7 + TEN!AB7 + TEX!AB7</f>
        <v>6294612916.6435595</v>
      </c>
      <c r="AC7" s="7">
        <f xml:space="preserve"> 0 + CAL!AC7 + CAR!AC7 + CENT!AC7 + FLA!AC7 + MIDA!AC7 + MIDW!AC7 + NE!AC7 + NY!AC7 + NW!AC7 + SE!AC7 + SW!AC7 + TEN!AC7 + TEX!AC7</f>
        <v>6427477097.583518</v>
      </c>
    </row>
    <row r="8" spans="1:29" x14ac:dyDescent="0.85">
      <c r="A8" t="str">
        <f>CAL!A8</f>
        <v>MW_Cost</v>
      </c>
      <c r="B8" s="7">
        <f xml:space="preserve"> 0 + CAL!B8 + CAR!B8 + CENT!B8 + FLA!B8 + MIDA!B8 + MIDW!B8 + NE!B8 + NY!B8 + NW!B8 + SE!B8 + SW!B8 + TEN!B8 + TEX!B8</f>
        <v>368110.79937500006</v>
      </c>
      <c r="C8" s="7">
        <f xml:space="preserve"> 0 + CAL!C8 + CAR!C8 + CENT!C8 + FLA!C8 + MIDA!C8 + MIDW!C8 + NE!C8 + NY!C8 + NW!C8 + SE!C8 + SW!C8 + TEN!C8 + TEX!C8</f>
        <v>364480.82229509996</v>
      </c>
      <c r="D8" s="7">
        <f xml:space="preserve"> 0 + CAL!D8 + CAR!D8 + CENT!D8 + FLA!D8 + MIDA!D8 + MIDW!D8 + NE!D8 + NY!D8 + NW!D8 + SE!D8 + SW!D8 + TEN!D8 + TEX!D8</f>
        <v>361320.44793607004</v>
      </c>
      <c r="E8" s="7">
        <f xml:space="preserve"> 0 + CAL!E8 + CAR!E8 + CENT!E8 + FLA!E8 + MIDA!E8 + MIDW!E8 + NE!E8 + NY!E8 + NW!E8 + SE!E8 + SW!E8 + TEN!E8 + TEX!E8</f>
        <v>358395.65463445993</v>
      </c>
      <c r="F8" s="7">
        <f xml:space="preserve"> 0 + CAL!F8 + CAR!F8 + CENT!F8 + FLA!F8 + MIDA!F8 + MIDW!F8 + NE!F8 + NY!F8 + NW!F8 + SE!F8 + SW!F8 + TEN!F8 + TEX!F8</f>
        <v>356637.60497075994</v>
      </c>
      <c r="G8" s="7">
        <f xml:space="preserve"> 0 + CAL!G8 + CAR!G8 + CENT!G8 + FLA!G8 + MIDA!G8 + MIDW!G8 + NE!G8 + NY!G8 + NW!G8 + SE!G8 + SW!G8 + TEN!G8 + TEX!G8</f>
        <v>357256.62252530997</v>
      </c>
      <c r="H8" s="7">
        <f xml:space="preserve"> 0 + CAL!H8 + CAR!H8 + CENT!H8 + FLA!H8 + MIDA!H8 + MIDW!H8 + NE!H8 + NY!H8 + NW!H8 + SE!H8 + SW!H8 + TEN!H8 + TEX!H8</f>
        <v>360804.88122878998</v>
      </c>
      <c r="I8" s="7">
        <f xml:space="preserve"> 0 + CAL!I8 + CAR!I8 + CENT!I8 + FLA!I8 + MIDA!I8 + MIDW!I8 + NE!I8 + NY!I8 + NW!I8 + SE!I8 + SW!I8 + TEN!I8 + TEX!I8</f>
        <v>366837.46823816001</v>
      </c>
      <c r="J8" s="7">
        <f xml:space="preserve"> 0 + CAL!J8 + CAR!J8 + CENT!J8 + FLA!J8 + MIDA!J8 + MIDW!J8 + NE!J8 + NY!J8 + NW!J8 + SE!J8 + SW!J8 + TEN!J8 + TEX!J8</f>
        <v>374332.89907657</v>
      </c>
      <c r="K8" s="7">
        <f xml:space="preserve"> 0 + CAL!K8 + CAR!K8 + CENT!K8 + FLA!K8 + MIDA!K8 + MIDW!K8 + NE!K8 + NY!K8 + NW!K8 + SE!K8 + SW!K8 + TEN!K8 + TEX!K8</f>
        <v>384705.84289673006</v>
      </c>
      <c r="L8" s="7">
        <f xml:space="preserve"> 0 + CAL!L8 + CAR!L8 + CENT!L8 + FLA!L8 + MIDA!L8 + MIDW!L8 + NE!L8 + NY!L8 + NW!L8 + SE!L8 + SW!L8 + TEN!L8 + TEX!L8</f>
        <v>395500.34926856996</v>
      </c>
      <c r="M8" s="7">
        <f xml:space="preserve"> 0 + CAL!M8 + CAR!M8 + CENT!M8 + FLA!M8 + MIDA!M8 + MIDW!M8 + NE!M8 + NY!M8 + NW!M8 + SE!M8 + SW!M8 + TEN!M8 + TEX!M8</f>
        <v>424119.28168800985</v>
      </c>
      <c r="N8" s="7">
        <f xml:space="preserve"> 0 + CAL!N8 + CAR!N8 + CENT!N8 + FLA!N8 + MIDA!N8 + MIDW!N8 + NE!N8 + NY!N8 + NW!N8 + SE!N8 + SW!N8 + TEN!N8 + TEX!N8</f>
        <v>451224.75720862992</v>
      </c>
      <c r="O8" s="7">
        <f xml:space="preserve"> 0 + CAL!O8 + CAR!O8 + CENT!O8 + FLA!O8 + MIDA!O8 + MIDW!O8 + NE!O8 + NY!O8 + NW!O8 + SE!O8 + SW!O8 + TEN!O8 + TEX!O8</f>
        <v>483159.36576493003</v>
      </c>
      <c r="P8" s="7">
        <f xml:space="preserve"> 0 + CAL!P8 + CAR!P8 + CENT!P8 + FLA!P8 + MIDA!P8 + MIDW!P8 + NE!P8 + NY!P8 + NW!P8 + SE!P8 + SW!P8 + TEN!P8 + TEX!P8</f>
        <v>514009.01387304999</v>
      </c>
      <c r="Q8" s="7">
        <f xml:space="preserve"> 0 + CAL!Q8 + CAR!Q8 + CENT!Q8 + FLA!Q8 + MIDA!Q8 + MIDW!Q8 + NE!Q8 + NY!Q8 + NW!Q8 + SE!Q8 + SW!Q8 + TEN!Q8 + TEX!Q8</f>
        <v>554425.68686889007</v>
      </c>
      <c r="R8" s="7">
        <f xml:space="preserve"> 0 + CAL!R8 + CAR!R8 + CENT!R8 + FLA!R8 + MIDA!R8 + MIDW!R8 + NE!R8 + NY!R8 + NW!R8 + SE!R8 + SW!R8 + TEN!R8 + TEX!R8</f>
        <v>595631.11240024993</v>
      </c>
      <c r="S8" s="7">
        <f xml:space="preserve"> 0 + CAL!S8 + CAR!S8 + CENT!S8 + FLA!S8 + MIDA!S8 + MIDW!S8 + NE!S8 + NY!S8 + NW!S8 + SE!S8 + SW!S8 + TEN!S8 + TEX!S8</f>
        <v>637694.65139108011</v>
      </c>
      <c r="T8" s="7">
        <f xml:space="preserve"> 0 + CAL!T8 + CAR!T8 + CENT!T8 + FLA!T8 + MIDA!T8 + MIDW!T8 + NE!T8 + NY!T8 + NW!T8 + SE!T8 + SW!T8 + TEN!T8 + TEX!T8</f>
        <v>681109.13516260008</v>
      </c>
      <c r="U8" s="7">
        <f xml:space="preserve"> 0 + CAL!U8 + CAR!U8 + CENT!U8 + FLA!U8 + MIDA!U8 + MIDW!U8 + NE!U8 + NY!U8 + NW!U8 + SE!U8 + SW!U8 + TEN!U8 + TEX!U8</f>
        <v>723802.82660426991</v>
      </c>
      <c r="V8" s="7">
        <f xml:space="preserve"> 0 + CAL!V8 + CAR!V8 + CENT!V8 + FLA!V8 + MIDA!V8 + MIDW!V8 + NE!V8 + NY!V8 + NW!V8 + SE!V8 + SW!V8 + TEN!V8 + TEX!V8</f>
        <v>763183.22116864007</v>
      </c>
      <c r="W8" s="7">
        <f xml:space="preserve"> 0 + CAL!W8 + CAR!W8 + CENT!W8 + FLA!W8 + MIDA!W8 + MIDW!W8 + NE!W8 + NY!W8 + NW!W8 + SE!W8 + SW!W8 + TEN!W8 + TEX!W8</f>
        <v>797517.05577607988</v>
      </c>
      <c r="X8" s="7">
        <f xml:space="preserve"> 0 + CAL!X8 + CAR!X8 + CENT!X8 + FLA!X8 + MIDA!X8 + MIDW!X8 + NE!X8 + NY!X8 + NW!X8 + SE!X8 + SW!X8 + TEN!X8 + TEX!X8</f>
        <v>833668.12889129994</v>
      </c>
      <c r="Y8" s="7">
        <f xml:space="preserve"> 0 + CAL!Y8 + CAR!Y8 + CENT!Y8 + FLA!Y8 + MIDA!Y8 + MIDW!Y8 + NE!Y8 + NY!Y8 + NW!Y8 + SE!Y8 + SW!Y8 + TEN!Y8 + TEX!Y8</f>
        <v>871754.17719891993</v>
      </c>
      <c r="Z8" s="7">
        <f xml:space="preserve"> 0 + CAL!Z8 + CAR!Z8 + CENT!Z8 + FLA!Z8 + MIDA!Z8 + MIDW!Z8 + NE!Z8 + NY!Z8 + NW!Z8 + SE!Z8 + SW!Z8 + TEN!Z8 + TEX!Z8</f>
        <v>910533.68282284995</v>
      </c>
      <c r="AA8" s="7">
        <f xml:space="preserve"> 0 + CAL!AA8 + CAR!AA8 + CENT!AA8 + FLA!AA8 + MIDA!AA8 + MIDW!AA8 + NE!AA8 + NY!AA8 + NW!AA8 + SE!AA8 + SW!AA8 + TEN!AA8 + TEX!AA8</f>
        <v>950205.87548001995</v>
      </c>
      <c r="AB8" s="7">
        <f xml:space="preserve"> 0 + CAL!AB8 + CAR!AB8 + CENT!AB8 + FLA!AB8 + MIDA!AB8 + MIDW!AB8 + NE!AB8 + NY!AB8 + NW!AB8 + SE!AB8 + SW!AB8 + TEN!AB8 + TEX!AB8</f>
        <v>988162.72120561008</v>
      </c>
      <c r="AC8" s="7">
        <f xml:space="preserve"> 0 + CAL!AC8 + CAR!AC8 + CENT!AC8 + FLA!AC8 + MIDA!AC8 + MIDW!AC8 + NE!AC8 + NY!AC8 + NW!AC8 + SE!AC8 + SW!AC8 + TEN!AC8 + TEX!AC8</f>
        <v>1023287.17242561</v>
      </c>
    </row>
    <row r="9" spans="1:29" x14ac:dyDescent="0.85">
      <c r="A9" t="str">
        <f>CAL!A9</f>
        <v>MWh_Cost</v>
      </c>
      <c r="B9" s="7">
        <f xml:space="preserve"> 0 + CAL!B9 + CAR!B9 + CENT!B9 + FLA!B9 + MIDA!B9 + MIDW!B9 + NE!B9 + NY!B9 + NW!B9 + SE!B9 + SW!B9 + TEN!B9 + TEX!B9</f>
        <v>63988.383580840004</v>
      </c>
      <c r="C9" s="7">
        <f xml:space="preserve"> 0 + CAL!C9 + CAR!C9 + CENT!C9 + FLA!C9 + MIDA!C9 + MIDW!C9 + NE!C9 + NY!C9 + NW!C9 + SE!C9 + SW!C9 + TEN!C9 + TEX!C9</f>
        <v>66681.364343330002</v>
      </c>
      <c r="D9" s="7">
        <f xml:space="preserve"> 0 + CAL!D9 + CAR!D9 + CENT!D9 + FLA!D9 + MIDA!D9 + MIDW!D9 + NE!D9 + NY!D9 + NW!D9 + SE!D9 + SW!D9 + TEN!D9 + TEX!D9</f>
        <v>69354.672586190005</v>
      </c>
      <c r="E9" s="7">
        <f xml:space="preserve"> 0 + CAL!E9 + CAR!E9 + CENT!E9 + FLA!E9 + MIDA!E9 + MIDW!E9 + NE!E9 + NY!E9 + NW!E9 + SE!E9 + SW!E9 + TEN!E9 + TEX!E9</f>
        <v>71998.126900169998</v>
      </c>
      <c r="F9" s="7">
        <f xml:space="preserve"> 0 + CAL!F9 + CAR!F9 + CENT!F9 + FLA!F9 + MIDA!F9 + MIDW!F9 + NE!F9 + NY!F9 + NW!F9 + SE!F9 + SW!F9 + TEN!F9 + TEX!F9</f>
        <v>74337.3249048</v>
      </c>
      <c r="G9" s="7">
        <f xml:space="preserve"> 0 + CAL!G9 + CAR!G9 + CENT!G9 + FLA!G9 + MIDA!G9 + MIDW!G9 + NE!G9 + NY!G9 + NW!G9 + SE!G9 + SW!G9 + TEN!G9 + TEX!G9</f>
        <v>76076.218607459989</v>
      </c>
      <c r="H9" s="7">
        <f xml:space="preserve"> 0 + CAL!H9 + CAR!H9 + CENT!H9 + FLA!H9 + MIDA!H9 + MIDW!H9 + NE!H9 + NY!H9 + NW!H9 + SE!H9 + SW!H9 + TEN!H9 + TEX!H9</f>
        <v>77576.488430170022</v>
      </c>
      <c r="I9" s="7">
        <f xml:space="preserve"> 0 + CAL!I9 + CAR!I9 + CENT!I9 + FLA!I9 + MIDA!I9 + MIDW!I9 + NE!I9 + NY!I9 + NW!I9 + SE!I9 + SW!I9 + TEN!I9 + TEX!I9</f>
        <v>78962.919279810012</v>
      </c>
      <c r="J9" s="7">
        <f xml:space="preserve"> 0 + CAL!J9 + CAR!J9 + CENT!J9 + FLA!J9 + MIDA!J9 + MIDW!J9 + NE!J9 + NY!J9 + NW!J9 + SE!J9 + SW!J9 + TEN!J9 + TEX!J9</f>
        <v>80073.390329150017</v>
      </c>
      <c r="K9" s="7">
        <f xml:space="preserve"> 0 + CAL!K9 + CAR!K9 + CENT!K9 + FLA!K9 + MIDA!K9 + MIDW!K9 + NE!K9 + NY!K9 + NW!K9 + SE!K9 + SW!K9 + TEN!K9 + TEX!K9</f>
        <v>80827.723436640008</v>
      </c>
      <c r="L9" s="7">
        <f xml:space="preserve"> 0 + CAL!L9 + CAR!L9 + CENT!L9 + FLA!L9 + MIDA!L9 + MIDW!L9 + NE!L9 + NY!L9 + NW!L9 + SE!L9 + SW!L9 + TEN!L9 + TEX!L9</f>
        <v>81407.383660100008</v>
      </c>
      <c r="M9" s="7">
        <f xml:space="preserve"> 0 + CAL!M9 + CAR!M9 + CENT!M9 + FLA!M9 + MIDA!M9 + MIDW!M9 + NE!M9 + NY!M9 + NW!M9 + SE!M9 + SW!M9 + TEN!M9 + TEX!M9</f>
        <v>80106.925293420005</v>
      </c>
      <c r="N9" s="7">
        <f xml:space="preserve"> 0 + CAL!N9 + CAR!N9 + CENT!N9 + FLA!N9 + MIDA!N9 + MIDW!N9 + NE!N9 + NY!N9 + NW!N9 + SE!N9 + SW!N9 + TEN!N9 + TEX!N9</f>
        <v>78618.593213510001</v>
      </c>
      <c r="O9" s="7">
        <f xml:space="preserve"> 0 + CAL!O9 + CAR!O9 + CENT!O9 + FLA!O9 + MIDA!O9 + MIDW!O9 + NE!O9 + NY!O9 + NW!O9 + SE!O9 + SW!O9 + TEN!O9 + TEX!O9</f>
        <v>76619.731638379992</v>
      </c>
      <c r="P9" s="7">
        <f xml:space="preserve"> 0 + CAL!P9 + CAR!P9 + CENT!P9 + FLA!P9 + MIDA!P9 + MIDW!P9 + NE!P9 + NY!P9 + NW!P9 + SE!P9 + SW!P9 + TEN!P9 + TEX!P9</f>
        <v>74662.745079910004</v>
      </c>
      <c r="Q9" s="7">
        <f xml:space="preserve"> 0 + CAL!Q9 + CAR!Q9 + CENT!Q9 + FLA!Q9 + MIDA!Q9 + MIDW!Q9 + NE!Q9 + NY!Q9 + NW!Q9 + SE!Q9 + SW!Q9 + TEN!Q9 + TEX!Q9</f>
        <v>71931.592959720016</v>
      </c>
      <c r="R9" s="7">
        <f xml:space="preserve"> 0 + CAL!R9 + CAR!R9 + CENT!R9 + FLA!R9 + MIDA!R9 + MIDW!R9 + NE!R9 + NY!R9 + NW!R9 + SE!R9 + SW!R9 + TEN!R9 + TEX!R9</f>
        <v>69336.823173739991</v>
      </c>
      <c r="S9" s="7">
        <f xml:space="preserve"> 0 + CAL!S9 + CAR!S9 + CENT!S9 + FLA!S9 + MIDA!S9 + MIDW!S9 + NE!S9 + NY!S9 + NW!S9 + SE!S9 + SW!S9 + TEN!S9 + TEX!S9</f>
        <v>66960.748654150011</v>
      </c>
      <c r="T9" s="7">
        <f xml:space="preserve"> 0 + CAL!T9 + CAR!T9 + CENT!T9 + FLA!T9 + MIDA!T9 + MIDW!T9 + NE!T9 + NY!T9 + NW!T9 + SE!T9 + SW!T9 + TEN!T9 + TEX!T9</f>
        <v>64782.025580990012</v>
      </c>
      <c r="U9" s="7">
        <f xml:space="preserve"> 0 + CAL!U9 + CAR!U9 + CENT!U9 + FLA!U9 + MIDA!U9 + MIDW!U9 + NE!U9 + NY!U9 + NW!U9 + SE!U9 + SW!U9 + TEN!U9 + TEX!U9</f>
        <v>62942.202235130011</v>
      </c>
      <c r="V9" s="7">
        <f xml:space="preserve"> 0 + CAL!V9 + CAR!V9 + CENT!V9 + FLA!V9 + MIDA!V9 + MIDW!V9 + NE!V9 + NY!V9 + NW!V9 + SE!V9 + SW!V9 + TEN!V9 + TEX!V9</f>
        <v>61517.735799239999</v>
      </c>
      <c r="W9" s="7">
        <f xml:space="preserve"> 0 + CAL!W9 + CAR!W9 + CENT!W9 + FLA!W9 + MIDA!W9 + MIDW!W9 + NE!W9 + NY!W9 + NW!W9 + SE!W9 + SW!W9 + TEN!W9 + TEX!W9</f>
        <v>60420.848837880003</v>
      </c>
      <c r="X9" s="7">
        <f xml:space="preserve"> 0 + CAL!X9 + CAR!X9 + CENT!X9 + FLA!X9 + MIDA!X9 + MIDW!X9 + NE!X9 + NY!X9 + NW!X9 + SE!X9 + SW!X9 + TEN!X9 + TEX!X9</f>
        <v>59418.65173889001</v>
      </c>
      <c r="Y9" s="7">
        <f xml:space="preserve"> 0 + CAL!Y9 + CAR!Y9 + CENT!Y9 + FLA!Y9 + MIDA!Y9 + MIDW!Y9 + NE!Y9 + NY!Y9 + NW!Y9 + SE!Y9 + SW!Y9 + TEN!Y9 + TEX!Y9</f>
        <v>58564.748941670005</v>
      </c>
      <c r="Z9" s="7">
        <f xml:space="preserve"> 0 + CAL!Z9 + CAR!Z9 + CENT!Z9 + FLA!Z9 + MIDA!Z9 + MIDW!Z9 + NE!Z9 + NY!Z9 + NW!Z9 + SE!Z9 + SW!Z9 + TEN!Z9 + TEX!Z9</f>
        <v>58088.707562229996</v>
      </c>
      <c r="AA9" s="7">
        <f xml:space="preserve"> 0 + CAL!AA9 + CAR!AA9 + CENT!AA9 + FLA!AA9 + MIDA!AA9 + MIDW!AA9 + NE!AA9 + NY!AA9 + NW!AA9 + SE!AA9 + SW!AA9 + TEN!AA9 + TEX!AA9</f>
        <v>57862.522797949998</v>
      </c>
      <c r="AB9" s="7">
        <f xml:space="preserve"> 0 + CAL!AB9 + CAR!AB9 + CENT!AB9 + FLA!AB9 + MIDA!AB9 + MIDW!AB9 + NE!AB9 + NY!AB9 + NW!AB9 + SE!AB9 + SW!AB9 + TEN!AB9 + TEX!AB9</f>
        <v>57929.529560459989</v>
      </c>
      <c r="AC9" s="7">
        <f xml:space="preserve"> 0 + CAL!AC9 + CAR!AC9 + CENT!AC9 + FLA!AC9 + MIDA!AC9 + MIDW!AC9 + NE!AC9 + NY!AC9 + NW!AC9 + SE!AC9 + SW!AC9 + TEN!AC9 + TEX!AC9</f>
        <v>58454.427975049992</v>
      </c>
    </row>
    <row r="10" spans="1:29" x14ac:dyDescent="0.85">
      <c r="A10" t="str">
        <f>CAL!A10</f>
        <v>Outage_Cost</v>
      </c>
      <c r="B10" s="7">
        <f xml:space="preserve"> 0 + CAL!B10 + CAR!B10 + CENT!B10 + FLA!B10 + MIDA!B10 + MIDW!B10 + NE!B10 + NY!B10 + NW!B10 + SE!B10 + SW!B10 + TEN!B10 + TEX!B10</f>
        <v>0</v>
      </c>
      <c r="C10" s="7">
        <f xml:space="preserve"> 0 + CAL!C10 + CAR!C10 + CENT!C10 + FLA!C10 + MIDA!C10 + MIDW!C10 + NE!C10 + NY!C10 + NW!C10 + SE!C10 + SW!C10 + TEN!C10 + TEX!C10</f>
        <v>2.0200000000000001E-6</v>
      </c>
      <c r="D10" s="7">
        <f xml:space="preserve"> 0 + CAL!D10 + CAR!D10 + CENT!D10 + FLA!D10 + MIDA!D10 + MIDW!D10 + NE!D10 + NY!D10 + NW!D10 + SE!D10 + SW!D10 + TEN!D10 + TEX!D10</f>
        <v>0</v>
      </c>
      <c r="E10" s="7">
        <f xml:space="preserve"> 0 + CAL!E10 + CAR!E10 + CENT!E10 + FLA!E10 + MIDA!E10 + MIDW!E10 + NE!E10 + NY!E10 + NW!E10 + SE!E10 + SW!E10 + TEN!E10 + TEX!E10</f>
        <v>0</v>
      </c>
      <c r="F10" s="7">
        <f xml:space="preserve"> 0 + CAL!F10 + CAR!F10 + CENT!F10 + FLA!F10 + MIDA!F10 + MIDW!F10 + NE!F10 + NY!F10 + NW!F10 + SE!F10 + SW!F10 + TEN!F10 + TEX!F10</f>
        <v>0</v>
      </c>
      <c r="G10" s="7">
        <f xml:space="preserve"> 0 + CAL!G10 + CAR!G10 + CENT!G10 + FLA!G10 + MIDA!G10 + MIDW!G10 + NE!G10 + NY!G10 + NW!G10 + SE!G10 + SW!G10 + TEN!G10 + TEX!G10</f>
        <v>0</v>
      </c>
      <c r="H10" s="7">
        <f xml:space="preserve"> 0 + CAL!H10 + CAR!H10 + CENT!H10 + FLA!H10 + MIDA!H10 + MIDW!H10 + NE!H10 + NY!H10 + NW!H10 + SE!H10 + SW!H10 + TEN!H10 + TEX!H10</f>
        <v>0</v>
      </c>
      <c r="I10" s="7">
        <f xml:space="preserve"> 0 + CAL!I10 + CAR!I10 + CENT!I10 + FLA!I10 + MIDA!I10 + MIDW!I10 + NE!I10 + NY!I10 + NW!I10 + SE!I10 + SW!I10 + TEN!I10 + TEX!I10</f>
        <v>0</v>
      </c>
      <c r="J10" s="7">
        <f xml:space="preserve"> 0 + CAL!J10 + CAR!J10 + CENT!J10 + FLA!J10 + MIDA!J10 + MIDW!J10 + NE!J10 + NY!J10 + NW!J10 + SE!J10 + SW!J10 + TEN!J10 + TEX!J10</f>
        <v>0</v>
      </c>
      <c r="K10" s="7">
        <f xml:space="preserve"> 0 + CAL!K10 + CAR!K10 + CENT!K10 + FLA!K10 + MIDA!K10 + MIDW!K10 + NE!K10 + NY!K10 + NW!K10 + SE!K10 + SW!K10 + TEN!K10 + TEX!K10</f>
        <v>0</v>
      </c>
      <c r="L10" s="7">
        <f xml:space="preserve"> 0 + CAL!L10 + CAR!L10 + CENT!L10 + FLA!L10 + MIDA!L10 + MIDW!L10 + NE!L10 + NY!L10 + NW!L10 + SE!L10 + SW!L10 + TEN!L10 + TEX!L10</f>
        <v>0</v>
      </c>
      <c r="M10" s="7">
        <f xml:space="preserve"> 0 + CAL!M10 + CAR!M10 + CENT!M10 + FLA!M10 + MIDA!M10 + MIDW!M10 + NE!M10 + NY!M10 + NW!M10 + SE!M10 + SW!M10 + TEN!M10 + TEX!M10</f>
        <v>0</v>
      </c>
      <c r="N10" s="7">
        <f xml:space="preserve"> 0 + CAL!N10 + CAR!N10 + CENT!N10 + FLA!N10 + MIDA!N10 + MIDW!N10 + NE!N10 + NY!N10 + NW!N10 + SE!N10 + SW!N10 + TEN!N10 + TEX!N10</f>
        <v>6.6000000000000003E-7</v>
      </c>
      <c r="O10" s="7">
        <f xml:space="preserve"> 0 + CAL!O10 + CAR!O10 + CENT!O10 + FLA!O10 + MIDA!O10 + MIDW!O10 + NE!O10 + NY!O10 + NW!O10 + SE!O10 + SW!O10 + TEN!O10 + TEX!O10</f>
        <v>0</v>
      </c>
      <c r="P10" s="7">
        <f xml:space="preserve"> 0 + CAL!P10 + CAR!P10 + CENT!P10 + FLA!P10 + MIDA!P10 + MIDW!P10 + NE!P10 + NY!P10 + NW!P10 + SE!P10 + SW!P10 + TEN!P10 + TEX!P10</f>
        <v>0</v>
      </c>
      <c r="Q10" s="7">
        <f xml:space="preserve"> 0 + CAL!Q10 + CAR!Q10 + CENT!Q10 + FLA!Q10 + MIDA!Q10 + MIDW!Q10 + NE!Q10 + NY!Q10 + NW!Q10 + SE!Q10 + SW!Q10 + TEN!Q10 + TEX!Q10</f>
        <v>0</v>
      </c>
      <c r="R10" s="7">
        <f xml:space="preserve"> 0 + CAL!R10 + CAR!R10 + CENT!R10 + FLA!R10 + MIDA!R10 + MIDW!R10 + NE!R10 + NY!R10 + NW!R10 + SE!R10 + SW!R10 + TEN!R10 + TEX!R10</f>
        <v>0</v>
      </c>
      <c r="S10" s="7">
        <f xml:space="preserve"> 0 + CAL!S10 + CAR!S10 + CENT!S10 + FLA!S10 + MIDA!S10 + MIDW!S10 + NE!S10 + NY!S10 + NW!S10 + SE!S10 + SW!S10 + TEN!S10 + TEX!S10</f>
        <v>0</v>
      </c>
      <c r="T10" s="7">
        <f xml:space="preserve"> 0 + CAL!T10 + CAR!T10 + CENT!T10 + FLA!T10 + MIDA!T10 + MIDW!T10 + NE!T10 + NY!T10 + NW!T10 + SE!T10 + SW!T10 + TEN!T10 + TEX!T10</f>
        <v>0</v>
      </c>
      <c r="U10" s="7">
        <f xml:space="preserve"> 0 + CAL!U10 + CAR!U10 + CENT!U10 + FLA!U10 + MIDA!U10 + MIDW!U10 + NE!U10 + NY!U10 + NW!U10 + SE!U10 + SW!U10 + TEN!U10 + TEX!U10</f>
        <v>0</v>
      </c>
      <c r="V10" s="7">
        <f xml:space="preserve"> 0 + CAL!V10 + CAR!V10 + CENT!V10 + FLA!V10 + MIDA!V10 + MIDW!V10 + NE!V10 + NY!V10 + NW!V10 + SE!V10 + SW!V10 + TEN!V10 + TEX!V10</f>
        <v>2E-8</v>
      </c>
      <c r="W10" s="7">
        <f xml:space="preserve"> 0 + CAL!W10 + CAR!W10 + CENT!W10 + FLA!W10 + MIDA!W10 + MIDW!W10 + NE!W10 + NY!W10 + NW!W10 + SE!W10 + SW!W10 + TEN!W10 + TEX!W10</f>
        <v>2.2999999999999999E-7</v>
      </c>
      <c r="X10" s="7">
        <f xml:space="preserve"> 0 + CAL!X10 + CAR!X10 + CENT!X10 + FLA!X10 + MIDA!X10 + MIDW!X10 + NE!X10 + NY!X10 + NW!X10 + SE!X10 + SW!X10 + TEN!X10 + TEX!X10</f>
        <v>3.0299999999999998E-6</v>
      </c>
      <c r="Y10" s="7">
        <f xml:space="preserve"> 0 + CAL!Y10 + CAR!Y10 + CENT!Y10 + FLA!Y10 + MIDA!Y10 + MIDW!Y10 + NE!Y10 + NY!Y10 + NW!Y10 + SE!Y10 + SW!Y10 + TEN!Y10 + TEX!Y10</f>
        <v>0</v>
      </c>
      <c r="Z10" s="7">
        <f xml:space="preserve"> 0 + CAL!Z10 + CAR!Z10 + CENT!Z10 + FLA!Z10 + MIDA!Z10 + MIDW!Z10 + NE!Z10 + NY!Z10 + NW!Z10 + SE!Z10 + SW!Z10 + TEN!Z10 + TEX!Z10</f>
        <v>0</v>
      </c>
      <c r="AA10" s="7">
        <f xml:space="preserve"> 0 + CAL!AA10 + CAR!AA10 + CENT!AA10 + FLA!AA10 + MIDA!AA10 + MIDW!AA10 + NE!AA10 + NY!AA10 + NW!AA10 + SE!AA10 + SW!AA10 + TEN!AA10 + TEX!AA10</f>
        <v>0</v>
      </c>
      <c r="AB10" s="7">
        <f xml:space="preserve"> 0 + CAL!AB10 + CAR!AB10 + CENT!AB10 + FLA!AB10 + MIDA!AB10 + MIDW!AB10 + NE!AB10 + NY!AB10 + NW!AB10 + SE!AB10 + SW!AB10 + TEN!AB10 + TEX!AB10</f>
        <v>0</v>
      </c>
      <c r="AC10" s="7">
        <f xml:space="preserve"> 0 + CAL!AC10 + CAR!AC10 + CENT!AC10 + FLA!AC10 + MIDA!AC10 + MIDW!AC10 + NE!AC10 + NY!AC10 + NW!AC10 + SE!AC10 + SW!AC10 + TEN!AC10 + TEX!AC10</f>
        <v>3.8000000000000001E-7</v>
      </c>
    </row>
    <row r="11" spans="1:29" x14ac:dyDescent="0.85">
      <c r="A11" t="str">
        <f>CAL!A11</f>
        <v>CO2_Cost</v>
      </c>
      <c r="B11" s="7">
        <f xml:space="preserve"> 0 + CAL!B11 + CAR!B11 + CENT!B11 + FLA!B11 + MIDA!B11 + MIDW!B11 + NE!B11 + NY!B11 + NW!B11 + SE!B11 + SW!B11 + TEN!B11 + TEX!B11</f>
        <v>0</v>
      </c>
      <c r="C11" s="7">
        <f xml:space="preserve"> 0 + CAL!C11 + CAR!C11 + CENT!C11 + FLA!C11 + MIDA!C11 + MIDW!C11 + NE!C11 + NY!C11 + NW!C11 + SE!C11 + SW!C11 + TEN!C11 + TEX!C11</f>
        <v>29301.006709650006</v>
      </c>
      <c r="D11" s="7">
        <f xml:space="preserve"> 0 + CAL!D11 + CAR!D11 + CENT!D11 + FLA!D11 + MIDA!D11 + MIDW!D11 + NE!D11 + NY!D11 + NW!D11 + SE!D11 + SW!D11 + TEN!D11 + TEX!D11</f>
        <v>60617.892069320005</v>
      </c>
      <c r="E11" s="7">
        <f xml:space="preserve"> 0 + CAL!E11 + CAR!E11 + CENT!E11 + FLA!E11 + MIDA!E11 + MIDW!E11 + NE!E11 + NY!E11 + NW!E11 + SE!E11 + SW!E11 + TEN!E11 + TEX!E11</f>
        <v>93925.669035719999</v>
      </c>
      <c r="F11" s="7">
        <f xml:space="preserve"> 0 + CAL!F11 + CAR!F11 + CENT!F11 + FLA!F11 + MIDA!F11 + MIDW!F11 + NE!F11 + NY!F11 + NW!F11 + SE!F11 + SW!F11 + TEN!F11 + TEX!F11</f>
        <v>128680.54843839002</v>
      </c>
      <c r="G11" s="7">
        <f xml:space="preserve"> 0 + CAL!G11 + CAR!G11 + CENT!G11 + FLA!G11 + MIDA!G11 + MIDW!G11 + NE!G11 + NY!G11 + NW!G11 + SE!G11 + SW!G11 + TEN!G11 + TEX!G11</f>
        <v>163651.39195831001</v>
      </c>
      <c r="H11" s="7">
        <f xml:space="preserve"> 0 + CAL!H11 + CAR!H11 + CENT!H11 + FLA!H11 + MIDA!H11 + MIDW!H11 + NE!H11 + NY!H11 + NW!H11 + SE!H11 + SW!H11 + TEN!H11 + TEX!H11</f>
        <v>197157.31952313002</v>
      </c>
      <c r="I11" s="7">
        <f xml:space="preserve"> 0 + CAL!I11 + CAR!I11 + CENT!I11 + FLA!I11 + MIDA!I11 + MIDW!I11 + NE!I11 + NY!I11 + NW!I11 + SE!I11 + SW!I11 + TEN!I11 + TEX!I11</f>
        <v>228854.21086066001</v>
      </c>
      <c r="J11" s="7">
        <f xml:space="preserve"> 0 + CAL!J11 + CAR!J11 + CENT!J11 + FLA!J11 + MIDA!J11 + MIDW!J11 + NE!J11 + NY!J11 + NW!J11 + SE!J11 + SW!J11 + TEN!J11 + TEX!J11</f>
        <v>259664.13085995</v>
      </c>
      <c r="K11" s="7">
        <f xml:space="preserve"> 0 + CAL!K11 + CAR!K11 + CENT!K11 + FLA!K11 + MIDA!K11 + MIDW!K11 + NE!K11 + NY!K11 + NW!K11 + SE!K11 + SW!K11 + TEN!K11 + TEX!K11</f>
        <v>288576.93908643001</v>
      </c>
      <c r="L11" s="7">
        <f xml:space="preserve"> 0 + CAL!L11 + CAR!L11 + CENT!L11 + FLA!L11 + MIDA!L11 + MIDW!L11 + NE!L11 + NY!L11 + NW!L11 + SE!L11 + SW!L11 + TEN!L11 + TEX!L11</f>
        <v>315951.99800036999</v>
      </c>
      <c r="M11" s="7">
        <f xml:space="preserve"> 0 + CAL!M11 + CAR!M11 + CENT!M11 + FLA!M11 + MIDA!M11 + MIDW!M11 + NE!M11 + NY!M11 + NW!M11 + SE!M11 + SW!M11 + TEN!M11 + TEX!M11</f>
        <v>327135.16558099003</v>
      </c>
      <c r="N11" s="7">
        <f xml:space="preserve"> 0 + CAL!N11 + CAR!N11 + CENT!N11 + FLA!N11 + MIDA!N11 + MIDW!N11 + NE!N11 + NY!N11 + NW!N11 + SE!N11 + SW!N11 + TEN!N11 + TEX!N11</f>
        <v>339202.88757833996</v>
      </c>
      <c r="O11" s="7">
        <f xml:space="preserve"> 0 + CAL!O11 + CAR!O11 + CENT!O11 + FLA!O11 + MIDA!O11 + MIDW!O11 + NE!O11 + NY!O11 + NW!O11 + SE!O11 + SW!O11 + TEN!O11 + TEX!O11</f>
        <v>345970.55335406004</v>
      </c>
      <c r="P11" s="7">
        <f xml:space="preserve"> 0 + CAL!P11 + CAR!P11 + CENT!P11 + FLA!P11 + MIDA!P11 + MIDW!P11 + NE!P11 + NY!P11 + NW!P11 + SE!P11 + SW!P11 + TEN!P11 + TEX!P11</f>
        <v>352325.80548204994</v>
      </c>
      <c r="Q11" s="7">
        <f xml:space="preserve"> 0 + CAL!Q11 + CAR!Q11 + CENT!Q11 + FLA!Q11 + MIDA!Q11 + MIDW!Q11 + NE!Q11 + NY!Q11 + NW!Q11 + SE!Q11 + SW!Q11 + TEN!Q11 + TEX!Q11</f>
        <v>348185.40797505004</v>
      </c>
      <c r="R11" s="7">
        <f xml:space="preserve"> 0 + CAL!R11 + CAR!R11 + CENT!R11 + FLA!R11 + MIDA!R11 + MIDW!R11 + NE!R11 + NY!R11 + NW!R11 + SE!R11 + SW!R11 + TEN!R11 + TEX!R11</f>
        <v>340633.67326130997</v>
      </c>
      <c r="S11" s="7">
        <f xml:space="preserve"> 0 + CAL!S11 + CAR!S11 + CENT!S11 + FLA!S11 + MIDA!S11 + MIDW!S11 + NE!S11 + NY!S11 + NW!S11 + SE!S11 + SW!S11 + TEN!S11 + TEX!S11</f>
        <v>330285.72007816995</v>
      </c>
      <c r="T11" s="7">
        <f xml:space="preserve"> 0 + CAL!T11 + CAR!T11 + CENT!T11 + FLA!T11 + MIDA!T11 + MIDW!T11 + NE!T11 + NY!T11 + NW!T11 + SE!T11 + SW!T11 + TEN!T11 + TEX!T11</f>
        <v>317137.40726635006</v>
      </c>
      <c r="U11" s="7">
        <f xml:space="preserve"> 0 + CAL!U11 + CAR!U11 + CENT!U11 + FLA!U11 + MIDA!U11 + MIDW!U11 + NE!U11 + NY!U11 + NW!U11 + SE!U11 + SW!U11 + TEN!U11 + TEX!U11</f>
        <v>303752.64288100007</v>
      </c>
      <c r="V11" s="7">
        <f xml:space="preserve"> 0 + CAL!V11 + CAR!V11 + CENT!V11 + FLA!V11 + MIDA!V11 + MIDW!V11 + NE!V11 + NY!V11 + NW!V11 + SE!V11 + SW!V11 + TEN!V11 + TEX!V11</f>
        <v>292557.43152352999</v>
      </c>
      <c r="W11" s="7">
        <f xml:space="preserve"> 0 + CAL!W11 + CAR!W11 + CENT!W11 + FLA!W11 + MIDA!W11 + MIDW!W11 + NE!W11 + NY!W11 + NW!W11 + SE!W11 + SW!W11 + TEN!W11 + TEX!W11</f>
        <v>284419.20143565995</v>
      </c>
      <c r="X11" s="7">
        <f xml:space="preserve"> 0 + CAL!X11 + CAR!X11 + CENT!X11 + FLA!X11 + MIDA!X11 + MIDW!X11 + NE!X11 + NY!X11 + NW!X11 + SE!X11 + SW!X11 + TEN!X11 + TEX!X11</f>
        <v>274770.15200305998</v>
      </c>
      <c r="Y11" s="7">
        <f xml:space="preserve"> 0 + CAL!Y11 + CAR!Y11 + CENT!Y11 + FLA!Y11 + MIDA!Y11 + MIDW!Y11 + NE!Y11 + NY!Y11 + NW!Y11 + SE!Y11 + SW!Y11 + TEN!Y11 + TEX!Y11</f>
        <v>263841.74693120993</v>
      </c>
      <c r="Z11" s="7">
        <f xml:space="preserve"> 0 + CAL!Z11 + CAR!Z11 + CENT!Z11 + FLA!Z11 + MIDA!Z11 + MIDW!Z11 + NE!Z11 + NY!Z11 + NW!Z11 + SE!Z11 + SW!Z11 + TEN!Z11 + TEX!Z11</f>
        <v>252930.88985432</v>
      </c>
      <c r="AA11" s="7">
        <f xml:space="preserve"> 0 + CAL!AA11 + CAR!AA11 + CENT!AA11 + FLA!AA11 + MIDA!AA11 + MIDW!AA11 + NE!AA11 + NY!AA11 + NW!AA11 + SE!AA11 + SW!AA11 + TEN!AA11 + TEX!AA11</f>
        <v>242143.64587197997</v>
      </c>
      <c r="AB11" s="7">
        <f xml:space="preserve"> 0 + CAL!AB11 + CAR!AB11 + CENT!AB11 + FLA!AB11 + MIDA!AB11 + MIDW!AB11 + NE!AB11 + NY!AB11 + NW!AB11 + SE!AB11 + SW!AB11 + TEN!AB11 + TEX!AB11</f>
        <v>234075.30513351003</v>
      </c>
      <c r="AC11" s="7">
        <f xml:space="preserve"> 0 + CAL!AC11 + CAR!AC11 + CENT!AC11 + FLA!AC11 + MIDA!AC11 + MIDW!AC11 + NE!AC11 + NY!AC11 + NW!AC11 + SE!AC11 + SW!AC11 + TEN!AC11 + TEX!AC11</f>
        <v>228872.11763380002</v>
      </c>
    </row>
    <row r="12" spans="1:29" x14ac:dyDescent="0.85">
      <c r="A12" t="str">
        <f>CAL!A12</f>
        <v>MW_MWh_Outage_Cost</v>
      </c>
      <c r="B12" s="7">
        <f xml:space="preserve"> 0 + CAL!B12 + CAR!B12 + CENT!B12 + FLA!B12 + MIDA!B12 + MIDW!B12 + NE!B12 + NY!B12 + NW!B12 + SE!B12 + SW!B12 + TEN!B12 + TEX!B12</f>
        <v>432099.18295584008</v>
      </c>
      <c r="C12" s="7">
        <f xml:space="preserve"> 0 + CAL!C12 + CAR!C12 + CENT!C12 + FLA!C12 + MIDA!C12 + MIDW!C12 + NE!C12 + NY!C12 + NW!C12 + SE!C12 + SW!C12 + TEN!C12 + TEX!C12</f>
        <v>431162.18664042995</v>
      </c>
      <c r="D12" s="7">
        <f xml:space="preserve"> 0 + CAL!D12 + CAR!D12 + CENT!D12 + FLA!D12 + MIDA!D12 + MIDW!D12 + NE!D12 + NY!D12 + NW!D12 + SE!D12 + SW!D12 + TEN!D12 + TEX!D12</f>
        <v>430675.12052225007</v>
      </c>
      <c r="E12" s="7">
        <f xml:space="preserve"> 0 + CAL!E12 + CAR!E12 + CENT!E12 + FLA!E12 + MIDA!E12 + MIDW!E12 + NE!E12 + NY!E12 + NW!E12 + SE!E12 + SW!E12 + TEN!E12 + TEX!E12</f>
        <v>430393.78153461998</v>
      </c>
      <c r="F12" s="7">
        <f xml:space="preserve"> 0 + CAL!F12 + CAR!F12 + CENT!F12 + FLA!F12 + MIDA!F12 + MIDW!F12 + NE!F12 + NY!F12 + NW!F12 + SE!F12 + SW!F12 + TEN!F12 + TEX!F12</f>
        <v>430974.92987555003</v>
      </c>
      <c r="G12" s="7">
        <f xml:space="preserve"> 0 + CAL!G12 + CAR!G12 + CENT!G12 + FLA!G12 + MIDA!G12 + MIDW!G12 + NE!G12 + NY!G12 + NW!G12 + SE!G12 + SW!G12 + TEN!G12 + TEX!G12</f>
        <v>433332.84113279008</v>
      </c>
      <c r="H12" s="7">
        <f xml:space="preserve"> 0 + CAL!H12 + CAR!H12 + CENT!H12 + FLA!H12 + MIDA!H12 + MIDW!H12 + NE!H12 + NY!H12 + NW!H12 + SE!H12 + SW!H12 + TEN!H12 + TEX!H12</f>
        <v>438381.36965896992</v>
      </c>
      <c r="I12" s="7">
        <f xml:space="preserve"> 0 + CAL!I12 + CAR!I12 + CENT!I12 + FLA!I12 + MIDA!I12 + MIDW!I12 + NE!I12 + NY!I12 + NW!I12 + SE!I12 + SW!I12 + TEN!I12 + TEX!I12</f>
        <v>445800.38751795993</v>
      </c>
      <c r="J12" s="7">
        <f xml:space="preserve"> 0 + CAL!J12 + CAR!J12 + CENT!J12 + FLA!J12 + MIDA!J12 + MIDW!J12 + NE!J12 + NY!J12 + NW!J12 + SE!J12 + SW!J12 + TEN!J12 + TEX!J12</f>
        <v>454406.2894057401</v>
      </c>
      <c r="K12" s="7">
        <f xml:space="preserve"> 0 + CAL!K12 + CAR!K12 + CENT!K12 + FLA!K12 + MIDA!K12 + MIDW!K12 + NE!K12 + NY!K12 + NW!K12 + SE!K12 + SW!K12 + TEN!K12 + TEX!K12</f>
        <v>465533.56633338</v>
      </c>
      <c r="L12" s="7">
        <f xml:space="preserve"> 0 + CAL!L12 + CAR!L12 + CENT!L12 + FLA!L12 + MIDA!L12 + MIDW!L12 + NE!L12 + NY!L12 + NW!L12 + SE!L12 + SW!L12 + TEN!L12 + TEX!L12</f>
        <v>476907.73292866006</v>
      </c>
      <c r="M12" s="7">
        <f xml:space="preserve"> 0 + CAL!M12 + CAR!M12 + CENT!M12 + FLA!M12 + MIDA!M12 + MIDW!M12 + NE!M12 + NY!M12 + NW!M12 + SE!M12 + SW!M12 + TEN!M12 + TEX!M12</f>
        <v>504226.20698142989</v>
      </c>
      <c r="N12" s="7">
        <f xml:space="preserve"> 0 + CAL!N12 + CAR!N12 + CENT!N12 + FLA!N12 + MIDA!N12 + MIDW!N12 + NE!N12 + NY!N12 + NW!N12 + SE!N12 + SW!N12 + TEN!N12 + TEX!N12</f>
        <v>529843.35042279004</v>
      </c>
      <c r="O12" s="7">
        <f xml:space="preserve"> 0 + CAL!O12 + CAR!O12 + CENT!O12 + FLA!O12 + MIDA!O12 + MIDW!O12 + NE!O12 + NY!O12 + NW!O12 + SE!O12 + SW!O12 + TEN!O12 + TEX!O12</f>
        <v>559779.09740329999</v>
      </c>
      <c r="P12" s="7">
        <f xml:space="preserve"> 0 + CAL!P12 + CAR!P12 + CENT!P12 + FLA!P12 + MIDA!P12 + MIDW!P12 + NE!P12 + NY!P12 + NW!P12 + SE!P12 + SW!P12 + TEN!P12 + TEX!P12</f>
        <v>588671.75895292999</v>
      </c>
      <c r="Q12" s="7">
        <f xml:space="preserve"> 0 + CAL!Q12 + CAR!Q12 + CENT!Q12 + FLA!Q12 + MIDA!Q12 + MIDW!Q12 + NE!Q12 + NY!Q12 + NW!Q12 + SE!Q12 + SW!Q12 + TEN!Q12 + TEX!Q12</f>
        <v>626357.27982862014</v>
      </c>
      <c r="R12" s="7">
        <f xml:space="preserve"> 0 + CAL!R12 + CAR!R12 + CENT!R12 + FLA!R12 + MIDA!R12 + MIDW!R12 + NE!R12 + NY!R12 + NW!R12 + SE!R12 + SW!R12 + TEN!R12 + TEX!R12</f>
        <v>664967.93557396997</v>
      </c>
      <c r="S12" s="7">
        <f xml:space="preserve"> 0 + CAL!S12 + CAR!S12 + CENT!S12 + FLA!S12 + MIDA!S12 + MIDW!S12 + NE!S12 + NY!S12 + NW!S12 + SE!S12 + SW!S12 + TEN!S12 + TEX!S12</f>
        <v>704655.40004520991</v>
      </c>
      <c r="T12" s="7">
        <f xml:space="preserve"> 0 + CAL!T12 + CAR!T12 + CENT!T12 + FLA!T12 + MIDA!T12 + MIDW!T12 + NE!T12 + NY!T12 + NW!T12 + SE!T12 + SW!T12 + TEN!T12 + TEX!T12</f>
        <v>745891.16074355994</v>
      </c>
      <c r="U12" s="7">
        <f xml:space="preserve"> 0 + CAL!U12 + CAR!U12 + CENT!U12 + FLA!U12 + MIDA!U12 + MIDW!U12 + NE!U12 + NY!U12 + NW!U12 + SE!U12 + SW!U12 + TEN!U12 + TEX!U12</f>
        <v>786745.02883939003</v>
      </c>
      <c r="V12" s="7">
        <f xml:space="preserve"> 0 + CAL!V12 + CAR!V12 + CENT!V12 + FLA!V12 + MIDA!V12 + MIDW!V12 + NE!V12 + NY!V12 + NW!V12 + SE!V12 + SW!V12 + TEN!V12 + TEX!V12</f>
        <v>824700.95696792984</v>
      </c>
      <c r="W12" s="7">
        <f xml:space="preserve"> 0 + CAL!W12 + CAR!W12 + CENT!W12 + FLA!W12 + MIDA!W12 + MIDW!W12 + NE!W12 + NY!W12 + NW!W12 + SE!W12 + SW!W12 + TEN!W12 + TEX!W12</f>
        <v>857937.90461416985</v>
      </c>
      <c r="X12" s="7">
        <f xml:space="preserve"> 0 + CAL!X12 + CAR!X12 + CENT!X12 + FLA!X12 + MIDA!X12 + MIDW!X12 + NE!X12 + NY!X12 + NW!X12 + SE!X12 + SW!X12 + TEN!X12 + TEX!X12</f>
        <v>893086.78063320997</v>
      </c>
      <c r="Y12" s="7">
        <f xml:space="preserve"> 0 + CAL!Y12 + CAR!Y12 + CENT!Y12 + FLA!Y12 + MIDA!Y12 + MIDW!Y12 + NE!Y12 + NY!Y12 + NW!Y12 + SE!Y12 + SW!Y12 + TEN!Y12 + TEX!Y12</f>
        <v>930318.92614058999</v>
      </c>
      <c r="Z12" s="7">
        <f xml:space="preserve"> 0 + CAL!Z12 + CAR!Z12 + CENT!Z12 + FLA!Z12 + MIDA!Z12 + MIDW!Z12 + NE!Z12 + NY!Z12 + NW!Z12 + SE!Z12 + SW!Z12 + TEN!Z12 + TEX!Z12</f>
        <v>968622.39038507978</v>
      </c>
      <c r="AA12" s="7">
        <f xml:space="preserve"> 0 + CAL!AA12 + CAR!AA12 + CENT!AA12 + FLA!AA12 + MIDA!AA12 + MIDW!AA12 + NE!AA12 + NY!AA12 + NW!AA12 + SE!AA12 + SW!AA12 + TEN!AA12 + TEX!AA12</f>
        <v>1008068.3982779501</v>
      </c>
      <c r="AB12" s="7">
        <f xml:space="preserve"> 0 + CAL!AB12 + CAR!AB12 + CENT!AB12 + FLA!AB12 + MIDA!AB12 + MIDW!AB12 + NE!AB12 + NY!AB12 + NW!AB12 + SE!AB12 + SW!AB12 + TEN!AB12 + TEX!AB12</f>
        <v>1046092.2507660699</v>
      </c>
      <c r="AC12" s="7">
        <f xml:space="preserve"> 0 + CAL!AC12 + CAR!AC12 + CENT!AC12 + FLA!AC12 + MIDA!AC12 + MIDW!AC12 + NE!AC12 + NY!AC12 + NW!AC12 + SE!AC12 + SW!AC12 + TEN!AC12 + TEX!AC12</f>
        <v>1081741.6004010299</v>
      </c>
    </row>
    <row r="13" spans="1:29" x14ac:dyDescent="0.85">
      <c r="A13" t="str">
        <f>CAL!A13</f>
        <v>Including_CO2_Cost</v>
      </c>
      <c r="B13" s="7">
        <f xml:space="preserve"> 0 + CAL!B13 + CAR!B13 + CENT!B13 + FLA!B13 + MIDA!B13 + MIDW!B13 + NE!B13 + NY!B13 + NW!B13 + SE!B13 + SW!B13 + TEN!B13 + TEX!B13</f>
        <v>432099.18295584008</v>
      </c>
      <c r="C13" s="7">
        <f xml:space="preserve"> 0 + CAL!C13 + CAR!C13 + CENT!C13 + FLA!C13 + MIDA!C13 + MIDW!C13 + NE!C13 + NY!C13 + NW!C13 + SE!C13 + SW!C13 + TEN!C13 + TEX!C13</f>
        <v>460463.19335010002</v>
      </c>
      <c r="D13" s="7">
        <f xml:space="preserve"> 0 + CAL!D13 + CAR!D13 + CENT!D13 + FLA!D13 + MIDA!D13 + MIDW!D13 + NE!D13 + NY!D13 + NW!D13 + SE!D13 + SW!D13 + TEN!D13 + TEX!D13</f>
        <v>491293.01259152999</v>
      </c>
      <c r="E13" s="7">
        <f xml:space="preserve"> 0 + CAL!E13 + CAR!E13 + CENT!E13 + FLA!E13 + MIDA!E13 + MIDW!E13 + NE!E13 + NY!E13 + NW!E13 + SE!E13 + SW!E13 + TEN!E13 + TEX!E13</f>
        <v>524319.45057034004</v>
      </c>
      <c r="F13" s="7">
        <f xml:space="preserve"> 0 + CAL!F13 + CAR!F13 + CENT!F13 + FLA!F13 + MIDA!F13 + MIDW!F13 + NE!F13 + NY!F13 + NW!F13 + SE!F13 + SW!F13 + TEN!F13 + TEX!F13</f>
        <v>559655.47831396002</v>
      </c>
      <c r="G13" s="7">
        <f xml:space="preserve"> 0 + CAL!G13 + CAR!G13 + CENT!G13 + FLA!G13 + MIDA!G13 + MIDW!G13 + NE!G13 + NY!G13 + NW!G13 + SE!G13 + SW!G13 + TEN!G13 + TEX!G13</f>
        <v>596984.23309109011</v>
      </c>
      <c r="H13" s="7">
        <f xml:space="preserve"> 0 + CAL!H13 + CAR!H13 + CENT!H13 + FLA!H13 + MIDA!H13 + MIDW!H13 + NE!H13 + NY!H13 + NW!H13 + SE!H13 + SW!H13 + TEN!H13 + TEX!H13</f>
        <v>635538.68918211001</v>
      </c>
      <c r="I13" s="7">
        <f xml:space="preserve"> 0 + CAL!I13 + CAR!I13 + CENT!I13 + FLA!I13 + MIDA!I13 + MIDW!I13 + NE!I13 + NY!I13 + NW!I13 + SE!I13 + SW!I13 + TEN!I13 + TEX!I13</f>
        <v>674654.59837864013</v>
      </c>
      <c r="J13" s="7">
        <f xml:space="preserve"> 0 + CAL!J13 + CAR!J13 + CENT!J13 + FLA!J13 + MIDA!J13 + MIDW!J13 + NE!J13 + NY!J13 + NW!J13 + SE!J13 + SW!J13 + TEN!J13 + TEX!J13</f>
        <v>714070.42026567017</v>
      </c>
      <c r="K13" s="7">
        <f xml:space="preserve"> 0 + CAL!K13 + CAR!K13 + CENT!K13 + FLA!K13 + MIDA!K13 + MIDW!K13 + NE!K13 + NY!K13 + NW!K13 + SE!K13 + SW!K13 + TEN!K13 + TEX!K13</f>
        <v>754110.50541979994</v>
      </c>
      <c r="L13" s="7">
        <f xml:space="preserve"> 0 + CAL!L13 + CAR!L13 + CENT!L13 + FLA!L13 + MIDA!L13 + MIDW!L13 + NE!L13 + NY!L13 + NW!L13 + SE!L13 + SW!L13 + TEN!L13 + TEX!L13</f>
        <v>792859.73092905013</v>
      </c>
      <c r="M13" s="7">
        <f xml:space="preserve"> 0 + CAL!M13 + CAR!M13 + CENT!M13 + FLA!M13 + MIDA!M13 + MIDW!M13 + NE!M13 + NY!M13 + NW!M13 + SE!M13 + SW!M13 + TEN!M13 + TEX!M13</f>
        <v>831361.37256241008</v>
      </c>
      <c r="N13" s="7">
        <f xml:space="preserve"> 0 + CAL!N13 + CAR!N13 + CENT!N13 + FLA!N13 + MIDA!N13 + MIDW!N13 + NE!N13 + NY!N13 + NW!N13 + SE!N13 + SW!N13 + TEN!N13 + TEX!N13</f>
        <v>869046.23800111003</v>
      </c>
      <c r="O13" s="7">
        <f xml:space="preserve"> 0 + CAL!O13 + CAR!O13 + CENT!O13 + FLA!O13 + MIDA!O13 + MIDW!O13 + NE!O13 + NY!O13 + NW!O13 + SE!O13 + SW!O13 + TEN!O13 + TEX!O13</f>
        <v>905749.65075738006</v>
      </c>
      <c r="P13" s="7">
        <f xml:space="preserve"> 0 + CAL!P13 + CAR!P13 + CENT!P13 + FLA!P13 + MIDA!P13 + MIDW!P13 + NE!P13 + NY!P13 + NW!P13 + SE!P13 + SW!P13 + TEN!P13 + TEX!P13</f>
        <v>940997.56443501997</v>
      </c>
      <c r="Q13" s="7">
        <f xml:space="preserve"> 0 + CAL!Q13 + CAR!Q13 + CENT!Q13 + FLA!Q13 + MIDA!Q13 + MIDW!Q13 + NE!Q13 + NY!Q13 + NW!Q13 + SE!Q13 + SW!Q13 + TEN!Q13 + TEX!Q13</f>
        <v>974542.68780367996</v>
      </c>
      <c r="R13" s="7">
        <f xml:space="preserve"> 0 + CAL!R13 + CAR!R13 + CENT!R13 + FLA!R13 + MIDA!R13 + MIDW!R13 + NE!R13 + NY!R13 + NW!R13 + SE!R13 + SW!R13 + TEN!R13 + TEX!R13</f>
        <v>1005601.6088353</v>
      </c>
      <c r="S13" s="7">
        <f xml:space="preserve"> 0 + CAL!S13 + CAR!S13 + CENT!S13 + FLA!S13 + MIDA!S13 + MIDW!S13 + NE!S13 + NY!S13 + NW!S13 + SE!S13 + SW!S13 + TEN!S13 + TEX!S13</f>
        <v>1034941.1201233799</v>
      </c>
      <c r="T13" s="7">
        <f xml:space="preserve"> 0 + CAL!T13 + CAR!T13 + CENT!T13 + FLA!T13 + MIDA!T13 + MIDW!T13 + NE!T13 + NY!T13 + NW!T13 + SE!T13 + SW!T13 + TEN!T13 + TEX!T13</f>
        <v>1063028.5680099302</v>
      </c>
      <c r="U13" s="7">
        <f xml:space="preserve"> 0 + CAL!U13 + CAR!U13 + CENT!U13 + FLA!U13 + MIDA!U13 + MIDW!U13 + NE!U13 + NY!U13 + NW!U13 + SE!U13 + SW!U13 + TEN!U13 + TEX!U13</f>
        <v>1090497.67172038</v>
      </c>
      <c r="V13" s="7">
        <f xml:space="preserve"> 0 + CAL!V13 + CAR!V13 + CENT!V13 + FLA!V13 + MIDA!V13 + MIDW!V13 + NE!V13 + NY!V13 + NW!V13 + SE!V13 + SW!V13 + TEN!V13 + TEX!V13</f>
        <v>1117258.3884914599</v>
      </c>
      <c r="W13" s="7">
        <f xml:space="preserve"> 0 + CAL!W13 + CAR!W13 + CENT!W13 + FLA!W13 + MIDA!W13 + MIDW!W13 + NE!W13 + NY!W13 + NW!W13 + SE!W13 + SW!W13 + TEN!W13 + TEX!W13</f>
        <v>1142357.1060498401</v>
      </c>
      <c r="X13" s="7">
        <f xml:space="preserve"> 0 + CAL!X13 + CAR!X13 + CENT!X13 + FLA!X13 + MIDA!X13 + MIDW!X13 + NE!X13 + NY!X13 + NW!X13 + SE!X13 + SW!X13 + TEN!X13 + TEX!X13</f>
        <v>1167856.9326362801</v>
      </c>
      <c r="Y13" s="7">
        <f xml:space="preserve"> 0 + CAL!Y13 + CAR!Y13 + CENT!Y13 + FLA!Y13 + MIDA!Y13 + MIDW!Y13 + NE!Y13 + NY!Y13 + NW!Y13 + SE!Y13 + SW!Y13 + TEN!Y13 + TEX!Y13</f>
        <v>1194160.67307181</v>
      </c>
      <c r="Z13" s="7">
        <f xml:space="preserve"> 0 + CAL!Z13 + CAR!Z13 + CENT!Z13 + FLA!Z13 + MIDA!Z13 + MIDW!Z13 + NE!Z13 + NY!Z13 + NW!Z13 + SE!Z13 + SW!Z13 + TEN!Z13 + TEX!Z13</f>
        <v>1221553.2802393902</v>
      </c>
      <c r="AA13" s="7">
        <f xml:space="preserve"> 0 + CAL!AA13 + CAR!AA13 + CENT!AA13 + FLA!AA13 + MIDA!AA13 + MIDW!AA13 + NE!AA13 + NY!AA13 + NW!AA13 + SE!AA13 + SW!AA13 + TEN!AA13 + TEX!AA13</f>
        <v>1250212.0441499499</v>
      </c>
      <c r="AB13" s="7">
        <f xml:space="preserve"> 0 + CAL!AB13 + CAR!AB13 + CENT!AB13 + FLA!AB13 + MIDA!AB13 + MIDW!AB13 + NE!AB13 + NY!AB13 + NW!AB13 + SE!AB13 + SW!AB13 + TEN!AB13 + TEX!AB13</f>
        <v>1280167.55589958</v>
      </c>
      <c r="AC13" s="7">
        <f xml:space="preserve"> 0 + CAL!AC13 + CAR!AC13 + CENT!AC13 + FLA!AC13 + MIDA!AC13 + MIDW!AC13 + NE!AC13 + NY!AC13 + NW!AC13 + SE!AC13 + SW!AC13 + TEN!AC13 + TEX!AC13</f>
        <v>1310613.7180348397</v>
      </c>
    </row>
    <row r="14" spans="1:29" x14ac:dyDescent="0.85">
      <c r="A14" t="str">
        <f>CAL!A14</f>
        <v>Demand</v>
      </c>
      <c r="B14" s="7">
        <f xml:space="preserve"> 0 + CAL!B14 + CAR!B14 + CENT!B14 + FLA!B14 + MIDA!B14 + MIDW!B14 + NE!B14 + NY!B14 + NW!B14 + SE!B14 + SW!B14 + TEN!B14 + TEX!B14</f>
        <v>13</v>
      </c>
      <c r="C14" s="7">
        <f xml:space="preserve"> 0 + CAL!C14 + CAR!C14 + CENT!C14 + FLA!C14 + MIDA!C14 + MIDW!C14 + NE!C14 + NY!C14 + NW!C14 + SE!C14 + SW!C14 + TEN!C14 + TEX!C14</f>
        <v>13.259999999999996</v>
      </c>
      <c r="D14" s="7">
        <f xml:space="preserve"> 0 + CAL!D14 + CAR!D14 + CENT!D14 + FLA!D14 + MIDA!D14 + MIDW!D14 + NE!D14 + NY!D14 + NW!D14 + SE!D14 + SW!D14 + TEN!D14 + TEX!D14</f>
        <v>13.259999999999996</v>
      </c>
      <c r="E14" s="7">
        <f xml:space="preserve"> 0 + CAL!E14 + CAR!E14 + CENT!E14 + FLA!E14 + MIDA!E14 + MIDW!E14 + NE!E14 + NY!E14 + NW!E14 + SE!E14 + SW!E14 + TEN!E14 + TEX!E14</f>
        <v>13.259999999999996</v>
      </c>
      <c r="F14" s="7">
        <f xml:space="preserve"> 0 + CAL!F14 + CAR!F14 + CENT!F14 + FLA!F14 + MIDA!F14 + MIDW!F14 + NE!F14 + NY!F14 + NW!F14 + SE!F14 + SW!F14 + TEN!F14 + TEX!F14</f>
        <v>13.259999999999996</v>
      </c>
      <c r="G14" s="7">
        <f xml:space="preserve"> 0 + CAL!G14 + CAR!G14 + CENT!G14 + FLA!G14 + MIDA!G14 + MIDW!G14 + NE!G14 + NY!G14 + NW!G14 + SE!G14 + SW!G14 + TEN!G14 + TEX!G14</f>
        <v>13.259999999999996</v>
      </c>
      <c r="H14" s="7">
        <f xml:space="preserve"> 0 + CAL!H14 + CAR!H14 + CENT!H14 + FLA!H14 + MIDA!H14 + MIDW!H14 + NE!H14 + NY!H14 + NW!H14 + SE!H14 + SW!H14 + TEN!H14 + TEX!H14</f>
        <v>13.259999999999996</v>
      </c>
      <c r="I14" s="7">
        <f xml:space="preserve"> 0 + CAL!I14 + CAR!I14 + CENT!I14 + FLA!I14 + MIDA!I14 + MIDW!I14 + NE!I14 + NY!I14 + NW!I14 + SE!I14 + SW!I14 + TEN!I14 + TEX!I14</f>
        <v>13.259999999999996</v>
      </c>
      <c r="J14" s="7">
        <f xml:space="preserve"> 0 + CAL!J14 + CAR!J14 + CENT!J14 + FLA!J14 + MIDA!J14 + MIDW!J14 + NE!J14 + NY!J14 + NW!J14 + SE!J14 + SW!J14 + TEN!J14 + TEX!J14</f>
        <v>13.259999999999996</v>
      </c>
      <c r="K14" s="7">
        <f xml:space="preserve"> 0 + CAL!K14 + CAR!K14 + CENT!K14 + FLA!K14 + MIDA!K14 + MIDW!K14 + NE!K14 + NY!K14 + NW!K14 + SE!K14 + SW!K14 + TEN!K14 + TEX!K14</f>
        <v>13.259999999999996</v>
      </c>
      <c r="L14" s="7">
        <f xml:space="preserve"> 0 + CAL!L14 + CAR!L14 + CENT!L14 + FLA!L14 + MIDA!L14 + MIDW!L14 + NE!L14 + NY!L14 + NW!L14 + SE!L14 + SW!L14 + TEN!L14 + TEX!L14</f>
        <v>13.259999999999996</v>
      </c>
      <c r="M14" s="7">
        <f xml:space="preserve"> 0 + CAL!M14 + CAR!M14 + CENT!M14 + FLA!M14 + MIDA!M14 + MIDW!M14 + NE!M14 + NY!M14 + NW!M14 + SE!M14 + SW!M14 + TEN!M14 + TEX!M14</f>
        <v>13.259999999999996</v>
      </c>
      <c r="N14" s="7">
        <f xml:space="preserve"> 0 + CAL!N14 + CAR!N14 + CENT!N14 + FLA!N14 + MIDA!N14 + MIDW!N14 + NE!N14 + NY!N14 + NW!N14 + SE!N14 + SW!N14 + TEN!N14 + TEX!N14</f>
        <v>13.259999999999996</v>
      </c>
      <c r="O14" s="7">
        <f xml:space="preserve"> 0 + CAL!O14 + CAR!O14 + CENT!O14 + FLA!O14 + MIDA!O14 + MIDW!O14 + NE!O14 + NY!O14 + NW!O14 + SE!O14 + SW!O14 + TEN!O14 + TEX!O14</f>
        <v>13.259999999999996</v>
      </c>
      <c r="P14" s="7">
        <f xml:space="preserve"> 0 + CAL!P14 + CAR!P14 + CENT!P14 + FLA!P14 + MIDA!P14 + MIDW!P14 + NE!P14 + NY!P14 + NW!P14 + SE!P14 + SW!P14 + TEN!P14 + TEX!P14</f>
        <v>13.259999999999996</v>
      </c>
      <c r="Q14" s="7">
        <f xml:space="preserve"> 0 + CAL!Q14 + CAR!Q14 + CENT!Q14 + FLA!Q14 + MIDA!Q14 + MIDW!Q14 + NE!Q14 + NY!Q14 + NW!Q14 + SE!Q14 + SW!Q14 + TEN!Q14 + TEX!Q14</f>
        <v>13.259999999999996</v>
      </c>
      <c r="R14" s="7">
        <f xml:space="preserve"> 0 + CAL!R14 + CAR!R14 + CENT!R14 + FLA!R14 + MIDA!R14 + MIDW!R14 + NE!R14 + NY!R14 + NW!R14 + SE!R14 + SW!R14 + TEN!R14 + TEX!R14</f>
        <v>13.259999999999996</v>
      </c>
      <c r="S14" s="7">
        <f xml:space="preserve"> 0 + CAL!S14 + CAR!S14 + CENT!S14 + FLA!S14 + MIDA!S14 + MIDW!S14 + NE!S14 + NY!S14 + NW!S14 + SE!S14 + SW!S14 + TEN!S14 + TEX!S14</f>
        <v>13.259999999999996</v>
      </c>
      <c r="T14" s="7">
        <f xml:space="preserve"> 0 + CAL!T14 + CAR!T14 + CENT!T14 + FLA!T14 + MIDA!T14 + MIDW!T14 + NE!T14 + NY!T14 + NW!T14 + SE!T14 + SW!T14 + TEN!T14 + TEX!T14</f>
        <v>13.259999999999996</v>
      </c>
      <c r="U14" s="7">
        <f xml:space="preserve"> 0 + CAL!U14 + CAR!U14 + CENT!U14 + FLA!U14 + MIDA!U14 + MIDW!U14 + NE!U14 + NY!U14 + NW!U14 + SE!U14 + SW!U14 + TEN!U14 + TEX!U14</f>
        <v>13.259999999999996</v>
      </c>
      <c r="V14" s="7">
        <f xml:space="preserve"> 0 + CAL!V14 + CAR!V14 + CENT!V14 + FLA!V14 + MIDA!V14 + MIDW!V14 + NE!V14 + NY!V14 + NW!V14 + SE!V14 + SW!V14 + TEN!V14 + TEX!V14</f>
        <v>13.259999999999996</v>
      </c>
      <c r="W14" s="7">
        <f xml:space="preserve"> 0 + CAL!W14 + CAR!W14 + CENT!W14 + FLA!W14 + MIDA!W14 + MIDW!W14 + NE!W14 + NY!W14 + NW!W14 + SE!W14 + SW!W14 + TEN!W14 + TEX!W14</f>
        <v>13.259999999999996</v>
      </c>
      <c r="X14" s="7">
        <f xml:space="preserve"> 0 + CAL!X14 + CAR!X14 + CENT!X14 + FLA!X14 + MIDA!X14 + MIDW!X14 + NE!X14 + NY!X14 + NW!X14 + SE!X14 + SW!X14 + TEN!X14 + TEX!X14</f>
        <v>13.259999999999996</v>
      </c>
      <c r="Y14" s="7">
        <f xml:space="preserve"> 0 + CAL!Y14 + CAR!Y14 + CENT!Y14 + FLA!Y14 + MIDA!Y14 + MIDW!Y14 + NE!Y14 + NY!Y14 + NW!Y14 + SE!Y14 + SW!Y14 + TEN!Y14 + TEX!Y14</f>
        <v>13.259999999999996</v>
      </c>
      <c r="Z14" s="7">
        <f xml:space="preserve"> 0 + CAL!Z14 + CAR!Z14 + CENT!Z14 + FLA!Z14 + MIDA!Z14 + MIDW!Z14 + NE!Z14 + NY!Z14 + NW!Z14 + SE!Z14 + SW!Z14 + TEN!Z14 + TEX!Z14</f>
        <v>13.259999999999996</v>
      </c>
      <c r="AA14" s="7">
        <f xml:space="preserve"> 0 + CAL!AA14 + CAR!AA14 + CENT!AA14 + FLA!AA14 + MIDA!AA14 + MIDW!AA14 + NE!AA14 + NY!AA14 + NW!AA14 + SE!AA14 + SW!AA14 + TEN!AA14 + TEX!AA14</f>
        <v>13.259999999999996</v>
      </c>
      <c r="AB14" s="7">
        <f xml:space="preserve"> 0 + CAL!AB14 + CAR!AB14 + CENT!AB14 + FLA!AB14 + MIDA!AB14 + MIDW!AB14 + NE!AB14 + NY!AB14 + NW!AB14 + SE!AB14 + SW!AB14 + TEN!AB14 + TEX!AB14</f>
        <v>13.259999999999996</v>
      </c>
      <c r="AC14" s="7">
        <f xml:space="preserve"> 0 + CAL!AC14 + CAR!AC14 + CENT!AC14 + FLA!AC14 + MIDA!AC14 + MIDW!AC14 + NE!AC14 + NY!AC14 + NW!AC14 + SE!AC14 + SW!AC14 + TEN!AC14 + TEX!AC14</f>
        <v>13.259999999999996</v>
      </c>
    </row>
    <row r="15" spans="1:29" x14ac:dyDescent="0.85">
      <c r="A15" t="str">
        <f>CAL!A15</f>
        <v>Molten_Capacity</v>
      </c>
      <c r="B15" s="7">
        <f xml:space="preserve"> 0 + CAL!B15 + CAR!B15 + CENT!B15 + FLA!B15 + MIDA!B15 + MIDW!B15 + NE!B15 + NY!B15 + NW!B15 + SE!B15 + SW!B15 + TEN!B15 + TEX!B15</f>
        <v>0</v>
      </c>
      <c r="C15" s="7">
        <f xml:space="preserve"> 0 + CAL!C15 + CAR!C15 + CENT!C15 + FLA!C15 + MIDA!C15 + MIDW!C15 + NE!C15 + NY!C15 + NW!C15 + SE!C15 + SW!C15 + TEN!C15 + TEX!C15</f>
        <v>0</v>
      </c>
      <c r="D15" s="7">
        <f xml:space="preserve"> 0 + CAL!D15 + CAR!D15 + CENT!D15 + FLA!D15 + MIDA!D15 + MIDW!D15 + NE!D15 + NY!D15 + NW!D15 + SE!D15 + SW!D15 + TEN!D15 + TEX!D15</f>
        <v>0</v>
      </c>
      <c r="E15" s="7">
        <f xml:space="preserve"> 0 + CAL!E15 + CAR!E15 + CENT!E15 + FLA!E15 + MIDA!E15 + MIDW!E15 + NE!E15 + NY!E15 + NW!E15 + SE!E15 + SW!E15 + TEN!E15 + TEX!E15</f>
        <v>0</v>
      </c>
      <c r="F15" s="7">
        <f xml:space="preserve"> 0 + CAL!F15 + CAR!F15 + CENT!F15 + FLA!F15 + MIDA!F15 + MIDW!F15 + NE!F15 + NY!F15 + NW!F15 + SE!F15 + SW!F15 + TEN!F15 + TEX!F15</f>
        <v>0</v>
      </c>
      <c r="G15" s="7">
        <f xml:space="preserve"> 0 + CAL!G15 + CAR!G15 + CENT!G15 + FLA!G15 + MIDA!G15 + MIDW!G15 + NE!G15 + NY!G15 + NW!G15 + SE!G15 + SW!G15 + TEN!G15 + TEX!G15</f>
        <v>0</v>
      </c>
      <c r="H15" s="7">
        <f xml:space="preserve"> 0 + CAL!H15 + CAR!H15 + CENT!H15 + FLA!H15 + MIDA!H15 + MIDW!H15 + NE!H15 + NY!H15 + NW!H15 + SE!H15 + SW!H15 + TEN!H15 + TEX!H15</f>
        <v>0</v>
      </c>
      <c r="I15" s="7">
        <f xml:space="preserve"> 0 + CAL!I15 + CAR!I15 + CENT!I15 + FLA!I15 + MIDA!I15 + MIDW!I15 + NE!I15 + NY!I15 + NW!I15 + SE!I15 + SW!I15 + TEN!I15 + TEX!I15</f>
        <v>0</v>
      </c>
      <c r="J15" s="7">
        <f xml:space="preserve"> 0 + CAL!J15 + CAR!J15 + CENT!J15 + FLA!J15 + MIDA!J15 + MIDW!J15 + NE!J15 + NY!J15 + NW!J15 + SE!J15 + SW!J15 + TEN!J15 + TEX!J15</f>
        <v>0</v>
      </c>
      <c r="K15" s="7">
        <f xml:space="preserve"> 0 + CAL!K15 + CAR!K15 + CENT!K15 + FLA!K15 + MIDA!K15 + MIDW!K15 + NE!K15 + NY!K15 + NW!K15 + SE!K15 + SW!K15 + TEN!K15 + TEX!K15</f>
        <v>0</v>
      </c>
      <c r="L15" s="7">
        <f xml:space="preserve"> 0 + CAL!L15 + CAR!L15 + CENT!L15 + FLA!L15 + MIDA!L15 + MIDW!L15 + NE!L15 + NY!L15 + NW!L15 + SE!L15 + SW!L15 + TEN!L15 + TEX!L15</f>
        <v>0</v>
      </c>
      <c r="M15" s="7">
        <f xml:space="preserve"> 0 + CAL!M15 + CAR!M15 + CENT!M15 + FLA!M15 + MIDA!M15 + MIDW!M15 + NE!M15 + NY!M15 + NW!M15 + SE!M15 + SW!M15 + TEN!M15 + TEX!M15</f>
        <v>0</v>
      </c>
      <c r="N15" s="7">
        <f xml:space="preserve"> 0 + CAL!N15 + CAR!N15 + CENT!N15 + FLA!N15 + MIDA!N15 + MIDW!N15 + NE!N15 + NY!N15 + NW!N15 + SE!N15 + SW!N15 + TEN!N15 + TEX!N15</f>
        <v>0</v>
      </c>
      <c r="O15" s="7">
        <f xml:space="preserve"> 0 + CAL!O15 + CAR!O15 + CENT!O15 + FLA!O15 + MIDA!O15 + MIDW!O15 + NE!O15 + NY!O15 + NW!O15 + SE!O15 + SW!O15 + TEN!O15 + TEX!O15</f>
        <v>0</v>
      </c>
      <c r="P15" s="7">
        <f xml:space="preserve"> 0 + CAL!P15 + CAR!P15 + CENT!P15 + FLA!P15 + MIDA!P15 + MIDW!P15 + NE!P15 + NY!P15 + NW!P15 + SE!P15 + SW!P15 + TEN!P15 + TEX!P15</f>
        <v>0</v>
      </c>
      <c r="Q15" s="7">
        <f xml:space="preserve"> 0 + CAL!Q15 + CAR!Q15 + CENT!Q15 + FLA!Q15 + MIDA!Q15 + MIDW!Q15 + NE!Q15 + NY!Q15 + NW!Q15 + SE!Q15 + SW!Q15 + TEN!Q15 + TEX!Q15</f>
        <v>0</v>
      </c>
      <c r="R15" s="7">
        <f xml:space="preserve"> 0 + CAL!R15 + CAR!R15 + CENT!R15 + FLA!R15 + MIDA!R15 + MIDW!R15 + NE!R15 + NY!R15 + NW!R15 + SE!R15 + SW!R15 + TEN!R15 + TEX!R15</f>
        <v>0</v>
      </c>
      <c r="S15" s="7">
        <f xml:space="preserve"> 0 + CAL!S15 + CAR!S15 + CENT!S15 + FLA!S15 + MIDA!S15 + MIDW!S15 + NE!S15 + NY!S15 + NW!S15 + SE!S15 + SW!S15 + TEN!S15 + TEX!S15</f>
        <v>0</v>
      </c>
      <c r="T15" s="7">
        <f xml:space="preserve"> 0 + CAL!T15 + CAR!T15 + CENT!T15 + FLA!T15 + MIDA!T15 + MIDW!T15 + NE!T15 + NY!T15 + NW!T15 + SE!T15 + SW!T15 + TEN!T15 + TEX!T15</f>
        <v>0</v>
      </c>
      <c r="U15" s="7">
        <f xml:space="preserve"> 0 + CAL!U15 + CAR!U15 + CENT!U15 + FLA!U15 + MIDA!U15 + MIDW!U15 + NE!U15 + NY!U15 + NW!U15 + SE!U15 + SW!U15 + TEN!U15 + TEX!U15</f>
        <v>0</v>
      </c>
      <c r="V15" s="7">
        <f xml:space="preserve"> 0 + CAL!V15 + CAR!V15 + CENT!V15 + FLA!V15 + MIDA!V15 + MIDW!V15 + NE!V15 + NY!V15 + NW!V15 + SE!V15 + SW!V15 + TEN!V15 + TEX!V15</f>
        <v>0</v>
      </c>
      <c r="W15" s="7">
        <f xml:space="preserve"> 0 + CAL!W15 + CAR!W15 + CENT!W15 + FLA!W15 + MIDA!W15 + MIDW!W15 + NE!W15 + NY!W15 + NW!W15 + SE!W15 + SW!W15 + TEN!W15 + TEX!W15</f>
        <v>0</v>
      </c>
      <c r="X15" s="7">
        <f xml:space="preserve"> 0 + CAL!X15 + CAR!X15 + CENT!X15 + FLA!X15 + MIDA!X15 + MIDW!X15 + NE!X15 + NY!X15 + NW!X15 + SE!X15 + SW!X15 + TEN!X15 + TEX!X15</f>
        <v>0</v>
      </c>
      <c r="Y15" s="7">
        <f xml:space="preserve"> 0 + CAL!Y15 + CAR!Y15 + CENT!Y15 + FLA!Y15 + MIDA!Y15 + MIDW!Y15 + NE!Y15 + NY!Y15 + NW!Y15 + SE!Y15 + SW!Y15 + TEN!Y15 + TEX!Y15</f>
        <v>0</v>
      </c>
      <c r="Z15" s="7">
        <f xml:space="preserve"> 0 + CAL!Z15 + CAR!Z15 + CENT!Z15 + FLA!Z15 + MIDA!Z15 + MIDW!Z15 + NE!Z15 + NY!Z15 + NW!Z15 + SE!Z15 + SW!Z15 + TEN!Z15 + TEX!Z15</f>
        <v>0</v>
      </c>
      <c r="AA15" s="7">
        <f xml:space="preserve"> 0 + CAL!AA15 + CAR!AA15 + CENT!AA15 + FLA!AA15 + MIDA!AA15 + MIDW!AA15 + NE!AA15 + NY!AA15 + NW!AA15 + SE!AA15 + SW!AA15 + TEN!AA15 + TEX!AA15</f>
        <v>0</v>
      </c>
      <c r="AB15" s="7">
        <f xml:space="preserve"> 0 + CAL!AB15 + CAR!AB15 + CENT!AB15 + FLA!AB15 + MIDA!AB15 + MIDW!AB15 + NE!AB15 + NY!AB15 + NW!AB15 + SE!AB15 + SW!AB15 + TEN!AB15 + TEX!AB15</f>
        <v>0</v>
      </c>
      <c r="AC15" s="7">
        <f xml:space="preserve"> 0 + CAL!AC15 + CAR!AC15 + CENT!AC15 + FLA!AC15 + MIDA!AC15 + MIDW!AC15 + NE!AC15 + NY!AC15 + NW!AC15 + SE!AC15 + SW!AC15 + TEN!AC15 + TEX!AC15</f>
        <v>0</v>
      </c>
    </row>
    <row r="16" spans="1:29" x14ac:dyDescent="0.85">
      <c r="A16" t="str">
        <f>CAL!A16</f>
        <v>Molten_Used</v>
      </c>
      <c r="B16" s="7">
        <f xml:space="preserve"> 0 + CAL!B16 + CAR!B16 + CENT!B16 + FLA!B16 + MIDA!B16 + MIDW!B16 + NE!B16 + NY!B16 + NW!B16 + SE!B16 + SW!B16 + TEN!B16 + TEX!B16</f>
        <v>0</v>
      </c>
      <c r="C16" s="7">
        <f xml:space="preserve"> 0 + CAL!C16 + CAR!C16 + CENT!C16 + FLA!C16 + MIDA!C16 + MIDW!C16 + NE!C16 + NY!C16 + NW!C16 + SE!C16 + SW!C16 + TEN!C16 + TEX!C16</f>
        <v>0</v>
      </c>
      <c r="D16" s="7">
        <f xml:space="preserve"> 0 + CAL!D16 + CAR!D16 + CENT!D16 + FLA!D16 + MIDA!D16 + MIDW!D16 + NE!D16 + NY!D16 + NW!D16 + SE!D16 + SW!D16 + TEN!D16 + TEX!D16</f>
        <v>0</v>
      </c>
      <c r="E16" s="7">
        <f xml:space="preserve"> 0 + CAL!E16 + CAR!E16 + CENT!E16 + FLA!E16 + MIDA!E16 + MIDW!E16 + NE!E16 + NY!E16 + NW!E16 + SE!E16 + SW!E16 + TEN!E16 + TEX!E16</f>
        <v>0</v>
      </c>
      <c r="F16" s="7">
        <f xml:space="preserve"> 0 + CAL!F16 + CAR!F16 + CENT!F16 + FLA!F16 + MIDA!F16 + MIDW!F16 + NE!F16 + NY!F16 + NW!F16 + SE!F16 + SW!F16 + TEN!F16 + TEX!F16</f>
        <v>0</v>
      </c>
      <c r="G16" s="7">
        <f xml:space="preserve"> 0 + CAL!G16 + CAR!G16 + CENT!G16 + FLA!G16 + MIDA!G16 + MIDW!G16 + NE!G16 + NY!G16 + NW!G16 + SE!G16 + SW!G16 + TEN!G16 + TEX!G16</f>
        <v>0</v>
      </c>
      <c r="H16" s="7">
        <f xml:space="preserve"> 0 + CAL!H16 + CAR!H16 + CENT!H16 + FLA!H16 + MIDA!H16 + MIDW!H16 + NE!H16 + NY!H16 + NW!H16 + SE!H16 + SW!H16 + TEN!H16 + TEX!H16</f>
        <v>0</v>
      </c>
      <c r="I16" s="7">
        <f xml:space="preserve"> 0 + CAL!I16 + CAR!I16 + CENT!I16 + FLA!I16 + MIDA!I16 + MIDW!I16 + NE!I16 + NY!I16 + NW!I16 + SE!I16 + SW!I16 + TEN!I16 + TEX!I16</f>
        <v>0</v>
      </c>
      <c r="J16" s="7">
        <f xml:space="preserve"> 0 + CAL!J16 + CAR!J16 + CENT!J16 + FLA!J16 + MIDA!J16 + MIDW!J16 + NE!J16 + NY!J16 + NW!J16 + SE!J16 + SW!J16 + TEN!J16 + TEX!J16</f>
        <v>0</v>
      </c>
      <c r="K16" s="7">
        <f xml:space="preserve"> 0 + CAL!K16 + CAR!K16 + CENT!K16 + FLA!K16 + MIDA!K16 + MIDW!K16 + NE!K16 + NY!K16 + NW!K16 + SE!K16 + SW!K16 + TEN!K16 + TEX!K16</f>
        <v>0</v>
      </c>
      <c r="L16" s="7">
        <f xml:space="preserve"> 0 + CAL!L16 + CAR!L16 + CENT!L16 + FLA!L16 + MIDA!L16 + MIDW!L16 + NE!L16 + NY!L16 + NW!L16 + SE!L16 + SW!L16 + TEN!L16 + TEX!L16</f>
        <v>0</v>
      </c>
      <c r="M16" s="7">
        <f xml:space="preserve"> 0 + CAL!M16 + CAR!M16 + CENT!M16 + FLA!M16 + MIDA!M16 + MIDW!M16 + NE!M16 + NY!M16 + NW!M16 + SE!M16 + SW!M16 + TEN!M16 + TEX!M16</f>
        <v>0</v>
      </c>
      <c r="N16" s="7">
        <f xml:space="preserve"> 0 + CAL!N16 + CAR!N16 + CENT!N16 + FLA!N16 + MIDA!N16 + MIDW!N16 + NE!N16 + NY!N16 + NW!N16 + SE!N16 + SW!N16 + TEN!N16 + TEX!N16</f>
        <v>0</v>
      </c>
      <c r="O16" s="7">
        <f xml:space="preserve"> 0 + CAL!O16 + CAR!O16 + CENT!O16 + FLA!O16 + MIDA!O16 + MIDW!O16 + NE!O16 + NY!O16 + NW!O16 + SE!O16 + SW!O16 + TEN!O16 + TEX!O16</f>
        <v>0</v>
      </c>
      <c r="P16" s="7">
        <f xml:space="preserve"> 0 + CAL!P16 + CAR!P16 + CENT!P16 + FLA!P16 + MIDA!P16 + MIDW!P16 + NE!P16 + NY!P16 + NW!P16 + SE!P16 + SW!P16 + TEN!P16 + TEX!P16</f>
        <v>0</v>
      </c>
      <c r="Q16" s="7">
        <f xml:space="preserve"> 0 + CAL!Q16 + CAR!Q16 + CENT!Q16 + FLA!Q16 + MIDA!Q16 + MIDW!Q16 + NE!Q16 + NY!Q16 + NW!Q16 + SE!Q16 + SW!Q16 + TEN!Q16 + TEX!Q16</f>
        <v>0</v>
      </c>
      <c r="R16" s="7">
        <f xml:space="preserve"> 0 + CAL!R16 + CAR!R16 + CENT!R16 + FLA!R16 + MIDA!R16 + MIDW!R16 + NE!R16 + NY!R16 + NW!R16 + SE!R16 + SW!R16 + TEN!R16 + TEX!R16</f>
        <v>0</v>
      </c>
      <c r="S16" s="7">
        <f xml:space="preserve"> 0 + CAL!S16 + CAR!S16 + CENT!S16 + FLA!S16 + MIDA!S16 + MIDW!S16 + NE!S16 + NY!S16 + NW!S16 + SE!S16 + SW!S16 + TEN!S16 + TEX!S16</f>
        <v>0</v>
      </c>
      <c r="T16" s="7">
        <f xml:space="preserve"> 0 + CAL!T16 + CAR!T16 + CENT!T16 + FLA!T16 + MIDA!T16 + MIDW!T16 + NE!T16 + NY!T16 + NW!T16 + SE!T16 + SW!T16 + TEN!T16 + TEX!T16</f>
        <v>0</v>
      </c>
      <c r="U16" s="7">
        <f xml:space="preserve"> 0 + CAL!U16 + CAR!U16 + CENT!U16 + FLA!U16 + MIDA!U16 + MIDW!U16 + NE!U16 + NY!U16 + NW!U16 + SE!U16 + SW!U16 + TEN!U16 + TEX!U16</f>
        <v>0</v>
      </c>
      <c r="V16" s="7">
        <f xml:space="preserve"> 0 + CAL!V16 + CAR!V16 + CENT!V16 + FLA!V16 + MIDA!V16 + MIDW!V16 + NE!V16 + NY!V16 + NW!V16 + SE!V16 + SW!V16 + TEN!V16 + TEX!V16</f>
        <v>0</v>
      </c>
      <c r="W16" s="7">
        <f xml:space="preserve"> 0 + CAL!W16 + CAR!W16 + CENT!W16 + FLA!W16 + MIDA!W16 + MIDW!W16 + NE!W16 + NY!W16 + NW!W16 + SE!W16 + SW!W16 + TEN!W16 + TEX!W16</f>
        <v>0</v>
      </c>
      <c r="X16" s="7">
        <f xml:space="preserve"> 0 + CAL!X16 + CAR!X16 + CENT!X16 + FLA!X16 + MIDA!X16 + MIDW!X16 + NE!X16 + NY!X16 + NW!X16 + SE!X16 + SW!X16 + TEN!X16 + TEX!X16</f>
        <v>0</v>
      </c>
      <c r="Y16" s="7">
        <f xml:space="preserve"> 0 + CAL!Y16 + CAR!Y16 + CENT!Y16 + FLA!Y16 + MIDA!Y16 + MIDW!Y16 + NE!Y16 + NY!Y16 + NW!Y16 + SE!Y16 + SW!Y16 + TEN!Y16 + TEX!Y16</f>
        <v>0</v>
      </c>
      <c r="Z16" s="7">
        <f xml:space="preserve"> 0 + CAL!Z16 + CAR!Z16 + CENT!Z16 + FLA!Z16 + MIDA!Z16 + MIDW!Z16 + NE!Z16 + NY!Z16 + NW!Z16 + SE!Z16 + SW!Z16 + TEN!Z16 + TEX!Z16</f>
        <v>0</v>
      </c>
      <c r="AA16" s="7">
        <f xml:space="preserve"> 0 + CAL!AA16 + CAR!AA16 + CENT!AA16 + FLA!AA16 + MIDA!AA16 + MIDW!AA16 + NE!AA16 + NY!AA16 + NW!AA16 + SE!AA16 + SW!AA16 + TEN!AA16 + TEX!AA16</f>
        <v>0</v>
      </c>
      <c r="AB16" s="7">
        <f xml:space="preserve"> 0 + CAL!AB16 + CAR!AB16 + CENT!AB16 + FLA!AB16 + MIDA!AB16 + MIDW!AB16 + NE!AB16 + NY!AB16 + NW!AB16 + SE!AB16 + SW!AB16 + TEN!AB16 + TEX!AB16</f>
        <v>0</v>
      </c>
      <c r="AC16" s="7">
        <f xml:space="preserve"> 0 + CAL!AC16 + CAR!AC16 + CENT!AC16 + FLA!AC16 + MIDA!AC16 + MIDW!AC16 + NE!AC16 + NY!AC16 + NW!AC16 + SE!AC16 + SW!AC16 + TEN!AC16 + TEX!AC16</f>
        <v>0</v>
      </c>
    </row>
    <row r="17" spans="1:29" x14ac:dyDescent="0.85">
      <c r="A17" t="str">
        <f>CAL!A17</f>
        <v>Solar_MW</v>
      </c>
      <c r="B17" s="7">
        <f xml:space="preserve"> 0 + CAL!B17 + CAR!B17 + CENT!B17 + FLA!B17 + MIDA!B17 + MIDW!B17 + NE!B17 + NY!B17 + NW!B17 + SE!B17 + SW!B17 + TEN!B17 + TEX!B17</f>
        <v>93728.62000000001</v>
      </c>
      <c r="C17" s="7">
        <f xml:space="preserve"> 0 + CAL!C17 + CAR!C17 + CENT!C17 + FLA!C17 + MIDA!C17 + MIDW!C17 + NE!C17 + NY!C17 + NW!C17 + SE!C17 + SW!C17 + TEN!C17 + TEX!C17</f>
        <v>91269.390200010006</v>
      </c>
      <c r="D17" s="7">
        <f xml:space="preserve"> 0 + CAL!D17 + CAR!D17 + CENT!D17 + FLA!D17 + MIDA!D17 + MIDW!D17 + NE!D17 + NY!D17 + NW!D17 + SE!D17 + SW!D17 + TEN!D17 + TEX!D17</f>
        <v>89282.853784110004</v>
      </c>
      <c r="E17" s="7">
        <f xml:space="preserve"> 0 + CAL!E17 + CAR!E17 + CENT!E17 + FLA!E17 + MIDA!E17 + MIDW!E17 + NE!E17 + NY!E17 + NW!E17 + SE!E17 + SW!E17 + TEN!E17 + TEX!E17</f>
        <v>88125.619689449988</v>
      </c>
      <c r="F17" s="7">
        <f xml:space="preserve"> 0 + CAL!F17 + CAR!F17 + CENT!F17 + FLA!F17 + MIDA!F17 + MIDW!F17 + NE!F17 + NY!F17 + NW!F17 + SE!F17 + SW!F17 + TEN!F17 + TEX!F17</f>
        <v>89723.064636519979</v>
      </c>
      <c r="G17" s="7">
        <f xml:space="preserve"> 0 + CAL!G17 + CAR!G17 + CENT!G17 + FLA!G17 + MIDA!G17 + MIDW!G17 + NE!G17 + NY!G17 + NW!G17 + SE!G17 + SW!G17 + TEN!G17 + TEX!G17</f>
        <v>90643.718529129997</v>
      </c>
      <c r="H17" s="7">
        <f xml:space="preserve"> 0 + CAL!H17 + CAR!H17 + CENT!H17 + FLA!H17 + MIDA!H17 + MIDW!H17 + NE!H17 + NY!H17 + NW!H17 + SE!H17 + SW!H17 + TEN!H17 + TEX!H17</f>
        <v>96928.66175087</v>
      </c>
      <c r="I17" s="7">
        <f xml:space="preserve"> 0 + CAL!I17 + CAR!I17 + CENT!I17 + FLA!I17 + MIDA!I17 + MIDW!I17 + NE!I17 + NY!I17 + NW!I17 + SE!I17 + SW!I17 + TEN!I17 + TEX!I17</f>
        <v>103636.27683328999</v>
      </c>
      <c r="J17" s="7">
        <f xml:space="preserve"> 0 + CAL!J17 + CAR!J17 + CENT!J17 + FLA!J17 + MIDA!J17 + MIDW!J17 + NE!J17 + NY!J17 + NW!J17 + SE!J17 + SW!J17 + TEN!J17 + TEX!J17</f>
        <v>107234.33508366003</v>
      </c>
      <c r="K17" s="7">
        <f xml:space="preserve"> 0 + CAL!K17 + CAR!K17 + CENT!K17 + FLA!K17 + MIDA!K17 + MIDW!K17 + NE!K17 + NY!K17 + NW!K17 + SE!K17 + SW!K17 + TEN!K17 + TEX!K17</f>
        <v>109915.78168440999</v>
      </c>
      <c r="L17" s="7">
        <f xml:space="preserve"> 0 + CAL!L17 + CAR!L17 + CENT!L17 + FLA!L17 + MIDA!L17 + MIDW!L17 + NE!L17 + NY!L17 + NW!L17 + SE!L17 + SW!L17 + TEN!L17 + TEX!L17</f>
        <v>113872.49063848003</v>
      </c>
      <c r="M17" s="7">
        <f xml:space="preserve"> 0 + CAL!M17 + CAR!M17 + CENT!M17 + FLA!M17 + MIDA!M17 + MIDW!M17 + NE!M17 + NY!M17 + NW!M17 + SE!M17 + SW!M17 + TEN!M17 + TEX!M17</f>
        <v>122765.51063309</v>
      </c>
      <c r="N17" s="7">
        <f xml:space="preserve"> 0 + CAL!N17 + CAR!N17 + CENT!N17 + FLA!N17 + MIDA!N17 + MIDW!N17 + NE!N17 + NY!N17 + NW!N17 + SE!N17 + SW!N17 + TEN!N17 + TEX!N17</f>
        <v>138842.16765376998</v>
      </c>
      <c r="O17" s="7">
        <f xml:space="preserve"> 0 + CAL!O17 + CAR!O17 + CENT!O17 + FLA!O17 + MIDA!O17 + MIDW!O17 + NE!O17 + NY!O17 + NW!O17 + SE!O17 + SW!O17 + TEN!O17 + TEX!O17</f>
        <v>152456.18751855</v>
      </c>
      <c r="P17" s="7">
        <f xml:space="preserve"> 0 + CAL!P17 + CAR!P17 + CENT!P17 + FLA!P17 + MIDA!P17 + MIDW!P17 + NE!P17 + NY!P17 + NW!P17 + SE!P17 + SW!P17 + TEN!P17 + TEX!P17</f>
        <v>166684.13390203999</v>
      </c>
      <c r="Q17" s="7">
        <f xml:space="preserve"> 0 + CAL!Q17 + CAR!Q17 + CENT!Q17 + FLA!Q17 + MIDA!Q17 + MIDW!Q17 + NE!Q17 + NY!Q17 + NW!Q17 + SE!Q17 + SW!Q17 + TEN!Q17 + TEX!Q17</f>
        <v>187008.53270662</v>
      </c>
      <c r="R17" s="7">
        <f xml:space="preserve"> 0 + CAL!R17 + CAR!R17 + CENT!R17 + FLA!R17 + MIDA!R17 + MIDW!R17 + NE!R17 + NY!R17 + NW!R17 + SE!R17 + SW!R17 + TEN!R17 + TEX!R17</f>
        <v>204941.39986154996</v>
      </c>
      <c r="S17" s="7">
        <f xml:space="preserve"> 0 + CAL!S17 + CAR!S17 + CENT!S17 + FLA!S17 + MIDA!S17 + MIDW!S17 + NE!S17 + NY!S17 + NW!S17 + SE!S17 + SW!S17 + TEN!S17 + TEX!S17</f>
        <v>220236.99933269003</v>
      </c>
      <c r="T17" s="7">
        <f xml:space="preserve"> 0 + CAL!T17 + CAR!T17 + CENT!T17 + FLA!T17 + MIDA!T17 + MIDW!T17 + NE!T17 + NY!T17 + NW!T17 + SE!T17 + SW!T17 + TEN!T17 + TEX!T17</f>
        <v>234852.25811967</v>
      </c>
      <c r="U17" s="7">
        <f xml:space="preserve"> 0 + CAL!U17 + CAR!U17 + CENT!U17 + FLA!U17 + MIDA!U17 + MIDW!U17 + NE!U17 + NY!U17 + NW!U17 + SE!U17 + SW!U17 + TEN!U17 + TEX!U17</f>
        <v>250085.29913124998</v>
      </c>
      <c r="V17" s="7">
        <f xml:space="preserve"> 0 + CAL!V17 + CAR!V17 + CENT!V17 + FLA!V17 + MIDA!V17 + MIDW!V17 + NE!V17 + NY!V17 + NW!V17 + SE!V17 + SW!V17 + TEN!V17 + TEX!V17</f>
        <v>264610.55398365</v>
      </c>
      <c r="W17" s="7">
        <f xml:space="preserve"> 0 + CAL!W17 + CAR!W17 + CENT!W17 + FLA!W17 + MIDA!W17 + MIDW!W17 + NE!W17 + NY!W17 + NW!W17 + SE!W17 + SW!W17 + TEN!W17 + TEX!W17</f>
        <v>280733.66826443002</v>
      </c>
      <c r="X17" s="7">
        <f xml:space="preserve"> 0 + CAL!X17 + CAR!X17 + CENT!X17 + FLA!X17 + MIDA!X17 + MIDW!X17 + NE!X17 + NY!X17 + NW!X17 + SE!X17 + SW!X17 + TEN!X17 + TEX!X17</f>
        <v>293790.51725765003</v>
      </c>
      <c r="Y17" s="7">
        <f xml:space="preserve"> 0 + CAL!Y17 + CAR!Y17 + CENT!Y17 + FLA!Y17 + MIDA!Y17 + MIDW!Y17 + NE!Y17 + NY!Y17 + NW!Y17 + SE!Y17 + SW!Y17 + TEN!Y17 + TEX!Y17</f>
        <v>310403.64180088998</v>
      </c>
      <c r="Z17" s="7">
        <f xml:space="preserve"> 0 + CAL!Z17 + CAR!Z17 + CENT!Z17 + FLA!Z17 + MIDA!Z17 + MIDW!Z17 + NE!Z17 + NY!Z17 + NW!Z17 + SE!Z17 + SW!Z17 + TEN!Z17 + TEX!Z17</f>
        <v>319365.64968057</v>
      </c>
      <c r="AA17" s="7">
        <f xml:space="preserve"> 0 + CAL!AA17 + CAR!AA17 + CENT!AA17 + FLA!AA17 + MIDA!AA17 + MIDW!AA17 + NE!AA17 + NY!AA17 + NW!AA17 + SE!AA17 + SW!AA17 + TEN!AA17 + TEX!AA17</f>
        <v>329825.85321010998</v>
      </c>
      <c r="AB17" s="7">
        <f xml:space="preserve"> 0 + CAL!AB17 + CAR!AB17 + CENT!AB17 + FLA!AB17 + MIDA!AB17 + MIDW!AB17 + NE!AB17 + NY!AB17 + NW!AB17 + SE!AB17 + SW!AB17 + TEN!AB17 + TEX!AB17</f>
        <v>340891.56725772994</v>
      </c>
      <c r="AC17" s="7">
        <f xml:space="preserve"> 0 + CAL!AC17 + CAR!AC17 + CENT!AC17 + FLA!AC17 + MIDA!AC17 + MIDW!AC17 + NE!AC17 + NY!AC17 + NW!AC17 + SE!AC17 + SW!AC17 + TEN!AC17 + TEX!AC17</f>
        <v>348969.4031643499</v>
      </c>
    </row>
    <row r="18" spans="1:29" x14ac:dyDescent="0.85">
      <c r="A18" t="str">
        <f>CAL!A18</f>
        <v>Solar_Demand_MWh</v>
      </c>
      <c r="B18" s="7">
        <f xml:space="preserve"> 0 + CAL!B18 + CAR!B18 + CENT!B18 + FLA!B18 + MIDA!B18 + MIDW!B18 + NE!B18 + NY!B18 + NW!B18 + SE!B18 + SW!B18 + TEN!B18 + TEX!B18</f>
        <v>113379513.875</v>
      </c>
      <c r="C18" s="7">
        <f xml:space="preserve"> 0 + CAL!C18 + CAR!C18 + CENT!C18 + FLA!C18 + MIDA!C18 + MIDW!C18 + NE!C18 + NY!C18 + NW!C18 + SE!C18 + SW!C18 + TEN!C18 + TEX!C18</f>
        <v>110364091.40079039</v>
      </c>
      <c r="D18" s="7">
        <f xml:space="preserve"> 0 + CAL!D18 + CAR!D18 + CENT!D18 + FLA!D18 + MIDA!D18 + MIDW!D18 + NE!D18 + NY!D18 + NW!D18 + SE!D18 + SW!D18 + TEN!D18 + TEX!D18</f>
        <v>108573968.48646119</v>
      </c>
      <c r="E18" s="7">
        <f xml:space="preserve"> 0 + CAL!E18 + CAR!E18 + CENT!E18 + FLA!E18 + MIDA!E18 + MIDW!E18 + NE!E18 + NY!E18 + NW!E18 + SE!E18 + SW!E18 + TEN!E18 + TEX!E18</f>
        <v>108295174.40429294</v>
      </c>
      <c r="F18" s="7">
        <f xml:space="preserve"> 0 + CAL!F18 + CAR!F18 + CENT!F18 + FLA!F18 + MIDA!F18 + MIDW!F18 + NE!F18 + NY!F18 + NW!F18 + SE!F18 + SW!F18 + TEN!F18 + TEX!F18</f>
        <v>113129048.74375586</v>
      </c>
      <c r="G18" s="7">
        <f xml:space="preserve"> 0 + CAL!G18 + CAR!G18 + CENT!G18 + FLA!G18 + MIDA!G18 + MIDW!G18 + NE!G18 + NY!G18 + NW!G18 + SE!G18 + SW!G18 + TEN!G18 + TEX!G18</f>
        <v>116915269.70407641</v>
      </c>
      <c r="H18" s="7">
        <f xml:space="preserve"> 0 + CAL!H18 + CAR!H18 + CENT!H18 + FLA!H18 + MIDA!H18 + MIDW!H18 + NE!H18 + NY!H18 + NW!H18 + SE!H18 + SW!H18 + TEN!H18 + TEX!H18</f>
        <v>127757828.35054064</v>
      </c>
      <c r="I18" s="7">
        <f xml:space="preserve"> 0 + CAL!I18 + CAR!I18 + CENT!I18 + FLA!I18 + MIDA!I18 + MIDW!I18 + NE!I18 + NY!I18 + NW!I18 + SE!I18 + SW!I18 + TEN!I18 + TEX!I18</f>
        <v>139201715.87582651</v>
      </c>
      <c r="J18" s="7">
        <f xml:space="preserve"> 0 + CAL!J18 + CAR!J18 + CENT!J18 + FLA!J18 + MIDA!J18 + MIDW!J18 + NE!J18 + NY!J18 + NW!J18 + SE!J18 + SW!J18 + TEN!J18 + TEX!J18</f>
        <v>147437457.98785084</v>
      </c>
      <c r="K18" s="7">
        <f xml:space="preserve"> 0 + CAL!K18 + CAR!K18 + CENT!K18 + FLA!K18 + MIDA!K18 + MIDW!K18 + NE!K18 + NY!K18 + NW!K18 + SE!K18 + SW!K18 + TEN!K18 + TEX!K18</f>
        <v>154590713.80414119</v>
      </c>
      <c r="L18" s="7">
        <f xml:space="preserve"> 0 + CAL!L18 + CAR!L18 + CENT!L18 + FLA!L18 + MIDA!L18 + MIDW!L18 + NE!L18 + NY!L18 + NW!L18 + SE!L18 + SW!L18 + TEN!L18 + TEX!L18</f>
        <v>163894489.06030113</v>
      </c>
      <c r="M18" s="7">
        <f xml:space="preserve"> 0 + CAL!M18 + CAR!M18 + CENT!M18 + FLA!M18 + MIDA!M18 + MIDW!M18 + NE!M18 + NY!M18 + NW!M18 + SE!M18 + SW!M18 + TEN!M18 + TEX!M18</f>
        <v>179148407.83239019</v>
      </c>
      <c r="N18" s="7">
        <f xml:space="preserve"> 0 + CAL!N18 + CAR!N18 + CENT!N18 + FLA!N18 + MIDA!N18 + MIDW!N18 + NE!N18 + NY!N18 + NW!N18 + SE!N18 + SW!N18 + TEN!N18 + TEX!N18</f>
        <v>202780239.18783769</v>
      </c>
      <c r="O18" s="7">
        <f xml:space="preserve"> 0 + CAL!O18 + CAR!O18 + CENT!O18 + FLA!O18 + MIDA!O18 + MIDW!O18 + NE!O18 + NY!O18 + NW!O18 + SE!O18 + SW!O18 + TEN!O18 + TEX!O18</f>
        <v>222265566.56069899</v>
      </c>
      <c r="P18" s="7">
        <f xml:space="preserve"> 0 + CAL!P18 + CAR!P18 + CENT!P18 + FLA!P18 + MIDA!P18 + MIDW!P18 + NE!P18 + NY!P18 + NW!P18 + SE!P18 + SW!P18 + TEN!P18 + TEX!P18</f>
        <v>242208023.4108091</v>
      </c>
      <c r="Q18" s="7">
        <f xml:space="preserve"> 0 + CAL!Q18 + CAR!Q18 + CENT!Q18 + FLA!Q18 + MIDA!Q18 + MIDW!Q18 + NE!Q18 + NY!Q18 + NW!Q18 + SE!Q18 + SW!Q18 + TEN!Q18 + TEX!Q18</f>
        <v>267616867.04921728</v>
      </c>
      <c r="R18" s="7">
        <f xml:space="preserve"> 0 + CAL!R18 + CAR!R18 + CENT!R18 + FLA!R18 + MIDA!R18 + MIDW!R18 + NE!R18 + NY!R18 + NW!R18 + SE!R18 + SW!R18 + TEN!R18 + TEX!R18</f>
        <v>289537183.86690319</v>
      </c>
      <c r="S18" s="7">
        <f xml:space="preserve"> 0 + CAL!S18 + CAR!S18 + CENT!S18 + FLA!S18 + MIDA!S18 + MIDW!S18 + NE!S18 + NY!S18 + NW!S18 + SE!S18 + SW!S18 + TEN!S18 + TEX!S18</f>
        <v>307065298.70113629</v>
      </c>
      <c r="T18" s="7">
        <f xml:space="preserve"> 0 + CAL!T18 + CAR!T18 + CENT!T18 + FLA!T18 + MIDA!T18 + MIDW!T18 + NE!T18 + NY!T18 + NW!T18 + SE!T18 + SW!T18 + TEN!T18 + TEX!T18</f>
        <v>322298314.31599396</v>
      </c>
      <c r="U18" s="7">
        <f xml:space="preserve"> 0 + CAL!U18 + CAR!U18 + CENT!U18 + FLA!U18 + MIDA!U18 + MIDW!U18 + NE!U18 + NY!U18 + NW!U18 + SE!U18 + SW!U18 + TEN!U18 + TEX!U18</f>
        <v>337694988.3178876</v>
      </c>
      <c r="V18" s="7">
        <f xml:space="preserve"> 0 + CAL!V18 + CAR!V18 + CENT!V18 + FLA!V18 + MIDA!V18 + MIDW!V18 + NE!V18 + NY!V18 + NW!V18 + SE!V18 + SW!V18 + TEN!V18 + TEX!V18</f>
        <v>350778791.21143973</v>
      </c>
      <c r="W18" s="7">
        <f xml:space="preserve"> 0 + CAL!W18 + CAR!W18 + CENT!W18 + FLA!W18 + MIDA!W18 + MIDW!W18 + NE!W18 + NY!W18 + NW!W18 + SE!W18 + SW!W18 + TEN!W18 + TEX!W18</f>
        <v>367835484.82018757</v>
      </c>
      <c r="X18" s="7">
        <f xml:space="preserve"> 0 + CAL!X18 + CAR!X18 + CENT!X18 + FLA!X18 + MIDA!X18 + MIDW!X18 + NE!X18 + NY!X18 + NW!X18 + SE!X18 + SW!X18 + TEN!X18 + TEX!X18</f>
        <v>377056910.27727902</v>
      </c>
      <c r="Y18" s="7">
        <f xml:space="preserve"> 0 + CAL!Y18 + CAR!Y18 + CENT!Y18 + FLA!Y18 + MIDA!Y18 + MIDW!Y18 + NE!Y18 + NY!Y18 + NW!Y18 + SE!Y18 + SW!Y18 + TEN!Y18 + TEX!Y18</f>
        <v>385064376.03308642</v>
      </c>
      <c r="Z18" s="7">
        <f xml:space="preserve"> 0 + CAL!Z18 + CAR!Z18 + CENT!Z18 + FLA!Z18 + MIDA!Z18 + MIDW!Z18 + NE!Z18 + NY!Z18 + NW!Z18 + SE!Z18 + SW!Z18 + TEN!Z18 + TEX!Z18</f>
        <v>380153391.55098873</v>
      </c>
      <c r="AA18" s="7">
        <f xml:space="preserve"> 0 + CAL!AA18 + CAR!AA18 + CENT!AA18 + FLA!AA18 + MIDA!AA18 + MIDW!AA18 + NE!AA18 + NY!AA18 + NW!AA18 + SE!AA18 + SW!AA18 + TEN!AA18 + TEX!AA18</f>
        <v>372705752.49304581</v>
      </c>
      <c r="AB18" s="7">
        <f xml:space="preserve"> 0 + CAL!AB18 + CAR!AB18 + CENT!AB18 + FLA!AB18 + MIDA!AB18 + MIDW!AB18 + NE!AB18 + NY!AB18 + NW!AB18 + SE!AB18 + SW!AB18 + TEN!AB18 + TEX!AB18</f>
        <v>364816438.23606569</v>
      </c>
      <c r="AC18" s="7">
        <f xml:space="preserve"> 0 + CAL!AC18 + CAR!AC18 + CENT!AC18 + FLA!AC18 + MIDA!AC18 + MIDW!AC18 + NE!AC18 + NY!AC18 + NW!AC18 + SE!AC18 + SW!AC18 + TEN!AC18 + TEX!AC18</f>
        <v>352619628.98031873</v>
      </c>
    </row>
    <row r="19" spans="1:29" x14ac:dyDescent="0.85">
      <c r="A19" t="str">
        <f>CAL!A19</f>
        <v>Solar_Supply_MWh</v>
      </c>
      <c r="B19" s="7">
        <f xml:space="preserve"> 0 + CAL!B19 + CAR!B19 + CENT!B19 + FLA!B19 + MIDA!B19 + MIDW!B19 + NE!B19 + NY!B19 + NW!B19 + SE!B19 + SW!B19 + TEN!B19 + TEX!B19</f>
        <v>113379513.875</v>
      </c>
      <c r="C19" s="7">
        <f xml:space="preserve"> 0 + CAL!C19 + CAR!C19 + CENT!C19 + FLA!C19 + MIDA!C19 + MIDW!C19 + NE!C19 + NY!C19 + NW!C19 + SE!C19 + SW!C19 + TEN!C19 + TEX!C19</f>
        <v>110364091.40079039</v>
      </c>
      <c r="D19" s="7">
        <f xml:space="preserve"> 0 + CAL!D19 + CAR!D19 + CENT!D19 + FLA!D19 + MIDA!D19 + MIDW!D19 + NE!D19 + NY!D19 + NW!D19 + SE!D19 + SW!D19 + TEN!D19 + TEX!D19</f>
        <v>108573968.48646119</v>
      </c>
      <c r="E19" s="7">
        <f xml:space="preserve"> 0 + CAL!E19 + CAR!E19 + CENT!E19 + FLA!E19 + MIDA!E19 + MIDW!E19 + NE!E19 + NY!E19 + NW!E19 + SE!E19 + SW!E19 + TEN!E19 + TEX!E19</f>
        <v>108295174.40429294</v>
      </c>
      <c r="F19" s="7">
        <f xml:space="preserve"> 0 + CAL!F19 + CAR!F19 + CENT!F19 + FLA!F19 + MIDA!F19 + MIDW!F19 + NE!F19 + NY!F19 + NW!F19 + SE!F19 + SW!F19 + TEN!F19 + TEX!F19</f>
        <v>113129048.74375586</v>
      </c>
      <c r="G19" s="7">
        <f xml:space="preserve"> 0 + CAL!G19 + CAR!G19 + CENT!G19 + FLA!G19 + MIDA!G19 + MIDW!G19 + NE!G19 + NY!G19 + NW!G19 + SE!G19 + SW!G19 + TEN!G19 + TEX!G19</f>
        <v>116915269.70407641</v>
      </c>
      <c r="H19" s="7">
        <f xml:space="preserve"> 0 + CAL!H19 + CAR!H19 + CENT!H19 + FLA!H19 + MIDA!H19 + MIDW!H19 + NE!H19 + NY!H19 + NW!H19 + SE!H19 + SW!H19 + TEN!H19 + TEX!H19</f>
        <v>127757828.35054064</v>
      </c>
      <c r="I19" s="7">
        <f xml:space="preserve"> 0 + CAL!I19 + CAR!I19 + CENT!I19 + FLA!I19 + MIDA!I19 + MIDW!I19 + NE!I19 + NY!I19 + NW!I19 + SE!I19 + SW!I19 + TEN!I19 + TEX!I19</f>
        <v>139201715.87582651</v>
      </c>
      <c r="J19" s="7">
        <f xml:space="preserve"> 0 + CAL!J19 + CAR!J19 + CENT!J19 + FLA!J19 + MIDA!J19 + MIDW!J19 + NE!J19 + NY!J19 + NW!J19 + SE!J19 + SW!J19 + TEN!J19 + TEX!J19</f>
        <v>147437479.15284824</v>
      </c>
      <c r="K19" s="7">
        <f xml:space="preserve"> 0 + CAL!K19 + CAR!K19 + CENT!K19 + FLA!K19 + MIDA!K19 + MIDW!K19 + NE!K19 + NY!K19 + NW!K19 + SE!K19 + SW!K19 + TEN!K19 + TEX!K19</f>
        <v>154590954.2106176</v>
      </c>
      <c r="L19" s="7">
        <f xml:space="preserve"> 0 + CAL!L19 + CAR!L19 + CENT!L19 + FLA!L19 + MIDA!L19 + MIDW!L19 + NE!L19 + NY!L19 + NW!L19 + SE!L19 + SW!L19 + TEN!L19 + TEX!L19</f>
        <v>163895404.83571082</v>
      </c>
      <c r="M19" s="7">
        <f xml:space="preserve"> 0 + CAL!M19 + CAR!M19 + CENT!M19 + FLA!M19 + MIDA!M19 + MIDW!M19 + NE!M19 + NY!M19 + NW!M19 + SE!M19 + SW!M19 + TEN!M19 + TEX!M19</f>
        <v>179167391.90051791</v>
      </c>
      <c r="N19" s="7">
        <f xml:space="preserve"> 0 + CAL!N19 + CAR!N19 + CENT!N19 + FLA!N19 + MIDA!N19 + MIDW!N19 + NE!N19 + NY!N19 + NW!N19 + SE!N19 + SW!N19 + TEN!N19 + TEX!N19</f>
        <v>203272224.14890388</v>
      </c>
      <c r="O19" s="7">
        <f xml:space="preserve"> 0 + CAL!O19 + CAR!O19 + CENT!O19 + FLA!O19 + MIDA!O19 + MIDW!O19 + NE!O19 + NY!O19 + NW!O19 + SE!O19 + SW!O19 + TEN!O19 + TEX!O19</f>
        <v>224106644.89496365</v>
      </c>
      <c r="P19" s="7">
        <f xml:space="preserve"> 0 + CAL!P19 + CAR!P19 + CENT!P19 + FLA!P19 + MIDA!P19 + MIDW!P19 + NE!P19 + NY!P19 + NW!P19 + SE!P19 + SW!P19 + TEN!P19 + TEX!P19</f>
        <v>245860941.11753058</v>
      </c>
      <c r="Q19" s="7">
        <f xml:space="preserve"> 0 + CAL!Q19 + CAR!Q19 + CENT!Q19 + FLA!Q19 + MIDA!Q19 + MIDW!Q19 + NE!Q19 + NY!Q19 + NW!Q19 + SE!Q19 + SW!Q19 + TEN!Q19 + TEX!Q19</f>
        <v>274085458.95121837</v>
      </c>
      <c r="R19" s="7">
        <f xml:space="preserve"> 0 + CAL!R19 + CAR!R19 + CENT!R19 + FLA!R19 + MIDA!R19 + MIDW!R19 + NE!R19 + NY!R19 + NW!R19 + SE!R19 + SW!R19 + TEN!R19 + TEX!R19</f>
        <v>300110854.71646941</v>
      </c>
      <c r="S19" s="7">
        <f xml:space="preserve"> 0 + CAL!S19 + CAR!S19 + CENT!S19 + FLA!S19 + MIDA!S19 + MIDW!S19 + NE!S19 + NY!S19 + NW!S19 + SE!S19 + SW!S19 + TEN!S19 + TEX!S19</f>
        <v>323161064.08494234</v>
      </c>
      <c r="T19" s="7">
        <f xml:space="preserve"> 0 + CAL!T19 + CAR!T19 + CENT!T19 + FLA!T19 + MIDA!T19 + MIDW!T19 + NE!T19 + NY!T19 + NW!T19 + SE!T19 + SW!T19 + TEN!T19 + TEX!T19</f>
        <v>345264842.42218286</v>
      </c>
      <c r="U19" s="7">
        <f xml:space="preserve"> 0 + CAL!U19 + CAR!U19 + CENT!U19 + FLA!U19 + MIDA!U19 + MIDW!U19 + NE!U19 + NY!U19 + NW!U19 + SE!U19 + SW!U19 + TEN!U19 + TEX!U19</f>
        <v>368264016.73197311</v>
      </c>
      <c r="V19" s="7">
        <f xml:space="preserve"> 0 + CAL!V19 + CAR!V19 + CENT!V19 + FLA!V19 + MIDA!V19 + MIDW!V19 + NE!V19 + NY!V19 + NW!V19 + SE!V19 + SW!V19 + TEN!V19 + TEX!V19</f>
        <v>390034618.01866663</v>
      </c>
      <c r="W19" s="7">
        <f xml:space="preserve"> 0 + CAL!W19 + CAR!W19 + CENT!W19 + FLA!W19 + MIDA!W19 + MIDW!W19 + NE!W19 + NY!W19 + NW!W19 + SE!W19 + SW!W19 + TEN!W19 + TEX!W19</f>
        <v>413682975.05438727</v>
      </c>
      <c r="X19" s="7">
        <f xml:space="preserve"> 0 + CAL!X19 + CAR!X19 + CENT!X19 + FLA!X19 + MIDA!X19 + MIDW!X19 + NE!X19 + NY!X19 + NW!X19 + SE!X19 + SW!X19 + TEN!X19 + TEX!X19</f>
        <v>432897431.90902424</v>
      </c>
      <c r="Y19" s="7">
        <f xml:space="preserve"> 0 + CAL!Y19 + CAR!Y19 + CENT!Y19 + FLA!Y19 + MIDA!Y19 + MIDW!Y19 + NE!Y19 + NY!Y19 + NW!Y19 + SE!Y19 + SW!Y19 + TEN!Y19 + TEX!Y19</f>
        <v>455646728.20524967</v>
      </c>
      <c r="Z19" s="7">
        <f xml:space="preserve"> 0 + CAL!Z19 + CAR!Z19 + CENT!Z19 + FLA!Z19 + MIDA!Z19 + MIDW!Z19 + NE!Z19 + NY!Z19 + NW!Z19 + SE!Z19 + SW!Z19 + TEN!Z19 + TEX!Z19</f>
        <v>467836675.30812877</v>
      </c>
      <c r="AA19" s="7">
        <f xml:space="preserve"> 0 + CAL!AA19 + CAR!AA19 + CENT!AA19 + FLA!AA19 + MIDA!AA19 + MIDW!AA19 + NE!AA19 + NY!AA19 + NW!AA19 + SE!AA19 + SW!AA19 + TEN!AA19 + TEX!AA19</f>
        <v>481880307.39731169</v>
      </c>
      <c r="AB19" s="7">
        <f xml:space="preserve"> 0 + CAL!AB19 + CAR!AB19 + CENT!AB19 + FLA!AB19 + MIDA!AB19 + MIDW!AB19 + NE!AB19 + NY!AB19 + NW!AB19 + SE!AB19 + SW!AB19 + TEN!AB19 + TEX!AB19</f>
        <v>496951244.18776834</v>
      </c>
      <c r="AC19" s="7">
        <f xml:space="preserve"> 0 + CAL!AC19 + CAR!AC19 + CENT!AC19 + FLA!AC19 + MIDA!AC19 + MIDW!AC19 + NE!AC19 + NY!AC19 + NW!AC19 + SE!AC19 + SW!AC19 + TEN!AC19 + TEX!AC19</f>
        <v>507925086.09983808</v>
      </c>
    </row>
    <row r="20" spans="1:29" x14ac:dyDescent="0.85">
      <c r="A20" t="str">
        <f>CAL!A20</f>
        <v>Solar_Cost</v>
      </c>
      <c r="B20" s="7">
        <f xml:space="preserve"> 0 + CAL!B20 + CAR!B20 + CENT!B20 + FLA!B20 + MIDA!B20 + MIDW!B20 + NE!B20 + NY!B20 + NW!B20 + SE!B20 + SW!B20 + TEN!B20 + TEX!B20</f>
        <v>19135.433787080001</v>
      </c>
      <c r="C20" s="7">
        <f xml:space="preserve"> 0 + CAL!C20 + CAR!C20 + CENT!C20 + FLA!C20 + MIDA!C20 + MIDW!C20 + NE!C20 + NY!C20 + NW!C20 + SE!C20 + SW!C20 + TEN!C20 + TEX!C20</f>
        <v>18633.362712060003</v>
      </c>
      <c r="D20" s="7">
        <f xml:space="preserve"> 0 + CAL!D20 + CAR!D20 + CENT!D20 + FLA!D20 + MIDA!D20 + MIDW!D20 + NE!D20 + NY!D20 + NW!D20 + SE!D20 + SW!D20 + TEN!D20 + TEX!D20</f>
        <v>18227.795703249998</v>
      </c>
      <c r="E20" s="7">
        <f xml:space="preserve"> 0 + CAL!E20 + CAR!E20 + CENT!E20 + FLA!E20 + MIDA!E20 + MIDW!E20 + NE!E20 + NY!E20 + NW!E20 + SE!E20 + SW!E20 + TEN!E20 + TEX!E20</f>
        <v>17991.53727551</v>
      </c>
      <c r="F20" s="7">
        <f xml:space="preserve"> 0 + CAL!F20 + CAR!F20 + CENT!F20 + FLA!F20 + MIDA!F20 + MIDW!F20 + NE!F20 + NY!F20 + NW!F20 + SE!F20 + SW!F20 + TEN!F20 + TEX!F20</f>
        <v>18317.668205589998</v>
      </c>
      <c r="G20" s="7">
        <f xml:space="preserve"> 0 + CAL!G20 + CAR!G20 + CENT!G20 + FLA!G20 + MIDA!G20 + MIDW!G20 + NE!G20 + NY!G20 + NW!G20 + SE!G20 + SW!G20 + TEN!G20 + TEX!G20</f>
        <v>18505.626927269997</v>
      </c>
      <c r="H20" s="7">
        <f xml:space="preserve"> 0 + CAL!H20 + CAR!H20 + CENT!H20 + FLA!H20 + MIDA!H20 + MIDW!H20 + NE!H20 + NY!H20 + NW!H20 + SE!H20 + SW!H20 + TEN!H20 + TEX!H20</f>
        <v>19788.747439179999</v>
      </c>
      <c r="I20" s="7">
        <f xml:space="preserve"> 0 + CAL!I20 + CAR!I20 + CENT!I20 + FLA!I20 + MIDA!I20 + MIDW!I20 + NE!I20 + NY!I20 + NW!I20 + SE!I20 + SW!I20 + TEN!I20 + TEX!I20</f>
        <v>21158.159730540003</v>
      </c>
      <c r="J20" s="7">
        <f xml:space="preserve"> 0 + CAL!J20 + CAR!J20 + CENT!J20 + FLA!J20 + MIDA!J20 + MIDW!J20 + NE!J20 + NY!J20 + NW!J20 + SE!J20 + SW!J20 + TEN!J20 + TEX!J20</f>
        <v>21892.731576470003</v>
      </c>
      <c r="K20" s="7">
        <f xml:space="preserve"> 0 + CAL!K20 + CAR!K20 + CENT!K20 + FLA!K20 + MIDA!K20 + MIDW!K20 + NE!K20 + NY!K20 + NW!K20 + SE!K20 + SW!K20 + TEN!K20 + TEX!K20</f>
        <v>22440.169956379996</v>
      </c>
      <c r="L20" s="7">
        <f xml:space="preserve"> 0 + CAL!L20 + CAR!L20 + CENT!L20 + FLA!L20 + MIDA!L20 + MIDW!L20 + NE!L20 + NY!L20 + NW!L20 + SE!L20 + SW!L20 + TEN!L20 + TEX!L20</f>
        <v>23247.963159840001</v>
      </c>
      <c r="M20" s="7">
        <f xml:space="preserve"> 0 + CAL!M20 + CAR!M20 + CENT!M20 + FLA!M20 + MIDA!M20 + MIDW!M20 + NE!M20 + NY!M20 + NW!M20 + SE!M20 + SW!M20 + TEN!M20 + TEX!M20</f>
        <v>25063.543025140003</v>
      </c>
      <c r="N20" s="7">
        <f xml:space="preserve"> 0 + CAL!N20 + CAR!N20 + CENT!N20 + FLA!N20 + MIDA!N20 + MIDW!N20 + NE!N20 + NY!N20 + NW!N20 + SE!N20 + SW!N20 + TEN!N20 + TEX!N20</f>
        <v>28345.718799579998</v>
      </c>
      <c r="O20" s="7">
        <f xml:space="preserve"> 0 + CAL!O20 + CAR!O20 + CENT!O20 + FLA!O20 + MIDA!O20 + MIDW!O20 + NE!O20 + NY!O20 + NW!O20 + SE!O20 + SW!O20 + TEN!O20 + TEX!O20</f>
        <v>31125.127860519999</v>
      </c>
      <c r="P20" s="7">
        <f xml:space="preserve"> 0 + CAL!P20 + CAR!P20 + CENT!P20 + FLA!P20 + MIDA!P20 + MIDW!P20 + NE!P20 + NY!P20 + NW!P20 + SE!P20 + SW!P20 + TEN!P20 + TEX!P20</f>
        <v>34029.87484122</v>
      </c>
      <c r="Q20" s="7">
        <f xml:space="preserve"> 0 + CAL!Q20 + CAR!Q20 + CENT!Q20 + FLA!Q20 + MIDA!Q20 + MIDW!Q20 + NE!Q20 + NY!Q20 + NW!Q20 + SE!Q20 + SW!Q20 + TEN!Q20 + TEX!Q20</f>
        <v>38179.260456709999</v>
      </c>
      <c r="R20" s="7">
        <f xml:space="preserve"> 0 + CAL!R20 + CAR!R20 + CENT!R20 + FLA!R20 + MIDA!R20 + MIDW!R20 + NE!R20 + NY!R20 + NW!R20 + SE!R20 + SW!R20 + TEN!R20 + TEX!R20</f>
        <v>41840.396106160006</v>
      </c>
      <c r="S20" s="7">
        <f xml:space="preserve"> 0 + CAL!S20 + CAR!S20 + CENT!S20 + FLA!S20 + MIDA!S20 + MIDW!S20 + NE!S20 + NY!S20 + NW!S20 + SE!S20 + SW!S20 + TEN!S20 + TEX!S20</f>
        <v>44963.112848520002</v>
      </c>
      <c r="T20" s="7">
        <f xml:space="preserve"> 0 + CAL!T20 + CAR!T20 + CENT!T20 + FLA!T20 + MIDA!T20 + MIDW!T20 + NE!T20 + NY!T20 + NW!T20 + SE!T20 + SW!T20 + TEN!T20 + TEX!T20</f>
        <v>47946.932697779994</v>
      </c>
      <c r="U20" s="7">
        <f xml:space="preserve"> 0 + CAL!U20 + CAR!U20 + CENT!U20 + FLA!U20 + MIDA!U20 + MIDW!U20 + NE!U20 + NY!U20 + NW!U20 + SE!U20 + SW!U20 + TEN!U20 + TEX!U20</f>
        <v>51056.877639410006</v>
      </c>
      <c r="V20" s="7">
        <f xml:space="preserve"> 0 + CAL!V20 + CAR!V20 + CENT!V20 + FLA!V20 + MIDA!V20 + MIDW!V20 + NE!V20 + NY!V20 + NW!V20 + SE!V20 + SW!V20 + TEN!V20 + TEX!V20</f>
        <v>54022.322478640002</v>
      </c>
      <c r="W20" s="7">
        <f xml:space="preserve"> 0 + CAL!W20 + CAR!W20 + CENT!W20 + FLA!W20 + MIDA!W20 + MIDW!W20 + NE!W20 + NY!W20 + NW!W20 + SE!W20 + SW!W20 + TEN!W20 + TEX!W20</f>
        <v>57313.982867570005</v>
      </c>
      <c r="X20" s="7">
        <f xml:space="preserve"> 0 + CAL!X20 + CAR!X20 + CENT!X20 + FLA!X20 + MIDA!X20 + MIDW!X20 + NE!X20 + NY!X20 + NW!X20 + SE!X20 + SW!X20 + TEN!X20 + TEX!X20</f>
        <v>59979.64111982</v>
      </c>
      <c r="Y20" s="7">
        <f xml:space="preserve"> 0 + CAL!Y20 + CAR!Y20 + CENT!Y20 + FLA!Y20 + MIDA!Y20 + MIDW!Y20 + NE!Y20 + NY!Y20 + NW!Y20 + SE!Y20 + SW!Y20 + TEN!Y20 + TEX!Y20</f>
        <v>63371.340951689992</v>
      </c>
      <c r="Z20" s="7">
        <f xml:space="preserve"> 0 + CAL!Z20 + CAR!Z20 + CENT!Z20 + FLA!Z20 + MIDA!Z20 + MIDW!Z20 + NE!Z20 + NY!Z20 + NW!Z20 + SE!Z20 + SW!Z20 + TEN!Z20 + TEX!Z20</f>
        <v>65201.005235449993</v>
      </c>
      <c r="AA20" s="7">
        <f xml:space="preserve"> 0 + CAL!AA20 + CAR!AA20 + CENT!AA20 + FLA!AA20 + MIDA!AA20 + MIDW!AA20 + NE!AA20 + NY!AA20 + NW!AA20 + SE!AA20 + SW!AA20 + TEN!AA20 + TEX!AA20</f>
        <v>67336.537925870012</v>
      </c>
      <c r="AB20" s="7">
        <f xml:space="preserve"> 0 + CAL!AB20 + CAR!AB20 + CENT!AB20 + FLA!AB20 + MIDA!AB20 + MIDW!AB20 + NE!AB20 + NY!AB20 + NW!AB20 + SE!AB20 + SW!AB20 + TEN!AB20 + TEX!AB20</f>
        <v>69595.690343409995</v>
      </c>
      <c r="AC20" s="7">
        <f xml:space="preserve"> 0 + CAL!AC20 + CAR!AC20 + CENT!AC20 + FLA!AC20 + MIDA!AC20 + MIDW!AC20 + NE!AC20 + NY!AC20 + NW!AC20 + SE!AC20 + SW!AC20 + TEN!AC20 + TEX!AC20</f>
        <v>71244.843975829994</v>
      </c>
    </row>
    <row r="21" spans="1:29" x14ac:dyDescent="0.85">
      <c r="A21" t="str">
        <f>CAL!A21</f>
        <v>Solar_CO2_Cost</v>
      </c>
      <c r="B21" s="7">
        <f xml:space="preserve"> 0 + CAL!B21 + CAR!B21 + CENT!B21 + FLA!B21 + MIDA!B21 + MIDW!B21 + NE!B21 + NY!B21 + NW!B21 + SE!B21 + SW!B21 + TEN!B21 + TEX!B21</f>
        <v>0</v>
      </c>
      <c r="C21" s="7">
        <f xml:space="preserve"> 0 + CAL!C21 + CAR!C21 + CENT!C21 + FLA!C21 + MIDA!C21 + MIDW!C21 + NE!C21 + NY!C21 + NW!C21 + SE!C21 + SW!C21 + TEN!C21 + TEX!C21</f>
        <v>11.036409150000001</v>
      </c>
      <c r="D21" s="7">
        <f xml:space="preserve"> 0 + CAL!D21 + CAR!D21 + CENT!D21 + FLA!D21 + MIDA!D21 + MIDW!D21 + NE!D21 + NY!D21 + NW!D21 + SE!D21 + SW!D21 + TEN!D21 + TEX!D21</f>
        <v>21.714793700000001</v>
      </c>
      <c r="E21" s="7">
        <f xml:space="preserve"> 0 + CAL!E21 + CAR!E21 + CENT!E21 + FLA!E21 + MIDA!E21 + MIDW!E21 + NE!E21 + NY!E21 + NW!E21 + SE!E21 + SW!E21 + TEN!E21 + TEX!E21</f>
        <v>32.488552319999997</v>
      </c>
      <c r="F21" s="7">
        <f xml:space="preserve"> 0 + CAL!F21 + CAR!F21 + CENT!F21 + FLA!F21 + MIDA!F21 + MIDW!F21 + NE!F21 + NY!F21 + NW!F21 + SE!F21 + SW!F21 + TEN!F21 + TEX!F21</f>
        <v>45.25161950999999</v>
      </c>
      <c r="G21" s="7">
        <f xml:space="preserve"> 0 + CAL!G21 + CAR!G21 + CENT!G21 + FLA!G21 + MIDA!G21 + MIDW!G21 + NE!G21 + NY!G21 + NW!G21 + SE!G21 + SW!G21 + TEN!G21 + TEX!G21</f>
        <v>58.457634830000003</v>
      </c>
      <c r="H21" s="7">
        <f xml:space="preserve"> 0 + CAL!H21 + CAR!H21 + CENT!H21 + FLA!H21 + MIDA!H21 + MIDW!H21 + NE!H21 + NY!H21 + NW!H21 + SE!H21 + SW!H21 + TEN!H21 + TEX!H21</f>
        <v>76.654696999999999</v>
      </c>
      <c r="I21" s="7">
        <f xml:space="preserve"> 0 + CAL!I21 + CAR!I21 + CENT!I21 + FLA!I21 + MIDA!I21 + MIDW!I21 + NE!I21 + NY!I21 + NW!I21 + SE!I21 + SW!I21 + TEN!I21 + TEX!I21</f>
        <v>97.441201110000009</v>
      </c>
      <c r="J21" s="7">
        <f xml:space="preserve"> 0 + CAL!J21 + CAR!J21 + CENT!J21 + FLA!J21 + MIDA!J21 + MIDW!J21 + NE!J21 + NY!J21 + NW!J21 + SE!J21 + SW!J21 + TEN!J21 + TEX!J21</f>
        <v>117.94998332</v>
      </c>
      <c r="K21" s="7">
        <f xml:space="preserve"> 0 + CAL!K21 + CAR!K21 + CENT!K21 + FLA!K21 + MIDA!K21 + MIDW!K21 + NE!K21 + NY!K21 + NW!K21 + SE!K21 + SW!K21 + TEN!K21 + TEX!K21</f>
        <v>139.13185879</v>
      </c>
      <c r="L21" s="7">
        <f xml:space="preserve"> 0 + CAL!L21 + CAR!L21 + CENT!L21 + FLA!L21 + MIDA!L21 + MIDW!L21 + NE!L21 + NY!L21 + NW!L21 + SE!L21 + SW!L21 + TEN!L21 + TEX!L21</f>
        <v>163.89540485000001</v>
      </c>
      <c r="M21" s="7">
        <f xml:space="preserve"> 0 + CAL!M21 + CAR!M21 + CENT!M21 + FLA!M21 + MIDA!M21 + MIDW!M21 + NE!M21 + NY!M21 + NW!M21 + SE!M21 + SW!M21 + TEN!M21 + TEX!M21</f>
        <v>197.08413110000001</v>
      </c>
      <c r="N21" s="7">
        <f xml:space="preserve"> 0 + CAL!N21 + CAR!N21 + CENT!N21 + FLA!N21 + MIDA!N21 + MIDW!N21 + NE!N21 + NY!N21 + NW!N21 + SE!N21 + SW!N21 + TEN!N21 + TEX!N21</f>
        <v>243.92666899000002</v>
      </c>
      <c r="O21" s="7">
        <f xml:space="preserve"> 0 + CAL!O21 + CAR!O21 + CENT!O21 + FLA!O21 + MIDA!O21 + MIDW!O21 + NE!O21 + NY!O21 + NW!O21 + SE!O21 + SW!O21 + TEN!O21 + TEX!O21</f>
        <v>291.33863834999994</v>
      </c>
      <c r="P21" s="7">
        <f xml:space="preserve"> 0 + CAL!P21 + CAR!P21 + CENT!P21 + FLA!P21 + MIDA!P21 + MIDW!P21 + NE!P21 + NY!P21 + NW!P21 + SE!P21 + SW!P21 + TEN!P21 + TEX!P21</f>
        <v>344.20531755000002</v>
      </c>
      <c r="Q21" s="7">
        <f xml:space="preserve"> 0 + CAL!Q21 + CAR!Q21 + CENT!Q21 + FLA!Q21 + MIDA!Q21 + MIDW!Q21 + NE!Q21 + NY!Q21 + NW!Q21 + SE!Q21 + SW!Q21 + TEN!Q21 + TEX!Q21</f>
        <v>411.12818842000001</v>
      </c>
      <c r="R21" s="7">
        <f xml:space="preserve"> 0 + CAL!R21 + CAR!R21 + CENT!R21 + FLA!R21 + MIDA!R21 + MIDW!R21 + NE!R21 + NY!R21 + NW!R21 + SE!R21 + SW!R21 + TEN!R21 + TEX!R21</f>
        <v>480.17736753000008</v>
      </c>
      <c r="S21" s="7">
        <f xml:space="preserve"> 0 + CAL!S21 + CAR!S21 + CENT!S21 + FLA!S21 + MIDA!S21 + MIDW!S21 + NE!S21 + NY!S21 + NW!S21 + SE!S21 + SW!S21 + TEN!S21 + TEX!S21</f>
        <v>549.37380893</v>
      </c>
      <c r="T21" s="7">
        <f xml:space="preserve"> 0 + CAL!T21 + CAR!T21 + CENT!T21 + FLA!T21 + MIDA!T21 + MIDW!T21 + NE!T21 + NY!T21 + NW!T21 + SE!T21 + SW!T21 + TEN!T21 + TEX!T21</f>
        <v>621.47671636000007</v>
      </c>
      <c r="U21" s="7">
        <f xml:space="preserve"> 0 + CAL!U21 + CAR!U21 + CENT!U21 + FLA!U21 + MIDA!U21 + MIDW!U21 + NE!U21 + NY!U21 + NW!U21 + SE!U21 + SW!U21 + TEN!U21 + TEX!U21</f>
        <v>699.70163179000008</v>
      </c>
      <c r="V21" s="7">
        <f xml:space="preserve"> 0 + CAL!V21 + CAR!V21 + CENT!V21 + FLA!V21 + MIDA!V21 + MIDW!V21 + NE!V21 + NY!V21 + NW!V21 + SE!V21 + SW!V21 + TEN!V21 + TEX!V21</f>
        <v>780.06923604000008</v>
      </c>
      <c r="W21" s="7">
        <f xml:space="preserve"> 0 + CAL!W21 + CAR!W21 + CENT!W21 + FLA!W21 + MIDA!W21 + MIDW!W21 + NE!W21 + NY!W21 + NW!W21 + SE!W21 + SW!W21 + TEN!W21 + TEX!W21</f>
        <v>868.73424759999989</v>
      </c>
      <c r="X21" s="7">
        <f xml:space="preserve"> 0 + CAL!X21 + CAR!X21 + CENT!X21 + FLA!X21 + MIDA!X21 + MIDW!X21 + NE!X21 + NY!X21 + NW!X21 + SE!X21 + SW!X21 + TEN!X21 + TEX!X21</f>
        <v>952.37435022</v>
      </c>
      <c r="Y21" s="7">
        <f xml:space="preserve"> 0 + CAL!Y21 + CAR!Y21 + CENT!Y21 + FLA!Y21 + MIDA!Y21 + MIDW!Y21 + NE!Y21 + NY!Y21 + NW!Y21 + SE!Y21 + SW!Y21 + TEN!Y21 + TEX!Y21</f>
        <v>1047.9874748799998</v>
      </c>
      <c r="Z21" s="7">
        <f xml:space="preserve"> 0 + CAL!Z21 + CAR!Z21 + CENT!Z21 + FLA!Z21 + MIDA!Z21 + MIDW!Z21 + NE!Z21 + NY!Z21 + NW!Z21 + SE!Z21 + SW!Z21 + TEN!Z21 + TEX!Z21</f>
        <v>1122.8080207400003</v>
      </c>
      <c r="AA21" s="7">
        <f xml:space="preserve"> 0 + CAL!AA21 + CAR!AA21 + CENT!AA21 + FLA!AA21 + MIDA!AA21 + MIDW!AA21 + NE!AA21 + NY!AA21 + NW!AA21 + SE!AA21 + SW!AA21 + TEN!AA21 + TEX!AA21</f>
        <v>1204.70076849</v>
      </c>
      <c r="AB21" s="7">
        <f xml:space="preserve"> 0 + CAL!AB21 + CAR!AB21 + CENT!AB21 + FLA!AB21 + MIDA!AB21 + MIDW!AB21 + NE!AB21 + NY!AB21 + NW!AB21 + SE!AB21 + SW!AB21 + TEN!AB21 + TEX!AB21</f>
        <v>1292.0732349099999</v>
      </c>
      <c r="AC21" s="7">
        <f xml:space="preserve"> 0 + CAL!AC21 + CAR!AC21 + CENT!AC21 + FLA!AC21 + MIDA!AC21 + MIDW!AC21 + NE!AC21 + NY!AC21 + NW!AC21 + SE!AC21 + SW!AC21 + TEN!AC21 + TEX!AC21</f>
        <v>1371.3977324799998</v>
      </c>
    </row>
    <row r="22" spans="1:29" x14ac:dyDescent="0.85">
      <c r="A22" t="str">
        <f>CAL!A22</f>
        <v>Solar_CO2_MTon</v>
      </c>
      <c r="B22" s="7">
        <f xml:space="preserve"> 0 + CAL!B22 + CAR!B22 + CENT!B22 + FLA!B22 + MIDA!B22 + MIDW!B22 + NE!B22 + NY!B22 + NW!B22 + SE!B22 + SW!B22 + TEN!B22 + TEX!B22</f>
        <v>0.56689757000000007</v>
      </c>
      <c r="C22" s="7">
        <f xml:space="preserve"> 0 + CAL!C22 + CAR!C22 + CENT!C22 + FLA!C22 + MIDA!C22 + MIDW!C22 + NE!C22 + NY!C22 + NW!C22 + SE!C22 + SW!C22 + TEN!C22 + TEX!C22</f>
        <v>0.55182045000000002</v>
      </c>
      <c r="D22" s="7">
        <f xml:space="preserve"> 0 + CAL!D22 + CAR!D22 + CENT!D22 + FLA!D22 + MIDA!D22 + MIDW!D22 + NE!D22 + NY!D22 + NW!D22 + SE!D22 + SW!D22 + TEN!D22 + TEX!D22</f>
        <v>0.54286984999999999</v>
      </c>
      <c r="E22" s="7">
        <f xml:space="preserve"> 0 + CAL!E22 + CAR!E22 + CENT!E22 + FLA!E22 + MIDA!E22 + MIDW!E22 + NE!E22 + NY!E22 + NW!E22 + SE!E22 + SW!E22 + TEN!E22 + TEX!E22</f>
        <v>0.54147588000000002</v>
      </c>
      <c r="F22" s="7">
        <f xml:space="preserve"> 0 + CAL!F22 + CAR!F22 + CENT!F22 + FLA!F22 + MIDA!F22 + MIDW!F22 + NE!F22 + NY!F22 + NW!F22 + SE!F22 + SW!F22 + TEN!F22 + TEX!F22</f>
        <v>0.56564524000000005</v>
      </c>
      <c r="G22" s="7">
        <f xml:space="preserve"> 0 + CAL!G22 + CAR!G22 + CENT!G22 + FLA!G22 + MIDA!G22 + MIDW!G22 + NE!G22 + NY!G22 + NW!G22 + SE!G22 + SW!G22 + TEN!G22 + TEX!G22</f>
        <v>0.58457634000000003</v>
      </c>
      <c r="H22" s="7">
        <f xml:space="preserve"> 0 + CAL!H22 + CAR!H22 + CENT!H22 + FLA!H22 + MIDA!H22 + MIDW!H22 + NE!H22 + NY!H22 + NW!H22 + SE!H22 + SW!H22 + TEN!H22 + TEX!H22</f>
        <v>0.63878913000000004</v>
      </c>
      <c r="I22" s="7">
        <f xml:space="preserve"> 0 + CAL!I22 + CAR!I22 + CENT!I22 + FLA!I22 + MIDA!I22 + MIDW!I22 + NE!I22 + NY!I22 + NW!I22 + SE!I22 + SW!I22 + TEN!I22 + TEX!I22</f>
        <v>0.69600857999999999</v>
      </c>
      <c r="J22" s="7">
        <f xml:space="preserve"> 0 + CAL!J22 + CAR!J22 + CENT!J22 + FLA!J22 + MIDA!J22 + MIDW!J22 + NE!J22 + NY!J22 + NW!J22 + SE!J22 + SW!J22 + TEN!J22 + TEX!J22</f>
        <v>0.7371874100000001</v>
      </c>
      <c r="K22" s="7">
        <f xml:space="preserve"> 0 + CAL!K22 + CAR!K22 + CENT!K22 + FLA!K22 + MIDA!K22 + MIDW!K22 + NE!K22 + NY!K22 + NW!K22 + SE!K22 + SW!K22 + TEN!K22 + TEX!K22</f>
        <v>0.77295478000000006</v>
      </c>
      <c r="L22" s="7">
        <f xml:space="preserve"> 0 + CAL!L22 + CAR!L22 + CENT!L22 + FLA!L22 + MIDA!L22 + MIDW!L22 + NE!L22 + NY!L22 + NW!L22 + SE!L22 + SW!L22 + TEN!L22 + TEX!L22</f>
        <v>0.81947702</v>
      </c>
      <c r="M22" s="7">
        <f xml:space="preserve"> 0 + CAL!M22 + CAR!M22 + CENT!M22 + FLA!M22 + MIDA!M22 + MIDW!M22 + NE!M22 + NY!M22 + NW!M22 + SE!M22 + SW!M22 + TEN!M22 + TEX!M22</f>
        <v>0.89583695999999979</v>
      </c>
      <c r="N22" s="7">
        <f xml:space="preserve"> 0 + CAL!N22 + CAR!N22 + CENT!N22 + FLA!N22 + MIDA!N22 + MIDW!N22 + NE!N22 + NY!N22 + NW!N22 + SE!N22 + SW!N22 + TEN!N22 + TEX!N22</f>
        <v>1.0163611299999997</v>
      </c>
      <c r="O22" s="7">
        <f xml:space="preserve"> 0 + CAL!O22 + CAR!O22 + CENT!O22 + FLA!O22 + MIDA!O22 + MIDW!O22 + NE!O22 + NY!O22 + NW!O22 + SE!O22 + SW!O22 + TEN!O22 + TEX!O22</f>
        <v>1.1205332299999999</v>
      </c>
      <c r="P22" s="7">
        <f xml:space="preserve"> 0 + CAL!P22 + CAR!P22 + CENT!P22 + FLA!P22 + MIDA!P22 + MIDW!P22 + NE!P22 + NY!P22 + NW!P22 + SE!P22 + SW!P22 + TEN!P22 + TEX!P22</f>
        <v>1.2293047000000001</v>
      </c>
      <c r="Q22" s="7">
        <f xml:space="preserve"> 0 + CAL!Q22 + CAR!Q22 + CENT!Q22 + FLA!Q22 + MIDA!Q22 + MIDW!Q22 + NE!Q22 + NY!Q22 + NW!Q22 + SE!Q22 + SW!Q22 + TEN!Q22 + TEX!Q22</f>
        <v>1.3704272800000001</v>
      </c>
      <c r="R22" s="7">
        <f xml:space="preserve"> 0 + CAL!R22 + CAR!R22 + CENT!R22 + FLA!R22 + MIDA!R22 + MIDW!R22 + NE!R22 + NY!R22 + NW!R22 + SE!R22 + SW!R22 + TEN!R22 + TEX!R22</f>
        <v>1.5005542800000002</v>
      </c>
      <c r="S22" s="7">
        <f xml:space="preserve"> 0 + CAL!S22 + CAR!S22 + CENT!S22 + FLA!S22 + MIDA!S22 + MIDW!S22 + NE!S22 + NY!S22 + NW!S22 + SE!S22 + SW!S22 + TEN!S22 + TEX!S22</f>
        <v>1.6158053199999998</v>
      </c>
      <c r="T22" s="7">
        <f xml:space="preserve"> 0 + CAL!T22 + CAR!T22 + CENT!T22 + FLA!T22 + MIDA!T22 + MIDW!T22 + NE!T22 + NY!T22 + NW!T22 + SE!T22 + SW!T22 + TEN!T22 + TEX!T22</f>
        <v>1.72632422</v>
      </c>
      <c r="U22" s="7">
        <f xml:space="preserve"> 0 + CAL!U22 + CAR!U22 + CENT!U22 + FLA!U22 + MIDA!U22 + MIDW!U22 + NE!U22 + NY!U22 + NW!U22 + SE!U22 + SW!U22 + TEN!U22 + TEX!U22</f>
        <v>1.84132008</v>
      </c>
      <c r="V22" s="7">
        <f xml:space="preserve"> 0 + CAL!V22 + CAR!V22 + CENT!V22 + FLA!V22 + MIDA!V22 + MIDW!V22 + NE!V22 + NY!V22 + NW!V22 + SE!V22 + SW!V22 + TEN!V22 + TEX!V22</f>
        <v>1.9501730800000001</v>
      </c>
      <c r="W22" s="7">
        <f xml:space="preserve"> 0 + CAL!W22 + CAR!W22 + CENT!W22 + FLA!W22 + MIDA!W22 + MIDW!W22 + NE!W22 + NY!W22 + NW!W22 + SE!W22 + SW!W22 + TEN!W22 + TEX!W22</f>
        <v>2.0684148799999997</v>
      </c>
      <c r="X22" s="7">
        <f xml:space="preserve"> 0 + CAL!X22 + CAR!X22 + CENT!X22 + FLA!X22 + MIDA!X22 + MIDW!X22 + NE!X22 + NY!X22 + NW!X22 + SE!X22 + SW!X22 + TEN!X22 + TEX!X22</f>
        <v>2.1644871500000002</v>
      </c>
      <c r="Y22" s="7">
        <f xml:space="preserve"> 0 + CAL!Y22 + CAR!Y22 + CENT!Y22 + FLA!Y22 + MIDA!Y22 + MIDW!Y22 + NE!Y22 + NY!Y22 + NW!Y22 + SE!Y22 + SW!Y22 + TEN!Y22 + TEX!Y22</f>
        <v>2.2782336300000003</v>
      </c>
      <c r="Z22" s="7">
        <f xml:space="preserve"> 0 + CAL!Z22 + CAR!Z22 + CENT!Z22 + FLA!Z22 + MIDA!Z22 + MIDW!Z22 + NE!Z22 + NY!Z22 + NW!Z22 + SE!Z22 + SW!Z22 + TEN!Z22 + TEX!Z22</f>
        <v>2.3391833800000001</v>
      </c>
      <c r="AA22" s="7">
        <f xml:space="preserve"> 0 + CAL!AA22 + CAR!AA22 + CENT!AA22 + FLA!AA22 + MIDA!AA22 + MIDW!AA22 + NE!AA22 + NY!AA22 + NW!AA22 + SE!AA22 + SW!AA22 + TEN!AA22 + TEX!AA22</f>
        <v>2.4094015200000003</v>
      </c>
      <c r="AB22" s="7">
        <f xml:space="preserve"> 0 + CAL!AB22 + CAR!AB22 + CENT!AB22 + FLA!AB22 + MIDA!AB22 + MIDW!AB22 + NE!AB22 + NY!AB22 + NW!AB22 + SE!AB22 + SW!AB22 + TEN!AB22 + TEX!AB22</f>
        <v>2.48475622</v>
      </c>
      <c r="AC22" s="7">
        <f xml:space="preserve"> 0 + CAL!AC22 + CAR!AC22 + CENT!AC22 + FLA!AC22 + MIDA!AC22 + MIDW!AC22 + NE!AC22 + NY!AC22 + NW!AC22 + SE!AC22 + SW!AC22 + TEN!AC22 + TEX!AC22</f>
        <v>2.5396254300000001</v>
      </c>
    </row>
    <row r="23" spans="1:29" x14ac:dyDescent="0.85">
      <c r="A23" t="str">
        <f>CAL!A23</f>
        <v>Solar_MW_Cost</v>
      </c>
      <c r="B23" s="7">
        <f xml:space="preserve"> 0 + CAL!B23 + CAR!B23 + CENT!B23 + FLA!B23 + MIDA!B23 + MIDW!B23 + NE!B23 + NY!B23 + NW!B23 + SE!B23 + SW!B23 + TEN!B23 + TEX!B23</f>
        <v>19135.433787080001</v>
      </c>
      <c r="C23" s="7">
        <f xml:space="preserve"> 0 + CAL!C23 + CAR!C23 + CENT!C23 + FLA!C23 + MIDA!C23 + MIDW!C23 + NE!C23 + NY!C23 + NW!C23 + SE!C23 + SW!C23 + TEN!C23 + TEX!C23</f>
        <v>18633.362712060003</v>
      </c>
      <c r="D23" s="7">
        <f xml:space="preserve"> 0 + CAL!D23 + CAR!D23 + CENT!D23 + FLA!D23 + MIDA!D23 + MIDW!D23 + NE!D23 + NY!D23 + NW!D23 + SE!D23 + SW!D23 + TEN!D23 + TEX!D23</f>
        <v>18227.795703249998</v>
      </c>
      <c r="E23" s="7">
        <f xml:space="preserve"> 0 + CAL!E23 + CAR!E23 + CENT!E23 + FLA!E23 + MIDA!E23 + MIDW!E23 + NE!E23 + NY!E23 + NW!E23 + SE!E23 + SW!E23 + TEN!E23 + TEX!E23</f>
        <v>17991.53727551</v>
      </c>
      <c r="F23" s="7">
        <f xml:space="preserve"> 0 + CAL!F23 + CAR!F23 + CENT!F23 + FLA!F23 + MIDA!F23 + MIDW!F23 + NE!F23 + NY!F23 + NW!F23 + SE!F23 + SW!F23 + TEN!F23 + TEX!F23</f>
        <v>18317.668205589998</v>
      </c>
      <c r="G23" s="7">
        <f xml:space="preserve"> 0 + CAL!G23 + CAR!G23 + CENT!G23 + FLA!G23 + MIDA!G23 + MIDW!G23 + NE!G23 + NY!G23 + NW!G23 + SE!G23 + SW!G23 + TEN!G23 + TEX!G23</f>
        <v>18505.626927269997</v>
      </c>
      <c r="H23" s="7">
        <f xml:space="preserve"> 0 + CAL!H23 + CAR!H23 + CENT!H23 + FLA!H23 + MIDA!H23 + MIDW!H23 + NE!H23 + NY!H23 + NW!H23 + SE!H23 + SW!H23 + TEN!H23 + TEX!H23</f>
        <v>19788.747439179999</v>
      </c>
      <c r="I23" s="7">
        <f xml:space="preserve"> 0 + CAL!I23 + CAR!I23 + CENT!I23 + FLA!I23 + MIDA!I23 + MIDW!I23 + NE!I23 + NY!I23 + NW!I23 + SE!I23 + SW!I23 + TEN!I23 + TEX!I23</f>
        <v>21158.159730540003</v>
      </c>
      <c r="J23" s="7">
        <f xml:space="preserve"> 0 + CAL!J23 + CAR!J23 + CENT!J23 + FLA!J23 + MIDA!J23 + MIDW!J23 + NE!J23 + NY!J23 + NW!J23 + SE!J23 + SW!J23 + TEN!J23 + TEX!J23</f>
        <v>21892.731576470003</v>
      </c>
      <c r="K23" s="7">
        <f xml:space="preserve"> 0 + CAL!K23 + CAR!K23 + CENT!K23 + FLA!K23 + MIDA!K23 + MIDW!K23 + NE!K23 + NY!K23 + NW!K23 + SE!K23 + SW!K23 + TEN!K23 + TEX!K23</f>
        <v>22440.169956379996</v>
      </c>
      <c r="L23" s="7">
        <f xml:space="preserve"> 0 + CAL!L23 + CAR!L23 + CENT!L23 + FLA!L23 + MIDA!L23 + MIDW!L23 + NE!L23 + NY!L23 + NW!L23 + SE!L23 + SW!L23 + TEN!L23 + TEX!L23</f>
        <v>23247.963159840001</v>
      </c>
      <c r="M23" s="7">
        <f xml:space="preserve"> 0 + CAL!M23 + CAR!M23 + CENT!M23 + FLA!M23 + MIDA!M23 + MIDW!M23 + NE!M23 + NY!M23 + NW!M23 + SE!M23 + SW!M23 + TEN!M23 + TEX!M23</f>
        <v>25063.543025140003</v>
      </c>
      <c r="N23" s="7">
        <f xml:space="preserve"> 0 + CAL!N23 + CAR!N23 + CENT!N23 + FLA!N23 + MIDA!N23 + MIDW!N23 + NE!N23 + NY!N23 + NW!N23 + SE!N23 + SW!N23 + TEN!N23 + TEX!N23</f>
        <v>28345.718799579998</v>
      </c>
      <c r="O23" s="7">
        <f xml:space="preserve"> 0 + CAL!O23 + CAR!O23 + CENT!O23 + FLA!O23 + MIDA!O23 + MIDW!O23 + NE!O23 + NY!O23 + NW!O23 + SE!O23 + SW!O23 + TEN!O23 + TEX!O23</f>
        <v>31125.127860519999</v>
      </c>
      <c r="P23" s="7">
        <f xml:space="preserve"> 0 + CAL!P23 + CAR!P23 + CENT!P23 + FLA!P23 + MIDA!P23 + MIDW!P23 + NE!P23 + NY!P23 + NW!P23 + SE!P23 + SW!P23 + TEN!P23 + TEX!P23</f>
        <v>34029.87484122</v>
      </c>
      <c r="Q23" s="7">
        <f xml:space="preserve"> 0 + CAL!Q23 + CAR!Q23 + CENT!Q23 + FLA!Q23 + MIDA!Q23 + MIDW!Q23 + NE!Q23 + NY!Q23 + NW!Q23 + SE!Q23 + SW!Q23 + TEN!Q23 + TEX!Q23</f>
        <v>38179.260456709999</v>
      </c>
      <c r="R23" s="7">
        <f xml:space="preserve"> 0 + CAL!R23 + CAR!R23 + CENT!R23 + FLA!R23 + MIDA!R23 + MIDW!R23 + NE!R23 + NY!R23 + NW!R23 + SE!R23 + SW!R23 + TEN!R23 + TEX!R23</f>
        <v>41840.396106160006</v>
      </c>
      <c r="S23" s="7">
        <f xml:space="preserve"> 0 + CAL!S23 + CAR!S23 + CENT!S23 + FLA!S23 + MIDA!S23 + MIDW!S23 + NE!S23 + NY!S23 + NW!S23 + SE!S23 + SW!S23 + TEN!S23 + TEX!S23</f>
        <v>44963.112848520002</v>
      </c>
      <c r="T23" s="7">
        <f xml:space="preserve"> 0 + CAL!T23 + CAR!T23 + CENT!T23 + FLA!T23 + MIDA!T23 + MIDW!T23 + NE!T23 + NY!T23 + NW!T23 + SE!T23 + SW!T23 + TEN!T23 + TEX!T23</f>
        <v>47946.932697779994</v>
      </c>
      <c r="U23" s="7">
        <f xml:space="preserve"> 0 + CAL!U23 + CAR!U23 + CENT!U23 + FLA!U23 + MIDA!U23 + MIDW!U23 + NE!U23 + NY!U23 + NW!U23 + SE!U23 + SW!U23 + TEN!U23 + TEX!U23</f>
        <v>51056.877639410006</v>
      </c>
      <c r="V23" s="7">
        <f xml:space="preserve"> 0 + CAL!V23 + CAR!V23 + CENT!V23 + FLA!V23 + MIDA!V23 + MIDW!V23 + NE!V23 + NY!V23 + NW!V23 + SE!V23 + SW!V23 + TEN!V23 + TEX!V23</f>
        <v>54022.322478640002</v>
      </c>
      <c r="W23" s="7">
        <f xml:space="preserve"> 0 + CAL!W23 + CAR!W23 + CENT!W23 + FLA!W23 + MIDA!W23 + MIDW!W23 + NE!W23 + NY!W23 + NW!W23 + SE!W23 + SW!W23 + TEN!W23 + TEX!W23</f>
        <v>57313.982867570005</v>
      </c>
      <c r="X23" s="7">
        <f xml:space="preserve"> 0 + CAL!X23 + CAR!X23 + CENT!X23 + FLA!X23 + MIDA!X23 + MIDW!X23 + NE!X23 + NY!X23 + NW!X23 + SE!X23 + SW!X23 + TEN!X23 + TEX!X23</f>
        <v>59979.64111982</v>
      </c>
      <c r="Y23" s="7">
        <f xml:space="preserve"> 0 + CAL!Y23 + CAR!Y23 + CENT!Y23 + FLA!Y23 + MIDA!Y23 + MIDW!Y23 + NE!Y23 + NY!Y23 + NW!Y23 + SE!Y23 + SW!Y23 + TEN!Y23 + TEX!Y23</f>
        <v>63371.340951689992</v>
      </c>
      <c r="Z23" s="7">
        <f xml:space="preserve"> 0 + CAL!Z23 + CAR!Z23 + CENT!Z23 + FLA!Z23 + MIDA!Z23 + MIDW!Z23 + NE!Z23 + NY!Z23 + NW!Z23 + SE!Z23 + SW!Z23 + TEN!Z23 + TEX!Z23</f>
        <v>65201.005235449993</v>
      </c>
      <c r="AA23" s="7">
        <f xml:space="preserve"> 0 + CAL!AA23 + CAR!AA23 + CENT!AA23 + FLA!AA23 + MIDA!AA23 + MIDW!AA23 + NE!AA23 + NY!AA23 + NW!AA23 + SE!AA23 + SW!AA23 + TEN!AA23 + TEX!AA23</f>
        <v>67336.537925870012</v>
      </c>
      <c r="AB23" s="7">
        <f xml:space="preserve"> 0 + CAL!AB23 + CAR!AB23 + CENT!AB23 + FLA!AB23 + MIDA!AB23 + MIDW!AB23 + NE!AB23 + NY!AB23 + NW!AB23 + SE!AB23 + SW!AB23 + TEN!AB23 + TEX!AB23</f>
        <v>69595.690343409995</v>
      </c>
      <c r="AC23" s="7">
        <f xml:space="preserve"> 0 + CAL!AC23 + CAR!AC23 + CENT!AC23 + FLA!AC23 + MIDA!AC23 + MIDW!AC23 + NE!AC23 + NY!AC23 + NW!AC23 + SE!AC23 + SW!AC23 + TEN!AC23 + TEX!AC23</f>
        <v>71244.843975829994</v>
      </c>
    </row>
    <row r="24" spans="1:29" x14ac:dyDescent="0.85">
      <c r="A24" t="str">
        <f>CAL!A24</f>
        <v>Solar_MWh_Cost</v>
      </c>
      <c r="B24" s="7">
        <f xml:space="preserve"> 0 + CAL!B24 + CAR!B24 + CENT!B24 + FLA!B24 + MIDA!B24 + MIDW!B24 + NE!B24 + NY!B24 + NW!B24 + SE!B24 + SW!B24 + TEN!B24 + TEX!B24</f>
        <v>0</v>
      </c>
      <c r="C24" s="7">
        <f xml:space="preserve"> 0 + CAL!C24 + CAR!C24 + CENT!C24 + FLA!C24 + MIDA!C24 + MIDW!C24 + NE!C24 + NY!C24 + NW!C24 + SE!C24 + SW!C24 + TEN!C24 + TEX!C24</f>
        <v>0</v>
      </c>
      <c r="D24" s="7">
        <f xml:space="preserve"> 0 + CAL!D24 + CAR!D24 + CENT!D24 + FLA!D24 + MIDA!D24 + MIDW!D24 + NE!D24 + NY!D24 + NW!D24 + SE!D24 + SW!D24 + TEN!D24 + TEX!D24</f>
        <v>0</v>
      </c>
      <c r="E24" s="7">
        <f xml:space="preserve"> 0 + CAL!E24 + CAR!E24 + CENT!E24 + FLA!E24 + MIDA!E24 + MIDW!E24 + NE!E24 + NY!E24 + NW!E24 + SE!E24 + SW!E24 + TEN!E24 + TEX!E24</f>
        <v>0</v>
      </c>
      <c r="F24" s="7">
        <f xml:space="preserve"> 0 + CAL!F24 + CAR!F24 + CENT!F24 + FLA!F24 + MIDA!F24 + MIDW!F24 + NE!F24 + NY!F24 + NW!F24 + SE!F24 + SW!F24 + TEN!F24 + TEX!F24</f>
        <v>0</v>
      </c>
      <c r="G24" s="7">
        <f xml:space="preserve"> 0 + CAL!G24 + CAR!G24 + CENT!G24 + FLA!G24 + MIDA!G24 + MIDW!G24 + NE!G24 + NY!G24 + NW!G24 + SE!G24 + SW!G24 + TEN!G24 + TEX!G24</f>
        <v>0</v>
      </c>
      <c r="H24" s="7">
        <f xml:space="preserve"> 0 + CAL!H24 + CAR!H24 + CENT!H24 + FLA!H24 + MIDA!H24 + MIDW!H24 + NE!H24 + NY!H24 + NW!H24 + SE!H24 + SW!H24 + TEN!H24 + TEX!H24</f>
        <v>0</v>
      </c>
      <c r="I24" s="7">
        <f xml:space="preserve"> 0 + CAL!I24 + CAR!I24 + CENT!I24 + FLA!I24 + MIDA!I24 + MIDW!I24 + NE!I24 + NY!I24 + NW!I24 + SE!I24 + SW!I24 + TEN!I24 + TEX!I24</f>
        <v>0</v>
      </c>
      <c r="J24" s="7">
        <f xml:space="preserve"> 0 + CAL!J24 + CAR!J24 + CENT!J24 + FLA!J24 + MIDA!J24 + MIDW!J24 + NE!J24 + NY!J24 + NW!J24 + SE!J24 + SW!J24 + TEN!J24 + TEX!J24</f>
        <v>0</v>
      </c>
      <c r="K24" s="7">
        <f xml:space="preserve"> 0 + CAL!K24 + CAR!K24 + CENT!K24 + FLA!K24 + MIDA!K24 + MIDW!K24 + NE!K24 + NY!K24 + NW!K24 + SE!K24 + SW!K24 + TEN!K24 + TEX!K24</f>
        <v>0</v>
      </c>
      <c r="L24" s="7">
        <f xml:space="preserve"> 0 + CAL!L24 + CAR!L24 + CENT!L24 + FLA!L24 + MIDA!L24 + MIDW!L24 + NE!L24 + NY!L24 + NW!L24 + SE!L24 + SW!L24 + TEN!L24 + TEX!L24</f>
        <v>0</v>
      </c>
      <c r="M24" s="7">
        <f xml:space="preserve"> 0 + CAL!M24 + CAR!M24 + CENT!M24 + FLA!M24 + MIDA!M24 + MIDW!M24 + NE!M24 + NY!M24 + NW!M24 + SE!M24 + SW!M24 + TEN!M24 + TEX!M24</f>
        <v>0</v>
      </c>
      <c r="N24" s="7">
        <f xml:space="preserve"> 0 + CAL!N24 + CAR!N24 + CENT!N24 + FLA!N24 + MIDA!N24 + MIDW!N24 + NE!N24 + NY!N24 + NW!N24 + SE!N24 + SW!N24 + TEN!N24 + TEX!N24</f>
        <v>0</v>
      </c>
      <c r="O24" s="7">
        <f xml:space="preserve"> 0 + CAL!O24 + CAR!O24 + CENT!O24 + FLA!O24 + MIDA!O24 + MIDW!O24 + NE!O24 + NY!O24 + NW!O24 + SE!O24 + SW!O24 + TEN!O24 + TEX!O24</f>
        <v>0</v>
      </c>
      <c r="P24" s="7">
        <f xml:space="preserve"> 0 + CAL!P24 + CAR!P24 + CENT!P24 + FLA!P24 + MIDA!P24 + MIDW!P24 + NE!P24 + NY!P24 + NW!P24 + SE!P24 + SW!P24 + TEN!P24 + TEX!P24</f>
        <v>0</v>
      </c>
      <c r="Q24" s="7">
        <f xml:space="preserve"> 0 + CAL!Q24 + CAR!Q24 + CENT!Q24 + FLA!Q24 + MIDA!Q24 + MIDW!Q24 + NE!Q24 + NY!Q24 + NW!Q24 + SE!Q24 + SW!Q24 + TEN!Q24 + TEX!Q24</f>
        <v>0</v>
      </c>
      <c r="R24" s="7">
        <f xml:space="preserve"> 0 + CAL!R24 + CAR!R24 + CENT!R24 + FLA!R24 + MIDA!R24 + MIDW!R24 + NE!R24 + NY!R24 + NW!R24 + SE!R24 + SW!R24 + TEN!R24 + TEX!R24</f>
        <v>0</v>
      </c>
      <c r="S24" s="7">
        <f xml:space="preserve"> 0 + CAL!S24 + CAR!S24 + CENT!S24 + FLA!S24 + MIDA!S24 + MIDW!S24 + NE!S24 + NY!S24 + NW!S24 + SE!S24 + SW!S24 + TEN!S24 + TEX!S24</f>
        <v>0</v>
      </c>
      <c r="T24" s="7">
        <f xml:space="preserve"> 0 + CAL!T24 + CAR!T24 + CENT!T24 + FLA!T24 + MIDA!T24 + MIDW!T24 + NE!T24 + NY!T24 + NW!T24 + SE!T24 + SW!T24 + TEN!T24 + TEX!T24</f>
        <v>0</v>
      </c>
      <c r="U24" s="7">
        <f xml:space="preserve"> 0 + CAL!U24 + CAR!U24 + CENT!U24 + FLA!U24 + MIDA!U24 + MIDW!U24 + NE!U24 + NY!U24 + NW!U24 + SE!U24 + SW!U24 + TEN!U24 + TEX!U24</f>
        <v>0</v>
      </c>
      <c r="V24" s="7">
        <f xml:space="preserve"> 0 + CAL!V24 + CAR!V24 + CENT!V24 + FLA!V24 + MIDA!V24 + MIDW!V24 + NE!V24 + NY!V24 + NW!V24 + SE!V24 + SW!V24 + TEN!V24 + TEX!V24</f>
        <v>0</v>
      </c>
      <c r="W24" s="7">
        <f xml:space="preserve"> 0 + CAL!W24 + CAR!W24 + CENT!W24 + FLA!W24 + MIDA!W24 + MIDW!W24 + NE!W24 + NY!W24 + NW!W24 + SE!W24 + SW!W24 + TEN!W24 + TEX!W24</f>
        <v>0</v>
      </c>
      <c r="X24" s="7">
        <f xml:space="preserve"> 0 + CAL!X24 + CAR!X24 + CENT!X24 + FLA!X24 + MIDA!X24 + MIDW!X24 + NE!X24 + NY!X24 + NW!X24 + SE!X24 + SW!X24 + TEN!X24 + TEX!X24</f>
        <v>0</v>
      </c>
      <c r="Y24" s="7">
        <f xml:space="preserve"> 0 + CAL!Y24 + CAR!Y24 + CENT!Y24 + FLA!Y24 + MIDA!Y24 + MIDW!Y24 + NE!Y24 + NY!Y24 + NW!Y24 + SE!Y24 + SW!Y24 + TEN!Y24 + TEX!Y24</f>
        <v>0</v>
      </c>
      <c r="Z24" s="7">
        <f xml:space="preserve"> 0 + CAL!Z24 + CAR!Z24 + CENT!Z24 + FLA!Z24 + MIDA!Z24 + MIDW!Z24 + NE!Z24 + NY!Z24 + NW!Z24 + SE!Z24 + SW!Z24 + TEN!Z24 + TEX!Z24</f>
        <v>0</v>
      </c>
      <c r="AA24" s="7">
        <f xml:space="preserve"> 0 + CAL!AA24 + CAR!AA24 + CENT!AA24 + FLA!AA24 + MIDA!AA24 + MIDW!AA24 + NE!AA24 + NY!AA24 + NW!AA24 + SE!AA24 + SW!AA24 + TEN!AA24 + TEX!AA24</f>
        <v>0</v>
      </c>
      <c r="AB24" s="7">
        <f xml:space="preserve"> 0 + CAL!AB24 + CAR!AB24 + CENT!AB24 + FLA!AB24 + MIDA!AB24 + MIDW!AB24 + NE!AB24 + NY!AB24 + NW!AB24 + SE!AB24 + SW!AB24 + TEN!AB24 + TEX!AB24</f>
        <v>0</v>
      </c>
      <c r="AC24" s="7">
        <f xml:space="preserve"> 0 + CAL!AC24 + CAR!AC24 + CENT!AC24 + FLA!AC24 + MIDA!AC24 + MIDW!AC24 + NE!AC24 + NY!AC24 + NW!AC24 + SE!AC24 + SW!AC24 + TEN!AC24 + TEX!AC24</f>
        <v>0</v>
      </c>
    </row>
    <row r="25" spans="1:29" x14ac:dyDescent="0.85">
      <c r="A25" t="str">
        <f>CAL!A25</f>
        <v>Solar_Start_Knob</v>
      </c>
      <c r="B25" s="7">
        <f xml:space="preserve"> 0 + CAL!B25 + CAR!B25 + CENT!B25 + FLA!B25 + MIDA!B25 + MIDW!B25 + NE!B25 + NY!B25 + NW!B25 + SE!B25 + SW!B25 + TEN!B25 + TEX!B25</f>
        <v>13</v>
      </c>
      <c r="C25" s="7">
        <f xml:space="preserve"> 0 + CAL!C25 + CAR!C25 + CENT!C25 + FLA!C25 + MIDA!C25 + MIDW!C25 + NE!C25 + NY!C25 + NW!C25 + SE!C25 + SW!C25 + TEN!C25 + TEX!C25</f>
        <v>13.433333289999997</v>
      </c>
      <c r="D25" s="7">
        <f xml:space="preserve"> 0 + CAL!D25 + CAR!D25 + CENT!D25 + FLA!D25 + MIDA!D25 + MIDW!D25 + NE!D25 + NY!D25 + NW!D25 + SE!D25 + SW!D25 + TEN!D25 + TEX!D25</f>
        <v>12.370839570000001</v>
      </c>
      <c r="E25" s="7">
        <f xml:space="preserve"> 0 + CAL!E25 + CAR!E25 + CENT!E25 + FLA!E25 + MIDA!E25 + MIDW!E25 + NE!E25 + NY!E25 + NW!E25 + SE!E25 + SW!E25 + TEN!E25 + TEX!E25</f>
        <v>12.270343889999999</v>
      </c>
      <c r="F25" s="7">
        <f xml:space="preserve"> 0 + CAL!F25 + CAR!F25 + CENT!F25 + FLA!F25 + MIDA!F25 + MIDW!F25 + NE!F25 + NY!F25 + NW!F25 + SE!F25 + SW!F25 + TEN!F25 + TEX!F25</f>
        <v>13.463689140000001</v>
      </c>
      <c r="G25" s="7">
        <f xml:space="preserve"> 0 + CAL!G25 + CAR!G25 + CENT!G25 + FLA!G25 + MIDA!G25 + MIDW!G25 + NE!G25 + NY!G25 + NW!G25 + SE!G25 + SW!G25 + TEN!G25 + TEX!G25</f>
        <v>12.980510439999996</v>
      </c>
      <c r="H25" s="7">
        <f xml:space="preserve"> 0 + CAL!H25 + CAR!H25 + CENT!H25 + FLA!H25 + MIDA!H25 + MIDW!H25 + NE!H25 + NY!H25 + NW!H25 + SE!H25 + SW!H25 + TEN!H25 + TEX!H25</f>
        <v>12.644851390000001</v>
      </c>
      <c r="I25" s="7">
        <f xml:space="preserve"> 0 + CAL!I25 + CAR!I25 + CENT!I25 + FLA!I25 + MIDA!I25 + MIDW!I25 + NE!I25 + NY!I25 + NW!I25 + SE!I25 + SW!I25 + TEN!I25 + TEX!I25</f>
        <v>13.501791890000002</v>
      </c>
      <c r="J25" s="7">
        <f xml:space="preserve"> 0 + CAL!J25 + CAR!J25 + CENT!J25 + FLA!J25 + MIDA!J25 + MIDW!J25 + NE!J25 + NY!J25 + NW!J25 + SE!J25 + SW!J25 + TEN!J25 + TEX!J25</f>
        <v>13.305692350000001</v>
      </c>
      <c r="K25" s="7">
        <f xml:space="preserve"> 0 + CAL!K25 + CAR!K25 + CENT!K25 + FLA!K25 + MIDA!K25 + MIDW!K25 + NE!K25 + NY!K25 + NW!K25 + SE!K25 + SW!K25 + TEN!K25 + TEX!K25</f>
        <v>12.747693210000001</v>
      </c>
      <c r="L25" s="7">
        <f xml:space="preserve"> 0 + CAL!L25 + CAR!L25 + CENT!L25 + FLA!L25 + MIDA!L25 + MIDW!L25 + NE!L25 + NY!L25 + NW!L25 + SE!L25 + SW!L25 + TEN!L25 + TEX!L25</f>
        <v>12.707536869999998</v>
      </c>
      <c r="M25" s="7">
        <f xml:space="preserve"> 0 + CAL!M25 + CAR!M25 + CENT!M25 + FLA!M25 + MIDA!M25 + MIDW!M25 + NE!M25 + NY!M25 + NW!M25 + SE!M25 + SW!M25 + TEN!M25 + TEX!M25</f>
        <v>12.77767276</v>
      </c>
      <c r="N25" s="7">
        <f xml:space="preserve"> 0 + CAL!N25 + CAR!N25 + CENT!N25 + FLA!N25 + MIDA!N25 + MIDW!N25 + NE!N25 + NY!N25 + NW!N25 + SE!N25 + SW!N25 + TEN!N25 + TEX!N25</f>
        <v>13.313586399999998</v>
      </c>
      <c r="O25" s="7">
        <f xml:space="preserve"> 0 + CAL!O25 + CAR!O25 + CENT!O25 + FLA!O25 + MIDA!O25 + MIDW!O25 + NE!O25 + NY!O25 + NW!O25 + SE!O25 + SW!O25 + TEN!O25 + TEX!O25</f>
        <v>13.735038110000001</v>
      </c>
      <c r="P25" s="7">
        <f xml:space="preserve"> 0 + CAL!P25 + CAR!P25 + CENT!P25 + FLA!P25 + MIDA!P25 + MIDW!P25 + NE!P25 + NY!P25 + NW!P25 + SE!P25 + SW!P25 + TEN!P25 + TEX!P25</f>
        <v>13.242945649999998</v>
      </c>
      <c r="Q25" s="7">
        <f xml:space="preserve"> 0 + CAL!Q25 + CAR!Q25 + CENT!Q25 + FLA!Q25 + MIDA!Q25 + MIDW!Q25 + NE!Q25 + NY!Q25 + NW!Q25 + SE!Q25 + SW!Q25 + TEN!Q25 + TEX!Q25</f>
        <v>13.174320340000001</v>
      </c>
      <c r="R25" s="7">
        <f xml:space="preserve"> 0 + CAL!R25 + CAR!R25 + CENT!R25 + FLA!R25 + MIDA!R25 + MIDW!R25 + NE!R25 + NY!R25 + NW!R25 + SE!R25 + SW!R25 + TEN!R25 + TEX!R25</f>
        <v>13.58407424</v>
      </c>
      <c r="S25" s="7">
        <f xml:space="preserve"> 0 + CAL!S25 + CAR!S25 + CENT!S25 + FLA!S25 + MIDA!S25 + MIDW!S25 + NE!S25 + NY!S25 + NW!S25 + SE!S25 + SW!S25 + TEN!S25 + TEX!S25</f>
        <v>13.321667189999999</v>
      </c>
      <c r="T25" s="7">
        <f xml:space="preserve"> 0 + CAL!T25 + CAR!T25 + CENT!T25 + FLA!T25 + MIDA!T25 + MIDW!T25 + NE!T25 + NY!T25 + NW!T25 + SE!T25 + SW!T25 + TEN!T25 + TEX!T25</f>
        <v>13.11316908</v>
      </c>
      <c r="U25" s="7">
        <f xml:space="preserve"> 0 + CAL!U25 + CAR!U25 + CENT!U25 + FLA!U25 + MIDA!U25 + MIDW!U25 + NE!U25 + NY!U25 + NW!U25 + SE!U25 + SW!U25 + TEN!U25 + TEX!U25</f>
        <v>13.02004288</v>
      </c>
      <c r="V25" s="7">
        <f xml:space="preserve"> 0 + CAL!V25 + CAR!V25 + CENT!V25 + FLA!V25 + MIDA!V25 + MIDW!V25 + NE!V25 + NY!V25 + NW!V25 + SE!V25 + SW!V25 + TEN!V25 + TEX!V25</f>
        <v>12.981282960000001</v>
      </c>
      <c r="W25" s="7">
        <f xml:space="preserve"> 0 + CAL!W25 + CAR!W25 + CENT!W25 + FLA!W25 + MIDA!W25 + MIDW!W25 + NE!W25 + NY!W25 + NW!W25 + SE!W25 + SW!W25 + TEN!W25 + TEX!W25</f>
        <v>12.80126445</v>
      </c>
      <c r="X25" s="7">
        <f xml:space="preserve"> 0 + CAL!X25 + CAR!X25 + CENT!X25 + FLA!X25 + MIDA!X25 + MIDW!X25 + NE!X25 + NY!X25 + NW!X25 + SE!X25 + SW!X25 + TEN!X25 + TEX!X25</f>
        <v>12.81304926</v>
      </c>
      <c r="Y25" s="7">
        <f xml:space="preserve"> 0 + CAL!Y25 + CAR!Y25 + CENT!Y25 + FLA!Y25 + MIDA!Y25 + MIDW!Y25 + NE!Y25 + NY!Y25 + NW!Y25 + SE!Y25 + SW!Y25 + TEN!Y25 + TEX!Y25</f>
        <v>12.67798144</v>
      </c>
      <c r="Z25" s="7">
        <f xml:space="preserve"> 0 + CAL!Z25 + CAR!Z25 + CENT!Z25 + FLA!Z25 + MIDA!Z25 + MIDW!Z25 + NE!Z25 + NY!Z25 + NW!Z25 + SE!Z25 + SW!Z25 + TEN!Z25 + TEX!Z25</f>
        <v>12.836197909999999</v>
      </c>
      <c r="AA25" s="7">
        <f xml:space="preserve"> 0 + CAL!AA25 + CAR!AA25 + CENT!AA25 + FLA!AA25 + MIDA!AA25 + MIDW!AA25 + NE!AA25 + NY!AA25 + NW!AA25 + SE!AA25 + SW!AA25 + TEN!AA25 + TEX!AA25</f>
        <v>12.692148490000001</v>
      </c>
      <c r="AB25" s="7">
        <f xml:space="preserve"> 0 + CAL!AB25 + CAR!AB25 + CENT!AB25 + FLA!AB25 + MIDA!AB25 + MIDW!AB25 + NE!AB25 + NY!AB25 + NW!AB25 + SE!AB25 + SW!AB25 + TEN!AB25 + TEX!AB25</f>
        <v>13.816724039999999</v>
      </c>
      <c r="AC25" s="7">
        <f xml:space="preserve"> 0 + CAL!AC25 + CAR!AC25 + CENT!AC25 + FLA!AC25 + MIDA!AC25 + MIDW!AC25 + NE!AC25 + NY!AC25 + NW!AC25 + SE!AC25 + SW!AC25 + TEN!AC25 + TEX!AC25</f>
        <v>13.187369959999998</v>
      </c>
    </row>
    <row r="26" spans="1:29" x14ac:dyDescent="0.85">
      <c r="A26" t="str">
        <f>CAL!A26</f>
        <v>Solar_Knob</v>
      </c>
      <c r="B26" s="7">
        <f xml:space="preserve"> 0 + CAL!B26 + CAR!B26 + CENT!B26 + FLA!B26 + MIDA!B26 + MIDW!B26 + NE!B26 + NY!B26 + NW!B26 + SE!B26 + SW!B26 + TEN!B26 + TEX!B26</f>
        <v>13</v>
      </c>
      <c r="C26" s="7">
        <f xml:space="preserve"> 0 + CAL!C26 + CAR!C26 + CENT!C26 + FLA!C26 + MIDA!C26 + MIDW!C26 + NE!C26 + NY!C26 + NW!C26 + SE!C26 + SW!C26 + TEN!C26 + TEX!C26</f>
        <v>12.370839570000001</v>
      </c>
      <c r="D26" s="7">
        <f xml:space="preserve"> 0 + CAL!D26 + CAR!D26 + CENT!D26 + FLA!D26 + MIDA!D26 + MIDW!D26 + NE!D26 + NY!D26 + NW!D26 + SE!D26 + SW!D26 + TEN!D26 + TEX!D26</f>
        <v>12.31416323</v>
      </c>
      <c r="E26" s="7">
        <f xml:space="preserve"> 0 + CAL!E26 + CAR!E26 + CENT!E26 + FLA!E26 + MIDA!E26 + MIDW!E26 + NE!E26 + NY!E26 + NW!E26 + SE!E26 + SW!E26 + TEN!E26 + TEX!E26</f>
        <v>14.518539270000002</v>
      </c>
      <c r="F26" s="7">
        <f xml:space="preserve"> 0 + CAL!F26 + CAR!F26 + CENT!F26 + FLA!F26 + MIDA!F26 + MIDW!F26 + NE!F26 + NY!F26 + NW!F26 + SE!F26 + SW!F26 + TEN!F26 + TEX!F26</f>
        <v>13.641708769999997</v>
      </c>
      <c r="G26" s="7">
        <f xml:space="preserve"> 0 + CAL!G26 + CAR!G26 + CENT!G26 + FLA!G26 + MIDA!G26 + MIDW!G26 + NE!G26 + NY!G26 + NW!G26 + SE!G26 + SW!G26 + TEN!G26 + TEX!G26</f>
        <v>12.842150810000001</v>
      </c>
      <c r="H26" s="7">
        <f xml:space="preserve"> 0 + CAL!H26 + CAR!H26 + CENT!H26 + FLA!H26 + MIDA!H26 + MIDW!H26 + NE!H26 + NY!H26 + NW!H26 + SE!H26 + SW!H26 + TEN!H26 + TEX!H26</f>
        <v>13.945227999999998</v>
      </c>
      <c r="I26" s="7">
        <f xml:space="preserve"> 0 + CAL!I26 + CAR!I26 + CENT!I26 + FLA!I26 + MIDA!I26 + MIDW!I26 + NE!I26 + NY!I26 + NW!I26 + SE!I26 + SW!I26 + TEN!I26 + TEX!I26</f>
        <v>13.513073389999999</v>
      </c>
      <c r="J26" s="7">
        <f xml:space="preserve"> 0 + CAL!J26 + CAR!J26 + CENT!J26 + FLA!J26 + MIDA!J26 + MIDW!J26 + NE!J26 + NY!J26 + NW!J26 + SE!J26 + SW!J26 + TEN!J26 + TEX!J26</f>
        <v>12.789129070000001</v>
      </c>
      <c r="K26" s="7">
        <f xml:space="preserve"> 0 + CAL!K26 + CAR!K26 + CENT!K26 + FLA!K26 + MIDA!K26 + MIDW!K26 + NE!K26 + NY!K26 + NW!K26 + SE!K26 + SW!K26 + TEN!K26 + TEX!K26</f>
        <v>12.754954479999999</v>
      </c>
      <c r="L26" s="7">
        <f xml:space="preserve"> 0 + CAL!L26 + CAR!L26 + CENT!L26 + FLA!L26 + MIDA!L26 + MIDW!L26 + NE!L26 + NY!L26 + NW!L26 + SE!L26 + SW!L26 + TEN!L26 + TEX!L26</f>
        <v>12.824719179999999</v>
      </c>
      <c r="M26" s="7">
        <f xml:space="preserve"> 0 + CAL!M26 + CAR!M26 + CENT!M26 + FLA!M26 + MIDA!M26 + MIDW!M26 + NE!M26 + NY!M26 + NW!M26 + SE!M26 + SW!M26 + TEN!M26 + TEX!M26</f>
        <v>13.348915129999998</v>
      </c>
      <c r="N26" s="7">
        <f xml:space="preserve"> 0 + CAL!N26 + CAR!N26 + CENT!N26 + FLA!N26 + MIDA!N26 + MIDW!N26 + NE!N26 + NY!N26 + NW!N26 + SE!N26 + SW!N26 + TEN!N26 + TEX!N26</f>
        <v>14.240844520000001</v>
      </c>
      <c r="O26" s="7">
        <f xml:space="preserve"> 0 + CAL!O26 + CAR!O26 + CENT!O26 + FLA!O26 + MIDA!O26 + MIDW!O26 + NE!O26 + NY!O26 + NW!O26 + SE!O26 + SW!O26 + TEN!O26 + TEX!O26</f>
        <v>13.432137969999998</v>
      </c>
      <c r="P26" s="7">
        <f xml:space="preserve"> 0 + CAL!P26 + CAR!P26 + CENT!P26 + FLA!P26 + MIDA!P26 + MIDW!P26 + NE!P26 + NY!P26 + NW!P26 + SE!P26 + SW!P26 + TEN!P26 + TEX!P26</f>
        <v>13.296872410000001</v>
      </c>
      <c r="Q26" s="7">
        <f xml:space="preserve"> 0 + CAL!Q26 + CAR!Q26 + CENT!Q26 + FLA!Q26 + MIDA!Q26 + MIDW!Q26 + NE!Q26 + NY!Q26 + NW!Q26 + SE!Q26 + SW!Q26 + TEN!Q26 + TEX!Q26</f>
        <v>13.761485169999998</v>
      </c>
      <c r="R26" s="7">
        <f xml:space="preserve"> 0 + CAL!R26 + CAR!R26 + CENT!R26 + FLA!R26 + MIDA!R26 + MIDW!R26 + NE!R26 + NY!R26 + NW!R26 + SE!R26 + SW!R26 + TEN!R26 + TEX!R26</f>
        <v>13.38386223</v>
      </c>
      <c r="S26" s="7">
        <f xml:space="preserve"> 0 + CAL!S26 + CAR!S26 + CENT!S26 + FLA!S26 + MIDA!S26 + MIDW!S26 + NE!S26 + NY!S26 + NW!S26 + SE!S26 + SW!S26 + TEN!S26 + TEX!S26</f>
        <v>13.17112272</v>
      </c>
      <c r="T26" s="7">
        <f xml:space="preserve"> 0 + CAL!T26 + CAR!T26 + CENT!T26 + FLA!T26 + MIDA!T26 + MIDW!T26 + NE!T26 + NY!T26 + NW!T26 + SE!T26 + SW!T26 + TEN!T26 + TEX!T26</f>
        <v>13.062187360000001</v>
      </c>
      <c r="U26" s="7">
        <f xml:space="preserve"> 0 + CAL!U26 + CAR!U26 + CENT!U26 + FLA!U26 + MIDA!U26 + MIDW!U26 + NE!U26 + NY!U26 + NW!U26 + SE!U26 + SW!U26 + TEN!U26 + TEX!U26</f>
        <v>13.02136492</v>
      </c>
      <c r="V26" s="7">
        <f xml:space="preserve"> 0 + CAL!V26 + CAR!V26 + CENT!V26 + FLA!V26 + MIDA!V26 + MIDW!V26 + NE!V26 + NY!V26 + NW!V26 + SE!V26 + SW!V26 + TEN!V26 + TEX!V26</f>
        <v>12.823407849999999</v>
      </c>
      <c r="W26" s="7">
        <f xml:space="preserve"> 0 + CAL!W26 + CAR!W26 + CENT!W26 + FLA!W26 + MIDA!W26 + MIDW!W26 + NE!W26 + NY!W26 + NW!W26 + SE!W26 + SW!W26 + TEN!W26 + TEX!W26</f>
        <v>12.841106619999998</v>
      </c>
      <c r="X26" s="7">
        <f xml:space="preserve"> 0 + CAL!X26 + CAR!X26 + CENT!X26 + FLA!X26 + MIDA!X26 + MIDW!X26 + NE!X26 + NY!X26 + NW!X26 + SE!X26 + SW!X26 + TEN!X26 + TEX!X26</f>
        <v>12.694301489999999</v>
      </c>
      <c r="Y26" s="7">
        <f xml:space="preserve"> 0 + CAL!Y26 + CAR!Y26 + CENT!Y26 + FLA!Y26 + MIDA!Y26 + MIDW!Y26 + NE!Y26 + NY!Y26 + NW!Y26 + SE!Y26 + SW!Y26 + TEN!Y26 + TEX!Y26</f>
        <v>12.847396099999999</v>
      </c>
      <c r="Z26" s="7">
        <f xml:space="preserve"> 0 + CAL!Z26 + CAR!Z26 + CENT!Z26 + FLA!Z26 + MIDA!Z26 + MIDW!Z26 + NE!Z26 + NY!Z26 + NW!Z26 + SE!Z26 + SW!Z26 + TEN!Z26 + TEX!Z26</f>
        <v>12.702043470000001</v>
      </c>
      <c r="AA26" s="7">
        <f xml:space="preserve"> 0 + CAL!AA26 + CAR!AA26 + CENT!AA26 + FLA!AA26 + MIDA!AA26 + MIDW!AA26 + NE!AA26 + NY!AA26 + NW!AA26 + SE!AA26 + SW!AA26 + TEN!AA26 + TEX!AA26</f>
        <v>14.169742729999999</v>
      </c>
      <c r="AB26" s="7">
        <f xml:space="preserve"> 0 + CAL!AB26 + CAR!AB26 + CENT!AB26 + FLA!AB26 + MIDA!AB26 + MIDW!AB26 + NE!AB26 + NY!AB26 + NW!AB26 + SE!AB26 + SW!AB26 + TEN!AB26 + TEX!AB26</f>
        <v>13.751918669999998</v>
      </c>
      <c r="AC26" s="7">
        <f xml:space="preserve"> 0 + CAL!AC26 + CAR!AC26 + CENT!AC26 + FLA!AC26 + MIDA!AC26 + MIDW!AC26 + NE!AC26 + NY!AC26 + NW!AC26 + SE!AC26 + SW!AC26 + TEN!AC26 + TEX!AC26</f>
        <v>13.084509409999999</v>
      </c>
    </row>
    <row r="27" spans="1:29" x14ac:dyDescent="0.85">
      <c r="A27" t="str">
        <f>CAL!A27</f>
        <v>Solar_Max_Knob</v>
      </c>
      <c r="B27" s="7">
        <f xml:space="preserve"> 0 + CAL!B27 + CAR!B27 + CENT!B27 + FLA!B27 + MIDA!B27 + MIDW!B27 + NE!B27 + NY!B27 + NW!B27 + SE!B27 + SW!B27 + TEN!B27 + TEX!B27</f>
        <v>13</v>
      </c>
      <c r="C27" s="7">
        <f xml:space="preserve"> 0 + CAL!C27 + CAR!C27 + CENT!C27 + FLA!C27 + MIDA!C27 + MIDW!C27 + NE!C27 + NY!C27 + NW!C27 + SE!C27 + SW!C27 + TEN!C27 + TEX!C27</f>
        <v>29.858748599999998</v>
      </c>
      <c r="D27" s="7">
        <f xml:space="preserve"> 0 + CAL!D27 + CAR!D27 + CENT!D27 + FLA!D27 + MIDA!D27 + MIDW!D27 + NE!D27 + NY!D27 + NW!D27 + SE!D27 + SW!D27 + TEN!D27 + TEX!D27</f>
        <v>29.308970860000002</v>
      </c>
      <c r="E27" s="7">
        <f xml:space="preserve"> 0 + CAL!E27 + CAR!E27 + CENT!E27 + FLA!E27 + MIDA!E27 + MIDW!E27 + NE!E27 + NY!E27 + NW!E27 + SE!E27 + SW!E27 + TEN!E27 + TEX!E27</f>
        <v>29.421834759999996</v>
      </c>
      <c r="F27" s="7">
        <f xml:space="preserve"> 0 + CAL!F27 + CAR!F27 + CENT!F27 + FLA!F27 + MIDA!F27 + MIDW!F27 + NE!F27 + NY!F27 + NW!F27 + SE!F27 + SW!F27 + TEN!F27 + TEX!F27</f>
        <v>26.892169700000007</v>
      </c>
      <c r="G27" s="7">
        <f xml:space="preserve"> 0 + CAL!G27 + CAR!G27 + CENT!G27 + FLA!G27 + MIDA!G27 + MIDW!G27 + NE!G27 + NY!G27 + NW!G27 + SE!G27 + SW!G27 + TEN!G27 + TEX!G27</f>
        <v>26.307328760000004</v>
      </c>
      <c r="H27" s="7">
        <f xml:space="preserve"> 0 + CAL!H27 + CAR!H27 + CENT!H27 + FLA!H27 + MIDA!H27 + MIDW!H27 + NE!H27 + NY!H27 + NW!H27 + SE!H27 + SW!H27 + TEN!H27 + TEX!H27</f>
        <v>26.272635359999999</v>
      </c>
      <c r="I27" s="7">
        <f xml:space="preserve"> 0 + CAL!I27 + CAR!I27 + CENT!I27 + FLA!I27 + MIDA!I27 + MIDW!I27 + NE!I27 + NY!I27 + NW!I27 + SE!I27 + SW!I27 + TEN!I27 + TEX!I27</f>
        <v>25.85498158</v>
      </c>
      <c r="J27" s="7">
        <f xml:space="preserve"> 0 + CAL!J27 + CAR!J27 + CENT!J27 + FLA!J27 + MIDA!J27 + MIDW!J27 + NE!J27 + NY!J27 + NW!J27 + SE!J27 + SW!J27 + TEN!J27 + TEX!J27</f>
        <v>25.681902129999997</v>
      </c>
      <c r="K27" s="7">
        <f xml:space="preserve"> 0 + CAL!K27 + CAR!K27 + CENT!K27 + FLA!K27 + MIDA!K27 + MIDW!K27 + NE!K27 + NY!K27 + NW!K27 + SE!K27 + SW!K27 + TEN!K27 + TEX!K27</f>
        <v>25.809161740000004</v>
      </c>
      <c r="L27" s="7">
        <f xml:space="preserve"> 0 + CAL!L27 + CAR!L27 + CENT!L27 + FLA!L27 + MIDA!L27 + MIDW!L27 + NE!L27 + NY!L27 + NW!L27 + SE!L27 + SW!L27 + TEN!L27 + TEX!L27</f>
        <v>25.980291509999997</v>
      </c>
      <c r="M27" s="7">
        <f xml:space="preserve"> 0 + CAL!M27 + CAR!M27 + CENT!M27 + FLA!M27 + MIDA!M27 + MIDW!M27 + NE!M27 + NY!M27 + NW!M27 + SE!M27 + SW!M27 + TEN!M27 + TEX!M27</f>
        <v>26.160639190000005</v>
      </c>
      <c r="N27" s="7">
        <f xml:space="preserve"> 0 + CAL!N27 + CAR!N27 + CENT!N27 + FLA!N27 + MIDA!N27 + MIDW!N27 + NE!N27 + NY!N27 + NW!N27 + SE!N27 + SW!N27 + TEN!N27 + TEX!N27</f>
        <v>26.132525790000003</v>
      </c>
      <c r="O27" s="7">
        <f xml:space="preserve"> 0 + CAL!O27 + CAR!O27 + CENT!O27 + FLA!O27 + MIDA!O27 + MIDW!O27 + NE!O27 + NY!O27 + NW!O27 + SE!O27 + SW!O27 + TEN!O27 + TEX!O27</f>
        <v>25.75515906</v>
      </c>
      <c r="P27" s="7">
        <f xml:space="preserve"> 0 + CAL!P27 + CAR!P27 + CENT!P27 + FLA!P27 + MIDA!P27 + MIDW!P27 + NE!P27 + NY!P27 + NW!P27 + SE!P27 + SW!P27 + TEN!P27 + TEX!P27</f>
        <v>25.714936260000005</v>
      </c>
      <c r="Q27" s="7">
        <f xml:space="preserve"> 0 + CAL!Q27 + CAR!Q27 + CENT!Q27 + FLA!Q27 + MIDA!Q27 + MIDW!Q27 + NE!Q27 + NY!Q27 + NW!Q27 + SE!Q27 + SW!Q27 + TEN!Q27 + TEX!Q27</f>
        <v>25.749415550000002</v>
      </c>
      <c r="R27" s="7">
        <f xml:space="preserve"> 0 + CAL!R27 + CAR!R27 + CENT!R27 + FLA!R27 + MIDA!R27 + MIDW!R27 + NE!R27 + NY!R27 + NW!R27 + SE!R27 + SW!R27 + TEN!R27 + TEX!R27</f>
        <v>25.705669349999997</v>
      </c>
      <c r="S27" s="7">
        <f xml:space="preserve"> 0 + CAL!S27 + CAR!S27 + CENT!S27 + FLA!S27 + MIDA!S27 + MIDW!S27 + NE!S27 + NY!S27 + NW!S27 + SE!S27 + SW!S27 + TEN!S27 + TEX!S27</f>
        <v>25.7581849</v>
      </c>
      <c r="T27" s="7">
        <f xml:space="preserve"> 0 + CAL!T27 + CAR!T27 + CENT!T27 + FLA!T27 + MIDA!T27 + MIDW!T27 + NE!T27 + NY!T27 + NW!T27 + SE!T27 + SW!T27 + TEN!T27 + TEX!T27</f>
        <v>25.865060040000003</v>
      </c>
      <c r="U27" s="7">
        <f xml:space="preserve"> 0 + CAL!U27 + CAR!U27 + CENT!U27 + FLA!U27 + MIDA!U27 + MIDW!U27 + NE!U27 + NY!U27 + NW!U27 + SE!U27 + SW!U27 + TEN!U27 + TEX!U27</f>
        <v>25.997843459999999</v>
      </c>
      <c r="V27" s="7">
        <f xml:space="preserve"> 0 + CAL!V27 + CAR!V27 + CENT!V27 + FLA!V27 + MIDA!V27 + MIDW!V27 + NE!V27 + NY!V27 + NW!V27 + SE!V27 + SW!V27 + TEN!V27 + TEX!V27</f>
        <v>26.148712930000002</v>
      </c>
      <c r="W27" s="7">
        <f xml:space="preserve"> 0 + CAL!W27 + CAR!W27 + CENT!W27 + FLA!W27 + MIDA!W27 + MIDW!W27 + NE!W27 + NY!W27 + NW!W27 + SE!W27 + SW!W27 + TEN!W27 + TEX!W27</f>
        <v>26.330608810000005</v>
      </c>
      <c r="X27" s="7">
        <f xml:space="preserve"> 0 + CAL!X27 + CAR!X27 + CENT!X27 + FLA!X27 + MIDA!X27 + MIDW!X27 + NE!X27 + NY!X27 + NW!X27 + SE!X27 + SW!X27 + TEN!X27 + TEX!X27</f>
        <v>26.521175509999999</v>
      </c>
      <c r="Y27" s="7">
        <f xml:space="preserve"> 0 + CAL!Y27 + CAR!Y27 + CENT!Y27 + FLA!Y27 + MIDA!Y27 + MIDW!Y27 + NE!Y27 + NY!Y27 + NW!Y27 + SE!Y27 + SW!Y27 + TEN!Y27 + TEX!Y27</f>
        <v>26.743946710000007</v>
      </c>
      <c r="Z27" s="7">
        <f xml:space="preserve"> 0 + CAL!Z27 + CAR!Z27 + CENT!Z27 + FLA!Z27 + MIDA!Z27 + MIDW!Z27 + NE!Z27 + NY!Z27 + NW!Z27 + SE!Z27 + SW!Z27 + TEN!Z27 + TEX!Z27</f>
        <v>26.926830090000003</v>
      </c>
      <c r="AA27" s="7">
        <f xml:space="preserve"> 0 + CAL!AA27 + CAR!AA27 + CENT!AA27 + FLA!AA27 + MIDA!AA27 + MIDW!AA27 + NE!AA27 + NY!AA27 + NW!AA27 + SE!AA27 + SW!AA27 + TEN!AA27 + TEX!AA27</f>
        <v>27.110809250000003</v>
      </c>
      <c r="AB27" s="7">
        <f xml:space="preserve"> 0 + CAL!AB27 + CAR!AB27 + CENT!AB27 + FLA!AB27 + MIDA!AB27 + MIDW!AB27 + NE!AB27 + NY!AB27 + NW!AB27 + SE!AB27 + SW!AB27 + TEN!AB27 + TEX!AB27</f>
        <v>25.66001657</v>
      </c>
      <c r="AC27" s="7">
        <f xml:space="preserve"> 0 + CAL!AC27 + CAR!AC27 + CENT!AC27 + FLA!AC27 + MIDA!AC27 + MIDW!AC27 + NE!AC27 + NY!AC27 + NW!AC27 + SE!AC27 + SW!AC27 + TEN!AC27 + TEX!AC27</f>
        <v>25.164913340000002</v>
      </c>
    </row>
    <row r="28" spans="1:29" x14ac:dyDescent="0.85">
      <c r="A28" t="str">
        <f>CAL!A28</f>
        <v>Wind_MW</v>
      </c>
      <c r="B28" s="7">
        <f xml:space="preserve"> 0 + CAL!B28 + CAR!B28 + CENT!B28 + FLA!B28 + MIDA!B28 + MIDW!B28 + NE!B28 + NY!B28 + NW!B28 + SE!B28 + SW!B28 + TEN!B28 + TEX!B28</f>
        <v>110683</v>
      </c>
      <c r="C28" s="7">
        <f xml:space="preserve"> 0 + CAL!C28 + CAR!C28 + CENT!C28 + FLA!C28 + MIDA!C28 + MIDW!C28 + NE!C28 + NY!C28 + NW!C28 + SE!C28 + SW!C28 + TEN!C28 + TEX!C28</f>
        <v>106255.68020152001</v>
      </c>
      <c r="D28" s="7">
        <f xml:space="preserve"> 0 + CAL!D28 + CAR!D28 + CENT!D28 + FLA!D28 + MIDA!D28 + MIDW!D28 + NE!D28 + NY!D28 + NW!D28 + SE!D28 + SW!D28 + TEN!D28 + TEX!D28</f>
        <v>102119.61816545999</v>
      </c>
      <c r="E28" s="7">
        <f xml:space="preserve"> 0 + CAL!E28 + CAR!E28 + CENT!E28 + FLA!E28 + MIDA!E28 + MIDW!E28 + NE!E28 + NY!E28 + NW!E28 + SE!E28 + SW!E28 + TEN!E28 + TEX!E28</f>
        <v>98216.650710260001</v>
      </c>
      <c r="F28" s="7">
        <f xml:space="preserve"> 0 + CAL!F28 + CAR!F28 + CENT!F28 + FLA!F28 + MIDA!F28 + MIDW!F28 + NE!F28 + NY!F28 + NW!F28 + SE!F28 + SW!F28 + TEN!F28 + TEX!F28</f>
        <v>96470.119580019993</v>
      </c>
      <c r="G28" s="7">
        <f xml:space="preserve"> 0 + CAL!G28 + CAR!G28 + CENT!G28 + FLA!G28 + MIDA!G28 + MIDW!G28 + NE!G28 + NY!G28 + NW!G28 + SE!G28 + SW!G28 + TEN!G28 + TEX!G28</f>
        <v>102331.11050910001</v>
      </c>
      <c r="H28" s="7">
        <f xml:space="preserve"> 0 + CAL!H28 + CAR!H28 + CENT!H28 + FLA!H28 + MIDA!H28 + MIDW!H28 + NE!H28 + NY!H28 + NW!H28 + SE!H28 + SW!H28 + TEN!H28 + TEX!H28</f>
        <v>110010.41342914999</v>
      </c>
      <c r="I28" s="7">
        <f xml:space="preserve"> 0 + CAL!I28 + CAR!I28 + CENT!I28 + FLA!I28 + MIDA!I28 + MIDW!I28 + NE!I28 + NY!I28 + NW!I28 + SE!I28 + SW!I28 + TEN!I28 + TEX!I28</f>
        <v>119868.43111074</v>
      </c>
      <c r="J28" s="7">
        <f xml:space="preserve"> 0 + CAL!J28 + CAR!J28 + CENT!J28 + FLA!J28 + MIDA!J28 + MIDW!J28 + NE!J28 + NY!J28 + NW!J28 + SE!J28 + SW!J28 + TEN!J28 + TEX!J28</f>
        <v>135091.09923478999</v>
      </c>
      <c r="K28" s="7">
        <f xml:space="preserve"> 0 + CAL!K28 + CAR!K28 + CENT!K28 + FLA!K28 + MIDA!K28 + MIDW!K28 + NE!K28 + NY!K28 + NW!K28 + SE!K28 + SW!K28 + TEN!K28 + TEX!K28</f>
        <v>153299.46979715998</v>
      </c>
      <c r="L28" s="7">
        <f xml:space="preserve"> 0 + CAL!L28 + CAR!L28 + CENT!L28 + FLA!L28 + MIDA!L28 + MIDW!L28 + NE!L28 + NY!L28 + NW!L28 + SE!L28 + SW!L28 + TEN!L28 + TEX!L28</f>
        <v>172135.45525289001</v>
      </c>
      <c r="M28" s="7">
        <f xml:space="preserve"> 0 + CAL!M28 + CAR!M28 + CENT!M28 + FLA!M28 + MIDA!M28 + MIDW!M28 + NE!M28 + NY!M28 + NW!M28 + SE!M28 + SW!M28 + TEN!M28 + TEX!M28</f>
        <v>191720.57160262996</v>
      </c>
      <c r="N28" s="7">
        <f xml:space="preserve"> 0 + CAL!N28 + CAR!N28 + CENT!N28 + FLA!N28 + MIDA!N28 + MIDW!N28 + NE!N28 + NY!N28 + NW!N28 + SE!N28 + SW!N28 + TEN!N28 + TEX!N28</f>
        <v>212189.27604493996</v>
      </c>
      <c r="O28" s="7">
        <f xml:space="preserve"> 0 + CAL!O28 + CAR!O28 + CENT!O28 + FLA!O28 + MIDA!O28 + MIDW!O28 + NE!O28 + NY!O28 + NW!O28 + SE!O28 + SW!O28 + TEN!O28 + TEX!O28</f>
        <v>233424.12851966004</v>
      </c>
      <c r="P28" s="7">
        <f xml:space="preserve"> 0 + CAL!P28 + CAR!P28 + CENT!P28 + FLA!P28 + MIDA!P28 + MIDW!P28 + NE!P28 + NY!P28 + NW!P28 + SE!P28 + SW!P28 + TEN!P28 + TEX!P28</f>
        <v>255371.35972275</v>
      </c>
      <c r="Q28" s="7">
        <f xml:space="preserve"> 0 + CAL!Q28 + CAR!Q28 + CENT!Q28 + FLA!Q28 + MIDA!Q28 + MIDW!Q28 + NE!Q28 + NY!Q28 + NW!Q28 + SE!Q28 + SW!Q28 + TEN!Q28 + TEX!Q28</f>
        <v>277926.02069794998</v>
      </c>
      <c r="R28" s="7">
        <f xml:space="preserve"> 0 + CAL!R28 + CAR!R28 + CENT!R28 + FLA!R28 + MIDA!R28 + MIDW!R28 + NE!R28 + NY!R28 + NW!R28 + SE!R28 + SW!R28 + TEN!R28 + TEX!R28</f>
        <v>301281.30900779</v>
      </c>
      <c r="S28" s="7">
        <f xml:space="preserve"> 0 + CAL!S28 + CAR!S28 + CENT!S28 + FLA!S28 + MIDA!S28 + MIDW!S28 + NE!S28 + NY!S28 + NW!S28 + SE!S28 + SW!S28 + TEN!S28 + TEX!S28</f>
        <v>325402.94408217998</v>
      </c>
      <c r="T28" s="7">
        <f xml:space="preserve"> 0 + CAL!T28 + CAR!T28 + CENT!T28 + FLA!T28 + MIDA!T28 + MIDW!T28 + NE!T28 + NY!T28 + NW!T28 + SE!T28 + SW!T28 + TEN!T28 + TEX!T28</f>
        <v>350257.52251045004</v>
      </c>
      <c r="U28" s="7">
        <f xml:space="preserve"> 0 + CAL!U28 + CAR!U28 + CENT!U28 + FLA!U28 + MIDA!U28 + MIDW!U28 + NE!U28 + NY!U28 + NW!U28 + SE!U28 + SW!U28 + TEN!U28 + TEX!U28</f>
        <v>375818.87926798</v>
      </c>
      <c r="V28" s="7">
        <f xml:space="preserve"> 0 + CAL!V28 + CAR!V28 + CENT!V28 + FLA!V28 + MIDA!V28 + MIDW!V28 + NE!V28 + NY!V28 + NW!V28 + SE!V28 + SW!V28 + TEN!V28 + TEX!V28</f>
        <v>401470.80283473991</v>
      </c>
      <c r="W28" s="7">
        <f xml:space="preserve"> 0 + CAL!W28 + CAR!W28 + CENT!W28 + FLA!W28 + MIDA!W28 + MIDW!W28 + NE!W28 + NY!W28 + NW!W28 + SE!W28 + SW!W28 + TEN!W28 + TEX!W28</f>
        <v>420618.18284781999</v>
      </c>
      <c r="X28" s="7">
        <f xml:space="preserve"> 0 + CAL!X28 + CAR!X28 + CENT!X28 + FLA!X28 + MIDA!X28 + MIDW!X28 + NE!X28 + NY!X28 + NW!X28 + SE!X28 + SW!X28 + TEN!X28 + TEX!X28</f>
        <v>446733.32397851994</v>
      </c>
      <c r="Y28" s="7">
        <f xml:space="preserve"> 0 + CAL!Y28 + CAR!Y28 + CENT!Y28 + FLA!Y28 + MIDA!Y28 + MIDW!Y28 + NE!Y28 + NY!Y28 + NW!Y28 + SE!Y28 + SW!Y28 + TEN!Y28 + TEX!Y28</f>
        <v>473556.98459791008</v>
      </c>
      <c r="Z28" s="7">
        <f xml:space="preserve"> 0 + CAL!Z28 + CAR!Z28 + CENT!Z28 + FLA!Z28 + MIDA!Z28 + MIDW!Z28 + NE!Z28 + NY!Z28 + NW!Z28 + SE!Z28 + SW!Z28 + TEN!Z28 + TEX!Z28</f>
        <v>500543.94510565</v>
      </c>
      <c r="AA28" s="7">
        <f xml:space="preserve"> 0 + CAL!AA28 + CAR!AA28 + CENT!AA28 + FLA!AA28 + MIDA!AA28 + MIDW!AA28 + NE!AA28 + NY!AA28 + NW!AA28 + SE!AA28 + SW!AA28 + TEN!AA28 + TEX!AA28</f>
        <v>526552.55345309002</v>
      </c>
      <c r="AB28" s="7">
        <f xml:space="preserve"> 0 + CAL!AB28 + CAR!AB28 + CENT!AB28 + FLA!AB28 + MIDA!AB28 + MIDW!AB28 + NE!AB28 + NY!AB28 + NW!AB28 + SE!AB28 + SW!AB28 + TEN!AB28 + TEX!AB28</f>
        <v>551284.32296209992</v>
      </c>
      <c r="AC28" s="7">
        <f xml:space="preserve"> 0 + CAL!AC28 + CAR!AC28 + CENT!AC28 + FLA!AC28 + MIDA!AC28 + MIDW!AC28 + NE!AC28 + NY!AC28 + NW!AC28 + SE!AC28 + SW!AC28 + TEN!AC28 + TEX!AC28</f>
        <v>565121.93074913998</v>
      </c>
    </row>
    <row r="29" spans="1:29" x14ac:dyDescent="0.85">
      <c r="A29" t="str">
        <f>CAL!A29</f>
        <v>Wind_Demand_MWh</v>
      </c>
      <c r="B29" s="7">
        <f xml:space="preserve"> 0 + CAL!B29 + CAR!B29 + CENT!B29 + FLA!B29 + MIDA!B29 + MIDW!B29 + NE!B29 + NY!B29 + NW!B29 + SE!B29 + SW!B29 + TEN!B29 + TEX!B29</f>
        <v>392731905.25</v>
      </c>
      <c r="C29" s="7">
        <f xml:space="preserve"> 0 + CAL!C29 + CAR!C29 + CENT!C29 + FLA!C29 + MIDA!C29 + MIDW!C29 + NE!C29 + NY!C29 + NW!C29 + SE!C29 + SW!C29 + TEN!C29 + TEX!C29</f>
        <v>377022441.13448274</v>
      </c>
      <c r="D29" s="7">
        <f xml:space="preserve"> 0 + CAL!D29 + CAR!D29 + CENT!D29 + FLA!D29 + MIDA!D29 + MIDW!D29 + NE!D29 + NY!D29 + NW!D29 + SE!D29 + SW!D29 + TEN!D29 + TEX!D29</f>
        <v>362337935.06032604</v>
      </c>
      <c r="E29" s="7">
        <f xml:space="preserve"> 0 + CAL!E29 + CAR!E29 + CENT!E29 + FLA!E29 + MIDA!E29 + MIDW!E29 + NE!E29 + NY!E29 + NW!E29 + SE!E29 + SW!E29 + TEN!E29 + TEX!E29</f>
        <v>348595988.98913598</v>
      </c>
      <c r="F29" s="7">
        <f xml:space="preserve"> 0 + CAL!F29 + CAR!F29 + CENT!F29 + FLA!F29 + MIDA!F29 + MIDW!F29 + NE!F29 + NY!F29 + NW!F29 + SE!F29 + SW!F29 + TEN!F29 + TEX!F29</f>
        <v>343690025.22645795</v>
      </c>
      <c r="G29" s="7">
        <f xml:space="preserve"> 0 + CAL!G29 + CAR!G29 + CENT!G29 + FLA!G29 + MIDA!G29 + MIDW!G29 + NE!G29 + NY!G29 + NW!G29 + SE!G29 + SW!G29 + TEN!G29 + TEX!G29</f>
        <v>366249577.51650155</v>
      </c>
      <c r="H29" s="7">
        <f xml:space="preserve"> 0 + CAL!H29 + CAR!H29 + CENT!H29 + FLA!H29 + MIDA!H29 + MIDW!H29 + NE!H29 + NY!H29 + NW!H29 + SE!H29 + SW!H29 + TEN!H29 + TEX!H29</f>
        <v>395137356.98382652</v>
      </c>
      <c r="I29" s="7">
        <f xml:space="preserve"> 0 + CAL!I29 + CAR!I29 + CENT!I29 + FLA!I29 + MIDA!I29 + MIDW!I29 + NE!I29 + NY!I29 + NW!I29 + SE!I29 + SW!I29 + TEN!I29 + TEX!I29</f>
        <v>430916711.15903711</v>
      </c>
      <c r="J29" s="7">
        <f xml:space="preserve"> 0 + CAL!J29 + CAR!J29 + CENT!J29 + FLA!J29 + MIDA!J29 + MIDW!J29 + NE!J29 + NY!J29 + NW!J29 + SE!J29 + SW!J29 + TEN!J29 + TEX!J29</f>
        <v>481774523.44870532</v>
      </c>
      <c r="K29" s="7">
        <f xml:space="preserve"> 0 + CAL!K29 + CAR!K29 + CENT!K29 + FLA!K29 + MIDA!K29 + MIDW!K29 + NE!K29 + NY!K29 + NW!K29 + SE!K29 + SW!K29 + TEN!K29 + TEX!K29</f>
        <v>541233749.45018053</v>
      </c>
      <c r="L29" s="7">
        <f xml:space="preserve"> 0 + CAL!L29 + CAR!L29 + CENT!L29 + FLA!L29 + MIDA!L29 + MIDW!L29 + NE!L29 + NY!L29 + NW!L29 + SE!L29 + SW!L29 + TEN!L29 + TEX!L29</f>
        <v>602985983.21960557</v>
      </c>
      <c r="M29" s="7">
        <f xml:space="preserve"> 0 + CAL!M29 + CAR!M29 + CENT!M29 + FLA!M29 + MIDA!M29 + MIDW!M29 + NE!M29 + NY!M29 + NW!M29 + SE!M29 + SW!M29 + TEN!M29 + TEX!M29</f>
        <v>667079717.71320474</v>
      </c>
      <c r="N29" s="7">
        <f xml:space="preserve"> 0 + CAL!N29 + CAR!N29 + CENT!N29 + FLA!N29 + MIDA!N29 + MIDW!N29 + NE!N29 + NY!N29 + NW!N29 + SE!N29 + SW!N29 + TEN!N29 + TEX!N29</f>
        <v>733624778.21131468</v>
      </c>
      <c r="O29" s="7">
        <f xml:space="preserve"> 0 + CAL!O29 + CAR!O29 + CENT!O29 + FLA!O29 + MIDA!O29 + MIDW!O29 + NE!O29 + NY!O29 + NW!O29 + SE!O29 + SW!O29 + TEN!O29 + TEX!O29</f>
        <v>800758026.60217011</v>
      </c>
      <c r="P29" s="7">
        <f xml:space="preserve"> 0 + CAL!P29 + CAR!P29 + CENT!P29 + FLA!P29 + MIDA!P29 + MIDW!P29 + NE!P29 + NY!P29 + NW!P29 + SE!P29 + SW!P29 + TEN!P29 + TEX!P29</f>
        <v>867476021.09873319</v>
      </c>
      <c r="Q29" s="7">
        <f xml:space="preserve"> 0 + CAL!Q29 + CAR!Q29 + CENT!Q29 + FLA!Q29 + MIDA!Q29 + MIDW!Q29 + NE!Q29 + NY!Q29 + NW!Q29 + SE!Q29 + SW!Q29 + TEN!Q29 + TEX!Q29</f>
        <v>932055419.80811262</v>
      </c>
      <c r="R29" s="7">
        <f xml:space="preserve"> 0 + CAL!R29 + CAR!R29 + CENT!R29 + FLA!R29 + MIDA!R29 + MIDW!R29 + NE!R29 + NY!R29 + NW!R29 + SE!R29 + SW!R29 + TEN!R29 + TEX!R29</f>
        <v>993152197.5440526</v>
      </c>
      <c r="S29" s="7">
        <f xml:space="preserve"> 0 + CAL!S29 + CAR!S29 + CENT!S29 + FLA!S29 + MIDA!S29 + MIDW!S29 + NE!S29 + NY!S29 + NW!S29 + SE!S29 + SW!S29 + TEN!S29 + TEX!S29</f>
        <v>1048007865.8674037</v>
      </c>
      <c r="T29" s="7">
        <f xml:space="preserve"> 0 + CAL!T29 + CAR!T29 + CENT!T29 + FLA!T29 + MIDA!T29 + MIDW!T29 + NE!T29 + NY!T29 + NW!T29 + SE!T29 + SW!T29 + TEN!T29 + TEX!T29</f>
        <v>1095130545.6975584</v>
      </c>
      <c r="U29" s="7">
        <f xml:space="preserve"> 0 + CAL!U29 + CAR!U29 + CENT!U29 + FLA!U29 + MIDA!U29 + MIDW!U29 + NE!U29 + NY!U29 + NW!U29 + SE!U29 + SW!U29 + TEN!U29 + TEX!U29</f>
        <v>1136527117.5242791</v>
      </c>
      <c r="V29" s="7">
        <f xml:space="preserve"> 0 + CAL!V29 + CAR!V29 + CENT!V29 + FLA!V29 + MIDA!V29 + MIDW!V29 + NE!V29 + NY!V29 + NW!V29 + SE!V29 + SW!V29 + TEN!V29 + TEX!V29</f>
        <v>1180996019.7452724</v>
      </c>
      <c r="W29" s="7">
        <f xml:space="preserve"> 0 + CAL!W29 + CAR!W29 + CENT!W29 + FLA!W29 + MIDA!W29 + MIDW!W29 + NE!W29 + NY!W29 + NW!W29 + SE!W29 + SW!W29 + TEN!W29 + TEX!W29</f>
        <v>1231617760.5846491</v>
      </c>
      <c r="X29" s="7">
        <f xml:space="preserve"> 0 + CAL!X29 + CAR!X29 + CENT!X29 + FLA!X29 + MIDA!X29 + MIDW!X29 + NE!X29 + NY!X29 + NW!X29 + SE!X29 + SW!X29 + TEN!X29 + TEX!X29</f>
        <v>1287130977.2254901</v>
      </c>
      <c r="Y29" s="7">
        <f xml:space="preserve"> 0 + CAL!Y29 + CAR!Y29 + CENT!Y29 + FLA!Y29 + MIDA!Y29 + MIDW!Y29 + NE!Y29 + NY!Y29 + NW!Y29 + SE!Y29 + SW!Y29 + TEN!Y29 + TEX!Y29</f>
        <v>1336671956.8564219</v>
      </c>
      <c r="Z29" s="7">
        <f xml:space="preserve"> 0 + CAL!Z29 + CAR!Z29 + CENT!Z29 + FLA!Z29 + MIDA!Z29 + MIDW!Z29 + NE!Z29 + NY!Z29 + NW!Z29 + SE!Z29 + SW!Z29 + TEN!Z29 + TEX!Z29</f>
        <v>1376665993.3852723</v>
      </c>
      <c r="AA29" s="7">
        <f xml:space="preserve"> 0 + CAL!AA29 + CAR!AA29 + CENT!AA29 + FLA!AA29 + MIDA!AA29 + MIDW!AA29 + NE!AA29 + NY!AA29 + NW!AA29 + SE!AA29 + SW!AA29 + TEN!AA29 + TEX!AA29</f>
        <v>1408290565.8589344</v>
      </c>
      <c r="AB29" s="7">
        <f xml:space="preserve"> 0 + CAL!AB29 + CAR!AB29 + CENT!AB29 + FLA!AB29 + MIDA!AB29 + MIDW!AB29 + NE!AB29 + NY!AB29 + NW!AB29 + SE!AB29 + SW!AB29 + TEN!AB29 + TEX!AB29</f>
        <v>1438594150.8238382</v>
      </c>
      <c r="AC29" s="7">
        <f xml:space="preserve"> 0 + CAL!AC29 + CAR!AC29 + CENT!AC29 + FLA!AC29 + MIDA!AC29 + MIDW!AC29 + NE!AC29 + NY!AC29 + NW!AC29 + SE!AC29 + SW!AC29 + TEN!AC29 + TEX!AC29</f>
        <v>1453479295.1455913</v>
      </c>
    </row>
    <row r="30" spans="1:29" x14ac:dyDescent="0.85">
      <c r="A30" t="str">
        <f>CAL!A30</f>
        <v>Wind_Supply_MWh</v>
      </c>
      <c r="B30" s="7">
        <f xml:space="preserve"> 0 + CAL!B30 + CAR!B30 + CENT!B30 + FLA!B30 + MIDA!B30 + MIDW!B30 + NE!B30 + NY!B30 + NW!B30 + SE!B30 + SW!B30 + TEN!B30 + TEX!B30</f>
        <v>392731905.25</v>
      </c>
      <c r="C30" s="7">
        <f xml:space="preserve"> 0 + CAL!C30 + CAR!C30 + CENT!C30 + FLA!C30 + MIDA!C30 + MIDW!C30 + NE!C30 + NY!C30 + NW!C30 + SE!C30 + SW!C30 + TEN!C30 + TEX!C30</f>
        <v>377022441.13448274</v>
      </c>
      <c r="D30" s="7">
        <f xml:space="preserve"> 0 + CAL!D30 + CAR!D30 + CENT!D30 + FLA!D30 + MIDA!D30 + MIDW!D30 + NE!D30 + NY!D30 + NW!D30 + SE!D30 + SW!D30 + TEN!D30 + TEX!D30</f>
        <v>362337935.06032604</v>
      </c>
      <c r="E30" s="7">
        <f xml:space="preserve"> 0 + CAL!E30 + CAR!E30 + CENT!E30 + FLA!E30 + MIDA!E30 + MIDW!E30 + NE!E30 + NY!E30 + NW!E30 + SE!E30 + SW!E30 + TEN!E30 + TEX!E30</f>
        <v>348595988.98913598</v>
      </c>
      <c r="F30" s="7">
        <f xml:space="preserve"> 0 + CAL!F30 + CAR!F30 + CENT!F30 + FLA!F30 + MIDA!F30 + MIDW!F30 + NE!F30 + NY!F30 + NW!F30 + SE!F30 + SW!F30 + TEN!F30 + TEX!F30</f>
        <v>343690025.22645795</v>
      </c>
      <c r="G30" s="7">
        <f xml:space="preserve"> 0 + CAL!G30 + CAR!G30 + CENT!G30 + FLA!G30 + MIDA!G30 + MIDW!G30 + NE!G30 + NY!G30 + NW!G30 + SE!G30 + SW!G30 + TEN!G30 + TEX!G30</f>
        <v>366249577.51650155</v>
      </c>
      <c r="H30" s="7">
        <f xml:space="preserve"> 0 + CAL!H30 + CAR!H30 + CENT!H30 + FLA!H30 + MIDA!H30 + MIDW!H30 + NE!H30 + NY!H30 + NW!H30 + SE!H30 + SW!H30 + TEN!H30 + TEX!H30</f>
        <v>395137356.98382652</v>
      </c>
      <c r="I30" s="7">
        <f xml:space="preserve"> 0 + CAL!I30 + CAR!I30 + CENT!I30 + FLA!I30 + MIDA!I30 + MIDW!I30 + NE!I30 + NY!I30 + NW!I30 + SE!I30 + SW!I30 + TEN!I30 + TEX!I30</f>
        <v>430916711.15903711</v>
      </c>
      <c r="J30" s="7">
        <f xml:space="preserve"> 0 + CAL!J30 + CAR!J30 + CENT!J30 + FLA!J30 + MIDA!J30 + MIDW!J30 + NE!J30 + NY!J30 + NW!J30 + SE!J30 + SW!J30 + TEN!J30 + TEX!J30</f>
        <v>481774690.93277729</v>
      </c>
      <c r="K30" s="7">
        <f xml:space="preserve"> 0 + CAL!K30 + CAR!K30 + CENT!K30 + FLA!K30 + MIDA!K30 + MIDW!K30 + NE!K30 + NY!K30 + NW!K30 + SE!K30 + SW!K30 + TEN!K30 + TEX!K30</f>
        <v>541235435.31431258</v>
      </c>
      <c r="L30" s="7">
        <f xml:space="preserve"> 0 + CAL!L30 + CAR!L30 + CENT!L30 + FLA!L30 + MIDA!L30 + MIDW!L30 + NE!L30 + NY!L30 + NW!L30 + SE!L30 + SW!L30 + TEN!L30 + TEX!L30</f>
        <v>602991789.67327464</v>
      </c>
      <c r="M30" s="7">
        <f xml:space="preserve"> 0 + CAL!M30 + CAR!M30 + CENT!M30 + FLA!M30 + MIDA!M30 + MIDW!M30 + NE!M30 + NY!M30 + NW!M30 + SE!M30 + SW!M30 + TEN!M30 + TEX!M30</f>
        <v>667118251.56821942</v>
      </c>
      <c r="N30" s="7">
        <f xml:space="preserve"> 0 + CAL!N30 + CAR!N30 + CENT!N30 + FLA!N30 + MIDA!N30 + MIDW!N30 + NE!N30 + NY!N30 + NW!N30 + SE!N30 + SW!N30 + TEN!N30 + TEX!N30</f>
        <v>734240194.93751276</v>
      </c>
      <c r="O30" s="7">
        <f xml:space="preserve"> 0 + CAL!O30 + CAR!O30 + CENT!O30 + FLA!O30 + MIDA!O30 + MIDW!O30 + NE!O30 + NY!O30 + NW!O30 + SE!O30 + SW!O30 + TEN!O30 + TEX!O30</f>
        <v>803858389.45515168</v>
      </c>
      <c r="P30" s="7">
        <f xml:space="preserve"> 0 + CAL!P30 + CAR!P30 + CENT!P30 + FLA!P30 + MIDA!P30 + MIDW!P30 + NE!P30 + NY!P30 + NW!P30 + SE!P30 + SW!P30 + TEN!P30 + TEX!P30</f>
        <v>875750790.13437963</v>
      </c>
      <c r="Q30" s="7">
        <f xml:space="preserve"> 0 + CAL!Q30 + CAR!Q30 + CENT!Q30 + FLA!Q30 + MIDA!Q30 + MIDW!Q30 + NE!Q30 + NY!Q30 + NW!Q30 + SE!Q30 + SW!Q30 + TEN!Q30 + TEX!Q30</f>
        <v>949629888.41768456</v>
      </c>
      <c r="R30" s="7">
        <f xml:space="preserve"> 0 + CAL!R30 + CAR!R30 + CENT!R30 + FLA!R30 + MIDA!R30 + MIDW!R30 + NE!R30 + NY!R30 + NW!R30 + SE!R30 + SW!R30 + TEN!R30 + TEX!R30</f>
        <v>1026124504.3793429</v>
      </c>
      <c r="S30" s="7">
        <f xml:space="preserve"> 0 + CAL!S30 + CAR!S30 + CENT!S30 + FLA!S30 + MIDA!S30 + MIDW!S30 + NE!S30 + NY!S30 + NW!S30 + SE!S30 + SW!S30 + TEN!S30 + TEX!S30</f>
        <v>1105111188.6662719</v>
      </c>
      <c r="T30" s="7">
        <f xml:space="preserve"> 0 + CAL!T30 + CAR!T30 + CENT!T30 + FLA!T30 + MIDA!T30 + MIDW!T30 + NE!T30 + NY!T30 + NW!T30 + SE!T30 + SW!T30 + TEN!T30 + TEX!T30</f>
        <v>1186450030.1211526</v>
      </c>
      <c r="U30" s="7">
        <f xml:space="preserve"> 0 + CAL!U30 + CAR!U30 + CENT!U30 + FLA!U30 + MIDA!U30 + MIDW!U30 + NE!U30 + NY!U30 + NW!U30 + SE!U30 + SW!U30 + TEN!U30 + TEX!U30</f>
        <v>1270033417.8153303</v>
      </c>
      <c r="V30" s="7">
        <f xml:space="preserve"> 0 + CAL!V30 + CAR!V30 + CENT!V30 + FLA!V30 + MIDA!V30 + MIDW!V30 + NE!V30 + NY!V30 + NW!V30 + SE!V30 + SW!V30 + TEN!V30 + TEX!V30</f>
        <v>1353549820.0449147</v>
      </c>
      <c r="W30" s="7">
        <f xml:space="preserve"> 0 + CAL!W30 + CAR!W30 + CENT!W30 + FLA!W30 + MIDA!W30 + MIDW!W30 + NE!W30 + NY!W30 + NW!W30 + SE!W30 + SW!W30 + TEN!W30 + TEX!W30</f>
        <v>1414480796.7410295</v>
      </c>
      <c r="X30" s="7">
        <f xml:space="preserve"> 0 + CAL!X30 + CAR!X30 + CENT!X30 + FLA!X30 + MIDA!X30 + MIDW!X30 + NE!X30 + NY!X30 + NW!X30 + SE!X30 + SW!X30 + TEN!X30 + TEX!X30</f>
        <v>1500869710.9015985</v>
      </c>
      <c r="Y30" s="7">
        <f xml:space="preserve"> 0 + CAL!Y30 + CAR!Y30 + CENT!Y30 + FLA!Y30 + MIDA!Y30 + MIDW!Y30 + NE!Y30 + NY!Y30 + NW!Y30 + SE!Y30 + SW!Y30 + TEN!Y30 + TEX!Y30</f>
        <v>1589459946.5119252</v>
      </c>
      <c r="Z30" s="7">
        <f xml:space="preserve"> 0 + CAL!Z30 + CAR!Z30 + CENT!Z30 + FLA!Z30 + MIDA!Z30 + MIDW!Z30 + NE!Z30 + NY!Z30 + NW!Z30 + SE!Z30 + SW!Z30 + TEN!Z30 + TEX!Z30</f>
        <v>1678673835.1572526</v>
      </c>
      <c r="AA30" s="7">
        <f xml:space="preserve"> 0 + CAL!AA30 + CAR!AA30 + CENT!AA30 + FLA!AA30 + MIDA!AA30 + MIDW!AA30 + NE!AA30 + NY!AA30 + NW!AA30 + SE!AA30 + SW!AA30 + TEN!AA30 + TEX!AA30</f>
        <v>1765341231.3776398</v>
      </c>
      <c r="AB30" s="7">
        <f xml:space="preserve"> 0 + CAL!AB30 + CAR!AB30 + CENT!AB30 + FLA!AB30 + MIDA!AB30 + MIDW!AB30 + NE!AB30 + NY!AB30 + NW!AB30 + SE!AB30 + SW!AB30 + TEN!AB30 + TEX!AB30</f>
        <v>1848747764.7796175</v>
      </c>
      <c r="AC30" s="7">
        <f xml:space="preserve"> 0 + CAL!AC30 + CAR!AC30 + CENT!AC30 + FLA!AC30 + MIDA!AC30 + MIDW!AC30 + NE!AC30 + NY!AC30 + NW!AC30 + SE!AC30 + SW!AC30 + TEN!AC30 + TEX!AC30</f>
        <v>1901653107.7313447</v>
      </c>
    </row>
    <row r="31" spans="1:29" x14ac:dyDescent="0.85">
      <c r="A31" t="str">
        <f>CAL!A31</f>
        <v>Wind_Cost</v>
      </c>
      <c r="B31" s="7">
        <f xml:space="preserve"> 0 + CAL!B31 + CAR!B31 + CENT!B31 + FLA!B31 + MIDA!B31 + MIDW!B31 + NE!B31 + NY!B31 + NW!B31 + SE!B31 + SW!B31 + TEN!B31 + TEX!B31</f>
        <v>33477.860683450002</v>
      </c>
      <c r="C31" s="7">
        <f xml:space="preserve"> 0 + CAL!C31 + CAR!C31 + CENT!C31 + FLA!C31 + MIDA!C31 + MIDW!C31 + NE!C31 + NY!C31 + NW!C31 + SE!C31 + SW!C31 + TEN!C31 + TEX!C31</f>
        <v>32138.746317060002</v>
      </c>
      <c r="D31" s="7">
        <f xml:space="preserve"> 0 + CAL!D31 + CAR!D31 + CENT!D31 + FLA!D31 + MIDA!D31 + MIDW!D31 + NE!D31 + NY!D31 + NW!D31 + SE!D31 + SW!D31 + TEN!D31 + TEX!D31</f>
        <v>30887.72756422</v>
      </c>
      <c r="E31" s="7">
        <f xml:space="preserve"> 0 + CAL!E31 + CAR!E31 + CENT!E31 + FLA!E31 + MIDA!E31 + MIDW!E31 + NE!E31 + NY!E31 + NW!E31 + SE!E31 + SW!E31 + TEN!E31 + TEX!E31</f>
        <v>29707.21203142</v>
      </c>
      <c r="F31" s="7">
        <f xml:space="preserve"> 0 + CAL!F31 + CAR!F31 + CENT!F31 + FLA!F31 + MIDA!F31 + MIDW!F31 + NE!F31 + NY!F31 + NW!F31 + SE!F31 + SW!F31 + TEN!F31 + TEX!F31</f>
        <v>29178.945487680001</v>
      </c>
      <c r="G31" s="7">
        <f xml:space="preserve"> 0 + CAL!G31 + CAR!G31 + CENT!G31 + FLA!G31 + MIDA!G31 + MIDW!G31 + NE!G31 + NY!G31 + NW!G31 + SE!G31 + SW!G31 + TEN!G31 + TEX!G31</f>
        <v>30951.696838780001</v>
      </c>
      <c r="H31" s="7">
        <f xml:space="preserve"> 0 + CAL!H31 + CAR!H31 + CENT!H31 + FLA!H31 + MIDA!H31 + MIDW!H31 + NE!H31 + NY!H31 + NW!H31 + SE!H31 + SW!H31 + TEN!H31 + TEX!H31</f>
        <v>33274.426013999997</v>
      </c>
      <c r="I31" s="7">
        <f xml:space="preserve"> 0 + CAL!I31 + CAR!I31 + CENT!I31 + FLA!I31 + MIDA!I31 + MIDW!I31 + NE!I31 + NY!I31 + NW!I31 + SE!I31 + SW!I31 + TEN!I31 + TEX!I31</f>
        <v>36256.142651260001</v>
      </c>
      <c r="J31" s="7">
        <f xml:space="preserve"> 0 + CAL!J31 + CAR!J31 + CENT!J31 + FLA!J31 + MIDA!J31 + MIDW!J31 + NE!J31 + NY!J31 + NW!J31 + SE!J31 + SW!J31 + TEN!J31 + TEX!J31</f>
        <v>40860.484444370006</v>
      </c>
      <c r="K31" s="7">
        <f xml:space="preserve"> 0 + CAL!K31 + CAR!K31 + CENT!K31 + FLA!K31 + MIDA!K31 + MIDW!K31 + NE!K31 + NY!K31 + NW!K31 + SE!K31 + SW!K31 + TEN!K31 + TEX!K31</f>
        <v>46367.900153729992</v>
      </c>
      <c r="L31" s="7">
        <f xml:space="preserve"> 0 + CAL!L31 + CAR!L31 + CENT!L31 + FLA!L31 + MIDA!L31 + MIDW!L31 + NE!L31 + NY!L31 + NW!L31 + SE!L31 + SW!L31 + TEN!L31 + TEX!L31</f>
        <v>52065.14812243999</v>
      </c>
      <c r="M31" s="7">
        <f xml:space="preserve"> 0 + CAL!M31 + CAR!M31 + CENT!M31 + FLA!M31 + MIDA!M31 + MIDW!M31 + NE!M31 + NY!M31 + NW!M31 + SE!M31 + SW!M31 + TEN!M31 + TEX!M31</f>
        <v>57988.982827200001</v>
      </c>
      <c r="N31" s="7">
        <f xml:space="preserve"> 0 + CAL!N31 + CAR!N31 + CENT!N31 + FLA!N31 + MIDA!N31 + MIDW!N31 + NE!N31 + NY!N31 + NW!N31 + SE!N31 + SW!N31 + TEN!N31 + TEX!N31</f>
        <v>64180.073018930001</v>
      </c>
      <c r="O31" s="7">
        <f xml:space="preserve"> 0 + CAL!O31 + CAR!O31 + CENT!O31 + FLA!O31 + MIDA!O31 + MIDW!O31 + NE!O31 + NY!O31 + NW!O31 + SE!O31 + SW!O31 + TEN!O31 + TEX!O31</f>
        <v>70602.897054979985</v>
      </c>
      <c r="P31" s="7">
        <f xml:space="preserve"> 0 + CAL!P31 + CAR!P31 + CENT!P31 + FLA!P31 + MIDA!P31 + MIDW!P31 + NE!P31 + NY!P31 + NW!P31 + SE!P31 + SW!P31 + TEN!P31 + TEX!P31</f>
        <v>77241.191541069988</v>
      </c>
      <c r="Q31" s="7">
        <f xml:space="preserve"> 0 + CAL!Q31 + CAR!Q31 + CENT!Q31 + FLA!Q31 + MIDA!Q31 + MIDW!Q31 + NE!Q31 + NY!Q31 + NW!Q31 + SE!Q31 + SW!Q31 + TEN!Q31 + TEX!Q31</f>
        <v>84063.212970659981</v>
      </c>
      <c r="R31" s="7">
        <f xml:space="preserve"> 0 + CAL!R31 + CAR!R31 + CENT!R31 + FLA!R31 + MIDA!R31 + MIDW!R31 + NE!R31 + NY!R31 + NW!R31 + SE!R31 + SW!R31 + TEN!R31 + TEX!R31</f>
        <v>91127.397066299993</v>
      </c>
      <c r="S31" s="7">
        <f xml:space="preserve"> 0 + CAL!S31 + CAR!S31 + CENT!S31 + FLA!S31 + MIDA!S31 + MIDW!S31 + NE!S31 + NY!S31 + NW!S31 + SE!S31 + SW!S31 + TEN!S31 + TEX!S31</f>
        <v>98423.375116039999</v>
      </c>
      <c r="T31" s="7">
        <f xml:space="preserve"> 0 + CAL!T31 + CAR!T31 + CENT!T31 + FLA!T31 + MIDA!T31 + MIDW!T31 + NE!T31 + NY!T31 + NW!T31 + SE!T31 + SW!T31 + TEN!T31 + TEX!T31</f>
        <v>105941.04371887</v>
      </c>
      <c r="U31" s="7">
        <f xml:space="preserve"> 0 + CAL!U31 + CAR!U31 + CENT!U31 + FLA!U31 + MIDA!U31 + MIDW!U31 + NE!U31 + NY!U31 + NW!U31 + SE!U31 + SW!U31 + TEN!U31 + TEX!U31</f>
        <v>113672.48884059001</v>
      </c>
      <c r="V31" s="7">
        <f xml:space="preserve"> 0 + CAL!V31 + CAR!V31 + CENT!V31 + FLA!V31 + MIDA!V31 + MIDW!V31 + NE!V31 + NY!V31 + NW!V31 + SE!V31 + SW!V31 + TEN!V31 + TEX!V31</f>
        <v>121431.32735624998</v>
      </c>
      <c r="W31" s="7">
        <f xml:space="preserve"> 0 + CAL!W31 + CAR!W31 + CENT!W31 + FLA!W31 + MIDA!W31 + MIDW!W31 + NE!W31 + NY!W31 + NW!W31 + SE!W31 + SW!W31 + TEN!W31 + TEX!W31</f>
        <v>127222.76163732001</v>
      </c>
      <c r="X31" s="7">
        <f xml:space="preserve"> 0 + CAL!X31 + CAR!X31 + CENT!X31 + FLA!X31 + MIDA!X31 + MIDW!X31 + NE!X31 + NY!X31 + NW!X31 + SE!X31 + SW!X31 + TEN!X31 + TEX!X31</f>
        <v>135121.70778535999</v>
      </c>
      <c r="Y31" s="7">
        <f xml:space="preserve"> 0 + CAL!Y31 + CAR!Y31 + CENT!Y31 + FLA!Y31 + MIDA!Y31 + MIDW!Y31 + NE!Y31 + NY!Y31 + NW!Y31 + SE!Y31 + SW!Y31 + TEN!Y31 + TEX!Y31</f>
        <v>143234.95709407001</v>
      </c>
      <c r="Z31" s="7">
        <f xml:space="preserve"> 0 + CAL!Z31 + CAR!Z31 + CENT!Z31 + FLA!Z31 + MIDA!Z31 + MIDW!Z31 + NE!Z31 + NY!Z31 + NW!Z31 + SE!Z31 + SW!Z31 + TEN!Z31 + TEX!Z31</f>
        <v>151397.59909100999</v>
      </c>
      <c r="AA31" s="7">
        <f xml:space="preserve"> 0 + CAL!AA31 + CAR!AA31 + CENT!AA31 + FLA!AA31 + MIDA!AA31 + MIDW!AA31 + NE!AA31 + NY!AA31 + NW!AA31 + SE!AA31 + SW!AA31 + TEN!AA31 + TEX!AA31</f>
        <v>159264.32267841997</v>
      </c>
      <c r="AB31" s="7">
        <f xml:space="preserve"> 0 + CAL!AB31 + CAR!AB31 + CENT!AB31 + FLA!AB31 + MIDA!AB31 + MIDW!AB31 + NE!AB31 + NY!AB31 + NW!AB31 + SE!AB31 + SW!AB31 + TEN!AB31 + TEX!AB31</f>
        <v>166744.84574047997</v>
      </c>
      <c r="AC31" s="7">
        <f xml:space="preserve"> 0 + CAL!AC31 + CAR!AC31 + CENT!AC31 + FLA!AC31 + MIDA!AC31 + MIDW!AC31 + NE!AC31 + NY!AC31 + NW!AC31 + SE!AC31 + SW!AC31 + TEN!AC31 + TEX!AC31</f>
        <v>170930.25366841996</v>
      </c>
    </row>
    <row r="32" spans="1:29" x14ac:dyDescent="0.85">
      <c r="A32" t="str">
        <f>CAL!A32</f>
        <v>Wind_CO2_Cost</v>
      </c>
      <c r="B32" s="7">
        <f xml:space="preserve"> 0 + CAL!B32 + CAR!B32 + CENT!B32 + FLA!B32 + MIDA!B32 + MIDW!B32 + NE!B32 + NY!B32 + NW!B32 + SE!B32 + SW!B32 + TEN!B32 + TEX!B32</f>
        <v>0</v>
      </c>
      <c r="C32" s="7">
        <f xml:space="preserve"> 0 + CAL!C32 + CAR!C32 + CENT!C32 + FLA!C32 + MIDA!C32 + MIDW!C32 + NE!C32 + NY!C32 + NW!C32 + SE!C32 + SW!C32 + TEN!C32 + TEX!C32</f>
        <v>30.161795300000001</v>
      </c>
      <c r="D32" s="7">
        <f xml:space="preserve"> 0 + CAL!D32 + CAR!D32 + CENT!D32 + FLA!D32 + MIDA!D32 + MIDW!D32 + NE!D32 + NY!D32 + NW!D32 + SE!D32 + SW!D32 + TEN!D32 + TEX!D32</f>
        <v>57.974069610000008</v>
      </c>
      <c r="E32" s="7">
        <f xml:space="preserve"> 0 + CAL!E32 + CAR!E32 + CENT!E32 + FLA!E32 + MIDA!E32 + MIDW!E32 + NE!E32 + NY!E32 + NW!E32 + SE!E32 + SW!E32 + TEN!E32 + TEX!E32</f>
        <v>83.663037369999998</v>
      </c>
      <c r="F32" s="7">
        <f xml:space="preserve"> 0 + CAL!F32 + CAR!F32 + CENT!F32 + FLA!F32 + MIDA!F32 + MIDW!F32 + NE!F32 + NY!F32 + NW!F32 + SE!F32 + SW!F32 + TEN!F32 + TEX!F32</f>
        <v>109.98080809000002</v>
      </c>
      <c r="G32" s="7">
        <f xml:space="preserve"> 0 + CAL!G32 + CAR!G32 + CENT!G32 + FLA!G32 + MIDA!G32 + MIDW!G32 + NE!G32 + NY!G32 + NW!G32 + SE!G32 + SW!G32 + TEN!G32 + TEX!G32</f>
        <v>146.49983100999998</v>
      </c>
      <c r="H32" s="7">
        <f xml:space="preserve"> 0 + CAL!H32 + CAR!H32 + CENT!H32 + FLA!H32 + MIDA!H32 + MIDW!H32 + NE!H32 + NY!H32 + NW!H32 + SE!H32 + SW!H32 + TEN!H32 + TEX!H32</f>
        <v>189.66593134999999</v>
      </c>
      <c r="I32" s="7">
        <f xml:space="preserve"> 0 + CAL!I32 + CAR!I32 + CENT!I32 + FLA!I32 + MIDA!I32 + MIDW!I32 + NE!I32 + NY!I32 + NW!I32 + SE!I32 + SW!I32 + TEN!I32 + TEX!I32</f>
        <v>241.31335823999993</v>
      </c>
      <c r="J32" s="7">
        <f xml:space="preserve"> 0 + CAL!J32 + CAR!J32 + CENT!J32 + FLA!J32 + MIDA!J32 + MIDW!J32 + NE!J32 + NY!J32 + NW!J32 + SE!J32 + SW!J32 + TEN!J32 + TEX!J32</f>
        <v>308.33580218999998</v>
      </c>
      <c r="K32" s="7">
        <f xml:space="preserve"> 0 + CAL!K32 + CAR!K32 + CENT!K32 + FLA!K32 + MIDA!K32 + MIDW!K32 + NE!K32 + NY!K32 + NW!K32 + SE!K32 + SW!K32 + TEN!K32 + TEX!K32</f>
        <v>389.68951342000003</v>
      </c>
      <c r="L32" s="7">
        <f xml:space="preserve"> 0 + CAL!L32 + CAR!L32 + CENT!L32 + FLA!L32 + MIDA!L32 + MIDW!L32 + NE!L32 + NY!L32 + NW!L32 + SE!L32 + SW!L32 + TEN!L32 + TEX!L32</f>
        <v>482.39343174999999</v>
      </c>
      <c r="M32" s="7">
        <f xml:space="preserve"> 0 + CAL!M32 + CAR!M32 + CENT!M32 + FLA!M32 + MIDA!M32 + MIDW!M32 + NE!M32 + NY!M32 + NW!M32 + SE!M32 + SW!M32 + TEN!M32 + TEX!M32</f>
        <v>587.06406138999989</v>
      </c>
      <c r="N32" s="7">
        <f xml:space="preserve"> 0 + CAL!N32 + CAR!N32 + CENT!N32 + FLA!N32 + MIDA!N32 + MIDW!N32 + NE!N32 + NY!N32 + NW!N32 + SE!N32 + SW!N32 + TEN!N32 + TEX!N32</f>
        <v>704.87058714</v>
      </c>
      <c r="O32" s="7">
        <f xml:space="preserve"> 0 + CAL!O32 + CAR!O32 + CENT!O32 + FLA!O32 + MIDA!O32 + MIDW!O32 + NE!O32 + NY!O32 + NW!O32 + SE!O32 + SW!O32 + TEN!O32 + TEX!O32</f>
        <v>836.01272502999984</v>
      </c>
      <c r="P32" s="7">
        <f xml:space="preserve"> 0 + CAL!P32 + CAR!P32 + CENT!P32 + FLA!P32 + MIDA!P32 + MIDW!P32 + NE!P32 + NY!P32 + NW!P32 + SE!P32 + SW!P32 + TEN!P32 + TEX!P32</f>
        <v>980.84088495999981</v>
      </c>
      <c r="Q32" s="7">
        <f xml:space="preserve"> 0 + CAL!Q32 + CAR!Q32 + CENT!Q32 + FLA!Q32 + MIDA!Q32 + MIDW!Q32 + NE!Q32 + NY!Q32 + NW!Q32 + SE!Q32 + SW!Q32 + TEN!Q32 + TEX!Q32</f>
        <v>1139.5558661</v>
      </c>
      <c r="R32" s="7">
        <f xml:space="preserve"> 0 + CAL!R32 + CAR!R32 + CENT!R32 + FLA!R32 + MIDA!R32 + MIDW!R32 + NE!R32 + NY!R32 + NW!R32 + SE!R32 + SW!R32 + TEN!R32 + TEX!R32</f>
        <v>1313.4393655999997</v>
      </c>
      <c r="S32" s="7">
        <f xml:space="preserve"> 0 + CAL!S32 + CAR!S32 + CENT!S32 + FLA!S32 + MIDA!S32 + MIDW!S32 + NE!S32 + NY!S32 + NW!S32 + SE!S32 + SW!S32 + TEN!S32 + TEX!S32</f>
        <v>1502.9512166</v>
      </c>
      <c r="T32" s="7">
        <f xml:space="preserve"> 0 + CAL!T32 + CAR!T32 + CENT!T32 + FLA!T32 + MIDA!T32 + MIDW!T32 + NE!T32 + NY!T32 + NW!T32 + SE!T32 + SW!T32 + TEN!T32 + TEX!T32</f>
        <v>1708.48804337</v>
      </c>
      <c r="U32" s="7">
        <f xml:space="preserve"> 0 + CAL!U32 + CAR!U32 + CENT!U32 + FLA!U32 + MIDA!U32 + MIDW!U32 + NE!U32 + NY!U32 + NW!U32 + SE!U32 + SW!U32 + TEN!U32 + TEX!U32</f>
        <v>1930.4507950699997</v>
      </c>
      <c r="V32" s="7">
        <f xml:space="preserve"> 0 + CAL!V32 + CAR!V32 + CENT!V32 + FLA!V32 + MIDA!V32 + MIDW!V32 + NE!V32 + NY!V32 + NW!V32 + SE!V32 + SW!V32 + TEN!V32 + TEX!V32</f>
        <v>2165.6797120600004</v>
      </c>
      <c r="W32" s="7">
        <f xml:space="preserve"> 0 + CAL!W32 + CAR!W32 + CENT!W32 + FLA!W32 + MIDA!W32 + MIDW!W32 + NE!W32 + NY!W32 + NW!W32 + SE!W32 + SW!W32 + TEN!W32 + TEX!W32</f>
        <v>2376.3277385199999</v>
      </c>
      <c r="X32" s="7">
        <f xml:space="preserve"> 0 + CAL!X32 + CAR!X32 + CENT!X32 + FLA!X32 + MIDA!X32 + MIDW!X32 + NE!X32 + NY!X32 + NW!X32 + SE!X32 + SW!X32 + TEN!X32 + TEX!X32</f>
        <v>2641.5306911800003</v>
      </c>
      <c r="Y32" s="7">
        <f xml:space="preserve"> 0 + CAL!Y32 + CAR!Y32 + CENT!Y32 + FLA!Y32 + MIDA!Y32 + MIDW!Y32 + NE!Y32 + NY!Y32 + NW!Y32 + SE!Y32 + SW!Y32 + TEN!Y32 + TEX!Y32</f>
        <v>2924.6063015700001</v>
      </c>
      <c r="Z32" s="7">
        <f xml:space="preserve"> 0 + CAL!Z32 + CAR!Z32 + CENT!Z32 + FLA!Z32 + MIDA!Z32 + MIDW!Z32 + NE!Z32 + NY!Z32 + NW!Z32 + SE!Z32 + SW!Z32 + TEN!Z32 + TEX!Z32</f>
        <v>3223.0537634999996</v>
      </c>
      <c r="AA32" s="7">
        <f xml:space="preserve"> 0 + CAL!AA32 + CAR!AA32 + CENT!AA32 + FLA!AA32 + MIDA!AA32 + MIDW!AA32 + NE!AA32 + NY!AA32 + NW!AA32 + SE!AA32 + SW!AA32 + TEN!AA32 + TEX!AA32</f>
        <v>3530.6824627499996</v>
      </c>
      <c r="AB32" s="7">
        <f xml:space="preserve"> 0 + CAL!AB32 + CAR!AB32 + CENT!AB32 + FLA!AB32 + MIDA!AB32 + MIDW!AB32 + NE!AB32 + NY!AB32 + NW!AB32 + SE!AB32 + SW!AB32 + TEN!AB32 + TEX!AB32</f>
        <v>3845.3953507399992</v>
      </c>
      <c r="AC32" s="7">
        <f xml:space="preserve"> 0 + CAL!AC32 + CAR!AC32 + CENT!AC32 + FLA!AC32 + MIDA!AC32 + MIDW!AC32 + NE!AC32 + NY!AC32 + NW!AC32 + SE!AC32 + SW!AC32 + TEN!AC32 + TEX!AC32</f>
        <v>4107.5707126999996</v>
      </c>
    </row>
    <row r="33" spans="1:29" x14ac:dyDescent="0.85">
      <c r="A33" t="str">
        <f>CAL!A33</f>
        <v>Wind_CO2_MTon</v>
      </c>
      <c r="B33" s="7">
        <f xml:space="preserve"> 0 + CAL!B33 + CAR!B33 + CENT!B33 + FLA!B33 + MIDA!B33 + MIDW!B33 + NE!B33 + NY!B33 + NW!B33 + SE!B33 + SW!B33 + TEN!B33 + TEX!B33</f>
        <v>1.5709276299999999</v>
      </c>
      <c r="C33" s="7">
        <f xml:space="preserve"> 0 + CAL!C33 + CAR!C33 + CENT!C33 + FLA!C33 + MIDA!C33 + MIDW!C33 + NE!C33 + NY!C33 + NW!C33 + SE!C33 + SW!C33 + TEN!C33 + TEX!C33</f>
        <v>1.5080897699999998</v>
      </c>
      <c r="D33" s="7">
        <f xml:space="preserve"> 0 + CAL!D33 + CAR!D33 + CENT!D33 + FLA!D33 + MIDA!D33 + MIDW!D33 + NE!D33 + NY!D33 + NW!D33 + SE!D33 + SW!D33 + TEN!D33 + TEX!D33</f>
        <v>1.4493517400000002</v>
      </c>
      <c r="E33" s="7">
        <f xml:space="preserve"> 0 + CAL!E33 + CAR!E33 + CENT!E33 + FLA!E33 + MIDA!E33 + MIDW!E33 + NE!E33 + NY!E33 + NW!E33 + SE!E33 + SW!E33 + TEN!E33 + TEX!E33</f>
        <v>1.39438394</v>
      </c>
      <c r="F33" s="7">
        <f xml:space="preserve"> 0 + CAL!F33 + CAR!F33 + CENT!F33 + FLA!F33 + MIDA!F33 + MIDW!F33 + NE!F33 + NY!F33 + NW!F33 + SE!F33 + SW!F33 + TEN!F33 + TEX!F33</f>
        <v>1.37476011</v>
      </c>
      <c r="G33" s="7">
        <f xml:space="preserve"> 0 + CAL!G33 + CAR!G33 + CENT!G33 + FLA!G33 + MIDA!G33 + MIDW!G33 + NE!G33 + NY!G33 + NW!G33 + SE!G33 + SW!G33 + TEN!G33 + TEX!G33</f>
        <v>1.4649983099999999</v>
      </c>
      <c r="H33" s="7">
        <f xml:space="preserve"> 0 + CAL!H33 + CAR!H33 + CENT!H33 + FLA!H33 + MIDA!H33 + MIDW!H33 + NE!H33 + NY!H33 + NW!H33 + SE!H33 + SW!H33 + TEN!H33 + TEX!H33</f>
        <v>1.5805494199999999</v>
      </c>
      <c r="I33" s="7">
        <f xml:space="preserve"> 0 + CAL!I33 + CAR!I33 + CENT!I33 + FLA!I33 + MIDA!I33 + MIDW!I33 + NE!I33 + NY!I33 + NW!I33 + SE!I33 + SW!I33 + TEN!I33 + TEX!I33</f>
        <v>1.7236668499999999</v>
      </c>
      <c r="J33" s="7">
        <f xml:space="preserve"> 0 + CAL!J33 + CAR!J33 + CENT!J33 + FLA!J33 + MIDA!J33 + MIDW!J33 + NE!J33 + NY!J33 + NW!J33 + SE!J33 + SW!J33 + TEN!J33 + TEX!J33</f>
        <v>1.9270987600000002</v>
      </c>
      <c r="K33" s="7">
        <f xml:space="preserve"> 0 + CAL!K33 + CAR!K33 + CENT!K33 + FLA!K33 + MIDA!K33 + MIDW!K33 + NE!K33 + NY!K33 + NW!K33 + SE!K33 + SW!K33 + TEN!K33 + TEX!K33</f>
        <v>2.1649417500000001</v>
      </c>
      <c r="L33" s="7">
        <f xml:space="preserve"> 0 + CAL!L33 + CAR!L33 + CENT!L33 + FLA!L33 + MIDA!L33 + MIDW!L33 + NE!L33 + NY!L33 + NW!L33 + SE!L33 + SW!L33 + TEN!L33 + TEX!L33</f>
        <v>2.4119671600000001</v>
      </c>
      <c r="M33" s="7">
        <f xml:space="preserve"> 0 + CAL!M33 + CAR!M33 + CENT!M33 + FLA!M33 + MIDA!M33 + MIDW!M33 + NE!M33 + NY!M33 + NW!M33 + SE!M33 + SW!M33 + TEN!M33 + TEX!M33</f>
        <v>2.66847301</v>
      </c>
      <c r="N33" s="7">
        <f xml:space="preserve"> 0 + CAL!N33 + CAR!N33 + CENT!N33 + FLA!N33 + MIDA!N33 + MIDW!N33 + NE!N33 + NY!N33 + NW!N33 + SE!N33 + SW!N33 + TEN!N33 + TEX!N33</f>
        <v>2.9369608</v>
      </c>
      <c r="O33" s="7">
        <f xml:space="preserve"> 0 + CAL!O33 + CAR!O33 + CENT!O33 + FLA!O33 + MIDA!O33 + MIDW!O33 + NE!O33 + NY!O33 + NW!O33 + SE!O33 + SW!O33 + TEN!O33 + TEX!O33</f>
        <v>3.21543358</v>
      </c>
      <c r="P33" s="7">
        <f xml:space="preserve"> 0 + CAL!P33 + CAR!P33 + CENT!P33 + FLA!P33 + MIDA!P33 + MIDW!P33 + NE!P33 + NY!P33 + NW!P33 + SE!P33 + SW!P33 + TEN!P33 + TEX!P33</f>
        <v>3.5030031500000001</v>
      </c>
      <c r="Q33" s="7">
        <f xml:space="preserve"> 0 + CAL!Q33 + CAR!Q33 + CENT!Q33 + FLA!Q33 + MIDA!Q33 + MIDW!Q33 + NE!Q33 + NY!Q33 + NW!Q33 + SE!Q33 + SW!Q33 + TEN!Q33 + TEX!Q33</f>
        <v>3.7985195500000004</v>
      </c>
      <c r="R33" s="7">
        <f xml:space="preserve"> 0 + CAL!R33 + CAR!R33 + CENT!R33 + FLA!R33 + MIDA!R33 + MIDW!R33 + NE!R33 + NY!R33 + NW!R33 + SE!R33 + SW!R33 + TEN!R33 + TEX!R33</f>
        <v>4.1044980100000004</v>
      </c>
      <c r="S33" s="7">
        <f xml:space="preserve"> 0 + CAL!S33 + CAR!S33 + CENT!S33 + FLA!S33 + MIDA!S33 + MIDW!S33 + NE!S33 + NY!S33 + NW!S33 + SE!S33 + SW!S33 + TEN!S33 + TEX!S33</f>
        <v>4.4204447400000006</v>
      </c>
      <c r="T33" s="7">
        <f xml:space="preserve"> 0 + CAL!T33 + CAR!T33 + CENT!T33 + FLA!T33 + MIDA!T33 + MIDW!T33 + NE!T33 + NY!T33 + NW!T33 + SE!T33 + SW!T33 + TEN!T33 + TEX!T33</f>
        <v>4.7458001200000002</v>
      </c>
      <c r="U33" s="7">
        <f xml:space="preserve"> 0 + CAL!U33 + CAR!U33 + CENT!U33 + FLA!U33 + MIDA!U33 + MIDW!U33 + NE!U33 + NY!U33 + NW!U33 + SE!U33 + SW!U33 + TEN!U33 + TEX!U33</f>
        <v>5.0801336699999995</v>
      </c>
      <c r="V33" s="7">
        <f xml:space="preserve"> 0 + CAL!V33 + CAR!V33 + CENT!V33 + FLA!V33 + MIDA!V33 + MIDW!V33 + NE!V33 + NY!V33 + NW!V33 + SE!V33 + SW!V33 + TEN!V33 + TEX!V33</f>
        <v>5.4141992799999992</v>
      </c>
      <c r="W33" s="7">
        <f xml:space="preserve"> 0 + CAL!W33 + CAR!W33 + CENT!W33 + FLA!W33 + MIDA!W33 + MIDW!W33 + NE!W33 + NY!W33 + NW!W33 + SE!W33 + SW!W33 + TEN!W33 + TEX!W33</f>
        <v>5.65792319</v>
      </c>
      <c r="X33" s="7">
        <f xml:space="preserve"> 0 + CAL!X33 + CAR!X33 + CENT!X33 + FLA!X33 + MIDA!X33 + MIDW!X33 + NE!X33 + NY!X33 + NW!X33 + SE!X33 + SW!X33 + TEN!X33 + TEX!X33</f>
        <v>6.0034788199999998</v>
      </c>
      <c r="Y33" s="7">
        <f xml:space="preserve"> 0 + CAL!Y33 + CAR!Y33 + CENT!Y33 + FLA!Y33 + MIDA!Y33 + MIDW!Y33 + NE!Y33 + NY!Y33 + NW!Y33 + SE!Y33 + SW!Y33 + TEN!Y33 + TEX!Y33</f>
        <v>6.3578397799999991</v>
      </c>
      <c r="Z33" s="7">
        <f xml:space="preserve"> 0 + CAL!Z33 + CAR!Z33 + CENT!Z33 + FLA!Z33 + MIDA!Z33 + MIDW!Z33 + NE!Z33 + NY!Z33 + NW!Z33 + SE!Z33 + SW!Z33 + TEN!Z33 + TEX!Z33</f>
        <v>6.7146953499999995</v>
      </c>
      <c r="AA33" s="7">
        <f xml:space="preserve"> 0 + CAL!AA33 + CAR!AA33 + CENT!AA33 + FLA!AA33 + MIDA!AA33 + MIDW!AA33 + NE!AA33 + NY!AA33 + NW!AA33 + SE!AA33 + SW!AA33 + TEN!AA33 + TEX!AA33</f>
        <v>7.0613649299999999</v>
      </c>
      <c r="AB33" s="7">
        <f xml:space="preserve"> 0 + CAL!AB33 + CAR!AB33 + CENT!AB33 + FLA!AB33 + MIDA!AB33 + MIDW!AB33 + NE!AB33 + NY!AB33 + NW!AB33 + SE!AB33 + SW!AB33 + TEN!AB33 + TEX!AB33</f>
        <v>7.3949910599999997</v>
      </c>
      <c r="AC33" s="7">
        <f xml:space="preserve"> 0 + CAL!AC33 + CAR!AC33 + CENT!AC33 + FLA!AC33 + MIDA!AC33 + MIDW!AC33 + NE!AC33 + NY!AC33 + NW!AC33 + SE!AC33 + SW!AC33 + TEN!AC33 + TEX!AC33</f>
        <v>7.6066124299999984</v>
      </c>
    </row>
    <row r="34" spans="1:29" x14ac:dyDescent="0.85">
      <c r="A34" t="str">
        <f>CAL!A34</f>
        <v>Wind_MW_Cost</v>
      </c>
      <c r="B34" s="7">
        <f xml:space="preserve"> 0 + CAL!B34 + CAR!B34 + CENT!B34 + FLA!B34 + MIDA!B34 + MIDW!B34 + NE!B34 + NY!B34 + NW!B34 + SE!B34 + SW!B34 + TEN!B34 + TEX!B34</f>
        <v>33477.860683450002</v>
      </c>
      <c r="C34" s="7">
        <f xml:space="preserve"> 0 + CAL!C34 + CAR!C34 + CENT!C34 + FLA!C34 + MIDA!C34 + MIDW!C34 + NE!C34 + NY!C34 + NW!C34 + SE!C34 + SW!C34 + TEN!C34 + TEX!C34</f>
        <v>32138.746317060002</v>
      </c>
      <c r="D34" s="7">
        <f xml:space="preserve"> 0 + CAL!D34 + CAR!D34 + CENT!D34 + FLA!D34 + MIDA!D34 + MIDW!D34 + NE!D34 + NY!D34 + NW!D34 + SE!D34 + SW!D34 + TEN!D34 + TEX!D34</f>
        <v>30887.72756422</v>
      </c>
      <c r="E34" s="7">
        <f xml:space="preserve"> 0 + CAL!E34 + CAR!E34 + CENT!E34 + FLA!E34 + MIDA!E34 + MIDW!E34 + NE!E34 + NY!E34 + NW!E34 + SE!E34 + SW!E34 + TEN!E34 + TEX!E34</f>
        <v>29707.21203142</v>
      </c>
      <c r="F34" s="7">
        <f xml:space="preserve"> 0 + CAL!F34 + CAR!F34 + CENT!F34 + FLA!F34 + MIDA!F34 + MIDW!F34 + NE!F34 + NY!F34 + NW!F34 + SE!F34 + SW!F34 + TEN!F34 + TEX!F34</f>
        <v>29178.945487680001</v>
      </c>
      <c r="G34" s="7">
        <f xml:space="preserve"> 0 + CAL!G34 + CAR!G34 + CENT!G34 + FLA!G34 + MIDA!G34 + MIDW!G34 + NE!G34 + NY!G34 + NW!G34 + SE!G34 + SW!G34 + TEN!G34 + TEX!G34</f>
        <v>30951.696838780001</v>
      </c>
      <c r="H34" s="7">
        <f xml:space="preserve"> 0 + CAL!H34 + CAR!H34 + CENT!H34 + FLA!H34 + MIDA!H34 + MIDW!H34 + NE!H34 + NY!H34 + NW!H34 + SE!H34 + SW!H34 + TEN!H34 + TEX!H34</f>
        <v>33274.426013999997</v>
      </c>
      <c r="I34" s="7">
        <f xml:space="preserve"> 0 + CAL!I34 + CAR!I34 + CENT!I34 + FLA!I34 + MIDA!I34 + MIDW!I34 + NE!I34 + NY!I34 + NW!I34 + SE!I34 + SW!I34 + TEN!I34 + TEX!I34</f>
        <v>36256.142651260001</v>
      </c>
      <c r="J34" s="7">
        <f xml:space="preserve"> 0 + CAL!J34 + CAR!J34 + CENT!J34 + FLA!J34 + MIDA!J34 + MIDW!J34 + NE!J34 + NY!J34 + NW!J34 + SE!J34 + SW!J34 + TEN!J34 + TEX!J34</f>
        <v>40860.484444370006</v>
      </c>
      <c r="K34" s="7">
        <f xml:space="preserve"> 0 + CAL!K34 + CAR!K34 + CENT!K34 + FLA!K34 + MIDA!K34 + MIDW!K34 + NE!K34 + NY!K34 + NW!K34 + SE!K34 + SW!K34 + TEN!K34 + TEX!K34</f>
        <v>46367.900153729992</v>
      </c>
      <c r="L34" s="7">
        <f xml:space="preserve"> 0 + CAL!L34 + CAR!L34 + CENT!L34 + FLA!L34 + MIDA!L34 + MIDW!L34 + NE!L34 + NY!L34 + NW!L34 + SE!L34 + SW!L34 + TEN!L34 + TEX!L34</f>
        <v>52065.14812243999</v>
      </c>
      <c r="M34" s="7">
        <f xml:space="preserve"> 0 + CAL!M34 + CAR!M34 + CENT!M34 + FLA!M34 + MIDA!M34 + MIDW!M34 + NE!M34 + NY!M34 + NW!M34 + SE!M34 + SW!M34 + TEN!M34 + TEX!M34</f>
        <v>57988.982827200001</v>
      </c>
      <c r="N34" s="7">
        <f xml:space="preserve"> 0 + CAL!N34 + CAR!N34 + CENT!N34 + FLA!N34 + MIDA!N34 + MIDW!N34 + NE!N34 + NY!N34 + NW!N34 + SE!N34 + SW!N34 + TEN!N34 + TEX!N34</f>
        <v>64180.073018930001</v>
      </c>
      <c r="O34" s="7">
        <f xml:space="preserve"> 0 + CAL!O34 + CAR!O34 + CENT!O34 + FLA!O34 + MIDA!O34 + MIDW!O34 + NE!O34 + NY!O34 + NW!O34 + SE!O34 + SW!O34 + TEN!O34 + TEX!O34</f>
        <v>70602.897054979985</v>
      </c>
      <c r="P34" s="7">
        <f xml:space="preserve"> 0 + CAL!P34 + CAR!P34 + CENT!P34 + FLA!P34 + MIDA!P34 + MIDW!P34 + NE!P34 + NY!P34 + NW!P34 + SE!P34 + SW!P34 + TEN!P34 + TEX!P34</f>
        <v>77241.191541069988</v>
      </c>
      <c r="Q34" s="7">
        <f xml:space="preserve"> 0 + CAL!Q34 + CAR!Q34 + CENT!Q34 + FLA!Q34 + MIDA!Q34 + MIDW!Q34 + NE!Q34 + NY!Q34 + NW!Q34 + SE!Q34 + SW!Q34 + TEN!Q34 + TEX!Q34</f>
        <v>84063.212970659981</v>
      </c>
      <c r="R34" s="7">
        <f xml:space="preserve"> 0 + CAL!R34 + CAR!R34 + CENT!R34 + FLA!R34 + MIDA!R34 + MIDW!R34 + NE!R34 + NY!R34 + NW!R34 + SE!R34 + SW!R34 + TEN!R34 + TEX!R34</f>
        <v>91127.397066299993</v>
      </c>
      <c r="S34" s="7">
        <f xml:space="preserve"> 0 + CAL!S34 + CAR!S34 + CENT!S34 + FLA!S34 + MIDA!S34 + MIDW!S34 + NE!S34 + NY!S34 + NW!S34 + SE!S34 + SW!S34 + TEN!S34 + TEX!S34</f>
        <v>98423.375116039999</v>
      </c>
      <c r="T34" s="7">
        <f xml:space="preserve"> 0 + CAL!T34 + CAR!T34 + CENT!T34 + FLA!T34 + MIDA!T34 + MIDW!T34 + NE!T34 + NY!T34 + NW!T34 + SE!T34 + SW!T34 + TEN!T34 + TEX!T34</f>
        <v>105941.04371887</v>
      </c>
      <c r="U34" s="7">
        <f xml:space="preserve"> 0 + CAL!U34 + CAR!U34 + CENT!U34 + FLA!U34 + MIDA!U34 + MIDW!U34 + NE!U34 + NY!U34 + NW!U34 + SE!U34 + SW!U34 + TEN!U34 + TEX!U34</f>
        <v>113672.48884059001</v>
      </c>
      <c r="V34" s="7">
        <f xml:space="preserve"> 0 + CAL!V34 + CAR!V34 + CENT!V34 + FLA!V34 + MIDA!V34 + MIDW!V34 + NE!V34 + NY!V34 + NW!V34 + SE!V34 + SW!V34 + TEN!V34 + TEX!V34</f>
        <v>121431.32735624998</v>
      </c>
      <c r="W34" s="7">
        <f xml:space="preserve"> 0 + CAL!W34 + CAR!W34 + CENT!W34 + FLA!W34 + MIDA!W34 + MIDW!W34 + NE!W34 + NY!W34 + NW!W34 + SE!W34 + SW!W34 + TEN!W34 + TEX!W34</f>
        <v>127222.76163732001</v>
      </c>
      <c r="X34" s="7">
        <f xml:space="preserve"> 0 + CAL!X34 + CAR!X34 + CENT!X34 + FLA!X34 + MIDA!X34 + MIDW!X34 + NE!X34 + NY!X34 + NW!X34 + SE!X34 + SW!X34 + TEN!X34 + TEX!X34</f>
        <v>135121.70778535999</v>
      </c>
      <c r="Y34" s="7">
        <f xml:space="preserve"> 0 + CAL!Y34 + CAR!Y34 + CENT!Y34 + FLA!Y34 + MIDA!Y34 + MIDW!Y34 + NE!Y34 + NY!Y34 + NW!Y34 + SE!Y34 + SW!Y34 + TEN!Y34 + TEX!Y34</f>
        <v>143234.95709407001</v>
      </c>
      <c r="Z34" s="7">
        <f xml:space="preserve"> 0 + CAL!Z34 + CAR!Z34 + CENT!Z34 + FLA!Z34 + MIDA!Z34 + MIDW!Z34 + NE!Z34 + NY!Z34 + NW!Z34 + SE!Z34 + SW!Z34 + TEN!Z34 + TEX!Z34</f>
        <v>151397.59909100999</v>
      </c>
      <c r="AA34" s="7">
        <f xml:space="preserve"> 0 + CAL!AA34 + CAR!AA34 + CENT!AA34 + FLA!AA34 + MIDA!AA34 + MIDW!AA34 + NE!AA34 + NY!AA34 + NW!AA34 + SE!AA34 + SW!AA34 + TEN!AA34 + TEX!AA34</f>
        <v>159264.32267841997</v>
      </c>
      <c r="AB34" s="7">
        <f xml:space="preserve"> 0 + CAL!AB34 + CAR!AB34 + CENT!AB34 + FLA!AB34 + MIDA!AB34 + MIDW!AB34 + NE!AB34 + NY!AB34 + NW!AB34 + SE!AB34 + SW!AB34 + TEN!AB34 + TEX!AB34</f>
        <v>166744.84574047997</v>
      </c>
      <c r="AC34" s="7">
        <f xml:space="preserve"> 0 + CAL!AC34 + CAR!AC34 + CENT!AC34 + FLA!AC34 + MIDA!AC34 + MIDW!AC34 + NE!AC34 + NY!AC34 + NW!AC34 + SE!AC34 + SW!AC34 + TEN!AC34 + TEX!AC34</f>
        <v>170930.25366841996</v>
      </c>
    </row>
    <row r="35" spans="1:29" x14ac:dyDescent="0.85">
      <c r="A35" t="str">
        <f>CAL!A35</f>
        <v>Wind_MWh_Cost</v>
      </c>
      <c r="B35" s="7">
        <f xml:space="preserve"> 0 + CAL!B35 + CAR!B35 + CENT!B35 + FLA!B35 + MIDA!B35 + MIDW!B35 + NE!B35 + NY!B35 + NW!B35 + SE!B35 + SW!B35 + TEN!B35 + TEX!B35</f>
        <v>0</v>
      </c>
      <c r="C35" s="7">
        <f xml:space="preserve"> 0 + CAL!C35 + CAR!C35 + CENT!C35 + FLA!C35 + MIDA!C35 + MIDW!C35 + NE!C35 + NY!C35 + NW!C35 + SE!C35 + SW!C35 + TEN!C35 + TEX!C35</f>
        <v>0</v>
      </c>
      <c r="D35" s="7">
        <f xml:space="preserve"> 0 + CAL!D35 + CAR!D35 + CENT!D35 + FLA!D35 + MIDA!D35 + MIDW!D35 + NE!D35 + NY!D35 + NW!D35 + SE!D35 + SW!D35 + TEN!D35 + TEX!D35</f>
        <v>0</v>
      </c>
      <c r="E35" s="7">
        <f xml:space="preserve"> 0 + CAL!E35 + CAR!E35 + CENT!E35 + FLA!E35 + MIDA!E35 + MIDW!E35 + NE!E35 + NY!E35 + NW!E35 + SE!E35 + SW!E35 + TEN!E35 + TEX!E35</f>
        <v>0</v>
      </c>
      <c r="F35" s="7">
        <f xml:space="preserve"> 0 + CAL!F35 + CAR!F35 + CENT!F35 + FLA!F35 + MIDA!F35 + MIDW!F35 + NE!F35 + NY!F35 + NW!F35 + SE!F35 + SW!F35 + TEN!F35 + TEX!F35</f>
        <v>0</v>
      </c>
      <c r="G35" s="7">
        <f xml:space="preserve"> 0 + CAL!G35 + CAR!G35 + CENT!G35 + FLA!G35 + MIDA!G35 + MIDW!G35 + NE!G35 + NY!G35 + NW!G35 + SE!G35 + SW!G35 + TEN!G35 + TEX!G35</f>
        <v>0</v>
      </c>
      <c r="H35" s="7">
        <f xml:space="preserve"> 0 + CAL!H35 + CAR!H35 + CENT!H35 + FLA!H35 + MIDA!H35 + MIDW!H35 + NE!H35 + NY!H35 + NW!H35 + SE!H35 + SW!H35 + TEN!H35 + TEX!H35</f>
        <v>0</v>
      </c>
      <c r="I35" s="7">
        <f xml:space="preserve"> 0 + CAL!I35 + CAR!I35 + CENT!I35 + FLA!I35 + MIDA!I35 + MIDW!I35 + NE!I35 + NY!I35 + NW!I35 + SE!I35 + SW!I35 + TEN!I35 + TEX!I35</f>
        <v>0</v>
      </c>
      <c r="J35" s="7">
        <f xml:space="preserve"> 0 + CAL!J35 + CAR!J35 + CENT!J35 + FLA!J35 + MIDA!J35 + MIDW!J35 + NE!J35 + NY!J35 + NW!J35 + SE!J35 + SW!J35 + TEN!J35 + TEX!J35</f>
        <v>0</v>
      </c>
      <c r="K35" s="7">
        <f xml:space="preserve"> 0 + CAL!K35 + CAR!K35 + CENT!K35 + FLA!K35 + MIDA!K35 + MIDW!K35 + NE!K35 + NY!K35 + NW!K35 + SE!K35 + SW!K35 + TEN!K35 + TEX!K35</f>
        <v>0</v>
      </c>
      <c r="L35" s="7">
        <f xml:space="preserve"> 0 + CAL!L35 + CAR!L35 + CENT!L35 + FLA!L35 + MIDA!L35 + MIDW!L35 + NE!L35 + NY!L35 + NW!L35 + SE!L35 + SW!L35 + TEN!L35 + TEX!L35</f>
        <v>0</v>
      </c>
      <c r="M35" s="7">
        <f xml:space="preserve"> 0 + CAL!M35 + CAR!M35 + CENT!M35 + FLA!M35 + MIDA!M35 + MIDW!M35 + NE!M35 + NY!M35 + NW!M35 + SE!M35 + SW!M35 + TEN!M35 + TEX!M35</f>
        <v>0</v>
      </c>
      <c r="N35" s="7">
        <f xml:space="preserve"> 0 + CAL!N35 + CAR!N35 + CENT!N35 + FLA!N35 + MIDA!N35 + MIDW!N35 + NE!N35 + NY!N35 + NW!N35 + SE!N35 + SW!N35 + TEN!N35 + TEX!N35</f>
        <v>0</v>
      </c>
      <c r="O35" s="7">
        <f xml:space="preserve"> 0 + CAL!O35 + CAR!O35 + CENT!O35 + FLA!O35 + MIDA!O35 + MIDW!O35 + NE!O35 + NY!O35 + NW!O35 + SE!O35 + SW!O35 + TEN!O35 + TEX!O35</f>
        <v>0</v>
      </c>
      <c r="P35" s="7">
        <f xml:space="preserve"> 0 + CAL!P35 + CAR!P35 + CENT!P35 + FLA!P35 + MIDA!P35 + MIDW!P35 + NE!P35 + NY!P35 + NW!P35 + SE!P35 + SW!P35 + TEN!P35 + TEX!P35</f>
        <v>0</v>
      </c>
      <c r="Q35" s="7">
        <f xml:space="preserve"> 0 + CAL!Q35 + CAR!Q35 + CENT!Q35 + FLA!Q35 + MIDA!Q35 + MIDW!Q35 + NE!Q35 + NY!Q35 + NW!Q35 + SE!Q35 + SW!Q35 + TEN!Q35 + TEX!Q35</f>
        <v>0</v>
      </c>
      <c r="R35" s="7">
        <f xml:space="preserve"> 0 + CAL!R35 + CAR!R35 + CENT!R35 + FLA!R35 + MIDA!R35 + MIDW!R35 + NE!R35 + NY!R35 + NW!R35 + SE!R35 + SW!R35 + TEN!R35 + TEX!R35</f>
        <v>0</v>
      </c>
      <c r="S35" s="7">
        <f xml:space="preserve"> 0 + CAL!S35 + CAR!S35 + CENT!S35 + FLA!S35 + MIDA!S35 + MIDW!S35 + NE!S35 + NY!S35 + NW!S35 + SE!S35 + SW!S35 + TEN!S35 + TEX!S35</f>
        <v>0</v>
      </c>
      <c r="T35" s="7">
        <f xml:space="preserve"> 0 + CAL!T35 + CAR!T35 + CENT!T35 + FLA!T35 + MIDA!T35 + MIDW!T35 + NE!T35 + NY!T35 + NW!T35 + SE!T35 + SW!T35 + TEN!T35 + TEX!T35</f>
        <v>0</v>
      </c>
      <c r="U35" s="7">
        <f xml:space="preserve"> 0 + CAL!U35 + CAR!U35 + CENT!U35 + FLA!U35 + MIDA!U35 + MIDW!U35 + NE!U35 + NY!U35 + NW!U35 + SE!U35 + SW!U35 + TEN!U35 + TEX!U35</f>
        <v>0</v>
      </c>
      <c r="V35" s="7">
        <f xml:space="preserve"> 0 + CAL!V35 + CAR!V35 + CENT!V35 + FLA!V35 + MIDA!V35 + MIDW!V35 + NE!V35 + NY!V35 + NW!V35 + SE!V35 + SW!V35 + TEN!V35 + TEX!V35</f>
        <v>0</v>
      </c>
      <c r="W35" s="7">
        <f xml:space="preserve"> 0 + CAL!W35 + CAR!W35 + CENT!W35 + FLA!W35 + MIDA!W35 + MIDW!W35 + NE!W35 + NY!W35 + NW!W35 + SE!W35 + SW!W35 + TEN!W35 + TEX!W35</f>
        <v>0</v>
      </c>
      <c r="X35" s="7">
        <f xml:space="preserve"> 0 + CAL!X35 + CAR!X35 + CENT!X35 + FLA!X35 + MIDA!X35 + MIDW!X35 + NE!X35 + NY!X35 + NW!X35 + SE!X35 + SW!X35 + TEN!X35 + TEX!X35</f>
        <v>0</v>
      </c>
      <c r="Y35" s="7">
        <f xml:space="preserve"> 0 + CAL!Y35 + CAR!Y35 + CENT!Y35 + FLA!Y35 + MIDA!Y35 + MIDW!Y35 + NE!Y35 + NY!Y35 + NW!Y35 + SE!Y35 + SW!Y35 + TEN!Y35 + TEX!Y35</f>
        <v>0</v>
      </c>
      <c r="Z35" s="7">
        <f xml:space="preserve"> 0 + CAL!Z35 + CAR!Z35 + CENT!Z35 + FLA!Z35 + MIDA!Z35 + MIDW!Z35 + NE!Z35 + NY!Z35 + NW!Z35 + SE!Z35 + SW!Z35 + TEN!Z35 + TEX!Z35</f>
        <v>0</v>
      </c>
      <c r="AA35" s="7">
        <f xml:space="preserve"> 0 + CAL!AA35 + CAR!AA35 + CENT!AA35 + FLA!AA35 + MIDA!AA35 + MIDW!AA35 + NE!AA35 + NY!AA35 + NW!AA35 + SE!AA35 + SW!AA35 + TEN!AA35 + TEX!AA35</f>
        <v>0</v>
      </c>
      <c r="AB35" s="7">
        <f xml:space="preserve"> 0 + CAL!AB35 + CAR!AB35 + CENT!AB35 + FLA!AB35 + MIDA!AB35 + MIDW!AB35 + NE!AB35 + NY!AB35 + NW!AB35 + SE!AB35 + SW!AB35 + TEN!AB35 + TEX!AB35</f>
        <v>0</v>
      </c>
      <c r="AC35" s="7">
        <f xml:space="preserve"> 0 + CAL!AC35 + CAR!AC35 + CENT!AC35 + FLA!AC35 + MIDA!AC35 + MIDW!AC35 + NE!AC35 + NY!AC35 + NW!AC35 + SE!AC35 + SW!AC35 + TEN!AC35 + TEX!AC35</f>
        <v>0</v>
      </c>
    </row>
    <row r="36" spans="1:29" x14ac:dyDescent="0.85">
      <c r="A36" t="str">
        <f>CAL!A36</f>
        <v>Wind_Start_Knob</v>
      </c>
      <c r="B36" s="7">
        <f xml:space="preserve"> 0 + CAL!B36 + CAR!B36 + CENT!B36 + FLA!B36 + MIDA!B36 + MIDW!B36 + NE!B36 + NY!B36 + NW!B36 + SE!B36 + SW!B36 + TEN!B36 + TEX!B36</f>
        <v>13</v>
      </c>
      <c r="C36" s="7">
        <f xml:space="preserve"> 0 + CAL!C36 + CAR!C36 + CENT!C36 + FLA!C36 + MIDA!C36 + MIDW!C36 + NE!C36 + NY!C36 + NW!C36 + SE!C36 + SW!C36 + TEN!C36 + TEX!C36</f>
        <v>13.519999999999996</v>
      </c>
      <c r="D36" s="7">
        <f xml:space="preserve"> 0 + CAL!D36 + CAR!D36 + CENT!D36 + FLA!D36 + MIDA!D36 + MIDW!D36 + NE!D36 + NY!D36 + NW!D36 + SE!D36 + SW!D36 + TEN!D36 + TEX!D36</f>
        <v>10.142502320000002</v>
      </c>
      <c r="E36" s="7">
        <f xml:space="preserve"> 0 + CAL!E36 + CAR!E36 + CENT!E36 + FLA!E36 + MIDA!E36 + MIDW!E36 + NE!E36 + NY!E36 + NW!E36 + SE!E36 + SW!E36 + TEN!E36 + TEX!E36</f>
        <v>10.098848289999999</v>
      </c>
      <c r="F36" s="7">
        <f xml:space="preserve"> 0 + CAL!F36 + CAR!F36 + CENT!F36 + FLA!F36 + MIDA!F36 + MIDW!F36 + NE!F36 + NY!F36 + NW!F36 + SE!F36 + SW!F36 + TEN!F36 + TEX!F36</f>
        <v>9.8187973699999986</v>
      </c>
      <c r="G36" s="7">
        <f xml:space="preserve"> 0 + CAL!G36 + CAR!G36 + CENT!G36 + FLA!G36 + MIDA!G36 + MIDW!G36 + NE!G36 + NY!G36 + NW!G36 + SE!G36 + SW!G36 + TEN!G36 + TEX!G36</f>
        <v>10.08613115</v>
      </c>
      <c r="H36" s="7">
        <f xml:space="preserve"> 0 + CAL!H36 + CAR!H36 + CENT!H36 + FLA!H36 + MIDA!H36 + MIDW!H36 + NE!H36 + NY!H36 + NW!H36 + SE!H36 + SW!H36 + TEN!H36 + TEX!H36</f>
        <v>10.43005544</v>
      </c>
      <c r="I36" s="7">
        <f xml:space="preserve"> 0 + CAL!I36 + CAR!I36 + CENT!I36 + FLA!I36 + MIDA!I36 + MIDW!I36 + NE!I36 + NY!I36 + NW!I36 + SE!I36 + SW!I36 + TEN!I36 + TEX!I36</f>
        <v>10.57206993</v>
      </c>
      <c r="J36" s="7">
        <f xml:space="preserve"> 0 + CAL!J36 + CAR!J36 + CENT!J36 + FLA!J36 + MIDA!J36 + MIDW!J36 + NE!J36 + NY!J36 + NW!J36 + SE!J36 + SW!J36 + TEN!J36 + TEX!J36</f>
        <v>10.941508200000001</v>
      </c>
      <c r="K36" s="7">
        <f xml:space="preserve"> 0 + CAL!K36 + CAR!K36 + CENT!K36 + FLA!K36 + MIDA!K36 + MIDW!K36 + NE!K36 + NY!K36 + NW!K36 + SE!K36 + SW!K36 + TEN!K36 + TEX!K36</f>
        <v>11.91374282</v>
      </c>
      <c r="L36" s="7">
        <f xml:space="preserve"> 0 + CAL!L36 + CAR!L36 + CENT!L36 + FLA!L36 + MIDA!L36 + MIDW!L36 + NE!L36 + NY!L36 + NW!L36 + SE!L36 + SW!L36 + TEN!L36 + TEX!L36</f>
        <v>12.134220669999999</v>
      </c>
      <c r="M36" s="7">
        <f xml:space="preserve"> 0 + CAL!M36 + CAR!M36 + CENT!M36 + FLA!M36 + MIDA!M36 + MIDW!M36 + NE!M36 + NY!M36 + NW!M36 + SE!M36 + SW!M36 + TEN!M36 + TEX!M36</f>
        <v>11.845051120000001</v>
      </c>
      <c r="N36" s="7">
        <f xml:space="preserve"> 0 + CAL!N36 + CAR!N36 + CENT!N36 + FLA!N36 + MIDA!N36 + MIDW!N36 + NE!N36 + NY!N36 + NW!N36 + SE!N36 + SW!N36 + TEN!N36 + TEX!N36</f>
        <v>11.655823040000001</v>
      </c>
      <c r="O36" s="7">
        <f xml:space="preserve"> 0 + CAL!O36 + CAR!O36 + CENT!O36 + FLA!O36 + MIDA!O36 + MIDW!O36 + NE!O36 + NY!O36 + NW!O36 + SE!O36 + SW!O36 + TEN!O36 + TEX!O36</f>
        <v>10.523459040000001</v>
      </c>
      <c r="P36" s="7">
        <f xml:space="preserve"> 0 + CAL!P36 + CAR!P36 + CENT!P36 + FLA!P36 + MIDA!P36 + MIDW!P36 + NE!P36 + NY!P36 + NW!P36 + SE!P36 + SW!P36 + TEN!P36 + TEX!P36</f>
        <v>11.40815151</v>
      </c>
      <c r="Q36" s="7">
        <f xml:space="preserve"> 0 + CAL!Q36 + CAR!Q36 + CENT!Q36 + FLA!Q36 + MIDA!Q36 + MIDW!Q36 + NE!Q36 + NY!Q36 + NW!Q36 + SE!Q36 + SW!Q36 + TEN!Q36 + TEX!Q36</f>
        <v>11.30805307</v>
      </c>
      <c r="R36" s="7">
        <f xml:space="preserve"> 0 + CAL!R36 + CAR!R36 + CENT!R36 + FLA!R36 + MIDA!R36 + MIDW!R36 + NE!R36 + NY!R36 + NW!R36 + SE!R36 + SW!R36 + TEN!R36 + TEX!R36</f>
        <v>11.079249560000001</v>
      </c>
      <c r="S36" s="7">
        <f xml:space="preserve"> 0 + CAL!S36 + CAR!S36 + CENT!S36 + FLA!S36 + MIDA!S36 + MIDW!S36 + NE!S36 + NY!S36 + NW!S36 + SE!S36 + SW!S36 + TEN!S36 + TEX!S36</f>
        <v>11.200228880000001</v>
      </c>
      <c r="T36" s="7">
        <f xml:space="preserve"> 0 + CAL!T36 + CAR!T36 + CENT!T36 + FLA!T36 + MIDA!T36 + MIDW!T36 + NE!T36 + NY!T36 + NW!T36 + SE!T36 + SW!T36 + TEN!T36 + TEX!T36</f>
        <v>11.019126170000002</v>
      </c>
      <c r="U36" s="7">
        <f xml:space="preserve"> 0 + CAL!U36 + CAR!U36 + CENT!U36 + FLA!U36 + MIDA!U36 + MIDW!U36 + NE!U36 + NY!U36 + NW!U36 + SE!U36 + SW!U36 + TEN!U36 + TEX!U36</f>
        <v>11.11278033</v>
      </c>
      <c r="V36" s="7">
        <f xml:space="preserve"> 0 + CAL!V36 + CAR!V36 + CENT!V36 + FLA!V36 + MIDA!V36 + MIDW!V36 + NE!V36 + NY!V36 + NW!V36 + SE!V36 + SW!V36 + TEN!V36 + TEX!V36</f>
        <v>11.077211219999999</v>
      </c>
      <c r="W36" s="7">
        <f xml:space="preserve"> 0 + CAL!W36 + CAR!W36 + CENT!W36 + FLA!W36 + MIDA!W36 + MIDW!W36 + NE!W36 + NY!W36 + NW!W36 + SE!W36 + SW!W36 + TEN!W36 + TEX!W36</f>
        <v>11.03539423</v>
      </c>
      <c r="X36" s="7">
        <f xml:space="preserve"> 0 + CAL!X36 + CAR!X36 + CENT!X36 + FLA!X36 + MIDA!X36 + MIDW!X36 + NE!X36 + NY!X36 + NW!X36 + SE!X36 + SW!X36 + TEN!X36 + TEX!X36</f>
        <v>10.80268588</v>
      </c>
      <c r="Y36" s="7">
        <f xml:space="preserve"> 0 + CAL!Y36 + CAR!Y36 + CENT!Y36 + FLA!Y36 + MIDA!Y36 + MIDW!Y36 + NE!Y36 + NY!Y36 + NW!Y36 + SE!Y36 + SW!Y36 + TEN!Y36 + TEX!Y36</f>
        <v>10.871204459999998</v>
      </c>
      <c r="Z36" s="7">
        <f xml:space="preserve"> 0 + CAL!Z36 + CAR!Z36 + CENT!Z36 + FLA!Z36 + MIDA!Z36 + MIDW!Z36 + NE!Z36 + NY!Z36 + NW!Z36 + SE!Z36 + SW!Z36 + TEN!Z36 + TEX!Z36</f>
        <v>10.855861269999998</v>
      </c>
      <c r="AA36" s="7">
        <f xml:space="preserve"> 0 + CAL!AA36 + CAR!AA36 + CENT!AA36 + FLA!AA36 + MIDA!AA36 + MIDW!AA36 + NE!AA36 + NY!AA36 + NW!AA36 + SE!AA36 + SW!AA36 + TEN!AA36 + TEX!AA36</f>
        <v>10.821325749999998</v>
      </c>
      <c r="AB36" s="7">
        <f xml:space="preserve"> 0 + CAL!AB36 + CAR!AB36 + CENT!AB36 + FLA!AB36 + MIDA!AB36 + MIDW!AB36 + NE!AB36 + NY!AB36 + NW!AB36 + SE!AB36 + SW!AB36 + TEN!AB36 + TEX!AB36</f>
        <v>10.689272149999999</v>
      </c>
      <c r="AC36" s="7">
        <f xml:space="preserve"> 0 + CAL!AC36 + CAR!AC36 + CENT!AC36 + FLA!AC36 + MIDA!AC36 + MIDW!AC36 + NE!AC36 + NY!AC36 + NW!AC36 + SE!AC36 + SW!AC36 + TEN!AC36 + TEX!AC36</f>
        <v>10.668921320000001</v>
      </c>
    </row>
    <row r="37" spans="1:29" x14ac:dyDescent="0.85">
      <c r="A37" t="str">
        <f>CAL!A37</f>
        <v>Wind_Knob</v>
      </c>
      <c r="B37" s="7">
        <f xml:space="preserve"> 0 + CAL!B37 + CAR!B37 + CENT!B37 + FLA!B37 + MIDA!B37 + MIDW!B37 + NE!B37 + NY!B37 + NW!B37 + SE!B37 + SW!B37 + TEN!B37 + TEX!B37</f>
        <v>13</v>
      </c>
      <c r="C37" s="7">
        <f xml:space="preserve"> 0 + CAL!C37 + CAR!C37 + CENT!C37 + FLA!C37 + MIDA!C37 + MIDW!C37 + NE!C37 + NY!C37 + NW!C37 + SE!C37 + SW!C37 + TEN!C37 + TEX!C37</f>
        <v>10.142502320000002</v>
      </c>
      <c r="D37" s="7">
        <f xml:space="preserve"> 0 + CAL!D37 + CAR!D37 + CENT!D37 + FLA!D37 + MIDA!D37 + MIDW!D37 + NE!D37 + NY!D37 + NW!D37 + SE!D37 + SW!D37 + TEN!D37 + TEX!D37</f>
        <v>10.098848289999999</v>
      </c>
      <c r="E37" s="7">
        <f xml:space="preserve"> 0 + CAL!E37 + CAR!E37 + CENT!E37 + FLA!E37 + MIDA!E37 + MIDW!E37 + NE!E37 + NY!E37 + NW!E37 + SE!E37 + SW!E37 + TEN!E37 + TEX!E37</f>
        <v>9.8187973699999986</v>
      </c>
      <c r="F37" s="7">
        <f xml:space="preserve"> 0 + CAL!F37 + CAR!F37 + CENT!F37 + FLA!F37 + MIDA!F37 + MIDW!F37 + NE!F37 + NY!F37 + NW!F37 + SE!F37 + SW!F37 + TEN!F37 + TEX!F37</f>
        <v>10.08858296</v>
      </c>
      <c r="G37" s="7">
        <f xml:space="preserve"> 0 + CAL!G37 + CAR!G37 + CENT!G37 + FLA!G37 + MIDA!G37 + MIDW!G37 + NE!G37 + NY!G37 + NW!G37 + SE!G37 + SW!G37 + TEN!G37 + TEX!G37</f>
        <v>10.45978719</v>
      </c>
      <c r="H37" s="7">
        <f xml:space="preserve"> 0 + CAL!H37 + CAR!H37 + CENT!H37 + FLA!H37 + MIDA!H37 + MIDW!H37 + NE!H37 + NY!H37 + NW!H37 + SE!H37 + SW!H37 + TEN!H37 + TEX!H37</f>
        <v>10.592275119999998</v>
      </c>
      <c r="I37" s="7">
        <f xml:space="preserve"> 0 + CAL!I37 + CAR!I37 + CENT!I37 + FLA!I37 + MIDA!I37 + MIDW!I37 + NE!I37 + NY!I37 + NW!I37 + SE!I37 + SW!I37 + TEN!I37 + TEX!I37</f>
        <v>11.029601150000001</v>
      </c>
      <c r="J37" s="7">
        <f xml:space="preserve"> 0 + CAL!J37 + CAR!J37 + CENT!J37 + FLA!J37 + MIDA!J37 + MIDW!J37 + NE!J37 + NY!J37 + NW!J37 + SE!J37 + SW!J37 + TEN!J37 + TEX!J37</f>
        <v>12.155341739999997</v>
      </c>
      <c r="K37" s="7">
        <f xml:space="preserve"> 0 + CAL!K37 + CAR!K37 + CENT!K37 + FLA!K37 + MIDA!K37 + MIDW!K37 + NE!K37 + NY!K37 + NW!K37 + SE!K37 + SW!K37 + TEN!K37 + TEX!K37</f>
        <v>12.633767900000002</v>
      </c>
      <c r="L37" s="7">
        <f xml:space="preserve"> 0 + CAL!L37 + CAR!L37 + CENT!L37 + FLA!L37 + MIDA!L37 + MIDW!L37 + NE!L37 + NY!L37 + NW!L37 + SE!L37 + SW!L37 + TEN!L37 + TEX!L37</f>
        <v>12.09304215</v>
      </c>
      <c r="M37" s="7">
        <f xml:space="preserve"> 0 + CAL!M37 + CAR!M37 + CENT!M37 + FLA!M37 + MIDA!M37 + MIDW!M37 + NE!M37 + NY!M37 + NW!M37 + SE!M37 + SW!M37 + TEN!M37 + TEX!M37</f>
        <v>11.84770765</v>
      </c>
      <c r="N37" s="7">
        <f xml:space="preserve"> 0 + CAL!N37 + CAR!N37 + CENT!N37 + FLA!N37 + MIDA!N37 + MIDW!N37 + NE!N37 + NY!N37 + NW!N37 + SE!N37 + SW!N37 + TEN!N37 + TEX!N37</f>
        <v>10.665329610000001</v>
      </c>
      <c r="O37" s="7">
        <f xml:space="preserve"> 0 + CAL!O37 + CAR!O37 + CENT!O37 + FLA!O37 + MIDA!O37 + MIDW!O37 + NE!O37 + NY!O37 + NW!O37 + SE!O37 + SW!O37 + TEN!O37 + TEX!O37</f>
        <v>11.51384453</v>
      </c>
      <c r="P37" s="7">
        <f xml:space="preserve"> 0 + CAL!P37 + CAR!P37 + CENT!P37 + FLA!P37 + MIDA!P37 + MIDW!P37 + NE!P37 + NY!P37 + NW!P37 + SE!P37 + SW!P37 + TEN!P37 + TEX!P37</f>
        <v>11.395255469999999</v>
      </c>
      <c r="Q37" s="7">
        <f xml:space="preserve"> 0 + CAL!Q37 + CAR!Q37 + CENT!Q37 + FLA!Q37 + MIDA!Q37 + MIDW!Q37 + NE!Q37 + NY!Q37 + NW!Q37 + SE!Q37 + SW!Q37 + TEN!Q37 + TEX!Q37</f>
        <v>11.144535820000002</v>
      </c>
      <c r="R37" s="7">
        <f xml:space="preserve"> 0 + CAL!R37 + CAR!R37 + CENT!R37 + FLA!R37 + MIDA!R37 + MIDW!R37 + NE!R37 + NY!R37 + NW!R37 + SE!R37 + SW!R37 + TEN!R37 + TEX!R37</f>
        <v>11.255933249999998</v>
      </c>
      <c r="S37" s="7">
        <f xml:space="preserve"> 0 + CAL!S37 + CAR!S37 + CENT!S37 + FLA!S37 + MIDA!S37 + MIDW!S37 + NE!S37 + NY!S37 + NW!S37 + SE!S37 + SW!S37 + TEN!S37 + TEX!S37</f>
        <v>11.066262780000001</v>
      </c>
      <c r="T37" s="7">
        <f xml:space="preserve"> 0 + CAL!T37 + CAR!T37 + CENT!T37 + FLA!T37 + MIDA!T37 + MIDW!T37 + NE!T37 + NY!T37 + NW!T37 + SE!T37 + SW!T37 + TEN!T37 + TEX!T37</f>
        <v>11.153271249999998</v>
      </c>
      <c r="U37" s="7">
        <f xml:space="preserve"> 0 + CAL!U37 + CAR!U37 + CENT!U37 + FLA!U37 + MIDA!U37 + MIDW!U37 + NE!U37 + NY!U37 + NW!U37 + SE!U37 + SW!U37 + TEN!U37 + TEX!U37</f>
        <v>11.11287016</v>
      </c>
      <c r="V37" s="7">
        <f xml:space="preserve"> 0 + CAL!V37 + CAR!V37 + CENT!V37 + FLA!V37 + MIDA!V37 + MIDW!V37 + NE!V37 + NY!V37 + NW!V37 + SE!V37 + SW!V37 + TEN!V37 + TEX!V37</f>
        <v>11.067092969999999</v>
      </c>
      <c r="W37" s="7">
        <f xml:space="preserve"> 0 + CAL!W37 + CAR!W37 + CENT!W37 + FLA!W37 + MIDA!W37 + MIDW!W37 + NE!W37 + NY!W37 + NW!W37 + SE!W37 + SW!W37 + TEN!W37 + TEX!W37</f>
        <v>10.825564699999999</v>
      </c>
      <c r="X37" s="7">
        <f xml:space="preserve"> 0 + CAL!X37 + CAR!X37 + CENT!X37 + FLA!X37 + MIDA!X37 + MIDW!X37 + NE!X37 + NY!X37 + NW!X37 + SE!X37 + SW!X37 + TEN!X37 + TEX!X37</f>
        <v>10.894100350000002</v>
      </c>
      <c r="Y37" s="7">
        <f xml:space="preserve"> 0 + CAL!Y37 + CAR!Y37 + CENT!Y37 + FLA!Y37 + MIDA!Y37 + MIDW!Y37 + NE!Y37 + NY!Y37 + NW!Y37 + SE!Y37 + SW!Y37 + TEN!Y37 + TEX!Y37</f>
        <v>10.8751409</v>
      </c>
      <c r="Z37" s="7">
        <f xml:space="preserve"> 0 + CAL!Z37 + CAR!Z37 + CENT!Z37 + FLA!Z37 + MIDA!Z37 + MIDW!Z37 + NE!Z37 + NY!Z37 + NW!Z37 + SE!Z37 + SW!Z37 + TEN!Z37 + TEX!Z37</f>
        <v>10.83566896</v>
      </c>
      <c r="AA37" s="7">
        <f xml:space="preserve"> 0 + CAL!AA37 + CAR!AA37 + CENT!AA37 + FLA!AA37 + MIDA!AA37 + MIDW!AA37 + NE!AA37 + NY!AA37 + NW!AA37 + SE!AA37 + SW!AA37 + TEN!AA37 + TEX!AA37</f>
        <v>10.700131070000001</v>
      </c>
      <c r="AB37" s="7">
        <f xml:space="preserve"> 0 + CAL!AB37 + CAR!AB37 + CENT!AB37 + FLA!AB37 + MIDA!AB37 + MIDW!AB37 + NE!AB37 + NY!AB37 + NW!AB37 + SE!AB37 + SW!AB37 + TEN!AB37 + TEX!AB37</f>
        <v>10.675317429999998</v>
      </c>
      <c r="AC37" s="7">
        <f xml:space="preserve"> 0 + CAL!AC37 + CAR!AC37 + CENT!AC37 + FLA!AC37 + MIDA!AC37 + MIDW!AC37 + NE!AC37 + NY!AC37 + NW!AC37 + SE!AC37 + SW!AC37 + TEN!AC37 + TEX!AC37</f>
        <v>10.613659890000001</v>
      </c>
    </row>
    <row r="38" spans="1:29" x14ac:dyDescent="0.85">
      <c r="A38" t="str">
        <f>CAL!A38</f>
        <v>Wind_Max_Knob</v>
      </c>
      <c r="B38" s="7">
        <f xml:space="preserve"> 0 + CAL!B38 + CAR!B38 + CENT!B38 + FLA!B38 + MIDA!B38 + MIDW!B38 + NE!B38 + NY!B38 + NW!B38 + SE!B38 + SW!B38 + TEN!B38 + TEX!B38</f>
        <v>13</v>
      </c>
      <c r="C38" s="7">
        <f xml:space="preserve"> 0 + CAL!C38 + CAR!C38 + CENT!C38 + FLA!C38 + MIDA!C38 + MIDW!C38 + NE!C38 + NY!C38 + NW!C38 + SE!C38 + SW!C38 + TEN!C38 + TEX!C38</f>
        <v>84.394784509999994</v>
      </c>
      <c r="D38" s="7">
        <f xml:space="preserve"> 0 + CAL!D38 + CAR!D38 + CENT!D38 + FLA!D38 + MIDA!D38 + MIDW!D38 + NE!D38 + NY!D38 + NW!D38 + SE!D38 + SW!D38 + TEN!D38 + TEX!D38</f>
        <v>86.747612499999988</v>
      </c>
      <c r="E38" s="7">
        <f xml:space="preserve"> 0 + CAL!E38 + CAR!E38 + CENT!E38 + FLA!E38 + MIDA!E38 + MIDW!E38 + NE!E38 + NY!E38 + NW!E38 + SE!E38 + SW!E38 + TEN!E38 + TEX!E38</f>
        <v>89.399051690000007</v>
      </c>
      <c r="F38" s="7">
        <f xml:space="preserve"> 0 + CAL!F38 + CAR!F38 + CENT!F38 + FLA!F38 + MIDA!F38 + MIDW!F38 + NE!F38 + NY!F38 + NW!F38 + SE!F38 + SW!F38 + TEN!F38 + TEX!F38</f>
        <v>92.366866279999996</v>
      </c>
      <c r="G38" s="7">
        <f xml:space="preserve"> 0 + CAL!G38 + CAR!G38 + CENT!G38 + FLA!G38 + MIDA!G38 + MIDW!G38 + NE!G38 + NY!G38 + NW!G38 + SE!G38 + SW!G38 + TEN!G38 + TEX!G38</f>
        <v>95.611736849999986</v>
      </c>
      <c r="H38" s="7">
        <f xml:space="preserve"> 0 + CAL!H38 + CAR!H38 + CENT!H38 + FLA!H38 + MIDA!H38 + MIDW!H38 + NE!H38 + NY!H38 + NW!H38 + SE!H38 + SW!H38 + TEN!H38 + TEX!H38</f>
        <v>99.205931450000008</v>
      </c>
      <c r="I38" s="7">
        <f xml:space="preserve"> 0 + CAL!I38 + CAR!I38 + CENT!I38 + FLA!I38 + MIDA!I38 + MIDW!I38 + NE!I38 + NY!I38 + NW!I38 + SE!I38 + SW!I38 + TEN!I38 + TEX!I38</f>
        <v>103.04807432000001</v>
      </c>
      <c r="J38" s="7">
        <f xml:space="preserve"> 0 + CAL!J38 + CAR!J38 + CENT!J38 + FLA!J38 + MIDA!J38 + MIDW!J38 + NE!J38 + NY!J38 + NW!J38 + SE!J38 + SW!J38 + TEN!J38 + TEX!J38</f>
        <v>107.02428226000001</v>
      </c>
      <c r="K38" s="7">
        <f xml:space="preserve"> 0 + CAL!K38 + CAR!K38 + CENT!K38 + FLA!K38 + MIDA!K38 + MIDW!K38 + NE!K38 + NY!K38 + NW!K38 + SE!K38 + SW!K38 + TEN!K38 + TEX!K38</f>
        <v>110.81781827</v>
      </c>
      <c r="L38" s="7">
        <f xml:space="preserve"> 0 + CAL!L38 + CAR!L38 + CENT!L38 + FLA!L38 + MIDA!L38 + MIDW!L38 + NE!L38 + NY!L38 + NW!L38 + SE!L38 + SW!L38 + TEN!L38 + TEX!L38</f>
        <v>114.86221002999999</v>
      </c>
      <c r="M38" s="7">
        <f xml:space="preserve"> 0 + CAL!M38 + CAR!M38 + CENT!M38 + FLA!M38 + MIDA!M38 + MIDW!M38 + NE!M38 + NY!M38 + NW!M38 + SE!M38 + SW!M38 + TEN!M38 + TEX!M38</f>
        <v>120.2126482</v>
      </c>
      <c r="N38" s="7">
        <f xml:space="preserve"> 0 + CAL!N38 + CAR!N38 + CENT!N38 + FLA!N38 + MIDA!N38 + MIDW!N38 + NE!N38 + NY!N38 + NW!N38 + SE!N38 + SW!N38 + TEN!N38 + TEX!N38</f>
        <v>127.77039986999999</v>
      </c>
      <c r="O38" s="7">
        <f xml:space="preserve"> 0 + CAL!O38 + CAR!O38 + CENT!O38 + FLA!O38 + MIDA!O38 + MIDW!O38 + NE!O38 + NY!O38 + NW!O38 + SE!O38 + SW!O38 + TEN!O38 + TEX!O38</f>
        <v>134.44021078</v>
      </c>
      <c r="P38" s="7">
        <f xml:space="preserve"> 0 + CAL!P38 + CAR!P38 + CENT!P38 + FLA!P38 + MIDA!P38 + MIDW!P38 + NE!P38 + NY!P38 + NW!P38 + SE!P38 + SW!P38 + TEN!P38 + TEX!P38</f>
        <v>140.06720378000003</v>
      </c>
      <c r="Q38" s="7">
        <f xml:space="preserve"> 0 + CAL!Q38 + CAR!Q38 + CENT!Q38 + FLA!Q38 + MIDA!Q38 + MIDW!Q38 + NE!Q38 + NY!Q38 + NW!Q38 + SE!Q38 + SW!Q38 + TEN!Q38 + TEX!Q38</f>
        <v>146.07840991999998</v>
      </c>
      <c r="R38" s="7">
        <f xml:space="preserve"> 0 + CAL!R38 + CAR!R38 + CENT!R38 + FLA!R38 + MIDA!R38 + MIDW!R38 + NE!R38 + NY!R38 + NW!R38 + SE!R38 + SW!R38 + TEN!R38 + TEX!R38</f>
        <v>152.50575666</v>
      </c>
      <c r="S38" s="7">
        <f xml:space="preserve"> 0 + CAL!S38 + CAR!S38 + CENT!S38 + FLA!S38 + MIDA!S38 + MIDW!S38 + NE!S38 + NY!S38 + NW!S38 + SE!S38 + SW!S38 + TEN!S38 + TEX!S38</f>
        <v>159.36183882</v>
      </c>
      <c r="T38" s="7">
        <f xml:space="preserve"> 0 + CAL!T38 + CAR!T38 + CENT!T38 + FLA!T38 + MIDA!T38 + MIDW!T38 + NE!T38 + NY!T38 + NW!T38 + SE!T38 + SW!T38 + TEN!T38 + TEX!T38</f>
        <v>166.67293407</v>
      </c>
      <c r="U38" s="7">
        <f xml:space="preserve"> 0 + CAL!U38 + CAR!U38 + CENT!U38 + FLA!U38 + MIDA!U38 + MIDW!U38 + NE!U38 + NY!U38 + NW!U38 + SE!U38 + SW!U38 + TEN!U38 + TEX!U38</f>
        <v>174.46573405000001</v>
      </c>
      <c r="V38" s="7">
        <f xml:space="preserve"> 0 + CAL!V38 + CAR!V38 + CENT!V38 + FLA!V38 + MIDA!V38 + MIDW!V38 + NE!V38 + NY!V38 + NW!V38 + SE!V38 + SW!V38 + TEN!V38 + TEX!V38</f>
        <v>182.76901448999999</v>
      </c>
      <c r="W38" s="7">
        <f xml:space="preserve"> 0 + CAL!W38 + CAR!W38 + CENT!W38 + FLA!W38 + MIDA!W38 + MIDW!W38 + NE!W38 + NY!W38 + NW!W38 + SE!W38 + SW!W38 + TEN!W38 + TEX!W38</f>
        <v>191.27656461999999</v>
      </c>
      <c r="X38" s="7">
        <f xml:space="preserve"> 0 + CAL!X38 + CAR!X38 + CENT!X38 + FLA!X38 + MIDA!X38 + MIDW!X38 + NE!X38 + NY!X38 + NW!X38 + SE!X38 + SW!X38 + TEN!X38 + TEX!X38</f>
        <v>200.79987691000002</v>
      </c>
      <c r="Y38" s="7">
        <f xml:space="preserve"> 0 + CAL!Y38 + CAR!Y38 + CENT!Y38 + FLA!Y38 + MIDA!Y38 + MIDW!Y38 + NE!Y38 + NY!Y38 + NW!Y38 + SE!Y38 + SW!Y38 + TEN!Y38 + TEX!Y38</f>
        <v>211.22850510000001</v>
      </c>
      <c r="Z38" s="7">
        <f xml:space="preserve"> 0 + CAL!Z38 + CAR!Z38 + CENT!Z38 + FLA!Z38 + MIDA!Z38 + MIDW!Z38 + NE!Z38 + NY!Z38 + NW!Z38 + SE!Z38 + SW!Z38 + TEN!Z38 + TEX!Z38</f>
        <v>222.35127772000001</v>
      </c>
      <c r="AA38" s="7">
        <f xml:space="preserve"> 0 + CAL!AA38 + CAR!AA38 + CENT!AA38 + FLA!AA38 + MIDA!AA38 + MIDW!AA38 + NE!AA38 + NY!AA38 + NW!AA38 + SE!AA38 + SW!AA38 + TEN!AA38 + TEX!AA38</f>
        <v>234.21145151000002</v>
      </c>
      <c r="AB38" s="7">
        <f xml:space="preserve"> 0 + CAL!AB38 + CAR!AB38 + CENT!AB38 + FLA!AB38 + MIDA!AB38 + MIDW!AB38 + NE!AB38 + NY!AB38 + NW!AB38 + SE!AB38 + SW!AB38 + TEN!AB38 + TEX!AB38</f>
        <v>246.9093766</v>
      </c>
      <c r="AC38" s="7">
        <f xml:space="preserve"> 0 + CAL!AC38 + CAR!AC38 + CENT!AC38 + FLA!AC38 + MIDA!AC38 + MIDW!AC38 + NE!AC38 + NY!AC38 + NW!AC38 + SE!AC38 + SW!AC38 + TEN!AC38 + TEX!AC38</f>
        <v>260.46394136999999</v>
      </c>
    </row>
    <row r="39" spans="1:29" x14ac:dyDescent="0.85">
      <c r="A39" t="str">
        <f>CAL!A39</f>
        <v>Nuclear_MW</v>
      </c>
      <c r="B39" s="7">
        <f xml:space="preserve"> 0 + CAL!B39 + CAR!B39 + CENT!B39 + FLA!B39 + MIDA!B39 + MIDW!B39 + NE!B39 + NY!B39 + NW!B39 + SE!B39 + SW!B39 + TEN!B39 + TEX!B39</f>
        <v>117465</v>
      </c>
      <c r="C39" s="7">
        <f xml:space="preserve"> 0 + CAL!C39 + CAR!C39 + CENT!C39 + FLA!C39 + MIDA!C39 + MIDW!C39 + NE!C39 + NY!C39 + NW!C39 + SE!C39 + SW!C39 + TEN!C39 + TEX!C39</f>
        <v>114550.72229817</v>
      </c>
      <c r="D39" s="7">
        <f xml:space="preserve"> 0 + CAL!D39 + CAR!D39 + CENT!D39 + FLA!D39 + MIDA!D39 + MIDW!D39 + NE!D39 + NY!D39 + NW!D39 + SE!D39 + SW!D39 + TEN!D39 + TEX!D39</f>
        <v>111686.97343010998</v>
      </c>
      <c r="E39" s="7">
        <f xml:space="preserve"> 0 + CAL!E39 + CAR!E39 + CENT!E39 + FLA!E39 + MIDA!E39 + MIDW!E39 + NE!E39 + NY!E39 + NW!E39 + SE!E39 + SW!E39 + TEN!E39 + TEX!E39</f>
        <v>108894.79943431003</v>
      </c>
      <c r="F39" s="7">
        <f xml:space="preserve"> 0 + CAL!F39 + CAR!F39 + CENT!F39 + FLA!F39 + MIDA!F39 + MIDW!F39 + NE!F39 + NY!F39 + NW!F39 + SE!F39 + SW!F39 + TEN!F39 + TEX!F39</f>
        <v>106173.09709170001</v>
      </c>
      <c r="G39" s="7">
        <f xml:space="preserve"> 0 + CAL!G39 + CAR!G39 + CENT!G39 + FLA!G39 + MIDA!G39 + MIDW!G39 + NE!G39 + NY!G39 + NW!G39 + SE!G39 + SW!G39 + TEN!G39 + TEX!G39</f>
        <v>103518.89655470001</v>
      </c>
      <c r="H39" s="7">
        <f xml:space="preserve"> 0 + CAL!H39 + CAR!H39 + CENT!H39 + FLA!H39 + MIDA!H39 + MIDW!H39 + NE!H39 + NY!H39 + NW!H39 + SE!H39 + SW!H39 + TEN!H39 + TEX!H39</f>
        <v>100938.20018222001</v>
      </c>
      <c r="I39" s="7">
        <f xml:space="preserve"> 0 + CAL!I39 + CAR!I39 + CENT!I39 + FLA!I39 + MIDA!I39 + MIDW!I39 + NE!I39 + NY!I39 + NW!I39 + SE!I39 + SW!I39 + TEN!I39 + TEX!I39</f>
        <v>98505.55485755</v>
      </c>
      <c r="J39" s="7">
        <f xml:space="preserve"> 0 + CAL!J39 + CAR!J39 + CENT!J39 + FLA!J39 + MIDA!J39 + MIDW!J39 + NE!J39 + NY!J39 + NW!J39 + SE!J39 + SW!J39 + TEN!J39 + TEX!J39</f>
        <v>96288.496524209986</v>
      </c>
      <c r="K39" s="7">
        <f xml:space="preserve"> 0 + CAL!K39 + CAR!K39 + CENT!K39 + FLA!K39 + MIDA!K39 + MIDW!K39 + NE!K39 + NY!K39 + NW!K39 + SE!K39 + SW!K39 + TEN!K39 + TEX!K39</f>
        <v>95976.149760670014</v>
      </c>
      <c r="L39" s="7">
        <f xml:space="preserve"> 0 + CAL!L39 + CAR!L39 + CENT!L39 + FLA!L39 + MIDA!L39 + MIDW!L39 + NE!L39 + NY!L39 + NW!L39 + SE!L39 + SW!L39 + TEN!L39 + TEX!L39</f>
        <v>96686.080592549988</v>
      </c>
      <c r="M39" s="7">
        <f xml:space="preserve"> 0 + CAL!M39 + CAR!M39 + CENT!M39 + FLA!M39 + MIDA!M39 + MIDW!M39 + NE!M39 + NY!M39 + NW!M39 + SE!M39 + SW!M39 + TEN!M39 + TEX!M39</f>
        <v>114084.73734894001</v>
      </c>
      <c r="N39" s="7">
        <f xml:space="preserve"> 0 + CAL!N39 + CAR!N39 + CENT!N39 + FLA!N39 + MIDA!N39 + MIDW!N39 + NE!N39 + NY!N39 + NW!N39 + SE!N39 + SW!N39 + TEN!N39 + TEX!N39</f>
        <v>130657.47622892002</v>
      </c>
      <c r="O39" s="7">
        <f xml:space="preserve"> 0 + CAL!O39 + CAR!O39 + CENT!O39 + FLA!O39 + MIDA!O39 + MIDW!O39 + NE!O39 + NY!O39 + NW!O39 + SE!O39 + SW!O39 + TEN!O39 + TEX!O39</f>
        <v>153048.84363240999</v>
      </c>
      <c r="P39" s="7">
        <f xml:space="preserve"> 0 + CAL!P39 + CAR!P39 + CENT!P39 + FLA!P39 + MIDA!P39 + MIDW!P39 + NE!P39 + NY!P39 + NW!P39 + SE!P39 + SW!P39 + TEN!P39 + TEX!P39</f>
        <v>175238.17236873999</v>
      </c>
      <c r="Q39" s="7">
        <f xml:space="preserve"> 0 + CAL!Q39 + CAR!Q39 + CENT!Q39 + FLA!Q39 + MIDA!Q39 + MIDW!Q39 + NE!Q39 + NY!Q39 + NW!Q39 + SE!Q39 + SW!Q39 + TEN!Q39 + TEX!Q39</f>
        <v>206108.56656753001</v>
      </c>
      <c r="R39" s="7">
        <f xml:space="preserve"> 0 + CAL!R39 + CAR!R39 + CENT!R39 + FLA!R39 + MIDA!R39 + MIDW!R39 + NE!R39 + NY!R39 + NW!R39 + SE!R39 + SW!R39 + TEN!R39 + TEX!R39</f>
        <v>237879.55963933002</v>
      </c>
      <c r="S39" s="7">
        <f xml:space="preserve"> 0 + CAL!S39 + CAR!S39 + CENT!S39 + FLA!S39 + MIDA!S39 + MIDW!S39 + NE!S39 + NY!S39 + NW!S39 + SE!S39 + SW!S39 + TEN!S39 + TEX!S39</f>
        <v>270618.24900251004</v>
      </c>
      <c r="T39" s="7">
        <f xml:space="preserve"> 0 + CAL!T39 + CAR!T39 + CENT!T39 + FLA!T39 + MIDA!T39 + MIDW!T39 + NE!T39 + NY!T39 + NW!T39 + SE!T39 + SW!T39 + TEN!T39 + TEX!T39</f>
        <v>304756.89765961008</v>
      </c>
      <c r="U39" s="7">
        <f xml:space="preserve"> 0 + CAL!U39 + CAR!U39 + CENT!U39 + FLA!U39 + MIDA!U39 + MIDW!U39 + NE!U39 + NY!U39 + NW!U39 + SE!U39 + SW!U39 + TEN!U39 + TEX!U39</f>
        <v>337669.79234980996</v>
      </c>
      <c r="V39" s="7">
        <f xml:space="preserve"> 0 + CAL!V39 + CAR!V39 + CENT!V39 + FLA!V39 + MIDA!V39 + MIDW!V39 + NE!V39 + NY!V39 + NW!V39 + SE!V39 + SW!V39 + TEN!V39 + TEX!V39</f>
        <v>366802.75198826002</v>
      </c>
      <c r="W39" s="7">
        <f xml:space="preserve"> 0 + CAL!W39 + CAR!W39 + CENT!W39 + FLA!W39 + MIDA!W39 + MIDW!W39 + NE!W39 + NY!W39 + NW!W39 + SE!W39 + SW!W39 + TEN!W39 + TEX!W39</f>
        <v>391515.71044816996</v>
      </c>
      <c r="X39" s="7">
        <f xml:space="preserve"> 0 + CAL!X39 + CAR!X39 + CENT!X39 + FLA!X39 + MIDA!X39 + MIDW!X39 + NE!X39 + NY!X39 + NW!X39 + SE!X39 + SW!X39 + TEN!X39 + TEX!X39</f>
        <v>416648.0407919999</v>
      </c>
      <c r="Y39" s="7">
        <f xml:space="preserve"> 0 + CAL!Y39 + CAR!Y39 + CENT!Y39 + FLA!Y39 + MIDA!Y39 + MIDW!Y39 + NE!Y39 + NY!Y39 + NW!Y39 + SE!Y39 + SW!Y39 + TEN!Y39 + TEX!Y39</f>
        <v>442703.3114455599</v>
      </c>
      <c r="Z39" s="7">
        <f xml:space="preserve"> 0 + CAL!Z39 + CAR!Z39 + CENT!Z39 + FLA!Z39 + MIDA!Z39 + MIDW!Z39 + NE!Z39 + NY!Z39 + NW!Z39 + SE!Z39 + SW!Z39 + TEN!Z39 + TEX!Z39</f>
        <v>470928.16142640996</v>
      </c>
      <c r="AA39" s="7">
        <f xml:space="preserve"> 0 + CAL!AA39 + CAR!AA39 + CENT!AA39 + FLA!AA39 + MIDA!AA39 + MIDW!AA39 + NE!AA39 + NY!AA39 + NW!AA39 + SE!AA39 + SW!AA39 + TEN!AA39 + TEX!AA39</f>
        <v>499962.55112501991</v>
      </c>
      <c r="AB39" s="7">
        <f xml:space="preserve"> 0 + CAL!AB39 + CAR!AB39 + CENT!AB39 + FLA!AB39 + MIDA!AB39 + MIDW!AB39 + NE!AB39 + NY!AB39 + NW!AB39 + SE!AB39 + SW!AB39 + TEN!AB39 + TEX!AB39</f>
        <v>527324.0638119299</v>
      </c>
      <c r="AC39" s="7">
        <f xml:space="preserve"> 0 + CAL!AC39 + CAR!AC39 + CENT!AC39 + FLA!AC39 + MIDA!AC39 + MIDW!AC39 + NE!AC39 + NY!AC39 + NW!AC39 + SE!AC39 + SW!AC39 + TEN!AC39 + TEX!AC39</f>
        <v>555514.04375519999</v>
      </c>
    </row>
    <row r="40" spans="1:29" x14ac:dyDescent="0.85">
      <c r="A40" t="str">
        <f>CAL!A40</f>
        <v>Nuclear_Demand_MWh</v>
      </c>
      <c r="B40" s="7">
        <f xml:space="preserve"> 0 + CAL!B40 + CAR!B40 + CENT!B40 + FLA!B40 + MIDA!B40 + MIDW!B40 + NE!B40 + NY!B40 + NW!B40 + SE!B40 + SW!B40 + TEN!B40 + TEX!B40</f>
        <v>778338156.06500006</v>
      </c>
      <c r="C40" s="7">
        <f xml:space="preserve"> 0 + CAL!C40 + CAR!C40 + CENT!C40 + FLA!C40 + MIDA!C40 + MIDW!C40 + NE!C40 + NY!C40 + NW!C40 + SE!C40 + SW!C40 + TEN!C40 + TEX!C40</f>
        <v>758997510.10251594</v>
      </c>
      <c r="D40" s="7">
        <f xml:space="preserve"> 0 + CAL!D40 + CAR!D40 + CENT!D40 + FLA!D40 + MIDA!D40 + MIDW!D40 + NE!D40 + NY!D40 + NW!D40 + SE!D40 + SW!D40 + TEN!D40 + TEX!D40</f>
        <v>739898496.44672835</v>
      </c>
      <c r="E40" s="7">
        <f xml:space="preserve"> 0 + CAL!E40 + CAR!E40 + CENT!E40 + FLA!E40 + MIDA!E40 + MIDW!E40 + NE!E40 + NY!E40 + NW!E40 + SE!E40 + SW!E40 + TEN!E40 + TEX!E40</f>
        <v>721399369.82198668</v>
      </c>
      <c r="F40" s="7">
        <f xml:space="preserve"> 0 + CAL!F40 + CAR!F40 + CENT!F40 + FLA!F40 + MIDA!F40 + MIDW!F40 + NE!F40 + NY!F40 + NW!F40 + SE!F40 + SW!F40 + TEN!F40 + TEX!F40</f>
        <v>703364375.81735778</v>
      </c>
      <c r="G40" s="7">
        <f xml:space="preserve"> 0 + CAL!G40 + CAR!G40 + CENT!G40 + FLA!G40 + MIDA!G40 + MIDW!G40 + NE!G40 + NY!G40 + NW!G40 + SE!G40 + SW!G40 + TEN!G40 + TEX!G40</f>
        <v>685781178.7528975</v>
      </c>
      <c r="H40" s="7">
        <f xml:space="preserve"> 0 + CAL!H40 + CAR!H40 + CENT!H40 + FLA!H40 + MIDA!H40 + MIDW!H40 + NE!H40 + NY!H40 + NW!H40 + SE!H40 + SW!H40 + TEN!H40 + TEX!H40</f>
        <v>668693605.43453526</v>
      </c>
      <c r="I40" s="7">
        <f xml:space="preserve"> 0 + CAL!I40 + CAR!I40 + CENT!I40 + FLA!I40 + MIDA!I40 + MIDW!I40 + NE!I40 + NY!I40 + NW!I40 + SE!I40 + SW!I40 + TEN!I40 + TEX!I40</f>
        <v>652513834.36651349</v>
      </c>
      <c r="J40" s="7">
        <f xml:space="preserve"> 0 + CAL!J40 + CAR!J40 + CENT!J40 + FLA!J40 + MIDA!J40 + MIDW!J40 + NE!J40 + NY!J40 + NW!J40 + SE!J40 + SW!J40 + TEN!J40 + TEX!J40</f>
        <v>637908991.98274708</v>
      </c>
      <c r="K40" s="7">
        <f xml:space="preserve"> 0 + CAL!K40 + CAR!K40 + CENT!K40 + FLA!K40 + MIDA!K40 + MIDW!K40 + NE!K40 + NY!K40 + NW!K40 + SE!K40 + SW!K40 + TEN!K40 + TEX!K40</f>
        <v>638026298.07995462</v>
      </c>
      <c r="L40" s="7">
        <f xml:space="preserve"> 0 + CAL!L40 + CAR!L40 + CENT!L40 + FLA!L40 + MIDA!L40 + MIDW!L40 + NE!L40 + NY!L40 + NW!L40 + SE!L40 + SW!L40 + TEN!L40 + TEX!L40</f>
        <v>645679079.99488628</v>
      </c>
      <c r="M40" s="7">
        <f xml:space="preserve"> 0 + CAL!M40 + CAR!M40 + CENT!M40 + FLA!M40 + MIDA!M40 + MIDW!M40 + NE!M40 + NY!M40 + NW!M40 + SE!M40 + SW!M40 + TEN!M40 + TEX!M40</f>
        <v>775575946.69059765</v>
      </c>
      <c r="N40" s="7">
        <f xml:space="preserve"> 0 + CAL!N40 + CAR!N40 + CENT!N40 + FLA!N40 + MIDA!N40 + MIDW!N40 + NE!N40 + NY!N40 + NW!N40 + SE!N40 + SW!N40 + TEN!N40 + TEX!N40</f>
        <v>898654453.3841809</v>
      </c>
      <c r="O40" s="7">
        <f xml:space="preserve"> 0 + CAL!O40 + CAR!O40 + CENT!O40 + FLA!O40 + MIDA!O40 + MIDW!O40 + NE!O40 + NY!O40 + NW!O40 + SE!O40 + SW!O40 + TEN!O40 + TEX!O40</f>
        <v>1064726292.3053343</v>
      </c>
      <c r="P40" s="7">
        <f xml:space="preserve"> 0 + CAL!P40 + CAR!P40 + CENT!P40 + FLA!P40 + MIDA!P40 + MIDW!P40 + NE!P40 + NY!P40 + NW!P40 + SE!P40 + SW!P40 + TEN!P40 + TEX!P40</f>
        <v>1229197519.7422826</v>
      </c>
      <c r="Q40" s="7">
        <f xml:space="preserve"> 0 + CAL!Q40 + CAR!Q40 + CENT!Q40 + FLA!Q40 + MIDA!Q40 + MIDW!Q40 + NE!Q40 + NY!Q40 + NW!Q40 + SE!Q40 + SW!Q40 + TEN!Q40 + TEX!Q40</f>
        <v>1445547964.515907</v>
      </c>
      <c r="R40" s="7">
        <f xml:space="preserve"> 0 + CAL!R40 + CAR!R40 + CENT!R40 + FLA!R40 + MIDA!R40 + MIDW!R40 + NE!R40 + NY!R40 + NW!R40 + SE!R40 + SW!R40 + TEN!R40 + TEX!R40</f>
        <v>1667836100.6801414</v>
      </c>
      <c r="S40" s="7">
        <f xml:space="preserve"> 0 + CAL!S40 + CAR!S40 + CENT!S40 + FLA!S40 + MIDA!S40 + MIDW!S40 + NE!S40 + NY!S40 + NW!S40 + SE!S40 + SW!S40 + TEN!S40 + TEX!S40</f>
        <v>1896627400.2821171</v>
      </c>
      <c r="T40" s="7">
        <f xml:space="preserve"> 0 + CAL!T40 + CAR!T40 + CENT!T40 + FLA!T40 + MIDA!T40 + MIDW!T40 + NE!T40 + NY!T40 + NW!T40 + SE!T40 + SW!T40 + TEN!T40 + TEX!T40</f>
        <v>2132455704.1607499</v>
      </c>
      <c r="U40" s="7">
        <f xml:space="preserve"> 0 + CAL!U40 + CAR!U40 + CENT!U40 + FLA!U40 + MIDA!U40 + MIDW!U40 + NE!U40 + NY!U40 + NW!U40 + SE!U40 + SW!U40 + TEN!U40 + TEX!U40</f>
        <v>2357866207.9812908</v>
      </c>
      <c r="V40" s="7">
        <f xml:space="preserve"> 0 + CAL!V40 + CAR!V40 + CENT!V40 + FLA!V40 + MIDA!V40 + MIDW!V40 + NE!V40 + NY!V40 + NW!V40 + SE!V40 + SW!V40 + TEN!V40 + TEX!V40</f>
        <v>2556790937.9138732</v>
      </c>
      <c r="W40" s="7">
        <f xml:space="preserve"> 0 + CAL!W40 + CAR!W40 + CENT!W40 + FLA!W40 + MIDA!W40 + MIDW!W40 + NE!W40 + NY!W40 + NW!W40 + SE!W40 + SW!W40 + TEN!W40 + TEX!W40</f>
        <v>2719456390.9444036</v>
      </c>
      <c r="X40" s="7">
        <f xml:space="preserve"> 0 + CAL!X40 + CAR!X40 + CENT!X40 + FLA!X40 + MIDA!X40 + MIDW!X40 + NE!X40 + NY!X40 + NW!X40 + SE!X40 + SW!X40 + TEN!X40 + TEX!X40</f>
        <v>2884555345.2579637</v>
      </c>
      <c r="Y40" s="7">
        <f xml:space="preserve"> 0 + CAL!Y40 + CAR!Y40 + CENT!Y40 + FLA!Y40 + MIDA!Y40 + MIDW!Y40 + NE!Y40 + NY!Y40 + NW!Y40 + SE!Y40 + SW!Y40 + TEN!Y40 + TEX!Y40</f>
        <v>3055658043.4202647</v>
      </c>
      <c r="Z40" s="7">
        <f xml:space="preserve"> 0 + CAL!Z40 + CAR!Z40 + CENT!Z40 + FLA!Z40 + MIDA!Z40 + MIDW!Z40 + NE!Z40 + NY!Z40 + NW!Z40 + SE!Z40 + SW!Z40 + TEN!Z40 + TEX!Z40</f>
        <v>3242784933.5934296</v>
      </c>
      <c r="AA40" s="7">
        <f xml:space="preserve"> 0 + CAL!AA40 + CAR!AA40 + CENT!AA40 + FLA!AA40 + MIDA!AA40 + MIDW!AA40 + NE!AA40 + NY!AA40 + NW!AA40 + SE!AA40 + SW!AA40 + TEN!AA40 + TEX!AA40</f>
        <v>3435390701.7793479</v>
      </c>
      <c r="AB40" s="7">
        <f xml:space="preserve"> 0 + CAL!AB40 + CAR!AB40 + CENT!AB40 + FLA!AB40 + MIDA!AB40 + MIDW!AB40 + NE!AB40 + NY!AB40 + NW!AB40 + SE!AB40 + SW!AB40 + TEN!AB40 + TEX!AB40</f>
        <v>3614850390.5523424</v>
      </c>
      <c r="AC40" s="7">
        <f xml:space="preserve"> 0 + CAL!AC40 + CAR!AC40 + CENT!AC40 + FLA!AC40 + MIDA!AC40 + MIDW!AC40 + NE!AC40 + NY!AC40 + NW!AC40 + SE!AC40 + SW!AC40 + TEN!AC40 + TEX!AC40</f>
        <v>3800399005.59196</v>
      </c>
    </row>
    <row r="41" spans="1:29" x14ac:dyDescent="0.85">
      <c r="A41" t="str">
        <f>CAL!A41</f>
        <v>Nuclear_Supply_MWh</v>
      </c>
      <c r="B41" s="7">
        <f xml:space="preserve"> 0 + CAL!B41 + CAR!B41 + CENT!B41 + FLA!B41 + MIDA!B41 + MIDW!B41 + NE!B41 + NY!B41 + NW!B41 + SE!B41 + SW!B41 + TEN!B41 + TEX!B41</f>
        <v>778338156.06500006</v>
      </c>
      <c r="C41" s="7">
        <f xml:space="preserve"> 0 + CAL!C41 + CAR!C41 + CENT!C41 + FLA!C41 + MIDA!C41 + MIDW!C41 + NE!C41 + NY!C41 + NW!C41 + SE!C41 + SW!C41 + TEN!C41 + TEX!C41</f>
        <v>758997510.10251594</v>
      </c>
      <c r="D41" s="7">
        <f xml:space="preserve"> 0 + CAL!D41 + CAR!D41 + CENT!D41 + FLA!D41 + MIDA!D41 + MIDW!D41 + NE!D41 + NY!D41 + NW!D41 + SE!D41 + SW!D41 + TEN!D41 + TEX!D41</f>
        <v>739898496.44672835</v>
      </c>
      <c r="E41" s="7">
        <f xml:space="preserve"> 0 + CAL!E41 + CAR!E41 + CENT!E41 + FLA!E41 + MIDA!E41 + MIDW!E41 + NE!E41 + NY!E41 + NW!E41 + SE!E41 + SW!E41 + TEN!E41 + TEX!E41</f>
        <v>721399369.82198668</v>
      </c>
      <c r="F41" s="7">
        <f xml:space="preserve"> 0 + CAL!F41 + CAR!F41 + CENT!F41 + FLA!F41 + MIDA!F41 + MIDW!F41 + NE!F41 + NY!F41 + NW!F41 + SE!F41 + SW!F41 + TEN!F41 + TEX!F41</f>
        <v>703364375.81735778</v>
      </c>
      <c r="G41" s="7">
        <f xml:space="preserve"> 0 + CAL!G41 + CAR!G41 + CENT!G41 + FLA!G41 + MIDA!G41 + MIDW!G41 + NE!G41 + NY!G41 + NW!G41 + SE!G41 + SW!G41 + TEN!G41 + TEX!G41</f>
        <v>685781178.7528975</v>
      </c>
      <c r="H41" s="7">
        <f xml:space="preserve"> 0 + CAL!H41 + CAR!H41 + CENT!H41 + FLA!H41 + MIDA!H41 + MIDW!H41 + NE!H41 + NY!H41 + NW!H41 + SE!H41 + SW!H41 + TEN!H41 + TEX!H41</f>
        <v>668693605.43453526</v>
      </c>
      <c r="I41" s="7">
        <f xml:space="preserve"> 0 + CAL!I41 + CAR!I41 + CENT!I41 + FLA!I41 + MIDA!I41 + MIDW!I41 + NE!I41 + NY!I41 + NW!I41 + SE!I41 + SW!I41 + TEN!I41 + TEX!I41</f>
        <v>652513834.36651349</v>
      </c>
      <c r="J41" s="7">
        <f xml:space="preserve"> 0 + CAL!J41 + CAR!J41 + CENT!J41 + FLA!J41 + MIDA!J41 + MIDW!J41 + NE!J41 + NY!J41 + NW!J41 + SE!J41 + SW!J41 + TEN!J41 + TEX!J41</f>
        <v>637908991.98274708</v>
      </c>
      <c r="K41" s="7">
        <f xml:space="preserve"> 0 + CAL!K41 + CAR!K41 + CENT!K41 + FLA!K41 + MIDA!K41 + MIDW!K41 + NE!K41 + NY!K41 + NW!K41 + SE!K41 + SW!K41 + TEN!K41 + TEX!K41</f>
        <v>638026298.07995462</v>
      </c>
      <c r="L41" s="7">
        <f xml:space="preserve"> 0 + CAL!L41 + CAR!L41 + CENT!L41 + FLA!L41 + MIDA!L41 + MIDW!L41 + NE!L41 + NY!L41 + NW!L41 + SE!L41 + SW!L41 + TEN!L41 + TEX!L41</f>
        <v>645679079.99488628</v>
      </c>
      <c r="M41" s="7">
        <f xml:space="preserve"> 0 + CAL!M41 + CAR!M41 + CENT!M41 + FLA!M41 + MIDA!M41 + MIDW!M41 + NE!M41 + NY!M41 + NW!M41 + SE!M41 + SW!M41 + TEN!M41 + TEX!M41</f>
        <v>775575946.69059765</v>
      </c>
      <c r="N41" s="7">
        <f xml:space="preserve"> 0 + CAL!N41 + CAR!N41 + CENT!N41 + FLA!N41 + MIDA!N41 + MIDW!N41 + NE!N41 + NY!N41 + NW!N41 + SE!N41 + SW!N41 + TEN!N41 + TEX!N41</f>
        <v>898654453.3841809</v>
      </c>
      <c r="O41" s="7">
        <f xml:space="preserve"> 0 + CAL!O41 + CAR!O41 + CENT!O41 + FLA!O41 + MIDA!O41 + MIDW!O41 + NE!O41 + NY!O41 + NW!O41 + SE!O41 + SW!O41 + TEN!O41 + TEX!O41</f>
        <v>1064726292.3053343</v>
      </c>
      <c r="P41" s="7">
        <f xml:space="preserve"> 0 + CAL!P41 + CAR!P41 + CENT!P41 + FLA!P41 + MIDA!P41 + MIDW!P41 + NE!P41 + NY!P41 + NW!P41 + SE!P41 + SW!P41 + TEN!P41 + TEX!P41</f>
        <v>1229197519.7422826</v>
      </c>
      <c r="Q41" s="7">
        <f xml:space="preserve"> 0 + CAL!Q41 + CAR!Q41 + CENT!Q41 + FLA!Q41 + MIDA!Q41 + MIDW!Q41 + NE!Q41 + NY!Q41 + NW!Q41 + SE!Q41 + SW!Q41 + TEN!Q41 + TEX!Q41</f>
        <v>1445547964.515907</v>
      </c>
      <c r="R41" s="7">
        <f xml:space="preserve"> 0 + CAL!R41 + CAR!R41 + CENT!R41 + FLA!R41 + MIDA!R41 + MIDW!R41 + NE!R41 + NY!R41 + NW!R41 + SE!R41 + SW!R41 + TEN!R41 + TEX!R41</f>
        <v>1667836100.6801414</v>
      </c>
      <c r="S41" s="7">
        <f xml:space="preserve"> 0 + CAL!S41 + CAR!S41 + CENT!S41 + FLA!S41 + MIDA!S41 + MIDW!S41 + NE!S41 + NY!S41 + NW!S41 + SE!S41 + SW!S41 + TEN!S41 + TEX!S41</f>
        <v>1896627400.2821171</v>
      </c>
      <c r="T41" s="7">
        <f xml:space="preserve"> 0 + CAL!T41 + CAR!T41 + CENT!T41 + FLA!T41 + MIDA!T41 + MIDW!T41 + NE!T41 + NY!T41 + NW!T41 + SE!T41 + SW!T41 + TEN!T41 + TEX!T41</f>
        <v>2132455704.1607499</v>
      </c>
      <c r="U41" s="7">
        <f xml:space="preserve"> 0 + CAL!U41 + CAR!U41 + CENT!U41 + FLA!U41 + MIDA!U41 + MIDW!U41 + NE!U41 + NY!U41 + NW!U41 + SE!U41 + SW!U41 + TEN!U41 + TEX!U41</f>
        <v>2357866207.9812908</v>
      </c>
      <c r="V41" s="7">
        <f xml:space="preserve"> 0 + CAL!V41 + CAR!V41 + CENT!V41 + FLA!V41 + MIDA!V41 + MIDW!V41 + NE!V41 + NY!V41 + NW!V41 + SE!V41 + SW!V41 + TEN!V41 + TEX!V41</f>
        <v>2556790937.9138732</v>
      </c>
      <c r="W41" s="7">
        <f xml:space="preserve"> 0 + CAL!W41 + CAR!W41 + CENT!W41 + FLA!W41 + MIDA!W41 + MIDW!W41 + NE!W41 + NY!W41 + NW!W41 + SE!W41 + SW!W41 + TEN!W41 + TEX!W41</f>
        <v>2719456390.9444036</v>
      </c>
      <c r="X41" s="7">
        <f xml:space="preserve"> 0 + CAL!X41 + CAR!X41 + CENT!X41 + FLA!X41 + MIDA!X41 + MIDW!X41 + NE!X41 + NY!X41 + NW!X41 + SE!X41 + SW!X41 + TEN!X41 + TEX!X41</f>
        <v>2884555345.2579637</v>
      </c>
      <c r="Y41" s="7">
        <f xml:space="preserve"> 0 + CAL!Y41 + CAR!Y41 + CENT!Y41 + FLA!Y41 + MIDA!Y41 + MIDW!Y41 + NE!Y41 + NY!Y41 + NW!Y41 + SE!Y41 + SW!Y41 + TEN!Y41 + TEX!Y41</f>
        <v>3055658043.4202647</v>
      </c>
      <c r="Z41" s="7">
        <f xml:space="preserve"> 0 + CAL!Z41 + CAR!Z41 + CENT!Z41 + FLA!Z41 + MIDA!Z41 + MIDW!Z41 + NE!Z41 + NY!Z41 + NW!Z41 + SE!Z41 + SW!Z41 + TEN!Z41 + TEX!Z41</f>
        <v>3242784933.5934296</v>
      </c>
      <c r="AA41" s="7">
        <f xml:space="preserve"> 0 + CAL!AA41 + CAR!AA41 + CENT!AA41 + FLA!AA41 + MIDA!AA41 + MIDW!AA41 + NE!AA41 + NY!AA41 + NW!AA41 + SE!AA41 + SW!AA41 + TEN!AA41 + TEX!AA41</f>
        <v>3435390701.7793479</v>
      </c>
      <c r="AB41" s="7">
        <f xml:space="preserve"> 0 + CAL!AB41 + CAR!AB41 + CENT!AB41 + FLA!AB41 + MIDA!AB41 + MIDW!AB41 + NE!AB41 + NY!AB41 + NW!AB41 + SE!AB41 + SW!AB41 + TEN!AB41 + TEX!AB41</f>
        <v>3614850390.5523424</v>
      </c>
      <c r="AC41" s="7">
        <f xml:space="preserve"> 0 + CAL!AC41 + CAR!AC41 + CENT!AC41 + FLA!AC41 + MIDA!AC41 + MIDW!AC41 + NE!AC41 + NY!AC41 + NW!AC41 + SE!AC41 + SW!AC41 + TEN!AC41 + TEX!AC41</f>
        <v>3800399005.59196</v>
      </c>
    </row>
    <row r="42" spans="1:29" x14ac:dyDescent="0.85">
      <c r="A42" t="str">
        <f>CAL!A42</f>
        <v>Nuclear_Cost</v>
      </c>
      <c r="B42" s="7">
        <f xml:space="preserve"> 0 + CAL!B42 + CAR!B42 + CENT!B42 + FLA!B42 + MIDA!B42 + MIDW!B42 + NE!B42 + NY!B42 + NW!B42 + SE!B42 + SW!B42 + TEN!B42 + TEX!B42</f>
        <v>134566.09100905</v>
      </c>
      <c r="C42" s="7">
        <f xml:space="preserve"> 0 + CAL!C42 + CAR!C42 + CENT!C42 + FLA!C42 + MIDA!C42 + MIDW!C42 + NE!C42 + NY!C42 + NW!C42 + SE!C42 + SW!C42 + TEN!C42 + TEX!C42</f>
        <v>131227.23344297003</v>
      </c>
      <c r="D42" s="7">
        <f xml:space="preserve"> 0 + CAL!D42 + CAR!D42 + CENT!D42 + FLA!D42 + MIDA!D42 + MIDW!D42 + NE!D42 + NY!D42 + NW!D42 + SE!D42 + SW!D42 + TEN!D42 + TEX!D42</f>
        <v>127945.31889708001</v>
      </c>
      <c r="E42" s="7">
        <f xml:space="preserve"> 0 + CAL!E42 + CAR!E42 + CENT!E42 + FLA!E42 + MIDA!E42 + MIDW!E42 + NE!E42 + NY!E42 + NW!E42 + SE!E42 + SW!E42 + TEN!E42 + TEX!E42</f>
        <v>124746.66946611</v>
      </c>
      <c r="F42" s="7">
        <f xml:space="preserve"> 0 + CAL!F42 + CAR!F42 + CENT!F42 + FLA!F42 + MIDA!F42 + MIDW!F42 + NE!F42 + NY!F42 + NW!F42 + SE!F42 + SW!F42 + TEN!F42 + TEX!F42</f>
        <v>121628.72274705999</v>
      </c>
      <c r="G42" s="7">
        <f xml:space="preserve"> 0 + CAL!G42 + CAR!G42 + CENT!G42 + FLA!G42 + MIDA!G42 + MIDW!G42 + NE!G42 + NY!G42 + NW!G42 + SE!G42 + SW!G42 + TEN!G42 + TEX!G42</f>
        <v>118588.15076523999</v>
      </c>
      <c r="H42" s="7">
        <f xml:space="preserve"> 0 + CAL!H42 + CAR!H42 + CENT!H42 + FLA!H42 + MIDA!H42 + MIDW!H42 + NE!H42 + NY!H42 + NW!H42 + SE!H42 + SW!H42 + TEN!H42 + TEX!H42</f>
        <v>115631.87072036004</v>
      </c>
      <c r="I42" s="7">
        <f xml:space="preserve"> 0 + CAL!I42 + CAR!I42 + CENT!I42 + FLA!I42 + MIDA!I42 + MIDW!I42 + NE!I42 + NY!I42 + NW!I42 + SE!I42 + SW!I42 + TEN!I42 + TEX!I42</f>
        <v>112844.45558860998</v>
      </c>
      <c r="J42" s="7">
        <f xml:space="preserve"> 0 + CAL!J42 + CAR!J42 + CENT!J42 + FLA!J42 + MIDA!J42 + MIDW!J42 + NE!J42 + NY!J42 + NW!J42 + SE!J42 + SW!J42 + TEN!J42 + TEX!J42</f>
        <v>110305.49390937999</v>
      </c>
      <c r="K42" s="7">
        <f xml:space="preserve"> 0 + CAL!K42 + CAR!K42 + CENT!K42 + FLA!K42 + MIDA!K42 + MIDW!K42 + NE!K42 + NY!K42 + NW!K42 + SE!K42 + SW!K42 + TEN!K42 + TEX!K42</f>
        <v>109969.78440121</v>
      </c>
      <c r="L42" s="7">
        <f xml:space="preserve"> 0 + CAL!L42 + CAR!L42 + CENT!L42 + FLA!L42 + MIDA!L42 + MIDW!L42 + NE!L42 + NY!L42 + NW!L42 + SE!L42 + SW!L42 + TEN!L42 + TEX!L42</f>
        <v>110812.88145239002</v>
      </c>
      <c r="M42" s="7">
        <f xml:space="preserve"> 0 + CAL!M42 + CAR!M42 + CENT!M42 + FLA!M42 + MIDA!M42 + MIDW!M42 + NE!M42 + NY!M42 + NW!M42 + SE!M42 + SW!M42 + TEN!M42 + TEX!M42</f>
        <v>130892.23267596</v>
      </c>
      <c r="N42" s="7">
        <f xml:space="preserve"> 0 + CAL!N42 + CAR!N42 + CENT!N42 + FLA!N42 + MIDA!N42 + MIDW!N42 + NE!N42 + NY!N42 + NW!N42 + SE!N42 + SW!N42 + TEN!N42 + TEX!N42</f>
        <v>150011.81987609999</v>
      </c>
      <c r="O42" s="7">
        <f xml:space="preserve"> 0 + CAL!O42 + CAR!O42 + CENT!O42 + FLA!O42 + MIDA!O42 + MIDW!O42 + NE!O42 + NY!O42 + NW!O42 + SE!O42 + SW!O42 + TEN!O42 + TEX!O42</f>
        <v>175842.00985850001</v>
      </c>
      <c r="P42" s="7">
        <f xml:space="preserve"> 0 + CAL!P42 + CAR!P42 + CENT!P42 + FLA!P42 + MIDA!P42 + MIDW!P42 + NE!P42 + NY!P42 + NW!P42 + SE!P42 + SW!P42 + TEN!P42 + TEX!P42</f>
        <v>201438.09988197999</v>
      </c>
      <c r="Q42" s="7">
        <f xml:space="preserve"> 0 + CAL!Q42 + CAR!Q42 + CENT!Q42 + FLA!Q42 + MIDA!Q42 + MIDW!Q42 + NE!Q42 + NY!Q42 + NW!Q42 + SE!Q42 + SW!Q42 + TEN!Q42 + TEX!Q42</f>
        <v>236922.03746457997</v>
      </c>
      <c r="R42" s="7">
        <f xml:space="preserve"> 0 + CAL!R42 + CAR!R42 + CENT!R42 + FLA!R42 + MIDA!R42 + MIDW!R42 + NE!R42 + NY!R42 + NW!R42 + SE!R42 + SW!R42 + TEN!R42 + TEX!R42</f>
        <v>273437.38601627998</v>
      </c>
      <c r="S42" s="7">
        <f xml:space="preserve"> 0 + CAL!S42 + CAR!S42 + CENT!S42 + FLA!S42 + MIDA!S42 + MIDW!S42 + NE!S42 + NY!S42 + NW!S42 + SE!S42 + SW!S42 + TEN!S42 + TEX!S42</f>
        <v>311062.23335985001</v>
      </c>
      <c r="T42" s="7">
        <f xml:space="preserve"> 0 + CAL!T42 + CAR!T42 + CENT!T42 + FLA!T42 + MIDA!T42 + MIDW!T42 + NE!T42 + NY!T42 + NW!T42 + SE!T42 + SW!T42 + TEN!T42 + TEX!T42</f>
        <v>350268.21308388002</v>
      </c>
      <c r="U42" s="7">
        <f xml:space="preserve"> 0 + CAL!U42 + CAR!U42 + CENT!U42 + FLA!U42 + MIDA!U42 + MIDW!U42 + NE!U42 + NY!U42 + NW!U42 + SE!U42 + SW!U42 + TEN!U42 + TEX!U42</f>
        <v>388046.77747378004</v>
      </c>
      <c r="V42" s="7">
        <f xml:space="preserve"> 0 + CAL!V42 + CAR!V42 + CENT!V42 + FLA!V42 + MIDA!V42 + MIDW!V42 + NE!V42 + NY!V42 + NW!V42 + SE!V42 + SW!V42 + TEN!V42 + TEX!V42</f>
        <v>421480.55387658009</v>
      </c>
      <c r="W42" s="7">
        <f xml:space="preserve"> 0 + CAL!W42 + CAR!W42 + CENT!W42 + FLA!W42 + MIDA!W42 + MIDW!W42 + NE!W42 + NY!W42 + NW!W42 + SE!W42 + SW!W42 + TEN!W42 + TEX!W42</f>
        <v>449780.36043101997</v>
      </c>
      <c r="X42" s="7">
        <f xml:space="preserve"> 0 + CAL!X42 + CAR!X42 + CENT!X42 + FLA!X42 + MIDA!X42 + MIDW!X42 + NE!X42 + NY!X42 + NW!X42 + SE!X42 + SW!X42 + TEN!X42 + TEX!X42</f>
        <v>478557.10185271996</v>
      </c>
      <c r="Y42" s="7">
        <f xml:space="preserve"> 0 + CAL!Y42 + CAR!Y42 + CENT!Y42 + FLA!Y42 + MIDA!Y42 + MIDW!Y42 + NE!Y42 + NY!Y42 + NW!Y42 + SE!Y42 + SW!Y42 + TEN!Y42 + TEX!Y42</f>
        <v>508390.01938261004</v>
      </c>
      <c r="Z42" s="7">
        <f xml:space="preserve"> 0 + CAL!Z42 + CAR!Z42 + CENT!Z42 + FLA!Z42 + MIDA!Z42 + MIDW!Z42 + NE!Z42 + NY!Z42 + NW!Z42 + SE!Z42 + SW!Z42 + TEN!Z42 + TEX!Z42</f>
        <v>540725.037626</v>
      </c>
      <c r="AA42" s="7">
        <f xml:space="preserve"> 0 + CAL!AA42 + CAR!AA42 + CENT!AA42 + FLA!AA42 + MIDA!AA42 + MIDW!AA42 + NE!AA42 + NY!AA42 + NW!AA42 + SE!AA42 + SW!AA42 + TEN!AA42 + TEX!AA42</f>
        <v>573988.61233952001</v>
      </c>
      <c r="AB42" s="7">
        <f xml:space="preserve"> 0 + CAL!AB42 + CAR!AB42 + CENT!AB42 + FLA!AB42 + MIDA!AB42 + MIDW!AB42 + NE!AB42 + NY!AB42 + NW!AB42 + SE!AB42 + SW!AB42 + TEN!AB42 + TEX!AB42</f>
        <v>605314.92439846008</v>
      </c>
      <c r="AC42" s="7">
        <f xml:space="preserve"> 0 + CAL!AC42 + CAR!AC42 + CENT!AC42 + FLA!AC42 + MIDA!AC42 + MIDW!AC42 + NE!AC42 + NY!AC42 + NW!AC42 + SE!AC42 + SW!AC42 + TEN!AC42 + TEX!AC42</f>
        <v>637596.37565265002</v>
      </c>
    </row>
    <row r="43" spans="1:29" x14ac:dyDescent="0.85">
      <c r="A43" t="str">
        <f>CAL!A43</f>
        <v>Nuclear_CO2_Cost</v>
      </c>
      <c r="B43" s="7">
        <f xml:space="preserve"> 0 + CAL!B43 + CAR!B43 + CENT!B43 + FLA!B43 + MIDA!B43 + MIDW!B43 + NE!B43 + NY!B43 + NW!B43 + SE!B43 + SW!B43 + TEN!B43 + TEX!B43</f>
        <v>0</v>
      </c>
      <c r="C43" s="7">
        <f xml:space="preserve"> 0 + CAL!C43 + CAR!C43 + CENT!C43 + FLA!C43 + MIDA!C43 + MIDW!C43 + NE!C43 + NY!C43 + NW!C43 + SE!C43 + SW!C43 + TEN!C43 + TEX!C43</f>
        <v>45.539850610000002</v>
      </c>
      <c r="D43" s="7">
        <f xml:space="preserve"> 0 + CAL!D43 + CAR!D43 + CENT!D43 + FLA!D43 + MIDA!D43 + MIDW!D43 + NE!D43 + NY!D43 + NW!D43 + SE!D43 + SW!D43 + TEN!D43 + TEX!D43</f>
        <v>88.787819570000011</v>
      </c>
      <c r="E43" s="7">
        <f xml:space="preserve"> 0 + CAL!E43 + CAR!E43 + CENT!E43 + FLA!E43 + MIDA!E43 + MIDW!E43 + NE!E43 + NY!E43 + NW!E43 + SE!E43 + SW!E43 + TEN!E43 + TEX!E43</f>
        <v>129.85188657999998</v>
      </c>
      <c r="F43" s="7">
        <f xml:space="preserve"> 0 + CAL!F43 + CAR!F43 + CENT!F43 + FLA!F43 + MIDA!F43 + MIDW!F43 + NE!F43 + NY!F43 + NW!F43 + SE!F43 + SW!F43 + TEN!F43 + TEX!F43</f>
        <v>168.80745021000004</v>
      </c>
      <c r="G43" s="7">
        <f xml:space="preserve"> 0 + CAL!G43 + CAR!G43 + CENT!G43 + FLA!G43 + MIDA!G43 + MIDW!G43 + NE!G43 + NY!G43 + NW!G43 + SE!G43 + SW!G43 + TEN!G43 + TEX!G43</f>
        <v>205.73435361</v>
      </c>
      <c r="H43" s="7">
        <f xml:space="preserve"> 0 + CAL!H43 + CAR!H43 + CENT!H43 + FLA!H43 + MIDA!H43 + MIDW!H43 + NE!H43 + NY!H43 + NW!H43 + SE!H43 + SW!H43 + TEN!H43 + TEX!H43</f>
        <v>240.72969793999999</v>
      </c>
      <c r="I43" s="7">
        <f xml:space="preserve"> 0 + CAL!I43 + CAR!I43 + CENT!I43 + FLA!I43 + MIDA!I43 + MIDW!I43 + NE!I43 + NY!I43 + NW!I43 + SE!I43 + SW!I43 + TEN!I43 + TEX!I43</f>
        <v>274.05581044999997</v>
      </c>
      <c r="J43" s="7">
        <f xml:space="preserve"> 0 + CAL!J43 + CAR!J43 + CENT!J43 + FLA!J43 + MIDA!J43 + MIDW!J43 + NE!J43 + NY!J43 + NW!J43 + SE!J43 + SW!J43 + TEN!J43 + TEX!J43</f>
        <v>306.19631616000009</v>
      </c>
      <c r="K43" s="7">
        <f xml:space="preserve"> 0 + CAL!K43 + CAR!K43 + CENT!K43 + FLA!K43 + MIDA!K43 + MIDW!K43 + NE!K43 + NY!K43 + NW!K43 + SE!K43 + SW!K43 + TEN!K43 + TEX!K43</f>
        <v>344.53420096000002</v>
      </c>
      <c r="L43" s="7">
        <f xml:space="preserve"> 0 + CAL!L43 + CAR!L43 + CENT!L43 + FLA!L43 + MIDA!L43 + MIDW!L43 + NE!L43 + NY!L43 + NW!L43 + SE!L43 + SW!L43 + TEN!L43 + TEX!L43</f>
        <v>387.40744799999999</v>
      </c>
      <c r="M43" s="7">
        <f xml:space="preserve"> 0 + CAL!M43 + CAR!M43 + CENT!M43 + FLA!M43 + MIDA!M43 + MIDW!M43 + NE!M43 + NY!M43 + NW!M43 + SE!M43 + SW!M43 + TEN!M43 + TEX!M43</f>
        <v>511.88012481999999</v>
      </c>
      <c r="N43" s="7">
        <f xml:space="preserve"> 0 + CAL!N43 + CAR!N43 + CENT!N43 + FLA!N43 + MIDA!N43 + MIDW!N43 + NE!N43 + NY!N43 + NW!N43 + SE!N43 + SW!N43 + TEN!N43 + TEX!N43</f>
        <v>647.03120644000001</v>
      </c>
      <c r="O43" s="7">
        <f xml:space="preserve"> 0 + CAL!O43 + CAR!O43 + CENT!O43 + FLA!O43 + MIDA!O43 + MIDW!O43 + NE!O43 + NY!O43 + NW!O43 + SE!O43 + SW!O43 + TEN!O43 + TEX!O43</f>
        <v>830.48650799999996</v>
      </c>
      <c r="P43" s="7">
        <f xml:space="preserve"> 0 + CAL!P43 + CAR!P43 + CENT!P43 + FLA!P43 + MIDA!P43 + MIDW!P43 + NE!P43 + NY!P43 + NW!P43 + SE!P43 + SW!P43 + TEN!P43 + TEX!P43</f>
        <v>1032.5259165800001</v>
      </c>
      <c r="Q43" s="7">
        <f xml:space="preserve"> 0 + CAL!Q43 + CAR!Q43 + CENT!Q43 + FLA!Q43 + MIDA!Q43 + MIDW!Q43 + NE!Q43 + NY!Q43 + NW!Q43 + SE!Q43 + SW!Q43 + TEN!Q43 + TEX!Q43</f>
        <v>1300.9931680600002</v>
      </c>
      <c r="R43" s="7">
        <f xml:space="preserve"> 0 + CAL!R43 + CAR!R43 + CENT!R43 + FLA!R43 + MIDA!R43 + MIDW!R43 + NE!R43 + NY!R43 + NW!R43 + SE!R43 + SW!R43 + TEN!R43 + TEX!R43</f>
        <v>1601.1226566600001</v>
      </c>
      <c r="S43" s="7">
        <f xml:space="preserve"> 0 + CAL!S43 + CAR!S43 + CENT!S43 + FLA!S43 + MIDA!S43 + MIDW!S43 + NE!S43 + NY!S43 + NW!S43 + SE!S43 + SW!S43 + TEN!S43 + TEX!S43</f>
        <v>1934.5599482799998</v>
      </c>
      <c r="T43" s="7">
        <f xml:space="preserve"> 0 + CAL!T43 + CAR!T43 + CENT!T43 + FLA!T43 + MIDA!T43 + MIDW!T43 + NE!T43 + NY!T43 + NW!T43 + SE!T43 + SW!T43 + TEN!T43 + TEX!T43</f>
        <v>2303.0521604999999</v>
      </c>
      <c r="U43" s="7">
        <f xml:space="preserve"> 0 + CAL!U43 + CAR!U43 + CENT!U43 + FLA!U43 + MIDA!U43 + MIDW!U43 + NE!U43 + NY!U43 + NW!U43 + SE!U43 + SW!U43 + TEN!U43 + TEX!U43</f>
        <v>2687.9674771</v>
      </c>
      <c r="V43" s="7">
        <f xml:space="preserve"> 0 + CAL!V43 + CAR!V43 + CENT!V43 + FLA!V43 + MIDA!V43 + MIDW!V43 + NE!V43 + NY!V43 + NW!V43 + SE!V43 + SW!V43 + TEN!V43 + TEX!V43</f>
        <v>3068.1491254999996</v>
      </c>
      <c r="W43" s="7">
        <f xml:space="preserve"> 0 + CAL!W43 + CAR!W43 + CENT!W43 + FLA!W43 + MIDA!W43 + MIDW!W43 + NE!W43 + NY!W43 + NW!W43 + SE!W43 + SW!W43 + TEN!W43 + TEX!W43</f>
        <v>3426.5150525999998</v>
      </c>
      <c r="X43" s="7">
        <f xml:space="preserve"> 0 + CAL!X43 + CAR!X43 + CENT!X43 + FLA!X43 + MIDA!X43 + MIDW!X43 + NE!X43 + NY!X43 + NW!X43 + SE!X43 + SW!X43 + TEN!X43 + TEX!X43</f>
        <v>3807.6130557400002</v>
      </c>
      <c r="Y43" s="7">
        <f xml:space="preserve"> 0 + CAL!Y43 + CAR!Y43 + CENT!Y43 + FLA!Y43 + MIDA!Y43 + MIDW!Y43 + NE!Y43 + NY!Y43 + NW!Y43 + SE!Y43 + SW!Y43 + TEN!Y43 + TEX!Y43</f>
        <v>4216.8080999199992</v>
      </c>
      <c r="Z43" s="7">
        <f xml:space="preserve"> 0 + CAL!Z43 + CAR!Z43 + CENT!Z43 + FLA!Z43 + MIDA!Z43 + MIDW!Z43 + NE!Z43 + NY!Z43 + NW!Z43 + SE!Z43 + SW!Z43 + TEN!Z43 + TEX!Z43</f>
        <v>4669.6103043800003</v>
      </c>
      <c r="AA43" s="7">
        <f xml:space="preserve"> 0 + CAL!AA43 + CAR!AA43 + CENT!AA43 + FLA!AA43 + MIDA!AA43 + MIDW!AA43 + NE!AA43 + NY!AA43 + NW!AA43 + SE!AA43 + SW!AA43 + TEN!AA43 + TEX!AA43</f>
        <v>5153.0860526500001</v>
      </c>
      <c r="AB43" s="7">
        <f xml:space="preserve"> 0 + CAL!AB43 + CAR!AB43 + CENT!AB43 + FLA!AB43 + MIDA!AB43 + MIDW!AB43 + NE!AB43 + NY!AB43 + NW!AB43 + SE!AB43 + SW!AB43 + TEN!AB43 + TEX!AB43</f>
        <v>5639.1666092699988</v>
      </c>
      <c r="AC43" s="7">
        <f xml:space="preserve"> 0 + CAL!AC43 + CAR!AC43 + CENT!AC43 + FLA!AC43 + MIDA!AC43 + MIDW!AC43 + NE!AC43 + NY!AC43 + NW!AC43 + SE!AC43 + SW!AC43 + TEN!AC43 + TEX!AC43</f>
        <v>6156.6463890500008</v>
      </c>
    </row>
    <row r="44" spans="1:29" x14ac:dyDescent="0.85">
      <c r="A44" t="str">
        <f>CAL!A44</f>
        <v>Nuclear_CO2_MTon</v>
      </c>
      <c r="B44" s="7">
        <f xml:space="preserve"> 0 + CAL!B44 + CAR!B44 + CENT!B44 + FLA!B44 + MIDA!B44 + MIDW!B44 + NE!B44 + NY!B44 + NW!B44 + SE!B44 + SW!B44 + TEN!B44 + TEX!B44</f>
        <v>2.3350144899999998</v>
      </c>
      <c r="C44" s="7">
        <f xml:space="preserve"> 0 + CAL!C44 + CAR!C44 + CENT!C44 + FLA!C44 + MIDA!C44 + MIDW!C44 + NE!C44 + NY!C44 + NW!C44 + SE!C44 + SW!C44 + TEN!C44 + TEX!C44</f>
        <v>2.2769925400000002</v>
      </c>
      <c r="D44" s="7">
        <f xml:space="preserve"> 0 + CAL!D44 + CAR!D44 + CENT!D44 + FLA!D44 + MIDA!D44 + MIDW!D44 + NE!D44 + NY!D44 + NW!D44 + SE!D44 + SW!D44 + TEN!D44 + TEX!D44</f>
        <v>2.2196954900000003</v>
      </c>
      <c r="E44" s="7">
        <f xml:space="preserve"> 0 + CAL!E44 + CAR!E44 + CENT!E44 + FLA!E44 + MIDA!E44 + MIDW!E44 + NE!E44 + NY!E44 + NW!E44 + SE!E44 + SW!E44 + TEN!E44 + TEX!E44</f>
        <v>2.1641981299999999</v>
      </c>
      <c r="F44" s="7">
        <f xml:space="preserve"> 0 + CAL!F44 + CAR!F44 + CENT!F44 + FLA!F44 + MIDA!F44 + MIDW!F44 + NE!F44 + NY!F44 + NW!F44 + SE!F44 + SW!F44 + TEN!F44 + TEX!F44</f>
        <v>2.1100931200000002</v>
      </c>
      <c r="G44" s="7">
        <f xml:space="preserve"> 0 + CAL!G44 + CAR!G44 + CENT!G44 + FLA!G44 + MIDA!G44 + MIDW!G44 + NE!G44 + NY!G44 + NW!G44 + SE!G44 + SW!G44 + TEN!G44 + TEX!G44</f>
        <v>2.0573435399999997</v>
      </c>
      <c r="H44" s="7">
        <f xml:space="preserve"> 0 + CAL!H44 + CAR!H44 + CENT!H44 + FLA!H44 + MIDA!H44 + MIDW!H44 + NE!H44 + NY!H44 + NW!H44 + SE!H44 + SW!H44 + TEN!H44 + TEX!H44</f>
        <v>2.0060808199999998</v>
      </c>
      <c r="I44" s="7">
        <f xml:space="preserve"> 0 + CAL!I44 + CAR!I44 + CENT!I44 + FLA!I44 + MIDA!I44 + MIDW!I44 + NE!I44 + NY!I44 + NW!I44 + SE!I44 + SW!I44 + TEN!I44 + TEX!I44</f>
        <v>1.9575414999999998</v>
      </c>
      <c r="J44" s="7">
        <f xml:space="preserve"> 0 + CAL!J44 + CAR!J44 + CENT!J44 + FLA!J44 + MIDA!J44 + MIDW!J44 + NE!J44 + NY!J44 + NW!J44 + SE!J44 + SW!J44 + TEN!J44 + TEX!J44</f>
        <v>1.9137269700000001</v>
      </c>
      <c r="K44" s="7">
        <f xml:space="preserve"> 0 + CAL!K44 + CAR!K44 + CENT!K44 + FLA!K44 + MIDA!K44 + MIDW!K44 + NE!K44 + NY!K44 + NW!K44 + SE!K44 + SW!K44 + TEN!K44 + TEX!K44</f>
        <v>1.9140788799999999</v>
      </c>
      <c r="L44" s="7">
        <f xml:space="preserve"> 0 + CAL!L44 + CAR!L44 + CENT!L44 + FLA!L44 + MIDA!L44 + MIDW!L44 + NE!L44 + NY!L44 + NW!L44 + SE!L44 + SW!L44 + TEN!L44 + TEX!L44</f>
        <v>1.9370372500000002</v>
      </c>
      <c r="M44" s="7">
        <f xml:space="preserve"> 0 + CAL!M44 + CAR!M44 + CENT!M44 + FLA!M44 + MIDA!M44 + MIDW!M44 + NE!M44 + NY!M44 + NW!M44 + SE!M44 + SW!M44 + TEN!M44 + TEX!M44</f>
        <v>2.3267278200000003</v>
      </c>
      <c r="N44" s="7">
        <f xml:space="preserve"> 0 + CAL!N44 + CAR!N44 + CENT!N44 + FLA!N44 + MIDA!N44 + MIDW!N44 + NE!N44 + NY!N44 + NW!N44 + SE!N44 + SW!N44 + TEN!N44 + TEX!N44</f>
        <v>2.6959633600000004</v>
      </c>
      <c r="O44" s="7">
        <f xml:space="preserve"> 0 + CAL!O44 + CAR!O44 + CENT!O44 + FLA!O44 + MIDA!O44 + MIDW!O44 + NE!O44 + NY!O44 + NW!O44 + SE!O44 + SW!O44 + TEN!O44 + TEX!O44</f>
        <v>3.19417887</v>
      </c>
      <c r="P44" s="7">
        <f xml:space="preserve"> 0 + CAL!P44 + CAR!P44 + CENT!P44 + FLA!P44 + MIDA!P44 + MIDW!P44 + NE!P44 + NY!P44 + NW!P44 + SE!P44 + SW!P44 + TEN!P44 + TEX!P44</f>
        <v>3.6875925599999997</v>
      </c>
      <c r="Q44" s="7">
        <f xml:space="preserve"> 0 + CAL!Q44 + CAR!Q44 + CENT!Q44 + FLA!Q44 + MIDA!Q44 + MIDW!Q44 + NE!Q44 + NY!Q44 + NW!Q44 + SE!Q44 + SW!Q44 + TEN!Q44 + TEX!Q44</f>
        <v>4.3366439000000003</v>
      </c>
      <c r="R44" s="7">
        <f xml:space="preserve"> 0 + CAL!R44 + CAR!R44 + CENT!R44 + FLA!R44 + MIDA!R44 + MIDW!R44 + NE!R44 + NY!R44 + NW!R44 + SE!R44 + SW!R44 + TEN!R44 + TEX!R44</f>
        <v>5.0035082999999991</v>
      </c>
      <c r="S44" s="7">
        <f xml:space="preserve"> 0 + CAL!S44 + CAR!S44 + CENT!S44 + FLA!S44 + MIDA!S44 + MIDW!S44 + NE!S44 + NY!S44 + NW!S44 + SE!S44 + SW!S44 + TEN!S44 + TEX!S44</f>
        <v>5.6898822000000004</v>
      </c>
      <c r="T44" s="7">
        <f xml:space="preserve"> 0 + CAL!T44 + CAR!T44 + CENT!T44 + FLA!T44 + MIDA!T44 + MIDW!T44 + NE!T44 + NY!T44 + NW!T44 + SE!T44 + SW!T44 + TEN!T44 + TEX!T44</f>
        <v>6.3973671200000002</v>
      </c>
      <c r="U44" s="7">
        <f xml:space="preserve"> 0 + CAL!U44 + CAR!U44 + CENT!U44 + FLA!U44 + MIDA!U44 + MIDW!U44 + NE!U44 + NY!U44 + NW!U44 + SE!U44 + SW!U44 + TEN!U44 + TEX!U44</f>
        <v>7.0735986200000003</v>
      </c>
      <c r="V44" s="7">
        <f xml:space="preserve"> 0 + CAL!V44 + CAR!V44 + CENT!V44 + FLA!V44 + MIDA!V44 + MIDW!V44 + NE!V44 + NY!V44 + NW!V44 + SE!V44 + SW!V44 + TEN!V44 + TEX!V44</f>
        <v>7.6703728200000008</v>
      </c>
      <c r="W44" s="7">
        <f xml:space="preserve"> 0 + CAL!W44 + CAR!W44 + CENT!W44 + FLA!W44 + MIDA!W44 + MIDW!W44 + NE!W44 + NY!W44 + NW!W44 + SE!W44 + SW!W44 + TEN!W44 + TEX!W44</f>
        <v>8.1583691700000003</v>
      </c>
      <c r="X44" s="7">
        <f xml:space="preserve"> 0 + CAL!X44 + CAR!X44 + CENT!X44 + FLA!X44 + MIDA!X44 + MIDW!X44 + NE!X44 + NY!X44 + NW!X44 + SE!X44 + SW!X44 + TEN!X44 + TEX!X44</f>
        <v>8.6536660399999992</v>
      </c>
      <c r="Y44" s="7">
        <f xml:space="preserve"> 0 + CAL!Y44 + CAR!Y44 + CENT!Y44 + FLA!Y44 + MIDA!Y44 + MIDW!Y44 + NE!Y44 + NY!Y44 + NW!Y44 + SE!Y44 + SW!Y44 + TEN!Y44 + TEX!Y44</f>
        <v>9.1669741300000016</v>
      </c>
      <c r="Z44" s="7">
        <f xml:space="preserve"> 0 + CAL!Z44 + CAR!Z44 + CENT!Z44 + FLA!Z44 + MIDA!Z44 + MIDW!Z44 + NE!Z44 + NY!Z44 + NW!Z44 + SE!Z44 + SW!Z44 + TEN!Z44 + TEX!Z44</f>
        <v>9.7283548</v>
      </c>
      <c r="AA44" s="7">
        <f xml:space="preserve"> 0 + CAL!AA44 + CAR!AA44 + CENT!AA44 + FLA!AA44 + MIDA!AA44 + MIDW!AA44 + NE!AA44 + NY!AA44 + NW!AA44 + SE!AA44 + SW!AA44 + TEN!AA44 + TEX!AA44</f>
        <v>10.306172100000001</v>
      </c>
      <c r="AB44" s="7">
        <f xml:space="preserve"> 0 + CAL!AB44 + CAR!AB44 + CENT!AB44 + FLA!AB44 + MIDA!AB44 + MIDW!AB44 + NE!AB44 + NY!AB44 + NW!AB44 + SE!AB44 + SW!AB44 + TEN!AB44 + TEX!AB44</f>
        <v>10.84455116</v>
      </c>
      <c r="AC44" s="7">
        <f xml:space="preserve"> 0 + CAL!AC44 + CAR!AC44 + CENT!AC44 + FLA!AC44 + MIDA!AC44 + MIDW!AC44 + NE!AC44 + NY!AC44 + NW!AC44 + SE!AC44 + SW!AC44 + TEN!AC44 + TEX!AC44</f>
        <v>11.401196999999998</v>
      </c>
    </row>
    <row r="45" spans="1:29" x14ac:dyDescent="0.85">
      <c r="A45" t="str">
        <f>CAL!A45</f>
        <v>Nuclear_MW_Cost</v>
      </c>
      <c r="B45" s="7">
        <f xml:space="preserve"> 0 + CAL!B45 + CAR!B45 + CENT!B45 + FLA!B45 + MIDA!B45 + MIDW!B45 + NE!B45 + NY!B45 + NW!B45 + SE!B45 + SW!B45 + TEN!B45 + TEX!B45</f>
        <v>126697.09225125</v>
      </c>
      <c r="C45" s="7">
        <f xml:space="preserve"> 0 + CAL!C45 + CAR!C45 + CENT!C45 + FLA!C45 + MIDA!C45 + MIDW!C45 + NE!C45 + NY!C45 + NW!C45 + SE!C45 + SW!C45 + TEN!C45 + TEX!C45</f>
        <v>123553.76861582999</v>
      </c>
      <c r="D45" s="7">
        <f xml:space="preserve"> 0 + CAL!D45 + CAR!D45 + CENT!D45 + FLA!D45 + MIDA!D45 + MIDW!D45 + NE!D45 + NY!D45 + NW!D45 + SE!D45 + SW!D45 + TEN!D45 + TEX!D45</f>
        <v>120464.94509799001</v>
      </c>
      <c r="E45" s="7">
        <f xml:space="preserve"> 0 + CAL!E45 + CAR!E45 + CENT!E45 + FLA!E45 + MIDA!E45 + MIDW!E45 + NE!E45 + NY!E45 + NW!E45 + SE!E45 + SW!E45 + TEN!E45 + TEX!E45</f>
        <v>117453.32183723</v>
      </c>
      <c r="F45" s="7">
        <f xml:space="preserve"> 0 + CAL!F45 + CAR!F45 + CENT!F45 + FLA!F45 + MIDA!F45 + MIDW!F45 + NE!F45 + NY!F45 + NW!F45 + SE!F45 + SW!F45 + TEN!F45 + TEX!F45</f>
        <v>114517.70890753999</v>
      </c>
      <c r="G45" s="7">
        <f xml:space="preserve"> 0 + CAL!G45 + CAR!G45 + CENT!G45 + FLA!G45 + MIDA!G45 + MIDW!G45 + NE!G45 + NY!G45 + NW!G45 + SE!G45 + SW!G45 + TEN!G45 + TEX!G45</f>
        <v>111654.90304804</v>
      </c>
      <c r="H45" s="7">
        <f xml:space="preserve"> 0 + CAL!H45 + CAR!H45 + CENT!H45 + FLA!H45 + MIDA!H45 + MIDW!H45 + NE!H45 + NY!H45 + NW!H45 + SE!H45 + SW!H45 + TEN!H45 + TEX!H45</f>
        <v>108871.37836941</v>
      </c>
      <c r="I45" s="7">
        <f xml:space="preserve"> 0 + CAL!I45 + CAR!I45 + CENT!I45 + FLA!I45 + MIDA!I45 + MIDW!I45 + NE!I45 + NY!I45 + NW!I45 + SE!I45 + SW!I45 + TEN!I45 + TEX!I45</f>
        <v>106247.54072316001</v>
      </c>
      <c r="J45" s="7">
        <f xml:space="preserve"> 0 + CAL!J45 + CAR!J45 + CENT!J45 + FLA!J45 + MIDA!J45 + MIDW!J45 + NE!J45 + NY!J45 + NW!J45 + SE!J45 + SW!J45 + TEN!J45 + TEX!J45</f>
        <v>103856.23400042999</v>
      </c>
      <c r="K45" s="7">
        <f xml:space="preserve"> 0 + CAL!K45 + CAR!K45 + CENT!K45 + FLA!K45 + MIDA!K45 + MIDW!K45 + NE!K45 + NY!K45 + NW!K45 + SE!K45 + SW!K45 + TEN!K45 + TEX!K45</f>
        <v>103519.33852759999</v>
      </c>
      <c r="L45" s="7">
        <f xml:space="preserve"> 0 + CAL!L45 + CAR!L45 + CENT!L45 + FLA!L45 + MIDA!L45 + MIDW!L45 + NE!L45 + NY!L45 + NW!L45 + SE!L45 + SW!L45 + TEN!L45 + TEX!L45</f>
        <v>104285.06595365</v>
      </c>
      <c r="M45" s="7">
        <f xml:space="preserve"> 0 + CAL!M45 + CAR!M45 + CENT!M45 + FLA!M45 + MIDA!M45 + MIDW!M45 + NE!M45 + NY!M45 + NW!M45 + SE!M45 + SW!M45 + TEN!M45 + TEX!M45</f>
        <v>123051.15985492</v>
      </c>
      <c r="N45" s="7">
        <f xml:space="preserve"> 0 + CAL!N45 + CAR!N45 + CENT!N45 + FLA!N45 + MIDA!N45 + MIDW!N45 + NE!N45 + NY!N45 + NW!N45 + SE!N45 + SW!N45 + TEN!N45 + TEX!N45</f>
        <v>140926.42335239</v>
      </c>
      <c r="O45" s="7">
        <f xml:space="preserve"> 0 + CAL!O45 + CAR!O45 + CENT!O45 + FLA!O45 + MIDA!O45 + MIDW!O45 + NE!O45 + NY!O45 + NW!O45 + SE!O45 + SW!O45 + TEN!O45 + TEX!O45</f>
        <v>165077.62704328998</v>
      </c>
      <c r="P45" s="7">
        <f xml:space="preserve"> 0 + CAL!P45 + CAR!P45 + CENT!P45 + FLA!P45 + MIDA!P45 + MIDW!P45 + NE!P45 + NY!P45 + NW!P45 + SE!P45 + SW!P45 + TEN!P45 + TEX!P45</f>
        <v>189010.91295741001</v>
      </c>
      <c r="Q45" s="7">
        <f xml:space="preserve"> 0 + CAL!Q45 + CAR!Q45 + CENT!Q45 + FLA!Q45 + MIDA!Q45 + MIDW!Q45 + NE!Q45 + NY!Q45 + NW!Q45 + SE!Q45 + SW!Q45 + TEN!Q45 + TEX!Q45</f>
        <v>222307.54754334001</v>
      </c>
      <c r="R45" s="7">
        <f xml:space="preserve"> 0 + CAL!R45 + CAR!R45 + CENT!R45 + FLA!R45 + MIDA!R45 + MIDW!R45 + NE!R45 + NY!R45 + NW!R45 + SE!R45 + SW!R45 + TEN!R45 + TEX!R45</f>
        <v>256575.56303842005</v>
      </c>
      <c r="S45" s="7">
        <f xml:space="preserve"> 0 + CAL!S45 + CAR!S45 + CENT!S45 + FLA!S45 + MIDA!S45 + MIDW!S45 + NE!S45 + NY!S45 + NW!S45 + SE!S45 + SW!S45 + TEN!S45 + TEX!S45</f>
        <v>291887.33034299995</v>
      </c>
      <c r="T45" s="7">
        <f xml:space="preserve"> 0 + CAL!T45 + CAR!T45 + CENT!T45 + FLA!T45 + MIDA!T45 + MIDW!T45 + NE!T45 + NY!T45 + NW!T45 + SE!T45 + SW!T45 + TEN!T45 + TEX!T45</f>
        <v>328709.08591480006</v>
      </c>
      <c r="U45" s="7">
        <f xml:space="preserve"> 0 + CAL!U45 + CAR!U45 + CENT!U45 + FLA!U45 + MIDA!U45 + MIDW!U45 + NE!U45 + NY!U45 + NW!U45 + SE!U45 + SW!U45 + TEN!U45 + TEX!U45</f>
        <v>364208.75011108001</v>
      </c>
      <c r="V45" s="7">
        <f xml:space="preserve"> 0 + CAL!V45 + CAR!V45 + CENT!V45 + FLA!V45 + MIDA!V45 + MIDW!V45 + NE!V45 + NY!V45 + NW!V45 + SE!V45 + SW!V45 + TEN!V45 + TEX!V45</f>
        <v>395631.39749425999</v>
      </c>
      <c r="W45" s="7">
        <f xml:space="preserve"> 0 + CAL!W45 + CAR!W45 + CENT!W45 + FLA!W45 + MIDA!W45 + MIDW!W45 + NE!W45 + NY!W45 + NW!W45 + SE!W45 + SW!W45 + TEN!W45 + TEX!W45</f>
        <v>422286.65631858999</v>
      </c>
      <c r="X45" s="7">
        <f xml:space="preserve"> 0 + CAL!X45 + CAR!X45 + CENT!X45 + FLA!X45 + MIDA!X45 + MIDW!X45 + NE!X45 + NY!X45 + NW!X45 + SE!X45 + SW!X45 + TEN!X45 + TEX!X45</f>
        <v>449394.24731215992</v>
      </c>
      <c r="Y45" s="7">
        <f xml:space="preserve"> 0 + CAL!Y45 + CAR!Y45 + CENT!Y45 + FLA!Y45 + MIDA!Y45 + MIDW!Y45 + NE!Y45 + NY!Y45 + NW!Y45 + SE!Y45 + SW!Y45 + TEN!Y45 + TEX!Y45</f>
        <v>477497.31656362</v>
      </c>
      <c r="Z45" s="7">
        <f xml:space="preserve"> 0 + CAL!Z45 + CAR!Z45 + CENT!Z45 + FLA!Z45 + MIDA!Z45 + MIDW!Z45 + NE!Z45 + NY!Z45 + NW!Z45 + SE!Z45 + SW!Z45 + TEN!Z45 + TEX!Z45</f>
        <v>507940.48194737005</v>
      </c>
      <c r="AA45" s="7">
        <f xml:space="preserve"> 0 + CAL!AA45 + CAR!AA45 + CENT!AA45 + FLA!AA45 + MIDA!AA45 + MIDW!AA45 + NE!AA45 + NY!AA45 + NW!AA45 + SE!AA45 + SW!AA45 + TEN!AA45 + TEX!AA45</f>
        <v>539256.81234454003</v>
      </c>
      <c r="AB45" s="7">
        <f xml:space="preserve"> 0 + CAL!AB45 + CAR!AB45 + CENT!AB45 + FLA!AB45 + MIDA!AB45 + MIDW!AB45 + NE!AB45 + NY!AB45 + NW!AB45 + SE!AB45 + SW!AB45 + TEN!AB45 + TEX!AB45</f>
        <v>568768.78694997006</v>
      </c>
      <c r="AC45" s="7">
        <f xml:space="preserve"> 0 + CAL!AC45 + CAR!AC45 + CENT!AC45 + FLA!AC45 + MIDA!AC45 + MIDW!AC45 + NE!AC45 + NY!AC45 + NW!AC45 + SE!AC45 + SW!AC45 + TEN!AC45 + TEX!AC45</f>
        <v>599174.34170613007</v>
      </c>
    </row>
    <row r="46" spans="1:29" x14ac:dyDescent="0.85">
      <c r="A46" t="str">
        <f>CAL!A46</f>
        <v>Nuclear_MWh_Cost</v>
      </c>
      <c r="B46" s="7">
        <f xml:space="preserve"> 0 + CAL!B46 + CAR!B46 + CENT!B46 + FLA!B46 + MIDA!B46 + MIDW!B46 + NE!B46 + NY!B46 + NW!B46 + SE!B46 + SW!B46 + TEN!B46 + TEX!B46</f>
        <v>7868.9987577999991</v>
      </c>
      <c r="C46" s="7">
        <f xml:space="preserve"> 0 + CAL!C46 + CAR!C46 + CENT!C46 + FLA!C46 + MIDA!C46 + MIDW!C46 + NE!C46 + NY!C46 + NW!C46 + SE!C46 + SW!C46 + TEN!C46 + TEX!C46</f>
        <v>7673.4648271300002</v>
      </c>
      <c r="D46" s="7">
        <f xml:space="preserve"> 0 + CAL!D46 + CAR!D46 + CENT!D46 + FLA!D46 + MIDA!D46 + MIDW!D46 + NE!D46 + NY!D46 + NW!D46 + SE!D46 + SW!D46 + TEN!D46 + TEX!D46</f>
        <v>7480.3737990799991</v>
      </c>
      <c r="E46" s="7">
        <f xml:space="preserve"> 0 + CAL!E46 + CAR!E46 + CENT!E46 + FLA!E46 + MIDA!E46 + MIDW!E46 + NE!E46 + NY!E46 + NW!E46 + SE!E46 + SW!E46 + TEN!E46 + TEX!E46</f>
        <v>7293.3476288900001</v>
      </c>
      <c r="F46" s="7">
        <f xml:space="preserve"> 0 + CAL!F46 + CAR!F46 + CENT!F46 + FLA!F46 + MIDA!F46 + MIDW!F46 + NE!F46 + NY!F46 + NW!F46 + SE!F46 + SW!F46 + TEN!F46 + TEX!F46</f>
        <v>7111.0138394999994</v>
      </c>
      <c r="G46" s="7">
        <f xml:space="preserve"> 0 + CAL!G46 + CAR!G46 + CENT!G46 + FLA!G46 + MIDA!G46 + MIDW!G46 + NE!G46 + NY!G46 + NW!G46 + SE!G46 + SW!G46 + TEN!G46 + TEX!G46</f>
        <v>6933.2477171800001</v>
      </c>
      <c r="H46" s="7">
        <f xml:space="preserve"> 0 + CAL!H46 + CAR!H46 + CENT!H46 + FLA!H46 + MIDA!H46 + MIDW!H46 + NE!H46 + NY!H46 + NW!H46 + SE!H46 + SW!H46 + TEN!H46 + TEX!H46</f>
        <v>6760.4923509399987</v>
      </c>
      <c r="I46" s="7">
        <f xml:space="preserve"> 0 + CAL!I46 + CAR!I46 + CENT!I46 + FLA!I46 + MIDA!I46 + MIDW!I46 + NE!I46 + NY!I46 + NW!I46 + SE!I46 + SW!I46 + TEN!I46 + TEX!I46</f>
        <v>6596.9148654399996</v>
      </c>
      <c r="J46" s="7">
        <f xml:space="preserve"> 0 + CAL!J46 + CAR!J46 + CENT!J46 + FLA!J46 + MIDA!J46 + MIDW!J46 + NE!J46 + NY!J46 + NW!J46 + SE!J46 + SW!J46 + TEN!J46 + TEX!J46</f>
        <v>6449.2599089599998</v>
      </c>
      <c r="K46" s="7">
        <f xml:space="preserve"> 0 + CAL!K46 + CAR!K46 + CENT!K46 + FLA!K46 + MIDA!K46 + MIDW!K46 + NE!K46 + NY!K46 + NW!K46 + SE!K46 + SW!K46 + TEN!K46 + TEX!K46</f>
        <v>6450.4458736000006</v>
      </c>
      <c r="L46" s="7">
        <f xml:space="preserve"> 0 + CAL!L46 + CAR!L46 + CENT!L46 + FLA!L46 + MIDA!L46 + MIDW!L46 + NE!L46 + NY!L46 + NW!L46 + SE!L46 + SW!L46 + TEN!L46 + TEX!L46</f>
        <v>6527.8154987500011</v>
      </c>
      <c r="M46" s="7">
        <f xml:space="preserve"> 0 + CAL!M46 + CAR!M46 + CENT!M46 + FLA!M46 + MIDA!M46 + MIDW!M46 + NE!M46 + NY!M46 + NW!M46 + SE!M46 + SW!M46 + TEN!M46 + TEX!M46</f>
        <v>7841.0728210399993</v>
      </c>
      <c r="N46" s="7">
        <f xml:space="preserve"> 0 + CAL!N46 + CAR!N46 + CENT!N46 + FLA!N46 + MIDA!N46 + MIDW!N46 + NE!N46 + NY!N46 + NW!N46 + SE!N46 + SW!N46 + TEN!N46 + TEX!N46</f>
        <v>9085.3965237199991</v>
      </c>
      <c r="O46" s="7">
        <f xml:space="preserve"> 0 + CAL!O46 + CAR!O46 + CENT!O46 + FLA!O46 + MIDA!O46 + MIDW!O46 + NE!O46 + NY!O46 + NW!O46 + SE!O46 + SW!O46 + TEN!O46 + TEX!O46</f>
        <v>10764.382815210001</v>
      </c>
      <c r="P46" s="7">
        <f xml:space="preserve"> 0 + CAL!P46 + CAR!P46 + CENT!P46 + FLA!P46 + MIDA!P46 + MIDW!P46 + NE!P46 + NY!P46 + NW!P46 + SE!P46 + SW!P46 + TEN!P46 + TEX!P46</f>
        <v>12427.186924589998</v>
      </c>
      <c r="Q46" s="7">
        <f xml:space="preserve"> 0 + CAL!Q46 + CAR!Q46 + CENT!Q46 + FLA!Q46 + MIDA!Q46 + MIDW!Q46 + NE!Q46 + NY!Q46 + NW!Q46 + SE!Q46 + SW!Q46 + TEN!Q46 + TEX!Q46</f>
        <v>14614.489921259999</v>
      </c>
      <c r="R46" s="7">
        <f xml:space="preserve"> 0 + CAL!R46 + CAR!R46 + CENT!R46 + FLA!R46 + MIDA!R46 + MIDW!R46 + NE!R46 + NY!R46 + NW!R46 + SE!R46 + SW!R46 + TEN!R46 + TEX!R46</f>
        <v>16861.82297786</v>
      </c>
      <c r="S46" s="7">
        <f xml:space="preserve"> 0 + CAL!S46 + CAR!S46 + CENT!S46 + FLA!S46 + MIDA!S46 + MIDW!S46 + NE!S46 + NY!S46 + NW!S46 + SE!S46 + SW!S46 + TEN!S46 + TEX!S46</f>
        <v>19174.90301686</v>
      </c>
      <c r="T46" s="7">
        <f xml:space="preserve"> 0 + CAL!T46 + CAR!T46 + CENT!T46 + FLA!T46 + MIDA!T46 + MIDW!T46 + NE!T46 + NY!T46 + NW!T46 + SE!T46 + SW!T46 + TEN!T46 + TEX!T46</f>
        <v>21559.127169069998</v>
      </c>
      <c r="U46" s="7">
        <f xml:space="preserve"> 0 + CAL!U46 + CAR!U46 + CENT!U46 + FLA!U46 + MIDA!U46 + MIDW!U46 + NE!U46 + NY!U46 + NW!U46 + SE!U46 + SW!U46 + TEN!U46 + TEX!U46</f>
        <v>23838.027362700006</v>
      </c>
      <c r="V46" s="7">
        <f xml:space="preserve"> 0 + CAL!V46 + CAR!V46 + CENT!V46 + FLA!V46 + MIDA!V46 + MIDW!V46 + NE!V46 + NY!V46 + NW!V46 + SE!V46 + SW!V46 + TEN!V46 + TEX!V46</f>
        <v>25849.156382320005</v>
      </c>
      <c r="W46" s="7">
        <f xml:space="preserve"> 0 + CAL!W46 + CAR!W46 + CENT!W46 + FLA!W46 + MIDA!W46 + MIDW!W46 + NE!W46 + NY!W46 + NW!W46 + SE!W46 + SW!W46 + TEN!W46 + TEX!W46</f>
        <v>27493.704112449996</v>
      </c>
      <c r="X46" s="7">
        <f xml:space="preserve"> 0 + CAL!X46 + CAR!X46 + CENT!X46 + FLA!X46 + MIDA!X46 + MIDW!X46 + NE!X46 + NY!X46 + NW!X46 + SE!X46 + SW!X46 + TEN!X46 + TEX!X46</f>
        <v>29162.854540549997</v>
      </c>
      <c r="Y46" s="7">
        <f xml:space="preserve"> 0 + CAL!Y46 + CAR!Y46 + CENT!Y46 + FLA!Y46 + MIDA!Y46 + MIDW!Y46 + NE!Y46 + NY!Y46 + NW!Y46 + SE!Y46 + SW!Y46 + TEN!Y46 + TEX!Y46</f>
        <v>30892.702818990001</v>
      </c>
      <c r="Z46" s="7">
        <f xml:space="preserve"> 0 + CAL!Z46 + CAR!Z46 + CENT!Z46 + FLA!Z46 + MIDA!Z46 + MIDW!Z46 + NE!Z46 + NY!Z46 + NW!Z46 + SE!Z46 + SW!Z46 + TEN!Z46 + TEX!Z46</f>
        <v>32784.555678620003</v>
      </c>
      <c r="AA46" s="7">
        <f xml:space="preserve"> 0 + CAL!AA46 + CAR!AA46 + CENT!AA46 + FLA!AA46 + MIDA!AA46 + MIDW!AA46 + NE!AA46 + NY!AA46 + NW!AA46 + SE!AA46 + SW!AA46 + TEN!AA46 + TEX!AA46</f>
        <v>34731.799995000001</v>
      </c>
      <c r="AB46" s="7">
        <f xml:space="preserve"> 0 + CAL!AB46 + CAR!AB46 + CENT!AB46 + FLA!AB46 + MIDA!AB46 + MIDW!AB46 + NE!AB46 + NY!AB46 + NW!AB46 + SE!AB46 + SW!AB46 + TEN!AB46 + TEX!AB46</f>
        <v>36546.137448510002</v>
      </c>
      <c r="AC46" s="7">
        <f xml:space="preserve"> 0 + CAL!AC46 + CAR!AC46 + CENT!AC46 + FLA!AC46 + MIDA!AC46 + MIDW!AC46 + NE!AC46 + NY!AC46 + NW!AC46 + SE!AC46 + SW!AC46 + TEN!AC46 + TEX!AC46</f>
        <v>38422.03394655</v>
      </c>
    </row>
    <row r="47" spans="1:29" x14ac:dyDescent="0.85">
      <c r="A47" t="str">
        <f>CAL!A47</f>
        <v>Nuclear_Start_Knob</v>
      </c>
      <c r="B47" s="7">
        <f xml:space="preserve"> 0 + CAL!B47 + CAR!B47 + CENT!B47 + FLA!B47 + MIDA!B47 + MIDW!B47 + NE!B47 + NY!B47 + NW!B47 + SE!B47 + SW!B47 + TEN!B47 + TEX!B47</f>
        <v>13</v>
      </c>
      <c r="C47" s="7">
        <f xml:space="preserve"> 0 + CAL!C47 + CAR!C47 + CENT!C47 + FLA!C47 + MIDA!C47 + MIDW!C47 + NE!C47 + NY!C47 + NW!C47 + SE!C47 + SW!C47 + TEN!C47 + TEX!C47</f>
        <v>13.325000000000003</v>
      </c>
      <c r="D47" s="7">
        <f xml:space="preserve"> 0 + CAL!D47 + CAR!D47 + CENT!D47 + FLA!D47 + MIDA!D47 + MIDW!D47 + NE!D47 + NY!D47 + NW!D47 + SE!D47 + SW!D47 + TEN!D47 + TEX!D47</f>
        <v>13.008086319999997</v>
      </c>
      <c r="E47" s="7">
        <f xml:space="preserve"> 0 + CAL!E47 + CAR!E47 + CENT!E47 + FLA!E47 + MIDA!E47 + MIDW!E47 + NE!E47 + NY!E47 + NW!E47 + SE!E47 + SW!E47 + TEN!E47 + TEX!E47</f>
        <v>12.99590225</v>
      </c>
      <c r="F47" s="7">
        <f xml:space="preserve"> 0 + CAL!F47 + CAR!F47 + CENT!F47 + FLA!F47 + MIDA!F47 + MIDW!F47 + NE!F47 + NY!F47 + NW!F47 + SE!F47 + SW!F47 + TEN!F47 + TEX!F47</f>
        <v>12.999955660000001</v>
      </c>
      <c r="G47" s="7">
        <f xml:space="preserve"> 0 + CAL!G47 + CAR!G47 + CENT!G47 + FLA!G47 + MIDA!G47 + MIDW!G47 + NE!G47 + NY!G47 + NW!G47 + SE!G47 + SW!G47 + TEN!G47 + TEX!G47</f>
        <v>13.000270820000001</v>
      </c>
      <c r="H47" s="7">
        <f xml:space="preserve"> 0 + CAL!H47 + CAR!H47 + CENT!H47 + FLA!H47 + MIDA!H47 + MIDW!H47 + NE!H47 + NY!H47 + NW!H47 + SE!H47 + SW!H47 + TEN!H47 + TEX!H47</f>
        <v>13.00002838</v>
      </c>
      <c r="I47" s="7">
        <f xml:space="preserve"> 0 + CAL!I47 + CAR!I47 + CENT!I47 + FLA!I47 + MIDA!I47 + MIDW!I47 + NE!I47 + NY!I47 + NW!I47 + SE!I47 + SW!I47 + TEN!I47 + TEX!I47</f>
        <v>13.001859040000003</v>
      </c>
      <c r="J47" s="7">
        <f xml:space="preserve"> 0 + CAL!J47 + CAR!J47 + CENT!J47 + FLA!J47 + MIDA!J47 + MIDW!J47 + NE!J47 + NY!J47 + NW!J47 + SE!J47 + SW!J47 + TEN!J47 + TEX!J47</f>
        <v>13.002356969999999</v>
      </c>
      <c r="K47" s="7">
        <f xml:space="preserve"> 0 + CAL!K47 + CAR!K47 + CENT!K47 + FLA!K47 + MIDA!K47 + MIDW!K47 + NE!K47 + NY!K47 + NW!K47 + SE!K47 + SW!K47 + TEN!K47 + TEX!K47</f>
        <v>13.024570020000001</v>
      </c>
      <c r="L47" s="7">
        <f xml:space="preserve"> 0 + CAL!L47 + CAR!L47 + CENT!L47 + FLA!L47 + MIDA!L47 + MIDW!L47 + NE!L47 + NY!L47 + NW!L47 + SE!L47 + SW!L47 + TEN!L47 + TEX!L47</f>
        <v>13.817794610000002</v>
      </c>
      <c r="M47" s="7">
        <f xml:space="preserve"> 0 + CAL!M47 + CAR!M47 + CENT!M47 + FLA!M47 + MIDA!M47 + MIDW!M47 + NE!M47 + NY!M47 + NW!M47 + SE!M47 + SW!M47 + TEN!M47 + TEX!M47</f>
        <v>13.655734450000002</v>
      </c>
      <c r="N47" s="7">
        <f xml:space="preserve"> 0 + CAL!N47 + CAR!N47 + CENT!N47 + FLA!N47 + MIDA!N47 + MIDW!N47 + NE!N47 + NY!N47 + NW!N47 + SE!N47 + SW!N47 + TEN!N47 + TEX!N47</f>
        <v>15.670058650000001</v>
      </c>
      <c r="O47" s="7">
        <f xml:space="preserve"> 0 + CAL!O47 + CAR!O47 + CENT!O47 + FLA!O47 + MIDA!O47 + MIDW!O47 + NE!O47 + NY!O47 + NW!O47 + SE!O47 + SW!O47 + TEN!O47 + TEX!O47</f>
        <v>14.900727310000001</v>
      </c>
      <c r="P47" s="7">
        <f xml:space="preserve"> 0 + CAL!P47 + CAR!P47 + CENT!P47 + FLA!P47 + MIDA!P47 + MIDW!P47 + NE!P47 + NY!P47 + NW!P47 + SE!P47 + SW!P47 + TEN!P47 + TEX!P47</f>
        <v>15.579832539999998</v>
      </c>
      <c r="Q47" s="7">
        <f xml:space="preserve"> 0 + CAL!Q47 + CAR!Q47 + CENT!Q47 + FLA!Q47 + MIDA!Q47 + MIDW!Q47 + NE!Q47 + NY!Q47 + NW!Q47 + SE!Q47 + SW!Q47 + TEN!Q47 + TEX!Q47</f>
        <v>15.03552341</v>
      </c>
      <c r="R47" s="7">
        <f xml:space="preserve"> 0 + CAL!R47 + CAR!R47 + CENT!R47 + FLA!R47 + MIDA!R47 + MIDW!R47 + NE!R47 + NY!R47 + NW!R47 + SE!R47 + SW!R47 + TEN!R47 + TEX!R47</f>
        <v>15.02282082</v>
      </c>
      <c r="S47" s="7">
        <f xml:space="preserve"> 0 + CAL!S47 + CAR!S47 + CENT!S47 + FLA!S47 + MIDA!S47 + MIDW!S47 + NE!S47 + NY!S47 + NW!S47 + SE!S47 + SW!S47 + TEN!S47 + TEX!S47</f>
        <v>14.815344470000003</v>
      </c>
      <c r="T47" s="7">
        <f xml:space="preserve"> 0 + CAL!T47 + CAR!T47 + CENT!T47 + FLA!T47 + MIDA!T47 + MIDW!T47 + NE!T47 + NY!T47 + NW!T47 + SE!T47 + SW!T47 + TEN!T47 + TEX!T47</f>
        <v>14.65252808</v>
      </c>
      <c r="U47" s="7">
        <f xml:space="preserve"> 0 + CAL!U47 + CAR!U47 + CENT!U47 + FLA!U47 + MIDA!U47 + MIDW!U47 + NE!U47 + NY!U47 + NW!U47 + SE!U47 + SW!U47 + TEN!U47 + TEX!U47</f>
        <v>14.776394659999999</v>
      </c>
      <c r="V47" s="7">
        <f xml:space="preserve"> 0 + CAL!V47 + CAR!V47 + CENT!V47 + FLA!V47 + MIDA!V47 + MIDW!V47 + NE!V47 + NY!V47 + NW!V47 + SE!V47 + SW!V47 + TEN!V47 + TEX!V47</f>
        <v>14.536123379999998</v>
      </c>
      <c r="W47" s="7">
        <f xml:space="preserve"> 0 + CAL!W47 + CAR!W47 + CENT!W47 + FLA!W47 + MIDA!W47 + MIDW!W47 + NE!W47 + NY!W47 + NW!W47 + SE!W47 + SW!W47 + TEN!W47 + TEX!W47</f>
        <v>14.394991419999998</v>
      </c>
      <c r="X47" s="7">
        <f xml:space="preserve"> 0 + CAL!X47 + CAR!X47 + CENT!X47 + FLA!X47 + MIDA!X47 + MIDW!X47 + NE!X47 + NY!X47 + NW!X47 + SE!X47 + SW!X47 + TEN!X47 + TEX!X47</f>
        <v>14.201659250000001</v>
      </c>
      <c r="Y47" s="7">
        <f xml:space="preserve"> 0 + CAL!Y47 + CAR!Y47 + CENT!Y47 + FLA!Y47 + MIDA!Y47 + MIDW!Y47 + NE!Y47 + NY!Y47 + NW!Y47 + SE!Y47 + SW!Y47 + TEN!Y47 + TEX!Y47</f>
        <v>14.138634619999999</v>
      </c>
      <c r="Z47" s="7">
        <f xml:space="preserve"> 0 + CAL!Z47 + CAR!Z47 + CENT!Z47 + FLA!Z47 + MIDA!Z47 + MIDW!Z47 + NE!Z47 + NY!Z47 + NW!Z47 + SE!Z47 + SW!Z47 + TEN!Z47 + TEX!Z47</f>
        <v>14.094071369999998</v>
      </c>
      <c r="AA47" s="7">
        <f xml:space="preserve"> 0 + CAL!AA47 + CAR!AA47 + CENT!AA47 + FLA!AA47 + MIDA!AA47 + MIDW!AA47 + NE!AA47 + NY!AA47 + NW!AA47 + SE!AA47 + SW!AA47 + TEN!AA47 + TEX!AA47</f>
        <v>14.074712980000001</v>
      </c>
      <c r="AB47" s="7">
        <f xml:space="preserve"> 0 + CAL!AB47 + CAR!AB47 + CENT!AB47 + FLA!AB47 + MIDA!AB47 + MIDW!AB47 + NE!AB47 + NY!AB47 + NW!AB47 + SE!AB47 + SW!AB47 + TEN!AB47 + TEX!AB47</f>
        <v>14.042510829999999</v>
      </c>
      <c r="AC47" s="7">
        <f xml:space="preserve"> 0 + CAL!AC47 + CAR!AC47 + CENT!AC47 + FLA!AC47 + MIDA!AC47 + MIDW!AC47 + NE!AC47 + NY!AC47 + NW!AC47 + SE!AC47 + SW!AC47 + TEN!AC47 + TEX!AC47</f>
        <v>13.896477660000002</v>
      </c>
    </row>
    <row r="48" spans="1:29" x14ac:dyDescent="0.85">
      <c r="A48" t="str">
        <f>CAL!A48</f>
        <v>Nuclear_Knob</v>
      </c>
      <c r="B48" s="7">
        <f xml:space="preserve"> 0 + CAL!B48 + CAR!B48 + CENT!B48 + FLA!B48 + MIDA!B48 + MIDW!B48 + NE!B48 + NY!B48 + NW!B48 + SE!B48 + SW!B48 + TEN!B48 + TEX!B48</f>
        <v>13</v>
      </c>
      <c r="C48" s="7">
        <f xml:space="preserve"> 0 + CAL!C48 + CAR!C48 + CENT!C48 + FLA!C48 + MIDA!C48 + MIDW!C48 + NE!C48 + NY!C48 + NW!C48 + SE!C48 + SW!C48 + TEN!C48 + TEX!C48</f>
        <v>13.008086319999997</v>
      </c>
      <c r="D48" s="7">
        <f xml:space="preserve"> 0 + CAL!D48 + CAR!D48 + CENT!D48 + FLA!D48 + MIDA!D48 + MIDW!D48 + NE!D48 + NY!D48 + NW!D48 + SE!D48 + SW!D48 + TEN!D48 + TEX!D48</f>
        <v>12.99590225</v>
      </c>
      <c r="E48" s="7">
        <f xml:space="preserve"> 0 + CAL!E48 + CAR!E48 + CENT!E48 + FLA!E48 + MIDA!E48 + MIDW!E48 + NE!E48 + NY!E48 + NW!E48 + SE!E48 + SW!E48 + TEN!E48 + TEX!E48</f>
        <v>12.999955660000001</v>
      </c>
      <c r="F48" s="7">
        <f xml:space="preserve"> 0 + CAL!F48 + CAR!F48 + CENT!F48 + FLA!F48 + MIDA!F48 + MIDW!F48 + NE!F48 + NY!F48 + NW!F48 + SE!F48 + SW!F48 + TEN!F48 + TEX!F48</f>
        <v>13.000270820000001</v>
      </c>
      <c r="G48" s="7">
        <f xml:space="preserve"> 0 + CAL!G48 + CAR!G48 + CENT!G48 + FLA!G48 + MIDA!G48 + MIDW!G48 + NE!G48 + NY!G48 + NW!G48 + SE!G48 + SW!G48 + TEN!G48 + TEX!G48</f>
        <v>13.00002838</v>
      </c>
      <c r="H48" s="7">
        <f xml:space="preserve"> 0 + CAL!H48 + CAR!H48 + CENT!H48 + FLA!H48 + MIDA!H48 + MIDW!H48 + NE!H48 + NY!H48 + NW!H48 + SE!H48 + SW!H48 + TEN!H48 + TEX!H48</f>
        <v>13.001859040000003</v>
      </c>
      <c r="I48" s="7">
        <f xml:space="preserve"> 0 + CAL!I48 + CAR!I48 + CENT!I48 + FLA!I48 + MIDA!I48 + MIDW!I48 + NE!I48 + NY!I48 + NW!I48 + SE!I48 + SW!I48 + TEN!I48 + TEX!I48</f>
        <v>13.002356969999999</v>
      </c>
      <c r="J48" s="7">
        <f xml:space="preserve"> 0 + CAL!J48 + CAR!J48 + CENT!J48 + FLA!J48 + MIDA!J48 + MIDW!J48 + NE!J48 + NY!J48 + NW!J48 + SE!J48 + SW!J48 + TEN!J48 + TEX!J48</f>
        <v>13.024570020000001</v>
      </c>
      <c r="K48" s="7">
        <f xml:space="preserve"> 0 + CAL!K48 + CAR!K48 + CENT!K48 + FLA!K48 + MIDA!K48 + MIDW!K48 + NE!K48 + NY!K48 + NW!K48 + SE!K48 + SW!K48 + TEN!K48 + TEX!K48</f>
        <v>15.100788200000002</v>
      </c>
      <c r="L48" s="7">
        <f xml:space="preserve"> 0 + CAL!L48 + CAR!L48 + CENT!L48 + FLA!L48 + MIDA!L48 + MIDW!L48 + NE!L48 + NY!L48 + NW!L48 + SE!L48 + SW!L48 + TEN!L48 + TEX!L48</f>
        <v>13.932682370000002</v>
      </c>
      <c r="M48" s="7">
        <f xml:space="preserve"> 0 + CAL!M48 + CAR!M48 + CENT!M48 + FLA!M48 + MIDA!M48 + MIDW!M48 + NE!M48 + NY!M48 + NW!M48 + SE!M48 + SW!M48 + TEN!M48 + TEX!M48</f>
        <v>17.138703030000002</v>
      </c>
      <c r="N48" s="7">
        <f xml:space="preserve"> 0 + CAL!N48 + CAR!N48 + CENT!N48 + FLA!N48 + MIDA!N48 + MIDW!N48 + NE!N48 + NY!N48 + NW!N48 + SE!N48 + SW!N48 + TEN!N48 + TEX!N48</f>
        <v>15.460898610000001</v>
      </c>
      <c r="O48" s="7">
        <f xml:space="preserve"> 0 + CAL!O48 + CAR!O48 + CENT!O48 + FLA!O48 + MIDA!O48 + MIDW!O48 + NE!O48 + NY!O48 + NW!O48 + SE!O48 + SW!O48 + TEN!O48 + TEX!O48</f>
        <v>16.228064929999999</v>
      </c>
      <c r="P48" s="7">
        <f xml:space="preserve"> 0 + CAL!P48 + CAR!P48 + CENT!P48 + FLA!P48 + MIDA!P48 + MIDW!P48 + NE!P48 + NY!P48 + NW!P48 + SE!P48 + SW!P48 + TEN!P48 + TEX!P48</f>
        <v>15.394288670000002</v>
      </c>
      <c r="Q48" s="7">
        <f xml:space="preserve"> 0 + CAL!Q48 + CAR!Q48 + CENT!Q48 + FLA!Q48 + MIDA!Q48 + MIDW!Q48 + NE!Q48 + NY!Q48 + NW!Q48 + SE!Q48 + SW!Q48 + TEN!Q48 + TEX!Q48</f>
        <v>15.271791700000001</v>
      </c>
      <c r="R48" s="7">
        <f xml:space="preserve"> 0 + CAL!R48 + CAR!R48 + CENT!R48 + FLA!R48 + MIDA!R48 + MIDW!R48 + NE!R48 + NY!R48 + NW!R48 + SE!R48 + SW!R48 + TEN!R48 + TEX!R48</f>
        <v>14.986435989999999</v>
      </c>
      <c r="S48" s="7">
        <f xml:space="preserve"> 0 + CAL!S48 + CAR!S48 + CENT!S48 + FLA!S48 + MIDA!S48 + MIDW!S48 + NE!S48 + NY!S48 + NW!S48 + SE!S48 + SW!S48 + TEN!S48 + TEX!S48</f>
        <v>14.782089350000001</v>
      </c>
      <c r="T48" s="7">
        <f xml:space="preserve"> 0 + CAL!T48 + CAR!T48 + CENT!T48 + FLA!T48 + MIDA!T48 + MIDW!T48 + NE!T48 + NY!T48 + NW!T48 + SE!T48 + SW!T48 + TEN!T48 + TEX!T48</f>
        <v>14.928518870000001</v>
      </c>
      <c r="U48" s="7">
        <f xml:space="preserve"> 0 + CAL!U48 + CAR!U48 + CENT!U48 + FLA!U48 + MIDA!U48 + MIDW!U48 + NE!U48 + NY!U48 + NW!U48 + SE!U48 + SW!U48 + TEN!U48 + TEX!U48</f>
        <v>14.64701262</v>
      </c>
      <c r="V48" s="7">
        <f xml:space="preserve"> 0 + CAL!V48 + CAR!V48 + CENT!V48 + FLA!V48 + MIDA!V48 + MIDW!V48 + NE!V48 + NY!V48 + NW!V48 + SE!V48 + SW!V48 + TEN!V48 + TEX!V48</f>
        <v>14.474601940000001</v>
      </c>
      <c r="W48" s="7">
        <f xml:space="preserve"> 0 + CAL!W48 + CAR!W48 + CENT!W48 + FLA!W48 + MIDA!W48 + MIDW!W48 + NE!W48 + NY!W48 + NW!W48 + SE!W48 + SW!W48 + TEN!W48 + TEX!W48</f>
        <v>14.267494170000001</v>
      </c>
      <c r="X48" s="7">
        <f xml:space="preserve"> 0 + CAL!X48 + CAR!X48 + CENT!X48 + FLA!X48 + MIDA!X48 + MIDW!X48 + NE!X48 + NY!X48 + NW!X48 + SE!X48 + SW!X48 + TEN!X48 + TEX!X48</f>
        <v>14.193039739999998</v>
      </c>
      <c r="Y48" s="7">
        <f xml:space="preserve"> 0 + CAL!Y48 + CAR!Y48 + CENT!Y48 + FLA!Y48 + MIDA!Y48 + MIDW!Y48 + NE!Y48 + NY!Y48 + NW!Y48 + SE!Y48 + SW!Y48 + TEN!Y48 + TEX!Y48</f>
        <v>14.140901779999998</v>
      </c>
      <c r="Z48" s="7">
        <f xml:space="preserve"> 0 + CAL!Z48 + CAR!Z48 + CENT!Z48 + FLA!Z48 + MIDA!Z48 + MIDW!Z48 + NE!Z48 + NY!Z48 + NW!Z48 + SE!Z48 + SW!Z48 + TEN!Z48 + TEX!Z48</f>
        <v>14.116618939999999</v>
      </c>
      <c r="AA48" s="7">
        <f xml:space="preserve"> 0 + CAL!AA48 + CAR!AA48 + CENT!AA48 + FLA!AA48 + MIDA!AA48 + MIDW!AA48 + NE!AA48 + NY!AA48 + NW!AA48 + SE!AA48 + SW!AA48 + TEN!AA48 + TEX!AA48</f>
        <v>14.075746929999999</v>
      </c>
      <c r="AB48" s="7">
        <f xml:space="preserve"> 0 + CAL!AB48 + CAR!AB48 + CENT!AB48 + FLA!AB48 + MIDA!AB48 + MIDW!AB48 + NE!AB48 + NY!AB48 + NW!AB48 + SE!AB48 + SW!AB48 + TEN!AB48 + TEX!AB48</f>
        <v>13.922000120000002</v>
      </c>
      <c r="AC48" s="7">
        <f xml:space="preserve"> 0 + CAL!AC48 + CAR!AC48 + CENT!AC48 + FLA!AC48 + MIDA!AC48 + MIDW!AC48 + NE!AC48 + NY!AC48 + NW!AC48 + SE!AC48 + SW!AC48 + TEN!AC48 + TEX!AC48</f>
        <v>13.890384779999998</v>
      </c>
    </row>
    <row r="49" spans="1:29" x14ac:dyDescent="0.85">
      <c r="A49" t="str">
        <f>CAL!A49</f>
        <v>Nuclear_Max_Knob</v>
      </c>
      <c r="B49" s="7">
        <f xml:space="preserve"> 0 + CAL!B49 + CAR!B49 + CENT!B49 + FLA!B49 + MIDA!B49 + MIDW!B49 + NE!B49 + NY!B49 + NW!B49 + SE!B49 + SW!B49 + TEN!B49 + TEX!B49</f>
        <v>13</v>
      </c>
      <c r="C49" s="7">
        <f xml:space="preserve"> 0 + CAL!C49 + CAR!C49 + CENT!C49 + FLA!C49 + MIDA!C49 + MIDW!C49 + NE!C49 + NY!C49 + NW!C49 + SE!C49 + SW!C49 + TEN!C49 + TEX!C49</f>
        <v>18.403398190000001</v>
      </c>
      <c r="D49" s="7">
        <f xml:space="preserve"> 0 + CAL!D49 + CAR!D49 + CENT!D49 + FLA!D49 + MIDA!D49 + MIDW!D49 + NE!D49 + NY!D49 + NW!D49 + SE!D49 + SW!D49 + TEN!D49 + TEX!D49</f>
        <v>18.55906027</v>
      </c>
      <c r="E49" s="7">
        <f xml:space="preserve"> 0 + CAL!E49 + CAR!E49 + CENT!E49 + FLA!E49 + MIDA!E49 + MIDW!E49 + NE!E49 + NY!E49 + NW!E49 + SE!E49 + SW!E49 + TEN!E49 + TEX!E49</f>
        <v>18.741520450000003</v>
      </c>
      <c r="F49" s="7">
        <f xml:space="preserve"> 0 + CAL!F49 + CAR!F49 + CENT!F49 + FLA!F49 + MIDA!F49 + MIDW!F49 + NE!F49 + NY!F49 + NW!F49 + SE!F49 + SW!F49 + TEN!F49 + TEX!F49</f>
        <v>18.937134390000001</v>
      </c>
      <c r="G49" s="7">
        <f xml:space="preserve"> 0 + CAL!G49 + CAR!G49 + CENT!G49 + FLA!G49 + MIDA!G49 + MIDW!G49 + NE!G49 + NY!G49 + NW!G49 + SE!G49 + SW!G49 + TEN!G49 + TEX!G49</f>
        <v>19.177821550000001</v>
      </c>
      <c r="H49" s="7">
        <f xml:space="preserve"> 0 + CAL!H49 + CAR!H49 + CENT!H49 + FLA!H49 + MIDA!H49 + MIDW!H49 + NE!H49 + NY!H49 + NW!H49 + SE!H49 + SW!H49 + TEN!H49 + TEX!H49</f>
        <v>19.467789310000001</v>
      </c>
      <c r="I49" s="7">
        <f xml:space="preserve"> 0 + CAL!I49 + CAR!I49 + CENT!I49 + FLA!I49 + MIDA!I49 + MIDW!I49 + NE!I49 + NY!I49 + NW!I49 + SE!I49 + SW!I49 + TEN!I49 + TEX!I49</f>
        <v>19.892076610000004</v>
      </c>
      <c r="J49" s="7">
        <f xml:space="preserve"> 0 + CAL!J49 + CAR!J49 + CENT!J49 + FLA!J49 + MIDA!J49 + MIDW!J49 + NE!J49 + NY!J49 + NW!J49 + SE!J49 + SW!J49 + TEN!J49 + TEX!J49</f>
        <v>20.421594759999998</v>
      </c>
      <c r="K49" s="7">
        <f xml:space="preserve"> 0 + CAL!K49 + CAR!K49 + CENT!K49 + FLA!K49 + MIDA!K49 + MIDW!K49 + NE!K49 + NY!K49 + NW!K49 + SE!K49 + SW!K49 + TEN!K49 + TEX!K49</f>
        <v>20.971107760000002</v>
      </c>
      <c r="L49" s="7">
        <f xml:space="preserve"> 0 + CAL!L49 + CAR!L49 + CENT!L49 + FLA!L49 + MIDA!L49 + MIDW!L49 + NE!L49 + NY!L49 + NW!L49 + SE!L49 + SW!L49 + TEN!L49 + TEX!L49</f>
        <v>20.083709540000001</v>
      </c>
      <c r="M49" s="7">
        <f xml:space="preserve"> 0 + CAL!M49 + CAR!M49 + CENT!M49 + FLA!M49 + MIDA!M49 + MIDW!M49 + NE!M49 + NY!M49 + NW!M49 + SE!M49 + SW!M49 + TEN!M49 + TEX!M49</f>
        <v>20.15305858</v>
      </c>
      <c r="N49" s="7">
        <f xml:space="preserve"> 0 + CAL!N49 + CAR!N49 + CENT!N49 + FLA!N49 + MIDA!N49 + MIDW!N49 + NE!N49 + NY!N49 + NW!N49 + SE!N49 + SW!N49 + TEN!N49 + TEX!N49</f>
        <v>18.83293398</v>
      </c>
      <c r="O49" s="7">
        <f xml:space="preserve"> 0 + CAL!O49 + CAR!O49 + CENT!O49 + FLA!O49 + MIDA!O49 + MIDW!O49 + NE!O49 + NY!O49 + NW!O49 + SE!O49 + SW!O49 + TEN!O49 + TEX!O49</f>
        <v>18.461149889999998</v>
      </c>
      <c r="P49" s="7">
        <f xml:space="preserve"> 0 + CAL!P49 + CAR!P49 + CENT!P49 + FLA!P49 + MIDA!P49 + MIDW!P49 + NE!P49 + NY!P49 + NW!P49 + SE!P49 + SW!P49 + TEN!P49 + TEX!P49</f>
        <v>17.873313960000001</v>
      </c>
      <c r="Q49" s="7">
        <f xml:space="preserve"> 0 + CAL!Q49 + CAR!Q49 + CENT!Q49 + FLA!Q49 + MIDA!Q49 + MIDW!Q49 + NE!Q49 + NY!Q49 + NW!Q49 + SE!Q49 + SW!Q49 + TEN!Q49 + TEX!Q49</f>
        <v>17.635388849999998</v>
      </c>
      <c r="R49" s="7">
        <f xml:space="preserve"> 0 + CAL!R49 + CAR!R49 + CENT!R49 + FLA!R49 + MIDA!R49 + MIDW!R49 + NE!R49 + NY!R49 + NW!R49 + SE!R49 + SW!R49 + TEN!R49 + TEX!R49</f>
        <v>17.48958614</v>
      </c>
      <c r="S49" s="7">
        <f xml:space="preserve"> 0 + CAL!S49 + CAR!S49 + CENT!S49 + FLA!S49 + MIDA!S49 + MIDW!S49 + NE!S49 + NY!S49 + NW!S49 + SE!S49 + SW!S49 + TEN!S49 + TEX!S49</f>
        <v>17.428085020000001</v>
      </c>
      <c r="T49" s="7">
        <f xml:space="preserve"> 0 + CAL!T49 + CAR!T49 + CENT!T49 + FLA!T49 + MIDA!T49 + MIDW!T49 + NE!T49 + NY!T49 + NW!T49 + SE!T49 + SW!T49 + TEN!T49 + TEX!T49</f>
        <v>17.422919890000003</v>
      </c>
      <c r="U49" s="7">
        <f xml:space="preserve"> 0 + CAL!U49 + CAR!U49 + CENT!U49 + FLA!U49 + MIDA!U49 + MIDW!U49 + NE!U49 + NY!U49 + NW!U49 + SE!U49 + SW!U49 + TEN!U49 + TEX!U49</f>
        <v>17.379387550000004</v>
      </c>
      <c r="V49" s="7">
        <f xml:space="preserve"> 0 + CAL!V49 + CAR!V49 + CENT!V49 + FLA!V49 + MIDA!V49 + MIDW!V49 + NE!V49 + NY!V49 + NW!V49 + SE!V49 + SW!V49 + TEN!V49 + TEX!V49</f>
        <v>17.40390665</v>
      </c>
      <c r="W49" s="7">
        <f xml:space="preserve"> 0 + CAL!W49 + CAR!W49 + CENT!W49 + FLA!W49 + MIDA!W49 + MIDW!W49 + NE!W49 + NY!W49 + NW!W49 + SE!W49 + SW!W49 + TEN!W49 + TEX!W49</f>
        <v>17.460195650000003</v>
      </c>
      <c r="X49" s="7">
        <f xml:space="preserve"> 0 + CAL!X49 + CAR!X49 + CENT!X49 + FLA!X49 + MIDA!X49 + MIDW!X49 + NE!X49 + NY!X49 + NW!X49 + SE!X49 + SW!X49 + TEN!X49 + TEX!X49</f>
        <v>17.55145426</v>
      </c>
      <c r="Y49" s="7">
        <f xml:space="preserve"> 0 + CAL!Y49 + CAR!Y49 + CENT!Y49 + FLA!Y49 + MIDA!Y49 + MIDW!Y49 + NE!Y49 + NY!Y49 + NW!Y49 + SE!Y49 + SW!Y49 + TEN!Y49 + TEX!Y49</f>
        <v>17.66470399</v>
      </c>
      <c r="Z49" s="7">
        <f xml:space="preserve"> 0 + CAL!Z49 + CAR!Z49 + CENT!Z49 + FLA!Z49 + MIDA!Z49 + MIDW!Z49 + NE!Z49 + NY!Z49 + NW!Z49 + SE!Z49 + SW!Z49 + TEN!Z49 + TEX!Z49</f>
        <v>17.797941429999998</v>
      </c>
      <c r="AA49" s="7">
        <f xml:space="preserve"> 0 + CAL!AA49 + CAR!AA49 + CENT!AA49 + FLA!AA49 + MIDA!AA49 + MIDW!AA49 + NE!AA49 + NY!AA49 + NW!AA49 + SE!AA49 + SW!AA49 + TEN!AA49 + TEX!AA49</f>
        <v>17.943953210000004</v>
      </c>
      <c r="AB49" s="7">
        <f xml:space="preserve"> 0 + CAL!AB49 + CAR!AB49 + CENT!AB49 + FLA!AB49 + MIDA!AB49 + MIDW!AB49 + NE!AB49 + NY!AB49 + NW!AB49 + SE!AB49 + SW!AB49 + TEN!AB49 + TEX!AB49</f>
        <v>18.104177690000004</v>
      </c>
      <c r="AC49" s="7">
        <f xml:space="preserve"> 0 + CAL!AC49 + CAR!AC49 + CENT!AC49 + FLA!AC49 + MIDA!AC49 + MIDW!AC49 + NE!AC49 + NY!AC49 + NW!AC49 + SE!AC49 + SW!AC49 + TEN!AC49 + TEX!AC49</f>
        <v>18.290955019999998</v>
      </c>
    </row>
    <row r="50" spans="1:29" x14ac:dyDescent="0.85">
      <c r="A50" t="str">
        <f>CAL!A50</f>
        <v>Gas_MW</v>
      </c>
      <c r="B50" s="7">
        <f xml:space="preserve"> 0 + CAL!B50 + CAR!B50 + CENT!B50 + FLA!B50 + MIDA!B50 + MIDW!B50 + NE!B50 + NY!B50 + NW!B50 + SE!B50 + SW!B50 + TEN!B50 + TEX!B50</f>
        <v>400168.25</v>
      </c>
      <c r="C50" s="7">
        <f xml:space="preserve"> 0 + CAL!C50 + CAR!C50 + CENT!C50 + FLA!C50 + MIDA!C50 + MIDW!C50 + NE!C50 + NY!C50 + NW!C50 + SE!C50 + SW!C50 + TEN!C50 + TEX!C50</f>
        <v>421302.34595717001</v>
      </c>
      <c r="D50" s="7">
        <f xml:space="preserve"> 0 + CAL!D50 + CAR!D50 + CENT!D50 + FLA!D50 + MIDA!D50 + MIDW!D50 + NE!D50 + NY!D50 + NW!D50 + SE!D50 + SW!D50 + TEN!D50 + TEX!D50</f>
        <v>443855.74773683009</v>
      </c>
      <c r="E50" s="7">
        <f xml:space="preserve"> 0 + CAL!E50 + CAR!E50 + CENT!E50 + FLA!E50 + MIDA!E50 + MIDW!E50 + NE!E50 + NY!E50 + NW!E50 + SE!E50 + SW!E50 + TEN!E50 + TEX!E50</f>
        <v>465998.48513466993</v>
      </c>
      <c r="F50" s="7">
        <f xml:space="preserve"> 0 + CAL!F50 + CAR!F50 + CENT!F50 + FLA!F50 + MIDA!F50 + MIDW!F50 + NE!F50 + NY!F50 + NW!F50 + SE!F50 + SW!F50 + TEN!F50 + TEX!F50</f>
        <v>486985.68034343992</v>
      </c>
      <c r="G50" s="7">
        <f xml:space="preserve"> 0 + CAL!G50 + CAR!G50 + CENT!G50 + FLA!G50 + MIDA!G50 + MIDW!G50 + NE!G50 + NY!G50 + NW!G50 + SE!G50 + SW!G50 + TEN!G50 + TEX!G50</f>
        <v>508265.75809825992</v>
      </c>
      <c r="H50" s="7">
        <f xml:space="preserve"> 0 + CAL!H50 + CAR!H50 + CENT!H50 + FLA!H50 + MIDA!H50 + MIDW!H50 + NE!H50 + NY!H50 + NW!H50 + SE!H50 + SW!H50 + TEN!H50 + TEX!H50</f>
        <v>535324.93257808988</v>
      </c>
      <c r="I50" s="7">
        <f xml:space="preserve"> 0 + CAL!I50 + CAR!I50 + CENT!I50 + FLA!I50 + MIDA!I50 + MIDW!I50 + NE!I50 + NY!I50 + NW!I50 + SE!I50 + SW!I50 + TEN!I50 + TEX!I50</f>
        <v>570485.26054358995</v>
      </c>
      <c r="J50" s="7">
        <f xml:space="preserve"> 0 + CAL!J50 + CAR!J50 + CENT!J50 + FLA!J50 + MIDA!J50 + MIDW!J50 + NE!J50 + NY!J50 + NW!J50 + SE!J50 + SW!J50 + TEN!J50 + TEX!J50</f>
        <v>605544.79998312995</v>
      </c>
      <c r="K50" s="7">
        <f xml:space="preserve"> 0 + CAL!K50 + CAR!K50 + CENT!K50 + FLA!K50 + MIDA!K50 + MIDW!K50 + NE!K50 + NY!K50 + NW!K50 + SE!K50 + SW!K50 + TEN!K50 + TEX!K50</f>
        <v>641551.62411106995</v>
      </c>
      <c r="L50" s="7">
        <f xml:space="preserve"> 0 + CAL!L50 + CAR!L50 + CENT!L50 + FLA!L50 + MIDA!L50 + MIDW!L50 + NE!L50 + NY!L50 + NW!L50 + SE!L50 + SW!L50 + TEN!L50 + TEX!L50</f>
        <v>670856.88572557003</v>
      </c>
      <c r="M50" s="7">
        <f xml:space="preserve"> 0 + CAL!M50 + CAR!M50 + CENT!M50 + FLA!M50 + MIDA!M50 + MIDW!M50 + NE!M50 + NY!M50 + NW!M50 + SE!M50 + SW!M50 + TEN!M50 + TEX!M50</f>
        <v>693202.56821552</v>
      </c>
      <c r="N50" s="7">
        <f xml:space="preserve"> 0 + CAL!N50 + CAR!N50 + CENT!N50 + FLA!N50 + MIDA!N50 + MIDW!N50 + NE!N50 + NY!N50 + NW!N50 + SE!N50 + SW!N50 + TEN!N50 + TEX!N50</f>
        <v>703008.7376282498</v>
      </c>
      <c r="O50" s="7">
        <f xml:space="preserve"> 0 + CAL!O50 + CAR!O50 + CENT!O50 + FLA!O50 + MIDA!O50 + MIDW!O50 + NE!O50 + NY!O50 + NW!O50 + SE!O50 + SW!O50 + TEN!O50 + TEX!O50</f>
        <v>706213.17283627996</v>
      </c>
      <c r="P50" s="7">
        <f xml:space="preserve"> 0 + CAL!P50 + CAR!P50 + CENT!P50 + FLA!P50 + MIDA!P50 + MIDW!P50 + NE!P50 + NY!P50 + NW!P50 + SE!P50 + SW!P50 + TEN!P50 + TEX!P50</f>
        <v>703690.28025288996</v>
      </c>
      <c r="Q50" s="7">
        <f xml:space="preserve"> 0 + CAL!Q50 + CAR!Q50 + CENT!Q50 + FLA!Q50 + MIDA!Q50 + MIDW!Q50 + NE!Q50 + NY!Q50 + NW!Q50 + SE!Q50 + SW!Q50 + TEN!Q50 + TEX!Q50</f>
        <v>694379.7700446602</v>
      </c>
      <c r="R50" s="7">
        <f xml:space="preserve"> 0 + CAL!R50 + CAR!R50 + CENT!R50 + FLA!R50 + MIDA!R50 + MIDW!R50 + NE!R50 + NY!R50 + NW!R50 + SE!R50 + SW!R50 + TEN!R50 + TEX!R50</f>
        <v>685087.57050091017</v>
      </c>
      <c r="S50" s="7">
        <f xml:space="preserve"> 0 + CAL!S50 + CAR!S50 + CENT!S50 + FLA!S50 + MIDA!S50 + MIDW!S50 + NE!S50 + NY!S50 + NW!S50 + SE!S50 + SW!S50 + TEN!S50 + TEX!S50</f>
        <v>676119.25798726024</v>
      </c>
      <c r="T50" s="7">
        <f xml:space="preserve"> 0 + CAL!T50 + CAR!T50 + CENT!T50 + FLA!T50 + MIDA!T50 + MIDW!T50 + NE!T50 + NY!T50 + NW!T50 + SE!T50 + SW!T50 + TEN!T50 + TEX!T50</f>
        <v>665573.53158969991</v>
      </c>
      <c r="U50" s="7">
        <f xml:space="preserve"> 0 + CAL!U50 + CAR!U50 + CENT!U50 + FLA!U50 + MIDA!U50 + MIDW!U50 + NE!U50 + NY!U50 + NW!U50 + SE!U50 + SW!U50 + TEN!U50 + TEX!U50</f>
        <v>656145.32117155008</v>
      </c>
      <c r="V50" s="7">
        <f xml:space="preserve"> 0 + CAL!V50 + CAR!V50 + CENT!V50 + FLA!V50 + MIDA!V50 + MIDW!V50 + NE!V50 + NY!V50 + NW!V50 + SE!V50 + SW!V50 + TEN!V50 + TEX!V50</f>
        <v>650880.76052329992</v>
      </c>
      <c r="W50" s="7">
        <f xml:space="preserve"> 0 + CAL!W50 + CAR!W50 + CENT!W50 + FLA!W50 + MIDA!W50 + MIDW!W50 + NE!W50 + NY!W50 + NW!W50 + SE!W50 + SW!W50 + TEN!W50 + TEX!W50</f>
        <v>652589.12342985999</v>
      </c>
      <c r="X50" s="7">
        <f xml:space="preserve"> 0 + CAL!X50 + CAR!X50 + CENT!X50 + FLA!X50 + MIDA!X50 + MIDW!X50 + NE!X50 + NY!X50 + NW!X50 + SE!X50 + SW!X50 + TEN!X50 + TEX!X50</f>
        <v>653566.74184459005</v>
      </c>
      <c r="Y50" s="7">
        <f xml:space="preserve"> 0 + CAL!Y50 + CAR!Y50 + CENT!Y50 + FLA!Y50 + MIDA!Y50 + MIDW!Y50 + NE!Y50 + NY!Y50 + NW!Y50 + SE!Y50 + SW!Y50 + TEN!Y50 + TEX!Y50</f>
        <v>654347.69834466989</v>
      </c>
      <c r="Z50" s="7">
        <f xml:space="preserve"> 0 + CAL!Z50 + CAR!Z50 + CENT!Z50 + FLA!Z50 + MIDA!Z50 + MIDW!Z50 + NE!Z50 + NY!Z50 + NW!Z50 + SE!Z50 + SW!Z50 + TEN!Z50 + TEX!Z50</f>
        <v>654174.1298281101</v>
      </c>
      <c r="AA50" s="7">
        <f xml:space="preserve"> 0 + CAL!AA50 + CAR!AA50 + CENT!AA50 + FLA!AA50 + MIDA!AA50 + MIDW!AA50 + NE!AA50 + NY!AA50 + NW!AA50 + SE!AA50 + SW!AA50 + TEN!AA50 + TEX!AA50</f>
        <v>653811.6526030699</v>
      </c>
      <c r="AB50" s="7">
        <f xml:space="preserve"> 0 + CAL!AB50 + CAR!AB50 + CENT!AB50 + FLA!AB50 + MIDA!AB50 + MIDW!AB50 + NE!AB50 + NY!AB50 + NW!AB50 + SE!AB50 + SW!AB50 + TEN!AB50 + TEX!AB50</f>
        <v>654895.46806515986</v>
      </c>
      <c r="AC50" s="7">
        <f xml:space="preserve"> 0 + CAL!AC50 + CAR!AC50 + CENT!AC50 + FLA!AC50 + MIDA!AC50 + MIDW!AC50 + NE!AC50 + NY!AC50 + NW!AC50 + SE!AC50 + SW!AC50 + TEN!AC50 + TEX!AC50</f>
        <v>656904.74838865991</v>
      </c>
    </row>
    <row r="51" spans="1:29" x14ac:dyDescent="0.85">
      <c r="A51" t="str">
        <f>CAL!A51</f>
        <v>Gas_Demand_MWh</v>
      </c>
      <c r="B51" s="7">
        <f xml:space="preserve"> 0 + CAL!B51 + CAR!B51 + CENT!B51 + FLA!B51 + MIDA!B51 + MIDW!B51 + NE!B51 + NY!B51 + NW!B51 + SE!B51 + SW!B51 + TEN!B51 + TEX!B51</f>
        <v>1534569586.806174</v>
      </c>
      <c r="C51" s="7">
        <f xml:space="preserve"> 0 + CAL!C51 + CAR!C51 + CENT!C51 + FLA!C51 + MIDA!C51 + MIDW!C51 + NE!C51 + NY!C51 + NW!C51 + SE!C51 + SW!C51 + TEN!C51 + TEX!C51</f>
        <v>1672061622.8043053</v>
      </c>
      <c r="D51" s="7">
        <f xml:space="preserve"> 0 + CAL!D51 + CAR!D51 + CENT!D51 + FLA!D51 + MIDA!D51 + MIDW!D51 + NE!D51 + NY!D51 + NW!D51 + SE!D51 + SW!D51 + TEN!D51 + TEX!D51</f>
        <v>1808595093.1732302</v>
      </c>
      <c r="E51" s="7">
        <f xml:space="preserve"> 0 + CAL!E51 + CAR!E51 + CENT!E51 + FLA!E51 + MIDA!E51 + MIDW!E51 + NE!E51 + NY!E51 + NW!E51 + SE!E51 + SW!E51 + TEN!E51 + TEX!E51</f>
        <v>1942866790.4883053</v>
      </c>
      <c r="F51" s="7">
        <f xml:space="preserve"> 0 + CAL!F51 + CAR!F51 + CENT!F51 + FLA!F51 + MIDA!F51 + MIDW!F51 + NE!F51 + NY!F51 + NW!F51 + SE!F51 + SW!F51 + TEN!F51 + TEX!F51</f>
        <v>2066532273.6467111</v>
      </c>
      <c r="G51" s="7">
        <f xml:space="preserve"> 0 + CAL!G51 + CAR!G51 + CENT!G51 + FLA!G51 + MIDA!G51 + MIDW!G51 + NE!G51 + NY!G51 + NW!G51 + SE!G51 + SW!G51 + TEN!G51 + TEX!G51</f>
        <v>2173611834.2061739</v>
      </c>
      <c r="H51" s="7">
        <f xml:space="preserve"> 0 + CAL!H51 + CAR!H51 + CENT!H51 + FLA!H51 + MIDA!H51 + MIDW!H51 + NE!H51 + NY!H51 + NW!H51 + SE!H51 + SW!H51 + TEN!H51 + TEX!H51</f>
        <v>2315943130.3545947</v>
      </c>
      <c r="I51" s="7">
        <f xml:space="preserve"> 0 + CAL!I51 + CAR!I51 + CENT!I51 + FLA!I51 + MIDA!I51 + MIDW!I51 + NE!I51 + NY!I51 + NW!I51 + SE!I51 + SW!I51 + TEN!I51 + TEX!I51</f>
        <v>2486610375.5845165</v>
      </c>
      <c r="J51" s="7">
        <f xml:space="preserve"> 0 + CAL!J51 + CAR!J51 + CENT!J51 + FLA!J51 + MIDA!J51 + MIDW!J51 + NE!J51 + NY!J51 + NW!J51 + SE!J51 + SW!J51 + TEN!J51 + TEX!J51</f>
        <v>2638967241.8644419</v>
      </c>
      <c r="K51" s="7">
        <f xml:space="preserve"> 0 + CAL!K51 + CAR!K51 + CENT!K51 + FLA!K51 + MIDA!K51 + MIDW!K51 + NE!K51 + NY!K51 + NW!K51 + SE!K51 + SW!K51 + TEN!K51 + TEX!K51</f>
        <v>2764824473.2713623</v>
      </c>
      <c r="L51" s="7">
        <f xml:space="preserve"> 0 + CAL!L51 + CAR!L51 + CENT!L51 + FLA!L51 + MIDA!L51 + MIDW!L51 + NE!L51 + NY!L51 + NW!L51 + SE!L51 + SW!L51 + TEN!L51 + TEX!L51</f>
        <v>2877029104.2047739</v>
      </c>
      <c r="M51" s="7">
        <f xml:space="preserve"> 0 + CAL!M51 + CAR!M51 + CENT!M51 + FLA!M51 + MIDA!M51 + MIDW!M51 + NE!M51 + NY!M51 + NW!M51 + SE!M51 + SW!M51 + TEN!M51 + TEX!M51</f>
        <v>2880928468.0579257</v>
      </c>
      <c r="N51" s="7">
        <f xml:space="preserve"> 0 + CAL!N51 + CAR!N51 + CENT!N51 + FLA!N51 + MIDA!N51 + MIDW!N51 + NE!N51 + NY!N51 + NW!N51 + SE!N51 + SW!N51 + TEN!N51 + TEX!N51</f>
        <v>2821752954.3577332</v>
      </c>
      <c r="O51" s="7">
        <f xml:space="preserve"> 0 + CAL!O51 + CAR!O51 + CENT!O51 + FLA!O51 + MIDA!O51 + MIDW!O51 + NE!O51 + NY!O51 + NW!O51 + SE!O51 + SW!O51 + TEN!O51 + TEX!O51</f>
        <v>2697308747.350853</v>
      </c>
      <c r="P51" s="7">
        <f xml:space="preserve"> 0 + CAL!P51 + CAR!P51 + CENT!P51 + FLA!P51 + MIDA!P51 + MIDW!P51 + NE!P51 + NY!P51 + NW!P51 + SE!P51 + SW!P51 + TEN!P51 + TEX!P51</f>
        <v>2550436672.8283939</v>
      </c>
      <c r="Q51" s="7">
        <f xml:space="preserve"> 0 + CAL!Q51 + CAR!Q51 + CENT!Q51 + FLA!Q51 + MIDA!Q51 + MIDW!Q51 + NE!Q51 + NY!Q51 + NW!Q51 + SE!Q51 + SW!Q51 + TEN!Q51 + TEX!Q51</f>
        <v>2348865662.0763183</v>
      </c>
      <c r="R51" s="7">
        <f xml:space="preserve"> 0 + CAL!R51 + CAR!R51 + CENT!R51 + FLA!R51 + MIDA!R51 + MIDW!R51 + NE!R51 + NY!R51 + NW!R51 + SE!R51 + SW!R51 + TEN!R51 + TEX!R51</f>
        <v>2150423686.2943869</v>
      </c>
      <c r="S51" s="7">
        <f xml:space="preserve"> 0 + CAL!S51 + CAR!S51 + CENT!S51 + FLA!S51 + MIDA!S51 + MIDW!S51 + NE!S51 + NY!S51 + NW!S51 + SE!S51 + SW!S51 + TEN!S51 + TEX!S51</f>
        <v>1958249992.1824744</v>
      </c>
      <c r="T51" s="7">
        <f xml:space="preserve"> 0 + CAL!T51 + CAR!T51 + CENT!T51 + FLA!T51 + MIDA!T51 + MIDW!T51 + NE!T51 + NY!T51 + NW!T51 + SE!T51 + SW!T51 + TEN!T51 + TEX!T51</f>
        <v>1771248507.6364105</v>
      </c>
      <c r="U51" s="7">
        <f xml:space="preserve"> 0 + CAL!U51 + CAR!U51 + CENT!U51 + FLA!U51 + MIDA!U51 + MIDW!U51 + NE!U51 + NY!U51 + NW!U51 + SE!U51 + SW!U51 + TEN!U51 + TEX!U51</f>
        <v>1602452909.9002705</v>
      </c>
      <c r="V51" s="7">
        <f xml:space="preserve"> 0 + CAL!V51 + CAR!V51 + CENT!V51 + FLA!V51 + MIDA!V51 + MIDW!V51 + NE!V51 + NY!V51 + NW!V51 + SE!V51 + SW!V51 + TEN!V51 + TEX!V51</f>
        <v>1461654153.1998091</v>
      </c>
      <c r="W51" s="7">
        <f xml:space="preserve"> 0 + CAL!W51 + CAR!W51 + CENT!W51 + FLA!W51 + MIDA!W51 + MIDW!W51 + NE!W51 + NY!W51 + NW!W51 + SE!W51 + SW!W51 + TEN!W51 + TEX!W51</f>
        <v>1349304688.3164086</v>
      </c>
      <c r="X51" s="7">
        <f xml:space="preserve"> 0 + CAL!X51 + CAR!X51 + CENT!X51 + FLA!X51 + MIDA!X51 + MIDW!X51 + NE!X51 + NY!X51 + NW!X51 + SE!X51 + SW!X51 + TEN!X51 + TEX!X51</f>
        <v>1239828622.2620699</v>
      </c>
      <c r="Y51" s="7">
        <f xml:space="preserve"> 0 + CAL!Y51 + CAR!Y51 + CENT!Y51 + FLA!Y51 + MIDA!Y51 + MIDW!Y51 + NE!Y51 + NY!Y51 + NW!Y51 + SE!Y51 + SW!Y51 + TEN!Y51 + TEX!Y51</f>
        <v>1133945917.0289931</v>
      </c>
      <c r="Z51" s="7">
        <f xml:space="preserve"> 0 + CAL!Z51 + CAR!Z51 + CENT!Z51 + FLA!Z51 + MIDA!Z51 + MIDW!Z51 + NE!Z51 + NY!Z51 + NW!Z51 + SE!Z51 + SW!Z51 + TEN!Z51 + TEX!Z51</f>
        <v>1037055061.7260898</v>
      </c>
      <c r="AA51" s="7">
        <f xml:space="preserve"> 0 + CAL!AA51 + CAR!AA51 + CENT!AA51 + FLA!AA51 + MIDA!AA51 + MIDW!AA51 + NE!AA51 + NY!AA51 + NW!AA51 + SE!AA51 + SW!AA51 + TEN!AA51 + TEX!AA51</f>
        <v>947980225.00658798</v>
      </c>
      <c r="AB51" s="7">
        <f xml:space="preserve"> 0 + CAL!AB51 + CAR!AB51 + CENT!AB51 + FLA!AB51 + MIDA!AB51 + MIDW!AB51 + NE!AB51 + NY!AB51 + NW!AB51 + SE!AB51 + SW!AB51 + TEN!AB51 + TEX!AB51</f>
        <v>876368323.67759585</v>
      </c>
      <c r="AC51" s="7">
        <f xml:space="preserve"> 0 + CAL!AC51 + CAR!AC51 + CENT!AC51 + FLA!AC51 + MIDA!AC51 + MIDW!AC51 + NE!AC51 + NY!AC51 + NW!AC51 + SE!AC51 + SW!AC51 + TEN!AC51 + TEX!AC51</f>
        <v>820999550.11848521</v>
      </c>
    </row>
    <row r="52" spans="1:29" x14ac:dyDescent="0.85">
      <c r="A52" t="str">
        <f>CAL!A52</f>
        <v>Gas_Supply_MWh</v>
      </c>
      <c r="B52" s="7">
        <f xml:space="preserve"> 0 + CAL!B52 + CAR!B52 + CENT!B52 + FLA!B52 + MIDA!B52 + MIDW!B52 + NE!B52 + NY!B52 + NW!B52 + SE!B52 + SW!B52 + TEN!B52 + TEX!B52</f>
        <v>1534569586.806174</v>
      </c>
      <c r="C52" s="7">
        <f xml:space="preserve"> 0 + CAL!C52 + CAR!C52 + CENT!C52 + FLA!C52 + MIDA!C52 + MIDW!C52 + NE!C52 + NY!C52 + NW!C52 + SE!C52 + SW!C52 + TEN!C52 + TEX!C52</f>
        <v>1672061622.8043053</v>
      </c>
      <c r="D52" s="7">
        <f xml:space="preserve"> 0 + CAL!D52 + CAR!D52 + CENT!D52 + FLA!D52 + MIDA!D52 + MIDW!D52 + NE!D52 + NY!D52 + NW!D52 + SE!D52 + SW!D52 + TEN!D52 + TEX!D52</f>
        <v>1808595093.1732302</v>
      </c>
      <c r="E52" s="7">
        <f xml:space="preserve"> 0 + CAL!E52 + CAR!E52 + CENT!E52 + FLA!E52 + MIDA!E52 + MIDW!E52 + NE!E52 + NY!E52 + NW!E52 + SE!E52 + SW!E52 + TEN!E52 + TEX!E52</f>
        <v>1942866790.4883053</v>
      </c>
      <c r="F52" s="7">
        <f xml:space="preserve"> 0 + CAL!F52 + CAR!F52 + CENT!F52 + FLA!F52 + MIDA!F52 + MIDW!F52 + NE!F52 + NY!F52 + NW!F52 + SE!F52 + SW!F52 + TEN!F52 + TEX!F52</f>
        <v>2066532273.6467111</v>
      </c>
      <c r="G52" s="7">
        <f xml:space="preserve"> 0 + CAL!G52 + CAR!G52 + CENT!G52 + FLA!G52 + MIDA!G52 + MIDW!G52 + NE!G52 + NY!G52 + NW!G52 + SE!G52 + SW!G52 + TEN!G52 + TEX!G52</f>
        <v>2173611834.2061739</v>
      </c>
      <c r="H52" s="7">
        <f xml:space="preserve"> 0 + CAL!H52 + CAR!H52 + CENT!H52 + FLA!H52 + MIDA!H52 + MIDW!H52 + NE!H52 + NY!H52 + NW!H52 + SE!H52 + SW!H52 + TEN!H52 + TEX!H52</f>
        <v>2315943130.3545947</v>
      </c>
      <c r="I52" s="7">
        <f xml:space="preserve"> 0 + CAL!I52 + CAR!I52 + CENT!I52 + FLA!I52 + MIDA!I52 + MIDW!I52 + NE!I52 + NY!I52 + NW!I52 + SE!I52 + SW!I52 + TEN!I52 + TEX!I52</f>
        <v>2486610375.5845165</v>
      </c>
      <c r="J52" s="7">
        <f xml:space="preserve"> 0 + CAL!J52 + CAR!J52 + CENT!J52 + FLA!J52 + MIDA!J52 + MIDW!J52 + NE!J52 + NY!J52 + NW!J52 + SE!J52 + SW!J52 + TEN!J52 + TEX!J52</f>
        <v>2638967241.8644419</v>
      </c>
      <c r="K52" s="7">
        <f xml:space="preserve"> 0 + CAL!K52 + CAR!K52 + CENT!K52 + FLA!K52 + MIDA!K52 + MIDW!K52 + NE!K52 + NY!K52 + NW!K52 + SE!K52 + SW!K52 + TEN!K52 + TEX!K52</f>
        <v>2764824473.2713623</v>
      </c>
      <c r="L52" s="7">
        <f xml:space="preserve"> 0 + CAL!L52 + CAR!L52 + CENT!L52 + FLA!L52 + MIDA!L52 + MIDW!L52 + NE!L52 + NY!L52 + NW!L52 + SE!L52 + SW!L52 + TEN!L52 + TEX!L52</f>
        <v>2877029104.2047739</v>
      </c>
      <c r="M52" s="7">
        <f xml:space="preserve"> 0 + CAL!M52 + CAR!M52 + CENT!M52 + FLA!M52 + MIDA!M52 + MIDW!M52 + NE!M52 + NY!M52 + NW!M52 + SE!M52 + SW!M52 + TEN!M52 + TEX!M52</f>
        <v>2880928468.0579257</v>
      </c>
      <c r="N52" s="7">
        <f xml:space="preserve"> 0 + CAL!N52 + CAR!N52 + CENT!N52 + FLA!N52 + MIDA!N52 + MIDW!N52 + NE!N52 + NY!N52 + NW!N52 + SE!N52 + SW!N52 + TEN!N52 + TEX!N52</f>
        <v>2821752954.3577332</v>
      </c>
      <c r="O52" s="7">
        <f xml:space="preserve"> 0 + CAL!O52 + CAR!O52 + CENT!O52 + FLA!O52 + MIDA!O52 + MIDW!O52 + NE!O52 + NY!O52 + NW!O52 + SE!O52 + SW!O52 + TEN!O52 + TEX!O52</f>
        <v>2697308747.350853</v>
      </c>
      <c r="P52" s="7">
        <f xml:space="preserve"> 0 + CAL!P52 + CAR!P52 + CENT!P52 + FLA!P52 + MIDA!P52 + MIDW!P52 + NE!P52 + NY!P52 + NW!P52 + SE!P52 + SW!P52 + TEN!P52 + TEX!P52</f>
        <v>2550436672.8283939</v>
      </c>
      <c r="Q52" s="7">
        <f xml:space="preserve"> 0 + CAL!Q52 + CAR!Q52 + CENT!Q52 + FLA!Q52 + MIDA!Q52 + MIDW!Q52 + NE!Q52 + NY!Q52 + NW!Q52 + SE!Q52 + SW!Q52 + TEN!Q52 + TEX!Q52</f>
        <v>2348865662.0763183</v>
      </c>
      <c r="R52" s="7">
        <f xml:space="preserve"> 0 + CAL!R52 + CAR!R52 + CENT!R52 + FLA!R52 + MIDA!R52 + MIDW!R52 + NE!R52 + NY!R52 + NW!R52 + SE!R52 + SW!R52 + TEN!R52 + TEX!R52</f>
        <v>2150423686.2943869</v>
      </c>
      <c r="S52" s="7">
        <f xml:space="preserve"> 0 + CAL!S52 + CAR!S52 + CENT!S52 + FLA!S52 + MIDA!S52 + MIDW!S52 + NE!S52 + NY!S52 + NW!S52 + SE!S52 + SW!S52 + TEN!S52 + TEX!S52</f>
        <v>1958249992.1824744</v>
      </c>
      <c r="T52" s="7">
        <f xml:space="preserve"> 0 + CAL!T52 + CAR!T52 + CENT!T52 + FLA!T52 + MIDA!T52 + MIDW!T52 + NE!T52 + NY!T52 + NW!T52 + SE!T52 + SW!T52 + TEN!T52 + TEX!T52</f>
        <v>1771248507.6364105</v>
      </c>
      <c r="U52" s="7">
        <f xml:space="preserve"> 0 + CAL!U52 + CAR!U52 + CENT!U52 + FLA!U52 + MIDA!U52 + MIDW!U52 + NE!U52 + NY!U52 + NW!U52 + SE!U52 + SW!U52 + TEN!U52 + TEX!U52</f>
        <v>1602452909.9002705</v>
      </c>
      <c r="V52" s="7">
        <f xml:space="preserve"> 0 + CAL!V52 + CAR!V52 + CENT!V52 + FLA!V52 + MIDA!V52 + MIDW!V52 + NE!V52 + NY!V52 + NW!V52 + SE!V52 + SW!V52 + TEN!V52 + TEX!V52</f>
        <v>1461654153.1998091</v>
      </c>
      <c r="W52" s="7">
        <f xml:space="preserve"> 0 + CAL!W52 + CAR!W52 + CENT!W52 + FLA!W52 + MIDA!W52 + MIDW!W52 + NE!W52 + NY!W52 + NW!W52 + SE!W52 + SW!W52 + TEN!W52 + TEX!W52</f>
        <v>1349304688.3164086</v>
      </c>
      <c r="X52" s="7">
        <f xml:space="preserve"> 0 + CAL!X52 + CAR!X52 + CENT!X52 + FLA!X52 + MIDA!X52 + MIDW!X52 + NE!X52 + NY!X52 + NW!X52 + SE!X52 + SW!X52 + TEN!X52 + TEX!X52</f>
        <v>1239828622.2620699</v>
      </c>
      <c r="Y52" s="7">
        <f xml:space="preserve"> 0 + CAL!Y52 + CAR!Y52 + CENT!Y52 + FLA!Y52 + MIDA!Y52 + MIDW!Y52 + NE!Y52 + NY!Y52 + NW!Y52 + SE!Y52 + SW!Y52 + TEN!Y52 + TEX!Y52</f>
        <v>1133945917.0289931</v>
      </c>
      <c r="Z52" s="7">
        <f xml:space="preserve"> 0 + CAL!Z52 + CAR!Z52 + CENT!Z52 + FLA!Z52 + MIDA!Z52 + MIDW!Z52 + NE!Z52 + NY!Z52 + NW!Z52 + SE!Z52 + SW!Z52 + TEN!Z52 + TEX!Z52</f>
        <v>1037055061.7260898</v>
      </c>
      <c r="AA52" s="7">
        <f xml:space="preserve"> 0 + CAL!AA52 + CAR!AA52 + CENT!AA52 + FLA!AA52 + MIDA!AA52 + MIDW!AA52 + NE!AA52 + NY!AA52 + NW!AA52 + SE!AA52 + SW!AA52 + TEN!AA52 + TEX!AA52</f>
        <v>947980225.00658798</v>
      </c>
      <c r="AB52" s="7">
        <f xml:space="preserve"> 0 + CAL!AB52 + CAR!AB52 + CENT!AB52 + FLA!AB52 + MIDA!AB52 + MIDW!AB52 + NE!AB52 + NY!AB52 + NW!AB52 + SE!AB52 + SW!AB52 + TEN!AB52 + TEX!AB52</f>
        <v>876368323.67759585</v>
      </c>
      <c r="AC52" s="7">
        <f xml:space="preserve"> 0 + CAL!AC52 + CAR!AC52 + CENT!AC52 + FLA!AC52 + MIDA!AC52 + MIDW!AC52 + NE!AC52 + NY!AC52 + NW!AC52 + SE!AC52 + SW!AC52 + TEN!AC52 + TEX!AC52</f>
        <v>820999550.11848521</v>
      </c>
    </row>
    <row r="53" spans="1:29" x14ac:dyDescent="0.85">
      <c r="A53" t="str">
        <f>CAL!A53</f>
        <v>Gas_Cost</v>
      </c>
      <c r="B53" s="7">
        <f xml:space="preserve"> 0 + CAL!B53 + CAR!B53 + CENT!B53 + FLA!B53 + MIDA!B53 + MIDW!B53 + NE!B53 + NY!B53 + NW!B53 + SE!B53 + SW!B53 + TEN!B53 + TEX!B53</f>
        <v>113330.59433928001</v>
      </c>
      <c r="C53" s="7">
        <f xml:space="preserve"> 0 + CAL!C53 + CAR!C53 + CENT!C53 + FLA!C53 + MIDA!C53 + MIDW!C53 + NE!C53 + NY!C53 + NW!C53 + SE!C53 + SW!C53 + TEN!C53 + TEX!C53</f>
        <v>120693.22716953</v>
      </c>
      <c r="D53" s="7">
        <f xml:space="preserve"> 0 + CAL!D53 + CAR!D53 + CENT!D53 + FLA!D53 + MIDA!D53 + MIDW!D53 + NE!D53 + NY!D53 + NW!D53 + SE!D53 + SW!D53 + TEN!D53 + TEX!D53</f>
        <v>128301.62527990999</v>
      </c>
      <c r="E53" s="7">
        <f xml:space="preserve"> 0 + CAL!E53 + CAR!E53 + CENT!E53 + FLA!E53 + MIDA!E53 + MIDW!E53 + NE!E53 + NY!E53 + NW!E53 + SE!E53 + SW!E53 + TEN!E53 + TEX!E53</f>
        <v>135776.95856618002</v>
      </c>
      <c r="F53" s="7">
        <f xml:space="preserve"> 0 + CAL!F53 + CAR!F53 + CENT!F53 + FLA!F53 + MIDA!F53 + MIDW!F53 + NE!F53 + NY!F53 + NW!F53 + SE!F53 + SW!F53 + TEN!F53 + TEX!F53</f>
        <v>142774.36554675002</v>
      </c>
      <c r="G53" s="7">
        <f xml:space="preserve"> 0 + CAL!G53 + CAR!G53 + CENT!G53 + FLA!G53 + MIDA!G53 + MIDW!G53 + NE!G53 + NY!G53 + NW!G53 + SE!G53 + SW!G53 + TEN!G53 + TEX!G53</f>
        <v>149422.61766871999</v>
      </c>
      <c r="H53" s="7">
        <f xml:space="preserve"> 0 + CAL!H53 + CAR!H53 + CENT!H53 + FLA!H53 + MIDA!H53 + MIDW!H53 + NE!H53 + NY!H53 + NW!H53 + SE!H53 + SW!H53 + TEN!H53 + TEX!H53</f>
        <v>158026.94833692</v>
      </c>
      <c r="I53" s="7">
        <f xml:space="preserve"> 0 + CAL!I53 + CAR!I53 + CENT!I53 + FLA!I53 + MIDA!I53 + MIDW!I53 + NE!I53 + NY!I53 + NW!I53 + SE!I53 + SW!I53 + TEN!I53 + TEX!I53</f>
        <v>168858.96250148001</v>
      </c>
      <c r="J53" s="7">
        <f xml:space="preserve"> 0 + CAL!J53 + CAR!J53 + CENT!J53 + FLA!J53 + MIDA!J53 + MIDW!J53 + NE!J53 + NY!J53 + NW!J53 + SE!J53 + SW!J53 + TEN!J53 + TEX!J53</f>
        <v>179225.09008770998</v>
      </c>
      <c r="K53" s="7">
        <f xml:space="preserve"> 0 + CAL!K53 + CAR!K53 + CENT!K53 + FLA!K53 + MIDA!K53 + MIDW!K53 + NE!K53 + NY!K53 + NW!K53 + SE!K53 + SW!K53 + TEN!K53 + TEX!K53</f>
        <v>189124.26773274003</v>
      </c>
      <c r="L53" s="7">
        <f xml:space="preserve"> 0 + CAL!L53 + CAR!L53 + CENT!L53 + FLA!L53 + MIDA!L53 + MIDW!L53 + NE!L53 + NY!L53 + NW!L53 + SE!L53 + SW!L53 + TEN!L53 + TEX!L53</f>
        <v>197419.45118460999</v>
      </c>
      <c r="M53" s="7">
        <f xml:space="preserve"> 0 + CAL!M53 + CAR!M53 + CENT!M53 + FLA!M53 + MIDA!M53 + MIDW!M53 + NE!M53 + NY!M53 + NW!M53 + SE!M53 + SW!M53 + TEN!M53 + TEX!M53</f>
        <v>201752.18563065003</v>
      </c>
      <c r="N53" s="7">
        <f xml:space="preserve"> 0 + CAL!N53 + CAR!N53 + CENT!N53 + FLA!N53 + MIDA!N53 + MIDW!N53 + NE!N53 + NY!N53 + NW!N53 + SE!N53 + SW!N53 + TEN!N53 + TEX!N53</f>
        <v>202167.92520216</v>
      </c>
      <c r="O53" s="7">
        <f xml:space="preserve"> 0 + CAL!O53 + CAR!O53 + CENT!O53 + FLA!O53 + MIDA!O53 + MIDW!O53 + NE!O53 + NY!O53 + NW!O53 + SE!O53 + SW!O53 + TEN!O53 + TEX!O53</f>
        <v>199739.16915371004</v>
      </c>
      <c r="P53" s="7">
        <f xml:space="preserve"> 0 + CAL!P53 + CAR!P53 + CENT!P53 + FLA!P53 + MIDA!P53 + MIDW!P53 + NE!P53 + NY!P53 + NW!P53 + SE!P53 + SW!P53 + TEN!P53 + TEX!P53</f>
        <v>195677.05429575997</v>
      </c>
      <c r="Q53" s="7">
        <f xml:space="preserve"> 0 + CAL!Q53 + CAR!Q53 + CENT!Q53 + FLA!Q53 + MIDA!Q53 + MIDW!Q53 + NE!Q53 + NY!Q53 + NW!Q53 + SE!Q53 + SW!Q53 + TEN!Q53 + TEX!Q53</f>
        <v>188993.09533523</v>
      </c>
      <c r="R53" s="7">
        <f xml:space="preserve"> 0 + CAL!R53 + CAR!R53 + CENT!R53 + FLA!R53 + MIDA!R53 + MIDW!R53 + NE!R53 + NY!R53 + NW!R53 + SE!R53 + SW!R53 + TEN!R53 + TEX!R53</f>
        <v>182388.95722529001</v>
      </c>
      <c r="S53" s="7">
        <f xml:space="preserve"> 0 + CAL!S53 + CAR!S53 + CENT!S53 + FLA!S53 + MIDA!S53 + MIDW!S53 + NE!S53 + NY!S53 + NW!S53 + SE!S53 + SW!S53 + TEN!S53 + TEX!S53</f>
        <v>175999.18646845</v>
      </c>
      <c r="T53" s="7">
        <f xml:space="preserve"> 0 + CAL!T53 + CAR!T53 + CENT!T53 + FLA!T53 + MIDA!T53 + MIDW!T53 + NE!T53 + NY!T53 + NW!T53 + SE!T53 + SW!T53 + TEN!T53 + TEX!T53</f>
        <v>169436.48005101999</v>
      </c>
      <c r="U53" s="7">
        <f xml:space="preserve"> 0 + CAL!U53 + CAR!U53 + CENT!U53 + FLA!U53 + MIDA!U53 + MIDW!U53 + NE!U53 + NY!U53 + NW!U53 + SE!U53 + SW!U53 + TEN!U53 + TEX!U53</f>
        <v>163529.92073866003</v>
      </c>
      <c r="V53" s="7">
        <f xml:space="preserve"> 0 + CAL!V53 + CAR!V53 + CENT!V53 + FLA!V53 + MIDA!V53 + MIDW!V53 + NE!V53 + NY!V53 + NW!V53 + SE!V53 + SW!V53 + TEN!V53 + TEX!V53</f>
        <v>159096.07045677002</v>
      </c>
      <c r="W53" s="7">
        <f xml:space="preserve"> 0 + CAL!W53 + CAR!W53 + CENT!W53 + FLA!W53 + MIDA!W53 + MIDW!W53 + NE!W53 + NY!W53 + NW!W53 + SE!W53 + SW!W53 + TEN!W53 + TEX!W53</f>
        <v>156678.71399508</v>
      </c>
      <c r="X53" s="7">
        <f xml:space="preserve"> 0 + CAL!X53 + CAR!X53 + CENT!X53 + FLA!X53 + MIDA!X53 + MIDW!X53 + NE!X53 + NY!X53 + NW!X53 + SE!X53 + SW!X53 + TEN!X53 + TEX!X53</f>
        <v>154192.89155943002</v>
      </c>
      <c r="Y53" s="7">
        <f xml:space="preserve"> 0 + CAL!Y53 + CAR!Y53 + CENT!Y53 + FLA!Y53 + MIDA!Y53 + MIDW!Y53 + NE!Y53 + NY!Y53 + NW!Y53 + SE!Y53 + SW!Y53 + TEN!Y53 + TEX!Y53</f>
        <v>151757.45256065001</v>
      </c>
      <c r="Z53" s="7">
        <f xml:space="preserve"> 0 + CAL!Z53 + CAR!Z53 + CENT!Z53 + FLA!Z53 + MIDA!Z53 + MIDW!Z53 + NE!Z53 + NY!Z53 + NW!Z53 + SE!Z53 + SW!Z53 + TEN!Z53 + TEX!Z53</f>
        <v>149360.40050932998</v>
      </c>
      <c r="AA53" s="7">
        <f xml:space="preserve"> 0 + CAL!AA53 + CAR!AA53 + CENT!AA53 + FLA!AA53 + MIDA!AA53 + MIDW!AA53 + NE!AA53 + NY!AA53 + NW!AA53 + SE!AA53 + SW!AA53 + TEN!AA53 + TEX!AA53</f>
        <v>147118.23504657997</v>
      </c>
      <c r="AB53" s="7">
        <f xml:space="preserve"> 0 + CAL!AB53 + CAR!AB53 + CENT!AB53 + FLA!AB53 + MIDA!AB53 + MIDW!AB53 + NE!AB53 + NY!AB53 + NW!AB53 + SE!AB53 + SW!AB53 + TEN!AB53 + TEX!AB53</f>
        <v>145576.43722319999</v>
      </c>
      <c r="AC53" s="7">
        <f xml:space="preserve"> 0 + CAL!AC53 + CAR!AC53 + CENT!AC53 + FLA!AC53 + MIDA!AC53 + MIDW!AC53 + NE!AC53 + NY!AC53 + NW!AC53 + SE!AC53 + SW!AC53 + TEN!AC53 + TEX!AC53</f>
        <v>144606.47499926999</v>
      </c>
    </row>
    <row r="54" spans="1:29" x14ac:dyDescent="0.85">
      <c r="A54" t="str">
        <f>CAL!A54</f>
        <v>Gas_CO2_Cost</v>
      </c>
      <c r="B54" s="7">
        <f xml:space="preserve"> 0 + CAL!B54 + CAR!B54 + CENT!B54 + FLA!B54 + MIDA!B54 + MIDW!B54 + NE!B54 + NY!B54 + NW!B54 + SE!B54 + SW!B54 + TEN!B54 + TEX!B54</f>
        <v>0</v>
      </c>
      <c r="C54" s="7">
        <f xml:space="preserve"> 0 + CAL!C54 + CAR!C54 + CENT!C54 + FLA!C54 + MIDA!C54 + MIDW!C54 + NE!C54 + NY!C54 + NW!C54 + SE!C54 + SW!C54 + TEN!C54 + TEX!C54</f>
        <v>16386.203903479996</v>
      </c>
      <c r="D54" s="7">
        <f xml:space="preserve"> 0 + CAL!D54 + CAR!D54 + CENT!D54 + FLA!D54 + MIDA!D54 + MIDW!D54 + NE!D54 + NY!D54 + NW!D54 + SE!D54 + SW!D54 + TEN!D54 + TEX!D54</f>
        <v>35448.463826200001</v>
      </c>
      <c r="E54" s="7">
        <f xml:space="preserve"> 0 + CAL!E54 + CAR!E54 + CENT!E54 + FLA!E54 + MIDA!E54 + MIDW!E54 + NE!E54 + NY!E54 + NW!E54 + SE!E54 + SW!E54 + TEN!E54 + TEX!E54</f>
        <v>57120.28364034999</v>
      </c>
      <c r="F54" s="7">
        <f xml:space="preserve"> 0 + CAL!F54 + CAR!F54 + CENT!F54 + FLA!F54 + MIDA!F54 + MIDW!F54 + NE!F54 + NY!F54 + NW!F54 + SE!F54 + SW!F54 + TEN!F54 + TEX!F54</f>
        <v>81008.065126940011</v>
      </c>
      <c r="G54" s="7">
        <f xml:space="preserve"> 0 + CAL!G54 + CAR!G54 + CENT!G54 + FLA!G54 + MIDA!G54 + MIDW!G54 + NE!G54 + NY!G54 + NW!G54 + SE!G54 + SW!G54 + TEN!G54 + TEX!G54</f>
        <v>106506.97987611001</v>
      </c>
      <c r="H54" s="7">
        <f xml:space="preserve"> 0 + CAL!H54 + CAR!H54 + CENT!H54 + FLA!H54 + MIDA!H54 + MIDW!H54 + NE!H54 + NY!H54 + NW!H54 + SE!H54 + SW!H54 + TEN!H54 + TEX!H54</f>
        <v>136177.45606485999</v>
      </c>
      <c r="I54" s="7">
        <f xml:space="preserve"> 0 + CAL!I54 + CAR!I54 + CENT!I54 + FLA!I54 + MIDA!I54 + MIDW!I54 + NE!I54 + NY!I54 + NW!I54 + SE!I54 + SW!I54 + TEN!I54 + TEX!I54</f>
        <v>170581.47176510002</v>
      </c>
      <c r="J54" s="7">
        <f xml:space="preserve"> 0 + CAL!J54 + CAR!J54 + CENT!J54 + FLA!J54 + MIDA!J54 + MIDW!J54 + NE!J54 + NY!J54 + NW!J54 + SE!J54 + SW!J54 + TEN!J54 + TEX!J54</f>
        <v>206895.03176218004</v>
      </c>
      <c r="K54" s="7">
        <f xml:space="preserve"> 0 + CAL!K54 + CAR!K54 + CENT!K54 + FLA!K54 + MIDA!K54 + MIDW!K54 + NE!K54 + NY!K54 + NW!K54 + SE!K54 + SW!K54 + TEN!K54 + TEX!K54</f>
        <v>243857.51854251997</v>
      </c>
      <c r="L54" s="7">
        <f xml:space="preserve"> 0 + CAL!L54 + CAR!L54 + CENT!L54 + FLA!L54 + MIDA!L54 + MIDW!L54 + NE!L54 + NY!L54 + NW!L54 + SE!L54 + SW!L54 + TEN!L54 + TEX!L54</f>
        <v>281948.85221205</v>
      </c>
      <c r="M54" s="7">
        <f xml:space="preserve"> 0 + CAL!M54 + CAR!M54 + CENT!M54 + FLA!M54 + MIDA!M54 + MIDW!M54 + NE!M54 + NY!M54 + NW!M54 + SE!M54 + SW!M54 + TEN!M54 + TEX!M54</f>
        <v>310564.08885665995</v>
      </c>
      <c r="N54" s="7">
        <f xml:space="preserve"> 0 + CAL!N54 + CAR!N54 + CENT!N54 + FLA!N54 + MIDA!N54 + MIDW!N54 + NE!N54 + NY!N54 + NW!N54 + SE!N54 + SW!N54 + TEN!N54 + TEX!N54</f>
        <v>331838.14743247</v>
      </c>
      <c r="O54" s="7">
        <f xml:space="preserve"> 0 + CAL!O54 + CAR!O54 + CENT!O54 + FLA!O54 + MIDA!O54 + MIDW!O54 + NE!O54 + NY!O54 + NW!O54 + SE!O54 + SW!O54 + TEN!O54 + TEX!O54</f>
        <v>343637.13441249996</v>
      </c>
      <c r="P54" s="7">
        <f xml:space="preserve"> 0 + CAL!P54 + CAR!P54 + CENT!P54 + FLA!P54 + MIDA!P54 + MIDW!P54 + NE!P54 + NY!P54 + NW!P54 + SE!P54 + SW!P54 + TEN!P54 + TEX!P54</f>
        <v>349919.91151206003</v>
      </c>
      <c r="Q54" s="7">
        <f xml:space="preserve"> 0 + CAL!Q54 + CAR!Q54 + CENT!Q54 + FLA!Q54 + MIDA!Q54 + MIDW!Q54 + NE!Q54 + NY!Q54 + NW!Q54 + SE!Q54 + SW!Q54 + TEN!Q54 + TEX!Q54</f>
        <v>345283.25232522999</v>
      </c>
      <c r="R54" s="7">
        <f xml:space="preserve"> 0 + CAL!R54 + CAR!R54 + CENT!R54 + FLA!R54 + MIDA!R54 + MIDW!R54 + NE!R54 + NY!R54 + NW!R54 + SE!R54 + SW!R54 + TEN!R54 + TEX!R54</f>
        <v>337186.43401095993</v>
      </c>
      <c r="S54" s="7">
        <f xml:space="preserve"> 0 + CAL!S54 + CAR!S54 + CENT!S54 + FLA!S54 + MIDA!S54 + MIDW!S54 + NE!S54 + NY!S54 + NW!S54 + SE!S54 + SW!S54 + TEN!S54 + TEX!S54</f>
        <v>326244.44869759993</v>
      </c>
      <c r="T54" s="7">
        <f xml:space="preserve"> 0 + CAL!T54 + CAR!T54 + CENT!T54 + FLA!T54 + MIDA!T54 + MIDW!T54 + NE!T54 + NY!T54 + NW!T54 + SE!T54 + SW!T54 + TEN!T54 + TEX!T54</f>
        <v>312448.23674706998</v>
      </c>
      <c r="U54" s="7">
        <f xml:space="preserve"> 0 + CAL!U54 + CAR!U54 + CENT!U54 + FLA!U54 + MIDA!U54 + MIDW!U54 + NE!U54 + NY!U54 + NW!U54 + SE!U54 + SW!U54 + TEN!U54 + TEX!U54</f>
        <v>298376.73182341002</v>
      </c>
      <c r="V54" s="7">
        <f xml:space="preserve"> 0 + CAL!V54 + CAR!V54 + CENT!V54 + FLA!V54 + MIDA!V54 + MIDW!V54 + NE!V54 + NY!V54 + NW!V54 + SE!V54 + SW!V54 + TEN!V54 + TEX!V54</f>
        <v>286484.21402714</v>
      </c>
      <c r="W54" s="7">
        <f xml:space="preserve"> 0 + CAL!W54 + CAR!W54 + CENT!W54 + FLA!W54 + MIDA!W54 + MIDW!W54 + NE!W54 + NY!W54 + NW!W54 + SE!W54 + SW!W54 + TEN!W54 + TEX!W54</f>
        <v>277686.90485552995</v>
      </c>
      <c r="X54" s="7">
        <f xml:space="preserve"> 0 + CAL!X54 + CAR!X54 + CENT!X54 + FLA!X54 + MIDA!X54 + MIDW!X54 + NE!X54 + NY!X54 + NW!X54 + SE!X54 + SW!X54 + TEN!X54 + TEX!X54</f>
        <v>267307.05095969001</v>
      </c>
      <c r="Y54" s="7">
        <f xml:space="preserve"> 0 + CAL!Y54 + CAR!Y54 + CENT!Y54 + FLA!Y54 + MIDA!Y54 + MIDW!Y54 + NE!Y54 + NY!Y54 + NW!Y54 + SE!Y54 + SW!Y54 + TEN!Y54 + TEX!Y54</f>
        <v>255591.40969833999</v>
      </c>
      <c r="Z54" s="7">
        <f xml:space="preserve"> 0 + CAL!Z54 + CAR!Z54 + CENT!Z54 + FLA!Z54 + MIDA!Z54 + MIDW!Z54 + NE!Z54 + NY!Z54 + NW!Z54 + SE!Z54 + SW!Z54 + TEN!Z54 + TEX!Z54</f>
        <v>243915.35051799001</v>
      </c>
      <c r="AA54" s="7">
        <f xml:space="preserve"> 0 + CAL!AA54 + CAR!AA54 + CENT!AA54 + FLA!AA54 + MIDA!AA54 + MIDW!AA54 + NE!AA54 + NY!AA54 + NW!AA54 + SE!AA54 + SW!AA54 + TEN!AA54 + TEX!AA54</f>
        <v>232255.15512661001</v>
      </c>
      <c r="AB54" s="7">
        <f xml:space="preserve"> 0 + CAL!AB54 + CAR!AB54 + CENT!AB54 + FLA!AB54 + MIDA!AB54 + MIDW!AB54 + NE!AB54 + NY!AB54 + NW!AB54 + SE!AB54 + SW!AB54 + TEN!AB54 + TEX!AB54</f>
        <v>223298.64887303999</v>
      </c>
      <c r="AC54" s="7">
        <f xml:space="preserve"> 0 + CAL!AC54 + CAR!AC54 + CENT!AC54 + FLA!AC54 + MIDA!AC54 + MIDW!AC54 + NE!AC54 + NY!AC54 + NW!AC54 + SE!AC54 + SW!AC54 + TEN!AC54 + TEX!AC54</f>
        <v>217236.48096136001</v>
      </c>
    </row>
    <row r="55" spans="1:29" x14ac:dyDescent="0.85">
      <c r="A55" t="str">
        <f>CAL!A55</f>
        <v>Gas_CO2_MTon</v>
      </c>
      <c r="B55" s="7">
        <f xml:space="preserve"> 0 + CAL!B55 + CAR!B55 + CENT!B55 + FLA!B55 + MIDA!B55 + MIDW!B55 + NE!B55 + NY!B55 + NW!B55 + SE!B55 + SW!B55 + TEN!B55 + TEX!B55</f>
        <v>751.93909753000003</v>
      </c>
      <c r="C55" s="7">
        <f xml:space="preserve"> 0 + CAL!C55 + CAR!C55 + CENT!C55 + FLA!C55 + MIDA!C55 + MIDW!C55 + NE!C55 + NY!C55 + NW!C55 + SE!C55 + SW!C55 + TEN!C55 + TEX!C55</f>
        <v>819.31019516999993</v>
      </c>
      <c r="D55" s="7">
        <f xml:space="preserve"> 0 + CAL!D55 + CAR!D55 + CENT!D55 + FLA!D55 + MIDA!D55 + MIDW!D55 + NE!D55 + NY!D55 + NW!D55 + SE!D55 + SW!D55 + TEN!D55 + TEX!D55</f>
        <v>886.21159565000005</v>
      </c>
      <c r="E55" s="7">
        <f xml:space="preserve"> 0 + CAL!E55 + CAR!E55 + CENT!E55 + FLA!E55 + MIDA!E55 + MIDW!E55 + NE!E55 + NY!E55 + NW!E55 + SE!E55 + SW!E55 + TEN!E55 + TEX!E55</f>
        <v>952.00472732000003</v>
      </c>
      <c r="F55" s="7">
        <f xml:space="preserve"> 0 + CAL!F55 + CAR!F55 + CENT!F55 + FLA!F55 + MIDA!F55 + MIDW!F55 + NE!F55 + NY!F55 + NW!F55 + SE!F55 + SW!F55 + TEN!F55 + TEX!F55</f>
        <v>1012.6008140900001</v>
      </c>
      <c r="G55" s="7">
        <f xml:space="preserve"> 0 + CAL!G55 + CAR!G55 + CENT!G55 + FLA!G55 + MIDA!G55 + MIDW!G55 + NE!G55 + NY!G55 + NW!G55 + SE!G55 + SW!G55 + TEN!G55 + TEX!G55</f>
        <v>1065.0697987600001</v>
      </c>
      <c r="H55" s="7">
        <f xml:space="preserve"> 0 + CAL!H55 + CAR!H55 + CENT!H55 + FLA!H55 + MIDA!H55 + MIDW!H55 + NE!H55 + NY!H55 + NW!H55 + SE!H55 + SW!H55 + TEN!H55 + TEX!H55</f>
        <v>1134.8121338800001</v>
      </c>
      <c r="I55" s="7">
        <f xml:space="preserve"> 0 + CAL!I55 + CAR!I55 + CENT!I55 + FLA!I55 + MIDA!I55 + MIDW!I55 + NE!I55 + NY!I55 + NW!I55 + SE!I55 + SW!I55 + TEN!I55 + TEX!I55</f>
        <v>1218.4390840400001</v>
      </c>
      <c r="J55" s="7">
        <f xml:space="preserve"> 0 + CAL!J55 + CAR!J55 + CENT!J55 + FLA!J55 + MIDA!J55 + MIDW!J55 + NE!J55 + NY!J55 + NW!J55 + SE!J55 + SW!J55 + TEN!J55 + TEX!J55</f>
        <v>1293.09394853</v>
      </c>
      <c r="K55" s="7">
        <f xml:space="preserve"> 0 + CAL!K55 + CAR!K55 + CENT!K55 + FLA!K55 + MIDA!K55 + MIDW!K55 + NE!K55 + NY!K55 + NW!K55 + SE!K55 + SW!K55 + TEN!K55 + TEX!K55</f>
        <v>1354.7639918999998</v>
      </c>
      <c r="L55" s="7">
        <f xml:space="preserve"> 0 + CAL!L55 + CAR!L55 + CENT!L55 + FLA!L55 + MIDA!L55 + MIDW!L55 + NE!L55 + NY!L55 + NW!L55 + SE!L55 + SW!L55 + TEN!L55 + TEX!L55</f>
        <v>1409.7442610399999</v>
      </c>
      <c r="M55" s="7">
        <f xml:space="preserve"> 0 + CAL!M55 + CAR!M55 + CENT!M55 + FLA!M55 + MIDA!M55 + MIDW!M55 + NE!M55 + NY!M55 + NW!M55 + SE!M55 + SW!M55 + TEN!M55 + TEX!M55</f>
        <v>1411.6549493499999</v>
      </c>
      <c r="N55" s="7">
        <f xml:space="preserve"> 0 + CAL!N55 + CAR!N55 + CENT!N55 + FLA!N55 + MIDA!N55 + MIDW!N55 + NE!N55 + NY!N55 + NW!N55 + SE!N55 + SW!N55 + TEN!N55 + TEX!N55</f>
        <v>1382.6589476499998</v>
      </c>
      <c r="O55" s="7">
        <f xml:space="preserve"> 0 + CAL!O55 + CAR!O55 + CENT!O55 + FLA!O55 + MIDA!O55 + MIDW!O55 + NE!O55 + NY!O55 + NW!O55 + SE!O55 + SW!O55 + TEN!O55 + TEX!O55</f>
        <v>1321.6812862000002</v>
      </c>
      <c r="P55" s="7">
        <f xml:space="preserve"> 0 + CAL!P55 + CAR!P55 + CENT!P55 + FLA!P55 + MIDA!P55 + MIDW!P55 + NE!P55 + NY!P55 + NW!P55 + SE!P55 + SW!P55 + TEN!P55 + TEX!P55</f>
        <v>1249.7139697</v>
      </c>
      <c r="Q55" s="7">
        <f xml:space="preserve"> 0 + CAL!Q55 + CAR!Q55 + CENT!Q55 + FLA!Q55 + MIDA!Q55 + MIDW!Q55 + NE!Q55 + NY!Q55 + NW!Q55 + SE!Q55 + SW!Q55 + TEN!Q55 + TEX!Q55</f>
        <v>1150.9441744400001</v>
      </c>
      <c r="R55" s="7">
        <f xml:space="preserve"> 0 + CAL!R55 + CAR!R55 + CENT!R55 + FLA!R55 + MIDA!R55 + MIDW!R55 + NE!R55 + NY!R55 + NW!R55 + SE!R55 + SW!R55 + TEN!R55 + TEX!R55</f>
        <v>1053.7076062899998</v>
      </c>
      <c r="S55" s="7">
        <f xml:space="preserve"> 0 + CAL!S55 + CAR!S55 + CENT!S55 + FLA!S55 + MIDA!S55 + MIDW!S55 + NE!S55 + NY!S55 + NW!S55 + SE!S55 + SW!S55 + TEN!S55 + TEX!S55</f>
        <v>959.54249618000006</v>
      </c>
      <c r="T55" s="7">
        <f xml:space="preserve"> 0 + CAL!T55 + CAR!T55 + CENT!T55 + FLA!T55 + MIDA!T55 + MIDW!T55 + NE!T55 + NY!T55 + NW!T55 + SE!T55 + SW!T55 + TEN!T55 + TEX!T55</f>
        <v>867.91176873000006</v>
      </c>
      <c r="U55" s="7">
        <f xml:space="preserve"> 0 + CAL!U55 + CAR!U55 + CENT!U55 + FLA!U55 + MIDA!U55 + MIDW!U55 + NE!U55 + NY!U55 + NW!U55 + SE!U55 + SW!U55 + TEN!U55 + TEX!U55</f>
        <v>785.20192584999995</v>
      </c>
      <c r="V55" s="7">
        <f xml:space="preserve"> 0 + CAL!V55 + CAR!V55 + CENT!V55 + FLA!V55 + MIDA!V55 + MIDW!V55 + NE!V55 + NY!V55 + NW!V55 + SE!V55 + SW!V55 + TEN!V55 + TEX!V55</f>
        <v>716.21053504999986</v>
      </c>
      <c r="W55" s="7">
        <f xml:space="preserve"> 0 + CAL!W55 + CAR!W55 + CENT!W55 + FLA!W55 + MIDA!W55 + MIDW!W55 + NE!W55 + NY!W55 + NW!W55 + SE!W55 + SW!W55 + TEN!W55 + TEX!W55</f>
        <v>661.15929727999992</v>
      </c>
      <c r="X55" s="7">
        <f xml:space="preserve"> 0 + CAL!X55 + CAR!X55 + CENT!X55 + FLA!X55 + MIDA!X55 + MIDW!X55 + NE!X55 + NY!X55 + NW!X55 + SE!X55 + SW!X55 + TEN!X55 + TEX!X55</f>
        <v>607.51602490999994</v>
      </c>
      <c r="Y55" s="7">
        <f xml:space="preserve"> 0 + CAL!Y55 + CAR!Y55 + CENT!Y55 + FLA!Y55 + MIDA!Y55 + MIDW!Y55 + NE!Y55 + NY!Y55 + NW!Y55 + SE!Y55 + SW!Y55 + TEN!Y55 + TEX!Y55</f>
        <v>555.63349935000008</v>
      </c>
      <c r="Z55" s="7">
        <f xml:space="preserve"> 0 + CAL!Z55 + CAR!Z55 + CENT!Z55 + FLA!Z55 + MIDA!Z55 + MIDW!Z55 + NE!Z55 + NY!Z55 + NW!Z55 + SE!Z55 + SW!Z55 + TEN!Z55 + TEX!Z55</f>
        <v>508.15698026000007</v>
      </c>
      <c r="AA55" s="7">
        <f xml:space="preserve"> 0 + CAL!AA55 + CAR!AA55 + CENT!AA55 + FLA!AA55 + MIDA!AA55 + MIDW!AA55 + NE!AA55 + NY!AA55 + NW!AA55 + SE!AA55 + SW!AA55 + TEN!AA55 + TEX!AA55</f>
        <v>464.51031026000004</v>
      </c>
      <c r="AB55" s="7">
        <f xml:space="preserve"> 0 + CAL!AB55 + CAR!AB55 + CENT!AB55 + FLA!AB55 + MIDA!AB55 + MIDW!AB55 + NE!AB55 + NY!AB55 + NW!AB55 + SE!AB55 + SW!AB55 + TEN!AB55 + TEX!AB55</f>
        <v>429.42047861000003</v>
      </c>
      <c r="AC55" s="7">
        <f xml:space="preserve"> 0 + CAL!AC55 + CAR!AC55 + CENT!AC55 + FLA!AC55 + MIDA!AC55 + MIDW!AC55 + NE!AC55 + NY!AC55 + NW!AC55 + SE!AC55 + SW!AC55 + TEN!AC55 + TEX!AC55</f>
        <v>402.28977954999993</v>
      </c>
    </row>
    <row r="56" spans="1:29" x14ac:dyDescent="0.85">
      <c r="A56" t="str">
        <f>CAL!A56</f>
        <v>Gas_MW_Cost</v>
      </c>
      <c r="B56" s="7">
        <f xml:space="preserve"> 0 + CAL!B56 + CAR!B56 + CENT!B56 + FLA!B56 + MIDA!B56 + MIDW!B56 + NE!B56 + NY!B56 + NW!B56 + SE!B56 + SW!B56 + TEN!B56 + TEX!B56</f>
        <v>75887.096421210008</v>
      </c>
      <c r="C56" s="7">
        <f xml:space="preserve"> 0 + CAL!C56 + CAR!C56 + CENT!C56 + FLA!C56 + MIDA!C56 + MIDW!C56 + NE!C56 + NY!C56 + NW!C56 + SE!C56 + SW!C56 + TEN!C56 + TEX!C56</f>
        <v>79894.923573119988</v>
      </c>
      <c r="D56" s="7">
        <f xml:space="preserve"> 0 + CAL!D56 + CAR!D56 + CENT!D56 + FLA!D56 + MIDA!D56 + MIDW!D56 + NE!D56 + NY!D56 + NW!D56 + SE!D56 + SW!D56 + TEN!D56 + TEX!D56</f>
        <v>84171.905006490022</v>
      </c>
      <c r="E56" s="7">
        <f xml:space="preserve"> 0 + CAL!E56 + CAR!E56 + CENT!E56 + FLA!E56 + MIDA!E56 + MIDW!E56 + NE!E56 + NY!E56 + NW!E56 + SE!E56 + SW!E56 + TEN!E56 + TEX!E56</f>
        <v>88371.008878259992</v>
      </c>
      <c r="F56" s="7">
        <f xml:space="preserve"> 0 + CAL!F56 + CAR!F56 + CENT!F56 + FLA!F56 + MIDA!F56 + MIDW!F56 + NE!F56 + NY!F56 + NW!F56 + SE!F56 + SW!F56 + TEN!F56 + TEX!F56</f>
        <v>92350.978069779987</v>
      </c>
      <c r="G56" s="7">
        <f xml:space="preserve"> 0 + CAL!G56 + CAR!G56 + CENT!G56 + FLA!G56 + MIDA!G56 + MIDW!G56 + NE!G56 + NY!G56 + NW!G56 + SE!G56 + SW!G56 + TEN!G56 + TEX!G56</f>
        <v>96386.488914109999</v>
      </c>
      <c r="H56" s="7">
        <f xml:space="preserve"> 0 + CAL!H56 + CAR!H56 + CENT!H56 + FLA!H56 + MIDA!H56 + MIDW!H56 + NE!H56 + NY!H56 + NW!H56 + SE!H56 + SW!H56 + TEN!H56 + TEX!H56</f>
        <v>101517.93595627999</v>
      </c>
      <c r="I56" s="7">
        <f xml:space="preserve"> 0 + CAL!I56 + CAR!I56 + CENT!I56 + FLA!I56 + MIDA!I56 + MIDW!I56 + NE!I56 + NY!I56 + NW!I56 + SE!I56 + SW!I56 + TEN!I56 + TEX!I56</f>
        <v>108185.66933721001</v>
      </c>
      <c r="J56" s="7">
        <f xml:space="preserve"> 0 + CAL!J56 + CAR!J56 + CENT!J56 + FLA!J56 + MIDA!J56 + MIDW!J56 + NE!J56 + NY!J56 + NW!J56 + SE!J56 + SW!J56 + TEN!J56 + TEX!J56</f>
        <v>114834.28938623999</v>
      </c>
      <c r="K56" s="7">
        <f xml:space="preserve"> 0 + CAL!K56 + CAR!K56 + CENT!K56 + FLA!K56 + MIDA!K56 + MIDW!K56 + NE!K56 + NY!K56 + NW!K56 + SE!K56 + SW!K56 + TEN!K56 + TEX!K56</f>
        <v>121662.55058491</v>
      </c>
      <c r="L56" s="7">
        <f xml:space="preserve"> 0 + CAL!L56 + CAR!L56 + CENT!L56 + FLA!L56 + MIDA!L56 + MIDW!L56 + NE!L56 + NY!L56 + NW!L56 + SE!L56 + SW!L56 + TEN!L56 + TEX!L56</f>
        <v>127219.94104202001</v>
      </c>
      <c r="M56" s="7">
        <f xml:space="preserve"> 0 + CAL!M56 + CAR!M56 + CENT!M56 + FLA!M56 + MIDA!M56 + MIDW!M56 + NE!M56 + NY!M56 + NW!M56 + SE!M56 + SW!M56 + TEN!M56 + TEX!M56</f>
        <v>131457.53101000001</v>
      </c>
      <c r="N56" s="7">
        <f xml:space="preserve"> 0 + CAL!N56 + CAR!N56 + CENT!N56 + FLA!N56 + MIDA!N56 + MIDW!N56 + NE!N56 + NY!N56 + NW!N56 + SE!N56 + SW!N56 + TEN!N56 + TEX!N56</f>
        <v>133317.15311582998</v>
      </c>
      <c r="O56" s="7">
        <f xml:space="preserve"> 0 + CAL!O56 + CAR!O56 + CENT!O56 + FLA!O56 + MIDA!O56 + MIDW!O56 + NE!O56 + NY!O56 + NW!O56 + SE!O56 + SW!O56 + TEN!O56 + TEX!O56</f>
        <v>133924.83571837001</v>
      </c>
      <c r="P56" s="7">
        <f xml:space="preserve"> 0 + CAL!P56 + CAR!P56 + CENT!P56 + FLA!P56 + MIDA!P56 + MIDW!P56 + NE!P56 + NY!P56 + NW!P56 + SE!P56 + SW!P56 + TEN!P56 + TEX!P56</f>
        <v>133446.39947875001</v>
      </c>
      <c r="Q56" s="7">
        <f xml:space="preserve"> 0 + CAL!Q56 + CAR!Q56 + CENT!Q56 + FLA!Q56 + MIDA!Q56 + MIDW!Q56 + NE!Q56 + NY!Q56 + NW!Q56 + SE!Q56 + SW!Q56 + TEN!Q56 + TEX!Q56</f>
        <v>131680.77318057002</v>
      </c>
      <c r="R56" s="7">
        <f xml:space="preserve"> 0 + CAL!R56 + CAR!R56 + CENT!R56 + FLA!R56 + MIDA!R56 + MIDW!R56 + NE!R56 + NY!R56 + NW!R56 + SE!R56 + SW!R56 + TEN!R56 + TEX!R56</f>
        <v>129918.61927970999</v>
      </c>
      <c r="S56" s="7">
        <f xml:space="preserve"> 0 + CAL!S56 + CAR!S56 + CENT!S56 + FLA!S56 + MIDA!S56 + MIDW!S56 + NE!S56 + NY!S56 + NW!S56 + SE!S56 + SW!S56 + TEN!S56 + TEX!S56</f>
        <v>128217.88665922001</v>
      </c>
      <c r="T56" s="7">
        <f xml:space="preserve"> 0 + CAL!T56 + CAR!T56 + CENT!T56 + FLA!T56 + MIDA!T56 + MIDW!T56 + NE!T56 + NY!T56 + NW!T56 + SE!T56 + SW!T56 + TEN!T56 + TEX!T56</f>
        <v>126218.01646470001</v>
      </c>
      <c r="U56" s="7">
        <f xml:space="preserve"> 0 + CAL!U56 + CAR!U56 + CENT!U56 + FLA!U56 + MIDA!U56 + MIDW!U56 + NE!U56 + NY!U56 + NW!U56 + SE!U56 + SW!U56 + TEN!U56 + TEX!U56</f>
        <v>124430.06973710001</v>
      </c>
      <c r="V56" s="7">
        <f xml:space="preserve"> 0 + CAL!V56 + CAR!V56 + CENT!V56 + FLA!V56 + MIDA!V56 + MIDW!V56 + NE!V56 + NY!V56 + NW!V56 + SE!V56 + SW!V56 + TEN!V56 + TEX!V56</f>
        <v>123431.70911869998</v>
      </c>
      <c r="W56" s="7">
        <f xml:space="preserve"> 0 + CAL!W56 + CAR!W56 + CENT!W56 + FLA!W56 + MIDA!W56 + MIDW!W56 + NE!W56 + NY!W56 + NW!W56 + SE!W56 + SW!W56 + TEN!W56 + TEX!W56</f>
        <v>123755.67960014999</v>
      </c>
      <c r="X56" s="7">
        <f xml:space="preserve"> 0 + CAL!X56 + CAR!X56 + CENT!X56 + FLA!X56 + MIDA!X56 + MIDW!X56 + NE!X56 + NY!X56 + NW!X56 + SE!X56 + SW!X56 + TEN!X56 + TEX!X56</f>
        <v>123941.07317622</v>
      </c>
      <c r="Y56" s="7">
        <f xml:space="preserve"> 0 + CAL!Y56 + CAR!Y56 + CENT!Y56 + FLA!Y56 + MIDA!Y56 + MIDW!Y56 + NE!Y56 + NY!Y56 + NW!Y56 + SE!Y56 + SW!Y56 + TEN!Y56 + TEX!Y56</f>
        <v>124089.17218513999</v>
      </c>
      <c r="Z56" s="7">
        <f xml:space="preserve"> 0 + CAL!Z56 + CAR!Z56 + CENT!Z56 + FLA!Z56 + MIDA!Z56 + MIDW!Z56 + NE!Z56 + NY!Z56 + NW!Z56 + SE!Z56 + SW!Z56 + TEN!Z56 + TEX!Z56</f>
        <v>124056.25700320001</v>
      </c>
      <c r="AA56" s="7">
        <f xml:space="preserve"> 0 + CAL!AA56 + CAR!AA56 + CENT!AA56 + FLA!AA56 + MIDA!AA56 + MIDW!AA56 + NE!AA56 + NY!AA56 + NW!AA56 + SE!AA56 + SW!AA56 + TEN!AA56 + TEX!AA56</f>
        <v>123987.51755643</v>
      </c>
      <c r="AB56" s="7">
        <f xml:space="preserve"> 0 + CAL!AB56 + CAR!AB56 + CENT!AB56 + FLA!AB56 + MIDA!AB56 + MIDW!AB56 + NE!AB56 + NY!AB56 + NW!AB56 + SE!AB56 + SW!AB56 + TEN!AB56 + TEX!AB56</f>
        <v>124193.05012547001</v>
      </c>
      <c r="AC56" s="7">
        <f xml:space="preserve"> 0 + CAL!AC56 + CAR!AC56 + CENT!AC56 + FLA!AC56 + MIDA!AC56 + MIDW!AC56 + NE!AC56 + NY!AC56 + NW!AC56 + SE!AC56 + SW!AC56 + TEN!AC56 + TEX!AC56</f>
        <v>124574.08597638999</v>
      </c>
    </row>
    <row r="57" spans="1:29" x14ac:dyDescent="0.85">
      <c r="A57" t="str">
        <f>CAL!A57</f>
        <v>Gas_MWh_Cost</v>
      </c>
      <c r="B57" s="7">
        <f xml:space="preserve"> 0 + CAL!B57 + CAR!B57 + CENT!B57 + FLA!B57 + MIDA!B57 + MIDW!B57 + NE!B57 + NY!B57 + NW!B57 + SE!B57 + SW!B57 + TEN!B57 + TEX!B57</f>
        <v>37443.497918069996</v>
      </c>
      <c r="C57" s="7">
        <f xml:space="preserve"> 0 + CAL!C57 + CAR!C57 + CENT!C57 + FLA!C57 + MIDA!C57 + MIDW!C57 + NE!C57 + NY!C57 + NW!C57 + SE!C57 + SW!C57 + TEN!C57 + TEX!C57</f>
        <v>40798.303596430007</v>
      </c>
      <c r="D57" s="7">
        <f xml:space="preserve"> 0 + CAL!D57 + CAR!D57 + CENT!D57 + FLA!D57 + MIDA!D57 + MIDW!D57 + NE!D57 + NY!D57 + NW!D57 + SE!D57 + SW!D57 + TEN!D57 + TEX!D57</f>
        <v>44129.720273430008</v>
      </c>
      <c r="E57" s="7">
        <f xml:space="preserve"> 0 + CAL!E57 + CAR!E57 + CENT!E57 + FLA!E57 + MIDA!E57 + MIDW!E57 + NE!E57 + NY!E57 + NW!E57 + SE!E57 + SW!E57 + TEN!E57 + TEX!E57</f>
        <v>47405.949687900007</v>
      </c>
      <c r="F57" s="7">
        <f xml:space="preserve"> 0 + CAL!F57 + CAR!F57 + CENT!F57 + FLA!F57 + MIDA!F57 + MIDW!F57 + NE!F57 + NY!F57 + NW!F57 + SE!F57 + SW!F57 + TEN!F57 + TEX!F57</f>
        <v>50423.387476970005</v>
      </c>
      <c r="G57" s="7">
        <f xml:space="preserve"> 0 + CAL!G57 + CAR!G57 + CENT!G57 + FLA!G57 + MIDA!G57 + MIDW!G57 + NE!G57 + NY!G57 + NW!G57 + SE!G57 + SW!G57 + TEN!G57 + TEX!G57</f>
        <v>53036.128754640013</v>
      </c>
      <c r="H57" s="7">
        <f xml:space="preserve"> 0 + CAL!H57 + CAR!H57 + CENT!H57 + FLA!H57 + MIDA!H57 + MIDW!H57 + NE!H57 + NY!H57 + NW!H57 + SE!H57 + SW!H57 + TEN!H57 + TEX!H57</f>
        <v>56509.012380670007</v>
      </c>
      <c r="I57" s="7">
        <f xml:space="preserve"> 0 + CAL!I57 + CAR!I57 + CENT!I57 + FLA!I57 + MIDA!I57 + MIDW!I57 + NE!I57 + NY!I57 + NW!I57 + SE!I57 + SW!I57 + TEN!I57 + TEX!I57</f>
        <v>60673.29316424</v>
      </c>
      <c r="J57" s="7">
        <f xml:space="preserve"> 0 + CAL!J57 + CAR!J57 + CENT!J57 + FLA!J57 + MIDA!J57 + MIDW!J57 + NE!J57 + NY!J57 + NW!J57 + SE!J57 + SW!J57 + TEN!J57 + TEX!J57</f>
        <v>64390.800701500004</v>
      </c>
      <c r="K57" s="7">
        <f xml:space="preserve"> 0 + CAL!K57 + CAR!K57 + CENT!K57 + FLA!K57 + MIDA!K57 + MIDW!K57 + NE!K57 + NY!K57 + NW!K57 + SE!K57 + SW!K57 + TEN!K57 + TEX!K57</f>
        <v>67461.717147809992</v>
      </c>
      <c r="L57" s="7">
        <f xml:space="preserve"> 0 + CAL!L57 + CAR!L57 + CENT!L57 + FLA!L57 + MIDA!L57 + MIDW!L57 + NE!L57 + NY!L57 + NW!L57 + SE!L57 + SW!L57 + TEN!L57 + TEX!L57</f>
        <v>70199.510142600004</v>
      </c>
      <c r="M57" s="7">
        <f xml:space="preserve"> 0 + CAL!M57 + CAR!M57 + CENT!M57 + FLA!M57 + MIDA!M57 + MIDW!M57 + NE!M57 + NY!M57 + NW!M57 + SE!M57 + SW!M57 + TEN!M57 + TEX!M57</f>
        <v>70294.65462062</v>
      </c>
      <c r="N57" s="7">
        <f xml:space="preserve"> 0 + CAL!N57 + CAR!N57 + CENT!N57 + FLA!N57 + MIDA!N57 + MIDW!N57 + NE!N57 + NY!N57 + NW!N57 + SE!N57 + SW!N57 + TEN!N57 + TEX!N57</f>
        <v>68850.772086340003</v>
      </c>
      <c r="O57" s="7">
        <f xml:space="preserve"> 0 + CAL!O57 + CAR!O57 + CENT!O57 + FLA!O57 + MIDA!O57 + MIDW!O57 + NE!O57 + NY!O57 + NW!O57 + SE!O57 + SW!O57 + TEN!O57 + TEX!O57</f>
        <v>65814.333435360008</v>
      </c>
      <c r="P57" s="7">
        <f xml:space="preserve"> 0 + CAL!P57 + CAR!P57 + CENT!P57 + FLA!P57 + MIDA!P57 + MIDW!P57 + NE!P57 + NY!P57 + NW!P57 + SE!P57 + SW!P57 + TEN!P57 + TEX!P57</f>
        <v>62230.65481700001</v>
      </c>
      <c r="Q57" s="7">
        <f xml:space="preserve"> 0 + CAL!Q57 + CAR!Q57 + CENT!Q57 + FLA!Q57 + MIDA!Q57 + MIDW!Q57 + NE!Q57 + NY!Q57 + NW!Q57 + SE!Q57 + SW!Q57 + TEN!Q57 + TEX!Q57</f>
        <v>57312.32215467999</v>
      </c>
      <c r="R57" s="7">
        <f xml:space="preserve"> 0 + CAL!R57 + CAR!R57 + CENT!R57 + FLA!R57 + MIDA!R57 + MIDW!R57 + NE!R57 + NY!R57 + NW!R57 + SE!R57 + SW!R57 + TEN!R57 + TEX!R57</f>
        <v>52470.337945579988</v>
      </c>
      <c r="S57" s="7">
        <f xml:space="preserve"> 0 + CAL!S57 + CAR!S57 + CENT!S57 + FLA!S57 + MIDA!S57 + MIDW!S57 + NE!S57 + NY!S57 + NW!S57 + SE!S57 + SW!S57 + TEN!S57 + TEX!S57</f>
        <v>47781.299809249998</v>
      </c>
      <c r="T57" s="7">
        <f xml:space="preserve"> 0 + CAL!T57 + CAR!T57 + CENT!T57 + FLA!T57 + MIDA!T57 + MIDW!T57 + NE!T57 + NY!T57 + NW!T57 + SE!T57 + SW!T57 + TEN!T57 + TEX!T57</f>
        <v>43218.463586310005</v>
      </c>
      <c r="U57" s="7">
        <f xml:space="preserve"> 0 + CAL!U57 + CAR!U57 + CENT!U57 + FLA!U57 + MIDA!U57 + MIDW!U57 + NE!U57 + NY!U57 + NW!U57 + SE!U57 + SW!U57 + TEN!U57 + TEX!U57</f>
        <v>39099.851001579998</v>
      </c>
      <c r="V57" s="7">
        <f xml:space="preserve"> 0 + CAL!V57 + CAR!V57 + CENT!V57 + FLA!V57 + MIDA!V57 + MIDW!V57 + NE!V57 + NY!V57 + NW!V57 + SE!V57 + SW!V57 + TEN!V57 + TEX!V57</f>
        <v>35664.36133806</v>
      </c>
      <c r="W57" s="7">
        <f xml:space="preserve"> 0 + CAL!W57 + CAR!W57 + CENT!W57 + FLA!W57 + MIDA!W57 + MIDW!W57 + NE!W57 + NY!W57 + NW!W57 + SE!W57 + SW!W57 + TEN!W57 + TEX!W57</f>
        <v>32923.034394900002</v>
      </c>
      <c r="X57" s="7">
        <f xml:space="preserve"> 0 + CAL!X57 + CAR!X57 + CENT!X57 + FLA!X57 + MIDA!X57 + MIDW!X57 + NE!X57 + NY!X57 + NW!X57 + SE!X57 + SW!X57 + TEN!X57 + TEX!X57</f>
        <v>30251.81838321</v>
      </c>
      <c r="Y57" s="7">
        <f xml:space="preserve"> 0 + CAL!Y57 + CAR!Y57 + CENT!Y57 + FLA!Y57 + MIDA!Y57 + MIDW!Y57 + NE!Y57 + NY!Y57 + NW!Y57 + SE!Y57 + SW!Y57 + TEN!Y57 + TEX!Y57</f>
        <v>27668.280375509999</v>
      </c>
      <c r="Z57" s="7">
        <f xml:space="preserve"> 0 + CAL!Z57 + CAR!Z57 + CENT!Z57 + FLA!Z57 + MIDA!Z57 + MIDW!Z57 + NE!Z57 + NY!Z57 + NW!Z57 + SE!Z57 + SW!Z57 + TEN!Z57 + TEX!Z57</f>
        <v>25304.143506130004</v>
      </c>
      <c r="AA57" s="7">
        <f xml:space="preserve"> 0 + CAL!AA57 + CAR!AA57 + CENT!AA57 + FLA!AA57 + MIDA!AA57 + MIDW!AA57 + NE!AA57 + NY!AA57 + NW!AA57 + SE!AA57 + SW!AA57 + TEN!AA57 + TEX!AA57</f>
        <v>23130.717490170002</v>
      </c>
      <c r="AB57" s="7">
        <f xml:space="preserve"> 0 + CAL!AB57 + CAR!AB57 + CENT!AB57 + FLA!AB57 + MIDA!AB57 + MIDW!AB57 + NE!AB57 + NY!AB57 + NW!AB57 + SE!AB57 + SW!AB57 + TEN!AB57 + TEX!AB57</f>
        <v>21383.387097719999</v>
      </c>
      <c r="AC57" s="7">
        <f xml:space="preserve"> 0 + CAL!AC57 + CAR!AC57 + CENT!AC57 + FLA!AC57 + MIDA!AC57 + MIDW!AC57 + NE!AC57 + NY!AC57 + NW!AC57 + SE!AC57 + SW!AC57 + TEN!AC57 + TEX!AC57</f>
        <v>20032.389022900003</v>
      </c>
    </row>
    <row r="58" spans="1:29" x14ac:dyDescent="0.85">
      <c r="A58" t="str">
        <f>CAL!A58</f>
        <v>Gas_Start_Knob</v>
      </c>
      <c r="B58" s="7">
        <f xml:space="preserve"> 0 + CAL!B58 + CAR!B58 + CENT!B58 + FLA!B58 + MIDA!B58 + MIDW!B58 + NE!B58 + NY!B58 + NW!B58 + SE!B58 + SW!B58 + TEN!B58 + TEX!B58</f>
        <v>13</v>
      </c>
      <c r="C58" s="7">
        <f xml:space="preserve"> 0 + CAL!C58 + CAR!C58 + CENT!C58 + FLA!C58 + MIDA!C58 + MIDW!C58 + NE!C58 + NY!C58 + NW!C58 + SE!C58 + SW!C58 + TEN!C58 + TEX!C58</f>
        <v>13.519999999999996</v>
      </c>
      <c r="D58" s="7">
        <f xml:space="preserve"> 0 + CAL!D58 + CAR!D58 + CENT!D58 + FLA!D58 + MIDA!D58 + MIDW!D58 + NE!D58 + NY!D58 + NW!D58 + SE!D58 + SW!D58 + TEN!D58 + TEX!D58</f>
        <v>14.276352259999999</v>
      </c>
      <c r="E58" s="7">
        <f xml:space="preserve"> 0 + CAL!E58 + CAR!E58 + CENT!E58 + FLA!E58 + MIDA!E58 + MIDW!E58 + NE!E58 + NY!E58 + NW!E58 + SE!E58 + SW!E58 + TEN!E58 + TEX!E58</f>
        <v>14.283042119999999</v>
      </c>
      <c r="F58" s="7">
        <f xml:space="preserve"> 0 + CAL!F58 + CAR!F58 + CENT!F58 + FLA!F58 + MIDA!F58 + MIDW!F58 + NE!F58 + NY!F58 + NW!F58 + SE!F58 + SW!F58 + TEN!F58 + TEX!F58</f>
        <v>14.225864999999999</v>
      </c>
      <c r="G58" s="7">
        <f xml:space="preserve"> 0 + CAL!G58 + CAR!G58 + CENT!G58 + FLA!G58 + MIDA!G58 + MIDW!G58 + NE!G58 + NY!G58 + NW!G58 + SE!G58 + SW!G58 + TEN!G58 + TEX!G58</f>
        <v>14.158644880000001</v>
      </c>
      <c r="H58" s="7">
        <f xml:space="preserve"> 0 + CAL!H58 + CAR!H58 + CENT!H58 + FLA!H58 + MIDA!H58 + MIDW!H58 + NE!H58 + NY!H58 + NW!H58 + SE!H58 + SW!H58 + TEN!H58 + TEX!H58</f>
        <v>14.145144719999999</v>
      </c>
      <c r="I58" s="7">
        <f xml:space="preserve"> 0 + CAL!I58 + CAR!I58 + CENT!I58 + FLA!I58 + MIDA!I58 + MIDW!I58 + NE!I58 + NY!I58 + NW!I58 + SE!I58 + SW!I58 + TEN!I58 + TEX!I58</f>
        <v>14.23148992</v>
      </c>
      <c r="J58" s="7">
        <f xml:space="preserve"> 0 + CAL!J58 + CAR!J58 + CENT!J58 + FLA!J58 + MIDA!J58 + MIDW!J58 + NE!J58 + NY!J58 + NW!J58 + SE!J58 + SW!J58 + TEN!J58 + TEX!J58</f>
        <v>14.372486929999999</v>
      </c>
      <c r="K58" s="7">
        <f xml:space="preserve"> 0 + CAL!K58 + CAR!K58 + CENT!K58 + FLA!K58 + MIDA!K58 + MIDW!K58 + NE!K58 + NY!K58 + NW!K58 + SE!K58 + SW!K58 + TEN!K58 + TEX!K58</f>
        <v>14.303292110000001</v>
      </c>
      <c r="L58" s="7">
        <f xml:space="preserve"> 0 + CAL!L58 + CAR!L58 + CENT!L58 + FLA!L58 + MIDA!L58 + MIDW!L58 + NE!L58 + NY!L58 + NW!L58 + SE!L58 + SW!L58 + TEN!L58 + TEX!L58</f>
        <v>14.277368539999998</v>
      </c>
      <c r="M58" s="7">
        <f xml:space="preserve"> 0 + CAL!M58 + CAR!M58 + CENT!M58 + FLA!M58 + MIDA!M58 + MIDW!M58 + NE!M58 + NY!M58 + NW!M58 + SE!M58 + SW!M58 + TEN!M58 + TEX!M58</f>
        <v>14.139025929999999</v>
      </c>
      <c r="N58" s="7">
        <f xml:space="preserve"> 0 + CAL!N58 + CAR!N58 + CENT!N58 + FLA!N58 + MIDA!N58 + MIDW!N58 + NE!N58 + NY!N58 + NW!N58 + SE!N58 + SW!N58 + TEN!N58 + TEX!N58</f>
        <v>13.93615363</v>
      </c>
      <c r="O58" s="7">
        <f xml:space="preserve"> 0 + CAL!O58 + CAR!O58 + CENT!O58 + FLA!O58 + MIDA!O58 + MIDW!O58 + NE!O58 + NY!O58 + NW!O58 + SE!O58 + SW!O58 + TEN!O58 + TEX!O58</f>
        <v>13.714901099999999</v>
      </c>
      <c r="P58" s="7">
        <f xml:space="preserve"> 0 + CAL!P58 + CAR!P58 + CENT!P58 + FLA!P58 + MIDA!P58 + MIDW!P58 + NE!P58 + NY!P58 + NW!P58 + SE!P58 + SW!P58 + TEN!P58 + TEX!P58</f>
        <v>13.549878720000001</v>
      </c>
      <c r="Q58" s="7">
        <f xml:space="preserve"> 0 + CAL!Q58 + CAR!Q58 + CENT!Q58 + FLA!Q58 + MIDA!Q58 + MIDW!Q58 + NE!Q58 + NY!Q58 + NW!Q58 + SE!Q58 + SW!Q58 + TEN!Q58 + TEX!Q58</f>
        <v>13.484670940000001</v>
      </c>
      <c r="R58" s="7">
        <f xml:space="preserve"> 0 + CAL!R58 + CAR!R58 + CENT!R58 + FLA!R58 + MIDA!R58 + MIDW!R58 + NE!R58 + NY!R58 + NW!R58 + SE!R58 + SW!R58 + TEN!R58 + TEX!R58</f>
        <v>13.432901139999998</v>
      </c>
      <c r="S58" s="7">
        <f xml:space="preserve"> 0 + CAL!S58 + CAR!S58 + CENT!S58 + FLA!S58 + MIDA!S58 + MIDW!S58 + NE!S58 + NY!S58 + NW!S58 + SE!S58 + SW!S58 + TEN!S58 + TEX!S58</f>
        <v>13.41958571</v>
      </c>
      <c r="T58" s="7">
        <f xml:space="preserve"> 0 + CAL!T58 + CAR!T58 + CENT!T58 + FLA!T58 + MIDA!T58 + MIDW!T58 + NE!T58 + NY!T58 + NW!T58 + SE!T58 + SW!T58 + TEN!T58 + TEX!T58</f>
        <v>13.425060460000001</v>
      </c>
      <c r="U58" s="7">
        <f xml:space="preserve"> 0 + CAL!U58 + CAR!U58 + CENT!U58 + FLA!U58 + MIDA!U58 + MIDW!U58 + NE!U58 + NY!U58 + NW!U58 + SE!U58 + SW!U58 + TEN!U58 + TEX!U58</f>
        <v>13.389843390000003</v>
      </c>
      <c r="V58" s="7">
        <f xml:space="preserve"> 0 + CAL!V58 + CAR!V58 + CENT!V58 + FLA!V58 + MIDA!V58 + MIDW!V58 + NE!V58 + NY!V58 + NW!V58 + SE!V58 + SW!V58 + TEN!V58 + TEX!V58</f>
        <v>13.402616000000002</v>
      </c>
      <c r="W58" s="7">
        <f xml:space="preserve"> 0 + CAL!W58 + CAR!W58 + CENT!W58 + FLA!W58 + MIDA!W58 + MIDW!W58 + NE!W58 + NY!W58 + NW!W58 + SE!W58 + SW!W58 + TEN!W58 + TEX!W58</f>
        <v>13.446272710000002</v>
      </c>
      <c r="X58" s="7">
        <f xml:space="preserve"> 0 + CAL!X58 + CAR!X58 + CENT!X58 + FLA!X58 + MIDA!X58 + MIDW!X58 + NE!X58 + NY!X58 + NW!X58 + SE!X58 + SW!X58 + TEN!X58 + TEX!X58</f>
        <v>13.584938720000002</v>
      </c>
      <c r="Y58" s="7">
        <f xml:space="preserve"> 0 + CAL!Y58 + CAR!Y58 + CENT!Y58 + FLA!Y58 + MIDA!Y58 + MIDW!Y58 + NE!Y58 + NY!Y58 + NW!Y58 + SE!Y58 + SW!Y58 + TEN!Y58 + TEX!Y58</f>
        <v>13.56200327</v>
      </c>
      <c r="Z58" s="7">
        <f xml:space="preserve"> 0 + CAL!Z58 + CAR!Z58 + CENT!Z58 + FLA!Z58 + MIDA!Z58 + MIDW!Z58 + NE!Z58 + NY!Z58 + NW!Z58 + SE!Z58 + SW!Z58 + TEN!Z58 + TEX!Z58</f>
        <v>13.55880587</v>
      </c>
      <c r="AA58" s="7">
        <f xml:space="preserve"> 0 + CAL!AA58 + CAR!AA58 + CENT!AA58 + FLA!AA58 + MIDA!AA58 + MIDW!AA58 + NE!AA58 + NY!AA58 + NW!AA58 + SE!AA58 + SW!AA58 + TEN!AA58 + TEX!AA58</f>
        <v>13.549384680000001</v>
      </c>
      <c r="AB58" s="7">
        <f xml:space="preserve"> 0 + CAL!AB58 + CAR!AB58 + CENT!AB58 + FLA!AB58 + MIDA!AB58 + MIDW!AB58 + NE!AB58 + NY!AB58 + NW!AB58 + SE!AB58 + SW!AB58 + TEN!AB58 + TEX!AB58</f>
        <v>13.545186050000002</v>
      </c>
      <c r="AC58" s="7">
        <f xml:space="preserve"> 0 + CAL!AC58 + CAR!AC58 + CENT!AC58 + FLA!AC58 + MIDA!AC58 + MIDW!AC58 + NE!AC58 + NY!AC58 + NW!AC58 + SE!AC58 + SW!AC58 + TEN!AC58 + TEX!AC58</f>
        <v>13.612009830000002</v>
      </c>
    </row>
    <row r="59" spans="1:29" x14ac:dyDescent="0.85">
      <c r="A59" t="str">
        <f>CAL!A59</f>
        <v>Gas_Knob</v>
      </c>
      <c r="B59" s="7">
        <f xml:space="preserve"> 0 + CAL!B59 + CAR!B59 + CENT!B59 + FLA!B59 + MIDA!B59 + MIDW!B59 + NE!B59 + NY!B59 + NW!B59 + SE!B59 + SW!B59 + TEN!B59 + TEX!B59</f>
        <v>13</v>
      </c>
      <c r="C59" s="7">
        <f xml:space="preserve"> 0 + CAL!C59 + CAR!C59 + CENT!C59 + FLA!C59 + MIDA!C59 + MIDW!C59 + NE!C59 + NY!C59 + NW!C59 + SE!C59 + SW!C59 + TEN!C59 + TEX!C59</f>
        <v>14.276352259999999</v>
      </c>
      <c r="D59" s="7">
        <f xml:space="preserve"> 0 + CAL!D59 + CAR!D59 + CENT!D59 + FLA!D59 + MIDA!D59 + MIDW!D59 + NE!D59 + NY!D59 + NW!D59 + SE!D59 + SW!D59 + TEN!D59 + TEX!D59</f>
        <v>14.283042119999999</v>
      </c>
      <c r="E59" s="7">
        <f xml:space="preserve"> 0 + CAL!E59 + CAR!E59 + CENT!E59 + FLA!E59 + MIDA!E59 + MIDW!E59 + NE!E59 + NY!E59 + NW!E59 + SE!E59 + SW!E59 + TEN!E59 + TEX!E59</f>
        <v>14.225864999999999</v>
      </c>
      <c r="F59" s="7">
        <f xml:space="preserve"> 0 + CAL!F59 + CAR!F59 + CENT!F59 + FLA!F59 + MIDA!F59 + MIDW!F59 + NE!F59 + NY!F59 + NW!F59 + SE!F59 + SW!F59 + TEN!F59 + TEX!F59</f>
        <v>14.158644880000001</v>
      </c>
      <c r="G59" s="7">
        <f xml:space="preserve"> 0 + CAL!G59 + CAR!G59 + CENT!G59 + FLA!G59 + MIDA!G59 + MIDW!G59 + NE!G59 + NY!G59 + NW!G59 + SE!G59 + SW!G59 + TEN!G59 + TEX!G59</f>
        <v>14.1559694</v>
      </c>
      <c r="H59" s="7">
        <f xml:space="preserve"> 0 + CAL!H59 + CAR!H59 + CENT!H59 + FLA!H59 + MIDA!H59 + MIDW!H59 + NE!H59 + NY!H59 + NW!H59 + SE!H59 + SW!H59 + TEN!H59 + TEX!H59</f>
        <v>14.241906380000001</v>
      </c>
      <c r="I59" s="7">
        <f xml:space="preserve"> 0 + CAL!I59 + CAR!I59 + CENT!I59 + FLA!I59 + MIDA!I59 + MIDW!I59 + NE!I59 + NY!I59 + NW!I59 + SE!I59 + SW!I59 + TEN!I59 + TEX!I59</f>
        <v>14.396949659999999</v>
      </c>
      <c r="J59" s="7">
        <f xml:space="preserve"> 0 + CAL!J59 + CAR!J59 + CENT!J59 + FLA!J59 + MIDA!J59 + MIDW!J59 + NE!J59 + NY!J59 + NW!J59 + SE!J59 + SW!J59 + TEN!J59 + TEX!J59</f>
        <v>14.32673069</v>
      </c>
      <c r="K59" s="7">
        <f xml:space="preserve"> 0 + CAL!K59 + CAR!K59 + CENT!K59 + FLA!K59 + MIDA!K59 + MIDW!K59 + NE!K59 + NY!K59 + NW!K59 + SE!K59 + SW!K59 + TEN!K59 + TEX!K59</f>
        <v>14.292400740000003</v>
      </c>
      <c r="L59" s="7">
        <f xml:space="preserve"> 0 + CAL!L59 + CAR!L59 + CENT!L59 + FLA!L59 + MIDA!L59 + MIDW!L59 + NE!L59 + NY!L59 + NW!L59 + SE!L59 + SW!L59 + TEN!L59 + TEX!L59</f>
        <v>14.149127459999999</v>
      </c>
      <c r="M59" s="7">
        <f xml:space="preserve"> 0 + CAL!M59 + CAR!M59 + CENT!M59 + FLA!M59 + MIDA!M59 + MIDW!M59 + NE!M59 + NY!M59 + NW!M59 + SE!M59 + SW!M59 + TEN!M59 + TEX!M59</f>
        <v>13.936801899999999</v>
      </c>
      <c r="N59" s="7">
        <f xml:space="preserve"> 0 + CAL!N59 + CAR!N59 + CENT!N59 + FLA!N59 + MIDA!N59 + MIDW!N59 + NE!N59 + NY!N59 + NW!N59 + SE!N59 + SW!N59 + TEN!N59 + TEX!N59</f>
        <v>13.714901099999999</v>
      </c>
      <c r="O59" s="7">
        <f xml:space="preserve"> 0 + CAL!O59 + CAR!O59 + CENT!O59 + FLA!O59 + MIDA!O59 + MIDW!O59 + NE!O59 + NY!O59 + NW!O59 + SE!O59 + SW!O59 + TEN!O59 + TEX!O59</f>
        <v>13.549878720000001</v>
      </c>
      <c r="P59" s="7">
        <f xml:space="preserve"> 0 + CAL!P59 + CAR!P59 + CENT!P59 + FLA!P59 + MIDA!P59 + MIDW!P59 + NE!P59 + NY!P59 + NW!P59 + SE!P59 + SW!P59 + TEN!P59 + TEX!P59</f>
        <v>13.484670940000001</v>
      </c>
      <c r="Q59" s="7">
        <f xml:space="preserve"> 0 + CAL!Q59 + CAR!Q59 + CENT!Q59 + FLA!Q59 + MIDA!Q59 + MIDW!Q59 + NE!Q59 + NY!Q59 + NW!Q59 + SE!Q59 + SW!Q59 + TEN!Q59 + TEX!Q59</f>
        <v>13.432901139999998</v>
      </c>
      <c r="R59" s="7">
        <f xml:space="preserve"> 0 + CAL!R59 + CAR!R59 + CENT!R59 + FLA!R59 + MIDA!R59 + MIDW!R59 + NE!R59 + NY!R59 + NW!R59 + SE!R59 + SW!R59 + TEN!R59 + TEX!R59</f>
        <v>13.41958571</v>
      </c>
      <c r="S59" s="7">
        <f xml:space="preserve"> 0 + CAL!S59 + CAR!S59 + CENT!S59 + FLA!S59 + MIDA!S59 + MIDW!S59 + NE!S59 + NY!S59 + NW!S59 + SE!S59 + SW!S59 + TEN!S59 + TEX!S59</f>
        <v>13.425060460000001</v>
      </c>
      <c r="T59" s="7">
        <f xml:space="preserve"> 0 + CAL!T59 + CAR!T59 + CENT!T59 + FLA!T59 + MIDA!T59 + MIDW!T59 + NE!T59 + NY!T59 + NW!T59 + SE!T59 + SW!T59 + TEN!T59 + TEX!T59</f>
        <v>13.389843390000003</v>
      </c>
      <c r="U59" s="7">
        <f xml:space="preserve"> 0 + CAL!U59 + CAR!U59 + CENT!U59 + FLA!U59 + MIDA!U59 + MIDW!U59 + NE!U59 + NY!U59 + NW!U59 + SE!U59 + SW!U59 + TEN!U59 + TEX!U59</f>
        <v>13.402616000000002</v>
      </c>
      <c r="V59" s="7">
        <f xml:space="preserve"> 0 + CAL!V59 + CAR!V59 + CENT!V59 + FLA!V59 + MIDA!V59 + MIDW!V59 + NE!V59 + NY!V59 + NW!V59 + SE!V59 + SW!V59 + TEN!V59 + TEX!V59</f>
        <v>13.446272710000002</v>
      </c>
      <c r="W59" s="7">
        <f xml:space="preserve"> 0 + CAL!W59 + CAR!W59 + CENT!W59 + FLA!W59 + MIDA!W59 + MIDW!W59 + NE!W59 + NY!W59 + NW!W59 + SE!W59 + SW!W59 + TEN!W59 + TEX!W59</f>
        <v>13.584938720000002</v>
      </c>
      <c r="X59" s="7">
        <f xml:space="preserve"> 0 + CAL!X59 + CAR!X59 + CENT!X59 + FLA!X59 + MIDA!X59 + MIDW!X59 + NE!X59 + NY!X59 + NW!X59 + SE!X59 + SW!X59 + TEN!X59 + TEX!X59</f>
        <v>13.56200327</v>
      </c>
      <c r="Y59" s="7">
        <f xml:space="preserve"> 0 + CAL!Y59 + CAR!Y59 + CENT!Y59 + FLA!Y59 + MIDA!Y59 + MIDW!Y59 + NE!Y59 + NY!Y59 + NW!Y59 + SE!Y59 + SW!Y59 + TEN!Y59 + TEX!Y59</f>
        <v>13.55880587</v>
      </c>
      <c r="Z59" s="7">
        <f xml:space="preserve"> 0 + CAL!Z59 + CAR!Z59 + CENT!Z59 + FLA!Z59 + MIDA!Z59 + MIDW!Z59 + NE!Z59 + NY!Z59 + NW!Z59 + SE!Z59 + SW!Z59 + TEN!Z59 + TEX!Z59</f>
        <v>13.549384680000001</v>
      </c>
      <c r="AA59" s="7">
        <f xml:space="preserve"> 0 + CAL!AA59 + CAR!AA59 + CENT!AA59 + FLA!AA59 + MIDA!AA59 + MIDW!AA59 + NE!AA59 + NY!AA59 + NW!AA59 + SE!AA59 + SW!AA59 + TEN!AA59 + TEX!AA59</f>
        <v>13.545186050000002</v>
      </c>
      <c r="AB59" s="7">
        <f xml:space="preserve"> 0 + CAL!AB59 + CAR!AB59 + CENT!AB59 + FLA!AB59 + MIDA!AB59 + MIDW!AB59 + NE!AB59 + NY!AB59 + NW!AB59 + SE!AB59 + SW!AB59 + TEN!AB59 + TEX!AB59</f>
        <v>13.612009830000002</v>
      </c>
      <c r="AC59" s="7">
        <f xml:space="preserve"> 0 + CAL!AC59 + CAR!AC59 + CENT!AC59 + FLA!AC59 + MIDA!AC59 + MIDW!AC59 + NE!AC59 + NY!AC59 + NW!AC59 + SE!AC59 + SW!AC59 + TEN!AC59 + TEX!AC59</f>
        <v>13.62264296</v>
      </c>
    </row>
    <row r="60" spans="1:29" x14ac:dyDescent="0.85">
      <c r="A60" t="str">
        <f>CAL!A60</f>
        <v>Gas_Max_Knob</v>
      </c>
      <c r="B60" s="7">
        <f xml:space="preserve"> 0 + CAL!B60 + CAR!B60 + CENT!B60 + FLA!B60 + MIDA!B60 + MIDW!B60 + NE!B60 + NY!B60 + NW!B60 + SE!B60 + SW!B60 + TEN!B60 + TEX!B60</f>
        <v>13</v>
      </c>
      <c r="C60" s="7">
        <f xml:space="preserve"> 0 + CAL!C60 + CAR!C60 + CENT!C60 + FLA!C60 + MIDA!C60 + MIDW!C60 + NE!C60 + NY!C60 + NW!C60 + SE!C60 + SW!C60 + TEN!C60 + TEX!C60</f>
        <v>14.69998062</v>
      </c>
      <c r="D60" s="7">
        <f xml:space="preserve"> 0 + CAL!D60 + CAR!D60 + CENT!D60 + FLA!D60 + MIDA!D60 + MIDW!D60 + NE!D60 + NY!D60 + NW!D60 + SE!D60 + SW!D60 + TEN!D60 + TEX!D60</f>
        <v>14.63115792</v>
      </c>
      <c r="E60" s="7">
        <f xml:space="preserve"> 0 + CAL!E60 + CAR!E60 + CENT!E60 + FLA!E60 + MIDA!E60 + MIDW!E60 + NE!E60 + NY!E60 + NW!E60 + SE!E60 + SW!E60 + TEN!E60 + TEX!E60</f>
        <v>14.569854439999999</v>
      </c>
      <c r="F60" s="7">
        <f xml:space="preserve"> 0 + CAL!F60 + CAR!F60 + CENT!F60 + FLA!F60 + MIDA!F60 + MIDW!F60 + NE!F60 + NY!F60 + NW!F60 + SE!F60 + SW!F60 + TEN!F60 + TEX!F60</f>
        <v>14.518548270000002</v>
      </c>
      <c r="G60" s="7">
        <f xml:space="preserve"> 0 + CAL!G60 + CAR!G60 + CENT!G60 + FLA!G60 + MIDA!G60 + MIDW!G60 + NE!G60 + NY!G60 + NW!G60 + SE!G60 + SW!G60 + TEN!G60 + TEX!G60</f>
        <v>14.481403359999998</v>
      </c>
      <c r="H60" s="7">
        <f xml:space="preserve"> 0 + CAL!H60 + CAR!H60 + CENT!H60 + FLA!H60 + MIDA!H60 + MIDW!H60 + NE!H60 + NY!H60 + NW!H60 + SE!H60 + SW!H60 + TEN!H60 + TEX!H60</f>
        <v>14.451889779999998</v>
      </c>
      <c r="I60" s="7">
        <f xml:space="preserve"> 0 + CAL!I60 + CAR!I60 + CENT!I60 + FLA!I60 + MIDA!I60 + MIDW!I60 + NE!I60 + NY!I60 + NW!I60 + SE!I60 + SW!I60 + TEN!I60 + TEX!I60</f>
        <v>14.428635020000003</v>
      </c>
      <c r="J60" s="7">
        <f xml:space="preserve"> 0 + CAL!J60 + CAR!J60 + CENT!J60 + FLA!J60 + MIDA!J60 + MIDW!J60 + NE!J60 + NY!J60 + NW!J60 + SE!J60 + SW!J60 + TEN!J60 + TEX!J60</f>
        <v>14.402017149999999</v>
      </c>
      <c r="K60" s="7">
        <f xml:space="preserve"> 0 + CAL!K60 + CAR!K60 + CENT!K60 + FLA!K60 + MIDA!K60 + MIDW!K60 + NE!K60 + NY!K60 + NW!K60 + SE!K60 + SW!K60 + TEN!K60 + TEX!K60</f>
        <v>14.38139301</v>
      </c>
      <c r="L60" s="7">
        <f xml:space="preserve"> 0 + CAL!L60 + CAR!L60 + CENT!L60 + FLA!L60 + MIDA!L60 + MIDW!L60 + NE!L60 + NY!L60 + NW!L60 + SE!L60 + SW!L60 + TEN!L60 + TEX!L60</f>
        <v>14.369727009999998</v>
      </c>
      <c r="M60" s="7">
        <f xml:space="preserve"> 0 + CAL!M60 + CAR!M60 + CENT!M60 + FLA!M60 + MIDA!M60 + MIDW!M60 + NE!M60 + NY!M60 + NW!M60 + SE!M60 + SW!M60 + TEN!M60 + TEX!M60</f>
        <v>14.366545</v>
      </c>
      <c r="N60" s="7">
        <f xml:space="preserve"> 0 + CAL!N60 + CAR!N60 + CENT!N60 + FLA!N60 + MIDA!N60 + MIDW!N60 + NE!N60 + NY!N60 + NW!N60 + SE!N60 + SW!N60 + TEN!N60 + TEX!N60</f>
        <v>14.390464380000001</v>
      </c>
      <c r="O60" s="7">
        <f xml:space="preserve"> 0 + CAL!O60 + CAR!O60 + CENT!O60 + FLA!O60 + MIDA!O60 + MIDW!O60 + NE!O60 + NY!O60 + NW!O60 + SE!O60 + SW!O60 + TEN!O60 + TEX!O60</f>
        <v>14.426191370000002</v>
      </c>
      <c r="P60" s="7">
        <f xml:space="preserve"> 0 + CAL!P60 + CAR!P60 + CENT!P60 + FLA!P60 + MIDA!P60 + MIDW!P60 + NE!P60 + NY!P60 + NW!P60 + SE!P60 + SW!P60 + TEN!P60 + TEX!P60</f>
        <v>14.474569260000003</v>
      </c>
      <c r="Q60" s="7">
        <f xml:space="preserve"> 0 + CAL!Q60 + CAR!Q60 + CENT!Q60 + FLA!Q60 + MIDA!Q60 + MIDW!Q60 + NE!Q60 + NY!Q60 + NW!Q60 + SE!Q60 + SW!Q60 + TEN!Q60 + TEX!Q60</f>
        <v>14.526686190000003</v>
      </c>
      <c r="R60" s="7">
        <f xml:space="preserve"> 0 + CAL!R60 + CAR!R60 + CENT!R60 + FLA!R60 + MIDA!R60 + MIDW!R60 + NE!R60 + NY!R60 + NW!R60 + SE!R60 + SW!R60 + TEN!R60 + TEX!R60</f>
        <v>14.58983433</v>
      </c>
      <c r="S60" s="7">
        <f xml:space="preserve"> 0 + CAL!S60 + CAR!S60 + CENT!S60 + FLA!S60 + MIDA!S60 + MIDW!S60 + NE!S60 + NY!S60 + NW!S60 + SE!S60 + SW!S60 + TEN!S60 + TEX!S60</f>
        <v>14.6557931</v>
      </c>
      <c r="T60" s="7">
        <f xml:space="preserve"> 0 + CAL!T60 + CAR!T60 + CENT!T60 + FLA!T60 + MIDA!T60 + MIDW!T60 + NE!T60 + NY!T60 + NW!T60 + SE!T60 + SW!T60 + TEN!T60 + TEX!T60</f>
        <v>14.723483269999999</v>
      </c>
      <c r="U60" s="7">
        <f xml:space="preserve"> 0 + CAL!U60 + CAR!U60 + CENT!U60 + FLA!U60 + MIDA!U60 + MIDW!U60 + NE!U60 + NY!U60 + NW!U60 + SE!U60 + SW!U60 + TEN!U60 + TEX!U60</f>
        <v>14.79632552</v>
      </c>
      <c r="V60" s="7">
        <f xml:space="preserve"> 0 + CAL!V60 + CAR!V60 + CENT!V60 + FLA!V60 + MIDA!V60 + MIDW!V60 + NE!V60 + NY!V60 + NW!V60 + SE!V60 + SW!V60 + TEN!V60 + TEX!V60</f>
        <v>14.87052087</v>
      </c>
      <c r="W60" s="7">
        <f xml:space="preserve"> 0 + CAL!W60 + CAR!W60 + CENT!W60 + FLA!W60 + MIDA!W60 + MIDW!W60 + NE!W60 + NY!W60 + NW!W60 + SE!W60 + SW!W60 + TEN!W60 + TEX!W60</f>
        <v>14.937546679999999</v>
      </c>
      <c r="X60" s="7">
        <f xml:space="preserve"> 0 + CAL!X60 + CAR!X60 + CENT!X60 + FLA!X60 + MIDA!X60 + MIDW!X60 + NE!X60 + NY!X60 + NW!X60 + SE!X60 + SW!X60 + TEN!X60 + TEX!X60</f>
        <v>14.977502579999999</v>
      </c>
      <c r="Y60" s="7">
        <f xml:space="preserve"> 0 + CAL!Y60 + CAR!Y60 + CENT!Y60 + FLA!Y60 + MIDA!Y60 + MIDW!Y60 + NE!Y60 + NY!Y60 + NW!Y60 + SE!Y60 + SW!Y60 + TEN!Y60 + TEX!Y60</f>
        <v>15.024721320000001</v>
      </c>
      <c r="Z60" s="7">
        <f xml:space="preserve"> 0 + CAL!Z60 + CAR!Z60 + CENT!Z60 + FLA!Z60 + MIDA!Z60 + MIDW!Z60 + NE!Z60 + NY!Z60 + NW!Z60 + SE!Z60 + SW!Z60 + TEN!Z60 + TEX!Z60</f>
        <v>15.075527729999999</v>
      </c>
      <c r="AA60" s="7">
        <f xml:space="preserve"> 0 + CAL!AA60 + CAR!AA60 + CENT!AA60 + FLA!AA60 + MIDA!AA60 + MIDW!AA60 + NE!AA60 + NY!AA60 + NW!AA60 + SE!AA60 + SW!AA60 + TEN!AA60 + TEX!AA60</f>
        <v>15.12617363</v>
      </c>
      <c r="AB60" s="7">
        <f xml:space="preserve"> 0 + CAL!AB60 + CAR!AB60 + CENT!AB60 + FLA!AB60 + MIDA!AB60 + MIDW!AB60 + NE!AB60 + NY!AB60 + NW!AB60 + SE!AB60 + SW!AB60 + TEN!AB60 + TEX!AB60</f>
        <v>15.177345820000001</v>
      </c>
      <c r="AC60" s="7">
        <f xml:space="preserve"> 0 + CAL!AC60 + CAR!AC60 + CENT!AC60 + FLA!AC60 + MIDA!AC60 + MIDW!AC60 + NE!AC60 + NY!AC60 + NW!AC60 + SE!AC60 + SW!AC60 + TEN!AC60 + TEX!AC60</f>
        <v>15.218270150000002</v>
      </c>
    </row>
    <row r="61" spans="1:29" x14ac:dyDescent="0.85">
      <c r="A61" t="str">
        <f>CAL!A61</f>
        <v>Coal_MW</v>
      </c>
      <c r="B61" s="7">
        <f xml:space="preserve"> 0 + CAL!B61 + CAR!B61 + CENT!B61 + FLA!B61 + MIDA!B61 + MIDW!B61 + NE!B61 + NY!B61 + NW!B61 + SE!B61 + SW!B61 + TEN!B61 + TEX!B61</f>
        <v>188641</v>
      </c>
      <c r="C61" s="7">
        <f xml:space="preserve"> 0 + CAL!C61 + CAR!C61 + CENT!C61 + FLA!C61 + MIDA!C61 + MIDW!C61 + NE!C61 + NY!C61 + NW!C61 + SE!C61 + SW!C61 + TEN!C61 + TEX!C61</f>
        <v>183946.14171190999</v>
      </c>
      <c r="D61" s="7">
        <f xml:space="preserve"> 0 + CAL!D61 + CAR!D61 + CENT!D61 + FLA!D61 + MIDA!D61 + MIDW!D61 + NE!D61 + NY!D61 + NW!D61 + SE!D61 + SW!D61 + TEN!D61 + TEX!D61</f>
        <v>179358.30893822998</v>
      </c>
      <c r="E61" s="7">
        <f xml:space="preserve"> 0 + CAL!E61 + CAR!E61 + CENT!E61 + FLA!E61 + MIDA!E61 + MIDW!E61 + NE!E61 + NY!E61 + NW!E61 + SE!E61 + SW!E61 + TEN!E61 + TEX!E61</f>
        <v>174874.3512799</v>
      </c>
      <c r="F61" s="7">
        <f xml:space="preserve"> 0 + CAL!F61 + CAR!F61 + CENT!F61 + FLA!F61 + MIDA!F61 + MIDW!F61 + NE!F61 + NY!F61 + NW!F61 + SE!F61 + SW!F61 + TEN!F61 + TEX!F61</f>
        <v>170502.49435853999</v>
      </c>
      <c r="G61" s="7">
        <f xml:space="preserve"> 0 + CAL!G61 + CAR!G61 + CENT!G61 + FLA!G61 + MIDA!G61 + MIDW!G61 + NE!G61 + NY!G61 + NW!G61 + SE!G61 + SW!G61 + TEN!G61 + TEX!G61</f>
        <v>166239.93199957002</v>
      </c>
      <c r="H61" s="7">
        <f xml:space="preserve"> 0 + CAL!H61 + CAR!H61 + CENT!H61 + FLA!H61 + MIDA!H61 + MIDW!H61 + NE!H61 + NY!H61 + NW!H61 + SE!H61 + SW!H61 + TEN!H61 + TEX!H61</f>
        <v>162083.93369956</v>
      </c>
      <c r="I61" s="7">
        <f xml:space="preserve"> 0 + CAL!I61 + CAR!I61 + CENT!I61 + FLA!I61 + MIDA!I61 + MIDW!I61 + NE!I61 + NY!I61 + NW!I61 + SE!I61 + SW!I61 + TEN!I61 + TEX!I61</f>
        <v>158031.83535708996</v>
      </c>
      <c r="J61" s="7">
        <f xml:space="preserve"> 0 + CAL!J61 + CAR!J61 + CENT!J61 + FLA!J61 + MIDA!J61 + MIDW!J61 + NE!J61 + NY!J61 + NW!J61 + SE!J61 + SW!J61 + TEN!J61 + TEX!J61</f>
        <v>154081.03947316002</v>
      </c>
      <c r="K61" s="7">
        <f xml:space="preserve"> 0 + CAL!K61 + CAR!K61 + CENT!K61 + FLA!K61 + MIDA!K61 + MIDW!K61 + NE!K61 + NY!K61 + NW!K61 + SE!K61 + SW!K61 + TEN!K61 + TEX!K61</f>
        <v>150229.01348632999</v>
      </c>
      <c r="L61" s="7">
        <f xml:space="preserve"> 0 + CAL!L61 + CAR!L61 + CENT!L61 + FLA!L61 + MIDA!L61 + MIDW!L61 + NE!L61 + NY!L61 + NW!L61 + SE!L61 + SW!L61 + TEN!L61 + TEX!L61</f>
        <v>146473.28814917</v>
      </c>
      <c r="M61" s="7">
        <f xml:space="preserve"> 0 + CAL!M61 + CAR!M61 + CENT!M61 + FLA!M61 + MIDA!M61 + MIDW!M61 + NE!M61 + NY!M61 + NW!M61 + SE!M61 + SW!M61 + TEN!M61 + TEX!M61</f>
        <v>142811.45594545</v>
      </c>
      <c r="N61" s="7">
        <f xml:space="preserve"> 0 + CAL!N61 + CAR!N61 + CENT!N61 + FLA!N61 + MIDA!N61 + MIDW!N61 + NE!N61 + NY!N61 + NW!N61 + SE!N61 + SW!N61 + TEN!N61 + TEX!N61</f>
        <v>139241.16954680998</v>
      </c>
      <c r="O61" s="7">
        <f xml:space="preserve"> 0 + CAL!O61 + CAR!O61 + CENT!O61 + FLA!O61 + MIDA!O61 + MIDW!O61 + NE!O61 + NY!O61 + NW!O61 + SE!O61 + SW!O61 + TEN!O61 + TEX!O61</f>
        <v>135760.14030812998</v>
      </c>
      <c r="P61" s="7">
        <f xml:space="preserve"> 0 + CAL!P61 + CAR!P61 + CENT!P61 + FLA!P61 + MIDA!P61 + MIDW!P61 + NE!P61 + NY!P61 + NW!P61 + SE!P61 + SW!P61 + TEN!P61 + TEX!P61</f>
        <v>132366.13680043002</v>
      </c>
      <c r="Q61" s="7">
        <f xml:space="preserve"> 0 + CAL!Q61 + CAR!Q61 + CENT!Q61 + FLA!Q61 + MIDA!Q61 + MIDW!Q61 + NE!Q61 + NY!Q61 + NW!Q61 + SE!Q61 + SW!Q61 + TEN!Q61 + TEX!Q61</f>
        <v>129056.98338043</v>
      </c>
      <c r="R61" s="7">
        <f xml:space="preserve"> 0 + CAL!R61 + CAR!R61 + CENT!R61 + FLA!R61 + MIDA!R61 + MIDW!R61 + NE!R61 + NY!R61 + NW!R61 + SE!R61 + SW!R61 + TEN!R61 + TEX!R61</f>
        <v>125830.55879592001</v>
      </c>
      <c r="S61" s="7">
        <f xml:space="preserve"> 0 + CAL!S61 + CAR!S61 + CENT!S61 + FLA!S61 + MIDA!S61 + MIDW!S61 + NE!S61 + NY!S61 + NW!S61 + SE!S61 + SW!S61 + TEN!S61 + TEX!S61</f>
        <v>122684.794826</v>
      </c>
      <c r="T61" s="7">
        <f xml:space="preserve"> 0 + CAL!T61 + CAR!T61 + CENT!T61 + FLA!T61 + MIDA!T61 + MIDW!T61 + NE!T61 + NY!T61 + NW!T61 + SE!T61 + SW!T61 + TEN!T61 + TEX!T61</f>
        <v>119617.67495536999</v>
      </c>
      <c r="U61" s="7">
        <f xml:space="preserve"> 0 + CAL!U61 + CAR!U61 + CENT!U61 + FLA!U61 + MIDA!U61 + MIDW!U61 + NE!U61 + NY!U61 + NW!U61 + SE!U61 + SW!U61 + TEN!U61 + TEX!U61</f>
        <v>116627.23308147</v>
      </c>
      <c r="V61" s="7">
        <f xml:space="preserve"> 0 + CAL!V61 + CAR!V61 + CENT!V61 + FLA!V61 + MIDA!V61 + MIDW!V61 + NE!V61 + NY!V61 + NW!V61 + SE!V61 + SW!V61 + TEN!V61 + TEX!V61</f>
        <v>113711.55226631001</v>
      </c>
      <c r="W61" s="7">
        <f xml:space="preserve"> 0 + CAL!W61 + CAR!W61 + CENT!W61 + FLA!W61 + MIDA!W61 + MIDW!W61 + NE!W61 + NY!W61 + NW!W61 + SE!W61 + SW!W61 + TEN!W61 + TEX!W61</f>
        <v>110868.76345966001</v>
      </c>
      <c r="X61" s="7">
        <f xml:space="preserve"> 0 + CAL!X61 + CAR!X61 + CENT!X61 + FLA!X61 + MIDA!X61 + MIDW!X61 + NE!X61 + NY!X61 + NW!X61 + SE!X61 + SW!X61 + TEN!X61 + TEX!X61</f>
        <v>108097.04437316998</v>
      </c>
      <c r="Y61" s="7">
        <f xml:space="preserve"> 0 + CAL!Y61 + CAR!Y61 + CENT!Y61 + FLA!Y61 + MIDA!Y61 + MIDW!Y61 + NE!Y61 + NY!Y61 + NW!Y61 + SE!Y61 + SW!Y61 + TEN!Y61 + TEX!Y61</f>
        <v>105394.61826384999</v>
      </c>
      <c r="Z61" s="7">
        <f xml:space="preserve"> 0 + CAL!Z61 + CAR!Z61 + CENT!Z61 + FLA!Z61 + MIDA!Z61 + MIDW!Z61 + NE!Z61 + NY!Z61 + NW!Z61 + SE!Z61 + SW!Z61 + TEN!Z61 + TEX!Z61</f>
        <v>102759.75280724</v>
      </c>
      <c r="AA61" s="7">
        <f xml:space="preserve"> 0 + CAL!AA61 + CAR!AA61 + CENT!AA61 + FLA!AA61 + MIDA!AA61 + MIDW!AA61 + NE!AA61 + NY!AA61 + NW!AA61 + SE!AA61 + SW!AA61 + TEN!AA61 + TEX!AA61</f>
        <v>100190.75898706002</v>
      </c>
      <c r="AB61" s="7">
        <f xml:space="preserve"> 0 + CAL!AB61 + CAR!AB61 + CENT!AB61 + FLA!AB61 + MIDA!AB61 + MIDW!AB61 + NE!AB61 + NY!AB61 + NW!AB61 + SE!AB61 + SW!AB61 + TEN!AB61 + TEX!AB61</f>
        <v>97685.990012399983</v>
      </c>
      <c r="AC61" s="7">
        <f xml:space="preserve"> 0 + CAL!AC61 + CAR!AC61 + CENT!AC61 + FLA!AC61 + MIDA!AC61 + MIDW!AC61 + NE!AC61 + NY!AC61 + NW!AC61 + SE!AC61 + SW!AC61 + TEN!AC61 + TEX!AC61</f>
        <v>95243.840262070007</v>
      </c>
    </row>
    <row r="62" spans="1:29" x14ac:dyDescent="0.85">
      <c r="A62" t="str">
        <f>CAL!A62</f>
        <v>Coal_Demand_MWh</v>
      </c>
      <c r="B62" s="7">
        <f xml:space="preserve"> 0 + CAL!B62 + CAR!B62 + CENT!B62 + FLA!B62 + MIDA!B62 + MIDW!B62 + NE!B62 + NY!B62 + NW!B62 + SE!B62 + SW!B62 + TEN!B62 + TEX!B62</f>
        <v>802228818.94134998</v>
      </c>
      <c r="C62" s="7">
        <f xml:space="preserve"> 0 + CAL!C62 + CAR!C62 + CENT!C62 + FLA!C62 + MIDA!C62 + MIDW!C62 + NE!C62 + NY!C62 + NW!C62 + SE!C62 + SW!C62 + TEN!C62 + TEX!C62</f>
        <v>782199050.17341328</v>
      </c>
      <c r="D62" s="7">
        <f xml:space="preserve"> 0 + CAL!D62 + CAR!D62 + CENT!D62 + FLA!D62 + MIDA!D62 + MIDW!D62 + NE!D62 + NY!D62 + NW!D62 + SE!D62 + SW!D62 + TEN!D62 + TEX!D62</f>
        <v>762224123.99729645</v>
      </c>
      <c r="E62" s="7">
        <f xml:space="preserve"> 0 + CAL!E62 + CAR!E62 + CENT!E62 + FLA!E62 + MIDA!E62 + MIDW!E62 + NE!E62 + NY!E62 + NW!E62 + SE!E62 + SW!E62 + TEN!E62 + TEX!E62</f>
        <v>743076867.12495852</v>
      </c>
      <c r="F62" s="7">
        <f xml:space="preserve"> 0 + CAL!F62 + CAR!F62 + CENT!F62 + FLA!F62 + MIDA!F62 + MIDW!F62 + NE!F62 + NY!F62 + NW!F62 + SE!F62 + SW!F62 + TEN!F62 + TEX!F62</f>
        <v>721775047.61531603</v>
      </c>
      <c r="G62" s="7">
        <f xml:space="preserve"> 0 + CAL!G62 + CAR!G62 + CENT!G62 + FLA!G62 + MIDA!G62 + MIDW!G62 + NE!G62 + NY!G62 + NW!G62 + SE!G62 + SW!G62 + TEN!G62 + TEX!G62</f>
        <v>691874629.95872688</v>
      </c>
      <c r="H62" s="7">
        <f xml:space="preserve"> 0 + CAL!H62 + CAR!H62 + CENT!H62 + FLA!H62 + MIDA!H62 + MIDW!H62 + NE!H62 + NY!H62 + NW!H62 + SE!H62 + SW!H62 + TEN!H62 + TEX!H62</f>
        <v>614561095.2624234</v>
      </c>
      <c r="I62" s="7">
        <f xml:space="preserve"> 0 + CAL!I62 + CAR!I62 + CENT!I62 + FLA!I62 + MIDA!I62 + MIDW!I62 + NE!I62 + NY!I62 + NW!I62 + SE!I62 + SW!I62 + TEN!I62 + TEX!I62</f>
        <v>502264175.16981775</v>
      </c>
      <c r="J62" s="7">
        <f xml:space="preserve"> 0 + CAL!J62 + CAR!J62 + CENT!J62 + FLA!J62 + MIDA!J62 + MIDW!J62 + NE!J62 + NY!J62 + NW!J62 + SE!J62 + SW!J62 + TEN!J62 + TEX!J62</f>
        <v>396620451.03864318</v>
      </c>
      <c r="K62" s="7">
        <f xml:space="preserve"> 0 + CAL!K62 + CAR!K62 + CENT!K62 + FLA!K62 + MIDA!K62 + MIDW!K62 + NE!K62 + NY!K62 + NW!K62 + SE!K62 + SW!K62 + TEN!K62 + TEX!K62</f>
        <v>297059623.6838553</v>
      </c>
      <c r="L62" s="7">
        <f xml:space="preserve"> 0 + CAL!L62 + CAR!L62 + CENT!L62 + FLA!L62 + MIDA!L62 + MIDW!L62 + NE!L62 + NY!L62 + NW!L62 + SE!L62 + SW!L62 + TEN!L62 + TEX!L62</f>
        <v>201032613.25078288</v>
      </c>
      <c r="M62" s="7">
        <f xml:space="preserve"> 0 + CAL!M62 + CAR!M62 + CENT!M62 + FLA!M62 + MIDA!M62 + MIDW!M62 + NE!M62 + NY!M62 + NW!M62 + SE!M62 + SW!M62 + TEN!M62 + TEX!M62</f>
        <v>84673148.902893856</v>
      </c>
      <c r="N62" s="7">
        <f xml:space="preserve"> 0 + CAL!N62 + CAR!N62 + CENT!N62 + FLA!N62 + MIDA!N62 + MIDW!N62 + NE!N62 + NY!N62 + NW!N62 + SE!N62 + SW!N62 + TEN!N62 + TEX!N62</f>
        <v>29313517.289591167</v>
      </c>
      <c r="O62" s="7">
        <f xml:space="preserve"> 0 + CAL!O62 + CAR!O62 + CENT!O62 + FLA!O62 + MIDA!O62 + MIDW!O62 + NE!O62 + NY!O62 + NW!O62 + SE!O62 + SW!O62 + TEN!O62 + TEX!O62</f>
        <v>1761580.11836893</v>
      </c>
      <c r="P62" s="7">
        <f xml:space="preserve"> 0 + CAL!P62 + CAR!P62 + CENT!P62 + FLA!P62 + MIDA!P62 + MIDW!P62 + NE!P62 + NY!P62 + NW!P62 + SE!P62 + SW!P62 + TEN!P62 + TEX!P62</f>
        <v>210412.25132854001</v>
      </c>
      <c r="Q62" s="7">
        <f xml:space="preserve"> 0 + CAL!Q62 + CAR!Q62 + CENT!Q62 + FLA!Q62 + MIDA!Q62 + MIDW!Q62 + NE!Q62 + NY!Q62 + NW!Q62 + SE!Q62 + SW!Q62 + TEN!Q62 + TEX!Q62</f>
        <v>205099.08968142001</v>
      </c>
      <c r="R62" s="7">
        <f xml:space="preserve"> 0 + CAL!R62 + CAR!R62 + CENT!R62 + FLA!R62 + MIDA!R62 + MIDW!R62 + NE!R62 + NY!R62 + NW!R62 + SE!R62 + SW!R62 + TEN!R62 + TEX!R62</f>
        <v>199532.14606982999</v>
      </c>
      <c r="S62" s="7">
        <f xml:space="preserve"> 0 + CAL!S62 + CAR!S62 + CENT!S62 + FLA!S62 + MIDA!S62 + MIDW!S62 + NE!S62 + NY!S62 + NW!S62 + SE!S62 + SW!S62 + TEN!S62 + TEX!S62</f>
        <v>193143.93651050999</v>
      </c>
      <c r="T62" s="7">
        <f xml:space="preserve"> 0 + CAL!T62 + CAR!T62 + CENT!T62 + FLA!T62 + MIDA!T62 + MIDW!T62 + NE!T62 + NY!T62 + NW!T62 + SE!T62 + SW!T62 + TEN!T62 + TEX!T62</f>
        <v>185232.34308672001</v>
      </c>
      <c r="U62" s="7">
        <f xml:space="preserve"> 0 + CAL!U62 + CAR!U62 + CENT!U62 + FLA!U62 + MIDA!U62 + MIDW!U62 + NE!U62 + NY!U62 + NW!U62 + SE!U62 + SW!U62 + TEN!U62 + TEX!U62</f>
        <v>175326.41425095001</v>
      </c>
      <c r="V62" s="7">
        <f xml:space="preserve"> 0 + CAL!V62 + CAR!V62 + CENT!V62 + FLA!V62 + MIDA!V62 + MIDW!V62 + NE!V62 + NY!V62 + NW!V62 + SE!V62 + SW!V62 + TEN!V62 + TEX!V62</f>
        <v>163538.91854963001</v>
      </c>
      <c r="W62" s="7">
        <f xml:space="preserve"> 0 + CAL!W62 + CAR!W62 + CENT!W62 + FLA!W62 + MIDA!W62 + MIDW!W62 + NE!W62 + NY!W62 + NW!W62 + SE!W62 + SW!W62 + TEN!W62 + TEX!W62</f>
        <v>150170.70982927</v>
      </c>
      <c r="X62" s="7">
        <f xml:space="preserve"> 0 + CAL!X62 + CAR!X62 + CENT!X62 + FLA!X62 + MIDA!X62 + MIDW!X62 + NE!X62 + NY!X62 + NW!X62 + SE!X62 + SW!X62 + TEN!X62 + TEX!X62</f>
        <v>134409.2765903</v>
      </c>
      <c r="Y62" s="7">
        <f xml:space="preserve"> 0 + CAL!Y62 + CAR!Y62 + CENT!Y62 + FLA!Y62 + MIDA!Y62 + MIDW!Y62 + NE!Y62 + NY!Y62 + NW!Y62 + SE!Y62 + SW!Y62 + TEN!Y62 + TEX!Y62</f>
        <v>115294.09720855</v>
      </c>
      <c r="Z62" s="7">
        <f xml:space="preserve"> 0 + CAL!Z62 + CAR!Z62 + CENT!Z62 + FLA!Z62 + MIDA!Z62 + MIDW!Z62 + NE!Z62 + NY!Z62 + NW!Z62 + SE!Z62 + SW!Z62 + TEN!Z62 + TEX!Z62</f>
        <v>72.508704679999994</v>
      </c>
      <c r="AA62" s="7">
        <f xml:space="preserve"> 0 + CAL!AA62 + CAR!AA62 + CENT!AA62 + FLA!AA62 + MIDA!AA62 + MIDW!AA62 + NE!AA62 + NY!AA62 + NW!AA62 + SE!AA62 + SW!AA62 + TEN!AA62 + TEX!AA62</f>
        <v>0</v>
      </c>
      <c r="AB62" s="7">
        <f xml:space="preserve"> 0 + CAL!AB62 + CAR!AB62 + CENT!AB62 + FLA!AB62 + MIDA!AB62 + MIDW!AB62 + NE!AB62 + NY!AB62 + NW!AB62 + SE!AB62 + SW!AB62 + TEN!AB62 + TEX!AB62</f>
        <v>0</v>
      </c>
      <c r="AC62" s="7">
        <f xml:space="preserve"> 0 + CAL!AC62 + CAR!AC62 + CENT!AC62 + FLA!AC62 + MIDA!AC62 + MIDW!AC62 + NE!AC62 + NY!AC62 + NW!AC62 + SE!AC62 + SW!AC62 + TEN!AC62 + TEX!AC62</f>
        <v>0</v>
      </c>
    </row>
    <row r="63" spans="1:29" x14ac:dyDescent="0.85">
      <c r="A63" t="str">
        <f>CAL!A63</f>
        <v>Coal_Supply_MWh</v>
      </c>
      <c r="B63" s="7">
        <f xml:space="preserve"> 0 + CAL!B63 + CAR!B63 + CENT!B63 + FLA!B63 + MIDA!B63 + MIDW!B63 + NE!B63 + NY!B63 + NW!B63 + SE!B63 + SW!B63 + TEN!B63 + TEX!B63</f>
        <v>802228818.94134998</v>
      </c>
      <c r="C63" s="7">
        <f xml:space="preserve"> 0 + CAL!C63 + CAR!C63 + CENT!C63 + FLA!C63 + MIDA!C63 + MIDW!C63 + NE!C63 + NY!C63 + NW!C63 + SE!C63 + SW!C63 + TEN!C63 + TEX!C63</f>
        <v>782199050.17341328</v>
      </c>
      <c r="D63" s="7">
        <f xml:space="preserve"> 0 + CAL!D63 + CAR!D63 + CENT!D63 + FLA!D63 + MIDA!D63 + MIDW!D63 + NE!D63 + NY!D63 + NW!D63 + SE!D63 + SW!D63 + TEN!D63 + TEX!D63</f>
        <v>762224123.99729645</v>
      </c>
      <c r="E63" s="7">
        <f xml:space="preserve"> 0 + CAL!E63 + CAR!E63 + CENT!E63 + FLA!E63 + MIDA!E63 + MIDW!E63 + NE!E63 + NY!E63 + NW!E63 + SE!E63 + SW!E63 + TEN!E63 + TEX!E63</f>
        <v>743076867.12495852</v>
      </c>
      <c r="F63" s="7">
        <f xml:space="preserve"> 0 + CAL!F63 + CAR!F63 + CENT!F63 + FLA!F63 + MIDA!F63 + MIDW!F63 + NE!F63 + NY!F63 + NW!F63 + SE!F63 + SW!F63 + TEN!F63 + TEX!F63</f>
        <v>721775047.61531603</v>
      </c>
      <c r="G63" s="7">
        <f xml:space="preserve"> 0 + CAL!G63 + CAR!G63 + CENT!G63 + FLA!G63 + MIDA!G63 + MIDW!G63 + NE!G63 + NY!G63 + NW!G63 + SE!G63 + SW!G63 + TEN!G63 + TEX!G63</f>
        <v>691874629.95872688</v>
      </c>
      <c r="H63" s="7">
        <f xml:space="preserve"> 0 + CAL!H63 + CAR!H63 + CENT!H63 + FLA!H63 + MIDA!H63 + MIDW!H63 + NE!H63 + NY!H63 + NW!H63 + SE!H63 + SW!H63 + TEN!H63 + TEX!H63</f>
        <v>614561095.2624234</v>
      </c>
      <c r="I63" s="7">
        <f xml:space="preserve"> 0 + CAL!I63 + CAR!I63 + CENT!I63 + FLA!I63 + MIDA!I63 + MIDW!I63 + NE!I63 + NY!I63 + NW!I63 + SE!I63 + SW!I63 + TEN!I63 + TEX!I63</f>
        <v>502264175.16981775</v>
      </c>
      <c r="J63" s="7">
        <f xml:space="preserve"> 0 + CAL!J63 + CAR!J63 + CENT!J63 + FLA!J63 + MIDA!J63 + MIDW!J63 + NE!J63 + NY!J63 + NW!J63 + SE!J63 + SW!J63 + TEN!J63 + TEX!J63</f>
        <v>396620515.89036179</v>
      </c>
      <c r="K63" s="7">
        <f xml:space="preserve"> 0 + CAL!K63 + CAR!K63 + CENT!K63 + FLA!K63 + MIDA!K63 + MIDW!K63 + NE!K63 + NY!K63 + NW!K63 + SE!K63 + SW!K63 + TEN!K63 + TEX!K63</f>
        <v>297060032.64587998</v>
      </c>
      <c r="L63" s="7">
        <f xml:space="preserve"> 0 + CAL!L63 + CAR!L63 + CENT!L63 + FLA!L63 + MIDA!L63 + MIDW!L63 + NE!L63 + NY!L63 + NW!L63 + SE!L63 + SW!L63 + TEN!L63 + TEX!L63</f>
        <v>201033171.72284019</v>
      </c>
      <c r="M63" s="7">
        <f xml:space="preserve"> 0 + CAL!M63 + CAR!M63 + CENT!M63 + FLA!M63 + MIDA!M63 + MIDW!M63 + NE!M63 + NY!M63 + NW!M63 + SE!M63 + SW!M63 + TEN!M63 + TEX!M63</f>
        <v>84673148.905113593</v>
      </c>
      <c r="N63" s="7">
        <f xml:space="preserve"> 0 + CAL!N63 + CAR!N63 + CENT!N63 + FLA!N63 + MIDA!N63 + MIDW!N63 + NE!N63 + NY!N63 + NW!N63 + SE!N63 + SW!N63 + TEN!N63 + TEX!N63</f>
        <v>29313517.289591167</v>
      </c>
      <c r="O63" s="7">
        <f xml:space="preserve"> 0 + CAL!O63 + CAR!O63 + CENT!O63 + FLA!O63 + MIDA!O63 + MIDW!O63 + NE!O63 + NY!O63 + NW!O63 + SE!O63 + SW!O63 + TEN!O63 + TEX!O63</f>
        <v>1761580.11836893</v>
      </c>
      <c r="P63" s="7">
        <f xml:space="preserve"> 0 + CAL!P63 + CAR!P63 + CENT!P63 + FLA!P63 + MIDA!P63 + MIDW!P63 + NE!P63 + NY!P63 + NW!P63 + SE!P63 + SW!P63 + TEN!P63 + TEX!P63</f>
        <v>210412.36683096</v>
      </c>
      <c r="Q63" s="7">
        <f xml:space="preserve"> 0 + CAL!Q63 + CAR!Q63 + CENT!Q63 + FLA!Q63 + MIDA!Q63 + MIDW!Q63 + NE!Q63 + NY!Q63 + NW!Q63 + SE!Q63 + SW!Q63 + TEN!Q63 + TEX!Q63</f>
        <v>205146.98442509002</v>
      </c>
      <c r="R63" s="7">
        <f xml:space="preserve"> 0 + CAL!R63 + CAR!R63 + CENT!R63 + FLA!R63 + MIDA!R63 + MIDW!R63 + NE!R63 + NY!R63 + NW!R63 + SE!R63 + SW!R63 + TEN!R63 + TEX!R63</f>
        <v>200018.30510150001</v>
      </c>
      <c r="S63" s="7">
        <f xml:space="preserve"> 0 + CAL!S63 + CAR!S63 + CENT!S63 + FLA!S63 + MIDA!S63 + MIDW!S63 + NE!S63 + NY!S63 + NW!S63 + SE!S63 + SW!S63 + TEN!S63 + TEX!S63</f>
        <v>195015.35427827999</v>
      </c>
      <c r="T63" s="7">
        <f xml:space="preserve"> 0 + CAL!T63 + CAR!T63 + CENT!T63 + FLA!T63 + MIDA!T63 + MIDW!T63 + NE!T63 + NY!T63 + NW!T63 + SE!T63 + SW!T63 + TEN!T63 + TEX!T63</f>
        <v>190139.72518604001</v>
      </c>
      <c r="U63" s="7">
        <f xml:space="preserve"> 0 + CAL!U63 + CAR!U63 + CENT!U63 + FLA!U63 + MIDA!U63 + MIDW!U63 + NE!U63 + NY!U63 + NW!U63 + SE!U63 + SW!U63 + TEN!U63 + TEX!U63</f>
        <v>185386.22926434001</v>
      </c>
      <c r="V63" s="7">
        <f xml:space="preserve"> 0 + CAL!V63 + CAR!V63 + CENT!V63 + FLA!V63 + MIDA!V63 + MIDW!V63 + NE!V63 + NY!V63 + NW!V63 + SE!V63 + SW!V63 + TEN!V63 + TEX!V63</f>
        <v>180751.57802014999</v>
      </c>
      <c r="W63" s="7">
        <f xml:space="preserve"> 0 + CAL!W63 + CAR!W63 + CENT!W63 + FLA!W63 + MIDA!W63 + MIDW!W63 + NE!W63 + NY!W63 + NW!W63 + SE!W63 + SW!W63 + TEN!W63 + TEX!W63</f>
        <v>176229.30174482</v>
      </c>
      <c r="X63" s="7">
        <f xml:space="preserve"> 0 + CAL!X63 + CAR!X63 + CENT!X63 + FLA!X63 + MIDA!X63 + MIDW!X63 + NE!X63 + NY!X63 + NW!X63 + SE!X63 + SW!X63 + TEN!X63 + TEX!X63</f>
        <v>170616.91782256999</v>
      </c>
      <c r="Y63" s="7">
        <f xml:space="preserve"> 0 + CAL!Y63 + CAR!Y63 + CENT!Y63 + FLA!Y63 + MIDA!Y63 + MIDW!Y63 + NE!Y63 + NY!Y63 + NW!Y63 + SE!Y63 + SW!Y63 + TEN!Y63 + TEX!Y63</f>
        <v>161483.33908387</v>
      </c>
      <c r="Z63" s="7">
        <f xml:space="preserve"> 0 + CAL!Z63 + CAR!Z63 + CENT!Z63 + FLA!Z63 + MIDA!Z63 + MIDW!Z63 + NE!Z63 + NY!Z63 + NW!Z63 + SE!Z63 + SW!Z63 + TEN!Z63 + TEX!Z63</f>
        <v>114.59800777</v>
      </c>
      <c r="AA63" s="7">
        <f xml:space="preserve"> 0 + CAL!AA63 + CAR!AA63 + CENT!AA63 + FLA!AA63 + MIDA!AA63 + MIDW!AA63 + NE!AA63 + NY!AA63 + NW!AA63 + SE!AA63 + SW!AA63 + TEN!AA63 + TEX!AA63</f>
        <v>0</v>
      </c>
      <c r="AB63" s="7">
        <f xml:space="preserve"> 0 + CAL!AB63 + CAR!AB63 + CENT!AB63 + FLA!AB63 + MIDA!AB63 + MIDW!AB63 + NE!AB63 + NY!AB63 + NW!AB63 + SE!AB63 + SW!AB63 + TEN!AB63 + TEX!AB63</f>
        <v>0</v>
      </c>
      <c r="AC63" s="7">
        <f xml:space="preserve"> 0 + CAL!AC63 + CAR!AC63 + CENT!AC63 + FLA!AC63 + MIDA!AC63 + MIDW!AC63 + NE!AC63 + NY!AC63 + NW!AC63 + SE!AC63 + SW!AC63 + TEN!AC63 + TEX!AC63</f>
        <v>0</v>
      </c>
    </row>
    <row r="64" spans="1:29" x14ac:dyDescent="0.85">
      <c r="A64" t="str">
        <f>CAL!A64</f>
        <v>Coal_Cost</v>
      </c>
      <c r="B64" s="7">
        <f xml:space="preserve"> 0 + CAL!B64 + CAR!B64 + CENT!B64 + FLA!B64 + MIDA!B64 + MIDW!B64 + NE!B64 + NY!B64 + NW!B64 + SE!B64 + SW!B64 + TEN!B64 + TEX!B64</f>
        <v>131589.20313698999</v>
      </c>
      <c r="C64" s="7">
        <f xml:space="preserve"> 0 + CAL!C64 + CAR!C64 + CENT!C64 + FLA!C64 + MIDA!C64 + MIDW!C64 + NE!C64 + NY!C64 + NW!C64 + SE!C64 + SW!C64 + TEN!C64 + TEX!C64</f>
        <v>128312.74680164999</v>
      </c>
      <c r="D64" s="7">
        <f xml:space="preserve"> 0 + CAL!D64 + CAR!D64 + CENT!D64 + FLA!D64 + MIDA!D64 + MIDW!D64 + NE!D64 + NY!D64 + NW!D64 + SE!D64 + SW!D64 + TEN!D64 + TEX!D64</f>
        <v>125101.62859761999</v>
      </c>
      <c r="E64" s="7">
        <f xml:space="preserve"> 0 + CAL!E64 + CAR!E64 + CENT!E64 + FLA!E64 + MIDA!E64 + MIDW!E64 + NE!E64 + NY!E64 + NW!E64 + SE!E64 + SW!E64 + TEN!E64 + TEX!E64</f>
        <v>121971.95422182001</v>
      </c>
      <c r="F64" s="7">
        <f xml:space="preserve"> 0 + CAL!F64 + CAR!F64 + CENT!F64 + FLA!F64 + MIDA!F64 + MIDW!F64 + NE!F64 + NY!F64 + NW!F64 + SE!F64 + SW!F64 + TEN!F64 + TEX!F64</f>
        <v>118859.22085846</v>
      </c>
      <c r="G64" s="7">
        <f xml:space="preserve"> 0 + CAL!G64 + CAR!G64 + CENT!G64 + FLA!G64 + MIDA!G64 + MIDW!G64 + NE!G64 + NY!G64 + NW!G64 + SE!G64 + SW!G64 + TEN!G64 + TEX!G64</f>
        <v>115611.73169165003</v>
      </c>
      <c r="H64" s="7">
        <f xml:space="preserve"> 0 + CAL!H64 + CAR!H64 + CENT!H64 + FLA!H64 + MIDA!H64 + MIDW!H64 + NE!H64 + NY!H64 + NW!H64 + SE!H64 + SW!H64 + TEN!H64 + TEX!H64</f>
        <v>111324.25034627999</v>
      </c>
      <c r="I64" s="7">
        <f xml:space="preserve"> 0 + CAL!I64 + CAR!I64 + CENT!I64 + FLA!I64 + MIDA!I64 + MIDW!I64 + NE!I64 + NY!I64 + NW!I64 + SE!I64 + SW!I64 + TEN!I64 + TEX!I64</f>
        <v>106284.5463453</v>
      </c>
      <c r="J64" s="7">
        <f xml:space="preserve"> 0 + CAL!J64 + CAR!J64 + CENT!J64 + FLA!J64 + MIDA!J64 + MIDW!J64 + NE!J64 + NY!J64 + NW!J64 + SE!J64 + SW!J64 + TEN!J64 + TEX!J64</f>
        <v>101460.36604857999</v>
      </c>
      <c r="K64" s="7">
        <f xml:space="preserve"> 0 + CAL!K64 + CAR!K64 + CENT!K64 + FLA!K64 + MIDA!K64 + MIDW!K64 + NE!K64 + NY!K64 + NW!K64 + SE!K64 + SW!K64 + TEN!K64 + TEX!K64</f>
        <v>96836.9219877</v>
      </c>
      <c r="L64" s="7">
        <f xml:space="preserve"> 0 + CAL!L64 + CAR!L64 + CENT!L64 + FLA!L64 + MIDA!L64 + MIDW!L64 + NE!L64 + NY!L64 + NW!L64 + SE!L64 + SW!L64 + TEN!L64 + TEX!L64</f>
        <v>92353.382554729993</v>
      </c>
      <c r="M64" s="7">
        <f xml:space="preserve"> 0 + CAL!M64 + CAR!M64 + CENT!M64 + FLA!M64 + MIDA!M64 + MIDW!M64 + NE!M64 + NY!M64 + NW!M64 + SE!M64 + SW!M64 + TEN!M64 + TEX!M64</f>
        <v>87452.687965580015</v>
      </c>
      <c r="N64" s="7">
        <f xml:space="preserve"> 0 + CAL!N64 + CAR!N64 + CENT!N64 + FLA!N64 + MIDA!N64 + MIDW!N64 + NE!N64 + NY!N64 + NW!N64 + SE!N64 + SW!N64 + TEN!N64 + TEX!N64</f>
        <v>84026.878315110007</v>
      </c>
      <c r="O64" s="7">
        <f xml:space="preserve"> 0 + CAL!O64 + CAR!O64 + CENT!O64 + FLA!O64 + MIDA!O64 + MIDW!O64 + NE!O64 + NY!O64 + NW!O64 + SE!O64 + SW!O64 + TEN!O64 + TEX!O64</f>
        <v>81301.857726939998</v>
      </c>
      <c r="P64" s="7">
        <f xml:space="preserve"> 0 + CAL!P64 + CAR!P64 + CENT!P64 + FLA!P64 + MIDA!P64 + MIDW!P64 + NE!P64 + NY!P64 + NW!P64 + SE!P64 + SW!P64 + TEN!P64 + TEX!P64</f>
        <v>79234.225338139993</v>
      </c>
      <c r="Q64" s="7">
        <f xml:space="preserve"> 0 + CAL!Q64 + CAR!Q64 + CENT!Q64 + FLA!Q64 + MIDA!Q64 + MIDW!Q64 + NE!Q64 + NY!Q64 + NW!Q64 + SE!Q64 + SW!Q64 + TEN!Q64 + TEX!Q64</f>
        <v>77253.36958660002</v>
      </c>
      <c r="R64" s="7">
        <f xml:space="preserve"> 0 + CAL!R64 + CAR!R64 + CENT!R64 + FLA!R64 + MIDA!R64 + MIDW!R64 + NE!R64 + NY!R64 + NW!R64 + SE!R64 + SW!R64 + TEN!R64 + TEX!R64</f>
        <v>75322.035346820005</v>
      </c>
      <c r="S64" s="7">
        <f xml:space="preserve"> 0 + CAL!S64 + CAR!S64 + CENT!S64 + FLA!S64 + MIDA!S64 + MIDW!S64 + NE!S64 + NY!S64 + NW!S64 + SE!S64 + SW!S64 + TEN!S64 + TEX!S64</f>
        <v>73438.984405109994</v>
      </c>
      <c r="T64" s="7">
        <f xml:space="preserve"> 0 + CAL!T64 + CAR!T64 + CENT!T64 + FLA!T64 + MIDA!T64 + MIDW!T64 + NE!T64 + NY!T64 + NW!T64 + SE!T64 + SW!T64 + TEN!T64 + TEX!T64</f>
        <v>71603.009789250005</v>
      </c>
      <c r="U64" s="7">
        <f xml:space="preserve"> 0 + CAL!U64 + CAR!U64 + CENT!U64 + FLA!U64 + MIDA!U64 + MIDW!U64 + NE!U64 + NY!U64 + NW!U64 + SE!U64 + SW!U64 + TEN!U64 + TEX!U64</f>
        <v>69812.934544470001</v>
      </c>
      <c r="V64" s="7">
        <f xml:space="preserve"> 0 + CAL!V64 + CAR!V64 + CENT!V64 + FLA!V64 + MIDA!V64 + MIDW!V64 + NE!V64 + NY!V64 + NW!V64 + SE!V64 + SW!V64 + TEN!V64 + TEX!V64</f>
        <v>68067.61118806999</v>
      </c>
      <c r="W64" s="7">
        <f xml:space="preserve"> 0 + CAL!W64 + CAR!W64 + CENT!W64 + FLA!W64 + MIDA!W64 + MIDW!W64 + NE!W64 + NY!W64 + NW!W64 + SE!W64 + SW!W64 + TEN!W64 + TEX!W64</f>
        <v>66365.920827200011</v>
      </c>
      <c r="X64" s="7">
        <f xml:space="preserve"> 0 + CAL!X64 + CAR!X64 + CENT!X64 + FLA!X64 + MIDA!X64 + MIDW!X64 + NE!X64 + NY!X64 + NW!X64 + SE!X64 + SW!X64 + TEN!X64 + TEX!X64</f>
        <v>64706.744715660003</v>
      </c>
      <c r="Y64" s="7">
        <f xml:space="preserve"> 0 + CAL!Y64 + CAR!Y64 + CENT!Y64 + FLA!Y64 + MIDA!Y64 + MIDW!Y64 + NE!Y64 + NY!Y64 + NW!Y64 + SE!Y64 + SW!Y64 + TEN!Y64 + TEX!Y64</f>
        <v>63088.962767110002</v>
      </c>
      <c r="Z64" s="7">
        <f xml:space="preserve"> 0 + CAL!Z64 + CAR!Z64 + CENT!Z64 + FLA!Z64 + MIDA!Z64 + MIDW!Z64 + NE!Z64 + NY!Z64 + NW!Z64 + SE!Z64 + SW!Z64 + TEN!Z64 + TEX!Z64</f>
        <v>61508.076016970015</v>
      </c>
      <c r="AA64" s="7">
        <f xml:space="preserve"> 0 + CAL!AA64 + CAR!AA64 + CENT!AA64 + FLA!AA64 + MIDA!AA64 + MIDW!AA64 + NE!AA64 + NY!AA64 + NW!AA64 + SE!AA64 + SW!AA64 + TEN!AA64 + TEX!AA64</f>
        <v>59970.37151538</v>
      </c>
      <c r="AB64" s="7">
        <f xml:space="preserve"> 0 + CAL!AB64 + CAR!AB64 + CENT!AB64 + FLA!AB64 + MIDA!AB64 + MIDW!AB64 + NE!AB64 + NY!AB64 + NW!AB64 + SE!AB64 + SW!AB64 + TEN!AB64 + TEX!AB64</f>
        <v>58471.112227489997</v>
      </c>
      <c r="AC64" s="7">
        <f xml:space="preserve"> 0 + CAL!AC64 + CAR!AC64 + CENT!AC64 + FLA!AC64 + MIDA!AC64 + MIDW!AC64 + NE!AC64 + NY!AC64 + NW!AC64 + SE!AC64 + SW!AC64 + TEN!AC64 + TEX!AC64</f>
        <v>57009.334421819993</v>
      </c>
    </row>
    <row r="65" spans="1:29" x14ac:dyDescent="0.85">
      <c r="A65" t="str">
        <f>CAL!A65</f>
        <v>Coal_CO2_Cost</v>
      </c>
      <c r="B65" s="7">
        <f xml:space="preserve"> 0 + CAL!B65 + CAR!B65 + CENT!B65 + FLA!B65 + MIDA!B65 + MIDW!B65 + NE!B65 + NY!B65 + NW!B65 + SE!B65 + SW!B65 + TEN!B65 + TEX!B65</f>
        <v>0</v>
      </c>
      <c r="C65" s="7">
        <f xml:space="preserve"> 0 + CAL!C65 + CAR!C65 + CENT!C65 + FLA!C65 + MIDA!C65 + MIDW!C65 + NE!C65 + NY!C65 + NW!C65 + SE!C65 + SW!C65 + TEN!C65 + TEX!C65</f>
        <v>12828.06442284</v>
      </c>
      <c r="D65" s="7">
        <f xml:space="preserve"> 0 + CAL!D65 + CAR!D65 + CENT!D65 + FLA!D65 + MIDA!D65 + MIDW!D65 + NE!D65 + NY!D65 + NW!D65 + SE!D65 + SW!D65 + TEN!D65 + TEX!D65</f>
        <v>25000.951267100001</v>
      </c>
      <c r="E65" s="7">
        <f xml:space="preserve"> 0 + CAL!E65 + CAR!E65 + CENT!E65 + FLA!E65 + MIDA!E65 + MIDW!E65 + NE!E65 + NY!E65 + NW!E65 + SE!E65 + SW!E65 + TEN!E65 + TEX!E65</f>
        <v>36559.381862549999</v>
      </c>
      <c r="F65" s="7">
        <f xml:space="preserve"> 0 + CAL!F65 + CAR!F65 + CENT!F65 + FLA!F65 + MIDA!F65 + MIDW!F65 + NE!F65 + NY!F65 + NW!F65 + SE!F65 + SW!F65 + TEN!F65 + TEX!F65</f>
        <v>47348.443123569996</v>
      </c>
      <c r="G65" s="7">
        <f xml:space="preserve"> 0 + CAL!G65 + CAR!G65 + CENT!G65 + FLA!G65 + MIDA!G65 + MIDW!G65 + NE!G65 + NY!G65 + NW!G65 + SE!G65 + SW!G65 + TEN!G65 + TEX!G65</f>
        <v>56733.719656609988</v>
      </c>
      <c r="H65" s="7">
        <f xml:space="preserve"> 0 + CAL!H65 + CAR!H65 + CENT!H65 + FLA!H65 + MIDA!H65 + MIDW!H65 + NE!H65 + NY!H65 + NW!H65 + SE!H65 + SW!H65 + TEN!H65 + TEX!H65</f>
        <v>60472.811773819994</v>
      </c>
      <c r="I65" s="7">
        <f xml:space="preserve"> 0 + CAL!I65 + CAR!I65 + CENT!I65 + FLA!I65 + MIDA!I65 + MIDW!I65 + NE!I65 + NY!I65 + NW!I65 + SE!I65 + SW!I65 + TEN!I65 + TEX!I65</f>
        <v>57659.927309499995</v>
      </c>
      <c r="J65" s="7">
        <f xml:space="preserve"> 0 + CAL!J65 + CAR!J65 + CENT!J65 + FLA!J65 + MIDA!J65 + MIDW!J65 + NE!J65 + NY!J65 + NW!J65 + SE!J65 + SW!J65 + TEN!J65 + TEX!J65</f>
        <v>52036.611684810006</v>
      </c>
      <c r="K65" s="7">
        <f xml:space="preserve"> 0 + CAL!K65 + CAR!K65 + CENT!K65 + FLA!K65 + MIDA!K65 + MIDW!K65 + NE!K65 + NY!K65 + NW!K65 + SE!K65 + SW!K65 + TEN!K65 + TEX!K65</f>
        <v>43846.060818540012</v>
      </c>
      <c r="L65" s="7">
        <f xml:space="preserve"> 0 + CAL!L65 + CAR!L65 + CENT!L65 + FLA!L65 + MIDA!L65 + MIDW!L65 + NE!L65 + NY!L65 + NW!L65 + SE!L65 + SW!L65 + TEN!L65 + TEX!L65</f>
        <v>32969.440162550003</v>
      </c>
      <c r="M65" s="7">
        <f xml:space="preserve"> 0 + CAL!M65 + CAR!M65 + CENT!M65 + FLA!M65 + MIDA!M65 + MIDW!M65 + NE!M65 + NY!M65 + NW!M65 + SE!M65 + SW!M65 + TEN!M65 + TEX!M65</f>
        <v>15275.036062480001</v>
      </c>
      <c r="N65" s="7">
        <f xml:space="preserve"> 0 + CAL!N65 + CAR!N65 + CENT!N65 + FLA!N65 + MIDA!N65 + MIDW!N65 + NE!N65 + NY!N65 + NW!N65 + SE!N65 + SW!N65 + TEN!N65 + TEX!N65</f>
        <v>5768.900202589999</v>
      </c>
      <c r="O65" s="7">
        <f xml:space="preserve"> 0 + CAL!O65 + CAR!O65 + CENT!O65 + FLA!O65 + MIDA!O65 + MIDW!O65 + NE!O65 + NY!O65 + NW!O65 + SE!O65 + SW!O65 + TEN!O65 + TEX!O65</f>
        <v>375.56888124</v>
      </c>
      <c r="P65" s="7">
        <f xml:space="preserve"> 0 + CAL!P65 + CAR!P65 + CENT!P65 + FLA!P65 + MIDA!P65 + MIDW!P65 + NE!P65 + NY!P65 + NW!P65 + SE!P65 + SW!P65 + TEN!P65 + TEX!P65</f>
        <v>48.31067943</v>
      </c>
      <c r="Q65" s="7">
        <f xml:space="preserve"> 0 + CAL!Q65 + CAR!Q65 + CENT!Q65 + FLA!Q65 + MIDA!Q65 + MIDW!Q65 + NE!Q65 + NY!Q65 + NW!Q65 + SE!Q65 + SW!Q65 + TEN!Q65 + TEX!Q65</f>
        <v>50.46615817</v>
      </c>
      <c r="R65" s="7">
        <f xml:space="preserve"> 0 + CAL!R65 + CAR!R65 + CENT!R65 + FLA!R65 + MIDA!R65 + MIDW!R65 + NE!R65 + NY!R65 + NW!R65 + SE!R65 + SW!R65 + TEN!R65 + TEX!R65</f>
        <v>52.48480326</v>
      </c>
      <c r="S65" s="7">
        <f xml:space="preserve"> 0 + CAL!S65 + CAR!S65 + CENT!S65 + FLA!S65 + MIDA!S65 + MIDW!S65 + NE!S65 + NY!S65 + NW!S65 + SE!S65 + SW!S65 + TEN!S65 + TEX!S65</f>
        <v>54.370280770000001</v>
      </c>
      <c r="T65" s="7">
        <f xml:space="preserve"> 0 + CAL!T65 + CAR!T65 + CENT!T65 + FLA!T65 + MIDA!T65 + MIDW!T65 + NE!T65 + NY!T65 + NW!T65 + SE!T65 + SW!T65 + TEN!T65 + TEX!T65</f>
        <v>56.129246870000003</v>
      </c>
      <c r="U65" s="7">
        <f xml:space="preserve"> 0 + CAL!U65 + CAR!U65 + CENT!U65 + FLA!U65 + MIDA!U65 + MIDW!U65 + NE!U65 + NY!U65 + NW!U65 + SE!U65 + SW!U65 + TEN!U65 + TEX!U65</f>
        <v>57.766349040000001</v>
      </c>
      <c r="V65" s="7">
        <f xml:space="preserve"> 0 + CAL!V65 + CAR!V65 + CENT!V65 + FLA!V65 + MIDA!V65 + MIDW!V65 + NE!V65 + NY!V65 + NW!V65 + SE!V65 + SW!V65 + TEN!V65 + TEX!V65</f>
        <v>59.286517590000003</v>
      </c>
      <c r="W65" s="7">
        <f xml:space="preserve"> 0 + CAL!W65 + CAR!W65 + CENT!W65 + FLA!W65 + MIDA!W65 + MIDW!W65 + NE!W65 + NY!W65 + NW!W65 + SE!W65 + SW!W65 + TEN!W65 + TEX!W65</f>
        <v>60.693371519999999</v>
      </c>
      <c r="X65" s="7">
        <f xml:space="preserve"> 0 + CAL!X65 + CAR!X65 + CENT!X65 + FLA!X65 + MIDA!X65 + MIDW!X65 + NE!X65 + NY!X65 + NW!X65 + SE!X65 + SW!X65 + TEN!X65 + TEX!X65</f>
        <v>61.558583949999999</v>
      </c>
      <c r="Y65" s="7">
        <f xml:space="preserve"> 0 + CAL!Y65 + CAR!Y65 + CENT!Y65 + FLA!Y65 + MIDA!Y65 + MIDW!Y65 + NE!Y65 + NY!Y65 + NW!Y65 + SE!Y65 + SW!Y65 + TEN!Y65 + TEX!Y65</f>
        <v>60.9115155</v>
      </c>
      <c r="Z65" s="7">
        <f xml:space="preserve"> 0 + CAL!Z65 + CAR!Z65 + CENT!Z65 + FLA!Z65 + MIDA!Z65 + MIDW!Z65 + NE!Z65 + NY!Z65 + NW!Z65 + SE!Z65 + SW!Z65 + TEN!Z65 + TEX!Z65</f>
        <v>4.5105779999999998E-2</v>
      </c>
      <c r="AA65" s="7">
        <f xml:space="preserve"> 0 + CAL!AA65 + CAR!AA65 + CENT!AA65 + FLA!AA65 + MIDA!AA65 + MIDW!AA65 + NE!AA65 + NY!AA65 + NW!AA65 + SE!AA65 + SW!AA65 + TEN!AA65 + TEX!AA65</f>
        <v>0</v>
      </c>
      <c r="AB65" s="7">
        <f xml:space="preserve"> 0 + CAL!AB65 + CAR!AB65 + CENT!AB65 + FLA!AB65 + MIDA!AB65 + MIDW!AB65 + NE!AB65 + NY!AB65 + NW!AB65 + SE!AB65 + SW!AB65 + TEN!AB65 + TEX!AB65</f>
        <v>0</v>
      </c>
      <c r="AC65" s="7">
        <f xml:space="preserve"> 0 + CAL!AC65 + CAR!AC65 + CENT!AC65 + FLA!AC65 + MIDA!AC65 + MIDW!AC65 + NE!AC65 + NY!AC65 + NW!AC65 + SE!AC65 + SW!AC65 + TEN!AC65 + TEX!AC65</f>
        <v>0</v>
      </c>
    </row>
    <row r="66" spans="1:29" x14ac:dyDescent="0.85">
      <c r="A66" t="str">
        <f>CAL!A66</f>
        <v>Coal_CO2_MTon</v>
      </c>
      <c r="B66" s="7">
        <f xml:space="preserve"> 0 + CAL!B66 + CAR!B66 + CENT!B66 + FLA!B66 + MIDA!B66 + MIDW!B66 + NE!B66 + NY!B66 + NW!B66 + SE!B66 + SW!B66 + TEN!B66 + TEX!B66</f>
        <v>657.82763151999995</v>
      </c>
      <c r="C66" s="7">
        <f xml:space="preserve"> 0 + CAL!C66 + CAR!C66 + CENT!C66 + FLA!C66 + MIDA!C66 + MIDW!C66 + NE!C66 + NY!C66 + NW!C66 + SE!C66 + SW!C66 + TEN!C66 + TEX!C66</f>
        <v>641.40322114000003</v>
      </c>
      <c r="D66" s="7">
        <f xml:space="preserve"> 0 + CAL!D66 + CAR!D66 + CENT!D66 + FLA!D66 + MIDA!D66 + MIDW!D66 + NE!D66 + NY!D66 + NW!D66 + SE!D66 + SW!D66 + TEN!D66 + TEX!D66</f>
        <v>625.02378166999995</v>
      </c>
      <c r="E66" s="7">
        <f xml:space="preserve"> 0 + CAL!E66 + CAR!E66 + CENT!E66 + FLA!E66 + MIDA!E66 + MIDW!E66 + NE!E66 + NY!E66 + NW!E66 + SE!E66 + SW!E66 + TEN!E66 + TEX!E66</f>
        <v>609.32303105000005</v>
      </c>
      <c r="F66" s="7">
        <f xml:space="preserve"> 0 + CAL!F66 + CAR!F66 + CENT!F66 + FLA!F66 + MIDA!F66 + MIDW!F66 + NE!F66 + NY!F66 + NW!F66 + SE!F66 + SW!F66 + TEN!F66 + TEX!F66</f>
        <v>591.85553904999983</v>
      </c>
      <c r="G66" s="7">
        <f xml:space="preserve"> 0 + CAL!G66 + CAR!G66 + CENT!G66 + FLA!G66 + MIDA!G66 + MIDW!G66 + NE!G66 + NY!G66 + NW!G66 + SE!G66 + SW!G66 + TEN!G66 + TEX!G66</f>
        <v>567.33719656999995</v>
      </c>
      <c r="H66" s="7">
        <f xml:space="preserve"> 0 + CAL!H66 + CAR!H66 + CENT!H66 + FLA!H66 + MIDA!H66 + MIDW!H66 + NE!H66 + NY!H66 + NW!H66 + SE!H66 + SW!H66 + TEN!H66 + TEX!H66</f>
        <v>503.94009810999989</v>
      </c>
      <c r="I66" s="7">
        <f xml:space="preserve"> 0 + CAL!I66 + CAR!I66 + CENT!I66 + FLA!I66 + MIDA!I66 + MIDW!I66 + NE!I66 + NY!I66 + NW!I66 + SE!I66 + SW!I66 + TEN!I66 + TEX!I66</f>
        <v>411.85662361999994</v>
      </c>
      <c r="J66" s="7">
        <f xml:space="preserve"> 0 + CAL!J66 + CAR!J66 + CENT!J66 + FLA!J66 + MIDA!J66 + MIDW!J66 + NE!J66 + NY!J66 + NW!J66 + SE!J66 + SW!J66 + TEN!J66 + TEX!J66</f>
        <v>325.22882303</v>
      </c>
      <c r="K66" s="7">
        <f xml:space="preserve"> 0 + CAL!K66 + CAR!K66 + CENT!K66 + FLA!K66 + MIDA!K66 + MIDW!K66 + NE!K66 + NY!K66 + NW!K66 + SE!K66 + SW!K66 + TEN!K66 + TEX!K66</f>
        <v>243.58922676</v>
      </c>
      <c r="L66" s="7">
        <f xml:space="preserve"> 0 + CAL!L66 + CAR!L66 + CENT!L66 + FLA!L66 + MIDA!L66 + MIDW!L66 + NE!L66 + NY!L66 + NW!L66 + SE!L66 + SW!L66 + TEN!L66 + TEX!L66</f>
        <v>164.8472008</v>
      </c>
      <c r="M66" s="7">
        <f xml:space="preserve"> 0 + CAL!M66 + CAR!M66 + CENT!M66 + FLA!M66 + MIDA!M66 + MIDW!M66 + NE!M66 + NY!M66 + NW!M66 + SE!M66 + SW!M66 + TEN!M66 + TEX!M66</f>
        <v>69.431982099999999</v>
      </c>
      <c r="N66" s="7">
        <f xml:space="preserve"> 0 + CAL!N66 + CAR!N66 + CENT!N66 + FLA!N66 + MIDA!N66 + MIDW!N66 + NE!N66 + NY!N66 + NW!N66 + SE!N66 + SW!N66 + TEN!N66 + TEX!N66</f>
        <v>24.037084179999997</v>
      </c>
      <c r="O66" s="7">
        <f xml:space="preserve"> 0 + CAL!O66 + CAR!O66 + CENT!O66 + FLA!O66 + MIDA!O66 + MIDW!O66 + NE!O66 + NY!O66 + NW!O66 + SE!O66 + SW!O66 + TEN!O66 + TEX!O66</f>
        <v>1.4444956999999998</v>
      </c>
      <c r="P66" s="7">
        <f xml:space="preserve"> 0 + CAL!P66 + CAR!P66 + CENT!P66 + FLA!P66 + MIDA!P66 + MIDW!P66 + NE!P66 + NY!P66 + NW!P66 + SE!P66 + SW!P66 + TEN!P66 + TEX!P66</f>
        <v>0.17253814000000001</v>
      </c>
      <c r="Q66" s="7">
        <f xml:space="preserve"> 0 + CAL!Q66 + CAR!Q66 + CENT!Q66 + FLA!Q66 + MIDA!Q66 + MIDW!Q66 + NE!Q66 + NY!Q66 + NW!Q66 + SE!Q66 + SW!Q66 + TEN!Q66 + TEX!Q66</f>
        <v>0.16822053000000001</v>
      </c>
      <c r="R66" s="7">
        <f xml:space="preserve"> 0 + CAL!R66 + CAR!R66 + CENT!R66 + FLA!R66 + MIDA!R66 + MIDW!R66 + NE!R66 + NY!R66 + NW!R66 + SE!R66 + SW!R66 + TEN!R66 + TEX!R66</f>
        <v>0.16401500999999999</v>
      </c>
      <c r="S66" s="7">
        <f xml:space="preserve"> 0 + CAL!S66 + CAR!S66 + CENT!S66 + FLA!S66 + MIDA!S66 + MIDW!S66 + NE!S66 + NY!S66 + NW!S66 + SE!S66 + SW!S66 + TEN!S66 + TEX!S66</f>
        <v>0.15991258999999999</v>
      </c>
      <c r="T66" s="7">
        <f xml:space="preserve"> 0 + CAL!T66 + CAR!T66 + CENT!T66 + FLA!T66 + MIDA!T66 + MIDW!T66 + NE!T66 + NY!T66 + NW!T66 + SE!T66 + SW!T66 + TEN!T66 + TEX!T66</f>
        <v>0.15591457</v>
      </c>
      <c r="U66" s="7">
        <f xml:space="preserve"> 0 + CAL!U66 + CAR!U66 + CENT!U66 + FLA!U66 + MIDA!U66 + MIDW!U66 + NE!U66 + NY!U66 + NW!U66 + SE!U66 + SW!U66 + TEN!U66 + TEX!U66</f>
        <v>0.15201671</v>
      </c>
      <c r="V66" s="7">
        <f xml:space="preserve"> 0 + CAL!V66 + CAR!V66 + CENT!V66 + FLA!V66 + MIDA!V66 + MIDW!V66 + NE!V66 + NY!V66 + NW!V66 + SE!V66 + SW!V66 + TEN!V66 + TEX!V66</f>
        <v>0.14821629</v>
      </c>
      <c r="W66" s="7">
        <f xml:space="preserve"> 0 + CAL!W66 + CAR!W66 + CENT!W66 + FLA!W66 + MIDA!W66 + MIDW!W66 + NE!W66 + NY!W66 + NW!W66 + SE!W66 + SW!W66 + TEN!W66 + TEX!W66</f>
        <v>0.14450803000000001</v>
      </c>
      <c r="X66" s="7">
        <f xml:space="preserve"> 0 + CAL!X66 + CAR!X66 + CENT!X66 + FLA!X66 + MIDA!X66 + MIDW!X66 + NE!X66 + NY!X66 + NW!X66 + SE!X66 + SW!X66 + TEN!X66 + TEX!X66</f>
        <v>0.13990586999999999</v>
      </c>
      <c r="Y66" s="7">
        <f xml:space="preserve"> 0 + CAL!Y66 + CAR!Y66 + CENT!Y66 + FLA!Y66 + MIDA!Y66 + MIDW!Y66 + NE!Y66 + NY!Y66 + NW!Y66 + SE!Y66 + SW!Y66 + TEN!Y66 + TEX!Y66</f>
        <v>0.13241633999999999</v>
      </c>
      <c r="Z66" s="7">
        <f xml:space="preserve"> 0 + CAL!Z66 + CAR!Z66 + CENT!Z66 + FLA!Z66 + MIDA!Z66 + MIDW!Z66 + NE!Z66 + NY!Z66 + NW!Z66 + SE!Z66 + SW!Z66 + TEN!Z66 + TEX!Z66</f>
        <v>9.3969999999999996E-5</v>
      </c>
      <c r="AA66" s="7">
        <f xml:space="preserve"> 0 + CAL!AA66 + CAR!AA66 + CENT!AA66 + FLA!AA66 + MIDA!AA66 + MIDW!AA66 + NE!AA66 + NY!AA66 + NW!AA66 + SE!AA66 + SW!AA66 + TEN!AA66 + TEX!AA66</f>
        <v>0</v>
      </c>
      <c r="AB66" s="7">
        <f xml:space="preserve"> 0 + CAL!AB66 + CAR!AB66 + CENT!AB66 + FLA!AB66 + MIDA!AB66 + MIDW!AB66 + NE!AB66 + NY!AB66 + NW!AB66 + SE!AB66 + SW!AB66 + TEN!AB66 + TEX!AB66</f>
        <v>0</v>
      </c>
      <c r="AC66" s="7">
        <f xml:space="preserve"> 0 + CAL!AC66 + CAR!AC66 + CENT!AC66 + FLA!AC66 + MIDA!AC66 + MIDW!AC66 + NE!AC66 + NY!AC66 + NW!AC66 + SE!AC66 + SW!AC66 + TEN!AC66 + TEX!AC66</f>
        <v>0</v>
      </c>
    </row>
    <row r="67" spans="1:29" x14ac:dyDescent="0.85">
      <c r="A67" t="str">
        <f>CAL!A67</f>
        <v>Coal_MW_Cost</v>
      </c>
      <c r="B67" s="7">
        <f xml:space="preserve"> 0 + CAL!B67 + CAR!B67 + CENT!B67 + FLA!B67 + MIDA!B67 + MIDW!B67 + NE!B67 + NY!B67 + NW!B67 + SE!B67 + SW!B67 + TEN!B67 + TEX!B67</f>
        <v>112913.31623203</v>
      </c>
      <c r="C67" s="7">
        <f xml:space="preserve"> 0 + CAL!C67 + CAR!C67 + CENT!C67 + FLA!C67 + MIDA!C67 + MIDW!C67 + NE!C67 + NY!C67 + NW!C67 + SE!C67 + SW!C67 + TEN!C67 + TEX!C67</f>
        <v>110103.15291361998</v>
      </c>
      <c r="D67" s="7">
        <f xml:space="preserve"> 0 + CAL!D67 + CAR!D67 + CENT!D67 + FLA!D67 + MIDA!D67 + MIDW!D67 + NE!D67 + NY!D67 + NW!D67 + SE!D67 + SW!D67 + TEN!D67 + TEX!D67</f>
        <v>107357.05099094</v>
      </c>
      <c r="E67" s="7">
        <f xml:space="preserve"> 0 + CAL!E67 + CAR!E67 + CENT!E67 + FLA!E67 + MIDA!E67 + MIDW!E67 + NE!E67 + NY!E67 + NW!E67 + SE!E67 + SW!E67 + TEN!E67 + TEX!E67</f>
        <v>104673.12475515</v>
      </c>
      <c r="F67" s="7">
        <f xml:space="preserve"> 0 + CAL!F67 + CAR!F67 + CENT!F67 + FLA!F67 + MIDA!F67 + MIDW!F67 + NE!F67 + NY!F67 + NW!F67 + SE!F67 + SW!F67 + TEN!F67 + TEX!F67</f>
        <v>102056.29774998002</v>
      </c>
      <c r="G67" s="7">
        <f xml:space="preserve"> 0 + CAL!G67 + CAR!G67 + CENT!G67 + FLA!G67 + MIDA!G67 + MIDW!G67 + NE!G67 + NY!G67 + NW!G67 + SE!G67 + SW!G67 + TEN!G67 + TEX!G67</f>
        <v>99504.890306239991</v>
      </c>
      <c r="H67" s="7">
        <f xml:space="preserve"> 0 + CAL!H67 + CAR!H67 + CENT!H67 + FLA!H67 + MIDA!H67 + MIDW!H67 + NE!H67 + NY!H67 + NW!H67 + SE!H67 + SW!H67 + TEN!H67 + TEX!H67</f>
        <v>97017.268048569997</v>
      </c>
      <c r="I67" s="7">
        <f xml:space="preserve"> 0 + CAL!I67 + CAR!I67 + CENT!I67 + FLA!I67 + MIDA!I67 + MIDW!I67 + NE!I67 + NY!I67 + NW!I67 + SE!I67 + SW!I67 + TEN!I67 + TEX!I67</f>
        <v>94591.836347360004</v>
      </c>
      <c r="J67" s="7">
        <f xml:space="preserve"> 0 + CAL!J67 + CAR!J67 + CENT!J67 + FLA!J67 + MIDA!J67 + MIDW!J67 + NE!J67 + NY!J67 + NW!J67 + SE!J67 + SW!J67 + TEN!J67 + TEX!J67</f>
        <v>92227.040438679993</v>
      </c>
      <c r="K67" s="7">
        <f xml:space="preserve"> 0 + CAL!K67 + CAR!K67 + CENT!K67 + FLA!K67 + MIDA!K67 + MIDW!K67 + NE!K67 + NY!K67 + NW!K67 + SE!K67 + SW!K67 + TEN!K67 + TEX!K67</f>
        <v>89921.364427709996</v>
      </c>
      <c r="L67" s="7">
        <f xml:space="preserve"> 0 + CAL!L67 + CAR!L67 + CENT!L67 + FLA!L67 + MIDA!L67 + MIDW!L67 + NE!L67 + NY!L67 + NW!L67 + SE!L67 + SW!L67 + TEN!L67 + TEX!L67</f>
        <v>87673.330316999985</v>
      </c>
      <c r="M67" s="7">
        <f xml:space="preserve"> 0 + CAL!M67 + CAR!M67 + CENT!M67 + FLA!M67 + MIDA!M67 + MIDW!M67 + NE!M67 + NY!M67 + NW!M67 + SE!M67 + SW!M67 + TEN!M67 + TEX!M67</f>
        <v>85481.49705907001</v>
      </c>
      <c r="N67" s="7">
        <f xml:space="preserve"> 0 + CAL!N67 + CAR!N67 + CENT!N67 + FLA!N67 + MIDA!N67 + MIDW!N67 + NE!N67 + NY!N67 + NW!N67 + SE!N67 + SW!N67 + TEN!N67 + TEX!N67</f>
        <v>83344.45963261</v>
      </c>
      <c r="O67" s="7">
        <f xml:space="preserve"> 0 + CAL!O67 + CAR!O67 + CENT!O67 + FLA!O67 + MIDA!O67 + MIDW!O67 + NE!O67 + NY!O67 + NW!O67 + SE!O67 + SW!O67 + TEN!O67 + TEX!O67</f>
        <v>81260.848141790018</v>
      </c>
      <c r="P67" s="7">
        <f xml:space="preserve"> 0 + CAL!P67 + CAR!P67 + CENT!P67 + FLA!P67 + MIDA!P67 + MIDW!P67 + NE!P67 + NY!P67 + NW!P67 + SE!P67 + SW!P67 + TEN!P67 + TEX!P67</f>
        <v>79229.326938229991</v>
      </c>
      <c r="Q67" s="7">
        <f xml:space="preserve"> 0 + CAL!Q67 + CAR!Q67 + CENT!Q67 + FLA!Q67 + MIDA!Q67 + MIDW!Q67 + NE!Q67 + NY!Q67 + NW!Q67 + SE!Q67 + SW!Q67 + TEN!Q67 + TEX!Q67</f>
        <v>77248.593764800011</v>
      </c>
      <c r="R67" s="7">
        <f xml:space="preserve"> 0 + CAL!R67 + CAR!R67 + CENT!R67 + FLA!R67 + MIDA!R67 + MIDW!R67 + NE!R67 + NY!R67 + NW!R67 + SE!R67 + SW!R67 + TEN!R67 + TEX!R67</f>
        <v>75317.378920680014</v>
      </c>
      <c r="S67" s="7">
        <f xml:space="preserve"> 0 + CAL!S67 + CAR!S67 + CENT!S67 + FLA!S67 + MIDA!S67 + MIDW!S67 + NE!S67 + NY!S67 + NW!S67 + SE!S67 + SW!S67 + TEN!S67 + TEX!S67</f>
        <v>73434.444447660004</v>
      </c>
      <c r="T67" s="7">
        <f xml:space="preserve"> 0 + CAL!T67 + CAR!T67 + CENT!T67 + FLA!T67 + MIDA!T67 + MIDW!T67 + NE!T67 + NY!T67 + NW!T67 + SE!T67 + SW!T67 + TEN!T67 + TEX!T67</f>
        <v>71598.583336449999</v>
      </c>
      <c r="U67" s="7">
        <f xml:space="preserve"> 0 + CAL!U67 + CAR!U67 + CENT!U67 + FLA!U67 + MIDA!U67 + MIDW!U67 + NE!U67 + NY!U67 + NW!U67 + SE!U67 + SW!U67 + TEN!U67 + TEX!U67</f>
        <v>69808.618753050003</v>
      </c>
      <c r="V67" s="7">
        <f xml:space="preserve"> 0 + CAL!V67 + CAR!V67 + CENT!V67 + FLA!V67 + MIDA!V67 + MIDW!V67 + NE!V67 + NY!V67 + NW!V67 + SE!V67 + SW!V67 + TEN!V67 + TEX!V67</f>
        <v>68063.403291329989</v>
      </c>
      <c r="W67" s="7">
        <f xml:space="preserve"> 0 + CAL!W67 + CAR!W67 + CENT!W67 + FLA!W67 + MIDA!W67 + MIDW!W67 + NE!W67 + NY!W67 + NW!W67 + SE!W67 + SW!W67 + TEN!W67 + TEX!W67</f>
        <v>66361.818209050005</v>
      </c>
      <c r="X67" s="7">
        <f xml:space="preserve"> 0 + CAL!X67 + CAR!X67 + CENT!X67 + FLA!X67 + MIDA!X67 + MIDW!X67 + NE!X67 + NY!X67 + NW!X67 + SE!X67 + SW!X67 + TEN!X67 + TEX!X67</f>
        <v>64702.772753810001</v>
      </c>
      <c r="Y67" s="7">
        <f xml:space="preserve"> 0 + CAL!Y67 + CAR!Y67 + CENT!Y67 + FLA!Y67 + MIDA!Y67 + MIDW!Y67 + NE!Y67 + NY!Y67 + NW!Y67 + SE!Y67 + SW!Y67 + TEN!Y67 + TEX!Y67</f>
        <v>63085.203434969997</v>
      </c>
      <c r="Z67" s="7">
        <f xml:space="preserve"> 0 + CAL!Z67 + CAR!Z67 + CENT!Z67 + FLA!Z67 + MIDA!Z67 + MIDW!Z67 + NE!Z67 + NY!Z67 + NW!Z67 + SE!Z67 + SW!Z67 + TEN!Z67 + TEX!Z67</f>
        <v>61508.073349130013</v>
      </c>
      <c r="AA67" s="7">
        <f xml:space="preserve"> 0 + CAL!AA67 + CAR!AA67 + CENT!AA67 + FLA!AA67 + MIDA!AA67 + MIDW!AA67 + NE!AA67 + NY!AA67 + NW!AA67 + SE!AA67 + SW!AA67 + TEN!AA67 + TEX!AA67</f>
        <v>59970.37151538</v>
      </c>
      <c r="AB67" s="7">
        <f xml:space="preserve"> 0 + CAL!AB67 + CAR!AB67 + CENT!AB67 + FLA!AB67 + MIDA!AB67 + MIDW!AB67 + NE!AB67 + NY!AB67 + NW!AB67 + SE!AB67 + SW!AB67 + TEN!AB67 + TEX!AB67</f>
        <v>58471.112227489997</v>
      </c>
      <c r="AC67" s="7">
        <f xml:space="preserve"> 0 + CAL!AC67 + CAR!AC67 + CENT!AC67 + FLA!AC67 + MIDA!AC67 + MIDW!AC67 + NE!AC67 + NY!AC67 + NW!AC67 + SE!AC67 + SW!AC67 + TEN!AC67 + TEX!AC67</f>
        <v>57009.334421819993</v>
      </c>
    </row>
    <row r="68" spans="1:29" x14ac:dyDescent="0.85">
      <c r="A68" t="str">
        <f>CAL!A68</f>
        <v>Coal_MWh_Cost</v>
      </c>
      <c r="B68" s="7">
        <f xml:space="preserve"> 0 + CAL!B68 + CAR!B68 + CENT!B68 + FLA!B68 + MIDA!B68 + MIDW!B68 + NE!B68 + NY!B68 + NW!B68 + SE!B68 + SW!B68 + TEN!B68 + TEX!B68</f>
        <v>18675.88690496</v>
      </c>
      <c r="C68" s="7">
        <f xml:space="preserve"> 0 + CAL!C68 + CAR!C68 + CENT!C68 + FLA!C68 + MIDA!C68 + MIDW!C68 + NE!C68 + NY!C68 + NW!C68 + SE!C68 + SW!C68 + TEN!C68 + TEX!C68</f>
        <v>18209.593888029998</v>
      </c>
      <c r="D68" s="7">
        <f xml:space="preserve"> 0 + CAL!D68 + CAR!D68 + CENT!D68 + FLA!D68 + MIDA!D68 + MIDW!D68 + NE!D68 + NY!D68 + NW!D68 + SE!D68 + SW!D68 + TEN!D68 + TEX!D68</f>
        <v>17744.577606660001</v>
      </c>
      <c r="E68" s="7">
        <f xml:space="preserve"> 0 + CAL!E68 + CAR!E68 + CENT!E68 + FLA!E68 + MIDA!E68 + MIDW!E68 + NE!E68 + NY!E68 + NW!E68 + SE!E68 + SW!E68 + TEN!E68 + TEX!E68</f>
        <v>17298.829466670002</v>
      </c>
      <c r="F68" s="7">
        <f xml:space="preserve"> 0 + CAL!F68 + CAR!F68 + CENT!F68 + FLA!F68 + MIDA!F68 + MIDW!F68 + NE!F68 + NY!F68 + NW!F68 + SE!F68 + SW!F68 + TEN!F68 + TEX!F68</f>
        <v>16802.923108480001</v>
      </c>
      <c r="G68" s="7">
        <f xml:space="preserve"> 0 + CAL!G68 + CAR!G68 + CENT!G68 + FLA!G68 + MIDA!G68 + MIDW!G68 + NE!G68 + NY!G68 + NW!G68 + SE!G68 + SW!G68 + TEN!G68 + TEX!G68</f>
        <v>16106.841385450001</v>
      </c>
      <c r="H68" s="7">
        <f xml:space="preserve"> 0 + CAL!H68 + CAR!H68 + CENT!H68 + FLA!H68 + MIDA!H68 + MIDW!H68 + NE!H68 + NY!H68 + NW!H68 + SE!H68 + SW!H68 + TEN!H68 + TEX!H68</f>
        <v>14306.98229772</v>
      </c>
      <c r="I68" s="7">
        <f xml:space="preserve"> 0 + CAL!I68 + CAR!I68 + CENT!I68 + FLA!I68 + MIDA!I68 + MIDW!I68 + NE!I68 + NY!I68 + NW!I68 + SE!I68 + SW!I68 + TEN!I68 + TEX!I68</f>
        <v>11692.709997960003</v>
      </c>
      <c r="J68" s="7">
        <f xml:space="preserve"> 0 + CAL!J68 + CAR!J68 + CENT!J68 + FLA!J68 + MIDA!J68 + MIDW!J68 + NE!J68 + NY!J68 + NW!J68 + SE!J68 + SW!J68 + TEN!J68 + TEX!J68</f>
        <v>9233.3256099300015</v>
      </c>
      <c r="K68" s="7">
        <f xml:space="preserve"> 0 + CAL!K68 + CAR!K68 + CENT!K68 + FLA!K68 + MIDA!K68 + MIDW!K68 + NE!K68 + NY!K68 + NW!K68 + SE!K68 + SW!K68 + TEN!K68 + TEX!K68</f>
        <v>6915.557560010001</v>
      </c>
      <c r="L68" s="7">
        <f xml:space="preserve"> 0 + CAL!L68 + CAR!L68 + CENT!L68 + FLA!L68 + MIDA!L68 + MIDW!L68 + NE!L68 + NY!L68 + NW!L68 + SE!L68 + SW!L68 + TEN!L68 + TEX!L68</f>
        <v>4680.0522376999998</v>
      </c>
      <c r="M68" s="7">
        <f xml:space="preserve"> 0 + CAL!M68 + CAR!M68 + CENT!M68 + FLA!M68 + MIDA!M68 + MIDW!M68 + NE!M68 + NY!M68 + NW!M68 + SE!M68 + SW!M68 + TEN!M68 + TEX!M68</f>
        <v>1971.19090652</v>
      </c>
      <c r="N68" s="7">
        <f xml:space="preserve"> 0 + CAL!N68 + CAR!N68 + CENT!N68 + FLA!N68 + MIDA!N68 + MIDW!N68 + NE!N68 + NY!N68 + NW!N68 + SE!N68 + SW!N68 + TEN!N68 + TEX!N68</f>
        <v>682.41868248999992</v>
      </c>
      <c r="O68" s="7">
        <f xml:space="preserve"> 0 + CAL!O68 + CAR!O68 + CENT!O68 + FLA!O68 + MIDA!O68 + MIDW!O68 + NE!O68 + NY!O68 + NW!O68 + SE!O68 + SW!O68 + TEN!O68 + TEX!O68</f>
        <v>41.009585170000008</v>
      </c>
      <c r="P68" s="7">
        <f xml:space="preserve"> 0 + CAL!P68 + CAR!P68 + CENT!P68 + FLA!P68 + MIDA!P68 + MIDW!P68 + NE!P68 + NY!P68 + NW!P68 + SE!P68 + SW!P68 + TEN!P68 + TEX!P68</f>
        <v>4.8983998900000003</v>
      </c>
      <c r="Q68" s="7">
        <f xml:space="preserve"> 0 + CAL!Q68 + CAR!Q68 + CENT!Q68 + FLA!Q68 + MIDA!Q68 + MIDW!Q68 + NE!Q68 + NY!Q68 + NW!Q68 + SE!Q68 + SW!Q68 + TEN!Q68 + TEX!Q68</f>
        <v>4.7758218000000001</v>
      </c>
      <c r="R68" s="7">
        <f xml:space="preserve"> 0 + CAL!R68 + CAR!R68 + CENT!R68 + FLA!R68 + MIDA!R68 + MIDW!R68 + NE!R68 + NY!R68 + NW!R68 + SE!R68 + SW!R68 + TEN!R68 + TEX!R68</f>
        <v>4.6564261399999998</v>
      </c>
      <c r="S68" s="7">
        <f xml:space="preserve"> 0 + CAL!S68 + CAR!S68 + CENT!S68 + FLA!S68 + MIDA!S68 + MIDW!S68 + NE!S68 + NY!S68 + NW!S68 + SE!S68 + SW!S68 + TEN!S68 + TEX!S68</f>
        <v>4.5399574500000002</v>
      </c>
      <c r="T68" s="7">
        <f xml:space="preserve"> 0 + CAL!T68 + CAR!T68 + CENT!T68 + FLA!T68 + MIDA!T68 + MIDW!T68 + NE!T68 + NY!T68 + NW!T68 + SE!T68 + SW!T68 + TEN!T68 + TEX!T68</f>
        <v>4.4264527999999999</v>
      </c>
      <c r="U68" s="7">
        <f xml:space="preserve"> 0 + CAL!U68 + CAR!U68 + CENT!U68 + FLA!U68 + MIDA!U68 + MIDW!U68 + NE!U68 + NY!U68 + NW!U68 + SE!U68 + SW!U68 + TEN!U68 + TEX!U68</f>
        <v>4.31579142</v>
      </c>
      <c r="V68" s="7">
        <f xml:space="preserve"> 0 + CAL!V68 + CAR!V68 + CENT!V68 + FLA!V68 + MIDA!V68 + MIDW!V68 + NE!V68 + NY!V68 + NW!V68 + SE!V68 + SW!V68 + TEN!V68 + TEX!V68</f>
        <v>4.2078967399999998</v>
      </c>
      <c r="W68" s="7">
        <f xml:space="preserve"> 0 + CAL!W68 + CAR!W68 + CENT!W68 + FLA!W68 + MIDA!W68 + MIDW!W68 + NE!W68 + NY!W68 + NW!W68 + SE!W68 + SW!W68 + TEN!W68 + TEX!W68</f>
        <v>4.1026181399999997</v>
      </c>
      <c r="X68" s="7">
        <f xml:space="preserve"> 0 + CAL!X68 + CAR!X68 + CENT!X68 + FLA!X68 + MIDA!X68 + MIDW!X68 + NE!X68 + NY!X68 + NW!X68 + SE!X68 + SW!X68 + TEN!X68 + TEX!X68</f>
        <v>3.97196185</v>
      </c>
      <c r="Y68" s="7">
        <f xml:space="preserve"> 0 + CAL!Y68 + CAR!Y68 + CENT!Y68 + FLA!Y68 + MIDA!Y68 + MIDW!Y68 + NE!Y68 + NY!Y68 + NW!Y68 + SE!Y68 + SW!Y68 + TEN!Y68 + TEX!Y68</f>
        <v>3.7593321300000002</v>
      </c>
      <c r="Z68" s="7">
        <f xml:space="preserve"> 0 + CAL!Z68 + CAR!Z68 + CENT!Z68 + FLA!Z68 + MIDA!Z68 + MIDW!Z68 + NE!Z68 + NY!Z68 + NW!Z68 + SE!Z68 + SW!Z68 + TEN!Z68 + TEX!Z68</f>
        <v>2.6678399999999999E-3</v>
      </c>
      <c r="AA68" s="7">
        <f xml:space="preserve"> 0 + CAL!AA68 + CAR!AA68 + CENT!AA68 + FLA!AA68 + MIDA!AA68 + MIDW!AA68 + NE!AA68 + NY!AA68 + NW!AA68 + SE!AA68 + SW!AA68 + TEN!AA68 + TEX!AA68</f>
        <v>0</v>
      </c>
      <c r="AB68" s="7">
        <f xml:space="preserve"> 0 + CAL!AB68 + CAR!AB68 + CENT!AB68 + FLA!AB68 + MIDA!AB68 + MIDW!AB68 + NE!AB68 + NY!AB68 + NW!AB68 + SE!AB68 + SW!AB68 + TEN!AB68 + TEX!AB68</f>
        <v>0</v>
      </c>
      <c r="AC68" s="7">
        <f xml:space="preserve"> 0 + CAL!AC68 + CAR!AC68 + CENT!AC68 + FLA!AC68 + MIDA!AC68 + MIDW!AC68 + NE!AC68 + NY!AC68 + NW!AC68 + SE!AC68 + SW!AC68 + TEN!AC68 + TEX!AC68</f>
        <v>0</v>
      </c>
    </row>
    <row r="69" spans="1:29" x14ac:dyDescent="0.85">
      <c r="A69" t="str">
        <f>CAL!A69</f>
        <v>Coal_Start_Knob</v>
      </c>
      <c r="B69" s="7">
        <f xml:space="preserve"> 0 + CAL!B69 + CAR!B69 + CENT!B69 + FLA!B69 + MIDA!B69 + MIDW!B69 + NE!B69 + NY!B69 + NW!B69 + SE!B69 + SW!B69 + TEN!B69 + TEX!B69</f>
        <v>13</v>
      </c>
      <c r="C69" s="7">
        <f xml:space="preserve"> 0 + CAL!C69 + CAR!C69 + CENT!C69 + FLA!C69 + MIDA!C69 + MIDW!C69 + NE!C69 + NY!C69 + NW!C69 + SE!C69 + SW!C69 + TEN!C69 + TEX!C69</f>
        <v>13.325000000000003</v>
      </c>
      <c r="D69" s="7">
        <f xml:space="preserve"> 0 + CAL!D69 + CAR!D69 + CENT!D69 + FLA!D69 + MIDA!D69 + MIDW!D69 + NE!D69 + NY!D69 + NW!D69 + SE!D69 + SW!D69 + TEN!D69 + TEX!D69</f>
        <v>12.03130101</v>
      </c>
      <c r="E69" s="7">
        <f xml:space="preserve"> 0 + CAL!E69 + CAR!E69 + CENT!E69 + FLA!E69 + MIDA!E69 + MIDW!E69 + NE!E69 + NY!E69 + NW!E69 + SE!E69 + SW!E69 + TEN!E69 + TEX!E69</f>
        <v>11.986291040000001</v>
      </c>
      <c r="F69" s="7">
        <f xml:space="preserve"> 0 + CAL!F69 + CAR!F69 + CENT!F69 + FLA!F69 + MIDA!F69 + MIDW!F69 + NE!F69 + NY!F69 + NW!F69 + SE!F69 + SW!F69 + TEN!F69 + TEX!F69</f>
        <v>11.998143150000001</v>
      </c>
      <c r="G69" s="7">
        <f xml:space="preserve"> 0 + CAL!G69 + CAR!G69 + CENT!G69 + FLA!G69 + MIDA!G69 + MIDW!G69 + NE!G69 + NY!G69 + NW!G69 + SE!G69 + SW!G69 + TEN!G69 + TEX!G69</f>
        <v>11.87666153</v>
      </c>
      <c r="H69" s="7">
        <f xml:space="preserve"> 0 + CAL!H69 + CAR!H69 + CENT!H69 + FLA!H69 + MIDA!H69 + MIDW!H69 + NE!H69 + NY!H69 + NW!H69 + SE!H69 + SW!H69 + TEN!H69 + TEX!H69</f>
        <v>11.777127150000002</v>
      </c>
      <c r="I69" s="7">
        <f xml:space="preserve"> 0 + CAL!I69 + CAR!I69 + CENT!I69 + FLA!I69 + MIDA!I69 + MIDW!I69 + NE!I69 + NY!I69 + NW!I69 + SE!I69 + SW!I69 + TEN!I69 + TEX!I69</f>
        <v>11.15688497</v>
      </c>
      <c r="J69" s="7">
        <f xml:space="preserve"> 0 + CAL!J69 + CAR!J69 + CENT!J69 + FLA!J69 + MIDA!J69 + MIDW!J69 + NE!J69 + NY!J69 + NW!J69 + SE!J69 + SW!J69 + TEN!J69 + TEX!J69</f>
        <v>9.3160370500000003</v>
      </c>
      <c r="K69" s="7">
        <f xml:space="preserve"> 0 + CAL!K69 + CAR!K69 + CENT!K69 + FLA!K69 + MIDA!K69 + MIDW!K69 + NE!K69 + NY!K69 + NW!K69 + SE!K69 + SW!K69 + TEN!K69 + TEX!K69</f>
        <v>8.3648361999999992</v>
      </c>
      <c r="L69" s="7">
        <f xml:space="preserve"> 0 + CAL!L69 + CAR!L69 + CENT!L69 + FLA!L69 + MIDA!L69 + MIDW!L69 + NE!L69 + NY!L69 + NW!L69 + SE!L69 + SW!L69 + TEN!L69 + TEX!L69</f>
        <v>6.8853407300000011</v>
      </c>
      <c r="M69" s="7">
        <f xml:space="preserve"> 0 + CAL!M69 + CAR!M69 + CENT!M69 + FLA!M69 + MIDA!M69 + MIDW!M69 + NE!M69 + NY!M69 + NW!M69 + SE!M69 + SW!M69 + TEN!M69 + TEX!M69</f>
        <v>6.1933437700000002</v>
      </c>
      <c r="N69" s="7">
        <f xml:space="preserve"> 0 + CAL!N69 + CAR!N69 + CENT!N69 + FLA!N69 + MIDA!N69 + MIDW!N69 + NE!N69 + NY!N69 + NW!N69 + SE!N69 + SW!N69 + TEN!N69 + TEX!N69</f>
        <v>3.1670073299999997</v>
      </c>
      <c r="O69" s="7">
        <f xml:space="preserve"> 0 + CAL!O69 + CAR!O69 + CENT!O69 + FLA!O69 + MIDA!O69 + MIDW!O69 + NE!O69 + NY!O69 + NW!O69 + SE!O69 + SW!O69 + TEN!O69 + TEX!O69</f>
        <v>1.8452149900000006</v>
      </c>
      <c r="P69" s="7">
        <f xml:space="preserve"> 0 + CAL!P69 + CAR!P69 + CENT!P69 + FLA!P69 + MIDA!P69 + MIDW!P69 + NE!P69 + NY!P69 + NW!P69 + SE!P69 + SW!P69 + TEN!P69 + TEX!P69</f>
        <v>1.0659537300000002</v>
      </c>
      <c r="Q69" s="7">
        <f xml:space="preserve"> 0 + CAL!Q69 + CAR!Q69 + CENT!Q69 + FLA!Q69 + MIDA!Q69 + MIDW!Q69 + NE!Q69 + NY!Q69 + NW!Q69 + SE!Q69 + SW!Q69 + TEN!Q69 + TEX!Q69</f>
        <v>1.0066328499999997</v>
      </c>
      <c r="R69" s="7">
        <f xml:space="preserve"> 0 + CAL!R69 + CAR!R69 + CENT!R69 + FLA!R69 + MIDA!R69 + MIDW!R69 + NE!R69 + NY!R69 + NW!R69 + SE!R69 + SW!R69 + TEN!R69 + TEX!R69</f>
        <v>1.00024742</v>
      </c>
      <c r="S69" s="7">
        <f xml:space="preserve"> 0 + CAL!S69 + CAR!S69 + CENT!S69 + FLA!S69 + MIDA!S69 + MIDW!S69 + NE!S69 + NY!S69 + NW!S69 + SE!S69 + SW!S69 + TEN!S69 + TEX!S69</f>
        <v>1.00092907</v>
      </c>
      <c r="T69" s="7">
        <f xml:space="preserve"> 0 + CAL!T69 + CAR!T69 + CENT!T69 + FLA!T69 + MIDA!T69 + MIDW!T69 + NE!T69 + NY!T69 + NW!T69 + SE!T69 + SW!T69 + TEN!T69 + TEX!T69</f>
        <v>1.0071889399999998</v>
      </c>
      <c r="U69" s="7">
        <f xml:space="preserve"> 0 + CAL!U69 + CAR!U69 + CENT!U69 + FLA!U69 + MIDA!U69 + MIDW!U69 + NE!U69 + NY!U69 + NW!U69 + SE!U69 + SW!U69 + TEN!U69 + TEX!U69</f>
        <v>1.54071593</v>
      </c>
      <c r="V69" s="7">
        <f xml:space="preserve"> 0 + CAL!V69 + CAR!V69 + CENT!V69 + FLA!V69 + MIDA!V69 + MIDW!V69 + NE!V69 + NY!V69 + NW!V69 + SE!V69 + SW!V69 + TEN!V69 + TEX!V69</f>
        <v>1.8240631900000002</v>
      </c>
      <c r="W69" s="7">
        <f xml:space="preserve"> 0 + CAL!W69 + CAR!W69 + CENT!W69 + FLA!W69 + MIDA!W69 + MIDW!W69 + NE!W69 + NY!W69 + NW!W69 + SE!W69 + SW!W69 + TEN!W69 + TEX!W69</f>
        <v>2.0244660300000001</v>
      </c>
      <c r="X69" s="7">
        <f xml:space="preserve"> 0 + CAL!X69 + CAR!X69 + CENT!X69 + FLA!X69 + MIDA!X69 + MIDW!X69 + NE!X69 + NY!X69 + NW!X69 + SE!X69 + SW!X69 + TEN!X69 + TEX!X69</f>
        <v>2.3698757800000001</v>
      </c>
      <c r="Y69" s="7">
        <f xml:space="preserve"> 0 + CAL!Y69 + CAR!Y69 + CENT!Y69 + FLA!Y69 + MIDA!Y69 + MIDW!Y69 + NE!Y69 + NY!Y69 + NW!Y69 + SE!Y69 + SW!Y69 + TEN!Y69 + TEX!Y69</f>
        <v>2.6098446000000002</v>
      </c>
      <c r="Z69" s="7">
        <f xml:space="preserve"> 0 + CAL!Z69 + CAR!Z69 + CENT!Z69 + FLA!Z69 + MIDA!Z69 + MIDW!Z69 + NE!Z69 + NY!Z69 + NW!Z69 + SE!Z69 + SW!Z69 + TEN!Z69 + TEX!Z69</f>
        <v>2.5252249500000001</v>
      </c>
      <c r="AA69" s="7">
        <f xml:space="preserve"> 0 + CAL!AA69 + CAR!AA69 + CENT!AA69 + FLA!AA69 + MIDA!AA69 + MIDW!AA69 + NE!AA69 + NY!AA69 + NW!AA69 + SE!AA69 + SW!AA69 + TEN!AA69 + TEX!AA69</f>
        <v>2.99137641</v>
      </c>
      <c r="AB69" s="7">
        <f xml:space="preserve"> 0 + CAL!AB69 + CAR!AB69 + CENT!AB69 + FLA!AB69 + MIDA!AB69 + MIDW!AB69 + NE!AB69 + NY!AB69 + NW!AB69 + SE!AB69 + SW!AB69 + TEN!AB69 + TEX!AB69</f>
        <v>2.9863432300000001</v>
      </c>
      <c r="AC69" s="7">
        <f xml:space="preserve"> 0 + CAL!AC69 + CAR!AC69 + CENT!AC69 + FLA!AC69 + MIDA!AC69 + MIDW!AC69 + NE!AC69 + NY!AC69 + NW!AC69 + SE!AC69 + SW!AC69 + TEN!AC69 + TEX!AC69</f>
        <v>5.1404052500000006</v>
      </c>
    </row>
    <row r="70" spans="1:29" x14ac:dyDescent="0.85">
      <c r="A70" t="str">
        <f>CAL!A70</f>
        <v>Coal_Knob</v>
      </c>
      <c r="B70" s="7">
        <f xml:space="preserve"> 0 + CAL!B70 + CAR!B70 + CENT!B70 + FLA!B70 + MIDA!B70 + MIDW!B70 + NE!B70 + NY!B70 + NW!B70 + SE!B70 + SW!B70 + TEN!B70 + TEX!B70</f>
        <v>13</v>
      </c>
      <c r="C70" s="7">
        <f xml:space="preserve"> 0 + CAL!C70 + CAR!C70 + CENT!C70 + FLA!C70 + MIDA!C70 + MIDW!C70 + NE!C70 + NY!C70 + NW!C70 + SE!C70 + SW!C70 + TEN!C70 + TEX!C70</f>
        <v>12.03130101</v>
      </c>
      <c r="D70" s="7">
        <f xml:space="preserve"> 0 + CAL!D70 + CAR!D70 + CENT!D70 + FLA!D70 + MIDA!D70 + MIDW!D70 + NE!D70 + NY!D70 + NW!D70 + SE!D70 + SW!D70 + TEN!D70 + TEX!D70</f>
        <v>11.986291040000001</v>
      </c>
      <c r="E70" s="7">
        <f xml:space="preserve"> 0 + CAL!E70 + CAR!E70 + CENT!E70 + FLA!E70 + MIDA!E70 + MIDW!E70 + NE!E70 + NY!E70 + NW!E70 + SE!E70 + SW!E70 + TEN!E70 + TEX!E70</f>
        <v>11.998143150000001</v>
      </c>
      <c r="F70" s="7">
        <f xml:space="preserve"> 0 + CAL!F70 + CAR!F70 + CENT!F70 + FLA!F70 + MIDA!F70 + MIDW!F70 + NE!F70 + NY!F70 + NW!F70 + SE!F70 + SW!F70 + TEN!F70 + TEX!F70</f>
        <v>11.87666153</v>
      </c>
      <c r="G70" s="7">
        <f xml:space="preserve"> 0 + CAL!G70 + CAR!G70 + CENT!G70 + FLA!G70 + MIDA!G70 + MIDW!G70 + NE!G70 + NY!G70 + NW!G70 + SE!G70 + SW!G70 + TEN!G70 + TEX!G70</f>
        <v>11.777127150000002</v>
      </c>
      <c r="H70" s="7">
        <f xml:space="preserve"> 0 + CAL!H70 + CAR!H70 + CENT!H70 + FLA!H70 + MIDA!H70 + MIDW!H70 + NE!H70 + NY!H70 + NW!H70 + SE!H70 + SW!H70 + TEN!H70 + TEX!H70</f>
        <v>11.15688497</v>
      </c>
      <c r="I70" s="7">
        <f xml:space="preserve"> 0 + CAL!I70 + CAR!I70 + CENT!I70 + FLA!I70 + MIDA!I70 + MIDW!I70 + NE!I70 + NY!I70 + NW!I70 + SE!I70 + SW!I70 + TEN!I70 + TEX!I70</f>
        <v>9.3160370500000003</v>
      </c>
      <c r="J70" s="7">
        <f xml:space="preserve"> 0 + CAL!J70 + CAR!J70 + CENT!J70 + FLA!J70 + MIDA!J70 + MIDW!J70 + NE!J70 + NY!J70 + NW!J70 + SE!J70 + SW!J70 + TEN!J70 + TEX!J70</f>
        <v>8.3648361999999992</v>
      </c>
      <c r="K70" s="7">
        <f xml:space="preserve"> 0 + CAL!K70 + CAR!K70 + CENT!K70 + FLA!K70 + MIDA!K70 + MIDW!K70 + NE!K70 + NY!K70 + NW!K70 + SE!K70 + SW!K70 + TEN!K70 + TEX!K70</f>
        <v>6.8853407300000011</v>
      </c>
      <c r="L70" s="7">
        <f xml:space="preserve"> 0 + CAL!L70 + CAR!L70 + CENT!L70 + FLA!L70 + MIDA!L70 + MIDW!L70 + NE!L70 + NY!L70 + NW!L70 + SE!L70 + SW!L70 + TEN!L70 + TEX!L70</f>
        <v>6.1933437700000002</v>
      </c>
      <c r="M70" s="7">
        <f xml:space="preserve"> 0 + CAL!M70 + CAR!M70 + CENT!M70 + FLA!M70 + MIDA!M70 + MIDW!M70 + NE!M70 + NY!M70 + NW!M70 + SE!M70 + SW!M70 + TEN!M70 + TEX!M70</f>
        <v>3.1670073299999997</v>
      </c>
      <c r="N70" s="7">
        <f xml:space="preserve"> 0 + CAL!N70 + CAR!N70 + CENT!N70 + FLA!N70 + MIDA!N70 + MIDW!N70 + NE!N70 + NY!N70 + NW!N70 + SE!N70 + SW!N70 + TEN!N70 + TEX!N70</f>
        <v>1.8452149900000006</v>
      </c>
      <c r="O70" s="7">
        <f xml:space="preserve"> 0 + CAL!O70 + CAR!O70 + CENT!O70 + FLA!O70 + MIDA!O70 + MIDW!O70 + NE!O70 + NY!O70 + NW!O70 + SE!O70 + SW!O70 + TEN!O70 + TEX!O70</f>
        <v>1.0659537300000002</v>
      </c>
      <c r="P70" s="7">
        <f xml:space="preserve"> 0 + CAL!P70 + CAR!P70 + CENT!P70 + FLA!P70 + MIDA!P70 + MIDW!P70 + NE!P70 + NY!P70 + NW!P70 + SE!P70 + SW!P70 + TEN!P70 + TEX!P70</f>
        <v>1.0066328499999997</v>
      </c>
      <c r="Q70" s="7">
        <f xml:space="preserve"> 0 + CAL!Q70 + CAR!Q70 + CENT!Q70 + FLA!Q70 + MIDA!Q70 + MIDW!Q70 + NE!Q70 + NY!Q70 + NW!Q70 + SE!Q70 + SW!Q70 + TEN!Q70 + TEX!Q70</f>
        <v>1.00024742</v>
      </c>
      <c r="R70" s="7">
        <f xml:space="preserve"> 0 + CAL!R70 + CAR!R70 + CENT!R70 + FLA!R70 + MIDA!R70 + MIDW!R70 + NE!R70 + NY!R70 + NW!R70 + SE!R70 + SW!R70 + TEN!R70 + TEX!R70</f>
        <v>1.00092907</v>
      </c>
      <c r="S70" s="7">
        <f xml:space="preserve"> 0 + CAL!S70 + CAR!S70 + CENT!S70 + FLA!S70 + MIDA!S70 + MIDW!S70 + NE!S70 + NY!S70 + NW!S70 + SE!S70 + SW!S70 + TEN!S70 + TEX!S70</f>
        <v>1.0071889399999998</v>
      </c>
      <c r="T70" s="7">
        <f xml:space="preserve"> 0 + CAL!T70 + CAR!T70 + CENT!T70 + FLA!T70 + MIDA!T70 + MIDW!T70 + NE!T70 + NY!T70 + NW!T70 + SE!T70 + SW!T70 + TEN!T70 + TEX!T70</f>
        <v>1.54071593</v>
      </c>
      <c r="U70" s="7">
        <f xml:space="preserve"> 0 + CAL!U70 + CAR!U70 + CENT!U70 + FLA!U70 + MIDA!U70 + MIDW!U70 + NE!U70 + NY!U70 + NW!U70 + SE!U70 + SW!U70 + TEN!U70 + TEX!U70</f>
        <v>1.8240631900000002</v>
      </c>
      <c r="V70" s="7">
        <f xml:space="preserve"> 0 + CAL!V70 + CAR!V70 + CENT!V70 + FLA!V70 + MIDA!V70 + MIDW!V70 + NE!V70 + NY!V70 + NW!V70 + SE!V70 + SW!V70 + TEN!V70 + TEX!V70</f>
        <v>2.0244660300000001</v>
      </c>
      <c r="W70" s="7">
        <f xml:space="preserve"> 0 + CAL!W70 + CAR!W70 + CENT!W70 + FLA!W70 + MIDA!W70 + MIDW!W70 + NE!W70 + NY!W70 + NW!W70 + SE!W70 + SW!W70 + TEN!W70 + TEX!W70</f>
        <v>2.3698757800000001</v>
      </c>
      <c r="X70" s="7">
        <f xml:space="preserve"> 0 + CAL!X70 + CAR!X70 + CENT!X70 + FLA!X70 + MIDA!X70 + MIDW!X70 + NE!X70 + NY!X70 + NW!X70 + SE!X70 + SW!X70 + TEN!X70 + TEX!X70</f>
        <v>2.6098446000000002</v>
      </c>
      <c r="Y70" s="7">
        <f xml:space="preserve"> 0 + CAL!Y70 + CAR!Y70 + CENT!Y70 + FLA!Y70 + MIDA!Y70 + MIDW!Y70 + NE!Y70 + NY!Y70 + NW!Y70 + SE!Y70 + SW!Y70 + TEN!Y70 + TEX!Y70</f>
        <v>2.5252249500000001</v>
      </c>
      <c r="Z70" s="7">
        <f xml:space="preserve"> 0 + CAL!Z70 + CAR!Z70 + CENT!Z70 + FLA!Z70 + MIDA!Z70 + MIDW!Z70 + NE!Z70 + NY!Z70 + NW!Z70 + SE!Z70 + SW!Z70 + TEN!Z70 + TEX!Z70</f>
        <v>2.99137641</v>
      </c>
      <c r="AA70" s="7">
        <f xml:space="preserve"> 0 + CAL!AA70 + CAR!AA70 + CENT!AA70 + FLA!AA70 + MIDA!AA70 + MIDW!AA70 + NE!AA70 + NY!AA70 + NW!AA70 + SE!AA70 + SW!AA70 + TEN!AA70 + TEX!AA70</f>
        <v>2.9863432300000001</v>
      </c>
      <c r="AB70" s="7">
        <f xml:space="preserve"> 0 + CAL!AB70 + CAR!AB70 + CENT!AB70 + FLA!AB70 + MIDA!AB70 + MIDW!AB70 + NE!AB70 + NY!AB70 + NW!AB70 + SE!AB70 + SW!AB70 + TEN!AB70 + TEX!AB70</f>
        <v>5.1404052500000006</v>
      </c>
      <c r="AC70" s="7">
        <f xml:space="preserve"> 0 + CAL!AC70 + CAR!AC70 + CENT!AC70 + FLA!AC70 + MIDA!AC70 + MIDW!AC70 + NE!AC70 + NY!AC70 + NW!AC70 + SE!AC70 + SW!AC70 + TEN!AC70 + TEX!AC70</f>
        <v>5.76418827</v>
      </c>
    </row>
    <row r="71" spans="1:29" x14ac:dyDescent="0.85">
      <c r="A71" t="str">
        <f>CAL!A71</f>
        <v>Coal_Max_Knob</v>
      </c>
      <c r="B71" s="7">
        <f xml:space="preserve"> 0 + CAL!B71 + CAR!B71 + CENT!B71 + FLA!B71 + MIDA!B71 + MIDW!B71 + NE!B71 + NY!B71 + NW!B71 + SE!B71 + SW!B71 + TEN!B71 + TEX!B71</f>
        <v>13</v>
      </c>
      <c r="C71" s="7">
        <f xml:space="preserve"> 0 + CAL!C71 + CAR!C71 + CENT!C71 + FLA!C71 + MIDA!C71 + MIDW!C71 + NE!C71 + NY!C71 + NW!C71 + SE!C71 + SW!C71 + TEN!C71 + TEX!C71</f>
        <v>35.774181850000005</v>
      </c>
      <c r="D71" s="7">
        <f xml:space="preserve"> 0 + CAL!D71 + CAR!D71 + CENT!D71 + FLA!D71 + MIDA!D71 + MIDW!D71 + NE!D71 + NY!D71 + NW!D71 + SE!D71 + SW!D71 + TEN!D71 + TEX!D71</f>
        <v>36.212671389999997</v>
      </c>
      <c r="E71" s="7">
        <f xml:space="preserve"> 0 + CAL!E71 + CAR!E71 + CENT!E71 + FLA!E71 + MIDA!E71 + MIDW!E71 + NE!E71 + NY!E71 + NW!E71 + SE!E71 + SW!E71 + TEN!E71 + TEX!E71</f>
        <v>36.724710629999997</v>
      </c>
      <c r="F71" s="7">
        <f xml:space="preserve"> 0 + CAL!F71 + CAR!F71 + CENT!F71 + FLA!F71 + MIDA!F71 + MIDW!F71 + NE!F71 + NY!F71 + NW!F71 + SE!F71 + SW!F71 + TEN!F71 + TEX!F71</f>
        <v>37.270406719999997</v>
      </c>
      <c r="G71" s="7">
        <f xml:space="preserve"> 0 + CAL!G71 + CAR!G71 + CENT!G71 + FLA!G71 + MIDA!G71 + MIDW!G71 + NE!G71 + NY!G71 + NW!G71 + SE!G71 + SW!G71 + TEN!G71 + TEX!G71</f>
        <v>37.902895569999998</v>
      </c>
      <c r="H71" s="7">
        <f xml:space="preserve"> 0 + CAL!H71 + CAR!H71 + CENT!H71 + FLA!H71 + MIDA!H71 + MIDW!H71 + NE!H71 + NY!H71 + NW!H71 + SE!H71 + SW!H71 + TEN!H71 + TEX!H71</f>
        <v>38.608253099999999</v>
      </c>
      <c r="I71" s="7">
        <f xml:space="preserve"> 0 + CAL!I71 + CAR!I71 + CENT!I71 + FLA!I71 + MIDA!I71 + MIDW!I71 + NE!I71 + NY!I71 + NW!I71 + SE!I71 + SW!I71 + TEN!I71 + TEX!I71</f>
        <v>39.443094979999998</v>
      </c>
      <c r="J71" s="7">
        <f xml:space="preserve"> 0 + CAL!J71 + CAR!J71 + CENT!J71 + FLA!J71 + MIDA!J71 + MIDW!J71 + NE!J71 + NY!J71 + NW!J71 + SE!J71 + SW!J71 + TEN!J71 + TEX!J71</f>
        <v>40.593644570000002</v>
      </c>
      <c r="K71" s="7">
        <f xml:space="preserve"> 0 + CAL!K71 + CAR!K71 + CENT!K71 + FLA!K71 + MIDA!K71 + MIDW!K71 + NE!K71 + NY!K71 + NW!K71 + SE!K71 + SW!K71 + TEN!K71 + TEX!K71</f>
        <v>41.781845709999999</v>
      </c>
      <c r="L71" s="7">
        <f xml:space="preserve"> 0 + CAL!L71 + CAR!L71 + CENT!L71 + FLA!L71 + MIDA!L71 + MIDW!L71 + NE!L71 + NY!L71 + NW!L71 + SE!L71 + SW!L71 + TEN!L71 + TEX!L71</f>
        <v>43.142056739999994</v>
      </c>
      <c r="M71" s="7">
        <f xml:space="preserve"> 0 + CAL!M71 + CAR!M71 + CENT!M71 + FLA!M71 + MIDA!M71 + MIDW!M71 + NE!M71 + NY!M71 + NW!M71 + SE!M71 + SW!M71 + TEN!M71 + TEX!M71</f>
        <v>44.508703739999994</v>
      </c>
      <c r="N71" s="7">
        <f xml:space="preserve"> 0 + CAL!N71 + CAR!N71 + CENT!N71 + FLA!N71 + MIDA!N71 + MIDW!N71 + NE!N71 + NY!N71 + NW!N71 + SE!N71 + SW!N71 + TEN!N71 + TEX!N71</f>
        <v>46.034046159999995</v>
      </c>
      <c r="O71" s="7">
        <f xml:space="preserve"> 0 + CAL!O71 + CAR!O71 + CENT!O71 + FLA!O71 + MIDA!O71 + MIDW!O71 + NE!O71 + NY!O71 + NW!O71 + SE!O71 + SW!O71 + TEN!O71 + TEX!O71</f>
        <v>47.606259810000012</v>
      </c>
      <c r="P71" s="7">
        <f xml:space="preserve"> 0 + CAL!P71 + CAR!P71 + CENT!P71 + FLA!P71 + MIDA!P71 + MIDW!P71 + NE!P71 + NY!P71 + NW!P71 + SE!P71 + SW!P71 + TEN!P71 + TEX!P71</f>
        <v>49.333486800000003</v>
      </c>
      <c r="Q71" s="7">
        <f xml:space="preserve"> 0 + CAL!Q71 + CAR!Q71 + CENT!Q71 + FLA!Q71 + MIDA!Q71 + MIDW!Q71 + NE!Q71 + NY!Q71 + NW!Q71 + SE!Q71 + SW!Q71 + TEN!Q71 + TEX!Q71</f>
        <v>51.119357960000009</v>
      </c>
      <c r="R71" s="7">
        <f xml:space="preserve"> 0 + CAL!R71 + CAR!R71 + CENT!R71 + FLA!R71 + MIDA!R71 + MIDW!R71 + NE!R71 + NY!R71 + NW!R71 + SE!R71 + SW!R71 + TEN!R71 + TEX!R71</f>
        <v>53.069988529999989</v>
      </c>
      <c r="S71" s="7">
        <f xml:space="preserve"> 0 + CAL!S71 + CAR!S71 + CENT!S71 + FLA!S71 + MIDA!S71 + MIDW!S71 + NE!S71 + NY!S71 + NW!S71 + SE!S71 + SW!S71 + TEN!S71 + TEX!S71</f>
        <v>55.119235269999997</v>
      </c>
      <c r="T71" s="7">
        <f xml:space="preserve"> 0 + CAL!T71 + CAR!T71 + CENT!T71 + FLA!T71 + MIDA!T71 + MIDW!T71 + NE!T71 + NY!T71 + NW!T71 + SE!T71 + SW!T71 + TEN!T71 + TEX!T71</f>
        <v>57.286207600000004</v>
      </c>
      <c r="U71" s="7">
        <f xml:space="preserve"> 0 + CAL!U71 + CAR!U71 + CENT!U71 + FLA!U71 + MIDA!U71 + MIDW!U71 + NE!U71 + NY!U71 + NW!U71 + SE!U71 + SW!U71 + TEN!U71 + TEX!U71</f>
        <v>59.558059869999994</v>
      </c>
      <c r="V71" s="7">
        <f xml:space="preserve"> 0 + CAL!V71 + CAR!V71 + CENT!V71 + FLA!V71 + MIDA!V71 + MIDW!V71 + NE!V71 + NY!V71 + NW!V71 + SE!V71 + SW!V71 + TEN!V71 + TEX!V71</f>
        <v>61.950831319999992</v>
      </c>
      <c r="W71" s="7">
        <f xml:space="preserve"> 0 + CAL!W71 + CAR!W71 + CENT!W71 + FLA!W71 + MIDA!W71 + MIDW!W71 + NE!W71 + NY!W71 + NW!W71 + SE!W71 + SW!W71 + TEN!W71 + TEX!W71</f>
        <v>64.355167449999996</v>
      </c>
      <c r="X71" s="7">
        <f xml:space="preserve"> 0 + CAL!X71 + CAR!X71 + CENT!X71 + FLA!X71 + MIDA!X71 + MIDW!X71 + NE!X71 + NY!X71 + NW!X71 + SE!X71 + SW!X71 + TEN!X71 + TEX!X71</f>
        <v>66.772516279999991</v>
      </c>
      <c r="Y71" s="7">
        <f xml:space="preserve"> 0 + CAL!Y71 + CAR!Y71 + CENT!Y71 + FLA!Y71 + MIDA!Y71 + MIDW!Y71 + NE!Y71 + NY!Y71 + NW!Y71 + SE!Y71 + SW!Y71 + TEN!Y71 + TEX!Y71</f>
        <v>69.34278003</v>
      </c>
      <c r="Z71" s="7">
        <f xml:space="preserve"> 0 + CAL!Z71 + CAR!Z71 + CENT!Z71 + FLA!Z71 + MIDA!Z71 + MIDW!Z71 + NE!Z71 + NY!Z71 + NW!Z71 + SE!Z71 + SW!Z71 + TEN!Z71 + TEX!Z71</f>
        <v>72.095611819999988</v>
      </c>
      <c r="AA71" s="7">
        <f xml:space="preserve"> 0 + CAL!AA71 + CAR!AA71 + CENT!AA71 + FLA!AA71 + MIDA!AA71 + MIDW!AA71 + NE!AA71 + NY!AA71 + NW!AA71 + SE!AA71 + SW!AA71 + TEN!AA71 + TEX!AA71</f>
        <v>74.947806529999994</v>
      </c>
      <c r="AB71" s="7">
        <f xml:space="preserve"> 0 + CAL!AB71 + CAR!AB71 + CENT!AB71 + FLA!AB71 + MIDA!AB71 + MIDW!AB71 + NE!AB71 + NY!AB71 + NW!AB71 + SE!AB71 + SW!AB71 + TEN!AB71 + TEX!AB71</f>
        <v>77.702990290000002</v>
      </c>
      <c r="AC71" s="7">
        <f xml:space="preserve"> 0 + CAL!AC71 + CAR!AC71 + CENT!AC71 + FLA!AC71 + MIDA!AC71 + MIDW!AC71 + NE!AC71 + NY!AC71 + NW!AC71 + SE!AC71 + SW!AC71 + TEN!AC71 + TEX!AC71</f>
        <v>80.618573139999995</v>
      </c>
    </row>
    <row r="72" spans="1:29" x14ac:dyDescent="0.85">
      <c r="A72" t="str">
        <f>CAL!A72</f>
        <v>Battery_MW</v>
      </c>
      <c r="B72" s="7">
        <f xml:space="preserve"> 0 + CAL!B72 + CAR!B72 + CENT!B72 + FLA!B72 + MIDA!B72 + MIDW!B72 + NE!B72 + NY!B72 + NW!B72 + SE!B72 + SW!B72 + TEN!B72 + TEX!B72</f>
        <v>0</v>
      </c>
      <c r="C72" s="7">
        <f xml:space="preserve"> 0 + CAL!C72 + CAR!C72 + CENT!C72 + FLA!C72 + MIDA!C72 + MIDW!C72 + NE!C72 + NY!C72 + NW!C72 + SE!C72 + SW!C72 + TEN!C72 + TEX!C72</f>
        <v>590.69266973000003</v>
      </c>
      <c r="D72" s="7">
        <f xml:space="preserve"> 0 + CAL!D72 + CAR!D72 + CENT!D72 + FLA!D72 + MIDA!D72 + MIDW!D72 + NE!D72 + NY!D72 + NW!D72 + SE!D72 + SW!D72 + TEN!D72 + TEX!D72</f>
        <v>794.61679853999988</v>
      </c>
      <c r="E72" s="7">
        <f xml:space="preserve"> 0 + CAL!E72 + CAR!E72 + CENT!E72 + FLA!E72 + MIDA!E72 + MIDW!E72 + NE!E72 + NY!E72 + NW!E72 + SE!E72 + SW!E72 + TEN!E72 + TEX!E72</f>
        <v>751.03555668000001</v>
      </c>
      <c r="F72" s="7">
        <f xml:space="preserve"> 0 + CAL!F72 + CAR!F72 + CENT!F72 + FLA!F72 + MIDA!F72 + MIDW!F72 + NE!F72 + NY!F72 + NW!F72 + SE!F72 + SW!F72 + TEN!F72 + TEX!F72</f>
        <v>813.38037636000013</v>
      </c>
      <c r="G72" s="7">
        <f xml:space="preserve"> 0 + CAL!G72 + CAR!G72 + CENT!G72 + FLA!G72 + MIDA!G72 + MIDW!G72 + NE!G72 + NY!G72 + NW!G72 + SE!G72 + SW!G72 + TEN!G72 + TEX!G72</f>
        <v>952.74262930999998</v>
      </c>
      <c r="H72" s="7">
        <f xml:space="preserve"> 0 + CAL!H72 + CAR!H72 + CENT!H72 + FLA!H72 + MIDA!H72 + MIDW!H72 + NE!H72 + NY!H72 + NW!H72 + SE!H72 + SW!H72 + TEN!H72 + TEX!H72</f>
        <v>1261.9266631099997</v>
      </c>
      <c r="I72" s="7">
        <f xml:space="preserve"> 0 + CAL!I72 + CAR!I72 + CENT!I72 + FLA!I72 + MIDA!I72 + MIDW!I72 + NE!I72 + NY!I72 + NW!I72 + SE!I72 + SW!I72 + TEN!I72 + TEX!I72</f>
        <v>1499.1329971600001</v>
      </c>
      <c r="J72" s="7">
        <f xml:space="preserve"> 0 + CAL!J72 + CAR!J72 + CENT!J72 + FLA!J72 + MIDA!J72 + MIDW!J72 + NE!J72 + NY!J72 + NW!J72 + SE!J72 + SW!J72 + TEN!J72 + TEX!J72</f>
        <v>2493.2336002699999</v>
      </c>
      <c r="K72" s="7">
        <f xml:space="preserve"> 0 + CAL!K72 + CAR!K72 + CENT!K72 + FLA!K72 + MIDA!K72 + MIDW!K72 + NE!K72 + NY!K72 + NW!K72 + SE!K72 + SW!K72 + TEN!K72 + TEX!K72</f>
        <v>2991.7905874900002</v>
      </c>
      <c r="L72" s="7">
        <f xml:space="preserve"> 0 + CAL!L72 + CAR!L72 + CENT!L72 + FLA!L72 + MIDA!L72 + MIDW!L72 + NE!L72 + NY!L72 + NW!L72 + SE!L72 + SW!L72 + TEN!L72 + TEX!L72</f>
        <v>3799.0515052200003</v>
      </c>
      <c r="M72" s="7">
        <f xml:space="preserve"> 0 + CAL!M72 + CAR!M72 + CENT!M72 + FLA!M72 + MIDA!M72 + MIDW!M72 + NE!M72 + NY!M72 + NW!M72 + SE!M72 + SW!M72 + TEN!M72 + TEX!M72</f>
        <v>4053.8549059700003</v>
      </c>
      <c r="N72" s="7">
        <f xml:space="preserve"> 0 + CAL!N72 + CAR!N72 + CENT!N72 + FLA!N72 + MIDA!N72 + MIDW!N72 + NE!N72 + NY!N72 + NW!N72 + SE!N72 + SW!N72 + TEN!N72 + TEX!N72</f>
        <v>4183.2439000599998</v>
      </c>
      <c r="O72" s="7">
        <f xml:space="preserve"> 0 + CAL!O72 + CAR!O72 + CENT!O72 + FLA!O72 + MIDA!O72 + MIDW!O72 + NE!O72 + NY!O72 + NW!O72 + SE!O72 + SW!O72 + TEN!O72 + TEX!O72</f>
        <v>4398.25846138</v>
      </c>
      <c r="P72" s="7">
        <f xml:space="preserve"> 0 + CAL!P72 + CAR!P72 + CENT!P72 + FLA!P72 + MIDA!P72 + MIDW!P72 + NE!P72 + NY!P72 + NW!P72 + SE!P72 + SW!P72 + TEN!P72 + TEX!P72</f>
        <v>3958.7382449099996</v>
      </c>
      <c r="Q72" s="7">
        <f xml:space="preserve"> 0 + CAL!Q72 + CAR!Q72 + CENT!Q72 + FLA!Q72 + MIDA!Q72 + MIDW!Q72 + NE!Q72 + NY!Q72 + NW!Q72 + SE!Q72 + SW!Q72 + TEN!Q72 + TEX!Q72</f>
        <v>3563.3224907600002</v>
      </c>
      <c r="R72" s="7">
        <f xml:space="preserve"> 0 + CAL!R72 + CAR!R72 + CENT!R72 + FLA!R72 + MIDA!R72 + MIDW!R72 + NE!R72 + NY!R72 + NW!R72 + SE!R72 + SW!R72 + TEN!R72 + TEX!R72</f>
        <v>3207.3251162600004</v>
      </c>
      <c r="S72" s="7">
        <f xml:space="preserve"> 0 + CAL!S72 + CAR!S72 + CENT!S72 + FLA!S72 + MIDA!S72 + MIDW!S72 + NE!S72 + NY!S72 + NW!S72 + SE!S72 + SW!S72 + TEN!S72 + TEX!S72</f>
        <v>2893.8216294600002</v>
      </c>
      <c r="T72" s="7">
        <f xml:space="preserve"> 0 + CAL!T72 + CAR!T72 + CENT!T72 + FLA!T72 + MIDA!T72 + MIDW!T72 + NE!T72 + NY!T72 + NW!T72 + SE!T72 + SW!T72 + TEN!T72 + TEX!T72</f>
        <v>2618.8285235600001</v>
      </c>
      <c r="U72" s="7">
        <f xml:space="preserve"> 0 + CAL!U72 + CAR!U72 + CENT!U72 + FLA!U72 + MIDA!U72 + MIDW!U72 + NE!U72 + NY!U72 + NW!U72 + SE!U72 + SW!U72 + TEN!U72 + TEX!U72</f>
        <v>2357.3063947099999</v>
      </c>
      <c r="V72" s="7">
        <f xml:space="preserve"> 0 + CAL!V72 + CAR!V72 + CENT!V72 + FLA!V72 + MIDA!V72 + MIDW!V72 + NE!V72 + NY!V72 + NW!V72 + SE!V72 + SW!V72 + TEN!V72 + TEX!V72</f>
        <v>2270.8493425000001</v>
      </c>
      <c r="W72" s="7">
        <f xml:space="preserve"> 0 + CAL!W72 + CAR!W72 + CENT!W72 + FLA!W72 + MIDA!W72 + MIDW!W72 + NE!W72 + NY!W72 + NW!W72 + SE!W72 + SW!W72 + TEN!W72 + TEX!W72</f>
        <v>2169.5402929299999</v>
      </c>
      <c r="X72" s="7">
        <f xml:space="preserve"> 0 + CAL!X72 + CAR!X72 + CENT!X72 + FLA!X72 + MIDA!X72 + MIDW!X72 + NE!X72 + NY!X72 + NW!X72 + SE!X72 + SW!X72 + TEN!X72 + TEX!X72</f>
        <v>1990.78880888</v>
      </c>
      <c r="Y72" s="7">
        <f xml:space="preserve"> 0 + CAL!Y72 + CAR!Y72 + CENT!Y72 + FLA!Y72 + MIDA!Y72 + MIDW!Y72 + NE!Y72 + NY!Y72 + NW!Y72 + SE!Y72 + SW!Y72 + TEN!Y72 + TEX!Y72</f>
        <v>1793.0990336899997</v>
      </c>
      <c r="Z72" s="7">
        <f xml:space="preserve"> 0 + CAL!Z72 + CAR!Z72 + CENT!Z72 + FLA!Z72 + MIDA!Z72 + MIDW!Z72 + NE!Z72 + NY!Z72 + NW!Z72 + SE!Z72 + SW!Z72 + TEN!Z72 + TEX!Z72</f>
        <v>1620.1827247000001</v>
      </c>
      <c r="AA72" s="7">
        <f xml:space="preserve"> 0 + CAL!AA72 + CAR!AA72 + CENT!AA72 + FLA!AA72 + MIDA!AA72 + MIDW!AA72 + NE!AA72 + NY!AA72 + NW!AA72 + SE!AA72 + SW!AA72 + TEN!AA72 + TEX!AA72</f>
        <v>1469.73926592</v>
      </c>
      <c r="AB72" s="7">
        <f xml:space="preserve"> 0 + CAL!AB72 + CAR!AB72 + CENT!AB72 + FLA!AB72 + MIDA!AB72 + MIDW!AB72 + NE!AB72 + NY!AB72 + NW!AB72 + SE!AB72 + SW!AB72 + TEN!AB72 + TEX!AB72</f>
        <v>1465.6813718100002</v>
      </c>
      <c r="AC72" s="7">
        <f xml:space="preserve"> 0 + CAL!AC72 + CAR!AC72 + CENT!AC72 + FLA!AC72 + MIDA!AC72 + MIDW!AC72 + NE!AC72 + NY!AC72 + NW!AC72 + SE!AC72 + SW!AC72 + TEN!AC72 + TEX!AC72</f>
        <v>1334.1770347700001</v>
      </c>
    </row>
    <row r="73" spans="1:29" x14ac:dyDescent="0.85">
      <c r="A73" t="str">
        <f>CAL!A73</f>
        <v>Battery_Demand_MWh</v>
      </c>
      <c r="B73" s="7">
        <f xml:space="preserve"> 0 + CAL!B73 + CAR!B73 + CENT!B73 + FLA!B73 + MIDA!B73 + MIDW!B73 + NE!B73 + NY!B73 + NW!B73 + SE!B73 + SW!B73 + TEN!B73 + TEX!B73</f>
        <v>0</v>
      </c>
      <c r="C73" s="7">
        <f xml:space="preserve"> 0 + CAL!C73 + CAR!C73 + CENT!C73 + FLA!C73 + MIDA!C73 + MIDW!C73 + NE!C73 + NY!C73 + NW!C73 + SE!C73 + SW!C73 + TEN!C73 + TEX!C73</f>
        <v>147.54786439</v>
      </c>
      <c r="D73" s="7">
        <f xml:space="preserve"> 0 + CAL!D73 + CAR!D73 + CENT!D73 + FLA!D73 + MIDA!D73 + MIDW!D73 + NE!D73 + NY!D73 + NW!D73 + SE!D73 + SW!D73 + TEN!D73 + TEX!D73</f>
        <v>65.869695469999982</v>
      </c>
      <c r="E73" s="7">
        <f xml:space="preserve"> 0 + CAL!E73 + CAR!E73 + CENT!E73 + FLA!E73 + MIDA!E73 + MIDW!E73 + NE!E73 + NY!E73 + NW!E73 + SE!E73 + SW!E73 + TEN!E73 + TEX!E73</f>
        <v>8.4728283400000013</v>
      </c>
      <c r="F73" s="7">
        <f xml:space="preserve"> 0 + CAL!F73 + CAR!F73 + CENT!F73 + FLA!F73 + MIDA!F73 + MIDW!F73 + NE!F73 + NY!F73 + NW!F73 + SE!F73 + SW!F73 + TEN!F73 + TEX!F73</f>
        <v>34.845039379999996</v>
      </c>
      <c r="G73" s="7">
        <f xml:space="preserve"> 0 + CAL!G73 + CAR!G73 + CENT!G73 + FLA!G73 + MIDA!G73 + MIDW!G73 + NE!G73 + NY!G73 + NW!G73 + SE!G73 + SW!G73 + TEN!G73 + TEX!G73</f>
        <v>54.481262659999999</v>
      </c>
      <c r="H73" s="7">
        <f xml:space="preserve"> 0 + CAL!H73 + CAR!H73 + CENT!H73 + FLA!H73 + MIDA!H73 + MIDW!H73 + NE!H73 + NY!H73 + NW!H73 + SE!H73 + SW!H73 + TEN!H73 + TEX!H73</f>
        <v>101.73320849</v>
      </c>
      <c r="I73" s="7">
        <f xml:space="preserve"> 0 + CAL!I73 + CAR!I73 + CENT!I73 + FLA!I73 + MIDA!I73 + MIDW!I73 + NE!I73 + NY!I73 + NW!I73 + SE!I73 + SW!I73 + TEN!I73 + TEX!I73</f>
        <v>90.932895930000001</v>
      </c>
      <c r="J73" s="7">
        <f xml:space="preserve"> 0 + CAL!J73 + CAR!J73 + CENT!J73 + FLA!J73 + MIDA!J73 + MIDW!J73 + NE!J73 + NY!J73 + NW!J73 + SE!J73 + SW!J73 + TEN!J73 + TEX!J73</f>
        <v>298.38707245000001</v>
      </c>
      <c r="K73" s="7">
        <f xml:space="preserve"> 0 + CAL!K73 + CAR!K73 + CENT!K73 + FLA!K73 + MIDA!K73 + MIDW!K73 + NE!K73 + NY!K73 + NW!K73 + SE!K73 + SW!K73 + TEN!K73 + TEX!K73</f>
        <v>207.35022895999998</v>
      </c>
      <c r="L73" s="7">
        <f xml:space="preserve"> 0 + CAL!L73 + CAR!L73 + CENT!L73 + FLA!L73 + MIDA!L73 + MIDW!L73 + NE!L73 + NY!L73 + NW!L73 + SE!L73 + SW!L73 + TEN!L73 + TEX!L73</f>
        <v>419.82927788000012</v>
      </c>
      <c r="M73" s="7">
        <f xml:space="preserve"> 0 + CAL!M73 + CAR!M73 + CENT!M73 + FLA!M73 + MIDA!M73 + MIDW!M73 + NE!M73 + NY!M73 + NW!M73 + SE!M73 + SW!M73 + TEN!M73 + TEX!M73</f>
        <v>504.3747462</v>
      </c>
      <c r="N73" s="7">
        <f xml:space="preserve"> 0 + CAL!N73 + CAR!N73 + CENT!N73 + FLA!N73 + MIDA!N73 + MIDW!N73 + NE!N73 + NY!N73 + NW!N73 + SE!N73 + SW!N73 + TEN!N73 + TEX!N73</f>
        <v>429.98934846999998</v>
      </c>
      <c r="O73" s="7">
        <f xml:space="preserve"> 0 + CAL!O73 + CAR!O73 + CENT!O73 + FLA!O73 + MIDA!O73 + MIDW!O73 + NE!O73 + NY!O73 + NW!O73 + SE!O73 + SW!O73 + TEN!O73 + TEX!O73</f>
        <v>421.39815413999997</v>
      </c>
      <c r="P73" s="7">
        <f xml:space="preserve"> 0 + CAL!P73 + CAR!P73 + CENT!P73 + FLA!P73 + MIDA!P73 + MIDW!P73 + NE!P73 + NY!P73 + NW!P73 + SE!P73 + SW!P73 + TEN!P73 + TEX!P73</f>
        <v>358.63508926999998</v>
      </c>
      <c r="Q73" s="7">
        <f xml:space="preserve"> 0 + CAL!Q73 + CAR!Q73 + CENT!Q73 + FLA!Q73 + MIDA!Q73 + MIDW!Q73 + NE!Q73 + NY!Q73 + NW!Q73 + SE!Q73 + SW!Q73 + TEN!Q73 + TEX!Q73</f>
        <v>367.61288093000002</v>
      </c>
      <c r="R73" s="7">
        <f xml:space="preserve"> 0 + CAL!R73 + CAR!R73 + CENT!R73 + FLA!R73 + MIDA!R73 + MIDW!R73 + NE!R73 + NY!R73 + NW!R73 + SE!R73 + SW!R73 + TEN!R73 + TEX!R73</f>
        <v>422.95735867000002</v>
      </c>
      <c r="S73" s="7">
        <f xml:space="preserve"> 0 + CAL!S73 + CAR!S73 + CENT!S73 + FLA!S73 + MIDA!S73 + MIDW!S73 + NE!S73 + NY!S73 + NW!S73 + SE!S73 + SW!S73 + TEN!S73 + TEX!S73</f>
        <v>426.33150508999995</v>
      </c>
      <c r="T73" s="7">
        <f xml:space="preserve"> 0 + CAL!T73 + CAR!T73 + CENT!T73 + FLA!T73 + MIDA!T73 + MIDW!T73 + NE!T73 + NY!T73 + NW!T73 + SE!T73 + SW!T73 + TEN!T73 + TEX!T73</f>
        <v>608.04470867999999</v>
      </c>
      <c r="U73" s="7">
        <f xml:space="preserve"> 0 + CAL!U73 + CAR!U73 + CENT!U73 + FLA!U73 + MIDA!U73 + MIDW!U73 + NE!U73 + NY!U73 + NW!U73 + SE!U73 + SW!U73 + TEN!U73 + TEX!U73</f>
        <v>586.74274281999999</v>
      </c>
      <c r="V73" s="7">
        <f xml:space="preserve"> 0 + CAL!V73 + CAR!V73 + CENT!V73 + FLA!V73 + MIDA!V73 + MIDW!V73 + NE!V73 + NY!V73 + NW!V73 + SE!V73 + SW!V73 + TEN!V73 + TEX!V73</f>
        <v>739.44251380000003</v>
      </c>
      <c r="W73" s="7">
        <f xml:space="preserve"> 0 + CAL!W73 + CAR!W73 + CENT!W73 + FLA!W73 + MIDA!W73 + MIDW!W73 + NE!W73 + NY!W73 + NW!W73 + SE!W73 + SW!W73 + TEN!W73 + TEX!W73</f>
        <v>560.08327867000003</v>
      </c>
      <c r="X73" s="7">
        <f xml:space="preserve"> 0 + CAL!X73 + CAR!X73 + CENT!X73 + FLA!X73 + MIDA!X73 + MIDW!X73 + NE!X73 + NY!X73 + NW!X73 + SE!X73 + SW!X73 + TEN!X73 + TEX!X73</f>
        <v>497.69716470999998</v>
      </c>
      <c r="Y73" s="7">
        <f xml:space="preserve"> 0 + CAL!Y73 + CAR!Y73 + CENT!Y73 + FLA!Y73 + MIDA!Y73 + MIDW!Y73 + NE!Y73 + NY!Y73 + NW!Y73 + SE!Y73 + SW!Y73 + TEN!Y73 + TEX!Y73</f>
        <v>465.87195194000003</v>
      </c>
      <c r="Z73" s="7">
        <f xml:space="preserve"> 0 + CAL!Z73 + CAR!Z73 + CENT!Z73 + FLA!Z73 + MIDA!Z73 + MIDW!Z73 + NE!Z73 + NY!Z73 + NW!Z73 + SE!Z73 + SW!Z73 + TEN!Z73 + TEX!Z73</f>
        <v>414.64310420999999</v>
      </c>
      <c r="AA73" s="7">
        <f xml:space="preserve"> 0 + CAL!AA73 + CAR!AA73 + CENT!AA73 + FLA!AA73 + MIDA!AA73 + MIDW!AA73 + NE!AA73 + NY!AA73 + NW!AA73 + SE!AA73 + SW!AA73 + TEN!AA73 + TEX!AA73</f>
        <v>385.82389740999997</v>
      </c>
      <c r="AB73" s="7">
        <f xml:space="preserve"> 0 + CAL!AB73 + CAR!AB73 + CENT!AB73 + FLA!AB73 + MIDA!AB73 + MIDW!AB73 + NE!AB73 + NY!AB73 + NW!AB73 + SE!AB73 + SW!AB73 + TEN!AB73 + TEX!AB73</f>
        <v>364.14112595999995</v>
      </c>
      <c r="AC73" s="7">
        <f xml:space="preserve"> 0 + CAL!AC73 + CAR!AC73 + CENT!AC73 + FLA!AC73 + MIDA!AC73 + MIDW!AC73 + NE!AC73 + NY!AC73 + NW!AC73 + SE!AC73 + SW!AC73 + TEN!AC73 + TEX!AC73</f>
        <v>363.51602498</v>
      </c>
    </row>
    <row r="74" spans="1:29" x14ac:dyDescent="0.85">
      <c r="A74" t="str">
        <f>CAL!A74</f>
        <v>Battery_Supply_MWh</v>
      </c>
      <c r="B74" s="7">
        <f xml:space="preserve"> 0 + CAL!B74 + CAR!B74 + CENT!B74 + FLA!B74 + MIDA!B74 + MIDW!B74 + NE!B74 + NY!B74 + NW!B74 + SE!B74 + SW!B74 + TEN!B74 + TEX!B74</f>
        <v>0</v>
      </c>
      <c r="C74" s="7">
        <f xml:space="preserve"> 0 + CAL!C74 + CAR!C74 + CENT!C74 + FLA!C74 + MIDA!C74 + MIDW!C74 + NE!C74 + NY!C74 + NW!C74 + SE!C74 + SW!C74 + TEN!C74 + TEX!C74</f>
        <v>147.54786439</v>
      </c>
      <c r="D74" s="7">
        <f xml:space="preserve"> 0 + CAL!D74 + CAR!D74 + CENT!D74 + FLA!D74 + MIDA!D74 + MIDW!D74 + NE!D74 + NY!D74 + NW!D74 + SE!D74 + SW!D74 + TEN!D74 + TEX!D74</f>
        <v>65.869695469999982</v>
      </c>
      <c r="E74" s="7">
        <f xml:space="preserve"> 0 + CAL!E74 + CAR!E74 + CENT!E74 + FLA!E74 + MIDA!E74 + MIDW!E74 + NE!E74 + NY!E74 + NW!E74 + SE!E74 + SW!E74 + TEN!E74 + TEX!E74</f>
        <v>8.4728283400000013</v>
      </c>
      <c r="F74" s="7">
        <f xml:space="preserve"> 0 + CAL!F74 + CAR!F74 + CENT!F74 + FLA!F74 + MIDA!F74 + MIDW!F74 + NE!F74 + NY!F74 + NW!F74 + SE!F74 + SW!F74 + TEN!F74 + TEX!F74</f>
        <v>34.845039379999996</v>
      </c>
      <c r="G74" s="7">
        <f xml:space="preserve"> 0 + CAL!G74 + CAR!G74 + CENT!G74 + FLA!G74 + MIDA!G74 + MIDW!G74 + NE!G74 + NY!G74 + NW!G74 + SE!G74 + SW!G74 + TEN!G74 + TEX!G74</f>
        <v>54.481262659999999</v>
      </c>
      <c r="H74" s="7">
        <f xml:space="preserve"> 0 + CAL!H74 + CAR!H74 + CENT!H74 + FLA!H74 + MIDA!H74 + MIDW!H74 + NE!H74 + NY!H74 + NW!H74 + SE!H74 + SW!H74 + TEN!H74 + TEX!H74</f>
        <v>101.73320849</v>
      </c>
      <c r="I74" s="7">
        <f xml:space="preserve"> 0 + CAL!I74 + CAR!I74 + CENT!I74 + FLA!I74 + MIDA!I74 + MIDW!I74 + NE!I74 + NY!I74 + NW!I74 + SE!I74 + SW!I74 + TEN!I74 + TEX!I74</f>
        <v>90.932895930000001</v>
      </c>
      <c r="J74" s="7">
        <f xml:space="preserve"> 0 + CAL!J74 + CAR!J74 + CENT!J74 + FLA!J74 + MIDA!J74 + MIDW!J74 + NE!J74 + NY!J74 + NW!J74 + SE!J74 + SW!J74 + TEN!J74 + TEX!J74</f>
        <v>298.38707245000001</v>
      </c>
      <c r="K74" s="7">
        <f xml:space="preserve"> 0 + CAL!K74 + CAR!K74 + CENT!K74 + FLA!K74 + MIDA!K74 + MIDW!K74 + NE!K74 + NY!K74 + NW!K74 + SE!K74 + SW!K74 + TEN!K74 + TEX!K74</f>
        <v>207.35022895999998</v>
      </c>
      <c r="L74" s="7">
        <f xml:space="preserve"> 0 + CAL!L74 + CAR!L74 + CENT!L74 + FLA!L74 + MIDA!L74 + MIDW!L74 + NE!L74 + NY!L74 + NW!L74 + SE!L74 + SW!L74 + TEN!L74 + TEX!L74</f>
        <v>419.82927788000012</v>
      </c>
      <c r="M74" s="7">
        <f xml:space="preserve"> 0 + CAL!M74 + CAR!M74 + CENT!M74 + FLA!M74 + MIDA!M74 + MIDW!M74 + NE!M74 + NY!M74 + NW!M74 + SE!M74 + SW!M74 + TEN!M74 + TEX!M74</f>
        <v>504.3747462</v>
      </c>
      <c r="N74" s="7">
        <f xml:space="preserve"> 0 + CAL!N74 + CAR!N74 + CENT!N74 + FLA!N74 + MIDA!N74 + MIDW!N74 + NE!N74 + NY!N74 + NW!N74 + SE!N74 + SW!N74 + TEN!N74 + TEX!N74</f>
        <v>429.98934846999998</v>
      </c>
      <c r="O74" s="7">
        <f xml:space="preserve"> 0 + CAL!O74 + CAR!O74 + CENT!O74 + FLA!O74 + MIDA!O74 + MIDW!O74 + NE!O74 + NY!O74 + NW!O74 + SE!O74 + SW!O74 + TEN!O74 + TEX!O74</f>
        <v>421.39815413999997</v>
      </c>
      <c r="P74" s="7">
        <f xml:space="preserve"> 0 + CAL!P74 + CAR!P74 + CENT!P74 + FLA!P74 + MIDA!P74 + MIDW!P74 + NE!P74 + NY!P74 + NW!P74 + SE!P74 + SW!P74 + TEN!P74 + TEX!P74</f>
        <v>358.63508926999998</v>
      </c>
      <c r="Q74" s="7">
        <f xml:space="preserve"> 0 + CAL!Q74 + CAR!Q74 + CENT!Q74 + FLA!Q74 + MIDA!Q74 + MIDW!Q74 + NE!Q74 + NY!Q74 + NW!Q74 + SE!Q74 + SW!Q74 + TEN!Q74 + TEX!Q74</f>
        <v>367.61288093000002</v>
      </c>
      <c r="R74" s="7">
        <f xml:space="preserve"> 0 + CAL!R74 + CAR!R74 + CENT!R74 + FLA!R74 + MIDA!R74 + MIDW!R74 + NE!R74 + NY!R74 + NW!R74 + SE!R74 + SW!R74 + TEN!R74 + TEX!R74</f>
        <v>422.95735867000002</v>
      </c>
      <c r="S74" s="7">
        <f xml:space="preserve"> 0 + CAL!S74 + CAR!S74 + CENT!S74 + FLA!S74 + MIDA!S74 + MIDW!S74 + NE!S74 + NY!S74 + NW!S74 + SE!S74 + SW!S74 + TEN!S74 + TEX!S74</f>
        <v>426.33150508999995</v>
      </c>
      <c r="T74" s="7">
        <f xml:space="preserve"> 0 + CAL!T74 + CAR!T74 + CENT!T74 + FLA!T74 + MIDA!T74 + MIDW!T74 + NE!T74 + NY!T74 + NW!T74 + SE!T74 + SW!T74 + TEN!T74 + TEX!T74</f>
        <v>608.04470867999999</v>
      </c>
      <c r="U74" s="7">
        <f xml:space="preserve"> 0 + CAL!U74 + CAR!U74 + CENT!U74 + FLA!U74 + MIDA!U74 + MIDW!U74 + NE!U74 + NY!U74 + NW!U74 + SE!U74 + SW!U74 + TEN!U74 + TEX!U74</f>
        <v>586.74274281999999</v>
      </c>
      <c r="V74" s="7">
        <f xml:space="preserve"> 0 + CAL!V74 + CAR!V74 + CENT!V74 + FLA!V74 + MIDA!V74 + MIDW!V74 + NE!V74 + NY!V74 + NW!V74 + SE!V74 + SW!V74 + TEN!V74 + TEX!V74</f>
        <v>739.44251380000003</v>
      </c>
      <c r="W74" s="7">
        <f xml:space="preserve"> 0 + CAL!W74 + CAR!W74 + CENT!W74 + FLA!W74 + MIDA!W74 + MIDW!W74 + NE!W74 + NY!W74 + NW!W74 + SE!W74 + SW!W74 + TEN!W74 + TEX!W74</f>
        <v>560.08327867000003</v>
      </c>
      <c r="X74" s="7">
        <f xml:space="preserve"> 0 + CAL!X74 + CAR!X74 + CENT!X74 + FLA!X74 + MIDA!X74 + MIDW!X74 + NE!X74 + NY!X74 + NW!X74 + SE!X74 + SW!X74 + TEN!X74 + TEX!X74</f>
        <v>497.69716470999998</v>
      </c>
      <c r="Y74" s="7">
        <f xml:space="preserve"> 0 + CAL!Y74 + CAR!Y74 + CENT!Y74 + FLA!Y74 + MIDA!Y74 + MIDW!Y74 + NE!Y74 + NY!Y74 + NW!Y74 + SE!Y74 + SW!Y74 + TEN!Y74 + TEX!Y74</f>
        <v>465.87195194000003</v>
      </c>
      <c r="Z74" s="7">
        <f xml:space="preserve"> 0 + CAL!Z74 + CAR!Z74 + CENT!Z74 + FLA!Z74 + MIDA!Z74 + MIDW!Z74 + NE!Z74 + NY!Z74 + NW!Z74 + SE!Z74 + SW!Z74 + TEN!Z74 + TEX!Z74</f>
        <v>414.64310420999999</v>
      </c>
      <c r="AA74" s="7">
        <f xml:space="preserve"> 0 + CAL!AA74 + CAR!AA74 + CENT!AA74 + FLA!AA74 + MIDA!AA74 + MIDW!AA74 + NE!AA74 + NY!AA74 + NW!AA74 + SE!AA74 + SW!AA74 + TEN!AA74 + TEX!AA74</f>
        <v>385.82389740999997</v>
      </c>
      <c r="AB74" s="7">
        <f xml:space="preserve"> 0 + CAL!AB74 + CAR!AB74 + CENT!AB74 + FLA!AB74 + MIDA!AB74 + MIDW!AB74 + NE!AB74 + NY!AB74 + NW!AB74 + SE!AB74 + SW!AB74 + TEN!AB74 + TEX!AB74</f>
        <v>364.14112595999995</v>
      </c>
      <c r="AC74" s="7">
        <f xml:space="preserve"> 0 + CAL!AC74 + CAR!AC74 + CENT!AC74 + FLA!AC74 + MIDA!AC74 + MIDW!AC74 + NE!AC74 + NY!AC74 + NW!AC74 + SE!AC74 + SW!AC74 + TEN!AC74 + TEX!AC74</f>
        <v>363.51602498</v>
      </c>
    </row>
    <row r="75" spans="1:29" x14ac:dyDescent="0.85">
      <c r="A75" t="str">
        <f>CAL!A75</f>
        <v>Battery_Cost</v>
      </c>
      <c r="B75" s="7">
        <f xml:space="preserve"> 0 + CAL!B75 + CAR!B75 + CENT!B75 + FLA!B75 + MIDA!B75 + MIDW!B75 + NE!B75 + NY!B75 + NW!B75 + SE!B75 + SW!B75 + TEN!B75 + TEX!B75</f>
        <v>0</v>
      </c>
      <c r="C75" s="7">
        <f xml:space="preserve"> 0 + CAL!C75 + CAR!C75 + CENT!C75 + FLA!C75 + MIDA!C75 + MIDW!C75 + NE!C75 + NY!C75 + NW!C75 + SE!C75 + SW!C75 + TEN!C75 + TEX!C75</f>
        <v>156.87019515</v>
      </c>
      <c r="D75" s="7">
        <f xml:space="preserve"> 0 + CAL!D75 + CAR!D75 + CENT!D75 + FLA!D75 + MIDA!D75 + MIDW!D75 + NE!D75 + NY!D75 + NW!D75 + SE!D75 + SW!D75 + TEN!D75 + TEX!D75</f>
        <v>211.02448018999999</v>
      </c>
      <c r="E75" s="7">
        <f xml:space="preserve"> 0 + CAL!E75 + CAR!E75 + CENT!E75 + FLA!E75 + MIDA!E75 + MIDW!E75 + NE!E75 + NY!E75 + NW!E75 + SE!E75 + SW!E75 + TEN!E75 + TEX!E75</f>
        <v>199.44997355000001</v>
      </c>
      <c r="F75" s="7">
        <f xml:space="preserve"> 0 + CAL!F75 + CAR!F75 + CENT!F75 + FLA!F75 + MIDA!F75 + MIDW!F75 + NE!F75 + NY!F75 + NW!F75 + SE!F75 + SW!F75 + TEN!F75 + TEX!F75</f>
        <v>216.00702997999997</v>
      </c>
      <c r="G75" s="7">
        <f xml:space="preserve"> 0 + CAL!G75 + CAR!G75 + CENT!G75 + FLA!G75 + MIDA!G75 + MIDW!G75 + NE!G75 + NY!G75 + NW!G75 + SE!G75 + SW!G75 + TEN!G75 + TEX!G75</f>
        <v>253.01724107999999</v>
      </c>
      <c r="H75" s="7">
        <f xml:space="preserve"> 0 + CAL!H75 + CAR!H75 + CENT!H75 + FLA!H75 + MIDA!H75 + MIDW!H75 + NE!H75 + NY!H75 + NW!H75 + SE!H75 + SW!H75 + TEN!H75 + TEX!H75</f>
        <v>335.12680222</v>
      </c>
      <c r="I75" s="7">
        <f xml:space="preserve"> 0 + CAL!I75 + CAR!I75 + CENT!I75 + FLA!I75 + MIDA!I75 + MIDW!I75 + NE!I75 + NY!I75 + NW!I75 + SE!I75 + SW!I75 + TEN!I75 + TEX!I75</f>
        <v>398.12070078999994</v>
      </c>
      <c r="J75" s="7">
        <f xml:space="preserve"> 0 + CAL!J75 + CAR!J75 + CENT!J75 + FLA!J75 + MIDA!J75 + MIDW!J75 + NE!J75 + NY!J75 + NW!J75 + SE!J75 + SW!J75 + TEN!J75 + TEX!J75</f>
        <v>662.12333917000001</v>
      </c>
      <c r="K75" s="7">
        <f xml:space="preserve"> 0 + CAL!K75 + CAR!K75 + CENT!K75 + FLA!K75 + MIDA!K75 + MIDW!K75 + NE!K75 + NY!K75 + NW!K75 + SE!K75 + SW!K75 + TEN!K75 + TEX!K75</f>
        <v>794.52210160000004</v>
      </c>
      <c r="L75" s="7">
        <f xml:space="preserve"> 0 + CAL!L75 + CAR!L75 + CENT!L75 + FLA!L75 + MIDA!L75 + MIDW!L75 + NE!L75 + NY!L75 + NW!L75 + SE!L75 + SW!L75 + TEN!L75 + TEX!L75</f>
        <v>1008.90645464</v>
      </c>
      <c r="M75" s="7">
        <f xml:space="preserve"> 0 + CAL!M75 + CAR!M75 + CENT!M75 + FLA!M75 + MIDA!M75 + MIDW!M75 + NE!M75 + NY!M75 + NW!M75 + SE!M75 + SW!M75 + TEN!M75 + TEX!M75</f>
        <v>1076.5748569000002</v>
      </c>
      <c r="N75" s="7">
        <f xml:space="preserve"> 0 + CAL!N75 + CAR!N75 + CENT!N75 + FLA!N75 + MIDA!N75 + MIDW!N75 + NE!N75 + NY!N75 + NW!N75 + SE!N75 + SW!N75 + TEN!N75 + TEX!N75</f>
        <v>1110.9352102099997</v>
      </c>
      <c r="O75" s="7">
        <f xml:space="preserve"> 0 + CAL!O75 + CAR!O75 + CENT!O75 + FLA!O75 + MIDA!O75 + MIDW!O75 + NE!O75 + NY!O75 + NW!O75 + SE!O75 + SW!O75 + TEN!O75 + TEX!O75</f>
        <v>1168.03574862</v>
      </c>
      <c r="P75" s="7">
        <f xml:space="preserve"> 0 + CAL!P75 + CAR!P75 + CENT!P75 + FLA!P75 + MIDA!P75 + MIDW!P75 + NE!P75 + NY!P75 + NW!P75 + SE!P75 + SW!P75 + TEN!P75 + TEX!P75</f>
        <v>1051.3130547500002</v>
      </c>
      <c r="Q75" s="7">
        <f xml:space="preserve"> 0 + CAL!Q75 + CAR!Q75 + CENT!Q75 + FLA!Q75 + MIDA!Q75 + MIDW!Q75 + NE!Q75 + NY!Q75 + NW!Q75 + SE!Q75 + SW!Q75 + TEN!Q75 + TEX!Q75</f>
        <v>946.30401487999995</v>
      </c>
      <c r="R75" s="7">
        <f xml:space="preserve"> 0 + CAL!R75 + CAR!R75 + CENT!R75 + FLA!R75 + MIDA!R75 + MIDW!R75 + NE!R75 + NY!R75 + NW!R75 + SE!R75 + SW!R75 + TEN!R75 + TEX!R75</f>
        <v>851.76381314000002</v>
      </c>
      <c r="S75" s="7">
        <f xml:space="preserve"> 0 + CAL!S75 + CAR!S75 + CENT!S75 + FLA!S75 + MIDA!S75 + MIDW!S75 + NE!S75 + NY!S75 + NW!S75 + SE!S75 + SW!S75 + TEN!S75 + TEX!S75</f>
        <v>768.50784724000005</v>
      </c>
      <c r="T75" s="7">
        <f xml:space="preserve"> 0 + CAL!T75 + CAR!T75 + CENT!T75 + FLA!T75 + MIDA!T75 + MIDW!T75 + NE!T75 + NY!T75 + NW!T75 + SE!T75 + SW!T75 + TEN!T75 + TEX!T75</f>
        <v>695.48140275999992</v>
      </c>
      <c r="U75" s="7">
        <f xml:space="preserve"> 0 + CAL!U75 + CAR!U75 + CENT!U75 + FLA!U75 + MIDA!U75 + MIDW!U75 + NE!U75 + NY!U75 + NW!U75 + SE!U75 + SW!U75 + TEN!U75 + TEX!U75</f>
        <v>626.0296024999999</v>
      </c>
      <c r="V75" s="7">
        <f xml:space="preserve"> 0 + CAL!V75 + CAR!V75 + CENT!V75 + FLA!V75 + MIDA!V75 + MIDW!V75 + NE!V75 + NY!V75 + NW!V75 + SE!V75 + SW!V75 + TEN!V75 + TEX!V75</f>
        <v>603.07161158999997</v>
      </c>
      <c r="W75" s="7">
        <f xml:space="preserve"> 0 + CAL!W75 + CAR!W75 + CENT!W75 + FLA!W75 + MIDA!W75 + MIDW!W75 + NE!W75 + NY!W75 + NW!W75 + SE!W75 + SW!W75 + TEN!W75 + TEX!W75</f>
        <v>576.16485576000014</v>
      </c>
      <c r="X75" s="7">
        <f xml:space="preserve"> 0 + CAL!X75 + CAR!X75 + CENT!X75 + FLA!X75 + MIDA!X75 + MIDW!X75 + NE!X75 + NY!X75 + NW!X75 + SE!X75 + SW!X75 + TEN!X75 + TEX!X75</f>
        <v>528.6935972</v>
      </c>
      <c r="Y75" s="7">
        <f xml:space="preserve"> 0 + CAL!Y75 + CAR!Y75 + CENT!Y75 + FLA!Y75 + MIDA!Y75 + MIDW!Y75 + NE!Y75 + NY!Y75 + NW!Y75 + SE!Y75 + SW!Y75 + TEN!Y75 + TEX!Y75</f>
        <v>476.19338447000001</v>
      </c>
      <c r="Z75" s="7">
        <f xml:space="preserve"> 0 + CAL!Z75 + CAR!Z75 + CENT!Z75 + FLA!Z75 + MIDA!Z75 + MIDW!Z75 + NE!Z75 + NY!Z75 + NW!Z75 + SE!Z75 + SW!Z75 + TEN!Z75 + TEX!Z75</f>
        <v>430.27190634000004</v>
      </c>
      <c r="AA75" s="7">
        <f xml:space="preserve"> 0 + CAL!AA75 + CAR!AA75 + CENT!AA75 + FLA!AA75 + MIDA!AA75 + MIDW!AA75 + NE!AA75 + NY!AA75 + NW!AA75 + SE!AA75 + SW!AA75 + TEN!AA75 + TEX!AA75</f>
        <v>390.31877216000004</v>
      </c>
      <c r="AB75" s="7">
        <f xml:space="preserve"> 0 + CAL!AB75 + CAR!AB75 + CENT!AB75 + FLA!AB75 + MIDA!AB75 + MIDW!AB75 + NE!AB75 + NY!AB75 + NW!AB75 + SE!AB75 + SW!AB75 + TEN!AB75 + TEX!AB75</f>
        <v>389.24083301999997</v>
      </c>
      <c r="AC75" s="7">
        <f xml:space="preserve"> 0 + CAL!AC75 + CAR!AC75 + CENT!AC75 + FLA!AC75 + MIDA!AC75 + MIDW!AC75 + NE!AC75 + NY!AC75 + NW!AC75 + SE!AC75 + SW!AC75 + TEN!AC75 + TEX!AC75</f>
        <v>354.31768267000001</v>
      </c>
    </row>
    <row r="76" spans="1:29" x14ac:dyDescent="0.85">
      <c r="A76" t="str">
        <f>CAL!A76</f>
        <v>Battery_CO2_Cost</v>
      </c>
      <c r="B76" s="7">
        <f xml:space="preserve"> 0 + CAL!B76 + CAR!B76 + CENT!B76 + FLA!B76 + MIDA!B76 + MIDW!B76 + NE!B76 + NY!B76 + NW!B76 + SE!B76 + SW!B76 + TEN!B76 + TEX!B76</f>
        <v>0</v>
      </c>
      <c r="C76" s="7">
        <f xml:space="preserve"> 0 + CAL!C76 + CAR!C76 + CENT!C76 + FLA!C76 + MIDA!C76 + MIDW!C76 + NE!C76 + NY!C76 + NW!C76 + SE!C76 + SW!C76 + TEN!C76 + TEX!C76</f>
        <v>3.2829000000000002E-4</v>
      </c>
      <c r="D76" s="7">
        <f xml:space="preserve"> 0 + CAL!D76 + CAR!D76 + CENT!D76 + FLA!D76 + MIDA!D76 + MIDW!D76 + NE!D76 + NY!D76 + NW!D76 + SE!D76 + SW!D76 + TEN!D76 + TEX!D76</f>
        <v>2.9312000000000001E-4</v>
      </c>
      <c r="E76" s="7">
        <f xml:space="preserve"> 0 + CAL!E76 + CAR!E76 + CENT!E76 + FLA!E76 + MIDA!E76 + MIDW!E76 + NE!E76 + NY!E76 + NW!E76 + SE!E76 + SW!E76 + TEN!E76 + TEX!E76</f>
        <v>5.6549999999999992E-5</v>
      </c>
      <c r="F76" s="7">
        <f xml:space="preserve"> 0 + CAL!F76 + CAR!F76 + CENT!F76 + FLA!F76 + MIDA!F76 + MIDW!F76 + NE!F76 + NY!F76 + NW!F76 + SE!F76 + SW!F76 + TEN!F76 + TEX!F76</f>
        <v>3.1012000000000005E-4</v>
      </c>
      <c r="G76" s="7">
        <f xml:space="preserve"> 0 + CAL!G76 + CAR!G76 + CENT!G76 + FLA!G76 + MIDA!G76 + MIDW!G76 + NE!G76 + NY!G76 + NW!G76 + SE!G76 + SW!G76 + TEN!G76 + TEX!G76</f>
        <v>6.0610999999999998E-4</v>
      </c>
      <c r="H76" s="7">
        <f xml:space="preserve"> 0 + CAL!H76 + CAR!H76 + CENT!H76 + FLA!H76 + MIDA!H76 + MIDW!H76 + NE!H76 + NY!H76 + NW!H76 + SE!H76 + SW!H76 + TEN!H76 + TEX!H76</f>
        <v>1.3581299999999999E-3</v>
      </c>
      <c r="I76" s="7">
        <f xml:space="preserve"> 0 + CAL!I76 + CAR!I76 + CENT!I76 + FLA!I76 + MIDA!I76 + MIDW!I76 + NE!I76 + NY!I76 + NW!I76 + SE!I76 + SW!I76 + TEN!I76 + TEX!I76</f>
        <v>1.4162700000000001E-3</v>
      </c>
      <c r="J76" s="7">
        <f xml:space="preserve"> 0 + CAL!J76 + CAR!J76 + CENT!J76 + FLA!J76 + MIDA!J76 + MIDW!J76 + NE!J76 + NY!J76 + NW!J76 + SE!J76 + SW!J76 + TEN!J76 + TEX!J76</f>
        <v>5.3112799999999998E-3</v>
      </c>
      <c r="K76" s="7">
        <f xml:space="preserve"> 0 + CAL!K76 + CAR!K76 + CENT!K76 + FLA!K76 + MIDA!K76 + MIDW!K76 + NE!K76 + NY!K76 + NW!K76 + SE!K76 + SW!K76 + TEN!K76 + TEX!K76</f>
        <v>4.1521899999999992E-3</v>
      </c>
      <c r="L76" s="7">
        <f xml:space="preserve"> 0 + CAL!L76 + CAR!L76 + CENT!L76 + FLA!L76 + MIDA!L76 + MIDW!L76 + NE!L76 + NY!L76 + NW!L76 + SE!L76 + SW!L76 + TEN!L76 + TEX!L76</f>
        <v>9.3412000000000009E-3</v>
      </c>
      <c r="M76" s="7">
        <f xml:space="preserve"> 0 + CAL!M76 + CAR!M76 + CENT!M76 + FLA!M76 + MIDA!M76 + MIDW!M76 + NE!M76 + NY!M76 + NW!M76 + SE!M76 + SW!M76 + TEN!M76 + TEX!M76</f>
        <v>1.2344560000000001E-2</v>
      </c>
      <c r="N76" s="7">
        <f xml:space="preserve"> 0 + CAL!N76 + CAR!N76 + CENT!N76 + FLA!N76 + MIDA!N76 + MIDW!N76 + NE!N76 + NY!N76 + NW!N76 + SE!N76 + SW!N76 + TEN!N76 + TEX!N76</f>
        <v>1.14807E-2</v>
      </c>
      <c r="O76" s="7">
        <f xml:space="preserve"> 0 + CAL!O76 + CAR!O76 + CENT!O76 + FLA!O76 + MIDA!O76 + MIDW!O76 + NE!O76 + NY!O76 + NW!O76 + SE!O76 + SW!O76 + TEN!O76 + TEX!O76</f>
        <v>1.2188930000000001E-2</v>
      </c>
      <c r="P76" s="7">
        <f xml:space="preserve"> 0 + CAL!P76 + CAR!P76 + CENT!P76 + FLA!P76 + MIDA!P76 + MIDW!P76 + NE!P76 + NY!P76 + NW!P76 + SE!P76 + SW!P76 + TEN!P76 + TEX!P76</f>
        <v>1.1171490000000001E-2</v>
      </c>
      <c r="Q76" s="7">
        <f xml:space="preserve"> 0 + CAL!Q76 + CAR!Q76 + CENT!Q76 + FLA!Q76 + MIDA!Q76 + MIDW!Q76 + NE!Q76 + NY!Q76 + NW!Q76 + SE!Q76 + SW!Q76 + TEN!Q76 + TEX!Q76</f>
        <v>1.2269079999999998E-2</v>
      </c>
      <c r="R76" s="7">
        <f xml:space="preserve"> 0 + CAL!R76 + CAR!R76 + CENT!R76 + FLA!R76 + MIDA!R76 + MIDW!R76 + NE!R76 + NY!R76 + NW!R76 + SE!R76 + SW!R76 + TEN!R76 + TEX!R76</f>
        <v>1.5057280000000001E-2</v>
      </c>
      <c r="S76" s="7">
        <f xml:space="preserve"> 0 + CAL!S76 + CAR!S76 + CENT!S76 + FLA!S76 + MIDA!S76 + MIDW!S76 + NE!S76 + NY!S76 + NW!S76 + SE!S76 + SW!S76 + TEN!S76 + TEX!S76</f>
        <v>1.6125999999999998E-2</v>
      </c>
      <c r="T76" s="7">
        <f xml:space="preserve"> 0 + CAL!T76 + CAR!T76 + CENT!T76 + FLA!T76 + MIDA!T76 + MIDW!T76 + NE!T76 + NY!T76 + NW!T76 + SE!T76 + SW!T76 + TEN!T76 + TEX!T76</f>
        <v>2.4352190000000003E-2</v>
      </c>
      <c r="U76" s="7">
        <f xml:space="preserve"> 0 + CAL!U76 + CAR!U76 + CENT!U76 + FLA!U76 + MIDA!U76 + MIDW!U76 + NE!U76 + NY!U76 + NW!U76 + SE!U76 + SW!U76 + TEN!U76 + TEX!U76</f>
        <v>2.4804550000000002E-2</v>
      </c>
      <c r="V76" s="7">
        <f xml:space="preserve"> 0 + CAL!V76 + CAR!V76 + CENT!V76 + FLA!V76 + MIDA!V76 + MIDW!V76 + NE!V76 + NY!V76 + NW!V76 + SE!V76 + SW!V76 + TEN!V76 + TEX!V76</f>
        <v>3.2905179999999999E-2</v>
      </c>
      <c r="W76" s="7">
        <f xml:space="preserve"> 0 + CAL!W76 + CAR!W76 + CENT!W76 + FLA!W76 + MIDA!W76 + MIDW!W76 + NE!W76 + NY!W76 + NW!W76 + SE!W76 + SW!W76 + TEN!W76 + TEX!W76</f>
        <v>2.6169879999999996E-2</v>
      </c>
      <c r="X76" s="7">
        <f xml:space="preserve"> 0 + CAL!X76 + CAR!X76 + CENT!X76 + FLA!X76 + MIDA!X76 + MIDW!X76 + NE!X76 + NY!X76 + NW!X76 + SE!X76 + SW!X76 + TEN!X76 + TEX!X76</f>
        <v>2.4362269999999998E-2</v>
      </c>
      <c r="Y76" s="7">
        <f xml:space="preserve"> 0 + CAL!Y76 + CAR!Y76 + CENT!Y76 + FLA!Y76 + MIDA!Y76 + MIDW!Y76 + NE!Y76 + NY!Y76 + NW!Y76 + SE!Y76 + SW!Y76 + TEN!Y76 + TEX!Y76</f>
        <v>2.3841010000000003E-2</v>
      </c>
      <c r="Z76" s="7">
        <f xml:space="preserve"> 0 + CAL!Z76 + CAR!Z76 + CENT!Z76 + FLA!Z76 + MIDA!Z76 + MIDW!Z76 + NE!Z76 + NY!Z76 + NW!Z76 + SE!Z76 + SW!Z76 + TEN!Z76 + TEX!Z76</f>
        <v>2.2141919999999999E-2</v>
      </c>
      <c r="AA76" s="7">
        <f xml:space="preserve"> 0 + CAL!AA76 + CAR!AA76 + CENT!AA76 + FLA!AA76 + MIDA!AA76 + MIDW!AA76 + NE!AA76 + NY!AA76 + NW!AA76 + SE!AA76 + SW!AA76 + TEN!AA76 + TEX!AA76</f>
        <v>2.146145E-2</v>
      </c>
      <c r="AB76" s="7">
        <f xml:space="preserve"> 0 + CAL!AB76 + CAR!AB76 + CENT!AB76 + FLA!AB76 + MIDA!AB76 + MIDW!AB76 + NE!AB76 + NY!AB76 + NW!AB76 + SE!AB76 + SW!AB76 + TEN!AB76 + TEX!AB76</f>
        <v>2.1065560000000001E-2</v>
      </c>
      <c r="AC76" s="7">
        <f xml:space="preserve"> 0 + CAL!AC76 + CAR!AC76 + CENT!AC76 + FLA!AC76 + MIDA!AC76 + MIDW!AC76 + NE!AC76 + NY!AC76 + NW!AC76 + SE!AC76 + SW!AC76 + TEN!AC76 + TEX!AC76</f>
        <v>2.1838219999999998E-2</v>
      </c>
    </row>
    <row r="77" spans="1:29" x14ac:dyDescent="0.85">
      <c r="A77" t="str">
        <f>CAL!A77</f>
        <v>Battery_CO2_MTon</v>
      </c>
      <c r="B77" s="7">
        <f xml:space="preserve"> 0 + CAL!B77 + CAR!B77 + CENT!B77 + FLA!B77 + MIDA!B77 + MIDW!B77 + NE!B77 + NY!B77 + NW!B77 + SE!B77 + SW!B77 + TEN!B77 + TEX!B77</f>
        <v>0</v>
      </c>
      <c r="C77" s="7">
        <f xml:space="preserve"> 0 + CAL!C77 + CAR!C77 + CENT!C77 + FLA!C77 + MIDA!C77 + MIDW!C77 + NE!C77 + NY!C77 + NW!C77 + SE!C77 + SW!C77 + TEN!C77 + TEX!C77</f>
        <v>1.641E-5</v>
      </c>
      <c r="D77" s="7">
        <f xml:space="preserve"> 0 + CAL!D77 + CAR!D77 + CENT!D77 + FLA!D77 + MIDA!D77 + MIDW!D77 + NE!D77 + NY!D77 + NW!D77 + SE!D77 + SW!D77 + TEN!D77 + TEX!D77</f>
        <v>7.3300000000000001E-6</v>
      </c>
      <c r="E77" s="7">
        <f xml:space="preserve"> 0 + CAL!E77 + CAR!E77 + CENT!E77 + FLA!E77 + MIDA!E77 + MIDW!E77 + NE!E77 + NY!E77 + NW!E77 + SE!E77 + SW!E77 + TEN!E77 + TEX!E77</f>
        <v>9.2999999999999999E-7</v>
      </c>
      <c r="F77" s="7">
        <f xml:space="preserve"> 0 + CAL!F77 + CAR!F77 + CENT!F77 + FLA!F77 + MIDA!F77 + MIDW!F77 + NE!F77 + NY!F77 + NW!F77 + SE!F77 + SW!F77 + TEN!F77 + TEX!F77</f>
        <v>3.8700000000000002E-6</v>
      </c>
      <c r="G77" s="7">
        <f xml:space="preserve"> 0 + CAL!G77 + CAR!G77 + CENT!G77 + FLA!G77 + MIDA!G77 + MIDW!G77 + NE!G77 + NY!G77 + NW!G77 + SE!G77 + SW!G77 + TEN!G77 + TEX!G77</f>
        <v>6.0700000000000003E-6</v>
      </c>
      <c r="H77" s="7">
        <f xml:space="preserve"> 0 + CAL!H77 + CAR!H77 + CENT!H77 + FLA!H77 + MIDA!H77 + MIDW!H77 + NE!H77 + NY!H77 + NW!H77 + SE!H77 + SW!H77 + TEN!H77 + TEX!H77</f>
        <v>1.13E-5</v>
      </c>
      <c r="I77" s="7">
        <f xml:space="preserve"> 0 + CAL!I77 + CAR!I77 + CENT!I77 + FLA!I77 + MIDA!I77 + MIDW!I77 + NE!I77 + NY!I77 + NW!I77 + SE!I77 + SW!I77 + TEN!I77 + TEX!I77</f>
        <v>1.012E-5</v>
      </c>
      <c r="J77" s="7">
        <f xml:space="preserve"> 0 + CAL!J77 + CAR!J77 + CENT!J77 + FLA!J77 + MIDA!J77 + MIDW!J77 + NE!J77 + NY!J77 + NW!J77 + SE!J77 + SW!J77 + TEN!J77 + TEX!J77</f>
        <v>3.3200000000000001E-5</v>
      </c>
      <c r="K77" s="7">
        <f xml:space="preserve"> 0 + CAL!K77 + CAR!K77 + CENT!K77 + FLA!K77 + MIDA!K77 + MIDW!K77 + NE!K77 + NY!K77 + NW!K77 + SE!K77 + SW!K77 + TEN!K77 + TEX!K77</f>
        <v>2.3069999999999998E-5</v>
      </c>
      <c r="L77" s="7">
        <f xml:space="preserve"> 0 + CAL!L77 + CAR!L77 + CENT!L77 + FLA!L77 + MIDA!L77 + MIDW!L77 + NE!L77 + NY!L77 + NW!L77 + SE!L77 + SW!L77 + TEN!L77 + TEX!L77</f>
        <v>4.6699999999999997E-5</v>
      </c>
      <c r="M77" s="7">
        <f xml:space="preserve"> 0 + CAL!M77 + CAR!M77 + CENT!M77 + FLA!M77 + MIDA!M77 + MIDW!M77 + NE!M77 + NY!M77 + NW!M77 + SE!M77 + SW!M77 + TEN!M77 + TEX!M77</f>
        <v>5.6099999999999995E-5</v>
      </c>
      <c r="N77" s="7">
        <f xml:space="preserve"> 0 + CAL!N77 + CAR!N77 + CENT!N77 + FLA!N77 + MIDA!N77 + MIDW!N77 + NE!N77 + NY!N77 + NW!N77 + SE!N77 + SW!N77 + TEN!N77 + TEX!N77</f>
        <v>4.7829999999999994E-5</v>
      </c>
      <c r="O77" s="7">
        <f xml:space="preserve"> 0 + CAL!O77 + CAR!O77 + CENT!O77 + FLA!O77 + MIDA!O77 + MIDW!O77 + NE!O77 + NY!O77 + NW!O77 + SE!O77 + SW!O77 + TEN!O77 + TEX!O77</f>
        <v>4.6879999999999998E-5</v>
      </c>
      <c r="P77" s="7">
        <f xml:space="preserve"> 0 + CAL!P77 + CAR!P77 + CENT!P77 + FLA!P77 + MIDA!P77 + MIDW!P77 + NE!P77 + NY!P77 + NW!P77 + SE!P77 + SW!P77 + TEN!P77 + TEX!P77</f>
        <v>3.9900000000000001E-5</v>
      </c>
      <c r="Q77" s="7">
        <f xml:space="preserve"> 0 + CAL!Q77 + CAR!Q77 + CENT!Q77 + FLA!Q77 + MIDA!Q77 + MIDW!Q77 + NE!Q77 + NY!Q77 + NW!Q77 + SE!Q77 + SW!Q77 + TEN!Q77 + TEX!Q77</f>
        <v>4.091E-5</v>
      </c>
      <c r="R77" s="7">
        <f xml:space="preserve"> 0 + CAL!R77 + CAR!R77 + CENT!R77 + FLA!R77 + MIDA!R77 + MIDW!R77 + NE!R77 + NY!R77 + NW!R77 + SE!R77 + SW!R77 + TEN!R77 + TEX!R77</f>
        <v>4.7050000000000005E-5</v>
      </c>
      <c r="S77" s="7">
        <f xml:space="preserve"> 0 + CAL!S77 + CAR!S77 + CENT!S77 + FLA!S77 + MIDA!S77 + MIDW!S77 + NE!S77 + NY!S77 + NW!S77 + SE!S77 + SW!S77 + TEN!S77 + TEX!S77</f>
        <v>4.7420000000000003E-5</v>
      </c>
      <c r="T77" s="7">
        <f xml:space="preserve"> 0 + CAL!T77 + CAR!T77 + CENT!T77 + FLA!T77 + MIDA!T77 + MIDW!T77 + NE!T77 + NY!T77 + NW!T77 + SE!T77 + SW!T77 + TEN!T77 + TEX!T77</f>
        <v>6.7649999999999991E-5</v>
      </c>
      <c r="U77" s="7">
        <f xml:space="preserve"> 0 + CAL!U77 + CAR!U77 + CENT!U77 + FLA!U77 + MIDA!U77 + MIDW!U77 + NE!U77 + NY!U77 + NW!U77 + SE!U77 + SW!U77 + TEN!U77 + TEX!U77</f>
        <v>6.5279999999999998E-5</v>
      </c>
      <c r="V77" s="7">
        <f xml:space="preserve"> 0 + CAL!V77 + CAR!V77 + CENT!V77 + FLA!V77 + MIDA!V77 + MIDW!V77 + NE!V77 + NY!V77 + NW!V77 + SE!V77 + SW!V77 + TEN!V77 + TEX!V77</f>
        <v>8.2269999999999983E-5</v>
      </c>
      <c r="W77" s="7">
        <f xml:space="preserve"> 0 + CAL!W77 + CAR!W77 + CENT!W77 + FLA!W77 + MIDA!W77 + MIDW!W77 + NE!W77 + NY!W77 + NW!W77 + SE!W77 + SW!W77 + TEN!W77 + TEX!W77</f>
        <v>6.2310000000000005E-5</v>
      </c>
      <c r="X77" s="7">
        <f xml:space="preserve"> 0 + CAL!X77 + CAR!X77 + CENT!X77 + FLA!X77 + MIDA!X77 + MIDW!X77 + NE!X77 + NY!X77 + NW!X77 + SE!X77 + SW!X77 + TEN!X77 + TEX!X77</f>
        <v>5.5349999999999997E-5</v>
      </c>
      <c r="Y77" s="7">
        <f xml:space="preserve"> 0 + CAL!Y77 + CAR!Y77 + CENT!Y77 + FLA!Y77 + MIDA!Y77 + MIDW!Y77 + NE!Y77 + NY!Y77 + NW!Y77 + SE!Y77 + SW!Y77 + TEN!Y77 + TEX!Y77</f>
        <v>5.183000000000001E-5</v>
      </c>
      <c r="Z77" s="7">
        <f xml:space="preserve"> 0 + CAL!Z77 + CAR!Z77 + CENT!Z77 + FLA!Z77 + MIDA!Z77 + MIDW!Z77 + NE!Z77 + NY!Z77 + NW!Z77 + SE!Z77 + SW!Z77 + TEN!Z77 + TEX!Z77</f>
        <v>4.6119999999999992E-5</v>
      </c>
      <c r="AA77" s="7">
        <f xml:space="preserve"> 0 + CAL!AA77 + CAR!AA77 + CENT!AA77 + FLA!AA77 + MIDA!AA77 + MIDW!AA77 + NE!AA77 + NY!AA77 + NW!AA77 + SE!AA77 + SW!AA77 + TEN!AA77 + TEX!AA77</f>
        <v>4.2920000000000002E-5</v>
      </c>
      <c r="AB77" s="7">
        <f xml:space="preserve"> 0 + CAL!AB77 + CAR!AB77 + CENT!AB77 + FLA!AB77 + MIDA!AB77 + MIDW!AB77 + NE!AB77 + NY!AB77 + NW!AB77 + SE!AB77 + SW!AB77 + TEN!AB77 + TEX!AB77</f>
        <v>4.0499999999999995E-5</v>
      </c>
      <c r="AC77" s="7">
        <f xml:space="preserve"> 0 + CAL!AC77 + CAR!AC77 + CENT!AC77 + FLA!AC77 + MIDA!AC77 + MIDW!AC77 + NE!AC77 + NY!AC77 + NW!AC77 + SE!AC77 + SW!AC77 + TEN!AC77 + TEX!AC77</f>
        <v>4.0450000000000007E-5</v>
      </c>
    </row>
    <row r="78" spans="1:29" x14ac:dyDescent="0.85">
      <c r="A78" t="str">
        <f>CAL!A78</f>
        <v>Battery_MW_Cost</v>
      </c>
      <c r="B78" s="7">
        <f xml:space="preserve"> 0 + CAL!B78 + CAR!B78 + CENT!B78 + FLA!B78 + MIDA!B78 + MIDW!B78 + NE!B78 + NY!B78 + NW!B78 + SE!B78 + SW!B78 + TEN!B78 + TEX!B78</f>
        <v>0</v>
      </c>
      <c r="C78" s="7">
        <f xml:space="preserve"> 0 + CAL!C78 + CAR!C78 + CENT!C78 + FLA!C78 + MIDA!C78 + MIDW!C78 + NE!C78 + NY!C78 + NW!C78 + SE!C78 + SW!C78 + TEN!C78 + TEX!C78</f>
        <v>156.86816343000001</v>
      </c>
      <c r="D78" s="7">
        <f xml:space="preserve"> 0 + CAL!D78 + CAR!D78 + CENT!D78 + FLA!D78 + MIDA!D78 + MIDW!D78 + NE!D78 + NY!D78 + NW!D78 + SE!D78 + SW!D78 + TEN!D78 + TEX!D78</f>
        <v>211.02357316999999</v>
      </c>
      <c r="E78" s="7">
        <f xml:space="preserve"> 0 + CAL!E78 + CAR!E78 + CENT!E78 + FLA!E78 + MIDA!E78 + MIDW!E78 + NE!E78 + NY!E78 + NW!E78 + SE!E78 + SW!E78 + TEN!E78 + TEX!E78</f>
        <v>199.44985686999999</v>
      </c>
      <c r="F78" s="7">
        <f xml:space="preserve"> 0 + CAL!F78 + CAR!F78 + CENT!F78 + FLA!F78 + MIDA!F78 + MIDW!F78 + NE!F78 + NY!F78 + NW!F78 + SE!F78 + SW!F78 + TEN!F78 + TEX!F78</f>
        <v>216.00655019000001</v>
      </c>
      <c r="G78" s="7">
        <f xml:space="preserve"> 0 + CAL!G78 + CAR!G78 + CENT!G78 + FLA!G78 + MIDA!G78 + MIDW!G78 + NE!G78 + NY!G78 + NW!G78 + SE!G78 + SW!G78 + TEN!G78 + TEX!G78</f>
        <v>253.01649087999999</v>
      </c>
      <c r="H78" s="7">
        <f xml:space="preserve"> 0 + CAL!H78 + CAR!H78 + CENT!H78 + FLA!H78 + MIDA!H78 + MIDW!H78 + NE!H78 + NY!H78 + NW!H78 + SE!H78 + SW!H78 + TEN!H78 + TEX!H78</f>
        <v>335.12540136000001</v>
      </c>
      <c r="I78" s="7">
        <f xml:space="preserve"> 0 + CAL!I78 + CAR!I78 + CENT!I78 + FLA!I78 + MIDA!I78 + MIDW!I78 + NE!I78 + NY!I78 + NW!I78 + SE!I78 + SW!I78 + TEN!I78 + TEX!I78</f>
        <v>398.11944865999999</v>
      </c>
      <c r="J78" s="7">
        <f xml:space="preserve"> 0 + CAL!J78 + CAR!J78 + CENT!J78 + FLA!J78 + MIDA!J78 + MIDW!J78 + NE!J78 + NY!J78 + NW!J78 + SE!J78 + SW!J78 + TEN!J78 + TEX!J78</f>
        <v>662.11923034999995</v>
      </c>
      <c r="K78" s="7">
        <f xml:space="preserve"> 0 + CAL!K78 + CAR!K78 + CENT!K78 + FLA!K78 + MIDA!K78 + MIDW!K78 + NE!K78 + NY!K78 + NW!K78 + SE!K78 + SW!K78 + TEN!K78 + TEX!K78</f>
        <v>794.51924637000002</v>
      </c>
      <c r="L78" s="7">
        <f xml:space="preserve"> 0 + CAL!L78 + CAR!L78 + CENT!L78 + FLA!L78 + MIDA!L78 + MIDW!L78 + NE!L78 + NY!L78 + NW!L78 + SE!L78 + SW!L78 + TEN!L78 + TEX!L78</f>
        <v>1008.90067359</v>
      </c>
      <c r="M78" s="7">
        <f xml:space="preserve"> 0 + CAL!M78 + CAR!M78 + CENT!M78 + FLA!M78 + MIDA!M78 + MIDW!M78 + NE!M78 + NY!M78 + NW!M78 + SE!M78 + SW!M78 + TEN!M78 + TEX!M78</f>
        <v>1076.5679116599999</v>
      </c>
      <c r="N78" s="7">
        <f xml:space="preserve"> 0 + CAL!N78 + CAR!N78 + CENT!N78 + FLA!N78 + MIDA!N78 + MIDW!N78 + NE!N78 + NY!N78 + NW!N78 + SE!N78 + SW!N78 + TEN!N78 + TEX!N78</f>
        <v>1110.9292892399999</v>
      </c>
      <c r="O78" s="7">
        <f xml:space="preserve"> 0 + CAL!O78 + CAR!O78 + CENT!O78 + FLA!O78 + MIDA!O78 + MIDW!O78 + NE!O78 + NY!O78 + NW!O78 + SE!O78 + SW!O78 + TEN!O78 + TEX!O78</f>
        <v>1168.0299459800001</v>
      </c>
      <c r="P78" s="7">
        <f xml:space="preserve"> 0 + CAL!P78 + CAR!P78 + CENT!P78 + FLA!P78 + MIDA!P78 + MIDW!P78 + NE!P78 + NY!P78 + NW!P78 + SE!P78 + SW!P78 + TEN!P78 + TEX!P78</f>
        <v>1051.30811634</v>
      </c>
      <c r="Q78" s="7">
        <f xml:space="preserve"> 0 + CAL!Q78 + CAR!Q78 + CENT!Q78 + FLA!Q78 + MIDA!Q78 + MIDW!Q78 + NE!Q78 + NY!Q78 + NW!Q78 + SE!Q78 + SW!Q78 + TEN!Q78 + TEX!Q78</f>
        <v>946.29895285000009</v>
      </c>
      <c r="R78" s="7">
        <f xml:space="preserve"> 0 + CAL!R78 + CAR!R78 + CENT!R78 + FLA!R78 + MIDA!R78 + MIDW!R78 + NE!R78 + NY!R78 + NW!R78 + SE!R78 + SW!R78 + TEN!R78 + TEX!R78</f>
        <v>851.75798900999985</v>
      </c>
      <c r="S78" s="7">
        <f xml:space="preserve"> 0 + CAL!S78 + CAR!S78 + CENT!S78 + FLA!S78 + MIDA!S78 + MIDW!S78 + NE!S78 + NY!S78 + NW!S78 + SE!S78 + SW!S78 + TEN!S78 + TEX!S78</f>
        <v>768.50197665000007</v>
      </c>
      <c r="T78" s="7">
        <f xml:space="preserve"> 0 + CAL!T78 + CAR!T78 + CENT!T78 + FLA!T78 + MIDA!T78 + MIDW!T78 + NE!T78 + NY!T78 + NW!T78 + SE!T78 + SW!T78 + TEN!T78 + TEX!T78</f>
        <v>695.47302997999998</v>
      </c>
      <c r="U78" s="7">
        <f xml:space="preserve"> 0 + CAL!U78 + CAR!U78 + CENT!U78 + FLA!U78 + MIDA!U78 + MIDW!U78 + NE!U78 + NY!U78 + NW!U78 + SE!U78 + SW!U78 + TEN!U78 + TEX!U78</f>
        <v>626.02152304999993</v>
      </c>
      <c r="V78" s="7">
        <f xml:space="preserve"> 0 + CAL!V78 + CAR!V78 + CENT!V78 + FLA!V78 + MIDA!V78 + MIDW!V78 + NE!V78 + NY!V78 + NW!V78 + SE!V78 + SW!V78 + TEN!V78 + TEX!V78</f>
        <v>603.06142942999998</v>
      </c>
      <c r="W78" s="7">
        <f xml:space="preserve"> 0 + CAL!W78 + CAR!W78 + CENT!W78 + FLA!W78 + MIDA!W78 + MIDW!W78 + NE!W78 + NY!W78 + NW!W78 + SE!W78 + SW!W78 + TEN!W78 + TEX!W78</f>
        <v>576.15714342000001</v>
      </c>
      <c r="X78" s="7">
        <f xml:space="preserve"> 0 + CAL!X78 + CAR!X78 + CENT!X78 + FLA!X78 + MIDA!X78 + MIDW!X78 + NE!X78 + NY!X78 + NW!X78 + SE!X78 + SW!X78 + TEN!X78 + TEX!X78</f>
        <v>528.68674391000002</v>
      </c>
      <c r="Y78" s="7">
        <f xml:space="preserve"> 0 + CAL!Y78 + CAR!Y78 + CENT!Y78 + FLA!Y78 + MIDA!Y78 + MIDW!Y78 + NE!Y78 + NY!Y78 + NW!Y78 + SE!Y78 + SW!Y78 + TEN!Y78 + TEX!Y78</f>
        <v>476.18696942000003</v>
      </c>
      <c r="Z78" s="7">
        <f xml:space="preserve"> 0 + CAL!Z78 + CAR!Z78 + CENT!Z78 + FLA!Z78 + MIDA!Z78 + MIDW!Z78 + NE!Z78 + NY!Z78 + NW!Z78 + SE!Z78 + SW!Z78 + TEN!Z78 + TEX!Z78</f>
        <v>430.26619671999998</v>
      </c>
      <c r="AA78" s="7">
        <f xml:space="preserve"> 0 + CAL!AA78 + CAR!AA78 + CENT!AA78 + FLA!AA78 + MIDA!AA78 + MIDW!AA78 + NE!AA78 + NY!AA78 + NW!AA78 + SE!AA78 + SW!AA78 + TEN!AA78 + TEX!AA78</f>
        <v>390.3134594</v>
      </c>
      <c r="AB78" s="7">
        <f xml:space="preserve"> 0 + CAL!AB78 + CAR!AB78 + CENT!AB78 + FLA!AB78 + MIDA!AB78 + MIDW!AB78 + NE!AB78 + NY!AB78 + NW!AB78 + SE!AB78 + SW!AB78 + TEN!AB78 + TEX!AB78</f>
        <v>389.23581877000004</v>
      </c>
      <c r="AC78" s="7">
        <f xml:space="preserve"> 0 + CAL!AC78 + CAR!AC78 + CENT!AC78 + FLA!AC78 + MIDA!AC78 + MIDW!AC78 + NE!AC78 + NY!AC78 + NW!AC78 + SE!AC78 + SW!AC78 + TEN!AC78 + TEX!AC78</f>
        <v>354.31267704000004</v>
      </c>
    </row>
    <row r="79" spans="1:29" x14ac:dyDescent="0.85">
      <c r="A79" t="str">
        <f>CAL!A79</f>
        <v>Battery_MWh_Cost</v>
      </c>
      <c r="B79" s="7">
        <f xml:space="preserve"> 0 + CAL!B79 + CAR!B79 + CENT!B79 + FLA!B79 + MIDA!B79 + MIDW!B79 + NE!B79 + NY!B79 + NW!B79 + SE!B79 + SW!B79 + TEN!B79 + TEX!B79</f>
        <v>0</v>
      </c>
      <c r="C79" s="7">
        <f xml:space="preserve"> 0 + CAL!C79 + CAR!C79 + CENT!C79 + FLA!C79 + MIDA!C79 + MIDW!C79 + NE!C79 + NY!C79 + NW!C79 + SE!C79 + SW!C79 + TEN!C79 + TEX!C79</f>
        <v>2.0317300000000003E-3</v>
      </c>
      <c r="D79" s="7">
        <f xml:space="preserve"> 0 + CAL!D79 + CAR!D79 + CENT!D79 + FLA!D79 + MIDA!D79 + MIDW!D79 + NE!D79 + NY!D79 + NW!D79 + SE!D79 + SW!D79 + TEN!D79 + TEX!D79</f>
        <v>9.0703000000000008E-4</v>
      </c>
      <c r="E79" s="7">
        <f xml:space="preserve"> 0 + CAL!E79 + CAR!E79 + CENT!E79 + FLA!E79 + MIDA!E79 + MIDW!E79 + NE!E79 + NY!E79 + NW!E79 + SE!E79 + SW!E79 + TEN!E79 + TEX!E79</f>
        <v>1.1668E-4</v>
      </c>
      <c r="F79" s="7">
        <f xml:space="preserve"> 0 + CAL!F79 + CAR!F79 + CENT!F79 + FLA!F79 + MIDA!F79 + MIDW!F79 + NE!F79 + NY!F79 + NW!F79 + SE!F79 + SW!F79 + TEN!F79 + TEX!F79</f>
        <v>4.7982E-4</v>
      </c>
      <c r="G79" s="7">
        <f xml:space="preserve"> 0 + CAL!G79 + CAR!G79 + CENT!G79 + FLA!G79 + MIDA!G79 + MIDW!G79 + NE!G79 + NY!G79 + NW!G79 + SE!G79 + SW!G79 + TEN!G79 + TEX!G79</f>
        <v>7.5021000000000007E-4</v>
      </c>
      <c r="H79" s="7">
        <f xml:space="preserve"> 0 + CAL!H79 + CAR!H79 + CENT!H79 + FLA!H79 + MIDA!H79 + MIDW!H79 + NE!H79 + NY!H79 + NW!H79 + SE!H79 + SW!H79 + TEN!H79 + TEX!H79</f>
        <v>1.4008700000000002E-3</v>
      </c>
      <c r="I79" s="7">
        <f xml:space="preserve"> 0 + CAL!I79 + CAR!I79 + CENT!I79 + FLA!I79 + MIDA!I79 + MIDW!I79 + NE!I79 + NY!I79 + NW!I79 + SE!I79 + SW!I79 + TEN!I79 + TEX!I79</f>
        <v>1.25216E-3</v>
      </c>
      <c r="J79" s="7">
        <f xml:space="preserve"> 0 + CAL!J79 + CAR!J79 + CENT!J79 + FLA!J79 + MIDA!J79 + MIDW!J79 + NE!J79 + NY!J79 + NW!J79 + SE!J79 + SW!J79 + TEN!J79 + TEX!J79</f>
        <v>4.1088100000000001E-3</v>
      </c>
      <c r="K79" s="7">
        <f xml:space="preserve"> 0 + CAL!K79 + CAR!K79 + CENT!K79 + FLA!K79 + MIDA!K79 + MIDW!K79 + NE!K79 + NY!K79 + NW!K79 + SE!K79 + SW!K79 + TEN!K79 + TEX!K79</f>
        <v>2.85521E-3</v>
      </c>
      <c r="L79" s="7">
        <f xml:space="preserve"> 0 + CAL!L79 + CAR!L79 + CENT!L79 + FLA!L79 + MIDA!L79 + MIDW!L79 + NE!L79 + NY!L79 + NW!L79 + SE!L79 + SW!L79 + TEN!L79 + TEX!L79</f>
        <v>5.7810499999999994E-3</v>
      </c>
      <c r="M79" s="7">
        <f xml:space="preserve"> 0 + CAL!M79 + CAR!M79 + CENT!M79 + FLA!M79 + MIDA!M79 + MIDW!M79 + NE!M79 + NY!M79 + NW!M79 + SE!M79 + SW!M79 + TEN!M79 + TEX!M79</f>
        <v>6.94525E-3</v>
      </c>
      <c r="N79" s="7">
        <f xml:space="preserve"> 0 + CAL!N79 + CAR!N79 + CENT!N79 + FLA!N79 + MIDA!N79 + MIDW!N79 + NE!N79 + NY!N79 + NW!N79 + SE!N79 + SW!N79 + TEN!N79 + TEX!N79</f>
        <v>5.9209600000000012E-3</v>
      </c>
      <c r="O79" s="7">
        <f xml:space="preserve"> 0 + CAL!O79 + CAR!O79 + CENT!O79 + FLA!O79 + MIDA!O79 + MIDW!O79 + NE!O79 + NY!O79 + NW!O79 + SE!O79 + SW!O79 + TEN!O79 + TEX!O79</f>
        <v>5.8026699999999994E-3</v>
      </c>
      <c r="P79" s="7">
        <f xml:space="preserve"> 0 + CAL!P79 + CAR!P79 + CENT!P79 + FLA!P79 + MIDA!P79 + MIDW!P79 + NE!P79 + NY!P79 + NW!P79 + SE!P79 + SW!P79 + TEN!P79 + TEX!P79</f>
        <v>4.9383899999999991E-3</v>
      </c>
      <c r="Q79" s="7">
        <f xml:space="preserve"> 0 + CAL!Q79 + CAR!Q79 + CENT!Q79 + FLA!Q79 + MIDA!Q79 + MIDW!Q79 + NE!Q79 + NY!Q79 + NW!Q79 + SE!Q79 + SW!Q79 + TEN!Q79 + TEX!Q79</f>
        <v>5.0620200000000004E-3</v>
      </c>
      <c r="R79" s="7">
        <f xml:space="preserve"> 0 + CAL!R79 + CAR!R79 + CENT!R79 + FLA!R79 + MIDA!R79 + MIDW!R79 + NE!R79 + NY!R79 + NW!R79 + SE!R79 + SW!R79 + TEN!R79 + TEX!R79</f>
        <v>5.8241300000000003E-3</v>
      </c>
      <c r="S79" s="7">
        <f xml:space="preserve"> 0 + CAL!S79 + CAR!S79 + CENT!S79 + FLA!S79 + MIDA!S79 + MIDW!S79 + NE!S79 + NY!S79 + NW!S79 + SE!S79 + SW!S79 + TEN!S79 + TEX!S79</f>
        <v>5.8705900000000002E-3</v>
      </c>
      <c r="T79" s="7">
        <f xml:space="preserve"> 0 + CAL!T79 + CAR!T79 + CENT!T79 + FLA!T79 + MIDA!T79 + MIDW!T79 + NE!T79 + NY!T79 + NW!T79 + SE!T79 + SW!T79 + TEN!T79 + TEX!T79</f>
        <v>8.3727899999999997E-3</v>
      </c>
      <c r="U79" s="7">
        <f xml:space="preserve"> 0 + CAL!U79 + CAR!U79 + CENT!U79 + FLA!U79 + MIDA!U79 + MIDW!U79 + NE!U79 + NY!U79 + NW!U79 + SE!U79 + SW!U79 + TEN!U79 + TEX!U79</f>
        <v>8.0794399999999985E-3</v>
      </c>
      <c r="V79" s="7">
        <f xml:space="preserve"> 0 + CAL!V79 + CAR!V79 + CENT!V79 + FLA!V79 + MIDA!V79 + MIDW!V79 + NE!V79 + NY!V79 + NW!V79 + SE!V79 + SW!V79 + TEN!V79 + TEX!V79</f>
        <v>1.0182119999999999E-2</v>
      </c>
      <c r="W79" s="7">
        <f xml:space="preserve"> 0 + CAL!W79 + CAR!W79 + CENT!W79 + FLA!W79 + MIDA!W79 + MIDW!W79 + NE!W79 + NY!W79 + NW!W79 + SE!W79 + SW!W79 + TEN!W79 + TEX!W79</f>
        <v>7.7123399999999998E-3</v>
      </c>
      <c r="X79" s="7">
        <f xml:space="preserve"> 0 + CAL!X79 + CAR!X79 + CENT!X79 + FLA!X79 + MIDA!X79 + MIDW!X79 + NE!X79 + NY!X79 + NW!X79 + SE!X79 + SW!X79 + TEN!X79 + TEX!X79</f>
        <v>6.8532799999999998E-3</v>
      </c>
      <c r="Y79" s="7">
        <f xml:space="preserve"> 0 + CAL!Y79 + CAR!Y79 + CENT!Y79 + FLA!Y79 + MIDA!Y79 + MIDW!Y79 + NE!Y79 + NY!Y79 + NW!Y79 + SE!Y79 + SW!Y79 + TEN!Y79 + TEX!Y79</f>
        <v>6.4150600000000011E-3</v>
      </c>
      <c r="Z79" s="7">
        <f xml:space="preserve"> 0 + CAL!Z79 + CAR!Z79 + CENT!Z79 + FLA!Z79 + MIDA!Z79 + MIDW!Z79 + NE!Z79 + NY!Z79 + NW!Z79 + SE!Z79 + SW!Z79 + TEN!Z79 + TEX!Z79</f>
        <v>5.7096300000000003E-3</v>
      </c>
      <c r="AA79" s="7">
        <f xml:space="preserve"> 0 + CAL!AA79 + CAR!AA79 + CENT!AA79 + FLA!AA79 + MIDA!AA79 + MIDW!AA79 + NE!AA79 + NY!AA79 + NW!AA79 + SE!AA79 + SW!AA79 + TEN!AA79 + TEX!AA79</f>
        <v>5.3127900000000004E-3</v>
      </c>
      <c r="AB79" s="7">
        <f xml:space="preserve"> 0 + CAL!AB79 + CAR!AB79 + CENT!AB79 + FLA!AB79 + MIDA!AB79 + MIDW!AB79 + NE!AB79 + NY!AB79 + NW!AB79 + SE!AB79 + SW!AB79 + TEN!AB79 + TEX!AB79</f>
        <v>5.0142199999999998E-3</v>
      </c>
      <c r="AC79" s="7">
        <f xml:space="preserve"> 0 + CAL!AC79 + CAR!AC79 + CENT!AC79 + FLA!AC79 + MIDA!AC79 + MIDW!AC79 + NE!AC79 + NY!AC79 + NW!AC79 + SE!AC79 + SW!AC79 + TEN!AC79 + TEX!AC79</f>
        <v>5.0056199999999997E-3</v>
      </c>
    </row>
    <row r="80" spans="1:29" x14ac:dyDescent="0.85">
      <c r="A80" t="str">
        <f>CAL!A80</f>
        <v>Battery_Start_Knob</v>
      </c>
      <c r="B80" s="7">
        <f xml:space="preserve"> 0 + CAL!B80 + CAR!B80 + CENT!B80 + FLA!B80 + MIDA!B80 + MIDW!B80 + NE!B80 + NY!B80 + NW!B80 + SE!B80 + SW!B80 + TEN!B80 + TEX!B80</f>
        <v>13</v>
      </c>
      <c r="C80" s="7">
        <f xml:space="preserve"> 0 + CAL!C80 + CAR!C80 + CENT!C80 + FLA!C80 + MIDA!C80 + MIDW!C80 + NE!C80 + NY!C80 + NW!C80 + SE!C80 + SW!C80 + TEN!C80 + TEX!C80</f>
        <v>14.299999999999997</v>
      </c>
      <c r="D80" s="7">
        <f xml:space="preserve"> 0 + CAL!D80 + CAR!D80 + CENT!D80 + FLA!D80 + MIDA!D80 + MIDW!D80 + NE!D80 + NY!D80 + NW!D80 + SE!D80 + SW!D80 + TEN!D80 + TEX!D80</f>
        <v>13.886459649999997</v>
      </c>
      <c r="E80" s="7">
        <f xml:space="preserve"> 0 + CAL!E80 + CAR!E80 + CENT!E80 + FLA!E80 + MIDA!E80 + MIDW!E80 + NE!E80 + NY!E80 + NW!E80 + SE!E80 + SW!E80 + TEN!E80 + TEX!E80</f>
        <v>13.45443959</v>
      </c>
      <c r="F80" s="7">
        <f xml:space="preserve"> 0 + CAL!F80 + CAR!F80 + CENT!F80 + FLA!F80 + MIDA!F80 + MIDW!F80 + NE!F80 + NY!F80 + NW!F80 + SE!F80 + SW!F80 + TEN!F80 + TEX!F80</f>
        <v>13.056444749999999</v>
      </c>
      <c r="G80" s="7">
        <f xml:space="preserve"> 0 + CAL!G80 + CAR!G80 + CENT!G80 + FLA!G80 + MIDA!G80 + MIDW!G80 + NE!G80 + NY!G80 + NW!G80 + SE!G80 + SW!G80 + TEN!G80 + TEX!G80</f>
        <v>13.261455829999999</v>
      </c>
      <c r="H80" s="7">
        <f xml:space="preserve"> 0 + CAL!H80 + CAR!H80 + CENT!H80 + FLA!H80 + MIDA!H80 + MIDW!H80 + NE!H80 + NY!H80 + NW!H80 + SE!H80 + SW!H80 + TEN!H80 + TEX!H80</f>
        <v>13.322367440000001</v>
      </c>
      <c r="I80" s="7">
        <f xml:space="preserve"> 0 + CAL!I80 + CAR!I80 + CENT!I80 + FLA!I80 + MIDA!I80 + MIDW!I80 + NE!I80 + NY!I80 + NW!I80 + SE!I80 + SW!I80 + TEN!I80 + TEX!I80</f>
        <v>13.3846227</v>
      </c>
      <c r="J80" s="7">
        <f xml:space="preserve"> 0 + CAL!J80 + CAR!J80 + CENT!J80 + FLA!J80 + MIDA!J80 + MIDW!J80 + NE!J80 + NY!J80 + NW!J80 + SE!J80 + SW!J80 + TEN!J80 + TEX!J80</f>
        <v>13.247459300000003</v>
      </c>
      <c r="K80" s="7">
        <f xml:space="preserve"> 0 + CAL!K80 + CAR!K80 + CENT!K80 + FLA!K80 + MIDA!K80 + MIDW!K80 + NE!K80 + NY!K80 + NW!K80 + SE!K80 + SW!K80 + TEN!K80 + TEX!K80</f>
        <v>13.591003339999999</v>
      </c>
      <c r="L80" s="7">
        <f xml:space="preserve"> 0 + CAL!L80 + CAR!L80 + CENT!L80 + FLA!L80 + MIDA!L80 + MIDW!L80 + NE!L80 + NY!L80 + NW!L80 + SE!L80 + SW!L80 + TEN!L80 + TEX!L80</f>
        <v>13.72238437</v>
      </c>
      <c r="M80" s="7">
        <f xml:space="preserve"> 0 + CAL!M80 + CAR!M80 + CENT!M80 + FLA!M80 + MIDA!M80 + MIDW!M80 + NE!M80 + NY!M80 + NW!M80 + SE!M80 + SW!M80 + TEN!M80 + TEX!M80</f>
        <v>13.617862730000001</v>
      </c>
      <c r="N80" s="7">
        <f xml:space="preserve"> 0 + CAL!N80 + CAR!N80 + CENT!N80 + FLA!N80 + MIDA!N80 + MIDW!N80 + NE!N80 + NY!N80 + NW!N80 + SE!N80 + SW!N80 + TEN!N80 + TEX!N80</f>
        <v>13.344192120000002</v>
      </c>
      <c r="O80" s="7">
        <f xml:space="preserve"> 0 + CAL!O80 + CAR!O80 + CENT!O80 + FLA!O80 + MIDA!O80 + MIDW!O80 + NE!O80 + NY!O80 + NW!O80 + SE!O80 + SW!O80 + TEN!O80 + TEX!O80</f>
        <v>13.356183570000001</v>
      </c>
      <c r="P80" s="7">
        <f xml:space="preserve"> 0 + CAL!P80 + CAR!P80 + CENT!P80 + FLA!P80 + MIDA!P80 + MIDW!P80 + NE!P80 + NY!P80 + NW!P80 + SE!P80 + SW!P80 + TEN!P80 + TEX!P80</f>
        <v>13.16753203</v>
      </c>
      <c r="Q80" s="7">
        <f xml:space="preserve"> 0 + CAL!Q80 + CAR!Q80 + CENT!Q80 + FLA!Q80 + MIDA!Q80 + MIDW!Q80 + NE!Q80 + NY!Q80 + NW!Q80 + SE!Q80 + SW!Q80 + TEN!Q80 + TEX!Q80</f>
        <v>13.00014135</v>
      </c>
      <c r="R80" s="7">
        <f xml:space="preserve"> 0 + CAL!R80 + CAR!R80 + CENT!R80 + FLA!R80 + MIDA!R80 + MIDW!R80 + NE!R80 + NY!R80 + NW!R80 + SE!R80 + SW!R80 + TEN!R80 + TEX!R80</f>
        <v>13.000590709999999</v>
      </c>
      <c r="S80" s="7">
        <f xml:space="preserve"> 0 + CAL!S80 + CAR!S80 + CENT!S80 + FLA!S80 + MIDA!S80 + MIDW!S80 + NE!S80 + NY!S80 + NW!S80 + SE!S80 + SW!S80 + TEN!S80 + TEX!S80</f>
        <v>13.0002043</v>
      </c>
      <c r="T80" s="7">
        <f xml:space="preserve"> 0 + CAL!T80 + CAR!T80 + CENT!T80 + FLA!T80 + MIDA!T80 + MIDW!T80 + NE!T80 + NY!T80 + NW!T80 + SE!T80 + SW!T80 + TEN!T80 + TEX!T80</f>
        <v>13.002357930000001</v>
      </c>
      <c r="U80" s="7">
        <f xml:space="preserve"> 0 + CAL!U80 + CAR!U80 + CENT!U80 + FLA!U80 + MIDA!U80 + MIDW!U80 + NE!U80 + NY!U80 + NW!U80 + SE!U80 + SW!U80 + TEN!U80 + TEX!U80</f>
        <v>13.02096656</v>
      </c>
      <c r="V80" s="7">
        <f xml:space="preserve"> 0 + CAL!V80 + CAR!V80 + CENT!V80 + FLA!V80 + MIDA!V80 + MIDW!V80 + NE!V80 + NY!V80 + NW!V80 + SE!V80 + SW!V80 + TEN!V80 + TEX!V80</f>
        <v>13.000562780000001</v>
      </c>
      <c r="W80" s="7">
        <f xml:space="preserve"> 0 + CAL!W80 + CAR!W80 + CENT!W80 + FLA!W80 + MIDA!W80 + MIDW!W80 + NE!W80 + NY!W80 + NW!W80 + SE!W80 + SW!W80 + TEN!W80 + TEX!W80</f>
        <v>13.056802430000003</v>
      </c>
      <c r="X80" s="7">
        <f xml:space="preserve"> 0 + CAL!X80 + CAR!X80 + CENT!X80 + FLA!X80 + MIDA!X80 + MIDW!X80 + NE!X80 + NY!X80 + NW!X80 + SE!X80 + SW!X80 + TEN!X80 + TEX!X80</f>
        <v>13.040117969999999</v>
      </c>
      <c r="Y80" s="7">
        <f xml:space="preserve"> 0 + CAL!Y80 + CAR!Y80 + CENT!Y80 + FLA!Y80 + MIDA!Y80 + MIDW!Y80 + NE!Y80 + NY!Y80 + NW!Y80 + SE!Y80 + SW!Y80 + TEN!Y80 + TEX!Y80</f>
        <v>13.038483810000001</v>
      </c>
      <c r="Z80" s="7">
        <f xml:space="preserve"> 0 + CAL!Z80 + CAR!Z80 + CENT!Z80 + FLA!Z80 + MIDA!Z80 + MIDW!Z80 + NE!Z80 + NY!Z80 + NW!Z80 + SE!Z80 + SW!Z80 + TEN!Z80 + TEX!Z80</f>
        <v>13.000469089999999</v>
      </c>
      <c r="AA80" s="7">
        <f xml:space="preserve"> 0 + CAL!AA80 + CAR!AA80 + CENT!AA80 + FLA!AA80 + MIDA!AA80 + MIDW!AA80 + NE!AA80 + NY!AA80 + NW!AA80 + SE!AA80 + SW!AA80 + TEN!AA80 + TEX!AA80</f>
        <v>13.004953679999998</v>
      </c>
      <c r="AB80" s="7">
        <f xml:space="preserve"> 0 + CAL!AB80 + CAR!AB80 + CENT!AB80 + FLA!AB80 + MIDA!AB80 + MIDW!AB80 + NE!AB80 + NY!AB80 + NW!AB80 + SE!AB80 + SW!AB80 + TEN!AB80 + TEX!AB80</f>
        <v>13.011087260000002</v>
      </c>
      <c r="AC80" s="7">
        <f xml:space="preserve"> 0 + CAL!AC80 + CAR!AC80 + CENT!AC80 + FLA!AC80 + MIDA!AC80 + MIDW!AC80 + NE!AC80 + NY!AC80 + NW!AC80 + SE!AC80 + SW!AC80 + TEN!AC80 + TEX!AC80</f>
        <v>13.150043100000001</v>
      </c>
    </row>
    <row r="81" spans="1:29" x14ac:dyDescent="0.85">
      <c r="A81" t="str">
        <f>CAL!A81</f>
        <v>Battery_Knob</v>
      </c>
      <c r="B81" s="7">
        <f xml:space="preserve"> 0 + CAL!B81 + CAR!B81 + CENT!B81 + FLA!B81 + MIDA!B81 + MIDW!B81 + NE!B81 + NY!B81 + NW!B81 + SE!B81 + SW!B81 + TEN!B81 + TEX!B81</f>
        <v>13</v>
      </c>
      <c r="C81" s="7">
        <f xml:space="preserve"> 0 + CAL!C81 + CAR!C81 + CENT!C81 + FLA!C81 + MIDA!C81 + MIDW!C81 + NE!C81 + NY!C81 + NW!C81 + SE!C81 + SW!C81 + TEN!C81 + TEX!C81</f>
        <v>13.886459649999997</v>
      </c>
      <c r="D81" s="7">
        <f xml:space="preserve"> 0 + CAL!D81 + CAR!D81 + CENT!D81 + FLA!D81 + MIDA!D81 + MIDW!D81 + NE!D81 + NY!D81 + NW!D81 + SE!D81 + SW!D81 + TEN!D81 + TEX!D81</f>
        <v>13.45443959</v>
      </c>
      <c r="E81" s="7">
        <f xml:space="preserve"> 0 + CAL!E81 + CAR!E81 + CENT!E81 + FLA!E81 + MIDA!E81 + MIDW!E81 + NE!E81 + NY!E81 + NW!E81 + SE!E81 + SW!E81 + TEN!E81 + TEX!E81</f>
        <v>13.056444749999999</v>
      </c>
      <c r="F81" s="7">
        <f xml:space="preserve"> 0 + CAL!F81 + CAR!F81 + CENT!F81 + FLA!F81 + MIDA!F81 + MIDW!F81 + NE!F81 + NY!F81 + NW!F81 + SE!F81 + SW!F81 + TEN!F81 + TEX!F81</f>
        <v>13.261455829999999</v>
      </c>
      <c r="G81" s="7">
        <f xml:space="preserve"> 0 + CAL!G81 + CAR!G81 + CENT!G81 + FLA!G81 + MIDA!G81 + MIDW!G81 + NE!G81 + NY!G81 + NW!G81 + SE!G81 + SW!G81 + TEN!G81 + TEX!G81</f>
        <v>13.322367440000001</v>
      </c>
      <c r="H81" s="7">
        <f xml:space="preserve"> 0 + CAL!H81 + CAR!H81 + CENT!H81 + FLA!H81 + MIDA!H81 + MIDW!H81 + NE!H81 + NY!H81 + NW!H81 + SE!H81 + SW!H81 + TEN!H81 + TEX!H81</f>
        <v>13.3846227</v>
      </c>
      <c r="I81" s="7">
        <f xml:space="preserve"> 0 + CAL!I81 + CAR!I81 + CENT!I81 + FLA!I81 + MIDA!I81 + MIDW!I81 + NE!I81 + NY!I81 + NW!I81 + SE!I81 + SW!I81 + TEN!I81 + TEX!I81</f>
        <v>13.247459300000003</v>
      </c>
      <c r="J81" s="7">
        <f xml:space="preserve"> 0 + CAL!J81 + CAR!J81 + CENT!J81 + FLA!J81 + MIDA!J81 + MIDW!J81 + NE!J81 + NY!J81 + NW!J81 + SE!J81 + SW!J81 + TEN!J81 + TEX!J81</f>
        <v>13.591003339999999</v>
      </c>
      <c r="K81" s="7">
        <f xml:space="preserve"> 0 + CAL!K81 + CAR!K81 + CENT!K81 + FLA!K81 + MIDA!K81 + MIDW!K81 + NE!K81 + NY!K81 + NW!K81 + SE!K81 + SW!K81 + TEN!K81 + TEX!K81</f>
        <v>13.72238437</v>
      </c>
      <c r="L81" s="7">
        <f xml:space="preserve"> 0 + CAL!L81 + CAR!L81 + CENT!L81 + FLA!L81 + MIDA!L81 + MIDW!L81 + NE!L81 + NY!L81 + NW!L81 + SE!L81 + SW!L81 + TEN!L81 + TEX!L81</f>
        <v>13.617862730000001</v>
      </c>
      <c r="M81" s="7">
        <f xml:space="preserve"> 0 + CAL!M81 + CAR!M81 + CENT!M81 + FLA!M81 + MIDA!M81 + MIDW!M81 + NE!M81 + NY!M81 + NW!M81 + SE!M81 + SW!M81 + TEN!M81 + TEX!M81</f>
        <v>13.344192120000002</v>
      </c>
      <c r="N81" s="7">
        <f xml:space="preserve"> 0 + CAL!N81 + CAR!N81 + CENT!N81 + FLA!N81 + MIDA!N81 + MIDW!N81 + NE!N81 + NY!N81 + NW!N81 + SE!N81 + SW!N81 + TEN!N81 + TEX!N81</f>
        <v>13.356183570000001</v>
      </c>
      <c r="O81" s="7">
        <f xml:space="preserve"> 0 + CAL!O81 + CAR!O81 + CENT!O81 + FLA!O81 + MIDA!O81 + MIDW!O81 + NE!O81 + NY!O81 + NW!O81 + SE!O81 + SW!O81 + TEN!O81 + TEX!O81</f>
        <v>13.16753203</v>
      </c>
      <c r="P81" s="7">
        <f xml:space="preserve"> 0 + CAL!P81 + CAR!P81 + CENT!P81 + FLA!P81 + MIDA!P81 + MIDW!P81 + NE!P81 + NY!P81 + NW!P81 + SE!P81 + SW!P81 + TEN!P81 + TEX!P81</f>
        <v>13.00014135</v>
      </c>
      <c r="Q81" s="7">
        <f xml:space="preserve"> 0 + CAL!Q81 + CAR!Q81 + CENT!Q81 + FLA!Q81 + MIDA!Q81 + MIDW!Q81 + NE!Q81 + NY!Q81 + NW!Q81 + SE!Q81 + SW!Q81 + TEN!Q81 + TEX!Q81</f>
        <v>13.000590709999999</v>
      </c>
      <c r="R81" s="7">
        <f xml:space="preserve"> 0 + CAL!R81 + CAR!R81 + CENT!R81 + FLA!R81 + MIDA!R81 + MIDW!R81 + NE!R81 + NY!R81 + NW!R81 + SE!R81 + SW!R81 + TEN!R81 + TEX!R81</f>
        <v>13.0002043</v>
      </c>
      <c r="S81" s="7">
        <f xml:space="preserve"> 0 + CAL!S81 + CAR!S81 + CENT!S81 + FLA!S81 + MIDA!S81 + MIDW!S81 + NE!S81 + NY!S81 + NW!S81 + SE!S81 + SW!S81 + TEN!S81 + TEX!S81</f>
        <v>13.002357930000001</v>
      </c>
      <c r="T81" s="7">
        <f xml:space="preserve"> 0 + CAL!T81 + CAR!T81 + CENT!T81 + FLA!T81 + MIDA!T81 + MIDW!T81 + NE!T81 + NY!T81 + NW!T81 + SE!T81 + SW!T81 + TEN!T81 + TEX!T81</f>
        <v>13.02096656</v>
      </c>
      <c r="U81" s="7">
        <f xml:space="preserve"> 0 + CAL!U81 + CAR!U81 + CENT!U81 + FLA!U81 + MIDA!U81 + MIDW!U81 + NE!U81 + NY!U81 + NW!U81 + SE!U81 + SW!U81 + TEN!U81 + TEX!U81</f>
        <v>13.000562780000001</v>
      </c>
      <c r="V81" s="7">
        <f xml:space="preserve"> 0 + CAL!V81 + CAR!V81 + CENT!V81 + FLA!V81 + MIDA!V81 + MIDW!V81 + NE!V81 + NY!V81 + NW!V81 + SE!V81 + SW!V81 + TEN!V81 + TEX!V81</f>
        <v>13.056802430000003</v>
      </c>
      <c r="W81" s="7">
        <f xml:space="preserve"> 0 + CAL!W81 + CAR!W81 + CENT!W81 + FLA!W81 + MIDA!W81 + MIDW!W81 + NE!W81 + NY!W81 + NW!W81 + SE!W81 + SW!W81 + TEN!W81 + TEX!W81</f>
        <v>13.040117969999999</v>
      </c>
      <c r="X81" s="7">
        <f xml:space="preserve"> 0 + CAL!X81 + CAR!X81 + CENT!X81 + FLA!X81 + MIDA!X81 + MIDW!X81 + NE!X81 + NY!X81 + NW!X81 + SE!X81 + SW!X81 + TEN!X81 + TEX!X81</f>
        <v>13.038483810000001</v>
      </c>
      <c r="Y81" s="7">
        <f xml:space="preserve"> 0 + CAL!Y81 + CAR!Y81 + CENT!Y81 + FLA!Y81 + MIDA!Y81 + MIDW!Y81 + NE!Y81 + NY!Y81 + NW!Y81 + SE!Y81 + SW!Y81 + TEN!Y81 + TEX!Y81</f>
        <v>13.000469089999999</v>
      </c>
      <c r="Z81" s="7">
        <f xml:space="preserve"> 0 + CAL!Z81 + CAR!Z81 + CENT!Z81 + FLA!Z81 + MIDA!Z81 + MIDW!Z81 + NE!Z81 + NY!Z81 + NW!Z81 + SE!Z81 + SW!Z81 + TEN!Z81 + TEX!Z81</f>
        <v>13.004953679999998</v>
      </c>
      <c r="AA81" s="7">
        <f xml:space="preserve"> 0 + CAL!AA81 + CAR!AA81 + CENT!AA81 + FLA!AA81 + MIDA!AA81 + MIDW!AA81 + NE!AA81 + NY!AA81 + NW!AA81 + SE!AA81 + SW!AA81 + TEN!AA81 + TEX!AA81</f>
        <v>13.011087260000002</v>
      </c>
      <c r="AB81" s="7">
        <f xml:space="preserve"> 0 + CAL!AB81 + CAR!AB81 + CENT!AB81 + FLA!AB81 + MIDA!AB81 + MIDW!AB81 + NE!AB81 + NY!AB81 + NW!AB81 + SE!AB81 + SW!AB81 + TEN!AB81 + TEX!AB81</f>
        <v>13.150043100000001</v>
      </c>
      <c r="AC81" s="7">
        <f xml:space="preserve"> 0 + CAL!AC81 + CAR!AC81 + CENT!AC81 + FLA!AC81 + MIDA!AC81 + MIDW!AC81 + NE!AC81 + NY!AC81 + NW!AC81 + SE!AC81 + SW!AC81 + TEN!AC81 + TEX!AC81</f>
        <v>13.010767000000001</v>
      </c>
    </row>
    <row r="82" spans="1:29" x14ac:dyDescent="0.85">
      <c r="A82" t="str">
        <f>CAL!A82</f>
        <v>Battery_Max_Knob</v>
      </c>
      <c r="B82" s="7">
        <f xml:space="preserve"> 0 + CAL!B82 + CAR!B82 + CENT!B82 + FLA!B82 + MIDA!B82 + MIDW!B82 + NE!B82 + NY!B82 + NW!B82 + SE!B82 + SW!B82 + TEN!B82 + TEX!B82</f>
        <v>13</v>
      </c>
      <c r="C82" s="7">
        <f xml:space="preserve"> 0 + CAL!C82 + CAR!C82 + CENT!C82 + FLA!C82 + MIDA!C82 + MIDW!C82 + NE!C82 + NY!C82 + NW!C82 + SE!C82 + SW!C82 + TEN!C82 + TEX!C82</f>
        <v>26</v>
      </c>
      <c r="D82" s="7">
        <f xml:space="preserve"> 0 + CAL!D82 + CAR!D82 + CENT!D82 + FLA!D82 + MIDA!D82 + MIDW!D82 + NE!D82 + NY!D82 + NW!D82 + SE!D82 + SW!D82 + TEN!D82 + TEX!D82</f>
        <v>26</v>
      </c>
      <c r="E82" s="7">
        <f xml:space="preserve"> 0 + CAL!E82 + CAR!E82 + CENT!E82 + FLA!E82 + MIDA!E82 + MIDW!E82 + NE!E82 + NY!E82 + NW!E82 + SE!E82 + SW!E82 + TEN!E82 + TEX!E82</f>
        <v>26</v>
      </c>
      <c r="F82" s="7">
        <f xml:space="preserve"> 0 + CAL!F82 + CAR!F82 + CENT!F82 + FLA!F82 + MIDA!F82 + MIDW!F82 + NE!F82 + NY!F82 + NW!F82 + SE!F82 + SW!F82 + TEN!F82 + TEX!F82</f>
        <v>26</v>
      </c>
      <c r="G82" s="7">
        <f xml:space="preserve"> 0 + CAL!G82 + CAR!G82 + CENT!G82 + FLA!G82 + MIDA!G82 + MIDW!G82 + NE!G82 + NY!G82 + NW!G82 + SE!G82 + SW!G82 + TEN!G82 + TEX!G82</f>
        <v>26</v>
      </c>
      <c r="H82" s="7">
        <f xml:space="preserve"> 0 + CAL!H82 + CAR!H82 + CENT!H82 + FLA!H82 + MIDA!H82 + MIDW!H82 + NE!H82 + NY!H82 + NW!H82 + SE!H82 + SW!H82 + TEN!H82 + TEX!H82</f>
        <v>26</v>
      </c>
      <c r="I82" s="7">
        <f xml:space="preserve"> 0 + CAL!I82 + CAR!I82 + CENT!I82 + FLA!I82 + MIDA!I82 + MIDW!I82 + NE!I82 + NY!I82 + NW!I82 + SE!I82 + SW!I82 + TEN!I82 + TEX!I82</f>
        <v>26</v>
      </c>
      <c r="J82" s="7">
        <f xml:space="preserve"> 0 + CAL!J82 + CAR!J82 + CENT!J82 + FLA!J82 + MIDA!J82 + MIDW!J82 + NE!J82 + NY!J82 + NW!J82 + SE!J82 + SW!J82 + TEN!J82 + TEX!J82</f>
        <v>26</v>
      </c>
      <c r="K82" s="7">
        <f xml:space="preserve"> 0 + CAL!K82 + CAR!K82 + CENT!K82 + FLA!K82 + MIDA!K82 + MIDW!K82 + NE!K82 + NY!K82 + NW!K82 + SE!K82 + SW!K82 + TEN!K82 + TEX!K82</f>
        <v>26</v>
      </c>
      <c r="L82" s="7">
        <f xml:space="preserve"> 0 + CAL!L82 + CAR!L82 + CENT!L82 + FLA!L82 + MIDA!L82 + MIDW!L82 + NE!L82 + NY!L82 + NW!L82 + SE!L82 + SW!L82 + TEN!L82 + TEX!L82</f>
        <v>26</v>
      </c>
      <c r="M82" s="7">
        <f xml:space="preserve"> 0 + CAL!M82 + CAR!M82 + CENT!M82 + FLA!M82 + MIDA!M82 + MIDW!M82 + NE!M82 + NY!M82 + NW!M82 + SE!M82 + SW!M82 + TEN!M82 + TEX!M82</f>
        <v>26</v>
      </c>
      <c r="N82" s="7">
        <f xml:space="preserve"> 0 + CAL!N82 + CAR!N82 + CENT!N82 + FLA!N82 + MIDA!N82 + MIDW!N82 + NE!N82 + NY!N82 + NW!N82 + SE!N82 + SW!N82 + TEN!N82 + TEX!N82</f>
        <v>26</v>
      </c>
      <c r="O82" s="7">
        <f xml:space="preserve"> 0 + CAL!O82 + CAR!O82 + CENT!O82 + FLA!O82 + MIDA!O82 + MIDW!O82 + NE!O82 + NY!O82 + NW!O82 + SE!O82 + SW!O82 + TEN!O82 + TEX!O82</f>
        <v>26</v>
      </c>
      <c r="P82" s="7">
        <f xml:space="preserve"> 0 + CAL!P82 + CAR!P82 + CENT!P82 + FLA!P82 + MIDA!P82 + MIDW!P82 + NE!P82 + NY!P82 + NW!P82 + SE!P82 + SW!P82 + TEN!P82 + TEX!P82</f>
        <v>26</v>
      </c>
      <c r="Q82" s="7">
        <f xml:space="preserve"> 0 + CAL!Q82 + CAR!Q82 + CENT!Q82 + FLA!Q82 + MIDA!Q82 + MIDW!Q82 + NE!Q82 + NY!Q82 + NW!Q82 + SE!Q82 + SW!Q82 + TEN!Q82 + TEX!Q82</f>
        <v>26</v>
      </c>
      <c r="R82" s="7">
        <f xml:space="preserve"> 0 + CAL!R82 + CAR!R82 + CENT!R82 + FLA!R82 + MIDA!R82 + MIDW!R82 + NE!R82 + NY!R82 + NW!R82 + SE!R82 + SW!R82 + TEN!R82 + TEX!R82</f>
        <v>26</v>
      </c>
      <c r="S82" s="7">
        <f xml:space="preserve"> 0 + CAL!S82 + CAR!S82 + CENT!S82 + FLA!S82 + MIDA!S82 + MIDW!S82 + NE!S82 + NY!S82 + NW!S82 + SE!S82 + SW!S82 + TEN!S82 + TEX!S82</f>
        <v>26</v>
      </c>
      <c r="T82" s="7">
        <f xml:space="preserve"> 0 + CAL!T82 + CAR!T82 + CENT!T82 + FLA!T82 + MIDA!T82 + MIDW!T82 + NE!T82 + NY!T82 + NW!T82 + SE!T82 + SW!T82 + TEN!T82 + TEX!T82</f>
        <v>26</v>
      </c>
      <c r="U82" s="7">
        <f xml:space="preserve"> 0 + CAL!U82 + CAR!U82 + CENT!U82 + FLA!U82 + MIDA!U82 + MIDW!U82 + NE!U82 + NY!U82 + NW!U82 + SE!U82 + SW!U82 + TEN!U82 + TEX!U82</f>
        <v>26</v>
      </c>
      <c r="V82" s="7">
        <f xml:space="preserve"> 0 + CAL!V82 + CAR!V82 + CENT!V82 + FLA!V82 + MIDA!V82 + MIDW!V82 + NE!V82 + NY!V82 + NW!V82 + SE!V82 + SW!V82 + TEN!V82 + TEX!V82</f>
        <v>26</v>
      </c>
      <c r="W82" s="7">
        <f xml:space="preserve"> 0 + CAL!W82 + CAR!W82 + CENT!W82 + FLA!W82 + MIDA!W82 + MIDW!W82 + NE!W82 + NY!W82 + NW!W82 + SE!W82 + SW!W82 + TEN!W82 + TEX!W82</f>
        <v>26</v>
      </c>
      <c r="X82" s="7">
        <f xml:space="preserve"> 0 + CAL!X82 + CAR!X82 + CENT!X82 + FLA!X82 + MIDA!X82 + MIDW!X82 + NE!X82 + NY!X82 + NW!X82 + SE!X82 + SW!X82 + TEN!X82 + TEX!X82</f>
        <v>26</v>
      </c>
      <c r="Y82" s="7">
        <f xml:space="preserve"> 0 + CAL!Y82 + CAR!Y82 + CENT!Y82 + FLA!Y82 + MIDA!Y82 + MIDW!Y82 + NE!Y82 + NY!Y82 + NW!Y82 + SE!Y82 + SW!Y82 + TEN!Y82 + TEX!Y82</f>
        <v>26</v>
      </c>
      <c r="Z82" s="7">
        <f xml:space="preserve"> 0 + CAL!Z82 + CAR!Z82 + CENT!Z82 + FLA!Z82 + MIDA!Z82 + MIDW!Z82 + NE!Z82 + NY!Z82 + NW!Z82 + SE!Z82 + SW!Z82 + TEN!Z82 + TEX!Z82</f>
        <v>26</v>
      </c>
      <c r="AA82" s="7">
        <f xml:space="preserve"> 0 + CAL!AA82 + CAR!AA82 + CENT!AA82 + FLA!AA82 + MIDA!AA82 + MIDW!AA82 + NE!AA82 + NY!AA82 + NW!AA82 + SE!AA82 + SW!AA82 + TEN!AA82 + TEX!AA82</f>
        <v>26</v>
      </c>
      <c r="AB82" s="7">
        <f xml:space="preserve"> 0 + CAL!AB82 + CAR!AB82 + CENT!AB82 + FLA!AB82 + MIDA!AB82 + MIDW!AB82 + NE!AB82 + NY!AB82 + NW!AB82 + SE!AB82 + SW!AB82 + TEN!AB82 + TEX!AB82</f>
        <v>26</v>
      </c>
      <c r="AC82" s="7">
        <f xml:space="preserve"> 0 + CAL!AC82 + CAR!AC82 + CENT!AC82 + FLA!AC82 + MIDA!AC82 + MIDW!AC82 + NE!AC82 + NY!AC82 + NW!AC82 + SE!AC82 + SW!AC82 + TEN!AC82 + TEX!AC82</f>
        <v>26</v>
      </c>
    </row>
    <row r="83" spans="1:29" x14ac:dyDescent="0.85">
      <c r="A83">
        <f>CAL!A83</f>
        <v>0</v>
      </c>
      <c r="B83" s="7">
        <f xml:space="preserve"> 0 + CAL!B83 + CAR!B83 + CENT!B83 + FLA!B83 + MIDA!B83 + MIDW!B83 + NE!B83 + NY!B83 + NW!B83 + SE!B83 + SW!B83 + TEN!B83 + TEX!B83</f>
        <v>0</v>
      </c>
      <c r="C83" s="7">
        <f xml:space="preserve"> 0 + CAL!C83 + CAR!C83 + CENT!C83 + FLA!C83 + MIDA!C83 + MIDW!C83 + NE!C83 + NY!C83 + NW!C83 + SE!C83 + SW!C83 + TEN!C83 + TEX!C83</f>
        <v>0</v>
      </c>
      <c r="D83" s="7">
        <f xml:space="preserve"> 0 + CAL!D83 + CAR!D83 + CENT!D83 + FLA!D83 + MIDA!D83 + MIDW!D83 + NE!D83 + NY!D83 + NW!D83 + SE!D83 + SW!D83 + TEN!D83 + TEX!D83</f>
        <v>0</v>
      </c>
      <c r="E83" s="7">
        <f xml:space="preserve"> 0 + CAL!E83 + CAR!E83 + CENT!E83 + FLA!E83 + MIDA!E83 + MIDW!E83 + NE!E83 + NY!E83 + NW!E83 + SE!E83 + SW!E83 + TEN!E83 + TEX!E83</f>
        <v>0</v>
      </c>
      <c r="F83" s="7">
        <f xml:space="preserve"> 0 + CAL!F83 + CAR!F83 + CENT!F83 + FLA!F83 + MIDA!F83 + MIDW!F83 + NE!F83 + NY!F83 + NW!F83 + SE!F83 + SW!F83 + TEN!F83 + TEX!F83</f>
        <v>0</v>
      </c>
      <c r="G83" s="7">
        <f xml:space="preserve"> 0 + CAL!G83 + CAR!G83 + CENT!G83 + FLA!G83 + MIDA!G83 + MIDW!G83 + NE!G83 + NY!G83 + NW!G83 + SE!G83 + SW!G83 + TEN!G83 + TEX!G83</f>
        <v>0</v>
      </c>
      <c r="H83" s="7">
        <f xml:space="preserve"> 0 + CAL!H83 + CAR!H83 + CENT!H83 + FLA!H83 + MIDA!H83 + MIDW!H83 + NE!H83 + NY!H83 + NW!H83 + SE!H83 + SW!H83 + TEN!H83 + TEX!H83</f>
        <v>0</v>
      </c>
      <c r="I83" s="7">
        <f xml:space="preserve"> 0 + CAL!I83 + CAR!I83 + CENT!I83 + FLA!I83 + MIDA!I83 + MIDW!I83 + NE!I83 + NY!I83 + NW!I83 + SE!I83 + SW!I83 + TEN!I83 + TEX!I83</f>
        <v>0</v>
      </c>
      <c r="J83" s="7">
        <f xml:space="preserve"> 0 + CAL!J83 + CAR!J83 + CENT!J83 + FLA!J83 + MIDA!J83 + MIDW!J83 + NE!J83 + NY!J83 + NW!J83 + SE!J83 + SW!J83 + TEN!J83 + TEX!J83</f>
        <v>0</v>
      </c>
      <c r="K83" s="7">
        <f xml:space="preserve"> 0 + CAL!K83 + CAR!K83 + CENT!K83 + FLA!K83 + MIDA!K83 + MIDW!K83 + NE!K83 + NY!K83 + NW!K83 + SE!K83 + SW!K83 + TEN!K83 + TEX!K83</f>
        <v>0</v>
      </c>
      <c r="L83" s="7">
        <f xml:space="preserve"> 0 + CAL!L83 + CAR!L83 + CENT!L83 + FLA!L83 + MIDA!L83 + MIDW!L83 + NE!L83 + NY!L83 + NW!L83 + SE!L83 + SW!L83 + TEN!L83 + TEX!L83</f>
        <v>0</v>
      </c>
      <c r="M83" s="7">
        <f xml:space="preserve"> 0 + CAL!M83 + CAR!M83 + CENT!M83 + FLA!M83 + MIDA!M83 + MIDW!M83 + NE!M83 + NY!M83 + NW!M83 + SE!M83 + SW!M83 + TEN!M83 + TEX!M83</f>
        <v>0</v>
      </c>
      <c r="N83" s="7">
        <f xml:space="preserve"> 0 + CAL!N83 + CAR!N83 + CENT!N83 + FLA!N83 + MIDA!N83 + MIDW!N83 + NE!N83 + NY!N83 + NW!N83 + SE!N83 + SW!N83 + TEN!N83 + TEX!N83</f>
        <v>0</v>
      </c>
      <c r="O83" s="7">
        <f xml:space="preserve"> 0 + CAL!O83 + CAR!O83 + CENT!O83 + FLA!O83 + MIDA!O83 + MIDW!O83 + NE!O83 + NY!O83 + NW!O83 + SE!O83 + SW!O83 + TEN!O83 + TEX!O83</f>
        <v>0</v>
      </c>
      <c r="P83" s="7">
        <f xml:space="preserve"> 0 + CAL!P83 + CAR!P83 + CENT!P83 + FLA!P83 + MIDA!P83 + MIDW!P83 + NE!P83 + NY!P83 + NW!P83 + SE!P83 + SW!P83 + TEN!P83 + TEX!P83</f>
        <v>0</v>
      </c>
      <c r="Q83" s="7">
        <f xml:space="preserve"> 0 + CAL!Q83 + CAR!Q83 + CENT!Q83 + FLA!Q83 + MIDA!Q83 + MIDW!Q83 + NE!Q83 + NY!Q83 + NW!Q83 + SE!Q83 + SW!Q83 + TEN!Q83 + TEX!Q83</f>
        <v>0</v>
      </c>
      <c r="R83" s="7">
        <f xml:space="preserve"> 0 + CAL!R83 + CAR!R83 + CENT!R83 + FLA!R83 + MIDA!R83 + MIDW!R83 + NE!R83 + NY!R83 + NW!R83 + SE!R83 + SW!R83 + TEN!R83 + TEX!R83</f>
        <v>0</v>
      </c>
      <c r="S83" s="7">
        <f xml:space="preserve"> 0 + CAL!S83 + CAR!S83 + CENT!S83 + FLA!S83 + MIDA!S83 + MIDW!S83 + NE!S83 + NY!S83 + NW!S83 + SE!S83 + SW!S83 + TEN!S83 + TEX!S83</f>
        <v>0</v>
      </c>
      <c r="T83" s="7">
        <f xml:space="preserve"> 0 + CAL!T83 + CAR!T83 + CENT!T83 + FLA!T83 + MIDA!T83 + MIDW!T83 + NE!T83 + NY!T83 + NW!T83 + SE!T83 + SW!T83 + TEN!T83 + TEX!T83</f>
        <v>0</v>
      </c>
      <c r="U83" s="7">
        <f xml:space="preserve"> 0 + CAL!U83 + CAR!U83 + CENT!U83 + FLA!U83 + MIDA!U83 + MIDW!U83 + NE!U83 + NY!U83 + NW!U83 + SE!U83 + SW!U83 + TEN!U83 + TEX!U83</f>
        <v>0</v>
      </c>
      <c r="V83" s="7">
        <f xml:space="preserve"> 0 + CAL!V83 + CAR!V83 + CENT!V83 + FLA!V83 + MIDA!V83 + MIDW!V83 + NE!V83 + NY!V83 + NW!V83 + SE!V83 + SW!V83 + TEN!V83 + TEX!V83</f>
        <v>0</v>
      </c>
      <c r="W83" s="7">
        <f xml:space="preserve"> 0 + CAL!W83 + CAR!W83 + CENT!W83 + FLA!W83 + MIDA!W83 + MIDW!W83 + NE!W83 + NY!W83 + NW!W83 + SE!W83 + SW!W83 + TEN!W83 + TEX!W83</f>
        <v>0</v>
      </c>
      <c r="X83" s="7">
        <f xml:space="preserve"> 0 + CAL!X83 + CAR!X83 + CENT!X83 + FLA!X83 + MIDA!X83 + MIDW!X83 + NE!X83 + NY!X83 + NW!X83 + SE!X83 + SW!X83 + TEN!X83 + TEX!X83</f>
        <v>0</v>
      </c>
      <c r="Y83" s="7">
        <f xml:space="preserve"> 0 + CAL!Y83 + CAR!Y83 + CENT!Y83 + FLA!Y83 + MIDA!Y83 + MIDW!Y83 + NE!Y83 + NY!Y83 + NW!Y83 + SE!Y83 + SW!Y83 + TEN!Y83 + TEX!Y83</f>
        <v>0</v>
      </c>
      <c r="Z83" s="7">
        <f xml:space="preserve"> 0 + CAL!Z83 + CAR!Z83 + CENT!Z83 + FLA!Z83 + MIDA!Z83 + MIDW!Z83 + NE!Z83 + NY!Z83 + NW!Z83 + SE!Z83 + SW!Z83 + TEN!Z83 + TEX!Z83</f>
        <v>0</v>
      </c>
      <c r="AA83" s="7">
        <f xml:space="preserve"> 0 + CAL!AA83 + CAR!AA83 + CENT!AA83 + FLA!AA83 + MIDA!AA83 + MIDW!AA83 + NE!AA83 + NY!AA83 + NW!AA83 + SE!AA83 + SW!AA83 + TEN!AA83 + TEX!AA83</f>
        <v>0</v>
      </c>
      <c r="AB83" s="7">
        <f xml:space="preserve"> 0 + CAL!AB83 + CAR!AB83 + CENT!AB83 + FLA!AB83 + MIDA!AB83 + MIDW!AB83 + NE!AB83 + NY!AB83 + NW!AB83 + SE!AB83 + SW!AB83 + TEN!AB83 + TEX!AB83</f>
        <v>0</v>
      </c>
      <c r="AC83" s="7">
        <f xml:space="preserve"> 0 + CAL!AC83 + CAR!AC83 + CENT!AC83 + FLA!AC83 + MIDA!AC83 + MIDW!AC83 + NE!AC83 + NY!AC83 + NW!AC83 + SE!AC83 + SW!AC83 + TEN!AC83 + TEX!AC83</f>
        <v>0</v>
      </c>
    </row>
    <row r="84" spans="1:29" x14ac:dyDescent="0.85">
      <c r="B84" s="7">
        <f xml:space="preserve"> 0 + CAL!B84 + CAR!B84 + CENT!B84 + FLA!B84 + MIDA!B84 + MIDW!B84 + NE!B84 + NY!B84 + NW!B84 + SE!B84 + SW!B84 + TEN!B84 + TEX!B84</f>
        <v>0</v>
      </c>
      <c r="C84" s="7">
        <f xml:space="preserve"> 0 + CAL!C84 + CAR!C84 + CENT!C84 + FLA!C84 + MIDA!C84 + MIDW!C84 + NE!C84 + NY!C84 + NW!C84 + SE!C84 + SW!C84 + TEN!C84 + TEX!C84</f>
        <v>0</v>
      </c>
      <c r="D84" s="7">
        <f xml:space="preserve"> 0 + CAL!D84 + CAR!D84 + CENT!D84 + FLA!D84 + MIDA!D84 + MIDW!D84 + NE!D84 + NY!D84 + NW!D84 + SE!D84 + SW!D84 + TEN!D84 + TEX!D84</f>
        <v>0</v>
      </c>
      <c r="E84" s="7">
        <f xml:space="preserve"> 0 + CAL!E84 + CAR!E84 + CENT!E84 + FLA!E84 + MIDA!E84 + MIDW!E84 + NE!E84 + NY!E84 + NW!E84 + SE!E84 + SW!E84 + TEN!E84 + TEX!E84</f>
        <v>0</v>
      </c>
      <c r="F84" s="7">
        <f xml:space="preserve"> 0 + CAL!F84 + CAR!F84 + CENT!F84 + FLA!F84 + MIDA!F84 + MIDW!F84 + NE!F84 + NY!F84 + NW!F84 + SE!F84 + SW!F84 + TEN!F84 + TEX!F84</f>
        <v>0</v>
      </c>
      <c r="G84" s="7">
        <f xml:space="preserve"> 0 + CAL!G84 + CAR!G84 + CENT!G84 + FLA!G84 + MIDA!G84 + MIDW!G84 + NE!G84 + NY!G84 + NW!G84 + SE!G84 + SW!G84 + TEN!G84 + TEX!G84</f>
        <v>0</v>
      </c>
      <c r="H84" s="7">
        <f xml:space="preserve"> 0 + CAL!H84 + CAR!H84 + CENT!H84 + FLA!H84 + MIDA!H84 + MIDW!H84 + NE!H84 + NY!H84 + NW!H84 + SE!H84 + SW!H84 + TEN!H84 + TEX!H84</f>
        <v>0</v>
      </c>
      <c r="I84" s="7">
        <f xml:space="preserve"> 0 + CAL!I84 + CAR!I84 + CENT!I84 + FLA!I84 + MIDA!I84 + MIDW!I84 + NE!I84 + NY!I84 + NW!I84 + SE!I84 + SW!I84 + TEN!I84 + TEX!I84</f>
        <v>0</v>
      </c>
      <c r="J84" s="7">
        <f xml:space="preserve"> 0 + CAL!J84 + CAR!J84 + CENT!J84 + FLA!J84 + MIDA!J84 + MIDW!J84 + NE!J84 + NY!J84 + NW!J84 + SE!J84 + SW!J84 + TEN!J84 + TEX!J84</f>
        <v>0</v>
      </c>
      <c r="K84" s="7">
        <f xml:space="preserve"> 0 + CAL!K84 + CAR!K84 + CENT!K84 + FLA!K84 + MIDA!K84 + MIDW!K84 + NE!K84 + NY!K84 + NW!K84 + SE!K84 + SW!K84 + TEN!K84 + TEX!K84</f>
        <v>0</v>
      </c>
      <c r="L84" s="7">
        <f xml:space="preserve"> 0 + CAL!L84 + CAR!L84 + CENT!L84 + FLA!L84 + MIDA!L84 + MIDW!L84 + NE!L84 + NY!L84 + NW!L84 + SE!L84 + SW!L84 + TEN!L84 + TEX!L84</f>
        <v>0</v>
      </c>
      <c r="M84" s="7">
        <f xml:space="preserve"> 0 + CAL!M84 + CAR!M84 + CENT!M84 + FLA!M84 + MIDA!M84 + MIDW!M84 + NE!M84 + NY!M84 + NW!M84 + SE!M84 + SW!M84 + TEN!M84 + TEX!M84</f>
        <v>0</v>
      </c>
      <c r="N84" s="7">
        <f xml:space="preserve"> 0 + CAL!N84 + CAR!N84 + CENT!N84 + FLA!N84 + MIDA!N84 + MIDW!N84 + NE!N84 + NY!N84 + NW!N84 + SE!N84 + SW!N84 + TEN!N84 + TEX!N84</f>
        <v>0</v>
      </c>
      <c r="O84" s="7">
        <f xml:space="preserve"> 0 + CAL!O84 + CAR!O84 + CENT!O84 + FLA!O84 + MIDA!O84 + MIDW!O84 + NE!O84 + NY!O84 + NW!O84 + SE!O84 + SW!O84 + TEN!O84 + TEX!O84</f>
        <v>0</v>
      </c>
      <c r="P84" s="7">
        <f xml:space="preserve"> 0 + CAL!P84 + CAR!P84 + CENT!P84 + FLA!P84 + MIDA!P84 + MIDW!P84 + NE!P84 + NY!P84 + NW!P84 + SE!P84 + SW!P84 + TEN!P84 + TEX!P84</f>
        <v>0</v>
      </c>
      <c r="Q84" s="7">
        <f xml:space="preserve"> 0 + CAL!Q84 + CAR!Q84 + CENT!Q84 + FLA!Q84 + MIDA!Q84 + MIDW!Q84 + NE!Q84 + NY!Q84 + NW!Q84 + SE!Q84 + SW!Q84 + TEN!Q84 + TEX!Q84</f>
        <v>0</v>
      </c>
      <c r="R84" s="7">
        <f xml:space="preserve"> 0 + CAL!R84 + CAR!R84 + CENT!R84 + FLA!R84 + MIDA!R84 + MIDW!R84 + NE!R84 + NY!R84 + NW!R84 + SE!R84 + SW!R84 + TEN!R84 + TEX!R84</f>
        <v>0</v>
      </c>
      <c r="S84" s="7">
        <f xml:space="preserve"> 0 + CAL!S84 + CAR!S84 + CENT!S84 + FLA!S84 + MIDA!S84 + MIDW!S84 + NE!S84 + NY!S84 + NW!S84 + SE!S84 + SW!S84 + TEN!S84 + TEX!S84</f>
        <v>0</v>
      </c>
      <c r="T84" s="7">
        <f xml:space="preserve"> 0 + CAL!T84 + CAR!T84 + CENT!T84 + FLA!T84 + MIDA!T84 + MIDW!T84 + NE!T84 + NY!T84 + NW!T84 + SE!T84 + SW!T84 + TEN!T84 + TEX!T84</f>
        <v>0</v>
      </c>
      <c r="U84" s="7">
        <f xml:space="preserve"> 0 + CAL!U84 + CAR!U84 + CENT!U84 + FLA!U84 + MIDA!U84 + MIDW!U84 + NE!U84 + NY!U84 + NW!U84 + SE!U84 + SW!U84 + TEN!U84 + TEX!U84</f>
        <v>0</v>
      </c>
      <c r="V84" s="7">
        <f xml:space="preserve"> 0 + CAL!V84 + CAR!V84 + CENT!V84 + FLA!V84 + MIDA!V84 + MIDW!V84 + NE!V84 + NY!V84 + NW!V84 + SE!V84 + SW!V84 + TEN!V84 + TEX!V84</f>
        <v>0</v>
      </c>
      <c r="W84" s="7">
        <f xml:space="preserve"> 0 + CAL!W84 + CAR!W84 + CENT!W84 + FLA!W84 + MIDA!W84 + MIDW!W84 + NE!W84 + NY!W84 + NW!W84 + SE!W84 + SW!W84 + TEN!W84 + TEX!W84</f>
        <v>0</v>
      </c>
      <c r="X84" s="7">
        <f xml:space="preserve"> 0 + CAL!X84 + CAR!X84 + CENT!X84 + FLA!X84 + MIDA!X84 + MIDW!X84 + NE!X84 + NY!X84 + NW!X84 + SE!X84 + SW!X84 + TEN!X84 + TEX!X84</f>
        <v>0</v>
      </c>
      <c r="Y84" s="7">
        <f xml:space="preserve"> 0 + CAL!Y84 + CAR!Y84 + CENT!Y84 + FLA!Y84 + MIDA!Y84 + MIDW!Y84 + NE!Y84 + NY!Y84 + NW!Y84 + SE!Y84 + SW!Y84 + TEN!Y84 + TEX!Y84</f>
        <v>0</v>
      </c>
      <c r="Z84" s="7">
        <f xml:space="preserve"> 0 + CAL!Z84 + CAR!Z84 + CENT!Z84 + FLA!Z84 + MIDA!Z84 + MIDW!Z84 + NE!Z84 + NY!Z84 + NW!Z84 + SE!Z84 + SW!Z84 + TEN!Z84 + TEX!Z84</f>
        <v>0</v>
      </c>
      <c r="AA84" s="7">
        <f xml:space="preserve"> 0 + CAL!AA84 + CAR!AA84 + CENT!AA84 + FLA!AA84 + MIDA!AA84 + MIDW!AA84 + NE!AA84 + NY!AA84 + NW!AA84 + SE!AA84 + SW!AA84 + TEN!AA84 + TEX!AA84</f>
        <v>0</v>
      </c>
      <c r="AB84" s="7">
        <f xml:space="preserve"> 0 + CAL!AB84 + CAR!AB84 + CENT!AB84 + FLA!AB84 + MIDA!AB84 + MIDW!AB84 + NE!AB84 + NY!AB84 + NW!AB84 + SE!AB84 + SW!AB84 + TEN!AB84 + TEX!AB84</f>
        <v>0</v>
      </c>
      <c r="AC84" s="7">
        <f xml:space="preserve"> 0 + CAL!AC84 + CAR!AC84 + CENT!AC84 + FLA!AC84 + MIDA!AC84 + MIDW!AC84 + NE!AC84 + NY!AC84 + NW!AC84 + SE!AC84 + SW!AC84 + TEN!AC84 + TEX!AC84</f>
        <v>0</v>
      </c>
    </row>
    <row r="85" spans="1:29" x14ac:dyDescent="0.85">
      <c r="B85" s="7">
        <f xml:space="preserve"> 0 + CAL!B85 + CAR!B85 + CENT!B85 + FLA!B85 + MIDA!B85 + MIDW!B85 + NE!B85 + NY!B85 + NW!B85 + SE!B85 + SW!B85 + TEN!B85 + TEX!B85</f>
        <v>0</v>
      </c>
      <c r="C85" s="7">
        <f xml:space="preserve"> 0 + CAL!C85 + CAR!C85 + CENT!C85 + FLA!C85 + MIDA!C85 + MIDW!C85 + NE!C85 + NY!C85 + NW!C85 + SE!C85 + SW!C85 + TEN!C85 + TEX!C85</f>
        <v>0</v>
      </c>
      <c r="D85" s="7">
        <f xml:space="preserve"> 0 + CAL!D85 + CAR!D85 + CENT!D85 + FLA!D85 + MIDA!D85 + MIDW!D85 + NE!D85 + NY!D85 + NW!D85 + SE!D85 + SW!D85 + TEN!D85 + TEX!D85</f>
        <v>0</v>
      </c>
      <c r="E85" s="7">
        <f xml:space="preserve"> 0 + CAL!E85 + CAR!E85 + CENT!E85 + FLA!E85 + MIDA!E85 + MIDW!E85 + NE!E85 + NY!E85 + NW!E85 + SE!E85 + SW!E85 + TEN!E85 + TEX!E85</f>
        <v>0</v>
      </c>
      <c r="F85" s="7">
        <f xml:space="preserve"> 0 + CAL!F85 + CAR!F85 + CENT!F85 + FLA!F85 + MIDA!F85 + MIDW!F85 + NE!F85 + NY!F85 + NW!F85 + SE!F85 + SW!F85 + TEN!F85 + TEX!F85</f>
        <v>0</v>
      </c>
      <c r="G85" s="7">
        <f xml:space="preserve"> 0 + CAL!G85 + CAR!G85 + CENT!G85 + FLA!G85 + MIDA!G85 + MIDW!G85 + NE!G85 + NY!G85 + NW!G85 + SE!G85 + SW!G85 + TEN!G85 + TEX!G85</f>
        <v>0</v>
      </c>
      <c r="H85" s="7">
        <f xml:space="preserve"> 0 + CAL!H85 + CAR!H85 + CENT!H85 + FLA!H85 + MIDA!H85 + MIDW!H85 + NE!H85 + NY!H85 + NW!H85 + SE!H85 + SW!H85 + TEN!H85 + TEX!H85</f>
        <v>0</v>
      </c>
      <c r="I85" s="7">
        <f xml:space="preserve"> 0 + CAL!I85 + CAR!I85 + CENT!I85 + FLA!I85 + MIDA!I85 + MIDW!I85 + NE!I85 + NY!I85 + NW!I85 + SE!I85 + SW!I85 + TEN!I85 + TEX!I85</f>
        <v>0</v>
      </c>
      <c r="J85" s="7">
        <f xml:space="preserve"> 0 + CAL!J85 + CAR!J85 + CENT!J85 + FLA!J85 + MIDA!J85 + MIDW!J85 + NE!J85 + NY!J85 + NW!J85 + SE!J85 + SW!J85 + TEN!J85 + TEX!J85</f>
        <v>0</v>
      </c>
      <c r="K85" s="7">
        <f xml:space="preserve"> 0 + CAL!K85 + CAR!K85 + CENT!K85 + FLA!K85 + MIDA!K85 + MIDW!K85 + NE!K85 + NY!K85 + NW!K85 + SE!K85 + SW!K85 + TEN!K85 + TEX!K85</f>
        <v>0</v>
      </c>
      <c r="L85" s="7">
        <f xml:space="preserve"> 0 + CAL!L85 + CAR!L85 + CENT!L85 + FLA!L85 + MIDA!L85 + MIDW!L85 + NE!L85 + NY!L85 + NW!L85 + SE!L85 + SW!L85 + TEN!L85 + TEX!L85</f>
        <v>0</v>
      </c>
      <c r="M85" s="7">
        <f xml:space="preserve"> 0 + CAL!M85 + CAR!M85 + CENT!M85 + FLA!M85 + MIDA!M85 + MIDW!M85 + NE!M85 + NY!M85 + NW!M85 + SE!M85 + SW!M85 + TEN!M85 + TEX!M85</f>
        <v>0</v>
      </c>
      <c r="N85" s="7">
        <f xml:space="preserve"> 0 + CAL!N85 + CAR!N85 + CENT!N85 + FLA!N85 + MIDA!N85 + MIDW!N85 + NE!N85 + NY!N85 + NW!N85 + SE!N85 + SW!N85 + TEN!N85 + TEX!N85</f>
        <v>0</v>
      </c>
      <c r="O85" s="7">
        <f xml:space="preserve"> 0 + CAL!O85 + CAR!O85 + CENT!O85 + FLA!O85 + MIDA!O85 + MIDW!O85 + NE!O85 + NY!O85 + NW!O85 + SE!O85 + SW!O85 + TEN!O85 + TEX!O85</f>
        <v>0</v>
      </c>
      <c r="P85" s="7">
        <f xml:space="preserve"> 0 + CAL!P85 + CAR!P85 + CENT!P85 + FLA!P85 + MIDA!P85 + MIDW!P85 + NE!P85 + NY!P85 + NW!P85 + SE!P85 + SW!P85 + TEN!P85 + TEX!P85</f>
        <v>0</v>
      </c>
      <c r="Q85" s="7">
        <f xml:space="preserve"> 0 + CAL!Q85 + CAR!Q85 + CENT!Q85 + FLA!Q85 + MIDA!Q85 + MIDW!Q85 + NE!Q85 + NY!Q85 + NW!Q85 + SE!Q85 + SW!Q85 + TEN!Q85 + TEX!Q85</f>
        <v>0</v>
      </c>
      <c r="R85" s="7">
        <f xml:space="preserve"> 0 + CAL!R85 + CAR!R85 + CENT!R85 + FLA!R85 + MIDA!R85 + MIDW!R85 + NE!R85 + NY!R85 + NW!R85 + SE!R85 + SW!R85 + TEN!R85 + TEX!R85</f>
        <v>0</v>
      </c>
      <c r="S85" s="7">
        <f xml:space="preserve"> 0 + CAL!S85 + CAR!S85 + CENT!S85 + FLA!S85 + MIDA!S85 + MIDW!S85 + NE!S85 + NY!S85 + NW!S85 + SE!S85 + SW!S85 + TEN!S85 + TEX!S85</f>
        <v>0</v>
      </c>
      <c r="T85" s="7">
        <f xml:space="preserve"> 0 + CAL!T85 + CAR!T85 + CENT!T85 + FLA!T85 + MIDA!T85 + MIDW!T85 + NE!T85 + NY!T85 + NW!T85 + SE!T85 + SW!T85 + TEN!T85 + TEX!T85</f>
        <v>0</v>
      </c>
      <c r="U85" s="7">
        <f xml:space="preserve"> 0 + CAL!U85 + CAR!U85 + CENT!U85 + FLA!U85 + MIDA!U85 + MIDW!U85 + NE!U85 + NY!U85 + NW!U85 + SE!U85 + SW!U85 + TEN!U85 + TEX!U85</f>
        <v>0</v>
      </c>
      <c r="V85" s="7">
        <f xml:space="preserve"> 0 + CAL!V85 + CAR!V85 + CENT!V85 + FLA!V85 + MIDA!V85 + MIDW!V85 + NE!V85 + NY!V85 + NW!V85 + SE!V85 + SW!V85 + TEN!V85 + TEX!V85</f>
        <v>0</v>
      </c>
      <c r="W85" s="7">
        <f xml:space="preserve"> 0 + CAL!W85 + CAR!W85 + CENT!W85 + FLA!W85 + MIDA!W85 + MIDW!W85 + NE!W85 + NY!W85 + NW!W85 + SE!W85 + SW!W85 + TEN!W85 + TEX!W85</f>
        <v>0</v>
      </c>
      <c r="X85" s="7">
        <f xml:space="preserve"> 0 + CAL!X85 + CAR!X85 + CENT!X85 + FLA!X85 + MIDA!X85 + MIDW!X85 + NE!X85 + NY!X85 + NW!X85 + SE!X85 + SW!X85 + TEN!X85 + TEX!X85</f>
        <v>0</v>
      </c>
      <c r="Y85" s="7">
        <f xml:space="preserve"> 0 + CAL!Y85 + CAR!Y85 + CENT!Y85 + FLA!Y85 + MIDA!Y85 + MIDW!Y85 + NE!Y85 + NY!Y85 + NW!Y85 + SE!Y85 + SW!Y85 + TEN!Y85 + TEX!Y85</f>
        <v>0</v>
      </c>
      <c r="Z85" s="7">
        <f xml:space="preserve"> 0 + CAL!Z85 + CAR!Z85 + CENT!Z85 + FLA!Z85 + MIDA!Z85 + MIDW!Z85 + NE!Z85 + NY!Z85 + NW!Z85 + SE!Z85 + SW!Z85 + TEN!Z85 + TEX!Z85</f>
        <v>0</v>
      </c>
      <c r="AA85" s="7">
        <f xml:space="preserve"> 0 + CAL!AA85 + CAR!AA85 + CENT!AA85 + FLA!AA85 + MIDA!AA85 + MIDW!AA85 + NE!AA85 + NY!AA85 + NW!AA85 + SE!AA85 + SW!AA85 + TEN!AA85 + TEX!AA85</f>
        <v>0</v>
      </c>
      <c r="AB85" s="7">
        <f xml:space="preserve"> 0 + CAL!AB85 + CAR!AB85 + CENT!AB85 + FLA!AB85 + MIDA!AB85 + MIDW!AB85 + NE!AB85 + NY!AB85 + NW!AB85 + SE!AB85 + SW!AB85 + TEN!AB85 + TEX!AB85</f>
        <v>0</v>
      </c>
      <c r="AC85" s="7">
        <f xml:space="preserve"> 0 + CAL!AC85 + CAR!AC85 + CENT!AC85 + FLA!AC85 + MIDA!AC85 + MIDW!AC85 + NE!AC85 + NY!AC85 + NW!AC85 + SE!AC85 + SW!AC85 + TEN!AC85 + TEX!AC85</f>
        <v>0</v>
      </c>
    </row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94179-52B9-4291-8A9F-F2CB8F812F52}">
  <sheetPr codeName="Sheet5"/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29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</row>
    <row r="2" spans="1:29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</row>
    <row r="3" spans="1:29" x14ac:dyDescent="0.85">
      <c r="A3" t="s">
        <v>69</v>
      </c>
      <c r="B3" s="7">
        <v>0</v>
      </c>
      <c r="C3" s="7">
        <v>20</v>
      </c>
      <c r="D3" s="7">
        <v>40</v>
      </c>
      <c r="E3" s="7">
        <v>60</v>
      </c>
      <c r="F3" s="7">
        <v>80</v>
      </c>
      <c r="G3" s="7">
        <v>100</v>
      </c>
      <c r="H3" s="7">
        <v>120</v>
      </c>
      <c r="I3" s="7">
        <v>140</v>
      </c>
      <c r="J3" s="7">
        <v>160</v>
      </c>
      <c r="K3" s="7">
        <v>180</v>
      </c>
      <c r="L3" s="7">
        <v>200</v>
      </c>
      <c r="M3" s="7">
        <v>220</v>
      </c>
      <c r="N3" s="7">
        <v>240</v>
      </c>
      <c r="O3" s="7">
        <v>260</v>
      </c>
      <c r="P3" s="7">
        <v>280</v>
      </c>
      <c r="Q3" s="7">
        <v>300</v>
      </c>
      <c r="R3" s="7">
        <v>320</v>
      </c>
      <c r="S3" s="7">
        <v>340</v>
      </c>
      <c r="T3" s="7">
        <v>360</v>
      </c>
      <c r="U3" s="7">
        <v>380</v>
      </c>
      <c r="V3" s="7">
        <v>400</v>
      </c>
      <c r="W3" s="7">
        <v>420</v>
      </c>
      <c r="X3" s="7">
        <v>440</v>
      </c>
      <c r="Y3" s="7">
        <v>460</v>
      </c>
      <c r="Z3" s="7">
        <v>480</v>
      </c>
      <c r="AA3" s="7">
        <v>500</v>
      </c>
      <c r="AB3" s="7">
        <v>520</v>
      </c>
      <c r="AC3" s="7">
        <v>540</v>
      </c>
    </row>
    <row r="4" spans="1:29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</row>
    <row r="5" spans="1:29" x14ac:dyDescent="0.85">
      <c r="A5" t="s">
        <v>105</v>
      </c>
      <c r="B5" s="7">
        <v>58706</v>
      </c>
      <c r="C5" s="7">
        <v>58870.132071849999</v>
      </c>
      <c r="D5" s="7">
        <v>59476.838177090001</v>
      </c>
      <c r="E5" s="7">
        <v>60128.93211645</v>
      </c>
      <c r="F5" s="7">
        <v>61484.535345550001</v>
      </c>
      <c r="G5" s="7">
        <v>62881.092190410003</v>
      </c>
      <c r="H5" s="7">
        <v>64359.700154060003</v>
      </c>
      <c r="I5" s="7">
        <v>68359.803254190003</v>
      </c>
      <c r="J5" s="7">
        <v>71487.223446119999</v>
      </c>
      <c r="K5" s="7">
        <v>74689.527309860001</v>
      </c>
      <c r="L5" s="7">
        <v>77987.746196210006</v>
      </c>
      <c r="M5" s="7">
        <v>81413.306545250001</v>
      </c>
      <c r="N5" s="7">
        <v>85035.650541430005</v>
      </c>
      <c r="O5" s="7">
        <v>88850.015645559994</v>
      </c>
      <c r="P5" s="7">
        <v>92770.622276039998</v>
      </c>
      <c r="Q5" s="7">
        <v>96816.043533029995</v>
      </c>
      <c r="R5" s="7">
        <v>100989.03431603</v>
      </c>
      <c r="S5" s="7">
        <v>105293.10221167</v>
      </c>
      <c r="T5" s="7">
        <v>109731.89535929001</v>
      </c>
      <c r="U5" s="7">
        <v>114307.78485131</v>
      </c>
      <c r="V5" s="7">
        <v>118259.02076267</v>
      </c>
      <c r="W5" s="7">
        <v>122092.60126996999</v>
      </c>
      <c r="X5" s="7">
        <v>126002.46984587</v>
      </c>
      <c r="Y5" s="7">
        <v>130101.97534819</v>
      </c>
      <c r="Z5" s="7">
        <v>133977.71677363999</v>
      </c>
      <c r="AA5" s="7">
        <v>137924.34069519999</v>
      </c>
      <c r="AB5" s="7">
        <v>141987.28421924001</v>
      </c>
      <c r="AC5" s="7">
        <v>146146.14849349999</v>
      </c>
    </row>
    <row r="6" spans="1:29" x14ac:dyDescent="0.85">
      <c r="A6" t="s">
        <v>106</v>
      </c>
      <c r="B6" s="7">
        <v>178291941.155</v>
      </c>
      <c r="C6" s="7">
        <v>182373049.92100799</v>
      </c>
      <c r="D6" s="7">
        <v>186535782.90013</v>
      </c>
      <c r="E6" s="7">
        <v>190781772.911309</v>
      </c>
      <c r="F6" s="7">
        <v>195112679.97671399</v>
      </c>
      <c r="G6" s="7">
        <v>199530206.27020499</v>
      </c>
      <c r="H6" s="7">
        <v>204036082.47231999</v>
      </c>
      <c r="I6" s="7">
        <v>208632076.23539099</v>
      </c>
      <c r="J6" s="7">
        <v>213319989.85437</v>
      </c>
      <c r="K6" s="7">
        <v>218101661.746851</v>
      </c>
      <c r="L6" s="7">
        <v>222978967.05748701</v>
      </c>
      <c r="M6" s="7">
        <v>227978484.49745101</v>
      </c>
      <c r="N6" s="7">
        <v>233837613.003135</v>
      </c>
      <c r="O6" s="7">
        <v>241067133.01686901</v>
      </c>
      <c r="P6" s="7">
        <v>248450200.50682199</v>
      </c>
      <c r="Q6" s="7">
        <v>256495371.97262999</v>
      </c>
      <c r="R6" s="7">
        <v>265092801.31349501</v>
      </c>
      <c r="S6" s="7">
        <v>274152831.83357197</v>
      </c>
      <c r="T6" s="7">
        <v>283629708.281766</v>
      </c>
      <c r="U6" s="7">
        <v>293268380.34533101</v>
      </c>
      <c r="V6" s="7">
        <v>303023758.72899801</v>
      </c>
      <c r="W6" s="7">
        <v>312945327.34272099</v>
      </c>
      <c r="X6" s="7">
        <v>323263028.60218298</v>
      </c>
      <c r="Y6" s="7">
        <v>334162853.31456202</v>
      </c>
      <c r="Z6" s="7">
        <v>343856599.21524203</v>
      </c>
      <c r="AA6" s="7">
        <v>353688515.89230102</v>
      </c>
      <c r="AB6" s="7">
        <v>363587072.376387</v>
      </c>
      <c r="AC6" s="7">
        <v>373658170.823367</v>
      </c>
    </row>
    <row r="7" spans="1:29" x14ac:dyDescent="0.85">
      <c r="A7" t="s">
        <v>107</v>
      </c>
      <c r="B7" s="7">
        <v>178291941.155</v>
      </c>
      <c r="C7" s="7">
        <v>182373052.0731</v>
      </c>
      <c r="D7" s="7">
        <v>186535785.209562</v>
      </c>
      <c r="E7" s="7">
        <v>190781773.008753</v>
      </c>
      <c r="F7" s="7">
        <v>195112680.56392801</v>
      </c>
      <c r="G7" s="7">
        <v>199530206.270206</v>
      </c>
      <c r="H7" s="7">
        <v>204036082.49061099</v>
      </c>
      <c r="I7" s="7">
        <v>208632076.235423</v>
      </c>
      <c r="J7" s="7">
        <v>213319989.855131</v>
      </c>
      <c r="K7" s="7">
        <v>218101661.74723399</v>
      </c>
      <c r="L7" s="7">
        <v>222978967.07717901</v>
      </c>
      <c r="M7" s="7">
        <v>227953818.513722</v>
      </c>
      <c r="N7" s="7">
        <v>233028166.97899699</v>
      </c>
      <c r="O7" s="7">
        <v>238204002.41357699</v>
      </c>
      <c r="P7" s="7">
        <v>243483354.55684799</v>
      </c>
      <c r="Q7" s="7">
        <v>248868293.74298501</v>
      </c>
      <c r="R7" s="7">
        <v>254360931.712845</v>
      </c>
      <c r="S7" s="7">
        <v>259963422.44210199</v>
      </c>
      <c r="T7" s="7">
        <v>265677962.985944</v>
      </c>
      <c r="U7" s="7">
        <v>271506794.34066302</v>
      </c>
      <c r="V7" s="7">
        <v>277452202.32247603</v>
      </c>
      <c r="W7" s="7">
        <v>283516518.463925</v>
      </c>
      <c r="X7" s="7">
        <v>289702120.928204</v>
      </c>
      <c r="Y7" s="7">
        <v>296011435.44176799</v>
      </c>
      <c r="Z7" s="7">
        <v>302446936.24560302</v>
      </c>
      <c r="AA7" s="7">
        <v>309011147.065516</v>
      </c>
      <c r="AB7" s="7">
        <v>315706642.10182601</v>
      </c>
      <c r="AC7" s="7">
        <v>322536047.03886199</v>
      </c>
    </row>
    <row r="8" spans="1:29" x14ac:dyDescent="0.85">
      <c r="A8" t="s">
        <v>108</v>
      </c>
      <c r="B8" s="7">
        <v>14804.247511330001</v>
      </c>
      <c r="C8" s="7">
        <v>14754.16672571</v>
      </c>
      <c r="D8" s="7">
        <v>14770.975233679999</v>
      </c>
      <c r="E8" s="7">
        <v>14796.819138819999</v>
      </c>
      <c r="F8" s="7">
        <v>14978.400877800001</v>
      </c>
      <c r="G8" s="7">
        <v>15169.55666842</v>
      </c>
      <c r="H8" s="7">
        <v>15378.97658099</v>
      </c>
      <c r="I8" s="7">
        <v>16255.02420218</v>
      </c>
      <c r="J8" s="7">
        <v>16975.439898460001</v>
      </c>
      <c r="K8" s="7">
        <v>17717.10350247</v>
      </c>
      <c r="L8" s="7">
        <v>18484.097854539999</v>
      </c>
      <c r="M8" s="7">
        <v>21177.54435475</v>
      </c>
      <c r="N8" s="7">
        <v>23986.426664120001</v>
      </c>
      <c r="O8" s="7">
        <v>26267.539320250002</v>
      </c>
      <c r="P8" s="7">
        <v>27746.264281060001</v>
      </c>
      <c r="Q8" s="7">
        <v>29247.366185909999</v>
      </c>
      <c r="R8" s="7">
        <v>30732.785140970002</v>
      </c>
      <c r="S8" s="7">
        <v>32200.615787030001</v>
      </c>
      <c r="T8" s="7">
        <v>33651.628880800003</v>
      </c>
      <c r="U8" s="7">
        <v>35014.917432970004</v>
      </c>
      <c r="V8" s="7">
        <v>36449.180925369998</v>
      </c>
      <c r="W8" s="7">
        <v>37880.222082079999</v>
      </c>
      <c r="X8" s="7">
        <v>39344.915463630001</v>
      </c>
      <c r="Y8" s="7">
        <v>40871.93561814</v>
      </c>
      <c r="Z8" s="7">
        <v>42130.628560489997</v>
      </c>
      <c r="AA8" s="7">
        <v>43401.369972439999</v>
      </c>
      <c r="AB8" s="7">
        <v>44647.546409720002</v>
      </c>
      <c r="AC8" s="7">
        <v>45906.036549750002</v>
      </c>
    </row>
    <row r="9" spans="1:29" x14ac:dyDescent="0.85">
      <c r="A9" t="s">
        <v>109</v>
      </c>
      <c r="B9" s="7">
        <v>2740.84487941</v>
      </c>
      <c r="C9" s="7">
        <v>2892.08444448</v>
      </c>
      <c r="D9" s="7">
        <v>3043.7211835500002</v>
      </c>
      <c r="E9" s="7">
        <v>3195.9100128700002</v>
      </c>
      <c r="F9" s="7">
        <v>3277.6643353200002</v>
      </c>
      <c r="G9" s="7">
        <v>3360.1077396599999</v>
      </c>
      <c r="H9" s="7">
        <v>3443.3271153800001</v>
      </c>
      <c r="I9" s="7">
        <v>3409.7309890900001</v>
      </c>
      <c r="J9" s="7">
        <v>3365.22141616</v>
      </c>
      <c r="K9" s="7">
        <v>3317.2538261700001</v>
      </c>
      <c r="L9" s="7">
        <v>3265.8669817700002</v>
      </c>
      <c r="M9" s="7">
        <v>2983.79073423</v>
      </c>
      <c r="N9" s="7">
        <v>2708.0467459500001</v>
      </c>
      <c r="O9" s="7">
        <v>2527.9166365599999</v>
      </c>
      <c r="P9" s="7">
        <v>2444.4004990200001</v>
      </c>
      <c r="Q9" s="7">
        <v>2371.0577543600002</v>
      </c>
      <c r="R9" s="7">
        <v>2309.65598434</v>
      </c>
      <c r="S9" s="7">
        <v>2258.1241304099999</v>
      </c>
      <c r="T9" s="7">
        <v>2215.1390159399998</v>
      </c>
      <c r="U9" s="7">
        <v>2182.8510816399998</v>
      </c>
      <c r="V9" s="7">
        <v>2164.8459023599999</v>
      </c>
      <c r="W9" s="7">
        <v>2155.7145727799998</v>
      </c>
      <c r="X9" s="7">
        <v>2150.7444383100001</v>
      </c>
      <c r="Y9" s="7">
        <v>2147.5631554400002</v>
      </c>
      <c r="Z9" s="7">
        <v>2163.5513708100002</v>
      </c>
      <c r="AA9" s="7">
        <v>2183.0398669299998</v>
      </c>
      <c r="AB9" s="7">
        <v>2203.6068772799999</v>
      </c>
      <c r="AC9" s="7">
        <v>2225.8751356900002</v>
      </c>
    </row>
    <row r="10" spans="1:29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</row>
    <row r="11" spans="1:29" x14ac:dyDescent="0.85">
      <c r="A11" t="s">
        <v>37</v>
      </c>
      <c r="B11" s="7">
        <v>0</v>
      </c>
      <c r="C11" s="7">
        <v>1136.3220692899999</v>
      </c>
      <c r="D11" s="7">
        <v>2395.6322864799999</v>
      </c>
      <c r="E11" s="7">
        <v>3778.5537666800001</v>
      </c>
      <c r="F11" s="7">
        <v>5172.7956048799997</v>
      </c>
      <c r="G11" s="7">
        <v>6635.7395530399999</v>
      </c>
      <c r="H11" s="7">
        <v>8167.5033540499999</v>
      </c>
      <c r="I11" s="7">
        <v>9225.58676724</v>
      </c>
      <c r="J11" s="7">
        <v>10411.721930940001</v>
      </c>
      <c r="K11" s="7">
        <v>11557.792133839999</v>
      </c>
      <c r="L11" s="7">
        <v>12655.54656135</v>
      </c>
      <c r="M11" s="7">
        <v>11995.275301899999</v>
      </c>
      <c r="N11" s="7">
        <v>10986.71142005</v>
      </c>
      <c r="O11" s="7">
        <v>10377.653433060001</v>
      </c>
      <c r="P11" s="7">
        <v>10468.571402400001</v>
      </c>
      <c r="Q11" s="7">
        <v>10524.563245159999</v>
      </c>
      <c r="R11" s="7">
        <v>10591.1135096</v>
      </c>
      <c r="S11" s="7">
        <v>10674.96577214</v>
      </c>
      <c r="T11" s="7">
        <v>10783.721602310001</v>
      </c>
      <c r="U11" s="7">
        <v>10995.06035677</v>
      </c>
      <c r="V11" s="7">
        <v>11148.198436230001</v>
      </c>
      <c r="W11" s="7">
        <v>11321.756955270001</v>
      </c>
      <c r="X11" s="7">
        <v>11485.774089279999</v>
      </c>
      <c r="Y11" s="7">
        <v>11618.36873616</v>
      </c>
      <c r="Z11" s="7">
        <v>12031.264762549999</v>
      </c>
      <c r="AA11" s="7">
        <v>12459.196331200001</v>
      </c>
      <c r="AB11" s="7">
        <v>12945.581387280001</v>
      </c>
      <c r="AC11" s="7">
        <v>13454.71656648</v>
      </c>
    </row>
    <row r="12" spans="1:29" x14ac:dyDescent="0.85">
      <c r="A12" t="s">
        <v>111</v>
      </c>
      <c r="B12" s="7">
        <v>17545.09239075</v>
      </c>
      <c r="C12" s="7">
        <v>17646.25117019</v>
      </c>
      <c r="D12" s="7">
        <v>17814.696417229999</v>
      </c>
      <c r="E12" s="7">
        <v>17992.72915169</v>
      </c>
      <c r="F12" s="7">
        <v>18256.06521312</v>
      </c>
      <c r="G12" s="7">
        <v>18529.66440808</v>
      </c>
      <c r="H12" s="7">
        <v>18822.30369637</v>
      </c>
      <c r="I12" s="7">
        <v>19664.75519127</v>
      </c>
      <c r="J12" s="7">
        <v>20340.661314630001</v>
      </c>
      <c r="K12" s="7">
        <v>21034.357328639999</v>
      </c>
      <c r="L12" s="7">
        <v>21749.964836309999</v>
      </c>
      <c r="M12" s="7">
        <v>24161.335088979999</v>
      </c>
      <c r="N12" s="7">
        <v>26694.473410070001</v>
      </c>
      <c r="O12" s="7">
        <v>28795.455956810001</v>
      </c>
      <c r="P12" s="7">
        <v>30190.664780079998</v>
      </c>
      <c r="Q12" s="7">
        <v>31618.42394027</v>
      </c>
      <c r="R12" s="7">
        <v>33042.4411253</v>
      </c>
      <c r="S12" s="7">
        <v>34458.739917450002</v>
      </c>
      <c r="T12" s="7">
        <v>35866.767896730002</v>
      </c>
      <c r="U12" s="7">
        <v>37197.768514609998</v>
      </c>
      <c r="V12" s="7">
        <v>38614.026827729998</v>
      </c>
      <c r="W12" s="7">
        <v>40035.936654860001</v>
      </c>
      <c r="X12" s="7">
        <v>41495.659901940002</v>
      </c>
      <c r="Y12" s="7">
        <v>43019.498773569998</v>
      </c>
      <c r="Z12" s="7">
        <v>44294.179931300001</v>
      </c>
      <c r="AA12" s="7">
        <v>45584.409839369997</v>
      </c>
      <c r="AB12" s="7">
        <v>46851.153287000001</v>
      </c>
      <c r="AC12" s="7">
        <v>48131.911685439998</v>
      </c>
    </row>
    <row r="13" spans="1:29" x14ac:dyDescent="0.85">
      <c r="A13" t="s">
        <v>112</v>
      </c>
      <c r="B13" s="7">
        <v>17545.09239075</v>
      </c>
      <c r="C13" s="7">
        <v>18782.573239469999</v>
      </c>
      <c r="D13" s="7">
        <v>20210.328703700001</v>
      </c>
      <c r="E13" s="7">
        <v>21771.282918370001</v>
      </c>
      <c r="F13" s="7">
        <v>23428.860818000001</v>
      </c>
      <c r="G13" s="7">
        <v>25165.403961119999</v>
      </c>
      <c r="H13" s="7">
        <v>26989.80705042</v>
      </c>
      <c r="I13" s="7">
        <v>28890.341958519999</v>
      </c>
      <c r="J13" s="7">
        <v>30752.383245569999</v>
      </c>
      <c r="K13" s="7">
        <v>32592.149462469999</v>
      </c>
      <c r="L13" s="7">
        <v>34405.511397670001</v>
      </c>
      <c r="M13" s="7">
        <v>36156.610390870002</v>
      </c>
      <c r="N13" s="7">
        <v>37681.184830120001</v>
      </c>
      <c r="O13" s="7">
        <v>39173.109389869998</v>
      </c>
      <c r="P13" s="7">
        <v>40659.236182480003</v>
      </c>
      <c r="Q13" s="7">
        <v>42142.98718543</v>
      </c>
      <c r="R13" s="7">
        <v>43633.5546349</v>
      </c>
      <c r="S13" s="7">
        <v>45133.705689579998</v>
      </c>
      <c r="T13" s="7">
        <v>46650.489499050003</v>
      </c>
      <c r="U13" s="7">
        <v>48192.828871389996</v>
      </c>
      <c r="V13" s="7">
        <v>49762.225263959997</v>
      </c>
      <c r="W13" s="7">
        <v>51357.693610130002</v>
      </c>
      <c r="X13" s="7">
        <v>52981.433991220001</v>
      </c>
      <c r="Y13" s="7">
        <v>54637.86750973</v>
      </c>
      <c r="Z13" s="7">
        <v>56325.444693849997</v>
      </c>
      <c r="AA13" s="7">
        <v>58043.60617056</v>
      </c>
      <c r="AB13" s="7">
        <v>59796.73467428</v>
      </c>
      <c r="AC13" s="7">
        <v>61586.628251920003</v>
      </c>
    </row>
    <row r="14" spans="1:29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</row>
    <row r="15" spans="1:29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</row>
    <row r="16" spans="1:29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</row>
    <row r="17" spans="1:29" x14ac:dyDescent="0.85">
      <c r="A17" t="s">
        <v>115</v>
      </c>
      <c r="B17" s="7">
        <v>16897</v>
      </c>
      <c r="C17" s="7">
        <v>16340.514708369999</v>
      </c>
      <c r="D17" s="7">
        <v>15842.017470860001</v>
      </c>
      <c r="E17" s="7">
        <v>15355.642995939999</v>
      </c>
      <c r="F17" s="7">
        <v>16169.91698924</v>
      </c>
      <c r="G17" s="7">
        <v>16996.998810919999</v>
      </c>
      <c r="H17" s="7">
        <v>17836.393197419999</v>
      </c>
      <c r="I17" s="7">
        <v>18689.406707319999</v>
      </c>
      <c r="J17" s="7">
        <v>19599.0147947</v>
      </c>
      <c r="K17" s="7">
        <v>20549.472723350002</v>
      </c>
      <c r="L17" s="7">
        <v>21541.491787970001</v>
      </c>
      <c r="M17" s="7">
        <v>22576.133451919999</v>
      </c>
      <c r="N17" s="7">
        <v>23654.982827330001</v>
      </c>
      <c r="O17" s="7">
        <v>24780.792648049999</v>
      </c>
      <c r="P17" s="7">
        <v>25956.19546988</v>
      </c>
      <c r="Q17" s="7">
        <v>27182.317385810002</v>
      </c>
      <c r="R17" s="7">
        <v>28460.586830609998</v>
      </c>
      <c r="S17" s="7">
        <v>29792.459485060001</v>
      </c>
      <c r="T17" s="7">
        <v>31179.4307458</v>
      </c>
      <c r="U17" s="7">
        <v>32623.03758113</v>
      </c>
      <c r="V17" s="7">
        <v>33350.610400650003</v>
      </c>
      <c r="W17" s="7">
        <v>33888.476176960001</v>
      </c>
      <c r="X17" s="7">
        <v>34434.244271269999</v>
      </c>
      <c r="Y17" s="7">
        <v>35100.427167709997</v>
      </c>
      <c r="Z17" s="7">
        <v>36054.103591350002</v>
      </c>
      <c r="AA17" s="7">
        <v>37197.148005319999</v>
      </c>
      <c r="AB17" s="7">
        <v>38337.282243319998</v>
      </c>
      <c r="AC17" s="7">
        <v>39566.105538420001</v>
      </c>
    </row>
    <row r="18" spans="1:29" x14ac:dyDescent="0.85">
      <c r="A18" t="s">
        <v>116</v>
      </c>
      <c r="B18" s="7">
        <v>38171545.5</v>
      </c>
      <c r="C18" s="7">
        <v>36914404.964426503</v>
      </c>
      <c r="D18" s="7">
        <v>35788263.638561003</v>
      </c>
      <c r="E18" s="7">
        <v>34689508.510473303</v>
      </c>
      <c r="F18" s="7">
        <v>36529012.374156497</v>
      </c>
      <c r="G18" s="7">
        <v>38397450.048794597</v>
      </c>
      <c r="H18" s="7">
        <v>40293702.698193297</v>
      </c>
      <c r="I18" s="7">
        <v>42220721.932679303</v>
      </c>
      <c r="J18" s="7">
        <v>44275592.412332296</v>
      </c>
      <c r="K18" s="7">
        <v>46422745.638896704</v>
      </c>
      <c r="L18" s="7">
        <v>48663788.478557996</v>
      </c>
      <c r="M18" s="7">
        <v>50986935.771646298</v>
      </c>
      <c r="N18" s="7">
        <v>52989482.722462602</v>
      </c>
      <c r="O18" s="7">
        <v>54444957.690294303</v>
      </c>
      <c r="P18" s="7">
        <v>56048638.180716701</v>
      </c>
      <c r="Q18" s="7">
        <v>57536984.939294599</v>
      </c>
      <c r="R18" s="7">
        <v>58979830.848147601</v>
      </c>
      <c r="S18" s="7">
        <v>60429748.351845399</v>
      </c>
      <c r="T18" s="7">
        <v>61913734.711878598</v>
      </c>
      <c r="U18" s="7">
        <v>63554356.6545147</v>
      </c>
      <c r="V18" s="7">
        <v>63766441.714625597</v>
      </c>
      <c r="W18" s="7">
        <v>63645802.284538902</v>
      </c>
      <c r="X18" s="7">
        <v>63501655.736777999</v>
      </c>
      <c r="Y18" s="7">
        <v>63484996.2335627</v>
      </c>
      <c r="Z18" s="7">
        <v>64482875.375691801</v>
      </c>
      <c r="AA18" s="7">
        <v>65820519.073406897</v>
      </c>
      <c r="AB18" s="7">
        <v>67214928.470748499</v>
      </c>
      <c r="AC18" s="7">
        <v>68767346.344769195</v>
      </c>
    </row>
    <row r="19" spans="1:29" x14ac:dyDescent="0.85">
      <c r="A19" t="s">
        <v>117</v>
      </c>
      <c r="B19" s="7">
        <v>38171545.5</v>
      </c>
      <c r="C19" s="7">
        <v>36914404.964426503</v>
      </c>
      <c r="D19" s="7">
        <v>35788263.638561003</v>
      </c>
      <c r="E19" s="7">
        <v>34689508.510473303</v>
      </c>
      <c r="F19" s="7">
        <v>36529012.374156497</v>
      </c>
      <c r="G19" s="7">
        <v>38397450.048794597</v>
      </c>
      <c r="H19" s="7">
        <v>40293702.698193297</v>
      </c>
      <c r="I19" s="7">
        <v>42220721.932679303</v>
      </c>
      <c r="J19" s="7">
        <v>44275592.412332296</v>
      </c>
      <c r="K19" s="7">
        <v>46422745.638896704</v>
      </c>
      <c r="L19" s="7">
        <v>48663788.478557996</v>
      </c>
      <c r="M19" s="7">
        <v>51001118.853887603</v>
      </c>
      <c r="N19" s="7">
        <v>53438317.647813998</v>
      </c>
      <c r="O19" s="7">
        <v>55981603.485288396</v>
      </c>
      <c r="P19" s="7">
        <v>58636923.500343502</v>
      </c>
      <c r="Q19" s="7">
        <v>61406821.618512698</v>
      </c>
      <c r="R19" s="7">
        <v>64294524.777268298</v>
      </c>
      <c r="S19" s="7">
        <v>67303321.464818999</v>
      </c>
      <c r="T19" s="7">
        <v>70436589.890365303</v>
      </c>
      <c r="U19" s="7">
        <v>73697802.176500499</v>
      </c>
      <c r="V19" s="7">
        <v>75341441.815776899</v>
      </c>
      <c r="W19" s="7">
        <v>76556519.519111797</v>
      </c>
      <c r="X19" s="7">
        <v>77789449.130553395</v>
      </c>
      <c r="Y19" s="7">
        <v>79294404.492020994</v>
      </c>
      <c r="Z19" s="7">
        <v>81448828.531627893</v>
      </c>
      <c r="AA19" s="7">
        <v>84031048.562195003</v>
      </c>
      <c r="AB19" s="7">
        <v>86606694.294683695</v>
      </c>
      <c r="AC19" s="7">
        <v>89382695.023837894</v>
      </c>
    </row>
    <row r="20" spans="1:29" x14ac:dyDescent="0.85">
      <c r="A20" t="s">
        <v>118</v>
      </c>
      <c r="B20" s="7">
        <v>3449.6552355099998</v>
      </c>
      <c r="C20" s="7">
        <v>3336.0443933699999</v>
      </c>
      <c r="D20" s="7">
        <v>3234.2722678199998</v>
      </c>
      <c r="E20" s="7">
        <v>3134.9750994599999</v>
      </c>
      <c r="F20" s="7">
        <v>3301.2155293699998</v>
      </c>
      <c r="G20" s="7">
        <v>3470.0707780100001</v>
      </c>
      <c r="H20" s="7">
        <v>3641.4397334499999</v>
      </c>
      <c r="I20" s="7">
        <v>3815.5891398799999</v>
      </c>
      <c r="J20" s="7">
        <v>4001.2927737099999</v>
      </c>
      <c r="K20" s="7">
        <v>4195.3362234200004</v>
      </c>
      <c r="L20" s="7">
        <v>4397.8647054000003</v>
      </c>
      <c r="M20" s="7">
        <v>4609.0949257299999</v>
      </c>
      <c r="N20" s="7">
        <v>4829.3504974999996</v>
      </c>
      <c r="O20" s="7">
        <v>5059.1934129399997</v>
      </c>
      <c r="P20" s="7">
        <v>5299.1611290000001</v>
      </c>
      <c r="Q20" s="7">
        <v>5549.4835463899999</v>
      </c>
      <c r="R20" s="7">
        <v>5810.4522912900002</v>
      </c>
      <c r="S20" s="7">
        <v>6082.3645523699997</v>
      </c>
      <c r="T20" s="7">
        <v>6365.5256265899998</v>
      </c>
      <c r="U20" s="7">
        <v>6660.2492980999996</v>
      </c>
      <c r="V20" s="7">
        <v>6808.7890025500001</v>
      </c>
      <c r="W20" s="7">
        <v>6918.5985244399999</v>
      </c>
      <c r="X20" s="7">
        <v>7030.0213665900001</v>
      </c>
      <c r="Y20" s="7">
        <v>7166.0278361700002</v>
      </c>
      <c r="Z20" s="7">
        <v>7360.7283669099997</v>
      </c>
      <c r="AA20" s="7">
        <v>7594.0898599000002</v>
      </c>
      <c r="AB20" s="7">
        <v>7826.8572176099997</v>
      </c>
      <c r="AC20" s="7">
        <v>8077.7311427699997</v>
      </c>
    </row>
    <row r="21" spans="1:29" x14ac:dyDescent="0.85">
      <c r="A21" t="s">
        <v>119</v>
      </c>
      <c r="B21" s="7">
        <v>0</v>
      </c>
      <c r="C21" s="7">
        <v>3.6914405000000001</v>
      </c>
      <c r="D21" s="7">
        <v>7.1576527299999997</v>
      </c>
      <c r="E21" s="7">
        <v>10.40685255</v>
      </c>
      <c r="F21" s="7">
        <v>14.61160495</v>
      </c>
      <c r="G21" s="7">
        <v>19.198725020000001</v>
      </c>
      <c r="H21" s="7">
        <v>24.17622162</v>
      </c>
      <c r="I21" s="7">
        <v>29.554505349999999</v>
      </c>
      <c r="J21" s="7">
        <v>35.42047393</v>
      </c>
      <c r="K21" s="7">
        <v>41.780471079999998</v>
      </c>
      <c r="L21" s="7">
        <v>48.663788480000001</v>
      </c>
      <c r="M21" s="7">
        <v>56.101230739999998</v>
      </c>
      <c r="N21" s="7">
        <v>64.125981179999997</v>
      </c>
      <c r="O21" s="7">
        <v>72.776084530000006</v>
      </c>
      <c r="P21" s="7">
        <v>82.091692899999998</v>
      </c>
      <c r="Q21" s="7">
        <v>92.110232429999996</v>
      </c>
      <c r="R21" s="7">
        <v>102.87123964</v>
      </c>
      <c r="S21" s="7">
        <v>114.41564649</v>
      </c>
      <c r="T21" s="7">
        <v>126.78586180000001</v>
      </c>
      <c r="U21" s="7">
        <v>140.02582414</v>
      </c>
      <c r="V21" s="7">
        <v>150.68288362999999</v>
      </c>
      <c r="W21" s="7">
        <v>160.76869099000001</v>
      </c>
      <c r="X21" s="7">
        <v>171.13678809000001</v>
      </c>
      <c r="Y21" s="7">
        <v>182.37713033</v>
      </c>
      <c r="Z21" s="7">
        <v>195.47718848</v>
      </c>
      <c r="AA21" s="7">
        <v>210.07762141000001</v>
      </c>
      <c r="AB21" s="7">
        <v>225.17740516999999</v>
      </c>
      <c r="AC21" s="7">
        <v>241.33327656</v>
      </c>
    </row>
    <row r="22" spans="1:29" x14ac:dyDescent="0.85">
      <c r="A22" t="s">
        <v>120</v>
      </c>
      <c r="B22" s="7">
        <v>0.19085773</v>
      </c>
      <c r="C22" s="7">
        <v>0.18457202</v>
      </c>
      <c r="D22" s="7">
        <v>0.17894131999999999</v>
      </c>
      <c r="E22" s="7">
        <v>0.17344754000000001</v>
      </c>
      <c r="F22" s="7">
        <v>0.18264506</v>
      </c>
      <c r="G22" s="7">
        <v>0.19198725</v>
      </c>
      <c r="H22" s="7">
        <v>0.20146850999999999</v>
      </c>
      <c r="I22" s="7">
        <v>0.21110361</v>
      </c>
      <c r="J22" s="7">
        <v>0.22137796000000001</v>
      </c>
      <c r="K22" s="7">
        <v>0.23211372999999999</v>
      </c>
      <c r="L22" s="7">
        <v>0.24331894000000001</v>
      </c>
      <c r="M22" s="7">
        <v>0.25500559</v>
      </c>
      <c r="N22" s="7">
        <v>0.26719158999999998</v>
      </c>
      <c r="O22" s="7">
        <v>0.27990801999999998</v>
      </c>
      <c r="P22" s="7">
        <v>0.29318462000000001</v>
      </c>
      <c r="Q22" s="7">
        <v>0.30703411000000003</v>
      </c>
      <c r="R22" s="7">
        <v>0.32147261999999999</v>
      </c>
      <c r="S22" s="7">
        <v>0.33651660999999999</v>
      </c>
      <c r="T22" s="7">
        <v>0.35218294999999999</v>
      </c>
      <c r="U22" s="7">
        <v>0.36848901000000001</v>
      </c>
      <c r="V22" s="7">
        <v>0.37670721000000001</v>
      </c>
      <c r="W22" s="7">
        <v>0.38278259999999997</v>
      </c>
      <c r="X22" s="7">
        <v>0.38894725000000002</v>
      </c>
      <c r="Y22" s="7">
        <v>0.39647201999999998</v>
      </c>
      <c r="Z22" s="7">
        <v>0.40724413999999998</v>
      </c>
      <c r="AA22" s="7">
        <v>0.42015523999999999</v>
      </c>
      <c r="AB22" s="7">
        <v>0.43303346999999998</v>
      </c>
      <c r="AC22" s="7">
        <v>0.44691347999999997</v>
      </c>
    </row>
    <row r="23" spans="1:29" x14ac:dyDescent="0.85">
      <c r="A23" t="s">
        <v>121</v>
      </c>
      <c r="B23" s="7">
        <v>3449.6552355099998</v>
      </c>
      <c r="C23" s="7">
        <v>3336.0443933699999</v>
      </c>
      <c r="D23" s="7">
        <v>3234.2722678199998</v>
      </c>
      <c r="E23" s="7">
        <v>3134.9750994599999</v>
      </c>
      <c r="F23" s="7">
        <v>3301.2155293699998</v>
      </c>
      <c r="G23" s="7">
        <v>3470.0707780100001</v>
      </c>
      <c r="H23" s="7">
        <v>3641.4397334499999</v>
      </c>
      <c r="I23" s="7">
        <v>3815.5891398799999</v>
      </c>
      <c r="J23" s="7">
        <v>4001.2927737099999</v>
      </c>
      <c r="K23" s="7">
        <v>4195.3362234200004</v>
      </c>
      <c r="L23" s="7">
        <v>4397.8647054000003</v>
      </c>
      <c r="M23" s="7">
        <v>4609.0949257299999</v>
      </c>
      <c r="N23" s="7">
        <v>4829.3504974999996</v>
      </c>
      <c r="O23" s="7">
        <v>5059.1934129399997</v>
      </c>
      <c r="P23" s="7">
        <v>5299.1611290000001</v>
      </c>
      <c r="Q23" s="7">
        <v>5549.4835463899999</v>
      </c>
      <c r="R23" s="7">
        <v>5810.4522912900002</v>
      </c>
      <c r="S23" s="7">
        <v>6082.3645523699997</v>
      </c>
      <c r="T23" s="7">
        <v>6365.5256265899998</v>
      </c>
      <c r="U23" s="7">
        <v>6660.2492980999996</v>
      </c>
      <c r="V23" s="7">
        <v>6808.7890025500001</v>
      </c>
      <c r="W23" s="7">
        <v>6918.5985244399999</v>
      </c>
      <c r="X23" s="7">
        <v>7030.0213665900001</v>
      </c>
      <c r="Y23" s="7">
        <v>7166.0278361700002</v>
      </c>
      <c r="Z23" s="7">
        <v>7360.7283669099997</v>
      </c>
      <c r="AA23" s="7">
        <v>7594.0898599000002</v>
      </c>
      <c r="AB23" s="7">
        <v>7826.8572176099997</v>
      </c>
      <c r="AC23" s="7">
        <v>8077.7311427699997</v>
      </c>
    </row>
    <row r="24" spans="1:29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</row>
    <row r="25" spans="1:29" x14ac:dyDescent="0.85">
      <c r="A25" t="s">
        <v>123</v>
      </c>
      <c r="B25" s="7">
        <v>1</v>
      </c>
      <c r="C25" s="7">
        <v>1.03333333</v>
      </c>
      <c r="D25" s="7">
        <v>1.0004131300000001</v>
      </c>
      <c r="E25" s="7">
        <v>1.0029239700000001</v>
      </c>
      <c r="F25" s="7">
        <v>1.0027225399999999</v>
      </c>
      <c r="G25" s="7">
        <v>1.08738595</v>
      </c>
      <c r="H25" s="7">
        <v>1.0855627699999999</v>
      </c>
      <c r="I25" s="7">
        <v>1.0839462</v>
      </c>
      <c r="J25" s="7">
        <v>1.0839562</v>
      </c>
      <c r="K25" s="7">
        <v>1.0846401999999999</v>
      </c>
      <c r="L25" s="7">
        <v>1.0844120799999999</v>
      </c>
      <c r="M25" s="7">
        <v>1.0841591500000001</v>
      </c>
      <c r="N25" s="7">
        <v>1.08390776</v>
      </c>
      <c r="O25" s="7">
        <v>1.08370682</v>
      </c>
      <c r="P25" s="7">
        <v>1.08354036</v>
      </c>
      <c r="Q25" s="7">
        <v>1.08333978</v>
      </c>
      <c r="R25" s="7">
        <v>1.0831201100000001</v>
      </c>
      <c r="S25" s="7">
        <v>1.0828835400000001</v>
      </c>
      <c r="T25" s="7">
        <v>1.08263252</v>
      </c>
      <c r="U25" s="7">
        <v>1.08236928</v>
      </c>
      <c r="V25" s="7">
        <v>1.08209508</v>
      </c>
      <c r="W25" s="7">
        <v>1.05755423</v>
      </c>
      <c r="X25" s="7">
        <v>1.0511664999999999</v>
      </c>
      <c r="Y25" s="7">
        <v>1.0511429299999999</v>
      </c>
      <c r="Z25" s="7">
        <v>1.0544963999999999</v>
      </c>
      <c r="AA25" s="7">
        <v>1.06258959</v>
      </c>
      <c r="AB25" s="7">
        <v>1.06727957</v>
      </c>
      <c r="AC25" s="7">
        <v>1.0661908099999999</v>
      </c>
    </row>
    <row r="26" spans="1:29" x14ac:dyDescent="0.85">
      <c r="A26" t="s">
        <v>124</v>
      </c>
      <c r="B26" s="7">
        <v>1</v>
      </c>
      <c r="C26" s="7">
        <v>1.0004131300000001</v>
      </c>
      <c r="D26" s="7">
        <v>1.0029239700000001</v>
      </c>
      <c r="E26" s="7">
        <v>1.0027225399999999</v>
      </c>
      <c r="F26" s="7">
        <v>1.08933897</v>
      </c>
      <c r="G26" s="7">
        <v>1.0873959499999999</v>
      </c>
      <c r="H26" s="7">
        <v>1.08557054</v>
      </c>
      <c r="I26" s="7">
        <v>1.0839562</v>
      </c>
      <c r="J26" s="7">
        <v>1.0848307399999999</v>
      </c>
      <c r="K26" s="7">
        <v>1.0846502</v>
      </c>
      <c r="L26" s="7">
        <v>1.08442207</v>
      </c>
      <c r="M26" s="7">
        <v>1.0841691499999999</v>
      </c>
      <c r="N26" s="7">
        <v>1.0839177600000001</v>
      </c>
      <c r="O26" s="7">
        <v>1.08371682</v>
      </c>
      <c r="P26" s="7">
        <v>1.08355036</v>
      </c>
      <c r="Q26" s="7">
        <v>1.08334978</v>
      </c>
      <c r="R26" s="7">
        <v>1.0831301099999999</v>
      </c>
      <c r="S26" s="7">
        <v>1.0828935399999999</v>
      </c>
      <c r="T26" s="7">
        <v>1.0826425200000001</v>
      </c>
      <c r="U26" s="7">
        <v>1.0823792800000001</v>
      </c>
      <c r="V26" s="7">
        <v>1.05755423</v>
      </c>
      <c r="W26" s="7">
        <v>1.0511664999999999</v>
      </c>
      <c r="X26" s="7">
        <v>1.0511429299999999</v>
      </c>
      <c r="Y26" s="7">
        <v>1.0544963999999999</v>
      </c>
      <c r="Z26" s="7">
        <v>1.06258959</v>
      </c>
      <c r="AA26" s="7">
        <v>1.06727957</v>
      </c>
      <c r="AB26" s="7">
        <v>1.0661908099999999</v>
      </c>
      <c r="AC26" s="7">
        <v>1.0676409899999999</v>
      </c>
    </row>
    <row r="27" spans="1:29" x14ac:dyDescent="0.85">
      <c r="A27" t="s">
        <v>125</v>
      </c>
      <c r="B27" s="7">
        <v>1</v>
      </c>
      <c r="C27" s="7">
        <v>1.0815812600000001</v>
      </c>
      <c r="D27" s="7">
        <v>1.0838564799999999</v>
      </c>
      <c r="E27" s="7">
        <v>1.0865446400000001</v>
      </c>
      <c r="F27" s="7">
        <v>1.08940507</v>
      </c>
      <c r="G27" s="7">
        <v>1.0873959499999999</v>
      </c>
      <c r="H27" s="7">
        <v>1.08557277</v>
      </c>
      <c r="I27" s="7">
        <v>1.0839562</v>
      </c>
      <c r="J27" s="7">
        <v>1.0848307399999999</v>
      </c>
      <c r="K27" s="7">
        <v>1.0846502</v>
      </c>
      <c r="L27" s="7">
        <v>1.08442208</v>
      </c>
      <c r="M27" s="7">
        <v>1.0841691499999999</v>
      </c>
      <c r="N27" s="7">
        <v>1.0839177600000001</v>
      </c>
      <c r="O27" s="7">
        <v>1.08371682</v>
      </c>
      <c r="P27" s="7">
        <v>1.08355036</v>
      </c>
      <c r="Q27" s="7">
        <v>1.08334978</v>
      </c>
      <c r="R27" s="7">
        <v>1.0831301099999999</v>
      </c>
      <c r="S27" s="7">
        <v>1.0828935399999999</v>
      </c>
      <c r="T27" s="7">
        <v>1.0826425200000001</v>
      </c>
      <c r="U27" s="7">
        <v>1.0823792800000001</v>
      </c>
      <c r="V27" s="7">
        <v>1.0821050800000001</v>
      </c>
      <c r="W27" s="7">
        <v>1.08285013</v>
      </c>
      <c r="X27" s="7">
        <v>1.0838576600000001</v>
      </c>
      <c r="Y27" s="7">
        <v>1.08485809</v>
      </c>
      <c r="Z27" s="7">
        <v>1.0856972499999999</v>
      </c>
      <c r="AA27" s="7">
        <v>1.08586483</v>
      </c>
      <c r="AB27" s="7">
        <v>1.08572142</v>
      </c>
      <c r="AC27" s="7">
        <v>1.08564533</v>
      </c>
    </row>
    <row r="28" spans="1:29" x14ac:dyDescent="0.85">
      <c r="A28" t="s">
        <v>126</v>
      </c>
      <c r="B28" s="7">
        <v>5754</v>
      </c>
      <c r="C28" s="7">
        <v>5523.84</v>
      </c>
      <c r="D28" s="7">
        <v>5302.88651854</v>
      </c>
      <c r="E28" s="7">
        <v>5090.7711516400004</v>
      </c>
      <c r="F28" s="7">
        <v>4887.1403055700002</v>
      </c>
      <c r="G28" s="7">
        <v>4691.6547005800003</v>
      </c>
      <c r="H28" s="7">
        <v>4503.98865776</v>
      </c>
      <c r="I28" s="7">
        <v>5971.0536514200003</v>
      </c>
      <c r="J28" s="7">
        <v>7504.6077614200003</v>
      </c>
      <c r="K28" s="7">
        <v>9082.1051115499995</v>
      </c>
      <c r="L28" s="7">
        <v>10704.44764079</v>
      </c>
      <c r="M28" s="7">
        <v>12373.028546310001</v>
      </c>
      <c r="N28" s="7">
        <v>14089.97415029</v>
      </c>
      <c r="O28" s="7">
        <v>15859.05054756</v>
      </c>
      <c r="P28" s="7">
        <v>17683.82997273</v>
      </c>
      <c r="Q28" s="7">
        <v>19565.730265580001</v>
      </c>
      <c r="R28" s="7">
        <v>21506.590083620002</v>
      </c>
      <c r="S28" s="7">
        <v>23508.27667974</v>
      </c>
      <c r="T28" s="7">
        <v>25572.703502330001</v>
      </c>
      <c r="U28" s="7">
        <v>27701.832746849999</v>
      </c>
      <c r="V28" s="7">
        <v>29897.643217010002</v>
      </c>
      <c r="W28" s="7">
        <v>32143.59983911</v>
      </c>
      <c r="X28" s="7">
        <v>34435.806354220003</v>
      </c>
      <c r="Y28" s="7">
        <v>36774.940968329996</v>
      </c>
      <c r="Z28" s="7">
        <v>38510.266373099999</v>
      </c>
      <c r="AA28" s="7">
        <v>40079.483488780003</v>
      </c>
      <c r="AB28" s="7">
        <v>41755.052385460003</v>
      </c>
      <c r="AC28" s="7">
        <v>43407.218927000002</v>
      </c>
    </row>
    <row r="29" spans="1:29" x14ac:dyDescent="0.85">
      <c r="A29" t="s">
        <v>127</v>
      </c>
      <c r="B29" s="7">
        <v>17533437</v>
      </c>
      <c r="C29" s="7">
        <v>16832099.133076102</v>
      </c>
      <c r="D29" s="7">
        <v>16158815.528956899</v>
      </c>
      <c r="E29" s="7">
        <v>15512463.1937584</v>
      </c>
      <c r="F29" s="7">
        <v>14891964.615460699</v>
      </c>
      <c r="G29" s="7">
        <v>14296286.0528797</v>
      </c>
      <c r="H29" s="7">
        <v>13724435.053211</v>
      </c>
      <c r="I29" s="7">
        <v>18194836.680355001</v>
      </c>
      <c r="J29" s="7">
        <v>22867842.183405101</v>
      </c>
      <c r="K29" s="7">
        <v>27674750.364905201</v>
      </c>
      <c r="L29" s="7">
        <v>32618309.589514099</v>
      </c>
      <c r="M29" s="7">
        <v>37692280.274939798</v>
      </c>
      <c r="N29" s="7">
        <v>42573983.4876329</v>
      </c>
      <c r="O29" s="7">
        <v>46998792.741673499</v>
      </c>
      <c r="P29" s="7">
        <v>51507136.658179097</v>
      </c>
      <c r="Q29" s="7">
        <v>55862932.656964198</v>
      </c>
      <c r="R29" s="7">
        <v>60117135.345170997</v>
      </c>
      <c r="S29" s="7">
        <v>64317961.283007704</v>
      </c>
      <c r="T29" s="7">
        <v>68495574.335047007</v>
      </c>
      <c r="U29" s="7">
        <v>72794150.357883707</v>
      </c>
      <c r="V29" s="7">
        <v>77106750.180121303</v>
      </c>
      <c r="W29" s="7">
        <v>81429034.504826993</v>
      </c>
      <c r="X29" s="7">
        <v>85658762.974781707</v>
      </c>
      <c r="Y29" s="7">
        <v>89717616.801100001</v>
      </c>
      <c r="Z29" s="7">
        <v>92903754.098583594</v>
      </c>
      <c r="AA29" s="7">
        <v>95662301.318524599</v>
      </c>
      <c r="AB29" s="7">
        <v>98746224.496661797</v>
      </c>
      <c r="AC29" s="7">
        <v>101762547.51360001</v>
      </c>
    </row>
    <row r="30" spans="1:29" x14ac:dyDescent="0.85">
      <c r="A30" t="s">
        <v>128</v>
      </c>
      <c r="B30" s="7">
        <v>17533437</v>
      </c>
      <c r="C30" s="7">
        <v>16832099.133076102</v>
      </c>
      <c r="D30" s="7">
        <v>16158815.528956899</v>
      </c>
      <c r="E30" s="7">
        <v>15512463.1937584</v>
      </c>
      <c r="F30" s="7">
        <v>14891964.615460699</v>
      </c>
      <c r="G30" s="7">
        <v>14296286.0528797</v>
      </c>
      <c r="H30" s="7">
        <v>13724435.053211</v>
      </c>
      <c r="I30" s="7">
        <v>18194836.680355001</v>
      </c>
      <c r="J30" s="7">
        <v>22867842.183405101</v>
      </c>
      <c r="K30" s="7">
        <v>27674750.364905201</v>
      </c>
      <c r="L30" s="7">
        <v>32618309.589514099</v>
      </c>
      <c r="M30" s="7">
        <v>37702765.170784503</v>
      </c>
      <c r="N30" s="7">
        <v>42934596.3813399</v>
      </c>
      <c r="O30" s="7">
        <v>48325279.165762797</v>
      </c>
      <c r="P30" s="7">
        <v>53885698.742748097</v>
      </c>
      <c r="Q30" s="7">
        <v>59620175.516191103</v>
      </c>
      <c r="R30" s="7">
        <v>65534312.194621801</v>
      </c>
      <c r="S30" s="7">
        <v>71633798.621632904</v>
      </c>
      <c r="T30" s="7">
        <v>77924465.406495705</v>
      </c>
      <c r="U30" s="7">
        <v>84412291.699292094</v>
      </c>
      <c r="V30" s="7">
        <v>91103307.258350804</v>
      </c>
      <c r="W30" s="7">
        <v>97947126.844618097</v>
      </c>
      <c r="X30" s="7">
        <v>104931877.881</v>
      </c>
      <c r="Y30" s="7">
        <v>112059626.978847</v>
      </c>
      <c r="Z30" s="7">
        <v>117347464.632021</v>
      </c>
      <c r="AA30" s="7">
        <v>122129141.502259</v>
      </c>
      <c r="AB30" s="7">
        <v>127234890.705245</v>
      </c>
      <c r="AC30" s="7">
        <v>132269328.870922</v>
      </c>
    </row>
    <row r="31" spans="1:29" x14ac:dyDescent="0.85">
      <c r="A31" t="s">
        <v>129</v>
      </c>
      <c r="B31" s="7">
        <v>1740.39021686</v>
      </c>
      <c r="C31" s="7">
        <v>1670.7746081800001</v>
      </c>
      <c r="D31" s="7">
        <v>1603.94365971</v>
      </c>
      <c r="E31" s="7">
        <v>1539.7859417100001</v>
      </c>
      <c r="F31" s="7">
        <v>1478.1945040400001</v>
      </c>
      <c r="G31" s="7">
        <v>1419.0667260600001</v>
      </c>
      <c r="H31" s="7">
        <v>1362.3041009399999</v>
      </c>
      <c r="I31" s="7">
        <v>1806.0415987599999</v>
      </c>
      <c r="J31" s="7">
        <v>2269.8898035000002</v>
      </c>
      <c r="K31" s="7">
        <v>2747.0293508200002</v>
      </c>
      <c r="L31" s="7">
        <v>3237.7330467299998</v>
      </c>
      <c r="M31" s="7">
        <v>3742.4222862199999</v>
      </c>
      <c r="N31" s="7">
        <v>4261.7402097599997</v>
      </c>
      <c r="O31" s="7">
        <v>4796.8259335499997</v>
      </c>
      <c r="P31" s="7">
        <v>5348.7599376300004</v>
      </c>
      <c r="Q31" s="7">
        <v>5917.9710705400003</v>
      </c>
      <c r="R31" s="7">
        <v>6505.0154639399998</v>
      </c>
      <c r="S31" s="7">
        <v>7110.4578986099996</v>
      </c>
      <c r="T31" s="7">
        <v>7734.8771279299999</v>
      </c>
      <c r="U31" s="7">
        <v>8378.8666495800007</v>
      </c>
      <c r="V31" s="7">
        <v>9043.0249847100004</v>
      </c>
      <c r="W31" s="7">
        <v>9722.3508332599995</v>
      </c>
      <c r="X31" s="7">
        <v>10415.66570881</v>
      </c>
      <c r="Y31" s="7">
        <v>11123.174745709999</v>
      </c>
      <c r="Z31" s="7">
        <v>11648.0519368</v>
      </c>
      <c r="AA31" s="7">
        <v>12122.6869935</v>
      </c>
      <c r="AB31" s="7">
        <v>12629.48986376</v>
      </c>
      <c r="AC31" s="7">
        <v>13129.214313799999</v>
      </c>
    </row>
    <row r="32" spans="1:29" x14ac:dyDescent="0.85">
      <c r="A32" t="s">
        <v>130</v>
      </c>
      <c r="B32" s="7">
        <v>0</v>
      </c>
      <c r="C32" s="7">
        <v>1.34656793</v>
      </c>
      <c r="D32" s="7">
        <v>2.5854104800000002</v>
      </c>
      <c r="E32" s="7">
        <v>3.7229911699999998</v>
      </c>
      <c r="F32" s="7">
        <v>4.7654286800000003</v>
      </c>
      <c r="G32" s="7">
        <v>5.71851442</v>
      </c>
      <c r="H32" s="7">
        <v>6.5877288299999996</v>
      </c>
      <c r="I32" s="7">
        <v>10.189108539999999</v>
      </c>
      <c r="J32" s="7">
        <v>14.635419000000001</v>
      </c>
      <c r="K32" s="7">
        <v>19.925820259999998</v>
      </c>
      <c r="L32" s="7">
        <v>26.094647670000001</v>
      </c>
      <c r="M32" s="7">
        <v>33.178433349999999</v>
      </c>
      <c r="N32" s="7">
        <v>41.217212529999998</v>
      </c>
      <c r="O32" s="7">
        <v>50.258290330000001</v>
      </c>
      <c r="P32" s="7">
        <v>60.351982589999999</v>
      </c>
      <c r="Q32" s="7">
        <v>71.544210620000001</v>
      </c>
      <c r="R32" s="7">
        <v>83.883919610000007</v>
      </c>
      <c r="S32" s="7">
        <v>97.421966130000001</v>
      </c>
      <c r="T32" s="7">
        <v>112.21123018999999</v>
      </c>
      <c r="U32" s="7">
        <v>128.30668338000001</v>
      </c>
      <c r="V32" s="7">
        <v>145.76529160999999</v>
      </c>
      <c r="W32" s="7">
        <v>164.5511731</v>
      </c>
      <c r="X32" s="7">
        <v>184.68010507</v>
      </c>
      <c r="Y32" s="7">
        <v>206.18971364000001</v>
      </c>
      <c r="Z32" s="7">
        <v>225.30713209000001</v>
      </c>
      <c r="AA32" s="7">
        <v>244.25828300000001</v>
      </c>
      <c r="AB32" s="7">
        <v>264.64857267000002</v>
      </c>
      <c r="AC32" s="7">
        <v>285.70175036000001</v>
      </c>
    </row>
    <row r="33" spans="1:29" x14ac:dyDescent="0.85">
      <c r="A33" t="s">
        <v>131</v>
      </c>
      <c r="B33" s="7">
        <v>7.0133749999999995E-2</v>
      </c>
      <c r="C33" s="7">
        <v>6.7328399999999997E-2</v>
      </c>
      <c r="D33" s="7">
        <v>6.463526E-2</v>
      </c>
      <c r="E33" s="7">
        <v>6.2049849999999997E-2</v>
      </c>
      <c r="F33" s="7">
        <v>5.956786E-2</v>
      </c>
      <c r="G33" s="7">
        <v>5.7185140000000002E-2</v>
      </c>
      <c r="H33" s="7">
        <v>5.489774E-2</v>
      </c>
      <c r="I33" s="7">
        <v>7.2779350000000007E-2</v>
      </c>
      <c r="J33" s="7">
        <v>9.1471369999999996E-2</v>
      </c>
      <c r="K33" s="7">
        <v>0.11069900000000001</v>
      </c>
      <c r="L33" s="7">
        <v>0.13047323999999999</v>
      </c>
      <c r="M33" s="7">
        <v>0.15081106</v>
      </c>
      <c r="N33" s="7">
        <v>0.17173838999999999</v>
      </c>
      <c r="O33" s="7">
        <v>0.19330111999999999</v>
      </c>
      <c r="P33" s="7">
        <v>0.21554279000000001</v>
      </c>
      <c r="Q33" s="7">
        <v>0.23848069999999999</v>
      </c>
      <c r="R33" s="7">
        <v>0.26213724999999999</v>
      </c>
      <c r="S33" s="7">
        <v>0.28653519</v>
      </c>
      <c r="T33" s="7">
        <v>0.31169785999999999</v>
      </c>
      <c r="U33" s="7">
        <v>0.33764917</v>
      </c>
      <c r="V33" s="7">
        <v>0.36441322999999998</v>
      </c>
      <c r="W33" s="7">
        <v>0.39178850999999998</v>
      </c>
      <c r="X33" s="7">
        <v>0.41972751000000003</v>
      </c>
      <c r="Y33" s="7">
        <v>0.44823850999999998</v>
      </c>
      <c r="Z33" s="7">
        <v>0.46938985999999999</v>
      </c>
      <c r="AA33" s="7">
        <v>0.48851656999999998</v>
      </c>
      <c r="AB33" s="7">
        <v>0.50893955999999996</v>
      </c>
      <c r="AC33" s="7">
        <v>0.52907731999999996</v>
      </c>
    </row>
    <row r="34" spans="1:29" x14ac:dyDescent="0.85">
      <c r="A34" t="s">
        <v>132</v>
      </c>
      <c r="B34" s="7">
        <v>1740.39021686</v>
      </c>
      <c r="C34" s="7">
        <v>1670.7746081800001</v>
      </c>
      <c r="D34" s="7">
        <v>1603.94365971</v>
      </c>
      <c r="E34" s="7">
        <v>1539.7859417100001</v>
      </c>
      <c r="F34" s="7">
        <v>1478.1945040400001</v>
      </c>
      <c r="G34" s="7">
        <v>1419.0667260600001</v>
      </c>
      <c r="H34" s="7">
        <v>1362.3041009399999</v>
      </c>
      <c r="I34" s="7">
        <v>1806.0415987599999</v>
      </c>
      <c r="J34" s="7">
        <v>2269.8898035000002</v>
      </c>
      <c r="K34" s="7">
        <v>2747.0293508200002</v>
      </c>
      <c r="L34" s="7">
        <v>3237.7330467299998</v>
      </c>
      <c r="M34" s="7">
        <v>3742.4222862199999</v>
      </c>
      <c r="N34" s="7">
        <v>4261.7402097599997</v>
      </c>
      <c r="O34" s="7">
        <v>4796.8259335499997</v>
      </c>
      <c r="P34" s="7">
        <v>5348.7599376300004</v>
      </c>
      <c r="Q34" s="7">
        <v>5917.9710705400003</v>
      </c>
      <c r="R34" s="7">
        <v>6505.0154639399998</v>
      </c>
      <c r="S34" s="7">
        <v>7110.4578986099996</v>
      </c>
      <c r="T34" s="7">
        <v>7734.8771279299999</v>
      </c>
      <c r="U34" s="7">
        <v>8378.8666495800007</v>
      </c>
      <c r="V34" s="7">
        <v>9043.0249847100004</v>
      </c>
      <c r="W34" s="7">
        <v>9722.3508332599995</v>
      </c>
      <c r="X34" s="7">
        <v>10415.66570881</v>
      </c>
      <c r="Y34" s="7">
        <v>11123.174745709999</v>
      </c>
      <c r="Z34" s="7">
        <v>11648.0519368</v>
      </c>
      <c r="AA34" s="7">
        <v>12122.6869935</v>
      </c>
      <c r="AB34" s="7">
        <v>12629.48986376</v>
      </c>
      <c r="AC34" s="7">
        <v>13129.214313799999</v>
      </c>
    </row>
    <row r="35" spans="1:29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</row>
    <row r="36" spans="1:29" x14ac:dyDescent="0.85">
      <c r="A36" t="s">
        <v>134</v>
      </c>
      <c r="B36" s="7">
        <v>1</v>
      </c>
      <c r="C36" s="7">
        <v>1.04</v>
      </c>
      <c r="D36" s="7">
        <v>0.99999998000000001</v>
      </c>
      <c r="E36" s="7">
        <v>1.0000000200000001</v>
      </c>
      <c r="F36" s="7">
        <v>1.0000000200000001</v>
      </c>
      <c r="G36" s="7">
        <v>1</v>
      </c>
      <c r="H36" s="7">
        <v>1</v>
      </c>
      <c r="I36" s="7">
        <v>1.00000003</v>
      </c>
      <c r="J36" s="7">
        <v>1.3091893800000001</v>
      </c>
      <c r="K36" s="7">
        <v>1.2606189999999999</v>
      </c>
      <c r="L36" s="7">
        <v>1.2277302800000001</v>
      </c>
      <c r="M36" s="7">
        <v>1.2040289</v>
      </c>
      <c r="N36" s="7">
        <v>1.1862037400000001</v>
      </c>
      <c r="O36" s="7">
        <v>1.1724438399999999</v>
      </c>
      <c r="P36" s="7">
        <v>1.1615132699999999</v>
      </c>
      <c r="Q36" s="7">
        <v>1.1525100699999999</v>
      </c>
      <c r="R36" s="7">
        <v>1.14498677</v>
      </c>
      <c r="S36" s="7">
        <v>1.1386078900000001</v>
      </c>
      <c r="T36" s="7">
        <v>1.13313273</v>
      </c>
      <c r="U36" s="7">
        <v>1.1283836300000001</v>
      </c>
      <c r="V36" s="7">
        <v>1.1242253</v>
      </c>
      <c r="W36" s="7">
        <v>1.1199082600000001</v>
      </c>
      <c r="X36" s="7">
        <v>1.1159394199999999</v>
      </c>
      <c r="Y36" s="7">
        <v>1.11242072</v>
      </c>
      <c r="Z36" s="7">
        <v>1.10935746</v>
      </c>
      <c r="AA36" s="7">
        <v>1.0908205399999999</v>
      </c>
      <c r="AB36" s="7">
        <v>1.0841125199999999</v>
      </c>
      <c r="AC36" s="7">
        <v>1.0852147400000001</v>
      </c>
    </row>
    <row r="37" spans="1:29" x14ac:dyDescent="0.85">
      <c r="A37" t="s">
        <v>135</v>
      </c>
      <c r="B37" s="7">
        <v>1</v>
      </c>
      <c r="C37" s="7">
        <v>0.99999998000000001</v>
      </c>
      <c r="D37" s="7">
        <v>1.0000000200000001</v>
      </c>
      <c r="E37" s="7">
        <v>1.0000000200000001</v>
      </c>
      <c r="F37" s="7">
        <v>1</v>
      </c>
      <c r="G37" s="7">
        <v>1</v>
      </c>
      <c r="H37" s="7">
        <v>1.00000003</v>
      </c>
      <c r="I37" s="7">
        <v>1.3809643</v>
      </c>
      <c r="J37" s="7">
        <v>1.3091993799999999</v>
      </c>
      <c r="K37" s="7">
        <v>1.260629</v>
      </c>
      <c r="L37" s="7">
        <v>1.2277402799999999</v>
      </c>
      <c r="M37" s="7">
        <v>1.2040389</v>
      </c>
      <c r="N37" s="7">
        <v>1.1862137399999999</v>
      </c>
      <c r="O37" s="7">
        <v>1.17245384</v>
      </c>
      <c r="P37" s="7">
        <v>1.16152327</v>
      </c>
      <c r="Q37" s="7">
        <v>1.15252007</v>
      </c>
      <c r="R37" s="7">
        <v>1.1449967700000001</v>
      </c>
      <c r="S37" s="7">
        <v>1.1386178899999999</v>
      </c>
      <c r="T37" s="7">
        <v>1.1331427300000001</v>
      </c>
      <c r="U37" s="7">
        <v>1.1283936299999999</v>
      </c>
      <c r="V37" s="7">
        <v>1.1242353</v>
      </c>
      <c r="W37" s="7">
        <v>1.1199182599999999</v>
      </c>
      <c r="X37" s="7">
        <v>1.11594942</v>
      </c>
      <c r="Y37" s="7">
        <v>1.1124243700000001</v>
      </c>
      <c r="Z37" s="7">
        <v>1.0908205399999999</v>
      </c>
      <c r="AA37" s="7">
        <v>1.0841125199999999</v>
      </c>
      <c r="AB37" s="7">
        <v>1.0852147400000001</v>
      </c>
      <c r="AC37" s="7">
        <v>1.0828834000000001</v>
      </c>
    </row>
    <row r="38" spans="1:29" x14ac:dyDescent="0.85">
      <c r="A38" t="s">
        <v>136</v>
      </c>
      <c r="B38" s="7">
        <v>1</v>
      </c>
      <c r="C38" s="7">
        <v>1.27772715</v>
      </c>
      <c r="D38" s="7">
        <v>1.28921636</v>
      </c>
      <c r="E38" s="7">
        <v>1.30332381</v>
      </c>
      <c r="F38" s="7">
        <v>1.3183647000000001</v>
      </c>
      <c r="G38" s="7">
        <v>1.3378034599999999</v>
      </c>
      <c r="H38" s="7">
        <v>1.35856461</v>
      </c>
      <c r="I38" s="7">
        <v>1.3809643</v>
      </c>
      <c r="J38" s="7">
        <v>1.3091993799999999</v>
      </c>
      <c r="K38" s="7">
        <v>1.260629</v>
      </c>
      <c r="L38" s="7">
        <v>1.2277402799999999</v>
      </c>
      <c r="M38" s="7">
        <v>1.2040389</v>
      </c>
      <c r="N38" s="7">
        <v>1.1862137399999999</v>
      </c>
      <c r="O38" s="7">
        <v>1.17245384</v>
      </c>
      <c r="P38" s="7">
        <v>1.16152327</v>
      </c>
      <c r="Q38" s="7">
        <v>1.15252007</v>
      </c>
      <c r="R38" s="7">
        <v>1.1449967700000001</v>
      </c>
      <c r="S38" s="7">
        <v>1.1386178899999999</v>
      </c>
      <c r="T38" s="7">
        <v>1.1331427300000001</v>
      </c>
      <c r="U38" s="7">
        <v>1.1283936299999999</v>
      </c>
      <c r="V38" s="7">
        <v>1.1242353</v>
      </c>
      <c r="W38" s="7">
        <v>1.1199182599999999</v>
      </c>
      <c r="X38" s="7">
        <v>1.11594942</v>
      </c>
      <c r="Y38" s="7">
        <v>1.1124307200000001</v>
      </c>
      <c r="Z38" s="7">
        <v>1.1093674600000001</v>
      </c>
      <c r="AA38" s="7">
        <v>1.10788274</v>
      </c>
      <c r="AB38" s="7">
        <v>1.10692933</v>
      </c>
      <c r="AC38" s="7">
        <v>1.1058989699999999</v>
      </c>
    </row>
    <row r="39" spans="1:29" x14ac:dyDescent="0.85">
      <c r="A39" t="s">
        <v>137</v>
      </c>
      <c r="B39" s="7">
        <v>2286</v>
      </c>
      <c r="C39" s="7">
        <v>2251.1972955199999</v>
      </c>
      <c r="D39" s="7">
        <v>2194.91736313</v>
      </c>
      <c r="E39" s="7">
        <v>2140.04442905</v>
      </c>
      <c r="F39" s="7">
        <v>2086.8429825100002</v>
      </c>
      <c r="G39" s="7">
        <v>2034.67191465</v>
      </c>
      <c r="H39" s="7">
        <v>1983.8051167799999</v>
      </c>
      <c r="I39" s="7">
        <v>1934.2100020800001</v>
      </c>
      <c r="J39" s="7">
        <v>1885.8547536000001</v>
      </c>
      <c r="K39" s="7">
        <v>1838.7083847599999</v>
      </c>
      <c r="L39" s="7">
        <v>1792.7406751399999</v>
      </c>
      <c r="M39" s="7">
        <v>3879.7182178799999</v>
      </c>
      <c r="N39" s="7">
        <v>6047.2784700800003</v>
      </c>
      <c r="O39" s="7">
        <v>7572.3756606899997</v>
      </c>
      <c r="P39" s="7">
        <v>8163.9038089300002</v>
      </c>
      <c r="Q39" s="7">
        <v>8745.5035051600007</v>
      </c>
      <c r="R39" s="7">
        <v>9273.5275675100002</v>
      </c>
      <c r="S39" s="7">
        <v>9744.8345151199992</v>
      </c>
      <c r="T39" s="7">
        <v>10159.25637126</v>
      </c>
      <c r="U39" s="7">
        <v>10436.258971900001</v>
      </c>
      <c r="V39" s="7">
        <v>10929.246304279999</v>
      </c>
      <c r="W39" s="7">
        <v>11440.10786853</v>
      </c>
      <c r="X39" s="7">
        <v>11966.22706883</v>
      </c>
      <c r="Y39" s="7">
        <v>12513.765000580001</v>
      </c>
      <c r="Z39" s="7">
        <v>12878.30973223</v>
      </c>
      <c r="AA39" s="7">
        <v>13259.544699550001</v>
      </c>
      <c r="AB39" s="7">
        <v>13573.394452099999</v>
      </c>
      <c r="AC39" s="7">
        <v>13881.25537318</v>
      </c>
    </row>
    <row r="40" spans="1:29" x14ac:dyDescent="0.85">
      <c r="A40" t="s">
        <v>138</v>
      </c>
      <c r="B40" s="7">
        <v>17091429.75</v>
      </c>
      <c r="C40" s="7">
        <v>16831225.034887001</v>
      </c>
      <c r="D40" s="7">
        <v>16410444.3186049</v>
      </c>
      <c r="E40" s="7">
        <v>16000183.205113901</v>
      </c>
      <c r="F40" s="7">
        <v>15602419.084021199</v>
      </c>
      <c r="G40" s="7">
        <v>15212358.6570234</v>
      </c>
      <c r="H40" s="7">
        <v>14832049.682359001</v>
      </c>
      <c r="I40" s="7">
        <v>14461248.5391213</v>
      </c>
      <c r="J40" s="7">
        <v>14099717.3373894</v>
      </c>
      <c r="K40" s="7">
        <v>13747223.090557201</v>
      </c>
      <c r="L40" s="7">
        <v>13403542.466100501</v>
      </c>
      <c r="M40" s="7">
        <v>29006966.044155098</v>
      </c>
      <c r="N40" s="7">
        <v>45212871.499985904</v>
      </c>
      <c r="O40" s="7">
        <v>56615360.015349202</v>
      </c>
      <c r="P40" s="7">
        <v>61037958.757482797</v>
      </c>
      <c r="Q40" s="7">
        <v>65386326.781252801</v>
      </c>
      <c r="R40" s="7">
        <v>69334133.087449804</v>
      </c>
      <c r="S40" s="7">
        <v>72857890.189926803</v>
      </c>
      <c r="T40" s="7">
        <v>75956342.199547693</v>
      </c>
      <c r="U40" s="7">
        <v>78027370.191695899</v>
      </c>
      <c r="V40" s="7">
        <v>81713222.103476107</v>
      </c>
      <c r="W40" s="7">
        <v>85532711.874441206</v>
      </c>
      <c r="X40" s="7">
        <v>89466276.3555291</v>
      </c>
      <c r="Y40" s="7">
        <v>93559979.377817407</v>
      </c>
      <c r="Z40" s="7">
        <v>96285521.816355094</v>
      </c>
      <c r="AA40" s="7">
        <v>99135849.889443502</v>
      </c>
      <c r="AB40" s="7">
        <v>101482368.013652</v>
      </c>
      <c r="AC40" s="7">
        <v>103784110.249202</v>
      </c>
    </row>
    <row r="41" spans="1:29" x14ac:dyDescent="0.85">
      <c r="A41" t="s">
        <v>139</v>
      </c>
      <c r="B41" s="7">
        <v>17091429.75</v>
      </c>
      <c r="C41" s="7">
        <v>16831225.034887001</v>
      </c>
      <c r="D41" s="7">
        <v>16410444.3186049</v>
      </c>
      <c r="E41" s="7">
        <v>16000183.205113901</v>
      </c>
      <c r="F41" s="7">
        <v>15602419.084021199</v>
      </c>
      <c r="G41" s="7">
        <v>15212358.6570234</v>
      </c>
      <c r="H41" s="7">
        <v>14832049.682359001</v>
      </c>
      <c r="I41" s="7">
        <v>14461248.5391213</v>
      </c>
      <c r="J41" s="7">
        <v>14099717.3373894</v>
      </c>
      <c r="K41" s="7">
        <v>13747223.090557201</v>
      </c>
      <c r="L41" s="7">
        <v>13403542.466100501</v>
      </c>
      <c r="M41" s="7">
        <v>29006966.044155098</v>
      </c>
      <c r="N41" s="7">
        <v>45212871.499985904</v>
      </c>
      <c r="O41" s="7">
        <v>56615360.015349202</v>
      </c>
      <c r="P41" s="7">
        <v>61037958.757482797</v>
      </c>
      <c r="Q41" s="7">
        <v>65386326.781252801</v>
      </c>
      <c r="R41" s="7">
        <v>69334133.087449804</v>
      </c>
      <c r="S41" s="7">
        <v>72857890.189926803</v>
      </c>
      <c r="T41" s="7">
        <v>75956342.199547693</v>
      </c>
      <c r="U41" s="7">
        <v>78027370.191695899</v>
      </c>
      <c r="V41" s="7">
        <v>81713222.103476107</v>
      </c>
      <c r="W41" s="7">
        <v>85532711.874441206</v>
      </c>
      <c r="X41" s="7">
        <v>89466276.3555291</v>
      </c>
      <c r="Y41" s="7">
        <v>93559979.377817407</v>
      </c>
      <c r="Z41" s="7">
        <v>96285521.816355094</v>
      </c>
      <c r="AA41" s="7">
        <v>99135849.889443502</v>
      </c>
      <c r="AB41" s="7">
        <v>101482368.013652</v>
      </c>
      <c r="AC41" s="7">
        <v>103784110.249202</v>
      </c>
    </row>
    <row r="42" spans="1:29" x14ac:dyDescent="0.85">
      <c r="A42" t="s">
        <v>140</v>
      </c>
      <c r="B42" s="7">
        <v>2638.4611737099999</v>
      </c>
      <c r="C42" s="7">
        <v>2598.2925015699998</v>
      </c>
      <c r="D42" s="7">
        <v>2533.3351881100002</v>
      </c>
      <c r="E42" s="7">
        <v>2470.0018083599998</v>
      </c>
      <c r="F42" s="7">
        <v>2408.5976303000002</v>
      </c>
      <c r="G42" s="7">
        <v>2348.3826972799998</v>
      </c>
      <c r="H42" s="7">
        <v>2289.6731297699998</v>
      </c>
      <c r="I42" s="7">
        <v>2232.4313167800001</v>
      </c>
      <c r="J42" s="7">
        <v>2176.6205356700002</v>
      </c>
      <c r="K42" s="7">
        <v>2122.2050089999998</v>
      </c>
      <c r="L42" s="7">
        <v>2069.1498833000001</v>
      </c>
      <c r="M42" s="7">
        <v>4477.9028049400004</v>
      </c>
      <c r="N42" s="7">
        <v>6979.6628782600001</v>
      </c>
      <c r="O42" s="7">
        <v>8739.9033400999997</v>
      </c>
      <c r="P42" s="7">
        <v>9422.6347668300004</v>
      </c>
      <c r="Q42" s="7">
        <v>10093.906948170001</v>
      </c>
      <c r="R42" s="7">
        <v>10703.343071380001</v>
      </c>
      <c r="S42" s="7">
        <v>11247.317294300001</v>
      </c>
      <c r="T42" s="7">
        <v>11725.63574111</v>
      </c>
      <c r="U42" s="7">
        <v>12045.34729043</v>
      </c>
      <c r="V42" s="7">
        <v>12614.344633660001</v>
      </c>
      <c r="W42" s="7">
        <v>13203.97210221</v>
      </c>
      <c r="X42" s="7">
        <v>13811.209667020001</v>
      </c>
      <c r="Y42" s="7">
        <v>14443.16835647</v>
      </c>
      <c r="Z42" s="7">
        <v>14863.919499899999</v>
      </c>
      <c r="AA42" s="7">
        <v>15303.934220990001</v>
      </c>
      <c r="AB42" s="7">
        <v>15666.17410758</v>
      </c>
      <c r="AC42" s="7">
        <v>16021.501789800001</v>
      </c>
    </row>
    <row r="43" spans="1:29" x14ac:dyDescent="0.85">
      <c r="A43" t="s">
        <v>141</v>
      </c>
      <c r="B43" s="7">
        <v>0</v>
      </c>
      <c r="C43" s="7">
        <v>1.0098735000000001</v>
      </c>
      <c r="D43" s="7">
        <v>1.96925332</v>
      </c>
      <c r="E43" s="7">
        <v>2.8800329800000002</v>
      </c>
      <c r="F43" s="7">
        <v>3.74458058</v>
      </c>
      <c r="G43" s="7">
        <v>4.5637075999999999</v>
      </c>
      <c r="H43" s="7">
        <v>5.3395378899999999</v>
      </c>
      <c r="I43" s="7">
        <v>6.0737243899999998</v>
      </c>
      <c r="J43" s="7">
        <v>6.7678643200000002</v>
      </c>
      <c r="K43" s="7">
        <v>7.4235004699999996</v>
      </c>
      <c r="L43" s="7">
        <v>8.0421254799999993</v>
      </c>
      <c r="M43" s="7">
        <v>19.14459759</v>
      </c>
      <c r="N43" s="7">
        <v>32.553267480000002</v>
      </c>
      <c r="O43" s="7">
        <v>44.15998081</v>
      </c>
      <c r="P43" s="7">
        <v>51.271885359999999</v>
      </c>
      <c r="Q43" s="7">
        <v>58.847694099999998</v>
      </c>
      <c r="R43" s="7">
        <v>66.560767760000005</v>
      </c>
      <c r="S43" s="7">
        <v>74.315047989999997</v>
      </c>
      <c r="T43" s="7">
        <v>82.032849580000004</v>
      </c>
      <c r="U43" s="7">
        <v>88.951202019999997</v>
      </c>
      <c r="V43" s="7">
        <v>98.055866519999995</v>
      </c>
      <c r="W43" s="7">
        <v>107.77121696</v>
      </c>
      <c r="X43" s="7">
        <v>118.09548479</v>
      </c>
      <c r="Y43" s="7">
        <v>129.11277154000001</v>
      </c>
      <c r="Z43" s="7">
        <v>138.65115141999999</v>
      </c>
      <c r="AA43" s="7">
        <v>148.70377482999999</v>
      </c>
      <c r="AB43" s="7">
        <v>158.31249410000001</v>
      </c>
      <c r="AC43" s="7">
        <v>168.13025859999999</v>
      </c>
    </row>
    <row r="44" spans="1:29" x14ac:dyDescent="0.85">
      <c r="A44" t="s">
        <v>142</v>
      </c>
      <c r="B44" s="7">
        <v>5.127429E-2</v>
      </c>
      <c r="C44" s="7">
        <v>5.0493679999999999E-2</v>
      </c>
      <c r="D44" s="7">
        <v>4.9231329999999997E-2</v>
      </c>
      <c r="E44" s="7">
        <v>4.8000550000000003E-2</v>
      </c>
      <c r="F44" s="7">
        <v>4.6807260000000003E-2</v>
      </c>
      <c r="G44" s="7">
        <v>4.5637079999999997E-2</v>
      </c>
      <c r="H44" s="7">
        <v>4.4496149999999998E-2</v>
      </c>
      <c r="I44" s="7">
        <v>4.3383749999999999E-2</v>
      </c>
      <c r="J44" s="7">
        <v>4.2299150000000001E-2</v>
      </c>
      <c r="K44" s="7">
        <v>4.1241670000000001E-2</v>
      </c>
      <c r="L44" s="7">
        <v>4.0210629999999997E-2</v>
      </c>
      <c r="M44" s="7">
        <v>8.7020899999999998E-2</v>
      </c>
      <c r="N44" s="7">
        <v>0.13563860999999999</v>
      </c>
      <c r="O44" s="7">
        <v>0.16984608000000001</v>
      </c>
      <c r="P44" s="7">
        <v>0.18311388000000001</v>
      </c>
      <c r="Q44" s="7">
        <v>0.19615898000000001</v>
      </c>
      <c r="R44" s="7">
        <v>0.2080024</v>
      </c>
      <c r="S44" s="7">
        <v>0.21857367</v>
      </c>
      <c r="T44" s="7">
        <v>0.22786903</v>
      </c>
      <c r="U44" s="7">
        <v>0.23408211000000001</v>
      </c>
      <c r="V44" s="7">
        <v>0.24513967</v>
      </c>
      <c r="W44" s="7">
        <v>0.25659813999999997</v>
      </c>
      <c r="X44" s="7">
        <v>0.26839882999999998</v>
      </c>
      <c r="Y44" s="7">
        <v>0.28067994000000002</v>
      </c>
      <c r="Z44" s="7">
        <v>0.28885656999999998</v>
      </c>
      <c r="AA44" s="7">
        <v>0.29740755000000002</v>
      </c>
      <c r="AB44" s="7">
        <v>0.30444710000000003</v>
      </c>
      <c r="AC44" s="7">
        <v>0.31135233000000001</v>
      </c>
    </row>
    <row r="45" spans="1:29" x14ac:dyDescent="0.85">
      <c r="A45" t="s">
        <v>143</v>
      </c>
      <c r="B45" s="7">
        <v>2465.6668189400002</v>
      </c>
      <c r="C45" s="7">
        <v>2428.1288164699999</v>
      </c>
      <c r="D45" s="7">
        <v>2367.42559605</v>
      </c>
      <c r="E45" s="7">
        <v>2308.2399561500001</v>
      </c>
      <c r="F45" s="7">
        <v>2250.8571733600002</v>
      </c>
      <c r="G45" s="7">
        <v>2194.5857512600001</v>
      </c>
      <c r="H45" s="7">
        <v>2139.7211074799998</v>
      </c>
      <c r="I45" s="7">
        <v>2086.22809405</v>
      </c>
      <c r="J45" s="7">
        <v>2034.0723933899999</v>
      </c>
      <c r="K45" s="7">
        <v>1983.2205835499999</v>
      </c>
      <c r="L45" s="7">
        <v>1933.6400689699999</v>
      </c>
      <c r="M45" s="7">
        <v>4184.6423782299998</v>
      </c>
      <c r="N45" s="7">
        <v>6522.56074739</v>
      </c>
      <c r="O45" s="7">
        <v>8167.5220503399996</v>
      </c>
      <c r="P45" s="7">
        <v>8805.5410037900001</v>
      </c>
      <c r="Q45" s="7">
        <v>9432.8511844200002</v>
      </c>
      <c r="R45" s="7">
        <v>10002.37498586</v>
      </c>
      <c r="S45" s="7">
        <v>10510.72402448</v>
      </c>
      <c r="T45" s="7">
        <v>10957.717121469999</v>
      </c>
      <c r="U45" s="7">
        <v>11256.49057779</v>
      </c>
      <c r="V45" s="7">
        <v>11788.2239582</v>
      </c>
      <c r="W45" s="7">
        <v>12339.23638516</v>
      </c>
      <c r="X45" s="7">
        <v>12906.70561307</v>
      </c>
      <c r="Y45" s="7">
        <v>13497.27696496</v>
      </c>
      <c r="Z45" s="7">
        <v>13890.472874339999</v>
      </c>
      <c r="AA45" s="7">
        <v>14301.670778600001</v>
      </c>
      <c r="AB45" s="7">
        <v>14640.187366960001</v>
      </c>
      <c r="AC45" s="7">
        <v>14972.24443518</v>
      </c>
    </row>
    <row r="46" spans="1:29" x14ac:dyDescent="0.85">
      <c r="A46" t="s">
        <v>144</v>
      </c>
      <c r="B46" s="7">
        <v>172.79435477000001</v>
      </c>
      <c r="C46" s="7">
        <v>170.16368510000001</v>
      </c>
      <c r="D46" s="7">
        <v>165.90959205999999</v>
      </c>
      <c r="E46" s="7">
        <v>161.76185219999999</v>
      </c>
      <c r="F46" s="7">
        <v>157.74045694</v>
      </c>
      <c r="G46" s="7">
        <v>153.79694602000001</v>
      </c>
      <c r="H46" s="7">
        <v>149.95202229</v>
      </c>
      <c r="I46" s="7">
        <v>146.20322272999999</v>
      </c>
      <c r="J46" s="7">
        <v>142.54814228000001</v>
      </c>
      <c r="K46" s="7">
        <v>138.98442545</v>
      </c>
      <c r="L46" s="7">
        <v>135.50981433000001</v>
      </c>
      <c r="M46" s="7">
        <v>293.26042670999999</v>
      </c>
      <c r="N46" s="7">
        <v>457.10213085999999</v>
      </c>
      <c r="O46" s="7">
        <v>572.38128975999996</v>
      </c>
      <c r="P46" s="7">
        <v>617.09376304</v>
      </c>
      <c r="Q46" s="7">
        <v>661.05576375999999</v>
      </c>
      <c r="R46" s="7">
        <v>700.96808551000004</v>
      </c>
      <c r="S46" s="7">
        <v>736.59326982000005</v>
      </c>
      <c r="T46" s="7">
        <v>767.91861963999997</v>
      </c>
      <c r="U46" s="7">
        <v>788.85671263999996</v>
      </c>
      <c r="V46" s="7">
        <v>826.12067547000004</v>
      </c>
      <c r="W46" s="7">
        <v>864.73571704999995</v>
      </c>
      <c r="X46" s="7">
        <v>904.50405394999996</v>
      </c>
      <c r="Y46" s="7">
        <v>945.89139150999995</v>
      </c>
      <c r="Z46" s="7">
        <v>973.44662556000003</v>
      </c>
      <c r="AA46" s="7">
        <v>1002.26344238</v>
      </c>
      <c r="AB46" s="7">
        <v>1025.9867406200001</v>
      </c>
      <c r="AC46" s="7">
        <v>1049.2573546199999</v>
      </c>
    </row>
    <row r="47" spans="1:29" x14ac:dyDescent="0.85">
      <c r="A47" t="s">
        <v>145</v>
      </c>
      <c r="B47" s="7">
        <v>1</v>
      </c>
      <c r="C47" s="7">
        <v>1.0249999999999999</v>
      </c>
      <c r="D47" s="7">
        <v>1.01002638</v>
      </c>
      <c r="E47" s="7">
        <v>0.99999998999999995</v>
      </c>
      <c r="F47" s="7">
        <v>1</v>
      </c>
      <c r="G47" s="7">
        <v>1.00014362</v>
      </c>
      <c r="H47" s="7">
        <v>1</v>
      </c>
      <c r="I47" s="7">
        <v>1</v>
      </c>
      <c r="J47" s="7">
        <v>1.0000000099999999</v>
      </c>
      <c r="K47" s="7">
        <v>1</v>
      </c>
      <c r="L47" s="7">
        <v>0.99999990000000005</v>
      </c>
      <c r="M47" s="7">
        <v>1</v>
      </c>
      <c r="N47" s="7">
        <v>1.5986574600000001</v>
      </c>
      <c r="O47" s="7">
        <v>1.40776064</v>
      </c>
      <c r="P47" s="7">
        <v>1.28430321</v>
      </c>
      <c r="Q47" s="7">
        <v>1.1057606</v>
      </c>
      <c r="R47" s="7">
        <v>1.0987080899999999</v>
      </c>
      <c r="S47" s="7">
        <v>1.08756578</v>
      </c>
      <c r="T47" s="7">
        <v>1.0777670100000001</v>
      </c>
      <c r="U47" s="7">
        <v>1.06925881</v>
      </c>
      <c r="V47" s="7">
        <v>1.05360619</v>
      </c>
      <c r="W47" s="7">
        <v>1.0740901899999999</v>
      </c>
      <c r="X47" s="7">
        <v>1.0735821699999999</v>
      </c>
      <c r="Y47" s="7">
        <v>1.07280924</v>
      </c>
      <c r="Z47" s="7">
        <v>1.0725712199999999</v>
      </c>
      <c r="AA47" s="7">
        <v>1.05551949</v>
      </c>
      <c r="AB47" s="7">
        <v>1.0560029500000001</v>
      </c>
      <c r="AC47" s="7">
        <v>1.04991766</v>
      </c>
    </row>
    <row r="48" spans="1:29" x14ac:dyDescent="0.85">
      <c r="A48" t="s">
        <v>146</v>
      </c>
      <c r="B48" s="7">
        <v>1</v>
      </c>
      <c r="C48" s="7">
        <v>1.01002638</v>
      </c>
      <c r="D48" s="7">
        <v>0.99999998999999995</v>
      </c>
      <c r="E48" s="7">
        <v>1</v>
      </c>
      <c r="F48" s="7">
        <v>1.00014362</v>
      </c>
      <c r="G48" s="7">
        <v>1</v>
      </c>
      <c r="H48" s="7">
        <v>1</v>
      </c>
      <c r="I48" s="7">
        <v>1.0000000099999999</v>
      </c>
      <c r="J48" s="7">
        <v>1</v>
      </c>
      <c r="K48" s="7">
        <v>0.99999990000000005</v>
      </c>
      <c r="L48" s="7">
        <v>1</v>
      </c>
      <c r="M48" s="7">
        <v>2.21961728</v>
      </c>
      <c r="N48" s="7">
        <v>1.5986565399999999</v>
      </c>
      <c r="O48" s="7">
        <v>1.28430321</v>
      </c>
      <c r="P48" s="7">
        <v>1.1057606</v>
      </c>
      <c r="Q48" s="7">
        <v>1.0987080899999999</v>
      </c>
      <c r="R48" s="7">
        <v>1.08756578</v>
      </c>
      <c r="S48" s="7">
        <v>1.0777670100000001</v>
      </c>
      <c r="T48" s="7">
        <v>1.06925881</v>
      </c>
      <c r="U48" s="7">
        <v>1.05360619</v>
      </c>
      <c r="V48" s="7">
        <v>1.0740901899999999</v>
      </c>
      <c r="W48" s="7">
        <v>1.0735821699999999</v>
      </c>
      <c r="X48" s="7">
        <v>1.07280924</v>
      </c>
      <c r="Y48" s="7">
        <v>1.0725712199999999</v>
      </c>
      <c r="Z48" s="7">
        <v>1.05551949</v>
      </c>
      <c r="AA48" s="7">
        <v>1.0560029500000001</v>
      </c>
      <c r="AB48" s="7">
        <v>1.04991766</v>
      </c>
      <c r="AC48" s="7">
        <v>1.0489037999999999</v>
      </c>
    </row>
    <row r="49" spans="1:29" x14ac:dyDescent="0.85">
      <c r="A49" t="s">
        <v>147</v>
      </c>
      <c r="B49" s="7">
        <v>1</v>
      </c>
      <c r="C49" s="7">
        <v>1.72817423</v>
      </c>
      <c r="D49" s="7">
        <v>1.74113289</v>
      </c>
      <c r="E49" s="7">
        <v>1.7672459199999999</v>
      </c>
      <c r="F49" s="7">
        <v>1.7948088200000001</v>
      </c>
      <c r="G49" s="7">
        <v>1.83247494</v>
      </c>
      <c r="H49" s="7">
        <v>1.87223534</v>
      </c>
      <c r="I49" s="7">
        <v>1.9146411299999999</v>
      </c>
      <c r="J49" s="7">
        <v>1.9946103799999999</v>
      </c>
      <c r="K49" s="7">
        <v>2.06533151</v>
      </c>
      <c r="L49" s="7">
        <v>2.1401616699999999</v>
      </c>
      <c r="M49" s="7">
        <v>2.2196173799999999</v>
      </c>
      <c r="N49" s="7">
        <v>1.5986674599999999</v>
      </c>
      <c r="O49" s="7">
        <v>1.4077706400000001</v>
      </c>
      <c r="P49" s="7">
        <v>1.34356327</v>
      </c>
      <c r="Q49" s="7">
        <v>1.3333620799999999</v>
      </c>
      <c r="R49" s="7">
        <v>1.3252786000000001</v>
      </c>
      <c r="S49" s="7">
        <v>1.32030537</v>
      </c>
      <c r="T49" s="7">
        <v>1.31796092</v>
      </c>
      <c r="U49" s="7">
        <v>1.3178549399999999</v>
      </c>
      <c r="V49" s="7">
        <v>1.3220402499999999</v>
      </c>
      <c r="W49" s="7">
        <v>1.31838564</v>
      </c>
      <c r="X49" s="7">
        <v>1.31430191</v>
      </c>
      <c r="Y49" s="7">
        <v>1.31037263</v>
      </c>
      <c r="Z49" s="7">
        <v>1.3067013599999999</v>
      </c>
      <c r="AA49" s="7">
        <v>1.3068848099999999</v>
      </c>
      <c r="AB49" s="7">
        <v>1.3068442600000001</v>
      </c>
      <c r="AC49" s="7">
        <v>1.30846613</v>
      </c>
    </row>
    <row r="50" spans="1:29" x14ac:dyDescent="0.85">
      <c r="A50" t="s">
        <v>148</v>
      </c>
      <c r="B50" s="7">
        <v>31948</v>
      </c>
      <c r="C50" s="7">
        <v>32979.105067969998</v>
      </c>
      <c r="D50" s="7">
        <v>34405.928699559998</v>
      </c>
      <c r="E50" s="7">
        <v>35854.66261793</v>
      </c>
      <c r="F50" s="7">
        <v>36695.01941488</v>
      </c>
      <c r="G50" s="7">
        <v>37553.291502250002</v>
      </c>
      <c r="H50" s="7">
        <v>38471.14980164</v>
      </c>
      <c r="I50" s="7">
        <v>40239.878597440002</v>
      </c>
      <c r="J50" s="7">
        <v>41010.62319785</v>
      </c>
      <c r="K50" s="7">
        <v>41769.296225129998</v>
      </c>
      <c r="L50" s="7">
        <v>42535.369848870003</v>
      </c>
      <c r="M50" s="7">
        <v>41206.072491769999</v>
      </c>
      <c r="N50" s="7">
        <v>39899.520102299997</v>
      </c>
      <c r="O50" s="7">
        <v>39327.499172609998</v>
      </c>
      <c r="P50" s="7">
        <v>39689.152848270001</v>
      </c>
      <c r="Q50" s="7">
        <v>40076.890704650003</v>
      </c>
      <c r="R50" s="7">
        <v>40533.868204270002</v>
      </c>
      <c r="S50" s="7">
        <v>41063.431442469999</v>
      </c>
      <c r="T50" s="7">
        <v>41666.007152849998</v>
      </c>
      <c r="U50" s="7">
        <v>42421.02040406</v>
      </c>
      <c r="V50" s="7">
        <v>42984.026572039998</v>
      </c>
      <c r="W50" s="7">
        <v>43550.360473410001</v>
      </c>
      <c r="X50" s="7">
        <v>44122.886662379999</v>
      </c>
      <c r="Y50" s="7">
        <v>44695.619359639997</v>
      </c>
      <c r="Z50" s="7">
        <v>45543.244796320003</v>
      </c>
      <c r="AA50" s="7">
        <v>46421.167027919997</v>
      </c>
      <c r="AB50" s="7">
        <v>47378.732601570002</v>
      </c>
      <c r="AC50" s="7">
        <v>48372.316681540004</v>
      </c>
    </row>
    <row r="51" spans="1:29" x14ac:dyDescent="0.85">
      <c r="A51" t="s">
        <v>149</v>
      </c>
      <c r="B51" s="7">
        <v>100102331.905</v>
      </c>
      <c r="C51" s="7">
        <v>106540769.449203</v>
      </c>
      <c r="D51" s="7">
        <v>113055071.90235899</v>
      </c>
      <c r="E51" s="7">
        <v>119584510.927608</v>
      </c>
      <c r="F51" s="7">
        <v>123219054.492247</v>
      </c>
      <c r="G51" s="7">
        <v>126876319.331809</v>
      </c>
      <c r="H51" s="7">
        <v>130578086.01805</v>
      </c>
      <c r="I51" s="7">
        <v>133665269.735792</v>
      </c>
      <c r="J51" s="7">
        <v>132075434.878544</v>
      </c>
      <c r="K51" s="7">
        <v>130256942.651297</v>
      </c>
      <c r="L51" s="7">
        <v>128293326.523315</v>
      </c>
      <c r="M51" s="7">
        <v>110267634.42862301</v>
      </c>
      <c r="N51" s="7">
        <v>92251827.473995298</v>
      </c>
      <c r="O51" s="7">
        <v>80144890.350469306</v>
      </c>
      <c r="P51" s="7">
        <v>74889619.506247997</v>
      </c>
      <c r="Q51" s="7">
        <v>70082048.056673706</v>
      </c>
      <c r="R51" s="7">
        <v>65929831.254155397</v>
      </c>
      <c r="S51" s="7">
        <v>62357821.557193197</v>
      </c>
      <c r="T51" s="7">
        <v>59312310.7853579</v>
      </c>
      <c r="U51" s="7">
        <v>57130916.2778427</v>
      </c>
      <c r="V51" s="7">
        <v>54865787.5513945</v>
      </c>
      <c r="W51" s="7">
        <v>52908969.104550697</v>
      </c>
      <c r="X51" s="7">
        <v>51075425.235100701</v>
      </c>
      <c r="Y51" s="7">
        <v>49248842.4658764</v>
      </c>
      <c r="Z51" s="7">
        <v>48774784.2352373</v>
      </c>
      <c r="AA51" s="7">
        <v>48392475.9384031</v>
      </c>
      <c r="AB51" s="7">
        <v>48263119.362805396</v>
      </c>
      <c r="AC51" s="7">
        <v>48222036.679403901</v>
      </c>
    </row>
    <row r="52" spans="1:29" x14ac:dyDescent="0.85">
      <c r="A52" t="s">
        <v>150</v>
      </c>
      <c r="B52" s="7">
        <v>100102331.905</v>
      </c>
      <c r="C52" s="7">
        <v>106540769.449203</v>
      </c>
      <c r="D52" s="7">
        <v>113055071.90235899</v>
      </c>
      <c r="E52" s="7">
        <v>119584510.927608</v>
      </c>
      <c r="F52" s="7">
        <v>123219054.492247</v>
      </c>
      <c r="G52" s="7">
        <v>126876319.331809</v>
      </c>
      <c r="H52" s="7">
        <v>130578086.01805</v>
      </c>
      <c r="I52" s="7">
        <v>133665269.735792</v>
      </c>
      <c r="J52" s="7">
        <v>132075434.878544</v>
      </c>
      <c r="K52" s="7">
        <v>130256942.651297</v>
      </c>
      <c r="L52" s="7">
        <v>128293326.523315</v>
      </c>
      <c r="M52" s="7">
        <v>110267634.42862301</v>
      </c>
      <c r="N52" s="7">
        <v>92251827.473995298</v>
      </c>
      <c r="O52" s="7">
        <v>80144890.350469306</v>
      </c>
      <c r="P52" s="7">
        <v>74889619.506247997</v>
      </c>
      <c r="Q52" s="7">
        <v>70082048.056673706</v>
      </c>
      <c r="R52" s="7">
        <v>65929831.254155397</v>
      </c>
      <c r="S52" s="7">
        <v>62357821.557193197</v>
      </c>
      <c r="T52" s="7">
        <v>59312310.7853579</v>
      </c>
      <c r="U52" s="7">
        <v>57130916.2778427</v>
      </c>
      <c r="V52" s="7">
        <v>54865787.5513945</v>
      </c>
      <c r="W52" s="7">
        <v>52908969.104550697</v>
      </c>
      <c r="X52" s="7">
        <v>51075425.235100701</v>
      </c>
      <c r="Y52" s="7">
        <v>49248842.4658764</v>
      </c>
      <c r="Z52" s="7">
        <v>48774784.2352373</v>
      </c>
      <c r="AA52" s="7">
        <v>48392475.9384031</v>
      </c>
      <c r="AB52" s="7">
        <v>48263119.362805396</v>
      </c>
      <c r="AC52" s="7">
        <v>48222036.679403901</v>
      </c>
    </row>
    <row r="53" spans="1:29" x14ac:dyDescent="0.85">
      <c r="A53" t="s">
        <v>151</v>
      </c>
      <c r="B53" s="7">
        <v>8501.0509103599998</v>
      </c>
      <c r="C53" s="7">
        <v>8853.6854631099995</v>
      </c>
      <c r="D53" s="7">
        <v>9283.2143865399994</v>
      </c>
      <c r="E53" s="7">
        <v>9717.2676647499993</v>
      </c>
      <c r="F53" s="7">
        <v>9965.3140886199999</v>
      </c>
      <c r="G53" s="7">
        <v>10217.31233099</v>
      </c>
      <c r="H53" s="7">
        <v>10481.69622699</v>
      </c>
      <c r="I53" s="7">
        <v>10892.441656110001</v>
      </c>
      <c r="J53" s="7">
        <v>10999.81213054</v>
      </c>
      <c r="K53" s="7">
        <v>11099.31413646</v>
      </c>
      <c r="L53" s="7">
        <v>11196.67855332</v>
      </c>
      <c r="M53" s="7">
        <v>10504.766407790001</v>
      </c>
      <c r="N53" s="7">
        <v>9817.4087692800003</v>
      </c>
      <c r="O53" s="7">
        <v>9413.5226129399998</v>
      </c>
      <c r="P53" s="7">
        <v>9353.8772748899992</v>
      </c>
      <c r="Q53" s="7">
        <v>9310.1023532800009</v>
      </c>
      <c r="R53" s="7">
        <v>9295.4485507499994</v>
      </c>
      <c r="S53" s="7">
        <v>9308.7168140499998</v>
      </c>
      <c r="T53" s="7">
        <v>9348.6775884599992</v>
      </c>
      <c r="U53" s="7">
        <v>9438.6307462200002</v>
      </c>
      <c r="V53" s="7">
        <v>9490.1289546700009</v>
      </c>
      <c r="W53" s="7">
        <v>9549.7809985500007</v>
      </c>
      <c r="X53" s="7">
        <v>9613.6152350100001</v>
      </c>
      <c r="Y53" s="7">
        <v>9677.6584841299991</v>
      </c>
      <c r="Z53" s="7">
        <v>9826.8334343099996</v>
      </c>
      <c r="AA53" s="7">
        <v>9983.9925057100008</v>
      </c>
      <c r="AB53" s="7">
        <v>10162.42700118</v>
      </c>
      <c r="AC53" s="7">
        <v>10349.8458562</v>
      </c>
    </row>
    <row r="54" spans="1:29" x14ac:dyDescent="0.85">
      <c r="A54" t="s">
        <v>152</v>
      </c>
      <c r="B54" s="7">
        <v>0</v>
      </c>
      <c r="C54" s="7">
        <v>1044.0995406</v>
      </c>
      <c r="D54" s="7">
        <v>2215.8794092899998</v>
      </c>
      <c r="E54" s="7">
        <v>3515.7846212700001</v>
      </c>
      <c r="F54" s="7">
        <v>4830.1869360999999</v>
      </c>
      <c r="G54" s="7">
        <v>6216.9396472600001</v>
      </c>
      <c r="H54" s="7">
        <v>7677.9914578600001</v>
      </c>
      <c r="I54" s="7">
        <v>9169.4375038800008</v>
      </c>
      <c r="J54" s="7">
        <v>10354.714094479999</v>
      </c>
      <c r="K54" s="7">
        <v>11488.662341839999</v>
      </c>
      <c r="L54" s="7">
        <v>12572.74599928</v>
      </c>
      <c r="M54" s="7">
        <v>11886.85099141</v>
      </c>
      <c r="N54" s="7">
        <v>10848.81491094</v>
      </c>
      <c r="O54" s="7">
        <v>10210.459030649999</v>
      </c>
      <c r="P54" s="7">
        <v>10274.855796260001</v>
      </c>
      <c r="Q54" s="7">
        <v>10302.061064330001</v>
      </c>
      <c r="R54" s="7">
        <v>10337.797540650001</v>
      </c>
      <c r="S54" s="7">
        <v>10388.81307143</v>
      </c>
      <c r="T54" s="7">
        <v>10462.69162254</v>
      </c>
      <c r="U54" s="7">
        <v>10637.776610929999</v>
      </c>
      <c r="V54" s="7">
        <v>10753.69436007</v>
      </c>
      <c r="W54" s="7">
        <v>10888.66584172</v>
      </c>
      <c r="X54" s="7">
        <v>11011.861680690001</v>
      </c>
      <c r="Y54" s="7">
        <v>11100.68909181</v>
      </c>
      <c r="Z54" s="7">
        <v>11471.829252130001</v>
      </c>
      <c r="AA54" s="7">
        <v>11856.15660491</v>
      </c>
      <c r="AB54" s="7">
        <v>12297.44281364</v>
      </c>
      <c r="AC54" s="7">
        <v>12759.550905370001</v>
      </c>
    </row>
    <row r="55" spans="1:29" x14ac:dyDescent="0.85">
      <c r="A55" t="s">
        <v>153</v>
      </c>
      <c r="B55" s="7">
        <v>49.050142630000003</v>
      </c>
      <c r="C55" s="7">
        <v>52.204977030000002</v>
      </c>
      <c r="D55" s="7">
        <v>55.396985229999999</v>
      </c>
      <c r="E55" s="7">
        <v>58.596410349999999</v>
      </c>
      <c r="F55" s="7">
        <v>60.377336700000001</v>
      </c>
      <c r="G55" s="7">
        <v>62.169396470000002</v>
      </c>
      <c r="H55" s="7">
        <v>63.983262150000002</v>
      </c>
      <c r="I55" s="7">
        <v>65.495982170000005</v>
      </c>
      <c r="J55" s="7">
        <v>64.716963089999993</v>
      </c>
      <c r="K55" s="7">
        <v>63.825901899999998</v>
      </c>
      <c r="L55" s="7">
        <v>62.863729999999997</v>
      </c>
      <c r="M55" s="7">
        <v>54.031140870000002</v>
      </c>
      <c r="N55" s="7">
        <v>45.203395460000003</v>
      </c>
      <c r="O55" s="7">
        <v>39.270996269999998</v>
      </c>
      <c r="P55" s="7">
        <v>36.695913560000001</v>
      </c>
      <c r="Q55" s="7">
        <v>34.340203549999998</v>
      </c>
      <c r="R55" s="7">
        <v>32.305617310000002</v>
      </c>
      <c r="S55" s="7">
        <v>30.55533256</v>
      </c>
      <c r="T55" s="7">
        <v>29.063032280000002</v>
      </c>
      <c r="U55" s="7">
        <v>27.994148979999999</v>
      </c>
      <c r="V55" s="7">
        <v>26.8842359</v>
      </c>
      <c r="W55" s="7">
        <v>25.925394860000001</v>
      </c>
      <c r="X55" s="7">
        <v>25.026958369999999</v>
      </c>
      <c r="Y55" s="7">
        <v>24.131932809999999</v>
      </c>
      <c r="Z55" s="7">
        <v>23.89964428</v>
      </c>
      <c r="AA55" s="7">
        <v>23.712313210000001</v>
      </c>
      <c r="AB55" s="7">
        <v>23.648928489999999</v>
      </c>
      <c r="AC55" s="7">
        <v>23.628797970000001</v>
      </c>
    </row>
    <row r="56" spans="1:29" x14ac:dyDescent="0.85">
      <c r="A56" t="s">
        <v>154</v>
      </c>
      <c r="B56" s="7">
        <v>6058.55401188</v>
      </c>
      <c r="C56" s="7">
        <v>6254.0906885499999</v>
      </c>
      <c r="D56" s="7">
        <v>6524.6706321299998</v>
      </c>
      <c r="E56" s="7">
        <v>6799.40559811</v>
      </c>
      <c r="F56" s="7">
        <v>6958.7691590100003</v>
      </c>
      <c r="G56" s="7">
        <v>7121.5301393</v>
      </c>
      <c r="H56" s="7">
        <v>7295.5909281499999</v>
      </c>
      <c r="I56" s="7">
        <v>7631.00907456</v>
      </c>
      <c r="J56" s="7">
        <v>7777.1715194999997</v>
      </c>
      <c r="K56" s="7">
        <v>7921.0447357599996</v>
      </c>
      <c r="L56" s="7">
        <v>8066.3213861499999</v>
      </c>
      <c r="M56" s="7">
        <v>7814.2361277299997</v>
      </c>
      <c r="N56" s="7">
        <v>7566.4641789099996</v>
      </c>
      <c r="O56" s="7">
        <v>7457.9872883899998</v>
      </c>
      <c r="P56" s="7">
        <v>7526.5705589400004</v>
      </c>
      <c r="Q56" s="7">
        <v>7600.1003806899998</v>
      </c>
      <c r="R56" s="7">
        <v>7686.7606681500001</v>
      </c>
      <c r="S56" s="7">
        <v>7787.1859680500002</v>
      </c>
      <c r="T56" s="7">
        <v>7901.4572053000002</v>
      </c>
      <c r="U56" s="7">
        <v>8044.6363890399998</v>
      </c>
      <c r="V56" s="7">
        <v>8151.4037384100002</v>
      </c>
      <c r="W56" s="7">
        <v>8258.8021523999996</v>
      </c>
      <c r="X56" s="7">
        <v>8367.3748592699994</v>
      </c>
      <c r="Y56" s="7">
        <v>8475.9867279600003</v>
      </c>
      <c r="Z56" s="7">
        <v>8636.7286989700006</v>
      </c>
      <c r="AA56" s="7">
        <v>8803.2160928100002</v>
      </c>
      <c r="AB56" s="7">
        <v>8984.8068887299996</v>
      </c>
      <c r="AC56" s="7">
        <v>9173.2281612299994</v>
      </c>
    </row>
    <row r="57" spans="1:29" x14ac:dyDescent="0.85">
      <c r="A57" t="s">
        <v>155</v>
      </c>
      <c r="B57" s="7">
        <v>2442.4968984799998</v>
      </c>
      <c r="C57" s="7">
        <v>2599.5947745600001</v>
      </c>
      <c r="D57" s="7">
        <v>2758.5437544199999</v>
      </c>
      <c r="E57" s="7">
        <v>2917.8620666299998</v>
      </c>
      <c r="F57" s="7">
        <v>3006.5449296100001</v>
      </c>
      <c r="G57" s="7">
        <v>3095.7821917000001</v>
      </c>
      <c r="H57" s="7">
        <v>3186.1052988400002</v>
      </c>
      <c r="I57" s="7">
        <v>3261.4325815500001</v>
      </c>
      <c r="J57" s="7">
        <v>3222.6406110399998</v>
      </c>
      <c r="K57" s="7">
        <v>3178.2694006900001</v>
      </c>
      <c r="L57" s="7">
        <v>3130.3571671700001</v>
      </c>
      <c r="M57" s="7">
        <v>2690.5302800600002</v>
      </c>
      <c r="N57" s="7">
        <v>2250.9445903699998</v>
      </c>
      <c r="O57" s="7">
        <v>1955.53532455</v>
      </c>
      <c r="P57" s="7">
        <v>1827.3067159499999</v>
      </c>
      <c r="Q57" s="7">
        <v>1710.00197258</v>
      </c>
      <c r="R57" s="7">
        <v>1608.6878826</v>
      </c>
      <c r="S57" s="7">
        <v>1521.5308460000001</v>
      </c>
      <c r="T57" s="7">
        <v>1447.22038316</v>
      </c>
      <c r="U57" s="7">
        <v>1393.99435718</v>
      </c>
      <c r="V57" s="7">
        <v>1338.7252162499999</v>
      </c>
      <c r="W57" s="7">
        <v>1290.97884615</v>
      </c>
      <c r="X57" s="7">
        <v>1246.24037574</v>
      </c>
      <c r="Y57" s="7">
        <v>1201.67175617</v>
      </c>
      <c r="Z57" s="7">
        <v>1190.1047353399999</v>
      </c>
      <c r="AA57" s="7">
        <v>1180.7764129</v>
      </c>
      <c r="AB57" s="7">
        <v>1177.6201124500001</v>
      </c>
      <c r="AC57" s="7">
        <v>1176.6176949799999</v>
      </c>
    </row>
    <row r="58" spans="1:29" x14ac:dyDescent="0.85">
      <c r="A58" t="s">
        <v>156</v>
      </c>
      <c r="B58" s="7">
        <v>1</v>
      </c>
      <c r="C58" s="7">
        <v>1.04</v>
      </c>
      <c r="D58" s="7">
        <v>1.07528592</v>
      </c>
      <c r="E58" s="7">
        <v>1.08673383</v>
      </c>
      <c r="F58" s="7">
        <v>1.08552823</v>
      </c>
      <c r="G58" s="7">
        <v>1.0660811100000001</v>
      </c>
      <c r="H58" s="7">
        <v>1.06603056</v>
      </c>
      <c r="I58" s="7">
        <v>1.06712655</v>
      </c>
      <c r="J58" s="7">
        <v>1.0895577700000001</v>
      </c>
      <c r="K58" s="7">
        <v>1.0616184900000001</v>
      </c>
      <c r="L58" s="7">
        <v>1.0609369</v>
      </c>
      <c r="M58" s="7">
        <v>1.0607714500000001</v>
      </c>
      <c r="N58" s="7">
        <v>1.0091129400000001</v>
      </c>
      <c r="O58" s="7">
        <v>1.0086377500000001</v>
      </c>
      <c r="P58" s="7">
        <v>1.02673277</v>
      </c>
      <c r="Q58" s="7">
        <v>1.0512457799999999</v>
      </c>
      <c r="R58" s="7">
        <v>1.05184309</v>
      </c>
      <c r="S58" s="7">
        <v>1.05354429</v>
      </c>
      <c r="T58" s="7">
        <v>1.0552757399999999</v>
      </c>
      <c r="U58" s="7">
        <v>1.0569523599999999</v>
      </c>
      <c r="V58" s="7">
        <v>1.0605423</v>
      </c>
      <c r="W58" s="7">
        <v>1.0554915300000001</v>
      </c>
      <c r="X58" s="7">
        <v>1.0553910900000001</v>
      </c>
      <c r="Y58" s="7">
        <v>1.0553607300000001</v>
      </c>
      <c r="Z58" s="7">
        <v>1.0551879200000001</v>
      </c>
      <c r="AA58" s="7">
        <v>1.06142125</v>
      </c>
      <c r="AB58" s="7">
        <v>1.06174653</v>
      </c>
      <c r="AC58" s="7">
        <v>1.0631539400000001</v>
      </c>
    </row>
    <row r="59" spans="1:29" x14ac:dyDescent="0.85">
      <c r="A59" t="s">
        <v>157</v>
      </c>
      <c r="B59" s="7">
        <v>1</v>
      </c>
      <c r="C59" s="7">
        <v>1.07528592</v>
      </c>
      <c r="D59" s="7">
        <v>1.08673383</v>
      </c>
      <c r="E59" s="7">
        <v>1.08552823</v>
      </c>
      <c r="F59" s="7">
        <v>1.0660811100000001</v>
      </c>
      <c r="G59" s="7">
        <v>1.06603056</v>
      </c>
      <c r="H59" s="7">
        <v>1.06712655</v>
      </c>
      <c r="I59" s="7">
        <v>1.0895577700000001</v>
      </c>
      <c r="J59" s="7">
        <v>1.0616184900000001</v>
      </c>
      <c r="K59" s="7">
        <v>1.0609369</v>
      </c>
      <c r="L59" s="7">
        <v>1.0607714500000001</v>
      </c>
      <c r="M59" s="7">
        <v>1.0091129400000001</v>
      </c>
      <c r="N59" s="7">
        <v>1.0086377500000001</v>
      </c>
      <c r="O59" s="7">
        <v>1.02673277</v>
      </c>
      <c r="P59" s="7">
        <v>1.0512457799999999</v>
      </c>
      <c r="Q59" s="7">
        <v>1.05184309</v>
      </c>
      <c r="R59" s="7">
        <v>1.05354429</v>
      </c>
      <c r="S59" s="7">
        <v>1.0552757399999999</v>
      </c>
      <c r="T59" s="7">
        <v>1.0569523599999999</v>
      </c>
      <c r="U59" s="7">
        <v>1.0605423</v>
      </c>
      <c r="V59" s="7">
        <v>1.0554915300000001</v>
      </c>
      <c r="W59" s="7">
        <v>1.0553910900000001</v>
      </c>
      <c r="X59" s="7">
        <v>1.0553607300000001</v>
      </c>
      <c r="Y59" s="7">
        <v>1.0551879200000001</v>
      </c>
      <c r="Z59" s="7">
        <v>1.06142125</v>
      </c>
      <c r="AA59" s="7">
        <v>1.06174653</v>
      </c>
      <c r="AB59" s="7">
        <v>1.0631539400000001</v>
      </c>
      <c r="AC59" s="7">
        <v>1.06351156</v>
      </c>
    </row>
    <row r="60" spans="1:29" x14ac:dyDescent="0.85">
      <c r="A60" t="s">
        <v>158</v>
      </c>
      <c r="B60" s="7">
        <v>1</v>
      </c>
      <c r="C60" s="7">
        <v>1.1097453900000001</v>
      </c>
      <c r="D60" s="7">
        <v>1.1071825399999999</v>
      </c>
      <c r="E60" s="7">
        <v>1.10442828</v>
      </c>
      <c r="F60" s="7">
        <v>1.1019051500000001</v>
      </c>
      <c r="G60" s="7">
        <v>1.1018336900000001</v>
      </c>
      <c r="H60" s="7">
        <v>1.1017796799999999</v>
      </c>
      <c r="I60" s="7">
        <v>1.1017056700000001</v>
      </c>
      <c r="J60" s="7">
        <v>1.10296931</v>
      </c>
      <c r="K60" s="7">
        <v>1.1051344700000001</v>
      </c>
      <c r="L60" s="7">
        <v>1.1073325000000001</v>
      </c>
      <c r="M60" s="7">
        <v>1.10954668</v>
      </c>
      <c r="N60" s="7">
        <v>1.1164955999999999</v>
      </c>
      <c r="O60" s="7">
        <v>1.12408945</v>
      </c>
      <c r="P60" s="7">
        <v>1.13034039</v>
      </c>
      <c r="Q60" s="7">
        <v>1.1341594800000001</v>
      </c>
      <c r="R60" s="7">
        <v>1.13798496</v>
      </c>
      <c r="S60" s="7">
        <v>1.14168289</v>
      </c>
      <c r="T60" s="7">
        <v>1.14523278</v>
      </c>
      <c r="U60" s="7">
        <v>1.1486246899999999</v>
      </c>
      <c r="V60" s="7">
        <v>1.15160368</v>
      </c>
      <c r="W60" s="7">
        <v>1.1543694499999999</v>
      </c>
      <c r="X60" s="7">
        <v>1.1569212799999999</v>
      </c>
      <c r="Y60" s="7">
        <v>1.1594724700000001</v>
      </c>
      <c r="Z60" s="7">
        <v>1.16216487</v>
      </c>
      <c r="AA60" s="7">
        <v>1.16367525</v>
      </c>
      <c r="AB60" s="7">
        <v>1.1651102900000001</v>
      </c>
      <c r="AC60" s="7">
        <v>1.1663657199999999</v>
      </c>
    </row>
    <row r="61" spans="1:29" x14ac:dyDescent="0.85">
      <c r="A61" t="s">
        <v>159</v>
      </c>
      <c r="B61" s="7">
        <v>1821</v>
      </c>
      <c r="C61" s="7">
        <v>1775.4749999999999</v>
      </c>
      <c r="D61" s="7">
        <v>1731.088125</v>
      </c>
      <c r="E61" s="7">
        <v>1687.8109218699999</v>
      </c>
      <c r="F61" s="7">
        <v>1645.61565333</v>
      </c>
      <c r="G61" s="7">
        <v>1604.4752619999999</v>
      </c>
      <c r="H61" s="7">
        <v>1564.36338045</v>
      </c>
      <c r="I61" s="7">
        <v>1525.25429594</v>
      </c>
      <c r="J61" s="7">
        <v>1487.12293854</v>
      </c>
      <c r="K61" s="7">
        <v>1449.94486508</v>
      </c>
      <c r="L61" s="7">
        <v>1413.6962434500001</v>
      </c>
      <c r="M61" s="7">
        <v>1378.3538373599999</v>
      </c>
      <c r="N61" s="7">
        <v>1343.8949914299999</v>
      </c>
      <c r="O61" s="7">
        <v>1310.2976166399999</v>
      </c>
      <c r="P61" s="7">
        <v>1277.54017623</v>
      </c>
      <c r="Q61" s="7">
        <v>1245.6016718200001</v>
      </c>
      <c r="R61" s="7">
        <v>1214.4616300299999</v>
      </c>
      <c r="S61" s="7">
        <v>1184.10008928</v>
      </c>
      <c r="T61" s="7">
        <v>1154.4975870400001</v>
      </c>
      <c r="U61" s="7">
        <v>1125.6351473699999</v>
      </c>
      <c r="V61" s="7">
        <v>1097.49426868</v>
      </c>
      <c r="W61" s="7">
        <v>1070.0569119700001</v>
      </c>
      <c r="X61" s="7">
        <v>1043.3054891700001</v>
      </c>
      <c r="Y61" s="7">
        <v>1017.2228519400001</v>
      </c>
      <c r="Z61" s="7">
        <v>991.79228063999994</v>
      </c>
      <c r="AA61" s="7">
        <v>966.99747362000005</v>
      </c>
      <c r="AB61" s="7">
        <v>942.82253677999995</v>
      </c>
      <c r="AC61" s="7">
        <v>919.25197335999997</v>
      </c>
    </row>
    <row r="62" spans="1:29" x14ac:dyDescent="0.85">
      <c r="A62" t="s">
        <v>160</v>
      </c>
      <c r="B62" s="7">
        <v>5393197</v>
      </c>
      <c r="C62" s="7">
        <v>5254551.3394153398</v>
      </c>
      <c r="D62" s="7">
        <v>5123187.5116485301</v>
      </c>
      <c r="E62" s="7">
        <v>4995107.0743547203</v>
      </c>
      <c r="F62" s="7">
        <v>4870229.41082861</v>
      </c>
      <c r="G62" s="7">
        <v>4747792.1796980202</v>
      </c>
      <c r="H62" s="7">
        <v>4607809.0205061799</v>
      </c>
      <c r="I62" s="7">
        <v>89999.347443070001</v>
      </c>
      <c r="J62" s="7">
        <v>1403.04269866</v>
      </c>
      <c r="K62" s="7">
        <v>1.19454E-3</v>
      </c>
      <c r="L62" s="7">
        <v>0</v>
      </c>
      <c r="M62" s="7">
        <v>0</v>
      </c>
      <c r="N62" s="7">
        <v>0</v>
      </c>
      <c r="O62" s="7">
        <v>0</v>
      </c>
      <c r="P62" s="7">
        <v>0</v>
      </c>
      <c r="Q62" s="7">
        <v>0</v>
      </c>
      <c r="R62" s="7">
        <v>0</v>
      </c>
      <c r="S62" s="7">
        <v>0</v>
      </c>
      <c r="T62" s="7">
        <v>0</v>
      </c>
      <c r="U62" s="7">
        <v>0</v>
      </c>
      <c r="V62" s="7">
        <v>0</v>
      </c>
      <c r="W62" s="7">
        <v>0</v>
      </c>
      <c r="X62" s="7">
        <v>0</v>
      </c>
      <c r="Y62" s="7">
        <v>0</v>
      </c>
      <c r="Z62" s="7">
        <v>0</v>
      </c>
      <c r="AA62" s="7">
        <v>0</v>
      </c>
      <c r="AB62" s="7">
        <v>0</v>
      </c>
      <c r="AC62" s="7">
        <v>0</v>
      </c>
    </row>
    <row r="63" spans="1:29" x14ac:dyDescent="0.85">
      <c r="A63" t="s">
        <v>161</v>
      </c>
      <c r="B63" s="7">
        <v>5393197</v>
      </c>
      <c r="C63" s="7">
        <v>5254551.3394153398</v>
      </c>
      <c r="D63" s="7">
        <v>5123187.5116485301</v>
      </c>
      <c r="E63" s="7">
        <v>4995107.0743547203</v>
      </c>
      <c r="F63" s="7">
        <v>4870229.41082861</v>
      </c>
      <c r="G63" s="7">
        <v>4747792.1796980202</v>
      </c>
      <c r="H63" s="7">
        <v>4607809.0205061799</v>
      </c>
      <c r="I63" s="7">
        <v>89999.347443070001</v>
      </c>
      <c r="J63" s="7">
        <v>1403.04269866</v>
      </c>
      <c r="K63" s="7">
        <v>1.19454E-3</v>
      </c>
      <c r="L63" s="7">
        <v>0</v>
      </c>
      <c r="M63" s="7">
        <v>0</v>
      </c>
      <c r="N63" s="7">
        <v>0</v>
      </c>
      <c r="O63" s="7">
        <v>0</v>
      </c>
      <c r="P63" s="7">
        <v>0</v>
      </c>
      <c r="Q63" s="7">
        <v>0</v>
      </c>
      <c r="R63" s="7">
        <v>0</v>
      </c>
      <c r="S63" s="7">
        <v>0</v>
      </c>
      <c r="T63" s="7">
        <v>0</v>
      </c>
      <c r="U63" s="7">
        <v>0</v>
      </c>
      <c r="V63" s="7">
        <v>0</v>
      </c>
      <c r="W63" s="7">
        <v>0</v>
      </c>
      <c r="X63" s="7">
        <v>0</v>
      </c>
      <c r="Y63" s="7">
        <v>0</v>
      </c>
      <c r="Z63" s="7">
        <v>0</v>
      </c>
      <c r="AA63" s="7">
        <v>0</v>
      </c>
      <c r="AB63" s="7">
        <v>0</v>
      </c>
      <c r="AC63" s="7">
        <v>0</v>
      </c>
    </row>
    <row r="64" spans="1:29" x14ac:dyDescent="0.85">
      <c r="A64" t="s">
        <v>162</v>
      </c>
      <c r="B64" s="7">
        <v>1215.5348543099999</v>
      </c>
      <c r="C64" s="7">
        <v>1185.05765262</v>
      </c>
      <c r="D64" s="7">
        <v>1155.43121028</v>
      </c>
      <c r="E64" s="7">
        <v>1126.5454125700001</v>
      </c>
      <c r="F64" s="7">
        <v>1098.3817802599999</v>
      </c>
      <c r="G64" s="7">
        <v>1070.90637053</v>
      </c>
      <c r="H64" s="7">
        <v>1043.63811837</v>
      </c>
      <c r="I64" s="7">
        <v>915.05430106999995</v>
      </c>
      <c r="J64" s="7">
        <v>890.16780118999998</v>
      </c>
      <c r="K64" s="7">
        <v>867.88175993000004</v>
      </c>
      <c r="L64" s="7">
        <v>846.18471590000001</v>
      </c>
      <c r="M64" s="7">
        <v>825.03009800999996</v>
      </c>
      <c r="N64" s="7">
        <v>804.40434556000002</v>
      </c>
      <c r="O64" s="7">
        <v>784.29423692</v>
      </c>
      <c r="P64" s="7">
        <v>764.68688098999996</v>
      </c>
      <c r="Q64" s="7">
        <v>745.56970896999997</v>
      </c>
      <c r="R64" s="7">
        <v>726.93046623999999</v>
      </c>
      <c r="S64" s="7">
        <v>708.75720459000001</v>
      </c>
      <c r="T64" s="7">
        <v>691.03827447000003</v>
      </c>
      <c r="U64" s="7">
        <v>673.76231760999997</v>
      </c>
      <c r="V64" s="7">
        <v>656.91825967</v>
      </c>
      <c r="W64" s="7">
        <v>640.49530317999995</v>
      </c>
      <c r="X64" s="7">
        <v>624.48292060000006</v>
      </c>
      <c r="Y64" s="7">
        <v>608.87084759000004</v>
      </c>
      <c r="Z64" s="7">
        <v>593.64907640000001</v>
      </c>
      <c r="AA64" s="7">
        <v>578.80784948999997</v>
      </c>
      <c r="AB64" s="7">
        <v>564.33765325000002</v>
      </c>
      <c r="AC64" s="7">
        <v>550.22921192000001</v>
      </c>
    </row>
    <row r="65" spans="1:29" x14ac:dyDescent="0.85">
      <c r="A65" t="s">
        <v>163</v>
      </c>
      <c r="B65" s="7">
        <v>0</v>
      </c>
      <c r="C65" s="7">
        <v>86.174641969999996</v>
      </c>
      <c r="D65" s="7">
        <v>168.04055038000001</v>
      </c>
      <c r="E65" s="7">
        <v>245.75926806000001</v>
      </c>
      <c r="F65" s="7">
        <v>319.48704935000001</v>
      </c>
      <c r="G65" s="7">
        <v>389.31895874000003</v>
      </c>
      <c r="H65" s="7">
        <v>453.40840761999999</v>
      </c>
      <c r="I65" s="7">
        <v>10.33192509</v>
      </c>
      <c r="J65" s="7">
        <v>0.1840792</v>
      </c>
      <c r="K65" s="7">
        <v>1.8E-7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v>0</v>
      </c>
      <c r="W65" s="7">
        <v>0</v>
      </c>
      <c r="X65" s="7">
        <v>0</v>
      </c>
      <c r="Y65" s="7">
        <v>0</v>
      </c>
      <c r="Z65" s="7">
        <v>0</v>
      </c>
      <c r="AA65" s="7">
        <v>0</v>
      </c>
      <c r="AB65" s="7">
        <v>0</v>
      </c>
      <c r="AC65" s="7">
        <v>0</v>
      </c>
    </row>
    <row r="66" spans="1:29" x14ac:dyDescent="0.85">
      <c r="A66" t="s">
        <v>164</v>
      </c>
      <c r="B66" s="7">
        <v>4.4224215400000002</v>
      </c>
      <c r="C66" s="7">
        <v>4.3087321000000003</v>
      </c>
      <c r="D66" s="7">
        <v>4.2010137600000004</v>
      </c>
      <c r="E66" s="7">
        <v>4.0959877999999996</v>
      </c>
      <c r="F66" s="7">
        <v>3.9935881200000001</v>
      </c>
      <c r="G66" s="7">
        <v>3.89318959</v>
      </c>
      <c r="H66" s="7">
        <v>3.7784034000000002</v>
      </c>
      <c r="I66" s="7">
        <v>7.3799459999999997E-2</v>
      </c>
      <c r="J66" s="7">
        <v>1.1505E-3</v>
      </c>
      <c r="K66" s="7">
        <v>0</v>
      </c>
      <c r="L66" s="7">
        <v>0</v>
      </c>
      <c r="M66" s="7">
        <v>0</v>
      </c>
      <c r="N66" s="7">
        <v>0</v>
      </c>
      <c r="O66" s="7">
        <v>0</v>
      </c>
      <c r="P66" s="7">
        <v>0</v>
      </c>
      <c r="Q66" s="7">
        <v>0</v>
      </c>
      <c r="R66" s="7">
        <v>0</v>
      </c>
      <c r="S66" s="7">
        <v>0</v>
      </c>
      <c r="T66" s="7">
        <v>0</v>
      </c>
      <c r="U66" s="7">
        <v>0</v>
      </c>
      <c r="V66" s="7">
        <v>0</v>
      </c>
      <c r="W66" s="7">
        <v>0</v>
      </c>
      <c r="X66" s="7">
        <v>0</v>
      </c>
      <c r="Y66" s="7">
        <v>0</v>
      </c>
      <c r="Z66" s="7">
        <v>0</v>
      </c>
      <c r="AA66" s="7">
        <v>0</v>
      </c>
      <c r="AB66" s="7">
        <v>0</v>
      </c>
      <c r="AC66" s="7">
        <v>0</v>
      </c>
    </row>
    <row r="67" spans="1:29" x14ac:dyDescent="0.85">
      <c r="A67" t="s">
        <v>165</v>
      </c>
      <c r="B67" s="7">
        <v>1089.9812281500001</v>
      </c>
      <c r="C67" s="7">
        <v>1062.7316974400001</v>
      </c>
      <c r="D67" s="7">
        <v>1036.1634050099999</v>
      </c>
      <c r="E67" s="7">
        <v>1010.25931988</v>
      </c>
      <c r="F67" s="7">
        <v>985.00283958</v>
      </c>
      <c r="G67" s="7">
        <v>960.37776858999996</v>
      </c>
      <c r="H67" s="7">
        <v>936.36832437999999</v>
      </c>
      <c r="I67" s="7">
        <v>912.95911626999998</v>
      </c>
      <c r="J67" s="7">
        <v>890.13513836000004</v>
      </c>
      <c r="K67" s="7">
        <v>867.88175990000002</v>
      </c>
      <c r="L67" s="7">
        <v>846.18471590000001</v>
      </c>
      <c r="M67" s="7">
        <v>825.03009800999996</v>
      </c>
      <c r="N67" s="7">
        <v>804.40434556000002</v>
      </c>
      <c r="O67" s="7">
        <v>784.29423692</v>
      </c>
      <c r="P67" s="7">
        <v>764.68688098999996</v>
      </c>
      <c r="Q67" s="7">
        <v>745.56970896999997</v>
      </c>
      <c r="R67" s="7">
        <v>726.93046623999999</v>
      </c>
      <c r="S67" s="7">
        <v>708.75720459000001</v>
      </c>
      <c r="T67" s="7">
        <v>691.03827447000003</v>
      </c>
      <c r="U67" s="7">
        <v>673.76231760999997</v>
      </c>
      <c r="V67" s="7">
        <v>656.91825967</v>
      </c>
      <c r="W67" s="7">
        <v>640.49530317999995</v>
      </c>
      <c r="X67" s="7">
        <v>624.48292060000006</v>
      </c>
      <c r="Y67" s="7">
        <v>608.87084759000004</v>
      </c>
      <c r="Z67" s="7">
        <v>593.64907640000001</v>
      </c>
      <c r="AA67" s="7">
        <v>578.80784948999997</v>
      </c>
      <c r="AB67" s="7">
        <v>564.33765325000002</v>
      </c>
      <c r="AC67" s="7">
        <v>550.22921192000001</v>
      </c>
    </row>
    <row r="68" spans="1:29" x14ac:dyDescent="0.85">
      <c r="A68" t="s">
        <v>166</v>
      </c>
      <c r="B68" s="7">
        <v>125.55362615999999</v>
      </c>
      <c r="C68" s="7">
        <v>122.32595517999999</v>
      </c>
      <c r="D68" s="7">
        <v>119.26780527</v>
      </c>
      <c r="E68" s="7">
        <v>116.28609269</v>
      </c>
      <c r="F68" s="7">
        <v>113.37894068</v>
      </c>
      <c r="G68" s="7">
        <v>110.52860194</v>
      </c>
      <c r="H68" s="7">
        <v>107.269794</v>
      </c>
      <c r="I68" s="7">
        <v>2.0951848100000001</v>
      </c>
      <c r="J68" s="7">
        <v>3.2662829999999997E-2</v>
      </c>
      <c r="K68" s="7">
        <v>2.9999999999999997E-8</v>
      </c>
      <c r="L68" s="7">
        <v>0</v>
      </c>
      <c r="M68" s="7">
        <v>0</v>
      </c>
      <c r="N68" s="7">
        <v>0</v>
      </c>
      <c r="O68" s="7">
        <v>0</v>
      </c>
      <c r="P68" s="7">
        <v>0</v>
      </c>
      <c r="Q68" s="7">
        <v>0</v>
      </c>
      <c r="R68" s="7">
        <v>0</v>
      </c>
      <c r="S68" s="7">
        <v>0</v>
      </c>
      <c r="T68" s="7">
        <v>0</v>
      </c>
      <c r="U68" s="7">
        <v>0</v>
      </c>
      <c r="V68" s="7">
        <v>0</v>
      </c>
      <c r="W68" s="7">
        <v>0</v>
      </c>
      <c r="X68" s="7">
        <v>0</v>
      </c>
      <c r="Y68" s="7">
        <v>0</v>
      </c>
      <c r="Z68" s="7">
        <v>0</v>
      </c>
      <c r="AA68" s="7">
        <v>0</v>
      </c>
      <c r="AB68" s="7">
        <v>0</v>
      </c>
      <c r="AC68" s="7">
        <v>0</v>
      </c>
    </row>
    <row r="69" spans="1:29" x14ac:dyDescent="0.85">
      <c r="A69" t="s">
        <v>167</v>
      </c>
      <c r="B69" s="7">
        <v>1</v>
      </c>
      <c r="C69" s="7">
        <v>1.0249999999999999</v>
      </c>
      <c r="D69" s="7">
        <v>0.99927434999999998</v>
      </c>
      <c r="E69" s="7">
        <v>0.99999998999999995</v>
      </c>
      <c r="F69" s="7">
        <v>0.99999985000000002</v>
      </c>
      <c r="G69" s="7">
        <v>1</v>
      </c>
      <c r="H69" s="7">
        <v>0.99985648000000005</v>
      </c>
      <c r="I69" s="7">
        <v>0.99540119000000005</v>
      </c>
      <c r="J69" s="7">
        <v>2.003274E-2</v>
      </c>
      <c r="K69" s="7">
        <v>1.598921E-2</v>
      </c>
      <c r="L69" s="7">
        <v>8.7000000000000003E-7</v>
      </c>
      <c r="M69" s="7">
        <v>8.8000000000000004E-7</v>
      </c>
      <c r="N69" s="7">
        <v>1.4970000000000001E-5</v>
      </c>
      <c r="O69" s="7">
        <v>1.3689999999999999E-5</v>
      </c>
      <c r="P69" s="7">
        <v>4.6600000000000003E-6</v>
      </c>
      <c r="Q69" s="7">
        <v>5.1399999999999999E-6</v>
      </c>
      <c r="R69" s="7">
        <v>4.3599999999999998E-6</v>
      </c>
      <c r="S69" s="7">
        <v>3.2799999999999999E-6</v>
      </c>
      <c r="T69" s="7">
        <v>4.8099999999999997E-6</v>
      </c>
      <c r="U69" s="7">
        <v>4.5700000000000003E-6</v>
      </c>
      <c r="V69" s="7">
        <v>4.2E-7</v>
      </c>
      <c r="W69" s="7">
        <v>1.766E-5</v>
      </c>
      <c r="X69" s="7">
        <v>1.7689999999999998E-5</v>
      </c>
      <c r="Y69" s="7">
        <v>1.774E-5</v>
      </c>
      <c r="Z69" s="7">
        <v>1.8430000000000001E-5</v>
      </c>
      <c r="AA69" s="7">
        <v>0.71061182000000001</v>
      </c>
      <c r="AB69" s="7">
        <v>0.75157479999999999</v>
      </c>
      <c r="AC69" s="7">
        <v>0.74631011999999997</v>
      </c>
    </row>
    <row r="70" spans="1:29" x14ac:dyDescent="0.85">
      <c r="A70" t="s">
        <v>168</v>
      </c>
      <c r="B70" s="7">
        <v>1</v>
      </c>
      <c r="C70" s="7">
        <v>0.99927434999999998</v>
      </c>
      <c r="D70" s="7">
        <v>0.99999998999999995</v>
      </c>
      <c r="E70" s="7">
        <v>0.99999985000000002</v>
      </c>
      <c r="F70" s="7">
        <v>1</v>
      </c>
      <c r="G70" s="7">
        <v>0.99985648000000005</v>
      </c>
      <c r="H70" s="7">
        <v>0.99540119000000005</v>
      </c>
      <c r="I70" s="7">
        <v>2.003274E-2</v>
      </c>
      <c r="J70" s="7">
        <v>1.598921E-2</v>
      </c>
      <c r="K70" s="7">
        <v>8.7000000000000003E-7</v>
      </c>
      <c r="L70" s="7">
        <v>8.8000000000000004E-7</v>
      </c>
      <c r="M70" s="7">
        <v>1.4970000000000001E-5</v>
      </c>
      <c r="N70" s="7">
        <v>1.3689999999999999E-5</v>
      </c>
      <c r="O70" s="7">
        <v>4.6600000000000003E-6</v>
      </c>
      <c r="P70" s="7">
        <v>5.1399999999999999E-6</v>
      </c>
      <c r="Q70" s="7">
        <v>4.3599999999999998E-6</v>
      </c>
      <c r="R70" s="7">
        <v>3.2799999999999999E-6</v>
      </c>
      <c r="S70" s="7">
        <v>4.8099999999999997E-6</v>
      </c>
      <c r="T70" s="7">
        <v>4.5700000000000003E-6</v>
      </c>
      <c r="U70" s="7">
        <v>4.2E-7</v>
      </c>
      <c r="V70" s="7">
        <v>1.766E-5</v>
      </c>
      <c r="W70" s="7">
        <v>1.7689999999999998E-5</v>
      </c>
      <c r="X70" s="7">
        <v>1.774E-5</v>
      </c>
      <c r="Y70" s="7">
        <v>1.8430000000000001E-5</v>
      </c>
      <c r="Z70" s="7">
        <v>0.71061182000000001</v>
      </c>
      <c r="AA70" s="7">
        <v>0.75157479999999999</v>
      </c>
      <c r="AB70" s="7">
        <v>0.74631011999999997</v>
      </c>
      <c r="AC70" s="7">
        <v>0.82772060000000003</v>
      </c>
    </row>
    <row r="71" spans="1:29" x14ac:dyDescent="0.85">
      <c r="A71" t="s">
        <v>169</v>
      </c>
      <c r="B71" s="7">
        <v>1</v>
      </c>
      <c r="C71" s="7">
        <v>4.7978356499999997</v>
      </c>
      <c r="D71" s="7">
        <v>4.9055362499999999</v>
      </c>
      <c r="E71" s="7">
        <v>5.0462358500000004</v>
      </c>
      <c r="F71" s="7">
        <v>5.19474751</v>
      </c>
      <c r="G71" s="7">
        <v>5.3983250600000003</v>
      </c>
      <c r="H71" s="7">
        <v>5.6125888499999999</v>
      </c>
      <c r="I71" s="7">
        <v>5.8411082900000002</v>
      </c>
      <c r="J71" s="7">
        <v>6.2720525499999997</v>
      </c>
      <c r="K71" s="7">
        <v>6.6531598199999999</v>
      </c>
      <c r="L71" s="7">
        <v>7.0564101199999998</v>
      </c>
      <c r="M71" s="7">
        <v>7.4845869599999997</v>
      </c>
      <c r="N71" s="7">
        <v>7.9415791599999999</v>
      </c>
      <c r="O71" s="7">
        <v>8.4349157199999993</v>
      </c>
      <c r="P71" s="7">
        <v>8.9661740499999993</v>
      </c>
      <c r="Q71" s="7">
        <v>9.52954656</v>
      </c>
      <c r="R71" s="7">
        <v>10.128328059999999</v>
      </c>
      <c r="S71" s="7">
        <v>10.7645309</v>
      </c>
      <c r="T71" s="7">
        <v>11.44034321</v>
      </c>
      <c r="U71" s="7">
        <v>12.15808088</v>
      </c>
      <c r="V71" s="7">
        <v>12.92004708</v>
      </c>
      <c r="W71" s="7">
        <v>13.64706842</v>
      </c>
      <c r="X71" s="7">
        <v>14.39066433</v>
      </c>
      <c r="Y71" s="7">
        <v>15.17266027</v>
      </c>
      <c r="Z71" s="7">
        <v>16.00781413</v>
      </c>
      <c r="AA71" s="7">
        <v>16.85005284</v>
      </c>
      <c r="AB71" s="7">
        <v>17.734219190000001</v>
      </c>
      <c r="AC71" s="7">
        <v>18.66777725</v>
      </c>
    </row>
    <row r="72" spans="1:29" x14ac:dyDescent="0.85">
      <c r="A72" t="s">
        <v>170</v>
      </c>
      <c r="B72" s="7">
        <v>0</v>
      </c>
      <c r="C72" s="7">
        <v>9.0241880299999995</v>
      </c>
      <c r="D72" s="7">
        <v>16.943679159999999</v>
      </c>
      <c r="E72" s="7">
        <v>15.639111379999999</v>
      </c>
      <c r="F72" s="7">
        <v>16.42403328</v>
      </c>
      <c r="G72" s="7">
        <v>14.781629949999999</v>
      </c>
      <c r="H72" s="7">
        <v>13.37663856</v>
      </c>
      <c r="I72" s="7">
        <v>12.039090420000001</v>
      </c>
      <c r="J72" s="7">
        <v>10.83822844</v>
      </c>
      <c r="K72" s="7">
        <v>9.7559344400000008</v>
      </c>
      <c r="L72" s="7">
        <v>8.8638127000000004</v>
      </c>
      <c r="M72" s="7">
        <v>7.9774335900000004</v>
      </c>
      <c r="N72" s="7">
        <v>7.1796904499999998</v>
      </c>
      <c r="O72" s="7">
        <v>6.4631583499999996</v>
      </c>
      <c r="P72" s="7">
        <v>5.8168892400000001</v>
      </c>
      <c r="Q72" s="7">
        <v>5.2352050800000001</v>
      </c>
      <c r="R72" s="7">
        <v>4.7116848100000004</v>
      </c>
      <c r="S72" s="7">
        <v>4.2405163300000002</v>
      </c>
      <c r="T72" s="7">
        <v>3.8164647</v>
      </c>
      <c r="U72" s="7">
        <v>3.4349248499999998</v>
      </c>
      <c r="V72" s="7">
        <v>3.0914363599999999</v>
      </c>
      <c r="W72" s="7">
        <v>2.78229273</v>
      </c>
      <c r="X72" s="7">
        <v>2.5040634499999999</v>
      </c>
      <c r="Y72" s="7">
        <v>2.2536571099999998</v>
      </c>
      <c r="Z72" s="7">
        <v>3.75652506</v>
      </c>
      <c r="AA72" s="7">
        <v>3.3829502499999999</v>
      </c>
      <c r="AB72" s="7">
        <v>7.0318344699999997</v>
      </c>
      <c r="AC72" s="7">
        <v>12.762473119999999</v>
      </c>
    </row>
    <row r="73" spans="1:29" x14ac:dyDescent="0.85">
      <c r="A73" t="s">
        <v>171</v>
      </c>
      <c r="B73" s="7">
        <v>0</v>
      </c>
      <c r="C73" s="7">
        <v>2.1520925499999999</v>
      </c>
      <c r="D73" s="7">
        <v>2.3094307999999999</v>
      </c>
      <c r="E73" s="7">
        <v>9.7444059999999999E-2</v>
      </c>
      <c r="F73" s="7">
        <v>0.58721422999999995</v>
      </c>
      <c r="G73" s="7">
        <v>5.7000000000000005E-7</v>
      </c>
      <c r="H73" s="7">
        <v>1.8290919999999999E-2</v>
      </c>
      <c r="I73" s="7">
        <v>3.1470000000000002E-5</v>
      </c>
      <c r="J73" s="7">
        <v>7.6174000000000001E-4</v>
      </c>
      <c r="K73" s="7">
        <v>3.8214999999999999E-4</v>
      </c>
      <c r="L73" s="7">
        <v>1.969098E-2</v>
      </c>
      <c r="M73" s="7">
        <v>1.9943583600000001</v>
      </c>
      <c r="N73" s="7">
        <v>1.79491976</v>
      </c>
      <c r="O73" s="7">
        <v>1.6157895900000001</v>
      </c>
      <c r="P73" s="7">
        <v>1.45422206</v>
      </c>
      <c r="Q73" s="7">
        <v>1.3088000900000001</v>
      </c>
      <c r="R73" s="7">
        <v>1.1779211199999999</v>
      </c>
      <c r="S73" s="7">
        <v>1.06012894</v>
      </c>
      <c r="T73" s="7">
        <v>0.95411307999999995</v>
      </c>
      <c r="U73" s="7">
        <v>0.85872636000000002</v>
      </c>
      <c r="V73" s="7">
        <v>0.77285904000000005</v>
      </c>
      <c r="W73" s="7">
        <v>0.69556781000000001</v>
      </c>
      <c r="X73" s="7">
        <v>0.62601457000000005</v>
      </c>
      <c r="Y73" s="7">
        <v>0.56341200999999996</v>
      </c>
      <c r="Z73" s="7">
        <v>0.71973584000000002</v>
      </c>
      <c r="AA73" s="7">
        <v>0.84573756</v>
      </c>
      <c r="AB73" s="7">
        <v>1.7579585600000001</v>
      </c>
      <c r="AC73" s="7">
        <v>6.2518865200000002</v>
      </c>
    </row>
    <row r="74" spans="1:29" x14ac:dyDescent="0.85">
      <c r="A74" t="s">
        <v>172</v>
      </c>
      <c r="B74" s="7">
        <v>0</v>
      </c>
      <c r="C74" s="7">
        <v>2.1520925499999999</v>
      </c>
      <c r="D74" s="7">
        <v>2.3094307999999999</v>
      </c>
      <c r="E74" s="7">
        <v>9.7444059999999999E-2</v>
      </c>
      <c r="F74" s="7">
        <v>0.58721422999999995</v>
      </c>
      <c r="G74" s="7">
        <v>5.7000000000000005E-7</v>
      </c>
      <c r="H74" s="7">
        <v>1.8290919999999999E-2</v>
      </c>
      <c r="I74" s="7">
        <v>3.1470000000000002E-5</v>
      </c>
      <c r="J74" s="7">
        <v>7.6174000000000001E-4</v>
      </c>
      <c r="K74" s="7">
        <v>3.8214999999999999E-4</v>
      </c>
      <c r="L74" s="7">
        <v>1.969098E-2</v>
      </c>
      <c r="M74" s="7">
        <v>1.9943583600000001</v>
      </c>
      <c r="N74" s="7">
        <v>1.79491976</v>
      </c>
      <c r="O74" s="7">
        <v>1.6157895900000001</v>
      </c>
      <c r="P74" s="7">
        <v>1.45422206</v>
      </c>
      <c r="Q74" s="7">
        <v>1.3088000900000001</v>
      </c>
      <c r="R74" s="7">
        <v>1.1779211199999999</v>
      </c>
      <c r="S74" s="7">
        <v>1.06012894</v>
      </c>
      <c r="T74" s="7">
        <v>0.95411307999999995</v>
      </c>
      <c r="U74" s="7">
        <v>0.85872636000000002</v>
      </c>
      <c r="V74" s="7">
        <v>0.77285904000000005</v>
      </c>
      <c r="W74" s="7">
        <v>0.69556781000000001</v>
      </c>
      <c r="X74" s="7">
        <v>0.62601457000000005</v>
      </c>
      <c r="Y74" s="7">
        <v>0.56341200999999996</v>
      </c>
      <c r="Z74" s="7">
        <v>0.71973584000000002</v>
      </c>
      <c r="AA74" s="7">
        <v>0.84573756</v>
      </c>
      <c r="AB74" s="7">
        <v>1.7579585600000001</v>
      </c>
      <c r="AC74" s="7">
        <v>6.2518865200000002</v>
      </c>
    </row>
    <row r="75" spans="1:29" x14ac:dyDescent="0.85">
      <c r="A75" t="s">
        <v>173</v>
      </c>
      <c r="B75" s="7">
        <v>0</v>
      </c>
      <c r="C75" s="7">
        <v>2.3965513399999998</v>
      </c>
      <c r="D75" s="7">
        <v>4.4997047600000002</v>
      </c>
      <c r="E75" s="7">
        <v>4.15322485</v>
      </c>
      <c r="F75" s="7">
        <v>4.3616805200000002</v>
      </c>
      <c r="G75" s="7">
        <v>3.92550519</v>
      </c>
      <c r="H75" s="7">
        <v>3.55238685</v>
      </c>
      <c r="I75" s="7">
        <v>3.19717867</v>
      </c>
      <c r="J75" s="7">
        <v>2.87827001</v>
      </c>
      <c r="K75" s="7">
        <v>2.5908490099999999</v>
      </c>
      <c r="L75" s="7">
        <v>2.3539316700000001</v>
      </c>
      <c r="M75" s="7">
        <v>2.11856629</v>
      </c>
      <c r="N75" s="7">
        <v>1.9067097200000001</v>
      </c>
      <c r="O75" s="7">
        <v>1.7164203600000001</v>
      </c>
      <c r="P75" s="7">
        <v>1.5447907299999999</v>
      </c>
      <c r="Q75" s="7">
        <v>1.39031292</v>
      </c>
      <c r="R75" s="7">
        <v>1.2512816899999999</v>
      </c>
      <c r="S75" s="7">
        <v>1.1261535199999999</v>
      </c>
      <c r="T75" s="7">
        <v>1.0135381699999999</v>
      </c>
      <c r="U75" s="7">
        <v>0.91221266999999995</v>
      </c>
      <c r="V75" s="7">
        <v>0.82099246999999997</v>
      </c>
      <c r="W75" s="7">
        <v>0.73889322000000002</v>
      </c>
      <c r="X75" s="7">
        <v>0.66500389999999998</v>
      </c>
      <c r="Y75" s="7">
        <v>0.59850351000000002</v>
      </c>
      <c r="Z75" s="7">
        <v>0.99761699000000004</v>
      </c>
      <c r="AA75" s="7">
        <v>0.89840978000000005</v>
      </c>
      <c r="AB75" s="7">
        <v>1.86744362</v>
      </c>
      <c r="AC75" s="7">
        <v>3.3893709400000001</v>
      </c>
    </row>
    <row r="76" spans="1:29" x14ac:dyDescent="0.85">
      <c r="A76" t="s">
        <v>174</v>
      </c>
      <c r="B76" s="7">
        <v>0</v>
      </c>
      <c r="C76" s="7">
        <v>4.7899999999999999E-6</v>
      </c>
      <c r="D76" s="7">
        <v>1.028E-5</v>
      </c>
      <c r="E76" s="7">
        <v>6.5000000000000002E-7</v>
      </c>
      <c r="F76" s="7">
        <v>5.2299999999999999E-6</v>
      </c>
      <c r="G76" s="7">
        <v>0</v>
      </c>
      <c r="H76" s="7">
        <v>2.3999999999999998E-7</v>
      </c>
      <c r="I76" s="7">
        <v>0</v>
      </c>
      <c r="J76" s="7">
        <v>1E-8</v>
      </c>
      <c r="K76" s="7">
        <v>1E-8</v>
      </c>
      <c r="L76" s="7">
        <v>4.4000000000000002E-7</v>
      </c>
      <c r="M76" s="7">
        <v>4.8810000000000002E-5</v>
      </c>
      <c r="N76" s="7">
        <v>4.7920000000000002E-5</v>
      </c>
      <c r="O76" s="7">
        <v>4.6740000000000003E-5</v>
      </c>
      <c r="P76" s="7">
        <v>4.5300000000000003E-5</v>
      </c>
      <c r="Q76" s="7">
        <v>4.3680000000000002E-5</v>
      </c>
      <c r="R76" s="7">
        <v>4.193E-5</v>
      </c>
      <c r="S76" s="7">
        <v>4.0099999999999999E-5</v>
      </c>
      <c r="T76" s="7">
        <v>3.8210000000000002E-5</v>
      </c>
      <c r="U76" s="7">
        <v>3.6300000000000001E-5</v>
      </c>
      <c r="V76" s="7">
        <v>3.4390000000000001E-5</v>
      </c>
      <c r="W76" s="7">
        <v>3.2499999999999997E-5</v>
      </c>
      <c r="X76" s="7">
        <v>3.0639999999999998E-5</v>
      </c>
      <c r="Y76" s="7">
        <v>2.883E-5</v>
      </c>
      <c r="Z76" s="7">
        <v>3.8430000000000003E-5</v>
      </c>
      <c r="AA76" s="7">
        <v>4.7039999999999997E-5</v>
      </c>
      <c r="AB76" s="7">
        <v>1.0170000000000001E-4</v>
      </c>
      <c r="AC76" s="7">
        <v>3.7557999999999998E-4</v>
      </c>
    </row>
    <row r="77" spans="1:29" x14ac:dyDescent="0.85">
      <c r="A77" t="s">
        <v>175</v>
      </c>
      <c r="B77" s="7">
        <v>0</v>
      </c>
      <c r="C77" s="7">
        <v>2.3999999999999998E-7</v>
      </c>
      <c r="D77" s="7">
        <v>2.6E-7</v>
      </c>
      <c r="E77" s="7">
        <v>1E-8</v>
      </c>
      <c r="F77" s="7">
        <v>7.0000000000000005E-8</v>
      </c>
      <c r="G77" s="7">
        <v>0</v>
      </c>
      <c r="H77" s="7">
        <v>0</v>
      </c>
      <c r="I77" s="7">
        <v>0</v>
      </c>
      <c r="J77" s="7">
        <v>0</v>
      </c>
      <c r="K77" s="7">
        <v>0</v>
      </c>
      <c r="L77" s="7">
        <v>0</v>
      </c>
      <c r="M77" s="7">
        <v>2.2000000000000001E-7</v>
      </c>
      <c r="N77" s="7">
        <v>1.9999999999999999E-7</v>
      </c>
      <c r="O77" s="7">
        <v>1.8E-7</v>
      </c>
      <c r="P77" s="7">
        <v>1.6E-7</v>
      </c>
      <c r="Q77" s="7">
        <v>1.4999999999999999E-7</v>
      </c>
      <c r="R77" s="7">
        <v>1.3E-7</v>
      </c>
      <c r="S77" s="7">
        <v>1.1999999999999999E-7</v>
      </c>
      <c r="T77" s="7">
        <v>1.1000000000000001E-7</v>
      </c>
      <c r="U77" s="7">
        <v>9.9999999999999995E-8</v>
      </c>
      <c r="V77" s="7">
        <v>8.9999999999999999E-8</v>
      </c>
      <c r="W77" s="7">
        <v>8.0000000000000002E-8</v>
      </c>
      <c r="X77" s="7">
        <v>7.0000000000000005E-8</v>
      </c>
      <c r="Y77" s="7">
        <v>5.9999999999999995E-8</v>
      </c>
      <c r="Z77" s="7">
        <v>8.0000000000000002E-8</v>
      </c>
      <c r="AA77" s="7">
        <v>8.9999999999999999E-8</v>
      </c>
      <c r="AB77" s="7">
        <v>1.9999999999999999E-7</v>
      </c>
      <c r="AC77" s="7">
        <v>6.9999999999999997E-7</v>
      </c>
    </row>
    <row r="78" spans="1:29" x14ac:dyDescent="0.85">
      <c r="A78" t="s">
        <v>176</v>
      </c>
      <c r="B78" s="7">
        <v>0</v>
      </c>
      <c r="C78" s="7">
        <v>2.3965217000000001</v>
      </c>
      <c r="D78" s="7">
        <v>4.4996729599999998</v>
      </c>
      <c r="E78" s="7">
        <v>4.1532235000000002</v>
      </c>
      <c r="F78" s="7">
        <v>4.3616724400000004</v>
      </c>
      <c r="G78" s="7">
        <v>3.92550519</v>
      </c>
      <c r="H78" s="7">
        <v>3.5523866000000002</v>
      </c>
      <c r="I78" s="7">
        <v>3.19717867</v>
      </c>
      <c r="J78" s="7">
        <v>2.8782700000000001</v>
      </c>
      <c r="K78" s="7">
        <v>2.5908490099999999</v>
      </c>
      <c r="L78" s="7">
        <v>2.3539313900000001</v>
      </c>
      <c r="M78" s="7">
        <v>2.1185388299999999</v>
      </c>
      <c r="N78" s="7">
        <v>1.906685</v>
      </c>
      <c r="O78" s="7">
        <v>1.7163981100000001</v>
      </c>
      <c r="P78" s="7">
        <v>1.5447707100000001</v>
      </c>
      <c r="Q78" s="7">
        <v>1.3902949</v>
      </c>
      <c r="R78" s="7">
        <v>1.2512654700000001</v>
      </c>
      <c r="S78" s="7">
        <v>1.12613893</v>
      </c>
      <c r="T78" s="7">
        <v>1.01352503</v>
      </c>
      <c r="U78" s="7">
        <v>0.91220084000000001</v>
      </c>
      <c r="V78" s="7">
        <v>0.82098181999999997</v>
      </c>
      <c r="W78" s="7">
        <v>0.73888363999999995</v>
      </c>
      <c r="X78" s="7">
        <v>0.66499527999999997</v>
      </c>
      <c r="Y78" s="7">
        <v>0.59849574999999999</v>
      </c>
      <c r="Z78" s="7">
        <v>0.99760707999999998</v>
      </c>
      <c r="AA78" s="7">
        <v>0.89839813999999996</v>
      </c>
      <c r="AB78" s="7">
        <v>1.8674194099999999</v>
      </c>
      <c r="AC78" s="7">
        <v>3.3892848500000001</v>
      </c>
    </row>
    <row r="79" spans="1:29" x14ac:dyDescent="0.85">
      <c r="A79" t="s">
        <v>177</v>
      </c>
      <c r="B79" s="7">
        <v>0</v>
      </c>
      <c r="C79" s="7">
        <v>2.9629999999999999E-5</v>
      </c>
      <c r="D79" s="7">
        <v>3.18E-5</v>
      </c>
      <c r="E79" s="7">
        <v>1.3400000000000001E-6</v>
      </c>
      <c r="F79" s="7">
        <v>8.0900000000000005E-6</v>
      </c>
      <c r="G79" s="7">
        <v>0</v>
      </c>
      <c r="H79" s="7">
        <v>2.4999999999999999E-7</v>
      </c>
      <c r="I79" s="7">
        <v>0</v>
      </c>
      <c r="J79" s="7">
        <v>1E-8</v>
      </c>
      <c r="K79" s="7">
        <v>1E-8</v>
      </c>
      <c r="L79" s="7">
        <v>2.7000000000000001E-7</v>
      </c>
      <c r="M79" s="7">
        <v>2.7460000000000001E-5</v>
      </c>
      <c r="N79" s="7">
        <v>2.472E-5</v>
      </c>
      <c r="O79" s="7">
        <v>2.2249999999999999E-5</v>
      </c>
      <c r="P79" s="7">
        <v>2.0020000000000001E-5</v>
      </c>
      <c r="Q79" s="7">
        <v>1.802E-5</v>
      </c>
      <c r="R79" s="7">
        <v>1.6220000000000001E-5</v>
      </c>
      <c r="S79" s="7">
        <v>1.4600000000000001E-5</v>
      </c>
      <c r="T79" s="7">
        <v>1.314E-5</v>
      </c>
      <c r="U79" s="7">
        <v>1.182E-5</v>
      </c>
      <c r="V79" s="7">
        <v>1.064E-5</v>
      </c>
      <c r="W79" s="7">
        <v>9.5799999999999998E-6</v>
      </c>
      <c r="X79" s="7">
        <v>8.6200000000000005E-6</v>
      </c>
      <c r="Y79" s="7">
        <v>7.7600000000000002E-6</v>
      </c>
      <c r="Z79" s="7">
        <v>9.91E-6</v>
      </c>
      <c r="AA79" s="7">
        <v>1.165E-5</v>
      </c>
      <c r="AB79" s="7">
        <v>2.421E-5</v>
      </c>
      <c r="AC79" s="7">
        <v>8.6089999999999997E-5</v>
      </c>
    </row>
    <row r="80" spans="1:29" x14ac:dyDescent="0.85">
      <c r="A80" t="s">
        <v>178</v>
      </c>
      <c r="B80" s="7">
        <v>1</v>
      </c>
      <c r="C80" s="7">
        <v>1.1000000000000001</v>
      </c>
      <c r="D80" s="7">
        <v>1.0091651500000001</v>
      </c>
      <c r="E80" s="7">
        <v>1.0089343</v>
      </c>
      <c r="F80" s="7">
        <v>1.0003907400000001</v>
      </c>
      <c r="G80" s="7">
        <v>1.0023292500000001</v>
      </c>
      <c r="H80" s="7">
        <v>1</v>
      </c>
      <c r="I80" s="7">
        <v>1.0000693899999999</v>
      </c>
      <c r="J80" s="7">
        <v>1.00000011</v>
      </c>
      <c r="K80" s="7">
        <v>1.00000266</v>
      </c>
      <c r="L80" s="7">
        <v>1.00000128</v>
      </c>
      <c r="M80" s="7">
        <v>1.0000666600000001</v>
      </c>
      <c r="N80" s="7">
        <v>1</v>
      </c>
      <c r="O80" s="7">
        <v>1</v>
      </c>
      <c r="P80" s="7">
        <v>1.0000010100000001</v>
      </c>
      <c r="Q80" s="7">
        <v>1.00000003</v>
      </c>
      <c r="R80" s="7">
        <v>1</v>
      </c>
      <c r="S80" s="7">
        <v>1</v>
      </c>
      <c r="T80" s="7">
        <v>1</v>
      </c>
      <c r="U80" s="7">
        <v>1</v>
      </c>
      <c r="V80" s="7">
        <v>1.0000000600000001</v>
      </c>
      <c r="W80" s="7">
        <v>1</v>
      </c>
      <c r="X80" s="7">
        <v>1</v>
      </c>
      <c r="Y80" s="7">
        <v>1</v>
      </c>
      <c r="Z80" s="7">
        <v>1</v>
      </c>
      <c r="AA80" s="7">
        <v>1.0007916800000001</v>
      </c>
      <c r="AB80" s="7">
        <v>1.00000092</v>
      </c>
      <c r="AC80" s="7">
        <v>1.0017228899999999</v>
      </c>
    </row>
    <row r="81" spans="1:29" x14ac:dyDescent="0.85">
      <c r="A81" t="s">
        <v>179</v>
      </c>
      <c r="B81" s="7">
        <v>1</v>
      </c>
      <c r="C81" s="7">
        <v>1.0091651500000001</v>
      </c>
      <c r="D81" s="7">
        <v>1.0089343</v>
      </c>
      <c r="E81" s="7">
        <v>1.0003907400000001</v>
      </c>
      <c r="F81" s="7">
        <v>1.0023292500000001</v>
      </c>
      <c r="G81" s="7">
        <v>1</v>
      </c>
      <c r="H81" s="7">
        <v>1.0000693899999999</v>
      </c>
      <c r="I81" s="7">
        <v>1.00000011</v>
      </c>
      <c r="J81" s="7">
        <v>1.00000266</v>
      </c>
      <c r="K81" s="7">
        <v>1.00000128</v>
      </c>
      <c r="L81" s="7">
        <v>1.0000666600000001</v>
      </c>
      <c r="M81" s="7">
        <v>1</v>
      </c>
      <c r="N81" s="7">
        <v>1</v>
      </c>
      <c r="O81" s="7">
        <v>1.0000010100000001</v>
      </c>
      <c r="P81" s="7">
        <v>1.00000003</v>
      </c>
      <c r="Q81" s="7">
        <v>1</v>
      </c>
      <c r="R81" s="7">
        <v>1</v>
      </c>
      <c r="S81" s="7">
        <v>1</v>
      </c>
      <c r="T81" s="7">
        <v>1</v>
      </c>
      <c r="U81" s="7">
        <v>1.0000000600000001</v>
      </c>
      <c r="V81" s="7">
        <v>1</v>
      </c>
      <c r="W81" s="7">
        <v>1</v>
      </c>
      <c r="X81" s="7">
        <v>1</v>
      </c>
      <c r="Y81" s="7">
        <v>1</v>
      </c>
      <c r="Z81" s="7">
        <v>1.0007916800000001</v>
      </c>
      <c r="AA81" s="7">
        <v>1.00000092</v>
      </c>
      <c r="AB81" s="7">
        <v>1.0017228899999999</v>
      </c>
      <c r="AC81" s="7">
        <v>1.00270053</v>
      </c>
    </row>
    <row r="82" spans="1:29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FA2F36-0CFF-4942-9F6C-7090ECA9CAD4}">
  <sheetPr codeName="Sheet6"/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29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</row>
    <row r="2" spans="1:29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</row>
    <row r="3" spans="1:29" x14ac:dyDescent="0.85">
      <c r="A3" t="s">
        <v>69</v>
      </c>
      <c r="B3" s="7">
        <v>0</v>
      </c>
      <c r="C3" s="7">
        <v>20</v>
      </c>
      <c r="D3" s="7">
        <v>40</v>
      </c>
      <c r="E3" s="7">
        <v>60</v>
      </c>
      <c r="F3" s="7">
        <v>80</v>
      </c>
      <c r="G3" s="7">
        <v>100</v>
      </c>
      <c r="H3" s="7">
        <v>120</v>
      </c>
      <c r="I3" s="7">
        <v>140</v>
      </c>
      <c r="J3" s="7">
        <v>160</v>
      </c>
      <c r="K3" s="7">
        <v>180</v>
      </c>
      <c r="L3" s="7">
        <v>200</v>
      </c>
      <c r="M3" s="7">
        <v>220</v>
      </c>
      <c r="N3" s="7">
        <v>240</v>
      </c>
      <c r="O3" s="7">
        <v>260</v>
      </c>
      <c r="P3" s="7">
        <v>280</v>
      </c>
      <c r="Q3" s="7">
        <v>300</v>
      </c>
      <c r="R3" s="7">
        <v>320</v>
      </c>
      <c r="S3" s="7">
        <v>340</v>
      </c>
      <c r="T3" s="7">
        <v>360</v>
      </c>
      <c r="U3" s="7">
        <v>380</v>
      </c>
      <c r="V3" s="7">
        <v>400</v>
      </c>
      <c r="W3" s="7">
        <v>420</v>
      </c>
      <c r="X3" s="7">
        <v>440</v>
      </c>
      <c r="Y3" s="7">
        <v>460</v>
      </c>
      <c r="Z3" s="7">
        <v>480</v>
      </c>
      <c r="AA3" s="7">
        <v>500</v>
      </c>
      <c r="AB3" s="7">
        <v>520</v>
      </c>
      <c r="AC3" s="7">
        <v>540</v>
      </c>
    </row>
    <row r="4" spans="1:29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</row>
    <row r="5" spans="1:29" x14ac:dyDescent="0.85">
      <c r="A5" t="s">
        <v>105</v>
      </c>
      <c r="B5" s="7">
        <v>45158</v>
      </c>
      <c r="C5" s="7">
        <v>45716.824709300003</v>
      </c>
      <c r="D5" s="7">
        <v>46244.38038635</v>
      </c>
      <c r="E5" s="7">
        <v>46892.91982427</v>
      </c>
      <c r="F5" s="7">
        <v>47562.496137679998</v>
      </c>
      <c r="G5" s="7">
        <v>48270.115929799998</v>
      </c>
      <c r="H5" s="7">
        <v>49435.633542349999</v>
      </c>
      <c r="I5" s="7">
        <v>50780.574150070002</v>
      </c>
      <c r="J5" s="7">
        <v>52213.567574350003</v>
      </c>
      <c r="K5" s="7">
        <v>54414.278215660001</v>
      </c>
      <c r="L5" s="7">
        <v>56718.481095870004</v>
      </c>
      <c r="M5" s="7">
        <v>60859.072364289997</v>
      </c>
      <c r="N5" s="7">
        <v>65299.807449139997</v>
      </c>
      <c r="O5" s="7">
        <v>68506.710043970001</v>
      </c>
      <c r="P5" s="7">
        <v>70697.041953320004</v>
      </c>
      <c r="Q5" s="7">
        <v>72945.614581529997</v>
      </c>
      <c r="R5" s="7">
        <v>75164.016792680006</v>
      </c>
      <c r="S5" s="7">
        <v>77539.671871090002</v>
      </c>
      <c r="T5" s="7">
        <v>79976.471553819996</v>
      </c>
      <c r="U5" s="7">
        <v>82475.755942100004</v>
      </c>
      <c r="V5" s="7">
        <v>85038.880137579996</v>
      </c>
      <c r="W5" s="7">
        <v>87667.22427002</v>
      </c>
      <c r="X5" s="7">
        <v>90362.192070210003</v>
      </c>
      <c r="Y5" s="7">
        <v>91914.691467209996</v>
      </c>
      <c r="Z5" s="7">
        <v>92781.128682959999</v>
      </c>
      <c r="AA5" s="7">
        <v>93700.914733700003</v>
      </c>
      <c r="AB5" s="7">
        <v>94673.884630209999</v>
      </c>
      <c r="AC5" s="7">
        <v>95701.211115459999</v>
      </c>
    </row>
    <row r="6" spans="1:29" x14ac:dyDescent="0.85">
      <c r="A6" t="s">
        <v>106</v>
      </c>
      <c r="B6" s="7">
        <v>202990326.25</v>
      </c>
      <c r="C6" s="7">
        <v>207324354.03499901</v>
      </c>
      <c r="D6" s="7">
        <v>211745049.707369</v>
      </c>
      <c r="E6" s="7">
        <v>216254183.85796401</v>
      </c>
      <c r="F6" s="7">
        <v>220853489.80537799</v>
      </c>
      <c r="G6" s="7">
        <v>225544780.17055199</v>
      </c>
      <c r="H6" s="7">
        <v>230329897.775628</v>
      </c>
      <c r="I6" s="7">
        <v>235210716.93586901</v>
      </c>
      <c r="J6" s="7">
        <v>240189152.57955399</v>
      </c>
      <c r="K6" s="7">
        <v>245267154.86315399</v>
      </c>
      <c r="L6" s="7">
        <v>250446721.300859</v>
      </c>
      <c r="M6" s="7">
        <v>255729876.98687699</v>
      </c>
      <c r="N6" s="7">
        <v>261118668.35332999</v>
      </c>
      <c r="O6" s="7">
        <v>266615290.962349</v>
      </c>
      <c r="P6" s="7">
        <v>272221818.04133099</v>
      </c>
      <c r="Q6" s="7">
        <v>277940475.66242701</v>
      </c>
      <c r="R6" s="7">
        <v>283774233.98290497</v>
      </c>
      <c r="S6" s="7">
        <v>289752227.078556</v>
      </c>
      <c r="T6" s="7">
        <v>296016419.19175202</v>
      </c>
      <c r="U6" s="7">
        <v>302745402.78321201</v>
      </c>
      <c r="V6" s="7">
        <v>310096776.55344498</v>
      </c>
      <c r="W6" s="7">
        <v>318164603.22066802</v>
      </c>
      <c r="X6" s="7">
        <v>327068815.26758999</v>
      </c>
      <c r="Y6" s="7">
        <v>335893406.83701497</v>
      </c>
      <c r="Z6" s="7">
        <v>344861054.68018597</v>
      </c>
      <c r="AA6" s="7">
        <v>354630216.69563401</v>
      </c>
      <c r="AB6" s="7">
        <v>365228895.51870298</v>
      </c>
      <c r="AC6" s="7">
        <v>376633606.74162602</v>
      </c>
    </row>
    <row r="7" spans="1:29" x14ac:dyDescent="0.85">
      <c r="A7" t="s">
        <v>107</v>
      </c>
      <c r="B7" s="7">
        <v>202990326.25</v>
      </c>
      <c r="C7" s="7">
        <v>207324354.035</v>
      </c>
      <c r="D7" s="7">
        <v>211745062.3757</v>
      </c>
      <c r="E7" s="7">
        <v>216254184.883214</v>
      </c>
      <c r="F7" s="7">
        <v>220853489.84087801</v>
      </c>
      <c r="G7" s="7">
        <v>225544780.897695</v>
      </c>
      <c r="H7" s="7">
        <v>230329897.77564901</v>
      </c>
      <c r="I7" s="7">
        <v>235210716.991162</v>
      </c>
      <c r="J7" s="7">
        <v>240189152.59098601</v>
      </c>
      <c r="K7" s="7">
        <v>245267156.902805</v>
      </c>
      <c r="L7" s="7">
        <v>250446721.300861</v>
      </c>
      <c r="M7" s="7">
        <v>255729876.98687899</v>
      </c>
      <c r="N7" s="7">
        <v>261118695.786616</v>
      </c>
      <c r="O7" s="7">
        <v>266615290.962349</v>
      </c>
      <c r="P7" s="7">
        <v>272221818.041596</v>
      </c>
      <c r="Q7" s="7">
        <v>277940475.66242701</v>
      </c>
      <c r="R7" s="7">
        <v>283773506.43567598</v>
      </c>
      <c r="S7" s="7">
        <v>289723197.82438999</v>
      </c>
      <c r="T7" s="7">
        <v>295791883.04087698</v>
      </c>
      <c r="U7" s="7">
        <v>301981941.96169502</v>
      </c>
      <c r="V7" s="7">
        <v>308295802.060929</v>
      </c>
      <c r="W7" s="7">
        <v>314735939.36214697</v>
      </c>
      <c r="X7" s="7">
        <v>321304879.40938997</v>
      </c>
      <c r="Y7" s="7">
        <v>328005198.25757802</v>
      </c>
      <c r="Z7" s="7">
        <v>334839523.48272997</v>
      </c>
      <c r="AA7" s="7">
        <v>341810535.21238399</v>
      </c>
      <c r="AB7" s="7">
        <v>348920967.17663199</v>
      </c>
      <c r="AC7" s="7">
        <v>356173607.78016502</v>
      </c>
    </row>
    <row r="8" spans="1:29" x14ac:dyDescent="0.85">
      <c r="A8" t="s">
        <v>108</v>
      </c>
      <c r="B8" s="7">
        <v>25663.440078389998</v>
      </c>
      <c r="C8" s="7">
        <v>25349.969728640001</v>
      </c>
      <c r="D8" s="7">
        <v>25045.878351719999</v>
      </c>
      <c r="E8" s="7">
        <v>24761.4750571</v>
      </c>
      <c r="F8" s="7">
        <v>24490.232624799999</v>
      </c>
      <c r="G8" s="7">
        <v>24237.009405420002</v>
      </c>
      <c r="H8" s="7">
        <v>24089.171146420002</v>
      </c>
      <c r="I8" s="7">
        <v>23978.605789159999</v>
      </c>
      <c r="J8" s="7">
        <v>23894.136096800001</v>
      </c>
      <c r="K8" s="7">
        <v>23976.97310141</v>
      </c>
      <c r="L8" s="7">
        <v>24086.212307909998</v>
      </c>
      <c r="M8" s="7">
        <v>26089.355732299999</v>
      </c>
      <c r="N8" s="7">
        <v>28273.775237509999</v>
      </c>
      <c r="O8" s="7">
        <v>30294.013352810001</v>
      </c>
      <c r="P8" s="7">
        <v>32193.196384970001</v>
      </c>
      <c r="Q8" s="7">
        <v>34150.119221020002</v>
      </c>
      <c r="R8" s="7">
        <v>36149.08771046</v>
      </c>
      <c r="S8" s="7">
        <v>38224.578966879999</v>
      </c>
      <c r="T8" s="7">
        <v>40361.838180140003</v>
      </c>
      <c r="U8" s="7">
        <v>42562.252324499997</v>
      </c>
      <c r="V8" s="7">
        <v>44827.242221690001</v>
      </c>
      <c r="W8" s="7">
        <v>47158.262038530003</v>
      </c>
      <c r="X8" s="7">
        <v>49556.799901060003</v>
      </c>
      <c r="Y8" s="7">
        <v>51777.255068769999</v>
      </c>
      <c r="Z8" s="7">
        <v>53885.205383239998</v>
      </c>
      <c r="AA8" s="7">
        <v>56015.031259579999</v>
      </c>
      <c r="AB8" s="7">
        <v>58167.494959869997</v>
      </c>
      <c r="AC8" s="7">
        <v>60344.077625799997</v>
      </c>
    </row>
    <row r="9" spans="1:29" x14ac:dyDescent="0.85">
      <c r="A9" t="s">
        <v>109</v>
      </c>
      <c r="B9" s="7">
        <v>3305.6795891800002</v>
      </c>
      <c r="C9" s="7">
        <v>3454.2973786699999</v>
      </c>
      <c r="D9" s="7">
        <v>3603.9742018900001</v>
      </c>
      <c r="E9" s="7">
        <v>3754.7083785200002</v>
      </c>
      <c r="F9" s="7">
        <v>3906.5702281899999</v>
      </c>
      <c r="G9" s="7">
        <v>4059.6325000100001</v>
      </c>
      <c r="H9" s="7">
        <v>4186.0887913500001</v>
      </c>
      <c r="I9" s="7">
        <v>4334.4894073599999</v>
      </c>
      <c r="J9" s="7">
        <v>4484.10073827</v>
      </c>
      <c r="K9" s="7">
        <v>4605.2243717399997</v>
      </c>
      <c r="L9" s="7">
        <v>4727.1825290200004</v>
      </c>
      <c r="M9" s="7">
        <v>4677.1213921600001</v>
      </c>
      <c r="N9" s="7">
        <v>4617.32504806</v>
      </c>
      <c r="O9" s="7">
        <v>4539.4635898400002</v>
      </c>
      <c r="P9" s="7">
        <v>4450.4559673200001</v>
      </c>
      <c r="Q9" s="7">
        <v>4358.1267016199999</v>
      </c>
      <c r="R9" s="7">
        <v>4262.3860956299995</v>
      </c>
      <c r="S9" s="7">
        <v>4164.0927501899996</v>
      </c>
      <c r="T9" s="7">
        <v>4066.2015962599999</v>
      </c>
      <c r="U9" s="7">
        <v>3972.9013007600001</v>
      </c>
      <c r="V9" s="7">
        <v>3887.8647670800001</v>
      </c>
      <c r="W9" s="7">
        <v>3813.21107648</v>
      </c>
      <c r="X9" s="7">
        <v>3751.6869251100002</v>
      </c>
      <c r="Y9" s="7">
        <v>3731.8311789700001</v>
      </c>
      <c r="Z9" s="7">
        <v>3742.8377733000002</v>
      </c>
      <c r="AA9" s="7">
        <v>3771.4089623</v>
      </c>
      <c r="AB9" s="7">
        <v>3818.11369272</v>
      </c>
      <c r="AC9" s="7">
        <v>3882.2550189100002</v>
      </c>
    </row>
    <row r="10" spans="1:29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</row>
    <row r="11" spans="1:29" x14ac:dyDescent="0.85">
      <c r="A11" t="s">
        <v>37</v>
      </c>
      <c r="B11" s="7">
        <v>0</v>
      </c>
      <c r="C11" s="7">
        <v>1283.46713662</v>
      </c>
      <c r="D11" s="7">
        <v>2692.3481762199999</v>
      </c>
      <c r="E11" s="7">
        <v>4227.7237266299999</v>
      </c>
      <c r="F11" s="7">
        <v>5890.7933827300003</v>
      </c>
      <c r="G11" s="7">
        <v>7682.88106075</v>
      </c>
      <c r="H11" s="7">
        <v>9538.7984266399999</v>
      </c>
      <c r="I11" s="7">
        <v>11472.667000629999</v>
      </c>
      <c r="J11" s="7">
        <v>13495.88839378</v>
      </c>
      <c r="K11" s="7">
        <v>15485.14899053</v>
      </c>
      <c r="L11" s="7">
        <v>17532.255420050002</v>
      </c>
      <c r="M11" s="7">
        <v>17914.284844130001</v>
      </c>
      <c r="N11" s="7">
        <v>17900.788121469999</v>
      </c>
      <c r="O11" s="7">
        <v>18016.620419790001</v>
      </c>
      <c r="P11" s="7">
        <v>18191.943391209999</v>
      </c>
      <c r="Q11" s="7">
        <v>18153.006190470001</v>
      </c>
      <c r="R11" s="7">
        <v>17890.368525229998</v>
      </c>
      <c r="S11" s="7">
        <v>17401.94403595</v>
      </c>
      <c r="T11" s="7">
        <v>16699.684453440001</v>
      </c>
      <c r="U11" s="7">
        <v>15810.67598502</v>
      </c>
      <c r="V11" s="7">
        <v>14764.418773179999</v>
      </c>
      <c r="W11" s="7">
        <v>13583.031434299999</v>
      </c>
      <c r="X11" s="7">
        <v>12297.401510449999</v>
      </c>
      <c r="Y11" s="7">
        <v>11176.0897845</v>
      </c>
      <c r="Z11" s="7">
        <v>10182.7628198</v>
      </c>
      <c r="AA11" s="7">
        <v>9234.8309752599998</v>
      </c>
      <c r="AB11" s="7">
        <v>8357.7622984000009</v>
      </c>
      <c r="AC11" s="7">
        <v>7563.6764733099999</v>
      </c>
    </row>
    <row r="12" spans="1:29" x14ac:dyDescent="0.85">
      <c r="A12" t="s">
        <v>111</v>
      </c>
      <c r="B12" s="7">
        <v>28969.119667570001</v>
      </c>
      <c r="C12" s="7">
        <v>28804.267107309999</v>
      </c>
      <c r="D12" s="7">
        <v>28649.852553609999</v>
      </c>
      <c r="E12" s="7">
        <v>28516.183435620002</v>
      </c>
      <c r="F12" s="7">
        <v>28396.802852979999</v>
      </c>
      <c r="G12" s="7">
        <v>28296.641905429999</v>
      </c>
      <c r="H12" s="7">
        <v>28275.259937769999</v>
      </c>
      <c r="I12" s="7">
        <v>28313.09519652</v>
      </c>
      <c r="J12" s="7">
        <v>28378.236835070002</v>
      </c>
      <c r="K12" s="7">
        <v>28582.197473150001</v>
      </c>
      <c r="L12" s="7">
        <v>28813.394836930001</v>
      </c>
      <c r="M12" s="7">
        <v>30766.477124460002</v>
      </c>
      <c r="N12" s="7">
        <v>32891.100285569999</v>
      </c>
      <c r="O12" s="7">
        <v>34833.476942649999</v>
      </c>
      <c r="P12" s="7">
        <v>36643.652352290002</v>
      </c>
      <c r="Q12" s="7">
        <v>38508.245922640002</v>
      </c>
      <c r="R12" s="7">
        <v>40411.473806089998</v>
      </c>
      <c r="S12" s="7">
        <v>42388.671717069999</v>
      </c>
      <c r="T12" s="7">
        <v>44428.039776400001</v>
      </c>
      <c r="U12" s="7">
        <v>46535.153625259998</v>
      </c>
      <c r="V12" s="7">
        <v>48715.10698877</v>
      </c>
      <c r="W12" s="7">
        <v>50971.473115009998</v>
      </c>
      <c r="X12" s="7">
        <v>53308.486826170003</v>
      </c>
      <c r="Y12" s="7">
        <v>55509.086247740001</v>
      </c>
      <c r="Z12" s="7">
        <v>57628.043156539999</v>
      </c>
      <c r="AA12" s="7">
        <v>59786.440221880002</v>
      </c>
      <c r="AB12" s="7">
        <v>61985.608652590003</v>
      </c>
      <c r="AC12" s="7">
        <v>64226.332644709997</v>
      </c>
    </row>
    <row r="13" spans="1:29" x14ac:dyDescent="0.85">
      <c r="A13" t="s">
        <v>112</v>
      </c>
      <c r="B13" s="7">
        <v>28969.119667570001</v>
      </c>
      <c r="C13" s="7">
        <v>30087.734243940002</v>
      </c>
      <c r="D13" s="7">
        <v>31342.200729830001</v>
      </c>
      <c r="E13" s="7">
        <v>32743.907162250001</v>
      </c>
      <c r="F13" s="7">
        <v>34287.596235719997</v>
      </c>
      <c r="G13" s="7">
        <v>35979.522966190001</v>
      </c>
      <c r="H13" s="7">
        <v>37814.058364409997</v>
      </c>
      <c r="I13" s="7">
        <v>39785.762197149998</v>
      </c>
      <c r="J13" s="7">
        <v>41874.125228850004</v>
      </c>
      <c r="K13" s="7">
        <v>44067.346463679998</v>
      </c>
      <c r="L13" s="7">
        <v>46345.65025698</v>
      </c>
      <c r="M13" s="7">
        <v>48680.761968589999</v>
      </c>
      <c r="N13" s="7">
        <v>50791.888407029997</v>
      </c>
      <c r="O13" s="7">
        <v>52850.097362449997</v>
      </c>
      <c r="P13" s="7">
        <v>54835.595743500002</v>
      </c>
      <c r="Q13" s="7">
        <v>56661.25211311</v>
      </c>
      <c r="R13" s="7">
        <v>58301.842331319996</v>
      </c>
      <c r="S13" s="7">
        <v>59790.61575302</v>
      </c>
      <c r="T13" s="7">
        <v>61127.724229840001</v>
      </c>
      <c r="U13" s="7">
        <v>62345.829610280001</v>
      </c>
      <c r="V13" s="7">
        <v>63479.525761949997</v>
      </c>
      <c r="W13" s="7">
        <v>64554.5045493</v>
      </c>
      <c r="X13" s="7">
        <v>65605.888336620003</v>
      </c>
      <c r="Y13" s="7">
        <v>66685.176032239993</v>
      </c>
      <c r="Z13" s="7">
        <v>67810.805976339994</v>
      </c>
      <c r="AA13" s="7">
        <v>69021.271197139999</v>
      </c>
      <c r="AB13" s="7">
        <v>70343.370950990007</v>
      </c>
      <c r="AC13" s="7">
        <v>71790.009118009999</v>
      </c>
    </row>
    <row r="14" spans="1:29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</row>
    <row r="15" spans="1:29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</row>
    <row r="16" spans="1:29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</row>
    <row r="17" spans="1:29" x14ac:dyDescent="0.85">
      <c r="A17" t="s">
        <v>115</v>
      </c>
      <c r="B17" s="7">
        <v>5007</v>
      </c>
      <c r="C17" s="7">
        <v>4840.1000115200004</v>
      </c>
      <c r="D17" s="7">
        <v>4678.8067441699995</v>
      </c>
      <c r="E17" s="7">
        <v>4522.8465193599995</v>
      </c>
      <c r="F17" s="7">
        <v>4372.0849716000002</v>
      </c>
      <c r="G17" s="7">
        <v>4226.3488058800003</v>
      </c>
      <c r="H17" s="7">
        <v>4745.8186858500003</v>
      </c>
      <c r="I17" s="7">
        <v>4830.1289948699996</v>
      </c>
      <c r="J17" s="7">
        <v>4929.74879521</v>
      </c>
      <c r="K17" s="7">
        <v>5755.3465272399999</v>
      </c>
      <c r="L17" s="7">
        <v>6607.09231705</v>
      </c>
      <c r="M17" s="7">
        <v>7486.3933019799997</v>
      </c>
      <c r="N17" s="7">
        <v>8424.3256965599994</v>
      </c>
      <c r="O17" s="7">
        <v>9425.2157148700007</v>
      </c>
      <c r="P17" s="7">
        <v>10467.03954036</v>
      </c>
      <c r="Q17" s="7">
        <v>11531.806431720001</v>
      </c>
      <c r="R17" s="7">
        <v>12620.192972020001</v>
      </c>
      <c r="S17" s="7">
        <v>13731.351744330001</v>
      </c>
      <c r="T17" s="7">
        <v>14867.658175410001</v>
      </c>
      <c r="U17" s="7">
        <v>16029.807833110001</v>
      </c>
      <c r="V17" s="7">
        <v>17218.509509560001</v>
      </c>
      <c r="W17" s="7">
        <v>18434.485291820001</v>
      </c>
      <c r="X17" s="7">
        <v>19678.470804500001</v>
      </c>
      <c r="Y17" s="7">
        <v>19741.660874429999</v>
      </c>
      <c r="Z17" s="7">
        <v>19084.68146295</v>
      </c>
      <c r="AA17" s="7">
        <v>18448.525453689999</v>
      </c>
      <c r="AB17" s="7">
        <v>17833.574611119999</v>
      </c>
      <c r="AC17" s="7">
        <v>17239.122149269999</v>
      </c>
    </row>
    <row r="18" spans="1:29" x14ac:dyDescent="0.85">
      <c r="A18" t="s">
        <v>116</v>
      </c>
      <c r="B18" s="7">
        <v>8664657.5</v>
      </c>
      <c r="C18" s="7">
        <v>8375835.6032608096</v>
      </c>
      <c r="D18" s="7">
        <v>8096716.18671887</v>
      </c>
      <c r="E18" s="7">
        <v>7826825.6388969999</v>
      </c>
      <c r="F18" s="7">
        <v>7565931.4559263401</v>
      </c>
      <c r="G18" s="7">
        <v>7313733.62682229</v>
      </c>
      <c r="H18" s="7">
        <v>8212680.8041012604</v>
      </c>
      <c r="I18" s="7">
        <v>8358580.5323361997</v>
      </c>
      <c r="J18" s="7">
        <v>8530973.4693742599</v>
      </c>
      <c r="K18" s="7">
        <v>9959677.5760032199</v>
      </c>
      <c r="L18" s="7">
        <v>11433631.125641201</v>
      </c>
      <c r="M18" s="7">
        <v>12955269.1817852</v>
      </c>
      <c r="N18" s="7">
        <v>14578369.4058771</v>
      </c>
      <c r="O18" s="7">
        <v>16310418.349270601</v>
      </c>
      <c r="P18" s="7">
        <v>18113303.6045333</v>
      </c>
      <c r="Q18" s="7">
        <v>19955892.0362367</v>
      </c>
      <c r="R18" s="7">
        <v>21838604.532368299</v>
      </c>
      <c r="S18" s="7">
        <v>23733175.053019501</v>
      </c>
      <c r="T18" s="7">
        <v>25504058.4033674</v>
      </c>
      <c r="U18" s="7">
        <v>26976245.7088328</v>
      </c>
      <c r="V18" s="7">
        <v>27995792.333548799</v>
      </c>
      <c r="W18" s="7">
        <v>28472361.178958301</v>
      </c>
      <c r="X18" s="7">
        <v>28289818.327536501</v>
      </c>
      <c r="Y18" s="7">
        <v>26274897.766146898</v>
      </c>
      <c r="Z18" s="7">
        <v>23004667.593409602</v>
      </c>
      <c r="AA18" s="7">
        <v>19105644.822714299</v>
      </c>
      <c r="AB18" s="7">
        <v>14553220.915000901</v>
      </c>
      <c r="AC18" s="7">
        <v>9372445.8845845405</v>
      </c>
    </row>
    <row r="19" spans="1:29" x14ac:dyDescent="0.85">
      <c r="A19" t="s">
        <v>117</v>
      </c>
      <c r="B19" s="7">
        <v>8664657.5</v>
      </c>
      <c r="C19" s="7">
        <v>8375835.6032608096</v>
      </c>
      <c r="D19" s="7">
        <v>8096716.18671887</v>
      </c>
      <c r="E19" s="7">
        <v>7826825.6388969999</v>
      </c>
      <c r="F19" s="7">
        <v>7565931.4559263401</v>
      </c>
      <c r="G19" s="7">
        <v>7313733.62682229</v>
      </c>
      <c r="H19" s="7">
        <v>8212680.8041012604</v>
      </c>
      <c r="I19" s="7">
        <v>8358580.5323361997</v>
      </c>
      <c r="J19" s="7">
        <v>8530973.4693742599</v>
      </c>
      <c r="K19" s="7">
        <v>9959677.5760032199</v>
      </c>
      <c r="L19" s="7">
        <v>11433631.125641201</v>
      </c>
      <c r="M19" s="7">
        <v>12955269.1817852</v>
      </c>
      <c r="N19" s="7">
        <v>14578369.4058771</v>
      </c>
      <c r="O19" s="7">
        <v>16310418.349270601</v>
      </c>
      <c r="P19" s="7">
        <v>18113303.6045333</v>
      </c>
      <c r="Q19" s="7">
        <v>19955892.0362367</v>
      </c>
      <c r="R19" s="7">
        <v>21839354.477315299</v>
      </c>
      <c r="S19" s="7">
        <v>23762224.4653445</v>
      </c>
      <c r="T19" s="7">
        <v>25728612.697153099</v>
      </c>
      <c r="U19" s="7">
        <v>27739722.858968999</v>
      </c>
      <c r="V19" s="7">
        <v>29796781.5218217</v>
      </c>
      <c r="W19" s="7">
        <v>31901038.263651799</v>
      </c>
      <c r="X19" s="7">
        <v>34053766.089300402</v>
      </c>
      <c r="Y19" s="7">
        <v>34163117.058791898</v>
      </c>
      <c r="Z19" s="7">
        <v>33026208.432797499</v>
      </c>
      <c r="AA19" s="7">
        <v>31925334.8867428</v>
      </c>
      <c r="AB19" s="7">
        <v>30861157.067364201</v>
      </c>
      <c r="AC19" s="7">
        <v>29832451.875384402</v>
      </c>
    </row>
    <row r="20" spans="1:29" x14ac:dyDescent="0.85">
      <c r="A20" t="s">
        <v>118</v>
      </c>
      <c r="B20" s="7">
        <v>1022.2183680099999</v>
      </c>
      <c r="C20" s="7">
        <v>988.14442475999999</v>
      </c>
      <c r="D20" s="7">
        <v>955.21513765999998</v>
      </c>
      <c r="E20" s="7">
        <v>923.37463306999996</v>
      </c>
      <c r="F20" s="7">
        <v>892.59547922000002</v>
      </c>
      <c r="G20" s="7">
        <v>862.84229658000004</v>
      </c>
      <c r="H20" s="7">
        <v>968.89615176999996</v>
      </c>
      <c r="I20" s="7">
        <v>986.10876341000005</v>
      </c>
      <c r="J20" s="7">
        <v>1006.44692792</v>
      </c>
      <c r="K20" s="7">
        <v>1174.9991880099999</v>
      </c>
      <c r="L20" s="7">
        <v>1348.8897794300001</v>
      </c>
      <c r="M20" s="7">
        <v>1528.4059803099999</v>
      </c>
      <c r="N20" s="7">
        <v>1719.89224388</v>
      </c>
      <c r="O20" s="7">
        <v>1924.23180071</v>
      </c>
      <c r="P20" s="7">
        <v>2136.9283157199998</v>
      </c>
      <c r="Q20" s="7">
        <v>2354.3088377899999</v>
      </c>
      <c r="R20" s="7">
        <v>2576.5114966599999</v>
      </c>
      <c r="S20" s="7">
        <v>2803.3632855199999</v>
      </c>
      <c r="T20" s="7">
        <v>3035.3491663999998</v>
      </c>
      <c r="U20" s="7">
        <v>3272.6111449199998</v>
      </c>
      <c r="V20" s="7">
        <v>3515.2939265800001</v>
      </c>
      <c r="W20" s="7">
        <v>3763.5449311100001</v>
      </c>
      <c r="X20" s="7">
        <v>4017.5143420499999</v>
      </c>
      <c r="Y20" s="7">
        <v>4030.41509103</v>
      </c>
      <c r="Z20" s="7">
        <v>3896.28758518</v>
      </c>
      <c r="AA20" s="7">
        <v>3766.4113404</v>
      </c>
      <c r="AB20" s="7">
        <v>3640.8642969299999</v>
      </c>
      <c r="AC20" s="7">
        <v>3519.50215884</v>
      </c>
    </row>
    <row r="21" spans="1:29" x14ac:dyDescent="0.85">
      <c r="A21" t="s">
        <v>119</v>
      </c>
      <c r="B21" s="7">
        <v>0</v>
      </c>
      <c r="C21" s="7">
        <v>0.83758356</v>
      </c>
      <c r="D21" s="7">
        <v>1.6193432400000001</v>
      </c>
      <c r="E21" s="7">
        <v>2.34804769</v>
      </c>
      <c r="F21" s="7">
        <v>3.0263725799999999</v>
      </c>
      <c r="G21" s="7">
        <v>3.6568668099999999</v>
      </c>
      <c r="H21" s="7">
        <v>4.92760848</v>
      </c>
      <c r="I21" s="7">
        <v>5.8510063700000003</v>
      </c>
      <c r="J21" s="7">
        <v>6.8247787799999999</v>
      </c>
      <c r="K21" s="7">
        <v>8.9637098200000001</v>
      </c>
      <c r="L21" s="7">
        <v>11.43363113</v>
      </c>
      <c r="M21" s="7">
        <v>14.250796100000001</v>
      </c>
      <c r="N21" s="7">
        <v>17.49404329</v>
      </c>
      <c r="O21" s="7">
        <v>21.203543849999999</v>
      </c>
      <c r="P21" s="7">
        <v>25.358625050000001</v>
      </c>
      <c r="Q21" s="7">
        <v>29.933838049999999</v>
      </c>
      <c r="R21" s="7">
        <v>34.942967160000002</v>
      </c>
      <c r="S21" s="7">
        <v>40.395781589999999</v>
      </c>
      <c r="T21" s="7">
        <v>46.311502849999997</v>
      </c>
      <c r="U21" s="7">
        <v>52.705473429999998</v>
      </c>
      <c r="V21" s="7">
        <v>59.593563039999999</v>
      </c>
      <c r="W21" s="7">
        <v>66.992180349999998</v>
      </c>
      <c r="X21" s="7">
        <v>74.918285400000002</v>
      </c>
      <c r="Y21" s="7">
        <v>78.575169239999994</v>
      </c>
      <c r="Z21" s="7">
        <v>79.262900239999993</v>
      </c>
      <c r="AA21" s="7">
        <v>79.813337219999994</v>
      </c>
      <c r="AB21" s="7">
        <v>80.239008380000001</v>
      </c>
      <c r="AC21" s="7">
        <v>80.54762006</v>
      </c>
    </row>
    <row r="22" spans="1:29" x14ac:dyDescent="0.85">
      <c r="A22" t="s">
        <v>120</v>
      </c>
      <c r="B22" s="7">
        <v>4.332329E-2</v>
      </c>
      <c r="C22" s="7">
        <v>4.1879180000000002E-2</v>
      </c>
      <c r="D22" s="7">
        <v>4.0483579999999998E-2</v>
      </c>
      <c r="E22" s="7">
        <v>3.9134130000000003E-2</v>
      </c>
      <c r="F22" s="7">
        <v>3.7829660000000001E-2</v>
      </c>
      <c r="G22" s="7">
        <v>3.6568669999999998E-2</v>
      </c>
      <c r="H22" s="7">
        <v>4.10634E-2</v>
      </c>
      <c r="I22" s="7">
        <v>4.1792900000000001E-2</v>
      </c>
      <c r="J22" s="7">
        <v>4.2654869999999998E-2</v>
      </c>
      <c r="K22" s="7">
        <v>4.9798389999999998E-2</v>
      </c>
      <c r="L22" s="7">
        <v>5.7168160000000003E-2</v>
      </c>
      <c r="M22" s="7">
        <v>6.4776349999999996E-2</v>
      </c>
      <c r="N22" s="7">
        <v>7.2891849999999994E-2</v>
      </c>
      <c r="O22" s="7">
        <v>8.1552089999999994E-2</v>
      </c>
      <c r="P22" s="7">
        <v>9.0566519999999998E-2</v>
      </c>
      <c r="Q22" s="7">
        <v>9.977946E-2</v>
      </c>
      <c r="R22" s="7">
        <v>0.10919677</v>
      </c>
      <c r="S22" s="7">
        <v>0.11881112000000001</v>
      </c>
      <c r="T22" s="7">
        <v>0.12864306</v>
      </c>
      <c r="U22" s="7">
        <v>0.13869861</v>
      </c>
      <c r="V22" s="7">
        <v>0.14898391</v>
      </c>
      <c r="W22" s="7">
        <v>0.15950518999999999</v>
      </c>
      <c r="X22" s="7">
        <v>0.17026883000000001</v>
      </c>
      <c r="Y22" s="7">
        <v>0.17081558999999999</v>
      </c>
      <c r="Z22" s="7">
        <v>0.16513104000000001</v>
      </c>
      <c r="AA22" s="7">
        <v>0.15962667</v>
      </c>
      <c r="AB22" s="7">
        <v>0.15430579</v>
      </c>
      <c r="AC22" s="7">
        <v>0.14916225999999999</v>
      </c>
    </row>
    <row r="23" spans="1:29" x14ac:dyDescent="0.85">
      <c r="A23" t="s">
        <v>121</v>
      </c>
      <c r="B23" s="7">
        <v>1022.2183680099999</v>
      </c>
      <c r="C23" s="7">
        <v>988.14442475999999</v>
      </c>
      <c r="D23" s="7">
        <v>955.21513765999998</v>
      </c>
      <c r="E23" s="7">
        <v>923.37463306999996</v>
      </c>
      <c r="F23" s="7">
        <v>892.59547922000002</v>
      </c>
      <c r="G23" s="7">
        <v>862.84229658000004</v>
      </c>
      <c r="H23" s="7">
        <v>968.89615176999996</v>
      </c>
      <c r="I23" s="7">
        <v>986.10876341000005</v>
      </c>
      <c r="J23" s="7">
        <v>1006.44692792</v>
      </c>
      <c r="K23" s="7">
        <v>1174.9991880099999</v>
      </c>
      <c r="L23" s="7">
        <v>1348.8897794300001</v>
      </c>
      <c r="M23" s="7">
        <v>1528.4059803099999</v>
      </c>
      <c r="N23" s="7">
        <v>1719.89224388</v>
      </c>
      <c r="O23" s="7">
        <v>1924.23180071</v>
      </c>
      <c r="P23" s="7">
        <v>2136.9283157199998</v>
      </c>
      <c r="Q23" s="7">
        <v>2354.3088377899999</v>
      </c>
      <c r="R23" s="7">
        <v>2576.5114966599999</v>
      </c>
      <c r="S23" s="7">
        <v>2803.3632855199999</v>
      </c>
      <c r="T23" s="7">
        <v>3035.3491663999998</v>
      </c>
      <c r="U23" s="7">
        <v>3272.6111449199998</v>
      </c>
      <c r="V23" s="7">
        <v>3515.2939265800001</v>
      </c>
      <c r="W23" s="7">
        <v>3763.5449311100001</v>
      </c>
      <c r="X23" s="7">
        <v>4017.5143420499999</v>
      </c>
      <c r="Y23" s="7">
        <v>4030.41509103</v>
      </c>
      <c r="Z23" s="7">
        <v>3896.28758518</v>
      </c>
      <c r="AA23" s="7">
        <v>3766.4113404</v>
      </c>
      <c r="AB23" s="7">
        <v>3640.8642969299999</v>
      </c>
      <c r="AC23" s="7">
        <v>3519.50215884</v>
      </c>
    </row>
    <row r="24" spans="1:29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</row>
    <row r="25" spans="1:29" x14ac:dyDescent="0.85">
      <c r="A25" t="s">
        <v>123</v>
      </c>
      <c r="B25" s="7">
        <v>1</v>
      </c>
      <c r="C25" s="7">
        <v>1.03333333</v>
      </c>
      <c r="D25" s="7">
        <v>1</v>
      </c>
      <c r="E25" s="7">
        <v>1.00000928</v>
      </c>
      <c r="F25" s="7">
        <v>1</v>
      </c>
      <c r="G25" s="7">
        <v>1</v>
      </c>
      <c r="H25" s="7">
        <v>0.99999998000000001</v>
      </c>
      <c r="I25" s="7">
        <v>1.16163332</v>
      </c>
      <c r="J25" s="7">
        <v>1.05286053</v>
      </c>
      <c r="K25" s="7">
        <v>1.0558186199999999</v>
      </c>
      <c r="L25" s="7">
        <v>1.18756803</v>
      </c>
      <c r="M25" s="7">
        <v>1.1721462899999999</v>
      </c>
      <c r="N25" s="7">
        <v>1.1640781899999999</v>
      </c>
      <c r="O25" s="7">
        <v>1.1573791499999999</v>
      </c>
      <c r="P25" s="7">
        <v>1.1488201499999999</v>
      </c>
      <c r="Q25" s="7">
        <v>1.13970624</v>
      </c>
      <c r="R25" s="7">
        <v>1.13210856</v>
      </c>
      <c r="S25" s="7">
        <v>1.1255549300000001</v>
      </c>
      <c r="T25" s="7">
        <v>1.120079</v>
      </c>
      <c r="U25" s="7">
        <v>1.11533444</v>
      </c>
      <c r="V25" s="7">
        <v>1.11118556</v>
      </c>
      <c r="W25" s="7">
        <v>1.1075282099999999</v>
      </c>
      <c r="X25" s="7">
        <v>1.1042811400000001</v>
      </c>
      <c r="Y25" s="7">
        <v>1.10138001</v>
      </c>
      <c r="Z25" s="7">
        <v>1.03780461</v>
      </c>
      <c r="AA25" s="7">
        <v>1.00005638</v>
      </c>
      <c r="AB25" s="7">
        <v>1</v>
      </c>
      <c r="AC25" s="7">
        <v>1</v>
      </c>
    </row>
    <row r="26" spans="1:29" x14ac:dyDescent="0.85">
      <c r="A26" t="s">
        <v>124</v>
      </c>
      <c r="B26" s="7">
        <v>1</v>
      </c>
      <c r="C26" s="7">
        <v>1</v>
      </c>
      <c r="D26" s="7">
        <v>1.00000928</v>
      </c>
      <c r="E26" s="7">
        <v>1</v>
      </c>
      <c r="F26" s="7">
        <v>1</v>
      </c>
      <c r="G26" s="7">
        <v>0.99999998000000001</v>
      </c>
      <c r="H26" s="7">
        <v>1.16163332</v>
      </c>
      <c r="I26" s="7">
        <v>1.05286053</v>
      </c>
      <c r="J26" s="7">
        <v>1.0558186199999999</v>
      </c>
      <c r="K26" s="7">
        <v>1.20773025</v>
      </c>
      <c r="L26" s="7">
        <v>1.1875780300000001</v>
      </c>
      <c r="M26" s="7">
        <v>1.17215629</v>
      </c>
      <c r="N26" s="7">
        <v>1.1640878800000001</v>
      </c>
      <c r="O26" s="7">
        <v>1.15738915</v>
      </c>
      <c r="P26" s="7">
        <v>1.14883015</v>
      </c>
      <c r="Q26" s="7">
        <v>1.13971624</v>
      </c>
      <c r="R26" s="7">
        <v>1.1321185600000001</v>
      </c>
      <c r="S26" s="7">
        <v>1.1255649299999999</v>
      </c>
      <c r="T26" s="7">
        <v>1.1200889999999999</v>
      </c>
      <c r="U26" s="7">
        <v>1.1153444400000001</v>
      </c>
      <c r="V26" s="7">
        <v>1.1111955600000001</v>
      </c>
      <c r="W26" s="7">
        <v>1.10753821</v>
      </c>
      <c r="X26" s="7">
        <v>1.1042911399999999</v>
      </c>
      <c r="Y26" s="7">
        <v>1.03780461</v>
      </c>
      <c r="Z26" s="7">
        <v>1.00005638</v>
      </c>
      <c r="AA26" s="7">
        <v>1</v>
      </c>
      <c r="AB26" s="7">
        <v>1</v>
      </c>
      <c r="AC26" s="7">
        <v>1</v>
      </c>
    </row>
    <row r="27" spans="1:29" x14ac:dyDescent="0.85">
      <c r="A27" t="s">
        <v>125</v>
      </c>
      <c r="B27" s="7">
        <v>1</v>
      </c>
      <c r="C27" s="7">
        <v>1.17985742</v>
      </c>
      <c r="D27" s="7">
        <v>1.1874161700000001</v>
      </c>
      <c r="E27" s="7">
        <v>1.1951860599999999</v>
      </c>
      <c r="F27" s="7">
        <v>1.2037685199999999</v>
      </c>
      <c r="G27" s="7">
        <v>1.2128198400000001</v>
      </c>
      <c r="H27" s="7">
        <v>1.2224364400000001</v>
      </c>
      <c r="I27" s="7">
        <v>1.2046310099999999</v>
      </c>
      <c r="J27" s="7">
        <v>1.2063436299999999</v>
      </c>
      <c r="K27" s="7">
        <v>1.20773025</v>
      </c>
      <c r="L27" s="7">
        <v>1.1875780300000001</v>
      </c>
      <c r="M27" s="7">
        <v>1.17215629</v>
      </c>
      <c r="N27" s="7">
        <v>1.16408819</v>
      </c>
      <c r="O27" s="7">
        <v>1.15738915</v>
      </c>
      <c r="P27" s="7">
        <v>1.14883015</v>
      </c>
      <c r="Q27" s="7">
        <v>1.13971624</v>
      </c>
      <c r="R27" s="7">
        <v>1.1321185600000001</v>
      </c>
      <c r="S27" s="7">
        <v>1.1255649299999999</v>
      </c>
      <c r="T27" s="7">
        <v>1.1200889999999999</v>
      </c>
      <c r="U27" s="7">
        <v>1.1153444400000001</v>
      </c>
      <c r="V27" s="7">
        <v>1.1111955600000001</v>
      </c>
      <c r="W27" s="7">
        <v>1.10753821</v>
      </c>
      <c r="X27" s="7">
        <v>1.1042911399999999</v>
      </c>
      <c r="Y27" s="7">
        <v>1.10139001</v>
      </c>
      <c r="Z27" s="7">
        <v>1.1025233699999999</v>
      </c>
      <c r="AA27" s="7">
        <v>1.1061688700000001</v>
      </c>
      <c r="AB27" s="7">
        <v>1.11002391</v>
      </c>
      <c r="AC27" s="7">
        <v>1.1140952</v>
      </c>
    </row>
    <row r="28" spans="1:29" x14ac:dyDescent="0.85">
      <c r="A28" t="s">
        <v>126</v>
      </c>
      <c r="B28" s="7">
        <v>0</v>
      </c>
      <c r="C28" s="7">
        <v>0</v>
      </c>
      <c r="D28" s="7">
        <v>0</v>
      </c>
      <c r="E28" s="7">
        <v>0</v>
      </c>
      <c r="F28" s="7">
        <v>0</v>
      </c>
      <c r="G28" s="7">
        <v>0</v>
      </c>
      <c r="H28" s="7">
        <v>0</v>
      </c>
      <c r="I28" s="7">
        <v>0</v>
      </c>
      <c r="J28" s="7">
        <v>0</v>
      </c>
      <c r="K28" s="7">
        <v>0</v>
      </c>
      <c r="L28" s="7">
        <v>0</v>
      </c>
      <c r="M28" s="7">
        <v>0</v>
      </c>
      <c r="N28" s="7">
        <v>0</v>
      </c>
      <c r="O28" s="7">
        <v>0</v>
      </c>
      <c r="P28" s="7">
        <v>0</v>
      </c>
      <c r="Q28" s="7">
        <v>0</v>
      </c>
      <c r="R28" s="7">
        <v>0</v>
      </c>
      <c r="S28" s="7">
        <v>0</v>
      </c>
      <c r="T28" s="7">
        <v>0</v>
      </c>
      <c r="U28" s="7">
        <v>0</v>
      </c>
      <c r="V28" s="7">
        <v>0</v>
      </c>
      <c r="W28" s="7">
        <v>0</v>
      </c>
      <c r="X28" s="7">
        <v>0</v>
      </c>
      <c r="Y28" s="7">
        <v>0</v>
      </c>
      <c r="Z28" s="7">
        <v>0</v>
      </c>
      <c r="AA28" s="7">
        <v>0</v>
      </c>
      <c r="AB28" s="7">
        <v>0</v>
      </c>
      <c r="AC28" s="7">
        <v>0</v>
      </c>
    </row>
    <row r="29" spans="1:29" x14ac:dyDescent="0.85">
      <c r="A29" t="s">
        <v>127</v>
      </c>
      <c r="B29" s="7">
        <v>0</v>
      </c>
      <c r="C29" s="7">
        <v>0</v>
      </c>
      <c r="D29" s="7">
        <v>0</v>
      </c>
      <c r="E29" s="7">
        <v>0</v>
      </c>
      <c r="F29" s="7">
        <v>0</v>
      </c>
      <c r="G29" s="7">
        <v>0</v>
      </c>
      <c r="H29" s="7">
        <v>0</v>
      </c>
      <c r="I29" s="7">
        <v>0</v>
      </c>
      <c r="J29" s="7">
        <v>0</v>
      </c>
      <c r="K29" s="7">
        <v>0</v>
      </c>
      <c r="L29" s="7">
        <v>0</v>
      </c>
      <c r="M29" s="7">
        <v>0</v>
      </c>
      <c r="N29" s="7">
        <v>0</v>
      </c>
      <c r="O29" s="7">
        <v>0</v>
      </c>
      <c r="P29" s="7">
        <v>0</v>
      </c>
      <c r="Q29" s="7">
        <v>0</v>
      </c>
      <c r="R29" s="7">
        <v>0</v>
      </c>
      <c r="S29" s="7">
        <v>0</v>
      </c>
      <c r="T29" s="7">
        <v>0</v>
      </c>
      <c r="U29" s="7">
        <v>0</v>
      </c>
      <c r="V29" s="7">
        <v>0</v>
      </c>
      <c r="W29" s="7">
        <v>0</v>
      </c>
      <c r="X29" s="7">
        <v>0</v>
      </c>
      <c r="Y29" s="7">
        <v>0</v>
      </c>
      <c r="Z29" s="7">
        <v>0</v>
      </c>
      <c r="AA29" s="7">
        <v>0</v>
      </c>
      <c r="AB29" s="7">
        <v>0</v>
      </c>
      <c r="AC29" s="7">
        <v>0</v>
      </c>
    </row>
    <row r="30" spans="1:29" x14ac:dyDescent="0.85">
      <c r="A30" t="s">
        <v>128</v>
      </c>
      <c r="B30" s="7">
        <v>0</v>
      </c>
      <c r="C30" s="7">
        <v>0</v>
      </c>
      <c r="D30" s="7">
        <v>0</v>
      </c>
      <c r="E30" s="7">
        <v>0</v>
      </c>
      <c r="F30" s="7">
        <v>0</v>
      </c>
      <c r="G30" s="7">
        <v>0</v>
      </c>
      <c r="H30" s="7">
        <v>0</v>
      </c>
      <c r="I30" s="7">
        <v>0</v>
      </c>
      <c r="J30" s="7">
        <v>0</v>
      </c>
      <c r="K30" s="7">
        <v>0</v>
      </c>
      <c r="L30" s="7">
        <v>0</v>
      </c>
      <c r="M30" s="7">
        <v>0</v>
      </c>
      <c r="N30" s="7">
        <v>0</v>
      </c>
      <c r="O30" s="7">
        <v>0</v>
      </c>
      <c r="P30" s="7">
        <v>0</v>
      </c>
      <c r="Q30" s="7">
        <v>0</v>
      </c>
      <c r="R30" s="7">
        <v>0</v>
      </c>
      <c r="S30" s="7">
        <v>0</v>
      </c>
      <c r="T30" s="7">
        <v>0</v>
      </c>
      <c r="U30" s="7">
        <v>0</v>
      </c>
      <c r="V30" s="7">
        <v>0</v>
      </c>
      <c r="W30" s="7">
        <v>0</v>
      </c>
      <c r="X30" s="7">
        <v>0</v>
      </c>
      <c r="Y30" s="7">
        <v>0</v>
      </c>
      <c r="Z30" s="7">
        <v>0</v>
      </c>
      <c r="AA30" s="7">
        <v>0</v>
      </c>
      <c r="AB30" s="7">
        <v>0</v>
      </c>
      <c r="AC30" s="7">
        <v>0</v>
      </c>
    </row>
    <row r="31" spans="1:29" x14ac:dyDescent="0.85">
      <c r="A31" t="s">
        <v>129</v>
      </c>
      <c r="B31" s="7">
        <v>0</v>
      </c>
      <c r="C31" s="7">
        <v>0</v>
      </c>
      <c r="D31" s="7">
        <v>0</v>
      </c>
      <c r="E31" s="7">
        <v>0</v>
      </c>
      <c r="F31" s="7">
        <v>0</v>
      </c>
      <c r="G31" s="7">
        <v>0</v>
      </c>
      <c r="H31" s="7">
        <v>0</v>
      </c>
      <c r="I31" s="7">
        <v>0</v>
      </c>
      <c r="J31" s="7">
        <v>0</v>
      </c>
      <c r="K31" s="7">
        <v>0</v>
      </c>
      <c r="L31" s="7">
        <v>0</v>
      </c>
      <c r="M31" s="7">
        <v>0</v>
      </c>
      <c r="N31" s="7">
        <v>0</v>
      </c>
      <c r="O31" s="7">
        <v>0</v>
      </c>
      <c r="P31" s="7">
        <v>0</v>
      </c>
      <c r="Q31" s="7">
        <v>0</v>
      </c>
      <c r="R31" s="7">
        <v>0</v>
      </c>
      <c r="S31" s="7">
        <v>0</v>
      </c>
      <c r="T31" s="7">
        <v>0</v>
      </c>
      <c r="U31" s="7">
        <v>0</v>
      </c>
      <c r="V31" s="7">
        <v>0</v>
      </c>
      <c r="W31" s="7">
        <v>0</v>
      </c>
      <c r="X31" s="7">
        <v>0</v>
      </c>
      <c r="Y31" s="7">
        <v>0</v>
      </c>
      <c r="Z31" s="7">
        <v>0</v>
      </c>
      <c r="AA31" s="7">
        <v>0</v>
      </c>
      <c r="AB31" s="7">
        <v>0</v>
      </c>
      <c r="AC31" s="7">
        <v>0</v>
      </c>
    </row>
    <row r="32" spans="1:29" x14ac:dyDescent="0.85">
      <c r="A32" t="s">
        <v>130</v>
      </c>
      <c r="B32" s="7">
        <v>0</v>
      </c>
      <c r="C32" s="7">
        <v>0</v>
      </c>
      <c r="D32" s="7">
        <v>0</v>
      </c>
      <c r="E32" s="7">
        <v>0</v>
      </c>
      <c r="F32" s="7">
        <v>0</v>
      </c>
      <c r="G32" s="7">
        <v>0</v>
      </c>
      <c r="H32" s="7">
        <v>0</v>
      </c>
      <c r="I32" s="7">
        <v>0</v>
      </c>
      <c r="J32" s="7">
        <v>0</v>
      </c>
      <c r="K32" s="7">
        <v>0</v>
      </c>
      <c r="L32" s="7">
        <v>0</v>
      </c>
      <c r="M32" s="7">
        <v>0</v>
      </c>
      <c r="N32" s="7">
        <v>0</v>
      </c>
      <c r="O32" s="7">
        <v>0</v>
      </c>
      <c r="P32" s="7">
        <v>0</v>
      </c>
      <c r="Q32" s="7">
        <v>0</v>
      </c>
      <c r="R32" s="7">
        <v>0</v>
      </c>
      <c r="S32" s="7">
        <v>0</v>
      </c>
      <c r="T32" s="7">
        <v>0</v>
      </c>
      <c r="U32" s="7">
        <v>0</v>
      </c>
      <c r="V32" s="7">
        <v>0</v>
      </c>
      <c r="W32" s="7">
        <v>0</v>
      </c>
      <c r="X32" s="7">
        <v>0</v>
      </c>
      <c r="Y32" s="7">
        <v>0</v>
      </c>
      <c r="Z32" s="7">
        <v>0</v>
      </c>
      <c r="AA32" s="7">
        <v>0</v>
      </c>
      <c r="AB32" s="7">
        <v>0</v>
      </c>
      <c r="AC32" s="7">
        <v>0</v>
      </c>
    </row>
    <row r="33" spans="1:29" x14ac:dyDescent="0.85">
      <c r="A33" t="s">
        <v>131</v>
      </c>
      <c r="B33" s="7">
        <v>0</v>
      </c>
      <c r="C33" s="7">
        <v>0</v>
      </c>
      <c r="D33" s="7">
        <v>0</v>
      </c>
      <c r="E33" s="7">
        <v>0</v>
      </c>
      <c r="F33" s="7">
        <v>0</v>
      </c>
      <c r="G33" s="7">
        <v>0</v>
      </c>
      <c r="H33" s="7">
        <v>0</v>
      </c>
      <c r="I33" s="7">
        <v>0</v>
      </c>
      <c r="J33" s="7">
        <v>0</v>
      </c>
      <c r="K33" s="7">
        <v>0</v>
      </c>
      <c r="L33" s="7">
        <v>0</v>
      </c>
      <c r="M33" s="7">
        <v>0</v>
      </c>
      <c r="N33" s="7">
        <v>0</v>
      </c>
      <c r="O33" s="7">
        <v>0</v>
      </c>
      <c r="P33" s="7">
        <v>0</v>
      </c>
      <c r="Q33" s="7">
        <v>0</v>
      </c>
      <c r="R33" s="7">
        <v>0</v>
      </c>
      <c r="S33" s="7">
        <v>0</v>
      </c>
      <c r="T33" s="7">
        <v>0</v>
      </c>
      <c r="U33" s="7">
        <v>0</v>
      </c>
      <c r="V33" s="7">
        <v>0</v>
      </c>
      <c r="W33" s="7">
        <v>0</v>
      </c>
      <c r="X33" s="7">
        <v>0</v>
      </c>
      <c r="Y33" s="7">
        <v>0</v>
      </c>
      <c r="Z33" s="7">
        <v>0</v>
      </c>
      <c r="AA33" s="7">
        <v>0</v>
      </c>
      <c r="AB33" s="7">
        <v>0</v>
      </c>
      <c r="AC33" s="7">
        <v>0</v>
      </c>
    </row>
    <row r="34" spans="1:29" x14ac:dyDescent="0.85">
      <c r="A34" t="s">
        <v>132</v>
      </c>
      <c r="B34" s="7">
        <v>0</v>
      </c>
      <c r="C34" s="7">
        <v>0</v>
      </c>
      <c r="D34" s="7">
        <v>0</v>
      </c>
      <c r="E34" s="7">
        <v>0</v>
      </c>
      <c r="F34" s="7">
        <v>0</v>
      </c>
      <c r="G34" s="7">
        <v>0</v>
      </c>
      <c r="H34" s="7">
        <v>0</v>
      </c>
      <c r="I34" s="7">
        <v>0</v>
      </c>
      <c r="J34" s="7">
        <v>0</v>
      </c>
      <c r="K34" s="7">
        <v>0</v>
      </c>
      <c r="L34" s="7">
        <v>0</v>
      </c>
      <c r="M34" s="7">
        <v>0</v>
      </c>
      <c r="N34" s="7">
        <v>0</v>
      </c>
      <c r="O34" s="7">
        <v>0</v>
      </c>
      <c r="P34" s="7">
        <v>0</v>
      </c>
      <c r="Q34" s="7">
        <v>0</v>
      </c>
      <c r="R34" s="7">
        <v>0</v>
      </c>
      <c r="S34" s="7">
        <v>0</v>
      </c>
      <c r="T34" s="7">
        <v>0</v>
      </c>
      <c r="U34" s="7">
        <v>0</v>
      </c>
      <c r="V34" s="7">
        <v>0</v>
      </c>
      <c r="W34" s="7">
        <v>0</v>
      </c>
      <c r="X34" s="7">
        <v>0</v>
      </c>
      <c r="Y34" s="7">
        <v>0</v>
      </c>
      <c r="Z34" s="7">
        <v>0</v>
      </c>
      <c r="AA34" s="7">
        <v>0</v>
      </c>
      <c r="AB34" s="7">
        <v>0</v>
      </c>
      <c r="AC34" s="7">
        <v>0</v>
      </c>
    </row>
    <row r="35" spans="1:29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</row>
    <row r="36" spans="1:29" x14ac:dyDescent="0.85">
      <c r="A36" t="s">
        <v>134</v>
      </c>
      <c r="B36" s="7">
        <v>1</v>
      </c>
      <c r="C36" s="7">
        <v>1.04</v>
      </c>
      <c r="D36" s="7">
        <v>0</v>
      </c>
      <c r="E36" s="7">
        <v>5.5489999999999999E-5</v>
      </c>
      <c r="F36" s="7">
        <v>1.8E-7</v>
      </c>
      <c r="G36" s="7">
        <v>1.9000000000000001E-7</v>
      </c>
      <c r="H36" s="7">
        <v>1.6999999999999999E-7</v>
      </c>
      <c r="I36" s="7">
        <v>7.0000000000000005E-8</v>
      </c>
      <c r="J36" s="7">
        <v>0</v>
      </c>
      <c r="K36" s="7">
        <v>0</v>
      </c>
      <c r="L36" s="7">
        <v>0</v>
      </c>
      <c r="M36" s="7">
        <v>3.7799999999999998E-6</v>
      </c>
      <c r="N36" s="7">
        <v>0</v>
      </c>
      <c r="O36" s="7">
        <v>2.2999999999999999E-7</v>
      </c>
      <c r="P36" s="7">
        <v>0</v>
      </c>
      <c r="Q36" s="7">
        <v>0</v>
      </c>
      <c r="R36" s="7">
        <v>5.7999999999999995E-7</v>
      </c>
      <c r="S36" s="7">
        <v>5.4000000000000002E-7</v>
      </c>
      <c r="T36" s="7">
        <v>5.2E-7</v>
      </c>
      <c r="U36" s="7">
        <v>4.5999999999999999E-7</v>
      </c>
      <c r="V36" s="7">
        <v>4.4000000000000002E-7</v>
      </c>
      <c r="W36" s="7">
        <v>4.4000000000000002E-7</v>
      </c>
      <c r="X36" s="7">
        <v>4.2E-7</v>
      </c>
      <c r="Y36" s="7">
        <v>4.0999999999999999E-7</v>
      </c>
      <c r="Z36" s="7">
        <v>0</v>
      </c>
      <c r="AA36" s="7">
        <v>1E-8</v>
      </c>
      <c r="AB36" s="7">
        <v>1E-8</v>
      </c>
      <c r="AC36" s="7">
        <v>1E-8</v>
      </c>
    </row>
    <row r="37" spans="1:29" x14ac:dyDescent="0.85">
      <c r="A37" t="s">
        <v>135</v>
      </c>
      <c r="B37" s="7">
        <v>1</v>
      </c>
      <c r="C37" s="7">
        <v>0</v>
      </c>
      <c r="D37" s="7">
        <v>5.5489999999999999E-5</v>
      </c>
      <c r="E37" s="7">
        <v>1.8E-7</v>
      </c>
      <c r="F37" s="7">
        <v>1.9000000000000001E-7</v>
      </c>
      <c r="G37" s="7">
        <v>1.6999999999999999E-7</v>
      </c>
      <c r="H37" s="7">
        <v>7.0000000000000005E-8</v>
      </c>
      <c r="I37" s="7">
        <v>0</v>
      </c>
      <c r="J37" s="7">
        <v>0</v>
      </c>
      <c r="K37" s="7">
        <v>0</v>
      </c>
      <c r="L37" s="7">
        <v>3.7799999999999998E-6</v>
      </c>
      <c r="M37" s="7">
        <v>0</v>
      </c>
      <c r="N37" s="7">
        <v>2.2999999999999999E-7</v>
      </c>
      <c r="O37" s="7">
        <v>0</v>
      </c>
      <c r="P37" s="7">
        <v>0</v>
      </c>
      <c r="Q37" s="7">
        <v>5.7999999999999995E-7</v>
      </c>
      <c r="R37" s="7">
        <v>5.4000000000000002E-7</v>
      </c>
      <c r="S37" s="7">
        <v>5.2E-7</v>
      </c>
      <c r="T37" s="7">
        <v>4.5999999999999999E-7</v>
      </c>
      <c r="U37" s="7">
        <v>4.4000000000000002E-7</v>
      </c>
      <c r="V37" s="7">
        <v>4.4000000000000002E-7</v>
      </c>
      <c r="W37" s="7">
        <v>4.2E-7</v>
      </c>
      <c r="X37" s="7">
        <v>4.0999999999999999E-7</v>
      </c>
      <c r="Y37" s="7">
        <v>0</v>
      </c>
      <c r="Z37" s="7">
        <v>1E-8</v>
      </c>
      <c r="AA37" s="7">
        <v>1E-8</v>
      </c>
      <c r="AB37" s="7">
        <v>1E-8</v>
      </c>
      <c r="AC37" s="7">
        <v>1E-8</v>
      </c>
    </row>
    <row r="38" spans="1:29" x14ac:dyDescent="0.85">
      <c r="A38" t="s">
        <v>136</v>
      </c>
      <c r="B38" s="7">
        <v>1</v>
      </c>
      <c r="C38" s="7">
        <v>10</v>
      </c>
      <c r="D38" s="7">
        <v>10</v>
      </c>
      <c r="E38" s="7">
        <v>10</v>
      </c>
      <c r="F38" s="7">
        <v>10</v>
      </c>
      <c r="G38" s="7">
        <v>10</v>
      </c>
      <c r="H38" s="7">
        <v>10</v>
      </c>
      <c r="I38" s="7">
        <v>10</v>
      </c>
      <c r="J38" s="7">
        <v>10</v>
      </c>
      <c r="K38" s="7">
        <v>10</v>
      </c>
      <c r="L38" s="7">
        <v>10</v>
      </c>
      <c r="M38" s="7">
        <v>10</v>
      </c>
      <c r="N38" s="7">
        <v>10</v>
      </c>
      <c r="O38" s="7">
        <v>10</v>
      </c>
      <c r="P38" s="7">
        <v>10</v>
      </c>
      <c r="Q38" s="7">
        <v>10</v>
      </c>
      <c r="R38" s="7">
        <v>10</v>
      </c>
      <c r="S38" s="7">
        <v>10</v>
      </c>
      <c r="T38" s="7">
        <v>10</v>
      </c>
      <c r="U38" s="7">
        <v>10</v>
      </c>
      <c r="V38" s="7">
        <v>10</v>
      </c>
      <c r="W38" s="7">
        <v>10</v>
      </c>
      <c r="X38" s="7">
        <v>10</v>
      </c>
      <c r="Y38" s="7">
        <v>10</v>
      </c>
      <c r="Z38" s="7">
        <v>10</v>
      </c>
      <c r="AA38" s="7">
        <v>10</v>
      </c>
      <c r="AB38" s="7">
        <v>10</v>
      </c>
      <c r="AC38" s="7">
        <v>10</v>
      </c>
    </row>
    <row r="39" spans="1:29" x14ac:dyDescent="0.85">
      <c r="A39" t="s">
        <v>137</v>
      </c>
      <c r="B39" s="7">
        <v>13455</v>
      </c>
      <c r="C39" s="7">
        <v>13118.625</v>
      </c>
      <c r="D39" s="7">
        <v>12790.65938635</v>
      </c>
      <c r="E39" s="7">
        <v>12470.892901699999</v>
      </c>
      <c r="F39" s="7">
        <v>12159.120580409999</v>
      </c>
      <c r="G39" s="7">
        <v>11855.14261637</v>
      </c>
      <c r="H39" s="7">
        <v>11558.76406576</v>
      </c>
      <c r="I39" s="7">
        <v>11269.794964119999</v>
      </c>
      <c r="J39" s="7">
        <v>10988.05011419</v>
      </c>
      <c r="K39" s="7">
        <v>10713.34886133</v>
      </c>
      <c r="L39" s="7">
        <v>10445.515197369999</v>
      </c>
      <c r="M39" s="7">
        <v>11913.010532890001</v>
      </c>
      <c r="N39" s="7">
        <v>13483.78910942</v>
      </c>
      <c r="O39" s="7">
        <v>15165.32851372</v>
      </c>
      <c r="P39" s="7">
        <v>16923.842671390001</v>
      </c>
      <c r="Q39" s="7">
        <v>18731.57592933</v>
      </c>
      <c r="R39" s="7">
        <v>20589.823486730002</v>
      </c>
      <c r="S39" s="7">
        <v>22497.496330180002</v>
      </c>
      <c r="T39" s="7">
        <v>24458.550640689999</v>
      </c>
      <c r="U39" s="7">
        <v>26474.33680048</v>
      </c>
      <c r="V39" s="7">
        <v>28546.233795659999</v>
      </c>
      <c r="W39" s="7">
        <v>30675.64946221</v>
      </c>
      <c r="X39" s="7">
        <v>32864.020997549997</v>
      </c>
      <c r="Y39" s="7">
        <v>35112.815444289998</v>
      </c>
      <c r="Z39" s="7">
        <v>37390.98320011</v>
      </c>
      <c r="AA39" s="7">
        <v>39679.916722659997</v>
      </c>
      <c r="AB39" s="7">
        <v>41980.565810089996</v>
      </c>
      <c r="AC39" s="7">
        <v>44294.417670360002</v>
      </c>
    </row>
    <row r="40" spans="1:29" x14ac:dyDescent="0.85">
      <c r="A40" t="s">
        <v>138</v>
      </c>
      <c r="B40" s="7">
        <v>97350652.75</v>
      </c>
      <c r="C40" s="7">
        <v>94916886.339083597</v>
      </c>
      <c r="D40" s="7">
        <v>92543964.262760699</v>
      </c>
      <c r="E40" s="7">
        <v>90230365.111782297</v>
      </c>
      <c r="F40" s="7">
        <v>87974605.993064106</v>
      </c>
      <c r="G40" s="7">
        <v>85775241.208419904</v>
      </c>
      <c r="H40" s="7">
        <v>83630860.285316199</v>
      </c>
      <c r="I40" s="7">
        <v>81540088.774488598</v>
      </c>
      <c r="J40" s="7">
        <v>79501586.730000302</v>
      </c>
      <c r="K40" s="7">
        <v>77514047.056731403</v>
      </c>
      <c r="L40" s="7">
        <v>75576196.296833396</v>
      </c>
      <c r="M40" s="7">
        <v>86193931.606829703</v>
      </c>
      <c r="N40" s="7">
        <v>97558949.779290602</v>
      </c>
      <c r="O40" s="7">
        <v>109725353.226028</v>
      </c>
      <c r="P40" s="7">
        <v>122448690.33859199</v>
      </c>
      <c r="Q40" s="7">
        <v>135528141.27743199</v>
      </c>
      <c r="R40" s="7">
        <v>148973077.167391</v>
      </c>
      <c r="S40" s="7">
        <v>162775618.69477001</v>
      </c>
      <c r="T40" s="7">
        <v>176964389.925219</v>
      </c>
      <c r="U40" s="7">
        <v>191549161.24825999</v>
      </c>
      <c r="V40" s="7">
        <v>206539910.01039699</v>
      </c>
      <c r="W40" s="7">
        <v>221946822.294929</v>
      </c>
      <c r="X40" s="7">
        <v>237780296.62340501</v>
      </c>
      <c r="Y40" s="7">
        <v>254050947.45555601</v>
      </c>
      <c r="Z40" s="7">
        <v>270534122.31649601</v>
      </c>
      <c r="AA40" s="7">
        <v>287095190.48230398</v>
      </c>
      <c r="AB40" s="7">
        <v>303741024.00568497</v>
      </c>
      <c r="AC40" s="7">
        <v>320482383.24835199</v>
      </c>
    </row>
    <row r="41" spans="1:29" x14ac:dyDescent="0.85">
      <c r="A41" t="s">
        <v>139</v>
      </c>
      <c r="B41" s="7">
        <v>97350652.75</v>
      </c>
      <c r="C41" s="7">
        <v>94916886.339083597</v>
      </c>
      <c r="D41" s="7">
        <v>92543964.262760699</v>
      </c>
      <c r="E41" s="7">
        <v>90230365.111782297</v>
      </c>
      <c r="F41" s="7">
        <v>87974605.993064106</v>
      </c>
      <c r="G41" s="7">
        <v>85775241.208419904</v>
      </c>
      <c r="H41" s="7">
        <v>83630860.285316199</v>
      </c>
      <c r="I41" s="7">
        <v>81540088.774488598</v>
      </c>
      <c r="J41" s="7">
        <v>79501586.730000302</v>
      </c>
      <c r="K41" s="7">
        <v>77514047.056731403</v>
      </c>
      <c r="L41" s="7">
        <v>75576196.296833396</v>
      </c>
      <c r="M41" s="7">
        <v>86193931.606829703</v>
      </c>
      <c r="N41" s="7">
        <v>97558949.779290602</v>
      </c>
      <c r="O41" s="7">
        <v>109725353.226028</v>
      </c>
      <c r="P41" s="7">
        <v>122448690.33859199</v>
      </c>
      <c r="Q41" s="7">
        <v>135528141.27743199</v>
      </c>
      <c r="R41" s="7">
        <v>148973077.167391</v>
      </c>
      <c r="S41" s="7">
        <v>162775618.69477001</v>
      </c>
      <c r="T41" s="7">
        <v>176964389.925219</v>
      </c>
      <c r="U41" s="7">
        <v>191549161.24825999</v>
      </c>
      <c r="V41" s="7">
        <v>206539910.01039699</v>
      </c>
      <c r="W41" s="7">
        <v>221946822.294929</v>
      </c>
      <c r="X41" s="7">
        <v>237780296.62340501</v>
      </c>
      <c r="Y41" s="7">
        <v>254050947.45555601</v>
      </c>
      <c r="Z41" s="7">
        <v>270534122.31649601</v>
      </c>
      <c r="AA41" s="7">
        <v>287095190.48230398</v>
      </c>
      <c r="AB41" s="7">
        <v>303741024.00568497</v>
      </c>
      <c r="AC41" s="7">
        <v>320482383.24835199</v>
      </c>
    </row>
    <row r="42" spans="1:29" x14ac:dyDescent="0.85">
      <c r="A42" t="s">
        <v>140</v>
      </c>
      <c r="B42" s="7">
        <v>15496.702872170001</v>
      </c>
      <c r="C42" s="7">
        <v>15109.28529944</v>
      </c>
      <c r="D42" s="7">
        <v>14731.55318003</v>
      </c>
      <c r="E42" s="7">
        <v>14363.26435008</v>
      </c>
      <c r="F42" s="7">
        <v>14004.182742769999</v>
      </c>
      <c r="G42" s="7">
        <v>13654.07823234</v>
      </c>
      <c r="H42" s="7">
        <v>13312.726293580001</v>
      </c>
      <c r="I42" s="7">
        <v>12979.9081362</v>
      </c>
      <c r="J42" s="7">
        <v>12655.410460630001</v>
      </c>
      <c r="K42" s="7">
        <v>12339.02519907</v>
      </c>
      <c r="L42" s="7">
        <v>12030.54963539</v>
      </c>
      <c r="M42" s="7">
        <v>13720.727203480001</v>
      </c>
      <c r="N42" s="7">
        <v>15529.8605276</v>
      </c>
      <c r="O42" s="7">
        <v>17466.56186641</v>
      </c>
      <c r="P42" s="7">
        <v>19491.918343199999</v>
      </c>
      <c r="Q42" s="7">
        <v>21573.962577139999</v>
      </c>
      <c r="R42" s="7">
        <v>23714.186304909999</v>
      </c>
      <c r="S42" s="7">
        <v>25911.335262860001</v>
      </c>
      <c r="T42" s="7">
        <v>28169.965955029998</v>
      </c>
      <c r="U42" s="7">
        <v>30491.63367476</v>
      </c>
      <c r="V42" s="7">
        <v>32877.926659739998</v>
      </c>
      <c r="W42" s="7">
        <v>35330.466375279997</v>
      </c>
      <c r="X42" s="7">
        <v>37850.908103540001</v>
      </c>
      <c r="Y42" s="7">
        <v>40440.941500660003</v>
      </c>
      <c r="Z42" s="7">
        <v>43064.805402650003</v>
      </c>
      <c r="AA42" s="7">
        <v>45701.068701769997</v>
      </c>
      <c r="AB42" s="7">
        <v>48350.825321420001</v>
      </c>
      <c r="AC42" s="7">
        <v>51015.78814307</v>
      </c>
    </row>
    <row r="43" spans="1:29" x14ac:dyDescent="0.85">
      <c r="A43" t="s">
        <v>141</v>
      </c>
      <c r="B43" s="7">
        <v>0</v>
      </c>
      <c r="C43" s="7">
        <v>5.6950131800000001</v>
      </c>
      <c r="D43" s="7">
        <v>11.105275710000001</v>
      </c>
      <c r="E43" s="7">
        <v>16.241465720000001</v>
      </c>
      <c r="F43" s="7">
        <v>21.11390544</v>
      </c>
      <c r="G43" s="7">
        <v>25.732572359999999</v>
      </c>
      <c r="H43" s="7">
        <v>30.107109699999999</v>
      </c>
      <c r="I43" s="7">
        <v>34.246837290000002</v>
      </c>
      <c r="J43" s="7">
        <v>38.160761630000003</v>
      </c>
      <c r="K43" s="7">
        <v>41.857585409999999</v>
      </c>
      <c r="L43" s="7">
        <v>45.345717780000001</v>
      </c>
      <c r="M43" s="7">
        <v>56.887994859999999</v>
      </c>
      <c r="N43" s="7">
        <v>70.242443840000007</v>
      </c>
      <c r="O43" s="7">
        <v>85.585775519999999</v>
      </c>
      <c r="P43" s="7">
        <v>102.85689988</v>
      </c>
      <c r="Q43" s="7">
        <v>121.97532715</v>
      </c>
      <c r="R43" s="7">
        <v>143.01415408</v>
      </c>
      <c r="S43" s="7">
        <v>166.03113106999999</v>
      </c>
      <c r="T43" s="7">
        <v>191.12154111999999</v>
      </c>
      <c r="U43" s="7">
        <v>218.36604381999999</v>
      </c>
      <c r="V43" s="7">
        <v>247.84789201000001</v>
      </c>
      <c r="W43" s="7">
        <v>279.65299608999999</v>
      </c>
      <c r="X43" s="7">
        <v>313.86999154</v>
      </c>
      <c r="Y43" s="7">
        <v>350.59030748999999</v>
      </c>
      <c r="Z43" s="7">
        <v>389.56913614000001</v>
      </c>
      <c r="AA43" s="7">
        <v>430.64278572000001</v>
      </c>
      <c r="AB43" s="7">
        <v>473.83599744999998</v>
      </c>
      <c r="AC43" s="7">
        <v>519.18146086000002</v>
      </c>
    </row>
    <row r="44" spans="1:29" x14ac:dyDescent="0.85">
      <c r="A44" t="s">
        <v>142</v>
      </c>
      <c r="B44" s="7">
        <v>0.29205196</v>
      </c>
      <c r="C44" s="7">
        <v>0.28475065999999999</v>
      </c>
      <c r="D44" s="7">
        <v>0.27763188999999999</v>
      </c>
      <c r="E44" s="7">
        <v>0.27069110000000002</v>
      </c>
      <c r="F44" s="7">
        <v>0.26392381999999998</v>
      </c>
      <c r="G44" s="7">
        <v>0.25732571999999998</v>
      </c>
      <c r="H44" s="7">
        <v>0.25089257999999998</v>
      </c>
      <c r="I44" s="7">
        <v>0.24462027</v>
      </c>
      <c r="J44" s="7">
        <v>0.23850476000000001</v>
      </c>
      <c r="K44" s="7">
        <v>0.23254214000000001</v>
      </c>
      <c r="L44" s="7">
        <v>0.22672859000000001</v>
      </c>
      <c r="M44" s="7">
        <v>0.25858178999999998</v>
      </c>
      <c r="N44" s="7">
        <v>0.29267684999999999</v>
      </c>
      <c r="O44" s="7">
        <v>0.32917605999999999</v>
      </c>
      <c r="P44" s="7">
        <v>0.36734607000000002</v>
      </c>
      <c r="Q44" s="7">
        <v>0.40658442</v>
      </c>
      <c r="R44" s="7">
        <v>0.44691923</v>
      </c>
      <c r="S44" s="7">
        <v>0.48832685999999997</v>
      </c>
      <c r="T44" s="7">
        <v>0.53089317000000003</v>
      </c>
      <c r="U44" s="7">
        <v>0.57464747999999999</v>
      </c>
      <c r="V44" s="7">
        <v>0.61961973000000004</v>
      </c>
      <c r="W44" s="7">
        <v>0.66584047000000002</v>
      </c>
      <c r="X44" s="7">
        <v>0.71334089000000001</v>
      </c>
      <c r="Y44" s="7">
        <v>0.76215284000000005</v>
      </c>
      <c r="Z44" s="7">
        <v>0.81160237000000002</v>
      </c>
      <c r="AA44" s="7">
        <v>0.86128556999999994</v>
      </c>
      <c r="AB44" s="7">
        <v>0.91122307000000002</v>
      </c>
      <c r="AC44" s="7">
        <v>0.96144715000000003</v>
      </c>
    </row>
    <row r="45" spans="1:29" x14ac:dyDescent="0.85">
      <c r="A45" t="s">
        <v>143</v>
      </c>
      <c r="B45" s="7">
        <v>14512.487772869999</v>
      </c>
      <c r="C45" s="7">
        <v>14149.675578550001</v>
      </c>
      <c r="D45" s="7">
        <v>13795.933701329999</v>
      </c>
      <c r="E45" s="7">
        <v>13451.0353588</v>
      </c>
      <c r="F45" s="7">
        <v>13114.759476179999</v>
      </c>
      <c r="G45" s="7">
        <v>12786.890543719999</v>
      </c>
      <c r="H45" s="7">
        <v>12467.218296090001</v>
      </c>
      <c r="I45" s="7">
        <v>12155.537838689999</v>
      </c>
      <c r="J45" s="7">
        <v>11851.649418790001</v>
      </c>
      <c r="K45" s="7">
        <v>11555.358183320001</v>
      </c>
      <c r="L45" s="7">
        <v>11266.47429083</v>
      </c>
      <c r="M45" s="7">
        <v>12849.30655494</v>
      </c>
      <c r="N45" s="7">
        <v>14543.539545330001</v>
      </c>
      <c r="O45" s="7">
        <v>16357.238545300001</v>
      </c>
      <c r="P45" s="7">
        <v>18253.962083869999</v>
      </c>
      <c r="Q45" s="7">
        <v>20203.77306883</v>
      </c>
      <c r="R45" s="7">
        <v>22208.068494750001</v>
      </c>
      <c r="S45" s="7">
        <v>24265.67375786</v>
      </c>
      <c r="T45" s="7">
        <v>26380.855972879999</v>
      </c>
      <c r="U45" s="7">
        <v>28555.071654539999</v>
      </c>
      <c r="V45" s="7">
        <v>30789.80816954</v>
      </c>
      <c r="W45" s="7">
        <v>33086.584001880001</v>
      </c>
      <c r="X45" s="7">
        <v>35446.949304670001</v>
      </c>
      <c r="Y45" s="7">
        <v>37872.486421879999</v>
      </c>
      <c r="Z45" s="7">
        <v>40329.705426029999</v>
      </c>
      <c r="AA45" s="7">
        <v>42798.536325989997</v>
      </c>
      <c r="AB45" s="7">
        <v>45280.00356872</v>
      </c>
      <c r="AC45" s="7">
        <v>47775.711248430001</v>
      </c>
    </row>
    <row r="46" spans="1:29" x14ac:dyDescent="0.85">
      <c r="A46" t="s">
        <v>144</v>
      </c>
      <c r="B46" s="7">
        <v>984.21509930000002</v>
      </c>
      <c r="C46" s="7">
        <v>959.60972088999995</v>
      </c>
      <c r="D46" s="7">
        <v>935.61947869999995</v>
      </c>
      <c r="E46" s="7">
        <v>912.22899127999995</v>
      </c>
      <c r="F46" s="7">
        <v>889.42326659000003</v>
      </c>
      <c r="G46" s="7">
        <v>867.18768862000002</v>
      </c>
      <c r="H46" s="7">
        <v>845.50799747999997</v>
      </c>
      <c r="I46" s="7">
        <v>824.37029751</v>
      </c>
      <c r="J46" s="7">
        <v>803.76104183999996</v>
      </c>
      <c r="K46" s="7">
        <v>783.66701574000001</v>
      </c>
      <c r="L46" s="7">
        <v>764.07534455999996</v>
      </c>
      <c r="M46" s="7">
        <v>871.42064855000001</v>
      </c>
      <c r="N46" s="7">
        <v>986.32098226999994</v>
      </c>
      <c r="O46" s="7">
        <v>1109.3233211199999</v>
      </c>
      <c r="P46" s="7">
        <v>1237.9562593200001</v>
      </c>
      <c r="Q46" s="7">
        <v>1370.1895083100001</v>
      </c>
      <c r="R46" s="7">
        <v>1506.1178101600001</v>
      </c>
      <c r="S46" s="7">
        <v>1645.661505</v>
      </c>
      <c r="T46" s="7">
        <v>1789.1099821400001</v>
      </c>
      <c r="U46" s="7">
        <v>1936.56202022</v>
      </c>
      <c r="V46" s="7">
        <v>2088.1184902099999</v>
      </c>
      <c r="W46" s="7">
        <v>2243.8823733999998</v>
      </c>
      <c r="X46" s="7">
        <v>2403.9587988600001</v>
      </c>
      <c r="Y46" s="7">
        <v>2568.4550787799999</v>
      </c>
      <c r="Z46" s="7">
        <v>2735.0999766199998</v>
      </c>
      <c r="AA46" s="7">
        <v>2902.5323757800002</v>
      </c>
      <c r="AB46" s="7">
        <v>3070.8217527000002</v>
      </c>
      <c r="AC46" s="7">
        <v>3240.0768946399999</v>
      </c>
    </row>
    <row r="47" spans="1:29" x14ac:dyDescent="0.85">
      <c r="A47" t="s">
        <v>145</v>
      </c>
      <c r="B47" s="7">
        <v>1</v>
      </c>
      <c r="C47" s="7">
        <v>1.0249999999999999</v>
      </c>
      <c r="D47" s="7">
        <v>1</v>
      </c>
      <c r="E47" s="7">
        <v>1</v>
      </c>
      <c r="F47" s="7">
        <v>1</v>
      </c>
      <c r="G47" s="7">
        <v>1</v>
      </c>
      <c r="H47" s="7">
        <v>1</v>
      </c>
      <c r="I47" s="7">
        <v>1</v>
      </c>
      <c r="J47" s="7">
        <v>1</v>
      </c>
      <c r="K47" s="7">
        <v>1</v>
      </c>
      <c r="L47" s="7">
        <v>1</v>
      </c>
      <c r="M47" s="7">
        <v>1.0000000099999999</v>
      </c>
      <c r="N47" s="7">
        <v>1.16086621</v>
      </c>
      <c r="O47" s="7">
        <v>1.1535369</v>
      </c>
      <c r="P47" s="7">
        <v>1.14456048</v>
      </c>
      <c r="Q47" s="7">
        <v>1.1351856600000001</v>
      </c>
      <c r="R47" s="7">
        <v>1.12737873</v>
      </c>
      <c r="S47" s="7">
        <v>1.12065795</v>
      </c>
      <c r="T47" s="7">
        <v>1.11503376</v>
      </c>
      <c r="U47" s="7">
        <v>1.1101606900000001</v>
      </c>
      <c r="V47" s="7">
        <v>1.1058982900000001</v>
      </c>
      <c r="W47" s="7">
        <v>1.1021390499999999</v>
      </c>
      <c r="X47" s="7">
        <v>1.0987992799999999</v>
      </c>
      <c r="Y47" s="7">
        <v>1.0958128199999999</v>
      </c>
      <c r="Z47" s="7">
        <v>1.0921760300000001</v>
      </c>
      <c r="AA47" s="7">
        <v>1.0884168599999999</v>
      </c>
      <c r="AB47" s="7">
        <v>1.0851088799999999</v>
      </c>
      <c r="AC47" s="7">
        <v>1.0821793099999999</v>
      </c>
    </row>
    <row r="48" spans="1:29" x14ac:dyDescent="0.85">
      <c r="A48" t="s">
        <v>146</v>
      </c>
      <c r="B48" s="7">
        <v>1</v>
      </c>
      <c r="C48" s="7">
        <v>1</v>
      </c>
      <c r="D48" s="7">
        <v>1</v>
      </c>
      <c r="E48" s="7">
        <v>1</v>
      </c>
      <c r="F48" s="7">
        <v>1</v>
      </c>
      <c r="G48" s="7">
        <v>1</v>
      </c>
      <c r="H48" s="7">
        <v>1</v>
      </c>
      <c r="I48" s="7">
        <v>1</v>
      </c>
      <c r="J48" s="7">
        <v>1</v>
      </c>
      <c r="K48" s="7">
        <v>1</v>
      </c>
      <c r="L48" s="7">
        <v>1.0000000099999999</v>
      </c>
      <c r="M48" s="7">
        <v>1.1697338100000001</v>
      </c>
      <c r="N48" s="7">
        <v>1.1608759399999999</v>
      </c>
      <c r="O48" s="7">
        <v>1.1535469</v>
      </c>
      <c r="P48" s="7">
        <v>1.1445704800000001</v>
      </c>
      <c r="Q48" s="7">
        <v>1.1351956599999999</v>
      </c>
      <c r="R48" s="7">
        <v>1.1273887300000001</v>
      </c>
      <c r="S48" s="7">
        <v>1.1206679500000001</v>
      </c>
      <c r="T48" s="7">
        <v>1.1150437600000001</v>
      </c>
      <c r="U48" s="7">
        <v>1.1101706899999999</v>
      </c>
      <c r="V48" s="7">
        <v>1.1059082899999999</v>
      </c>
      <c r="W48" s="7">
        <v>1.10214905</v>
      </c>
      <c r="X48" s="7">
        <v>1.09880928</v>
      </c>
      <c r="Y48" s="7">
        <v>1.09582282</v>
      </c>
      <c r="Z48" s="7">
        <v>1.0921860299999999</v>
      </c>
      <c r="AA48" s="7">
        <v>1.08842686</v>
      </c>
      <c r="AB48" s="7">
        <v>1.08510789</v>
      </c>
      <c r="AC48" s="7">
        <v>1.0821715000000001</v>
      </c>
    </row>
    <row r="49" spans="1:29" x14ac:dyDescent="0.85">
      <c r="A49" t="s">
        <v>147</v>
      </c>
      <c r="B49" s="7">
        <v>1</v>
      </c>
      <c r="C49" s="7">
        <v>1.1125518000000001</v>
      </c>
      <c r="D49" s="7">
        <v>1.1160996000000001</v>
      </c>
      <c r="E49" s="7">
        <v>1.11970108</v>
      </c>
      <c r="F49" s="7">
        <v>1.1236915999999999</v>
      </c>
      <c r="G49" s="7">
        <v>1.1278689200000001</v>
      </c>
      <c r="H49" s="7">
        <v>1.1322807800000001</v>
      </c>
      <c r="I49" s="7">
        <v>1.13794039</v>
      </c>
      <c r="J49" s="7">
        <v>1.14425545</v>
      </c>
      <c r="K49" s="7">
        <v>1.1510378000000001</v>
      </c>
      <c r="L49" s="7">
        <v>1.1600623699999999</v>
      </c>
      <c r="M49" s="7">
        <v>1.1697368100000001</v>
      </c>
      <c r="N49" s="7">
        <v>1.1608762100000001</v>
      </c>
      <c r="O49" s="7">
        <v>1.1535469</v>
      </c>
      <c r="P49" s="7">
        <v>1.1445704800000001</v>
      </c>
      <c r="Q49" s="7">
        <v>1.1351956599999999</v>
      </c>
      <c r="R49" s="7">
        <v>1.1273887300000001</v>
      </c>
      <c r="S49" s="7">
        <v>1.1206679500000001</v>
      </c>
      <c r="T49" s="7">
        <v>1.1150437600000001</v>
      </c>
      <c r="U49" s="7">
        <v>1.1101706899999999</v>
      </c>
      <c r="V49" s="7">
        <v>1.1059082899999999</v>
      </c>
      <c r="W49" s="7">
        <v>1.10214905</v>
      </c>
      <c r="X49" s="7">
        <v>1.09880928</v>
      </c>
      <c r="Y49" s="7">
        <v>1.09582282</v>
      </c>
      <c r="Z49" s="7">
        <v>1.0921860299999999</v>
      </c>
      <c r="AA49" s="7">
        <v>1.08842686</v>
      </c>
      <c r="AB49" s="7">
        <v>1.08511888</v>
      </c>
      <c r="AC49" s="7">
        <v>1.08218931</v>
      </c>
    </row>
    <row r="50" spans="1:29" x14ac:dyDescent="0.85">
      <c r="A50" t="s">
        <v>148</v>
      </c>
      <c r="B50" s="7">
        <v>14307</v>
      </c>
      <c r="C50" s="7">
        <v>15657.658626480001</v>
      </c>
      <c r="D50" s="7">
        <v>16976.984211300001</v>
      </c>
      <c r="E50" s="7">
        <v>18396.198609809999</v>
      </c>
      <c r="F50" s="7">
        <v>19815.883337089999</v>
      </c>
      <c r="G50" s="7">
        <v>21253.602440189999</v>
      </c>
      <c r="H50" s="7">
        <v>22469.404275059998</v>
      </c>
      <c r="I50" s="7">
        <v>24285.544838289999</v>
      </c>
      <c r="J50" s="7">
        <v>26160.54094599</v>
      </c>
      <c r="K50" s="7">
        <v>28063.735801089999</v>
      </c>
      <c r="L50" s="7">
        <v>30031.072731119999</v>
      </c>
      <c r="M50" s="7">
        <v>32065.73770034</v>
      </c>
      <c r="N50" s="7">
        <v>34232.610084810003</v>
      </c>
      <c r="O50" s="7">
        <v>34986.06032099</v>
      </c>
      <c r="P50" s="7">
        <v>34599.306884539998</v>
      </c>
      <c r="Q50" s="7">
        <v>34193.050684870002</v>
      </c>
      <c r="R50" s="7">
        <v>33677.048336710002</v>
      </c>
      <c r="S50" s="7">
        <v>33240.7955993</v>
      </c>
      <c r="T50" s="7">
        <v>32781.985245360003</v>
      </c>
      <c r="U50" s="7">
        <v>32300.040753460002</v>
      </c>
      <c r="V50" s="7">
        <v>31794.355541180001</v>
      </c>
      <c r="W50" s="7">
        <v>31264.302757090001</v>
      </c>
      <c r="X50" s="7">
        <v>30709.23317825</v>
      </c>
      <c r="Y50" s="7">
        <v>30127.50973582</v>
      </c>
      <c r="Z50" s="7">
        <v>29546.07624255</v>
      </c>
      <c r="AA50" s="7">
        <v>28982.069474420001</v>
      </c>
      <c r="AB50" s="7">
        <v>28434.10120316</v>
      </c>
      <c r="AC50" s="7">
        <v>27902.669365130001</v>
      </c>
    </row>
    <row r="51" spans="1:29" x14ac:dyDescent="0.85">
      <c r="A51" t="s">
        <v>149</v>
      </c>
      <c r="B51" s="7">
        <v>57041176.25</v>
      </c>
      <c r="C51" s="7">
        <v>65027913.096306697</v>
      </c>
      <c r="D51" s="7">
        <v>73075743.239783406</v>
      </c>
      <c r="E51" s="7">
        <v>81119083.560982496</v>
      </c>
      <c r="F51" s="7">
        <v>89161991.294723704</v>
      </c>
      <c r="G51" s="7">
        <v>97208618.9093602</v>
      </c>
      <c r="H51" s="7">
        <v>104123580.54212201</v>
      </c>
      <c r="I51" s="7">
        <v>113620214.539083</v>
      </c>
      <c r="J51" s="7">
        <v>123334130.05891199</v>
      </c>
      <c r="K51" s="7">
        <v>132255600.12710901</v>
      </c>
      <c r="L51" s="7">
        <v>141335977.65014899</v>
      </c>
      <c r="M51" s="7">
        <v>143305894.393895</v>
      </c>
      <c r="N51" s="7">
        <v>145283820.889175</v>
      </c>
      <c r="O51" s="7">
        <v>140579515.53492099</v>
      </c>
      <c r="P51" s="7">
        <v>131659824.09819899</v>
      </c>
      <c r="Q51" s="7">
        <v>122456442.348758</v>
      </c>
      <c r="R51" s="7">
        <v>112961802.33819801</v>
      </c>
      <c r="S51" s="7">
        <v>103214383.918442</v>
      </c>
      <c r="T51" s="7">
        <v>93323416.569379702</v>
      </c>
      <c r="U51" s="7">
        <v>83456518.675982803</v>
      </c>
      <c r="V51" s="7">
        <v>73760085.021226004</v>
      </c>
      <c r="W51" s="7">
        <v>64316742.662086599</v>
      </c>
      <c r="X51" s="7">
        <v>55234752.554884396</v>
      </c>
      <c r="Y51" s="7">
        <v>47679342.322666898</v>
      </c>
      <c r="Z51" s="7">
        <v>41300723.930891998</v>
      </c>
      <c r="AA51" s="7">
        <v>35609691.326586902</v>
      </c>
      <c r="AB51" s="7">
        <v>30626714.445653699</v>
      </c>
      <c r="AC51" s="7">
        <v>26318771.617889199</v>
      </c>
    </row>
    <row r="52" spans="1:29" x14ac:dyDescent="0.85">
      <c r="A52" t="s">
        <v>150</v>
      </c>
      <c r="B52" s="7">
        <v>57041176.25</v>
      </c>
      <c r="C52" s="7">
        <v>65027913.096306697</v>
      </c>
      <c r="D52" s="7">
        <v>73075743.239783406</v>
      </c>
      <c r="E52" s="7">
        <v>81119083.560982496</v>
      </c>
      <c r="F52" s="7">
        <v>89161991.294723704</v>
      </c>
      <c r="G52" s="7">
        <v>97208618.9093602</v>
      </c>
      <c r="H52" s="7">
        <v>104123580.54212201</v>
      </c>
      <c r="I52" s="7">
        <v>113620214.539083</v>
      </c>
      <c r="J52" s="7">
        <v>123334130.05891199</v>
      </c>
      <c r="K52" s="7">
        <v>132255600.12710901</v>
      </c>
      <c r="L52" s="7">
        <v>141335977.65014899</v>
      </c>
      <c r="M52" s="7">
        <v>143305894.393895</v>
      </c>
      <c r="N52" s="7">
        <v>145283820.889175</v>
      </c>
      <c r="O52" s="7">
        <v>140579515.53492099</v>
      </c>
      <c r="P52" s="7">
        <v>131659824.09819899</v>
      </c>
      <c r="Q52" s="7">
        <v>122456442.348758</v>
      </c>
      <c r="R52" s="7">
        <v>112961802.33819801</v>
      </c>
      <c r="S52" s="7">
        <v>103214383.918442</v>
      </c>
      <c r="T52" s="7">
        <v>93323416.569379702</v>
      </c>
      <c r="U52" s="7">
        <v>83456518.675982803</v>
      </c>
      <c r="V52" s="7">
        <v>73760085.021226004</v>
      </c>
      <c r="W52" s="7">
        <v>64316742.662086599</v>
      </c>
      <c r="X52" s="7">
        <v>55234752.554884396</v>
      </c>
      <c r="Y52" s="7">
        <v>47679342.322666898</v>
      </c>
      <c r="Z52" s="7">
        <v>41300723.930891998</v>
      </c>
      <c r="AA52" s="7">
        <v>35609691.326586902</v>
      </c>
      <c r="AB52" s="7">
        <v>30626714.445653699</v>
      </c>
      <c r="AC52" s="7">
        <v>26318771.617889199</v>
      </c>
    </row>
    <row r="53" spans="1:29" x14ac:dyDescent="0.85">
      <c r="A53" t="s">
        <v>151</v>
      </c>
      <c r="B53" s="7">
        <v>4104.9552028199996</v>
      </c>
      <c r="C53" s="7">
        <v>4555.9677481400004</v>
      </c>
      <c r="D53" s="7">
        <v>5002.5290353600003</v>
      </c>
      <c r="E53" s="7">
        <v>5467.92348322</v>
      </c>
      <c r="F53" s="7">
        <v>5933.3965681500003</v>
      </c>
      <c r="G53" s="7">
        <v>6402.3804206699997</v>
      </c>
      <c r="H53" s="7">
        <v>6801.6676819699996</v>
      </c>
      <c r="I53" s="7">
        <v>7377.7947694599998</v>
      </c>
      <c r="J53" s="7">
        <v>7970.3847723500003</v>
      </c>
      <c r="K53" s="7">
        <v>8548.9866595700005</v>
      </c>
      <c r="L53" s="7">
        <v>9143.6296618600009</v>
      </c>
      <c r="M53" s="7">
        <v>9577.5453741199999</v>
      </c>
      <c r="N53" s="7">
        <v>10036.72807076</v>
      </c>
      <c r="O53" s="7">
        <v>10064.825796859999</v>
      </c>
      <c r="P53" s="7">
        <v>9773.84218745</v>
      </c>
      <c r="Q53" s="7">
        <v>9472.2380699000005</v>
      </c>
      <c r="R53" s="7">
        <v>9142.7152134600001</v>
      </c>
      <c r="S53" s="7">
        <v>8822.1481184900003</v>
      </c>
      <c r="T53" s="7">
        <v>8493.8006489300005</v>
      </c>
      <c r="U53" s="7">
        <v>8161.65336303</v>
      </c>
      <c r="V53" s="7">
        <v>7829.1632624200001</v>
      </c>
      <c r="W53" s="7">
        <v>7498.2275724600004</v>
      </c>
      <c r="X53" s="7">
        <v>7171.3647431700001</v>
      </c>
      <c r="Y53" s="7">
        <v>6876.6958781100002</v>
      </c>
      <c r="Z53" s="7">
        <v>6610.7957193399998</v>
      </c>
      <c r="AA53" s="7">
        <v>6364.9774226299996</v>
      </c>
      <c r="AB53" s="7">
        <v>6139.4771936400002</v>
      </c>
      <c r="AC53" s="7">
        <v>5933.5837312499998</v>
      </c>
    </row>
    <row r="54" spans="1:29" x14ac:dyDescent="0.85">
      <c r="A54" t="s">
        <v>152</v>
      </c>
      <c r="B54" s="7">
        <v>0</v>
      </c>
      <c r="C54" s="7">
        <v>637.27354834000005</v>
      </c>
      <c r="D54" s="7">
        <v>1432.2845675000001</v>
      </c>
      <c r="E54" s="7">
        <v>2384.9010566900001</v>
      </c>
      <c r="F54" s="7">
        <v>3495.15005875</v>
      </c>
      <c r="G54" s="7">
        <v>4763.2223265599996</v>
      </c>
      <c r="H54" s="7">
        <v>6122.4665358800003</v>
      </c>
      <c r="I54" s="7">
        <v>7794.34671738</v>
      </c>
      <c r="J54" s="7">
        <v>9669.3957966199996</v>
      </c>
      <c r="K54" s="7">
        <v>11664.94393121</v>
      </c>
      <c r="L54" s="7">
        <v>13850.925809709999</v>
      </c>
      <c r="M54" s="7">
        <v>15448.375415660001</v>
      </c>
      <c r="N54" s="7">
        <v>17085.37733657</v>
      </c>
      <c r="O54" s="7">
        <v>17909.830279149999</v>
      </c>
      <c r="P54" s="7">
        <v>18063.727866270001</v>
      </c>
      <c r="Q54" s="7">
        <v>18001.097025269999</v>
      </c>
      <c r="R54" s="7">
        <v>17712.410606630001</v>
      </c>
      <c r="S54" s="7">
        <v>17195.516360810001</v>
      </c>
      <c r="T54" s="7">
        <v>16462.25068284</v>
      </c>
      <c r="U54" s="7">
        <v>15539.60377747</v>
      </c>
      <c r="V54" s="7">
        <v>14456.97666416</v>
      </c>
      <c r="W54" s="7">
        <v>13236.38563986</v>
      </c>
      <c r="X54" s="7">
        <v>11908.61265083</v>
      </c>
      <c r="Y54" s="7">
        <v>10746.92375953</v>
      </c>
      <c r="Z54" s="7">
        <v>9713.9302685500006</v>
      </c>
      <c r="AA54" s="7">
        <v>8724.3743750100002</v>
      </c>
      <c r="AB54" s="7">
        <v>7803.6868407499996</v>
      </c>
      <c r="AC54" s="7">
        <v>6963.9469700899999</v>
      </c>
    </row>
    <row r="55" spans="1:29" x14ac:dyDescent="0.85">
      <c r="A55" t="s">
        <v>153</v>
      </c>
      <c r="B55" s="7">
        <v>27.95017636</v>
      </c>
      <c r="C55" s="7">
        <v>31.863677419999998</v>
      </c>
      <c r="D55" s="7">
        <v>35.80711419</v>
      </c>
      <c r="E55" s="7">
        <v>39.748350940000002</v>
      </c>
      <c r="F55" s="7">
        <v>43.689375730000002</v>
      </c>
      <c r="G55" s="7">
        <v>47.632223269999997</v>
      </c>
      <c r="H55" s="7">
        <v>51.02055447</v>
      </c>
      <c r="I55" s="7">
        <v>55.673905120000001</v>
      </c>
      <c r="J55" s="7">
        <v>60.433723729999997</v>
      </c>
      <c r="K55" s="7">
        <v>64.805244060000007</v>
      </c>
      <c r="L55" s="7">
        <v>69.254629050000005</v>
      </c>
      <c r="M55" s="7">
        <v>70.219888249999997</v>
      </c>
      <c r="N55" s="7">
        <v>71.189072240000002</v>
      </c>
      <c r="O55" s="7">
        <v>68.883962609999998</v>
      </c>
      <c r="P55" s="7">
        <v>64.51331381</v>
      </c>
      <c r="Q55" s="7">
        <v>60.003656749999998</v>
      </c>
      <c r="R55" s="7">
        <v>55.35128315</v>
      </c>
      <c r="S55" s="7">
        <v>50.575048119999998</v>
      </c>
      <c r="T55" s="7">
        <v>45.728474120000001</v>
      </c>
      <c r="U55" s="7">
        <v>40.893694150000002</v>
      </c>
      <c r="V55" s="7">
        <v>36.142441660000003</v>
      </c>
      <c r="W55" s="7">
        <v>31.515203899999999</v>
      </c>
      <c r="X55" s="7">
        <v>27.06502875</v>
      </c>
      <c r="Y55" s="7">
        <v>23.362877739999998</v>
      </c>
      <c r="Z55" s="7">
        <v>20.23735473</v>
      </c>
      <c r="AA55" s="7">
        <v>17.44874875</v>
      </c>
      <c r="AB55" s="7">
        <v>15.007090079999999</v>
      </c>
      <c r="AC55" s="7">
        <v>12.89619809</v>
      </c>
    </row>
    <row r="56" spans="1:29" x14ac:dyDescent="0.85">
      <c r="A56" t="s">
        <v>154</v>
      </c>
      <c r="B56" s="7">
        <v>2713.1505023200002</v>
      </c>
      <c r="C56" s="7">
        <v>2969.2866685899999</v>
      </c>
      <c r="D56" s="7">
        <v>3219.4809003099999</v>
      </c>
      <c r="E56" s="7">
        <v>3488.61784433</v>
      </c>
      <c r="F56" s="7">
        <v>3757.8439805600001</v>
      </c>
      <c r="G56" s="7">
        <v>4030.4901192799998</v>
      </c>
      <c r="H56" s="7">
        <v>4261.0523167399997</v>
      </c>
      <c r="I56" s="7">
        <v>4605.4615347099998</v>
      </c>
      <c r="J56" s="7">
        <v>4961.0319989099999</v>
      </c>
      <c r="K56" s="7">
        <v>5321.9500164700003</v>
      </c>
      <c r="L56" s="7">
        <v>5695.0318071900001</v>
      </c>
      <c r="M56" s="7">
        <v>6080.8815508999996</v>
      </c>
      <c r="N56" s="7">
        <v>6491.8028410699999</v>
      </c>
      <c r="O56" s="7">
        <v>6634.6856178099997</v>
      </c>
      <c r="P56" s="7">
        <v>6561.3424794499997</v>
      </c>
      <c r="Q56" s="7">
        <v>6484.3008765900004</v>
      </c>
      <c r="R56" s="7">
        <v>6386.4472364100002</v>
      </c>
      <c r="S56" s="7">
        <v>6303.7171508800002</v>
      </c>
      <c r="T56" s="7">
        <v>6216.7092846400001</v>
      </c>
      <c r="U56" s="7">
        <v>6125.3143073399997</v>
      </c>
      <c r="V56" s="7">
        <v>6029.4171878999996</v>
      </c>
      <c r="W56" s="7">
        <v>5928.8990515100004</v>
      </c>
      <c r="X56" s="7">
        <v>5823.6367808300001</v>
      </c>
      <c r="Y56" s="7">
        <v>5713.3199254399997</v>
      </c>
      <c r="Z56" s="7">
        <v>5603.0580554199996</v>
      </c>
      <c r="AA56" s="7">
        <v>5496.1009542700003</v>
      </c>
      <c r="AB56" s="7">
        <v>5392.1853611699999</v>
      </c>
      <c r="AC56" s="7">
        <v>5291.4057037800003</v>
      </c>
    </row>
    <row r="57" spans="1:29" x14ac:dyDescent="0.85">
      <c r="A57" t="s">
        <v>155</v>
      </c>
      <c r="B57" s="7">
        <v>1391.8047005000001</v>
      </c>
      <c r="C57" s="7">
        <v>1586.68107955</v>
      </c>
      <c r="D57" s="7">
        <v>1783.0481350499999</v>
      </c>
      <c r="E57" s="7">
        <v>1979.30563889</v>
      </c>
      <c r="F57" s="7">
        <v>2175.5525875899998</v>
      </c>
      <c r="G57" s="7">
        <v>2371.8903013899999</v>
      </c>
      <c r="H57" s="7">
        <v>2540.61536523</v>
      </c>
      <c r="I57" s="7">
        <v>2772.33323475</v>
      </c>
      <c r="J57" s="7">
        <v>3009.35277344</v>
      </c>
      <c r="K57" s="7">
        <v>3227.0366431000002</v>
      </c>
      <c r="L57" s="7">
        <v>3448.5978546599999</v>
      </c>
      <c r="M57" s="7">
        <v>3496.6638232099999</v>
      </c>
      <c r="N57" s="7">
        <v>3544.9252296999998</v>
      </c>
      <c r="O57" s="7">
        <v>3430.1401790499999</v>
      </c>
      <c r="P57" s="7">
        <v>3212.4997079999998</v>
      </c>
      <c r="Q57" s="7">
        <v>2987.9371933100001</v>
      </c>
      <c r="R57" s="7">
        <v>2756.2679770499999</v>
      </c>
      <c r="S57" s="7">
        <v>2518.4309676100002</v>
      </c>
      <c r="T57" s="7">
        <v>2277.09136429</v>
      </c>
      <c r="U57" s="7">
        <v>2036.3390556899999</v>
      </c>
      <c r="V57" s="7">
        <v>1799.7460745200001</v>
      </c>
      <c r="W57" s="7">
        <v>1569.32852095</v>
      </c>
      <c r="X57" s="7">
        <v>1347.72796234</v>
      </c>
      <c r="Y57" s="7">
        <v>1163.3759526700001</v>
      </c>
      <c r="Z57" s="7">
        <v>1007.73766391</v>
      </c>
      <c r="AA57" s="7">
        <v>868.87646837</v>
      </c>
      <c r="AB57" s="7">
        <v>747.29183247000003</v>
      </c>
      <c r="AC57" s="7">
        <v>642.17802747999997</v>
      </c>
    </row>
    <row r="58" spans="1:29" x14ac:dyDescent="0.85">
      <c r="A58" t="s">
        <v>156</v>
      </c>
      <c r="B58" s="7">
        <v>1</v>
      </c>
      <c r="C58" s="7">
        <v>1.04</v>
      </c>
      <c r="D58" s="7">
        <v>1.1400056700000001</v>
      </c>
      <c r="E58" s="7">
        <v>1.12943825</v>
      </c>
      <c r="F58" s="7">
        <v>1.12874623</v>
      </c>
      <c r="G58" s="7">
        <v>1.1220549200000001</v>
      </c>
      <c r="H58" s="7">
        <v>1.11724362</v>
      </c>
      <c r="I58" s="7">
        <v>1.10125469</v>
      </c>
      <c r="J58" s="7">
        <v>1.1221128899999999</v>
      </c>
      <c r="K58" s="7">
        <v>1.1174687599999999</v>
      </c>
      <c r="L58" s="7">
        <v>1.11468799</v>
      </c>
      <c r="M58" s="7">
        <v>1.11223166</v>
      </c>
      <c r="N58" s="7">
        <v>1.11224166</v>
      </c>
      <c r="O58" s="7">
        <v>1.1120582699999999</v>
      </c>
      <c r="P58" s="7">
        <v>1.06459346</v>
      </c>
      <c r="Q58" s="7">
        <v>1.03015156</v>
      </c>
      <c r="R58" s="7">
        <v>1.02943568</v>
      </c>
      <c r="S58" s="7">
        <v>1.02594703</v>
      </c>
      <c r="T58" s="7">
        <v>1.0281729100000001</v>
      </c>
      <c r="U58" s="7">
        <v>1.0272889300000001</v>
      </c>
      <c r="V58" s="7">
        <v>1.0263526000000001</v>
      </c>
      <c r="W58" s="7">
        <v>1.02535847</v>
      </c>
      <c r="X58" s="7">
        <v>1.0243007399999999</v>
      </c>
      <c r="Y58" s="7">
        <v>1.0231728099999999</v>
      </c>
      <c r="Z58" s="7">
        <v>1.0219344299999999</v>
      </c>
      <c r="AA58" s="7">
        <v>1.0215634499999999</v>
      </c>
      <c r="AB58" s="7">
        <v>1.0217822299999999</v>
      </c>
      <c r="AC58" s="7">
        <v>1.02197172</v>
      </c>
    </row>
    <row r="59" spans="1:29" x14ac:dyDescent="0.85">
      <c r="A59" t="s">
        <v>157</v>
      </c>
      <c r="B59" s="7">
        <v>1</v>
      </c>
      <c r="C59" s="7">
        <v>1.1400056700000001</v>
      </c>
      <c r="D59" s="7">
        <v>1.12943825</v>
      </c>
      <c r="E59" s="7">
        <v>1.12874623</v>
      </c>
      <c r="F59" s="7">
        <v>1.1220549200000001</v>
      </c>
      <c r="G59" s="7">
        <v>1.11724362</v>
      </c>
      <c r="H59" s="7">
        <v>1.10125469</v>
      </c>
      <c r="I59" s="7">
        <v>1.1258617399999999</v>
      </c>
      <c r="J59" s="7">
        <v>1.1220898500000001</v>
      </c>
      <c r="K59" s="7">
        <v>1.1174485300000001</v>
      </c>
      <c r="L59" s="7">
        <v>1.11469006</v>
      </c>
      <c r="M59" s="7">
        <v>1.11224166</v>
      </c>
      <c r="N59" s="7">
        <v>1.1120582699999999</v>
      </c>
      <c r="O59" s="7">
        <v>1.06459346</v>
      </c>
      <c r="P59" s="7">
        <v>1.03015156</v>
      </c>
      <c r="Q59" s="7">
        <v>1.02943568</v>
      </c>
      <c r="R59" s="7">
        <v>1.02594703</v>
      </c>
      <c r="S59" s="7">
        <v>1.0281729100000001</v>
      </c>
      <c r="T59" s="7">
        <v>1.0272889300000001</v>
      </c>
      <c r="U59" s="7">
        <v>1.0263526000000001</v>
      </c>
      <c r="V59" s="7">
        <v>1.02535847</v>
      </c>
      <c r="W59" s="7">
        <v>1.0243007399999999</v>
      </c>
      <c r="X59" s="7">
        <v>1.0231728099999999</v>
      </c>
      <c r="Y59" s="7">
        <v>1.0219344299999999</v>
      </c>
      <c r="Z59" s="7">
        <v>1.0215634499999999</v>
      </c>
      <c r="AA59" s="7">
        <v>1.0217822299999999</v>
      </c>
      <c r="AB59" s="7">
        <v>1.02197172</v>
      </c>
      <c r="AC59" s="7">
        <v>1.0221979699999999</v>
      </c>
    </row>
    <row r="60" spans="1:29" x14ac:dyDescent="0.85">
      <c r="A60" t="s">
        <v>158</v>
      </c>
      <c r="B60" s="7">
        <v>1</v>
      </c>
      <c r="C60" s="7">
        <v>1.17415566</v>
      </c>
      <c r="D60" s="7">
        <v>1.1626010099999999</v>
      </c>
      <c r="E60" s="7">
        <v>1.15303679</v>
      </c>
      <c r="F60" s="7">
        <v>1.1444951800000001</v>
      </c>
      <c r="G60" s="7">
        <v>1.13722616</v>
      </c>
      <c r="H60" s="7">
        <v>1.13092237</v>
      </c>
      <c r="I60" s="7">
        <v>1.1274538300000001</v>
      </c>
      <c r="J60" s="7">
        <v>1.12212289</v>
      </c>
      <c r="K60" s="7">
        <v>1.11747876</v>
      </c>
      <c r="L60" s="7">
        <v>1.11469799</v>
      </c>
      <c r="M60" s="7">
        <v>1.11224166</v>
      </c>
      <c r="N60" s="7">
        <v>1.1126952400000001</v>
      </c>
      <c r="O60" s="7">
        <v>1.11316338</v>
      </c>
      <c r="P60" s="7">
        <v>1.1156337999999999</v>
      </c>
      <c r="Q60" s="7">
        <v>1.1197946400000001</v>
      </c>
      <c r="R60" s="7">
        <v>1.12419208</v>
      </c>
      <c r="S60" s="7">
        <v>1.12900573</v>
      </c>
      <c r="T60" s="7">
        <v>1.1339268</v>
      </c>
      <c r="U60" s="7">
        <v>1.13915173</v>
      </c>
      <c r="V60" s="7">
        <v>1.1447086500000001</v>
      </c>
      <c r="W60" s="7">
        <v>1.15062938</v>
      </c>
      <c r="X60" s="7">
        <v>1.1569499400000001</v>
      </c>
      <c r="Y60" s="7">
        <v>1.1637113699999999</v>
      </c>
      <c r="Z60" s="7">
        <v>1.16900301</v>
      </c>
      <c r="AA60" s="7">
        <v>1.17336745</v>
      </c>
      <c r="AB60" s="7">
        <v>1.1779020600000001</v>
      </c>
      <c r="AC60" s="7">
        <v>1.1826162899999999</v>
      </c>
    </row>
    <row r="61" spans="1:29" x14ac:dyDescent="0.85">
      <c r="A61" t="s">
        <v>159</v>
      </c>
      <c r="B61" s="7">
        <v>12389</v>
      </c>
      <c r="C61" s="7">
        <v>12100.4410713</v>
      </c>
      <c r="D61" s="7">
        <v>11797.930044520001</v>
      </c>
      <c r="E61" s="7">
        <v>11502.981793409999</v>
      </c>
      <c r="F61" s="7">
        <v>11215.40724857</v>
      </c>
      <c r="G61" s="7">
        <v>10935.02206736</v>
      </c>
      <c r="H61" s="7">
        <v>10661.64651567</v>
      </c>
      <c r="I61" s="7">
        <v>10395.10535278</v>
      </c>
      <c r="J61" s="7">
        <v>10135.227718960001</v>
      </c>
      <c r="K61" s="7">
        <v>9881.8470259900005</v>
      </c>
      <c r="L61" s="7">
        <v>9634.8008503399997</v>
      </c>
      <c r="M61" s="7">
        <v>9393.93082908</v>
      </c>
      <c r="N61" s="7">
        <v>9159.0825583500009</v>
      </c>
      <c r="O61" s="7">
        <v>8930.1054944000007</v>
      </c>
      <c r="P61" s="7">
        <v>8706.8528570399994</v>
      </c>
      <c r="Q61" s="7">
        <v>8489.1815356099996</v>
      </c>
      <c r="R61" s="7">
        <v>8276.9519972199996</v>
      </c>
      <c r="S61" s="7">
        <v>8070.0281972900002</v>
      </c>
      <c r="T61" s="7">
        <v>7868.27749236</v>
      </c>
      <c r="U61" s="7">
        <v>7671.5705550499997</v>
      </c>
      <c r="V61" s="7">
        <v>7479.7812911700003</v>
      </c>
      <c r="W61" s="7">
        <v>7292.7867588899999</v>
      </c>
      <c r="X61" s="7">
        <v>7110.46708992</v>
      </c>
      <c r="Y61" s="7">
        <v>6932.7054126700004</v>
      </c>
      <c r="Z61" s="7">
        <v>6759.3877773499999</v>
      </c>
      <c r="AA61" s="7">
        <v>6590.4030829200001</v>
      </c>
      <c r="AB61" s="7">
        <v>6425.64300585</v>
      </c>
      <c r="AC61" s="7">
        <v>6265.0019307000002</v>
      </c>
    </row>
    <row r="62" spans="1:29" x14ac:dyDescent="0.85">
      <c r="A62" t="s">
        <v>160</v>
      </c>
      <c r="B62" s="7">
        <v>39933839.75</v>
      </c>
      <c r="C62" s="7">
        <v>39003718.996348701</v>
      </c>
      <c r="D62" s="7">
        <v>38028626.018106803</v>
      </c>
      <c r="E62" s="7">
        <v>37077909.546302497</v>
      </c>
      <c r="F62" s="7">
        <v>36150961.061663903</v>
      </c>
      <c r="G62" s="7">
        <v>35247186.425949499</v>
      </c>
      <c r="H62" s="7">
        <v>34362776.144088797</v>
      </c>
      <c r="I62" s="7">
        <v>31691833.089961302</v>
      </c>
      <c r="J62" s="7">
        <v>28822462.321267199</v>
      </c>
      <c r="K62" s="7">
        <v>25537830.103310101</v>
      </c>
      <c r="L62" s="7">
        <v>22100916.2282345</v>
      </c>
      <c r="M62" s="7">
        <v>13274781.804366799</v>
      </c>
      <c r="N62" s="7">
        <v>3697528.2789876601</v>
      </c>
      <c r="O62" s="7">
        <v>3.85212814</v>
      </c>
      <c r="P62" s="7">
        <v>6.2400000000000004E-6</v>
      </c>
      <c r="Q62" s="7">
        <v>0</v>
      </c>
      <c r="R62" s="7">
        <v>0</v>
      </c>
      <c r="S62" s="7">
        <v>0</v>
      </c>
      <c r="T62" s="7">
        <v>0</v>
      </c>
      <c r="U62" s="7">
        <v>0</v>
      </c>
      <c r="V62" s="7">
        <v>0</v>
      </c>
      <c r="W62" s="7">
        <v>0</v>
      </c>
      <c r="X62" s="7">
        <v>0</v>
      </c>
      <c r="Y62" s="7">
        <v>0</v>
      </c>
      <c r="Z62" s="7">
        <v>0</v>
      </c>
      <c r="AA62" s="7">
        <v>0</v>
      </c>
      <c r="AB62" s="7">
        <v>0</v>
      </c>
      <c r="AC62" s="7">
        <v>0</v>
      </c>
    </row>
    <row r="63" spans="1:29" x14ac:dyDescent="0.85">
      <c r="A63" t="s">
        <v>161</v>
      </c>
      <c r="B63" s="7">
        <v>39933839.75</v>
      </c>
      <c r="C63" s="7">
        <v>39003718.996348701</v>
      </c>
      <c r="D63" s="7">
        <v>38028626.018106803</v>
      </c>
      <c r="E63" s="7">
        <v>37077909.546302497</v>
      </c>
      <c r="F63" s="7">
        <v>36150961.061663903</v>
      </c>
      <c r="G63" s="7">
        <v>35247186.425949499</v>
      </c>
      <c r="H63" s="7">
        <v>34362776.144088797</v>
      </c>
      <c r="I63" s="7">
        <v>31691833.089961302</v>
      </c>
      <c r="J63" s="7">
        <v>28822462.321267199</v>
      </c>
      <c r="K63" s="7">
        <v>25537830.103310101</v>
      </c>
      <c r="L63" s="7">
        <v>22100916.2282345</v>
      </c>
      <c r="M63" s="7">
        <v>13274781.804366799</v>
      </c>
      <c r="N63" s="7">
        <v>3697528.2789876601</v>
      </c>
      <c r="O63" s="7">
        <v>3.85212814</v>
      </c>
      <c r="P63" s="7">
        <v>6.2400000000000004E-6</v>
      </c>
      <c r="Q63" s="7">
        <v>0</v>
      </c>
      <c r="R63" s="7">
        <v>0</v>
      </c>
      <c r="S63" s="7">
        <v>0</v>
      </c>
      <c r="T63" s="7">
        <v>0</v>
      </c>
      <c r="U63" s="7">
        <v>0</v>
      </c>
      <c r="V63" s="7">
        <v>0</v>
      </c>
      <c r="W63" s="7">
        <v>0</v>
      </c>
      <c r="X63" s="7">
        <v>0</v>
      </c>
      <c r="Y63" s="7">
        <v>0</v>
      </c>
      <c r="Z63" s="7">
        <v>0</v>
      </c>
      <c r="AA63" s="7">
        <v>0</v>
      </c>
      <c r="AB63" s="7">
        <v>0</v>
      </c>
      <c r="AC63" s="7">
        <v>0</v>
      </c>
    </row>
    <row r="64" spans="1:29" x14ac:dyDescent="0.85">
      <c r="A64" t="s">
        <v>162</v>
      </c>
      <c r="B64" s="7">
        <v>8345.2432245700002</v>
      </c>
      <c r="C64" s="7">
        <v>8150.8696314999997</v>
      </c>
      <c r="D64" s="7">
        <v>7947.0978906399996</v>
      </c>
      <c r="E64" s="7">
        <v>7748.42042425</v>
      </c>
      <c r="F64" s="7">
        <v>7554.7098962800001</v>
      </c>
      <c r="G64" s="7">
        <v>7365.8421346900004</v>
      </c>
      <c r="H64" s="7">
        <v>7181.6208724600001</v>
      </c>
      <c r="I64" s="7">
        <v>6959.8999320599996</v>
      </c>
      <c r="J64" s="7">
        <v>6737.5481291200003</v>
      </c>
      <c r="K64" s="7">
        <v>6509.4178609299997</v>
      </c>
      <c r="L64" s="7">
        <v>6281.5340765199999</v>
      </c>
      <c r="M64" s="7">
        <v>5931.88604846</v>
      </c>
      <c r="N64" s="7">
        <v>5568.3563581899998</v>
      </c>
      <c r="O64" s="7">
        <v>5345.2210420399997</v>
      </c>
      <c r="P64" s="7">
        <v>5211.5904285500001</v>
      </c>
      <c r="Q64" s="7">
        <v>5081.3006678399997</v>
      </c>
      <c r="R64" s="7">
        <v>4954.2681511399996</v>
      </c>
      <c r="S64" s="7">
        <v>4830.4114473600002</v>
      </c>
      <c r="T64" s="7">
        <v>4709.6511611799997</v>
      </c>
      <c r="U64" s="7">
        <v>4591.9098821500002</v>
      </c>
      <c r="V64" s="7">
        <v>4477.1121350900003</v>
      </c>
      <c r="W64" s="7">
        <v>4365.18433172</v>
      </c>
      <c r="X64" s="7">
        <v>4256.0547234200003</v>
      </c>
      <c r="Y64" s="7">
        <v>4149.6533553400004</v>
      </c>
      <c r="Z64" s="7">
        <v>4045.9120214599998</v>
      </c>
      <c r="AA64" s="7">
        <v>3944.7642209199998</v>
      </c>
      <c r="AB64" s="7">
        <v>3846.1451154000001</v>
      </c>
      <c r="AC64" s="7">
        <v>3749.9914875099998</v>
      </c>
    </row>
    <row r="65" spans="1:29" x14ac:dyDescent="0.85">
      <c r="A65" t="s">
        <v>163</v>
      </c>
      <c r="B65" s="7">
        <v>0</v>
      </c>
      <c r="C65" s="7">
        <v>639.66099154000005</v>
      </c>
      <c r="D65" s="7">
        <v>1247.33893339</v>
      </c>
      <c r="E65" s="7">
        <v>1824.23314968</v>
      </c>
      <c r="F65" s="7">
        <v>2371.5030456499999</v>
      </c>
      <c r="G65" s="7">
        <v>2890.2692869299999</v>
      </c>
      <c r="H65" s="7">
        <v>3381.2971725799998</v>
      </c>
      <c r="I65" s="7">
        <v>3638.2224387299998</v>
      </c>
      <c r="J65" s="7">
        <v>3781.50705655</v>
      </c>
      <c r="K65" s="7">
        <v>3769.38372325</v>
      </c>
      <c r="L65" s="7">
        <v>3624.5502614299999</v>
      </c>
      <c r="M65" s="7">
        <v>2394.7706375100001</v>
      </c>
      <c r="N65" s="7">
        <v>727.67356529999995</v>
      </c>
      <c r="O65" s="7">
        <v>8.2127000000000003E-4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v>0</v>
      </c>
      <c r="W65" s="7">
        <v>0</v>
      </c>
      <c r="X65" s="7">
        <v>0</v>
      </c>
      <c r="Y65" s="7">
        <v>0</v>
      </c>
      <c r="Z65" s="7">
        <v>0</v>
      </c>
      <c r="AA65" s="7">
        <v>0</v>
      </c>
      <c r="AB65" s="7">
        <v>0</v>
      </c>
      <c r="AC65" s="7">
        <v>0</v>
      </c>
    </row>
    <row r="66" spans="1:29" x14ac:dyDescent="0.85">
      <c r="A66" t="s">
        <v>164</v>
      </c>
      <c r="B66" s="7">
        <v>32.745748599999999</v>
      </c>
      <c r="C66" s="7">
        <v>31.983049579999999</v>
      </c>
      <c r="D66" s="7">
        <v>31.183473330000002</v>
      </c>
      <c r="E66" s="7">
        <v>30.40388583</v>
      </c>
      <c r="F66" s="7">
        <v>29.643788069999999</v>
      </c>
      <c r="G66" s="7">
        <v>28.902692869999999</v>
      </c>
      <c r="H66" s="7">
        <v>28.17747644</v>
      </c>
      <c r="I66" s="7">
        <v>25.987303130000001</v>
      </c>
      <c r="J66" s="7">
        <v>23.634419099999999</v>
      </c>
      <c r="K66" s="7">
        <v>20.941020680000001</v>
      </c>
      <c r="L66" s="7">
        <v>18.122751310000002</v>
      </c>
      <c r="M66" s="7">
        <v>10.885321080000001</v>
      </c>
      <c r="N66" s="7">
        <v>3.03197319</v>
      </c>
      <c r="O66" s="7">
        <v>3.1599999999999998E-6</v>
      </c>
      <c r="P66" s="7">
        <v>0</v>
      </c>
      <c r="Q66" s="7">
        <v>0</v>
      </c>
      <c r="R66" s="7">
        <v>0</v>
      </c>
      <c r="S66" s="7">
        <v>0</v>
      </c>
      <c r="T66" s="7">
        <v>0</v>
      </c>
      <c r="U66" s="7">
        <v>0</v>
      </c>
      <c r="V66" s="7">
        <v>0</v>
      </c>
      <c r="W66" s="7">
        <v>0</v>
      </c>
      <c r="X66" s="7">
        <v>0</v>
      </c>
      <c r="Y66" s="7">
        <v>0</v>
      </c>
      <c r="Z66" s="7">
        <v>0</v>
      </c>
      <c r="AA66" s="7">
        <v>0</v>
      </c>
      <c r="AB66" s="7">
        <v>0</v>
      </c>
      <c r="AC66" s="7">
        <v>0</v>
      </c>
    </row>
    <row r="67" spans="1:29" x14ac:dyDescent="0.85">
      <c r="A67" t="s">
        <v>165</v>
      </c>
      <c r="B67" s="7">
        <v>7415.5834351900003</v>
      </c>
      <c r="C67" s="7">
        <v>7242.8630532699999</v>
      </c>
      <c r="D67" s="7">
        <v>7061.7914769299996</v>
      </c>
      <c r="E67" s="7">
        <v>6885.2466900099998</v>
      </c>
      <c r="F67" s="7">
        <v>6713.1155227600002</v>
      </c>
      <c r="G67" s="7">
        <v>6545.2876346900002</v>
      </c>
      <c r="H67" s="7">
        <v>6381.6554438200001</v>
      </c>
      <c r="I67" s="7">
        <v>6222.1140577300002</v>
      </c>
      <c r="J67" s="7">
        <v>6066.56120629</v>
      </c>
      <c r="K67" s="7">
        <v>5914.8971761299999</v>
      </c>
      <c r="L67" s="7">
        <v>5767.0247467199997</v>
      </c>
      <c r="M67" s="7">
        <v>5622.8491280600001</v>
      </c>
      <c r="N67" s="7">
        <v>5482.2778998599997</v>
      </c>
      <c r="O67" s="7">
        <v>5345.2209523600004</v>
      </c>
      <c r="P67" s="7">
        <v>5211.5904285500001</v>
      </c>
      <c r="Q67" s="7">
        <v>5081.3006678399997</v>
      </c>
      <c r="R67" s="7">
        <v>4954.2681511399996</v>
      </c>
      <c r="S67" s="7">
        <v>4830.4114473600002</v>
      </c>
      <c r="T67" s="7">
        <v>4709.6511611799997</v>
      </c>
      <c r="U67" s="7">
        <v>4591.9098821500002</v>
      </c>
      <c r="V67" s="7">
        <v>4477.1121350900003</v>
      </c>
      <c r="W67" s="7">
        <v>4365.18433172</v>
      </c>
      <c r="X67" s="7">
        <v>4256.0547234200003</v>
      </c>
      <c r="Y67" s="7">
        <v>4149.6533553400004</v>
      </c>
      <c r="Z67" s="7">
        <v>4045.9120214599998</v>
      </c>
      <c r="AA67" s="7">
        <v>3944.7642209199998</v>
      </c>
      <c r="AB67" s="7">
        <v>3846.1451154000001</v>
      </c>
      <c r="AC67" s="7">
        <v>3749.9914875099998</v>
      </c>
    </row>
    <row r="68" spans="1:29" x14ac:dyDescent="0.85">
      <c r="A68" t="s">
        <v>166</v>
      </c>
      <c r="B68" s="7">
        <v>929.65978938000001</v>
      </c>
      <c r="C68" s="7">
        <v>908.00657822999995</v>
      </c>
      <c r="D68" s="7">
        <v>885.30641370000001</v>
      </c>
      <c r="E68" s="7">
        <v>863.17373424000004</v>
      </c>
      <c r="F68" s="7">
        <v>841.59437351999998</v>
      </c>
      <c r="G68" s="7">
        <v>820.55449999999996</v>
      </c>
      <c r="H68" s="7">
        <v>799.96542863000002</v>
      </c>
      <c r="I68" s="7">
        <v>737.78587432999996</v>
      </c>
      <c r="J68" s="7">
        <v>670.98692284000003</v>
      </c>
      <c r="K68" s="7">
        <v>594.52068481000003</v>
      </c>
      <c r="L68" s="7">
        <v>514.50932979000004</v>
      </c>
      <c r="M68" s="7">
        <v>309.03692040999999</v>
      </c>
      <c r="N68" s="7">
        <v>86.078458330000004</v>
      </c>
      <c r="O68" s="7">
        <v>8.9679999999999995E-5</v>
      </c>
      <c r="P68" s="7">
        <v>0</v>
      </c>
      <c r="Q68" s="7">
        <v>0</v>
      </c>
      <c r="R68" s="7">
        <v>0</v>
      </c>
      <c r="S68" s="7">
        <v>0</v>
      </c>
      <c r="T68" s="7">
        <v>0</v>
      </c>
      <c r="U68" s="7">
        <v>0</v>
      </c>
      <c r="V68" s="7">
        <v>0</v>
      </c>
      <c r="W68" s="7">
        <v>0</v>
      </c>
      <c r="X68" s="7">
        <v>0</v>
      </c>
      <c r="Y68" s="7">
        <v>0</v>
      </c>
      <c r="Z68" s="7">
        <v>0</v>
      </c>
      <c r="AA68" s="7">
        <v>0</v>
      </c>
      <c r="AB68" s="7">
        <v>0</v>
      </c>
      <c r="AC68" s="7">
        <v>0</v>
      </c>
    </row>
    <row r="69" spans="1:29" x14ac:dyDescent="0.85">
      <c r="A69" t="s">
        <v>167</v>
      </c>
      <c r="B69" s="7">
        <v>1</v>
      </c>
      <c r="C69" s="7">
        <v>1.0249999999999999</v>
      </c>
      <c r="D69" s="7">
        <v>1.0017522599999999</v>
      </c>
      <c r="E69" s="7">
        <v>1</v>
      </c>
      <c r="F69" s="7">
        <v>0.99999998000000001</v>
      </c>
      <c r="G69" s="7">
        <v>0.99999998000000001</v>
      </c>
      <c r="H69" s="7">
        <v>0.99999998000000001</v>
      </c>
      <c r="I69" s="7">
        <v>0.99990599000000002</v>
      </c>
      <c r="J69" s="7">
        <v>0.94592019999999999</v>
      </c>
      <c r="K69" s="7">
        <v>0.93277973999999997</v>
      </c>
      <c r="L69" s="7">
        <v>0.90875810999999995</v>
      </c>
      <c r="M69" s="7">
        <v>0.88760894000000001</v>
      </c>
      <c r="N69" s="7">
        <v>0.61604508999999996</v>
      </c>
      <c r="O69" s="7">
        <v>0.28567977999999999</v>
      </c>
      <c r="P69" s="7">
        <v>1.0699999999999999E-6</v>
      </c>
      <c r="Q69" s="7">
        <v>1.66E-6</v>
      </c>
      <c r="R69" s="7">
        <v>1.59E-6</v>
      </c>
      <c r="S69" s="7">
        <v>1.39E-6</v>
      </c>
      <c r="T69" s="7">
        <v>1.2699999999999999E-6</v>
      </c>
      <c r="U69" s="7">
        <v>1.2100000000000001E-6</v>
      </c>
      <c r="V69" s="7">
        <v>1.24E-6</v>
      </c>
      <c r="W69" s="7">
        <v>9.9999999999999995E-7</v>
      </c>
      <c r="X69" s="7">
        <v>1.0699999999999999E-6</v>
      </c>
      <c r="Y69" s="7">
        <v>1.0100000000000001E-6</v>
      </c>
      <c r="Z69" s="7">
        <v>7.1559999999999999E-5</v>
      </c>
      <c r="AA69" s="7">
        <v>4.8850000000000002E-5</v>
      </c>
      <c r="AB69" s="7">
        <v>5.0649999999999998E-5</v>
      </c>
      <c r="AC69" s="7">
        <v>5.4759999999999997E-5</v>
      </c>
    </row>
    <row r="70" spans="1:29" x14ac:dyDescent="0.85">
      <c r="A70" t="s">
        <v>168</v>
      </c>
      <c r="B70" s="7">
        <v>1</v>
      </c>
      <c r="C70" s="7">
        <v>1.0017522599999999</v>
      </c>
      <c r="D70" s="7">
        <v>1</v>
      </c>
      <c r="E70" s="7">
        <v>0.99999998000000001</v>
      </c>
      <c r="F70" s="7">
        <v>0.99999998000000001</v>
      </c>
      <c r="G70" s="7">
        <v>0.99999998000000001</v>
      </c>
      <c r="H70" s="7">
        <v>0.99990599000000002</v>
      </c>
      <c r="I70" s="7">
        <v>0.94592019999999999</v>
      </c>
      <c r="J70" s="7">
        <v>0.93277973999999997</v>
      </c>
      <c r="K70" s="7">
        <v>0.90875810999999995</v>
      </c>
      <c r="L70" s="7">
        <v>0.88760894000000001</v>
      </c>
      <c r="M70" s="7">
        <v>0.61604508999999996</v>
      </c>
      <c r="N70" s="7">
        <v>0.28567977999999999</v>
      </c>
      <c r="O70" s="7">
        <v>1.0699999999999999E-6</v>
      </c>
      <c r="P70" s="7">
        <v>1.66E-6</v>
      </c>
      <c r="Q70" s="7">
        <v>1.59E-6</v>
      </c>
      <c r="R70" s="7">
        <v>1.39E-6</v>
      </c>
      <c r="S70" s="7">
        <v>1.2699999999999999E-6</v>
      </c>
      <c r="T70" s="7">
        <v>1.2100000000000001E-6</v>
      </c>
      <c r="U70" s="7">
        <v>1.24E-6</v>
      </c>
      <c r="V70" s="7">
        <v>9.9999999999999995E-7</v>
      </c>
      <c r="W70" s="7">
        <v>1.0699999999999999E-6</v>
      </c>
      <c r="X70" s="7">
        <v>1.0100000000000001E-6</v>
      </c>
      <c r="Y70" s="7">
        <v>7.1559999999999999E-5</v>
      </c>
      <c r="Z70" s="7">
        <v>4.8850000000000002E-5</v>
      </c>
      <c r="AA70" s="7">
        <v>5.0649999999999998E-5</v>
      </c>
      <c r="AB70" s="7">
        <v>5.4759999999999997E-5</v>
      </c>
      <c r="AC70" s="7">
        <v>5.728E-5</v>
      </c>
    </row>
    <row r="71" spans="1:29" x14ac:dyDescent="0.85">
      <c r="A71" t="s">
        <v>169</v>
      </c>
      <c r="B71" s="7">
        <v>1</v>
      </c>
      <c r="C71" s="7">
        <v>1.44713874</v>
      </c>
      <c r="D71" s="7">
        <v>1.46273655</v>
      </c>
      <c r="E71" s="7">
        <v>1.4793287900000001</v>
      </c>
      <c r="F71" s="7">
        <v>1.4977133300000001</v>
      </c>
      <c r="G71" s="7">
        <v>1.51695848</v>
      </c>
      <c r="H71" s="7">
        <v>1.5372841799999999</v>
      </c>
      <c r="I71" s="7">
        <v>1.56335834</v>
      </c>
      <c r="J71" s="7">
        <v>1.5924522000000001</v>
      </c>
      <c r="K71" s="7">
        <v>1.6236988800000001</v>
      </c>
      <c r="L71" s="7">
        <v>1.66527563</v>
      </c>
      <c r="M71" s="7">
        <v>1.7098463399999999</v>
      </c>
      <c r="N71" s="7">
        <v>1.7791865200000001</v>
      </c>
      <c r="O71" s="7">
        <v>1.8554691999999999</v>
      </c>
      <c r="P71" s="7">
        <v>1.91897381</v>
      </c>
      <c r="Q71" s="7">
        <v>1.9715038600000001</v>
      </c>
      <c r="R71" s="7">
        <v>2.0269406700000001</v>
      </c>
      <c r="S71" s="7">
        <v>2.0841676699999998</v>
      </c>
      <c r="T71" s="7">
        <v>2.1459508199999999</v>
      </c>
      <c r="U71" s="7">
        <v>2.2111133399999998</v>
      </c>
      <c r="V71" s="7">
        <v>2.2798317199999998</v>
      </c>
      <c r="W71" s="7">
        <v>2.35229117</v>
      </c>
      <c r="X71" s="7">
        <v>2.4286861900000001</v>
      </c>
      <c r="Y71" s="7">
        <v>2.5092209699999999</v>
      </c>
      <c r="Z71" s="7">
        <v>2.5736482600000001</v>
      </c>
      <c r="AA71" s="7">
        <v>2.6285064400000002</v>
      </c>
      <c r="AB71" s="7">
        <v>2.686105</v>
      </c>
      <c r="AC71" s="7">
        <v>2.7465697200000001</v>
      </c>
    </row>
    <row r="72" spans="1:29" x14ac:dyDescent="0.85">
      <c r="A72" t="s">
        <v>170</v>
      </c>
      <c r="B72" s="7">
        <v>0</v>
      </c>
      <c r="C72" s="7">
        <v>1.309E-5</v>
      </c>
      <c r="D72" s="7">
        <v>50.673324129999997</v>
      </c>
      <c r="E72" s="7">
        <v>49.70707032</v>
      </c>
      <c r="F72" s="7">
        <v>44.878279839999998</v>
      </c>
      <c r="G72" s="7">
        <v>43.299183890000002</v>
      </c>
      <c r="H72" s="7">
        <v>38.96929548</v>
      </c>
      <c r="I72" s="7">
        <v>35.334260569999998</v>
      </c>
      <c r="J72" s="7">
        <v>31.805766299999998</v>
      </c>
      <c r="K72" s="7">
        <v>36.783776639999999</v>
      </c>
      <c r="L72" s="7">
        <v>33.105398970000003</v>
      </c>
      <c r="M72" s="7">
        <v>29.794869349999999</v>
      </c>
      <c r="N72" s="7">
        <v>136.54851923999999</v>
      </c>
      <c r="O72" s="7">
        <v>122.89366731</v>
      </c>
      <c r="P72" s="7">
        <v>110.60537149</v>
      </c>
      <c r="Q72" s="7">
        <v>99.544835640000002</v>
      </c>
      <c r="R72" s="7">
        <v>89.590873689999995</v>
      </c>
      <c r="S72" s="7">
        <v>80.632640730000006</v>
      </c>
      <c r="T72" s="7">
        <v>72.571644669999998</v>
      </c>
      <c r="U72" s="7">
        <v>65.314480279999998</v>
      </c>
      <c r="V72" s="7">
        <v>58.783034409999999</v>
      </c>
      <c r="W72" s="7">
        <v>52.904730970000003</v>
      </c>
      <c r="X72" s="7">
        <v>47.614257870000003</v>
      </c>
      <c r="Y72" s="7">
        <v>42.85283209</v>
      </c>
      <c r="Z72" s="7">
        <v>38.56772806</v>
      </c>
      <c r="AA72" s="7">
        <v>34.712282100000003</v>
      </c>
      <c r="AB72" s="7">
        <v>31.24121001</v>
      </c>
      <c r="AC72" s="7">
        <v>28.117357670000001</v>
      </c>
    </row>
    <row r="73" spans="1:29" x14ac:dyDescent="0.85">
      <c r="A73" t="s">
        <v>171</v>
      </c>
      <c r="B73" s="7">
        <v>0</v>
      </c>
      <c r="C73" s="7">
        <v>0</v>
      </c>
      <c r="D73" s="7">
        <v>12.66833008</v>
      </c>
      <c r="E73" s="7">
        <v>1.0252489199999999</v>
      </c>
      <c r="F73" s="7">
        <v>3.5499070000000001E-2</v>
      </c>
      <c r="G73" s="7">
        <v>0.72714522999999998</v>
      </c>
      <c r="H73" s="7">
        <v>2.139E-5</v>
      </c>
      <c r="I73" s="7">
        <v>5.5293450000000001E-2</v>
      </c>
      <c r="J73" s="7">
        <v>1.143199E-2</v>
      </c>
      <c r="K73" s="7">
        <v>2.0396505600000001</v>
      </c>
      <c r="L73" s="7">
        <v>3.2600000000000001E-6</v>
      </c>
      <c r="M73" s="7">
        <v>1.6999999999999999E-7</v>
      </c>
      <c r="N73" s="7">
        <v>27.433286020000001</v>
      </c>
      <c r="O73" s="7">
        <v>0</v>
      </c>
      <c r="P73" s="7">
        <v>2.6527000000000001E-4</v>
      </c>
      <c r="Q73" s="7">
        <v>4.3000000000000001E-7</v>
      </c>
      <c r="R73" s="7">
        <v>22.39771824</v>
      </c>
      <c r="S73" s="7">
        <v>20.158158100000001</v>
      </c>
      <c r="T73" s="7">
        <v>18.142911099999999</v>
      </c>
      <c r="U73" s="7">
        <v>16.328619539999998</v>
      </c>
      <c r="V73" s="7">
        <v>14.695756729999999</v>
      </c>
      <c r="W73" s="7">
        <v>13.226173579999999</v>
      </c>
      <c r="X73" s="7">
        <v>11.90356411</v>
      </c>
      <c r="Y73" s="7">
        <v>10.71320802</v>
      </c>
      <c r="Z73" s="7">
        <v>9.6419319699999999</v>
      </c>
      <c r="AA73" s="7">
        <v>8.5807788899999995</v>
      </c>
      <c r="AB73" s="7">
        <v>7.8102921099999998</v>
      </c>
      <c r="AC73" s="7">
        <v>7.0293389499999996</v>
      </c>
    </row>
    <row r="74" spans="1:29" x14ac:dyDescent="0.85">
      <c r="A74" t="s">
        <v>172</v>
      </c>
      <c r="B74" s="7">
        <v>0</v>
      </c>
      <c r="C74" s="7">
        <v>0</v>
      </c>
      <c r="D74" s="7">
        <v>12.66833008</v>
      </c>
      <c r="E74" s="7">
        <v>1.0252489199999999</v>
      </c>
      <c r="F74" s="7">
        <v>3.5499070000000001E-2</v>
      </c>
      <c r="G74" s="7">
        <v>0.72714522999999998</v>
      </c>
      <c r="H74" s="7">
        <v>2.139E-5</v>
      </c>
      <c r="I74" s="7">
        <v>5.5293450000000001E-2</v>
      </c>
      <c r="J74" s="7">
        <v>1.143199E-2</v>
      </c>
      <c r="K74" s="7">
        <v>2.0396505600000001</v>
      </c>
      <c r="L74" s="7">
        <v>3.2600000000000001E-6</v>
      </c>
      <c r="M74" s="7">
        <v>1.6999999999999999E-7</v>
      </c>
      <c r="N74" s="7">
        <v>27.433286020000001</v>
      </c>
      <c r="O74" s="7">
        <v>0</v>
      </c>
      <c r="P74" s="7">
        <v>2.6527000000000001E-4</v>
      </c>
      <c r="Q74" s="7">
        <v>4.3000000000000001E-7</v>
      </c>
      <c r="R74" s="7">
        <v>22.39771824</v>
      </c>
      <c r="S74" s="7">
        <v>20.158158100000001</v>
      </c>
      <c r="T74" s="7">
        <v>18.142911099999999</v>
      </c>
      <c r="U74" s="7">
        <v>16.328619539999998</v>
      </c>
      <c r="V74" s="7">
        <v>14.695756729999999</v>
      </c>
      <c r="W74" s="7">
        <v>13.226173579999999</v>
      </c>
      <c r="X74" s="7">
        <v>11.90356411</v>
      </c>
      <c r="Y74" s="7">
        <v>10.71320802</v>
      </c>
      <c r="Z74" s="7">
        <v>9.6419319699999999</v>
      </c>
      <c r="AA74" s="7">
        <v>8.5807788899999995</v>
      </c>
      <c r="AB74" s="7">
        <v>7.8102921099999998</v>
      </c>
      <c r="AC74" s="7">
        <v>7.0293389499999996</v>
      </c>
    </row>
    <row r="75" spans="1:29" x14ac:dyDescent="0.85">
      <c r="A75" t="s">
        <v>173</v>
      </c>
      <c r="B75" s="7">
        <v>0</v>
      </c>
      <c r="C75" s="7">
        <v>3.4800000000000001E-6</v>
      </c>
      <c r="D75" s="7">
        <v>13.457309929999999</v>
      </c>
      <c r="E75" s="7">
        <v>13.200545</v>
      </c>
      <c r="F75" s="7">
        <v>11.91816656</v>
      </c>
      <c r="G75" s="7">
        <v>11.49882116</v>
      </c>
      <c r="H75" s="7">
        <v>10.34893799</v>
      </c>
      <c r="I75" s="7">
        <v>9.38359539</v>
      </c>
      <c r="J75" s="7">
        <v>8.4465450400000002</v>
      </c>
      <c r="K75" s="7">
        <v>9.7685655699999998</v>
      </c>
      <c r="L75" s="7">
        <v>8.7916837300000008</v>
      </c>
      <c r="M75" s="7">
        <v>7.9125180899999998</v>
      </c>
      <c r="N75" s="7">
        <v>36.26308513</v>
      </c>
      <c r="O75" s="7">
        <v>32.636436639999999</v>
      </c>
      <c r="P75" s="7">
        <v>29.373077380000002</v>
      </c>
      <c r="Q75" s="7">
        <v>26.43576998</v>
      </c>
      <c r="R75" s="7">
        <v>23.792639919999999</v>
      </c>
      <c r="S75" s="7">
        <v>21.413602839999999</v>
      </c>
      <c r="T75" s="7">
        <v>19.27284487</v>
      </c>
      <c r="U75" s="7">
        <v>17.3455604</v>
      </c>
      <c r="V75" s="7">
        <v>15.61100493</v>
      </c>
      <c r="W75" s="7">
        <v>14.049904440000001</v>
      </c>
      <c r="X75" s="7">
        <v>12.644914</v>
      </c>
      <c r="Y75" s="7">
        <v>11.380422599999999</v>
      </c>
      <c r="Z75" s="7">
        <v>10.242427920000001</v>
      </c>
      <c r="AA75" s="7">
        <v>9.2185361599999993</v>
      </c>
      <c r="AB75" s="7">
        <v>8.29672521</v>
      </c>
      <c r="AC75" s="7">
        <v>7.4671240399999999</v>
      </c>
    </row>
    <row r="76" spans="1:29" x14ac:dyDescent="0.85">
      <c r="A76" t="s">
        <v>174</v>
      </c>
      <c r="B76" s="7">
        <v>0</v>
      </c>
      <c r="C76" s="7">
        <v>0</v>
      </c>
      <c r="D76" s="7">
        <v>5.6369999999999997E-5</v>
      </c>
      <c r="E76" s="7">
        <v>6.8399999999999997E-6</v>
      </c>
      <c r="F76" s="7">
        <v>3.2000000000000001E-7</v>
      </c>
      <c r="G76" s="7">
        <v>8.0900000000000005E-6</v>
      </c>
      <c r="H76" s="7">
        <v>0</v>
      </c>
      <c r="I76" s="7">
        <v>8.6000000000000002E-7</v>
      </c>
      <c r="J76" s="7">
        <v>1.9999999999999999E-7</v>
      </c>
      <c r="K76" s="7">
        <v>4.0840000000000002E-5</v>
      </c>
      <c r="L76" s="7">
        <v>0</v>
      </c>
      <c r="M76" s="7">
        <v>0</v>
      </c>
      <c r="N76" s="7">
        <v>7.3247000000000004E-4</v>
      </c>
      <c r="O76" s="7">
        <v>0</v>
      </c>
      <c r="P76" s="7">
        <v>1E-8</v>
      </c>
      <c r="Q76" s="7">
        <v>0</v>
      </c>
      <c r="R76" s="7">
        <v>7.9736E-4</v>
      </c>
      <c r="S76" s="7">
        <v>7.6247999999999995E-4</v>
      </c>
      <c r="T76" s="7">
        <v>7.2661999999999998E-4</v>
      </c>
      <c r="U76" s="7">
        <v>6.9028999999999998E-4</v>
      </c>
      <c r="V76" s="7">
        <v>6.5395999999999998E-4</v>
      </c>
      <c r="W76" s="7">
        <v>6.1799000000000001E-4</v>
      </c>
      <c r="X76" s="7">
        <v>5.8268000000000003E-4</v>
      </c>
      <c r="Y76" s="7">
        <v>5.4825000000000002E-4</v>
      </c>
      <c r="Z76" s="7">
        <v>5.1488E-4</v>
      </c>
      <c r="AA76" s="7">
        <v>4.7731E-4</v>
      </c>
      <c r="AB76" s="7">
        <v>4.5183000000000002E-4</v>
      </c>
      <c r="AC76" s="7">
        <v>4.2229000000000002E-4</v>
      </c>
    </row>
    <row r="77" spans="1:29" x14ac:dyDescent="0.85">
      <c r="A77" t="s">
        <v>175</v>
      </c>
      <c r="B77" s="7">
        <v>0</v>
      </c>
      <c r="C77" s="7">
        <v>0</v>
      </c>
      <c r="D77" s="7">
        <v>1.4100000000000001E-6</v>
      </c>
      <c r="E77" s="7">
        <v>1.1000000000000001E-7</v>
      </c>
      <c r="F77" s="7">
        <v>0</v>
      </c>
      <c r="G77" s="7">
        <v>8.0000000000000002E-8</v>
      </c>
      <c r="H77" s="7">
        <v>0</v>
      </c>
      <c r="I77" s="7">
        <v>1E-8</v>
      </c>
      <c r="J77" s="7">
        <v>0</v>
      </c>
      <c r="K77" s="7">
        <v>2.2999999999999999E-7</v>
      </c>
      <c r="L77" s="7">
        <v>0</v>
      </c>
      <c r="M77" s="7">
        <v>0</v>
      </c>
      <c r="N77" s="7">
        <v>3.05E-6</v>
      </c>
      <c r="O77" s="7">
        <v>0</v>
      </c>
      <c r="P77" s="7">
        <v>0</v>
      </c>
      <c r="Q77" s="7">
        <v>0</v>
      </c>
      <c r="R77" s="7">
        <v>2.4899999999999999E-6</v>
      </c>
      <c r="S77" s="7">
        <v>2.2400000000000002E-6</v>
      </c>
      <c r="T77" s="7">
        <v>2.0200000000000001E-6</v>
      </c>
      <c r="U77" s="7">
        <v>1.8199999999999999E-6</v>
      </c>
      <c r="V77" s="7">
        <v>1.6300000000000001E-6</v>
      </c>
      <c r="W77" s="7">
        <v>1.4699999999999999E-6</v>
      </c>
      <c r="X77" s="7">
        <v>1.3200000000000001E-6</v>
      </c>
      <c r="Y77" s="7">
        <v>1.19E-6</v>
      </c>
      <c r="Z77" s="7">
        <v>1.0699999999999999E-6</v>
      </c>
      <c r="AA77" s="7">
        <v>9.5000000000000001E-7</v>
      </c>
      <c r="AB77" s="7">
        <v>8.7000000000000003E-7</v>
      </c>
      <c r="AC77" s="7">
        <v>7.8000000000000005E-7</v>
      </c>
    </row>
    <row r="78" spans="1:29" x14ac:dyDescent="0.85">
      <c r="A78" t="s">
        <v>176</v>
      </c>
      <c r="B78" s="7">
        <v>0</v>
      </c>
      <c r="C78" s="7">
        <v>3.4800000000000001E-6</v>
      </c>
      <c r="D78" s="7">
        <v>13.457135490000001</v>
      </c>
      <c r="E78" s="7">
        <v>13.200530880000001</v>
      </c>
      <c r="F78" s="7">
        <v>11.91816607</v>
      </c>
      <c r="G78" s="7">
        <v>11.49881115</v>
      </c>
      <c r="H78" s="7">
        <v>10.34893799</v>
      </c>
      <c r="I78" s="7">
        <v>9.3835946299999993</v>
      </c>
      <c r="J78" s="7">
        <v>8.4465448799999994</v>
      </c>
      <c r="K78" s="7">
        <v>9.7685374800000009</v>
      </c>
      <c r="L78" s="7">
        <v>8.7916837300000008</v>
      </c>
      <c r="M78" s="7">
        <v>7.9125180899999998</v>
      </c>
      <c r="N78" s="7">
        <v>36.262707380000002</v>
      </c>
      <c r="O78" s="7">
        <v>32.636436639999999</v>
      </c>
      <c r="P78" s="7">
        <v>29.373077370000001</v>
      </c>
      <c r="Q78" s="7">
        <v>26.43576998</v>
      </c>
      <c r="R78" s="7">
        <v>23.7923315</v>
      </c>
      <c r="S78" s="7">
        <v>21.413325260000001</v>
      </c>
      <c r="T78" s="7">
        <v>19.272595039999999</v>
      </c>
      <c r="U78" s="7">
        <v>17.345335559999999</v>
      </c>
      <c r="V78" s="7">
        <v>15.610802570000001</v>
      </c>
      <c r="W78" s="7">
        <v>14.049722320000001</v>
      </c>
      <c r="X78" s="7">
        <v>12.64475008</v>
      </c>
      <c r="Y78" s="7">
        <v>11.380275080000001</v>
      </c>
      <c r="Z78" s="7">
        <v>10.24229515</v>
      </c>
      <c r="AA78" s="7">
        <v>9.2184179999999998</v>
      </c>
      <c r="AB78" s="7">
        <v>8.2966176600000008</v>
      </c>
      <c r="AC78" s="7">
        <v>7.4670272400000002</v>
      </c>
    </row>
    <row r="79" spans="1:29" x14ac:dyDescent="0.85">
      <c r="A79" t="s">
        <v>177</v>
      </c>
      <c r="B79" s="7">
        <v>0</v>
      </c>
      <c r="C79" s="7">
        <v>0</v>
      </c>
      <c r="D79" s="7">
        <v>1.7443999999999999E-4</v>
      </c>
      <c r="E79" s="7">
        <v>1.412E-5</v>
      </c>
      <c r="F79" s="7">
        <v>4.8999999999999997E-7</v>
      </c>
      <c r="G79" s="7">
        <v>1.0010000000000001E-5</v>
      </c>
      <c r="H79" s="7">
        <v>0</v>
      </c>
      <c r="I79" s="7">
        <v>7.6000000000000003E-7</v>
      </c>
      <c r="J79" s="7">
        <v>1.6E-7</v>
      </c>
      <c r="K79" s="7">
        <v>2.809E-5</v>
      </c>
      <c r="L79" s="7">
        <v>0</v>
      </c>
      <c r="M79" s="7">
        <v>0</v>
      </c>
      <c r="N79" s="7">
        <v>3.7775999999999999E-4</v>
      </c>
      <c r="O79" s="7">
        <v>0</v>
      </c>
      <c r="P79" s="7">
        <v>0</v>
      </c>
      <c r="Q79" s="7">
        <v>0</v>
      </c>
      <c r="R79" s="7">
        <v>3.0842E-4</v>
      </c>
      <c r="S79" s="7">
        <v>2.7757999999999998E-4</v>
      </c>
      <c r="T79" s="7">
        <v>2.4982999999999998E-4</v>
      </c>
      <c r="U79" s="7">
        <v>2.2484999999999999E-4</v>
      </c>
      <c r="V79" s="7">
        <v>2.0236000000000001E-4</v>
      </c>
      <c r="W79" s="7">
        <v>1.8212E-4</v>
      </c>
      <c r="X79" s="7">
        <v>1.6390999999999999E-4</v>
      </c>
      <c r="Y79" s="7">
        <v>1.4752E-4</v>
      </c>
      <c r="Z79" s="7">
        <v>1.3276999999999999E-4</v>
      </c>
      <c r="AA79" s="7">
        <v>1.1815999999999999E-4</v>
      </c>
      <c r="AB79" s="7">
        <v>1.0755E-4</v>
      </c>
      <c r="AC79" s="7">
        <v>9.679E-5</v>
      </c>
    </row>
    <row r="80" spans="1:29" x14ac:dyDescent="0.85">
      <c r="A80" t="s">
        <v>178</v>
      </c>
      <c r="B80" s="7">
        <v>1</v>
      </c>
      <c r="C80" s="7">
        <v>1.1000000000000001</v>
      </c>
      <c r="D80" s="7">
        <v>1.0000000200000001</v>
      </c>
      <c r="E80" s="7">
        <v>1.0656770900000001</v>
      </c>
      <c r="F80" s="7">
        <v>1.00525117</v>
      </c>
      <c r="G80" s="7">
        <v>1.0001792700000001</v>
      </c>
      <c r="H80" s="7">
        <v>1.00362423</v>
      </c>
      <c r="I80" s="7">
        <v>1.00000004</v>
      </c>
      <c r="J80" s="7">
        <v>1.0003141900000001</v>
      </c>
      <c r="K80" s="7">
        <v>1.0000057600000001</v>
      </c>
      <c r="L80" s="7">
        <v>1.00927514</v>
      </c>
      <c r="M80" s="7">
        <v>1</v>
      </c>
      <c r="N80" s="7">
        <v>1.0000000099999999</v>
      </c>
      <c r="O80" s="7">
        <v>1.1071101800000001</v>
      </c>
      <c r="P80" s="7">
        <v>1</v>
      </c>
      <c r="Q80" s="7">
        <v>1.0000009299999999</v>
      </c>
      <c r="R80" s="7">
        <v>1</v>
      </c>
      <c r="S80" s="7">
        <v>1.0000004199999999</v>
      </c>
      <c r="T80" s="7">
        <v>1.0000006699999999</v>
      </c>
      <c r="U80" s="7">
        <v>1.0000017299999999</v>
      </c>
      <c r="V80" s="7">
        <v>1</v>
      </c>
      <c r="W80" s="7">
        <v>1</v>
      </c>
      <c r="X80" s="7">
        <v>1</v>
      </c>
      <c r="Y80" s="7">
        <v>1</v>
      </c>
      <c r="Z80" s="7">
        <v>1</v>
      </c>
      <c r="AA80" s="7">
        <v>1.0000001199999999</v>
      </c>
      <c r="AB80" s="7">
        <v>1.0000008499999999</v>
      </c>
      <c r="AC80" s="7">
        <v>1.0000001000000001</v>
      </c>
    </row>
    <row r="81" spans="1:29" x14ac:dyDescent="0.85">
      <c r="A81" t="s">
        <v>179</v>
      </c>
      <c r="B81" s="7">
        <v>1</v>
      </c>
      <c r="C81" s="7">
        <v>1.0000000200000001</v>
      </c>
      <c r="D81" s="7">
        <v>1.0656770900000001</v>
      </c>
      <c r="E81" s="7">
        <v>1.00525117</v>
      </c>
      <c r="F81" s="7">
        <v>1.0001792700000001</v>
      </c>
      <c r="G81" s="7">
        <v>1.00362423</v>
      </c>
      <c r="H81" s="7">
        <v>1.00000004</v>
      </c>
      <c r="I81" s="7">
        <v>1.0003141900000001</v>
      </c>
      <c r="J81" s="7">
        <v>1.0000057600000001</v>
      </c>
      <c r="K81" s="7">
        <v>1.00927514</v>
      </c>
      <c r="L81" s="7">
        <v>1</v>
      </c>
      <c r="M81" s="7">
        <v>1.0000000099999999</v>
      </c>
      <c r="N81" s="7">
        <v>1.1071101800000001</v>
      </c>
      <c r="O81" s="7">
        <v>1</v>
      </c>
      <c r="P81" s="7">
        <v>1.0000009299999999</v>
      </c>
      <c r="Q81" s="7">
        <v>1</v>
      </c>
      <c r="R81" s="7">
        <v>1.0000004199999999</v>
      </c>
      <c r="S81" s="7">
        <v>1.0000006699999999</v>
      </c>
      <c r="T81" s="7">
        <v>1.0000017299999999</v>
      </c>
      <c r="U81" s="7">
        <v>1</v>
      </c>
      <c r="V81" s="7">
        <v>1</v>
      </c>
      <c r="W81" s="7">
        <v>1</v>
      </c>
      <c r="X81" s="7">
        <v>1</v>
      </c>
      <c r="Y81" s="7">
        <v>1</v>
      </c>
      <c r="Z81" s="7">
        <v>1.0000001199999999</v>
      </c>
      <c r="AA81" s="7">
        <v>1.0000008499999999</v>
      </c>
      <c r="AB81" s="7">
        <v>1.0000001000000001</v>
      </c>
      <c r="AC81" s="7">
        <v>1.0000001700000001</v>
      </c>
    </row>
    <row r="82" spans="1:29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4DAD8A-2AEA-4699-8FE6-36363DC398D9}">
  <sheetPr codeName="Sheet7"/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29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</row>
    <row r="2" spans="1:29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</row>
    <row r="3" spans="1:29" x14ac:dyDescent="0.85">
      <c r="A3" t="s">
        <v>69</v>
      </c>
      <c r="B3" s="7">
        <v>0</v>
      </c>
      <c r="C3" s="7">
        <v>20</v>
      </c>
      <c r="D3" s="7">
        <v>40</v>
      </c>
      <c r="E3" s="7">
        <v>60</v>
      </c>
      <c r="F3" s="7">
        <v>80</v>
      </c>
      <c r="G3" s="7">
        <v>100</v>
      </c>
      <c r="H3" s="7">
        <v>120</v>
      </c>
      <c r="I3" s="7">
        <v>140</v>
      </c>
      <c r="J3" s="7">
        <v>160</v>
      </c>
      <c r="K3" s="7">
        <v>180</v>
      </c>
      <c r="L3" s="7">
        <v>200</v>
      </c>
      <c r="M3" s="7">
        <v>220</v>
      </c>
      <c r="N3" s="7">
        <v>240</v>
      </c>
      <c r="O3" s="7">
        <v>260</v>
      </c>
      <c r="P3" s="7">
        <v>280</v>
      </c>
      <c r="Q3" s="7">
        <v>300</v>
      </c>
      <c r="R3" s="7">
        <v>320</v>
      </c>
      <c r="S3" s="7">
        <v>340</v>
      </c>
      <c r="T3" s="7">
        <v>360</v>
      </c>
      <c r="U3" s="7">
        <v>380</v>
      </c>
      <c r="V3" s="7">
        <v>400</v>
      </c>
      <c r="W3" s="7">
        <v>420</v>
      </c>
      <c r="X3" s="7">
        <v>440</v>
      </c>
      <c r="Y3" s="7">
        <v>460</v>
      </c>
      <c r="Z3" s="7">
        <v>480</v>
      </c>
      <c r="AA3" s="7">
        <v>500</v>
      </c>
      <c r="AB3" s="7">
        <v>520</v>
      </c>
      <c r="AC3" s="7">
        <v>540</v>
      </c>
    </row>
    <row r="4" spans="1:29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</row>
    <row r="5" spans="1:29" x14ac:dyDescent="0.85">
      <c r="A5" t="s">
        <v>105</v>
      </c>
      <c r="B5" s="7">
        <v>72341</v>
      </c>
      <c r="C5" s="7">
        <v>72562.551521770001</v>
      </c>
      <c r="D5" s="7">
        <v>72817.824855710001</v>
      </c>
      <c r="E5" s="7">
        <v>73542.121807639996</v>
      </c>
      <c r="F5" s="7">
        <v>76172.321583629993</v>
      </c>
      <c r="G5" s="7">
        <v>78913.193973050002</v>
      </c>
      <c r="H5" s="7">
        <v>82750.272595029994</v>
      </c>
      <c r="I5" s="7">
        <v>88263.957216030001</v>
      </c>
      <c r="J5" s="7">
        <v>94174.720181850003</v>
      </c>
      <c r="K5" s="7">
        <v>100495.92956578</v>
      </c>
      <c r="L5" s="7">
        <v>107250.38548183</v>
      </c>
      <c r="M5" s="7">
        <v>113772.82629067999</v>
      </c>
      <c r="N5" s="7">
        <v>117695.58901931001</v>
      </c>
      <c r="O5" s="7">
        <v>121737.90505546</v>
      </c>
      <c r="P5" s="7">
        <v>125913.66046924</v>
      </c>
      <c r="Q5" s="7">
        <v>130349.32245052001</v>
      </c>
      <c r="R5" s="7">
        <v>134911.82812229</v>
      </c>
      <c r="S5" s="7">
        <v>139605.14781616</v>
      </c>
      <c r="T5" s="7">
        <v>144432.43877866</v>
      </c>
      <c r="U5" s="7">
        <v>149397.19001650999</v>
      </c>
      <c r="V5" s="7">
        <v>154502.97283216001</v>
      </c>
      <c r="W5" s="7">
        <v>159753.40203328</v>
      </c>
      <c r="X5" s="7">
        <v>165152.49931658001</v>
      </c>
      <c r="Y5" s="7">
        <v>170702.31046648999</v>
      </c>
      <c r="Z5" s="7">
        <v>176408.20951905</v>
      </c>
      <c r="AA5" s="7">
        <v>182276.92658947999</v>
      </c>
      <c r="AB5" s="7">
        <v>188305.07360112999</v>
      </c>
      <c r="AC5" s="7">
        <v>194503.99119597001</v>
      </c>
    </row>
    <row r="6" spans="1:29" x14ac:dyDescent="0.85">
      <c r="A6" t="s">
        <v>106</v>
      </c>
      <c r="B6" s="7">
        <v>266857679.25</v>
      </c>
      <c r="C6" s="7">
        <v>272524070.47492498</v>
      </c>
      <c r="D6" s="7">
        <v>278303786.71522701</v>
      </c>
      <c r="E6" s="7">
        <v>284199102.95136303</v>
      </c>
      <c r="F6" s="7">
        <v>290212321.68225998</v>
      </c>
      <c r="G6" s="7">
        <v>296345792.75398803</v>
      </c>
      <c r="H6" s="7">
        <v>302601960.51301301</v>
      </c>
      <c r="I6" s="7">
        <v>308983237.32633299</v>
      </c>
      <c r="J6" s="7">
        <v>315492371.57841498</v>
      </c>
      <c r="K6" s="7">
        <v>322133535.05688602</v>
      </c>
      <c r="L6" s="7">
        <v>328910113.16683102</v>
      </c>
      <c r="M6" s="7">
        <v>335842312.44105101</v>
      </c>
      <c r="N6" s="7">
        <v>343001729.483971</v>
      </c>
      <c r="O6" s="7">
        <v>350444667.29363501</v>
      </c>
      <c r="P6" s="7">
        <v>358226967.04408902</v>
      </c>
      <c r="Q6" s="7">
        <v>366405303.80617201</v>
      </c>
      <c r="R6" s="7">
        <v>375034191.61488003</v>
      </c>
      <c r="S6" s="7">
        <v>384149489.94319397</v>
      </c>
      <c r="T6" s="7">
        <v>393763173.11162102</v>
      </c>
      <c r="U6" s="7">
        <v>403925889.49733901</v>
      </c>
      <c r="V6" s="7">
        <v>414668203.01307303</v>
      </c>
      <c r="W6" s="7">
        <v>426012824.03253299</v>
      </c>
      <c r="X6" s="7">
        <v>437964920.50784701</v>
      </c>
      <c r="Y6" s="7">
        <v>450497194.03195697</v>
      </c>
      <c r="Z6" s="7">
        <v>463627509.74417502</v>
      </c>
      <c r="AA6" s="7">
        <v>477366809.99597001</v>
      </c>
      <c r="AB6" s="7">
        <v>491723526.985825</v>
      </c>
      <c r="AC6" s="7">
        <v>506705802.75915998</v>
      </c>
    </row>
    <row r="7" spans="1:29" x14ac:dyDescent="0.85">
      <c r="A7" t="s">
        <v>107</v>
      </c>
      <c r="B7" s="7">
        <v>266857679.25</v>
      </c>
      <c r="C7" s="7">
        <v>272524070.47500002</v>
      </c>
      <c r="D7" s="7">
        <v>278303789.52450001</v>
      </c>
      <c r="E7" s="7">
        <v>284199102.95499003</v>
      </c>
      <c r="F7" s="7">
        <v>290212322.65408897</v>
      </c>
      <c r="G7" s="7">
        <v>296345806.74717098</v>
      </c>
      <c r="H7" s="7">
        <v>302601960.52211499</v>
      </c>
      <c r="I7" s="7">
        <v>308983237.37255698</v>
      </c>
      <c r="J7" s="7">
        <v>315492139.76000798</v>
      </c>
      <c r="K7" s="7">
        <v>322131220.19520801</v>
      </c>
      <c r="L7" s="7">
        <v>328903082.23911202</v>
      </c>
      <c r="M7" s="7">
        <v>335810381.52389503</v>
      </c>
      <c r="N7" s="7">
        <v>342855826.79437298</v>
      </c>
      <c r="O7" s="7">
        <v>350042180.97026002</v>
      </c>
      <c r="P7" s="7">
        <v>357372262.22966498</v>
      </c>
      <c r="Q7" s="7">
        <v>364848945.114259</v>
      </c>
      <c r="R7" s="7">
        <v>372475161.65654403</v>
      </c>
      <c r="S7" s="7">
        <v>380253902.52967501</v>
      </c>
      <c r="T7" s="7">
        <v>388188218.22026801</v>
      </c>
      <c r="U7" s="7">
        <v>396281220.22467399</v>
      </c>
      <c r="V7" s="7">
        <v>404536082.26916701</v>
      </c>
      <c r="W7" s="7">
        <v>412956041.55454999</v>
      </c>
      <c r="X7" s="7">
        <v>421544400.02564102</v>
      </c>
      <c r="Y7" s="7">
        <v>430304525.66615403</v>
      </c>
      <c r="Z7" s="7">
        <v>439239853.81947702</v>
      </c>
      <c r="AA7" s="7">
        <v>448353888.53586698</v>
      </c>
      <c r="AB7" s="7">
        <v>457650203.94658399</v>
      </c>
      <c r="AC7" s="7">
        <v>467132445.66551602</v>
      </c>
    </row>
    <row r="8" spans="1:29" x14ac:dyDescent="0.85">
      <c r="A8" t="s">
        <v>108</v>
      </c>
      <c r="B8" s="7">
        <v>27725.975909280001</v>
      </c>
      <c r="C8" s="7">
        <v>27379.136780320001</v>
      </c>
      <c r="D8" s="7">
        <v>27052.371490599999</v>
      </c>
      <c r="E8" s="7">
        <v>26853.130581230002</v>
      </c>
      <c r="F8" s="7">
        <v>27259.904233339999</v>
      </c>
      <c r="G8" s="7">
        <v>27712.132392849999</v>
      </c>
      <c r="H8" s="7">
        <v>28367.032593479998</v>
      </c>
      <c r="I8" s="7">
        <v>29354.209937790001</v>
      </c>
      <c r="J8" s="7">
        <v>30446.48635006</v>
      </c>
      <c r="K8" s="7">
        <v>31624.341940300001</v>
      </c>
      <c r="L8" s="7">
        <v>33018.111803740001</v>
      </c>
      <c r="M8" s="7">
        <v>34264.875169630002</v>
      </c>
      <c r="N8" s="7">
        <v>35040.064374809997</v>
      </c>
      <c r="O8" s="7">
        <v>35850.992097080001</v>
      </c>
      <c r="P8" s="7">
        <v>36700.280658900003</v>
      </c>
      <c r="Q8" s="7">
        <v>37611.936998160003</v>
      </c>
      <c r="R8" s="7">
        <v>38561.21405196</v>
      </c>
      <c r="S8" s="7">
        <v>39548.717654400003</v>
      </c>
      <c r="T8" s="7">
        <v>40575.16709581</v>
      </c>
      <c r="U8" s="7">
        <v>41641.262858169997</v>
      </c>
      <c r="V8" s="7">
        <v>42747.750156089998</v>
      </c>
      <c r="W8" s="7">
        <v>43895.406789009998</v>
      </c>
      <c r="X8" s="7">
        <v>45085.406943709997</v>
      </c>
      <c r="Y8" s="7">
        <v>46317.857691010002</v>
      </c>
      <c r="Z8" s="7">
        <v>47593.909586529997</v>
      </c>
      <c r="AA8" s="7">
        <v>48914.996140520001</v>
      </c>
      <c r="AB8" s="7">
        <v>50280.322304050002</v>
      </c>
      <c r="AC8" s="7">
        <v>51692.512331400001</v>
      </c>
    </row>
    <row r="9" spans="1:29" x14ac:dyDescent="0.85">
      <c r="A9" t="s">
        <v>109</v>
      </c>
      <c r="B9" s="7">
        <v>3815.8964680399999</v>
      </c>
      <c r="C9" s="7">
        <v>4054.4843479800002</v>
      </c>
      <c r="D9" s="7">
        <v>4293.8953097100002</v>
      </c>
      <c r="E9" s="7">
        <v>4480.2308788099999</v>
      </c>
      <c r="F9" s="7">
        <v>4439.7379430199999</v>
      </c>
      <c r="G9" s="7">
        <v>4397.10309125</v>
      </c>
      <c r="H9" s="7">
        <v>4355.9293089399998</v>
      </c>
      <c r="I9" s="7">
        <v>4317.7840241900003</v>
      </c>
      <c r="J9" s="7">
        <v>4270.4506777400002</v>
      </c>
      <c r="K9" s="7">
        <v>4211.6643693400001</v>
      </c>
      <c r="L9" s="7">
        <v>4142.7217430800001</v>
      </c>
      <c r="M9" s="7">
        <v>4054.8887412899999</v>
      </c>
      <c r="N9" s="7">
        <v>3942.3951129299999</v>
      </c>
      <c r="O9" s="7">
        <v>3829.45071138</v>
      </c>
      <c r="P9" s="7">
        <v>3717.1691147900001</v>
      </c>
      <c r="Q9" s="7">
        <v>3606.6441697099999</v>
      </c>
      <c r="R9" s="7">
        <v>3498.5110617599998</v>
      </c>
      <c r="S9" s="7">
        <v>3393.3958305000001</v>
      </c>
      <c r="T9" s="7">
        <v>3291.3330548700001</v>
      </c>
      <c r="U9" s="7">
        <v>3193.29690347</v>
      </c>
      <c r="V9" s="7">
        <v>3099.7637019399999</v>
      </c>
      <c r="W9" s="7">
        <v>3011.01131768</v>
      </c>
      <c r="X9" s="7">
        <v>2926.8526461299998</v>
      </c>
      <c r="Y9" s="7">
        <v>2846.3972499900001</v>
      </c>
      <c r="Z9" s="7">
        <v>2769.7567629700002</v>
      </c>
      <c r="AA9" s="7">
        <v>2696.8946576500002</v>
      </c>
      <c r="AB9" s="7">
        <v>2627.6978320500002</v>
      </c>
      <c r="AC9" s="7">
        <v>2562.0630933000002</v>
      </c>
    </row>
    <row r="10" spans="1:29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2.2999999999999999E-7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</row>
    <row r="11" spans="1:29" x14ac:dyDescent="0.85">
      <c r="A11" t="s">
        <v>37</v>
      </c>
      <c r="B11" s="7">
        <v>0</v>
      </c>
      <c r="C11" s="7">
        <v>2183.42883742</v>
      </c>
      <c r="D11" s="7">
        <v>4531.2015171900002</v>
      </c>
      <c r="E11" s="7">
        <v>6981.0261252399996</v>
      </c>
      <c r="F11" s="7">
        <v>9193.6435298199995</v>
      </c>
      <c r="G11" s="7">
        <v>11346.520094519999</v>
      </c>
      <c r="H11" s="7">
        <v>13302.103618290001</v>
      </c>
      <c r="I11" s="7">
        <v>14776.679387050001</v>
      </c>
      <c r="J11" s="7">
        <v>15922.24706372</v>
      </c>
      <c r="K11" s="7">
        <v>16762.918878500001</v>
      </c>
      <c r="L11" s="7">
        <v>17150.902690840001</v>
      </c>
      <c r="M11" s="7">
        <v>17527.893884839999</v>
      </c>
      <c r="N11" s="7">
        <v>18606.034626659999</v>
      </c>
      <c r="O11" s="7">
        <v>19595.873500149999</v>
      </c>
      <c r="P11" s="7">
        <v>20503.136491220001</v>
      </c>
      <c r="Q11" s="7">
        <v>21335.228739089998</v>
      </c>
      <c r="R11" s="7">
        <v>22098.394512430001</v>
      </c>
      <c r="S11" s="7">
        <v>22799.822013770001</v>
      </c>
      <c r="T11" s="7">
        <v>23443.4335077</v>
      </c>
      <c r="U11" s="7">
        <v>24040.390119920001</v>
      </c>
      <c r="V11" s="7">
        <v>24599.418602090002</v>
      </c>
      <c r="W11" s="7">
        <v>25128.341746260001</v>
      </c>
      <c r="X11" s="7">
        <v>25631.138493220002</v>
      </c>
      <c r="Y11" s="7">
        <v>26105.583971439999</v>
      </c>
      <c r="Z11" s="7">
        <v>26557.096643519999</v>
      </c>
      <c r="AA11" s="7">
        <v>26989.990766639999</v>
      </c>
      <c r="AB11" s="7">
        <v>27407.729802459999</v>
      </c>
      <c r="AC11" s="7">
        <v>27813.707201509998</v>
      </c>
    </row>
    <row r="12" spans="1:29" x14ac:dyDescent="0.85">
      <c r="A12" t="s">
        <v>111</v>
      </c>
      <c r="B12" s="7">
        <v>31541.87237732</v>
      </c>
      <c r="C12" s="7">
        <v>31433.621128300001</v>
      </c>
      <c r="D12" s="7">
        <v>31346.266800320001</v>
      </c>
      <c r="E12" s="7">
        <v>31333.36146004</v>
      </c>
      <c r="F12" s="7">
        <v>31699.642176360001</v>
      </c>
      <c r="G12" s="7">
        <v>32109.235484109999</v>
      </c>
      <c r="H12" s="7">
        <v>32722.96190242</v>
      </c>
      <c r="I12" s="7">
        <v>33671.993961979999</v>
      </c>
      <c r="J12" s="7">
        <v>34716.937027790002</v>
      </c>
      <c r="K12" s="7">
        <v>35836.006309639997</v>
      </c>
      <c r="L12" s="7">
        <v>37160.833546820002</v>
      </c>
      <c r="M12" s="7">
        <v>38319.763910920003</v>
      </c>
      <c r="N12" s="7">
        <v>38982.459487740001</v>
      </c>
      <c r="O12" s="7">
        <v>39680.44280846</v>
      </c>
      <c r="P12" s="7">
        <v>40417.449773690001</v>
      </c>
      <c r="Q12" s="7">
        <v>41218.581167869997</v>
      </c>
      <c r="R12" s="7">
        <v>42059.725113710003</v>
      </c>
      <c r="S12" s="7">
        <v>42942.113484900001</v>
      </c>
      <c r="T12" s="7">
        <v>43866.500150669999</v>
      </c>
      <c r="U12" s="7">
        <v>44834.559761639997</v>
      </c>
      <c r="V12" s="7">
        <v>45847.513858040002</v>
      </c>
      <c r="W12" s="7">
        <v>46906.418106919999</v>
      </c>
      <c r="X12" s="7">
        <v>48012.25958985</v>
      </c>
      <c r="Y12" s="7">
        <v>49164.254940999999</v>
      </c>
      <c r="Z12" s="7">
        <v>50363.666349500003</v>
      </c>
      <c r="AA12" s="7">
        <v>51611.890798159999</v>
      </c>
      <c r="AB12" s="7">
        <v>52908.020136090003</v>
      </c>
      <c r="AC12" s="7">
        <v>54254.5754247</v>
      </c>
    </row>
    <row r="13" spans="1:29" x14ac:dyDescent="0.85">
      <c r="A13" t="s">
        <v>112</v>
      </c>
      <c r="B13" s="7">
        <v>31541.87237732</v>
      </c>
      <c r="C13" s="7">
        <v>33617.049965719998</v>
      </c>
      <c r="D13" s="7">
        <v>35877.46831751</v>
      </c>
      <c r="E13" s="7">
        <v>38314.387585279997</v>
      </c>
      <c r="F13" s="7">
        <v>40893.285706180002</v>
      </c>
      <c r="G13" s="7">
        <v>43455.75557863</v>
      </c>
      <c r="H13" s="7">
        <v>46025.065520709999</v>
      </c>
      <c r="I13" s="7">
        <v>48448.673349030003</v>
      </c>
      <c r="J13" s="7">
        <v>50639.184091509997</v>
      </c>
      <c r="K13" s="7">
        <v>52598.925188150002</v>
      </c>
      <c r="L13" s="7">
        <v>54311.736237669997</v>
      </c>
      <c r="M13" s="7">
        <v>55847.657795760002</v>
      </c>
      <c r="N13" s="7">
        <v>57588.494114399997</v>
      </c>
      <c r="O13" s="7">
        <v>59276.316308610003</v>
      </c>
      <c r="P13" s="7">
        <v>60920.586264919999</v>
      </c>
      <c r="Q13" s="7">
        <v>62553.809906959999</v>
      </c>
      <c r="R13" s="7">
        <v>64158.119626139996</v>
      </c>
      <c r="S13" s="7">
        <v>65741.935498659994</v>
      </c>
      <c r="T13" s="7">
        <v>67309.933658380003</v>
      </c>
      <c r="U13" s="7">
        <v>68874.949881549997</v>
      </c>
      <c r="V13" s="7">
        <v>70446.932460130003</v>
      </c>
      <c r="W13" s="7">
        <v>72034.759853180003</v>
      </c>
      <c r="X13" s="7">
        <v>73643.398083060005</v>
      </c>
      <c r="Y13" s="7">
        <v>75269.838912439998</v>
      </c>
      <c r="Z13" s="7">
        <v>76920.762993020006</v>
      </c>
      <c r="AA13" s="7">
        <v>78601.881564809999</v>
      </c>
      <c r="AB13" s="7">
        <v>80315.749938559995</v>
      </c>
      <c r="AC13" s="7">
        <v>82068.282626219996</v>
      </c>
    </row>
    <row r="14" spans="1:29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</row>
    <row r="15" spans="1:29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</row>
    <row r="16" spans="1:29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</row>
    <row r="17" spans="1:29" x14ac:dyDescent="0.85">
      <c r="A17" t="s">
        <v>115</v>
      </c>
      <c r="B17" s="7">
        <v>290</v>
      </c>
      <c r="C17" s="7">
        <v>333.03738060000001</v>
      </c>
      <c r="D17" s="7">
        <v>332.50954719999999</v>
      </c>
      <c r="E17" s="7">
        <v>1054.38342597</v>
      </c>
      <c r="F17" s="7">
        <v>2299.6743899799999</v>
      </c>
      <c r="G17" s="7">
        <v>3572.3683312100002</v>
      </c>
      <c r="H17" s="7">
        <v>4874.4177173099997</v>
      </c>
      <c r="I17" s="7">
        <v>6223.9983503800004</v>
      </c>
      <c r="J17" s="7">
        <v>7649.15495336</v>
      </c>
      <c r="K17" s="7">
        <v>9155.6322843300004</v>
      </c>
      <c r="L17" s="7">
        <v>10745.84345846</v>
      </c>
      <c r="M17" s="7">
        <v>12433.002945869999</v>
      </c>
      <c r="N17" s="7">
        <v>14208.29607088</v>
      </c>
      <c r="O17" s="7">
        <v>16025.94468878</v>
      </c>
      <c r="P17" s="7">
        <v>17887.408297530001</v>
      </c>
      <c r="Q17" s="7">
        <v>19794.35776562</v>
      </c>
      <c r="R17" s="7">
        <v>21750.60945059</v>
      </c>
      <c r="S17" s="7">
        <v>23757.64645787</v>
      </c>
      <c r="T17" s="7">
        <v>25816.999113509999</v>
      </c>
      <c r="U17" s="7">
        <v>27930.230423190002</v>
      </c>
      <c r="V17" s="7">
        <v>30098.941306690002</v>
      </c>
      <c r="W17" s="7">
        <v>32324.771444310001</v>
      </c>
      <c r="X17" s="7">
        <v>34609.399501499996</v>
      </c>
      <c r="Y17" s="7">
        <v>36954.549549149997</v>
      </c>
      <c r="Z17" s="7">
        <v>39361.955854860003</v>
      </c>
      <c r="AA17" s="7">
        <v>41833.422638609998</v>
      </c>
      <c r="AB17" s="7">
        <v>44370.842018700001</v>
      </c>
      <c r="AC17" s="7">
        <v>46976.013432669999</v>
      </c>
    </row>
    <row r="18" spans="1:29" x14ac:dyDescent="0.85">
      <c r="A18" t="s">
        <v>116</v>
      </c>
      <c r="B18" s="7">
        <v>556058</v>
      </c>
      <c r="C18" s="7">
        <v>638579.65442435001</v>
      </c>
      <c r="D18" s="7">
        <v>637567.56481033005</v>
      </c>
      <c r="E18" s="7">
        <v>2021718.41062221</v>
      </c>
      <c r="F18" s="7">
        <v>4409490.8342950903</v>
      </c>
      <c r="G18" s="7">
        <v>6849806.8604070302</v>
      </c>
      <c r="H18" s="7">
        <v>9346410.2312193997</v>
      </c>
      <c r="I18" s="7">
        <v>11934151.981772101</v>
      </c>
      <c r="J18" s="7">
        <v>14666785.059339199</v>
      </c>
      <c r="K18" s="7">
        <v>17555147.789240599</v>
      </c>
      <c r="L18" s="7">
        <v>20603609.127436101</v>
      </c>
      <c r="M18" s="7">
        <v>23834851.558396101</v>
      </c>
      <c r="N18" s="7">
        <v>27220783.738108799</v>
      </c>
      <c r="O18" s="7">
        <v>30662560.729035299</v>
      </c>
      <c r="P18" s="7">
        <v>34150942.995901003</v>
      </c>
      <c r="Q18" s="7">
        <v>37676080.753959201</v>
      </c>
      <c r="R18" s="7">
        <v>41231967.766269103</v>
      </c>
      <c r="S18" s="7">
        <v>44811249.208686598</v>
      </c>
      <c r="T18" s="7">
        <v>48411369.054745197</v>
      </c>
      <c r="U18" s="7">
        <v>52022577.811987497</v>
      </c>
      <c r="V18" s="7">
        <v>55639049.837674201</v>
      </c>
      <c r="W18" s="7">
        <v>59256791.601769097</v>
      </c>
      <c r="X18" s="7">
        <v>62875829.6943378</v>
      </c>
      <c r="Y18" s="7">
        <v>66503705.949605301</v>
      </c>
      <c r="Z18" s="7">
        <v>70138867.078675002</v>
      </c>
      <c r="AA18" s="7">
        <v>73781542.408146605</v>
      </c>
      <c r="AB18" s="7">
        <v>77432868.0451594</v>
      </c>
      <c r="AC18" s="7">
        <v>81094051.226888701</v>
      </c>
    </row>
    <row r="19" spans="1:29" x14ac:dyDescent="0.85">
      <c r="A19" t="s">
        <v>117</v>
      </c>
      <c r="B19" s="7">
        <v>556058</v>
      </c>
      <c r="C19" s="7">
        <v>638579.65442435001</v>
      </c>
      <c r="D19" s="7">
        <v>637567.56481033005</v>
      </c>
      <c r="E19" s="7">
        <v>2021718.41062221</v>
      </c>
      <c r="F19" s="7">
        <v>4409490.8342950903</v>
      </c>
      <c r="G19" s="7">
        <v>6849806.8604070302</v>
      </c>
      <c r="H19" s="7">
        <v>9346410.2312193997</v>
      </c>
      <c r="I19" s="7">
        <v>11934151.981772101</v>
      </c>
      <c r="J19" s="7">
        <v>14666806.2243366</v>
      </c>
      <c r="K19" s="7">
        <v>17555388.195716999</v>
      </c>
      <c r="L19" s="7">
        <v>20604524.9028458</v>
      </c>
      <c r="M19" s="7">
        <v>23839554.317493901</v>
      </c>
      <c r="N19" s="7">
        <v>27243574.8157898</v>
      </c>
      <c r="O19" s="7">
        <v>30728809.488814302</v>
      </c>
      <c r="P19" s="7">
        <v>34298056.838299997</v>
      </c>
      <c r="Q19" s="7">
        <v>37954520.656682201</v>
      </c>
      <c r="R19" s="7">
        <v>41705518.585780598</v>
      </c>
      <c r="S19" s="7">
        <v>45553894.3933447</v>
      </c>
      <c r="T19" s="7">
        <v>49502582.389858499</v>
      </c>
      <c r="U19" s="7">
        <v>53554579.547097601</v>
      </c>
      <c r="V19" s="7">
        <v>57712955.534882501</v>
      </c>
      <c r="W19" s="7">
        <v>61980854.344070002</v>
      </c>
      <c r="X19" s="7">
        <v>66361494.717264101</v>
      </c>
      <c r="Y19" s="7">
        <v>70858182.459318906</v>
      </c>
      <c r="Z19" s="7">
        <v>75474242.926687807</v>
      </c>
      <c r="AA19" s="7">
        <v>80213135.605452299</v>
      </c>
      <c r="AB19" s="7">
        <v>85078488.521496803</v>
      </c>
      <c r="AC19" s="7">
        <v>90073751.990841493</v>
      </c>
    </row>
    <row r="20" spans="1:29" x14ac:dyDescent="0.85">
      <c r="A20" t="s">
        <v>118</v>
      </c>
      <c r="B20" s="7">
        <v>59.205777259999998</v>
      </c>
      <c r="C20" s="7">
        <v>67.992196460000002</v>
      </c>
      <c r="D20" s="7">
        <v>67.88443513</v>
      </c>
      <c r="E20" s="7">
        <v>215.26065607000001</v>
      </c>
      <c r="F20" s="7">
        <v>469.49658516</v>
      </c>
      <c r="G20" s="7">
        <v>729.32704722000005</v>
      </c>
      <c r="H20" s="7">
        <v>995.15065388000005</v>
      </c>
      <c r="I20" s="7">
        <v>1270.67813785</v>
      </c>
      <c r="J20" s="7">
        <v>1561.63504954</v>
      </c>
      <c r="K20" s="7">
        <v>1869.1942264300001</v>
      </c>
      <c r="L20" s="7">
        <v>2193.8483249400001</v>
      </c>
      <c r="M20" s="7">
        <v>2538.29518289</v>
      </c>
      <c r="N20" s="7">
        <v>2900.7352150400002</v>
      </c>
      <c r="O20" s="7">
        <v>3271.82245367</v>
      </c>
      <c r="P20" s="7">
        <v>3651.85486674</v>
      </c>
      <c r="Q20" s="7">
        <v>4041.1735751800002</v>
      </c>
      <c r="R20" s="7">
        <v>4440.5577183400001</v>
      </c>
      <c r="S20" s="7">
        <v>4850.3100838500004</v>
      </c>
      <c r="T20" s="7">
        <v>5270.7430997900001</v>
      </c>
      <c r="U20" s="7">
        <v>5702.1758660400001</v>
      </c>
      <c r="V20" s="7">
        <v>6144.9352229400001</v>
      </c>
      <c r="W20" s="7">
        <v>6599.3559241100002</v>
      </c>
      <c r="X20" s="7">
        <v>7065.7806822700004</v>
      </c>
      <c r="Y20" s="7">
        <v>7544.5614800399999</v>
      </c>
      <c r="Z20" s="7">
        <v>8036.0523817699996</v>
      </c>
      <c r="AA20" s="7">
        <v>8540.6217331299995</v>
      </c>
      <c r="AB20" s="7">
        <v>9058.6558249299997</v>
      </c>
      <c r="AC20" s="7">
        <v>9590.5220264799991</v>
      </c>
    </row>
    <row r="21" spans="1:29" x14ac:dyDescent="0.85">
      <c r="A21" t="s">
        <v>119</v>
      </c>
      <c r="B21" s="7">
        <v>0</v>
      </c>
      <c r="C21" s="7">
        <v>6.385797E-2</v>
      </c>
      <c r="D21" s="7">
        <v>0.12751351</v>
      </c>
      <c r="E21" s="7">
        <v>0.60651551999999997</v>
      </c>
      <c r="F21" s="7">
        <v>1.7637963299999999</v>
      </c>
      <c r="G21" s="7">
        <v>3.4249034300000001</v>
      </c>
      <c r="H21" s="7">
        <v>5.6078461400000004</v>
      </c>
      <c r="I21" s="7">
        <v>8.3539063900000006</v>
      </c>
      <c r="J21" s="7">
        <v>11.73344498</v>
      </c>
      <c r="K21" s="7">
        <v>15.799849379999999</v>
      </c>
      <c r="L21" s="7">
        <v>20.604524900000001</v>
      </c>
      <c r="M21" s="7">
        <v>26.223509750000002</v>
      </c>
      <c r="N21" s="7">
        <v>32.692289780000003</v>
      </c>
      <c r="O21" s="7">
        <v>39.947452339999998</v>
      </c>
      <c r="P21" s="7">
        <v>48.017279569999999</v>
      </c>
      <c r="Q21" s="7">
        <v>56.93178099</v>
      </c>
      <c r="R21" s="7">
        <v>66.728829739999995</v>
      </c>
      <c r="S21" s="7">
        <v>77.441620470000004</v>
      </c>
      <c r="T21" s="7">
        <v>89.104648299999994</v>
      </c>
      <c r="U21" s="7">
        <v>101.75370114</v>
      </c>
      <c r="V21" s="7">
        <v>115.42591107</v>
      </c>
      <c r="W21" s="7">
        <v>130.15979411999999</v>
      </c>
      <c r="X21" s="7">
        <v>145.99528838000001</v>
      </c>
      <c r="Y21" s="7">
        <v>162.97381966</v>
      </c>
      <c r="Z21" s="7">
        <v>181.13818302000001</v>
      </c>
      <c r="AA21" s="7">
        <v>200.53283901</v>
      </c>
      <c r="AB21" s="7">
        <v>221.20407015999999</v>
      </c>
      <c r="AC21" s="7">
        <v>243.19913038000001</v>
      </c>
    </row>
    <row r="22" spans="1:29" x14ac:dyDescent="0.85">
      <c r="A22" t="s">
        <v>120</v>
      </c>
      <c r="B22" s="7">
        <v>2.7802899999999999E-3</v>
      </c>
      <c r="C22" s="7">
        <v>3.1928999999999998E-3</v>
      </c>
      <c r="D22" s="7">
        <v>3.1878399999999999E-3</v>
      </c>
      <c r="E22" s="7">
        <v>1.0108590000000001E-2</v>
      </c>
      <c r="F22" s="7">
        <v>2.204745E-2</v>
      </c>
      <c r="G22" s="7">
        <v>3.424903E-2</v>
      </c>
      <c r="H22" s="7">
        <v>4.6732049999999997E-2</v>
      </c>
      <c r="I22" s="7">
        <v>5.9670760000000003E-2</v>
      </c>
      <c r="J22" s="7">
        <v>7.3334029999999994E-2</v>
      </c>
      <c r="K22" s="7">
        <v>8.7776939999999998E-2</v>
      </c>
      <c r="L22" s="7">
        <v>0.10302262</v>
      </c>
      <c r="M22" s="7">
        <v>0.11919776999999999</v>
      </c>
      <c r="N22" s="7">
        <v>0.13621786999999999</v>
      </c>
      <c r="O22" s="7">
        <v>0.15364405</v>
      </c>
      <c r="P22" s="7">
        <v>0.17149027999999999</v>
      </c>
      <c r="Q22" s="7">
        <v>0.18977260000000001</v>
      </c>
      <c r="R22" s="7">
        <v>0.20852759000000001</v>
      </c>
      <c r="S22" s="7">
        <v>0.22776947</v>
      </c>
      <c r="T22" s="7">
        <v>0.24751291</v>
      </c>
      <c r="U22" s="7">
        <v>0.26777289999999998</v>
      </c>
      <c r="V22" s="7">
        <v>0.28856478000000002</v>
      </c>
      <c r="W22" s="7">
        <v>0.30990426999999998</v>
      </c>
      <c r="X22" s="7">
        <v>0.33180746999999999</v>
      </c>
      <c r="Y22" s="7">
        <v>0.35429091000000001</v>
      </c>
      <c r="Z22" s="7">
        <v>0.37737121000000001</v>
      </c>
      <c r="AA22" s="7">
        <v>0.40106567999999998</v>
      </c>
      <c r="AB22" s="7">
        <v>0.42539243999999998</v>
      </c>
      <c r="AC22" s="7">
        <v>0.45036875999999998</v>
      </c>
    </row>
    <row r="23" spans="1:29" x14ac:dyDescent="0.85">
      <c r="A23" t="s">
        <v>121</v>
      </c>
      <c r="B23" s="7">
        <v>59.205777259999998</v>
      </c>
      <c r="C23" s="7">
        <v>67.992196460000002</v>
      </c>
      <c r="D23" s="7">
        <v>67.88443513</v>
      </c>
      <c r="E23" s="7">
        <v>215.26065607000001</v>
      </c>
      <c r="F23" s="7">
        <v>469.49658516</v>
      </c>
      <c r="G23" s="7">
        <v>729.32704722000005</v>
      </c>
      <c r="H23" s="7">
        <v>995.15065388000005</v>
      </c>
      <c r="I23" s="7">
        <v>1270.67813785</v>
      </c>
      <c r="J23" s="7">
        <v>1561.63504954</v>
      </c>
      <c r="K23" s="7">
        <v>1869.1942264300001</v>
      </c>
      <c r="L23" s="7">
        <v>2193.8483249400001</v>
      </c>
      <c r="M23" s="7">
        <v>2538.29518289</v>
      </c>
      <c r="N23" s="7">
        <v>2900.7352150400002</v>
      </c>
      <c r="O23" s="7">
        <v>3271.82245367</v>
      </c>
      <c r="P23" s="7">
        <v>3651.85486674</v>
      </c>
      <c r="Q23" s="7">
        <v>4041.1735751800002</v>
      </c>
      <c r="R23" s="7">
        <v>4440.5577183400001</v>
      </c>
      <c r="S23" s="7">
        <v>4850.3100838500004</v>
      </c>
      <c r="T23" s="7">
        <v>5270.7430997900001</v>
      </c>
      <c r="U23" s="7">
        <v>5702.1758660400001</v>
      </c>
      <c r="V23" s="7">
        <v>6144.9352229400001</v>
      </c>
      <c r="W23" s="7">
        <v>6599.3559241100002</v>
      </c>
      <c r="X23" s="7">
        <v>7065.7806822700004</v>
      </c>
      <c r="Y23" s="7">
        <v>7544.5614800399999</v>
      </c>
      <c r="Z23" s="7">
        <v>8036.0523817699996</v>
      </c>
      <c r="AA23" s="7">
        <v>8540.6217331299995</v>
      </c>
      <c r="AB23" s="7">
        <v>9058.6558249299997</v>
      </c>
      <c r="AC23" s="7">
        <v>9590.5220264799991</v>
      </c>
    </row>
    <row r="24" spans="1:29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</row>
    <row r="25" spans="1:29" x14ac:dyDescent="0.85">
      <c r="A25" t="s">
        <v>123</v>
      </c>
      <c r="B25" s="7">
        <v>1</v>
      </c>
      <c r="C25" s="7">
        <v>1.03333333</v>
      </c>
      <c r="D25" s="7">
        <v>1.18800492</v>
      </c>
      <c r="E25" s="7">
        <v>1.0328432000000001</v>
      </c>
      <c r="F25" s="7">
        <v>2.2562598199999999</v>
      </c>
      <c r="G25" s="7">
        <v>1.60708249</v>
      </c>
      <c r="H25" s="7">
        <v>1.41152363</v>
      </c>
      <c r="I25" s="7">
        <v>1.32089013</v>
      </c>
      <c r="J25" s="7">
        <v>1.2713462</v>
      </c>
      <c r="K25" s="7">
        <v>1.2382110099999999</v>
      </c>
      <c r="L25" s="7">
        <v>1.2145420499999999</v>
      </c>
      <c r="M25" s="7">
        <v>1.19689253</v>
      </c>
      <c r="N25" s="7">
        <v>1.18218527</v>
      </c>
      <c r="O25" s="7">
        <v>1.1668129300000001</v>
      </c>
      <c r="P25" s="7">
        <v>1.15463117</v>
      </c>
      <c r="Q25" s="7">
        <v>1.1447574</v>
      </c>
      <c r="R25" s="7">
        <v>1.1367094</v>
      </c>
      <c r="S25" s="7">
        <v>1.1299296299999999</v>
      </c>
      <c r="T25" s="7">
        <v>1.12414346</v>
      </c>
      <c r="U25" s="7">
        <v>1.11914958</v>
      </c>
      <c r="V25" s="7">
        <v>1.1147977</v>
      </c>
      <c r="W25" s="7">
        <v>1.11097322</v>
      </c>
      <c r="X25" s="7">
        <v>1.1075872200000001</v>
      </c>
      <c r="Y25" s="7">
        <v>1.10456982</v>
      </c>
      <c r="Z25" s="7">
        <v>1.1018642199999999</v>
      </c>
      <c r="AA25" s="7">
        <v>1.09942608</v>
      </c>
      <c r="AB25" s="7">
        <v>1.0972196400000001</v>
      </c>
      <c r="AC25" s="7">
        <v>1.0952111600000001</v>
      </c>
    </row>
    <row r="26" spans="1:29" x14ac:dyDescent="0.85">
      <c r="A26" t="s">
        <v>124</v>
      </c>
      <c r="B26" s="7">
        <v>1</v>
      </c>
      <c r="C26" s="7">
        <v>1.18800492</v>
      </c>
      <c r="D26" s="7">
        <v>1.0328432000000001</v>
      </c>
      <c r="E26" s="7">
        <v>3.2803312999999998</v>
      </c>
      <c r="F26" s="7">
        <v>2.25626982</v>
      </c>
      <c r="G26" s="7">
        <v>1.60698987</v>
      </c>
      <c r="H26" s="7">
        <v>1.4115288800000001</v>
      </c>
      <c r="I26" s="7">
        <v>1.3209001300000001</v>
      </c>
      <c r="J26" s="7">
        <v>1.2713562</v>
      </c>
      <c r="K26" s="7">
        <v>1.23822093</v>
      </c>
      <c r="L26" s="7">
        <v>1.2141586099999999</v>
      </c>
      <c r="M26" s="7">
        <v>1.19690253</v>
      </c>
      <c r="N26" s="7">
        <v>1.18219527</v>
      </c>
      <c r="O26" s="7">
        <v>1.1668227799999999</v>
      </c>
      <c r="P26" s="7">
        <v>1.1546411700000001</v>
      </c>
      <c r="Q26" s="7">
        <v>1.1447674000000001</v>
      </c>
      <c r="R26" s="7">
        <v>1.1367194</v>
      </c>
      <c r="S26" s="7">
        <v>1.12993963</v>
      </c>
      <c r="T26" s="7">
        <v>1.12415346</v>
      </c>
      <c r="U26" s="7">
        <v>1.11915958</v>
      </c>
      <c r="V26" s="7">
        <v>1.1148077000000001</v>
      </c>
      <c r="W26" s="7">
        <v>1.11098322</v>
      </c>
      <c r="X26" s="7">
        <v>1.1075972199999999</v>
      </c>
      <c r="Y26" s="7">
        <v>1.1045798200000001</v>
      </c>
      <c r="Z26" s="7">
        <v>1.1018741999999999</v>
      </c>
      <c r="AA26" s="7">
        <v>1.09943608</v>
      </c>
      <c r="AB26" s="7">
        <v>1.0972296399999999</v>
      </c>
      <c r="AC26" s="7">
        <v>1.0952209500000001</v>
      </c>
    </row>
    <row r="27" spans="1:29" x14ac:dyDescent="0.85">
      <c r="A27" t="s">
        <v>125</v>
      </c>
      <c r="B27" s="7">
        <v>1</v>
      </c>
      <c r="C27" s="7">
        <v>5.4414243000000004</v>
      </c>
      <c r="D27" s="7">
        <v>4.8818486300000004</v>
      </c>
      <c r="E27" s="7">
        <v>4.9015864699999998</v>
      </c>
      <c r="F27" s="7">
        <v>2.25626982</v>
      </c>
      <c r="G27" s="7">
        <v>1.6070924900000001</v>
      </c>
      <c r="H27" s="7">
        <v>1.4115336300000001</v>
      </c>
      <c r="I27" s="7">
        <v>1.3209001300000001</v>
      </c>
      <c r="J27" s="7">
        <v>1.2713562</v>
      </c>
      <c r="K27" s="7">
        <v>1.23822101</v>
      </c>
      <c r="L27" s="7">
        <v>1.21455205</v>
      </c>
      <c r="M27" s="7">
        <v>1.19690253</v>
      </c>
      <c r="N27" s="7">
        <v>1.18219527</v>
      </c>
      <c r="O27" s="7">
        <v>1.1668229299999999</v>
      </c>
      <c r="P27" s="7">
        <v>1.1546411700000001</v>
      </c>
      <c r="Q27" s="7">
        <v>1.1447674000000001</v>
      </c>
      <c r="R27" s="7">
        <v>1.1367194</v>
      </c>
      <c r="S27" s="7">
        <v>1.12993963</v>
      </c>
      <c r="T27" s="7">
        <v>1.12415346</v>
      </c>
      <c r="U27" s="7">
        <v>1.11915958</v>
      </c>
      <c r="V27" s="7">
        <v>1.1148077000000001</v>
      </c>
      <c r="W27" s="7">
        <v>1.11098322</v>
      </c>
      <c r="X27" s="7">
        <v>1.1075972199999999</v>
      </c>
      <c r="Y27" s="7">
        <v>1.1045798200000001</v>
      </c>
      <c r="Z27" s="7">
        <v>1.10187422</v>
      </c>
      <c r="AA27" s="7">
        <v>1.09943608</v>
      </c>
      <c r="AB27" s="7">
        <v>1.0972296399999999</v>
      </c>
      <c r="AC27" s="7">
        <v>1.0952211599999999</v>
      </c>
    </row>
    <row r="28" spans="1:29" x14ac:dyDescent="0.85">
      <c r="A28" t="s">
        <v>126</v>
      </c>
      <c r="B28" s="7">
        <v>23280</v>
      </c>
      <c r="C28" s="7">
        <v>22348.799999999999</v>
      </c>
      <c r="D28" s="7">
        <v>21454.941808449999</v>
      </c>
      <c r="E28" s="7">
        <v>20777.735765990001</v>
      </c>
      <c r="F28" s="7">
        <v>22128.700698780001</v>
      </c>
      <c r="G28" s="7">
        <v>23515.63236539</v>
      </c>
      <c r="H28" s="7">
        <v>24940.183100009999</v>
      </c>
      <c r="I28" s="7">
        <v>26428.15383608</v>
      </c>
      <c r="J28" s="7">
        <v>28018.883798250001</v>
      </c>
      <c r="K28" s="7">
        <v>29719.86489615</v>
      </c>
      <c r="L28" s="7">
        <v>31538.75739268</v>
      </c>
      <c r="M28" s="7">
        <v>33483.615128999998</v>
      </c>
      <c r="N28" s="7">
        <v>35546.191570739997</v>
      </c>
      <c r="O28" s="7">
        <v>37660.994891709997</v>
      </c>
      <c r="P28" s="7">
        <v>39829.838116810002</v>
      </c>
      <c r="Q28" s="7">
        <v>42054.833108519997</v>
      </c>
      <c r="R28" s="7">
        <v>44341.114746220002</v>
      </c>
      <c r="S28" s="7">
        <v>46690.484276900002</v>
      </c>
      <c r="T28" s="7">
        <v>49104.801763700001</v>
      </c>
      <c r="U28" s="7">
        <v>51585.965142560002</v>
      </c>
      <c r="V28" s="7">
        <v>54135.917266099998</v>
      </c>
      <c r="W28" s="7">
        <v>56756.647843309998</v>
      </c>
      <c r="X28" s="7">
        <v>59450.192190809998</v>
      </c>
      <c r="Y28" s="7">
        <v>62218.641041449999</v>
      </c>
      <c r="Z28" s="7">
        <v>65064.089136440001</v>
      </c>
      <c r="AA28" s="7">
        <v>67988.724315250001</v>
      </c>
      <c r="AB28" s="7">
        <v>70994.845434729999</v>
      </c>
      <c r="AC28" s="7">
        <v>74084.624456129997</v>
      </c>
    </row>
    <row r="29" spans="1:29" x14ac:dyDescent="0.85">
      <c r="A29" t="s">
        <v>127</v>
      </c>
      <c r="B29" s="7">
        <v>96432429.5</v>
      </c>
      <c r="C29" s="7">
        <v>92575107.066585794</v>
      </c>
      <c r="D29" s="7">
        <v>88872491.365274906</v>
      </c>
      <c r="E29" s="7">
        <v>86067310.689514399</v>
      </c>
      <c r="F29" s="7">
        <v>91663392.953252301</v>
      </c>
      <c r="G29" s="7">
        <v>97408459.692002907</v>
      </c>
      <c r="H29" s="7">
        <v>103309355.345419</v>
      </c>
      <c r="I29" s="7">
        <v>109472954.742419</v>
      </c>
      <c r="J29" s="7">
        <v>116062044.69328099</v>
      </c>
      <c r="K29" s="7">
        <v>123106475.413666</v>
      </c>
      <c r="L29" s="7">
        <v>130636726.584998</v>
      </c>
      <c r="M29" s="7">
        <v>138671328.083893</v>
      </c>
      <c r="N29" s="7">
        <v>147119290.76642901</v>
      </c>
      <c r="O29" s="7">
        <v>155666259.188959</v>
      </c>
      <c r="P29" s="7">
        <v>164278882.42365801</v>
      </c>
      <c r="Q29" s="7">
        <v>172925140.018619</v>
      </c>
      <c r="R29" s="7">
        <v>181588004.89541799</v>
      </c>
      <c r="S29" s="7">
        <v>190252307.46234301</v>
      </c>
      <c r="T29" s="7">
        <v>198922306.09683001</v>
      </c>
      <c r="U29" s="7">
        <v>207571072.23929301</v>
      </c>
      <c r="V29" s="7">
        <v>216188158.92606601</v>
      </c>
      <c r="W29" s="7">
        <v>224769472.49568301</v>
      </c>
      <c r="X29" s="7">
        <v>233324770.01538399</v>
      </c>
      <c r="Y29" s="7">
        <v>241889142.01360899</v>
      </c>
      <c r="Z29" s="7">
        <v>250461714.714928</v>
      </c>
      <c r="AA29" s="7">
        <v>259047343.36699599</v>
      </c>
      <c r="AB29" s="7">
        <v>267653182.50023401</v>
      </c>
      <c r="AC29" s="7">
        <v>276285976.09946501</v>
      </c>
    </row>
    <row r="30" spans="1:29" x14ac:dyDescent="0.85">
      <c r="A30" t="s">
        <v>128</v>
      </c>
      <c r="B30" s="7">
        <v>96432429.5</v>
      </c>
      <c r="C30" s="7">
        <v>92575107.066585794</v>
      </c>
      <c r="D30" s="7">
        <v>88872491.365274906</v>
      </c>
      <c r="E30" s="7">
        <v>86067310.689514399</v>
      </c>
      <c r="F30" s="7">
        <v>91663392.953252301</v>
      </c>
      <c r="G30" s="7">
        <v>97408459.692002907</v>
      </c>
      <c r="H30" s="7">
        <v>103309355.345419</v>
      </c>
      <c r="I30" s="7">
        <v>109472954.742419</v>
      </c>
      <c r="J30" s="7">
        <v>116062212.17735299</v>
      </c>
      <c r="K30" s="7">
        <v>123108161.277798</v>
      </c>
      <c r="L30" s="7">
        <v>130642533.03866699</v>
      </c>
      <c r="M30" s="7">
        <v>138698688.768231</v>
      </c>
      <c r="N30" s="7">
        <v>147242468.96792799</v>
      </c>
      <c r="O30" s="7">
        <v>156002587.80488399</v>
      </c>
      <c r="P30" s="7">
        <v>164986555.34564</v>
      </c>
      <c r="Q30" s="7">
        <v>174203119.52714601</v>
      </c>
      <c r="R30" s="7">
        <v>183673550.48516899</v>
      </c>
      <c r="S30" s="7">
        <v>193405309.498707</v>
      </c>
      <c r="T30" s="7">
        <v>203406101.48007801</v>
      </c>
      <c r="U30" s="7">
        <v>213683788.221544</v>
      </c>
      <c r="V30" s="7">
        <v>224246417.57307401</v>
      </c>
      <c r="W30" s="7">
        <v>235102231.47708201</v>
      </c>
      <c r="X30" s="7">
        <v>246259660.79581001</v>
      </c>
      <c r="Y30" s="7">
        <v>257727365.941329</v>
      </c>
      <c r="Z30" s="7">
        <v>269514023.92948902</v>
      </c>
      <c r="AA30" s="7">
        <v>281628697.41571999</v>
      </c>
      <c r="AB30" s="7">
        <v>294080908.92110199</v>
      </c>
      <c r="AC30" s="7">
        <v>306879655.32888699</v>
      </c>
    </row>
    <row r="31" spans="1:29" x14ac:dyDescent="0.85">
      <c r="A31" t="s">
        <v>129</v>
      </c>
      <c r="B31" s="7">
        <v>7041.4119305599997</v>
      </c>
      <c r="C31" s="7">
        <v>6759.7554533399998</v>
      </c>
      <c r="D31" s="7">
        <v>6489.3936090899997</v>
      </c>
      <c r="E31" s="7">
        <v>6284.56170587</v>
      </c>
      <c r="F31" s="7">
        <v>6693.1828654700003</v>
      </c>
      <c r="G31" s="7">
        <v>7112.6827445199997</v>
      </c>
      <c r="H31" s="7">
        <v>7543.5611181599998</v>
      </c>
      <c r="I31" s="7">
        <v>7993.6218953699999</v>
      </c>
      <c r="J31" s="7">
        <v>8474.7638598800004</v>
      </c>
      <c r="K31" s="7">
        <v>8989.2530607600002</v>
      </c>
      <c r="L31" s="7">
        <v>9539.4064682099997</v>
      </c>
      <c r="M31" s="7">
        <v>10127.66009655</v>
      </c>
      <c r="N31" s="7">
        <v>10751.5196483</v>
      </c>
      <c r="O31" s="7">
        <v>11391.17606303</v>
      </c>
      <c r="P31" s="7">
        <v>12047.17771942</v>
      </c>
      <c r="Q31" s="7">
        <v>12720.16338437</v>
      </c>
      <c r="R31" s="7">
        <v>13411.68618508</v>
      </c>
      <c r="S31" s="7">
        <v>14122.29093777</v>
      </c>
      <c r="T31" s="7">
        <v>14852.54024858</v>
      </c>
      <c r="U31" s="7">
        <v>15603.008178890001</v>
      </c>
      <c r="V31" s="7">
        <v>16374.282375840001</v>
      </c>
      <c r="W31" s="7">
        <v>17166.964659050002</v>
      </c>
      <c r="X31" s="7">
        <v>17981.670642900001</v>
      </c>
      <c r="Y31" s="7">
        <v>18819.032703299999</v>
      </c>
      <c r="Z31" s="7">
        <v>19679.684428550001</v>
      </c>
      <c r="AA31" s="7">
        <v>20564.287566030001</v>
      </c>
      <c r="AB31" s="7">
        <v>21473.53744213</v>
      </c>
      <c r="AC31" s="7">
        <v>22408.09100158</v>
      </c>
    </row>
    <row r="32" spans="1:29" x14ac:dyDescent="0.85">
      <c r="A32" t="s">
        <v>130</v>
      </c>
      <c r="B32" s="7">
        <v>0</v>
      </c>
      <c r="C32" s="7">
        <v>7.40600857</v>
      </c>
      <c r="D32" s="7">
        <v>14.219598619999999</v>
      </c>
      <c r="E32" s="7">
        <v>20.656154570000002</v>
      </c>
      <c r="F32" s="7">
        <v>29.33228575</v>
      </c>
      <c r="G32" s="7">
        <v>38.963383880000002</v>
      </c>
      <c r="H32" s="7">
        <v>49.588490569999998</v>
      </c>
      <c r="I32" s="7">
        <v>61.304854659999997</v>
      </c>
      <c r="J32" s="7">
        <v>74.279815790000001</v>
      </c>
      <c r="K32" s="7">
        <v>88.637876120000001</v>
      </c>
      <c r="L32" s="7">
        <v>104.51402643</v>
      </c>
      <c r="M32" s="7">
        <v>122.05484611999999</v>
      </c>
      <c r="N32" s="7">
        <v>141.35277020999999</v>
      </c>
      <c r="O32" s="7">
        <v>162.24269132000001</v>
      </c>
      <c r="P32" s="7">
        <v>184.78494198999999</v>
      </c>
      <c r="Q32" s="7">
        <v>209.04374343000001</v>
      </c>
      <c r="R32" s="7">
        <v>235.10214461999999</v>
      </c>
      <c r="S32" s="7">
        <v>263.03122092000001</v>
      </c>
      <c r="T32" s="7">
        <v>292.90478612999999</v>
      </c>
      <c r="U32" s="7">
        <v>324.79935810000001</v>
      </c>
      <c r="V32" s="7">
        <v>358.79426812000003</v>
      </c>
      <c r="W32" s="7">
        <v>394.97174888000001</v>
      </c>
      <c r="X32" s="7">
        <v>433.41700300000002</v>
      </c>
      <c r="Y32" s="7">
        <v>474.21835333000001</v>
      </c>
      <c r="Z32" s="7">
        <v>517.46692594000001</v>
      </c>
      <c r="AA32" s="7">
        <v>563.25739482999995</v>
      </c>
      <c r="AB32" s="7">
        <v>611.68829056000004</v>
      </c>
      <c r="AC32" s="7">
        <v>662.86005551000005</v>
      </c>
    </row>
    <row r="33" spans="1:29" x14ac:dyDescent="0.85">
      <c r="A33" t="s">
        <v>131</v>
      </c>
      <c r="B33" s="7">
        <v>0.38572972</v>
      </c>
      <c r="C33" s="7">
        <v>0.37030043000000001</v>
      </c>
      <c r="D33" s="7">
        <v>0.35548996999999999</v>
      </c>
      <c r="E33" s="7">
        <v>0.34426923999999998</v>
      </c>
      <c r="F33" s="7">
        <v>0.36665356999999998</v>
      </c>
      <c r="G33" s="7">
        <v>0.38963384000000001</v>
      </c>
      <c r="H33" s="7">
        <v>0.41323742000000002</v>
      </c>
      <c r="I33" s="7">
        <v>0.43789181999999999</v>
      </c>
      <c r="J33" s="7">
        <v>0.46424884999999999</v>
      </c>
      <c r="K33" s="7">
        <v>0.49243265000000003</v>
      </c>
      <c r="L33" s="7">
        <v>0.52257012999999997</v>
      </c>
      <c r="M33" s="7">
        <v>0.55479476000000005</v>
      </c>
      <c r="N33" s="7">
        <v>0.58896987999999995</v>
      </c>
      <c r="O33" s="7">
        <v>0.62401035000000005</v>
      </c>
      <c r="P33" s="7">
        <v>0.65994622000000003</v>
      </c>
      <c r="Q33" s="7">
        <v>0.69681247999999996</v>
      </c>
      <c r="R33" s="7">
        <v>0.73469419999999996</v>
      </c>
      <c r="S33" s="7">
        <v>0.77362123999999999</v>
      </c>
      <c r="T33" s="7">
        <v>0.81362440999999996</v>
      </c>
      <c r="U33" s="7">
        <v>0.85473515</v>
      </c>
      <c r="V33" s="7">
        <v>0.89698566999999996</v>
      </c>
      <c r="W33" s="7">
        <v>0.94040893000000003</v>
      </c>
      <c r="X33" s="7">
        <v>0.98503863999999997</v>
      </c>
      <c r="Y33" s="7">
        <v>1.0309094599999999</v>
      </c>
      <c r="Z33" s="7">
        <v>1.0780561</v>
      </c>
      <c r="AA33" s="7">
        <v>1.1265147900000001</v>
      </c>
      <c r="AB33" s="7">
        <v>1.1763236399999999</v>
      </c>
      <c r="AC33" s="7">
        <v>1.2275186199999999</v>
      </c>
    </row>
    <row r="34" spans="1:29" x14ac:dyDescent="0.85">
      <c r="A34" t="s">
        <v>132</v>
      </c>
      <c r="B34" s="7">
        <v>7041.4119305599997</v>
      </c>
      <c r="C34" s="7">
        <v>6759.7554533399998</v>
      </c>
      <c r="D34" s="7">
        <v>6489.3936090899997</v>
      </c>
      <c r="E34" s="7">
        <v>6284.56170587</v>
      </c>
      <c r="F34" s="7">
        <v>6693.1828654700003</v>
      </c>
      <c r="G34" s="7">
        <v>7112.6827445199997</v>
      </c>
      <c r="H34" s="7">
        <v>7543.5611181599998</v>
      </c>
      <c r="I34" s="7">
        <v>7993.6218953699999</v>
      </c>
      <c r="J34" s="7">
        <v>8474.7638598800004</v>
      </c>
      <c r="K34" s="7">
        <v>8989.2530607600002</v>
      </c>
      <c r="L34" s="7">
        <v>9539.4064682099997</v>
      </c>
      <c r="M34" s="7">
        <v>10127.66009655</v>
      </c>
      <c r="N34" s="7">
        <v>10751.5196483</v>
      </c>
      <c r="O34" s="7">
        <v>11391.17606303</v>
      </c>
      <c r="P34" s="7">
        <v>12047.17771942</v>
      </c>
      <c r="Q34" s="7">
        <v>12720.16338437</v>
      </c>
      <c r="R34" s="7">
        <v>13411.68618508</v>
      </c>
      <c r="S34" s="7">
        <v>14122.29093777</v>
      </c>
      <c r="T34" s="7">
        <v>14852.54024858</v>
      </c>
      <c r="U34" s="7">
        <v>15603.008178890001</v>
      </c>
      <c r="V34" s="7">
        <v>16374.282375840001</v>
      </c>
      <c r="W34" s="7">
        <v>17166.964659050002</v>
      </c>
      <c r="X34" s="7">
        <v>17981.670642900001</v>
      </c>
      <c r="Y34" s="7">
        <v>18819.032703299999</v>
      </c>
      <c r="Z34" s="7">
        <v>19679.684428550001</v>
      </c>
      <c r="AA34" s="7">
        <v>20564.287566030001</v>
      </c>
      <c r="AB34" s="7">
        <v>21473.53744213</v>
      </c>
      <c r="AC34" s="7">
        <v>22408.09100158</v>
      </c>
    </row>
    <row r="35" spans="1:29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</row>
    <row r="36" spans="1:29" x14ac:dyDescent="0.85">
      <c r="A36" t="s">
        <v>134</v>
      </c>
      <c r="B36" s="7">
        <v>1</v>
      </c>
      <c r="C36" s="7">
        <v>1.04</v>
      </c>
      <c r="D36" s="7">
        <v>0.99999972999999998</v>
      </c>
      <c r="E36" s="7">
        <v>1.0000043700000001</v>
      </c>
      <c r="F36" s="7">
        <v>1.00878739</v>
      </c>
      <c r="G36" s="7">
        <v>1.10694385</v>
      </c>
      <c r="H36" s="7">
        <v>1.10475967</v>
      </c>
      <c r="I36" s="7">
        <v>1.10380415</v>
      </c>
      <c r="J36" s="7">
        <v>1.10381415</v>
      </c>
      <c r="K36" s="7">
        <v>1.1043653499999999</v>
      </c>
      <c r="L36" s="7">
        <v>1.10490456</v>
      </c>
      <c r="M36" s="7">
        <v>1.10541796</v>
      </c>
      <c r="N36" s="7">
        <v>1.10582289</v>
      </c>
      <c r="O36" s="7">
        <v>1.10363012</v>
      </c>
      <c r="P36" s="7">
        <v>1.1016447700000001</v>
      </c>
      <c r="Q36" s="7">
        <v>1.09984679</v>
      </c>
      <c r="R36" s="7">
        <v>1.0982861500000001</v>
      </c>
      <c r="S36" s="7">
        <v>1.09684833</v>
      </c>
      <c r="T36" s="7">
        <v>1.09552019</v>
      </c>
      <c r="U36" s="7">
        <v>1.0942899100000001</v>
      </c>
      <c r="V36" s="7">
        <v>1.09314742</v>
      </c>
      <c r="W36" s="7">
        <v>1.0920839600000001</v>
      </c>
      <c r="X36" s="7">
        <v>1.09109185</v>
      </c>
      <c r="Y36" s="7">
        <v>1.0901645099999999</v>
      </c>
      <c r="Z36" s="7">
        <v>1.0892952899999999</v>
      </c>
      <c r="AA36" s="7">
        <v>1.08847965</v>
      </c>
      <c r="AB36" s="7">
        <v>1.0877139600000001</v>
      </c>
      <c r="AC36" s="7">
        <v>1.08699122</v>
      </c>
    </row>
    <row r="37" spans="1:29" x14ac:dyDescent="0.85">
      <c r="A37" t="s">
        <v>135</v>
      </c>
      <c r="B37" s="7">
        <v>1</v>
      </c>
      <c r="C37" s="7">
        <v>0.99999972999999998</v>
      </c>
      <c r="D37" s="7">
        <v>1.0000043700000001</v>
      </c>
      <c r="E37" s="7">
        <v>1.00878739</v>
      </c>
      <c r="F37" s="7">
        <v>1.1093956599999999</v>
      </c>
      <c r="G37" s="7">
        <v>1.10695385</v>
      </c>
      <c r="H37" s="7">
        <v>1.10476967</v>
      </c>
      <c r="I37" s="7">
        <v>1.10381415</v>
      </c>
      <c r="J37" s="7">
        <v>1.1043653499999999</v>
      </c>
      <c r="K37" s="7">
        <v>1.10490456</v>
      </c>
      <c r="L37" s="7">
        <v>1.10541796</v>
      </c>
      <c r="M37" s="7">
        <v>1.1059017099999999</v>
      </c>
      <c r="N37" s="7">
        <v>1.1058328900000001</v>
      </c>
      <c r="O37" s="7">
        <v>1.1036401199999999</v>
      </c>
      <c r="P37" s="7">
        <v>1.1016547699999999</v>
      </c>
      <c r="Q37" s="7">
        <v>1.09985679</v>
      </c>
      <c r="R37" s="7">
        <v>1.0982961499999999</v>
      </c>
      <c r="S37" s="7">
        <v>1.0968583300000001</v>
      </c>
      <c r="T37" s="7">
        <v>1.0955301900000001</v>
      </c>
      <c r="U37" s="7">
        <v>1.0942999099999999</v>
      </c>
      <c r="V37" s="7">
        <v>1.09315742</v>
      </c>
      <c r="W37" s="7">
        <v>1.0920939599999999</v>
      </c>
      <c r="X37" s="7">
        <v>1.09110185</v>
      </c>
      <c r="Y37" s="7">
        <v>1.09017451</v>
      </c>
      <c r="Z37" s="7">
        <v>1.0893052599999999</v>
      </c>
      <c r="AA37" s="7">
        <v>1.0884896500000001</v>
      </c>
      <c r="AB37" s="7">
        <v>1.08772395</v>
      </c>
      <c r="AC37" s="7">
        <v>1.0870012200000001</v>
      </c>
    </row>
    <row r="38" spans="1:29" x14ac:dyDescent="0.85">
      <c r="A38" t="s">
        <v>136</v>
      </c>
      <c r="B38" s="7">
        <v>1</v>
      </c>
      <c r="C38" s="7">
        <v>1.09849628</v>
      </c>
      <c r="D38" s="7">
        <v>1.1020173799999999</v>
      </c>
      <c r="E38" s="7">
        <v>1.10573495</v>
      </c>
      <c r="F38" s="7">
        <v>1.1094098699999999</v>
      </c>
      <c r="G38" s="7">
        <v>1.10695385</v>
      </c>
      <c r="H38" s="7">
        <v>1.10476967</v>
      </c>
      <c r="I38" s="7">
        <v>1.10381415</v>
      </c>
      <c r="J38" s="7">
        <v>1.1043653499999999</v>
      </c>
      <c r="K38" s="7">
        <v>1.10490456</v>
      </c>
      <c r="L38" s="7">
        <v>1.10541796</v>
      </c>
      <c r="M38" s="7">
        <v>1.1059017099999999</v>
      </c>
      <c r="N38" s="7">
        <v>1.1058328900000001</v>
      </c>
      <c r="O38" s="7">
        <v>1.1036401199999999</v>
      </c>
      <c r="P38" s="7">
        <v>1.1016547699999999</v>
      </c>
      <c r="Q38" s="7">
        <v>1.09985679</v>
      </c>
      <c r="R38" s="7">
        <v>1.0982961499999999</v>
      </c>
      <c r="S38" s="7">
        <v>1.0968583300000001</v>
      </c>
      <c r="T38" s="7">
        <v>1.0955301900000001</v>
      </c>
      <c r="U38" s="7">
        <v>1.0942999099999999</v>
      </c>
      <c r="V38" s="7">
        <v>1.09315742</v>
      </c>
      <c r="W38" s="7">
        <v>1.0920939599999999</v>
      </c>
      <c r="X38" s="7">
        <v>1.09110185</v>
      </c>
      <c r="Y38" s="7">
        <v>1.09017451</v>
      </c>
      <c r="Z38" s="7">
        <v>1.08930529</v>
      </c>
      <c r="AA38" s="7">
        <v>1.0884896500000001</v>
      </c>
      <c r="AB38" s="7">
        <v>1.0877239599999999</v>
      </c>
      <c r="AC38" s="7">
        <v>1.0870012200000001</v>
      </c>
    </row>
    <row r="39" spans="1:29" x14ac:dyDescent="0.85">
      <c r="A39" t="s">
        <v>137</v>
      </c>
      <c r="B39" s="7">
        <v>2741</v>
      </c>
      <c r="C39" s="7">
        <v>2672.4750019100002</v>
      </c>
      <c r="D39" s="7">
        <v>2605.6631398700001</v>
      </c>
      <c r="E39" s="7">
        <v>2540.5219012699999</v>
      </c>
      <c r="F39" s="7">
        <v>2477.3767862300001</v>
      </c>
      <c r="G39" s="7">
        <v>2415.4423738700002</v>
      </c>
      <c r="H39" s="7">
        <v>2355.0563145199999</v>
      </c>
      <c r="I39" s="7">
        <v>2296.1799101299998</v>
      </c>
      <c r="J39" s="7">
        <v>2238.7754123700001</v>
      </c>
      <c r="K39" s="7">
        <v>2182.8060284799999</v>
      </c>
      <c r="L39" s="7">
        <v>2128.2358777600002</v>
      </c>
      <c r="M39" s="7">
        <v>2075.0300182999999</v>
      </c>
      <c r="N39" s="7">
        <v>2023.15428236</v>
      </c>
      <c r="O39" s="7">
        <v>1972.5754416</v>
      </c>
      <c r="P39" s="7">
        <v>1923.2610567500001</v>
      </c>
      <c r="Q39" s="7">
        <v>1875.17956428</v>
      </c>
      <c r="R39" s="7">
        <v>1828.30008733</v>
      </c>
      <c r="S39" s="7">
        <v>1782.5925904000001</v>
      </c>
      <c r="T39" s="7">
        <v>1738.0331556900001</v>
      </c>
      <c r="U39" s="7">
        <v>1694.5823334900001</v>
      </c>
      <c r="V39" s="7">
        <v>1652.21821314</v>
      </c>
      <c r="W39" s="7">
        <v>1610.9222612599999</v>
      </c>
      <c r="X39" s="7">
        <v>1571.04026838</v>
      </c>
      <c r="Y39" s="7">
        <v>1531.76463889</v>
      </c>
      <c r="Z39" s="7">
        <v>1493.47056247</v>
      </c>
      <c r="AA39" s="7">
        <v>1456.1337983999999</v>
      </c>
      <c r="AB39" s="7">
        <v>1419.7304548100001</v>
      </c>
      <c r="AC39" s="7">
        <v>1384.2383262799999</v>
      </c>
    </row>
    <row r="40" spans="1:29" x14ac:dyDescent="0.85">
      <c r="A40" t="s">
        <v>138</v>
      </c>
      <c r="B40" s="7">
        <v>16059542</v>
      </c>
      <c r="C40" s="7">
        <v>15658053.461212801</v>
      </c>
      <c r="D40" s="7">
        <v>15266602.200886801</v>
      </c>
      <c r="E40" s="7">
        <v>14884939.137292501</v>
      </c>
      <c r="F40" s="7">
        <v>14514971.378459699</v>
      </c>
      <c r="G40" s="7">
        <v>14152097.136698799</v>
      </c>
      <c r="H40" s="7">
        <v>13798294.7052895</v>
      </c>
      <c r="I40" s="7">
        <v>13453337.357986201</v>
      </c>
      <c r="J40" s="7">
        <v>13117003.805642201</v>
      </c>
      <c r="K40" s="7">
        <v>12789078.718778299</v>
      </c>
      <c r="L40" s="7">
        <v>12469351.718689499</v>
      </c>
      <c r="M40" s="7">
        <v>12157618.145338099</v>
      </c>
      <c r="N40" s="7">
        <v>11853677.7767109</v>
      </c>
      <c r="O40" s="7">
        <v>11557335.9278019</v>
      </c>
      <c r="P40" s="7">
        <v>11268402.5366008</v>
      </c>
      <c r="Q40" s="7">
        <v>10986692.672102399</v>
      </c>
      <c r="R40" s="7">
        <v>10712025.4265269</v>
      </c>
      <c r="S40" s="7">
        <v>10444224.821601599</v>
      </c>
      <c r="T40" s="7">
        <v>10183150.7228717</v>
      </c>
      <c r="U40" s="7">
        <v>9928571.9939664509</v>
      </c>
      <c r="V40" s="7">
        <v>9680360.2603124902</v>
      </c>
      <c r="W40" s="7">
        <v>9438406.9346001409</v>
      </c>
      <c r="X40" s="7">
        <v>9204738.0063756909</v>
      </c>
      <c r="Y40" s="7">
        <v>8974621.7663990092</v>
      </c>
      <c r="Z40" s="7">
        <v>8750256.4539271407</v>
      </c>
      <c r="AA40" s="7">
        <v>8531500.04257893</v>
      </c>
      <c r="AB40" s="7">
        <v>8318212.5495364601</v>
      </c>
      <c r="AC40" s="7">
        <v>8110263.8730918998</v>
      </c>
    </row>
    <row r="41" spans="1:29" x14ac:dyDescent="0.85">
      <c r="A41" t="s">
        <v>139</v>
      </c>
      <c r="B41" s="7">
        <v>16059542</v>
      </c>
      <c r="C41" s="7">
        <v>15658053.461212801</v>
      </c>
      <c r="D41" s="7">
        <v>15266602.200886801</v>
      </c>
      <c r="E41" s="7">
        <v>14884939.137292501</v>
      </c>
      <c r="F41" s="7">
        <v>14514971.378459699</v>
      </c>
      <c r="G41" s="7">
        <v>14152097.136698799</v>
      </c>
      <c r="H41" s="7">
        <v>13798294.7052895</v>
      </c>
      <c r="I41" s="7">
        <v>13453337.357986201</v>
      </c>
      <c r="J41" s="7">
        <v>13117003.805642201</v>
      </c>
      <c r="K41" s="7">
        <v>12789078.718778299</v>
      </c>
      <c r="L41" s="7">
        <v>12469351.718689499</v>
      </c>
      <c r="M41" s="7">
        <v>12157618.145338099</v>
      </c>
      <c r="N41" s="7">
        <v>11853677.7767109</v>
      </c>
      <c r="O41" s="7">
        <v>11557335.9278019</v>
      </c>
      <c r="P41" s="7">
        <v>11268402.5366008</v>
      </c>
      <c r="Q41" s="7">
        <v>10986692.672102399</v>
      </c>
      <c r="R41" s="7">
        <v>10712025.4265269</v>
      </c>
      <c r="S41" s="7">
        <v>10444224.821601599</v>
      </c>
      <c r="T41" s="7">
        <v>10183150.7228717</v>
      </c>
      <c r="U41" s="7">
        <v>9928571.9939664509</v>
      </c>
      <c r="V41" s="7">
        <v>9680360.2603124902</v>
      </c>
      <c r="W41" s="7">
        <v>9438406.9346001409</v>
      </c>
      <c r="X41" s="7">
        <v>9204738.0063756909</v>
      </c>
      <c r="Y41" s="7">
        <v>8974621.7663990092</v>
      </c>
      <c r="Z41" s="7">
        <v>8750256.4539271407</v>
      </c>
      <c r="AA41" s="7">
        <v>8531500.04257893</v>
      </c>
      <c r="AB41" s="7">
        <v>8318212.5495364601</v>
      </c>
      <c r="AC41" s="7">
        <v>8110263.8730918998</v>
      </c>
    </row>
    <row r="42" spans="1:29" x14ac:dyDescent="0.85">
      <c r="A42" t="s">
        <v>140</v>
      </c>
      <c r="B42" s="7">
        <v>3118.7892446400001</v>
      </c>
      <c r="C42" s="7">
        <v>3040.8195157099999</v>
      </c>
      <c r="D42" s="7">
        <v>2964.79904261</v>
      </c>
      <c r="E42" s="7">
        <v>2890.67945328</v>
      </c>
      <c r="F42" s="7">
        <v>2818.83111121</v>
      </c>
      <c r="G42" s="7">
        <v>2748.3603417300001</v>
      </c>
      <c r="H42" s="7">
        <v>2679.65133315</v>
      </c>
      <c r="I42" s="7">
        <v>2612.6600537700001</v>
      </c>
      <c r="J42" s="7">
        <v>2547.3435512299998</v>
      </c>
      <c r="K42" s="7">
        <v>2483.6599640600002</v>
      </c>
      <c r="L42" s="7">
        <v>2421.5684646300001</v>
      </c>
      <c r="M42" s="7">
        <v>2361.02929567</v>
      </c>
      <c r="N42" s="7">
        <v>2302.0035797800001</v>
      </c>
      <c r="O42" s="7">
        <v>2244.4535088399998</v>
      </c>
      <c r="P42" s="7">
        <v>2188.3421724700002</v>
      </c>
      <c r="Q42" s="7">
        <v>2133.6336567899998</v>
      </c>
      <c r="R42" s="7">
        <v>2080.2928292000001</v>
      </c>
      <c r="S42" s="7">
        <v>2028.28551444</v>
      </c>
      <c r="T42" s="7">
        <v>1977.58449817</v>
      </c>
      <c r="U42" s="7">
        <v>1928.1448933199999</v>
      </c>
      <c r="V42" s="7">
        <v>1879.94176935</v>
      </c>
      <c r="W42" s="7">
        <v>1832.9540384100001</v>
      </c>
      <c r="X42" s="7">
        <v>1787.575151</v>
      </c>
      <c r="Y42" s="7">
        <v>1742.88620145</v>
      </c>
      <c r="Z42" s="7">
        <v>1699.3140914099999</v>
      </c>
      <c r="AA42" s="7">
        <v>1656.83123912</v>
      </c>
      <c r="AB42" s="7">
        <v>1615.4104597</v>
      </c>
      <c r="AC42" s="7">
        <v>1575.02648718</v>
      </c>
    </row>
    <row r="43" spans="1:29" x14ac:dyDescent="0.85">
      <c r="A43" t="s">
        <v>141</v>
      </c>
      <c r="B43" s="7">
        <v>0</v>
      </c>
      <c r="C43" s="7">
        <v>0.93948321000000001</v>
      </c>
      <c r="D43" s="7">
        <v>1.83199226</v>
      </c>
      <c r="E43" s="7">
        <v>2.67928904</v>
      </c>
      <c r="F43" s="7">
        <v>3.48359313</v>
      </c>
      <c r="G43" s="7">
        <v>4.2456291400000001</v>
      </c>
      <c r="H43" s="7">
        <v>4.9673860899999998</v>
      </c>
      <c r="I43" s="7">
        <v>5.6504016899999998</v>
      </c>
      <c r="J43" s="7">
        <v>6.29616183</v>
      </c>
      <c r="K43" s="7">
        <v>6.9061025100000002</v>
      </c>
      <c r="L43" s="7">
        <v>7.4816110299999998</v>
      </c>
      <c r="M43" s="7">
        <v>8.0240279799999996</v>
      </c>
      <c r="N43" s="7">
        <v>8.5346480000000007</v>
      </c>
      <c r="O43" s="7">
        <v>9.0147220200000007</v>
      </c>
      <c r="P43" s="7">
        <v>9.46545813</v>
      </c>
      <c r="Q43" s="7">
        <v>9.8880233999999998</v>
      </c>
      <c r="R43" s="7">
        <v>10.283544409999999</v>
      </c>
      <c r="S43" s="7">
        <v>10.65310932</v>
      </c>
      <c r="T43" s="7">
        <v>10.997802780000001</v>
      </c>
      <c r="U43" s="7">
        <v>11.31857207</v>
      </c>
      <c r="V43" s="7">
        <v>11.61643231</v>
      </c>
      <c r="W43" s="7">
        <v>11.89239274</v>
      </c>
      <c r="X43" s="7">
        <v>12.15025417</v>
      </c>
      <c r="Y43" s="7">
        <v>12.38497804</v>
      </c>
      <c r="Z43" s="7">
        <v>12.60036929</v>
      </c>
      <c r="AA43" s="7">
        <v>12.79725006</v>
      </c>
      <c r="AB43" s="7">
        <v>12.976411580000001</v>
      </c>
      <c r="AC43" s="7">
        <v>13.138627469999999</v>
      </c>
    </row>
    <row r="44" spans="1:29" x14ac:dyDescent="0.85">
      <c r="A44" t="s">
        <v>142</v>
      </c>
      <c r="B44" s="7">
        <v>4.817863E-2</v>
      </c>
      <c r="C44" s="7">
        <v>4.6974160000000001E-2</v>
      </c>
      <c r="D44" s="7">
        <v>4.5799810000000003E-2</v>
      </c>
      <c r="E44" s="7">
        <v>4.4654819999999998E-2</v>
      </c>
      <c r="F44" s="7">
        <v>4.3544909999999999E-2</v>
      </c>
      <c r="G44" s="7">
        <v>4.2456290000000001E-2</v>
      </c>
      <c r="H44" s="7">
        <v>4.1394880000000002E-2</v>
      </c>
      <c r="I44" s="7">
        <v>4.0360010000000002E-2</v>
      </c>
      <c r="J44" s="7">
        <v>3.9351009999999999E-2</v>
      </c>
      <c r="K44" s="7">
        <v>3.8367239999999997E-2</v>
      </c>
      <c r="L44" s="7">
        <v>3.740806E-2</v>
      </c>
      <c r="M44" s="7">
        <v>3.6472850000000001E-2</v>
      </c>
      <c r="N44" s="7">
        <v>3.556103E-2</v>
      </c>
      <c r="O44" s="7">
        <v>3.4672010000000003E-2</v>
      </c>
      <c r="P44" s="7">
        <v>3.3805210000000002E-2</v>
      </c>
      <c r="Q44" s="7">
        <v>3.2960080000000003E-2</v>
      </c>
      <c r="R44" s="7">
        <v>3.2136079999999997E-2</v>
      </c>
      <c r="S44" s="7">
        <v>3.133267E-2</v>
      </c>
      <c r="T44" s="7">
        <v>3.0549449999999999E-2</v>
      </c>
      <c r="U44" s="7">
        <v>2.9785720000000002E-2</v>
      </c>
      <c r="V44" s="7">
        <v>2.904108E-2</v>
      </c>
      <c r="W44" s="7">
        <v>2.8315219999999999E-2</v>
      </c>
      <c r="X44" s="7">
        <v>2.761421E-2</v>
      </c>
      <c r="Y44" s="7">
        <v>2.6923869999999999E-2</v>
      </c>
      <c r="Z44" s="7">
        <v>2.625077E-2</v>
      </c>
      <c r="AA44" s="7">
        <v>2.5594499999999999E-2</v>
      </c>
      <c r="AB44" s="7">
        <v>2.495464E-2</v>
      </c>
      <c r="AC44" s="7">
        <v>2.4330790000000001E-2</v>
      </c>
    </row>
    <row r="45" spans="1:29" x14ac:dyDescent="0.85">
      <c r="A45" t="s">
        <v>143</v>
      </c>
      <c r="B45" s="7">
        <v>2956.4272750199998</v>
      </c>
      <c r="C45" s="7">
        <v>2882.5165952100001</v>
      </c>
      <c r="D45" s="7">
        <v>2810.4536943600001</v>
      </c>
      <c r="E45" s="7">
        <v>2740.1927186100002</v>
      </c>
      <c r="F45" s="7">
        <v>2672.0847505800002</v>
      </c>
      <c r="G45" s="7">
        <v>2605.2826396700002</v>
      </c>
      <c r="H45" s="7">
        <v>2540.15057368</v>
      </c>
      <c r="I45" s="7">
        <v>2476.6468130799999</v>
      </c>
      <c r="J45" s="7">
        <v>2414.7306427600001</v>
      </c>
      <c r="K45" s="7">
        <v>2354.3623782099999</v>
      </c>
      <c r="L45" s="7">
        <v>2295.5033187600002</v>
      </c>
      <c r="M45" s="7">
        <v>2238.11577622</v>
      </c>
      <c r="N45" s="7">
        <v>2182.1628974599998</v>
      </c>
      <c r="O45" s="7">
        <v>2127.60884261</v>
      </c>
      <c r="P45" s="7">
        <v>2074.41862283</v>
      </c>
      <c r="Q45" s="7">
        <v>2022.5581938800001</v>
      </c>
      <c r="R45" s="7">
        <v>1971.9942521400001</v>
      </c>
      <c r="S45" s="7">
        <v>1922.6944014999999</v>
      </c>
      <c r="T45" s="7">
        <v>1874.63284436</v>
      </c>
      <c r="U45" s="7">
        <v>1827.7670304599999</v>
      </c>
      <c r="V45" s="7">
        <v>1782.0733271199999</v>
      </c>
      <c r="W45" s="7">
        <v>1737.53174431</v>
      </c>
      <c r="X45" s="7">
        <v>1694.51524976</v>
      </c>
      <c r="Y45" s="7">
        <v>1652.15277539</v>
      </c>
      <c r="Z45" s="7">
        <v>1610.84899866</v>
      </c>
      <c r="AA45" s="7">
        <v>1570.57777369</v>
      </c>
      <c r="AB45" s="7">
        <v>1531.3133308199999</v>
      </c>
      <c r="AC45" s="7">
        <v>1493.0317194199999</v>
      </c>
    </row>
    <row r="46" spans="1:29" x14ac:dyDescent="0.85">
      <c r="A46" t="s">
        <v>144</v>
      </c>
      <c r="B46" s="7">
        <v>162.36196962</v>
      </c>
      <c r="C46" s="7">
        <v>158.30292048999999</v>
      </c>
      <c r="D46" s="7">
        <v>154.34534825</v>
      </c>
      <c r="E46" s="7">
        <v>150.48673468000001</v>
      </c>
      <c r="F46" s="7">
        <v>146.74636064000001</v>
      </c>
      <c r="G46" s="7">
        <v>143.07770205</v>
      </c>
      <c r="H46" s="7">
        <v>139.50075946999999</v>
      </c>
      <c r="I46" s="7">
        <v>136.01324069</v>
      </c>
      <c r="J46" s="7">
        <v>132.61290847999999</v>
      </c>
      <c r="K46" s="7">
        <v>129.29758584999999</v>
      </c>
      <c r="L46" s="7">
        <v>126.06514588</v>
      </c>
      <c r="M46" s="7">
        <v>122.91351945</v>
      </c>
      <c r="N46" s="7">
        <v>119.84068232</v>
      </c>
      <c r="O46" s="7">
        <v>116.84466623</v>
      </c>
      <c r="P46" s="7">
        <v>113.92354965</v>
      </c>
      <c r="Q46" s="7">
        <v>111.07546291</v>
      </c>
      <c r="R46" s="7">
        <v>108.29857706</v>
      </c>
      <c r="S46" s="7">
        <v>105.59111295</v>
      </c>
      <c r="T46" s="7">
        <v>102.95165381</v>
      </c>
      <c r="U46" s="7">
        <v>100.37786285999999</v>
      </c>
      <c r="V46" s="7">
        <v>97.868442229999999</v>
      </c>
      <c r="W46" s="7">
        <v>95.422294109999996</v>
      </c>
      <c r="X46" s="7">
        <v>93.059901240000002</v>
      </c>
      <c r="Y46" s="7">
        <v>90.733426059999999</v>
      </c>
      <c r="Z46" s="7">
        <v>88.465092749999997</v>
      </c>
      <c r="AA46" s="7">
        <v>86.253465430000006</v>
      </c>
      <c r="AB46" s="7">
        <v>84.09712888</v>
      </c>
      <c r="AC46" s="7">
        <v>81.994767760000002</v>
      </c>
    </row>
    <row r="47" spans="1:29" x14ac:dyDescent="0.85">
      <c r="A47" t="s">
        <v>145</v>
      </c>
      <c r="B47" s="7">
        <v>1</v>
      </c>
      <c r="C47" s="7">
        <v>1.0249999999999999</v>
      </c>
      <c r="D47" s="7">
        <v>1</v>
      </c>
      <c r="E47" s="7">
        <v>1</v>
      </c>
      <c r="F47" s="7">
        <v>1.0000001300000001</v>
      </c>
      <c r="G47" s="7">
        <v>1.0001485400000001</v>
      </c>
      <c r="H47" s="7">
        <v>1</v>
      </c>
      <c r="I47" s="7">
        <v>1</v>
      </c>
      <c r="J47" s="7">
        <v>1</v>
      </c>
      <c r="K47" s="7">
        <v>0.99999998999999995</v>
      </c>
      <c r="L47" s="7">
        <v>1</v>
      </c>
      <c r="M47" s="7">
        <v>1</v>
      </c>
      <c r="N47" s="7">
        <v>1.0000000200000001</v>
      </c>
      <c r="O47" s="7">
        <v>1.0000000099999999</v>
      </c>
      <c r="P47" s="7">
        <v>1.0000000099999999</v>
      </c>
      <c r="Q47" s="7">
        <v>1</v>
      </c>
      <c r="R47" s="7">
        <v>1.0000000200000001</v>
      </c>
      <c r="S47" s="7">
        <v>1.0000000099999999</v>
      </c>
      <c r="T47" s="7">
        <v>1</v>
      </c>
      <c r="U47" s="7">
        <v>1.0000031</v>
      </c>
      <c r="V47" s="7">
        <v>1</v>
      </c>
      <c r="W47" s="7">
        <v>1.0000002699999999</v>
      </c>
      <c r="X47" s="7">
        <v>1.0000058999999999</v>
      </c>
      <c r="Y47" s="7">
        <v>1.0002489800000001</v>
      </c>
      <c r="Z47" s="7">
        <v>1.00000025</v>
      </c>
      <c r="AA47" s="7">
        <v>1.00000003</v>
      </c>
      <c r="AB47" s="7">
        <v>1</v>
      </c>
      <c r="AC47" s="7">
        <v>1</v>
      </c>
    </row>
    <row r="48" spans="1:29" x14ac:dyDescent="0.85">
      <c r="A48" t="s">
        <v>146</v>
      </c>
      <c r="B48" s="7">
        <v>1</v>
      </c>
      <c r="C48" s="7">
        <v>1</v>
      </c>
      <c r="D48" s="7">
        <v>1</v>
      </c>
      <c r="E48" s="7">
        <v>1.0000001300000001</v>
      </c>
      <c r="F48" s="7">
        <v>1.0001485400000001</v>
      </c>
      <c r="G48" s="7">
        <v>1</v>
      </c>
      <c r="H48" s="7">
        <v>1</v>
      </c>
      <c r="I48" s="7">
        <v>1</v>
      </c>
      <c r="J48" s="7">
        <v>0.99999998999999995</v>
      </c>
      <c r="K48" s="7">
        <v>1</v>
      </c>
      <c r="L48" s="7">
        <v>1</v>
      </c>
      <c r="M48" s="7">
        <v>1.0000000200000001</v>
      </c>
      <c r="N48" s="7">
        <v>1.0000000099999999</v>
      </c>
      <c r="O48" s="7">
        <v>1.0000000099999999</v>
      </c>
      <c r="P48" s="7">
        <v>1</v>
      </c>
      <c r="Q48" s="7">
        <v>1.0000000200000001</v>
      </c>
      <c r="R48" s="7">
        <v>1.0000000099999999</v>
      </c>
      <c r="S48" s="7">
        <v>1</v>
      </c>
      <c r="T48" s="7">
        <v>1.0000031</v>
      </c>
      <c r="U48" s="7">
        <v>1</v>
      </c>
      <c r="V48" s="7">
        <v>1.0000002699999999</v>
      </c>
      <c r="W48" s="7">
        <v>1.0000058999999999</v>
      </c>
      <c r="X48" s="7">
        <v>1.0002489800000001</v>
      </c>
      <c r="Y48" s="7">
        <v>1.00000025</v>
      </c>
      <c r="Z48" s="7">
        <v>1.00000003</v>
      </c>
      <c r="AA48" s="7">
        <v>1</v>
      </c>
      <c r="AB48" s="7">
        <v>1</v>
      </c>
      <c r="AC48" s="7">
        <v>1.0000008199999999</v>
      </c>
    </row>
    <row r="49" spans="1:29" x14ac:dyDescent="0.85">
      <c r="A49" t="s">
        <v>147</v>
      </c>
      <c r="B49" s="7">
        <v>1</v>
      </c>
      <c r="C49" s="7">
        <v>1.74779543</v>
      </c>
      <c r="D49" s="7">
        <v>1.76874295</v>
      </c>
      <c r="E49" s="7">
        <v>1.7906430799999999</v>
      </c>
      <c r="F49" s="7">
        <v>1.81826496</v>
      </c>
      <c r="G49" s="7">
        <v>1.8678889599999999</v>
      </c>
      <c r="H49" s="7">
        <v>1.92092117</v>
      </c>
      <c r="I49" s="7">
        <v>1.98895139</v>
      </c>
      <c r="J49" s="7">
        <v>2.0800133500000002</v>
      </c>
      <c r="K49" s="7">
        <v>2.1799991300000001</v>
      </c>
      <c r="L49" s="7">
        <v>2.2896007799999998</v>
      </c>
      <c r="M49" s="7">
        <v>2.4096740699999999</v>
      </c>
      <c r="N49" s="7">
        <v>2.53198686</v>
      </c>
      <c r="O49" s="7">
        <v>2.6242241000000002</v>
      </c>
      <c r="P49" s="7">
        <v>2.7218687199999998</v>
      </c>
      <c r="Q49" s="7">
        <v>2.8253793300000001</v>
      </c>
      <c r="R49" s="7">
        <v>2.9369013800000001</v>
      </c>
      <c r="S49" s="7">
        <v>3.0548687399999999</v>
      </c>
      <c r="T49" s="7">
        <v>3.1796490799999999</v>
      </c>
      <c r="U49" s="7">
        <v>3.31160911</v>
      </c>
      <c r="V49" s="7">
        <v>3.4511603700000002</v>
      </c>
      <c r="W49" s="7">
        <v>3.5987146499999998</v>
      </c>
      <c r="X49" s="7">
        <v>3.7546980799999998</v>
      </c>
      <c r="Y49" s="7">
        <v>3.91888967</v>
      </c>
      <c r="Z49" s="7">
        <v>4.0931319899999998</v>
      </c>
      <c r="AA49" s="7">
        <v>4.2772866399999998</v>
      </c>
      <c r="AB49" s="7">
        <v>4.4719481800000001</v>
      </c>
      <c r="AC49" s="7">
        <v>4.6775475100000001</v>
      </c>
    </row>
    <row r="50" spans="1:29" x14ac:dyDescent="0.85">
      <c r="A50" t="s">
        <v>148</v>
      </c>
      <c r="B50" s="7">
        <v>24168</v>
      </c>
      <c r="C50" s="7">
        <v>25892.789125989999</v>
      </c>
      <c r="D50" s="7">
        <v>27642.146597250001</v>
      </c>
      <c r="E50" s="7">
        <v>28906.48104554</v>
      </c>
      <c r="F50" s="7">
        <v>29510.145031489999</v>
      </c>
      <c r="G50" s="7">
        <v>30147.236842359998</v>
      </c>
      <c r="H50" s="7">
        <v>31799.664254480002</v>
      </c>
      <c r="I50" s="7">
        <v>35004.197690950001</v>
      </c>
      <c r="J50" s="7">
        <v>38414.264275080001</v>
      </c>
      <c r="K50" s="7">
        <v>42030.32565762</v>
      </c>
      <c r="L50" s="7">
        <v>45865.430571190002</v>
      </c>
      <c r="M50" s="7">
        <v>49233.362970319999</v>
      </c>
      <c r="N50" s="7">
        <v>49783.827248829999</v>
      </c>
      <c r="O50" s="7">
        <v>50347.623183030002</v>
      </c>
      <c r="P50" s="7">
        <v>50935.655319060003</v>
      </c>
      <c r="Q50" s="7">
        <v>51670.891774989999</v>
      </c>
      <c r="R50" s="7">
        <v>52411.595106970002</v>
      </c>
      <c r="S50" s="7">
        <v>53158.720978090001</v>
      </c>
      <c r="T50" s="7">
        <v>53912.293820669998</v>
      </c>
      <c r="U50" s="7">
        <v>54672.608965320003</v>
      </c>
      <c r="V50" s="7">
        <v>55439.937973070002</v>
      </c>
      <c r="W50" s="7">
        <v>56214.501363069998</v>
      </c>
      <c r="X50" s="7">
        <v>56996.472212599998</v>
      </c>
      <c r="Y50" s="7">
        <v>57785.09497228</v>
      </c>
      <c r="Z50" s="7">
        <v>58581.740207199997</v>
      </c>
      <c r="AA50" s="7">
        <v>59389.365923079997</v>
      </c>
      <c r="AB50" s="7">
        <v>60200.607776600002</v>
      </c>
      <c r="AC50" s="7">
        <v>61023.04326251</v>
      </c>
    </row>
    <row r="51" spans="1:29" x14ac:dyDescent="0.85">
      <c r="A51" t="s">
        <v>149</v>
      </c>
      <c r="B51" s="7">
        <v>65040939.5</v>
      </c>
      <c r="C51" s="7">
        <v>77102837.745062798</v>
      </c>
      <c r="D51" s="7">
        <v>89141463.550448194</v>
      </c>
      <c r="E51" s="7">
        <v>98949114.2346562</v>
      </c>
      <c r="F51" s="7">
        <v>99405346.8750927</v>
      </c>
      <c r="G51" s="7">
        <v>99721792.755152807</v>
      </c>
      <c r="H51" s="7">
        <v>103308421.398164</v>
      </c>
      <c r="I51" s="7">
        <v>114457282.269124</v>
      </c>
      <c r="J51" s="7">
        <v>126705753.773828</v>
      </c>
      <c r="K51" s="7">
        <v>138816956.40813601</v>
      </c>
      <c r="L51" s="7">
        <v>152628339.45555899</v>
      </c>
      <c r="M51" s="7">
        <v>161146439.95759201</v>
      </c>
      <c r="N51" s="7">
        <v>156662007.92354199</v>
      </c>
      <c r="O51" s="7">
        <v>152155934.07213399</v>
      </c>
      <c r="P51" s="7">
        <v>147673952.32354799</v>
      </c>
      <c r="Q51" s="7">
        <v>143260970.950241</v>
      </c>
      <c r="R51" s="7">
        <v>138943097.117403</v>
      </c>
      <c r="S51" s="7">
        <v>134746061.229541</v>
      </c>
      <c r="T51" s="7">
        <v>130671338.518812</v>
      </c>
      <c r="U51" s="7">
        <v>126758949.73473001</v>
      </c>
      <c r="V51" s="7">
        <v>123028469.644804</v>
      </c>
      <c r="W51" s="7">
        <v>119491331.27677999</v>
      </c>
      <c r="X51" s="7">
        <v>116139026.988397</v>
      </c>
      <c r="Y51" s="7">
        <v>112937023.86491001</v>
      </c>
      <c r="Z51" s="7">
        <v>109888986.43407001</v>
      </c>
      <c r="AA51" s="7">
        <v>106993476.932218</v>
      </c>
      <c r="AB51" s="7">
        <v>104245916.99369</v>
      </c>
      <c r="AC51" s="7">
        <v>101642131.566339</v>
      </c>
    </row>
    <row r="52" spans="1:29" x14ac:dyDescent="0.85">
      <c r="A52" t="s">
        <v>150</v>
      </c>
      <c r="B52" s="7">
        <v>65040939.5</v>
      </c>
      <c r="C52" s="7">
        <v>77102837.745062798</v>
      </c>
      <c r="D52" s="7">
        <v>89141463.550448194</v>
      </c>
      <c r="E52" s="7">
        <v>98949114.2346562</v>
      </c>
      <c r="F52" s="7">
        <v>99405346.8750927</v>
      </c>
      <c r="G52" s="7">
        <v>99721792.755152807</v>
      </c>
      <c r="H52" s="7">
        <v>103308421.398164</v>
      </c>
      <c r="I52" s="7">
        <v>114457282.269124</v>
      </c>
      <c r="J52" s="7">
        <v>126705753.773828</v>
      </c>
      <c r="K52" s="7">
        <v>138816956.40813601</v>
      </c>
      <c r="L52" s="7">
        <v>152628339.45555899</v>
      </c>
      <c r="M52" s="7">
        <v>161146439.95759201</v>
      </c>
      <c r="N52" s="7">
        <v>156662007.92354199</v>
      </c>
      <c r="O52" s="7">
        <v>152155934.07213399</v>
      </c>
      <c r="P52" s="7">
        <v>147673952.32354799</v>
      </c>
      <c r="Q52" s="7">
        <v>143260970.950241</v>
      </c>
      <c r="R52" s="7">
        <v>138943097.117403</v>
      </c>
      <c r="S52" s="7">
        <v>134746061.229541</v>
      </c>
      <c r="T52" s="7">
        <v>130671338.518812</v>
      </c>
      <c r="U52" s="7">
        <v>126758949.73473001</v>
      </c>
      <c r="V52" s="7">
        <v>123028469.644804</v>
      </c>
      <c r="W52" s="7">
        <v>119491331.27677999</v>
      </c>
      <c r="X52" s="7">
        <v>116139026.988397</v>
      </c>
      <c r="Y52" s="7">
        <v>112937023.86491001</v>
      </c>
      <c r="Z52" s="7">
        <v>109888986.43407001</v>
      </c>
      <c r="AA52" s="7">
        <v>106993476.932218</v>
      </c>
      <c r="AB52" s="7">
        <v>104245916.99369</v>
      </c>
      <c r="AC52" s="7">
        <v>101642131.566339</v>
      </c>
    </row>
    <row r="53" spans="1:29" x14ac:dyDescent="0.85">
      <c r="A53" t="s">
        <v>151</v>
      </c>
      <c r="B53" s="7">
        <v>6170.1694934500001</v>
      </c>
      <c r="C53" s="7">
        <v>6791.5653270599996</v>
      </c>
      <c r="D53" s="7">
        <v>7417.0524043799996</v>
      </c>
      <c r="E53" s="7">
        <v>7896.1249050400002</v>
      </c>
      <c r="F53" s="7">
        <v>8021.7345970799997</v>
      </c>
      <c r="G53" s="7">
        <v>8150.2726771899997</v>
      </c>
      <c r="H53" s="7">
        <v>8551.1494036599997</v>
      </c>
      <c r="I53" s="7">
        <v>9430.8828392699997</v>
      </c>
      <c r="J53" s="7">
        <v>10376.423664190001</v>
      </c>
      <c r="K53" s="7">
        <v>11357.679565009999</v>
      </c>
      <c r="L53" s="7">
        <v>12421.95883947</v>
      </c>
      <c r="M53" s="7">
        <v>13268.48837042</v>
      </c>
      <c r="N53" s="7">
        <v>13263.45715964</v>
      </c>
      <c r="O53" s="7">
        <v>13260.4260767</v>
      </c>
      <c r="P53" s="7">
        <v>13262.5789453</v>
      </c>
      <c r="Q53" s="7">
        <v>13294.330952140001</v>
      </c>
      <c r="R53" s="7">
        <v>13329.44031025</v>
      </c>
      <c r="S53" s="7">
        <v>13368.716071549999</v>
      </c>
      <c r="T53" s="7">
        <v>13412.19886497</v>
      </c>
      <c r="U53" s="7">
        <v>13460.92120271</v>
      </c>
      <c r="V53" s="7">
        <v>13515.412207380001</v>
      </c>
      <c r="W53" s="7">
        <v>13575.99266367</v>
      </c>
      <c r="X53" s="7">
        <v>13642.48780712</v>
      </c>
      <c r="Y53" s="7">
        <v>13713.91175376</v>
      </c>
      <c r="Z53" s="7">
        <v>13790.61382925</v>
      </c>
      <c r="AA53" s="7">
        <v>13873.119902390001</v>
      </c>
      <c r="AB53" s="7">
        <v>13959.921701879999</v>
      </c>
      <c r="AC53" s="7">
        <v>14052.354337229999</v>
      </c>
    </row>
    <row r="54" spans="1:29" x14ac:dyDescent="0.85">
      <c r="A54" t="s">
        <v>152</v>
      </c>
      <c r="B54" s="7">
        <v>0</v>
      </c>
      <c r="C54" s="7">
        <v>755.60780990000001</v>
      </c>
      <c r="D54" s="7">
        <v>1747.1726855899999</v>
      </c>
      <c r="E54" s="7">
        <v>2909.1039584999999</v>
      </c>
      <c r="F54" s="7">
        <v>3896.6895975000002</v>
      </c>
      <c r="G54" s="7">
        <v>4886.3678449999998</v>
      </c>
      <c r="H54" s="7">
        <v>6074.5351782099997</v>
      </c>
      <c r="I54" s="7">
        <v>7851.7695636600001</v>
      </c>
      <c r="J54" s="7">
        <v>9933.73109587</v>
      </c>
      <c r="K54" s="7">
        <v>12243.655555200001</v>
      </c>
      <c r="L54" s="7">
        <v>14957.577266640001</v>
      </c>
      <c r="M54" s="7">
        <v>17371.586227430002</v>
      </c>
      <c r="N54" s="7">
        <v>18423.452131810001</v>
      </c>
      <c r="O54" s="7">
        <v>19384.666000789999</v>
      </c>
      <c r="P54" s="7">
        <v>20260.86625879</v>
      </c>
      <c r="Q54" s="7">
        <v>21059.362729690001</v>
      </c>
      <c r="R54" s="7">
        <v>21786.277628010001</v>
      </c>
      <c r="S54" s="7">
        <v>22448.693800839999</v>
      </c>
      <c r="T54" s="7">
        <v>23050.424114720001</v>
      </c>
      <c r="U54" s="7">
        <v>23602.516440610001</v>
      </c>
      <c r="V54" s="7">
        <v>24113.580050379998</v>
      </c>
      <c r="W54" s="7">
        <v>24591.315976760001</v>
      </c>
      <c r="X54" s="7">
        <v>25039.5742187</v>
      </c>
      <c r="Y54" s="7">
        <v>25456.005179150001</v>
      </c>
      <c r="Z54" s="7">
        <v>25845.889609289999</v>
      </c>
      <c r="AA54" s="7">
        <v>26213.40184839</v>
      </c>
      <c r="AB54" s="7">
        <v>26561.859649990001</v>
      </c>
      <c r="AC54" s="7">
        <v>26894.508012449998</v>
      </c>
    </row>
    <row r="55" spans="1:29" x14ac:dyDescent="0.85">
      <c r="A55" t="s">
        <v>153</v>
      </c>
      <c r="B55" s="7">
        <v>31.870060349999999</v>
      </c>
      <c r="C55" s="7">
        <v>37.780390500000003</v>
      </c>
      <c r="D55" s="7">
        <v>43.679317140000002</v>
      </c>
      <c r="E55" s="7">
        <v>48.485065970000001</v>
      </c>
      <c r="F55" s="7">
        <v>48.708619970000001</v>
      </c>
      <c r="G55" s="7">
        <v>48.863678450000002</v>
      </c>
      <c r="H55" s="7">
        <v>50.621126490000002</v>
      </c>
      <c r="I55" s="7">
        <v>56.084068309999999</v>
      </c>
      <c r="J55" s="7">
        <v>62.085819350000001</v>
      </c>
      <c r="K55" s="7">
        <v>68.020308639999996</v>
      </c>
      <c r="L55" s="7">
        <v>74.787886330000006</v>
      </c>
      <c r="M55" s="7">
        <v>78.961755580000002</v>
      </c>
      <c r="N55" s="7">
        <v>76.764383879999997</v>
      </c>
      <c r="O55" s="7">
        <v>74.556407699999994</v>
      </c>
      <c r="P55" s="7">
        <v>72.360236639999997</v>
      </c>
      <c r="Q55" s="7">
        <v>70.197875769999996</v>
      </c>
      <c r="R55" s="7">
        <v>68.082117589999996</v>
      </c>
      <c r="S55" s="7">
        <v>66.025570000000002</v>
      </c>
      <c r="T55" s="7">
        <v>64.028955870000004</v>
      </c>
      <c r="U55" s="7">
        <v>62.111885370000003</v>
      </c>
      <c r="V55" s="7">
        <v>60.283950130000001</v>
      </c>
      <c r="W55" s="7">
        <v>58.550752330000002</v>
      </c>
      <c r="X55" s="7">
        <v>56.90812322</v>
      </c>
      <c r="Y55" s="7">
        <v>55.339141689999998</v>
      </c>
      <c r="Z55" s="7">
        <v>53.845603349999998</v>
      </c>
      <c r="AA55" s="7">
        <v>52.426803700000001</v>
      </c>
      <c r="AB55" s="7">
        <v>51.080499330000002</v>
      </c>
      <c r="AC55" s="7">
        <v>49.80464447</v>
      </c>
    </row>
    <row r="56" spans="1:29" x14ac:dyDescent="0.85">
      <c r="A56" t="s">
        <v>154</v>
      </c>
      <c r="B56" s="7">
        <v>4583.1705696500003</v>
      </c>
      <c r="C56" s="7">
        <v>4910.2560860800004</v>
      </c>
      <c r="D56" s="7">
        <v>5242.0006937500002</v>
      </c>
      <c r="E56" s="7">
        <v>5481.7665177099998</v>
      </c>
      <c r="F56" s="7">
        <v>5596.2441333300003</v>
      </c>
      <c r="G56" s="7">
        <v>5717.0609339700004</v>
      </c>
      <c r="H56" s="7">
        <v>6030.4239215400003</v>
      </c>
      <c r="I56" s="7">
        <v>6638.1251519099997</v>
      </c>
      <c r="J56" s="7">
        <v>7284.8032721099999</v>
      </c>
      <c r="K56" s="7">
        <v>7970.5458286499997</v>
      </c>
      <c r="L56" s="7">
        <v>8697.8273567600008</v>
      </c>
      <c r="M56" s="7">
        <v>9336.5152354500005</v>
      </c>
      <c r="N56" s="7">
        <v>9440.9041663099997</v>
      </c>
      <c r="O56" s="7">
        <v>9547.82128534</v>
      </c>
      <c r="P56" s="7">
        <v>9659.3345086099998</v>
      </c>
      <c r="Q56" s="7">
        <v>9798.7632609499997</v>
      </c>
      <c r="R56" s="7">
        <v>9939.2287405900006</v>
      </c>
      <c r="S56" s="7">
        <v>10080.912177550001</v>
      </c>
      <c r="T56" s="7">
        <v>10223.818205109999</v>
      </c>
      <c r="U56" s="7">
        <v>10368.00282919</v>
      </c>
      <c r="V56" s="7">
        <v>10513.51754805</v>
      </c>
      <c r="W56" s="7">
        <v>10660.404180510001</v>
      </c>
      <c r="X56" s="7">
        <v>10808.695548600001</v>
      </c>
      <c r="Y56" s="7">
        <v>10958.248371449999</v>
      </c>
      <c r="Z56" s="7">
        <v>11109.32256026</v>
      </c>
      <c r="AA56" s="7">
        <v>11262.479065240001</v>
      </c>
      <c r="AB56" s="7">
        <v>11416.321327240001</v>
      </c>
      <c r="AC56" s="7">
        <v>11572.286327010001</v>
      </c>
    </row>
    <row r="57" spans="1:29" x14ac:dyDescent="0.85">
      <c r="A57" t="s">
        <v>155</v>
      </c>
      <c r="B57" s="7">
        <v>1586.9989238000001</v>
      </c>
      <c r="C57" s="7">
        <v>1881.3092409799999</v>
      </c>
      <c r="D57" s="7">
        <v>2175.0517106299999</v>
      </c>
      <c r="E57" s="7">
        <v>2414.3583873299999</v>
      </c>
      <c r="F57" s="7">
        <v>2425.4904637499999</v>
      </c>
      <c r="G57" s="7">
        <v>2433.2117432300001</v>
      </c>
      <c r="H57" s="7">
        <v>2520.7254821199999</v>
      </c>
      <c r="I57" s="7">
        <v>2792.75768737</v>
      </c>
      <c r="J57" s="7">
        <v>3091.6203920799999</v>
      </c>
      <c r="K57" s="7">
        <v>3387.1337363600001</v>
      </c>
      <c r="L57" s="7">
        <v>3724.1314827199999</v>
      </c>
      <c r="M57" s="7">
        <v>3931.97313497</v>
      </c>
      <c r="N57" s="7">
        <v>3822.5529933299999</v>
      </c>
      <c r="O57" s="7">
        <v>3712.60479136</v>
      </c>
      <c r="P57" s="7">
        <v>3603.2444366899999</v>
      </c>
      <c r="Q57" s="7">
        <v>3495.56769119</v>
      </c>
      <c r="R57" s="7">
        <v>3390.2115696599999</v>
      </c>
      <c r="S57" s="7">
        <v>3287.8038940000001</v>
      </c>
      <c r="T57" s="7">
        <v>3188.3806598599999</v>
      </c>
      <c r="U57" s="7">
        <v>3092.9183735299998</v>
      </c>
      <c r="V57" s="7">
        <v>3001.8946593300002</v>
      </c>
      <c r="W57" s="7">
        <v>2915.5884831499998</v>
      </c>
      <c r="X57" s="7">
        <v>2833.7922585199999</v>
      </c>
      <c r="Y57" s="7">
        <v>2755.6633823000002</v>
      </c>
      <c r="Z57" s="7">
        <v>2681.2912689899999</v>
      </c>
      <c r="AA57" s="7">
        <v>2610.6408371500002</v>
      </c>
      <c r="AB57" s="7">
        <v>2543.60037465</v>
      </c>
      <c r="AC57" s="7">
        <v>2480.0680102199999</v>
      </c>
    </row>
    <row r="58" spans="1:29" x14ac:dyDescent="0.85">
      <c r="A58" t="s">
        <v>156</v>
      </c>
      <c r="B58" s="7">
        <v>1</v>
      </c>
      <c r="C58" s="7">
        <v>1.04</v>
      </c>
      <c r="D58" s="7">
        <v>1.11600692</v>
      </c>
      <c r="E58" s="7">
        <v>1.1120433000000001</v>
      </c>
      <c r="F58" s="7">
        <v>1.0893118500000001</v>
      </c>
      <c r="G58" s="7">
        <v>1.06342015</v>
      </c>
      <c r="H58" s="7">
        <v>1.06415511</v>
      </c>
      <c r="I58" s="7">
        <v>1.0987624</v>
      </c>
      <c r="J58" s="7">
        <v>1.1431406200000001</v>
      </c>
      <c r="K58" s="7">
        <v>1.1397233600000001</v>
      </c>
      <c r="L58" s="7">
        <v>1.1367674699999999</v>
      </c>
      <c r="M58" s="7">
        <v>1.1341954299999999</v>
      </c>
      <c r="N58" s="7">
        <v>1.1181570199999999</v>
      </c>
      <c r="O58" s="7">
        <v>1.05331325</v>
      </c>
      <c r="P58" s="7">
        <v>1.0534634199999999</v>
      </c>
      <c r="Q58" s="7">
        <v>1.05383275</v>
      </c>
      <c r="R58" s="7">
        <v>1.0567027200000001</v>
      </c>
      <c r="S58" s="7">
        <v>1.05659898</v>
      </c>
      <c r="T58" s="7">
        <v>1.0565156</v>
      </c>
      <c r="U58" s="7">
        <v>1.0564332299999999</v>
      </c>
      <c r="V58" s="7">
        <v>1.0563571</v>
      </c>
      <c r="W58" s="7">
        <v>1.05628644</v>
      </c>
      <c r="X58" s="7">
        <v>1.05622002</v>
      </c>
      <c r="Y58" s="7">
        <v>1.05615675</v>
      </c>
      <c r="Z58" s="7">
        <v>1.0560795199999999</v>
      </c>
      <c r="AA58" s="7">
        <v>1.05602744</v>
      </c>
      <c r="AB58" s="7">
        <v>1.0560274000000001</v>
      </c>
      <c r="AC58" s="7">
        <v>1.0558955400000001</v>
      </c>
    </row>
    <row r="59" spans="1:29" x14ac:dyDescent="0.85">
      <c r="A59" t="s">
        <v>157</v>
      </c>
      <c r="B59" s="7">
        <v>1</v>
      </c>
      <c r="C59" s="7">
        <v>1.11600692</v>
      </c>
      <c r="D59" s="7">
        <v>1.1120433000000001</v>
      </c>
      <c r="E59" s="7">
        <v>1.0893118500000001</v>
      </c>
      <c r="F59" s="7">
        <v>1.06342015</v>
      </c>
      <c r="G59" s="7">
        <v>1.06415511</v>
      </c>
      <c r="H59" s="7">
        <v>1.0987624</v>
      </c>
      <c r="I59" s="7">
        <v>1.14663808</v>
      </c>
      <c r="J59" s="7">
        <v>1.14314457</v>
      </c>
      <c r="K59" s="7">
        <v>1.1397221900000001</v>
      </c>
      <c r="L59" s="7">
        <v>1.13671473</v>
      </c>
      <c r="M59" s="7">
        <v>1.1181570199999999</v>
      </c>
      <c r="N59" s="7">
        <v>1.05331325</v>
      </c>
      <c r="O59" s="7">
        <v>1.0534634199999999</v>
      </c>
      <c r="P59" s="7">
        <v>1.05383275</v>
      </c>
      <c r="Q59" s="7">
        <v>1.0567027200000001</v>
      </c>
      <c r="R59" s="7">
        <v>1.05659898</v>
      </c>
      <c r="S59" s="7">
        <v>1.0565156</v>
      </c>
      <c r="T59" s="7">
        <v>1.0564332299999999</v>
      </c>
      <c r="U59" s="7">
        <v>1.0563571</v>
      </c>
      <c r="V59" s="7">
        <v>1.05628644</v>
      </c>
      <c r="W59" s="7">
        <v>1.05622002</v>
      </c>
      <c r="X59" s="7">
        <v>1.05615675</v>
      </c>
      <c r="Y59" s="7">
        <v>1.0560795199999999</v>
      </c>
      <c r="Z59" s="7">
        <v>1.05602744</v>
      </c>
      <c r="AA59" s="7">
        <v>1.0560274000000001</v>
      </c>
      <c r="AB59" s="7">
        <v>1.0558955400000001</v>
      </c>
      <c r="AC59" s="7">
        <v>1.0558974800000001</v>
      </c>
    </row>
    <row r="60" spans="1:29" x14ac:dyDescent="0.85">
      <c r="A60" t="s">
        <v>158</v>
      </c>
      <c r="B60" s="7">
        <v>1</v>
      </c>
      <c r="C60" s="7">
        <v>1.16618983</v>
      </c>
      <c r="D60" s="7">
        <v>1.1568696199999999</v>
      </c>
      <c r="E60" s="7">
        <v>1.1486587399999999</v>
      </c>
      <c r="F60" s="7">
        <v>1.14425512</v>
      </c>
      <c r="G60" s="7">
        <v>1.1460663600000001</v>
      </c>
      <c r="H60" s="7">
        <v>1.14784256</v>
      </c>
      <c r="I60" s="7">
        <v>1.1470925999999999</v>
      </c>
      <c r="J60" s="7">
        <v>1.1431506199999999</v>
      </c>
      <c r="K60" s="7">
        <v>1.1397333599999999</v>
      </c>
      <c r="L60" s="7">
        <v>1.13677747</v>
      </c>
      <c r="M60" s="7">
        <v>1.13420543</v>
      </c>
      <c r="N60" s="7">
        <v>1.13286321</v>
      </c>
      <c r="O60" s="7">
        <v>1.13546364</v>
      </c>
      <c r="P60" s="7">
        <v>1.1380919300000001</v>
      </c>
      <c r="Q60" s="7">
        <v>1.14073253</v>
      </c>
      <c r="R60" s="7">
        <v>1.1432072200000001</v>
      </c>
      <c r="S60" s="7">
        <v>1.1457175799999999</v>
      </c>
      <c r="T60" s="7">
        <v>1.14826267</v>
      </c>
      <c r="U60" s="7">
        <v>1.15084294</v>
      </c>
      <c r="V60" s="7">
        <v>1.15345842</v>
      </c>
      <c r="W60" s="7">
        <v>1.15610919</v>
      </c>
      <c r="X60" s="7">
        <v>1.15879541</v>
      </c>
      <c r="Y60" s="7">
        <v>1.1615176199999999</v>
      </c>
      <c r="Z60" s="7">
        <v>1.1642769399999999</v>
      </c>
      <c r="AA60" s="7">
        <v>1.1670719599999999</v>
      </c>
      <c r="AB60" s="7">
        <v>1.1698981799999999</v>
      </c>
      <c r="AC60" s="7">
        <v>1.17276874</v>
      </c>
    </row>
    <row r="61" spans="1:29" x14ac:dyDescent="0.85">
      <c r="A61" t="s">
        <v>159</v>
      </c>
      <c r="B61" s="7">
        <v>21862</v>
      </c>
      <c r="C61" s="7">
        <v>21315.450013270001</v>
      </c>
      <c r="D61" s="7">
        <v>20782.563762940001</v>
      </c>
      <c r="E61" s="7">
        <v>20262.999668870001</v>
      </c>
      <c r="F61" s="7">
        <v>19756.42467715</v>
      </c>
      <c r="G61" s="7">
        <v>19262.514060220001</v>
      </c>
      <c r="H61" s="7">
        <v>18780.951208710001</v>
      </c>
      <c r="I61" s="7">
        <v>18311.427428489998</v>
      </c>
      <c r="J61" s="7">
        <v>17853.641742780001</v>
      </c>
      <c r="K61" s="7">
        <v>17407.300699210002</v>
      </c>
      <c r="L61" s="7">
        <v>16972.118181729998</v>
      </c>
      <c r="M61" s="7">
        <v>16547.81522719</v>
      </c>
      <c r="N61" s="7">
        <v>16134.119846510001</v>
      </c>
      <c r="O61" s="7">
        <v>15730.766850350001</v>
      </c>
      <c r="P61" s="7">
        <v>15337.49767909</v>
      </c>
      <c r="Q61" s="7">
        <v>14954.060237109999</v>
      </c>
      <c r="R61" s="7">
        <v>14580.208731180001</v>
      </c>
      <c r="S61" s="7">
        <v>14215.7035129</v>
      </c>
      <c r="T61" s="7">
        <v>13860.310925080001</v>
      </c>
      <c r="U61" s="7">
        <v>13513.80315195</v>
      </c>
      <c r="V61" s="7">
        <v>13175.958073149999</v>
      </c>
      <c r="W61" s="7">
        <v>12846.559121329999</v>
      </c>
      <c r="X61" s="7">
        <v>12525.395143289999</v>
      </c>
      <c r="Y61" s="7">
        <v>12212.260264709999</v>
      </c>
      <c r="Z61" s="7">
        <v>11906.95375809</v>
      </c>
      <c r="AA61" s="7">
        <v>11609.279914139999</v>
      </c>
      <c r="AB61" s="7">
        <v>11319.047916289999</v>
      </c>
      <c r="AC61" s="7">
        <v>11036.071718380001</v>
      </c>
    </row>
    <row r="62" spans="1:29" x14ac:dyDescent="0.85">
      <c r="A62" t="s">
        <v>160</v>
      </c>
      <c r="B62" s="7">
        <v>88768710.25</v>
      </c>
      <c r="C62" s="7">
        <v>86549492.547639906</v>
      </c>
      <c r="D62" s="7">
        <v>84385662.033807203</v>
      </c>
      <c r="E62" s="7">
        <v>82276020.479277804</v>
      </c>
      <c r="F62" s="7">
        <v>80219119.641160205</v>
      </c>
      <c r="G62" s="7">
        <v>78213636.309727207</v>
      </c>
      <c r="H62" s="7">
        <v>72839478.832920194</v>
      </c>
      <c r="I62" s="7">
        <v>59665510.975030802</v>
      </c>
      <c r="J62" s="7">
        <v>44940530.745535597</v>
      </c>
      <c r="K62" s="7">
        <v>29863541.494432401</v>
      </c>
      <c r="L62" s="7">
        <v>12564805.579012301</v>
      </c>
      <c r="M62" s="7">
        <v>11.250175219999999</v>
      </c>
      <c r="N62" s="7">
        <v>0</v>
      </c>
      <c r="O62" s="7">
        <v>0</v>
      </c>
      <c r="P62" s="7">
        <v>0</v>
      </c>
      <c r="Q62" s="7">
        <v>0</v>
      </c>
      <c r="R62" s="7">
        <v>0</v>
      </c>
      <c r="S62" s="7">
        <v>0</v>
      </c>
      <c r="T62" s="7">
        <v>0</v>
      </c>
      <c r="U62" s="7">
        <v>0</v>
      </c>
      <c r="V62" s="7">
        <v>0</v>
      </c>
      <c r="W62" s="7">
        <v>0</v>
      </c>
      <c r="X62" s="7">
        <v>0</v>
      </c>
      <c r="Y62" s="7">
        <v>0</v>
      </c>
      <c r="Z62" s="7">
        <v>0</v>
      </c>
      <c r="AA62" s="7">
        <v>0</v>
      </c>
      <c r="AB62" s="7">
        <v>0</v>
      </c>
      <c r="AC62" s="7">
        <v>0</v>
      </c>
    </row>
    <row r="63" spans="1:29" x14ac:dyDescent="0.85">
      <c r="A63" t="s">
        <v>161</v>
      </c>
      <c r="B63" s="7">
        <v>88768710.25</v>
      </c>
      <c r="C63" s="7">
        <v>86549492.547639906</v>
      </c>
      <c r="D63" s="7">
        <v>84385662.033807203</v>
      </c>
      <c r="E63" s="7">
        <v>82276020.479277804</v>
      </c>
      <c r="F63" s="7">
        <v>80219119.641160205</v>
      </c>
      <c r="G63" s="7">
        <v>78213636.309727207</v>
      </c>
      <c r="H63" s="7">
        <v>72839478.832920194</v>
      </c>
      <c r="I63" s="7">
        <v>59665510.975030802</v>
      </c>
      <c r="J63" s="7">
        <v>44940595.597254202</v>
      </c>
      <c r="K63" s="7">
        <v>29863950.456457101</v>
      </c>
      <c r="L63" s="7">
        <v>12565364.051069601</v>
      </c>
      <c r="M63" s="7">
        <v>11.252394949999999</v>
      </c>
      <c r="N63" s="7">
        <v>0</v>
      </c>
      <c r="O63" s="7">
        <v>0</v>
      </c>
      <c r="P63" s="7">
        <v>0</v>
      </c>
      <c r="Q63" s="7">
        <v>0</v>
      </c>
      <c r="R63" s="7">
        <v>0</v>
      </c>
      <c r="S63" s="7">
        <v>0</v>
      </c>
      <c r="T63" s="7">
        <v>0</v>
      </c>
      <c r="U63" s="7">
        <v>0</v>
      </c>
      <c r="V63" s="7">
        <v>0</v>
      </c>
      <c r="W63" s="7">
        <v>0</v>
      </c>
      <c r="X63" s="7">
        <v>0</v>
      </c>
      <c r="Y63" s="7">
        <v>0</v>
      </c>
      <c r="Z63" s="7">
        <v>0</v>
      </c>
      <c r="AA63" s="7">
        <v>0</v>
      </c>
      <c r="AB63" s="7">
        <v>0</v>
      </c>
      <c r="AC63" s="7">
        <v>0</v>
      </c>
    </row>
    <row r="64" spans="1:29" x14ac:dyDescent="0.85">
      <c r="A64" t="s">
        <v>162</v>
      </c>
      <c r="B64" s="7">
        <v>15152.295931410001</v>
      </c>
      <c r="C64" s="7">
        <v>14773.488542319999</v>
      </c>
      <c r="D64" s="7">
        <v>14404.14915906</v>
      </c>
      <c r="E64" s="7">
        <v>14044.04543</v>
      </c>
      <c r="F64" s="7">
        <v>13692.94428666</v>
      </c>
      <c r="G64" s="7">
        <v>13350.62055517</v>
      </c>
      <c r="H64" s="7">
        <v>12937.26499156</v>
      </c>
      <c r="I64" s="7">
        <v>12349.535971720001</v>
      </c>
      <c r="J64" s="7">
        <v>11732.726869820001</v>
      </c>
      <c r="K64" s="7">
        <v>11114.57982583</v>
      </c>
      <c r="L64" s="7">
        <v>10451.38505784</v>
      </c>
      <c r="M64" s="7">
        <v>9904.8920601099999</v>
      </c>
      <c r="N64" s="7">
        <v>9657.2695031999992</v>
      </c>
      <c r="O64" s="7">
        <v>9415.8377656199991</v>
      </c>
      <c r="P64" s="7">
        <v>9180.4418214800007</v>
      </c>
      <c r="Q64" s="7">
        <v>8950.9307759500007</v>
      </c>
      <c r="R64" s="7">
        <v>8727.1575065500001</v>
      </c>
      <c r="S64" s="7">
        <v>8508.9785688800002</v>
      </c>
      <c r="T64" s="7">
        <v>8296.2541046599999</v>
      </c>
      <c r="U64" s="7">
        <v>8088.8477520500001</v>
      </c>
      <c r="V64" s="7">
        <v>7886.6265582400001</v>
      </c>
      <c r="W64" s="7">
        <v>7689.4608942900004</v>
      </c>
      <c r="X64" s="7">
        <v>7497.2243719300004</v>
      </c>
      <c r="Y64" s="7">
        <v>7309.7937626299999</v>
      </c>
      <c r="Z64" s="7">
        <v>7127.0489185699998</v>
      </c>
      <c r="AA64" s="7">
        <v>6948.8726956</v>
      </c>
      <c r="AB64" s="7">
        <v>6775.15087821</v>
      </c>
      <c r="AC64" s="7">
        <v>6605.7721062600003</v>
      </c>
    </row>
    <row r="65" spans="1:29" x14ac:dyDescent="0.85">
      <c r="A65" t="s">
        <v>163</v>
      </c>
      <c r="B65" s="7">
        <v>0</v>
      </c>
      <c r="C65" s="7">
        <v>1419.41167778</v>
      </c>
      <c r="D65" s="7">
        <v>2767.8497147100002</v>
      </c>
      <c r="E65" s="7">
        <v>4047.9802075799998</v>
      </c>
      <c r="F65" s="7">
        <v>5262.3742484599998</v>
      </c>
      <c r="G65" s="7">
        <v>6413.5181774000002</v>
      </c>
      <c r="H65" s="7">
        <v>7167.4047171599996</v>
      </c>
      <c r="I65" s="7">
        <v>6849.6006599299999</v>
      </c>
      <c r="J65" s="7">
        <v>5896.2061423599998</v>
      </c>
      <c r="K65" s="7">
        <v>4407.9190873699999</v>
      </c>
      <c r="L65" s="7">
        <v>2060.7197043800002</v>
      </c>
      <c r="M65" s="7">
        <v>2.0299300000000001E-3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v>0</v>
      </c>
      <c r="W65" s="7">
        <v>0</v>
      </c>
      <c r="X65" s="7">
        <v>0</v>
      </c>
      <c r="Y65" s="7">
        <v>0</v>
      </c>
      <c r="Z65" s="7">
        <v>0</v>
      </c>
      <c r="AA65" s="7">
        <v>0</v>
      </c>
      <c r="AB65" s="7">
        <v>0</v>
      </c>
      <c r="AC65" s="7">
        <v>0</v>
      </c>
    </row>
    <row r="66" spans="1:29" x14ac:dyDescent="0.85">
      <c r="A66" t="s">
        <v>164</v>
      </c>
      <c r="B66" s="7">
        <v>72.7903424</v>
      </c>
      <c r="C66" s="7">
        <v>70.97058389</v>
      </c>
      <c r="D66" s="7">
        <v>69.196242870000006</v>
      </c>
      <c r="E66" s="7">
        <v>67.46633679</v>
      </c>
      <c r="F66" s="7">
        <v>65.779678110000006</v>
      </c>
      <c r="G66" s="7">
        <v>64.135181770000003</v>
      </c>
      <c r="H66" s="7">
        <v>59.728372640000003</v>
      </c>
      <c r="I66" s="7">
        <v>48.925719000000001</v>
      </c>
      <c r="J66" s="7">
        <v>36.851288390000001</v>
      </c>
      <c r="K66" s="7">
        <v>24.488439369999998</v>
      </c>
      <c r="L66" s="7">
        <v>10.30359852</v>
      </c>
      <c r="M66" s="7">
        <v>9.2299999999999997E-6</v>
      </c>
      <c r="N66" s="7">
        <v>0</v>
      </c>
      <c r="O66" s="7">
        <v>0</v>
      </c>
      <c r="P66" s="7">
        <v>0</v>
      </c>
      <c r="Q66" s="7">
        <v>0</v>
      </c>
      <c r="R66" s="7">
        <v>0</v>
      </c>
      <c r="S66" s="7">
        <v>0</v>
      </c>
      <c r="T66" s="7">
        <v>0</v>
      </c>
      <c r="U66" s="7">
        <v>0</v>
      </c>
      <c r="V66" s="7">
        <v>0</v>
      </c>
      <c r="W66" s="7">
        <v>0</v>
      </c>
      <c r="X66" s="7">
        <v>0</v>
      </c>
      <c r="Y66" s="7">
        <v>0</v>
      </c>
      <c r="Z66" s="7">
        <v>0</v>
      </c>
      <c r="AA66" s="7">
        <v>0</v>
      </c>
      <c r="AB66" s="7">
        <v>0</v>
      </c>
      <c r="AC66" s="7">
        <v>0</v>
      </c>
    </row>
    <row r="67" spans="1:29" x14ac:dyDescent="0.85">
      <c r="A67" t="s">
        <v>165</v>
      </c>
      <c r="B67" s="7">
        <v>13085.760356790001</v>
      </c>
      <c r="C67" s="7">
        <v>12758.61635581</v>
      </c>
      <c r="D67" s="7">
        <v>12439.65094691</v>
      </c>
      <c r="E67" s="7">
        <v>12128.659673239999</v>
      </c>
      <c r="F67" s="7">
        <v>11825.443181410001</v>
      </c>
      <c r="G67" s="7">
        <v>11529.80710188</v>
      </c>
      <c r="H67" s="7">
        <v>11241.561924330001</v>
      </c>
      <c r="I67" s="7">
        <v>10960.52287622</v>
      </c>
      <c r="J67" s="7">
        <v>10686.50980432</v>
      </c>
      <c r="K67" s="7">
        <v>10419.34705921</v>
      </c>
      <c r="L67" s="7">
        <v>10158.86338273</v>
      </c>
      <c r="M67" s="7">
        <v>9904.8917981600007</v>
      </c>
      <c r="N67" s="7">
        <v>9657.2695031999992</v>
      </c>
      <c r="O67" s="7">
        <v>9415.8377656199991</v>
      </c>
      <c r="P67" s="7">
        <v>9180.4418214800007</v>
      </c>
      <c r="Q67" s="7">
        <v>8950.9307759500007</v>
      </c>
      <c r="R67" s="7">
        <v>8727.1575065500001</v>
      </c>
      <c r="S67" s="7">
        <v>8508.9785688800002</v>
      </c>
      <c r="T67" s="7">
        <v>8296.2541046599999</v>
      </c>
      <c r="U67" s="7">
        <v>8088.8477520500001</v>
      </c>
      <c r="V67" s="7">
        <v>7886.6265582400001</v>
      </c>
      <c r="W67" s="7">
        <v>7689.4608942900004</v>
      </c>
      <c r="X67" s="7">
        <v>7497.2243719300004</v>
      </c>
      <c r="Y67" s="7">
        <v>7309.7937626299999</v>
      </c>
      <c r="Z67" s="7">
        <v>7127.0489185699998</v>
      </c>
      <c r="AA67" s="7">
        <v>6948.8726956</v>
      </c>
      <c r="AB67" s="7">
        <v>6775.15087821</v>
      </c>
      <c r="AC67" s="7">
        <v>6605.7721062600003</v>
      </c>
    </row>
    <row r="68" spans="1:29" x14ac:dyDescent="0.85">
      <c r="A68" t="s">
        <v>166</v>
      </c>
      <c r="B68" s="7">
        <v>2066.5355746199998</v>
      </c>
      <c r="C68" s="7">
        <v>2014.8721865099999</v>
      </c>
      <c r="D68" s="7">
        <v>1964.49821215</v>
      </c>
      <c r="E68" s="7">
        <v>1915.38575676</v>
      </c>
      <c r="F68" s="7">
        <v>1867.5011052499999</v>
      </c>
      <c r="G68" s="7">
        <v>1820.8134532900001</v>
      </c>
      <c r="H68" s="7">
        <v>1695.70306723</v>
      </c>
      <c r="I68" s="7">
        <v>1389.0130955</v>
      </c>
      <c r="J68" s="7">
        <v>1046.2170655</v>
      </c>
      <c r="K68" s="7">
        <v>695.23276663000001</v>
      </c>
      <c r="L68" s="7">
        <v>292.52167510999999</v>
      </c>
      <c r="M68" s="7">
        <v>2.6195999999999999E-4</v>
      </c>
      <c r="N68" s="7">
        <v>0</v>
      </c>
      <c r="O68" s="7">
        <v>0</v>
      </c>
      <c r="P68" s="7">
        <v>0</v>
      </c>
      <c r="Q68" s="7">
        <v>0</v>
      </c>
      <c r="R68" s="7">
        <v>0</v>
      </c>
      <c r="S68" s="7">
        <v>0</v>
      </c>
      <c r="T68" s="7">
        <v>0</v>
      </c>
      <c r="U68" s="7">
        <v>0</v>
      </c>
      <c r="V68" s="7">
        <v>0</v>
      </c>
      <c r="W68" s="7">
        <v>0</v>
      </c>
      <c r="X68" s="7">
        <v>0</v>
      </c>
      <c r="Y68" s="7">
        <v>0</v>
      </c>
      <c r="Z68" s="7">
        <v>0</v>
      </c>
      <c r="AA68" s="7">
        <v>0</v>
      </c>
      <c r="AB68" s="7">
        <v>0</v>
      </c>
      <c r="AC68" s="7">
        <v>0</v>
      </c>
    </row>
    <row r="69" spans="1:29" x14ac:dyDescent="0.85">
      <c r="A69" t="s">
        <v>167</v>
      </c>
      <c r="B69" s="7">
        <v>1</v>
      </c>
      <c r="C69" s="7">
        <v>1.0249999999999999</v>
      </c>
      <c r="D69" s="7">
        <v>1</v>
      </c>
      <c r="E69" s="7">
        <v>0.99999890000000002</v>
      </c>
      <c r="F69" s="7">
        <v>1</v>
      </c>
      <c r="G69" s="7">
        <v>1</v>
      </c>
      <c r="H69" s="7">
        <v>0.99999992999999998</v>
      </c>
      <c r="I69" s="7">
        <v>0.95516794000000005</v>
      </c>
      <c r="J69" s="7">
        <v>0.84014049999999996</v>
      </c>
      <c r="K69" s="7">
        <v>0.77252198000000005</v>
      </c>
      <c r="L69" s="7">
        <v>0.68155955999999995</v>
      </c>
      <c r="M69" s="7">
        <v>0.43154213000000002</v>
      </c>
      <c r="N69" s="7">
        <v>9.1999999999999998E-7</v>
      </c>
      <c r="O69" s="7">
        <v>0</v>
      </c>
      <c r="P69" s="7">
        <v>0</v>
      </c>
      <c r="Q69" s="7">
        <v>0</v>
      </c>
      <c r="R69" s="7">
        <v>0</v>
      </c>
      <c r="S69" s="7">
        <v>0</v>
      </c>
      <c r="T69" s="7">
        <v>0</v>
      </c>
      <c r="U69" s="7">
        <v>0</v>
      </c>
      <c r="V69" s="7">
        <v>0</v>
      </c>
      <c r="W69" s="7">
        <v>0</v>
      </c>
      <c r="X69" s="7">
        <v>0</v>
      </c>
      <c r="Y69" s="7">
        <v>3.4870000000000003E-5</v>
      </c>
      <c r="Z69" s="7">
        <v>1.0684E-4</v>
      </c>
      <c r="AA69" s="7">
        <v>6.4970999999999996E-4</v>
      </c>
      <c r="AB69" s="7">
        <v>6.0013000000000004E-4</v>
      </c>
      <c r="AC69" s="7">
        <v>1.316847E-2</v>
      </c>
    </row>
    <row r="70" spans="1:29" x14ac:dyDescent="0.85">
      <c r="A70" t="s">
        <v>168</v>
      </c>
      <c r="B70" s="7">
        <v>1</v>
      </c>
      <c r="C70" s="7">
        <v>1</v>
      </c>
      <c r="D70" s="7">
        <v>0.99999890000000002</v>
      </c>
      <c r="E70" s="7">
        <v>1</v>
      </c>
      <c r="F70" s="7">
        <v>1</v>
      </c>
      <c r="G70" s="7">
        <v>0.99999992999999998</v>
      </c>
      <c r="H70" s="7">
        <v>0.95516794000000005</v>
      </c>
      <c r="I70" s="7">
        <v>0.84014049999999996</v>
      </c>
      <c r="J70" s="7">
        <v>0.77252198000000005</v>
      </c>
      <c r="K70" s="7">
        <v>0.68155955999999995</v>
      </c>
      <c r="L70" s="7">
        <v>0.43154213000000002</v>
      </c>
      <c r="M70" s="7">
        <v>9.1999999999999998E-7</v>
      </c>
      <c r="N70" s="7">
        <v>0</v>
      </c>
      <c r="O70" s="7">
        <v>0</v>
      </c>
      <c r="P70" s="7">
        <v>0</v>
      </c>
      <c r="Q70" s="7">
        <v>0</v>
      </c>
      <c r="R70" s="7">
        <v>0</v>
      </c>
      <c r="S70" s="7">
        <v>0</v>
      </c>
      <c r="T70" s="7">
        <v>0</v>
      </c>
      <c r="U70" s="7">
        <v>0</v>
      </c>
      <c r="V70" s="7">
        <v>0</v>
      </c>
      <c r="W70" s="7">
        <v>0</v>
      </c>
      <c r="X70" s="7">
        <v>3.4870000000000003E-5</v>
      </c>
      <c r="Y70" s="7">
        <v>1.0684E-4</v>
      </c>
      <c r="Z70" s="7">
        <v>6.4970999999999996E-4</v>
      </c>
      <c r="AA70" s="7">
        <v>6.0013000000000004E-4</v>
      </c>
      <c r="AB70" s="7">
        <v>1.316847E-2</v>
      </c>
      <c r="AC70" s="7">
        <v>0</v>
      </c>
    </row>
    <row r="71" spans="1:29" x14ac:dyDescent="0.85">
      <c r="A71" t="s">
        <v>169</v>
      </c>
      <c r="B71" s="7">
        <v>1</v>
      </c>
      <c r="C71" s="7">
        <v>1.4077618999999999</v>
      </c>
      <c r="D71" s="7">
        <v>1.41892252</v>
      </c>
      <c r="E71" s="7">
        <v>1.4305906900000001</v>
      </c>
      <c r="F71" s="7">
        <v>1.4453073999999999</v>
      </c>
      <c r="G71" s="7">
        <v>1.47181366</v>
      </c>
      <c r="H71" s="7">
        <v>1.5000728800000001</v>
      </c>
      <c r="I71" s="7">
        <v>1.5363240600000001</v>
      </c>
      <c r="J71" s="7">
        <v>1.58484815</v>
      </c>
      <c r="K71" s="7">
        <v>1.63812746</v>
      </c>
      <c r="L71" s="7">
        <v>1.6965307700000001</v>
      </c>
      <c r="M71" s="7">
        <v>1.7605141</v>
      </c>
      <c r="N71" s="7">
        <v>1.8256907899999999</v>
      </c>
      <c r="O71" s="7">
        <v>1.8748411599999999</v>
      </c>
      <c r="P71" s="7">
        <v>1.92687294</v>
      </c>
      <c r="Q71" s="7">
        <v>1.9820305300000001</v>
      </c>
      <c r="R71" s="7">
        <v>2.04145719</v>
      </c>
      <c r="S71" s="7">
        <v>2.1043183399999998</v>
      </c>
      <c r="T71" s="7">
        <v>2.17080991</v>
      </c>
      <c r="U71" s="7">
        <v>2.2411310900000001</v>
      </c>
      <c r="V71" s="7">
        <v>2.3154938500000002</v>
      </c>
      <c r="W71" s="7">
        <v>2.3941215499999999</v>
      </c>
      <c r="X71" s="7">
        <v>2.47724915</v>
      </c>
      <c r="Y71" s="7">
        <v>2.5651271800000002</v>
      </c>
      <c r="Z71" s="7">
        <v>2.6579998699999998</v>
      </c>
      <c r="AA71" s="7">
        <v>2.7561555800000002</v>
      </c>
      <c r="AB71" s="7">
        <v>2.85991149</v>
      </c>
      <c r="AC71" s="7">
        <v>2.9694973099999999</v>
      </c>
    </row>
    <row r="72" spans="1:29" x14ac:dyDescent="0.85">
      <c r="A72" t="s">
        <v>170</v>
      </c>
      <c r="B72" s="7">
        <v>0</v>
      </c>
      <c r="C72" s="7">
        <v>3.5175000000000001E-4</v>
      </c>
      <c r="D72" s="7">
        <v>11.251840039999999</v>
      </c>
      <c r="E72" s="7">
        <v>10.12669178</v>
      </c>
      <c r="F72" s="7">
        <v>13.00133059</v>
      </c>
      <c r="G72" s="7">
        <v>67.673927419999998</v>
      </c>
      <c r="H72" s="7">
        <v>60.94294309</v>
      </c>
      <c r="I72" s="7">
        <v>55.033542879999999</v>
      </c>
      <c r="J72" s="7">
        <v>90.537491509999995</v>
      </c>
      <c r="K72" s="7">
        <v>81.483884459999999</v>
      </c>
      <c r="L72" s="7">
        <v>499.54708328999999</v>
      </c>
      <c r="M72" s="7">
        <v>449.5939687</v>
      </c>
      <c r="N72" s="7">
        <v>404.69320942000002</v>
      </c>
      <c r="O72" s="7">
        <v>364.22402684000002</v>
      </c>
      <c r="P72" s="7">
        <v>327.80163055999998</v>
      </c>
      <c r="Q72" s="7">
        <v>295.02146750000003</v>
      </c>
      <c r="R72" s="7">
        <v>265.80784440999997</v>
      </c>
      <c r="S72" s="7">
        <v>239.23007436</v>
      </c>
      <c r="T72" s="7">
        <v>215.30803442999999</v>
      </c>
      <c r="U72" s="7">
        <v>193.77899164999999</v>
      </c>
      <c r="V72" s="7">
        <v>174.40125255000001</v>
      </c>
      <c r="W72" s="7">
        <v>156.98287413</v>
      </c>
      <c r="X72" s="7">
        <v>141.28458742999999</v>
      </c>
      <c r="Y72" s="7">
        <v>128.28652278999999</v>
      </c>
      <c r="Z72" s="7">
        <v>116.55198590000001</v>
      </c>
      <c r="AA72" s="7">
        <v>106.02734408000001</v>
      </c>
      <c r="AB72" s="7">
        <v>95.431856719999999</v>
      </c>
      <c r="AC72" s="7">
        <v>85.888671049999999</v>
      </c>
    </row>
    <row r="73" spans="1:29" x14ac:dyDescent="0.85">
      <c r="A73" t="s">
        <v>171</v>
      </c>
      <c r="B73" s="7">
        <v>0</v>
      </c>
      <c r="C73" s="7">
        <v>7.3780000000000002E-5</v>
      </c>
      <c r="D73" s="7">
        <v>2.8092737200000002</v>
      </c>
      <c r="E73" s="7">
        <v>3.6271099999999998E-3</v>
      </c>
      <c r="F73" s="7">
        <v>0.97182944000000004</v>
      </c>
      <c r="G73" s="7">
        <v>13.993182300000001</v>
      </c>
      <c r="H73" s="7">
        <v>9.1011600000000005E-3</v>
      </c>
      <c r="I73" s="7">
        <v>4.622449E-2</v>
      </c>
      <c r="J73" s="7">
        <v>22.634359369999999</v>
      </c>
      <c r="K73" s="7">
        <v>20.370953480000001</v>
      </c>
      <c r="L73" s="7">
        <v>249.77341670000001</v>
      </c>
      <c r="M73" s="7">
        <v>132.52850068000001</v>
      </c>
      <c r="N73" s="7">
        <v>104.3769343</v>
      </c>
      <c r="O73" s="7">
        <v>91.052329520000001</v>
      </c>
      <c r="P73" s="7">
        <v>81.949957409999996</v>
      </c>
      <c r="Q73" s="7">
        <v>73.755366240000001</v>
      </c>
      <c r="R73" s="7">
        <v>66.450926300000006</v>
      </c>
      <c r="S73" s="7">
        <v>59.80750244</v>
      </c>
      <c r="T73" s="7">
        <v>53.827006969999999</v>
      </c>
      <c r="U73" s="7">
        <v>48.444696030000003</v>
      </c>
      <c r="V73" s="7">
        <v>43.600309520000003</v>
      </c>
      <c r="W73" s="7">
        <v>39.245718529999998</v>
      </c>
      <c r="X73" s="7">
        <v>35.321146839999997</v>
      </c>
      <c r="Y73" s="7">
        <v>32.071630689999999</v>
      </c>
      <c r="Z73" s="7">
        <v>29.13787657</v>
      </c>
      <c r="AA73" s="7">
        <v>25.78592767</v>
      </c>
      <c r="AB73" s="7">
        <v>23.857964169999999</v>
      </c>
      <c r="AC73" s="7">
        <v>22.899730980000001</v>
      </c>
    </row>
    <row r="74" spans="1:29" x14ac:dyDescent="0.85">
      <c r="A74" t="s">
        <v>172</v>
      </c>
      <c r="B74" s="7">
        <v>0</v>
      </c>
      <c r="C74" s="7">
        <v>7.3780000000000002E-5</v>
      </c>
      <c r="D74" s="7">
        <v>2.8092737200000002</v>
      </c>
      <c r="E74" s="7">
        <v>3.6271099999999998E-3</v>
      </c>
      <c r="F74" s="7">
        <v>0.97182944000000004</v>
      </c>
      <c r="G74" s="7">
        <v>13.993182300000001</v>
      </c>
      <c r="H74" s="7">
        <v>9.1011600000000005E-3</v>
      </c>
      <c r="I74" s="7">
        <v>4.622449E-2</v>
      </c>
      <c r="J74" s="7">
        <v>22.634359369999999</v>
      </c>
      <c r="K74" s="7">
        <v>20.370953480000001</v>
      </c>
      <c r="L74" s="7">
        <v>249.77341670000001</v>
      </c>
      <c r="M74" s="7">
        <v>132.52850068000001</v>
      </c>
      <c r="N74" s="7">
        <v>104.3769343</v>
      </c>
      <c r="O74" s="7">
        <v>91.052329520000001</v>
      </c>
      <c r="P74" s="7">
        <v>81.949957409999996</v>
      </c>
      <c r="Q74" s="7">
        <v>73.755366240000001</v>
      </c>
      <c r="R74" s="7">
        <v>66.450926300000006</v>
      </c>
      <c r="S74" s="7">
        <v>59.80750244</v>
      </c>
      <c r="T74" s="7">
        <v>53.827006969999999</v>
      </c>
      <c r="U74" s="7">
        <v>48.444696030000003</v>
      </c>
      <c r="V74" s="7">
        <v>43.600309520000003</v>
      </c>
      <c r="W74" s="7">
        <v>39.245718529999998</v>
      </c>
      <c r="X74" s="7">
        <v>35.321146839999997</v>
      </c>
      <c r="Y74" s="7">
        <v>32.071630689999999</v>
      </c>
      <c r="Z74" s="7">
        <v>29.13787657</v>
      </c>
      <c r="AA74" s="7">
        <v>25.78592767</v>
      </c>
      <c r="AB74" s="7">
        <v>23.857964169999999</v>
      </c>
      <c r="AC74" s="7">
        <v>22.899730980000001</v>
      </c>
    </row>
    <row r="75" spans="1:29" x14ac:dyDescent="0.85">
      <c r="A75" t="s">
        <v>173</v>
      </c>
      <c r="B75" s="7">
        <v>0</v>
      </c>
      <c r="C75" s="7">
        <v>9.3410000000000002E-5</v>
      </c>
      <c r="D75" s="7">
        <v>2.9881500499999998</v>
      </c>
      <c r="E75" s="7">
        <v>2.6893097699999999</v>
      </c>
      <c r="F75" s="7">
        <v>3.4527307700000001</v>
      </c>
      <c r="G75" s="7">
        <v>17.97211828</v>
      </c>
      <c r="H75" s="7">
        <v>16.184402009999999</v>
      </c>
      <c r="I75" s="7">
        <v>14.615064</v>
      </c>
      <c r="J75" s="7">
        <v>24.044033129999999</v>
      </c>
      <c r="K75" s="7">
        <v>21.639667549999999</v>
      </c>
      <c r="L75" s="7">
        <v>132.66639172999999</v>
      </c>
      <c r="M75" s="7">
        <v>119.39890527999999</v>
      </c>
      <c r="N75" s="7">
        <v>107.47438176999999</v>
      </c>
      <c r="O75" s="7">
        <v>96.726940589999998</v>
      </c>
      <c r="P75" s="7">
        <v>87.054248270000002</v>
      </c>
      <c r="Q75" s="7">
        <v>78.348823449999998</v>
      </c>
      <c r="R75" s="7">
        <v>70.590564290000003</v>
      </c>
      <c r="S75" s="7">
        <v>63.532308399999998</v>
      </c>
      <c r="T75" s="7">
        <v>57.179334500000003</v>
      </c>
      <c r="U75" s="7">
        <v>51.461868629999998</v>
      </c>
      <c r="V75" s="7">
        <v>46.315724279999998</v>
      </c>
      <c r="W75" s="7">
        <v>41.689927160000003</v>
      </c>
      <c r="X75" s="7">
        <v>37.520934629999999</v>
      </c>
      <c r="Y75" s="7">
        <v>34.06903982</v>
      </c>
      <c r="Z75" s="7">
        <v>30.95269996</v>
      </c>
      <c r="AA75" s="7">
        <v>28.15766189</v>
      </c>
      <c r="AB75" s="7">
        <v>25.343829240000002</v>
      </c>
      <c r="AC75" s="7">
        <v>22.809465970000002</v>
      </c>
    </row>
    <row r="76" spans="1:29" x14ac:dyDescent="0.85">
      <c r="A76" t="s">
        <v>174</v>
      </c>
      <c r="B76" s="7">
        <v>0</v>
      </c>
      <c r="C76" s="7">
        <v>0</v>
      </c>
      <c r="D76" s="7">
        <v>1.2500000000000001E-5</v>
      </c>
      <c r="E76" s="7">
        <v>2E-8</v>
      </c>
      <c r="F76" s="7">
        <v>8.6500000000000002E-6</v>
      </c>
      <c r="G76" s="7">
        <v>1.5567000000000001E-4</v>
      </c>
      <c r="H76" s="7">
        <v>1.1999999999999999E-7</v>
      </c>
      <c r="I76" s="7">
        <v>7.1999999999999999E-7</v>
      </c>
      <c r="J76" s="7">
        <v>4.0288999999999999E-4</v>
      </c>
      <c r="K76" s="7">
        <v>4.0792999999999998E-4</v>
      </c>
      <c r="L76" s="7">
        <v>5.5574600000000002E-3</v>
      </c>
      <c r="M76" s="7">
        <v>3.2436399999999999E-3</v>
      </c>
      <c r="N76" s="7">
        <v>2.7868599999999999E-3</v>
      </c>
      <c r="O76" s="7">
        <v>2.6336900000000002E-3</v>
      </c>
      <c r="P76" s="7">
        <v>2.55274E-3</v>
      </c>
      <c r="Q76" s="7">
        <v>2.46159E-3</v>
      </c>
      <c r="R76" s="7">
        <v>2.36565E-3</v>
      </c>
      <c r="S76" s="7">
        <v>2.2622200000000001E-3</v>
      </c>
      <c r="T76" s="7">
        <v>2.15577E-3</v>
      </c>
      <c r="U76" s="7">
        <v>2.0479999999999999E-3</v>
      </c>
      <c r="V76" s="7">
        <v>1.9402099999999999E-3</v>
      </c>
      <c r="W76" s="7">
        <v>1.83376E-3</v>
      </c>
      <c r="X76" s="7">
        <v>1.72897E-3</v>
      </c>
      <c r="Y76" s="7">
        <v>1.64127E-3</v>
      </c>
      <c r="Z76" s="7">
        <v>1.5559599999999999E-3</v>
      </c>
      <c r="AA76" s="7">
        <v>1.4343400000000001E-3</v>
      </c>
      <c r="AB76" s="7">
        <v>1.3801799999999999E-3</v>
      </c>
      <c r="AC76" s="7">
        <v>1.3757000000000001E-3</v>
      </c>
    </row>
    <row r="77" spans="1:29" x14ac:dyDescent="0.85">
      <c r="A77" t="s">
        <v>175</v>
      </c>
      <c r="B77" s="7">
        <v>0</v>
      </c>
      <c r="C77" s="7">
        <v>0</v>
      </c>
      <c r="D77" s="7">
        <v>3.1E-7</v>
      </c>
      <c r="E77" s="7">
        <v>0</v>
      </c>
      <c r="F77" s="7">
        <v>1.1000000000000001E-7</v>
      </c>
      <c r="G77" s="7">
        <v>1.5600000000000001E-6</v>
      </c>
      <c r="H77" s="7">
        <v>0</v>
      </c>
      <c r="I77" s="7">
        <v>1E-8</v>
      </c>
      <c r="J77" s="7">
        <v>2.52E-6</v>
      </c>
      <c r="K77" s="7">
        <v>2.2699999999999999E-6</v>
      </c>
      <c r="L77" s="7">
        <v>2.779E-5</v>
      </c>
      <c r="M77" s="7">
        <v>1.4739999999999999E-5</v>
      </c>
      <c r="N77" s="7">
        <v>1.1610000000000001E-5</v>
      </c>
      <c r="O77" s="7">
        <v>1.013E-5</v>
      </c>
      <c r="P77" s="7">
        <v>9.1200000000000008E-6</v>
      </c>
      <c r="Q77" s="7">
        <v>8.2099999999999993E-6</v>
      </c>
      <c r="R77" s="7">
        <v>7.3900000000000004E-6</v>
      </c>
      <c r="S77" s="7">
        <v>6.6499999999999999E-6</v>
      </c>
      <c r="T77" s="7">
        <v>5.9900000000000002E-6</v>
      </c>
      <c r="U77" s="7">
        <v>5.3900000000000001E-6</v>
      </c>
      <c r="V77" s="7">
        <v>4.8500000000000002E-6</v>
      </c>
      <c r="W77" s="7">
        <v>4.3699999999999997E-6</v>
      </c>
      <c r="X77" s="7">
        <v>3.9299999999999996E-6</v>
      </c>
      <c r="Y77" s="7">
        <v>3.5700000000000001E-6</v>
      </c>
      <c r="Z77" s="7">
        <v>3.2399999999999999E-6</v>
      </c>
      <c r="AA77" s="7">
        <v>2.8700000000000001E-6</v>
      </c>
      <c r="AB77" s="7">
        <v>2.65E-6</v>
      </c>
      <c r="AC77" s="7">
        <v>2.5500000000000001E-6</v>
      </c>
    </row>
    <row r="78" spans="1:29" x14ac:dyDescent="0.85">
      <c r="A78" t="s">
        <v>176</v>
      </c>
      <c r="B78" s="7">
        <v>0</v>
      </c>
      <c r="C78" s="7">
        <v>9.3410000000000002E-5</v>
      </c>
      <c r="D78" s="7">
        <v>2.9881113699999999</v>
      </c>
      <c r="E78" s="7">
        <v>2.6893097199999998</v>
      </c>
      <c r="F78" s="7">
        <v>3.4527173900000001</v>
      </c>
      <c r="G78" s="7">
        <v>17.971925590000001</v>
      </c>
      <c r="H78" s="7">
        <v>16.184401879999999</v>
      </c>
      <c r="I78" s="7">
        <v>14.61506337</v>
      </c>
      <c r="J78" s="7">
        <v>24.04372145</v>
      </c>
      <c r="K78" s="7">
        <v>21.639387039999999</v>
      </c>
      <c r="L78" s="7">
        <v>132.66295235000001</v>
      </c>
      <c r="M78" s="7">
        <v>119.39708036</v>
      </c>
      <c r="N78" s="7">
        <v>107.4729445</v>
      </c>
      <c r="O78" s="7">
        <v>96.725686800000005</v>
      </c>
      <c r="P78" s="7">
        <v>87.053119820000006</v>
      </c>
      <c r="Q78" s="7">
        <v>78.347807840000002</v>
      </c>
      <c r="R78" s="7">
        <v>70.589649260000002</v>
      </c>
      <c r="S78" s="7">
        <v>63.531484849999998</v>
      </c>
      <c r="T78" s="7">
        <v>57.178593309999997</v>
      </c>
      <c r="U78" s="7">
        <v>51.461201549999998</v>
      </c>
      <c r="V78" s="7">
        <v>46.315123900000003</v>
      </c>
      <c r="W78" s="7">
        <v>41.689386740000003</v>
      </c>
      <c r="X78" s="7">
        <v>37.520448260000002</v>
      </c>
      <c r="Y78" s="7">
        <v>34.068598199999997</v>
      </c>
      <c r="Z78" s="7">
        <v>30.952298729999999</v>
      </c>
      <c r="AA78" s="7">
        <v>28.157306819999999</v>
      </c>
      <c r="AB78" s="7">
        <v>25.343500710000001</v>
      </c>
      <c r="AC78" s="7">
        <v>22.809150639999999</v>
      </c>
    </row>
    <row r="79" spans="1:29" x14ac:dyDescent="0.85">
      <c r="A79" t="s">
        <v>177</v>
      </c>
      <c r="B79" s="7">
        <v>0</v>
      </c>
      <c r="C79" s="7">
        <v>0</v>
      </c>
      <c r="D79" s="7">
        <v>3.8680000000000002E-5</v>
      </c>
      <c r="E79" s="7">
        <v>4.9999999999999998E-8</v>
      </c>
      <c r="F79" s="7">
        <v>1.3380000000000001E-5</v>
      </c>
      <c r="G79" s="7">
        <v>1.9269E-4</v>
      </c>
      <c r="H79" s="7">
        <v>1.3E-7</v>
      </c>
      <c r="I79" s="7">
        <v>6.4000000000000001E-7</v>
      </c>
      <c r="J79" s="7">
        <v>3.1168E-4</v>
      </c>
      <c r="K79" s="7">
        <v>2.8050999999999998E-4</v>
      </c>
      <c r="L79" s="7">
        <v>3.4393800000000001E-3</v>
      </c>
      <c r="M79" s="7">
        <v>1.8249200000000001E-3</v>
      </c>
      <c r="N79" s="7">
        <v>1.43727E-3</v>
      </c>
      <c r="O79" s="7">
        <v>1.2537900000000001E-3</v>
      </c>
      <c r="P79" s="7">
        <v>1.12845E-3</v>
      </c>
      <c r="Q79" s="7">
        <v>1.0156099999999999E-3</v>
      </c>
      <c r="R79" s="7">
        <v>9.1503000000000005E-4</v>
      </c>
      <c r="S79" s="7">
        <v>8.2355000000000004E-4</v>
      </c>
      <c r="T79" s="7">
        <v>7.4120000000000002E-4</v>
      </c>
      <c r="U79" s="7">
        <v>6.6708000000000002E-4</v>
      </c>
      <c r="V79" s="7">
        <v>6.0037999999999997E-4</v>
      </c>
      <c r="W79" s="7">
        <v>5.4040999999999996E-4</v>
      </c>
      <c r="X79" s="7">
        <v>4.8637000000000002E-4</v>
      </c>
      <c r="Y79" s="7">
        <v>4.4162999999999998E-4</v>
      </c>
      <c r="Z79" s="7">
        <v>4.0122999999999998E-4</v>
      </c>
      <c r="AA79" s="7">
        <v>3.5506999999999997E-4</v>
      </c>
      <c r="AB79" s="7">
        <v>3.2852000000000001E-4</v>
      </c>
      <c r="AC79" s="7">
        <v>3.1533E-4</v>
      </c>
    </row>
    <row r="80" spans="1:29" x14ac:dyDescent="0.85">
      <c r="A80" t="s">
        <v>178</v>
      </c>
      <c r="B80" s="7">
        <v>1</v>
      </c>
      <c r="C80" s="7">
        <v>1.1000000000000001</v>
      </c>
      <c r="D80" s="7">
        <v>1.00000029</v>
      </c>
      <c r="E80" s="7">
        <v>1.0092257600000001</v>
      </c>
      <c r="F80" s="7">
        <v>1.00000003</v>
      </c>
      <c r="G80" s="7">
        <v>1.00314535</v>
      </c>
      <c r="H80" s="7">
        <v>1.04373184</v>
      </c>
      <c r="I80" s="7">
        <v>1.00002744</v>
      </c>
      <c r="J80" s="7">
        <v>1.00013295</v>
      </c>
      <c r="K80" s="7">
        <v>1.0276558</v>
      </c>
      <c r="L80" s="7">
        <v>1.0000000899999999</v>
      </c>
      <c r="M80" s="7">
        <v>1.2525269800000001</v>
      </c>
      <c r="N80" s="7">
        <v>1.00000088</v>
      </c>
      <c r="O80" s="7">
        <v>1.00003061</v>
      </c>
      <c r="P80" s="7">
        <v>1.00000007</v>
      </c>
      <c r="Q80" s="7">
        <v>1</v>
      </c>
      <c r="R80" s="7">
        <v>1</v>
      </c>
      <c r="S80" s="7">
        <v>1.0001317000000001</v>
      </c>
      <c r="T80" s="7">
        <v>1.0000013299999999</v>
      </c>
      <c r="U80" s="7">
        <v>1.00000041</v>
      </c>
      <c r="V80" s="7">
        <v>1.00000073</v>
      </c>
      <c r="W80" s="7">
        <v>1.0000000600000001</v>
      </c>
      <c r="X80" s="7">
        <v>1.0000083900000001</v>
      </c>
      <c r="Y80" s="7">
        <v>1</v>
      </c>
      <c r="Z80" s="7">
        <v>1.00040789</v>
      </c>
      <c r="AA80" s="7">
        <v>1.00038201</v>
      </c>
      <c r="AB80" s="7">
        <v>1.00038201</v>
      </c>
      <c r="AC80" s="7">
        <v>1.00000237</v>
      </c>
    </row>
    <row r="81" spans="1:29" x14ac:dyDescent="0.85">
      <c r="A81" t="s">
        <v>179</v>
      </c>
      <c r="B81" s="7">
        <v>1</v>
      </c>
      <c r="C81" s="7">
        <v>1.00000029</v>
      </c>
      <c r="D81" s="7">
        <v>1.0092257600000001</v>
      </c>
      <c r="E81" s="7">
        <v>1.00000003</v>
      </c>
      <c r="F81" s="7">
        <v>1.00314535</v>
      </c>
      <c r="G81" s="7">
        <v>1.04373184</v>
      </c>
      <c r="H81" s="7">
        <v>1.00002744</v>
      </c>
      <c r="I81" s="7">
        <v>1.00013295</v>
      </c>
      <c r="J81" s="7">
        <v>1.0276558</v>
      </c>
      <c r="K81" s="7">
        <v>1.0000000899999999</v>
      </c>
      <c r="L81" s="7">
        <v>1.2525269800000001</v>
      </c>
      <c r="M81" s="7">
        <v>1.00000088</v>
      </c>
      <c r="N81" s="7">
        <v>1.00003061</v>
      </c>
      <c r="O81" s="7">
        <v>1.00000007</v>
      </c>
      <c r="P81" s="7">
        <v>1</v>
      </c>
      <c r="Q81" s="7">
        <v>1</v>
      </c>
      <c r="R81" s="7">
        <v>1.0001317000000001</v>
      </c>
      <c r="S81" s="7">
        <v>1.0000013299999999</v>
      </c>
      <c r="T81" s="7">
        <v>1.00000041</v>
      </c>
      <c r="U81" s="7">
        <v>1.00000073</v>
      </c>
      <c r="V81" s="7">
        <v>1.0000000600000001</v>
      </c>
      <c r="W81" s="7">
        <v>1.0000083900000001</v>
      </c>
      <c r="X81" s="7">
        <v>1</v>
      </c>
      <c r="Y81" s="7">
        <v>1.00040789</v>
      </c>
      <c r="Z81" s="7">
        <v>1.00038201</v>
      </c>
      <c r="AA81" s="7">
        <v>1.00038201</v>
      </c>
      <c r="AB81" s="7">
        <v>1.00000237</v>
      </c>
      <c r="AC81" s="7">
        <v>1</v>
      </c>
    </row>
    <row r="82" spans="1:29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17C96-CAA2-4235-AB0F-443471557A40}">
  <sheetPr codeName="Sheet8"/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8" width="10.65234375" bestFit="1" customWidth="1"/>
    <col min="29" max="29" width="11.765625" bestFit="1" customWidth="1"/>
  </cols>
  <sheetData>
    <row r="1" spans="1:29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</row>
    <row r="2" spans="1:29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</row>
    <row r="3" spans="1:29" x14ac:dyDescent="0.85">
      <c r="A3" t="s">
        <v>69</v>
      </c>
      <c r="B3" s="7">
        <v>0</v>
      </c>
      <c r="C3" s="7">
        <v>20</v>
      </c>
      <c r="D3" s="7">
        <v>40</v>
      </c>
      <c r="E3" s="7">
        <v>60</v>
      </c>
      <c r="F3" s="7">
        <v>80</v>
      </c>
      <c r="G3" s="7">
        <v>100</v>
      </c>
      <c r="H3" s="7">
        <v>120</v>
      </c>
      <c r="I3" s="7">
        <v>140</v>
      </c>
      <c r="J3" s="7">
        <v>160</v>
      </c>
      <c r="K3" s="7">
        <v>180</v>
      </c>
      <c r="L3" s="7">
        <v>200</v>
      </c>
      <c r="M3" s="7">
        <v>220</v>
      </c>
      <c r="N3" s="7">
        <v>240</v>
      </c>
      <c r="O3" s="7">
        <v>260</v>
      </c>
      <c r="P3" s="7">
        <v>280</v>
      </c>
      <c r="Q3" s="7">
        <v>300</v>
      </c>
      <c r="R3" s="7">
        <v>320</v>
      </c>
      <c r="S3" s="7">
        <v>340</v>
      </c>
      <c r="T3" s="7">
        <v>360</v>
      </c>
      <c r="U3" s="7">
        <v>380</v>
      </c>
      <c r="V3" s="7">
        <v>400</v>
      </c>
      <c r="W3" s="7">
        <v>420</v>
      </c>
      <c r="X3" s="7">
        <v>440</v>
      </c>
      <c r="Y3" s="7">
        <v>460</v>
      </c>
      <c r="Z3" s="7">
        <v>480</v>
      </c>
      <c r="AA3" s="7">
        <v>500</v>
      </c>
      <c r="AB3" s="7">
        <v>520</v>
      </c>
      <c r="AC3" s="7">
        <v>540</v>
      </c>
    </row>
    <row r="4" spans="1:29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4.0000000000000001E-8</v>
      </c>
      <c r="Y4" s="7">
        <v>0</v>
      </c>
      <c r="Z4" s="7">
        <v>0</v>
      </c>
      <c r="AA4" s="7">
        <v>0</v>
      </c>
      <c r="AB4" s="7">
        <v>0</v>
      </c>
      <c r="AC4" s="7">
        <v>0</v>
      </c>
    </row>
    <row r="5" spans="1:29" x14ac:dyDescent="0.85">
      <c r="A5" t="s">
        <v>105</v>
      </c>
      <c r="B5" s="7">
        <v>76953</v>
      </c>
      <c r="C5" s="7">
        <v>76946.357338500005</v>
      </c>
      <c r="D5" s="7">
        <v>76991.528767960001</v>
      </c>
      <c r="E5" s="7">
        <v>77085.819742060005</v>
      </c>
      <c r="F5" s="7">
        <v>77236.446446799993</v>
      </c>
      <c r="G5" s="7">
        <v>77432.735552340004</v>
      </c>
      <c r="H5" s="7">
        <v>77684.271084260006</v>
      </c>
      <c r="I5" s="7">
        <v>79366.569246019993</v>
      </c>
      <c r="J5" s="7">
        <v>81103.203875410007</v>
      </c>
      <c r="K5" s="7">
        <v>82565.885120439998</v>
      </c>
      <c r="L5" s="7">
        <v>82708.925405019996</v>
      </c>
      <c r="M5" s="7">
        <v>83343.099238080002</v>
      </c>
      <c r="N5" s="7">
        <v>84219.562238710001</v>
      </c>
      <c r="O5" s="7">
        <v>87226.578430659996</v>
      </c>
      <c r="P5" s="7">
        <v>90368.751409639997</v>
      </c>
      <c r="Q5" s="7">
        <v>93561.556543710001</v>
      </c>
      <c r="R5" s="7">
        <v>96835.227359609999</v>
      </c>
      <c r="S5" s="7">
        <v>100191.42853879</v>
      </c>
      <c r="T5" s="7">
        <v>103631.86082338</v>
      </c>
      <c r="U5" s="7">
        <v>107158.26159176001</v>
      </c>
      <c r="V5" s="7">
        <v>110667.0971022</v>
      </c>
      <c r="W5" s="7">
        <v>114379.90892731</v>
      </c>
      <c r="X5" s="7">
        <v>118183.2047642</v>
      </c>
      <c r="Y5" s="7">
        <v>122078.96779983</v>
      </c>
      <c r="Z5" s="7">
        <v>126069.21178165</v>
      </c>
      <c r="AA5" s="7">
        <v>130155.98314485</v>
      </c>
      <c r="AB5" s="7">
        <v>134341.36264132001</v>
      </c>
      <c r="AC5" s="7">
        <v>138627.46685195001</v>
      </c>
    </row>
    <row r="6" spans="1:29" x14ac:dyDescent="0.85">
      <c r="A6" t="s">
        <v>106</v>
      </c>
      <c r="B6" s="7">
        <v>223763071.5</v>
      </c>
      <c r="C6" s="7">
        <v>228664195.60999</v>
      </c>
      <c r="D6" s="7">
        <v>233663342.10745201</v>
      </c>
      <c r="E6" s="7">
        <v>238762470.83610001</v>
      </c>
      <c r="F6" s="7">
        <v>243963583.58608499</v>
      </c>
      <c r="G6" s="7">
        <v>249268717.38258401</v>
      </c>
      <c r="H6" s="7">
        <v>254679955.24138999</v>
      </c>
      <c r="I6" s="7">
        <v>260199417.02059799</v>
      </c>
      <c r="J6" s="7">
        <v>265829252.805159</v>
      </c>
      <c r="K6" s="7">
        <v>271571715.52555102</v>
      </c>
      <c r="L6" s="7">
        <v>277428961.49038798</v>
      </c>
      <c r="M6" s="7">
        <v>283403456.031317</v>
      </c>
      <c r="N6" s="7">
        <v>289497387.812002</v>
      </c>
      <c r="O6" s="7">
        <v>295713191.02092499</v>
      </c>
      <c r="P6" s="7">
        <v>302053324.91400999</v>
      </c>
      <c r="Q6" s="7">
        <v>308520254.09229499</v>
      </c>
      <c r="R6" s="7">
        <v>315116521.85415</v>
      </c>
      <c r="S6" s="7">
        <v>321844714.97122997</v>
      </c>
      <c r="T6" s="7">
        <v>328707471.95064801</v>
      </c>
      <c r="U6" s="7">
        <v>335707484.06966698</v>
      </c>
      <c r="V6" s="7">
        <v>342855046.78909302</v>
      </c>
      <c r="W6" s="7">
        <v>350267529.47920501</v>
      </c>
      <c r="X6" s="7">
        <v>358298871.89600599</v>
      </c>
      <c r="Y6" s="7">
        <v>367169740.68409801</v>
      </c>
      <c r="Z6" s="7">
        <v>377085298.99602199</v>
      </c>
      <c r="AA6" s="7">
        <v>388448812.38490099</v>
      </c>
      <c r="AB6" s="7">
        <v>401570646.35285097</v>
      </c>
      <c r="AC6" s="7">
        <v>416600448.43583101</v>
      </c>
    </row>
    <row r="7" spans="1:29" x14ac:dyDescent="0.85">
      <c r="A7" t="s">
        <v>107</v>
      </c>
      <c r="B7" s="7">
        <v>223763071.5</v>
      </c>
      <c r="C7" s="7">
        <v>228664195.61000001</v>
      </c>
      <c r="D7" s="7">
        <v>233663342.2022</v>
      </c>
      <c r="E7" s="7">
        <v>238762471.726244</v>
      </c>
      <c r="F7" s="7">
        <v>243963583.84076801</v>
      </c>
      <c r="G7" s="7">
        <v>249268718.197584</v>
      </c>
      <c r="H7" s="7">
        <v>254679955.24153501</v>
      </c>
      <c r="I7" s="7">
        <v>260199417.026366</v>
      </c>
      <c r="J7" s="7">
        <v>265829268.04689401</v>
      </c>
      <c r="K7" s="7">
        <v>271571716.08783102</v>
      </c>
      <c r="L7" s="7">
        <v>277429013.08958799</v>
      </c>
      <c r="M7" s="7">
        <v>283403456.03138</v>
      </c>
      <c r="N7" s="7">
        <v>289497387.83200699</v>
      </c>
      <c r="O7" s="7">
        <v>295713198.26864803</v>
      </c>
      <c r="P7" s="7">
        <v>302053324.91402102</v>
      </c>
      <c r="Q7" s="7">
        <v>308520254.09230101</v>
      </c>
      <c r="R7" s="7">
        <v>315116521.85414702</v>
      </c>
      <c r="S7" s="7">
        <v>321844714.97122997</v>
      </c>
      <c r="T7" s="7">
        <v>328707471.95065498</v>
      </c>
      <c r="U7" s="7">
        <v>335707484.06966799</v>
      </c>
      <c r="V7" s="7">
        <v>342847496.43106103</v>
      </c>
      <c r="W7" s="7">
        <v>350130309.03968197</v>
      </c>
      <c r="X7" s="7">
        <v>357558777.90047598</v>
      </c>
      <c r="Y7" s="7">
        <v>365135816.13848603</v>
      </c>
      <c r="Z7" s="7">
        <v>372864395.14125502</v>
      </c>
      <c r="AA7" s="7">
        <v>380747545.72408003</v>
      </c>
      <c r="AB7" s="7">
        <v>388788359.31856197</v>
      </c>
      <c r="AC7" s="7">
        <v>396989989.18493301</v>
      </c>
    </row>
    <row r="8" spans="1:29" x14ac:dyDescent="0.85">
      <c r="A8" t="s">
        <v>108</v>
      </c>
      <c r="B8" s="7">
        <v>20998.94300526</v>
      </c>
      <c r="C8" s="7">
        <v>20833.88610856</v>
      </c>
      <c r="D8" s="7">
        <v>20682.972234479999</v>
      </c>
      <c r="E8" s="7">
        <v>20546.31542155</v>
      </c>
      <c r="F8" s="7">
        <v>20423.57765802</v>
      </c>
      <c r="G8" s="7">
        <v>20313.967889700001</v>
      </c>
      <c r="H8" s="7">
        <v>20217.69368185</v>
      </c>
      <c r="I8" s="7">
        <v>20396.469162910002</v>
      </c>
      <c r="J8" s="7">
        <v>20605.351928550001</v>
      </c>
      <c r="K8" s="7">
        <v>20756.66254316</v>
      </c>
      <c r="L8" s="7">
        <v>20707.197488649999</v>
      </c>
      <c r="M8" s="7">
        <v>20792.054819509998</v>
      </c>
      <c r="N8" s="7">
        <v>20833.10479351</v>
      </c>
      <c r="O8" s="7">
        <v>23376.63898526</v>
      </c>
      <c r="P8" s="7">
        <v>26000.469496850001</v>
      </c>
      <c r="Q8" s="7">
        <v>28699.851578739999</v>
      </c>
      <c r="R8" s="7">
        <v>31481.307225029999</v>
      </c>
      <c r="S8" s="7">
        <v>34346.659201620001</v>
      </c>
      <c r="T8" s="7">
        <v>37297.7788354</v>
      </c>
      <c r="U8" s="7">
        <v>40336.581793309997</v>
      </c>
      <c r="V8" s="7">
        <v>43445.053619370003</v>
      </c>
      <c r="W8" s="7">
        <v>46664.334353830003</v>
      </c>
      <c r="X8" s="7">
        <v>49977.374573189998</v>
      </c>
      <c r="Y8" s="7">
        <v>53386.265276329999</v>
      </c>
      <c r="Z8" s="7">
        <v>56893.144691039997</v>
      </c>
      <c r="AA8" s="7">
        <v>60500.198715600003</v>
      </c>
      <c r="AB8" s="7">
        <v>64209.662566600004</v>
      </c>
      <c r="AC8" s="7">
        <v>68023.819482310006</v>
      </c>
    </row>
    <row r="9" spans="1:29" x14ac:dyDescent="0.85">
      <c r="A9" t="s">
        <v>109</v>
      </c>
      <c r="B9" s="7">
        <v>4766.0564919099997</v>
      </c>
      <c r="C9" s="7">
        <v>4904.9830796300002</v>
      </c>
      <c r="D9" s="7">
        <v>5045.7341322100001</v>
      </c>
      <c r="E9" s="7">
        <v>5188.4324360700002</v>
      </c>
      <c r="F9" s="7">
        <v>5333.0593922999997</v>
      </c>
      <c r="G9" s="7">
        <v>5479.7223378500003</v>
      </c>
      <c r="H9" s="7">
        <v>5628.4858928800004</v>
      </c>
      <c r="I9" s="7">
        <v>5786.1963468800004</v>
      </c>
      <c r="J9" s="7">
        <v>5946.4652778</v>
      </c>
      <c r="K9" s="7">
        <v>6105.8967557300002</v>
      </c>
      <c r="L9" s="7">
        <v>6263.3456721100001</v>
      </c>
      <c r="M9" s="7">
        <v>6411.5019425800001</v>
      </c>
      <c r="N9" s="7">
        <v>6570.5190567500003</v>
      </c>
      <c r="O9" s="7">
        <v>6475.1035630699998</v>
      </c>
      <c r="P9" s="7">
        <v>6375.1364704199996</v>
      </c>
      <c r="Q9" s="7">
        <v>6270.3730270799997</v>
      </c>
      <c r="R9" s="7">
        <v>6160.7652519599997</v>
      </c>
      <c r="S9" s="7">
        <v>6046.1839566199997</v>
      </c>
      <c r="T9" s="7">
        <v>5926.4949616800004</v>
      </c>
      <c r="U9" s="7">
        <v>5801.56145311</v>
      </c>
      <c r="V9" s="7">
        <v>5671.4308684300004</v>
      </c>
      <c r="W9" s="7">
        <v>5539.0650481800003</v>
      </c>
      <c r="X9" s="7">
        <v>5412.5449886599999</v>
      </c>
      <c r="Y9" s="7">
        <v>5297.0388287300002</v>
      </c>
      <c r="Z9" s="7">
        <v>5197.33175949</v>
      </c>
      <c r="AA9" s="7">
        <v>5123.0381064900002</v>
      </c>
      <c r="AB9" s="7">
        <v>5081.5001349599997</v>
      </c>
      <c r="AC9" s="7">
        <v>5076.1343145700002</v>
      </c>
    </row>
    <row r="10" spans="1:29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3.0299999999999998E-6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</row>
    <row r="11" spans="1:29" x14ac:dyDescent="0.85">
      <c r="A11" t="s">
        <v>37</v>
      </c>
      <c r="B11" s="7">
        <v>0</v>
      </c>
      <c r="C11" s="7">
        <v>1997.8364734300001</v>
      </c>
      <c r="D11" s="7">
        <v>4107.3277144100002</v>
      </c>
      <c r="E11" s="7">
        <v>6330.87567494</v>
      </c>
      <c r="F11" s="7">
        <v>8670.8486706399999</v>
      </c>
      <c r="G11" s="7">
        <v>11129.823876750001</v>
      </c>
      <c r="H11" s="7">
        <v>13710.478565580001</v>
      </c>
      <c r="I11" s="7">
        <v>16135.889648959999</v>
      </c>
      <c r="J11" s="7">
        <v>18593.362127789998</v>
      </c>
      <c r="K11" s="7">
        <v>21206.921645769999</v>
      </c>
      <c r="L11" s="7">
        <v>24219.570020259998</v>
      </c>
      <c r="M11" s="7">
        <v>27285.820053719999</v>
      </c>
      <c r="N11" s="7">
        <v>30561.241569999998</v>
      </c>
      <c r="O11" s="7">
        <v>31743.882384109998</v>
      </c>
      <c r="P11" s="7">
        <v>32662.645292500001</v>
      </c>
      <c r="Q11" s="7">
        <v>33303.029203880003</v>
      </c>
      <c r="R11" s="7">
        <v>33652.108518950001</v>
      </c>
      <c r="S11" s="7">
        <v>33695.803816610001</v>
      </c>
      <c r="T11" s="7">
        <v>33419.56312952</v>
      </c>
      <c r="U11" s="7">
        <v>32808.364138210003</v>
      </c>
      <c r="V11" s="7">
        <v>31848.20239391</v>
      </c>
      <c r="W11" s="7">
        <v>30551.252748809999</v>
      </c>
      <c r="X11" s="7">
        <v>28975.896643929998</v>
      </c>
      <c r="Y11" s="7">
        <v>27168.09238047</v>
      </c>
      <c r="Z11" s="7">
        <v>25178.146000829998</v>
      </c>
      <c r="AA11" s="7">
        <v>23112.269936770001</v>
      </c>
      <c r="AB11" s="7">
        <v>21068.118950619999</v>
      </c>
      <c r="AC11" s="7">
        <v>19112.286715329999</v>
      </c>
    </row>
    <row r="12" spans="1:29" x14ac:dyDescent="0.85">
      <c r="A12" t="s">
        <v>111</v>
      </c>
      <c r="B12" s="7">
        <v>25764.999497180001</v>
      </c>
      <c r="C12" s="7">
        <v>25738.869188190001</v>
      </c>
      <c r="D12" s="7">
        <v>25728.706366679999</v>
      </c>
      <c r="E12" s="7">
        <v>25734.747857620001</v>
      </c>
      <c r="F12" s="7">
        <v>25756.637050310001</v>
      </c>
      <c r="G12" s="7">
        <v>25793.69022755</v>
      </c>
      <c r="H12" s="7">
        <v>25846.179574729998</v>
      </c>
      <c r="I12" s="7">
        <v>26182.665509800001</v>
      </c>
      <c r="J12" s="7">
        <v>26551.81720636</v>
      </c>
      <c r="K12" s="7">
        <v>26862.559298889999</v>
      </c>
      <c r="L12" s="7">
        <v>26970.54316076</v>
      </c>
      <c r="M12" s="7">
        <v>27203.55676209</v>
      </c>
      <c r="N12" s="7">
        <v>27403.62385027</v>
      </c>
      <c r="O12" s="7">
        <v>29851.742548329999</v>
      </c>
      <c r="P12" s="7">
        <v>32375.605967269999</v>
      </c>
      <c r="Q12" s="7">
        <v>34970.224605809999</v>
      </c>
      <c r="R12" s="7">
        <v>37642.072476989997</v>
      </c>
      <c r="S12" s="7">
        <v>40392.843158240001</v>
      </c>
      <c r="T12" s="7">
        <v>43224.273797089998</v>
      </c>
      <c r="U12" s="7">
        <v>46138.143246419997</v>
      </c>
      <c r="V12" s="7">
        <v>49116.4844878</v>
      </c>
      <c r="W12" s="7">
        <v>52203.39940201</v>
      </c>
      <c r="X12" s="7">
        <v>55389.919564869997</v>
      </c>
      <c r="Y12" s="7">
        <v>58683.304105069998</v>
      </c>
      <c r="Z12" s="7">
        <v>62090.476450529997</v>
      </c>
      <c r="AA12" s="7">
        <v>65623.236822079998</v>
      </c>
      <c r="AB12" s="7">
        <v>69291.162701559995</v>
      </c>
      <c r="AC12" s="7">
        <v>73099.953796889997</v>
      </c>
    </row>
    <row r="13" spans="1:29" x14ac:dyDescent="0.85">
      <c r="A13" t="s">
        <v>112</v>
      </c>
      <c r="B13" s="7">
        <v>25764.999497180001</v>
      </c>
      <c r="C13" s="7">
        <v>27736.705661619999</v>
      </c>
      <c r="D13" s="7">
        <v>29836.034081090002</v>
      </c>
      <c r="E13" s="7">
        <v>32065.623532559999</v>
      </c>
      <c r="F13" s="7">
        <v>34427.485720949997</v>
      </c>
      <c r="G13" s="7">
        <v>36923.51410429</v>
      </c>
      <c r="H13" s="7">
        <v>39556.658140309999</v>
      </c>
      <c r="I13" s="7">
        <v>42318.555158759998</v>
      </c>
      <c r="J13" s="7">
        <v>45145.179334150002</v>
      </c>
      <c r="K13" s="7">
        <v>48069.48094465</v>
      </c>
      <c r="L13" s="7">
        <v>51190.113181009998</v>
      </c>
      <c r="M13" s="7">
        <v>54489.376815819996</v>
      </c>
      <c r="N13" s="7">
        <v>57964.865420269998</v>
      </c>
      <c r="O13" s="7">
        <v>61595.624932439998</v>
      </c>
      <c r="P13" s="7">
        <v>65038.251259780001</v>
      </c>
      <c r="Q13" s="7">
        <v>68273.253809700007</v>
      </c>
      <c r="R13" s="7">
        <v>71294.180995939998</v>
      </c>
      <c r="S13" s="7">
        <v>74088.646974849995</v>
      </c>
      <c r="T13" s="7">
        <v>76643.836926610005</v>
      </c>
      <c r="U13" s="7">
        <v>78946.507384629993</v>
      </c>
      <c r="V13" s="7">
        <v>80964.686881710004</v>
      </c>
      <c r="W13" s="7">
        <v>82754.652150819995</v>
      </c>
      <c r="X13" s="7">
        <v>84365.816208799995</v>
      </c>
      <c r="Y13" s="7">
        <v>85851.396485539997</v>
      </c>
      <c r="Z13" s="7">
        <v>87268.622451360003</v>
      </c>
      <c r="AA13" s="7">
        <v>88735.506758849995</v>
      </c>
      <c r="AB13" s="7">
        <v>90359.281652179998</v>
      </c>
      <c r="AC13" s="7">
        <v>92212.24051222</v>
      </c>
    </row>
    <row r="14" spans="1:29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</row>
    <row r="15" spans="1:29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</row>
    <row r="16" spans="1:29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</row>
    <row r="17" spans="1:29" x14ac:dyDescent="0.85">
      <c r="A17" t="s">
        <v>115</v>
      </c>
      <c r="B17" s="7">
        <v>30200</v>
      </c>
      <c r="C17" s="7">
        <v>29193.33333333</v>
      </c>
      <c r="D17" s="7">
        <v>28220.22222222</v>
      </c>
      <c r="E17" s="7">
        <v>27279.548148149999</v>
      </c>
      <c r="F17" s="7">
        <v>26370.229906029999</v>
      </c>
      <c r="G17" s="7">
        <v>25491.2222425</v>
      </c>
      <c r="H17" s="7">
        <v>24641.514834410002</v>
      </c>
      <c r="I17" s="7">
        <v>23820.131006600001</v>
      </c>
      <c r="J17" s="7">
        <v>23026.126639710001</v>
      </c>
      <c r="K17" s="7">
        <v>22258.58908505</v>
      </c>
      <c r="L17" s="7">
        <v>21516.636115550002</v>
      </c>
      <c r="M17" s="7">
        <v>20799.414911700002</v>
      </c>
      <c r="N17" s="7">
        <v>20567.558984430001</v>
      </c>
      <c r="O17" s="7">
        <v>21716.105392180001</v>
      </c>
      <c r="P17" s="7">
        <v>22906.598307789998</v>
      </c>
      <c r="Q17" s="7">
        <v>24133.958115180001</v>
      </c>
      <c r="R17" s="7">
        <v>25399.14302412</v>
      </c>
      <c r="S17" s="7">
        <v>26702.7056013</v>
      </c>
      <c r="T17" s="7">
        <v>28045.522614760001</v>
      </c>
      <c r="U17" s="7">
        <v>29428.48766432</v>
      </c>
      <c r="V17" s="7">
        <v>30852.211523890001</v>
      </c>
      <c r="W17" s="7">
        <v>32316.42292434</v>
      </c>
      <c r="X17" s="7">
        <v>33823.749771800001</v>
      </c>
      <c r="Y17" s="7">
        <v>35375.138763559997</v>
      </c>
      <c r="Z17" s="7">
        <v>36971.557178340001</v>
      </c>
      <c r="AA17" s="7">
        <v>38613.972401929997</v>
      </c>
      <c r="AB17" s="7">
        <v>40303.436868850004</v>
      </c>
      <c r="AC17" s="7">
        <v>42040.948710739998</v>
      </c>
    </row>
    <row r="18" spans="1:29" x14ac:dyDescent="0.85">
      <c r="A18" t="s">
        <v>116</v>
      </c>
      <c r="B18" s="7">
        <v>9723220</v>
      </c>
      <c r="C18" s="7">
        <v>9399112.3697923496</v>
      </c>
      <c r="D18" s="7">
        <v>9085808.6145606097</v>
      </c>
      <c r="E18" s="7">
        <v>8781275.5411881004</v>
      </c>
      <c r="F18" s="7">
        <v>8488566.3659735806</v>
      </c>
      <c r="G18" s="7">
        <v>8205614.1233611004</v>
      </c>
      <c r="H18" s="7">
        <v>7932093.5355118699</v>
      </c>
      <c r="I18" s="7">
        <v>7667690.3916482804</v>
      </c>
      <c r="J18" s="7">
        <v>7412099.5274250302</v>
      </c>
      <c r="K18" s="7">
        <v>7165029.5356667005</v>
      </c>
      <c r="L18" s="7">
        <v>6923605.2967202896</v>
      </c>
      <c r="M18" s="7">
        <v>6692818.4241575701</v>
      </c>
      <c r="N18" s="7">
        <v>6618212.0167957898</v>
      </c>
      <c r="O18" s="7">
        <v>6987790.3242353396</v>
      </c>
      <c r="P18" s="7">
        <v>7370866.1440699203</v>
      </c>
      <c r="Q18" s="7">
        <v>7765804.9616710301</v>
      </c>
      <c r="R18" s="7">
        <v>8172915.1089730803</v>
      </c>
      <c r="S18" s="7">
        <v>8592374.3904299904</v>
      </c>
      <c r="T18" s="7">
        <v>9024464.9317313302</v>
      </c>
      <c r="U18" s="7">
        <v>9469474.2746857703</v>
      </c>
      <c r="V18" s="7">
        <v>9920022.2685541604</v>
      </c>
      <c r="W18" s="7">
        <v>10261507.545880601</v>
      </c>
      <c r="X18" s="7">
        <v>10143662.7380336</v>
      </c>
      <c r="Y18" s="7">
        <v>9349040.4825055394</v>
      </c>
      <c r="Z18" s="7">
        <v>7675755.7786374697</v>
      </c>
      <c r="AA18" s="7">
        <v>4723889.7039889004</v>
      </c>
      <c r="AB18" s="7">
        <v>186505.35556995001</v>
      </c>
      <c r="AC18" s="7">
        <v>-6082570.3471155204</v>
      </c>
    </row>
    <row r="19" spans="1:29" x14ac:dyDescent="0.85">
      <c r="A19" t="s">
        <v>117</v>
      </c>
      <c r="B19" s="7">
        <v>9723220</v>
      </c>
      <c r="C19" s="7">
        <v>9399112.3697923496</v>
      </c>
      <c r="D19" s="7">
        <v>9085808.6145606097</v>
      </c>
      <c r="E19" s="7">
        <v>8781275.5411881004</v>
      </c>
      <c r="F19" s="7">
        <v>8488566.3659735806</v>
      </c>
      <c r="G19" s="7">
        <v>8205614.1233611004</v>
      </c>
      <c r="H19" s="7">
        <v>7932093.5355118699</v>
      </c>
      <c r="I19" s="7">
        <v>7667690.3916482804</v>
      </c>
      <c r="J19" s="7">
        <v>7412099.5274250302</v>
      </c>
      <c r="K19" s="7">
        <v>7165029.5356667005</v>
      </c>
      <c r="L19" s="7">
        <v>6923605.2967202896</v>
      </c>
      <c r="M19" s="7">
        <v>6692818.4241575701</v>
      </c>
      <c r="N19" s="7">
        <v>6618212.0167957898</v>
      </c>
      <c r="O19" s="7">
        <v>6987790.3242353396</v>
      </c>
      <c r="P19" s="7">
        <v>7370866.1440699203</v>
      </c>
      <c r="Q19" s="7">
        <v>7765804.9616710301</v>
      </c>
      <c r="R19" s="7">
        <v>8172915.1089730803</v>
      </c>
      <c r="S19" s="7">
        <v>8592374.3904299904</v>
      </c>
      <c r="T19" s="7">
        <v>9024464.9317313302</v>
      </c>
      <c r="U19" s="7">
        <v>9469474.2746857703</v>
      </c>
      <c r="V19" s="7">
        <v>9927598.9536088891</v>
      </c>
      <c r="W19" s="7">
        <v>10398751.679751599</v>
      </c>
      <c r="X19" s="7">
        <v>10883778.0585561</v>
      </c>
      <c r="Y19" s="7">
        <v>11382982.717494201</v>
      </c>
      <c r="Z19" s="7">
        <v>11896676.906703699</v>
      </c>
      <c r="AA19" s="7">
        <v>12425171.91078</v>
      </c>
      <c r="AB19" s="7">
        <v>12968806.3812284</v>
      </c>
      <c r="AC19" s="7">
        <v>13527901.4960177</v>
      </c>
    </row>
    <row r="20" spans="1:29" x14ac:dyDescent="0.85">
      <c r="A20" t="s">
        <v>118</v>
      </c>
      <c r="B20" s="7">
        <v>6165.5671487500003</v>
      </c>
      <c r="C20" s="7">
        <v>5960.04824379</v>
      </c>
      <c r="D20" s="7">
        <v>5761.3799689999996</v>
      </c>
      <c r="E20" s="7">
        <v>5569.3339700300003</v>
      </c>
      <c r="F20" s="7">
        <v>5383.6895103899997</v>
      </c>
      <c r="G20" s="7">
        <v>5204.2331933699998</v>
      </c>
      <c r="H20" s="7">
        <v>5030.7587535900002</v>
      </c>
      <c r="I20" s="7">
        <v>4863.0667951400001</v>
      </c>
      <c r="J20" s="7">
        <v>4700.9645686399999</v>
      </c>
      <c r="K20" s="7">
        <v>4544.2657496800002</v>
      </c>
      <c r="L20" s="7">
        <v>4392.7902246900003</v>
      </c>
      <c r="M20" s="7">
        <v>4246.3638838699999</v>
      </c>
      <c r="N20" s="7">
        <v>4199.0286756400001</v>
      </c>
      <c r="O20" s="7">
        <v>4433.5134438699997</v>
      </c>
      <c r="P20" s="7">
        <v>4676.5619210599998</v>
      </c>
      <c r="Q20" s="7">
        <v>4927.1370637199998</v>
      </c>
      <c r="R20" s="7">
        <v>5185.43449788</v>
      </c>
      <c r="S20" s="7">
        <v>5451.5670343800002</v>
      </c>
      <c r="T20" s="7">
        <v>5725.7136722900004</v>
      </c>
      <c r="U20" s="7">
        <v>6008.0568470400003</v>
      </c>
      <c r="V20" s="7">
        <v>6298.7212529199996</v>
      </c>
      <c r="W20" s="7">
        <v>6597.6515081999996</v>
      </c>
      <c r="X20" s="7">
        <v>6905.3841205500003</v>
      </c>
      <c r="Y20" s="7">
        <v>7222.1123656700001</v>
      </c>
      <c r="Z20" s="7">
        <v>7548.0337210899997</v>
      </c>
      <c r="AA20" s="7">
        <v>7883.34568623</v>
      </c>
      <c r="AB20" s="7">
        <v>8228.2631238499998</v>
      </c>
      <c r="AC20" s="7">
        <v>8582.9898103800006</v>
      </c>
    </row>
    <row r="21" spans="1:29" x14ac:dyDescent="0.85">
      <c r="A21" t="s">
        <v>119</v>
      </c>
      <c r="B21" s="7">
        <v>0</v>
      </c>
      <c r="C21" s="7">
        <v>0.93991124000000004</v>
      </c>
      <c r="D21" s="7">
        <v>1.8171617200000001</v>
      </c>
      <c r="E21" s="7">
        <v>2.63438266</v>
      </c>
      <c r="F21" s="7">
        <v>3.3954265499999998</v>
      </c>
      <c r="G21" s="7">
        <v>4.10280706</v>
      </c>
      <c r="H21" s="7">
        <v>4.7592561199999999</v>
      </c>
      <c r="I21" s="7">
        <v>5.3673832700000004</v>
      </c>
      <c r="J21" s="7">
        <v>5.9296796199999999</v>
      </c>
      <c r="K21" s="7">
        <v>6.4485265800000002</v>
      </c>
      <c r="L21" s="7">
        <v>6.9236053000000002</v>
      </c>
      <c r="M21" s="7">
        <v>7.36210027</v>
      </c>
      <c r="N21" s="7">
        <v>7.9418544200000003</v>
      </c>
      <c r="O21" s="7">
        <v>9.0841274199999997</v>
      </c>
      <c r="P21" s="7">
        <v>10.3192126</v>
      </c>
      <c r="Q21" s="7">
        <v>11.648707440000001</v>
      </c>
      <c r="R21" s="7">
        <v>13.076664170000001</v>
      </c>
      <c r="S21" s="7">
        <v>14.60703646</v>
      </c>
      <c r="T21" s="7">
        <v>16.244036879999999</v>
      </c>
      <c r="U21" s="7">
        <v>17.992001120000001</v>
      </c>
      <c r="V21" s="7">
        <v>19.855197910000001</v>
      </c>
      <c r="W21" s="7">
        <v>21.837378529999999</v>
      </c>
      <c r="X21" s="7">
        <v>23.944311729999999</v>
      </c>
      <c r="Y21" s="7">
        <v>26.180860249999999</v>
      </c>
      <c r="Z21" s="7">
        <v>28.552024580000001</v>
      </c>
      <c r="AA21" s="7">
        <v>31.062929780000001</v>
      </c>
      <c r="AB21" s="7">
        <v>33.71889659</v>
      </c>
      <c r="AC21" s="7">
        <v>36.525334039999997</v>
      </c>
    </row>
    <row r="22" spans="1:29" x14ac:dyDescent="0.85">
      <c r="A22" t="s">
        <v>120</v>
      </c>
      <c r="B22" s="7">
        <v>4.8616100000000002E-2</v>
      </c>
      <c r="C22" s="7">
        <v>4.6995559999999999E-2</v>
      </c>
      <c r="D22" s="7">
        <v>4.5429039999999997E-2</v>
      </c>
      <c r="E22" s="7">
        <v>4.3906380000000002E-2</v>
      </c>
      <c r="F22" s="7">
        <v>4.2442830000000001E-2</v>
      </c>
      <c r="G22" s="7">
        <v>4.102807E-2</v>
      </c>
      <c r="H22" s="7">
        <v>3.9660470000000003E-2</v>
      </c>
      <c r="I22" s="7">
        <v>3.8338450000000003E-2</v>
      </c>
      <c r="J22" s="7">
        <v>3.7060500000000003E-2</v>
      </c>
      <c r="K22" s="7">
        <v>3.582515E-2</v>
      </c>
      <c r="L22" s="7">
        <v>3.4618030000000001E-2</v>
      </c>
      <c r="M22" s="7">
        <v>3.3464090000000002E-2</v>
      </c>
      <c r="N22" s="7">
        <v>3.3091059999999999E-2</v>
      </c>
      <c r="O22" s="7">
        <v>3.4938950000000003E-2</v>
      </c>
      <c r="P22" s="7">
        <v>3.6854329999999998E-2</v>
      </c>
      <c r="Q22" s="7">
        <v>3.8829019999999999E-2</v>
      </c>
      <c r="R22" s="7">
        <v>4.0864579999999998E-2</v>
      </c>
      <c r="S22" s="7">
        <v>4.2961869999999999E-2</v>
      </c>
      <c r="T22" s="7">
        <v>4.512232E-2</v>
      </c>
      <c r="U22" s="7">
        <v>4.734737E-2</v>
      </c>
      <c r="V22" s="7">
        <v>4.963799E-2</v>
      </c>
      <c r="W22" s="7">
        <v>5.199376E-2</v>
      </c>
      <c r="X22" s="7">
        <v>5.4418889999999998E-2</v>
      </c>
      <c r="Y22" s="7">
        <v>5.6914909999999999E-2</v>
      </c>
      <c r="Z22" s="7">
        <v>5.9483380000000002E-2</v>
      </c>
      <c r="AA22" s="7">
        <v>6.2125859999999998E-2</v>
      </c>
      <c r="AB22" s="7">
        <v>6.4844029999999997E-2</v>
      </c>
      <c r="AC22" s="7">
        <v>6.763951E-2</v>
      </c>
    </row>
    <row r="23" spans="1:29" x14ac:dyDescent="0.85">
      <c r="A23" t="s">
        <v>121</v>
      </c>
      <c r="B23" s="7">
        <v>6165.5671487500003</v>
      </c>
      <c r="C23" s="7">
        <v>5960.04824379</v>
      </c>
      <c r="D23" s="7">
        <v>5761.3799689999996</v>
      </c>
      <c r="E23" s="7">
        <v>5569.3339700300003</v>
      </c>
      <c r="F23" s="7">
        <v>5383.6895103899997</v>
      </c>
      <c r="G23" s="7">
        <v>5204.2331933699998</v>
      </c>
      <c r="H23" s="7">
        <v>5030.7587535900002</v>
      </c>
      <c r="I23" s="7">
        <v>4863.0667951400001</v>
      </c>
      <c r="J23" s="7">
        <v>4700.9645686399999</v>
      </c>
      <c r="K23" s="7">
        <v>4544.2657496800002</v>
      </c>
      <c r="L23" s="7">
        <v>4392.7902246900003</v>
      </c>
      <c r="M23" s="7">
        <v>4246.3638838699999</v>
      </c>
      <c r="N23" s="7">
        <v>4199.0286756400001</v>
      </c>
      <c r="O23" s="7">
        <v>4433.5134438699997</v>
      </c>
      <c r="P23" s="7">
        <v>4676.5619210599998</v>
      </c>
      <c r="Q23" s="7">
        <v>4927.1370637199998</v>
      </c>
      <c r="R23" s="7">
        <v>5185.43449788</v>
      </c>
      <c r="S23" s="7">
        <v>5451.5670343800002</v>
      </c>
      <c r="T23" s="7">
        <v>5725.7136722900004</v>
      </c>
      <c r="U23" s="7">
        <v>6008.0568470400003</v>
      </c>
      <c r="V23" s="7">
        <v>6298.7212529199996</v>
      </c>
      <c r="W23" s="7">
        <v>6597.6515081999996</v>
      </c>
      <c r="X23" s="7">
        <v>6905.3841205500003</v>
      </c>
      <c r="Y23" s="7">
        <v>7222.1123656700001</v>
      </c>
      <c r="Z23" s="7">
        <v>7548.0337210899997</v>
      </c>
      <c r="AA23" s="7">
        <v>7883.34568623</v>
      </c>
      <c r="AB23" s="7">
        <v>8228.2631238499998</v>
      </c>
      <c r="AC23" s="7">
        <v>8582.9898103800006</v>
      </c>
    </row>
    <row r="24" spans="1:29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</row>
    <row r="25" spans="1:29" x14ac:dyDescent="0.85">
      <c r="A25" t="s">
        <v>123</v>
      </c>
      <c r="B25" s="7">
        <v>1</v>
      </c>
      <c r="C25" s="7">
        <v>1.03333333</v>
      </c>
      <c r="D25" s="7">
        <v>0.99999996999999996</v>
      </c>
      <c r="E25" s="7">
        <v>1</v>
      </c>
      <c r="F25" s="7">
        <v>0.99980954</v>
      </c>
      <c r="G25" s="7">
        <v>1</v>
      </c>
      <c r="H25" s="7">
        <v>1</v>
      </c>
      <c r="I25" s="7">
        <v>0.99999998999999995</v>
      </c>
      <c r="J25" s="7">
        <v>1</v>
      </c>
      <c r="K25" s="7">
        <v>0.99999983999999997</v>
      </c>
      <c r="L25" s="7">
        <v>1</v>
      </c>
      <c r="M25" s="7">
        <v>0.99962607000000003</v>
      </c>
      <c r="N25" s="7">
        <v>1</v>
      </c>
      <c r="O25" s="7">
        <v>1.02295114</v>
      </c>
      <c r="P25" s="7">
        <v>1.0911838700000001</v>
      </c>
      <c r="Q25" s="7">
        <v>1.08991514</v>
      </c>
      <c r="R25" s="7">
        <v>1.0887039000000001</v>
      </c>
      <c r="S25" s="7">
        <v>1.08756561</v>
      </c>
      <c r="T25" s="7">
        <v>1.08649449</v>
      </c>
      <c r="U25" s="7">
        <v>1.0854845900000001</v>
      </c>
      <c r="V25" s="7">
        <v>1.08453066</v>
      </c>
      <c r="W25" s="7">
        <v>1.0835681500000001</v>
      </c>
      <c r="X25" s="7">
        <v>1.0827238800000001</v>
      </c>
      <c r="Y25" s="7">
        <v>1.0819212300000001</v>
      </c>
      <c r="Z25" s="7">
        <v>1.08115717</v>
      </c>
      <c r="AA25" s="7">
        <v>1.0804289600000001</v>
      </c>
      <c r="AB25" s="7">
        <v>1.07973414</v>
      </c>
      <c r="AC25" s="7">
        <v>1.07907039</v>
      </c>
    </row>
    <row r="26" spans="1:29" x14ac:dyDescent="0.85">
      <c r="A26" t="s">
        <v>124</v>
      </c>
      <c r="B26" s="7">
        <v>1</v>
      </c>
      <c r="C26" s="7">
        <v>0.99999996999999996</v>
      </c>
      <c r="D26" s="7">
        <v>1</v>
      </c>
      <c r="E26" s="7">
        <v>0.99980954</v>
      </c>
      <c r="F26" s="7">
        <v>1</v>
      </c>
      <c r="G26" s="7">
        <v>1</v>
      </c>
      <c r="H26" s="7">
        <v>0.99999998999999995</v>
      </c>
      <c r="I26" s="7">
        <v>1</v>
      </c>
      <c r="J26" s="7">
        <v>0.99999983999999997</v>
      </c>
      <c r="K26" s="7">
        <v>1</v>
      </c>
      <c r="L26" s="7">
        <v>0.99962607000000003</v>
      </c>
      <c r="M26" s="7">
        <v>1</v>
      </c>
      <c r="N26" s="7">
        <v>1.02295114</v>
      </c>
      <c r="O26" s="7">
        <v>1.0922509899999999</v>
      </c>
      <c r="P26" s="7">
        <v>1.0911938699999999</v>
      </c>
      <c r="Q26" s="7">
        <v>1.0899114400000001</v>
      </c>
      <c r="R26" s="7">
        <v>1.0887138999999999</v>
      </c>
      <c r="S26" s="7">
        <v>1.08757561</v>
      </c>
      <c r="T26" s="7">
        <v>1.08650449</v>
      </c>
      <c r="U26" s="7">
        <v>1.0854945899999999</v>
      </c>
      <c r="V26" s="7">
        <v>1.08453011</v>
      </c>
      <c r="W26" s="7">
        <v>1.0835781499999999</v>
      </c>
      <c r="X26" s="7">
        <v>1.0827338799999999</v>
      </c>
      <c r="Y26" s="7">
        <v>1.0819312299999999</v>
      </c>
      <c r="Z26" s="7">
        <v>1.0811671599999999</v>
      </c>
      <c r="AA26" s="7">
        <v>1.08043836</v>
      </c>
      <c r="AB26" s="7">
        <v>1.0797441400000001</v>
      </c>
      <c r="AC26" s="7">
        <v>1.0790801000000001</v>
      </c>
    </row>
    <row r="27" spans="1:29" x14ac:dyDescent="0.85">
      <c r="A27" t="s">
        <v>125</v>
      </c>
      <c r="B27" s="7">
        <v>1</v>
      </c>
      <c r="C27" s="7">
        <v>1.0651641999999999</v>
      </c>
      <c r="D27" s="7">
        <v>1.0667175499999999</v>
      </c>
      <c r="E27" s="7">
        <v>1.0683568699999999</v>
      </c>
      <c r="F27" s="7">
        <v>1.07008561</v>
      </c>
      <c r="G27" s="7">
        <v>1.0719139499999999</v>
      </c>
      <c r="H27" s="7">
        <v>1.07384057</v>
      </c>
      <c r="I27" s="7">
        <v>1.0758780699999999</v>
      </c>
      <c r="J27" s="7">
        <v>1.0790567</v>
      </c>
      <c r="K27" s="7">
        <v>1.08242992</v>
      </c>
      <c r="L27" s="7">
        <v>1.0857474199999999</v>
      </c>
      <c r="M27" s="7">
        <v>1.0881324000000001</v>
      </c>
      <c r="N27" s="7">
        <v>1.09102221</v>
      </c>
      <c r="O27" s="7">
        <v>1.09257815</v>
      </c>
      <c r="P27" s="7">
        <v>1.0911938699999999</v>
      </c>
      <c r="Q27" s="7">
        <v>1.0899251400000001</v>
      </c>
      <c r="R27" s="7">
        <v>1.0887138999999999</v>
      </c>
      <c r="S27" s="7">
        <v>1.08757561</v>
      </c>
      <c r="T27" s="7">
        <v>1.08650449</v>
      </c>
      <c r="U27" s="7">
        <v>1.0854945899999999</v>
      </c>
      <c r="V27" s="7">
        <v>1.08454066</v>
      </c>
      <c r="W27" s="7">
        <v>1.0835781499999999</v>
      </c>
      <c r="X27" s="7">
        <v>1.0827338799999999</v>
      </c>
      <c r="Y27" s="7">
        <v>1.0819312299999999</v>
      </c>
      <c r="Z27" s="7">
        <v>1.0811671700000001</v>
      </c>
      <c r="AA27" s="7">
        <v>1.0804389599999999</v>
      </c>
      <c r="AB27" s="7">
        <v>1.0797441400000001</v>
      </c>
      <c r="AC27" s="7">
        <v>1.0790803899999999</v>
      </c>
    </row>
    <row r="28" spans="1:29" x14ac:dyDescent="0.85">
      <c r="A28" t="s">
        <v>126</v>
      </c>
      <c r="B28" s="7">
        <v>0</v>
      </c>
      <c r="C28" s="7">
        <v>0</v>
      </c>
      <c r="D28" s="7">
        <v>0</v>
      </c>
      <c r="E28" s="7">
        <v>0</v>
      </c>
      <c r="F28" s="7">
        <v>0</v>
      </c>
      <c r="G28" s="7">
        <v>0</v>
      </c>
      <c r="H28" s="7">
        <v>0</v>
      </c>
      <c r="I28" s="7">
        <v>0</v>
      </c>
      <c r="J28" s="7">
        <v>0</v>
      </c>
      <c r="K28" s="7">
        <v>0</v>
      </c>
      <c r="L28" s="7">
        <v>0</v>
      </c>
      <c r="M28" s="7">
        <v>0</v>
      </c>
      <c r="N28" s="7">
        <v>0</v>
      </c>
      <c r="O28" s="7">
        <v>0</v>
      </c>
      <c r="P28" s="7">
        <v>0</v>
      </c>
      <c r="Q28" s="7">
        <v>0</v>
      </c>
      <c r="R28" s="7">
        <v>0</v>
      </c>
      <c r="S28" s="7">
        <v>0</v>
      </c>
      <c r="T28" s="7">
        <v>0</v>
      </c>
      <c r="U28" s="7">
        <v>0</v>
      </c>
      <c r="V28" s="7">
        <v>0</v>
      </c>
      <c r="W28" s="7">
        <v>0</v>
      </c>
      <c r="X28" s="7">
        <v>0</v>
      </c>
      <c r="Y28" s="7">
        <v>0</v>
      </c>
      <c r="Z28" s="7">
        <v>0</v>
      </c>
      <c r="AA28" s="7">
        <v>0</v>
      </c>
      <c r="AB28" s="7">
        <v>0</v>
      </c>
      <c r="AC28" s="7">
        <v>0</v>
      </c>
    </row>
    <row r="29" spans="1:29" x14ac:dyDescent="0.85">
      <c r="A29" t="s">
        <v>127</v>
      </c>
      <c r="B29" s="7">
        <v>0</v>
      </c>
      <c r="C29" s="7">
        <v>0</v>
      </c>
      <c r="D29" s="7">
        <v>0</v>
      </c>
      <c r="E29" s="7">
        <v>0</v>
      </c>
      <c r="F29" s="7">
        <v>0</v>
      </c>
      <c r="G29" s="7">
        <v>0</v>
      </c>
      <c r="H29" s="7">
        <v>0</v>
      </c>
      <c r="I29" s="7">
        <v>0</v>
      </c>
      <c r="J29" s="7">
        <v>0</v>
      </c>
      <c r="K29" s="7">
        <v>0</v>
      </c>
      <c r="L29" s="7">
        <v>0</v>
      </c>
      <c r="M29" s="7">
        <v>0</v>
      </c>
      <c r="N29" s="7">
        <v>0</v>
      </c>
      <c r="O29" s="7">
        <v>0</v>
      </c>
      <c r="P29" s="7">
        <v>0</v>
      </c>
      <c r="Q29" s="7">
        <v>0</v>
      </c>
      <c r="R29" s="7">
        <v>0</v>
      </c>
      <c r="S29" s="7">
        <v>0</v>
      </c>
      <c r="T29" s="7">
        <v>0</v>
      </c>
      <c r="U29" s="7">
        <v>0</v>
      </c>
      <c r="V29" s="7">
        <v>0</v>
      </c>
      <c r="W29" s="7">
        <v>0</v>
      </c>
      <c r="X29" s="7">
        <v>0</v>
      </c>
      <c r="Y29" s="7">
        <v>0</v>
      </c>
      <c r="Z29" s="7">
        <v>0</v>
      </c>
      <c r="AA29" s="7">
        <v>0</v>
      </c>
      <c r="AB29" s="7">
        <v>0</v>
      </c>
      <c r="AC29" s="7">
        <v>0</v>
      </c>
    </row>
    <row r="30" spans="1:29" x14ac:dyDescent="0.85">
      <c r="A30" t="s">
        <v>128</v>
      </c>
      <c r="B30" s="7">
        <v>0</v>
      </c>
      <c r="C30" s="7">
        <v>0</v>
      </c>
      <c r="D30" s="7">
        <v>0</v>
      </c>
      <c r="E30" s="7">
        <v>0</v>
      </c>
      <c r="F30" s="7">
        <v>0</v>
      </c>
      <c r="G30" s="7">
        <v>0</v>
      </c>
      <c r="H30" s="7">
        <v>0</v>
      </c>
      <c r="I30" s="7">
        <v>0</v>
      </c>
      <c r="J30" s="7">
        <v>0</v>
      </c>
      <c r="K30" s="7">
        <v>0</v>
      </c>
      <c r="L30" s="7">
        <v>0</v>
      </c>
      <c r="M30" s="7">
        <v>0</v>
      </c>
      <c r="N30" s="7">
        <v>0</v>
      </c>
      <c r="O30" s="7">
        <v>0</v>
      </c>
      <c r="P30" s="7">
        <v>0</v>
      </c>
      <c r="Q30" s="7">
        <v>0</v>
      </c>
      <c r="R30" s="7">
        <v>0</v>
      </c>
      <c r="S30" s="7">
        <v>0</v>
      </c>
      <c r="T30" s="7">
        <v>0</v>
      </c>
      <c r="U30" s="7">
        <v>0</v>
      </c>
      <c r="V30" s="7">
        <v>0</v>
      </c>
      <c r="W30" s="7">
        <v>0</v>
      </c>
      <c r="X30" s="7">
        <v>0</v>
      </c>
      <c r="Y30" s="7">
        <v>0</v>
      </c>
      <c r="Z30" s="7">
        <v>0</v>
      </c>
      <c r="AA30" s="7">
        <v>0</v>
      </c>
      <c r="AB30" s="7">
        <v>0</v>
      </c>
      <c r="AC30" s="7">
        <v>0</v>
      </c>
    </row>
    <row r="31" spans="1:29" x14ac:dyDescent="0.85">
      <c r="A31" t="s">
        <v>129</v>
      </c>
      <c r="B31" s="7">
        <v>0</v>
      </c>
      <c r="C31" s="7">
        <v>0</v>
      </c>
      <c r="D31" s="7">
        <v>0</v>
      </c>
      <c r="E31" s="7">
        <v>0</v>
      </c>
      <c r="F31" s="7">
        <v>0</v>
      </c>
      <c r="G31" s="7">
        <v>0</v>
      </c>
      <c r="H31" s="7">
        <v>0</v>
      </c>
      <c r="I31" s="7">
        <v>0</v>
      </c>
      <c r="J31" s="7">
        <v>0</v>
      </c>
      <c r="K31" s="7">
        <v>0</v>
      </c>
      <c r="L31" s="7">
        <v>0</v>
      </c>
      <c r="M31" s="7">
        <v>0</v>
      </c>
      <c r="N31" s="7">
        <v>0</v>
      </c>
      <c r="O31" s="7">
        <v>0</v>
      </c>
      <c r="P31" s="7">
        <v>0</v>
      </c>
      <c r="Q31" s="7">
        <v>0</v>
      </c>
      <c r="R31" s="7">
        <v>0</v>
      </c>
      <c r="S31" s="7">
        <v>0</v>
      </c>
      <c r="T31" s="7">
        <v>0</v>
      </c>
      <c r="U31" s="7">
        <v>0</v>
      </c>
      <c r="V31" s="7">
        <v>0</v>
      </c>
      <c r="W31" s="7">
        <v>0</v>
      </c>
      <c r="X31" s="7">
        <v>0</v>
      </c>
      <c r="Y31" s="7">
        <v>0</v>
      </c>
      <c r="Z31" s="7">
        <v>0</v>
      </c>
      <c r="AA31" s="7">
        <v>0</v>
      </c>
      <c r="AB31" s="7">
        <v>0</v>
      </c>
      <c r="AC31" s="7">
        <v>0</v>
      </c>
    </row>
    <row r="32" spans="1:29" x14ac:dyDescent="0.85">
      <c r="A32" t="s">
        <v>130</v>
      </c>
      <c r="B32" s="7">
        <v>0</v>
      </c>
      <c r="C32" s="7">
        <v>0</v>
      </c>
      <c r="D32" s="7">
        <v>0</v>
      </c>
      <c r="E32" s="7">
        <v>0</v>
      </c>
      <c r="F32" s="7">
        <v>0</v>
      </c>
      <c r="G32" s="7">
        <v>0</v>
      </c>
      <c r="H32" s="7">
        <v>0</v>
      </c>
      <c r="I32" s="7">
        <v>0</v>
      </c>
      <c r="J32" s="7">
        <v>0</v>
      </c>
      <c r="K32" s="7">
        <v>0</v>
      </c>
      <c r="L32" s="7">
        <v>0</v>
      </c>
      <c r="M32" s="7">
        <v>0</v>
      </c>
      <c r="N32" s="7">
        <v>0</v>
      </c>
      <c r="O32" s="7">
        <v>0</v>
      </c>
      <c r="P32" s="7">
        <v>0</v>
      </c>
      <c r="Q32" s="7">
        <v>0</v>
      </c>
      <c r="R32" s="7">
        <v>0</v>
      </c>
      <c r="S32" s="7">
        <v>0</v>
      </c>
      <c r="T32" s="7">
        <v>0</v>
      </c>
      <c r="U32" s="7">
        <v>0</v>
      </c>
      <c r="V32" s="7">
        <v>0</v>
      </c>
      <c r="W32" s="7">
        <v>0</v>
      </c>
      <c r="X32" s="7">
        <v>0</v>
      </c>
      <c r="Y32" s="7">
        <v>0</v>
      </c>
      <c r="Z32" s="7">
        <v>0</v>
      </c>
      <c r="AA32" s="7">
        <v>0</v>
      </c>
      <c r="AB32" s="7">
        <v>0</v>
      </c>
      <c r="AC32" s="7">
        <v>0</v>
      </c>
    </row>
    <row r="33" spans="1:29" x14ac:dyDescent="0.85">
      <c r="A33" t="s">
        <v>131</v>
      </c>
      <c r="B33" s="7">
        <v>0</v>
      </c>
      <c r="C33" s="7">
        <v>0</v>
      </c>
      <c r="D33" s="7">
        <v>0</v>
      </c>
      <c r="E33" s="7">
        <v>0</v>
      </c>
      <c r="F33" s="7">
        <v>0</v>
      </c>
      <c r="G33" s="7">
        <v>0</v>
      </c>
      <c r="H33" s="7">
        <v>0</v>
      </c>
      <c r="I33" s="7">
        <v>0</v>
      </c>
      <c r="J33" s="7">
        <v>0</v>
      </c>
      <c r="K33" s="7">
        <v>0</v>
      </c>
      <c r="L33" s="7">
        <v>0</v>
      </c>
      <c r="M33" s="7">
        <v>0</v>
      </c>
      <c r="N33" s="7">
        <v>0</v>
      </c>
      <c r="O33" s="7">
        <v>0</v>
      </c>
      <c r="P33" s="7">
        <v>0</v>
      </c>
      <c r="Q33" s="7">
        <v>0</v>
      </c>
      <c r="R33" s="7">
        <v>0</v>
      </c>
      <c r="S33" s="7">
        <v>0</v>
      </c>
      <c r="T33" s="7">
        <v>0</v>
      </c>
      <c r="U33" s="7">
        <v>0</v>
      </c>
      <c r="V33" s="7">
        <v>0</v>
      </c>
      <c r="W33" s="7">
        <v>0</v>
      </c>
      <c r="X33" s="7">
        <v>0</v>
      </c>
      <c r="Y33" s="7">
        <v>0</v>
      </c>
      <c r="Z33" s="7">
        <v>0</v>
      </c>
      <c r="AA33" s="7">
        <v>0</v>
      </c>
      <c r="AB33" s="7">
        <v>0</v>
      </c>
      <c r="AC33" s="7">
        <v>0</v>
      </c>
    </row>
    <row r="34" spans="1:29" x14ac:dyDescent="0.85">
      <c r="A34" t="s">
        <v>132</v>
      </c>
      <c r="B34" s="7">
        <v>0</v>
      </c>
      <c r="C34" s="7">
        <v>0</v>
      </c>
      <c r="D34" s="7">
        <v>0</v>
      </c>
      <c r="E34" s="7">
        <v>0</v>
      </c>
      <c r="F34" s="7">
        <v>0</v>
      </c>
      <c r="G34" s="7">
        <v>0</v>
      </c>
      <c r="H34" s="7">
        <v>0</v>
      </c>
      <c r="I34" s="7">
        <v>0</v>
      </c>
      <c r="J34" s="7">
        <v>0</v>
      </c>
      <c r="K34" s="7">
        <v>0</v>
      </c>
      <c r="L34" s="7">
        <v>0</v>
      </c>
      <c r="M34" s="7">
        <v>0</v>
      </c>
      <c r="N34" s="7">
        <v>0</v>
      </c>
      <c r="O34" s="7">
        <v>0</v>
      </c>
      <c r="P34" s="7">
        <v>0</v>
      </c>
      <c r="Q34" s="7">
        <v>0</v>
      </c>
      <c r="R34" s="7">
        <v>0</v>
      </c>
      <c r="S34" s="7">
        <v>0</v>
      </c>
      <c r="T34" s="7">
        <v>0</v>
      </c>
      <c r="U34" s="7">
        <v>0</v>
      </c>
      <c r="V34" s="7">
        <v>0</v>
      </c>
      <c r="W34" s="7">
        <v>0</v>
      </c>
      <c r="X34" s="7">
        <v>0</v>
      </c>
      <c r="Y34" s="7">
        <v>0</v>
      </c>
      <c r="Z34" s="7">
        <v>0</v>
      </c>
      <c r="AA34" s="7">
        <v>0</v>
      </c>
      <c r="AB34" s="7">
        <v>0</v>
      </c>
      <c r="AC34" s="7">
        <v>0</v>
      </c>
    </row>
    <row r="35" spans="1:29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</row>
    <row r="36" spans="1:29" x14ac:dyDescent="0.85">
      <c r="A36" t="s">
        <v>134</v>
      </c>
      <c r="B36" s="7">
        <v>1</v>
      </c>
      <c r="C36" s="7">
        <v>1.04</v>
      </c>
      <c r="D36" s="7">
        <v>0.12018047</v>
      </c>
      <c r="E36" s="7">
        <v>7.6789000000000002E-4</v>
      </c>
      <c r="F36" s="7">
        <v>0</v>
      </c>
      <c r="G36" s="7">
        <v>0</v>
      </c>
      <c r="H36" s="7">
        <v>0</v>
      </c>
      <c r="I36" s="7">
        <v>0</v>
      </c>
      <c r="J36" s="7">
        <v>2.4716000000000001E-4</v>
      </c>
      <c r="K36" s="7">
        <v>9.5999999999999991E-7</v>
      </c>
      <c r="L36" s="7">
        <v>2.8714000000000002E-4</v>
      </c>
      <c r="M36" s="7">
        <v>2.1327E-4</v>
      </c>
      <c r="N36" s="7">
        <v>2.7752000000000001E-4</v>
      </c>
      <c r="O36" s="7">
        <v>0</v>
      </c>
      <c r="P36" s="7">
        <v>0</v>
      </c>
      <c r="Q36" s="7">
        <v>0</v>
      </c>
      <c r="R36" s="7">
        <v>0</v>
      </c>
      <c r="S36" s="7">
        <v>0</v>
      </c>
      <c r="T36" s="7">
        <v>0</v>
      </c>
      <c r="U36" s="7">
        <v>0</v>
      </c>
      <c r="V36" s="7">
        <v>0</v>
      </c>
      <c r="W36" s="7">
        <v>8.0999999999999997E-7</v>
      </c>
      <c r="X36" s="7">
        <v>1.46E-6</v>
      </c>
      <c r="Y36" s="7">
        <v>1.5400000000000001E-6</v>
      </c>
      <c r="Z36" s="7">
        <v>1.6700000000000001E-6</v>
      </c>
      <c r="AA36" s="7">
        <v>1.5200000000000001E-6</v>
      </c>
      <c r="AB36" s="7">
        <v>1.19E-6</v>
      </c>
      <c r="AC36" s="7">
        <v>1.0300000000000001E-6</v>
      </c>
    </row>
    <row r="37" spans="1:29" x14ac:dyDescent="0.85">
      <c r="A37" t="s">
        <v>135</v>
      </c>
      <c r="B37" s="7">
        <v>1</v>
      </c>
      <c r="C37" s="7">
        <v>0.12018047</v>
      </c>
      <c r="D37" s="7">
        <v>7.6789000000000002E-4</v>
      </c>
      <c r="E37" s="7">
        <v>0</v>
      </c>
      <c r="F37" s="7">
        <v>0</v>
      </c>
      <c r="G37" s="7">
        <v>0</v>
      </c>
      <c r="H37" s="7">
        <v>0</v>
      </c>
      <c r="I37" s="7">
        <v>2.4716000000000001E-4</v>
      </c>
      <c r="J37" s="7">
        <v>9.5999999999999991E-7</v>
      </c>
      <c r="K37" s="7">
        <v>2.8714000000000002E-4</v>
      </c>
      <c r="L37" s="7">
        <v>2.1327E-4</v>
      </c>
      <c r="M37" s="7">
        <v>2.7752000000000001E-4</v>
      </c>
      <c r="N37" s="7">
        <v>0</v>
      </c>
      <c r="O37" s="7">
        <v>0</v>
      </c>
      <c r="P37" s="7">
        <v>0</v>
      </c>
      <c r="Q37" s="7">
        <v>0</v>
      </c>
      <c r="R37" s="7">
        <v>0</v>
      </c>
      <c r="S37" s="7">
        <v>0</v>
      </c>
      <c r="T37" s="7">
        <v>0</v>
      </c>
      <c r="U37" s="7">
        <v>0</v>
      </c>
      <c r="V37" s="7">
        <v>8.0999999999999997E-7</v>
      </c>
      <c r="W37" s="7">
        <v>1.46E-6</v>
      </c>
      <c r="X37" s="7">
        <v>1.5400000000000001E-6</v>
      </c>
      <c r="Y37" s="7">
        <v>1.6700000000000001E-6</v>
      </c>
      <c r="Z37" s="7">
        <v>1.5200000000000001E-6</v>
      </c>
      <c r="AA37" s="7">
        <v>1.19E-6</v>
      </c>
      <c r="AB37" s="7">
        <v>1.0300000000000001E-6</v>
      </c>
      <c r="AC37" s="7">
        <v>9.7999999999999993E-7</v>
      </c>
    </row>
    <row r="38" spans="1:29" x14ac:dyDescent="0.85">
      <c r="A38" t="s">
        <v>136</v>
      </c>
      <c r="B38" s="7">
        <v>1</v>
      </c>
      <c r="C38" s="7">
        <v>10</v>
      </c>
      <c r="D38" s="7">
        <v>10</v>
      </c>
      <c r="E38" s="7">
        <v>10</v>
      </c>
      <c r="F38" s="7">
        <v>10</v>
      </c>
      <c r="G38" s="7">
        <v>10</v>
      </c>
      <c r="H38" s="7">
        <v>10</v>
      </c>
      <c r="I38" s="7">
        <v>10</v>
      </c>
      <c r="J38" s="7">
        <v>10</v>
      </c>
      <c r="K38" s="7">
        <v>10</v>
      </c>
      <c r="L38" s="7">
        <v>10</v>
      </c>
      <c r="M38" s="7">
        <v>10</v>
      </c>
      <c r="N38" s="7">
        <v>10</v>
      </c>
      <c r="O38" s="7">
        <v>10</v>
      </c>
      <c r="P38" s="7">
        <v>10</v>
      </c>
      <c r="Q38" s="7">
        <v>10</v>
      </c>
      <c r="R38" s="7">
        <v>10</v>
      </c>
      <c r="S38" s="7">
        <v>10</v>
      </c>
      <c r="T38" s="7">
        <v>10</v>
      </c>
      <c r="U38" s="7">
        <v>10</v>
      </c>
      <c r="V38" s="7">
        <v>10</v>
      </c>
      <c r="W38" s="7">
        <v>10</v>
      </c>
      <c r="X38" s="7">
        <v>10</v>
      </c>
      <c r="Y38" s="7">
        <v>10</v>
      </c>
      <c r="Z38" s="7">
        <v>10</v>
      </c>
      <c r="AA38" s="7">
        <v>10</v>
      </c>
      <c r="AB38" s="7">
        <v>10</v>
      </c>
      <c r="AC38" s="7">
        <v>10</v>
      </c>
    </row>
    <row r="39" spans="1:29" x14ac:dyDescent="0.85">
      <c r="A39" t="s">
        <v>137</v>
      </c>
      <c r="B39" s="7">
        <v>4086</v>
      </c>
      <c r="C39" s="7">
        <v>3983.85</v>
      </c>
      <c r="D39" s="7">
        <v>3884.2537499999999</v>
      </c>
      <c r="E39" s="7">
        <v>3787.1474062500001</v>
      </c>
      <c r="F39" s="7">
        <v>3692.4687291300002</v>
      </c>
      <c r="G39" s="7">
        <v>3600.1570118099999</v>
      </c>
      <c r="H39" s="7">
        <v>3510.1530865200002</v>
      </c>
      <c r="I39" s="7">
        <v>3422.3992593600001</v>
      </c>
      <c r="J39" s="7">
        <v>3336.8392778699999</v>
      </c>
      <c r="K39" s="7">
        <v>3262.4945787800002</v>
      </c>
      <c r="L39" s="7">
        <v>3180.9322143099998</v>
      </c>
      <c r="M39" s="7">
        <v>3211.6279572600001</v>
      </c>
      <c r="N39" s="7">
        <v>3131.34819165</v>
      </c>
      <c r="O39" s="7">
        <v>5378.5169253900003</v>
      </c>
      <c r="P39" s="7">
        <v>7694.1751534699997</v>
      </c>
      <c r="Q39" s="7">
        <v>10081.580111740001</v>
      </c>
      <c r="R39" s="7">
        <v>12541.698527779999</v>
      </c>
      <c r="S39" s="7">
        <v>15076.304693759999</v>
      </c>
      <c r="T39" s="7">
        <v>17687.207901099999</v>
      </c>
      <c r="U39" s="7">
        <v>20376.253217590001</v>
      </c>
      <c r="V39" s="7">
        <v>23145.322275620001</v>
      </c>
      <c r="W39" s="7">
        <v>25993.502671720002</v>
      </c>
      <c r="X39" s="7">
        <v>28925.84355573</v>
      </c>
      <c r="Y39" s="7">
        <v>31944.314866889999</v>
      </c>
      <c r="Z39" s="7">
        <v>35050.929031189997</v>
      </c>
      <c r="AA39" s="7">
        <v>38247.741549480001</v>
      </c>
      <c r="AB39" s="7">
        <v>41536.851639319997</v>
      </c>
      <c r="AC39" s="7">
        <v>44920.40291728</v>
      </c>
    </row>
    <row r="40" spans="1:29" x14ac:dyDescent="0.85">
      <c r="A40" t="s">
        <v>138</v>
      </c>
      <c r="B40" s="7">
        <v>30292965.75</v>
      </c>
      <c r="C40" s="7">
        <v>29534379.273722399</v>
      </c>
      <c r="D40" s="7">
        <v>28796019.760887802</v>
      </c>
      <c r="E40" s="7">
        <v>28076119.235796999</v>
      </c>
      <c r="F40" s="7">
        <v>27374216.314447001</v>
      </c>
      <c r="G40" s="7">
        <v>26689860.913384601</v>
      </c>
      <c r="H40" s="7">
        <v>26022614.380676799</v>
      </c>
      <c r="I40" s="7">
        <v>25372048.989516798</v>
      </c>
      <c r="J40" s="7">
        <v>24737747.761411302</v>
      </c>
      <c r="K40" s="7">
        <v>24186591.3345148</v>
      </c>
      <c r="L40" s="7">
        <v>23581926.489737101</v>
      </c>
      <c r="M40" s="7">
        <v>23809490.205301002</v>
      </c>
      <c r="N40" s="7">
        <v>23214334.004687902</v>
      </c>
      <c r="O40" s="7">
        <v>39873779.82711</v>
      </c>
      <c r="P40" s="7">
        <v>57040974.357100599</v>
      </c>
      <c r="Q40" s="7">
        <v>74740065.200298294</v>
      </c>
      <c r="R40" s="7">
        <v>92978219.217613995</v>
      </c>
      <c r="S40" s="7">
        <v>111768590.17163301</v>
      </c>
      <c r="T40" s="7">
        <v>131124591.293044</v>
      </c>
      <c r="U40" s="7">
        <v>151059901.04148501</v>
      </c>
      <c r="V40" s="7">
        <v>171588468.94918501</v>
      </c>
      <c r="W40" s="7">
        <v>192703530.88863099</v>
      </c>
      <c r="X40" s="7">
        <v>214442518.867892</v>
      </c>
      <c r="Y40" s="7">
        <v>236820037.08431</v>
      </c>
      <c r="Z40" s="7">
        <v>259851004.7123</v>
      </c>
      <c r="AA40" s="7">
        <v>283550660.26247698</v>
      </c>
      <c r="AB40" s="7">
        <v>307934566.34080702</v>
      </c>
      <c r="AC40" s="7">
        <v>333018614.70628703</v>
      </c>
    </row>
    <row r="41" spans="1:29" x14ac:dyDescent="0.85">
      <c r="A41" t="s">
        <v>139</v>
      </c>
      <c r="B41" s="7">
        <v>30292965.75</v>
      </c>
      <c r="C41" s="7">
        <v>29534379.273722399</v>
      </c>
      <c r="D41" s="7">
        <v>28796019.760887802</v>
      </c>
      <c r="E41" s="7">
        <v>28076119.235796999</v>
      </c>
      <c r="F41" s="7">
        <v>27374216.314447001</v>
      </c>
      <c r="G41" s="7">
        <v>26689860.913384601</v>
      </c>
      <c r="H41" s="7">
        <v>26022614.380676799</v>
      </c>
      <c r="I41" s="7">
        <v>25372048.989516798</v>
      </c>
      <c r="J41" s="7">
        <v>24737747.761411302</v>
      </c>
      <c r="K41" s="7">
        <v>24186591.3345148</v>
      </c>
      <c r="L41" s="7">
        <v>23581926.489737101</v>
      </c>
      <c r="M41" s="7">
        <v>23809490.205301002</v>
      </c>
      <c r="N41" s="7">
        <v>23214334.004687902</v>
      </c>
      <c r="O41" s="7">
        <v>39873779.82711</v>
      </c>
      <c r="P41" s="7">
        <v>57040974.357100599</v>
      </c>
      <c r="Q41" s="7">
        <v>74740065.200298294</v>
      </c>
      <c r="R41" s="7">
        <v>92978219.217613995</v>
      </c>
      <c r="S41" s="7">
        <v>111768590.17163301</v>
      </c>
      <c r="T41" s="7">
        <v>131124591.293044</v>
      </c>
      <c r="U41" s="7">
        <v>151059901.04148501</v>
      </c>
      <c r="V41" s="7">
        <v>171588468.94918501</v>
      </c>
      <c r="W41" s="7">
        <v>192703530.88863099</v>
      </c>
      <c r="X41" s="7">
        <v>214442518.867892</v>
      </c>
      <c r="Y41" s="7">
        <v>236820037.08431</v>
      </c>
      <c r="Z41" s="7">
        <v>259851004.7123</v>
      </c>
      <c r="AA41" s="7">
        <v>283550660.26247698</v>
      </c>
      <c r="AB41" s="7">
        <v>307934566.34080702</v>
      </c>
      <c r="AC41" s="7">
        <v>333018614.70628703</v>
      </c>
    </row>
    <row r="42" spans="1:29" x14ac:dyDescent="0.85">
      <c r="A42" t="s">
        <v>140</v>
      </c>
      <c r="B42" s="7">
        <v>4713.3986388399999</v>
      </c>
      <c r="C42" s="7">
        <v>4595.5509106899999</v>
      </c>
      <c r="D42" s="7">
        <v>4480.6621376100002</v>
      </c>
      <c r="E42" s="7">
        <v>4368.6455838499996</v>
      </c>
      <c r="F42" s="7">
        <v>4259.4294535199997</v>
      </c>
      <c r="G42" s="7">
        <v>4152.9437182399997</v>
      </c>
      <c r="H42" s="7">
        <v>4049.1201251799998</v>
      </c>
      <c r="I42" s="7">
        <v>3947.8921217299999</v>
      </c>
      <c r="J42" s="7">
        <v>3849.1948186599998</v>
      </c>
      <c r="K42" s="7">
        <v>3763.4348504</v>
      </c>
      <c r="L42" s="7">
        <v>3669.3489785199999</v>
      </c>
      <c r="M42" s="7">
        <v>3704.7579044099998</v>
      </c>
      <c r="N42" s="7">
        <v>3612.15156888</v>
      </c>
      <c r="O42" s="7">
        <v>6204.3621984000001</v>
      </c>
      <c r="P42" s="7">
        <v>8875.5785530199992</v>
      </c>
      <c r="Q42" s="7">
        <v>11629.55800141</v>
      </c>
      <c r="R42" s="7">
        <v>14467.415707509999</v>
      </c>
      <c r="S42" s="7">
        <v>17391.198397460001</v>
      </c>
      <c r="T42" s="7">
        <v>20402.993170630001</v>
      </c>
      <c r="U42" s="7">
        <v>23504.928396060001</v>
      </c>
      <c r="V42" s="7">
        <v>26699.174621679998</v>
      </c>
      <c r="W42" s="7">
        <v>29984.67934889</v>
      </c>
      <c r="X42" s="7">
        <v>33367.267000100001</v>
      </c>
      <c r="Y42" s="7">
        <v>36849.209989149997</v>
      </c>
      <c r="Z42" s="7">
        <v>40432.829740360001</v>
      </c>
      <c r="AA42" s="7">
        <v>44120.497366759999</v>
      </c>
      <c r="AB42" s="7">
        <v>47914.634410649996</v>
      </c>
      <c r="AC42" s="7">
        <v>51817.713630539998</v>
      </c>
    </row>
    <row r="43" spans="1:29" x14ac:dyDescent="0.85">
      <c r="A43" t="s">
        <v>141</v>
      </c>
      <c r="B43" s="7">
        <v>0</v>
      </c>
      <c r="C43" s="7">
        <v>1.7720627600000001</v>
      </c>
      <c r="D43" s="7">
        <v>3.4555223700000002</v>
      </c>
      <c r="E43" s="7">
        <v>5.0537014600000001</v>
      </c>
      <c r="F43" s="7">
        <v>6.5698119200000002</v>
      </c>
      <c r="G43" s="7">
        <v>8.0069582700000002</v>
      </c>
      <c r="H43" s="7">
        <v>9.3681411800000003</v>
      </c>
      <c r="I43" s="7">
        <v>10.65626058</v>
      </c>
      <c r="J43" s="7">
        <v>11.87411893</v>
      </c>
      <c r="K43" s="7">
        <v>13.060759320000001</v>
      </c>
      <c r="L43" s="7">
        <v>14.149155889999999</v>
      </c>
      <c r="M43" s="7">
        <v>15.714263539999999</v>
      </c>
      <c r="N43" s="7">
        <v>16.714320480000001</v>
      </c>
      <c r="O43" s="7">
        <v>31.101548269999999</v>
      </c>
      <c r="P43" s="7">
        <v>47.91441846</v>
      </c>
      <c r="Q43" s="7">
        <v>67.26605868</v>
      </c>
      <c r="R43" s="7">
        <v>89.259090450000002</v>
      </c>
      <c r="S43" s="7">
        <v>114.00396198</v>
      </c>
      <c r="T43" s="7">
        <v>141.61455860000001</v>
      </c>
      <c r="U43" s="7">
        <v>172.20828718999999</v>
      </c>
      <c r="V43" s="7">
        <v>205.90616274000001</v>
      </c>
      <c r="W43" s="7">
        <v>242.80644892000001</v>
      </c>
      <c r="X43" s="7">
        <v>283.06412490999998</v>
      </c>
      <c r="Y43" s="7">
        <v>326.81165118000001</v>
      </c>
      <c r="Z43" s="7">
        <v>374.18544679000001</v>
      </c>
      <c r="AA43" s="7">
        <v>425.32599039000002</v>
      </c>
      <c r="AB43" s="7">
        <v>480.37792349</v>
      </c>
      <c r="AC43" s="7">
        <v>539.49015582000004</v>
      </c>
    </row>
    <row r="44" spans="1:29" x14ac:dyDescent="0.85">
      <c r="A44" t="s">
        <v>142</v>
      </c>
      <c r="B44" s="7">
        <v>9.0878899999999999E-2</v>
      </c>
      <c r="C44" s="7">
        <v>8.8603139999999997E-2</v>
      </c>
      <c r="D44" s="7">
        <v>8.6388060000000003E-2</v>
      </c>
      <c r="E44" s="7">
        <v>8.4228360000000002E-2</v>
      </c>
      <c r="F44" s="7">
        <v>8.2122650000000005E-2</v>
      </c>
      <c r="G44" s="7">
        <v>8.0069580000000001E-2</v>
      </c>
      <c r="H44" s="7">
        <v>7.8067839999999999E-2</v>
      </c>
      <c r="I44" s="7">
        <v>7.6116149999999994E-2</v>
      </c>
      <c r="J44" s="7">
        <v>7.421324E-2</v>
      </c>
      <c r="K44" s="7">
        <v>7.2559769999999996E-2</v>
      </c>
      <c r="L44" s="7">
        <v>7.0745779999999994E-2</v>
      </c>
      <c r="M44" s="7">
        <v>7.1428469999999994E-2</v>
      </c>
      <c r="N44" s="7">
        <v>6.9642999999999997E-2</v>
      </c>
      <c r="O44" s="7">
        <v>0.11962134000000001</v>
      </c>
      <c r="P44" s="7">
        <v>0.17112292000000001</v>
      </c>
      <c r="Q44" s="7">
        <v>0.22422020000000001</v>
      </c>
      <c r="R44" s="7">
        <v>0.27893466</v>
      </c>
      <c r="S44" s="7">
        <v>0.33530577</v>
      </c>
      <c r="T44" s="7">
        <v>0.39337377000000001</v>
      </c>
      <c r="U44" s="7">
        <v>0.45317970000000002</v>
      </c>
      <c r="V44" s="7">
        <v>0.51476540999999998</v>
      </c>
      <c r="W44" s="7">
        <v>0.57811058999999998</v>
      </c>
      <c r="X44" s="7">
        <v>0.64332756000000002</v>
      </c>
      <c r="Y44" s="7">
        <v>0.71046010999999998</v>
      </c>
      <c r="Z44" s="7">
        <v>0.77955300999999999</v>
      </c>
      <c r="AA44" s="7">
        <v>0.85065197999999997</v>
      </c>
      <c r="AB44" s="7">
        <v>0.92380370000000001</v>
      </c>
      <c r="AC44" s="7">
        <v>0.99905584000000003</v>
      </c>
    </row>
    <row r="45" spans="1:29" x14ac:dyDescent="0.85">
      <c r="A45" t="s">
        <v>143</v>
      </c>
      <c r="B45" s="7">
        <v>4407.1367551100002</v>
      </c>
      <c r="C45" s="7">
        <v>4296.95833623</v>
      </c>
      <c r="D45" s="7">
        <v>4189.5343778200004</v>
      </c>
      <c r="E45" s="7">
        <v>4084.7960183800001</v>
      </c>
      <c r="F45" s="7">
        <v>3982.6761265800001</v>
      </c>
      <c r="G45" s="7">
        <v>3883.10922441</v>
      </c>
      <c r="H45" s="7">
        <v>3786.0314938000001</v>
      </c>
      <c r="I45" s="7">
        <v>3691.3807064500002</v>
      </c>
      <c r="J45" s="7">
        <v>3599.0961887899998</v>
      </c>
      <c r="K45" s="7">
        <v>3518.9084120100001</v>
      </c>
      <c r="L45" s="7">
        <v>3430.9357017100001</v>
      </c>
      <c r="M45" s="7">
        <v>3464.0439584300002</v>
      </c>
      <c r="N45" s="7">
        <v>3377.4546521000002</v>
      </c>
      <c r="O45" s="7">
        <v>5801.23828435</v>
      </c>
      <c r="P45" s="7">
        <v>8298.8943022700005</v>
      </c>
      <c r="Q45" s="7">
        <v>10873.935942239999</v>
      </c>
      <c r="R45" s="7">
        <v>13527.405911219999</v>
      </c>
      <c r="S45" s="7">
        <v>16261.217950820001</v>
      </c>
      <c r="T45" s="7">
        <v>19077.32355266</v>
      </c>
      <c r="U45" s="7">
        <v>21977.712796529999</v>
      </c>
      <c r="V45" s="7">
        <v>24964.4152006</v>
      </c>
      <c r="W45" s="7">
        <v>28036.44665161</v>
      </c>
      <c r="X45" s="7">
        <v>31199.253134350001</v>
      </c>
      <c r="Y45" s="7">
        <v>34454.959414229997</v>
      </c>
      <c r="Z45" s="7">
        <v>37805.736082720003</v>
      </c>
      <c r="AA45" s="7">
        <v>41253.800191510003</v>
      </c>
      <c r="AB45" s="7">
        <v>44801.415944940003</v>
      </c>
      <c r="AC45" s="7">
        <v>48450.895435860002</v>
      </c>
    </row>
    <row r="46" spans="1:29" x14ac:dyDescent="0.85">
      <c r="A46" t="s">
        <v>144</v>
      </c>
      <c r="B46" s="7">
        <v>306.26188373000002</v>
      </c>
      <c r="C46" s="7">
        <v>298.59257445999998</v>
      </c>
      <c r="D46" s="7">
        <v>291.12775978000002</v>
      </c>
      <c r="E46" s="7">
        <v>283.84956547000002</v>
      </c>
      <c r="F46" s="7">
        <v>276.75332694000002</v>
      </c>
      <c r="G46" s="7">
        <v>269.83449382999999</v>
      </c>
      <c r="H46" s="7">
        <v>263.08863138999999</v>
      </c>
      <c r="I46" s="7">
        <v>256.51141527999999</v>
      </c>
      <c r="J46" s="7">
        <v>250.09862987</v>
      </c>
      <c r="K46" s="7">
        <v>244.52643839000001</v>
      </c>
      <c r="L46" s="7">
        <v>238.41327681000001</v>
      </c>
      <c r="M46" s="7">
        <v>240.71394598000001</v>
      </c>
      <c r="N46" s="7">
        <v>234.69691678999999</v>
      </c>
      <c r="O46" s="7">
        <v>403.12391405</v>
      </c>
      <c r="P46" s="7">
        <v>576.68425075000005</v>
      </c>
      <c r="Q46" s="7">
        <v>755.62205917999995</v>
      </c>
      <c r="R46" s="7">
        <v>940.00979629000005</v>
      </c>
      <c r="S46" s="7">
        <v>1129.9804466400001</v>
      </c>
      <c r="T46" s="7">
        <v>1325.66961797</v>
      </c>
      <c r="U46" s="7">
        <v>1527.21559953</v>
      </c>
      <c r="V46" s="7">
        <v>1734.75942108</v>
      </c>
      <c r="W46" s="7">
        <v>1948.2326972799999</v>
      </c>
      <c r="X46" s="7">
        <v>2168.0138657500002</v>
      </c>
      <c r="Y46" s="7">
        <v>2394.25057492</v>
      </c>
      <c r="Z46" s="7">
        <v>2627.0936576399999</v>
      </c>
      <c r="AA46" s="7">
        <v>2866.6971752499999</v>
      </c>
      <c r="AB46" s="7">
        <v>3113.2184657100001</v>
      </c>
      <c r="AC46" s="7">
        <v>3366.81819468</v>
      </c>
    </row>
    <row r="47" spans="1:29" x14ac:dyDescent="0.85">
      <c r="A47" t="s">
        <v>145</v>
      </c>
      <c r="B47" s="7">
        <v>1</v>
      </c>
      <c r="C47" s="7">
        <v>1.0249999999999999</v>
      </c>
      <c r="D47" s="7">
        <v>0.99995725999999996</v>
      </c>
      <c r="E47" s="7">
        <v>1</v>
      </c>
      <c r="F47" s="7">
        <v>1</v>
      </c>
      <c r="G47" s="7">
        <v>1</v>
      </c>
      <c r="H47" s="7">
        <v>1</v>
      </c>
      <c r="I47" s="7">
        <v>1</v>
      </c>
      <c r="J47" s="7">
        <v>1</v>
      </c>
      <c r="K47" s="7">
        <v>1</v>
      </c>
      <c r="L47" s="7">
        <v>1.0027897699999999</v>
      </c>
      <c r="M47" s="7">
        <v>1</v>
      </c>
      <c r="N47" s="7">
        <v>1.03553838</v>
      </c>
      <c r="O47" s="7">
        <v>1.0000034900000001</v>
      </c>
      <c r="P47" s="7">
        <v>1.4672088999999999</v>
      </c>
      <c r="Q47" s="7">
        <v>1.3438744300000001</v>
      </c>
      <c r="R47" s="7">
        <v>1.2759090900000001</v>
      </c>
      <c r="S47" s="7">
        <v>1.2329072599999999</v>
      </c>
      <c r="T47" s="7">
        <v>1.2032507699999999</v>
      </c>
      <c r="U47" s="7">
        <v>1.18156266</v>
      </c>
      <c r="V47" s="7">
        <v>1.16501243</v>
      </c>
      <c r="W47" s="7">
        <v>1.15184273</v>
      </c>
      <c r="X47" s="7">
        <v>1.1413341400000001</v>
      </c>
      <c r="Y47" s="7">
        <v>1.1326587800000001</v>
      </c>
      <c r="Z47" s="7">
        <v>1.1253755599999999</v>
      </c>
      <c r="AA47" s="7">
        <v>1.1191743999999999</v>
      </c>
      <c r="AB47" s="7">
        <v>1.1138309099999999</v>
      </c>
      <c r="AC47" s="7">
        <v>1.1091787399999999</v>
      </c>
    </row>
    <row r="48" spans="1:29" x14ac:dyDescent="0.85">
      <c r="A48" t="s">
        <v>146</v>
      </c>
      <c r="B48" s="7">
        <v>1</v>
      </c>
      <c r="C48" s="7">
        <v>0.99995725999999996</v>
      </c>
      <c r="D48" s="7">
        <v>1</v>
      </c>
      <c r="E48" s="7">
        <v>1</v>
      </c>
      <c r="F48" s="7">
        <v>1</v>
      </c>
      <c r="G48" s="7">
        <v>1</v>
      </c>
      <c r="H48" s="7">
        <v>1</v>
      </c>
      <c r="I48" s="7">
        <v>1</v>
      </c>
      <c r="J48" s="7">
        <v>1</v>
      </c>
      <c r="K48" s="7">
        <v>1.0027897699999999</v>
      </c>
      <c r="L48" s="7">
        <v>1</v>
      </c>
      <c r="M48" s="7">
        <v>1.03553838</v>
      </c>
      <c r="N48" s="7">
        <v>1.0000034900000001</v>
      </c>
      <c r="O48" s="7">
        <v>1.76167813</v>
      </c>
      <c r="P48" s="7">
        <v>1.4672189</v>
      </c>
      <c r="Q48" s="7">
        <v>1.3438844299999999</v>
      </c>
      <c r="R48" s="7">
        <v>1.2759190899999999</v>
      </c>
      <c r="S48" s="7">
        <v>1.23291726</v>
      </c>
      <c r="T48" s="7">
        <v>1.20326077</v>
      </c>
      <c r="U48" s="7">
        <v>1.1815726600000001</v>
      </c>
      <c r="V48" s="7">
        <v>1.1650224300000001</v>
      </c>
      <c r="W48" s="7">
        <v>1.1518527300000001</v>
      </c>
      <c r="X48" s="7">
        <v>1.14134414</v>
      </c>
      <c r="Y48" s="7">
        <v>1.1326687799999999</v>
      </c>
      <c r="Z48" s="7">
        <v>1.12538556</v>
      </c>
      <c r="AA48" s="7">
        <v>1.1191844</v>
      </c>
      <c r="AB48" s="7">
        <v>1.11384091</v>
      </c>
      <c r="AC48" s="7">
        <v>1.10918874</v>
      </c>
    </row>
    <row r="49" spans="1:29" x14ac:dyDescent="0.85">
      <c r="A49" t="s">
        <v>147</v>
      </c>
      <c r="B49" s="7">
        <v>1</v>
      </c>
      <c r="C49" s="7">
        <v>1.53935109</v>
      </c>
      <c r="D49" s="7">
        <v>1.5526218000000001</v>
      </c>
      <c r="E49" s="7">
        <v>1.5665994700000001</v>
      </c>
      <c r="F49" s="7">
        <v>1.58130142</v>
      </c>
      <c r="G49" s="7">
        <v>1.59681867</v>
      </c>
      <c r="H49" s="7">
        <v>1.6131124100000001</v>
      </c>
      <c r="I49" s="7">
        <v>1.6302965199999999</v>
      </c>
      <c r="J49" s="7">
        <v>1.6595003500000001</v>
      </c>
      <c r="K49" s="7">
        <v>1.6902496199999999</v>
      </c>
      <c r="L49" s="7">
        <v>1.71788634</v>
      </c>
      <c r="M49" s="7">
        <v>1.7370209000000001</v>
      </c>
      <c r="N49" s="7">
        <v>1.73561308</v>
      </c>
      <c r="O49" s="7">
        <v>1.76167813</v>
      </c>
      <c r="P49" s="7">
        <v>1.4672189</v>
      </c>
      <c r="Q49" s="7">
        <v>1.3438844299999999</v>
      </c>
      <c r="R49" s="7">
        <v>1.2759190899999999</v>
      </c>
      <c r="S49" s="7">
        <v>1.23291726</v>
      </c>
      <c r="T49" s="7">
        <v>1.20326077</v>
      </c>
      <c r="U49" s="7">
        <v>1.1815726600000001</v>
      </c>
      <c r="V49" s="7">
        <v>1.1650224300000001</v>
      </c>
      <c r="W49" s="7">
        <v>1.1518527300000001</v>
      </c>
      <c r="X49" s="7">
        <v>1.14134414</v>
      </c>
      <c r="Y49" s="7">
        <v>1.1326687799999999</v>
      </c>
      <c r="Z49" s="7">
        <v>1.12538556</v>
      </c>
      <c r="AA49" s="7">
        <v>1.1191844</v>
      </c>
      <c r="AB49" s="7">
        <v>1.11384091</v>
      </c>
      <c r="AC49" s="7">
        <v>1.10918874</v>
      </c>
    </row>
    <row r="50" spans="1:29" x14ac:dyDescent="0.85">
      <c r="A50" t="s">
        <v>148</v>
      </c>
      <c r="B50" s="7">
        <v>36957</v>
      </c>
      <c r="C50" s="7">
        <v>38201.92337828</v>
      </c>
      <c r="D50" s="7">
        <v>39458.983434529997</v>
      </c>
      <c r="E50" s="7">
        <v>40726.756560479997</v>
      </c>
      <c r="F50" s="7">
        <v>42013.687519020001</v>
      </c>
      <c r="G50" s="7">
        <v>43310.297512719997</v>
      </c>
      <c r="H50" s="7">
        <v>44627.32084765</v>
      </c>
      <c r="I50" s="7">
        <v>47341.388722279997</v>
      </c>
      <c r="J50" s="7">
        <v>50077.153956490001</v>
      </c>
      <c r="K50" s="7">
        <v>52498.294555300003</v>
      </c>
      <c r="L50" s="7">
        <v>53578.512846379999</v>
      </c>
      <c r="M50" s="7">
        <v>55010.033246070001</v>
      </c>
      <c r="N50" s="7">
        <v>56306.682517649999</v>
      </c>
      <c r="O50" s="7">
        <v>56023.332881729999</v>
      </c>
      <c r="P50" s="7">
        <v>55762.070297819999</v>
      </c>
      <c r="Q50" s="7">
        <v>55440.258357480001</v>
      </c>
      <c r="R50" s="7">
        <v>55086.269847379997</v>
      </c>
      <c r="S50" s="7">
        <v>54699.505182410001</v>
      </c>
      <c r="T50" s="7">
        <v>54279.040072739997</v>
      </c>
      <c r="U50" s="7">
        <v>53823.932730929999</v>
      </c>
      <c r="V50" s="7">
        <v>53228.215023260003</v>
      </c>
      <c r="W50" s="7">
        <v>52714.668758799999</v>
      </c>
      <c r="X50" s="7">
        <v>52162.179728529998</v>
      </c>
      <c r="Y50" s="7">
        <v>51569.868253940003</v>
      </c>
      <c r="Z50" s="7">
        <v>50936.820804570001</v>
      </c>
      <c r="AA50" s="7">
        <v>50262.112045080001</v>
      </c>
      <c r="AB50" s="7">
        <v>49544.720913500001</v>
      </c>
      <c r="AC50" s="7">
        <v>48783.670834769997</v>
      </c>
    </row>
    <row r="51" spans="1:29" x14ac:dyDescent="0.85">
      <c r="A51" t="s">
        <v>149</v>
      </c>
      <c r="B51" s="7">
        <v>162649203.5</v>
      </c>
      <c r="C51" s="7">
        <v>169160461.456458</v>
      </c>
      <c r="D51" s="7">
        <v>175725653.069336</v>
      </c>
      <c r="E51" s="7">
        <v>182350614.00178999</v>
      </c>
      <c r="F51" s="7">
        <v>189035193.54170099</v>
      </c>
      <c r="G51" s="7">
        <v>195784599.09137201</v>
      </c>
      <c r="H51" s="7">
        <v>202601342.63929</v>
      </c>
      <c r="I51" s="7">
        <v>215542532.20739701</v>
      </c>
      <c r="J51" s="7">
        <v>228848105.03407499</v>
      </c>
      <c r="K51" s="7">
        <v>240220094.65536901</v>
      </c>
      <c r="L51" s="7">
        <v>246923429.703931</v>
      </c>
      <c r="M51" s="7">
        <v>252901147.401858</v>
      </c>
      <c r="N51" s="7">
        <v>259664841.79051799</v>
      </c>
      <c r="O51" s="7">
        <v>248851620.86957899</v>
      </c>
      <c r="P51" s="7">
        <v>237641484.412839</v>
      </c>
      <c r="Q51" s="7">
        <v>226014383.930325</v>
      </c>
      <c r="R51" s="7">
        <v>213965387.52756301</v>
      </c>
      <c r="S51" s="7">
        <v>201483750.40916699</v>
      </c>
      <c r="T51" s="7">
        <v>188558415.72587201</v>
      </c>
      <c r="U51" s="7">
        <v>175178108.75349599</v>
      </c>
      <c r="V51" s="7">
        <v>161338978.886298</v>
      </c>
      <c r="W51" s="7">
        <v>147165246.910822</v>
      </c>
      <c r="X51" s="7">
        <v>132972574.969557</v>
      </c>
      <c r="Y51" s="7">
        <v>118966720.882293</v>
      </c>
      <c r="Z51" s="7">
        <v>105337617.37701701</v>
      </c>
      <c r="AA51" s="7">
        <v>92472980.211644098</v>
      </c>
      <c r="AB51" s="7">
        <v>80667273.630815506</v>
      </c>
      <c r="AC51" s="7">
        <v>70053932.233526602</v>
      </c>
    </row>
    <row r="52" spans="1:29" x14ac:dyDescent="0.85">
      <c r="A52" t="s">
        <v>150</v>
      </c>
      <c r="B52" s="7">
        <v>162649203.5</v>
      </c>
      <c r="C52" s="7">
        <v>169160461.456458</v>
      </c>
      <c r="D52" s="7">
        <v>175725653.069336</v>
      </c>
      <c r="E52" s="7">
        <v>182350614.00178999</v>
      </c>
      <c r="F52" s="7">
        <v>189035193.54170099</v>
      </c>
      <c r="G52" s="7">
        <v>195784599.09137201</v>
      </c>
      <c r="H52" s="7">
        <v>202601342.63929</v>
      </c>
      <c r="I52" s="7">
        <v>215542532.20739701</v>
      </c>
      <c r="J52" s="7">
        <v>228848105.03407499</v>
      </c>
      <c r="K52" s="7">
        <v>240220094.65536901</v>
      </c>
      <c r="L52" s="7">
        <v>246923429.703931</v>
      </c>
      <c r="M52" s="7">
        <v>252901147.401858</v>
      </c>
      <c r="N52" s="7">
        <v>259664841.79051799</v>
      </c>
      <c r="O52" s="7">
        <v>248851620.86957899</v>
      </c>
      <c r="P52" s="7">
        <v>237641484.412839</v>
      </c>
      <c r="Q52" s="7">
        <v>226014383.930325</v>
      </c>
      <c r="R52" s="7">
        <v>213965387.52756301</v>
      </c>
      <c r="S52" s="7">
        <v>201483750.40916699</v>
      </c>
      <c r="T52" s="7">
        <v>188558415.72587201</v>
      </c>
      <c r="U52" s="7">
        <v>175178108.75349599</v>
      </c>
      <c r="V52" s="7">
        <v>161338978.886298</v>
      </c>
      <c r="W52" s="7">
        <v>147165246.910822</v>
      </c>
      <c r="X52" s="7">
        <v>132972574.969557</v>
      </c>
      <c r="Y52" s="7">
        <v>118966720.882293</v>
      </c>
      <c r="Z52" s="7">
        <v>105337617.37701701</v>
      </c>
      <c r="AA52" s="7">
        <v>92472980.211644098</v>
      </c>
      <c r="AB52" s="7">
        <v>80667273.630815506</v>
      </c>
      <c r="AC52" s="7">
        <v>70053932.233526602</v>
      </c>
    </row>
    <row r="53" spans="1:29" x14ac:dyDescent="0.85">
      <c r="A53" t="s">
        <v>151</v>
      </c>
      <c r="B53" s="7">
        <v>10977.091191949999</v>
      </c>
      <c r="C53" s="7">
        <v>11372.05063405</v>
      </c>
      <c r="D53" s="7">
        <v>11770.627632399999</v>
      </c>
      <c r="E53" s="7">
        <v>12172.69460698</v>
      </c>
      <c r="F53" s="7">
        <v>12579.84932816</v>
      </c>
      <c r="G53" s="7">
        <v>12990.421316600001</v>
      </c>
      <c r="H53" s="7">
        <v>13406.50749688</v>
      </c>
      <c r="I53" s="7">
        <v>14236.962856960001</v>
      </c>
      <c r="J53" s="7">
        <v>15080.42381187</v>
      </c>
      <c r="K53" s="7">
        <v>15817.040557959999</v>
      </c>
      <c r="L53" s="7">
        <v>16185.45234197</v>
      </c>
      <c r="M53" s="7">
        <v>16602.779282970001</v>
      </c>
      <c r="N53" s="7">
        <v>17013.70736765</v>
      </c>
      <c r="O53" s="7">
        <v>16696.130926130001</v>
      </c>
      <c r="P53" s="7">
        <v>16373.058289340001</v>
      </c>
      <c r="Q53" s="7">
        <v>16028.329272999999</v>
      </c>
      <c r="R53" s="7">
        <v>15667.204096699999</v>
      </c>
      <c r="S53" s="7">
        <v>15289.3068833</v>
      </c>
      <c r="T53" s="7">
        <v>14894.192565249999</v>
      </c>
      <c r="U53" s="7">
        <v>14481.407440610001</v>
      </c>
      <c r="V53" s="7">
        <v>14030.76197234</v>
      </c>
      <c r="W53" s="7">
        <v>13587.5350387</v>
      </c>
      <c r="X53" s="7">
        <v>13136.460942649999</v>
      </c>
      <c r="Y53" s="7">
        <v>12682.393354559999</v>
      </c>
      <c r="Z53" s="7">
        <v>12229.793392920001</v>
      </c>
      <c r="AA53" s="7">
        <v>11787.94584351</v>
      </c>
      <c r="AB53" s="7">
        <v>11363.84200176</v>
      </c>
      <c r="AC53" s="7">
        <v>10960.552476180001</v>
      </c>
    </row>
    <row r="54" spans="1:29" x14ac:dyDescent="0.85">
      <c r="A54" t="s">
        <v>152</v>
      </c>
      <c r="B54" s="7">
        <v>0</v>
      </c>
      <c r="C54" s="7">
        <v>1657.7725222700001</v>
      </c>
      <c r="D54" s="7">
        <v>3444.2228001600001</v>
      </c>
      <c r="E54" s="7">
        <v>5361.1080516499997</v>
      </c>
      <c r="F54" s="7">
        <v>7410.1795868299996</v>
      </c>
      <c r="G54" s="7">
        <v>9593.4453554800002</v>
      </c>
      <c r="H54" s="7">
        <v>11912.95894719</v>
      </c>
      <c r="I54" s="7">
        <v>14786.21770943</v>
      </c>
      <c r="J54" s="7">
        <v>17941.69143467</v>
      </c>
      <c r="K54" s="7">
        <v>21187.412348599999</v>
      </c>
      <c r="L54" s="7">
        <v>24198.49611099</v>
      </c>
      <c r="M54" s="7">
        <v>27262.74368992</v>
      </c>
      <c r="N54" s="7">
        <v>30536.585394559999</v>
      </c>
      <c r="O54" s="7">
        <v>31703.696498779998</v>
      </c>
      <c r="P54" s="7">
        <v>32604.411661440001</v>
      </c>
      <c r="Q54" s="7">
        <v>33224.114437759999</v>
      </c>
      <c r="R54" s="7">
        <v>33549.772764319998</v>
      </c>
      <c r="S54" s="7">
        <v>33567.192818169999</v>
      </c>
      <c r="T54" s="7">
        <v>33261.70453404</v>
      </c>
      <c r="U54" s="7">
        <v>32618.1638499</v>
      </c>
      <c r="V54" s="7">
        <v>31622.439861710001</v>
      </c>
      <c r="W54" s="7">
        <v>30286.607814250001</v>
      </c>
      <c r="X54" s="7">
        <v>28668.887163439998</v>
      </c>
      <c r="Y54" s="7">
        <v>26815.098886870001</v>
      </c>
      <c r="Z54" s="7">
        <v>24775.407607069999</v>
      </c>
      <c r="AA54" s="7">
        <v>22655.88015185</v>
      </c>
      <c r="AB54" s="7">
        <v>20554.02132113</v>
      </c>
      <c r="AC54" s="7">
        <v>18536.270468989998</v>
      </c>
    </row>
    <row r="55" spans="1:29" x14ac:dyDescent="0.85">
      <c r="A55" t="s">
        <v>153</v>
      </c>
      <c r="B55" s="7">
        <v>79.698109720000005</v>
      </c>
      <c r="C55" s="7">
        <v>82.888626110000004</v>
      </c>
      <c r="D55" s="7">
        <v>86.10557</v>
      </c>
      <c r="E55" s="7">
        <v>89.351800859999997</v>
      </c>
      <c r="F55" s="7">
        <v>92.627244840000003</v>
      </c>
      <c r="G55" s="7">
        <v>95.934453550000001</v>
      </c>
      <c r="H55" s="7">
        <v>99.27465789</v>
      </c>
      <c r="I55" s="7">
        <v>105.61584078</v>
      </c>
      <c r="J55" s="7">
        <v>112.13557147</v>
      </c>
      <c r="K55" s="7">
        <v>117.70784638000001</v>
      </c>
      <c r="L55" s="7">
        <v>120.99248055</v>
      </c>
      <c r="M55" s="7">
        <v>123.92156223000001</v>
      </c>
      <c r="N55" s="7">
        <v>127.23577247999999</v>
      </c>
      <c r="O55" s="7">
        <v>121.93729423000001</v>
      </c>
      <c r="P55" s="7">
        <v>116.44432736</v>
      </c>
      <c r="Q55" s="7">
        <v>110.74704813</v>
      </c>
      <c r="R55" s="7">
        <v>104.84303989</v>
      </c>
      <c r="S55" s="7">
        <v>98.727037699999997</v>
      </c>
      <c r="T55" s="7">
        <v>92.39362371</v>
      </c>
      <c r="U55" s="7">
        <v>85.837273289999999</v>
      </c>
      <c r="V55" s="7">
        <v>79.056099649999993</v>
      </c>
      <c r="W55" s="7">
        <v>72.110970989999998</v>
      </c>
      <c r="X55" s="7">
        <v>65.156561740000001</v>
      </c>
      <c r="Y55" s="7">
        <v>58.293693230000002</v>
      </c>
      <c r="Z55" s="7">
        <v>51.615432509999998</v>
      </c>
      <c r="AA55" s="7">
        <v>45.311760300000003</v>
      </c>
      <c r="AB55" s="7">
        <v>39.526964079999999</v>
      </c>
      <c r="AC55" s="7">
        <v>34.326426789999999</v>
      </c>
    </row>
    <row r="56" spans="1:29" x14ac:dyDescent="0.85">
      <c r="A56" t="s">
        <v>154</v>
      </c>
      <c r="B56" s="7">
        <v>7008.4506265500004</v>
      </c>
      <c r="C56" s="7">
        <v>7244.53537452</v>
      </c>
      <c r="D56" s="7">
        <v>7482.9216975099998</v>
      </c>
      <c r="E56" s="7">
        <v>7723.3396253399997</v>
      </c>
      <c r="F56" s="7">
        <v>7967.39060574</v>
      </c>
      <c r="G56" s="7">
        <v>8213.2770987700005</v>
      </c>
      <c r="H56" s="7">
        <v>8463.03473648</v>
      </c>
      <c r="I56" s="7">
        <v>8977.7250710999997</v>
      </c>
      <c r="J56" s="7">
        <v>9496.5300490400004</v>
      </c>
      <c r="K56" s="7">
        <v>9955.6702483699992</v>
      </c>
      <c r="L56" s="7">
        <v>10160.52065719</v>
      </c>
      <c r="M56" s="7">
        <v>10431.99128636</v>
      </c>
      <c r="N56" s="7">
        <v>10677.88522796</v>
      </c>
      <c r="O56" s="7">
        <v>10624.15137691</v>
      </c>
      <c r="P56" s="7">
        <v>10574.60606966</v>
      </c>
      <c r="Q56" s="7">
        <v>10513.5783051</v>
      </c>
      <c r="R56" s="7">
        <v>10446.448641020001</v>
      </c>
      <c r="S56" s="7">
        <v>10373.10337332</v>
      </c>
      <c r="T56" s="7">
        <v>10293.36722154</v>
      </c>
      <c r="U56" s="7">
        <v>10207.06158702</v>
      </c>
      <c r="V56" s="7">
        <v>10094.09088752</v>
      </c>
      <c r="W56" s="7">
        <v>9996.7030140700008</v>
      </c>
      <c r="X56" s="7">
        <v>9891.9301133900008</v>
      </c>
      <c r="Y56" s="7">
        <v>9779.60536503</v>
      </c>
      <c r="Z56" s="7">
        <v>9659.5555289200001</v>
      </c>
      <c r="AA56" s="7">
        <v>9531.6051263400004</v>
      </c>
      <c r="AB56" s="7">
        <v>9395.5605251600009</v>
      </c>
      <c r="AC56" s="7">
        <v>9251.2365296799999</v>
      </c>
    </row>
    <row r="57" spans="1:29" x14ac:dyDescent="0.85">
      <c r="A57" t="s">
        <v>155</v>
      </c>
      <c r="B57" s="7">
        <v>3968.6405654</v>
      </c>
      <c r="C57" s="7">
        <v>4127.5152595400004</v>
      </c>
      <c r="D57" s="7">
        <v>4287.7059348900002</v>
      </c>
      <c r="E57" s="7">
        <v>4449.35498164</v>
      </c>
      <c r="F57" s="7">
        <v>4612.4587224200004</v>
      </c>
      <c r="G57" s="7">
        <v>4777.1442178300003</v>
      </c>
      <c r="H57" s="7">
        <v>4943.4727604</v>
      </c>
      <c r="I57" s="7">
        <v>5259.2377858600003</v>
      </c>
      <c r="J57" s="7">
        <v>5583.89376283</v>
      </c>
      <c r="K57" s="7">
        <v>5861.37030959</v>
      </c>
      <c r="L57" s="7">
        <v>6024.9316847800001</v>
      </c>
      <c r="M57" s="7">
        <v>6170.7879966099999</v>
      </c>
      <c r="N57" s="7">
        <v>6335.8221396899999</v>
      </c>
      <c r="O57" s="7">
        <v>6071.9795492200001</v>
      </c>
      <c r="P57" s="7">
        <v>5798.45221967</v>
      </c>
      <c r="Q57" s="7">
        <v>5514.7509679000004</v>
      </c>
      <c r="R57" s="7">
        <v>5220.7554556699997</v>
      </c>
      <c r="S57" s="7">
        <v>4916.2035099799996</v>
      </c>
      <c r="T57" s="7">
        <v>4600.8253437100002</v>
      </c>
      <c r="U57" s="7">
        <v>4274.3458535899999</v>
      </c>
      <c r="V57" s="7">
        <v>3936.6710848299999</v>
      </c>
      <c r="W57" s="7">
        <v>3590.8320246200001</v>
      </c>
      <c r="X57" s="7">
        <v>3244.5308292599998</v>
      </c>
      <c r="Y57" s="7">
        <v>2902.7879895299998</v>
      </c>
      <c r="Z57" s="7">
        <v>2570.2378640000002</v>
      </c>
      <c r="AA57" s="7">
        <v>2256.3407171600002</v>
      </c>
      <c r="AB57" s="7">
        <v>1968.28147659</v>
      </c>
      <c r="AC57" s="7">
        <v>1709.3159465000001</v>
      </c>
    </row>
    <row r="58" spans="1:29" x14ac:dyDescent="0.85">
      <c r="A58" t="s">
        <v>156</v>
      </c>
      <c r="B58" s="7">
        <v>1</v>
      </c>
      <c r="C58" s="7">
        <v>1.04</v>
      </c>
      <c r="D58" s="7">
        <v>1.0767559600000001</v>
      </c>
      <c r="E58" s="7">
        <v>1.07594341</v>
      </c>
      <c r="F58" s="7">
        <v>1.0751342500000001</v>
      </c>
      <c r="G58" s="7">
        <v>1.0745824500000001</v>
      </c>
      <c r="H58" s="7">
        <v>1.0738141800000001</v>
      </c>
      <c r="I58" s="7">
        <v>1.0733427200000001</v>
      </c>
      <c r="J58" s="7">
        <v>1.10186852</v>
      </c>
      <c r="K58" s="7">
        <v>1.0990891300000001</v>
      </c>
      <c r="L58" s="7">
        <v>1.09202938</v>
      </c>
      <c r="M58" s="7">
        <v>1.0631002700000001</v>
      </c>
      <c r="N58" s="7">
        <v>1.0694981100000001</v>
      </c>
      <c r="O58" s="7">
        <v>1.0662199400000001</v>
      </c>
      <c r="P58" s="7">
        <v>1.03642473</v>
      </c>
      <c r="Q58" s="7">
        <v>1.0368089</v>
      </c>
      <c r="R58" s="7">
        <v>1.03565504</v>
      </c>
      <c r="S58" s="7">
        <v>1.03501558</v>
      </c>
      <c r="T58" s="7">
        <v>1.03435305</v>
      </c>
      <c r="U58" s="7">
        <v>1.03365957</v>
      </c>
      <c r="V58" s="7">
        <v>1.03293272</v>
      </c>
      <c r="W58" s="7">
        <v>1.0301376099999999</v>
      </c>
      <c r="X58" s="7">
        <v>1.0316166600000001</v>
      </c>
      <c r="Y58" s="7">
        <v>1.0307492199999999</v>
      </c>
      <c r="Z58" s="7">
        <v>1.02983834</v>
      </c>
      <c r="AA58" s="7">
        <v>1.0288796600000001</v>
      </c>
      <c r="AB58" s="7">
        <v>1.02786876</v>
      </c>
      <c r="AC58" s="7">
        <v>1.02679896</v>
      </c>
    </row>
    <row r="59" spans="1:29" x14ac:dyDescent="0.85">
      <c r="A59" t="s">
        <v>157</v>
      </c>
      <c r="B59" s="7">
        <v>1</v>
      </c>
      <c r="C59" s="7">
        <v>1.0767559600000001</v>
      </c>
      <c r="D59" s="7">
        <v>1.07594341</v>
      </c>
      <c r="E59" s="7">
        <v>1.0751342500000001</v>
      </c>
      <c r="F59" s="7">
        <v>1.0745824500000001</v>
      </c>
      <c r="G59" s="7">
        <v>1.0738141800000001</v>
      </c>
      <c r="H59" s="7">
        <v>1.0733427200000001</v>
      </c>
      <c r="I59" s="7">
        <v>1.1050169599999999</v>
      </c>
      <c r="J59" s="7">
        <v>1.1018625200000001</v>
      </c>
      <c r="K59" s="7">
        <v>1.09202938</v>
      </c>
      <c r="L59" s="7">
        <v>1.0631002700000001</v>
      </c>
      <c r="M59" s="7">
        <v>1.0694981100000001</v>
      </c>
      <c r="N59" s="7">
        <v>1.0662199400000001</v>
      </c>
      <c r="O59" s="7">
        <v>1.03642473</v>
      </c>
      <c r="P59" s="7">
        <v>1.0368089</v>
      </c>
      <c r="Q59" s="7">
        <v>1.03565504</v>
      </c>
      <c r="R59" s="7">
        <v>1.03501558</v>
      </c>
      <c r="S59" s="7">
        <v>1.03435305</v>
      </c>
      <c r="T59" s="7">
        <v>1.03365957</v>
      </c>
      <c r="U59" s="7">
        <v>1.03293272</v>
      </c>
      <c r="V59" s="7">
        <v>1.0301376099999999</v>
      </c>
      <c r="W59" s="7">
        <v>1.0316166600000001</v>
      </c>
      <c r="X59" s="7">
        <v>1.0307492199999999</v>
      </c>
      <c r="Y59" s="7">
        <v>1.02983834</v>
      </c>
      <c r="Z59" s="7">
        <v>1.0288796600000001</v>
      </c>
      <c r="AA59" s="7">
        <v>1.02786876</v>
      </c>
      <c r="AB59" s="7">
        <v>1.02679896</v>
      </c>
      <c r="AC59" s="7">
        <v>1.0256657600000001</v>
      </c>
    </row>
    <row r="60" spans="1:29" x14ac:dyDescent="0.85">
      <c r="A60" t="s">
        <v>158</v>
      </c>
      <c r="B60" s="7">
        <v>1</v>
      </c>
      <c r="C60" s="7">
        <v>1.12169561</v>
      </c>
      <c r="D60" s="7">
        <v>1.1183730599999999</v>
      </c>
      <c r="E60" s="7">
        <v>1.11529506</v>
      </c>
      <c r="F60" s="7">
        <v>1.1124417200000001</v>
      </c>
      <c r="G60" s="7">
        <v>1.10978522</v>
      </c>
      <c r="H60" s="7">
        <v>1.1073185999999999</v>
      </c>
      <c r="I60" s="7">
        <v>1.1050169700000001</v>
      </c>
      <c r="J60" s="7">
        <v>1.1018785200000001</v>
      </c>
      <c r="K60" s="7">
        <v>1.0990991299999999</v>
      </c>
      <c r="L60" s="7">
        <v>1.09681195</v>
      </c>
      <c r="M60" s="7">
        <v>1.0953937</v>
      </c>
      <c r="N60" s="7">
        <v>1.0939947800000001</v>
      </c>
      <c r="O60" s="7">
        <v>1.09305104</v>
      </c>
      <c r="P60" s="7">
        <v>1.09604195</v>
      </c>
      <c r="Q60" s="7">
        <v>1.0991503300000001</v>
      </c>
      <c r="R60" s="7">
        <v>1.1024224499999999</v>
      </c>
      <c r="S60" s="7">
        <v>1.10585456</v>
      </c>
      <c r="T60" s="7">
        <v>1.1094582799999999</v>
      </c>
      <c r="U60" s="7">
        <v>1.1132469199999999</v>
      </c>
      <c r="V60" s="7">
        <v>1.11723522</v>
      </c>
      <c r="W60" s="7">
        <v>1.12154299</v>
      </c>
      <c r="X60" s="7">
        <v>1.1259721199999999</v>
      </c>
      <c r="Y60" s="7">
        <v>1.1306556000000001</v>
      </c>
      <c r="Z60" s="7">
        <v>1.13561606</v>
      </c>
      <c r="AA60" s="7">
        <v>1.14087892</v>
      </c>
      <c r="AB60" s="7">
        <v>1.14647269</v>
      </c>
      <c r="AC60" s="7">
        <v>1.1524297999999999</v>
      </c>
    </row>
    <row r="61" spans="1:29" x14ac:dyDescent="0.85">
      <c r="A61" t="s">
        <v>159</v>
      </c>
      <c r="B61" s="7">
        <v>5710</v>
      </c>
      <c r="C61" s="7">
        <v>5567.2506268899997</v>
      </c>
      <c r="D61" s="7">
        <v>5428.0693612200002</v>
      </c>
      <c r="E61" s="7">
        <v>5292.3676271900003</v>
      </c>
      <c r="F61" s="7">
        <v>5160.0602926299998</v>
      </c>
      <c r="G61" s="7">
        <v>5031.0587853099996</v>
      </c>
      <c r="H61" s="7">
        <v>4905.2823156799996</v>
      </c>
      <c r="I61" s="7">
        <v>4782.6502577900001</v>
      </c>
      <c r="J61" s="7">
        <v>4663.0840013400002</v>
      </c>
      <c r="K61" s="7">
        <v>4546.5069013100001</v>
      </c>
      <c r="L61" s="7">
        <v>4432.8442287799999</v>
      </c>
      <c r="M61" s="7">
        <v>4322.0231230600002</v>
      </c>
      <c r="N61" s="7">
        <v>4213.9725449799998</v>
      </c>
      <c r="O61" s="7">
        <v>4108.6232313500004</v>
      </c>
      <c r="P61" s="7">
        <v>4005.90765057</v>
      </c>
      <c r="Q61" s="7">
        <v>3905.7599593099999</v>
      </c>
      <c r="R61" s="7">
        <v>3808.1159603199999</v>
      </c>
      <c r="S61" s="7">
        <v>3712.91306132</v>
      </c>
      <c r="T61" s="7">
        <v>3620.0902347800002</v>
      </c>
      <c r="U61" s="7">
        <v>3529.5879789099999</v>
      </c>
      <c r="V61" s="7">
        <v>3441.3482794400002</v>
      </c>
      <c r="W61" s="7">
        <v>3355.31457245</v>
      </c>
      <c r="X61" s="7">
        <v>3271.43170814</v>
      </c>
      <c r="Y61" s="7">
        <v>3189.64591544</v>
      </c>
      <c r="Z61" s="7">
        <v>3109.9047675500001</v>
      </c>
      <c r="AA61" s="7">
        <v>3032.1571483600001</v>
      </c>
      <c r="AB61" s="7">
        <v>2956.3532196599999</v>
      </c>
      <c r="AC61" s="7">
        <v>2882.4443891599999</v>
      </c>
    </row>
    <row r="62" spans="1:29" x14ac:dyDescent="0.85">
      <c r="A62" t="s">
        <v>160</v>
      </c>
      <c r="B62" s="7">
        <v>21097682.25</v>
      </c>
      <c r="C62" s="7">
        <v>20570242.510017298</v>
      </c>
      <c r="D62" s="7">
        <v>20055860.662667401</v>
      </c>
      <c r="E62" s="7">
        <v>19554462.057324599</v>
      </c>
      <c r="F62" s="7">
        <v>19065607.363963101</v>
      </c>
      <c r="G62" s="7">
        <v>18588643.2544659</v>
      </c>
      <c r="H62" s="7">
        <v>18123904.685911</v>
      </c>
      <c r="I62" s="7">
        <v>11617145.432035901</v>
      </c>
      <c r="J62" s="7">
        <v>4831300.4822475296</v>
      </c>
      <c r="K62" s="7">
        <v>0</v>
      </c>
      <c r="L62" s="7">
        <v>0</v>
      </c>
      <c r="M62" s="7">
        <v>0</v>
      </c>
      <c r="N62" s="7">
        <v>0</v>
      </c>
      <c r="O62" s="7">
        <v>0</v>
      </c>
      <c r="P62" s="7">
        <v>0</v>
      </c>
      <c r="Q62" s="7">
        <v>0</v>
      </c>
      <c r="R62" s="7">
        <v>0</v>
      </c>
      <c r="S62" s="7">
        <v>0</v>
      </c>
      <c r="T62" s="7">
        <v>0</v>
      </c>
      <c r="U62" s="7">
        <v>0</v>
      </c>
      <c r="V62" s="7">
        <v>0</v>
      </c>
      <c r="W62" s="7">
        <v>0</v>
      </c>
      <c r="X62" s="7">
        <v>0</v>
      </c>
      <c r="Y62" s="7">
        <v>0</v>
      </c>
      <c r="Z62" s="7">
        <v>0</v>
      </c>
      <c r="AA62" s="7">
        <v>0</v>
      </c>
      <c r="AB62" s="7">
        <v>0</v>
      </c>
      <c r="AC62" s="7">
        <v>0</v>
      </c>
    </row>
    <row r="63" spans="1:29" x14ac:dyDescent="0.85">
      <c r="A63" t="s">
        <v>161</v>
      </c>
      <c r="B63" s="7">
        <v>21097682.25</v>
      </c>
      <c r="C63" s="7">
        <v>20570242.510017298</v>
      </c>
      <c r="D63" s="7">
        <v>20055860.662667401</v>
      </c>
      <c r="E63" s="7">
        <v>19554462.057324599</v>
      </c>
      <c r="F63" s="7">
        <v>19065607.363963101</v>
      </c>
      <c r="G63" s="7">
        <v>18588643.2544659</v>
      </c>
      <c r="H63" s="7">
        <v>18123904.685911</v>
      </c>
      <c r="I63" s="7">
        <v>11617145.432035901</v>
      </c>
      <c r="J63" s="7">
        <v>4831300.4822475296</v>
      </c>
      <c r="K63" s="7">
        <v>0</v>
      </c>
      <c r="L63" s="7">
        <v>0</v>
      </c>
      <c r="M63" s="7">
        <v>0</v>
      </c>
      <c r="N63" s="7">
        <v>0</v>
      </c>
      <c r="O63" s="7">
        <v>0</v>
      </c>
      <c r="P63" s="7">
        <v>0</v>
      </c>
      <c r="Q63" s="7">
        <v>0</v>
      </c>
      <c r="R63" s="7">
        <v>0</v>
      </c>
      <c r="S63" s="7">
        <v>0</v>
      </c>
      <c r="T63" s="7">
        <v>0</v>
      </c>
      <c r="U63" s="7">
        <v>0</v>
      </c>
      <c r="V63" s="7">
        <v>0</v>
      </c>
      <c r="W63" s="7">
        <v>0</v>
      </c>
      <c r="X63" s="7">
        <v>0</v>
      </c>
      <c r="Y63" s="7">
        <v>0</v>
      </c>
      <c r="Z63" s="7">
        <v>0</v>
      </c>
      <c r="AA63" s="7">
        <v>0</v>
      </c>
      <c r="AB63" s="7">
        <v>0</v>
      </c>
      <c r="AC63" s="7">
        <v>0</v>
      </c>
    </row>
    <row r="64" spans="1:29" x14ac:dyDescent="0.85">
      <c r="A64" t="s">
        <v>162</v>
      </c>
      <c r="B64" s="7">
        <v>3908.9425176300001</v>
      </c>
      <c r="C64" s="7">
        <v>3811.2193838500002</v>
      </c>
      <c r="D64" s="7">
        <v>3715.93597099</v>
      </c>
      <c r="E64" s="7">
        <v>3623.03752308</v>
      </c>
      <c r="F64" s="7">
        <v>3532.46285567</v>
      </c>
      <c r="G64" s="7">
        <v>3444.1437432900002</v>
      </c>
      <c r="H64" s="7">
        <v>3358.0396262099998</v>
      </c>
      <c r="I64" s="7">
        <v>3133.15939265</v>
      </c>
      <c r="J64" s="7">
        <v>2903.6171160399999</v>
      </c>
      <c r="K64" s="7">
        <v>2721.3658298</v>
      </c>
      <c r="L64" s="7">
        <v>2653.3316840500001</v>
      </c>
      <c r="M64" s="7">
        <v>2586.99839195</v>
      </c>
      <c r="N64" s="7">
        <v>2522.3234321499999</v>
      </c>
      <c r="O64" s="7">
        <v>2459.2653463500001</v>
      </c>
      <c r="P64" s="7">
        <v>2397.7837126899999</v>
      </c>
      <c r="Q64" s="7">
        <v>2337.8391198700001</v>
      </c>
      <c r="R64" s="7">
        <v>2279.3931418699999</v>
      </c>
      <c r="S64" s="7">
        <v>2222.4083133300001</v>
      </c>
      <c r="T64" s="7">
        <v>2166.8481054899999</v>
      </c>
      <c r="U64" s="7">
        <v>2112.6769028600002</v>
      </c>
      <c r="V64" s="7">
        <v>2059.8599802899998</v>
      </c>
      <c r="W64" s="7">
        <v>2008.3634807799999</v>
      </c>
      <c r="X64" s="7">
        <v>1958.1543937599999</v>
      </c>
      <c r="Y64" s="7">
        <v>1909.2005339100001</v>
      </c>
      <c r="Z64" s="7">
        <v>1861.47052057</v>
      </c>
      <c r="AA64" s="7">
        <v>1814.9337575500001</v>
      </c>
      <c r="AB64" s="7">
        <v>1769.5604136100001</v>
      </c>
      <c r="AC64" s="7">
        <v>1725.32140327</v>
      </c>
    </row>
    <row r="65" spans="1:29" x14ac:dyDescent="0.85">
      <c r="A65" t="s">
        <v>163</v>
      </c>
      <c r="B65" s="7">
        <v>0</v>
      </c>
      <c r="C65" s="7">
        <v>337.35197715999999</v>
      </c>
      <c r="D65" s="7">
        <v>657.83222974</v>
      </c>
      <c r="E65" s="7">
        <v>962.07953322000003</v>
      </c>
      <c r="F65" s="7">
        <v>1250.7038430800001</v>
      </c>
      <c r="G65" s="7">
        <v>1524.2687468700001</v>
      </c>
      <c r="H65" s="7">
        <v>1783.39222109</v>
      </c>
      <c r="I65" s="7">
        <v>1333.6482956</v>
      </c>
      <c r="J65" s="7">
        <v>633.86662326999999</v>
      </c>
      <c r="K65" s="7">
        <v>0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v>0</v>
      </c>
      <c r="W65" s="7">
        <v>0</v>
      </c>
      <c r="X65" s="7">
        <v>0</v>
      </c>
      <c r="Y65" s="7">
        <v>0</v>
      </c>
      <c r="Z65" s="7">
        <v>0</v>
      </c>
      <c r="AA65" s="7">
        <v>0</v>
      </c>
      <c r="AB65" s="7">
        <v>0</v>
      </c>
      <c r="AC65" s="7">
        <v>0</v>
      </c>
    </row>
    <row r="66" spans="1:29" x14ac:dyDescent="0.85">
      <c r="A66" t="s">
        <v>164</v>
      </c>
      <c r="B66" s="7">
        <v>17.30009944</v>
      </c>
      <c r="C66" s="7">
        <v>16.867598860000001</v>
      </c>
      <c r="D66" s="7">
        <v>16.445805740000001</v>
      </c>
      <c r="E66" s="7">
        <v>16.034658889999999</v>
      </c>
      <c r="F66" s="7">
        <v>15.63379804</v>
      </c>
      <c r="G66" s="7">
        <v>15.24268747</v>
      </c>
      <c r="H66" s="7">
        <v>14.861601840000001</v>
      </c>
      <c r="I66" s="7">
        <v>9.5260592499999994</v>
      </c>
      <c r="J66" s="7">
        <v>3.9616663999999999</v>
      </c>
      <c r="K66" s="7">
        <v>0</v>
      </c>
      <c r="L66" s="7">
        <v>0</v>
      </c>
      <c r="M66" s="7">
        <v>0</v>
      </c>
      <c r="N66" s="7">
        <v>0</v>
      </c>
      <c r="O66" s="7">
        <v>0</v>
      </c>
      <c r="P66" s="7">
        <v>0</v>
      </c>
      <c r="Q66" s="7">
        <v>0</v>
      </c>
      <c r="R66" s="7">
        <v>0</v>
      </c>
      <c r="S66" s="7">
        <v>0</v>
      </c>
      <c r="T66" s="7">
        <v>0</v>
      </c>
      <c r="U66" s="7">
        <v>0</v>
      </c>
      <c r="V66" s="7">
        <v>0</v>
      </c>
      <c r="W66" s="7">
        <v>0</v>
      </c>
      <c r="X66" s="7">
        <v>0</v>
      </c>
      <c r="Y66" s="7">
        <v>0</v>
      </c>
      <c r="Z66" s="7">
        <v>0</v>
      </c>
      <c r="AA66" s="7">
        <v>0</v>
      </c>
      <c r="AB66" s="7">
        <v>0</v>
      </c>
      <c r="AC66" s="7">
        <v>0</v>
      </c>
    </row>
    <row r="67" spans="1:29" x14ac:dyDescent="0.85">
      <c r="A67" t="s">
        <v>165</v>
      </c>
      <c r="B67" s="7">
        <v>3417.7884748500001</v>
      </c>
      <c r="C67" s="7">
        <v>3332.34413821</v>
      </c>
      <c r="D67" s="7">
        <v>3249.0355347599998</v>
      </c>
      <c r="E67" s="7">
        <v>3167.8096463900001</v>
      </c>
      <c r="F67" s="7">
        <v>3088.6155162300001</v>
      </c>
      <c r="G67" s="7">
        <v>3011.4001283299999</v>
      </c>
      <c r="H67" s="7">
        <v>2936.1151251199999</v>
      </c>
      <c r="I67" s="7">
        <v>2862.71224699</v>
      </c>
      <c r="J67" s="7">
        <v>2791.14444082</v>
      </c>
      <c r="K67" s="7">
        <v>2721.3658298</v>
      </c>
      <c r="L67" s="7">
        <v>2653.3316840500001</v>
      </c>
      <c r="M67" s="7">
        <v>2586.99839195</v>
      </c>
      <c r="N67" s="7">
        <v>2522.3234321499999</v>
      </c>
      <c r="O67" s="7">
        <v>2459.2653463500001</v>
      </c>
      <c r="P67" s="7">
        <v>2397.7837126899999</v>
      </c>
      <c r="Q67" s="7">
        <v>2337.8391198700001</v>
      </c>
      <c r="R67" s="7">
        <v>2279.3931418699999</v>
      </c>
      <c r="S67" s="7">
        <v>2222.4083133300001</v>
      </c>
      <c r="T67" s="7">
        <v>2166.8481054899999</v>
      </c>
      <c r="U67" s="7">
        <v>2112.6769028600002</v>
      </c>
      <c r="V67" s="7">
        <v>2059.8599802899998</v>
      </c>
      <c r="W67" s="7">
        <v>2008.3634807799999</v>
      </c>
      <c r="X67" s="7">
        <v>1958.1543937599999</v>
      </c>
      <c r="Y67" s="7">
        <v>1909.2005339100001</v>
      </c>
      <c r="Z67" s="7">
        <v>1861.47052057</v>
      </c>
      <c r="AA67" s="7">
        <v>1814.9337575500001</v>
      </c>
      <c r="AB67" s="7">
        <v>1769.5604136100001</v>
      </c>
      <c r="AC67" s="7">
        <v>1725.32140327</v>
      </c>
    </row>
    <row r="68" spans="1:29" x14ac:dyDescent="0.85">
      <c r="A68" t="s">
        <v>166</v>
      </c>
      <c r="B68" s="7">
        <v>491.15404278</v>
      </c>
      <c r="C68" s="7">
        <v>478.87524562999999</v>
      </c>
      <c r="D68" s="7">
        <v>466.90043623000003</v>
      </c>
      <c r="E68" s="7">
        <v>455.22787669000002</v>
      </c>
      <c r="F68" s="7">
        <v>443.84733942999998</v>
      </c>
      <c r="G68" s="7">
        <v>432.74361496</v>
      </c>
      <c r="H68" s="7">
        <v>421.92450108999998</v>
      </c>
      <c r="I68" s="7">
        <v>270.44714565999999</v>
      </c>
      <c r="J68" s="7">
        <v>112.47267522999999</v>
      </c>
      <c r="K68" s="7">
        <v>0</v>
      </c>
      <c r="L68" s="7">
        <v>0</v>
      </c>
      <c r="M68" s="7">
        <v>0</v>
      </c>
      <c r="N68" s="7">
        <v>0</v>
      </c>
      <c r="O68" s="7">
        <v>0</v>
      </c>
      <c r="P68" s="7">
        <v>0</v>
      </c>
      <c r="Q68" s="7">
        <v>0</v>
      </c>
      <c r="R68" s="7">
        <v>0</v>
      </c>
      <c r="S68" s="7">
        <v>0</v>
      </c>
      <c r="T68" s="7">
        <v>0</v>
      </c>
      <c r="U68" s="7">
        <v>0</v>
      </c>
      <c r="V68" s="7">
        <v>0</v>
      </c>
      <c r="W68" s="7">
        <v>0</v>
      </c>
      <c r="X68" s="7">
        <v>0</v>
      </c>
      <c r="Y68" s="7">
        <v>0</v>
      </c>
      <c r="Z68" s="7">
        <v>0</v>
      </c>
      <c r="AA68" s="7">
        <v>0</v>
      </c>
      <c r="AB68" s="7">
        <v>0</v>
      </c>
      <c r="AC68" s="7">
        <v>0</v>
      </c>
    </row>
    <row r="69" spans="1:29" x14ac:dyDescent="0.85">
      <c r="A69" t="s">
        <v>167</v>
      </c>
      <c r="B69" s="7">
        <v>1</v>
      </c>
      <c r="C69" s="7">
        <v>1.0249999999999999</v>
      </c>
      <c r="D69" s="7">
        <v>1.00000011</v>
      </c>
      <c r="E69" s="7">
        <v>0.99999373000000003</v>
      </c>
      <c r="F69" s="7">
        <v>0.99999989</v>
      </c>
      <c r="G69" s="7">
        <v>1.00000036</v>
      </c>
      <c r="H69" s="7">
        <v>0.99998257000000002</v>
      </c>
      <c r="I69" s="7">
        <v>0.99999875999999999</v>
      </c>
      <c r="J69" s="7">
        <v>0.65742020000000001</v>
      </c>
      <c r="K69" s="7">
        <v>0.42654024000000001</v>
      </c>
      <c r="L69" s="7">
        <v>0</v>
      </c>
      <c r="M69" s="7">
        <v>4.8102500000000003E-3</v>
      </c>
      <c r="N69" s="7">
        <v>3.4098399999999999E-3</v>
      </c>
      <c r="O69" s="7">
        <v>2.0290600000000001E-3</v>
      </c>
      <c r="P69" s="7">
        <v>2.18038E-3</v>
      </c>
      <c r="Q69" s="7">
        <v>0</v>
      </c>
      <c r="R69" s="7">
        <v>6.033E-5</v>
      </c>
      <c r="S69" s="7">
        <v>5.732E-5</v>
      </c>
      <c r="T69" s="7">
        <v>5.1990000000000002E-5</v>
      </c>
      <c r="U69" s="7">
        <v>1.3005E-3</v>
      </c>
      <c r="V69" s="7">
        <v>0</v>
      </c>
      <c r="W69" s="7">
        <v>1.26E-5</v>
      </c>
      <c r="X69" s="7">
        <v>1.0900000000000001E-5</v>
      </c>
      <c r="Y69" s="7">
        <v>1.187E-5</v>
      </c>
      <c r="Z69" s="7">
        <v>1.145E-5</v>
      </c>
      <c r="AA69" s="7">
        <v>1.137E-5</v>
      </c>
      <c r="AB69" s="7">
        <v>1.2109999999999999E-5</v>
      </c>
      <c r="AC69" s="7">
        <v>1.154E-5</v>
      </c>
    </row>
    <row r="70" spans="1:29" x14ac:dyDescent="0.85">
      <c r="A70" t="s">
        <v>168</v>
      </c>
      <c r="B70" s="7">
        <v>1</v>
      </c>
      <c r="C70" s="7">
        <v>1.00000011</v>
      </c>
      <c r="D70" s="7">
        <v>0.99999373000000003</v>
      </c>
      <c r="E70" s="7">
        <v>0.99999989</v>
      </c>
      <c r="F70" s="7">
        <v>1.00000036</v>
      </c>
      <c r="G70" s="7">
        <v>0.99998257000000002</v>
      </c>
      <c r="H70" s="7">
        <v>0.99999875999999999</v>
      </c>
      <c r="I70" s="7">
        <v>0.65742020000000001</v>
      </c>
      <c r="J70" s="7">
        <v>0.42654024000000001</v>
      </c>
      <c r="K70" s="7">
        <v>0</v>
      </c>
      <c r="L70" s="7">
        <v>4.8102500000000003E-3</v>
      </c>
      <c r="M70" s="7">
        <v>3.4098399999999999E-3</v>
      </c>
      <c r="N70" s="7">
        <v>2.0290600000000001E-3</v>
      </c>
      <c r="O70" s="7">
        <v>2.18038E-3</v>
      </c>
      <c r="P70" s="7">
        <v>0</v>
      </c>
      <c r="Q70" s="7">
        <v>6.033E-5</v>
      </c>
      <c r="R70" s="7">
        <v>5.732E-5</v>
      </c>
      <c r="S70" s="7">
        <v>5.1990000000000002E-5</v>
      </c>
      <c r="T70" s="7">
        <v>1.3005E-3</v>
      </c>
      <c r="U70" s="7">
        <v>0</v>
      </c>
      <c r="V70" s="7">
        <v>1.26E-5</v>
      </c>
      <c r="W70" s="7">
        <v>1.0900000000000001E-5</v>
      </c>
      <c r="X70" s="7">
        <v>1.187E-5</v>
      </c>
      <c r="Y70" s="7">
        <v>1.145E-5</v>
      </c>
      <c r="Z70" s="7">
        <v>1.137E-5</v>
      </c>
      <c r="AA70" s="7">
        <v>1.2109999999999999E-5</v>
      </c>
      <c r="AB70" s="7">
        <v>1.154E-5</v>
      </c>
      <c r="AC70" s="7">
        <v>1.096E-5</v>
      </c>
    </row>
    <row r="71" spans="1:29" x14ac:dyDescent="0.85">
      <c r="A71" t="s">
        <v>169</v>
      </c>
      <c r="B71" s="7">
        <v>1</v>
      </c>
      <c r="C71" s="7">
        <v>2.5992830100000002</v>
      </c>
      <c r="D71" s="7">
        <v>2.63963744</v>
      </c>
      <c r="E71" s="7">
        <v>2.6821418000000001</v>
      </c>
      <c r="F71" s="7">
        <v>2.7268486300000001</v>
      </c>
      <c r="G71" s="7">
        <v>2.7740340699999999</v>
      </c>
      <c r="H71" s="7">
        <v>2.8235813099999998</v>
      </c>
      <c r="I71" s="7">
        <v>2.8758360399999998</v>
      </c>
      <c r="J71" s="7">
        <v>2.9646412799999999</v>
      </c>
      <c r="K71" s="7">
        <v>3.0581459899999999</v>
      </c>
      <c r="L71" s="7">
        <v>3.1481062299999998</v>
      </c>
      <c r="M71" s="7">
        <v>3.2064544000000001</v>
      </c>
      <c r="N71" s="7">
        <v>3.27971192</v>
      </c>
      <c r="O71" s="7">
        <v>3.3620264400000002</v>
      </c>
      <c r="P71" s="7">
        <v>3.5078433800000002</v>
      </c>
      <c r="Q71" s="7">
        <v>3.6635520399999999</v>
      </c>
      <c r="R71" s="7">
        <v>3.8271292200000002</v>
      </c>
      <c r="S71" s="7">
        <v>3.9998453700000001</v>
      </c>
      <c r="T71" s="7">
        <v>4.1821779399999999</v>
      </c>
      <c r="U71" s="7">
        <v>4.3746283799999999</v>
      </c>
      <c r="V71" s="7">
        <v>4.5777232699999999</v>
      </c>
      <c r="W71" s="7">
        <v>4.7884295999999997</v>
      </c>
      <c r="X71" s="7">
        <v>5.0147262100000001</v>
      </c>
      <c r="Y71" s="7">
        <v>5.2533913700000001</v>
      </c>
      <c r="Z71" s="7">
        <v>5.5050665399999996</v>
      </c>
      <c r="AA71" s="7">
        <v>5.7704249699999997</v>
      </c>
      <c r="AB71" s="7">
        <v>6.05017329</v>
      </c>
      <c r="AC71" s="7">
        <v>6.3450531100000003</v>
      </c>
    </row>
    <row r="72" spans="1:29" x14ac:dyDescent="0.85">
      <c r="A72" t="s">
        <v>170</v>
      </c>
      <c r="B72" s="7">
        <v>0</v>
      </c>
      <c r="C72" s="7">
        <v>5.9519999999999999E-5</v>
      </c>
      <c r="D72" s="7">
        <v>0.37902144999999998</v>
      </c>
      <c r="E72" s="7">
        <v>3.90170276</v>
      </c>
      <c r="F72" s="7">
        <v>4.5408560199999997</v>
      </c>
      <c r="G72" s="7">
        <v>7.3361854299999996</v>
      </c>
      <c r="H72" s="7">
        <v>6.6031412200000004</v>
      </c>
      <c r="I72" s="7">
        <v>5.9659010200000004</v>
      </c>
      <c r="J72" s="7">
        <v>66.33624227</v>
      </c>
      <c r="K72" s="7">
        <v>61.951735450000001</v>
      </c>
      <c r="L72" s="7">
        <v>262.15366215</v>
      </c>
      <c r="M72" s="7">
        <v>235.93829593999999</v>
      </c>
      <c r="N72" s="7">
        <v>212.42443370999999</v>
      </c>
      <c r="O72" s="7">
        <v>220.17288239000001</v>
      </c>
      <c r="P72" s="7">
        <v>198.15563469</v>
      </c>
      <c r="Q72" s="7">
        <v>178.34009291000001</v>
      </c>
      <c r="R72" s="7">
        <v>160.50608362</v>
      </c>
      <c r="S72" s="7">
        <v>144.45547547999999</v>
      </c>
      <c r="T72" s="7">
        <v>130.00995286</v>
      </c>
      <c r="U72" s="7">
        <v>117.00897557</v>
      </c>
      <c r="V72" s="7">
        <v>105.30809376000001</v>
      </c>
      <c r="W72" s="7">
        <v>94.777400830000005</v>
      </c>
      <c r="X72" s="7">
        <v>85.299969079999997</v>
      </c>
      <c r="Y72" s="7">
        <v>76.770226210000004</v>
      </c>
      <c r="Z72" s="7">
        <v>69.093203590000002</v>
      </c>
      <c r="AA72" s="7">
        <v>62.183883229999999</v>
      </c>
      <c r="AB72" s="7">
        <v>55.965496629999997</v>
      </c>
      <c r="AC72" s="7">
        <v>50.368946960000002</v>
      </c>
    </row>
    <row r="73" spans="1:29" x14ac:dyDescent="0.85">
      <c r="A73" t="s">
        <v>171</v>
      </c>
      <c r="B73" s="7">
        <v>0</v>
      </c>
      <c r="C73" s="7">
        <v>1.0030000000000001E-5</v>
      </c>
      <c r="D73" s="7">
        <v>9.4746659999999996E-2</v>
      </c>
      <c r="E73" s="7">
        <v>0.89014481000000001</v>
      </c>
      <c r="F73" s="7">
        <v>0.25468326000000002</v>
      </c>
      <c r="G73" s="7">
        <v>0.81499942999999997</v>
      </c>
      <c r="H73" s="7">
        <v>1.4621E-4</v>
      </c>
      <c r="I73" s="7">
        <v>5.7676400000000001E-3</v>
      </c>
      <c r="J73" s="7">
        <v>15.24173366</v>
      </c>
      <c r="K73" s="7">
        <v>0.56227990000000005</v>
      </c>
      <c r="L73" s="7">
        <v>51.599199810000002</v>
      </c>
      <c r="M73" s="7">
        <v>6.2600000000000004E-5</v>
      </c>
      <c r="N73" s="7">
        <v>2.0004500000000001E-2</v>
      </c>
      <c r="O73" s="7">
        <v>7.2477230099999996</v>
      </c>
      <c r="P73" s="7">
        <v>9.9499999999999996E-6</v>
      </c>
      <c r="Q73" s="7">
        <v>5.5799999999999999E-6</v>
      </c>
      <c r="R73" s="7">
        <v>0</v>
      </c>
      <c r="S73" s="7">
        <v>0</v>
      </c>
      <c r="T73" s="7">
        <v>6.3099999999999997E-6</v>
      </c>
      <c r="U73" s="7">
        <v>2.8600000000000001E-6</v>
      </c>
      <c r="V73" s="7">
        <v>26.327022639999999</v>
      </c>
      <c r="W73" s="7">
        <v>23.694348869999999</v>
      </c>
      <c r="X73" s="7">
        <v>21.324992269999999</v>
      </c>
      <c r="Y73" s="7">
        <v>19.192535339999999</v>
      </c>
      <c r="Z73" s="7">
        <v>17.273299380000001</v>
      </c>
      <c r="AA73" s="7">
        <v>15.545969789999999</v>
      </c>
      <c r="AB73" s="7">
        <v>13.991369150000001</v>
      </c>
      <c r="AC73" s="7">
        <v>12.592235199999999</v>
      </c>
    </row>
    <row r="74" spans="1:29" x14ac:dyDescent="0.85">
      <c r="A74" t="s">
        <v>172</v>
      </c>
      <c r="B74" s="7">
        <v>0</v>
      </c>
      <c r="C74" s="7">
        <v>1.0030000000000001E-5</v>
      </c>
      <c r="D74" s="7">
        <v>9.4746659999999996E-2</v>
      </c>
      <c r="E74" s="7">
        <v>0.89014481000000001</v>
      </c>
      <c r="F74" s="7">
        <v>0.25468326000000002</v>
      </c>
      <c r="G74" s="7">
        <v>0.81499942999999997</v>
      </c>
      <c r="H74" s="7">
        <v>1.4621E-4</v>
      </c>
      <c r="I74" s="7">
        <v>5.7676400000000001E-3</v>
      </c>
      <c r="J74" s="7">
        <v>15.24173366</v>
      </c>
      <c r="K74" s="7">
        <v>0.56227990000000005</v>
      </c>
      <c r="L74" s="7">
        <v>51.599199810000002</v>
      </c>
      <c r="M74" s="7">
        <v>6.2600000000000004E-5</v>
      </c>
      <c r="N74" s="7">
        <v>2.0004500000000001E-2</v>
      </c>
      <c r="O74" s="7">
        <v>7.2477230099999996</v>
      </c>
      <c r="P74" s="7">
        <v>9.9499999999999996E-6</v>
      </c>
      <c r="Q74" s="7">
        <v>5.5799999999999999E-6</v>
      </c>
      <c r="R74" s="7">
        <v>0</v>
      </c>
      <c r="S74" s="7">
        <v>0</v>
      </c>
      <c r="T74" s="7">
        <v>6.3099999999999997E-6</v>
      </c>
      <c r="U74" s="7">
        <v>2.8600000000000001E-6</v>
      </c>
      <c r="V74" s="7">
        <v>26.327022639999999</v>
      </c>
      <c r="W74" s="7">
        <v>23.694348869999999</v>
      </c>
      <c r="X74" s="7">
        <v>21.324992269999999</v>
      </c>
      <c r="Y74" s="7">
        <v>19.192535339999999</v>
      </c>
      <c r="Z74" s="7">
        <v>17.273299380000001</v>
      </c>
      <c r="AA74" s="7">
        <v>15.545969789999999</v>
      </c>
      <c r="AB74" s="7">
        <v>13.991369150000001</v>
      </c>
      <c r="AC74" s="7">
        <v>12.592235199999999</v>
      </c>
    </row>
    <row r="75" spans="1:29" x14ac:dyDescent="0.85">
      <c r="A75" t="s">
        <v>173</v>
      </c>
      <c r="B75" s="7">
        <v>0</v>
      </c>
      <c r="C75" s="7">
        <v>1.5809999999999999E-5</v>
      </c>
      <c r="D75" s="7">
        <v>0.10065668999999999</v>
      </c>
      <c r="E75" s="7">
        <v>1.03617366</v>
      </c>
      <c r="F75" s="7">
        <v>1.2059025800000001</v>
      </c>
      <c r="G75" s="7">
        <v>1.94825604</v>
      </c>
      <c r="H75" s="7">
        <v>1.75357286</v>
      </c>
      <c r="I75" s="7">
        <v>1.5843433200000001</v>
      </c>
      <c r="J75" s="7">
        <v>17.616891150000001</v>
      </c>
      <c r="K75" s="7">
        <v>16.452311049999999</v>
      </c>
      <c r="L75" s="7">
        <v>69.619931519999994</v>
      </c>
      <c r="M75" s="7">
        <v>62.657298900000001</v>
      </c>
      <c r="N75" s="7">
        <v>56.412805939999998</v>
      </c>
      <c r="O75" s="7">
        <v>58.470633579999998</v>
      </c>
      <c r="P75" s="7">
        <v>52.62349116</v>
      </c>
      <c r="Q75" s="7">
        <v>47.361147809999999</v>
      </c>
      <c r="R75" s="7">
        <v>42.625033029999997</v>
      </c>
      <c r="S75" s="7">
        <v>38.362529780000003</v>
      </c>
      <c r="T75" s="7">
        <v>34.526283429999999</v>
      </c>
      <c r="U75" s="7">
        <v>31.073659859999999</v>
      </c>
      <c r="V75" s="7">
        <v>27.966660579999999</v>
      </c>
      <c r="W75" s="7">
        <v>25.170025450000001</v>
      </c>
      <c r="X75" s="7">
        <v>22.65310478</v>
      </c>
      <c r="Y75" s="7">
        <v>20.387861770000001</v>
      </c>
      <c r="Z75" s="7">
        <v>18.349075590000002</v>
      </c>
      <c r="AA75" s="7">
        <v>16.51416803</v>
      </c>
      <c r="AB75" s="7">
        <v>14.86275169</v>
      </c>
      <c r="AC75" s="7">
        <v>13.376476520000001</v>
      </c>
    </row>
    <row r="76" spans="1:29" x14ac:dyDescent="0.85">
      <c r="A76" t="s">
        <v>174</v>
      </c>
      <c r="B76" s="7">
        <v>0</v>
      </c>
      <c r="C76" s="7">
        <v>0</v>
      </c>
      <c r="D76" s="7">
        <v>4.2E-7</v>
      </c>
      <c r="E76" s="7">
        <v>5.9399999999999999E-6</v>
      </c>
      <c r="F76" s="7">
        <v>2.2699999999999999E-6</v>
      </c>
      <c r="G76" s="7">
        <v>9.0699999999999996E-6</v>
      </c>
      <c r="H76" s="7">
        <v>0</v>
      </c>
      <c r="I76" s="7">
        <v>8.9999999999999999E-8</v>
      </c>
      <c r="J76" s="7">
        <v>2.7129999999999998E-4</v>
      </c>
      <c r="K76" s="7">
        <v>1.1260000000000001E-5</v>
      </c>
      <c r="L76" s="7">
        <v>1.1480800000000001E-3</v>
      </c>
      <c r="M76" s="7">
        <v>0</v>
      </c>
      <c r="N76" s="7">
        <v>5.3000000000000001E-7</v>
      </c>
      <c r="O76" s="7">
        <v>2.0964000000000001E-4</v>
      </c>
      <c r="P76" s="7">
        <v>0</v>
      </c>
      <c r="Q76" s="7">
        <v>0</v>
      </c>
      <c r="R76" s="7">
        <v>0</v>
      </c>
      <c r="S76" s="7">
        <v>0</v>
      </c>
      <c r="T76" s="7">
        <v>0</v>
      </c>
      <c r="U76" s="7">
        <v>0</v>
      </c>
      <c r="V76" s="7">
        <v>1.1715499999999999E-3</v>
      </c>
      <c r="W76" s="7">
        <v>1.1071200000000001E-3</v>
      </c>
      <c r="X76" s="7">
        <v>1.04386E-3</v>
      </c>
      <c r="Y76" s="7">
        <v>9.8218000000000003E-4</v>
      </c>
      <c r="Z76" s="7">
        <v>9.2239000000000004E-4</v>
      </c>
      <c r="AA76" s="7">
        <v>8.6474000000000002E-4</v>
      </c>
      <c r="AB76" s="7">
        <v>8.0940000000000005E-4</v>
      </c>
      <c r="AC76" s="7">
        <v>7.5648000000000002E-4</v>
      </c>
    </row>
    <row r="77" spans="1:29" x14ac:dyDescent="0.85">
      <c r="A77" t="s">
        <v>175</v>
      </c>
      <c r="B77" s="7">
        <v>0</v>
      </c>
      <c r="C77" s="7">
        <v>0</v>
      </c>
      <c r="D77" s="7">
        <v>1E-8</v>
      </c>
      <c r="E77" s="7">
        <v>9.9999999999999995E-8</v>
      </c>
      <c r="F77" s="7">
        <v>2.9999999999999997E-8</v>
      </c>
      <c r="G77" s="7">
        <v>8.9999999999999999E-8</v>
      </c>
      <c r="H77" s="7">
        <v>0</v>
      </c>
      <c r="I77" s="7">
        <v>0</v>
      </c>
      <c r="J77" s="7">
        <v>1.7E-6</v>
      </c>
      <c r="K77" s="7">
        <v>5.9999999999999995E-8</v>
      </c>
      <c r="L77" s="7">
        <v>5.7400000000000001E-6</v>
      </c>
      <c r="M77" s="7">
        <v>0</v>
      </c>
      <c r="N77" s="7">
        <v>0</v>
      </c>
      <c r="O77" s="7">
        <v>8.0999999999999997E-7</v>
      </c>
      <c r="P77" s="7">
        <v>0</v>
      </c>
      <c r="Q77" s="7">
        <v>0</v>
      </c>
      <c r="R77" s="7">
        <v>0</v>
      </c>
      <c r="S77" s="7">
        <v>0</v>
      </c>
      <c r="T77" s="7">
        <v>0</v>
      </c>
      <c r="U77" s="7">
        <v>0</v>
      </c>
      <c r="V77" s="7">
        <v>2.9299999999999999E-6</v>
      </c>
      <c r="W77" s="7">
        <v>2.6400000000000001E-6</v>
      </c>
      <c r="X77" s="7">
        <v>2.3700000000000002E-6</v>
      </c>
      <c r="Y77" s="7">
        <v>2.1399999999999998E-6</v>
      </c>
      <c r="Z77" s="7">
        <v>1.9199999999999998E-6</v>
      </c>
      <c r="AA77" s="7">
        <v>1.73E-6</v>
      </c>
      <c r="AB77" s="7">
        <v>1.5600000000000001E-6</v>
      </c>
      <c r="AC77" s="7">
        <v>1.3999999999999999E-6</v>
      </c>
    </row>
    <row r="78" spans="1:29" x14ac:dyDescent="0.85">
      <c r="A78" t="s">
        <v>176</v>
      </c>
      <c r="B78" s="7">
        <v>0</v>
      </c>
      <c r="C78" s="7">
        <v>1.5809999999999999E-5</v>
      </c>
      <c r="D78" s="7">
        <v>0.10065539</v>
      </c>
      <c r="E78" s="7">
        <v>1.0361613999999999</v>
      </c>
      <c r="F78" s="7">
        <v>1.20589908</v>
      </c>
      <c r="G78" s="7">
        <v>1.94824482</v>
      </c>
      <c r="H78" s="7">
        <v>1.75357286</v>
      </c>
      <c r="I78" s="7">
        <v>1.5843432399999999</v>
      </c>
      <c r="J78" s="7">
        <v>17.616681270000001</v>
      </c>
      <c r="K78" s="7">
        <v>16.452303300000001</v>
      </c>
      <c r="L78" s="7">
        <v>69.619220999999996</v>
      </c>
      <c r="M78" s="7">
        <v>62.657298900000001</v>
      </c>
      <c r="N78" s="7">
        <v>56.412805659999997</v>
      </c>
      <c r="O78" s="7">
        <v>58.470533779999997</v>
      </c>
      <c r="P78" s="7">
        <v>52.62349116</v>
      </c>
      <c r="Q78" s="7">
        <v>47.361147809999999</v>
      </c>
      <c r="R78" s="7">
        <v>42.625033029999997</v>
      </c>
      <c r="S78" s="7">
        <v>38.362529780000003</v>
      </c>
      <c r="T78" s="7">
        <v>34.526283429999999</v>
      </c>
      <c r="U78" s="7">
        <v>31.073659859999999</v>
      </c>
      <c r="V78" s="7">
        <v>27.96629806</v>
      </c>
      <c r="W78" s="7">
        <v>25.169699179999999</v>
      </c>
      <c r="X78" s="7">
        <v>22.652811140000001</v>
      </c>
      <c r="Y78" s="7">
        <v>20.387597490000001</v>
      </c>
      <c r="Z78" s="7">
        <v>18.34883774</v>
      </c>
      <c r="AA78" s="7">
        <v>16.513953969999999</v>
      </c>
      <c r="AB78" s="7">
        <v>14.86255903</v>
      </c>
      <c r="AC78" s="7">
        <v>13.376303119999999</v>
      </c>
    </row>
    <row r="79" spans="1:29" x14ac:dyDescent="0.85">
      <c r="A79" t="s">
        <v>177</v>
      </c>
      <c r="B79" s="7">
        <v>0</v>
      </c>
      <c r="C79" s="7">
        <v>0</v>
      </c>
      <c r="D79" s="7">
        <v>1.3E-6</v>
      </c>
      <c r="E79" s="7">
        <v>1.226E-5</v>
      </c>
      <c r="F79" s="7">
        <v>3.5099999999999999E-6</v>
      </c>
      <c r="G79" s="7">
        <v>1.1219999999999999E-5</v>
      </c>
      <c r="H79" s="7">
        <v>0</v>
      </c>
      <c r="I79" s="7">
        <v>8.0000000000000002E-8</v>
      </c>
      <c r="J79" s="7">
        <v>2.0987999999999999E-4</v>
      </c>
      <c r="K79" s="7">
        <v>7.7400000000000004E-6</v>
      </c>
      <c r="L79" s="7">
        <v>7.1051999999999997E-4</v>
      </c>
      <c r="M79" s="7">
        <v>0</v>
      </c>
      <c r="N79" s="7">
        <v>2.8000000000000002E-7</v>
      </c>
      <c r="O79" s="7">
        <v>9.98E-5</v>
      </c>
      <c r="P79" s="7">
        <v>0</v>
      </c>
      <c r="Q79" s="7">
        <v>0</v>
      </c>
      <c r="R79" s="7">
        <v>0</v>
      </c>
      <c r="S79" s="7">
        <v>0</v>
      </c>
      <c r="T79" s="7">
        <v>0</v>
      </c>
      <c r="U79" s="7">
        <v>0</v>
      </c>
      <c r="V79" s="7">
        <v>3.6252000000000002E-4</v>
      </c>
      <c r="W79" s="7">
        <v>3.2626999999999998E-4</v>
      </c>
      <c r="X79" s="7">
        <v>2.9365000000000001E-4</v>
      </c>
      <c r="Y79" s="7">
        <v>2.6427999999999998E-4</v>
      </c>
      <c r="Z79" s="7">
        <v>2.3785000000000001E-4</v>
      </c>
      <c r="AA79" s="7">
        <v>2.1406999999999999E-4</v>
      </c>
      <c r="AB79" s="7">
        <v>1.9265999999999999E-4</v>
      </c>
      <c r="AC79" s="7">
        <v>1.7340000000000001E-4</v>
      </c>
    </row>
    <row r="80" spans="1:29" x14ac:dyDescent="0.85">
      <c r="A80" t="s">
        <v>178</v>
      </c>
      <c r="B80" s="7">
        <v>1</v>
      </c>
      <c r="C80" s="7">
        <v>1.1000000000000001</v>
      </c>
      <c r="D80" s="7">
        <v>1.0000000499999999</v>
      </c>
      <c r="E80" s="7">
        <v>1.0002932200000001</v>
      </c>
      <c r="F80" s="7">
        <v>1.0027536500000001</v>
      </c>
      <c r="G80" s="7">
        <v>1.0007951500000001</v>
      </c>
      <c r="H80" s="7">
        <v>1.0025055899999999</v>
      </c>
      <c r="I80" s="7">
        <v>1.00000044</v>
      </c>
      <c r="J80" s="7">
        <v>1.00001769</v>
      </c>
      <c r="K80" s="7">
        <v>1.04576958</v>
      </c>
      <c r="L80" s="7">
        <v>1.00165148</v>
      </c>
      <c r="M80" s="7">
        <v>1.14890202</v>
      </c>
      <c r="N80" s="7">
        <v>1</v>
      </c>
      <c r="O80" s="7">
        <v>1.0000570499999999</v>
      </c>
      <c r="P80" s="7">
        <v>1.0204764200000001</v>
      </c>
      <c r="Q80" s="7">
        <v>1.00000003</v>
      </c>
      <c r="R80" s="7">
        <v>1.0000000099999999</v>
      </c>
      <c r="S80" s="7">
        <v>1</v>
      </c>
      <c r="T80" s="7">
        <v>1</v>
      </c>
      <c r="U80" s="7">
        <v>1.0000000099999999</v>
      </c>
      <c r="V80" s="7">
        <v>1.0000000099999999</v>
      </c>
      <c r="W80" s="7">
        <v>1.0000000099999999</v>
      </c>
      <c r="X80" s="7">
        <v>1.0000000600000001</v>
      </c>
      <c r="Y80" s="7">
        <v>1.0000001599999999</v>
      </c>
      <c r="Z80" s="7">
        <v>1.0000001300000001</v>
      </c>
      <c r="AA80" s="7">
        <v>1</v>
      </c>
      <c r="AB80" s="7">
        <v>1</v>
      </c>
      <c r="AC80" s="7">
        <v>1</v>
      </c>
    </row>
    <row r="81" spans="1:29" x14ac:dyDescent="0.85">
      <c r="A81" t="s">
        <v>179</v>
      </c>
      <c r="B81" s="7">
        <v>1</v>
      </c>
      <c r="C81" s="7">
        <v>1.0000000499999999</v>
      </c>
      <c r="D81" s="7">
        <v>1.0002932200000001</v>
      </c>
      <c r="E81" s="7">
        <v>1.0027536500000001</v>
      </c>
      <c r="F81" s="7">
        <v>1.0007951500000001</v>
      </c>
      <c r="G81" s="7">
        <v>1.0025055899999999</v>
      </c>
      <c r="H81" s="7">
        <v>1.00000044</v>
      </c>
      <c r="I81" s="7">
        <v>1.00001769</v>
      </c>
      <c r="J81" s="7">
        <v>1.04576958</v>
      </c>
      <c r="K81" s="7">
        <v>1.00165148</v>
      </c>
      <c r="L81" s="7">
        <v>1.14890202</v>
      </c>
      <c r="M81" s="7">
        <v>1</v>
      </c>
      <c r="N81" s="7">
        <v>1.0000570499999999</v>
      </c>
      <c r="O81" s="7">
        <v>1.0204764200000001</v>
      </c>
      <c r="P81" s="7">
        <v>1.00000003</v>
      </c>
      <c r="Q81" s="7">
        <v>1.0000000099999999</v>
      </c>
      <c r="R81" s="7">
        <v>1</v>
      </c>
      <c r="S81" s="7">
        <v>1</v>
      </c>
      <c r="T81" s="7">
        <v>1.0000000099999999</v>
      </c>
      <c r="U81" s="7">
        <v>1.0000000099999999</v>
      </c>
      <c r="V81" s="7">
        <v>1.0000000099999999</v>
      </c>
      <c r="W81" s="7">
        <v>1.0000000600000001</v>
      </c>
      <c r="X81" s="7">
        <v>1.0000001599999999</v>
      </c>
      <c r="Y81" s="7">
        <v>1.0000001300000001</v>
      </c>
      <c r="Z81" s="7">
        <v>1</v>
      </c>
      <c r="AA81" s="7">
        <v>1</v>
      </c>
      <c r="AB81" s="7">
        <v>1</v>
      </c>
      <c r="AC81" s="7">
        <v>1</v>
      </c>
    </row>
    <row r="82" spans="1:29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0A94C5-CD98-4A23-8520-67CF31BE2471}">
  <sheetPr codeName="Sheet9"/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3" width="10.65234375" bestFit="1" customWidth="1"/>
    <col min="14" max="29" width="12.15234375" bestFit="1" customWidth="1"/>
  </cols>
  <sheetData>
    <row r="1" spans="1:29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</row>
    <row r="2" spans="1:29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</row>
    <row r="3" spans="1:29" x14ac:dyDescent="0.85">
      <c r="A3" t="s">
        <v>69</v>
      </c>
      <c r="B3" s="7">
        <v>0</v>
      </c>
      <c r="C3" s="7">
        <v>20</v>
      </c>
      <c r="D3" s="7">
        <v>40</v>
      </c>
      <c r="E3" s="7">
        <v>60</v>
      </c>
      <c r="F3" s="7">
        <v>80</v>
      </c>
      <c r="G3" s="7">
        <v>100</v>
      </c>
      <c r="H3" s="7">
        <v>120</v>
      </c>
      <c r="I3" s="7">
        <v>140</v>
      </c>
      <c r="J3" s="7">
        <v>160</v>
      </c>
      <c r="K3" s="7">
        <v>180</v>
      </c>
      <c r="L3" s="7">
        <v>200</v>
      </c>
      <c r="M3" s="7">
        <v>220</v>
      </c>
      <c r="N3" s="7">
        <v>240</v>
      </c>
      <c r="O3" s="7">
        <v>260</v>
      </c>
      <c r="P3" s="7">
        <v>280</v>
      </c>
      <c r="Q3" s="7">
        <v>300</v>
      </c>
      <c r="R3" s="7">
        <v>320</v>
      </c>
      <c r="S3" s="7">
        <v>340</v>
      </c>
      <c r="T3" s="7">
        <v>360</v>
      </c>
      <c r="U3" s="7">
        <v>380</v>
      </c>
      <c r="V3" s="7">
        <v>400</v>
      </c>
      <c r="W3" s="7">
        <v>420</v>
      </c>
      <c r="X3" s="7">
        <v>440</v>
      </c>
      <c r="Y3" s="7">
        <v>460</v>
      </c>
      <c r="Z3" s="7">
        <v>480</v>
      </c>
      <c r="AA3" s="7">
        <v>500</v>
      </c>
      <c r="AB3" s="7">
        <v>520</v>
      </c>
      <c r="AC3" s="7">
        <v>540</v>
      </c>
    </row>
    <row r="4" spans="1:29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</row>
    <row r="5" spans="1:29" x14ac:dyDescent="0.85">
      <c r="A5" t="s">
        <v>105</v>
      </c>
      <c r="B5" s="7">
        <v>178736</v>
      </c>
      <c r="C5" s="7">
        <v>180559.59510327</v>
      </c>
      <c r="D5" s="7">
        <v>182544.76834385999</v>
      </c>
      <c r="E5" s="7">
        <v>184599.15717195999</v>
      </c>
      <c r="F5" s="7">
        <v>186777.94550639999</v>
      </c>
      <c r="G5" s="7">
        <v>189179.68352262999</v>
      </c>
      <c r="H5" s="7">
        <v>191779.76144843001</v>
      </c>
      <c r="I5" s="7">
        <v>196923.71301881</v>
      </c>
      <c r="J5" s="7">
        <v>205408.99395810999</v>
      </c>
      <c r="K5" s="7">
        <v>215384.80946741</v>
      </c>
      <c r="L5" s="7">
        <v>225880.53015860001</v>
      </c>
      <c r="M5" s="7">
        <v>237488.38309285001</v>
      </c>
      <c r="N5" s="7">
        <v>253259.92618926</v>
      </c>
      <c r="O5" s="7">
        <v>270205.74451004999</v>
      </c>
      <c r="P5" s="7">
        <v>282743.76308981999</v>
      </c>
      <c r="Q5" s="7">
        <v>297744.61622038</v>
      </c>
      <c r="R5" s="7">
        <v>313342.14428727998</v>
      </c>
      <c r="S5" s="7">
        <v>329557.07481100998</v>
      </c>
      <c r="T5" s="7">
        <v>345627.54982791998</v>
      </c>
      <c r="U5" s="7">
        <v>363184.84046595002</v>
      </c>
      <c r="V5" s="7">
        <v>381522.30790274998</v>
      </c>
      <c r="W5" s="7">
        <v>401012.24894923001</v>
      </c>
      <c r="X5" s="7">
        <v>421522.05777105998</v>
      </c>
      <c r="Y5" s="7">
        <v>442038.03821187001</v>
      </c>
      <c r="Z5" s="7">
        <v>455606.29896853003</v>
      </c>
      <c r="AA5" s="7">
        <v>469525.59646670998</v>
      </c>
      <c r="AB5" s="7">
        <v>482594.07016159</v>
      </c>
      <c r="AC5" s="7">
        <v>484084.88272811001</v>
      </c>
    </row>
    <row r="6" spans="1:29" x14ac:dyDescent="0.85">
      <c r="A6" t="s">
        <v>106</v>
      </c>
      <c r="B6" s="7">
        <v>791631557.5</v>
      </c>
      <c r="C6" s="7">
        <v>808051155.932096</v>
      </c>
      <c r="D6" s="7">
        <v>824799163.12222302</v>
      </c>
      <c r="E6" s="7">
        <v>841882123.58910406</v>
      </c>
      <c r="F6" s="7">
        <v>859306741.68728006</v>
      </c>
      <c r="G6" s="7">
        <v>877079852.94512999</v>
      </c>
      <c r="H6" s="7">
        <v>895208424.44182503</v>
      </c>
      <c r="I6" s="7">
        <v>913699570.45567703</v>
      </c>
      <c r="J6" s="7">
        <v>932560538.51342201</v>
      </c>
      <c r="K6" s="7">
        <v>951798711.61775005</v>
      </c>
      <c r="L6" s="7">
        <v>971421647.24201596</v>
      </c>
      <c r="M6" s="7">
        <v>991436975.33766401</v>
      </c>
      <c r="N6" s="7">
        <v>1011852726.7266901</v>
      </c>
      <c r="O6" s="7">
        <v>1032676696.9234999</v>
      </c>
      <c r="P6" s="7">
        <v>1053917348.46951</v>
      </c>
      <c r="Q6" s="7">
        <v>1075582671.6204</v>
      </c>
      <c r="R6" s="7">
        <v>1097681301.1728899</v>
      </c>
      <c r="S6" s="7">
        <v>1120221903.31635</v>
      </c>
      <c r="T6" s="7">
        <v>1143249399.8136799</v>
      </c>
      <c r="U6" s="7">
        <v>1167228153.2333801</v>
      </c>
      <c r="V6" s="7">
        <v>1193646375.12009</v>
      </c>
      <c r="W6" s="7">
        <v>1224363238.5877099</v>
      </c>
      <c r="X6" s="7">
        <v>1261352714.95648</v>
      </c>
      <c r="Y6" s="7">
        <v>1305673813.4879999</v>
      </c>
      <c r="Z6" s="7">
        <v>1354278422.93786</v>
      </c>
      <c r="AA6" s="7">
        <v>1409184767.07671</v>
      </c>
      <c r="AB6" s="7">
        <v>1466738901.80088</v>
      </c>
      <c r="AC6" s="7">
        <v>1504132485.5980201</v>
      </c>
    </row>
    <row r="7" spans="1:29" x14ac:dyDescent="0.85">
      <c r="A7" t="s">
        <v>107</v>
      </c>
      <c r="B7" s="7">
        <v>791631557.5</v>
      </c>
      <c r="C7" s="7">
        <v>808051164.76999998</v>
      </c>
      <c r="D7" s="7">
        <v>824799164.18540001</v>
      </c>
      <c r="E7" s="7">
        <v>841882123.58910799</v>
      </c>
      <c r="F7" s="7">
        <v>859306742.18088996</v>
      </c>
      <c r="G7" s="7">
        <v>877079853.144508</v>
      </c>
      <c r="H7" s="7">
        <v>895208426.32739794</v>
      </c>
      <c r="I7" s="7">
        <v>913699570.97394598</v>
      </c>
      <c r="J7" s="7">
        <v>932560538.51342499</v>
      </c>
      <c r="K7" s="7">
        <v>951798725.40369296</v>
      </c>
      <c r="L7" s="7">
        <v>971421676.03176701</v>
      </c>
      <c r="M7" s="7">
        <v>991437085.67240298</v>
      </c>
      <c r="N7" s="7">
        <v>1011852803.50585</v>
      </c>
      <c r="O7" s="7">
        <v>1032676835.69596</v>
      </c>
      <c r="P7" s="7">
        <v>1053917348.52988</v>
      </c>
      <c r="Q7" s="7">
        <v>1075582671.6204801</v>
      </c>
      <c r="R7" s="7">
        <v>1097681301.1728899</v>
      </c>
      <c r="S7" s="7">
        <v>1120221903.31635</v>
      </c>
      <c r="T7" s="7">
        <v>1143213317.5026801</v>
      </c>
      <c r="U7" s="7">
        <v>1166664559.9727299</v>
      </c>
      <c r="V7" s="7">
        <v>1190584827.2921801</v>
      </c>
      <c r="W7" s="7">
        <v>1214983499.95803</v>
      </c>
      <c r="X7" s="7">
        <v>1239870146.0771899</v>
      </c>
      <c r="Y7" s="7">
        <v>1265254525.1187301</v>
      </c>
      <c r="Z7" s="7">
        <v>1291146591.7411101</v>
      </c>
      <c r="AA7" s="7">
        <v>1317556499.69593</v>
      </c>
      <c r="AB7" s="7">
        <v>1344494605.80985</v>
      </c>
      <c r="AC7" s="7">
        <v>1371971474.0460401</v>
      </c>
    </row>
    <row r="8" spans="1:29" x14ac:dyDescent="0.85">
      <c r="A8" t="s">
        <v>108</v>
      </c>
      <c r="B8" s="7">
        <v>93430.321299160001</v>
      </c>
      <c r="C8" s="7">
        <v>92279.816284850007</v>
      </c>
      <c r="D8" s="7">
        <v>91189.087354260002</v>
      </c>
      <c r="E8" s="7">
        <v>90148.196104610004</v>
      </c>
      <c r="F8" s="7">
        <v>89167.408269449996</v>
      </c>
      <c r="G8" s="7">
        <v>88264.45385618</v>
      </c>
      <c r="H8" s="7">
        <v>87439.928854889993</v>
      </c>
      <c r="I8" s="7">
        <v>87213.842174570003</v>
      </c>
      <c r="J8" s="7">
        <v>87998.400078990002</v>
      </c>
      <c r="K8" s="7">
        <v>89244.808473719997</v>
      </c>
      <c r="L8" s="7">
        <v>90652.529501979996</v>
      </c>
      <c r="M8" s="7">
        <v>92407.597693289994</v>
      </c>
      <c r="N8" s="7">
        <v>95005.434380940002</v>
      </c>
      <c r="O8" s="7">
        <v>98012.335472510007</v>
      </c>
      <c r="P8" s="7">
        <v>100021.3070804</v>
      </c>
      <c r="Q8" s="7">
        <v>109868.34261891</v>
      </c>
      <c r="R8" s="7">
        <v>120192.01758733</v>
      </c>
      <c r="S8" s="7">
        <v>131008.81025024</v>
      </c>
      <c r="T8" s="7">
        <v>142187.90542888001</v>
      </c>
      <c r="U8" s="7">
        <v>154031.7696994</v>
      </c>
      <c r="V8" s="7">
        <v>166443.45391878</v>
      </c>
      <c r="W8" s="7">
        <v>179511.38260091</v>
      </c>
      <c r="X8" s="7">
        <v>193238.14221180999</v>
      </c>
      <c r="Y8" s="7">
        <v>207440.93660155</v>
      </c>
      <c r="Z8" s="7">
        <v>220697.58279499001</v>
      </c>
      <c r="AA8" s="7">
        <v>234306.50899033999</v>
      </c>
      <c r="AB8" s="7">
        <v>247838.17595378001</v>
      </c>
      <c r="AC8" s="7">
        <v>258082.97700379</v>
      </c>
    </row>
    <row r="9" spans="1:29" x14ac:dyDescent="0.85">
      <c r="A9" t="s">
        <v>109</v>
      </c>
      <c r="B9" s="7">
        <v>14413.389289520001</v>
      </c>
      <c r="C9" s="7">
        <v>14948.105033780001</v>
      </c>
      <c r="D9" s="7">
        <v>15487.117758079999</v>
      </c>
      <c r="E9" s="7">
        <v>16030.52062969</v>
      </c>
      <c r="F9" s="7">
        <v>16577.507866560001</v>
      </c>
      <c r="G9" s="7">
        <v>17129.885955779999</v>
      </c>
      <c r="H9" s="7">
        <v>17678.303018310002</v>
      </c>
      <c r="I9" s="7">
        <v>18230.042123809999</v>
      </c>
      <c r="J9" s="7">
        <v>18547.991986640001</v>
      </c>
      <c r="K9" s="7">
        <v>18793.07023492</v>
      </c>
      <c r="L9" s="7">
        <v>19036.730183600001</v>
      </c>
      <c r="M9" s="7">
        <v>19263.066646790001</v>
      </c>
      <c r="N9" s="7">
        <v>19374.135123849999</v>
      </c>
      <c r="O9" s="7">
        <v>19463.970135390002</v>
      </c>
      <c r="P9" s="7">
        <v>19515.809291149999</v>
      </c>
      <c r="Q9" s="7">
        <v>18860.694602880001</v>
      </c>
      <c r="R9" s="7">
        <v>18162.90894505</v>
      </c>
      <c r="S9" s="7">
        <v>17420.644410239998</v>
      </c>
      <c r="T9" s="7">
        <v>16632.852709179999</v>
      </c>
      <c r="U9" s="7">
        <v>15812.15056179</v>
      </c>
      <c r="V9" s="7">
        <v>14988.815652089999</v>
      </c>
      <c r="W9" s="7">
        <v>14205.41038091</v>
      </c>
      <c r="X9" s="7">
        <v>13505.669216169999</v>
      </c>
      <c r="Y9" s="7">
        <v>12943.01663185</v>
      </c>
      <c r="Z9" s="7">
        <v>12656.39720634</v>
      </c>
      <c r="AA9" s="7">
        <v>12490.826227150001</v>
      </c>
      <c r="AB9" s="7">
        <v>12471.610914569999</v>
      </c>
      <c r="AC9" s="7">
        <v>12774.14360014</v>
      </c>
    </row>
    <row r="10" spans="1:29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</row>
    <row r="11" spans="1:29" x14ac:dyDescent="0.85">
      <c r="A11" t="s">
        <v>37</v>
      </c>
      <c r="B11" s="7">
        <v>0</v>
      </c>
      <c r="C11" s="7">
        <v>6015.6931828899997</v>
      </c>
      <c r="D11" s="7">
        <v>12463.69088235</v>
      </c>
      <c r="E11" s="7">
        <v>19349.31404542</v>
      </c>
      <c r="F11" s="7">
        <v>26676.672040099998</v>
      </c>
      <c r="G11" s="7">
        <v>34452.224582559997</v>
      </c>
      <c r="H11" s="7">
        <v>42662.761267939997</v>
      </c>
      <c r="I11" s="7">
        <v>50740.9621845</v>
      </c>
      <c r="J11" s="7">
        <v>58342.45239174</v>
      </c>
      <c r="K11" s="7">
        <v>65656.495745149994</v>
      </c>
      <c r="L11" s="7">
        <v>72864.647843819999</v>
      </c>
      <c r="M11" s="7">
        <v>79731.281459720005</v>
      </c>
      <c r="N11" s="7">
        <v>85950.388022250001</v>
      </c>
      <c r="O11" s="7">
        <v>91659.313993629999</v>
      </c>
      <c r="P11" s="7">
        <v>99150.533935650004</v>
      </c>
      <c r="Q11" s="7">
        <v>99678.08410747</v>
      </c>
      <c r="R11" s="7">
        <v>98921.113280339996</v>
      </c>
      <c r="S11" s="7">
        <v>96784.969727090007</v>
      </c>
      <c r="T11" s="7">
        <v>93175.827062230004</v>
      </c>
      <c r="U11" s="7">
        <v>88110.264433169999</v>
      </c>
      <c r="V11" s="7">
        <v>81746.989334059996</v>
      </c>
      <c r="W11" s="7">
        <v>74402.87872814</v>
      </c>
      <c r="X11" s="7">
        <v>66466.657735429995</v>
      </c>
      <c r="Y11" s="7">
        <v>58483.224465599997</v>
      </c>
      <c r="Z11" s="7">
        <v>51903.042572550003</v>
      </c>
      <c r="AA11" s="7">
        <v>45598.6864928</v>
      </c>
      <c r="AB11" s="7">
        <v>39945.337667170003</v>
      </c>
      <c r="AC11" s="7">
        <v>36948.630630849999</v>
      </c>
    </row>
    <row r="12" spans="1:29" x14ac:dyDescent="0.85">
      <c r="A12" t="s">
        <v>111</v>
      </c>
      <c r="B12" s="7">
        <v>107843.71058868</v>
      </c>
      <c r="C12" s="7">
        <v>107227.92131863</v>
      </c>
      <c r="D12" s="7">
        <v>106676.20511234</v>
      </c>
      <c r="E12" s="7">
        <v>106178.7167343</v>
      </c>
      <c r="F12" s="7">
        <v>105744.91613601999</v>
      </c>
      <c r="G12" s="7">
        <v>105394.33981196</v>
      </c>
      <c r="H12" s="7">
        <v>105118.2318732</v>
      </c>
      <c r="I12" s="7">
        <v>105443.88429838</v>
      </c>
      <c r="J12" s="7">
        <v>106546.39206563</v>
      </c>
      <c r="K12" s="7">
        <v>108037.87870864</v>
      </c>
      <c r="L12" s="7">
        <v>109689.25968557999</v>
      </c>
      <c r="M12" s="7">
        <v>111670.66434007999</v>
      </c>
      <c r="N12" s="7">
        <v>114379.56950480001</v>
      </c>
      <c r="O12" s="7">
        <v>117476.30560789999</v>
      </c>
      <c r="P12" s="7">
        <v>119537.11637154</v>
      </c>
      <c r="Q12" s="7">
        <v>128729.03722179</v>
      </c>
      <c r="R12" s="7">
        <v>138354.92653239</v>
      </c>
      <c r="S12" s="7">
        <v>148429.45466048</v>
      </c>
      <c r="T12" s="7">
        <v>158820.75813805999</v>
      </c>
      <c r="U12" s="7">
        <v>169843.92026119999</v>
      </c>
      <c r="V12" s="7">
        <v>181432.26957087</v>
      </c>
      <c r="W12" s="7">
        <v>193716.79298182001</v>
      </c>
      <c r="X12" s="7">
        <v>206743.81142797999</v>
      </c>
      <c r="Y12" s="7">
        <v>220383.95323340001</v>
      </c>
      <c r="Z12" s="7">
        <v>233353.98000133</v>
      </c>
      <c r="AA12" s="7">
        <v>246797.33521749001</v>
      </c>
      <c r="AB12" s="7">
        <v>260309.78686835</v>
      </c>
      <c r="AC12" s="7">
        <v>270857.12060392997</v>
      </c>
    </row>
    <row r="13" spans="1:29" x14ac:dyDescent="0.85">
      <c r="A13" t="s">
        <v>112</v>
      </c>
      <c r="B13" s="7">
        <v>107843.71058868</v>
      </c>
      <c r="C13" s="7">
        <v>113243.61450152</v>
      </c>
      <c r="D13" s="7">
        <v>119139.89599469</v>
      </c>
      <c r="E13" s="7">
        <v>125528.03077971999</v>
      </c>
      <c r="F13" s="7">
        <v>132421.58817612001</v>
      </c>
      <c r="G13" s="7">
        <v>139846.56439452001</v>
      </c>
      <c r="H13" s="7">
        <v>147780.99314114</v>
      </c>
      <c r="I13" s="7">
        <v>156184.84648288001</v>
      </c>
      <c r="J13" s="7">
        <v>164888.84445737</v>
      </c>
      <c r="K13" s="7">
        <v>173694.37445378999</v>
      </c>
      <c r="L13" s="7">
        <v>182553.90752939999</v>
      </c>
      <c r="M13" s="7">
        <v>191401.94579980001</v>
      </c>
      <c r="N13" s="7">
        <v>200329.95752704001</v>
      </c>
      <c r="O13" s="7">
        <v>209135.61960152999</v>
      </c>
      <c r="P13" s="7">
        <v>218687.65030718999</v>
      </c>
      <c r="Q13" s="7">
        <v>228407.12132926</v>
      </c>
      <c r="R13" s="7">
        <v>237276.03981272</v>
      </c>
      <c r="S13" s="7">
        <v>245214.42438757</v>
      </c>
      <c r="T13" s="7">
        <v>251996.5852003</v>
      </c>
      <c r="U13" s="7">
        <v>257954.18469436999</v>
      </c>
      <c r="V13" s="7">
        <v>263179.25890492997</v>
      </c>
      <c r="W13" s="7">
        <v>268119.67170995998</v>
      </c>
      <c r="X13" s="7">
        <v>273210.46916341002</v>
      </c>
      <c r="Y13" s="7">
        <v>278867.17769899999</v>
      </c>
      <c r="Z13" s="7">
        <v>285257.02257387998</v>
      </c>
      <c r="AA13" s="7">
        <v>292396.02171028999</v>
      </c>
      <c r="AB13" s="7">
        <v>300255.12453551998</v>
      </c>
      <c r="AC13" s="7">
        <v>307805.75123478001</v>
      </c>
    </row>
    <row r="14" spans="1:29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</row>
    <row r="15" spans="1:29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</row>
    <row r="16" spans="1:29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</row>
    <row r="17" spans="1:29" x14ac:dyDescent="0.85">
      <c r="A17" t="s">
        <v>115</v>
      </c>
      <c r="B17" s="7">
        <v>4931</v>
      </c>
      <c r="C17" s="7">
        <v>4766.6333333299999</v>
      </c>
      <c r="D17" s="7">
        <v>4607.74555556</v>
      </c>
      <c r="E17" s="7">
        <v>4454.1540370399998</v>
      </c>
      <c r="F17" s="7">
        <v>4345.9245143500002</v>
      </c>
      <c r="G17" s="7">
        <v>4229.6120635699999</v>
      </c>
      <c r="H17" s="7">
        <v>4412.7767823100003</v>
      </c>
      <c r="I17" s="7">
        <v>4839.96955368</v>
      </c>
      <c r="J17" s="7">
        <v>4678.6372890100001</v>
      </c>
      <c r="K17" s="7">
        <v>4522.6827391999996</v>
      </c>
      <c r="L17" s="7">
        <v>4377.2373972699997</v>
      </c>
      <c r="M17" s="7">
        <v>4813.5482666099997</v>
      </c>
      <c r="N17" s="7">
        <v>8815.2168408800007</v>
      </c>
      <c r="O17" s="7">
        <v>13031.096073889999</v>
      </c>
      <c r="P17" s="7">
        <v>17478.297467389999</v>
      </c>
      <c r="Q17" s="7">
        <v>22078.062263110001</v>
      </c>
      <c r="R17" s="7">
        <v>26870.45121952</v>
      </c>
      <c r="S17" s="7">
        <v>31862.990877569999</v>
      </c>
      <c r="T17" s="7">
        <v>37063.457546810001</v>
      </c>
      <c r="U17" s="7">
        <v>42466.46518454</v>
      </c>
      <c r="V17" s="7">
        <v>48094.65294421</v>
      </c>
      <c r="W17" s="7">
        <v>53958.235658730002</v>
      </c>
      <c r="X17" s="7">
        <v>60073.663993310001</v>
      </c>
      <c r="Y17" s="7">
        <v>65448.652637840001</v>
      </c>
      <c r="Z17" s="7">
        <v>63267.030989239996</v>
      </c>
      <c r="AA17" s="7">
        <v>61180.095656539997</v>
      </c>
      <c r="AB17" s="7">
        <v>59869.239855059997</v>
      </c>
      <c r="AC17" s="7">
        <v>57873.598979260001</v>
      </c>
    </row>
    <row r="18" spans="1:29" x14ac:dyDescent="0.85">
      <c r="A18" t="s">
        <v>116</v>
      </c>
      <c r="B18" s="7">
        <v>6301391.75</v>
      </c>
      <c r="C18" s="7">
        <v>6091345.1945913304</v>
      </c>
      <c r="D18" s="7">
        <v>5888300.2995847799</v>
      </c>
      <c r="E18" s="7">
        <v>5692023.6101152804</v>
      </c>
      <c r="F18" s="7">
        <v>5553715.6411203304</v>
      </c>
      <c r="G18" s="7">
        <v>5405078.3891393002</v>
      </c>
      <c r="H18" s="7">
        <v>5639147.0573822102</v>
      </c>
      <c r="I18" s="7">
        <v>6185062.4703873601</v>
      </c>
      <c r="J18" s="7">
        <v>5978893.7901006797</v>
      </c>
      <c r="K18" s="7">
        <v>5779597.3642808497</v>
      </c>
      <c r="L18" s="7">
        <v>5593730.7971804896</v>
      </c>
      <c r="M18" s="7">
        <v>6151298.3507409804</v>
      </c>
      <c r="N18" s="7">
        <v>11265084.675860099</v>
      </c>
      <c r="O18" s="7">
        <v>16652613.695327699</v>
      </c>
      <c r="P18" s="7">
        <v>22335752.428348601</v>
      </c>
      <c r="Q18" s="7">
        <v>28213853.993879698</v>
      </c>
      <c r="R18" s="7">
        <v>34338112.576295502</v>
      </c>
      <c r="S18" s="7">
        <v>40718146.443957299</v>
      </c>
      <c r="T18" s="7">
        <v>47356691.880691402</v>
      </c>
      <c r="U18" s="7">
        <v>54153045.679415599</v>
      </c>
      <c r="V18" s="7">
        <v>60818107.213638403</v>
      </c>
      <c r="W18" s="7">
        <v>66943059.248559803</v>
      </c>
      <c r="X18" s="7">
        <v>72079542.167657301</v>
      </c>
      <c r="Y18" s="7">
        <v>74781883.328229696</v>
      </c>
      <c r="Z18" s="7">
        <v>68185838.668674096</v>
      </c>
      <c r="AA18" s="7">
        <v>61313110.169733502</v>
      </c>
      <c r="AB18" s="7">
        <v>55339551.652020499</v>
      </c>
      <c r="AC18" s="7">
        <v>50940839.440674402</v>
      </c>
    </row>
    <row r="19" spans="1:29" x14ac:dyDescent="0.85">
      <c r="A19" t="s">
        <v>117</v>
      </c>
      <c r="B19" s="7">
        <v>6301391.75</v>
      </c>
      <c r="C19" s="7">
        <v>6091345.1945913304</v>
      </c>
      <c r="D19" s="7">
        <v>5888300.2995847799</v>
      </c>
      <c r="E19" s="7">
        <v>5692023.6101152804</v>
      </c>
      <c r="F19" s="7">
        <v>5553715.6411203304</v>
      </c>
      <c r="G19" s="7">
        <v>5405078.3891393002</v>
      </c>
      <c r="H19" s="7">
        <v>5639147.0573822102</v>
      </c>
      <c r="I19" s="7">
        <v>6185062.4703873601</v>
      </c>
      <c r="J19" s="7">
        <v>5978893.7901006797</v>
      </c>
      <c r="K19" s="7">
        <v>5779597.3642808497</v>
      </c>
      <c r="L19" s="7">
        <v>5593730.7971804896</v>
      </c>
      <c r="M19" s="7">
        <v>6151298.3507409804</v>
      </c>
      <c r="N19" s="7">
        <v>11265084.675860099</v>
      </c>
      <c r="O19" s="7">
        <v>16652613.695327699</v>
      </c>
      <c r="P19" s="7">
        <v>22335752.428348601</v>
      </c>
      <c r="Q19" s="7">
        <v>28213853.993879698</v>
      </c>
      <c r="R19" s="7">
        <v>34338112.576295502</v>
      </c>
      <c r="S19" s="7">
        <v>40718146.443957299</v>
      </c>
      <c r="T19" s="7">
        <v>47363893.047870502</v>
      </c>
      <c r="U19" s="7">
        <v>54268469.491313003</v>
      </c>
      <c r="V19" s="7">
        <v>61460806.6542821</v>
      </c>
      <c r="W19" s="7">
        <v>68953958.209757999</v>
      </c>
      <c r="X19" s="7">
        <v>76768946.684998393</v>
      </c>
      <c r="Y19" s="7">
        <v>83637717.278551593</v>
      </c>
      <c r="Z19" s="7">
        <v>80849793.504722506</v>
      </c>
      <c r="AA19" s="7">
        <v>78182870.652986407</v>
      </c>
      <c r="AB19" s="7">
        <v>76507710.317384705</v>
      </c>
      <c r="AC19" s="7">
        <v>73957453.885318398</v>
      </c>
    </row>
    <row r="20" spans="1:29" x14ac:dyDescent="0.85">
      <c r="A20" t="s">
        <v>118</v>
      </c>
      <c r="B20" s="7">
        <v>1006.70237121</v>
      </c>
      <c r="C20" s="7">
        <v>973.14562550000005</v>
      </c>
      <c r="D20" s="7">
        <v>940.70743798000001</v>
      </c>
      <c r="E20" s="7">
        <v>909.35052339000003</v>
      </c>
      <c r="F20" s="7">
        <v>887.25461643999995</v>
      </c>
      <c r="G20" s="7">
        <v>863.50851625999996</v>
      </c>
      <c r="H20" s="7">
        <v>900.90303190999998</v>
      </c>
      <c r="I20" s="7">
        <v>988.11779077000006</v>
      </c>
      <c r="J20" s="7">
        <v>955.18054204999999</v>
      </c>
      <c r="K20" s="7">
        <v>923.34119606000002</v>
      </c>
      <c r="L20" s="7">
        <v>893.64738738000005</v>
      </c>
      <c r="M20" s="7">
        <v>982.72367753000003</v>
      </c>
      <c r="N20" s="7">
        <v>1799.6957405000001</v>
      </c>
      <c r="O20" s="7">
        <v>2660.40059157</v>
      </c>
      <c r="P20" s="7">
        <v>3568.3316781799999</v>
      </c>
      <c r="Q20" s="7">
        <v>4507.4097813799999</v>
      </c>
      <c r="R20" s="7">
        <v>5485.8136195799998</v>
      </c>
      <c r="S20" s="7">
        <v>6505.0797952200001</v>
      </c>
      <c r="T20" s="7">
        <v>7566.7959029699996</v>
      </c>
      <c r="U20" s="7">
        <v>8669.8623399200005</v>
      </c>
      <c r="V20" s="7">
        <v>9818.9010670000007</v>
      </c>
      <c r="W20" s="7">
        <v>11015.99752259</v>
      </c>
      <c r="X20" s="7">
        <v>12264.51023915</v>
      </c>
      <c r="Y20" s="7">
        <v>13361.85637861</v>
      </c>
      <c r="Z20" s="7">
        <v>12916.46118763</v>
      </c>
      <c r="AA20" s="7">
        <v>12490.396951569999</v>
      </c>
      <c r="AB20" s="7">
        <v>12222.775446060001</v>
      </c>
      <c r="AC20" s="7">
        <v>11815.34969028</v>
      </c>
    </row>
    <row r="21" spans="1:29" x14ac:dyDescent="0.85">
      <c r="A21" t="s">
        <v>119</v>
      </c>
      <c r="B21" s="7">
        <v>0</v>
      </c>
      <c r="C21" s="7">
        <v>0.60913452000000001</v>
      </c>
      <c r="D21" s="7">
        <v>1.17766006</v>
      </c>
      <c r="E21" s="7">
        <v>1.7076070800000001</v>
      </c>
      <c r="F21" s="7">
        <v>2.2214862599999998</v>
      </c>
      <c r="G21" s="7">
        <v>2.70253919</v>
      </c>
      <c r="H21" s="7">
        <v>3.3834882300000002</v>
      </c>
      <c r="I21" s="7">
        <v>4.3295437300000001</v>
      </c>
      <c r="J21" s="7">
        <v>4.7831150300000003</v>
      </c>
      <c r="K21" s="7">
        <v>5.2016376299999996</v>
      </c>
      <c r="L21" s="7">
        <v>5.5937308000000003</v>
      </c>
      <c r="M21" s="7">
        <v>6.7664281900000001</v>
      </c>
      <c r="N21" s="7">
        <v>13.51810161</v>
      </c>
      <c r="O21" s="7">
        <v>21.648397800000001</v>
      </c>
      <c r="P21" s="7">
        <v>31.270053399999998</v>
      </c>
      <c r="Q21" s="7">
        <v>42.320780990000003</v>
      </c>
      <c r="R21" s="7">
        <v>54.940980119999999</v>
      </c>
      <c r="S21" s="7">
        <v>69.220848950000004</v>
      </c>
      <c r="T21" s="7">
        <v>85.255007489999997</v>
      </c>
      <c r="U21" s="7">
        <v>103.11009203</v>
      </c>
      <c r="V21" s="7">
        <v>122.92161331</v>
      </c>
      <c r="W21" s="7">
        <v>144.80331224</v>
      </c>
      <c r="X21" s="7">
        <v>168.89168271</v>
      </c>
      <c r="Y21" s="7">
        <v>192.36674973999999</v>
      </c>
      <c r="Z21" s="7">
        <v>194.03950441000001</v>
      </c>
      <c r="AA21" s="7">
        <v>195.45717662999999</v>
      </c>
      <c r="AB21" s="7">
        <v>198.92004682999999</v>
      </c>
      <c r="AC21" s="7">
        <v>199.68512548999999</v>
      </c>
    </row>
    <row r="22" spans="1:29" x14ac:dyDescent="0.85">
      <c r="A22" t="s">
        <v>120</v>
      </c>
      <c r="B22" s="7">
        <v>3.1506960000000001E-2</v>
      </c>
      <c r="C22" s="7">
        <v>3.0456730000000001E-2</v>
      </c>
      <c r="D22" s="7">
        <v>2.9441499999999999E-2</v>
      </c>
      <c r="E22" s="7">
        <v>2.8460119999999998E-2</v>
      </c>
      <c r="F22" s="7">
        <v>2.7768580000000001E-2</v>
      </c>
      <c r="G22" s="7">
        <v>2.702539E-2</v>
      </c>
      <c r="H22" s="7">
        <v>2.819574E-2</v>
      </c>
      <c r="I22" s="7">
        <v>3.0925310000000001E-2</v>
      </c>
      <c r="J22" s="7">
        <v>2.9894469999999999E-2</v>
      </c>
      <c r="K22" s="7">
        <v>2.8897989999999998E-2</v>
      </c>
      <c r="L22" s="7">
        <v>2.7968650000000001E-2</v>
      </c>
      <c r="M22" s="7">
        <v>3.0756490000000001E-2</v>
      </c>
      <c r="N22" s="7">
        <v>5.6325420000000001E-2</v>
      </c>
      <c r="O22" s="7">
        <v>8.3263069999999995E-2</v>
      </c>
      <c r="P22" s="7">
        <v>0.11167876</v>
      </c>
      <c r="Q22" s="7">
        <v>0.14106927</v>
      </c>
      <c r="R22" s="7">
        <v>0.17169055999999999</v>
      </c>
      <c r="S22" s="7">
        <v>0.20359073</v>
      </c>
      <c r="T22" s="7">
        <v>0.23681947</v>
      </c>
      <c r="U22" s="7">
        <v>0.27134235000000001</v>
      </c>
      <c r="V22" s="7">
        <v>0.30730403000000001</v>
      </c>
      <c r="W22" s="7">
        <v>0.34476979000000002</v>
      </c>
      <c r="X22" s="7">
        <v>0.38384473000000002</v>
      </c>
      <c r="Y22" s="7">
        <v>0.41818859000000003</v>
      </c>
      <c r="Z22" s="7">
        <v>0.40424896999999999</v>
      </c>
      <c r="AA22" s="7">
        <v>0.39091435000000002</v>
      </c>
      <c r="AB22" s="7">
        <v>0.38253854999999998</v>
      </c>
      <c r="AC22" s="7">
        <v>0.36978727</v>
      </c>
    </row>
    <row r="23" spans="1:29" x14ac:dyDescent="0.85">
      <c r="A23" t="s">
        <v>121</v>
      </c>
      <c r="B23" s="7">
        <v>1006.70237121</v>
      </c>
      <c r="C23" s="7">
        <v>973.14562550000005</v>
      </c>
      <c r="D23" s="7">
        <v>940.70743798000001</v>
      </c>
      <c r="E23" s="7">
        <v>909.35052339000003</v>
      </c>
      <c r="F23" s="7">
        <v>887.25461643999995</v>
      </c>
      <c r="G23" s="7">
        <v>863.50851625999996</v>
      </c>
      <c r="H23" s="7">
        <v>900.90303190999998</v>
      </c>
      <c r="I23" s="7">
        <v>988.11779077000006</v>
      </c>
      <c r="J23" s="7">
        <v>955.18054204999999</v>
      </c>
      <c r="K23" s="7">
        <v>923.34119606000002</v>
      </c>
      <c r="L23" s="7">
        <v>893.64738738000005</v>
      </c>
      <c r="M23" s="7">
        <v>982.72367753000003</v>
      </c>
      <c r="N23" s="7">
        <v>1799.6957405000001</v>
      </c>
      <c r="O23" s="7">
        <v>2660.40059157</v>
      </c>
      <c r="P23" s="7">
        <v>3568.3316781799999</v>
      </c>
      <c r="Q23" s="7">
        <v>4507.4097813799999</v>
      </c>
      <c r="R23" s="7">
        <v>5485.8136195799998</v>
      </c>
      <c r="S23" s="7">
        <v>6505.0797952200001</v>
      </c>
      <c r="T23" s="7">
        <v>7566.7959029699996</v>
      </c>
      <c r="U23" s="7">
        <v>8669.8623399200005</v>
      </c>
      <c r="V23" s="7">
        <v>9818.9010670000007</v>
      </c>
      <c r="W23" s="7">
        <v>11015.99752259</v>
      </c>
      <c r="X23" s="7">
        <v>12264.51023915</v>
      </c>
      <c r="Y23" s="7">
        <v>13361.85637861</v>
      </c>
      <c r="Z23" s="7">
        <v>12916.46118763</v>
      </c>
      <c r="AA23" s="7">
        <v>12490.396951569999</v>
      </c>
      <c r="AB23" s="7">
        <v>12222.775446060001</v>
      </c>
      <c r="AC23" s="7">
        <v>11815.34969028</v>
      </c>
    </row>
    <row r="24" spans="1:29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</row>
    <row r="25" spans="1:29" x14ac:dyDescent="0.85">
      <c r="A25" t="s">
        <v>123</v>
      </c>
      <c r="B25" s="7">
        <v>1</v>
      </c>
      <c r="C25" s="7">
        <v>1.03333333</v>
      </c>
      <c r="D25" s="7">
        <v>0.99999996999999996</v>
      </c>
      <c r="E25" s="7">
        <v>0.99999998999999995</v>
      </c>
      <c r="F25" s="7">
        <v>1</v>
      </c>
      <c r="G25" s="7">
        <v>1.0093463199999999</v>
      </c>
      <c r="H25" s="7">
        <v>1.0067963099999999</v>
      </c>
      <c r="I25" s="7">
        <v>1.0792813699999999</v>
      </c>
      <c r="J25" s="7">
        <v>1.13462912</v>
      </c>
      <c r="K25" s="7">
        <v>1.0000000099999999</v>
      </c>
      <c r="L25" s="7">
        <v>1.0000000099999999</v>
      </c>
      <c r="M25" s="7">
        <v>1.00121474</v>
      </c>
      <c r="N25" s="7">
        <v>1.1375971300000001</v>
      </c>
      <c r="O25" s="7">
        <v>1.5292143499999999</v>
      </c>
      <c r="P25" s="7">
        <v>1.38751705</v>
      </c>
      <c r="Q25" s="7">
        <v>1.3067176599999999</v>
      </c>
      <c r="R25" s="7">
        <v>1.2590234300000001</v>
      </c>
      <c r="S25" s="7">
        <v>1.22668003</v>
      </c>
      <c r="T25" s="7">
        <v>1.20331419</v>
      </c>
      <c r="U25" s="7">
        <v>1.18527677</v>
      </c>
      <c r="V25" s="7">
        <v>1.17157537</v>
      </c>
      <c r="W25" s="7">
        <v>1.1605943700000001</v>
      </c>
      <c r="X25" s="7">
        <v>1.15171724</v>
      </c>
      <c r="Y25" s="7">
        <v>1.1443589199999999</v>
      </c>
      <c r="Z25" s="7">
        <v>1.1270413399999999</v>
      </c>
      <c r="AA25" s="7">
        <v>1</v>
      </c>
      <c r="AB25" s="7">
        <v>1.0003591599999999</v>
      </c>
      <c r="AC25" s="7">
        <v>1.0123177400000001</v>
      </c>
    </row>
    <row r="26" spans="1:29" x14ac:dyDescent="0.85">
      <c r="A26" t="s">
        <v>124</v>
      </c>
      <c r="B26" s="7">
        <v>1</v>
      </c>
      <c r="C26" s="7">
        <v>0.99999996999999996</v>
      </c>
      <c r="D26" s="7">
        <v>0.99999998999999995</v>
      </c>
      <c r="E26" s="7">
        <v>1</v>
      </c>
      <c r="F26" s="7">
        <v>1.0093463199999999</v>
      </c>
      <c r="G26" s="7">
        <v>1.0067963099999999</v>
      </c>
      <c r="H26" s="7">
        <v>1.0792813699999999</v>
      </c>
      <c r="I26" s="7">
        <v>1.13462912</v>
      </c>
      <c r="J26" s="7">
        <v>1.0000000099999999</v>
      </c>
      <c r="K26" s="7">
        <v>1.0000000099999999</v>
      </c>
      <c r="L26" s="7">
        <v>1.00121474</v>
      </c>
      <c r="M26" s="7">
        <v>1.1375971300000001</v>
      </c>
      <c r="N26" s="7">
        <v>1.89448393</v>
      </c>
      <c r="O26" s="7">
        <v>1.52922435</v>
      </c>
      <c r="P26" s="7">
        <v>1.3875269800000001</v>
      </c>
      <c r="Q26" s="7">
        <v>1.30672766</v>
      </c>
      <c r="R26" s="7">
        <v>1.2590334299999999</v>
      </c>
      <c r="S26" s="7">
        <v>1.2266900300000001</v>
      </c>
      <c r="T26" s="7">
        <v>1.20332419</v>
      </c>
      <c r="U26" s="7">
        <v>1.18528677</v>
      </c>
      <c r="V26" s="7">
        <v>1.1715853700000001</v>
      </c>
      <c r="W26" s="7">
        <v>1.1606043699999999</v>
      </c>
      <c r="X26" s="7">
        <v>1.15172724</v>
      </c>
      <c r="Y26" s="7">
        <v>1.1270413399999999</v>
      </c>
      <c r="Z26" s="7">
        <v>1</v>
      </c>
      <c r="AA26" s="7">
        <v>1.0003591599999999</v>
      </c>
      <c r="AB26" s="7">
        <v>1.0123177400000001</v>
      </c>
      <c r="AC26" s="7">
        <v>1.0000000099999999</v>
      </c>
    </row>
    <row r="27" spans="1:29" x14ac:dyDescent="0.85">
      <c r="A27" t="s">
        <v>125</v>
      </c>
      <c r="B27" s="7">
        <v>1</v>
      </c>
      <c r="C27" s="7">
        <v>1.6624698</v>
      </c>
      <c r="D27" s="7">
        <v>1.6914049099999999</v>
      </c>
      <c r="E27" s="7">
        <v>1.7221931399999999</v>
      </c>
      <c r="F27" s="7">
        <v>1.7545818</v>
      </c>
      <c r="G27" s="7">
        <v>1.78176164</v>
      </c>
      <c r="H27" s="7">
        <v>1.8127744400000001</v>
      </c>
      <c r="I27" s="7">
        <v>1.7903117099999999</v>
      </c>
      <c r="J27" s="7">
        <v>1.7411590699999999</v>
      </c>
      <c r="K27" s="7">
        <v>1.7981722899999999</v>
      </c>
      <c r="L27" s="7">
        <v>1.8641014199999999</v>
      </c>
      <c r="M27" s="7">
        <v>1.93464883</v>
      </c>
      <c r="N27" s="7">
        <v>1.89448572</v>
      </c>
      <c r="O27" s="7">
        <v>1.52922435</v>
      </c>
      <c r="P27" s="7">
        <v>1.3875270500000001</v>
      </c>
      <c r="Q27" s="7">
        <v>1.30672766</v>
      </c>
      <c r="R27" s="7">
        <v>1.2590334299999999</v>
      </c>
      <c r="S27" s="7">
        <v>1.2266900300000001</v>
      </c>
      <c r="T27" s="7">
        <v>1.20332419</v>
      </c>
      <c r="U27" s="7">
        <v>1.18528677</v>
      </c>
      <c r="V27" s="7">
        <v>1.1715853700000001</v>
      </c>
      <c r="W27" s="7">
        <v>1.1606043699999999</v>
      </c>
      <c r="X27" s="7">
        <v>1.15172724</v>
      </c>
      <c r="Y27" s="7">
        <v>1.14436892</v>
      </c>
      <c r="Z27" s="7">
        <v>1.1397111499999999</v>
      </c>
      <c r="AA27" s="7">
        <v>1.1476403399999999</v>
      </c>
      <c r="AB27" s="7">
        <v>1.1560269000000001</v>
      </c>
      <c r="AC27" s="7">
        <v>1.1628742400000001</v>
      </c>
    </row>
    <row r="28" spans="1:29" x14ac:dyDescent="0.85">
      <c r="A28" t="s">
        <v>126</v>
      </c>
      <c r="B28" s="7">
        <v>9891</v>
      </c>
      <c r="C28" s="7">
        <v>9495.36</v>
      </c>
      <c r="D28" s="7">
        <v>9115.5455999999995</v>
      </c>
      <c r="E28" s="7">
        <v>8750.9238498499999</v>
      </c>
      <c r="F28" s="7">
        <v>8400.8868958500007</v>
      </c>
      <c r="G28" s="7">
        <v>8064.8514372600002</v>
      </c>
      <c r="H28" s="7">
        <v>7742.6575085699997</v>
      </c>
      <c r="I28" s="7">
        <v>7432.9515048399999</v>
      </c>
      <c r="J28" s="7">
        <v>10999.660612690001</v>
      </c>
      <c r="K28" s="7">
        <v>15752.11629571</v>
      </c>
      <c r="L28" s="7">
        <v>20647.638337190001</v>
      </c>
      <c r="M28" s="7">
        <v>25695.858861289998</v>
      </c>
      <c r="N28" s="7">
        <v>30920.571382419999</v>
      </c>
      <c r="O28" s="7">
        <v>36419.075985650001</v>
      </c>
      <c r="P28" s="7">
        <v>42214.154430169998</v>
      </c>
      <c r="Q28" s="7">
        <v>48192.7471085</v>
      </c>
      <c r="R28" s="7">
        <v>54410.761627879998</v>
      </c>
      <c r="S28" s="7">
        <v>60877.68761511</v>
      </c>
      <c r="T28" s="7">
        <v>67603.319963250004</v>
      </c>
      <c r="U28" s="7">
        <v>74578.774477350002</v>
      </c>
      <c r="V28" s="7">
        <v>81834.910717969993</v>
      </c>
      <c r="W28" s="7">
        <v>89384.810098260001</v>
      </c>
      <c r="X28" s="7">
        <v>97250.310282029997</v>
      </c>
      <c r="Y28" s="7">
        <v>105449.57896576</v>
      </c>
      <c r="Z28" s="7">
        <v>113975.82342882</v>
      </c>
      <c r="AA28" s="7">
        <v>122560.66536155</v>
      </c>
      <c r="AB28" s="7">
        <v>129228.52781728</v>
      </c>
      <c r="AC28" s="7">
        <v>124059.38670459</v>
      </c>
    </row>
    <row r="29" spans="1:29" x14ac:dyDescent="0.85">
      <c r="A29" t="s">
        <v>127</v>
      </c>
      <c r="B29" s="7">
        <v>27966153.5</v>
      </c>
      <c r="C29" s="7">
        <v>26847507.250431601</v>
      </c>
      <c r="D29" s="7">
        <v>25769997.443210099</v>
      </c>
      <c r="E29" s="7">
        <v>24739197.754248101</v>
      </c>
      <c r="F29" s="7">
        <v>23748593.154826298</v>
      </c>
      <c r="G29" s="7">
        <v>22798649.477378801</v>
      </c>
      <c r="H29" s="7">
        <v>21887834.628380399</v>
      </c>
      <c r="I29" s="7">
        <v>21012322.0817426</v>
      </c>
      <c r="J29" s="7">
        <v>31095105.549016301</v>
      </c>
      <c r="K29" s="7">
        <v>44529893.7924091</v>
      </c>
      <c r="L29" s="7">
        <v>58369118.470100097</v>
      </c>
      <c r="M29" s="7">
        <v>72640008.778347597</v>
      </c>
      <c r="N29" s="7">
        <v>87409826.959874302</v>
      </c>
      <c r="O29" s="7">
        <v>102953632.08435699</v>
      </c>
      <c r="P29" s="7">
        <v>119335826.24854</v>
      </c>
      <c r="Q29" s="7">
        <v>136236799.552479</v>
      </c>
      <c r="R29" s="7">
        <v>153814598.049492</v>
      </c>
      <c r="S29" s="7">
        <v>172096048.10791999</v>
      </c>
      <c r="T29" s="7">
        <v>191079783.02783</v>
      </c>
      <c r="U29" s="7">
        <v>210379445.47529599</v>
      </c>
      <c r="V29" s="7">
        <v>228921196.24870899</v>
      </c>
      <c r="W29" s="7">
        <v>245314277.76592401</v>
      </c>
      <c r="X29" s="7">
        <v>258125067.77620101</v>
      </c>
      <c r="Y29" s="7">
        <v>266533515.223658</v>
      </c>
      <c r="Z29" s="7">
        <v>271731984.09102398</v>
      </c>
      <c r="AA29" s="7">
        <v>271709982.25401998</v>
      </c>
      <c r="AB29" s="7">
        <v>264241835.91097301</v>
      </c>
      <c r="AC29" s="7">
        <v>241560836.91983399</v>
      </c>
    </row>
    <row r="30" spans="1:29" x14ac:dyDescent="0.85">
      <c r="A30" t="s">
        <v>128</v>
      </c>
      <c r="B30" s="7">
        <v>27966153.5</v>
      </c>
      <c r="C30" s="7">
        <v>26847507.250431601</v>
      </c>
      <c r="D30" s="7">
        <v>25769997.443210099</v>
      </c>
      <c r="E30" s="7">
        <v>24739197.754248101</v>
      </c>
      <c r="F30" s="7">
        <v>23748593.154826298</v>
      </c>
      <c r="G30" s="7">
        <v>22798649.477378801</v>
      </c>
      <c r="H30" s="7">
        <v>21887834.628380399</v>
      </c>
      <c r="I30" s="7">
        <v>21012322.0817426</v>
      </c>
      <c r="J30" s="7">
        <v>31095105.549016301</v>
      </c>
      <c r="K30" s="7">
        <v>44529893.7924091</v>
      </c>
      <c r="L30" s="7">
        <v>58369118.470100097</v>
      </c>
      <c r="M30" s="7">
        <v>72640008.778347597</v>
      </c>
      <c r="N30" s="7">
        <v>87409826.959874302</v>
      </c>
      <c r="O30" s="7">
        <v>102953632.08435699</v>
      </c>
      <c r="P30" s="7">
        <v>119335826.24854</v>
      </c>
      <c r="Q30" s="7">
        <v>136236799.552479</v>
      </c>
      <c r="R30" s="7">
        <v>153814598.049492</v>
      </c>
      <c r="S30" s="7">
        <v>172096048.10791999</v>
      </c>
      <c r="T30" s="7">
        <v>191108839.05787501</v>
      </c>
      <c r="U30" s="7">
        <v>210827856.035348</v>
      </c>
      <c r="V30" s="7">
        <v>231340336.394977</v>
      </c>
      <c r="W30" s="7">
        <v>252683260.17969301</v>
      </c>
      <c r="X30" s="7">
        <v>274918360.60890502</v>
      </c>
      <c r="Y30" s="7">
        <v>298096996.21618998</v>
      </c>
      <c r="Z30" s="7">
        <v>322199964.55775797</v>
      </c>
      <c r="AA30" s="7">
        <v>346468582.96511</v>
      </c>
      <c r="AB30" s="7">
        <v>365318063.33982998</v>
      </c>
      <c r="AC30" s="7">
        <v>350705340.80623698</v>
      </c>
    </row>
    <row r="31" spans="1:29" x14ac:dyDescent="0.85">
      <c r="A31" t="s">
        <v>129</v>
      </c>
      <c r="B31" s="7">
        <v>2991.6926720500001</v>
      </c>
      <c r="C31" s="7">
        <v>2872.0249651600002</v>
      </c>
      <c r="D31" s="7">
        <v>2757.1439665600001</v>
      </c>
      <c r="E31" s="7">
        <v>2646.8582302300001</v>
      </c>
      <c r="F31" s="7">
        <v>2540.9839010199998</v>
      </c>
      <c r="G31" s="7">
        <v>2439.3445502</v>
      </c>
      <c r="H31" s="7">
        <v>2341.8917935999998</v>
      </c>
      <c r="I31" s="7">
        <v>2248.2162115800002</v>
      </c>
      <c r="J31" s="7">
        <v>3327.0249772500001</v>
      </c>
      <c r="K31" s="7">
        <v>4764.4819422800001</v>
      </c>
      <c r="L31" s="7">
        <v>6245.2116376900003</v>
      </c>
      <c r="M31" s="7">
        <v>7772.12745498</v>
      </c>
      <c r="N31" s="7">
        <v>9352.4261268099999</v>
      </c>
      <c r="O31" s="7">
        <v>11015.537635119999</v>
      </c>
      <c r="P31" s="7">
        <v>12768.35269086</v>
      </c>
      <c r="Q31" s="7">
        <v>14576.67459006</v>
      </c>
      <c r="R31" s="7">
        <v>16457.413491309999</v>
      </c>
      <c r="S31" s="7">
        <v>18413.439685490001</v>
      </c>
      <c r="T31" s="7">
        <v>20447.71579618</v>
      </c>
      <c r="U31" s="7">
        <v>22557.55465514</v>
      </c>
      <c r="V31" s="7">
        <v>24752.290234799999</v>
      </c>
      <c r="W31" s="7">
        <v>27035.879219810002</v>
      </c>
      <c r="X31" s="7">
        <v>29414.926764219999</v>
      </c>
      <c r="Y31" s="7">
        <v>31894.927981209999</v>
      </c>
      <c r="Z31" s="7">
        <v>34473.828302729999</v>
      </c>
      <c r="AA31" s="7">
        <v>37070.452375200002</v>
      </c>
      <c r="AB31" s="7">
        <v>39087.25504905</v>
      </c>
      <c r="AC31" s="7">
        <v>37523.764847090002</v>
      </c>
    </row>
    <row r="32" spans="1:29" x14ac:dyDescent="0.85">
      <c r="A32" t="s">
        <v>130</v>
      </c>
      <c r="B32" s="7">
        <v>0</v>
      </c>
      <c r="C32" s="7">
        <v>2.1478005800000002</v>
      </c>
      <c r="D32" s="7">
        <v>4.1231995899999996</v>
      </c>
      <c r="E32" s="7">
        <v>5.9374074600000002</v>
      </c>
      <c r="F32" s="7">
        <v>7.5995498100000001</v>
      </c>
      <c r="G32" s="7">
        <v>9.1194597900000005</v>
      </c>
      <c r="H32" s="7">
        <v>10.506160619999999</v>
      </c>
      <c r="I32" s="7">
        <v>11.76690037</v>
      </c>
      <c r="J32" s="7">
        <v>19.900867550000001</v>
      </c>
      <c r="K32" s="7">
        <v>32.061523530000002</v>
      </c>
      <c r="L32" s="7">
        <v>46.695294779999998</v>
      </c>
      <c r="M32" s="7">
        <v>63.923207720000001</v>
      </c>
      <c r="N32" s="7">
        <v>83.913433879999999</v>
      </c>
      <c r="O32" s="7">
        <v>107.07177737000001</v>
      </c>
      <c r="P32" s="7">
        <v>133.65612540000001</v>
      </c>
      <c r="Q32" s="7">
        <v>163.48415946</v>
      </c>
      <c r="R32" s="7">
        <v>196.88268550000001</v>
      </c>
      <c r="S32" s="7">
        <v>234.05062543</v>
      </c>
      <c r="T32" s="7">
        <v>275.19672824000003</v>
      </c>
      <c r="U32" s="7">
        <v>320.45834116999998</v>
      </c>
      <c r="V32" s="7">
        <v>370.14453823000002</v>
      </c>
      <c r="W32" s="7">
        <v>424.50787709999997</v>
      </c>
      <c r="X32" s="7">
        <v>483.85631467000002</v>
      </c>
      <c r="Y32" s="7">
        <v>548.49847304000002</v>
      </c>
      <c r="Z32" s="7">
        <v>618.62393195000004</v>
      </c>
      <c r="AA32" s="7">
        <v>692.93716592999999</v>
      </c>
      <c r="AB32" s="7">
        <v>759.86157175000005</v>
      </c>
      <c r="AC32" s="7">
        <v>757.52353614000003</v>
      </c>
    </row>
    <row r="33" spans="1:29" x14ac:dyDescent="0.85">
      <c r="A33" t="s">
        <v>131</v>
      </c>
      <c r="B33" s="7">
        <v>0.11186461</v>
      </c>
      <c r="C33" s="7">
        <v>0.10739003</v>
      </c>
      <c r="D33" s="7">
        <v>0.10307999</v>
      </c>
      <c r="E33" s="7">
        <v>9.8956790000000003E-2</v>
      </c>
      <c r="F33" s="7">
        <v>9.4994369999999995E-2</v>
      </c>
      <c r="G33" s="7">
        <v>9.1194600000000001E-2</v>
      </c>
      <c r="H33" s="7">
        <v>8.7551340000000005E-2</v>
      </c>
      <c r="I33" s="7">
        <v>8.4049289999999999E-2</v>
      </c>
      <c r="J33" s="7">
        <v>0.12438042000000001</v>
      </c>
      <c r="K33" s="7">
        <v>0.17811958</v>
      </c>
      <c r="L33" s="7">
        <v>0.23347646999999999</v>
      </c>
      <c r="M33" s="7">
        <v>0.29056004000000002</v>
      </c>
      <c r="N33" s="7">
        <v>0.34963930999999998</v>
      </c>
      <c r="O33" s="7">
        <v>0.41181453000000001</v>
      </c>
      <c r="P33" s="7">
        <v>0.47734330000000003</v>
      </c>
      <c r="Q33" s="7">
        <v>0.54494719999999996</v>
      </c>
      <c r="R33" s="7">
        <v>0.61525839000000004</v>
      </c>
      <c r="S33" s="7">
        <v>0.68838418999999995</v>
      </c>
      <c r="T33" s="7">
        <v>0.76443536000000001</v>
      </c>
      <c r="U33" s="7">
        <v>0.84331142000000003</v>
      </c>
      <c r="V33" s="7">
        <v>0.92536134999999997</v>
      </c>
      <c r="W33" s="7">
        <v>1.0107330400000001</v>
      </c>
      <c r="X33" s="7">
        <v>1.0996734399999999</v>
      </c>
      <c r="Y33" s="7">
        <v>1.1923879799999999</v>
      </c>
      <c r="Z33" s="7">
        <v>1.2887998599999999</v>
      </c>
      <c r="AA33" s="7">
        <v>1.38587433</v>
      </c>
      <c r="AB33" s="7">
        <v>1.4612722499999999</v>
      </c>
      <c r="AC33" s="7">
        <v>1.4028213599999999</v>
      </c>
    </row>
    <row r="34" spans="1:29" x14ac:dyDescent="0.85">
      <c r="A34" t="s">
        <v>132</v>
      </c>
      <c r="B34" s="7">
        <v>2991.6926720500001</v>
      </c>
      <c r="C34" s="7">
        <v>2872.0249651600002</v>
      </c>
      <c r="D34" s="7">
        <v>2757.1439665600001</v>
      </c>
      <c r="E34" s="7">
        <v>2646.8582302300001</v>
      </c>
      <c r="F34" s="7">
        <v>2540.9839010199998</v>
      </c>
      <c r="G34" s="7">
        <v>2439.3445502</v>
      </c>
      <c r="H34" s="7">
        <v>2341.8917935999998</v>
      </c>
      <c r="I34" s="7">
        <v>2248.2162115800002</v>
      </c>
      <c r="J34" s="7">
        <v>3327.0249772500001</v>
      </c>
      <c r="K34" s="7">
        <v>4764.4819422800001</v>
      </c>
      <c r="L34" s="7">
        <v>6245.2116376900003</v>
      </c>
      <c r="M34" s="7">
        <v>7772.12745498</v>
      </c>
      <c r="N34" s="7">
        <v>9352.4261268099999</v>
      </c>
      <c r="O34" s="7">
        <v>11015.537635119999</v>
      </c>
      <c r="P34" s="7">
        <v>12768.35269086</v>
      </c>
      <c r="Q34" s="7">
        <v>14576.67459006</v>
      </c>
      <c r="R34" s="7">
        <v>16457.413491309999</v>
      </c>
      <c r="S34" s="7">
        <v>18413.439685490001</v>
      </c>
      <c r="T34" s="7">
        <v>20447.71579618</v>
      </c>
      <c r="U34" s="7">
        <v>22557.55465514</v>
      </c>
      <c r="V34" s="7">
        <v>24752.290234799999</v>
      </c>
      <c r="W34" s="7">
        <v>27035.879219810002</v>
      </c>
      <c r="X34" s="7">
        <v>29414.926764219999</v>
      </c>
      <c r="Y34" s="7">
        <v>31894.927981209999</v>
      </c>
      <c r="Z34" s="7">
        <v>34473.828302729999</v>
      </c>
      <c r="AA34" s="7">
        <v>37070.452375200002</v>
      </c>
      <c r="AB34" s="7">
        <v>39087.25504905</v>
      </c>
      <c r="AC34" s="7">
        <v>37523.764847090002</v>
      </c>
    </row>
    <row r="35" spans="1:29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</row>
    <row r="36" spans="1:29" x14ac:dyDescent="0.85">
      <c r="A36" t="s">
        <v>134</v>
      </c>
      <c r="B36" s="7">
        <v>1</v>
      </c>
      <c r="C36" s="7">
        <v>1.04</v>
      </c>
      <c r="D36" s="7">
        <v>1</v>
      </c>
      <c r="E36" s="7">
        <v>0.99985995000000005</v>
      </c>
      <c r="F36" s="7">
        <v>1.0000000099999999</v>
      </c>
      <c r="G36" s="7">
        <v>0.99995635000000005</v>
      </c>
      <c r="H36" s="7">
        <v>1</v>
      </c>
      <c r="I36" s="7">
        <v>1.0000516800000001</v>
      </c>
      <c r="J36" s="7">
        <v>1.00000004</v>
      </c>
      <c r="K36" s="7">
        <v>1.4917137</v>
      </c>
      <c r="L36" s="7">
        <v>1.36539108</v>
      </c>
      <c r="M36" s="7">
        <v>1.2963377599999999</v>
      </c>
      <c r="N36" s="7">
        <v>1.2534576799999999</v>
      </c>
      <c r="O36" s="7">
        <v>1.22689286</v>
      </c>
      <c r="P36" s="7">
        <v>1.20740881</v>
      </c>
      <c r="Q36" s="7">
        <v>1.1891830299999999</v>
      </c>
      <c r="R36" s="7">
        <v>1.1760565300000001</v>
      </c>
      <c r="S36" s="7">
        <v>1.1654627099999999</v>
      </c>
      <c r="T36" s="7">
        <v>1.1567377000000001</v>
      </c>
      <c r="U36" s="7">
        <v>1.1491380499999999</v>
      </c>
      <c r="V36" s="7">
        <v>1.14300555</v>
      </c>
      <c r="W36" s="7">
        <v>1.1377584199999999</v>
      </c>
      <c r="X36" s="7">
        <v>1.1333191</v>
      </c>
      <c r="Y36" s="7">
        <v>1.1294805999999999</v>
      </c>
      <c r="Z36" s="7">
        <v>1.1258817999999999</v>
      </c>
      <c r="AA36" s="7">
        <v>1.12096748</v>
      </c>
      <c r="AB36" s="7">
        <v>1.1167633299999999</v>
      </c>
      <c r="AC36" s="7">
        <v>1.09833811</v>
      </c>
    </row>
    <row r="37" spans="1:29" x14ac:dyDescent="0.85">
      <c r="A37" t="s">
        <v>135</v>
      </c>
      <c r="B37" s="7">
        <v>1</v>
      </c>
      <c r="C37" s="7">
        <v>1</v>
      </c>
      <c r="D37" s="7">
        <v>0.99985995000000005</v>
      </c>
      <c r="E37" s="7">
        <v>1.0000000099999999</v>
      </c>
      <c r="F37" s="7">
        <v>0.99995635000000005</v>
      </c>
      <c r="G37" s="7">
        <v>1</v>
      </c>
      <c r="H37" s="7">
        <v>1.0000516800000001</v>
      </c>
      <c r="I37" s="7">
        <v>1.00000004</v>
      </c>
      <c r="J37" s="7">
        <v>1.5415114400000001</v>
      </c>
      <c r="K37" s="7">
        <v>1.4917237000000001</v>
      </c>
      <c r="L37" s="7">
        <v>1.36540108</v>
      </c>
      <c r="M37" s="7">
        <v>1.29634776</v>
      </c>
      <c r="N37" s="7">
        <v>1.25346768</v>
      </c>
      <c r="O37" s="7">
        <v>1.22690286</v>
      </c>
      <c r="P37" s="7">
        <v>1.2074188100000001</v>
      </c>
      <c r="Q37" s="7">
        <v>1.18919303</v>
      </c>
      <c r="R37" s="7">
        <v>1.1760665299999999</v>
      </c>
      <c r="S37" s="7">
        <v>1.16547271</v>
      </c>
      <c r="T37" s="7">
        <v>1.1567476999999999</v>
      </c>
      <c r="U37" s="7">
        <v>1.14914805</v>
      </c>
      <c r="V37" s="7">
        <v>1.1430155500000001</v>
      </c>
      <c r="W37" s="7">
        <v>1.13776842</v>
      </c>
      <c r="X37" s="7">
        <v>1.1333291000000001</v>
      </c>
      <c r="Y37" s="7">
        <v>1.1294906</v>
      </c>
      <c r="Z37" s="7">
        <v>1.1258918</v>
      </c>
      <c r="AA37" s="7">
        <v>1.1201266700000001</v>
      </c>
      <c r="AB37" s="7">
        <v>1.09833811</v>
      </c>
      <c r="AC37" s="7">
        <v>1</v>
      </c>
    </row>
    <row r="38" spans="1:29" x14ac:dyDescent="0.85">
      <c r="A38" t="s">
        <v>136</v>
      </c>
      <c r="B38" s="7">
        <v>1</v>
      </c>
      <c r="C38" s="7">
        <v>1.4764774899999999</v>
      </c>
      <c r="D38" s="7">
        <v>1.5003487499999999</v>
      </c>
      <c r="E38" s="7">
        <v>1.52586456</v>
      </c>
      <c r="F38" s="7">
        <v>1.5528725400000001</v>
      </c>
      <c r="G38" s="7">
        <v>1.5816270100000001</v>
      </c>
      <c r="H38" s="7">
        <v>1.6125508900000001</v>
      </c>
      <c r="I38" s="7">
        <v>1.6456915000000001</v>
      </c>
      <c r="J38" s="7">
        <v>1.68924363</v>
      </c>
      <c r="K38" s="7">
        <v>1.4917237000000001</v>
      </c>
      <c r="L38" s="7">
        <v>1.36540108</v>
      </c>
      <c r="M38" s="7">
        <v>1.29634776</v>
      </c>
      <c r="N38" s="7">
        <v>1.25346768</v>
      </c>
      <c r="O38" s="7">
        <v>1.22690286</v>
      </c>
      <c r="P38" s="7">
        <v>1.2074188100000001</v>
      </c>
      <c r="Q38" s="7">
        <v>1.18919303</v>
      </c>
      <c r="R38" s="7">
        <v>1.1760665299999999</v>
      </c>
      <c r="S38" s="7">
        <v>1.16547271</v>
      </c>
      <c r="T38" s="7">
        <v>1.1567476999999999</v>
      </c>
      <c r="U38" s="7">
        <v>1.14914805</v>
      </c>
      <c r="V38" s="7">
        <v>1.1430155500000001</v>
      </c>
      <c r="W38" s="7">
        <v>1.13776842</v>
      </c>
      <c r="X38" s="7">
        <v>1.1333291000000001</v>
      </c>
      <c r="Y38" s="7">
        <v>1.1294906</v>
      </c>
      <c r="Z38" s="7">
        <v>1.1258918</v>
      </c>
      <c r="AA38" s="7">
        <v>1.1209774800000001</v>
      </c>
      <c r="AB38" s="7">
        <v>1.11677333</v>
      </c>
      <c r="AC38" s="7">
        <v>1.1143346199999999</v>
      </c>
    </row>
    <row r="39" spans="1:29" x14ac:dyDescent="0.85">
      <c r="A39" t="s">
        <v>137</v>
      </c>
      <c r="B39" s="7">
        <v>46004</v>
      </c>
      <c r="C39" s="7">
        <v>44853.9</v>
      </c>
      <c r="D39" s="7">
        <v>43732.552509660003</v>
      </c>
      <c r="E39" s="7">
        <v>42639.238696920002</v>
      </c>
      <c r="F39" s="7">
        <v>41573.257729489997</v>
      </c>
      <c r="G39" s="7">
        <v>40533.926286250004</v>
      </c>
      <c r="H39" s="7">
        <v>39520.578129100002</v>
      </c>
      <c r="I39" s="7">
        <v>38623.372130960001</v>
      </c>
      <c r="J39" s="7">
        <v>37657.787827679997</v>
      </c>
      <c r="K39" s="7">
        <v>36716.343376260003</v>
      </c>
      <c r="L39" s="7">
        <v>35800.734231009999</v>
      </c>
      <c r="M39" s="7">
        <v>34905.715875230002</v>
      </c>
      <c r="N39" s="7">
        <v>34033.072978349999</v>
      </c>
      <c r="O39" s="7">
        <v>33255.822975349998</v>
      </c>
      <c r="P39" s="7">
        <v>32425.59118408</v>
      </c>
      <c r="Q39" s="7">
        <v>39848.628319869997</v>
      </c>
      <c r="R39" s="7">
        <v>47634.848871939997</v>
      </c>
      <c r="S39" s="7">
        <v>55797.612203149998</v>
      </c>
      <c r="T39" s="7">
        <v>64351.44727982</v>
      </c>
      <c r="U39" s="7">
        <v>73290.319266830003</v>
      </c>
      <c r="V39" s="7">
        <v>82652.086115790007</v>
      </c>
      <c r="W39" s="7">
        <v>92455.39833122</v>
      </c>
      <c r="X39" s="7">
        <v>102728.81369485</v>
      </c>
      <c r="Y39" s="7">
        <v>113497.16757938</v>
      </c>
      <c r="Z39" s="7">
        <v>124756.74420241</v>
      </c>
      <c r="AA39" s="7">
        <v>136320.35927846999</v>
      </c>
      <c r="AB39" s="7">
        <v>148194.61928154001</v>
      </c>
      <c r="AC39" s="7">
        <v>160354.53947322001</v>
      </c>
    </row>
    <row r="40" spans="1:29" x14ac:dyDescent="0.85">
      <c r="A40" t="s">
        <v>138</v>
      </c>
      <c r="B40" s="7">
        <v>272337749.25</v>
      </c>
      <c r="C40" s="7">
        <v>265529305.44892699</v>
      </c>
      <c r="D40" s="7">
        <v>258891072.86987001</v>
      </c>
      <c r="E40" s="7">
        <v>252418795.82789901</v>
      </c>
      <c r="F40" s="7">
        <v>246104193.899786</v>
      </c>
      <c r="G40" s="7">
        <v>239951589.040362</v>
      </c>
      <c r="H40" s="7">
        <v>233952799.29960901</v>
      </c>
      <c r="I40" s="7">
        <v>228641544.638098</v>
      </c>
      <c r="J40" s="7">
        <v>222924858.809181</v>
      </c>
      <c r="K40" s="7">
        <v>217351738.784982</v>
      </c>
      <c r="L40" s="7">
        <v>211931557.43059799</v>
      </c>
      <c r="M40" s="7">
        <v>206633268.398947</v>
      </c>
      <c r="N40" s="7">
        <v>201467436.591748</v>
      </c>
      <c r="O40" s="7">
        <v>196866307.396171</v>
      </c>
      <c r="P40" s="7">
        <v>191951539.021608</v>
      </c>
      <c r="Q40" s="7">
        <v>235894096.43990999</v>
      </c>
      <c r="R40" s="7">
        <v>281986610.51769102</v>
      </c>
      <c r="S40" s="7">
        <v>330308165.40313202</v>
      </c>
      <c r="T40" s="7">
        <v>380944769.00992799</v>
      </c>
      <c r="U40" s="7">
        <v>433860696.59572798</v>
      </c>
      <c r="V40" s="7">
        <v>489280057.939605</v>
      </c>
      <c r="W40" s="7">
        <v>547313259.44939101</v>
      </c>
      <c r="X40" s="7">
        <v>608129356.18184304</v>
      </c>
      <c r="Y40" s="7">
        <v>671875367.44587898</v>
      </c>
      <c r="Z40" s="7">
        <v>738529296.72212398</v>
      </c>
      <c r="AA40" s="7">
        <v>806983058.99590099</v>
      </c>
      <c r="AB40" s="7">
        <v>877275762.97138405</v>
      </c>
      <c r="AC40" s="7">
        <v>949259505.13111997</v>
      </c>
    </row>
    <row r="41" spans="1:29" x14ac:dyDescent="0.85">
      <c r="A41" t="s">
        <v>139</v>
      </c>
      <c r="B41" s="7">
        <v>272337749.25</v>
      </c>
      <c r="C41" s="7">
        <v>265529305.44892699</v>
      </c>
      <c r="D41" s="7">
        <v>258891072.86987001</v>
      </c>
      <c r="E41" s="7">
        <v>252418795.82789901</v>
      </c>
      <c r="F41" s="7">
        <v>246104193.899786</v>
      </c>
      <c r="G41" s="7">
        <v>239951589.040362</v>
      </c>
      <c r="H41" s="7">
        <v>233952799.29960901</v>
      </c>
      <c r="I41" s="7">
        <v>228641544.638098</v>
      </c>
      <c r="J41" s="7">
        <v>222924858.809181</v>
      </c>
      <c r="K41" s="7">
        <v>217351738.784982</v>
      </c>
      <c r="L41" s="7">
        <v>211931557.43059799</v>
      </c>
      <c r="M41" s="7">
        <v>206633268.398947</v>
      </c>
      <c r="N41" s="7">
        <v>201467436.591748</v>
      </c>
      <c r="O41" s="7">
        <v>196866307.396171</v>
      </c>
      <c r="P41" s="7">
        <v>191951539.021608</v>
      </c>
      <c r="Q41" s="7">
        <v>235894096.43990999</v>
      </c>
      <c r="R41" s="7">
        <v>281986610.51769102</v>
      </c>
      <c r="S41" s="7">
        <v>330308165.40313202</v>
      </c>
      <c r="T41" s="7">
        <v>380944769.00992799</v>
      </c>
      <c r="U41" s="7">
        <v>433860696.59572798</v>
      </c>
      <c r="V41" s="7">
        <v>489280057.939605</v>
      </c>
      <c r="W41" s="7">
        <v>547313259.44939101</v>
      </c>
      <c r="X41" s="7">
        <v>608129356.18184304</v>
      </c>
      <c r="Y41" s="7">
        <v>671875367.44587898</v>
      </c>
      <c r="Z41" s="7">
        <v>738529296.72212398</v>
      </c>
      <c r="AA41" s="7">
        <v>806983058.99590099</v>
      </c>
      <c r="AB41" s="7">
        <v>877275762.97138405</v>
      </c>
      <c r="AC41" s="7">
        <v>949259505.13111997</v>
      </c>
    </row>
    <row r="42" spans="1:29" x14ac:dyDescent="0.85">
      <c r="A42" t="s">
        <v>140</v>
      </c>
      <c r="B42" s="7">
        <v>52372.991835790002</v>
      </c>
      <c r="C42" s="7">
        <v>51063.667039189997</v>
      </c>
      <c r="D42" s="7">
        <v>49787.075374200002</v>
      </c>
      <c r="E42" s="7">
        <v>48542.398487619997</v>
      </c>
      <c r="F42" s="7">
        <v>47328.796750579997</v>
      </c>
      <c r="G42" s="7">
        <v>46145.576831699997</v>
      </c>
      <c r="H42" s="7">
        <v>44991.937410760002</v>
      </c>
      <c r="I42" s="7">
        <v>43970.519252830003</v>
      </c>
      <c r="J42" s="7">
        <v>42871.249728180002</v>
      </c>
      <c r="K42" s="7">
        <v>41799.468763069999</v>
      </c>
      <c r="L42" s="7">
        <v>40757.099824689998</v>
      </c>
      <c r="M42" s="7">
        <v>39738.172328100001</v>
      </c>
      <c r="N42" s="7">
        <v>38744.718018910004</v>
      </c>
      <c r="O42" s="7">
        <v>37859.86309513</v>
      </c>
      <c r="P42" s="7">
        <v>36914.691418640003</v>
      </c>
      <c r="Q42" s="7">
        <v>45365.397026480001</v>
      </c>
      <c r="R42" s="7">
        <v>54229.566298379999</v>
      </c>
      <c r="S42" s="7">
        <v>63522.408109169999</v>
      </c>
      <c r="T42" s="7">
        <v>73260.462860700005</v>
      </c>
      <c r="U42" s="7">
        <v>83436.860236399996</v>
      </c>
      <c r="V42" s="7">
        <v>94094.699361079998</v>
      </c>
      <c r="W42" s="7">
        <v>105255.21277342</v>
      </c>
      <c r="X42" s="7">
        <v>116950.91188376999</v>
      </c>
      <c r="Y42" s="7">
        <v>129210.07035145001</v>
      </c>
      <c r="Z42" s="7">
        <v>142028.45796956</v>
      </c>
      <c r="AA42" s="7">
        <v>155192.97607482001</v>
      </c>
      <c r="AB42" s="7">
        <v>168711.14576213999</v>
      </c>
      <c r="AC42" s="7">
        <v>182554.52332780001</v>
      </c>
    </row>
    <row r="43" spans="1:29" x14ac:dyDescent="0.85">
      <c r="A43" t="s">
        <v>141</v>
      </c>
      <c r="B43" s="7">
        <v>0</v>
      </c>
      <c r="C43" s="7">
        <v>15.931758329999999</v>
      </c>
      <c r="D43" s="7">
        <v>31.066928740000002</v>
      </c>
      <c r="E43" s="7">
        <v>45.435383250000001</v>
      </c>
      <c r="F43" s="7">
        <v>59.065006539999999</v>
      </c>
      <c r="G43" s="7">
        <v>71.98547671</v>
      </c>
      <c r="H43" s="7">
        <v>84.223007749999994</v>
      </c>
      <c r="I43" s="7">
        <v>96.02944875</v>
      </c>
      <c r="J43" s="7">
        <v>107.00393223</v>
      </c>
      <c r="K43" s="7">
        <v>117.36993894</v>
      </c>
      <c r="L43" s="7">
        <v>127.15893446</v>
      </c>
      <c r="M43" s="7">
        <v>136.37795714000001</v>
      </c>
      <c r="N43" s="7">
        <v>145.05655435</v>
      </c>
      <c r="O43" s="7">
        <v>153.55571977</v>
      </c>
      <c r="P43" s="7">
        <v>161.23929278</v>
      </c>
      <c r="Q43" s="7">
        <v>212.30468680000001</v>
      </c>
      <c r="R43" s="7">
        <v>270.70714609999999</v>
      </c>
      <c r="S43" s="7">
        <v>336.91432871000001</v>
      </c>
      <c r="T43" s="7">
        <v>411.42035053000001</v>
      </c>
      <c r="U43" s="7">
        <v>494.60119412</v>
      </c>
      <c r="V43" s="7">
        <v>587.13606952999999</v>
      </c>
      <c r="W43" s="7">
        <v>689.61470691</v>
      </c>
      <c r="X43" s="7">
        <v>802.73075015999996</v>
      </c>
      <c r="Y43" s="7">
        <v>927.18800708000003</v>
      </c>
      <c r="Z43" s="7">
        <v>1063.4821872800001</v>
      </c>
      <c r="AA43" s="7">
        <v>1210.4745884900001</v>
      </c>
      <c r="AB43" s="7">
        <v>1368.5501902399999</v>
      </c>
      <c r="AC43" s="7">
        <v>1537.80039831</v>
      </c>
    </row>
    <row r="44" spans="1:29" x14ac:dyDescent="0.85">
      <c r="A44" t="s">
        <v>142</v>
      </c>
      <c r="B44" s="7">
        <v>0.81701325000000002</v>
      </c>
      <c r="C44" s="7">
        <v>0.79658792</v>
      </c>
      <c r="D44" s="7">
        <v>0.77667322000000005</v>
      </c>
      <c r="E44" s="7">
        <v>0.75725639</v>
      </c>
      <c r="F44" s="7">
        <v>0.73831258</v>
      </c>
      <c r="G44" s="7">
        <v>0.71985476999999998</v>
      </c>
      <c r="H44" s="7">
        <v>0.70185839999999999</v>
      </c>
      <c r="I44" s="7">
        <v>0.68592463000000004</v>
      </c>
      <c r="J44" s="7">
        <v>0.66877458000000001</v>
      </c>
      <c r="K44" s="7">
        <v>0.65205522000000005</v>
      </c>
      <c r="L44" s="7">
        <v>0.63579467000000001</v>
      </c>
      <c r="M44" s="7">
        <v>0.61989981000000005</v>
      </c>
      <c r="N44" s="7">
        <v>0.60440231</v>
      </c>
      <c r="O44" s="7">
        <v>0.59059892000000003</v>
      </c>
      <c r="P44" s="7">
        <v>0.57585461999999998</v>
      </c>
      <c r="Q44" s="7">
        <v>0.70768229000000005</v>
      </c>
      <c r="R44" s="7">
        <v>0.84595982999999997</v>
      </c>
      <c r="S44" s="7">
        <v>0.99092449999999999</v>
      </c>
      <c r="T44" s="7">
        <v>1.14283431</v>
      </c>
      <c r="U44" s="7">
        <v>1.3015820899999999</v>
      </c>
      <c r="V44" s="7">
        <v>1.4678401700000001</v>
      </c>
      <c r="W44" s="7">
        <v>1.64193978</v>
      </c>
      <c r="X44" s="7">
        <v>1.8243880699999999</v>
      </c>
      <c r="Y44" s="7">
        <v>2.0156261</v>
      </c>
      <c r="Z44" s="7">
        <v>2.2155878900000001</v>
      </c>
      <c r="AA44" s="7">
        <v>2.42094918</v>
      </c>
      <c r="AB44" s="7">
        <v>2.6318272899999999</v>
      </c>
      <c r="AC44" s="7">
        <v>2.8477785199999999</v>
      </c>
    </row>
    <row r="45" spans="1:29" x14ac:dyDescent="0.85">
      <c r="A45" t="s">
        <v>143</v>
      </c>
      <c r="B45" s="7">
        <v>49619.657190869999</v>
      </c>
      <c r="C45" s="7">
        <v>48379.165761099997</v>
      </c>
      <c r="D45" s="7">
        <v>47169.686627490002</v>
      </c>
      <c r="E45" s="7">
        <v>45990.444461799998</v>
      </c>
      <c r="F45" s="7">
        <v>44840.683350259998</v>
      </c>
      <c r="G45" s="7">
        <v>43719.666266499997</v>
      </c>
      <c r="H45" s="7">
        <v>42626.674609840004</v>
      </c>
      <c r="I45" s="7">
        <v>41658.953236540001</v>
      </c>
      <c r="J45" s="7">
        <v>40617.479405619997</v>
      </c>
      <c r="K45" s="7">
        <v>39602.04268395</v>
      </c>
      <c r="L45" s="7">
        <v>38614.471779059997</v>
      </c>
      <c r="M45" s="7">
        <v>37649.109984590003</v>
      </c>
      <c r="N45" s="7">
        <v>36707.882234969999</v>
      </c>
      <c r="O45" s="7">
        <v>35869.544727350003</v>
      </c>
      <c r="P45" s="7">
        <v>34974.061359129999</v>
      </c>
      <c r="Q45" s="7">
        <v>42980.507711470003</v>
      </c>
      <c r="R45" s="7">
        <v>51378.681666049997</v>
      </c>
      <c r="S45" s="7">
        <v>60182.99255694</v>
      </c>
      <c r="T45" s="7">
        <v>69409.111246009998</v>
      </c>
      <c r="U45" s="7">
        <v>79050.528593819996</v>
      </c>
      <c r="V45" s="7">
        <v>89148.077975310007</v>
      </c>
      <c r="W45" s="7">
        <v>99721.875720390002</v>
      </c>
      <c r="X45" s="7">
        <v>110802.72409277</v>
      </c>
      <c r="Y45" s="7">
        <v>122417.41038657</v>
      </c>
      <c r="Z45" s="7">
        <v>134561.92677970001</v>
      </c>
      <c r="AA45" s="7">
        <v>147034.37734837001</v>
      </c>
      <c r="AB45" s="7">
        <v>159841.88779850001</v>
      </c>
      <c r="AC45" s="7">
        <v>172957.50973091999</v>
      </c>
    </row>
    <row r="46" spans="1:29" x14ac:dyDescent="0.85">
      <c r="A46" t="s">
        <v>144</v>
      </c>
      <c r="B46" s="7">
        <v>2753.3346449199998</v>
      </c>
      <c r="C46" s="7">
        <v>2684.5012780900001</v>
      </c>
      <c r="D46" s="7">
        <v>2617.3887467099999</v>
      </c>
      <c r="E46" s="7">
        <v>2551.95402582</v>
      </c>
      <c r="F46" s="7">
        <v>2488.1134003299999</v>
      </c>
      <c r="G46" s="7">
        <v>2425.9105651999998</v>
      </c>
      <c r="H46" s="7">
        <v>2365.2628009199998</v>
      </c>
      <c r="I46" s="7">
        <v>2311.5660162899999</v>
      </c>
      <c r="J46" s="7">
        <v>2253.7703225599998</v>
      </c>
      <c r="K46" s="7">
        <v>2197.4260791199999</v>
      </c>
      <c r="L46" s="7">
        <v>2142.6280456200002</v>
      </c>
      <c r="M46" s="7">
        <v>2089.0623435100001</v>
      </c>
      <c r="N46" s="7">
        <v>2036.8357839400001</v>
      </c>
      <c r="O46" s="7">
        <v>1990.31836778</v>
      </c>
      <c r="P46" s="7">
        <v>1940.6300595099999</v>
      </c>
      <c r="Q46" s="7">
        <v>2384.8893150099998</v>
      </c>
      <c r="R46" s="7">
        <v>2850.8846323299999</v>
      </c>
      <c r="S46" s="7">
        <v>3339.4155522299998</v>
      </c>
      <c r="T46" s="7">
        <v>3851.3516146900001</v>
      </c>
      <c r="U46" s="7">
        <v>4386.3316425800003</v>
      </c>
      <c r="V46" s="7">
        <v>4946.6213857700004</v>
      </c>
      <c r="W46" s="7">
        <v>5533.3370530299999</v>
      </c>
      <c r="X46" s="7">
        <v>6148.1877910000003</v>
      </c>
      <c r="Y46" s="7">
        <v>6792.6599648800002</v>
      </c>
      <c r="Z46" s="7">
        <v>7466.5311898600003</v>
      </c>
      <c r="AA46" s="7">
        <v>8158.59872645</v>
      </c>
      <c r="AB46" s="7">
        <v>8869.2579636400005</v>
      </c>
      <c r="AC46" s="7">
        <v>9597.0135968800005</v>
      </c>
    </row>
    <row r="47" spans="1:29" x14ac:dyDescent="0.85">
      <c r="A47" t="s">
        <v>145</v>
      </c>
      <c r="B47" s="7">
        <v>1</v>
      </c>
      <c r="C47" s="7">
        <v>1.0249999999999999</v>
      </c>
      <c r="D47" s="7">
        <v>1</v>
      </c>
      <c r="E47" s="7">
        <v>1</v>
      </c>
      <c r="F47" s="7">
        <v>1</v>
      </c>
      <c r="G47" s="7">
        <v>0.99998321000000001</v>
      </c>
      <c r="H47" s="7">
        <v>1</v>
      </c>
      <c r="I47" s="7">
        <v>1</v>
      </c>
      <c r="J47" s="7">
        <v>1.0023566699999999</v>
      </c>
      <c r="K47" s="7">
        <v>0.99999709999999997</v>
      </c>
      <c r="L47" s="7">
        <v>1.0000000099999999</v>
      </c>
      <c r="M47" s="7">
        <v>1.00006423</v>
      </c>
      <c r="N47" s="7">
        <v>1</v>
      </c>
      <c r="O47" s="7">
        <v>1</v>
      </c>
      <c r="P47" s="7">
        <v>1.0022173599999999</v>
      </c>
      <c r="Q47" s="7">
        <v>1.0000358899999999</v>
      </c>
      <c r="R47" s="7">
        <v>1.2260361</v>
      </c>
      <c r="S47" s="7">
        <v>1.2013860700000001</v>
      </c>
      <c r="T47" s="7">
        <v>1.18286292</v>
      </c>
      <c r="U47" s="7">
        <v>1.1680998300000001</v>
      </c>
      <c r="V47" s="7">
        <v>1.15664167</v>
      </c>
      <c r="W47" s="7">
        <v>1.1472816699999999</v>
      </c>
      <c r="X47" s="7">
        <v>1.13959772</v>
      </c>
      <c r="Y47" s="7">
        <v>1.13314191</v>
      </c>
      <c r="Z47" s="7">
        <v>1.12739104</v>
      </c>
      <c r="AA47" s="7">
        <v>1.12069697</v>
      </c>
      <c r="AB47" s="7">
        <v>1.1149700499999999</v>
      </c>
      <c r="AC47" s="7">
        <v>1.1097914600000001</v>
      </c>
    </row>
    <row r="48" spans="1:29" x14ac:dyDescent="0.85">
      <c r="A48" t="s">
        <v>146</v>
      </c>
      <c r="B48" s="7">
        <v>1</v>
      </c>
      <c r="C48" s="7">
        <v>1</v>
      </c>
      <c r="D48" s="7">
        <v>1</v>
      </c>
      <c r="E48" s="7">
        <v>1</v>
      </c>
      <c r="F48" s="7">
        <v>0.99998321000000001</v>
      </c>
      <c r="G48" s="7">
        <v>1</v>
      </c>
      <c r="H48" s="7">
        <v>1</v>
      </c>
      <c r="I48" s="7">
        <v>1.0023566699999999</v>
      </c>
      <c r="J48" s="7">
        <v>0.99999709999999997</v>
      </c>
      <c r="K48" s="7">
        <v>1.0000000099999999</v>
      </c>
      <c r="L48" s="7">
        <v>1.00006423</v>
      </c>
      <c r="M48" s="7">
        <v>1</v>
      </c>
      <c r="N48" s="7">
        <v>1</v>
      </c>
      <c r="O48" s="7">
        <v>1.0022173599999999</v>
      </c>
      <c r="P48" s="7">
        <v>1.0000358899999999</v>
      </c>
      <c r="Q48" s="7">
        <v>1.26043617</v>
      </c>
      <c r="R48" s="7">
        <v>1.2260461</v>
      </c>
      <c r="S48" s="7">
        <v>1.2013960699999999</v>
      </c>
      <c r="T48" s="7">
        <v>1.1828729200000001</v>
      </c>
      <c r="U48" s="7">
        <v>1.1681098299999999</v>
      </c>
      <c r="V48" s="7">
        <v>1.15665167</v>
      </c>
      <c r="W48" s="7">
        <v>1.14729167</v>
      </c>
      <c r="X48" s="7">
        <v>1.1396077200000001</v>
      </c>
      <c r="Y48" s="7">
        <v>1.13315191</v>
      </c>
      <c r="Z48" s="7">
        <v>1.12739056</v>
      </c>
      <c r="AA48" s="7">
        <v>1.1207069700000001</v>
      </c>
      <c r="AB48" s="7">
        <v>1.11498005</v>
      </c>
      <c r="AC48" s="7">
        <v>1.1097986900000001</v>
      </c>
    </row>
    <row r="49" spans="1:29" x14ac:dyDescent="0.85">
      <c r="A49" t="s">
        <v>147</v>
      </c>
      <c r="B49" s="7">
        <v>1</v>
      </c>
      <c r="C49" s="7">
        <v>1.12713967</v>
      </c>
      <c r="D49" s="7">
        <v>1.1310079799999999</v>
      </c>
      <c r="E49" s="7">
        <v>1.1351061200000001</v>
      </c>
      <c r="F49" s="7">
        <v>1.1393861999999999</v>
      </c>
      <c r="G49" s="7">
        <v>1.14389261</v>
      </c>
      <c r="H49" s="7">
        <v>1.1487033</v>
      </c>
      <c r="I49" s="7">
        <v>1.15381763</v>
      </c>
      <c r="J49" s="7">
        <v>1.1605988199999999</v>
      </c>
      <c r="K49" s="7">
        <v>1.17041755</v>
      </c>
      <c r="L49" s="7">
        <v>1.1817668400000001</v>
      </c>
      <c r="M49" s="7">
        <v>1.1939885699999999</v>
      </c>
      <c r="N49" s="7">
        <v>1.2076202300000001</v>
      </c>
      <c r="O49" s="7">
        <v>1.2252103000000001</v>
      </c>
      <c r="P49" s="7">
        <v>1.2440581399999999</v>
      </c>
      <c r="Q49" s="7">
        <v>1.26045786</v>
      </c>
      <c r="R49" s="7">
        <v>1.2260461</v>
      </c>
      <c r="S49" s="7">
        <v>1.2013960699999999</v>
      </c>
      <c r="T49" s="7">
        <v>1.1828729200000001</v>
      </c>
      <c r="U49" s="7">
        <v>1.1681098299999999</v>
      </c>
      <c r="V49" s="7">
        <v>1.15665167</v>
      </c>
      <c r="W49" s="7">
        <v>1.14729167</v>
      </c>
      <c r="X49" s="7">
        <v>1.1396077200000001</v>
      </c>
      <c r="Y49" s="7">
        <v>1.13315191</v>
      </c>
      <c r="Z49" s="7">
        <v>1.1274010400000001</v>
      </c>
      <c r="AA49" s="7">
        <v>1.1207069700000001</v>
      </c>
      <c r="AB49" s="7">
        <v>1.11498005</v>
      </c>
      <c r="AC49" s="7">
        <v>1.1098014599999999</v>
      </c>
    </row>
    <row r="50" spans="1:29" x14ac:dyDescent="0.85">
      <c r="A50" t="s">
        <v>148</v>
      </c>
      <c r="B50" s="7">
        <v>75232</v>
      </c>
      <c r="C50" s="7">
        <v>79832.651769930002</v>
      </c>
      <c r="D50" s="7">
        <v>84518.150928649993</v>
      </c>
      <c r="E50" s="7">
        <v>89198.336128499999</v>
      </c>
      <c r="F50" s="7">
        <v>93890.284518539993</v>
      </c>
      <c r="G50" s="7">
        <v>98747.891683580005</v>
      </c>
      <c r="H50" s="7">
        <v>103440.43202778</v>
      </c>
      <c r="I50" s="7">
        <v>110280.68575367999</v>
      </c>
      <c r="J50" s="7">
        <v>117219.84250498</v>
      </c>
      <c r="K50" s="7">
        <v>124411.92797557</v>
      </c>
      <c r="L50" s="7">
        <v>131922.72458949001</v>
      </c>
      <c r="M50" s="7">
        <v>139769.36937616</v>
      </c>
      <c r="N50" s="7">
        <v>147994.7715419</v>
      </c>
      <c r="O50" s="7">
        <v>156790.8633656</v>
      </c>
      <c r="P50" s="7">
        <v>160684.55605134999</v>
      </c>
      <c r="Q50" s="7">
        <v>158432.54367099001</v>
      </c>
      <c r="R50" s="7">
        <v>155963.26358147</v>
      </c>
      <c r="S50" s="7">
        <v>153267.53560338001</v>
      </c>
      <c r="T50" s="7">
        <v>149551.85773901999</v>
      </c>
      <c r="U50" s="7">
        <v>146468.2509207</v>
      </c>
      <c r="V50" s="7">
        <v>143219.15327365999</v>
      </c>
      <c r="W50" s="7">
        <v>140135.33763118999</v>
      </c>
      <c r="X50" s="7">
        <v>137017.76425176999</v>
      </c>
      <c r="Y50" s="7">
        <v>133802.42111852</v>
      </c>
      <c r="Z50" s="7">
        <v>130362.48788544</v>
      </c>
      <c r="AA50" s="7">
        <v>126801.36901911</v>
      </c>
      <c r="AB50" s="7">
        <v>123205.15373545</v>
      </c>
      <c r="AC50" s="7">
        <v>120253.24133559001</v>
      </c>
    </row>
    <row r="51" spans="1:29" x14ac:dyDescent="0.85">
      <c r="A51" t="s">
        <v>149</v>
      </c>
      <c r="B51" s="7">
        <v>329145751.75</v>
      </c>
      <c r="C51" s="7">
        <v>357599499.70092601</v>
      </c>
      <c r="D51" s="7">
        <v>386065917.05246902</v>
      </c>
      <c r="E51" s="7">
        <v>414552827.63110203</v>
      </c>
      <c r="F51" s="7">
        <v>443032942.60362798</v>
      </c>
      <c r="G51" s="7">
        <v>471618025.77248102</v>
      </c>
      <c r="H51" s="7">
        <v>499854796.21093398</v>
      </c>
      <c r="I51" s="7">
        <v>538821760.46946204</v>
      </c>
      <c r="J51" s="7">
        <v>568737272.48055601</v>
      </c>
      <c r="K51" s="7">
        <v>597253029.06404197</v>
      </c>
      <c r="L51" s="7">
        <v>626988912.21243703</v>
      </c>
      <c r="M51" s="7">
        <v>658959032.49912202</v>
      </c>
      <c r="N51" s="7">
        <v>686322027.85657895</v>
      </c>
      <c r="O51" s="7">
        <v>714658384.17606604</v>
      </c>
      <c r="P51" s="7">
        <v>720294230.76658702</v>
      </c>
      <c r="Q51" s="7">
        <v>675237921.63413596</v>
      </c>
      <c r="R51" s="7">
        <v>627541980.02941597</v>
      </c>
      <c r="S51" s="7">
        <v>577099543.36134398</v>
      </c>
      <c r="T51" s="7">
        <v>523831898.69800502</v>
      </c>
      <c r="U51" s="7">
        <v>468271131.11099398</v>
      </c>
      <c r="V51" s="7">
        <v>411565174.13123</v>
      </c>
      <c r="W51" s="7">
        <v>355412760.74887502</v>
      </c>
      <c r="X51" s="7">
        <v>301536051.48073798</v>
      </c>
      <c r="Y51" s="7">
        <v>252063732.54738</v>
      </c>
      <c r="Z51" s="7">
        <v>212699368.15325999</v>
      </c>
      <c r="AA51" s="7">
        <v>177550254.46271801</v>
      </c>
      <c r="AB51" s="7">
        <v>147637365.17228001</v>
      </c>
      <c r="AC51" s="7">
        <v>130210185.77534901</v>
      </c>
    </row>
    <row r="52" spans="1:29" x14ac:dyDescent="0.85">
      <c r="A52" t="s">
        <v>150</v>
      </c>
      <c r="B52" s="7">
        <v>329145751.75</v>
      </c>
      <c r="C52" s="7">
        <v>357599499.70092601</v>
      </c>
      <c r="D52" s="7">
        <v>386065917.05246902</v>
      </c>
      <c r="E52" s="7">
        <v>414552827.63110203</v>
      </c>
      <c r="F52" s="7">
        <v>443032942.60362798</v>
      </c>
      <c r="G52" s="7">
        <v>471618025.77248102</v>
      </c>
      <c r="H52" s="7">
        <v>499854796.21093398</v>
      </c>
      <c r="I52" s="7">
        <v>538821760.46946204</v>
      </c>
      <c r="J52" s="7">
        <v>568737272.48055601</v>
      </c>
      <c r="K52" s="7">
        <v>597253029.06404197</v>
      </c>
      <c r="L52" s="7">
        <v>626988912.21243703</v>
      </c>
      <c r="M52" s="7">
        <v>658959032.49912202</v>
      </c>
      <c r="N52" s="7">
        <v>686322027.85657895</v>
      </c>
      <c r="O52" s="7">
        <v>714658384.17606604</v>
      </c>
      <c r="P52" s="7">
        <v>720294230.76658702</v>
      </c>
      <c r="Q52" s="7">
        <v>675237921.63413596</v>
      </c>
      <c r="R52" s="7">
        <v>627541980.02941597</v>
      </c>
      <c r="S52" s="7">
        <v>577099543.36134398</v>
      </c>
      <c r="T52" s="7">
        <v>523831898.69800502</v>
      </c>
      <c r="U52" s="7">
        <v>468271131.11099398</v>
      </c>
      <c r="V52" s="7">
        <v>411565174.13123</v>
      </c>
      <c r="W52" s="7">
        <v>355412760.74887502</v>
      </c>
      <c r="X52" s="7">
        <v>301536051.48073798</v>
      </c>
      <c r="Y52" s="7">
        <v>252063732.54738</v>
      </c>
      <c r="Z52" s="7">
        <v>212699368.15325999</v>
      </c>
      <c r="AA52" s="7">
        <v>177550254.46271801</v>
      </c>
      <c r="AB52" s="7">
        <v>147637365.17228001</v>
      </c>
      <c r="AC52" s="7">
        <v>130210185.77534901</v>
      </c>
    </row>
    <row r="53" spans="1:29" x14ac:dyDescent="0.85">
      <c r="A53" t="s">
        <v>151</v>
      </c>
      <c r="B53" s="7">
        <v>22298.0004463</v>
      </c>
      <c r="C53" s="7">
        <v>23864.7301797</v>
      </c>
      <c r="D53" s="7">
        <v>25447.859333429999</v>
      </c>
      <c r="E53" s="7">
        <v>27030.48079351</v>
      </c>
      <c r="F53" s="7">
        <v>28615.167188359999</v>
      </c>
      <c r="G53" s="7">
        <v>30233.830001760001</v>
      </c>
      <c r="H53" s="7">
        <v>31812.691046970001</v>
      </c>
      <c r="I53" s="7">
        <v>34060.656837069997</v>
      </c>
      <c r="J53" s="7">
        <v>36106.522961750001</v>
      </c>
      <c r="K53" s="7">
        <v>38166.199944040003</v>
      </c>
      <c r="L53" s="7">
        <v>40316.0877502</v>
      </c>
      <c r="M53" s="7">
        <v>42584.18050979</v>
      </c>
      <c r="N53" s="7">
        <v>44811.686203329999</v>
      </c>
      <c r="O53" s="7">
        <v>47171.166335189999</v>
      </c>
      <c r="P53" s="7">
        <v>48047.072986560001</v>
      </c>
      <c r="Q53" s="7">
        <v>46520.631977190002</v>
      </c>
      <c r="R53" s="7">
        <v>44888.581727190001</v>
      </c>
      <c r="S53" s="7">
        <v>43146.573878700001</v>
      </c>
      <c r="T53" s="7">
        <v>41142.209724530003</v>
      </c>
      <c r="U53" s="7">
        <v>39201.75804398</v>
      </c>
      <c r="V53" s="7">
        <v>37201.980396680003</v>
      </c>
      <c r="W53" s="7">
        <v>35247.052957729997</v>
      </c>
      <c r="X53" s="7">
        <v>33341.250950310001</v>
      </c>
      <c r="Y53" s="7">
        <v>31524.375208969999</v>
      </c>
      <c r="Z53" s="7">
        <v>29911.54274674</v>
      </c>
      <c r="AA53" s="7">
        <v>28378.58100364</v>
      </c>
      <c r="AB53" s="7">
        <v>26966.727522410001</v>
      </c>
      <c r="AC53" s="7">
        <v>25981.709656480001</v>
      </c>
    </row>
    <row r="54" spans="1:29" x14ac:dyDescent="0.85">
      <c r="A54" t="s">
        <v>152</v>
      </c>
      <c r="B54" s="7">
        <v>0</v>
      </c>
      <c r="C54" s="7">
        <v>3504.4750970700002</v>
      </c>
      <c r="D54" s="7">
        <v>7566.8919742300004</v>
      </c>
      <c r="E54" s="7">
        <v>12187.853132349999</v>
      </c>
      <c r="F54" s="7">
        <v>17366.891350059999</v>
      </c>
      <c r="G54" s="7">
        <v>23109.28326285</v>
      </c>
      <c r="H54" s="7">
        <v>29391.4620172</v>
      </c>
      <c r="I54" s="7">
        <v>36963.172768210003</v>
      </c>
      <c r="J54" s="7">
        <v>44589.002162479999</v>
      </c>
      <c r="K54" s="7">
        <v>52677.717163449997</v>
      </c>
      <c r="L54" s="7">
        <v>61444.913396819997</v>
      </c>
      <c r="M54" s="7">
        <v>71035.783703409994</v>
      </c>
      <c r="N54" s="7">
        <v>80711.470475929993</v>
      </c>
      <c r="O54" s="7">
        <v>91047.478144029999</v>
      </c>
      <c r="P54" s="7">
        <v>98824.368461179998</v>
      </c>
      <c r="Q54" s="7">
        <v>99259.97448022</v>
      </c>
      <c r="R54" s="7">
        <v>98398.582468609995</v>
      </c>
      <c r="S54" s="7">
        <v>96144.783924000003</v>
      </c>
      <c r="T54" s="7">
        <v>92403.946930329999</v>
      </c>
      <c r="U54" s="7">
        <v>87192.084612870007</v>
      </c>
      <c r="V54" s="7">
        <v>80666.774129719997</v>
      </c>
      <c r="W54" s="7">
        <v>73143.946162120003</v>
      </c>
      <c r="X54" s="7">
        <v>65011.172699249997</v>
      </c>
      <c r="Y54" s="7">
        <v>56815.165316179999</v>
      </c>
      <c r="Z54" s="7">
        <v>50026.891389650002</v>
      </c>
      <c r="AA54" s="7">
        <v>43499.812343370002</v>
      </c>
      <c r="AB54" s="7">
        <v>37618.0006459</v>
      </c>
      <c r="AC54" s="7">
        <v>34453.615156159998</v>
      </c>
    </row>
    <row r="55" spans="1:29" x14ac:dyDescent="0.85">
      <c r="A55" t="s">
        <v>153</v>
      </c>
      <c r="B55" s="7">
        <v>161.28141836</v>
      </c>
      <c r="C55" s="7">
        <v>175.22375485000001</v>
      </c>
      <c r="D55" s="7">
        <v>189.17229936000001</v>
      </c>
      <c r="E55" s="7">
        <v>203.13088554000001</v>
      </c>
      <c r="F55" s="7">
        <v>217.08614188000001</v>
      </c>
      <c r="G55" s="7">
        <v>231.09283263</v>
      </c>
      <c r="H55" s="7">
        <v>244.92885014000001</v>
      </c>
      <c r="I55" s="7">
        <v>264.02266263000001</v>
      </c>
      <c r="J55" s="7">
        <v>278.68126352000002</v>
      </c>
      <c r="K55" s="7">
        <v>292.65398424</v>
      </c>
      <c r="L55" s="7">
        <v>307.22456698000002</v>
      </c>
      <c r="M55" s="7">
        <v>322.88992592</v>
      </c>
      <c r="N55" s="7">
        <v>336.29779365000002</v>
      </c>
      <c r="O55" s="7">
        <v>350.18260824999999</v>
      </c>
      <c r="P55" s="7">
        <v>352.94417307999998</v>
      </c>
      <c r="Q55" s="7">
        <v>330.86658160000002</v>
      </c>
      <c r="R55" s="7">
        <v>307.49557020999998</v>
      </c>
      <c r="S55" s="7">
        <v>282.77877625000002</v>
      </c>
      <c r="T55" s="7">
        <v>256.67763036000002</v>
      </c>
      <c r="U55" s="7">
        <v>229.45285423999999</v>
      </c>
      <c r="V55" s="7">
        <v>201.66693531999999</v>
      </c>
      <c r="W55" s="7">
        <v>174.15225276999999</v>
      </c>
      <c r="X55" s="7">
        <v>147.75266522999999</v>
      </c>
      <c r="Y55" s="7">
        <v>123.51122895</v>
      </c>
      <c r="Z55" s="7">
        <v>104.2226904</v>
      </c>
      <c r="AA55" s="7">
        <v>86.999624690000005</v>
      </c>
      <c r="AB55" s="7">
        <v>72.342308930000002</v>
      </c>
      <c r="AC55" s="7">
        <v>63.802991030000001</v>
      </c>
    </row>
    <row r="56" spans="1:29" x14ac:dyDescent="0.85">
      <c r="A56" t="s">
        <v>154</v>
      </c>
      <c r="B56" s="7">
        <v>14266.8441036</v>
      </c>
      <c r="C56" s="7">
        <v>15139.302387</v>
      </c>
      <c r="D56" s="7">
        <v>16027.85095735</v>
      </c>
      <c r="E56" s="7">
        <v>16915.39179931</v>
      </c>
      <c r="F56" s="7">
        <v>17805.163388829998</v>
      </c>
      <c r="G56" s="7">
        <v>18726.35017292</v>
      </c>
      <c r="H56" s="7">
        <v>19616.234019430001</v>
      </c>
      <c r="I56" s="7">
        <v>20913.405881620001</v>
      </c>
      <c r="J56" s="7">
        <v>22229.333513230002</v>
      </c>
      <c r="K56" s="7">
        <v>23593.226034880001</v>
      </c>
      <c r="L56" s="7">
        <v>25017.558292220001</v>
      </c>
      <c r="M56" s="7">
        <v>26505.580116810001</v>
      </c>
      <c r="N56" s="7">
        <v>28065.428723630001</v>
      </c>
      <c r="O56" s="7">
        <v>29733.501761300002</v>
      </c>
      <c r="P56" s="7">
        <v>30471.893755860001</v>
      </c>
      <c r="Q56" s="7">
        <v>30044.826689320002</v>
      </c>
      <c r="R56" s="7">
        <v>29576.55741447</v>
      </c>
      <c r="S56" s="7">
        <v>29065.345020690002</v>
      </c>
      <c r="T56" s="7">
        <v>28360.711396300001</v>
      </c>
      <c r="U56" s="7">
        <v>27775.942444870001</v>
      </c>
      <c r="V56" s="7">
        <v>27159.790147870001</v>
      </c>
      <c r="W56" s="7">
        <v>26574.981595460002</v>
      </c>
      <c r="X56" s="7">
        <v>25983.771294179998</v>
      </c>
      <c r="Y56" s="7">
        <v>25374.020134810002</v>
      </c>
      <c r="Z56" s="7">
        <v>24721.678163799999</v>
      </c>
      <c r="AA56" s="7">
        <v>24046.354794750001</v>
      </c>
      <c r="AB56" s="7">
        <v>23364.3758122</v>
      </c>
      <c r="AC56" s="7">
        <v>22804.581123560001</v>
      </c>
    </row>
    <row r="57" spans="1:29" x14ac:dyDescent="0.85">
      <c r="A57" t="s">
        <v>155</v>
      </c>
      <c r="B57" s="7">
        <v>8031.1563427000001</v>
      </c>
      <c r="C57" s="7">
        <v>8725.4277927000003</v>
      </c>
      <c r="D57" s="7">
        <v>9420.0083760800007</v>
      </c>
      <c r="E57" s="7">
        <v>10115.088994199999</v>
      </c>
      <c r="F57" s="7">
        <v>10810.003799530001</v>
      </c>
      <c r="G57" s="7">
        <v>11507.479828850001</v>
      </c>
      <c r="H57" s="7">
        <v>12196.457027549999</v>
      </c>
      <c r="I57" s="7">
        <v>13147.250955449999</v>
      </c>
      <c r="J57" s="7">
        <v>13877.18944853</v>
      </c>
      <c r="K57" s="7">
        <v>14572.97390916</v>
      </c>
      <c r="L57" s="7">
        <v>15298.529457979999</v>
      </c>
      <c r="M57" s="7">
        <v>16078.600392980001</v>
      </c>
      <c r="N57" s="7">
        <v>16746.257479700002</v>
      </c>
      <c r="O57" s="7">
        <v>17437.664573900001</v>
      </c>
      <c r="P57" s="7">
        <v>17575.1792307</v>
      </c>
      <c r="Q57" s="7">
        <v>16475.80528787</v>
      </c>
      <c r="R57" s="7">
        <v>15312.024312719999</v>
      </c>
      <c r="S57" s="7">
        <v>14081.22885802</v>
      </c>
      <c r="T57" s="7">
        <v>12781.49832823</v>
      </c>
      <c r="U57" s="7">
        <v>11425.815599109999</v>
      </c>
      <c r="V57" s="7">
        <v>10042.1902488</v>
      </c>
      <c r="W57" s="7">
        <v>8672.0713622700005</v>
      </c>
      <c r="X57" s="7">
        <v>7357.47965613</v>
      </c>
      <c r="Y57" s="7">
        <v>6150.3550741600002</v>
      </c>
      <c r="Z57" s="7">
        <v>5189.8645829400002</v>
      </c>
      <c r="AA57" s="7">
        <v>4332.2262088899997</v>
      </c>
      <c r="AB57" s="7">
        <v>3602.3517102000001</v>
      </c>
      <c r="AC57" s="7">
        <v>3177.12853292</v>
      </c>
    </row>
    <row r="58" spans="1:29" x14ac:dyDescent="0.85">
      <c r="A58" t="s">
        <v>156</v>
      </c>
      <c r="B58" s="7">
        <v>1</v>
      </c>
      <c r="C58" s="7">
        <v>1.04</v>
      </c>
      <c r="D58" s="7">
        <v>1.1053675599999999</v>
      </c>
      <c r="E58" s="7">
        <v>1.10280366</v>
      </c>
      <c r="F58" s="7">
        <v>1.09934887</v>
      </c>
      <c r="G58" s="7">
        <v>1.0964596900000001</v>
      </c>
      <c r="H58" s="7">
        <v>1.0955594399999999</v>
      </c>
      <c r="I58" s="7">
        <v>1.0911670899999999</v>
      </c>
      <c r="J58" s="7">
        <v>1.10720113</v>
      </c>
      <c r="K58" s="7">
        <v>1.10557382</v>
      </c>
      <c r="L58" s="7">
        <v>1.10454249</v>
      </c>
      <c r="M58" s="7">
        <v>1.10361431</v>
      </c>
      <c r="N58" s="7">
        <v>1.1029757899999999</v>
      </c>
      <c r="O58" s="7">
        <v>1.1029685600000001</v>
      </c>
      <c r="P58" s="7">
        <v>1.10357828</v>
      </c>
      <c r="Q58" s="7">
        <v>1.0675350699999999</v>
      </c>
      <c r="R58" s="7">
        <v>1.0270675899999999</v>
      </c>
      <c r="S58" s="7">
        <v>1.02543158</v>
      </c>
      <c r="T58" s="7">
        <v>1.0236621100000001</v>
      </c>
      <c r="U58" s="7">
        <v>1.0164134499999999</v>
      </c>
      <c r="V58" s="7">
        <v>1.02018856</v>
      </c>
      <c r="W58" s="7">
        <v>1.01855943</v>
      </c>
      <c r="X58" s="7">
        <v>1.01923735</v>
      </c>
      <c r="Y58" s="7">
        <v>1.01849284</v>
      </c>
      <c r="Z58" s="7">
        <v>1.0172222799999999</v>
      </c>
      <c r="AA58" s="7">
        <v>1.0148864099999999</v>
      </c>
      <c r="AB58" s="7">
        <v>1.0132114000000001</v>
      </c>
      <c r="AC58" s="7">
        <v>1.0121239399999999</v>
      </c>
    </row>
    <row r="59" spans="1:29" x14ac:dyDescent="0.85">
      <c r="A59" t="s">
        <v>157</v>
      </c>
      <c r="B59" s="7">
        <v>1</v>
      </c>
      <c r="C59" s="7">
        <v>1.1053675599999999</v>
      </c>
      <c r="D59" s="7">
        <v>1.10280366</v>
      </c>
      <c r="E59" s="7">
        <v>1.09934887</v>
      </c>
      <c r="F59" s="7">
        <v>1.0964596900000001</v>
      </c>
      <c r="G59" s="7">
        <v>1.0955594399999999</v>
      </c>
      <c r="H59" s="7">
        <v>1.0911670899999999</v>
      </c>
      <c r="I59" s="7">
        <v>1.11054944</v>
      </c>
      <c r="J59" s="7">
        <v>1.10721113</v>
      </c>
      <c r="K59" s="7">
        <v>1.10557868</v>
      </c>
      <c r="L59" s="7">
        <v>1.1045524900000001</v>
      </c>
      <c r="M59" s="7">
        <v>1.10362406</v>
      </c>
      <c r="N59" s="7">
        <v>1.1029685600000001</v>
      </c>
      <c r="O59" s="7">
        <v>1.10357828</v>
      </c>
      <c r="P59" s="7">
        <v>1.0675350699999999</v>
      </c>
      <c r="Q59" s="7">
        <v>1.0270675899999999</v>
      </c>
      <c r="R59" s="7">
        <v>1.02543158</v>
      </c>
      <c r="S59" s="7">
        <v>1.0236621100000001</v>
      </c>
      <c r="T59" s="7">
        <v>1.0164134499999999</v>
      </c>
      <c r="U59" s="7">
        <v>1.02018856</v>
      </c>
      <c r="V59" s="7">
        <v>1.01855943</v>
      </c>
      <c r="W59" s="7">
        <v>1.01923735</v>
      </c>
      <c r="X59" s="7">
        <v>1.01849284</v>
      </c>
      <c r="Y59" s="7">
        <v>1.0172222799999999</v>
      </c>
      <c r="Z59" s="7">
        <v>1.0148864099999999</v>
      </c>
      <c r="AA59" s="7">
        <v>1.0132114000000001</v>
      </c>
      <c r="AB59" s="7">
        <v>1.0121239399999999</v>
      </c>
      <c r="AC59" s="7">
        <v>1.0167090400000001</v>
      </c>
    </row>
    <row r="60" spans="1:29" x14ac:dyDescent="0.85">
      <c r="A60" t="s">
        <v>158</v>
      </c>
      <c r="B60" s="7">
        <v>1</v>
      </c>
      <c r="C60" s="7">
        <v>1.13603334</v>
      </c>
      <c r="D60" s="7">
        <v>1.13046212</v>
      </c>
      <c r="E60" s="7">
        <v>1.1254854999999999</v>
      </c>
      <c r="F60" s="7">
        <v>1.1210755999999999</v>
      </c>
      <c r="G60" s="7">
        <v>1.11715794</v>
      </c>
      <c r="H60" s="7">
        <v>1.1135664199999999</v>
      </c>
      <c r="I60" s="7">
        <v>1.1105494499999999</v>
      </c>
      <c r="J60" s="7">
        <v>1.10721113</v>
      </c>
      <c r="K60" s="7">
        <v>1.1055838200000001</v>
      </c>
      <c r="L60" s="7">
        <v>1.1045524900000001</v>
      </c>
      <c r="M60" s="7">
        <v>1.1036243100000001</v>
      </c>
      <c r="N60" s="7">
        <v>1.10298579</v>
      </c>
      <c r="O60" s="7">
        <v>1.10357829</v>
      </c>
      <c r="P60" s="7">
        <v>1.1041680300000001</v>
      </c>
      <c r="Q60" s="7">
        <v>1.1059393900000001</v>
      </c>
      <c r="R60" s="7">
        <v>1.1117852500000001</v>
      </c>
      <c r="S60" s="7">
        <v>1.11812278</v>
      </c>
      <c r="T60" s="7">
        <v>1.1250156</v>
      </c>
      <c r="U60" s="7">
        <v>1.1328729500000001</v>
      </c>
      <c r="V60" s="7">
        <v>1.1411037399999999</v>
      </c>
      <c r="W60" s="7">
        <v>1.1501044600000001</v>
      </c>
      <c r="X60" s="7">
        <v>1.1597601399999999</v>
      </c>
      <c r="Y60" s="7">
        <v>1.1702508</v>
      </c>
      <c r="Z60" s="7">
        <v>1.18135002</v>
      </c>
      <c r="AA60" s="7">
        <v>1.19069092</v>
      </c>
      <c r="AB60" s="7">
        <v>1.20084591</v>
      </c>
      <c r="AC60" s="7">
        <v>1.2113050599999999</v>
      </c>
    </row>
    <row r="61" spans="1:29" x14ac:dyDescent="0.85">
      <c r="A61" t="s">
        <v>159</v>
      </c>
      <c r="B61" s="7">
        <v>42678</v>
      </c>
      <c r="C61" s="7">
        <v>41611.050000000003</v>
      </c>
      <c r="D61" s="7">
        <v>40570.77375</v>
      </c>
      <c r="E61" s="7">
        <v>39556.504459659998</v>
      </c>
      <c r="F61" s="7">
        <v>38567.591848169999</v>
      </c>
      <c r="G61" s="7">
        <v>37603.402051960002</v>
      </c>
      <c r="H61" s="7">
        <v>36663.317000659998</v>
      </c>
      <c r="I61" s="7">
        <v>35746.734075649998</v>
      </c>
      <c r="J61" s="7">
        <v>34853.065723760003</v>
      </c>
      <c r="K61" s="7">
        <v>33981.739080660001</v>
      </c>
      <c r="L61" s="7">
        <v>33132.195603649998</v>
      </c>
      <c r="M61" s="7">
        <v>32303.890713559998</v>
      </c>
      <c r="N61" s="7">
        <v>31496.293445719999</v>
      </c>
      <c r="O61" s="7">
        <v>30708.886109570001</v>
      </c>
      <c r="P61" s="7">
        <v>29941.163956830002</v>
      </c>
      <c r="Q61" s="7">
        <v>29192.634857910001</v>
      </c>
      <c r="R61" s="7">
        <v>28462.81898647</v>
      </c>
      <c r="S61" s="7">
        <v>27751.2485118</v>
      </c>
      <c r="T61" s="7">
        <v>27057.467299010001</v>
      </c>
      <c r="U61" s="7">
        <v>26381.030616529999</v>
      </c>
      <c r="V61" s="7">
        <v>25721.50485112</v>
      </c>
      <c r="W61" s="7">
        <v>25078.46722984</v>
      </c>
      <c r="X61" s="7">
        <v>24451.505549099998</v>
      </c>
      <c r="Y61" s="7">
        <v>23840.21791037</v>
      </c>
      <c r="Z61" s="7">
        <v>23244.212462610001</v>
      </c>
      <c r="AA61" s="7">
        <v>22663.10715104</v>
      </c>
      <c r="AB61" s="7">
        <v>22096.529472269998</v>
      </c>
      <c r="AC61" s="7">
        <v>21544.116235459998</v>
      </c>
    </row>
    <row r="62" spans="1:29" x14ac:dyDescent="0.85">
      <c r="A62" t="s">
        <v>160</v>
      </c>
      <c r="B62" s="7">
        <v>155880511.25</v>
      </c>
      <c r="C62" s="7">
        <v>151983498.337219</v>
      </c>
      <c r="D62" s="7">
        <v>148183875.45708901</v>
      </c>
      <c r="E62" s="7">
        <v>144479278.76573899</v>
      </c>
      <c r="F62" s="7">
        <v>140867296.387918</v>
      </c>
      <c r="G62" s="7">
        <v>137306510.26576799</v>
      </c>
      <c r="H62" s="7">
        <v>133873847.245518</v>
      </c>
      <c r="I62" s="7">
        <v>119038880.795986</v>
      </c>
      <c r="J62" s="7">
        <v>103824407.88456701</v>
      </c>
      <c r="K62" s="7">
        <v>86884452.612036005</v>
      </c>
      <c r="L62" s="7">
        <v>68538328.331700101</v>
      </c>
      <c r="M62" s="7">
        <v>47053367.310505703</v>
      </c>
      <c r="N62" s="7">
        <v>25388350.642636798</v>
      </c>
      <c r="O62" s="7">
        <v>1545759.5715757001</v>
      </c>
      <c r="P62" s="7">
        <v>4.4297E-3</v>
      </c>
      <c r="Q62" s="7">
        <v>0</v>
      </c>
      <c r="R62" s="7">
        <v>0</v>
      </c>
      <c r="S62" s="7">
        <v>0</v>
      </c>
      <c r="T62" s="7">
        <v>0</v>
      </c>
      <c r="U62" s="7">
        <v>0</v>
      </c>
      <c r="V62" s="7">
        <v>0</v>
      </c>
      <c r="W62" s="7">
        <v>0</v>
      </c>
      <c r="X62" s="7">
        <v>0</v>
      </c>
      <c r="Y62" s="7">
        <v>0</v>
      </c>
      <c r="Z62" s="7">
        <v>0</v>
      </c>
      <c r="AA62" s="7">
        <v>0</v>
      </c>
      <c r="AB62" s="7">
        <v>0</v>
      </c>
      <c r="AC62" s="7">
        <v>0</v>
      </c>
    </row>
    <row r="63" spans="1:29" x14ac:dyDescent="0.85">
      <c r="A63" t="s">
        <v>161</v>
      </c>
      <c r="B63" s="7">
        <v>155880511.25</v>
      </c>
      <c r="C63" s="7">
        <v>151983498.337219</v>
      </c>
      <c r="D63" s="7">
        <v>148183875.45708901</v>
      </c>
      <c r="E63" s="7">
        <v>144479278.76573899</v>
      </c>
      <c r="F63" s="7">
        <v>140867296.387918</v>
      </c>
      <c r="G63" s="7">
        <v>137306510.26576799</v>
      </c>
      <c r="H63" s="7">
        <v>133873847.245518</v>
      </c>
      <c r="I63" s="7">
        <v>119038880.795986</v>
      </c>
      <c r="J63" s="7">
        <v>103824407.88456701</v>
      </c>
      <c r="K63" s="7">
        <v>86884452.612036005</v>
      </c>
      <c r="L63" s="7">
        <v>68538328.331700101</v>
      </c>
      <c r="M63" s="7">
        <v>47053367.310505703</v>
      </c>
      <c r="N63" s="7">
        <v>25388350.642636798</v>
      </c>
      <c r="O63" s="7">
        <v>1545759.5715757001</v>
      </c>
      <c r="P63" s="7">
        <v>4.4297E-3</v>
      </c>
      <c r="Q63" s="7">
        <v>0</v>
      </c>
      <c r="R63" s="7">
        <v>0</v>
      </c>
      <c r="S63" s="7">
        <v>0</v>
      </c>
      <c r="T63" s="7">
        <v>0</v>
      </c>
      <c r="U63" s="7">
        <v>0</v>
      </c>
      <c r="V63" s="7">
        <v>0</v>
      </c>
      <c r="W63" s="7">
        <v>0</v>
      </c>
      <c r="X63" s="7">
        <v>0</v>
      </c>
      <c r="Y63" s="7">
        <v>0</v>
      </c>
      <c r="Z63" s="7">
        <v>0</v>
      </c>
      <c r="AA63" s="7">
        <v>0</v>
      </c>
      <c r="AB63" s="7">
        <v>0</v>
      </c>
      <c r="AC63" s="7">
        <v>0</v>
      </c>
    </row>
    <row r="64" spans="1:29" x14ac:dyDescent="0.85">
      <c r="A64" t="s">
        <v>162</v>
      </c>
      <c r="B64" s="7">
        <v>29174.32326334</v>
      </c>
      <c r="C64" s="7">
        <v>28444.965178689999</v>
      </c>
      <c r="D64" s="7">
        <v>27733.840224610001</v>
      </c>
      <c r="E64" s="7">
        <v>27040.494255500002</v>
      </c>
      <c r="F64" s="7">
        <v>26364.4818896</v>
      </c>
      <c r="G64" s="7">
        <v>25704.459507930002</v>
      </c>
      <c r="H64" s="7">
        <v>25061.8480141</v>
      </c>
      <c r="I64" s="7">
        <v>24167.858373899999</v>
      </c>
      <c r="J64" s="7">
        <v>23278.749613799999</v>
      </c>
      <c r="K64" s="7">
        <v>22362.844520089999</v>
      </c>
      <c r="L64" s="7">
        <v>21427.242385270001</v>
      </c>
      <c r="M64" s="7">
        <v>20431.280740149999</v>
      </c>
      <c r="N64" s="7">
        <v>19443.522193389999</v>
      </c>
      <c r="O64" s="7">
        <v>18417.1546385</v>
      </c>
      <c r="P64" s="7">
        <v>17921.640121879998</v>
      </c>
      <c r="Q64" s="7">
        <v>17473.59911874</v>
      </c>
      <c r="R64" s="7">
        <v>17036.759140769998</v>
      </c>
      <c r="S64" s="7">
        <v>16610.840162249999</v>
      </c>
      <c r="T64" s="7">
        <v>16195.569158189999</v>
      </c>
      <c r="U64" s="7">
        <v>15790.679929239999</v>
      </c>
      <c r="V64" s="7">
        <v>15395.91293101</v>
      </c>
      <c r="W64" s="7">
        <v>15011.01510773</v>
      </c>
      <c r="X64" s="7">
        <v>14635.739730040001</v>
      </c>
      <c r="Y64" s="7">
        <v>14269.846236789999</v>
      </c>
      <c r="Z64" s="7">
        <v>13913.100080869999</v>
      </c>
      <c r="AA64" s="7">
        <v>13565.272578849999</v>
      </c>
      <c r="AB64" s="7">
        <v>13226.14076437</v>
      </c>
      <c r="AC64" s="7">
        <v>12895.48724527</v>
      </c>
    </row>
    <row r="65" spans="1:29" x14ac:dyDescent="0.85">
      <c r="A65" t="s">
        <v>163</v>
      </c>
      <c r="B65" s="7">
        <v>0</v>
      </c>
      <c r="C65" s="7">
        <v>2492.52937273</v>
      </c>
      <c r="D65" s="7">
        <v>4860.4311149900004</v>
      </c>
      <c r="E65" s="7">
        <v>7108.3805152699997</v>
      </c>
      <c r="F65" s="7">
        <v>9240.89464305</v>
      </c>
      <c r="G65" s="7">
        <v>11259.133841790001</v>
      </c>
      <c r="H65" s="7">
        <v>13173.18656896</v>
      </c>
      <c r="I65" s="7">
        <v>13665.66351538</v>
      </c>
      <c r="J65" s="7">
        <v>13621.76231446</v>
      </c>
      <c r="K65" s="7">
        <v>12824.14520554</v>
      </c>
      <c r="L65" s="7">
        <v>11240.2858464</v>
      </c>
      <c r="M65" s="7">
        <v>8488.4274628200001</v>
      </c>
      <c r="N65" s="7">
        <v>4996.4274064700003</v>
      </c>
      <c r="O65" s="7">
        <v>329.55594065999998</v>
      </c>
      <c r="P65" s="7">
        <v>1.02E-6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v>0</v>
      </c>
      <c r="W65" s="7">
        <v>0</v>
      </c>
      <c r="X65" s="7">
        <v>0</v>
      </c>
      <c r="Y65" s="7">
        <v>0</v>
      </c>
      <c r="Z65" s="7">
        <v>0</v>
      </c>
      <c r="AA65" s="7">
        <v>0</v>
      </c>
      <c r="AB65" s="7">
        <v>0</v>
      </c>
      <c r="AC65" s="7">
        <v>0</v>
      </c>
    </row>
    <row r="66" spans="1:29" x14ac:dyDescent="0.85">
      <c r="A66" t="s">
        <v>164</v>
      </c>
      <c r="B66" s="7">
        <v>127.82201922</v>
      </c>
      <c r="C66" s="7">
        <v>124.62646864</v>
      </c>
      <c r="D66" s="7">
        <v>121.51077787</v>
      </c>
      <c r="E66" s="7">
        <v>118.47300859000001</v>
      </c>
      <c r="F66" s="7">
        <v>115.51118304000001</v>
      </c>
      <c r="G66" s="7">
        <v>112.59133842</v>
      </c>
      <c r="H66" s="7">
        <v>109.77655473999999</v>
      </c>
      <c r="I66" s="7">
        <v>97.611882249999994</v>
      </c>
      <c r="J66" s="7">
        <v>85.136014470000006</v>
      </c>
      <c r="K66" s="7">
        <v>71.245251139999993</v>
      </c>
      <c r="L66" s="7">
        <v>56.201429230000002</v>
      </c>
      <c r="M66" s="7">
        <v>38.583761189999997</v>
      </c>
      <c r="N66" s="7">
        <v>20.81844753</v>
      </c>
      <c r="O66" s="7">
        <v>1.26752285</v>
      </c>
      <c r="P66" s="7">
        <v>0</v>
      </c>
      <c r="Q66" s="7">
        <v>0</v>
      </c>
      <c r="R66" s="7">
        <v>0</v>
      </c>
      <c r="S66" s="7">
        <v>0</v>
      </c>
      <c r="T66" s="7">
        <v>0</v>
      </c>
      <c r="U66" s="7">
        <v>0</v>
      </c>
      <c r="V66" s="7">
        <v>0</v>
      </c>
      <c r="W66" s="7">
        <v>0</v>
      </c>
      <c r="X66" s="7">
        <v>0</v>
      </c>
      <c r="Y66" s="7">
        <v>0</v>
      </c>
      <c r="Z66" s="7">
        <v>0</v>
      </c>
      <c r="AA66" s="7">
        <v>0</v>
      </c>
      <c r="AB66" s="7">
        <v>0</v>
      </c>
      <c r="AC66" s="7">
        <v>0</v>
      </c>
    </row>
    <row r="67" spans="1:29" x14ac:dyDescent="0.85">
      <c r="A67" t="s">
        <v>165</v>
      </c>
      <c r="B67" s="7">
        <v>25545.42496144</v>
      </c>
      <c r="C67" s="7">
        <v>24906.789337400001</v>
      </c>
      <c r="D67" s="7">
        <v>24284.11960396</v>
      </c>
      <c r="E67" s="7">
        <v>23677.016645830001</v>
      </c>
      <c r="F67" s="7">
        <v>23085.091229689999</v>
      </c>
      <c r="G67" s="7">
        <v>22507.96394895</v>
      </c>
      <c r="H67" s="7">
        <v>21945.264850219999</v>
      </c>
      <c r="I67" s="7">
        <v>21396.63322897</v>
      </c>
      <c r="J67" s="7">
        <v>20861.717398240002</v>
      </c>
      <c r="K67" s="7">
        <v>20340.174463290001</v>
      </c>
      <c r="L67" s="7">
        <v>19831.670101700001</v>
      </c>
      <c r="M67" s="7">
        <v>19335.878349160001</v>
      </c>
      <c r="N67" s="7">
        <v>18852.481390429999</v>
      </c>
      <c r="O67" s="7">
        <v>18381.169355670001</v>
      </c>
      <c r="P67" s="7">
        <v>17921.640121780001</v>
      </c>
      <c r="Q67" s="7">
        <v>17473.59911874</v>
      </c>
      <c r="R67" s="7">
        <v>17036.759140769998</v>
      </c>
      <c r="S67" s="7">
        <v>16610.840162249999</v>
      </c>
      <c r="T67" s="7">
        <v>16195.569158189999</v>
      </c>
      <c r="U67" s="7">
        <v>15790.679929239999</v>
      </c>
      <c r="V67" s="7">
        <v>15395.91293101</v>
      </c>
      <c r="W67" s="7">
        <v>15011.01510773</v>
      </c>
      <c r="X67" s="7">
        <v>14635.739730040001</v>
      </c>
      <c r="Y67" s="7">
        <v>14269.846236789999</v>
      </c>
      <c r="Z67" s="7">
        <v>13913.100080869999</v>
      </c>
      <c r="AA67" s="7">
        <v>13565.272578849999</v>
      </c>
      <c r="AB67" s="7">
        <v>13226.14076437</v>
      </c>
      <c r="AC67" s="7">
        <v>12895.48724527</v>
      </c>
    </row>
    <row r="68" spans="1:29" x14ac:dyDescent="0.85">
      <c r="A68" t="s">
        <v>166</v>
      </c>
      <c r="B68" s="7">
        <v>3628.8983019000002</v>
      </c>
      <c r="C68" s="7">
        <v>3538.1758412899999</v>
      </c>
      <c r="D68" s="7">
        <v>3449.7206206400001</v>
      </c>
      <c r="E68" s="7">
        <v>3363.4776096700002</v>
      </c>
      <c r="F68" s="7">
        <v>3279.3906599100001</v>
      </c>
      <c r="G68" s="7">
        <v>3196.4955589900001</v>
      </c>
      <c r="H68" s="7">
        <v>3116.58316388</v>
      </c>
      <c r="I68" s="7">
        <v>2771.2251449300002</v>
      </c>
      <c r="J68" s="7">
        <v>2417.0322155499998</v>
      </c>
      <c r="K68" s="7">
        <v>2022.67005681</v>
      </c>
      <c r="L68" s="7">
        <v>1595.57228356</v>
      </c>
      <c r="M68" s="7">
        <v>1095.40239099</v>
      </c>
      <c r="N68" s="7">
        <v>591.04080295999995</v>
      </c>
      <c r="O68" s="7">
        <v>35.985282830000003</v>
      </c>
      <c r="P68" s="7">
        <v>9.9999999999999995E-8</v>
      </c>
      <c r="Q68" s="7">
        <v>0</v>
      </c>
      <c r="R68" s="7">
        <v>0</v>
      </c>
      <c r="S68" s="7">
        <v>0</v>
      </c>
      <c r="T68" s="7">
        <v>0</v>
      </c>
      <c r="U68" s="7">
        <v>0</v>
      </c>
      <c r="V68" s="7">
        <v>0</v>
      </c>
      <c r="W68" s="7">
        <v>0</v>
      </c>
      <c r="X68" s="7">
        <v>0</v>
      </c>
      <c r="Y68" s="7">
        <v>0</v>
      </c>
      <c r="Z68" s="7">
        <v>0</v>
      </c>
      <c r="AA68" s="7">
        <v>0</v>
      </c>
      <c r="AB68" s="7">
        <v>0</v>
      </c>
      <c r="AC68" s="7">
        <v>0</v>
      </c>
    </row>
    <row r="69" spans="1:29" x14ac:dyDescent="0.85">
      <c r="A69" t="s">
        <v>167</v>
      </c>
      <c r="B69" s="7">
        <v>1</v>
      </c>
      <c r="C69" s="7">
        <v>1.0249999999999999</v>
      </c>
      <c r="D69" s="7">
        <v>1</v>
      </c>
      <c r="E69" s="7">
        <v>0.99999976000000002</v>
      </c>
      <c r="F69" s="7">
        <v>1</v>
      </c>
      <c r="G69" s="7">
        <v>1</v>
      </c>
      <c r="H69" s="7">
        <v>0.99971529000000003</v>
      </c>
      <c r="I69" s="7">
        <v>1</v>
      </c>
      <c r="J69" s="7">
        <v>0.91198663999999996</v>
      </c>
      <c r="K69" s="7">
        <v>0.89455287000000006</v>
      </c>
      <c r="L69" s="7">
        <v>0.85829778000000001</v>
      </c>
      <c r="M69" s="7">
        <v>0.80907134999999997</v>
      </c>
      <c r="N69" s="7">
        <v>0.70412956999999998</v>
      </c>
      <c r="O69" s="7">
        <v>0.55340001000000005</v>
      </c>
      <c r="P69" s="7">
        <v>6.244574E-2</v>
      </c>
      <c r="Q69" s="7">
        <v>0</v>
      </c>
      <c r="R69" s="7">
        <v>0</v>
      </c>
      <c r="S69" s="7">
        <v>5.1475000000000002E-4</v>
      </c>
      <c r="T69" s="7">
        <v>5.9029999999999998E-4</v>
      </c>
      <c r="U69" s="7">
        <v>5.0398000000000001E-4</v>
      </c>
      <c r="V69" s="7">
        <v>4.7758000000000002E-4</v>
      </c>
      <c r="W69" s="7">
        <v>7.2216000000000001E-4</v>
      </c>
      <c r="X69" s="7">
        <v>6.7940999999999997E-4</v>
      </c>
      <c r="Y69" s="7">
        <v>6.3712999999999997E-4</v>
      </c>
      <c r="Z69" s="7">
        <v>0</v>
      </c>
      <c r="AA69" s="7">
        <v>0</v>
      </c>
      <c r="AB69" s="7">
        <v>1.134E-5</v>
      </c>
      <c r="AC69" s="7">
        <v>0.99999998999999995</v>
      </c>
    </row>
    <row r="70" spans="1:29" x14ac:dyDescent="0.85">
      <c r="A70" t="s">
        <v>168</v>
      </c>
      <c r="B70" s="7">
        <v>1</v>
      </c>
      <c r="C70" s="7">
        <v>1</v>
      </c>
      <c r="D70" s="7">
        <v>0.99999976000000002</v>
      </c>
      <c r="E70" s="7">
        <v>1</v>
      </c>
      <c r="F70" s="7">
        <v>1</v>
      </c>
      <c r="G70" s="7">
        <v>0.99971529000000003</v>
      </c>
      <c r="H70" s="7">
        <v>1</v>
      </c>
      <c r="I70" s="7">
        <v>0.91198663999999996</v>
      </c>
      <c r="J70" s="7">
        <v>0.89455287000000006</v>
      </c>
      <c r="K70" s="7">
        <v>0.85829778000000001</v>
      </c>
      <c r="L70" s="7">
        <v>0.80907134999999997</v>
      </c>
      <c r="M70" s="7">
        <v>0.70412956999999998</v>
      </c>
      <c r="N70" s="7">
        <v>0.55340001000000005</v>
      </c>
      <c r="O70" s="7">
        <v>6.244574E-2</v>
      </c>
      <c r="P70" s="7">
        <v>0</v>
      </c>
      <c r="Q70" s="7">
        <v>0</v>
      </c>
      <c r="R70" s="7">
        <v>5.1475000000000002E-4</v>
      </c>
      <c r="S70" s="7">
        <v>5.9029999999999998E-4</v>
      </c>
      <c r="T70" s="7">
        <v>5.0398000000000001E-4</v>
      </c>
      <c r="U70" s="7">
        <v>4.7758000000000002E-4</v>
      </c>
      <c r="V70" s="7">
        <v>7.2216000000000001E-4</v>
      </c>
      <c r="W70" s="7">
        <v>6.7940999999999997E-4</v>
      </c>
      <c r="X70" s="7">
        <v>6.3712999999999997E-4</v>
      </c>
      <c r="Y70" s="7">
        <v>0</v>
      </c>
      <c r="Z70" s="7">
        <v>0</v>
      </c>
      <c r="AA70" s="7">
        <v>1.134E-5</v>
      </c>
      <c r="AB70" s="7">
        <v>0.99999998999999995</v>
      </c>
      <c r="AC70" s="7">
        <v>0.96126131000000004</v>
      </c>
    </row>
    <row r="71" spans="1:29" x14ac:dyDescent="0.85">
      <c r="A71" t="s">
        <v>169</v>
      </c>
      <c r="B71" s="7">
        <v>1</v>
      </c>
      <c r="C71" s="7">
        <v>1.5107705499999999</v>
      </c>
      <c r="D71" s="7">
        <v>1.5284899999999999</v>
      </c>
      <c r="E71" s="7">
        <v>1.54726217</v>
      </c>
      <c r="F71" s="7">
        <v>1.5668677600000001</v>
      </c>
      <c r="G71" s="7">
        <v>1.5875100900000001</v>
      </c>
      <c r="H71" s="7">
        <v>1.60954624</v>
      </c>
      <c r="I71" s="7">
        <v>1.6329732699999999</v>
      </c>
      <c r="J71" s="7">
        <v>1.66555338</v>
      </c>
      <c r="K71" s="7">
        <v>1.71063564</v>
      </c>
      <c r="L71" s="7">
        <v>1.7627454300000001</v>
      </c>
      <c r="M71" s="7">
        <v>1.8189122799999999</v>
      </c>
      <c r="N71" s="7">
        <v>1.8815055000000001</v>
      </c>
      <c r="O71" s="7">
        <v>1.9622747300000001</v>
      </c>
      <c r="P71" s="7">
        <v>2.05110058</v>
      </c>
      <c r="Q71" s="7">
        <v>2.12661071</v>
      </c>
      <c r="R71" s="7">
        <v>2.2152015199999999</v>
      </c>
      <c r="S71" s="7">
        <v>2.3100644799999999</v>
      </c>
      <c r="T71" s="7">
        <v>2.4116134900000001</v>
      </c>
      <c r="U71" s="7">
        <v>2.5168963400000002</v>
      </c>
      <c r="V71" s="7">
        <v>2.6332678199999999</v>
      </c>
      <c r="W71" s="7">
        <v>2.7581773200000002</v>
      </c>
      <c r="X71" s="7">
        <v>2.8938169600000001</v>
      </c>
      <c r="Y71" s="7">
        <v>3.0401574400000002</v>
      </c>
      <c r="Z71" s="7">
        <v>3.1928009300000002</v>
      </c>
      <c r="AA71" s="7">
        <v>3.3169175100000001</v>
      </c>
      <c r="AB71" s="7">
        <v>3.4477856299999998</v>
      </c>
      <c r="AC71" s="7">
        <v>3.5793426199999998</v>
      </c>
    </row>
    <row r="72" spans="1:29" x14ac:dyDescent="0.85">
      <c r="A72" t="s">
        <v>170</v>
      </c>
      <c r="B72" s="7">
        <v>0</v>
      </c>
      <c r="C72" s="7">
        <v>35.35163498</v>
      </c>
      <c r="D72" s="7">
        <v>36.069166199999998</v>
      </c>
      <c r="E72" s="7">
        <v>34.396075170000003</v>
      </c>
      <c r="F72" s="7">
        <v>30.99707356</v>
      </c>
      <c r="G72" s="7">
        <v>28.694893369999999</v>
      </c>
      <c r="H72" s="7">
        <v>33.741270499999999</v>
      </c>
      <c r="I72" s="7">
        <v>32.066643470000002</v>
      </c>
      <c r="J72" s="7">
        <v>28.859979119999998</v>
      </c>
      <c r="K72" s="7">
        <v>81.117747199999997</v>
      </c>
      <c r="L72" s="7">
        <v>188.16496339</v>
      </c>
      <c r="M72" s="7">
        <v>610.68746391000002</v>
      </c>
      <c r="N72" s="7">
        <v>856.73530249999999</v>
      </c>
      <c r="O72" s="7">
        <v>1326.15164061</v>
      </c>
      <c r="P72" s="7">
        <v>1193.7782737499999</v>
      </c>
      <c r="Q72" s="7">
        <v>1074.40044951</v>
      </c>
      <c r="R72" s="7">
        <v>966.96040456000003</v>
      </c>
      <c r="S72" s="7">
        <v>870.26436409999997</v>
      </c>
      <c r="T72" s="7">
        <v>783.23869041</v>
      </c>
      <c r="U72" s="7">
        <v>704.91482180000003</v>
      </c>
      <c r="V72" s="7">
        <v>634.42333961999998</v>
      </c>
      <c r="W72" s="7">
        <v>570.98111275999997</v>
      </c>
      <c r="X72" s="7">
        <v>513.88300147999996</v>
      </c>
      <c r="Y72" s="7">
        <v>462.69202016000003</v>
      </c>
      <c r="Z72" s="7">
        <v>416.42411745999999</v>
      </c>
      <c r="AA72" s="7">
        <v>375.25424038</v>
      </c>
      <c r="AB72" s="7">
        <v>360.51646833000001</v>
      </c>
      <c r="AC72" s="7">
        <v>324.90686313999998</v>
      </c>
    </row>
    <row r="73" spans="1:29" x14ac:dyDescent="0.85">
      <c r="A73" t="s">
        <v>171</v>
      </c>
      <c r="B73" s="7">
        <v>0</v>
      </c>
      <c r="C73" s="7">
        <v>8.8379044800000006</v>
      </c>
      <c r="D73" s="7">
        <v>1.06317716</v>
      </c>
      <c r="E73" s="7">
        <v>0</v>
      </c>
      <c r="F73" s="7">
        <v>0.49360862</v>
      </c>
      <c r="G73" s="7">
        <v>0.19937949999999999</v>
      </c>
      <c r="H73" s="7">
        <v>1.8855727799999999</v>
      </c>
      <c r="I73" s="7">
        <v>0.51826874000000001</v>
      </c>
      <c r="J73" s="7">
        <v>0</v>
      </c>
      <c r="K73" s="7">
        <v>13.78594272</v>
      </c>
      <c r="L73" s="7">
        <v>28.789748620000001</v>
      </c>
      <c r="M73" s="7">
        <v>110.33474274</v>
      </c>
      <c r="N73" s="7">
        <v>76.779152659999994</v>
      </c>
      <c r="O73" s="7">
        <v>138.77246706</v>
      </c>
      <c r="P73" s="7">
        <v>6.0370409999999999E-2</v>
      </c>
      <c r="Q73" s="7">
        <v>7.8220000000000007E-5</v>
      </c>
      <c r="R73" s="7">
        <v>1.88E-6</v>
      </c>
      <c r="S73" s="7">
        <v>0</v>
      </c>
      <c r="T73" s="7">
        <v>200.89004983999999</v>
      </c>
      <c r="U73" s="7">
        <v>241.11129387</v>
      </c>
      <c r="V73" s="7">
        <v>291.75900347999999</v>
      </c>
      <c r="W73" s="7">
        <v>142.74527817000001</v>
      </c>
      <c r="X73" s="7">
        <v>128.47075036999999</v>
      </c>
      <c r="Y73" s="7">
        <v>115.67300502000001</v>
      </c>
      <c r="Z73" s="7">
        <v>104.10602830000001</v>
      </c>
      <c r="AA73" s="7">
        <v>93.813559560000002</v>
      </c>
      <c r="AB73" s="7">
        <v>90.103195409999998</v>
      </c>
      <c r="AC73" s="7">
        <v>106.77907048</v>
      </c>
    </row>
    <row r="74" spans="1:29" x14ac:dyDescent="0.85">
      <c r="A74" t="s">
        <v>172</v>
      </c>
      <c r="B74" s="7">
        <v>0</v>
      </c>
      <c r="C74" s="7">
        <v>8.8379044800000006</v>
      </c>
      <c r="D74" s="7">
        <v>1.06317716</v>
      </c>
      <c r="E74" s="7">
        <v>0</v>
      </c>
      <c r="F74" s="7">
        <v>0.49360862</v>
      </c>
      <c r="G74" s="7">
        <v>0.19937949999999999</v>
      </c>
      <c r="H74" s="7">
        <v>1.8855727799999999</v>
      </c>
      <c r="I74" s="7">
        <v>0.51826874000000001</v>
      </c>
      <c r="J74" s="7">
        <v>0</v>
      </c>
      <c r="K74" s="7">
        <v>13.78594272</v>
      </c>
      <c r="L74" s="7">
        <v>28.789748620000001</v>
      </c>
      <c r="M74" s="7">
        <v>110.33474274</v>
      </c>
      <c r="N74" s="7">
        <v>76.779152659999994</v>
      </c>
      <c r="O74" s="7">
        <v>138.77246706</v>
      </c>
      <c r="P74" s="7">
        <v>6.0370409999999999E-2</v>
      </c>
      <c r="Q74" s="7">
        <v>7.8220000000000007E-5</v>
      </c>
      <c r="R74" s="7">
        <v>1.88E-6</v>
      </c>
      <c r="S74" s="7">
        <v>0</v>
      </c>
      <c r="T74" s="7">
        <v>200.89004983999999</v>
      </c>
      <c r="U74" s="7">
        <v>241.11129387</v>
      </c>
      <c r="V74" s="7">
        <v>291.75900347999999</v>
      </c>
      <c r="W74" s="7">
        <v>142.74527817000001</v>
      </c>
      <c r="X74" s="7">
        <v>128.47075036999999</v>
      </c>
      <c r="Y74" s="7">
        <v>115.67300502000001</v>
      </c>
      <c r="Z74" s="7">
        <v>104.10602830000001</v>
      </c>
      <c r="AA74" s="7">
        <v>93.813559560000002</v>
      </c>
      <c r="AB74" s="7">
        <v>90.103195409999998</v>
      </c>
      <c r="AC74" s="7">
        <v>106.77907048</v>
      </c>
    </row>
    <row r="75" spans="1:29" x14ac:dyDescent="0.85">
      <c r="A75" t="s">
        <v>173</v>
      </c>
      <c r="B75" s="7">
        <v>0</v>
      </c>
      <c r="C75" s="7">
        <v>9.3883303799999993</v>
      </c>
      <c r="D75" s="7">
        <v>9.5787755600000004</v>
      </c>
      <c r="E75" s="7">
        <v>9.1344440500000008</v>
      </c>
      <c r="F75" s="7">
        <v>8.2317900099999992</v>
      </c>
      <c r="G75" s="7">
        <v>7.6204041</v>
      </c>
      <c r="H75" s="7">
        <v>8.9605758499999997</v>
      </c>
      <c r="I75" s="7">
        <v>8.5158322399999999</v>
      </c>
      <c r="J75" s="7">
        <v>7.6642425999999997</v>
      </c>
      <c r="K75" s="7">
        <v>21.5423431</v>
      </c>
      <c r="L75" s="7">
        <v>49.970700350000001</v>
      </c>
      <c r="M75" s="7">
        <v>162.17962951999999</v>
      </c>
      <c r="N75" s="7">
        <v>227.52122184999999</v>
      </c>
      <c r="O75" s="7">
        <v>352.18331239999998</v>
      </c>
      <c r="P75" s="7">
        <v>317.02747541000002</v>
      </c>
      <c r="Q75" s="7">
        <v>285.32472796000002</v>
      </c>
      <c r="R75" s="7">
        <v>256.79225516000002</v>
      </c>
      <c r="S75" s="7">
        <v>231.11302964000001</v>
      </c>
      <c r="T75" s="7">
        <v>208.00469548999999</v>
      </c>
      <c r="U75" s="7">
        <v>187.20505652</v>
      </c>
      <c r="V75" s="7">
        <v>168.48558030000001</v>
      </c>
      <c r="W75" s="7">
        <v>151.63540055000001</v>
      </c>
      <c r="X75" s="7">
        <v>136.47186049000001</v>
      </c>
      <c r="Y75" s="7">
        <v>122.87707639</v>
      </c>
      <c r="Z75" s="7">
        <v>110.58971381000001</v>
      </c>
      <c r="AA75" s="7">
        <v>99.656233409999999</v>
      </c>
      <c r="AB75" s="7">
        <v>95.742324310000001</v>
      </c>
      <c r="AC75" s="7">
        <v>86.285837020000002</v>
      </c>
    </row>
    <row r="76" spans="1:29" x14ac:dyDescent="0.85">
      <c r="A76" t="s">
        <v>174</v>
      </c>
      <c r="B76" s="7">
        <v>0</v>
      </c>
      <c r="C76" s="7">
        <v>1.9660000000000002E-5</v>
      </c>
      <c r="D76" s="7">
        <v>4.7299999999999996E-6</v>
      </c>
      <c r="E76" s="7">
        <v>0</v>
      </c>
      <c r="F76" s="7">
        <v>4.3900000000000003E-6</v>
      </c>
      <c r="G76" s="7">
        <v>2.2199999999999999E-6</v>
      </c>
      <c r="H76" s="7">
        <v>2.5170000000000001E-5</v>
      </c>
      <c r="I76" s="7">
        <v>8.0700000000000007E-6</v>
      </c>
      <c r="J76" s="7">
        <v>0</v>
      </c>
      <c r="K76" s="7">
        <v>2.7606000000000001E-4</v>
      </c>
      <c r="L76" s="7">
        <v>6.4057000000000003E-4</v>
      </c>
      <c r="M76" s="7">
        <v>2.7004400000000001E-3</v>
      </c>
      <c r="N76" s="7">
        <v>2.0500000000000002E-3</v>
      </c>
      <c r="O76" s="7">
        <v>4.0139900000000003E-3</v>
      </c>
      <c r="P76" s="7">
        <v>1.88E-6</v>
      </c>
      <c r="Q76" s="7">
        <v>0</v>
      </c>
      <c r="R76" s="7">
        <v>0</v>
      </c>
      <c r="S76" s="7">
        <v>0</v>
      </c>
      <c r="T76" s="7">
        <v>8.0456499999999997E-3</v>
      </c>
      <c r="U76" s="7">
        <v>1.0192980000000001E-2</v>
      </c>
      <c r="V76" s="7">
        <v>1.298328E-2</v>
      </c>
      <c r="W76" s="7">
        <v>6.6697700000000002E-3</v>
      </c>
      <c r="X76" s="7">
        <v>6.2886399999999999E-3</v>
      </c>
      <c r="Y76" s="7">
        <v>5.9195699999999999E-3</v>
      </c>
      <c r="Z76" s="7">
        <v>5.5592599999999999E-3</v>
      </c>
      <c r="AA76" s="7">
        <v>5.2183799999999999E-3</v>
      </c>
      <c r="AB76" s="7">
        <v>5.2124700000000003E-3</v>
      </c>
      <c r="AC76" s="7">
        <v>6.4147500000000003E-3</v>
      </c>
    </row>
    <row r="77" spans="1:29" x14ac:dyDescent="0.85">
      <c r="A77" t="s">
        <v>175</v>
      </c>
      <c r="B77" s="7">
        <v>0</v>
      </c>
      <c r="C77" s="7">
        <v>9.7999999999999993E-7</v>
      </c>
      <c r="D77" s="7">
        <v>1.1999999999999999E-7</v>
      </c>
      <c r="E77" s="7">
        <v>0</v>
      </c>
      <c r="F77" s="7">
        <v>4.9999999999999998E-8</v>
      </c>
      <c r="G77" s="7">
        <v>2E-8</v>
      </c>
      <c r="H77" s="7">
        <v>2.1E-7</v>
      </c>
      <c r="I77" s="7">
        <v>5.9999999999999995E-8</v>
      </c>
      <c r="J77" s="7">
        <v>0</v>
      </c>
      <c r="K77" s="7">
        <v>1.53E-6</v>
      </c>
      <c r="L77" s="7">
        <v>3.1999999999999999E-6</v>
      </c>
      <c r="M77" s="7">
        <v>1.2269999999999999E-5</v>
      </c>
      <c r="N77" s="7">
        <v>8.5399999999999996E-6</v>
      </c>
      <c r="O77" s="7">
        <v>1.5440000000000001E-5</v>
      </c>
      <c r="P77" s="7">
        <v>1E-8</v>
      </c>
      <c r="Q77" s="7">
        <v>0</v>
      </c>
      <c r="R77" s="7">
        <v>0</v>
      </c>
      <c r="S77" s="7">
        <v>0</v>
      </c>
      <c r="T77" s="7">
        <v>2.2350000000000001E-5</v>
      </c>
      <c r="U77" s="7">
        <v>2.6820000000000001E-5</v>
      </c>
      <c r="V77" s="7">
        <v>3.2459999999999998E-5</v>
      </c>
      <c r="W77" s="7">
        <v>1.588E-5</v>
      </c>
      <c r="X77" s="7">
        <v>1.429E-5</v>
      </c>
      <c r="Y77" s="7">
        <v>1.287E-5</v>
      </c>
      <c r="Z77" s="7">
        <v>1.1579999999999999E-5</v>
      </c>
      <c r="AA77" s="7">
        <v>1.044E-5</v>
      </c>
      <c r="AB77" s="7">
        <v>1.0020000000000001E-5</v>
      </c>
      <c r="AC77" s="7">
        <v>1.188E-5</v>
      </c>
    </row>
    <row r="78" spans="1:29" x14ac:dyDescent="0.85">
      <c r="A78" t="s">
        <v>176</v>
      </c>
      <c r="B78" s="7">
        <v>0</v>
      </c>
      <c r="C78" s="7">
        <v>9.3882086900000008</v>
      </c>
      <c r="D78" s="7">
        <v>9.5787609200000006</v>
      </c>
      <c r="E78" s="7">
        <v>9.1344440500000008</v>
      </c>
      <c r="F78" s="7">
        <v>8.2317832099999997</v>
      </c>
      <c r="G78" s="7">
        <v>7.6204013599999998</v>
      </c>
      <c r="H78" s="7">
        <v>8.9605498899999994</v>
      </c>
      <c r="I78" s="7">
        <v>8.5158251099999998</v>
      </c>
      <c r="J78" s="7">
        <v>7.6642425999999997</v>
      </c>
      <c r="K78" s="7">
        <v>21.542153259999999</v>
      </c>
      <c r="L78" s="7">
        <v>49.970303919999999</v>
      </c>
      <c r="M78" s="7">
        <v>162.17811021</v>
      </c>
      <c r="N78" s="7">
        <v>227.52016459999999</v>
      </c>
      <c r="O78" s="7">
        <v>352.18140151</v>
      </c>
      <c r="P78" s="7">
        <v>317.02747457999999</v>
      </c>
      <c r="Q78" s="7">
        <v>285.32472796000002</v>
      </c>
      <c r="R78" s="7">
        <v>256.79225516000002</v>
      </c>
      <c r="S78" s="7">
        <v>231.11302964000001</v>
      </c>
      <c r="T78" s="7">
        <v>208.00192923</v>
      </c>
      <c r="U78" s="7">
        <v>187.20173642</v>
      </c>
      <c r="V78" s="7">
        <v>168.48156277999999</v>
      </c>
      <c r="W78" s="7">
        <v>151.63343495000001</v>
      </c>
      <c r="X78" s="7">
        <v>136.47009145000001</v>
      </c>
      <c r="Y78" s="7">
        <v>122.87548357</v>
      </c>
      <c r="Z78" s="7">
        <v>110.58828027</v>
      </c>
      <c r="AA78" s="7">
        <v>99.654941600000001</v>
      </c>
      <c r="AB78" s="7">
        <v>95.741083590000002</v>
      </c>
      <c r="AC78" s="7">
        <v>86.284366669999997</v>
      </c>
    </row>
    <row r="79" spans="1:29" x14ac:dyDescent="0.85">
      <c r="A79" t="s">
        <v>177</v>
      </c>
      <c r="B79" s="7">
        <v>0</v>
      </c>
      <c r="C79" s="7">
        <v>1.217E-4</v>
      </c>
      <c r="D79" s="7">
        <v>1.464E-5</v>
      </c>
      <c r="E79" s="7">
        <v>0</v>
      </c>
      <c r="F79" s="7">
        <v>6.8000000000000001E-6</v>
      </c>
      <c r="G79" s="7">
        <v>2.7499999999999999E-6</v>
      </c>
      <c r="H79" s="7">
        <v>2.5959999999999999E-5</v>
      </c>
      <c r="I79" s="7">
        <v>7.1400000000000002E-6</v>
      </c>
      <c r="J79" s="7">
        <v>0</v>
      </c>
      <c r="K79" s="7">
        <v>1.8982999999999999E-4</v>
      </c>
      <c r="L79" s="7">
        <v>3.9643000000000002E-4</v>
      </c>
      <c r="M79" s="7">
        <v>1.5193100000000001E-3</v>
      </c>
      <c r="N79" s="7">
        <v>1.05725E-3</v>
      </c>
      <c r="O79" s="7">
        <v>1.9109000000000001E-3</v>
      </c>
      <c r="P79" s="7">
        <v>8.2999999999999999E-7</v>
      </c>
      <c r="Q79" s="7">
        <v>0</v>
      </c>
      <c r="R79" s="7">
        <v>0</v>
      </c>
      <c r="S79" s="7">
        <v>0</v>
      </c>
      <c r="T79" s="7">
        <v>2.76626E-3</v>
      </c>
      <c r="U79" s="7">
        <v>3.3200999999999999E-3</v>
      </c>
      <c r="V79" s="7">
        <v>4.0175200000000001E-3</v>
      </c>
      <c r="W79" s="7">
        <v>1.9656000000000001E-3</v>
      </c>
      <c r="X79" s="7">
        <v>1.7690399999999999E-3</v>
      </c>
      <c r="Y79" s="7">
        <v>1.59282E-3</v>
      </c>
      <c r="Z79" s="7">
        <v>1.4335400000000001E-3</v>
      </c>
      <c r="AA79" s="7">
        <v>1.29181E-3</v>
      </c>
      <c r="AB79" s="7">
        <v>1.2407200000000001E-3</v>
      </c>
      <c r="AC79" s="7">
        <v>1.47035E-3</v>
      </c>
    </row>
    <row r="80" spans="1:29" x14ac:dyDescent="0.85">
      <c r="A80" t="s">
        <v>178</v>
      </c>
      <c r="B80" s="7">
        <v>1</v>
      </c>
      <c r="C80" s="7">
        <v>1.1000000000000001</v>
      </c>
      <c r="D80" s="7">
        <v>1.0117358700000001</v>
      </c>
      <c r="E80" s="7">
        <v>1.0013976600000001</v>
      </c>
      <c r="F80" s="7">
        <v>1.00062882</v>
      </c>
      <c r="G80" s="7">
        <v>1.0000130599999999</v>
      </c>
      <c r="H80" s="7">
        <v>1.00025359</v>
      </c>
      <c r="I80" s="7">
        <v>1.00248574</v>
      </c>
      <c r="J80" s="7">
        <v>1.00052656</v>
      </c>
      <c r="K80" s="7">
        <v>1</v>
      </c>
      <c r="L80" s="7">
        <v>1.0159631</v>
      </c>
      <c r="M80" s="7">
        <v>1.0317980099999999</v>
      </c>
      <c r="N80" s="7">
        <v>1.1161947299999999</v>
      </c>
      <c r="O80" s="7">
        <v>1.07680639</v>
      </c>
      <c r="P80" s="7">
        <v>1.13011434</v>
      </c>
      <c r="Q80" s="7">
        <v>1.0000530599999999</v>
      </c>
      <c r="R80" s="7">
        <v>1</v>
      </c>
      <c r="S80" s="7">
        <v>1</v>
      </c>
      <c r="T80" s="7">
        <v>1</v>
      </c>
      <c r="U80" s="7">
        <v>1.00000014</v>
      </c>
      <c r="V80" s="7">
        <v>1</v>
      </c>
      <c r="W80" s="7">
        <v>1</v>
      </c>
      <c r="X80" s="7">
        <v>1.0000000200000001</v>
      </c>
      <c r="Y80" s="7">
        <v>1</v>
      </c>
      <c r="Z80" s="7">
        <v>1.00002781</v>
      </c>
      <c r="AA80" s="7">
        <v>1.0000001700000001</v>
      </c>
      <c r="AB80" s="7">
        <v>1.0000616</v>
      </c>
      <c r="AC80" s="7">
        <v>1.00288263</v>
      </c>
    </row>
    <row r="81" spans="1:29" x14ac:dyDescent="0.85">
      <c r="A81" t="s">
        <v>179</v>
      </c>
      <c r="B81" s="7">
        <v>1</v>
      </c>
      <c r="C81" s="7">
        <v>1.0117358700000001</v>
      </c>
      <c r="D81" s="7">
        <v>1.0013976600000001</v>
      </c>
      <c r="E81" s="7">
        <v>1.00062882</v>
      </c>
      <c r="F81" s="7">
        <v>1.0000130599999999</v>
      </c>
      <c r="G81" s="7">
        <v>1.00025359</v>
      </c>
      <c r="H81" s="7">
        <v>1.00248574</v>
      </c>
      <c r="I81" s="7">
        <v>1.00052656</v>
      </c>
      <c r="J81" s="7">
        <v>1</v>
      </c>
      <c r="K81" s="7">
        <v>1.0159631</v>
      </c>
      <c r="L81" s="7">
        <v>1.0317980099999999</v>
      </c>
      <c r="M81" s="7">
        <v>1.1161947299999999</v>
      </c>
      <c r="N81" s="7">
        <v>1.07680639</v>
      </c>
      <c r="O81" s="7">
        <v>1.13011434</v>
      </c>
      <c r="P81" s="7">
        <v>1.0000530599999999</v>
      </c>
      <c r="Q81" s="7">
        <v>1</v>
      </c>
      <c r="R81" s="7">
        <v>1</v>
      </c>
      <c r="S81" s="7">
        <v>1</v>
      </c>
      <c r="T81" s="7">
        <v>1.00000014</v>
      </c>
      <c r="U81" s="7">
        <v>1</v>
      </c>
      <c r="V81" s="7">
        <v>1</v>
      </c>
      <c r="W81" s="7">
        <v>1.0000000200000001</v>
      </c>
      <c r="X81" s="7">
        <v>1</v>
      </c>
      <c r="Y81" s="7">
        <v>1.00002781</v>
      </c>
      <c r="Z81" s="7">
        <v>1.0000001700000001</v>
      </c>
      <c r="AA81" s="7">
        <v>1.0000616</v>
      </c>
      <c r="AB81" s="7">
        <v>1.00288263</v>
      </c>
      <c r="AC81" s="7">
        <v>1.0000544</v>
      </c>
    </row>
    <row r="82" spans="1:29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215BAC-8038-4AAA-9AD5-C6D6A57BF42E}">
  <sheetPr codeName="Sheet10"/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1" width="10.65234375" bestFit="1" customWidth="1"/>
    <col min="22" max="29" width="12.15234375" bestFit="1" customWidth="1"/>
  </cols>
  <sheetData>
    <row r="1" spans="1:29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</row>
    <row r="2" spans="1:29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</row>
    <row r="3" spans="1:29" x14ac:dyDescent="0.85">
      <c r="A3" t="s">
        <v>69</v>
      </c>
      <c r="B3" s="7">
        <v>0</v>
      </c>
      <c r="C3" s="7">
        <v>20</v>
      </c>
      <c r="D3" s="7">
        <v>40</v>
      </c>
      <c r="E3" s="7">
        <v>60</v>
      </c>
      <c r="F3" s="7">
        <v>80</v>
      </c>
      <c r="G3" s="7">
        <v>100</v>
      </c>
      <c r="H3" s="7">
        <v>120</v>
      </c>
      <c r="I3" s="7">
        <v>140</v>
      </c>
      <c r="J3" s="7">
        <v>160</v>
      </c>
      <c r="K3" s="7">
        <v>180</v>
      </c>
      <c r="L3" s="7">
        <v>200</v>
      </c>
      <c r="M3" s="7">
        <v>220</v>
      </c>
      <c r="N3" s="7">
        <v>240</v>
      </c>
      <c r="O3" s="7">
        <v>260</v>
      </c>
      <c r="P3" s="7">
        <v>280</v>
      </c>
      <c r="Q3" s="7">
        <v>300</v>
      </c>
      <c r="R3" s="7">
        <v>320</v>
      </c>
      <c r="S3" s="7">
        <v>340</v>
      </c>
      <c r="T3" s="7">
        <v>360</v>
      </c>
      <c r="U3" s="7">
        <v>380</v>
      </c>
      <c r="V3" s="7">
        <v>400</v>
      </c>
      <c r="W3" s="7">
        <v>420</v>
      </c>
      <c r="X3" s="7">
        <v>440</v>
      </c>
      <c r="Y3" s="7">
        <v>460</v>
      </c>
      <c r="Z3" s="7">
        <v>480</v>
      </c>
      <c r="AA3" s="7">
        <v>500</v>
      </c>
      <c r="AB3" s="7">
        <v>520</v>
      </c>
      <c r="AC3" s="7">
        <v>540</v>
      </c>
    </row>
    <row r="4" spans="1:29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</row>
    <row r="5" spans="1:29" x14ac:dyDescent="0.85">
      <c r="A5" t="s">
        <v>105</v>
      </c>
      <c r="B5" s="7">
        <v>151744.6</v>
      </c>
      <c r="C5" s="7">
        <v>153140.24472511001</v>
      </c>
      <c r="D5" s="7">
        <v>154800.68042257</v>
      </c>
      <c r="E5" s="7">
        <v>156554.38614086999</v>
      </c>
      <c r="F5" s="7">
        <v>158463.46242413</v>
      </c>
      <c r="G5" s="7">
        <v>163974.93308131001</v>
      </c>
      <c r="H5" s="7">
        <v>174824.07767813001</v>
      </c>
      <c r="I5" s="7">
        <v>186429.06290021</v>
      </c>
      <c r="J5" s="7">
        <v>195680.36695200999</v>
      </c>
      <c r="K5" s="7">
        <v>205197.12210233</v>
      </c>
      <c r="L5" s="7">
        <v>215541.50611207</v>
      </c>
      <c r="M5" s="7">
        <v>234952.47610216</v>
      </c>
      <c r="N5" s="7">
        <v>248208.10857519999</v>
      </c>
      <c r="O5" s="7">
        <v>254914.05290579001</v>
      </c>
      <c r="P5" s="7">
        <v>261746.02206123999</v>
      </c>
      <c r="Q5" s="7">
        <v>272680.05546102999</v>
      </c>
      <c r="R5" s="7">
        <v>281630.54188804998</v>
      </c>
      <c r="S5" s="7">
        <v>289053.83604830998</v>
      </c>
      <c r="T5" s="7">
        <v>296656.37736804999</v>
      </c>
      <c r="U5" s="7">
        <v>304441.69599817001</v>
      </c>
      <c r="V5" s="7">
        <v>312013.03096569999</v>
      </c>
      <c r="W5" s="7">
        <v>319720.89233890001</v>
      </c>
      <c r="X5" s="7">
        <v>327563.99282129999</v>
      </c>
      <c r="Y5" s="7">
        <v>337864.99905356998</v>
      </c>
      <c r="Z5" s="7">
        <v>349299.18016911001</v>
      </c>
      <c r="AA5" s="7">
        <v>361225.12847925001</v>
      </c>
      <c r="AB5" s="7">
        <v>372684.25678353</v>
      </c>
      <c r="AC5" s="7">
        <v>383802.62926640001</v>
      </c>
    </row>
    <row r="6" spans="1:29" x14ac:dyDescent="0.85">
      <c r="A6" t="s">
        <v>106</v>
      </c>
      <c r="B6" s="7">
        <v>652731210.88752496</v>
      </c>
      <c r="C6" s="7">
        <v>666136449.90682304</v>
      </c>
      <c r="D6" s="7">
        <v>679809793.87569499</v>
      </c>
      <c r="E6" s="7">
        <v>693756607.84624898</v>
      </c>
      <c r="F6" s="7">
        <v>707982356.01895106</v>
      </c>
      <c r="G6" s="7">
        <v>722492619.28310502</v>
      </c>
      <c r="H6" s="7">
        <v>737293087.41145504</v>
      </c>
      <c r="I6" s="7">
        <v>752389554.48419201</v>
      </c>
      <c r="J6" s="7">
        <v>767787949.11663401</v>
      </c>
      <c r="K6" s="7">
        <v>783494289.11001003</v>
      </c>
      <c r="L6" s="7">
        <v>799514793.83224106</v>
      </c>
      <c r="M6" s="7">
        <v>815855764.10687602</v>
      </c>
      <c r="N6" s="7">
        <v>832523495.38097298</v>
      </c>
      <c r="O6" s="7">
        <v>849524570.38491404</v>
      </c>
      <c r="P6" s="7">
        <v>866880085.40585494</v>
      </c>
      <c r="Q6" s="7">
        <v>885122262.66922498</v>
      </c>
      <c r="R6" s="7">
        <v>905900017.82004404</v>
      </c>
      <c r="S6" s="7">
        <v>931106886.00677705</v>
      </c>
      <c r="T6" s="7">
        <v>962087007.57618594</v>
      </c>
      <c r="U6" s="7">
        <v>999248672.73876595</v>
      </c>
      <c r="V6" s="7">
        <v>1029400006.11242</v>
      </c>
      <c r="W6" s="7">
        <v>1059787683.37877</v>
      </c>
      <c r="X6" s="7">
        <v>1090046376.72205</v>
      </c>
      <c r="Y6" s="7">
        <v>1121699354.22124</v>
      </c>
      <c r="Z6" s="7">
        <v>1154533347.8733101</v>
      </c>
      <c r="AA6" s="7">
        <v>1188444101.2267301</v>
      </c>
      <c r="AB6" s="7">
        <v>1222948468.3959701</v>
      </c>
      <c r="AC6" s="7">
        <v>1258540113.60833</v>
      </c>
    </row>
    <row r="7" spans="1:29" x14ac:dyDescent="0.85">
      <c r="A7" t="s">
        <v>107</v>
      </c>
      <c r="B7" s="7">
        <v>652731210.88752496</v>
      </c>
      <c r="C7" s="7">
        <v>666136451.09527504</v>
      </c>
      <c r="D7" s="7">
        <v>679809796.10718095</v>
      </c>
      <c r="E7" s="7">
        <v>693756608.01932395</v>
      </c>
      <c r="F7" s="7">
        <v>707982356.16971099</v>
      </c>
      <c r="G7" s="7">
        <v>722492619.28310502</v>
      </c>
      <c r="H7" s="7">
        <v>737293087.65876698</v>
      </c>
      <c r="I7" s="7">
        <v>752389565.40194201</v>
      </c>
      <c r="J7" s="7">
        <v>767787972.69998097</v>
      </c>
      <c r="K7" s="7">
        <v>783494348.14398098</v>
      </c>
      <c r="L7" s="7">
        <v>799514851.096861</v>
      </c>
      <c r="M7" s="7">
        <v>815855764.10879803</v>
      </c>
      <c r="N7" s="7">
        <v>832523495.38097405</v>
      </c>
      <c r="O7" s="7">
        <v>849524581.27859294</v>
      </c>
      <c r="P7" s="7">
        <v>866865688.89416504</v>
      </c>
      <c r="Q7" s="7">
        <v>884553618.66204906</v>
      </c>
      <c r="R7" s="7">
        <v>902595307.02529001</v>
      </c>
      <c r="S7" s="7">
        <v>920997829.15579498</v>
      </c>
      <c r="T7" s="7">
        <v>939768401.72891104</v>
      </c>
      <c r="U7" s="7">
        <v>958914385.75348997</v>
      </c>
      <c r="V7" s="7">
        <v>978443289.45855904</v>
      </c>
      <c r="W7" s="7">
        <v>998362771.23773098</v>
      </c>
      <c r="X7" s="7">
        <v>1018680642.65248</v>
      </c>
      <c r="Y7" s="7">
        <v>1039404871.49553</v>
      </c>
      <c r="Z7" s="7">
        <v>1060543584.91544</v>
      </c>
      <c r="AA7" s="7">
        <v>1082105072.60375</v>
      </c>
      <c r="AB7" s="7">
        <v>1104097790.04583</v>
      </c>
      <c r="AC7" s="7">
        <v>1126530361.83674</v>
      </c>
    </row>
    <row r="8" spans="1:29" x14ac:dyDescent="0.85">
      <c r="A8" t="s">
        <v>108</v>
      </c>
      <c r="B8" s="7">
        <v>64387.190460940001</v>
      </c>
      <c r="C8" s="7">
        <v>63728.362627189999</v>
      </c>
      <c r="D8" s="7">
        <v>63154.618761500002</v>
      </c>
      <c r="E8" s="7">
        <v>62602.622885750003</v>
      </c>
      <c r="F8" s="7">
        <v>62106.847209389998</v>
      </c>
      <c r="G8" s="7">
        <v>62793.935595160001</v>
      </c>
      <c r="H8" s="7">
        <v>64560.541283109997</v>
      </c>
      <c r="I8" s="7">
        <v>66523.679261359997</v>
      </c>
      <c r="J8" s="7">
        <v>68252.725049829998</v>
      </c>
      <c r="K8" s="7">
        <v>69889.973993930005</v>
      </c>
      <c r="L8" s="7">
        <v>72011.57527786</v>
      </c>
      <c r="M8" s="7">
        <v>80896.642063079998</v>
      </c>
      <c r="N8" s="7">
        <v>89123.492512960001</v>
      </c>
      <c r="O8" s="7">
        <v>96250.368532499997</v>
      </c>
      <c r="P8" s="7">
        <v>103664.11759705</v>
      </c>
      <c r="Q8" s="7">
        <v>112073.05821079</v>
      </c>
      <c r="R8" s="7">
        <v>120320.80084066</v>
      </c>
      <c r="S8" s="7">
        <v>128449.7698862</v>
      </c>
      <c r="T8" s="7">
        <v>136772.05851524</v>
      </c>
      <c r="U8" s="7">
        <v>145291.80187701</v>
      </c>
      <c r="V8" s="7">
        <v>149589.05501715001</v>
      </c>
      <c r="W8" s="7">
        <v>153594.54703623001</v>
      </c>
      <c r="X8" s="7">
        <v>157279.56197462001</v>
      </c>
      <c r="Y8" s="7">
        <v>161402.92501623</v>
      </c>
      <c r="Z8" s="7">
        <v>165737.80347710001</v>
      </c>
      <c r="AA8" s="7">
        <v>170177.42778873001</v>
      </c>
      <c r="AB8" s="7">
        <v>174520.49133456001</v>
      </c>
      <c r="AC8" s="7">
        <v>178934.20226788</v>
      </c>
    </row>
    <row r="9" spans="1:29" x14ac:dyDescent="0.85">
      <c r="A9" t="s">
        <v>109</v>
      </c>
      <c r="B9" s="7">
        <v>12076.74519249</v>
      </c>
      <c r="C9" s="7">
        <v>12518.97500393</v>
      </c>
      <c r="D9" s="7">
        <v>12967.932468610001</v>
      </c>
      <c r="E9" s="7">
        <v>13429.401512210001</v>
      </c>
      <c r="F9" s="7">
        <v>13888.03798637</v>
      </c>
      <c r="G9" s="7">
        <v>13992.301290949999</v>
      </c>
      <c r="H9" s="7">
        <v>14050.75640728</v>
      </c>
      <c r="I9" s="7">
        <v>14096.56371386</v>
      </c>
      <c r="J9" s="7">
        <v>14177.831535560001</v>
      </c>
      <c r="K9" s="7">
        <v>14276.356338150001</v>
      </c>
      <c r="L9" s="7">
        <v>14337.832296320001</v>
      </c>
      <c r="M9" s="7">
        <v>13794.472559440001</v>
      </c>
      <c r="N9" s="7">
        <v>13101.4193053</v>
      </c>
      <c r="O9" s="7">
        <v>12470.474512479999</v>
      </c>
      <c r="P9" s="7">
        <v>11813.70612126</v>
      </c>
      <c r="Q9" s="7">
        <v>11038.684132939999</v>
      </c>
      <c r="R9" s="7">
        <v>10357.864166449999</v>
      </c>
      <c r="S9" s="7">
        <v>9808.7667777700008</v>
      </c>
      <c r="T9" s="7">
        <v>9378.2322224700001</v>
      </c>
      <c r="U9" s="7">
        <v>9075.6053378100005</v>
      </c>
      <c r="V9" s="7">
        <v>9061.7598652399993</v>
      </c>
      <c r="W9" s="7">
        <v>9084.4198260499998</v>
      </c>
      <c r="X9" s="7">
        <v>9137.6969756300005</v>
      </c>
      <c r="Y9" s="7">
        <v>9159.1770236600005</v>
      </c>
      <c r="Z9" s="7">
        <v>9175.2397476499991</v>
      </c>
      <c r="AA9" s="7">
        <v>9198.4518294600002</v>
      </c>
      <c r="AB9" s="7">
        <v>9245.5416857100008</v>
      </c>
      <c r="AC9" s="7">
        <v>9310.1892120600005</v>
      </c>
    </row>
    <row r="10" spans="1:29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3.8000000000000001E-7</v>
      </c>
    </row>
    <row r="11" spans="1:29" x14ac:dyDescent="0.85">
      <c r="A11" t="s">
        <v>37</v>
      </c>
      <c r="B11" s="7">
        <v>0</v>
      </c>
      <c r="C11" s="7">
        <v>6376.31620114</v>
      </c>
      <c r="D11" s="7">
        <v>13046.474219260001</v>
      </c>
      <c r="E11" s="7">
        <v>20026.82991692</v>
      </c>
      <c r="F11" s="7">
        <v>27310.433798909999</v>
      </c>
      <c r="G11" s="7">
        <v>34031.561893110003</v>
      </c>
      <c r="H11" s="7">
        <v>39634.936558699999</v>
      </c>
      <c r="I11" s="7">
        <v>44752.397821339997</v>
      </c>
      <c r="J11" s="7">
        <v>50094.929635820001</v>
      </c>
      <c r="K11" s="7">
        <v>55297.178440880001</v>
      </c>
      <c r="L11" s="7">
        <v>59861.994275019999</v>
      </c>
      <c r="M11" s="7">
        <v>57344.834958369996</v>
      </c>
      <c r="N11" s="7">
        <v>55720.59115534</v>
      </c>
      <c r="O11" s="7">
        <v>54784.78943443</v>
      </c>
      <c r="P11" s="7">
        <v>52733.030392480003</v>
      </c>
      <c r="Q11" s="7">
        <v>49020.390085469997</v>
      </c>
      <c r="R11" s="7">
        <v>44798.433788369999</v>
      </c>
      <c r="S11" s="7">
        <v>40441.619183349998</v>
      </c>
      <c r="T11" s="7">
        <v>36021.047776790001</v>
      </c>
      <c r="U11" s="7">
        <v>31735.705927179999</v>
      </c>
      <c r="V11" s="7">
        <v>31722.84045095</v>
      </c>
      <c r="W11" s="7">
        <v>32068.505134409999</v>
      </c>
      <c r="X11" s="7">
        <v>32815.517151619999</v>
      </c>
      <c r="Y11" s="7">
        <v>33264.701900319997</v>
      </c>
      <c r="Z11" s="7">
        <v>33605.923601050003</v>
      </c>
      <c r="AA11" s="7">
        <v>33942.862199850002</v>
      </c>
      <c r="AB11" s="7">
        <v>34460.669913010002</v>
      </c>
      <c r="AC11" s="7">
        <v>35001.622361109999</v>
      </c>
    </row>
    <row r="12" spans="1:29" x14ac:dyDescent="0.85">
      <c r="A12" t="s">
        <v>111</v>
      </c>
      <c r="B12" s="7">
        <v>76463.935653430002</v>
      </c>
      <c r="C12" s="7">
        <v>76247.33763111</v>
      </c>
      <c r="D12" s="7">
        <v>76122.551230099998</v>
      </c>
      <c r="E12" s="7">
        <v>76032.024397960005</v>
      </c>
      <c r="F12" s="7">
        <v>75994.885195759998</v>
      </c>
      <c r="G12" s="7">
        <v>76786.236886109997</v>
      </c>
      <c r="H12" s="7">
        <v>78611.297690399995</v>
      </c>
      <c r="I12" s="7">
        <v>80620.242975219997</v>
      </c>
      <c r="J12" s="7">
        <v>82430.556585390004</v>
      </c>
      <c r="K12" s="7">
        <v>84166.330332080004</v>
      </c>
      <c r="L12" s="7">
        <v>86349.407574180004</v>
      </c>
      <c r="M12" s="7">
        <v>94691.114622520006</v>
      </c>
      <c r="N12" s="7">
        <v>102224.91181826001</v>
      </c>
      <c r="O12" s="7">
        <v>108720.84304498001</v>
      </c>
      <c r="P12" s="7">
        <v>115477.82371831</v>
      </c>
      <c r="Q12" s="7">
        <v>123111.74234374</v>
      </c>
      <c r="R12" s="7">
        <v>130678.66500711</v>
      </c>
      <c r="S12" s="7">
        <v>138258.53666397001</v>
      </c>
      <c r="T12" s="7">
        <v>146150.29073770001</v>
      </c>
      <c r="U12" s="7">
        <v>154367.40721482001</v>
      </c>
      <c r="V12" s="7">
        <v>158650.81488239</v>
      </c>
      <c r="W12" s="7">
        <v>162678.96686228001</v>
      </c>
      <c r="X12" s="7">
        <v>166417.25895024999</v>
      </c>
      <c r="Y12" s="7">
        <v>170562.10203988999</v>
      </c>
      <c r="Z12" s="7">
        <v>174913.04322476001</v>
      </c>
      <c r="AA12" s="7">
        <v>179375.87961819</v>
      </c>
      <c r="AB12" s="7">
        <v>183766.03302027</v>
      </c>
      <c r="AC12" s="7">
        <v>188244.39148031001</v>
      </c>
    </row>
    <row r="13" spans="1:29" x14ac:dyDescent="0.85">
      <c r="A13" t="s">
        <v>112</v>
      </c>
      <c r="B13" s="7">
        <v>76463.935653430002</v>
      </c>
      <c r="C13" s="7">
        <v>82623.653832259995</v>
      </c>
      <c r="D13" s="7">
        <v>89169.025449359993</v>
      </c>
      <c r="E13" s="7">
        <v>96058.854314879994</v>
      </c>
      <c r="F13" s="7">
        <v>103305.31899468</v>
      </c>
      <c r="G13" s="7">
        <v>110817.79877923</v>
      </c>
      <c r="H13" s="7">
        <v>118246.2342491</v>
      </c>
      <c r="I13" s="7">
        <v>125372.64079657001</v>
      </c>
      <c r="J13" s="7">
        <v>132525.48622121001</v>
      </c>
      <c r="K13" s="7">
        <v>139463.50877297</v>
      </c>
      <c r="L13" s="7">
        <v>146211.40184921</v>
      </c>
      <c r="M13" s="7">
        <v>152035.94958088</v>
      </c>
      <c r="N13" s="7">
        <v>157945.50297358999</v>
      </c>
      <c r="O13" s="7">
        <v>163505.63247941999</v>
      </c>
      <c r="P13" s="7">
        <v>168210.85411079001</v>
      </c>
      <c r="Q13" s="7">
        <v>172132.13242919999</v>
      </c>
      <c r="R13" s="7">
        <v>175477.09879548999</v>
      </c>
      <c r="S13" s="7">
        <v>178700.15584733</v>
      </c>
      <c r="T13" s="7">
        <v>182171.33851450001</v>
      </c>
      <c r="U13" s="7">
        <v>186103.11314199999</v>
      </c>
      <c r="V13" s="7">
        <v>190373.65533333999</v>
      </c>
      <c r="W13" s="7">
        <v>194747.47199669</v>
      </c>
      <c r="X13" s="7">
        <v>199232.77610188001</v>
      </c>
      <c r="Y13" s="7">
        <v>203826.80394021</v>
      </c>
      <c r="Z13" s="7">
        <v>208518.96682579999</v>
      </c>
      <c r="AA13" s="7">
        <v>213318.74181804</v>
      </c>
      <c r="AB13" s="7">
        <v>218226.70293328</v>
      </c>
      <c r="AC13" s="7">
        <v>223246.01384142</v>
      </c>
    </row>
    <row r="14" spans="1:29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</row>
    <row r="15" spans="1:29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</row>
    <row r="16" spans="1:29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</row>
    <row r="17" spans="1:29" x14ac:dyDescent="0.85">
      <c r="A17" t="s">
        <v>115</v>
      </c>
      <c r="B17" s="7">
        <v>3267.6</v>
      </c>
      <c r="C17" s="7">
        <v>3722.57126634</v>
      </c>
      <c r="D17" s="7">
        <v>3600.2432789</v>
      </c>
      <c r="E17" s="7">
        <v>3484.0974235200001</v>
      </c>
      <c r="F17" s="7">
        <v>3586.0654526799999</v>
      </c>
      <c r="G17" s="7">
        <v>3479.0977965100001</v>
      </c>
      <c r="H17" s="7">
        <v>6239.8959425100002</v>
      </c>
      <c r="I17" s="7">
        <v>9147.9291919700008</v>
      </c>
      <c r="J17" s="7">
        <v>8842.9982903500004</v>
      </c>
      <c r="K17" s="7">
        <v>8548.2317127299993</v>
      </c>
      <c r="L17" s="7">
        <v>8263.2906598200007</v>
      </c>
      <c r="M17" s="7">
        <v>10855.08438074</v>
      </c>
      <c r="N17" s="7">
        <v>14728.730194649999</v>
      </c>
      <c r="O17" s="7">
        <v>14237.77263456</v>
      </c>
      <c r="P17" s="7">
        <v>13766.932358579999</v>
      </c>
      <c r="Q17" s="7">
        <v>18058.886219780001</v>
      </c>
      <c r="R17" s="7">
        <v>19511.74459301</v>
      </c>
      <c r="S17" s="7">
        <v>18861.39083824</v>
      </c>
      <c r="T17" s="7">
        <v>18232.677817840002</v>
      </c>
      <c r="U17" s="7">
        <v>17624.92252095</v>
      </c>
      <c r="V17" s="7">
        <v>17037.425106989998</v>
      </c>
      <c r="W17" s="7">
        <v>16469.93206739</v>
      </c>
      <c r="X17" s="7">
        <v>15920.959456709999</v>
      </c>
      <c r="Y17" s="7">
        <v>18104.9503286</v>
      </c>
      <c r="Z17" s="7">
        <v>21385.339679969999</v>
      </c>
      <c r="AA17" s="7">
        <v>24971.607132829999</v>
      </c>
      <c r="AB17" s="7">
        <v>27718.793017110002</v>
      </c>
      <c r="AC17" s="7">
        <v>29774.980309070001</v>
      </c>
    </row>
    <row r="18" spans="1:29" x14ac:dyDescent="0.85">
      <c r="A18" t="s">
        <v>116</v>
      </c>
      <c r="B18" s="7">
        <v>3374158.2</v>
      </c>
      <c r="C18" s="7">
        <v>3843966.3249532599</v>
      </c>
      <c r="D18" s="7">
        <v>3717649.15580534</v>
      </c>
      <c r="E18" s="7">
        <v>3597715.7213718998</v>
      </c>
      <c r="F18" s="7">
        <v>3703008.9830108802</v>
      </c>
      <c r="G18" s="7">
        <v>3592553.0538322502</v>
      </c>
      <c r="H18" s="7">
        <v>6443382.3177749496</v>
      </c>
      <c r="I18" s="7">
        <v>9446248.1013872102</v>
      </c>
      <c r="J18" s="7">
        <v>9131373.23845095</v>
      </c>
      <c r="K18" s="7">
        <v>8826994.16360927</v>
      </c>
      <c r="L18" s="7">
        <v>8532761.0291392598</v>
      </c>
      <c r="M18" s="7">
        <v>11209074.5424638</v>
      </c>
      <c r="N18" s="7">
        <v>15209042.0375436</v>
      </c>
      <c r="O18" s="7">
        <v>14702074.0863785</v>
      </c>
      <c r="P18" s="7">
        <v>14215014.763858</v>
      </c>
      <c r="Q18" s="7">
        <v>18606848.050304201</v>
      </c>
      <c r="R18" s="7">
        <v>19909329.429135799</v>
      </c>
      <c r="S18" s="7">
        <v>18813770.115098901</v>
      </c>
      <c r="T18" s="7">
        <v>17495518.444018401</v>
      </c>
      <c r="U18" s="7">
        <v>16003374.845324</v>
      </c>
      <c r="V18" s="7">
        <v>15055010.0053</v>
      </c>
      <c r="W18" s="7">
        <v>14202412.988524999</v>
      </c>
      <c r="X18" s="7">
        <v>13447150.817431999</v>
      </c>
      <c r="Y18" s="7">
        <v>14984549.344242301</v>
      </c>
      <c r="Z18" s="7">
        <v>17352702.898621202</v>
      </c>
      <c r="AA18" s="7">
        <v>19874656.814936899</v>
      </c>
      <c r="AB18" s="7">
        <v>21660961.566831801</v>
      </c>
      <c r="AC18" s="7">
        <v>22837814.955985699</v>
      </c>
    </row>
    <row r="19" spans="1:29" x14ac:dyDescent="0.85">
      <c r="A19" t="s">
        <v>117</v>
      </c>
      <c r="B19" s="7">
        <v>3374158.2</v>
      </c>
      <c r="C19" s="7">
        <v>3843966.3249532599</v>
      </c>
      <c r="D19" s="7">
        <v>3717649.15580534</v>
      </c>
      <c r="E19" s="7">
        <v>3597715.7213718998</v>
      </c>
      <c r="F19" s="7">
        <v>3703008.9830108802</v>
      </c>
      <c r="G19" s="7">
        <v>3592553.0538322502</v>
      </c>
      <c r="H19" s="7">
        <v>6443382.3177749496</v>
      </c>
      <c r="I19" s="7">
        <v>9446248.1013872102</v>
      </c>
      <c r="J19" s="7">
        <v>9131373.23845095</v>
      </c>
      <c r="K19" s="7">
        <v>8826994.16360927</v>
      </c>
      <c r="L19" s="7">
        <v>8532761.0291392598</v>
      </c>
      <c r="M19" s="7">
        <v>11209074.5424638</v>
      </c>
      <c r="N19" s="7">
        <v>15209042.0375436</v>
      </c>
      <c r="O19" s="7">
        <v>14702074.0863785</v>
      </c>
      <c r="P19" s="7">
        <v>14215879.454814</v>
      </c>
      <c r="Q19" s="7">
        <v>18647796.248417299</v>
      </c>
      <c r="R19" s="7">
        <v>20148033.1175231</v>
      </c>
      <c r="S19" s="7">
        <v>19476470.975714602</v>
      </c>
      <c r="T19" s="7">
        <v>18827255.284316599</v>
      </c>
      <c r="U19" s="7">
        <v>18199680.7591029</v>
      </c>
      <c r="V19" s="7">
        <v>17593024.737310398</v>
      </c>
      <c r="W19" s="7">
        <v>17007025.4433356</v>
      </c>
      <c r="X19" s="7">
        <v>16440150.539454199</v>
      </c>
      <c r="Y19" s="7">
        <v>18695362.5327003</v>
      </c>
      <c r="Z19" s="7">
        <v>22082727.151723702</v>
      </c>
      <c r="AA19" s="7">
        <v>25785944.722245201</v>
      </c>
      <c r="AB19" s="7">
        <v>28622717.821266599</v>
      </c>
      <c r="AC19" s="7">
        <v>30745958.4908504</v>
      </c>
    </row>
    <row r="20" spans="1:29" x14ac:dyDescent="0.85">
      <c r="A20" t="s">
        <v>118</v>
      </c>
      <c r="B20" s="7">
        <v>667.10619917999998</v>
      </c>
      <c r="C20" s="7">
        <v>759.99215591999996</v>
      </c>
      <c r="D20" s="7">
        <v>735.01793669000006</v>
      </c>
      <c r="E20" s="7">
        <v>711.30584825999995</v>
      </c>
      <c r="F20" s="7">
        <v>732.12342212999999</v>
      </c>
      <c r="G20" s="7">
        <v>710.28513514999997</v>
      </c>
      <c r="H20" s="7">
        <v>1273.92375612</v>
      </c>
      <c r="I20" s="7">
        <v>1867.6215796399999</v>
      </c>
      <c r="J20" s="7">
        <v>1805.36754157</v>
      </c>
      <c r="K20" s="7">
        <v>1745.1886300599999</v>
      </c>
      <c r="L20" s="7">
        <v>1687.01567658</v>
      </c>
      <c r="M20" s="7">
        <v>2216.1507170499999</v>
      </c>
      <c r="N20" s="7">
        <v>3006.98592818</v>
      </c>
      <c r="O20" s="7">
        <v>2906.7530869900002</v>
      </c>
      <c r="P20" s="7">
        <v>2810.6273473199999</v>
      </c>
      <c r="Q20" s="7">
        <v>3686.8634311199999</v>
      </c>
      <c r="R20" s="7">
        <v>3983.4758767399999</v>
      </c>
      <c r="S20" s="7">
        <v>3850.7010507300001</v>
      </c>
      <c r="T20" s="7">
        <v>3722.3443505800001</v>
      </c>
      <c r="U20" s="7">
        <v>3598.2663342599999</v>
      </c>
      <c r="V20" s="7">
        <v>3478.3241238099999</v>
      </c>
      <c r="W20" s="7">
        <v>3362.4659634700001</v>
      </c>
      <c r="X20" s="7">
        <v>3250.38889414</v>
      </c>
      <c r="Y20" s="7">
        <v>3696.26778066</v>
      </c>
      <c r="Z20" s="7">
        <v>4365.9850263500002</v>
      </c>
      <c r="AA20" s="7">
        <v>5098.1496883999998</v>
      </c>
      <c r="AB20" s="7">
        <v>5659.0092592499996</v>
      </c>
      <c r="AC20" s="7">
        <v>6078.7960413399996</v>
      </c>
    </row>
    <row r="21" spans="1:29" x14ac:dyDescent="0.85">
      <c r="A21" t="s">
        <v>119</v>
      </c>
      <c r="B21" s="7">
        <v>0</v>
      </c>
      <c r="C21" s="7">
        <v>0.38439663000000002</v>
      </c>
      <c r="D21" s="7">
        <v>0.74352982999999995</v>
      </c>
      <c r="E21" s="7">
        <v>1.0793147199999999</v>
      </c>
      <c r="F21" s="7">
        <v>1.48120359</v>
      </c>
      <c r="G21" s="7">
        <v>1.7962765300000001</v>
      </c>
      <c r="H21" s="7">
        <v>3.86602939</v>
      </c>
      <c r="I21" s="7">
        <v>6.6123736700000002</v>
      </c>
      <c r="J21" s="7">
        <v>7.3050985900000001</v>
      </c>
      <c r="K21" s="7">
        <v>7.9442947500000001</v>
      </c>
      <c r="L21" s="7">
        <v>8.5327610299999996</v>
      </c>
      <c r="M21" s="7">
        <v>12.329981999999999</v>
      </c>
      <c r="N21" s="7">
        <v>18.250850450000002</v>
      </c>
      <c r="O21" s="7">
        <v>19.11269631</v>
      </c>
      <c r="P21" s="7">
        <v>19.902231239999999</v>
      </c>
      <c r="Q21" s="7">
        <v>27.971694370000002</v>
      </c>
      <c r="R21" s="7">
        <v>32.236852990000003</v>
      </c>
      <c r="S21" s="7">
        <v>33.110000659999997</v>
      </c>
      <c r="T21" s="7">
        <v>33.889059510000003</v>
      </c>
      <c r="U21" s="7">
        <v>34.579393439999997</v>
      </c>
      <c r="V21" s="7">
        <v>35.18604947</v>
      </c>
      <c r="W21" s="7">
        <v>35.714753430000002</v>
      </c>
      <c r="X21" s="7">
        <v>36.168331190000004</v>
      </c>
      <c r="Y21" s="7">
        <v>42.999333829999998</v>
      </c>
      <c r="Z21" s="7">
        <v>52.998545159999999</v>
      </c>
      <c r="AA21" s="7">
        <v>64.464861810000002</v>
      </c>
      <c r="AB21" s="7">
        <v>74.419066340000001</v>
      </c>
      <c r="AC21" s="7">
        <v>83.014087930000002</v>
      </c>
    </row>
    <row r="22" spans="1:29" x14ac:dyDescent="0.85">
      <c r="A22" t="s">
        <v>120</v>
      </c>
      <c r="B22" s="7">
        <v>1.687079E-2</v>
      </c>
      <c r="C22" s="7">
        <v>1.921983E-2</v>
      </c>
      <c r="D22" s="7">
        <v>1.8588250000000001E-2</v>
      </c>
      <c r="E22" s="7">
        <v>1.7988580000000001E-2</v>
      </c>
      <c r="F22" s="7">
        <v>1.851504E-2</v>
      </c>
      <c r="G22" s="7">
        <v>1.7962769999999999E-2</v>
      </c>
      <c r="H22" s="7">
        <v>3.2216910000000001E-2</v>
      </c>
      <c r="I22" s="7">
        <v>4.7231240000000001E-2</v>
      </c>
      <c r="J22" s="7">
        <v>4.5656870000000002E-2</v>
      </c>
      <c r="K22" s="7">
        <v>4.4134970000000003E-2</v>
      </c>
      <c r="L22" s="7">
        <v>4.2663810000000003E-2</v>
      </c>
      <c r="M22" s="7">
        <v>5.6045369999999997E-2</v>
      </c>
      <c r="N22" s="7">
        <v>7.6045210000000002E-2</v>
      </c>
      <c r="O22" s="7">
        <v>7.3510370000000005E-2</v>
      </c>
      <c r="P22" s="7">
        <v>7.1079400000000001E-2</v>
      </c>
      <c r="Q22" s="7">
        <v>9.3238979999999999E-2</v>
      </c>
      <c r="R22" s="7">
        <v>0.10074017</v>
      </c>
      <c r="S22" s="7">
        <v>9.7382350000000006E-2</v>
      </c>
      <c r="T22" s="7">
        <v>9.4136280000000003E-2</v>
      </c>
      <c r="U22" s="7">
        <v>9.0998399999999993E-2</v>
      </c>
      <c r="V22" s="7">
        <v>8.7965119999999994E-2</v>
      </c>
      <c r="W22" s="7">
        <v>8.503513E-2</v>
      </c>
      <c r="X22" s="7">
        <v>8.2200750000000003E-2</v>
      </c>
      <c r="Y22" s="7">
        <v>9.3476809999999994E-2</v>
      </c>
      <c r="Z22" s="7">
        <v>0.11041363999999999</v>
      </c>
      <c r="AA22" s="7">
        <v>0.12892972</v>
      </c>
      <c r="AB22" s="7">
        <v>0.14311359000000001</v>
      </c>
      <c r="AC22" s="7">
        <v>0.15372979000000001</v>
      </c>
    </row>
    <row r="23" spans="1:29" x14ac:dyDescent="0.85">
      <c r="A23" t="s">
        <v>121</v>
      </c>
      <c r="B23" s="7">
        <v>667.10619917999998</v>
      </c>
      <c r="C23" s="7">
        <v>759.99215591999996</v>
      </c>
      <c r="D23" s="7">
        <v>735.01793669000006</v>
      </c>
      <c r="E23" s="7">
        <v>711.30584825999995</v>
      </c>
      <c r="F23" s="7">
        <v>732.12342212999999</v>
      </c>
      <c r="G23" s="7">
        <v>710.28513514999997</v>
      </c>
      <c r="H23" s="7">
        <v>1273.92375612</v>
      </c>
      <c r="I23" s="7">
        <v>1867.6215796399999</v>
      </c>
      <c r="J23" s="7">
        <v>1805.36754157</v>
      </c>
      <c r="K23" s="7">
        <v>1745.1886300599999</v>
      </c>
      <c r="L23" s="7">
        <v>1687.01567658</v>
      </c>
      <c r="M23" s="7">
        <v>2216.1507170499999</v>
      </c>
      <c r="N23" s="7">
        <v>3006.98592818</v>
      </c>
      <c r="O23" s="7">
        <v>2906.7530869900002</v>
      </c>
      <c r="P23" s="7">
        <v>2810.6273473199999</v>
      </c>
      <c r="Q23" s="7">
        <v>3686.8634311199999</v>
      </c>
      <c r="R23" s="7">
        <v>3983.4758767399999</v>
      </c>
      <c r="S23" s="7">
        <v>3850.7010507300001</v>
      </c>
      <c r="T23" s="7">
        <v>3722.3443505800001</v>
      </c>
      <c r="U23" s="7">
        <v>3598.2663342599999</v>
      </c>
      <c r="V23" s="7">
        <v>3478.3241238099999</v>
      </c>
      <c r="W23" s="7">
        <v>3362.4659634700001</v>
      </c>
      <c r="X23" s="7">
        <v>3250.38889414</v>
      </c>
      <c r="Y23" s="7">
        <v>3696.26778066</v>
      </c>
      <c r="Z23" s="7">
        <v>4365.9850263500002</v>
      </c>
      <c r="AA23" s="7">
        <v>5098.1496883999998</v>
      </c>
      <c r="AB23" s="7">
        <v>5659.0092592499996</v>
      </c>
      <c r="AC23" s="7">
        <v>6078.7960413399996</v>
      </c>
    </row>
    <row r="24" spans="1:29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</row>
    <row r="25" spans="1:29" x14ac:dyDescent="0.85">
      <c r="A25" t="s">
        <v>123</v>
      </c>
      <c r="B25" s="7">
        <v>1</v>
      </c>
      <c r="C25" s="7">
        <v>1.03333333</v>
      </c>
      <c r="D25" s="7">
        <v>1.1785211799999999</v>
      </c>
      <c r="E25" s="7">
        <v>1.0004884599999999</v>
      </c>
      <c r="F25" s="7">
        <v>1.00110977</v>
      </c>
      <c r="G25" s="7">
        <v>1.0647586499999999</v>
      </c>
      <c r="H25" s="7">
        <v>1.0036254899999999</v>
      </c>
      <c r="I25" s="7">
        <v>1.51658184</v>
      </c>
      <c r="J25" s="7">
        <v>1.3812056100000001</v>
      </c>
      <c r="K25" s="7">
        <v>1.0000000099999999</v>
      </c>
      <c r="L25" s="7">
        <v>1</v>
      </c>
      <c r="M25" s="7">
        <v>1</v>
      </c>
      <c r="N25" s="7">
        <v>1.3589498499999999</v>
      </c>
      <c r="O25" s="7">
        <v>1.31868389</v>
      </c>
      <c r="P25" s="7">
        <v>1.0000000099999999</v>
      </c>
      <c r="Q25" s="7">
        <v>1.0002726200000001</v>
      </c>
      <c r="R25" s="7">
        <v>1.2876220300000001</v>
      </c>
      <c r="S25" s="7">
        <v>1.1177081</v>
      </c>
      <c r="T25" s="7">
        <v>1.0000020000000001</v>
      </c>
      <c r="U25" s="7">
        <v>1</v>
      </c>
      <c r="V25" s="7">
        <v>1.00000004</v>
      </c>
      <c r="W25" s="7">
        <v>1</v>
      </c>
      <c r="X25" s="7">
        <v>1.00002557</v>
      </c>
      <c r="Y25" s="7">
        <v>1.0000015799999999</v>
      </c>
      <c r="Z25" s="7">
        <v>1.1763900899999999</v>
      </c>
      <c r="AA25" s="7">
        <v>1.2219180300000001</v>
      </c>
      <c r="AB25" s="7">
        <v>1.2079629000000001</v>
      </c>
      <c r="AC25" s="7">
        <v>1.1482886699999999</v>
      </c>
    </row>
    <row r="26" spans="1:29" x14ac:dyDescent="0.85">
      <c r="A26" t="s">
        <v>124</v>
      </c>
      <c r="B26" s="7">
        <v>1</v>
      </c>
      <c r="C26" s="7">
        <v>1.1785211799999999</v>
      </c>
      <c r="D26" s="7">
        <v>1.0004884599999999</v>
      </c>
      <c r="E26" s="7">
        <v>1.00110977</v>
      </c>
      <c r="F26" s="7">
        <v>1.0647586499999999</v>
      </c>
      <c r="G26" s="7">
        <v>1.0036254899999999</v>
      </c>
      <c r="H26" s="7">
        <v>1.85538468</v>
      </c>
      <c r="I26" s="7">
        <v>1.5165918</v>
      </c>
      <c r="J26" s="7">
        <v>1.0000000099999999</v>
      </c>
      <c r="K26" s="7">
        <v>1</v>
      </c>
      <c r="L26" s="7">
        <v>1</v>
      </c>
      <c r="M26" s="7">
        <v>1.3589498499999999</v>
      </c>
      <c r="N26" s="7">
        <v>1.4036387800000001</v>
      </c>
      <c r="O26" s="7">
        <v>1.0000000099999999</v>
      </c>
      <c r="P26" s="7">
        <v>1.0002726200000001</v>
      </c>
      <c r="Q26" s="7">
        <v>1.35699123</v>
      </c>
      <c r="R26" s="7">
        <v>1.1177081</v>
      </c>
      <c r="S26" s="7">
        <v>1.0000020000000001</v>
      </c>
      <c r="T26" s="7">
        <v>1</v>
      </c>
      <c r="U26" s="7">
        <v>1.00000004</v>
      </c>
      <c r="V26" s="7">
        <v>1</v>
      </c>
      <c r="W26" s="7">
        <v>1.00002557</v>
      </c>
      <c r="X26" s="7">
        <v>1.0000015799999999</v>
      </c>
      <c r="Y26" s="7">
        <v>1.1763900899999999</v>
      </c>
      <c r="Z26" s="7">
        <v>1.2219180300000001</v>
      </c>
      <c r="AA26" s="7">
        <v>1.2079629000000001</v>
      </c>
      <c r="AB26" s="7">
        <v>1.1482886699999999</v>
      </c>
      <c r="AC26" s="7">
        <v>1.11122096</v>
      </c>
    </row>
    <row r="27" spans="1:29" x14ac:dyDescent="0.85">
      <c r="A27" t="s">
        <v>125</v>
      </c>
      <c r="B27" s="7">
        <v>1</v>
      </c>
      <c r="C27" s="7">
        <v>1.8431141</v>
      </c>
      <c r="D27" s="7">
        <v>1.74915859</v>
      </c>
      <c r="E27" s="7">
        <v>1.7821083200000001</v>
      </c>
      <c r="F27" s="7">
        <v>1.8164355400000001</v>
      </c>
      <c r="G27" s="7">
        <v>1.80322513</v>
      </c>
      <c r="H27" s="7">
        <v>1.85538468</v>
      </c>
      <c r="I27" s="7">
        <v>1.51659184</v>
      </c>
      <c r="J27" s="7">
        <v>1.3812156099999999</v>
      </c>
      <c r="K27" s="7">
        <v>1.4122142799999999</v>
      </c>
      <c r="L27" s="7">
        <v>1.44547168</v>
      </c>
      <c r="M27" s="7">
        <v>1.48233159</v>
      </c>
      <c r="N27" s="7">
        <v>1.4036387800000001</v>
      </c>
      <c r="O27" s="7">
        <v>1.31869389</v>
      </c>
      <c r="P27" s="7">
        <v>1.33734189</v>
      </c>
      <c r="Q27" s="7">
        <v>1.35699123</v>
      </c>
      <c r="R27" s="7">
        <v>1.2876320299999999</v>
      </c>
      <c r="S27" s="7">
        <v>1.2758346300000001</v>
      </c>
      <c r="T27" s="7">
        <v>1.2916318600000001</v>
      </c>
      <c r="U27" s="7">
        <v>1.30838915</v>
      </c>
      <c r="V27" s="7">
        <v>1.32616293</v>
      </c>
      <c r="W27" s="7">
        <v>1.34459697</v>
      </c>
      <c r="X27" s="7">
        <v>1.36407641</v>
      </c>
      <c r="Y27" s="7">
        <v>1.3846721500000001</v>
      </c>
      <c r="Z27" s="7">
        <v>1.3507665200000001</v>
      </c>
      <c r="AA27" s="7">
        <v>1.3095056899999999</v>
      </c>
      <c r="AB27" s="7">
        <v>1.2763935799999999</v>
      </c>
      <c r="AC27" s="7">
        <v>1.25831008</v>
      </c>
    </row>
    <row r="28" spans="1:29" x14ac:dyDescent="0.85">
      <c r="A28" t="s">
        <v>126</v>
      </c>
      <c r="B28" s="7">
        <v>24984</v>
      </c>
      <c r="C28" s="7">
        <v>23984.640019040002</v>
      </c>
      <c r="D28" s="7">
        <v>23139.32011828</v>
      </c>
      <c r="E28" s="7">
        <v>22213.74740294</v>
      </c>
      <c r="F28" s="7">
        <v>21325.197506820001</v>
      </c>
      <c r="G28" s="7">
        <v>24724.43448014</v>
      </c>
      <c r="H28" s="7">
        <v>28186.62264835</v>
      </c>
      <c r="I28" s="7">
        <v>31839.89047699</v>
      </c>
      <c r="J28" s="7">
        <v>35695.215721920002</v>
      </c>
      <c r="K28" s="7">
        <v>39698.080815699999</v>
      </c>
      <c r="L28" s="7">
        <v>43848.470797089998</v>
      </c>
      <c r="M28" s="7">
        <v>48163.388508750002</v>
      </c>
      <c r="N28" s="7">
        <v>52859.279674619997</v>
      </c>
      <c r="O28" s="7">
        <v>57778.950587920001</v>
      </c>
      <c r="P28" s="7">
        <v>62758.91412496</v>
      </c>
      <c r="Q28" s="7">
        <v>67800.972350590004</v>
      </c>
      <c r="R28" s="7">
        <v>73003.310361209995</v>
      </c>
      <c r="S28" s="7">
        <v>78314.492545650006</v>
      </c>
      <c r="T28" s="7">
        <v>83695.219933979999</v>
      </c>
      <c r="U28" s="7">
        <v>89148.392799830006</v>
      </c>
      <c r="V28" s="7">
        <v>94676.936698689999</v>
      </c>
      <c r="W28" s="7">
        <v>100273.94327767</v>
      </c>
      <c r="X28" s="7">
        <v>105941.6022273</v>
      </c>
      <c r="Y28" s="7">
        <v>111681.57213198001</v>
      </c>
      <c r="Z28" s="7">
        <v>117551.80957775</v>
      </c>
      <c r="AA28" s="7">
        <v>123577.37398290999</v>
      </c>
      <c r="AB28" s="7">
        <v>129766.7575255</v>
      </c>
      <c r="AC28" s="7">
        <v>136105.34770737999</v>
      </c>
    </row>
    <row r="29" spans="1:29" x14ac:dyDescent="0.85">
      <c r="A29" t="s">
        <v>127</v>
      </c>
      <c r="B29" s="7">
        <v>88568191.25</v>
      </c>
      <c r="C29" s="7">
        <v>85025463.667492896</v>
      </c>
      <c r="D29" s="7">
        <v>82028807.622101694</v>
      </c>
      <c r="E29" s="7">
        <v>78747655.634101793</v>
      </c>
      <c r="F29" s="7">
        <v>75597749.394123003</v>
      </c>
      <c r="G29" s="7">
        <v>87648032.387196094</v>
      </c>
      <c r="H29" s="7">
        <v>99921477.142483994</v>
      </c>
      <c r="I29" s="7">
        <v>112872298.615106</v>
      </c>
      <c r="J29" s="7">
        <v>126539412.910574</v>
      </c>
      <c r="K29" s="7">
        <v>140729555.44600299</v>
      </c>
      <c r="L29" s="7">
        <v>155442673.18389001</v>
      </c>
      <c r="M29" s="7">
        <v>170739041.14100099</v>
      </c>
      <c r="N29" s="7">
        <v>187385958.63968799</v>
      </c>
      <c r="O29" s="7">
        <v>204826174.54793099</v>
      </c>
      <c r="P29" s="7">
        <v>222466595.08151001</v>
      </c>
      <c r="Q29" s="7">
        <v>239826418.702149</v>
      </c>
      <c r="R29" s="7">
        <v>255730386.325905</v>
      </c>
      <c r="S29" s="7">
        <v>268178222.241142</v>
      </c>
      <c r="T29" s="7">
        <v>275712378.14721501</v>
      </c>
      <c r="U29" s="7">
        <v>277892694.57807201</v>
      </c>
      <c r="V29" s="7">
        <v>287210648.19471902</v>
      </c>
      <c r="W29" s="7">
        <v>296850424.27604598</v>
      </c>
      <c r="X29" s="7">
        <v>307189825.202196</v>
      </c>
      <c r="Y29" s="7">
        <v>317327067.32077998</v>
      </c>
      <c r="Z29" s="7">
        <v>327460972.99677402</v>
      </c>
      <c r="AA29" s="7">
        <v>337653578.95271099</v>
      </c>
      <c r="AB29" s="7">
        <v>348133743.44407701</v>
      </c>
      <c r="AC29" s="7">
        <v>358391339.86029798</v>
      </c>
    </row>
    <row r="30" spans="1:29" x14ac:dyDescent="0.85">
      <c r="A30" t="s">
        <v>128</v>
      </c>
      <c r="B30" s="7">
        <v>88568191.25</v>
      </c>
      <c r="C30" s="7">
        <v>85025463.667492896</v>
      </c>
      <c r="D30" s="7">
        <v>82028807.622101694</v>
      </c>
      <c r="E30" s="7">
        <v>78747655.634101793</v>
      </c>
      <c r="F30" s="7">
        <v>75597749.394123003</v>
      </c>
      <c r="G30" s="7">
        <v>87648032.387196094</v>
      </c>
      <c r="H30" s="7">
        <v>99921477.142483994</v>
      </c>
      <c r="I30" s="7">
        <v>112872298.615106</v>
      </c>
      <c r="J30" s="7">
        <v>126539412.910574</v>
      </c>
      <c r="K30" s="7">
        <v>140729555.44600299</v>
      </c>
      <c r="L30" s="7">
        <v>155442673.18389001</v>
      </c>
      <c r="M30" s="7">
        <v>170739041.14100099</v>
      </c>
      <c r="N30" s="7">
        <v>187385958.63968799</v>
      </c>
      <c r="O30" s="7">
        <v>204826174.54793099</v>
      </c>
      <c r="P30" s="7">
        <v>222480127.593151</v>
      </c>
      <c r="Q30" s="7">
        <v>240354206.08877301</v>
      </c>
      <c r="R30" s="7">
        <v>258796475.85272601</v>
      </c>
      <c r="S30" s="7">
        <v>277624597.82617003</v>
      </c>
      <c r="T30" s="7">
        <v>296699257.300282</v>
      </c>
      <c r="U30" s="7">
        <v>316030735.73481601</v>
      </c>
      <c r="V30" s="7">
        <v>335629404.21360099</v>
      </c>
      <c r="W30" s="7">
        <v>355470772.65016103</v>
      </c>
      <c r="X30" s="7">
        <v>375562603.489649</v>
      </c>
      <c r="Y30" s="7">
        <v>395910776.40784103</v>
      </c>
      <c r="Z30" s="7">
        <v>416720747.29639202</v>
      </c>
      <c r="AA30" s="7">
        <v>438081351.70411098</v>
      </c>
      <c r="AB30" s="7">
        <v>460022694.37194097</v>
      </c>
      <c r="AC30" s="7">
        <v>482492974.04596603</v>
      </c>
    </row>
    <row r="31" spans="1:29" x14ac:dyDescent="0.85">
      <c r="A31" t="s">
        <v>129</v>
      </c>
      <c r="B31" s="7">
        <v>7556.8142471299998</v>
      </c>
      <c r="C31" s="7">
        <v>7254.5416830000004</v>
      </c>
      <c r="D31" s="7">
        <v>6998.8610286100002</v>
      </c>
      <c r="E31" s="7">
        <v>6718.9066144999997</v>
      </c>
      <c r="F31" s="7">
        <v>6450.1503499199998</v>
      </c>
      <c r="G31" s="7">
        <v>7478.3044641300003</v>
      </c>
      <c r="H31" s="7">
        <v>8525.4991837800007</v>
      </c>
      <c r="I31" s="7">
        <v>9630.4890323300006</v>
      </c>
      <c r="J31" s="7">
        <v>10796.5944093</v>
      </c>
      <c r="K31" s="7">
        <v>12007.32559606</v>
      </c>
      <c r="L31" s="7">
        <v>13262.678067340001</v>
      </c>
      <c r="M31" s="7">
        <v>14567.794607469999</v>
      </c>
      <c r="N31" s="7">
        <v>15988.142720870001</v>
      </c>
      <c r="O31" s="7">
        <v>17476.176632530001</v>
      </c>
      <c r="P31" s="7">
        <v>18982.447021849999</v>
      </c>
      <c r="Q31" s="7">
        <v>20507.498952459999</v>
      </c>
      <c r="R31" s="7">
        <v>22081.030092270001</v>
      </c>
      <c r="S31" s="7">
        <v>23687.4829101</v>
      </c>
      <c r="T31" s="7">
        <v>25314.970797869999</v>
      </c>
      <c r="U31" s="7">
        <v>26964.370990179999</v>
      </c>
      <c r="V31" s="7">
        <v>28636.568368529999</v>
      </c>
      <c r="W31" s="7">
        <v>30329.473390039999</v>
      </c>
      <c r="X31" s="7">
        <v>32043.748361959999</v>
      </c>
      <c r="Y31" s="7">
        <v>33779.89494993</v>
      </c>
      <c r="Z31" s="7">
        <v>35555.443059290003</v>
      </c>
      <c r="AA31" s="7">
        <v>37377.972315769999</v>
      </c>
      <c r="AB31" s="7">
        <v>39250.051315750003</v>
      </c>
      <c r="AC31" s="7">
        <v>41167.260273209999</v>
      </c>
    </row>
    <row r="32" spans="1:29" x14ac:dyDescent="0.85">
      <c r="A32" t="s">
        <v>130</v>
      </c>
      <c r="B32" s="7">
        <v>0</v>
      </c>
      <c r="C32" s="7">
        <v>6.8020370899999998</v>
      </c>
      <c r="D32" s="7">
        <v>13.12460922</v>
      </c>
      <c r="E32" s="7">
        <v>18.899437349999999</v>
      </c>
      <c r="F32" s="7">
        <v>24.191279810000001</v>
      </c>
      <c r="G32" s="7">
        <v>35.059212950000003</v>
      </c>
      <c r="H32" s="7">
        <v>47.96230903</v>
      </c>
      <c r="I32" s="7">
        <v>63.208487220000002</v>
      </c>
      <c r="J32" s="7">
        <v>80.985224259999995</v>
      </c>
      <c r="K32" s="7">
        <v>101.32527992</v>
      </c>
      <c r="L32" s="7">
        <v>124.35413855</v>
      </c>
      <c r="M32" s="7">
        <v>150.2503562</v>
      </c>
      <c r="N32" s="7">
        <v>179.89052029000001</v>
      </c>
      <c r="O32" s="7">
        <v>213.01922153000001</v>
      </c>
      <c r="P32" s="7">
        <v>249.1777429</v>
      </c>
      <c r="Q32" s="7">
        <v>288.42504731000002</v>
      </c>
      <c r="R32" s="7">
        <v>331.25948908999999</v>
      </c>
      <c r="S32" s="7">
        <v>377.56945303999998</v>
      </c>
      <c r="T32" s="7">
        <v>427.24693051000003</v>
      </c>
      <c r="U32" s="7">
        <v>480.36671832000002</v>
      </c>
      <c r="V32" s="7">
        <v>537.00704673999996</v>
      </c>
      <c r="W32" s="7">
        <v>597.19089804999999</v>
      </c>
      <c r="X32" s="7">
        <v>660.99018214</v>
      </c>
      <c r="Y32" s="7">
        <v>728.47582858999999</v>
      </c>
      <c r="Z32" s="7">
        <v>800.10383480999997</v>
      </c>
      <c r="AA32" s="7">
        <v>876.16270340999995</v>
      </c>
      <c r="AB32" s="7">
        <v>956.84720429000004</v>
      </c>
      <c r="AC32" s="7">
        <v>1042.1848239399999</v>
      </c>
    </row>
    <row r="33" spans="1:29" x14ac:dyDescent="0.85">
      <c r="A33" t="s">
        <v>131</v>
      </c>
      <c r="B33" s="7">
        <v>0.35427277000000001</v>
      </c>
      <c r="C33" s="7">
        <v>0.34010184999999998</v>
      </c>
      <c r="D33" s="7">
        <v>0.32811522999999998</v>
      </c>
      <c r="E33" s="7">
        <v>0.31499062</v>
      </c>
      <c r="F33" s="7">
        <v>0.30239100000000002</v>
      </c>
      <c r="G33" s="7">
        <v>0.35059213</v>
      </c>
      <c r="H33" s="7">
        <v>0.39968590999999998</v>
      </c>
      <c r="I33" s="7">
        <v>0.45148918999999998</v>
      </c>
      <c r="J33" s="7">
        <v>0.50615765000000001</v>
      </c>
      <c r="K33" s="7">
        <v>0.56291822000000002</v>
      </c>
      <c r="L33" s="7">
        <v>0.62177068999999996</v>
      </c>
      <c r="M33" s="7">
        <v>0.68295616000000003</v>
      </c>
      <c r="N33" s="7">
        <v>0.74954383000000002</v>
      </c>
      <c r="O33" s="7">
        <v>0.8193047</v>
      </c>
      <c r="P33" s="7">
        <v>0.88992051000000005</v>
      </c>
      <c r="Q33" s="7">
        <v>0.96141681999999995</v>
      </c>
      <c r="R33" s="7">
        <v>1.0351859000000001</v>
      </c>
      <c r="S33" s="7">
        <v>1.1104983900000001</v>
      </c>
      <c r="T33" s="7">
        <v>1.1867970299999999</v>
      </c>
      <c r="U33" s="7">
        <v>1.26412294</v>
      </c>
      <c r="V33" s="7">
        <v>1.34251762</v>
      </c>
      <c r="W33" s="7">
        <v>1.4218830899999999</v>
      </c>
      <c r="X33" s="7">
        <v>1.50225041</v>
      </c>
      <c r="Y33" s="7">
        <v>1.5836431099999999</v>
      </c>
      <c r="Z33" s="7">
        <v>1.66688299</v>
      </c>
      <c r="AA33" s="7">
        <v>1.7523254100000001</v>
      </c>
      <c r="AB33" s="7">
        <v>1.8400907799999999</v>
      </c>
      <c r="AC33" s="7">
        <v>1.9299719</v>
      </c>
    </row>
    <row r="34" spans="1:29" x14ac:dyDescent="0.85">
      <c r="A34" t="s">
        <v>132</v>
      </c>
      <c r="B34" s="7">
        <v>7556.8142471299998</v>
      </c>
      <c r="C34" s="7">
        <v>7254.5416830000004</v>
      </c>
      <c r="D34" s="7">
        <v>6998.8610286100002</v>
      </c>
      <c r="E34" s="7">
        <v>6718.9066144999997</v>
      </c>
      <c r="F34" s="7">
        <v>6450.1503499199998</v>
      </c>
      <c r="G34" s="7">
        <v>7478.3044641300003</v>
      </c>
      <c r="H34" s="7">
        <v>8525.4991837800007</v>
      </c>
      <c r="I34" s="7">
        <v>9630.4890323300006</v>
      </c>
      <c r="J34" s="7">
        <v>10796.5944093</v>
      </c>
      <c r="K34" s="7">
        <v>12007.32559606</v>
      </c>
      <c r="L34" s="7">
        <v>13262.678067340001</v>
      </c>
      <c r="M34" s="7">
        <v>14567.794607469999</v>
      </c>
      <c r="N34" s="7">
        <v>15988.142720870001</v>
      </c>
      <c r="O34" s="7">
        <v>17476.176632530001</v>
      </c>
      <c r="P34" s="7">
        <v>18982.447021849999</v>
      </c>
      <c r="Q34" s="7">
        <v>20507.498952459999</v>
      </c>
      <c r="R34" s="7">
        <v>22081.030092270001</v>
      </c>
      <c r="S34" s="7">
        <v>23687.4829101</v>
      </c>
      <c r="T34" s="7">
        <v>25314.970797869999</v>
      </c>
      <c r="U34" s="7">
        <v>26964.370990179999</v>
      </c>
      <c r="V34" s="7">
        <v>28636.568368529999</v>
      </c>
      <c r="W34" s="7">
        <v>30329.473390039999</v>
      </c>
      <c r="X34" s="7">
        <v>32043.748361959999</v>
      </c>
      <c r="Y34" s="7">
        <v>33779.89494993</v>
      </c>
      <c r="Z34" s="7">
        <v>35555.443059290003</v>
      </c>
      <c r="AA34" s="7">
        <v>37377.972315769999</v>
      </c>
      <c r="AB34" s="7">
        <v>39250.051315750003</v>
      </c>
      <c r="AC34" s="7">
        <v>41167.260273209999</v>
      </c>
    </row>
    <row r="35" spans="1:29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</row>
    <row r="36" spans="1:29" x14ac:dyDescent="0.85">
      <c r="A36" t="s">
        <v>134</v>
      </c>
      <c r="B36" s="7">
        <v>1</v>
      </c>
      <c r="C36" s="7">
        <v>1.04</v>
      </c>
      <c r="D36" s="7">
        <v>1</v>
      </c>
      <c r="E36" s="7">
        <v>1.00495394</v>
      </c>
      <c r="F36" s="7">
        <v>1</v>
      </c>
      <c r="G36" s="7">
        <v>1</v>
      </c>
      <c r="H36" s="7">
        <v>1.18752233</v>
      </c>
      <c r="I36" s="7">
        <v>1.1766671799999999</v>
      </c>
      <c r="J36" s="7">
        <v>1.16789729</v>
      </c>
      <c r="K36" s="7">
        <v>1.1584692700000001</v>
      </c>
      <c r="L36" s="7">
        <v>1.1505617699999999</v>
      </c>
      <c r="M36" s="7">
        <v>1.14416209</v>
      </c>
      <c r="N36" s="7">
        <v>1.1432183199999999</v>
      </c>
      <c r="O36" s="7">
        <v>1.1386057199999999</v>
      </c>
      <c r="P36" s="7">
        <v>1.13143784</v>
      </c>
      <c r="Q36" s="7">
        <v>1.12534428</v>
      </c>
      <c r="R36" s="7">
        <v>1.1215832800000001</v>
      </c>
      <c r="S36" s="7">
        <v>1.11744065</v>
      </c>
      <c r="T36" s="7">
        <v>1.11322611</v>
      </c>
      <c r="U36" s="7">
        <v>1.10952659</v>
      </c>
      <c r="V36" s="7">
        <v>1.1062557</v>
      </c>
      <c r="W36" s="7">
        <v>1.10323843</v>
      </c>
      <c r="X36" s="7">
        <v>1.1005334899999999</v>
      </c>
      <c r="Y36" s="7">
        <v>1.0980947000000001</v>
      </c>
      <c r="Z36" s="7">
        <v>1.09641038</v>
      </c>
      <c r="AA36" s="7">
        <v>1.09505125</v>
      </c>
      <c r="AB36" s="7">
        <v>1.0938291200000001</v>
      </c>
      <c r="AC36" s="7">
        <v>1.0925379500000001</v>
      </c>
    </row>
    <row r="37" spans="1:29" x14ac:dyDescent="0.85">
      <c r="A37" t="s">
        <v>135</v>
      </c>
      <c r="B37" s="7">
        <v>1</v>
      </c>
      <c r="C37" s="7">
        <v>1</v>
      </c>
      <c r="D37" s="7">
        <v>1.00495394</v>
      </c>
      <c r="E37" s="7">
        <v>1</v>
      </c>
      <c r="F37" s="7">
        <v>1</v>
      </c>
      <c r="G37" s="7">
        <v>1.20770836</v>
      </c>
      <c r="H37" s="7">
        <v>1.18753233</v>
      </c>
      <c r="I37" s="7">
        <v>1.17667707</v>
      </c>
      <c r="J37" s="7">
        <v>1.1677966200000001</v>
      </c>
      <c r="K37" s="7">
        <v>1.1584792699999999</v>
      </c>
      <c r="L37" s="7">
        <v>1.1505717499999999</v>
      </c>
      <c r="M37" s="7">
        <v>1.1441720900000001</v>
      </c>
      <c r="N37" s="7">
        <v>1.14322832</v>
      </c>
      <c r="O37" s="7">
        <v>1.13861572</v>
      </c>
      <c r="P37" s="7">
        <v>1.1314478400000001</v>
      </c>
      <c r="Q37" s="7">
        <v>1.12535428</v>
      </c>
      <c r="R37" s="7">
        <v>1.1215932799999999</v>
      </c>
      <c r="S37" s="7">
        <v>1.1174506500000001</v>
      </c>
      <c r="T37" s="7">
        <v>1.1132361099999999</v>
      </c>
      <c r="U37" s="7">
        <v>1.10953659</v>
      </c>
      <c r="V37" s="7">
        <v>1.1062657</v>
      </c>
      <c r="W37" s="7">
        <v>1.1032467699999999</v>
      </c>
      <c r="X37" s="7">
        <v>1.10054349</v>
      </c>
      <c r="Y37" s="7">
        <v>1.0981046999999999</v>
      </c>
      <c r="Z37" s="7">
        <v>1.09641904</v>
      </c>
      <c r="AA37" s="7">
        <v>1.0950612500000001</v>
      </c>
      <c r="AB37" s="7">
        <v>1.09383863</v>
      </c>
      <c r="AC37" s="7">
        <v>1.09254794</v>
      </c>
    </row>
    <row r="38" spans="1:29" x14ac:dyDescent="0.85">
      <c r="A38" t="s">
        <v>136</v>
      </c>
      <c r="B38" s="7">
        <v>1</v>
      </c>
      <c r="C38" s="7">
        <v>1.17342594</v>
      </c>
      <c r="D38" s="7">
        <v>1.1812886</v>
      </c>
      <c r="E38" s="7">
        <v>1.1889934200000001</v>
      </c>
      <c r="F38" s="7">
        <v>1.19802908</v>
      </c>
      <c r="G38" s="7">
        <v>1.20770836</v>
      </c>
      <c r="H38" s="7">
        <v>1.18753233</v>
      </c>
      <c r="I38" s="7">
        <v>1.17667718</v>
      </c>
      <c r="J38" s="7">
        <v>1.16790729</v>
      </c>
      <c r="K38" s="7">
        <v>1.1584792699999999</v>
      </c>
      <c r="L38" s="7">
        <v>1.15057177</v>
      </c>
      <c r="M38" s="7">
        <v>1.1441720900000001</v>
      </c>
      <c r="N38" s="7">
        <v>1.14322832</v>
      </c>
      <c r="O38" s="7">
        <v>1.13861572</v>
      </c>
      <c r="P38" s="7">
        <v>1.1314478400000001</v>
      </c>
      <c r="Q38" s="7">
        <v>1.12535428</v>
      </c>
      <c r="R38" s="7">
        <v>1.1215932799999999</v>
      </c>
      <c r="S38" s="7">
        <v>1.1174506500000001</v>
      </c>
      <c r="T38" s="7">
        <v>1.1132361099999999</v>
      </c>
      <c r="U38" s="7">
        <v>1.10953659</v>
      </c>
      <c r="V38" s="7">
        <v>1.1062657</v>
      </c>
      <c r="W38" s="7">
        <v>1.1032484300000001</v>
      </c>
      <c r="X38" s="7">
        <v>1.10054349</v>
      </c>
      <c r="Y38" s="7">
        <v>1.0981046999999999</v>
      </c>
      <c r="Z38" s="7">
        <v>1.0964203800000001</v>
      </c>
      <c r="AA38" s="7">
        <v>1.0950612500000001</v>
      </c>
      <c r="AB38" s="7">
        <v>1.0938391199999999</v>
      </c>
      <c r="AC38" s="7">
        <v>1.0925479499999999</v>
      </c>
    </row>
    <row r="39" spans="1:29" x14ac:dyDescent="0.85">
      <c r="A39" t="s">
        <v>137</v>
      </c>
      <c r="B39" s="7">
        <v>13447</v>
      </c>
      <c r="C39" s="7">
        <v>13110.825000000001</v>
      </c>
      <c r="D39" s="7">
        <v>12783.054375</v>
      </c>
      <c r="E39" s="7">
        <v>12463.478015619999</v>
      </c>
      <c r="F39" s="7">
        <v>12151.89106546</v>
      </c>
      <c r="G39" s="7">
        <v>11848.093801139999</v>
      </c>
      <c r="H39" s="7">
        <v>11551.89146334</v>
      </c>
      <c r="I39" s="7">
        <v>11263.09417676</v>
      </c>
      <c r="J39" s="7">
        <v>11213.46669218</v>
      </c>
      <c r="K39" s="7">
        <v>10933.1300421</v>
      </c>
      <c r="L39" s="7">
        <v>10999.00020369</v>
      </c>
      <c r="M39" s="7">
        <v>16733.718324009998</v>
      </c>
      <c r="N39" s="7">
        <v>22958.793686090001</v>
      </c>
      <c r="O39" s="7">
        <v>29360.195697359999</v>
      </c>
      <c r="P39" s="7">
        <v>36052.527556629997</v>
      </c>
      <c r="Q39" s="7">
        <v>42891.741105009998</v>
      </c>
      <c r="R39" s="7">
        <v>49987.319709629999</v>
      </c>
      <c r="S39" s="7">
        <v>57284.522211479998</v>
      </c>
      <c r="T39" s="7">
        <v>64741.039216520003</v>
      </c>
      <c r="U39" s="7">
        <v>72360.754310400007</v>
      </c>
      <c r="V39" s="7">
        <v>75256.188132890005</v>
      </c>
      <c r="W39" s="7">
        <v>77775.546750790003</v>
      </c>
      <c r="X39" s="7">
        <v>79886.673713840006</v>
      </c>
      <c r="Y39" s="7">
        <v>81903.732365169999</v>
      </c>
      <c r="Z39" s="7">
        <v>83873.6530699</v>
      </c>
      <c r="AA39" s="7">
        <v>85823.146301850007</v>
      </c>
      <c r="AB39" s="7">
        <v>87748.127191649997</v>
      </c>
      <c r="AC39" s="7">
        <v>89809.474828449995</v>
      </c>
    </row>
    <row r="40" spans="1:29" x14ac:dyDescent="0.85">
      <c r="A40" t="s">
        <v>138</v>
      </c>
      <c r="B40" s="7">
        <v>92994416.5</v>
      </c>
      <c r="C40" s="7">
        <v>90669545.4135703</v>
      </c>
      <c r="D40" s="7">
        <v>88400855.183935493</v>
      </c>
      <c r="E40" s="7">
        <v>86190833.706016093</v>
      </c>
      <c r="F40" s="7">
        <v>84036062.864902005</v>
      </c>
      <c r="G40" s="7">
        <v>81935161.378494501</v>
      </c>
      <c r="H40" s="7">
        <v>79886782.394004896</v>
      </c>
      <c r="I40" s="7">
        <v>77889608.207069606</v>
      </c>
      <c r="J40" s="7">
        <v>77546410.745606005</v>
      </c>
      <c r="K40" s="7">
        <v>75607750.596061394</v>
      </c>
      <c r="L40" s="7">
        <v>76063273.829572096</v>
      </c>
      <c r="M40" s="7">
        <v>115721554.277156</v>
      </c>
      <c r="N40" s="7">
        <v>158770886.31710801</v>
      </c>
      <c r="O40" s="7">
        <v>203039600.296444</v>
      </c>
      <c r="P40" s="7">
        <v>249320231.385066</v>
      </c>
      <c r="Q40" s="7">
        <v>296616618.627132</v>
      </c>
      <c r="R40" s="7">
        <v>345685891.14169502</v>
      </c>
      <c r="S40" s="7">
        <v>396149487.996768</v>
      </c>
      <c r="T40" s="7">
        <v>447714819.77833599</v>
      </c>
      <c r="U40" s="7">
        <v>500408743.312819</v>
      </c>
      <c r="V40" s="7">
        <v>520432033.75894099</v>
      </c>
      <c r="W40" s="7">
        <v>537854586.79830301</v>
      </c>
      <c r="X40" s="7">
        <v>552454025.41143799</v>
      </c>
      <c r="Y40" s="7">
        <v>566402937.28384995</v>
      </c>
      <c r="Z40" s="7">
        <v>580025868.02404296</v>
      </c>
      <c r="AA40" s="7">
        <v>593507533.15584695</v>
      </c>
      <c r="AB40" s="7">
        <v>606819683.88101006</v>
      </c>
      <c r="AC40" s="7">
        <v>621074874.97590601</v>
      </c>
    </row>
    <row r="41" spans="1:29" x14ac:dyDescent="0.85">
      <c r="A41" t="s">
        <v>139</v>
      </c>
      <c r="B41" s="7">
        <v>92994416.5</v>
      </c>
      <c r="C41" s="7">
        <v>90669545.4135703</v>
      </c>
      <c r="D41" s="7">
        <v>88400855.183935493</v>
      </c>
      <c r="E41" s="7">
        <v>86190833.706016093</v>
      </c>
      <c r="F41" s="7">
        <v>84036062.864902005</v>
      </c>
      <c r="G41" s="7">
        <v>81935161.378494501</v>
      </c>
      <c r="H41" s="7">
        <v>79886782.394004896</v>
      </c>
      <c r="I41" s="7">
        <v>77889608.207069606</v>
      </c>
      <c r="J41" s="7">
        <v>77546410.745606005</v>
      </c>
      <c r="K41" s="7">
        <v>75607750.596061394</v>
      </c>
      <c r="L41" s="7">
        <v>76063273.829572096</v>
      </c>
      <c r="M41" s="7">
        <v>115721554.277156</v>
      </c>
      <c r="N41" s="7">
        <v>158770886.31710801</v>
      </c>
      <c r="O41" s="7">
        <v>203039600.296444</v>
      </c>
      <c r="P41" s="7">
        <v>249320231.385066</v>
      </c>
      <c r="Q41" s="7">
        <v>296616618.627132</v>
      </c>
      <c r="R41" s="7">
        <v>345685891.14169502</v>
      </c>
      <c r="S41" s="7">
        <v>396149487.996768</v>
      </c>
      <c r="T41" s="7">
        <v>447714819.77833599</v>
      </c>
      <c r="U41" s="7">
        <v>500408743.312819</v>
      </c>
      <c r="V41" s="7">
        <v>520432033.75894099</v>
      </c>
      <c r="W41" s="7">
        <v>537854586.79830301</v>
      </c>
      <c r="X41" s="7">
        <v>552454025.41143799</v>
      </c>
      <c r="Y41" s="7">
        <v>566402937.28384995</v>
      </c>
      <c r="Z41" s="7">
        <v>580025868.02404296</v>
      </c>
      <c r="AA41" s="7">
        <v>593507533.15584695</v>
      </c>
      <c r="AB41" s="7">
        <v>606819683.88101006</v>
      </c>
      <c r="AC41" s="7">
        <v>621074874.97590601</v>
      </c>
    </row>
    <row r="42" spans="1:29" x14ac:dyDescent="0.85">
      <c r="A42" t="s">
        <v>140</v>
      </c>
      <c r="B42" s="7">
        <v>15444.03256842</v>
      </c>
      <c r="C42" s="7">
        <v>15057.931646290001</v>
      </c>
      <c r="D42" s="7">
        <v>14681.46362452</v>
      </c>
      <c r="E42" s="7">
        <v>14314.42703291</v>
      </c>
      <c r="F42" s="7">
        <v>13956.56635734</v>
      </c>
      <c r="G42" s="7">
        <v>13607.65221256</v>
      </c>
      <c r="H42" s="7">
        <v>13267.46091555</v>
      </c>
      <c r="I42" s="7">
        <v>12935.77434588</v>
      </c>
      <c r="J42" s="7">
        <v>12878.776692150001</v>
      </c>
      <c r="K42" s="7">
        <v>12556.807294620001</v>
      </c>
      <c r="L42" s="7">
        <v>12632.459822520001</v>
      </c>
      <c r="M42" s="7">
        <v>19218.839939519999</v>
      </c>
      <c r="N42" s="7">
        <v>26368.400167489999</v>
      </c>
      <c r="O42" s="7">
        <v>33720.47328482</v>
      </c>
      <c r="P42" s="7">
        <v>41406.682191610002</v>
      </c>
      <c r="Q42" s="7">
        <v>49261.586161749998</v>
      </c>
      <c r="R42" s="7">
        <v>57410.927918319998</v>
      </c>
      <c r="S42" s="7">
        <v>65791.836702240005</v>
      </c>
      <c r="T42" s="7">
        <v>74355.719758670006</v>
      </c>
      <c r="U42" s="7">
        <v>83107.037423910006</v>
      </c>
      <c r="V42" s="7">
        <v>86432.471622840007</v>
      </c>
      <c r="W42" s="7">
        <v>89325.979753559994</v>
      </c>
      <c r="X42" s="7">
        <v>91750.629816949993</v>
      </c>
      <c r="Y42" s="7">
        <v>94067.241499879994</v>
      </c>
      <c r="Z42" s="7">
        <v>96329.714787930003</v>
      </c>
      <c r="AA42" s="7">
        <v>98568.726922739996</v>
      </c>
      <c r="AB42" s="7">
        <v>100779.58639171001</v>
      </c>
      <c r="AC42" s="7">
        <v>103147.06440971</v>
      </c>
    </row>
    <row r="43" spans="1:29" x14ac:dyDescent="0.85">
      <c r="A43" t="s">
        <v>141</v>
      </c>
      <c r="B43" s="7">
        <v>0</v>
      </c>
      <c r="C43" s="7">
        <v>5.4401727199999996</v>
      </c>
      <c r="D43" s="7">
        <v>10.60810262</v>
      </c>
      <c r="E43" s="7">
        <v>15.514350070000001</v>
      </c>
      <c r="F43" s="7">
        <v>20.168655090000001</v>
      </c>
      <c r="G43" s="7">
        <v>24.580548409999999</v>
      </c>
      <c r="H43" s="7">
        <v>28.759241660000001</v>
      </c>
      <c r="I43" s="7">
        <v>32.713635449999998</v>
      </c>
      <c r="J43" s="7">
        <v>37.222277159999997</v>
      </c>
      <c r="K43" s="7">
        <v>40.828185320000003</v>
      </c>
      <c r="L43" s="7">
        <v>45.6379643</v>
      </c>
      <c r="M43" s="7">
        <v>76.376225820000002</v>
      </c>
      <c r="N43" s="7">
        <v>114.31503815000001</v>
      </c>
      <c r="O43" s="7">
        <v>158.37088822999999</v>
      </c>
      <c r="P43" s="7">
        <v>209.42899435999999</v>
      </c>
      <c r="Q43" s="7">
        <v>266.95495676000002</v>
      </c>
      <c r="R43" s="7">
        <v>331.85845549999999</v>
      </c>
      <c r="S43" s="7">
        <v>404.07247776000003</v>
      </c>
      <c r="T43" s="7">
        <v>483.53200536000003</v>
      </c>
      <c r="U43" s="7">
        <v>570.46596738000005</v>
      </c>
      <c r="V43" s="7">
        <v>624.51844051</v>
      </c>
      <c r="W43" s="7">
        <v>677.69677936999994</v>
      </c>
      <c r="X43" s="7">
        <v>729.23931354000001</v>
      </c>
      <c r="Y43" s="7">
        <v>781.63605344999996</v>
      </c>
      <c r="Z43" s="7">
        <v>835.23724994999998</v>
      </c>
      <c r="AA43" s="7">
        <v>890.26129973000002</v>
      </c>
      <c r="AB43" s="7">
        <v>946.63870684999995</v>
      </c>
      <c r="AC43" s="7">
        <v>1006.14129746</v>
      </c>
    </row>
    <row r="44" spans="1:29" x14ac:dyDescent="0.85">
      <c r="A44" t="s">
        <v>142</v>
      </c>
      <c r="B44" s="7">
        <v>0.27898325000000002</v>
      </c>
      <c r="C44" s="7">
        <v>0.27200864000000002</v>
      </c>
      <c r="D44" s="7">
        <v>0.26520257000000003</v>
      </c>
      <c r="E44" s="7">
        <v>0.25857249999999998</v>
      </c>
      <c r="F44" s="7">
        <v>0.25210819000000001</v>
      </c>
      <c r="G44" s="7">
        <v>0.24580547999999999</v>
      </c>
      <c r="H44" s="7">
        <v>0.23966034999999999</v>
      </c>
      <c r="I44" s="7">
        <v>0.23366882</v>
      </c>
      <c r="J44" s="7">
        <v>0.23263923</v>
      </c>
      <c r="K44" s="7">
        <v>0.22682325</v>
      </c>
      <c r="L44" s="7">
        <v>0.22818981999999999</v>
      </c>
      <c r="M44" s="7">
        <v>0.34716466000000001</v>
      </c>
      <c r="N44" s="7">
        <v>0.47631266</v>
      </c>
      <c r="O44" s="7">
        <v>0.60911879999999996</v>
      </c>
      <c r="P44" s="7">
        <v>0.74796068999999998</v>
      </c>
      <c r="Q44" s="7">
        <v>0.88984985999999999</v>
      </c>
      <c r="R44" s="7">
        <v>1.03705767</v>
      </c>
      <c r="S44" s="7">
        <v>1.18844846</v>
      </c>
      <c r="T44" s="7">
        <v>1.34314446</v>
      </c>
      <c r="U44" s="7">
        <v>1.5012262300000001</v>
      </c>
      <c r="V44" s="7">
        <v>1.5612961000000001</v>
      </c>
      <c r="W44" s="7">
        <v>1.6135637599999999</v>
      </c>
      <c r="X44" s="7">
        <v>1.65736208</v>
      </c>
      <c r="Y44" s="7">
        <v>1.69920881</v>
      </c>
      <c r="Z44" s="7">
        <v>1.7400776</v>
      </c>
      <c r="AA44" s="7">
        <v>1.7805226000000001</v>
      </c>
      <c r="AB44" s="7">
        <v>1.82045905</v>
      </c>
      <c r="AC44" s="7">
        <v>1.86322462</v>
      </c>
    </row>
    <row r="45" spans="1:29" x14ac:dyDescent="0.85">
      <c r="A45" t="s">
        <v>143</v>
      </c>
      <c r="B45" s="7">
        <v>14503.8590176</v>
      </c>
      <c r="C45" s="7">
        <v>14141.262542160001</v>
      </c>
      <c r="D45" s="7">
        <v>13787.73097861</v>
      </c>
      <c r="E45" s="7">
        <v>13443.037704140001</v>
      </c>
      <c r="F45" s="7">
        <v>13106.96176178</v>
      </c>
      <c r="G45" s="7">
        <v>12779.28773102</v>
      </c>
      <c r="H45" s="7">
        <v>12459.805545540001</v>
      </c>
      <c r="I45" s="7">
        <v>12148.3104069</v>
      </c>
      <c r="J45" s="7">
        <v>12094.78247951</v>
      </c>
      <c r="K45" s="7">
        <v>11792.4129361</v>
      </c>
      <c r="L45" s="7">
        <v>11863.460124110001</v>
      </c>
      <c r="M45" s="7">
        <v>18048.895025779999</v>
      </c>
      <c r="N45" s="7">
        <v>24763.226506819999</v>
      </c>
      <c r="O45" s="7">
        <v>31667.74292583</v>
      </c>
      <c r="P45" s="7">
        <v>38886.054652309998</v>
      </c>
      <c r="Q45" s="7">
        <v>46262.792147430002</v>
      </c>
      <c r="R45" s="7">
        <v>53916.043558880003</v>
      </c>
      <c r="S45" s="7">
        <v>61786.765378589997</v>
      </c>
      <c r="T45" s="7">
        <v>69829.322930709997</v>
      </c>
      <c r="U45" s="7">
        <v>78047.905029019996</v>
      </c>
      <c r="V45" s="7">
        <v>81170.903761530004</v>
      </c>
      <c r="W45" s="7">
        <v>83888.269881030006</v>
      </c>
      <c r="X45" s="7">
        <v>86165.319620039998</v>
      </c>
      <c r="Y45" s="7">
        <v>88340.907803940005</v>
      </c>
      <c r="Z45" s="7">
        <v>90465.653262199994</v>
      </c>
      <c r="AA45" s="7">
        <v>92568.365762539994</v>
      </c>
      <c r="AB45" s="7">
        <v>94644.639387679999</v>
      </c>
      <c r="AC45" s="7">
        <v>96867.997423709996</v>
      </c>
    </row>
    <row r="46" spans="1:29" x14ac:dyDescent="0.85">
      <c r="A46" t="s">
        <v>144</v>
      </c>
      <c r="B46" s="7">
        <v>940.17355081999995</v>
      </c>
      <c r="C46" s="7">
        <v>916.66910413000005</v>
      </c>
      <c r="D46" s="7">
        <v>893.73264590999997</v>
      </c>
      <c r="E46" s="7">
        <v>871.38932877000002</v>
      </c>
      <c r="F46" s="7">
        <v>849.60459556000001</v>
      </c>
      <c r="G46" s="7">
        <v>828.36448154000004</v>
      </c>
      <c r="H46" s="7">
        <v>807.65536999999995</v>
      </c>
      <c r="I46" s="7">
        <v>787.46393896999996</v>
      </c>
      <c r="J46" s="7">
        <v>783.99421264</v>
      </c>
      <c r="K46" s="7">
        <v>764.39435852999998</v>
      </c>
      <c r="L46" s="7">
        <v>768.99969841999996</v>
      </c>
      <c r="M46" s="7">
        <v>1169.9449137399999</v>
      </c>
      <c r="N46" s="7">
        <v>1605.1736606699999</v>
      </c>
      <c r="O46" s="7">
        <v>2052.7303590000001</v>
      </c>
      <c r="P46" s="7">
        <v>2520.6275393000001</v>
      </c>
      <c r="Q46" s="7">
        <v>2998.7940143199999</v>
      </c>
      <c r="R46" s="7">
        <v>3494.88435944</v>
      </c>
      <c r="S46" s="7">
        <v>4005.0713236500001</v>
      </c>
      <c r="T46" s="7">
        <v>4526.3968279600003</v>
      </c>
      <c r="U46" s="7">
        <v>5059.1323948899999</v>
      </c>
      <c r="V46" s="7">
        <v>5261.5678613</v>
      </c>
      <c r="W46" s="7">
        <v>5437.7098725300002</v>
      </c>
      <c r="X46" s="7">
        <v>5585.3101969099998</v>
      </c>
      <c r="Y46" s="7">
        <v>5726.3336959400003</v>
      </c>
      <c r="Z46" s="7">
        <v>5864.0615257199997</v>
      </c>
      <c r="AA46" s="7">
        <v>6000.36116021</v>
      </c>
      <c r="AB46" s="7">
        <v>6134.9470040400001</v>
      </c>
      <c r="AC46" s="7">
        <v>6279.0669860099997</v>
      </c>
    </row>
    <row r="47" spans="1:29" x14ac:dyDescent="0.85">
      <c r="A47" t="s">
        <v>145</v>
      </c>
      <c r="B47" s="7">
        <v>1</v>
      </c>
      <c r="C47" s="7">
        <v>1.0249999999999999</v>
      </c>
      <c r="D47" s="7">
        <v>0.99999987999999995</v>
      </c>
      <c r="E47" s="7">
        <v>0.99997791999999996</v>
      </c>
      <c r="F47" s="7">
        <v>1</v>
      </c>
      <c r="G47" s="7">
        <v>1</v>
      </c>
      <c r="H47" s="7">
        <v>1</v>
      </c>
      <c r="I47" s="7">
        <v>1</v>
      </c>
      <c r="J47" s="7">
        <v>0.99999994000000003</v>
      </c>
      <c r="K47" s="7">
        <v>1.0211218399999999</v>
      </c>
      <c r="L47" s="7">
        <v>1</v>
      </c>
      <c r="M47" s="7">
        <v>1.03182033</v>
      </c>
      <c r="N47" s="7">
        <v>1.4071775900000001</v>
      </c>
      <c r="O47" s="7">
        <v>1.3181166200000001</v>
      </c>
      <c r="P47" s="7">
        <v>1.25941455</v>
      </c>
      <c r="Q47" s="7">
        <v>1.22019652</v>
      </c>
      <c r="R47" s="7">
        <v>1.1953027700000001</v>
      </c>
      <c r="S47" s="7">
        <v>1.1753552</v>
      </c>
      <c r="T47" s="7">
        <v>1.15913746</v>
      </c>
      <c r="U47" s="7">
        <v>1.14634949</v>
      </c>
      <c r="V47" s="7">
        <v>1.13601054</v>
      </c>
      <c r="W47" s="7">
        <v>1.06668089</v>
      </c>
      <c r="X47" s="7">
        <v>1.05997651</v>
      </c>
      <c r="Y47" s="7">
        <v>1.0534808600000001</v>
      </c>
      <c r="Z47" s="7">
        <v>1.0515374399999999</v>
      </c>
      <c r="AA47" s="7">
        <v>1.05030939</v>
      </c>
      <c r="AB47" s="7">
        <v>1.04948022</v>
      </c>
      <c r="AC47" s="7">
        <v>1.04864577</v>
      </c>
    </row>
    <row r="48" spans="1:29" x14ac:dyDescent="0.85">
      <c r="A48" t="s">
        <v>146</v>
      </c>
      <c r="B48" s="7">
        <v>1</v>
      </c>
      <c r="C48" s="7">
        <v>0.99999987999999995</v>
      </c>
      <c r="D48" s="7">
        <v>0.99997791999999996</v>
      </c>
      <c r="E48" s="7">
        <v>1</v>
      </c>
      <c r="F48" s="7">
        <v>1</v>
      </c>
      <c r="G48" s="7">
        <v>1</v>
      </c>
      <c r="H48" s="7">
        <v>1</v>
      </c>
      <c r="I48" s="7">
        <v>0.99999994000000003</v>
      </c>
      <c r="J48" s="7">
        <v>1.0211218399999999</v>
      </c>
      <c r="K48" s="7">
        <v>1</v>
      </c>
      <c r="L48" s="7">
        <v>1.03182033</v>
      </c>
      <c r="M48" s="7">
        <v>1.5603952800000001</v>
      </c>
      <c r="N48" s="7">
        <v>1.4071875899999999</v>
      </c>
      <c r="O48" s="7">
        <v>1.3116116499999999</v>
      </c>
      <c r="P48" s="7">
        <v>1.2594245500000001</v>
      </c>
      <c r="Q48" s="7">
        <v>1.2202065200000001</v>
      </c>
      <c r="R48" s="7">
        <v>1.1953127699999999</v>
      </c>
      <c r="S48" s="7">
        <v>1.1753652000000001</v>
      </c>
      <c r="T48" s="7">
        <v>1.1591449700000001</v>
      </c>
      <c r="U48" s="7">
        <v>1.1463541399999999</v>
      </c>
      <c r="V48" s="7">
        <v>1.06668089</v>
      </c>
      <c r="W48" s="7">
        <v>1.05997651</v>
      </c>
      <c r="X48" s="7">
        <v>1.0534808600000001</v>
      </c>
      <c r="Y48" s="7">
        <v>1.0515374399999999</v>
      </c>
      <c r="Z48" s="7">
        <v>1.05030939</v>
      </c>
      <c r="AA48" s="7">
        <v>1.04948022</v>
      </c>
      <c r="AB48" s="7">
        <v>1.04864577</v>
      </c>
      <c r="AC48" s="7">
        <v>1.04973502</v>
      </c>
    </row>
    <row r="49" spans="1:29" x14ac:dyDescent="0.85">
      <c r="A49" t="s">
        <v>147</v>
      </c>
      <c r="B49" s="7">
        <v>1</v>
      </c>
      <c r="C49" s="7">
        <v>1.3311871799999999</v>
      </c>
      <c r="D49" s="7">
        <v>1.34210181</v>
      </c>
      <c r="E49" s="7">
        <v>1.3539428</v>
      </c>
      <c r="F49" s="7">
        <v>1.36638561</v>
      </c>
      <c r="G49" s="7">
        <v>1.3795995400000001</v>
      </c>
      <c r="H49" s="7">
        <v>1.40164786</v>
      </c>
      <c r="I49" s="7">
        <v>1.4373323</v>
      </c>
      <c r="J49" s="7">
        <v>1.4764463699999999</v>
      </c>
      <c r="K49" s="7">
        <v>1.5012172800000001</v>
      </c>
      <c r="L49" s="7">
        <v>1.5375598800000001</v>
      </c>
      <c r="M49" s="7">
        <v>1.56039529</v>
      </c>
      <c r="N49" s="7">
        <v>1.4071875899999999</v>
      </c>
      <c r="O49" s="7">
        <v>1.3181266199999999</v>
      </c>
      <c r="P49" s="7">
        <v>1.2594245500000001</v>
      </c>
      <c r="Q49" s="7">
        <v>1.2202065200000001</v>
      </c>
      <c r="R49" s="7">
        <v>1.1953127699999999</v>
      </c>
      <c r="S49" s="7">
        <v>1.1753652000000001</v>
      </c>
      <c r="T49" s="7">
        <v>1.15914746</v>
      </c>
      <c r="U49" s="7">
        <v>1.14635949</v>
      </c>
      <c r="V49" s="7">
        <v>1.1360205400000001</v>
      </c>
      <c r="W49" s="7">
        <v>1.1343311</v>
      </c>
      <c r="X49" s="7">
        <v>1.1333605099999999</v>
      </c>
      <c r="Y49" s="7">
        <v>1.13307216</v>
      </c>
      <c r="Z49" s="7">
        <v>1.13375575</v>
      </c>
      <c r="AA49" s="7">
        <v>1.1348433499999999</v>
      </c>
      <c r="AB49" s="7">
        <v>1.13606663</v>
      </c>
      <c r="AC49" s="7">
        <v>1.1371216099999999</v>
      </c>
    </row>
    <row r="50" spans="1:29" x14ac:dyDescent="0.85">
      <c r="A50" t="s">
        <v>148</v>
      </c>
      <c r="B50" s="7">
        <v>59204</v>
      </c>
      <c r="C50" s="7">
        <v>62751.258439719997</v>
      </c>
      <c r="D50" s="7">
        <v>66935.565631270001</v>
      </c>
      <c r="E50" s="7">
        <v>71259.128705159994</v>
      </c>
      <c r="F50" s="7">
        <v>75444.72217039</v>
      </c>
      <c r="G50" s="7">
        <v>79116.610430450004</v>
      </c>
      <c r="H50" s="7">
        <v>85159.138465190001</v>
      </c>
      <c r="I50" s="7">
        <v>91583.783124719994</v>
      </c>
      <c r="J50" s="7">
        <v>98399.179466029993</v>
      </c>
      <c r="K50" s="7">
        <v>105526.4104198</v>
      </c>
      <c r="L50" s="7">
        <v>112951.75706726999</v>
      </c>
      <c r="M50" s="7">
        <v>120708.27218907</v>
      </c>
      <c r="N50" s="7">
        <v>120131.59263773001</v>
      </c>
      <c r="O50" s="7">
        <v>116945.66441339999</v>
      </c>
      <c r="P50" s="7">
        <v>113490.96518784</v>
      </c>
      <c r="Q50" s="7">
        <v>109143.69002325</v>
      </c>
      <c r="R50" s="7">
        <v>105213.02060585</v>
      </c>
      <c r="S50" s="7">
        <v>101526.16250005001</v>
      </c>
      <c r="T50" s="7">
        <v>97746.854145649995</v>
      </c>
      <c r="U50" s="7">
        <v>93873.054769280003</v>
      </c>
      <c r="V50" s="7">
        <v>94393.773719370001</v>
      </c>
      <c r="W50" s="7">
        <v>95318.980617959998</v>
      </c>
      <c r="X50" s="7">
        <v>96679.330038989996</v>
      </c>
      <c r="Y50" s="7">
        <v>97767.70252798</v>
      </c>
      <c r="Z50" s="7">
        <v>98791.512184149993</v>
      </c>
      <c r="AA50" s="7">
        <v>99848.557045759997</v>
      </c>
      <c r="AB50" s="7">
        <v>101121.24613376999</v>
      </c>
      <c r="AC50" s="7">
        <v>102441.72682887</v>
      </c>
    </row>
    <row r="51" spans="1:29" x14ac:dyDescent="0.85">
      <c r="A51" t="s">
        <v>149</v>
      </c>
      <c r="B51" s="7">
        <v>219925860.29367399</v>
      </c>
      <c r="C51" s="7">
        <v>244925604.50973001</v>
      </c>
      <c r="D51" s="7">
        <v>269979654.478701</v>
      </c>
      <c r="E51" s="7">
        <v>295429646.63544202</v>
      </c>
      <c r="F51" s="7">
        <v>320611909.93490398</v>
      </c>
      <c r="G51" s="7">
        <v>335571445.05437499</v>
      </c>
      <c r="H51" s="7">
        <v>370407304.735035</v>
      </c>
      <c r="I51" s="7">
        <v>405639859.623429</v>
      </c>
      <c r="J51" s="7">
        <v>431633827.18756002</v>
      </c>
      <c r="K51" s="7">
        <v>458963415.21112102</v>
      </c>
      <c r="L51" s="7">
        <v>485918332.31047201</v>
      </c>
      <c r="M51" s="7">
        <v>501031583.88002402</v>
      </c>
      <c r="N51" s="7">
        <v>471157608.38434702</v>
      </c>
      <c r="O51" s="7">
        <v>426956721.45415998</v>
      </c>
      <c r="P51" s="7">
        <v>380863846.97282302</v>
      </c>
      <c r="Q51" s="7">
        <v>329503641.70490199</v>
      </c>
      <c r="R51" s="7">
        <v>281269617.70809901</v>
      </c>
      <c r="S51" s="7">
        <v>237856329.208123</v>
      </c>
      <c r="T51" s="7">
        <v>198845675.213249</v>
      </c>
      <c r="U51" s="7">
        <v>164609512.932026</v>
      </c>
      <c r="V51" s="7">
        <v>155745543.40257001</v>
      </c>
      <c r="W51" s="7">
        <v>149455298.48697099</v>
      </c>
      <c r="X51" s="7">
        <v>145589597.281515</v>
      </c>
      <c r="Y51" s="7">
        <v>140690277.996851</v>
      </c>
      <c r="Z51" s="7">
        <v>135704005.40115699</v>
      </c>
      <c r="AA51" s="7">
        <v>131069271.644532</v>
      </c>
      <c r="AB51" s="7">
        <v>127483372.321757</v>
      </c>
      <c r="AC51" s="7">
        <v>124226306.09561101</v>
      </c>
    </row>
    <row r="52" spans="1:29" x14ac:dyDescent="0.85">
      <c r="A52" t="s">
        <v>150</v>
      </c>
      <c r="B52" s="7">
        <v>219925860.29367399</v>
      </c>
      <c r="C52" s="7">
        <v>244925604.50973001</v>
      </c>
      <c r="D52" s="7">
        <v>269979654.478701</v>
      </c>
      <c r="E52" s="7">
        <v>295429646.63544202</v>
      </c>
      <c r="F52" s="7">
        <v>320611909.93490398</v>
      </c>
      <c r="G52" s="7">
        <v>335571445.05437499</v>
      </c>
      <c r="H52" s="7">
        <v>370407304.735035</v>
      </c>
      <c r="I52" s="7">
        <v>405639859.623429</v>
      </c>
      <c r="J52" s="7">
        <v>431633827.18756002</v>
      </c>
      <c r="K52" s="7">
        <v>458963415.21112102</v>
      </c>
      <c r="L52" s="7">
        <v>485918332.31047201</v>
      </c>
      <c r="M52" s="7">
        <v>501031583.88002402</v>
      </c>
      <c r="N52" s="7">
        <v>471157608.38434702</v>
      </c>
      <c r="O52" s="7">
        <v>426956721.45415998</v>
      </c>
      <c r="P52" s="7">
        <v>380863846.97282302</v>
      </c>
      <c r="Q52" s="7">
        <v>329503641.70490199</v>
      </c>
      <c r="R52" s="7">
        <v>281269617.70809901</v>
      </c>
      <c r="S52" s="7">
        <v>237856329.208123</v>
      </c>
      <c r="T52" s="7">
        <v>198845675.213249</v>
      </c>
      <c r="U52" s="7">
        <v>164609512.932026</v>
      </c>
      <c r="V52" s="7">
        <v>155745543.40257001</v>
      </c>
      <c r="W52" s="7">
        <v>149455298.48697099</v>
      </c>
      <c r="X52" s="7">
        <v>145589597.281515</v>
      </c>
      <c r="Y52" s="7">
        <v>140690277.996851</v>
      </c>
      <c r="Z52" s="7">
        <v>135704005.40115699</v>
      </c>
      <c r="AA52" s="7">
        <v>131069271.644532</v>
      </c>
      <c r="AB52" s="7">
        <v>127483372.321757</v>
      </c>
      <c r="AC52" s="7">
        <v>124226306.09561101</v>
      </c>
    </row>
    <row r="53" spans="1:29" x14ac:dyDescent="0.85">
      <c r="A53" t="s">
        <v>151</v>
      </c>
      <c r="B53" s="7">
        <v>16593.517638199999</v>
      </c>
      <c r="C53" s="7">
        <v>17876.206302890001</v>
      </c>
      <c r="D53" s="7">
        <v>19281.028662960001</v>
      </c>
      <c r="E53" s="7">
        <v>20721.92021588</v>
      </c>
      <c r="F53" s="7">
        <v>22130.11490755</v>
      </c>
      <c r="G53" s="7">
        <v>23191.45701699</v>
      </c>
      <c r="H53" s="7">
        <v>25187.34477105</v>
      </c>
      <c r="I53" s="7">
        <v>27265.37571095</v>
      </c>
      <c r="J53" s="7">
        <v>29192.086477640001</v>
      </c>
      <c r="K53" s="7">
        <v>31210.522067860002</v>
      </c>
      <c r="L53" s="7">
        <v>33276.349743860002</v>
      </c>
      <c r="M53" s="7">
        <v>35116.042899649998</v>
      </c>
      <c r="N53" s="7">
        <v>34277.757555459997</v>
      </c>
      <c r="O53" s="7">
        <v>32595.082938750002</v>
      </c>
      <c r="P53" s="7">
        <v>30815.274637480001</v>
      </c>
      <c r="Q53" s="7">
        <v>28737.677171790001</v>
      </c>
      <c r="R53" s="7">
        <v>26815.362799210001</v>
      </c>
      <c r="S53" s="7">
        <v>25056.91025606</v>
      </c>
      <c r="T53" s="7">
        <v>23388.349916949999</v>
      </c>
      <c r="U53" s="7">
        <v>21818.368089619998</v>
      </c>
      <c r="V53" s="7">
        <v>21700.835320120001</v>
      </c>
      <c r="W53" s="7">
        <v>21722.8077065</v>
      </c>
      <c r="X53" s="7">
        <v>21886.45850601</v>
      </c>
      <c r="Y53" s="7">
        <v>21973.311869869998</v>
      </c>
      <c r="Z53" s="7">
        <v>22045.800008080001</v>
      </c>
      <c r="AA53" s="7">
        <v>22133.168351019998</v>
      </c>
      <c r="AB53" s="7">
        <v>22287.02258846</v>
      </c>
      <c r="AC53" s="7">
        <v>22457.96345703</v>
      </c>
    </row>
    <row r="54" spans="1:29" x14ac:dyDescent="0.85">
      <c r="A54" t="s">
        <v>152</v>
      </c>
      <c r="B54" s="7">
        <v>0</v>
      </c>
      <c r="C54" s="7">
        <v>2400.2709242000001</v>
      </c>
      <c r="D54" s="7">
        <v>5291.60122778</v>
      </c>
      <c r="E54" s="7">
        <v>8685.6316110799999</v>
      </c>
      <c r="F54" s="7">
        <v>12567.98686945</v>
      </c>
      <c r="G54" s="7">
        <v>16443.000807659999</v>
      </c>
      <c r="H54" s="7">
        <v>21779.949518419999</v>
      </c>
      <c r="I54" s="7">
        <v>27826.894370170001</v>
      </c>
      <c r="J54" s="7">
        <v>33840.092051500003</v>
      </c>
      <c r="K54" s="7">
        <v>40480.573221619998</v>
      </c>
      <c r="L54" s="7">
        <v>47619.996566430003</v>
      </c>
      <c r="M54" s="7">
        <v>54011.204742269998</v>
      </c>
      <c r="N54" s="7">
        <v>55408.134746000003</v>
      </c>
      <c r="O54" s="7">
        <v>54394.286313260003</v>
      </c>
      <c r="P54" s="7">
        <v>52254.519804670002</v>
      </c>
      <c r="Q54" s="7">
        <v>48437.035330619998</v>
      </c>
      <c r="R54" s="7">
        <v>44103.076056630001</v>
      </c>
      <c r="S54" s="7">
        <v>39626.864446070002</v>
      </c>
      <c r="T54" s="7">
        <v>35076.377107619999</v>
      </c>
      <c r="U54" s="7">
        <v>30650.291307939999</v>
      </c>
      <c r="V54" s="7">
        <v>30526.1265069</v>
      </c>
      <c r="W54" s="7">
        <v>30757.90042862</v>
      </c>
      <c r="X54" s="7">
        <v>31389.117173890001</v>
      </c>
      <c r="Y54" s="7">
        <v>31711.588660490001</v>
      </c>
      <c r="Z54" s="7">
        <v>31917.582070349999</v>
      </c>
      <c r="AA54" s="7">
        <v>32111.971552909999</v>
      </c>
      <c r="AB54" s="7">
        <v>32482.763267580001</v>
      </c>
      <c r="AC54" s="7">
        <v>32870.280592900002</v>
      </c>
    </row>
    <row r="55" spans="1:29" x14ac:dyDescent="0.85">
      <c r="A55" t="s">
        <v>153</v>
      </c>
      <c r="B55" s="7">
        <v>107.76367154</v>
      </c>
      <c r="C55" s="7">
        <v>120.01354621</v>
      </c>
      <c r="D55" s="7">
        <v>132.29003069000001</v>
      </c>
      <c r="E55" s="7">
        <v>144.76052684999999</v>
      </c>
      <c r="F55" s="7">
        <v>157.09983586999999</v>
      </c>
      <c r="G55" s="7">
        <v>164.43000807999999</v>
      </c>
      <c r="H55" s="7">
        <v>181.49957932000001</v>
      </c>
      <c r="I55" s="7">
        <v>198.76353122</v>
      </c>
      <c r="J55" s="7">
        <v>211.50057532</v>
      </c>
      <c r="K55" s="7">
        <v>224.89207345</v>
      </c>
      <c r="L55" s="7">
        <v>238.09998282999999</v>
      </c>
      <c r="M55" s="7">
        <v>245.50547610000001</v>
      </c>
      <c r="N55" s="7">
        <v>230.86722811000001</v>
      </c>
      <c r="O55" s="7">
        <v>209.20879350999999</v>
      </c>
      <c r="P55" s="7">
        <v>186.62328502</v>
      </c>
      <c r="Q55" s="7">
        <v>161.45678444000001</v>
      </c>
      <c r="R55" s="7">
        <v>137.82211268</v>
      </c>
      <c r="S55" s="7">
        <v>116.54960131</v>
      </c>
      <c r="T55" s="7">
        <v>97.434380849999997</v>
      </c>
      <c r="U55" s="7">
        <v>80.658661339999995</v>
      </c>
      <c r="V55" s="7">
        <v>76.315316269999997</v>
      </c>
      <c r="W55" s="7">
        <v>73.233096259999996</v>
      </c>
      <c r="X55" s="7">
        <v>71.338902669999996</v>
      </c>
      <c r="Y55" s="7">
        <v>68.938236219999993</v>
      </c>
      <c r="Z55" s="7">
        <v>66.494962650000005</v>
      </c>
      <c r="AA55" s="7">
        <v>64.223943109999993</v>
      </c>
      <c r="AB55" s="7">
        <v>62.466852439999997</v>
      </c>
      <c r="AC55" s="7">
        <v>60.870889990000002</v>
      </c>
    </row>
    <row r="56" spans="1:29" x14ac:dyDescent="0.85">
      <c r="A56" t="s">
        <v>154</v>
      </c>
      <c r="B56" s="7">
        <v>11227.32664703</v>
      </c>
      <c r="C56" s="7">
        <v>11900.021552849999</v>
      </c>
      <c r="D56" s="7">
        <v>12693.52509368</v>
      </c>
      <c r="E56" s="7">
        <v>13513.43683798</v>
      </c>
      <c r="F56" s="7">
        <v>14307.184305139999</v>
      </c>
      <c r="G56" s="7">
        <v>15003.513757659999</v>
      </c>
      <c r="H56" s="7">
        <v>16149.406535509999</v>
      </c>
      <c r="I56" s="7">
        <v>17367.763136140002</v>
      </c>
      <c r="J56" s="7">
        <v>18660.22109427</v>
      </c>
      <c r="K56" s="7">
        <v>20011.814736709999</v>
      </c>
      <c r="L56" s="7">
        <v>21419.94243549</v>
      </c>
      <c r="M56" s="7">
        <v>22890.87225298</v>
      </c>
      <c r="N56" s="7">
        <v>22781.511910879999</v>
      </c>
      <c r="O56" s="7">
        <v>22177.33893527</v>
      </c>
      <c r="P56" s="7">
        <v>21522.196771350002</v>
      </c>
      <c r="Q56" s="7">
        <v>20697.788314189998</v>
      </c>
      <c r="R56" s="7">
        <v>19952.384127130001</v>
      </c>
      <c r="S56" s="7">
        <v>19253.215823390001</v>
      </c>
      <c r="T56" s="7">
        <v>18536.515441740001</v>
      </c>
      <c r="U56" s="7">
        <v>17801.895974079998</v>
      </c>
      <c r="V56" s="7">
        <v>17900.6440611</v>
      </c>
      <c r="W56" s="7">
        <v>18076.09842342</v>
      </c>
      <c r="X56" s="7">
        <v>18334.072332340002</v>
      </c>
      <c r="Y56" s="7">
        <v>18540.469086739999</v>
      </c>
      <c r="Z56" s="7">
        <v>18734.62227629</v>
      </c>
      <c r="AA56" s="7">
        <v>18935.078122890001</v>
      </c>
      <c r="AB56" s="7">
        <v>19176.42830381</v>
      </c>
      <c r="AC56" s="7">
        <v>19426.841588300002</v>
      </c>
    </row>
    <row r="57" spans="1:29" x14ac:dyDescent="0.85">
      <c r="A57" t="s">
        <v>155</v>
      </c>
      <c r="B57" s="7">
        <v>5366.1909911700004</v>
      </c>
      <c r="C57" s="7">
        <v>5976.1847500399999</v>
      </c>
      <c r="D57" s="7">
        <v>6587.5035692800002</v>
      </c>
      <c r="E57" s="7">
        <v>7208.4833779000001</v>
      </c>
      <c r="F57" s="7">
        <v>7822.9306024099997</v>
      </c>
      <c r="G57" s="7">
        <v>8187.9432593299998</v>
      </c>
      <c r="H57" s="7">
        <v>9037.9382355300004</v>
      </c>
      <c r="I57" s="7">
        <v>9897.6125748100003</v>
      </c>
      <c r="J57" s="7">
        <v>10531.86538338</v>
      </c>
      <c r="K57" s="7">
        <v>11198.707331150001</v>
      </c>
      <c r="L57" s="7">
        <v>11856.407308379999</v>
      </c>
      <c r="M57" s="7">
        <v>12225.17064667</v>
      </c>
      <c r="N57" s="7">
        <v>11496.24564458</v>
      </c>
      <c r="O57" s="7">
        <v>10417.74400348</v>
      </c>
      <c r="P57" s="7">
        <v>9293.07786614</v>
      </c>
      <c r="Q57" s="7">
        <v>8039.8888575999999</v>
      </c>
      <c r="R57" s="7">
        <v>6862.9786720800003</v>
      </c>
      <c r="S57" s="7">
        <v>5803.6944326800003</v>
      </c>
      <c r="T57" s="7">
        <v>4851.8344752000003</v>
      </c>
      <c r="U57" s="7">
        <v>4016.4721155399998</v>
      </c>
      <c r="V57" s="7">
        <v>3800.19125902</v>
      </c>
      <c r="W57" s="7">
        <v>3646.7092830800002</v>
      </c>
      <c r="X57" s="7">
        <v>3552.3861736700001</v>
      </c>
      <c r="Y57" s="7">
        <v>3432.8427831200001</v>
      </c>
      <c r="Z57" s="7">
        <v>3311.1777317900001</v>
      </c>
      <c r="AA57" s="7">
        <v>3198.09022813</v>
      </c>
      <c r="AB57" s="7">
        <v>3110.5942846500002</v>
      </c>
      <c r="AC57" s="7">
        <v>3031.1218687300002</v>
      </c>
    </row>
    <row r="58" spans="1:29" x14ac:dyDescent="0.85">
      <c r="A58" t="s">
        <v>156</v>
      </c>
      <c r="B58" s="7">
        <v>1</v>
      </c>
      <c r="C58" s="7">
        <v>1.04</v>
      </c>
      <c r="D58" s="7">
        <v>1.1040790199999999</v>
      </c>
      <c r="E58" s="7">
        <v>1.1111258799999999</v>
      </c>
      <c r="F58" s="7">
        <v>1.1089509500000001</v>
      </c>
      <c r="G58" s="7">
        <v>1.1028517099999999</v>
      </c>
      <c r="H58" s="7">
        <v>1.0923645</v>
      </c>
      <c r="I58" s="7">
        <v>1.12025361</v>
      </c>
      <c r="J58" s="7">
        <v>1.1194087699999999</v>
      </c>
      <c r="K58" s="7">
        <v>1.11711457</v>
      </c>
      <c r="L58" s="7">
        <v>1.1149593499999999</v>
      </c>
      <c r="M58" s="7">
        <v>1.113189</v>
      </c>
      <c r="N58" s="7">
        <v>1.113199</v>
      </c>
      <c r="O58" s="7">
        <v>1.0366901399999999</v>
      </c>
      <c r="P58" s="7">
        <v>1.01404133</v>
      </c>
      <c r="Q58" s="7">
        <v>1.01089473</v>
      </c>
      <c r="R58" s="7">
        <v>1.00176559</v>
      </c>
      <c r="S58" s="7">
        <v>1.0041523800000001</v>
      </c>
      <c r="T58" s="7">
        <v>1.0051647500000001</v>
      </c>
      <c r="U58" s="7">
        <v>1.00289066</v>
      </c>
      <c r="V58" s="7">
        <v>1.0003844399999999</v>
      </c>
      <c r="W58" s="7">
        <v>1.04744485</v>
      </c>
      <c r="X58" s="7">
        <v>1.05187663</v>
      </c>
      <c r="Y58" s="7">
        <v>1.0565328599999999</v>
      </c>
      <c r="Z58" s="7">
        <v>1.0533932800000001</v>
      </c>
      <c r="AA58" s="7">
        <v>1.0525748500000001</v>
      </c>
      <c r="AB58" s="7">
        <v>1.05281224</v>
      </c>
      <c r="AC58" s="7">
        <v>1.05494395</v>
      </c>
    </row>
    <row r="59" spans="1:29" x14ac:dyDescent="0.85">
      <c r="A59" t="s">
        <v>157</v>
      </c>
      <c r="B59" s="7">
        <v>1</v>
      </c>
      <c r="C59" s="7">
        <v>1.1040790199999999</v>
      </c>
      <c r="D59" s="7">
        <v>1.1111258799999999</v>
      </c>
      <c r="E59" s="7">
        <v>1.1089509500000001</v>
      </c>
      <c r="F59" s="7">
        <v>1.1028517099999999</v>
      </c>
      <c r="G59" s="7">
        <v>1.0923645</v>
      </c>
      <c r="H59" s="7">
        <v>1.12122392</v>
      </c>
      <c r="I59" s="7">
        <v>1.1202529299999999</v>
      </c>
      <c r="J59" s="7">
        <v>1.1191844399999999</v>
      </c>
      <c r="K59" s="7">
        <v>1.11711647</v>
      </c>
      <c r="L59" s="7">
        <v>1.11496335</v>
      </c>
      <c r="M59" s="7">
        <v>1.113199</v>
      </c>
      <c r="N59" s="7">
        <v>1.0366901399999999</v>
      </c>
      <c r="O59" s="7">
        <v>1.01404133</v>
      </c>
      <c r="P59" s="7">
        <v>1.01089473</v>
      </c>
      <c r="Q59" s="7">
        <v>1.00176559</v>
      </c>
      <c r="R59" s="7">
        <v>1.0041523800000001</v>
      </c>
      <c r="S59" s="7">
        <v>1.0051647500000001</v>
      </c>
      <c r="T59" s="7">
        <v>1.00289066</v>
      </c>
      <c r="U59" s="7">
        <v>1.0003844399999999</v>
      </c>
      <c r="V59" s="7">
        <v>1.04744485</v>
      </c>
      <c r="W59" s="7">
        <v>1.05187663</v>
      </c>
      <c r="X59" s="7">
        <v>1.0565328599999999</v>
      </c>
      <c r="Y59" s="7">
        <v>1.0533932800000001</v>
      </c>
      <c r="Z59" s="7">
        <v>1.0525748500000001</v>
      </c>
      <c r="AA59" s="7">
        <v>1.05281224</v>
      </c>
      <c r="AB59" s="7">
        <v>1.05494395</v>
      </c>
      <c r="AC59" s="7">
        <v>1.0552691599999999</v>
      </c>
    </row>
    <row r="60" spans="1:29" x14ac:dyDescent="0.85">
      <c r="A60" t="s">
        <v>158</v>
      </c>
      <c r="B60" s="7">
        <v>1</v>
      </c>
      <c r="C60" s="7">
        <v>1.1451801699999999</v>
      </c>
      <c r="D60" s="7">
        <v>1.1391901200000001</v>
      </c>
      <c r="E60" s="7">
        <v>1.13295079</v>
      </c>
      <c r="F60" s="7">
        <v>1.1272996</v>
      </c>
      <c r="G60" s="7">
        <v>1.12258258</v>
      </c>
      <c r="H60" s="7">
        <v>1.12122392</v>
      </c>
      <c r="I60" s="7">
        <v>1.1202636100000001</v>
      </c>
      <c r="J60" s="7">
        <v>1.11941877</v>
      </c>
      <c r="K60" s="7">
        <v>1.1171245700000001</v>
      </c>
      <c r="L60" s="7">
        <v>1.11496935</v>
      </c>
      <c r="M60" s="7">
        <v>1.113199</v>
      </c>
      <c r="N60" s="7">
        <v>1.1150640599999999</v>
      </c>
      <c r="O60" s="7">
        <v>1.1209095099999999</v>
      </c>
      <c r="P60" s="7">
        <v>1.1264591500000001</v>
      </c>
      <c r="Q60" s="7">
        <v>1.13263987</v>
      </c>
      <c r="R60" s="7">
        <v>1.1420191799999999</v>
      </c>
      <c r="S60" s="7">
        <v>1.1507325100000001</v>
      </c>
      <c r="T60" s="7">
        <v>1.1590510000000001</v>
      </c>
      <c r="U60" s="7">
        <v>1.1682259500000001</v>
      </c>
      <c r="V60" s="7">
        <v>1.1783931999999999</v>
      </c>
      <c r="W60" s="7">
        <v>1.18143687</v>
      </c>
      <c r="X60" s="7">
        <v>1.1838192700000001</v>
      </c>
      <c r="Y60" s="7">
        <v>1.18547633</v>
      </c>
      <c r="Z60" s="7">
        <v>1.18878006</v>
      </c>
      <c r="AA60" s="7">
        <v>1.19268368</v>
      </c>
      <c r="AB60" s="7">
        <v>1.1966889999999999</v>
      </c>
      <c r="AC60" s="7">
        <v>1.1999997899999999</v>
      </c>
    </row>
    <row r="61" spans="1:29" x14ac:dyDescent="0.85">
      <c r="A61" t="s">
        <v>159</v>
      </c>
      <c r="B61" s="7">
        <v>50842</v>
      </c>
      <c r="C61" s="7">
        <v>49570.95</v>
      </c>
      <c r="D61" s="7">
        <v>48342.49701911</v>
      </c>
      <c r="E61" s="7">
        <v>47133.934593630001</v>
      </c>
      <c r="F61" s="7">
        <v>45955.586228790002</v>
      </c>
      <c r="G61" s="7">
        <v>44806.696573070003</v>
      </c>
      <c r="H61" s="7">
        <v>43686.529158750003</v>
      </c>
      <c r="I61" s="7">
        <v>42594.365929779997</v>
      </c>
      <c r="J61" s="7">
        <v>41529.506781529999</v>
      </c>
      <c r="K61" s="7">
        <v>40491.269111989997</v>
      </c>
      <c r="L61" s="7">
        <v>39478.987384189997</v>
      </c>
      <c r="M61" s="7">
        <v>38492.012699589999</v>
      </c>
      <c r="N61" s="7">
        <v>37529.712382099999</v>
      </c>
      <c r="O61" s="7">
        <v>36591.469572549999</v>
      </c>
      <c r="P61" s="7">
        <v>35676.682833229999</v>
      </c>
      <c r="Q61" s="7">
        <v>34784.765762399998</v>
      </c>
      <c r="R61" s="7">
        <v>33915.146618339997</v>
      </c>
      <c r="S61" s="7">
        <v>33067.26795288</v>
      </c>
      <c r="T61" s="7">
        <v>32240.586254059999</v>
      </c>
      <c r="U61" s="7">
        <v>31434.571597710001</v>
      </c>
      <c r="V61" s="7">
        <v>30648.707307770001</v>
      </c>
      <c r="W61" s="7">
        <v>29882.48962507</v>
      </c>
      <c r="X61" s="7">
        <v>29135.427384449998</v>
      </c>
      <c r="Y61" s="7">
        <v>28407.04169984</v>
      </c>
      <c r="Z61" s="7">
        <v>27696.86565734</v>
      </c>
      <c r="AA61" s="7">
        <v>27004.444015910001</v>
      </c>
      <c r="AB61" s="7">
        <v>26329.33291551</v>
      </c>
      <c r="AC61" s="7">
        <v>25671.099592620001</v>
      </c>
    </row>
    <row r="62" spans="1:29" x14ac:dyDescent="0.85">
      <c r="A62" t="s">
        <v>160</v>
      </c>
      <c r="B62" s="7">
        <v>247868584.64385</v>
      </c>
      <c r="C62" s="7">
        <v>241671869.99107599</v>
      </c>
      <c r="D62" s="7">
        <v>235682827.43515101</v>
      </c>
      <c r="E62" s="7">
        <v>229790756.14931601</v>
      </c>
      <c r="F62" s="7">
        <v>224033624.842011</v>
      </c>
      <c r="G62" s="7">
        <v>213745427.409206</v>
      </c>
      <c r="H62" s="7">
        <v>180634140.822155</v>
      </c>
      <c r="I62" s="7">
        <v>146541539.93719801</v>
      </c>
      <c r="J62" s="7">
        <v>122936925.03444199</v>
      </c>
      <c r="K62" s="7">
        <v>99366573.6932154</v>
      </c>
      <c r="L62" s="7">
        <v>73557753.479166999</v>
      </c>
      <c r="M62" s="7">
        <v>17154510.266229302</v>
      </c>
      <c r="N62" s="7">
        <v>2.2853999999999999E-3</v>
      </c>
      <c r="O62" s="7">
        <v>0</v>
      </c>
      <c r="P62" s="7">
        <v>0</v>
      </c>
      <c r="Q62" s="7">
        <v>0</v>
      </c>
      <c r="R62" s="7">
        <v>0</v>
      </c>
      <c r="S62" s="7">
        <v>0</v>
      </c>
      <c r="T62" s="7">
        <v>0</v>
      </c>
      <c r="U62" s="7">
        <v>0</v>
      </c>
      <c r="V62" s="7">
        <v>0</v>
      </c>
      <c r="W62" s="7">
        <v>0</v>
      </c>
      <c r="X62" s="7">
        <v>0</v>
      </c>
      <c r="Y62" s="7">
        <v>0</v>
      </c>
      <c r="Z62" s="7">
        <v>0</v>
      </c>
      <c r="AA62" s="7">
        <v>0</v>
      </c>
      <c r="AB62" s="7">
        <v>0</v>
      </c>
      <c r="AC62" s="7">
        <v>0</v>
      </c>
    </row>
    <row r="63" spans="1:29" x14ac:dyDescent="0.85">
      <c r="A63" t="s">
        <v>161</v>
      </c>
      <c r="B63" s="7">
        <v>247868584.64385</v>
      </c>
      <c r="C63" s="7">
        <v>241671869.99107599</v>
      </c>
      <c r="D63" s="7">
        <v>235682827.43515101</v>
      </c>
      <c r="E63" s="7">
        <v>229790756.14931601</v>
      </c>
      <c r="F63" s="7">
        <v>224033624.842011</v>
      </c>
      <c r="G63" s="7">
        <v>213745427.409206</v>
      </c>
      <c r="H63" s="7">
        <v>180634140.822155</v>
      </c>
      <c r="I63" s="7">
        <v>146541539.93719801</v>
      </c>
      <c r="J63" s="7">
        <v>122936925.03444199</v>
      </c>
      <c r="K63" s="7">
        <v>99366573.6932154</v>
      </c>
      <c r="L63" s="7">
        <v>73557753.479166999</v>
      </c>
      <c r="M63" s="7">
        <v>17154510.266229302</v>
      </c>
      <c r="N63" s="7">
        <v>2.2853999999999999E-3</v>
      </c>
      <c r="O63" s="7">
        <v>0</v>
      </c>
      <c r="P63" s="7">
        <v>0</v>
      </c>
      <c r="Q63" s="7">
        <v>0</v>
      </c>
      <c r="R63" s="7">
        <v>0</v>
      </c>
      <c r="S63" s="7">
        <v>0</v>
      </c>
      <c r="T63" s="7">
        <v>0</v>
      </c>
      <c r="U63" s="7">
        <v>0</v>
      </c>
      <c r="V63" s="7">
        <v>0</v>
      </c>
      <c r="W63" s="7">
        <v>0</v>
      </c>
      <c r="X63" s="7">
        <v>0</v>
      </c>
      <c r="Y63" s="7">
        <v>0</v>
      </c>
      <c r="Z63" s="7">
        <v>0</v>
      </c>
      <c r="AA63" s="7">
        <v>0</v>
      </c>
      <c r="AB63" s="7">
        <v>0</v>
      </c>
      <c r="AC63" s="7">
        <v>0</v>
      </c>
    </row>
    <row r="64" spans="1:29" x14ac:dyDescent="0.85">
      <c r="A64" t="s">
        <v>162</v>
      </c>
      <c r="B64" s="7">
        <v>36202.465000509997</v>
      </c>
      <c r="C64" s="7">
        <v>35297.403374640002</v>
      </c>
      <c r="D64" s="7">
        <v>34422.673308079997</v>
      </c>
      <c r="E64" s="7">
        <v>33562.106461410003</v>
      </c>
      <c r="F64" s="7">
        <v>32722.766003119999</v>
      </c>
      <c r="G64" s="7">
        <v>31795.575186459999</v>
      </c>
      <c r="H64" s="7">
        <v>30354.254893810001</v>
      </c>
      <c r="I64" s="7">
        <v>28906.85184282</v>
      </c>
      <c r="J64" s="7">
        <v>27719.952288050001</v>
      </c>
      <c r="K64" s="7">
        <v>26549.784992000001</v>
      </c>
      <c r="L64" s="7">
        <v>25343.042378509999</v>
      </c>
      <c r="M64" s="7">
        <v>23439.209429570001</v>
      </c>
      <c r="N64" s="7">
        <v>22463.85611986</v>
      </c>
      <c r="O64" s="7">
        <v>21902.25971681</v>
      </c>
      <c r="P64" s="7">
        <v>21354.703223889999</v>
      </c>
      <c r="Q64" s="7">
        <v>20820.835643300001</v>
      </c>
      <c r="R64" s="7">
        <v>20300.314752210001</v>
      </c>
      <c r="S64" s="7">
        <v>19792.806883410001</v>
      </c>
      <c r="T64" s="7">
        <v>19297.986711320002</v>
      </c>
      <c r="U64" s="7">
        <v>18815.53704354</v>
      </c>
      <c r="V64" s="7">
        <v>18345.148617449999</v>
      </c>
      <c r="W64" s="7">
        <v>17886.519902010001</v>
      </c>
      <c r="X64" s="7">
        <v>17439.356904460001</v>
      </c>
      <c r="Y64" s="7">
        <v>17003.37298185</v>
      </c>
      <c r="Z64" s="7">
        <v>16578.28865731</v>
      </c>
      <c r="AA64" s="7">
        <v>16163.831440870001</v>
      </c>
      <c r="AB64" s="7">
        <v>15759.735654849999</v>
      </c>
      <c r="AC64" s="7">
        <v>15365.74226348</v>
      </c>
    </row>
    <row r="65" spans="1:29" x14ac:dyDescent="0.85">
      <c r="A65" t="s">
        <v>163</v>
      </c>
      <c r="B65" s="7">
        <v>0</v>
      </c>
      <c r="C65" s="7">
        <v>3963.41866785</v>
      </c>
      <c r="D65" s="7">
        <v>7730.3967398699997</v>
      </c>
      <c r="E65" s="7">
        <v>11305.70520255</v>
      </c>
      <c r="F65" s="7">
        <v>14696.60578964</v>
      </c>
      <c r="G65" s="7">
        <v>17527.125047549998</v>
      </c>
      <c r="H65" s="7">
        <v>17774.399456899999</v>
      </c>
      <c r="I65" s="7">
        <v>16822.968784789999</v>
      </c>
      <c r="J65" s="7">
        <v>16129.32456452</v>
      </c>
      <c r="K65" s="7">
        <v>14666.506277119999</v>
      </c>
      <c r="L65" s="7">
        <v>12063.471570580001</v>
      </c>
      <c r="M65" s="7">
        <v>3094.6736520300001</v>
      </c>
      <c r="N65" s="7">
        <v>4.4999999999999998E-7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v>0</v>
      </c>
      <c r="W65" s="7">
        <v>0</v>
      </c>
      <c r="X65" s="7">
        <v>0</v>
      </c>
      <c r="Y65" s="7">
        <v>0</v>
      </c>
      <c r="Z65" s="7">
        <v>0</v>
      </c>
      <c r="AA65" s="7">
        <v>0</v>
      </c>
      <c r="AB65" s="7">
        <v>0</v>
      </c>
      <c r="AC65" s="7">
        <v>0</v>
      </c>
    </row>
    <row r="66" spans="1:29" x14ac:dyDescent="0.85">
      <c r="A66" t="s">
        <v>164</v>
      </c>
      <c r="B66" s="7">
        <v>203.25223940999999</v>
      </c>
      <c r="C66" s="7">
        <v>198.17093338999999</v>
      </c>
      <c r="D66" s="7">
        <v>193.2599185</v>
      </c>
      <c r="E66" s="7">
        <v>188.42842003999999</v>
      </c>
      <c r="F66" s="7">
        <v>183.70757237000001</v>
      </c>
      <c r="G66" s="7">
        <v>175.27125047999999</v>
      </c>
      <c r="H66" s="7">
        <v>148.11999546999999</v>
      </c>
      <c r="I66" s="7">
        <v>120.16406275</v>
      </c>
      <c r="J66" s="7">
        <v>100.80827853</v>
      </c>
      <c r="K66" s="7">
        <v>81.480590430000007</v>
      </c>
      <c r="L66" s="7">
        <v>60.31735785</v>
      </c>
      <c r="M66" s="7">
        <v>14.06669842</v>
      </c>
      <c r="N66" s="7">
        <v>0</v>
      </c>
      <c r="O66" s="7">
        <v>0</v>
      </c>
      <c r="P66" s="7">
        <v>0</v>
      </c>
      <c r="Q66" s="7">
        <v>0</v>
      </c>
      <c r="R66" s="7">
        <v>0</v>
      </c>
      <c r="S66" s="7">
        <v>0</v>
      </c>
      <c r="T66" s="7">
        <v>0</v>
      </c>
      <c r="U66" s="7">
        <v>0</v>
      </c>
      <c r="V66" s="7">
        <v>0</v>
      </c>
      <c r="W66" s="7">
        <v>0</v>
      </c>
      <c r="X66" s="7">
        <v>0</v>
      </c>
      <c r="Y66" s="7">
        <v>0</v>
      </c>
      <c r="Z66" s="7">
        <v>0</v>
      </c>
      <c r="AA66" s="7">
        <v>0</v>
      </c>
      <c r="AB66" s="7">
        <v>0</v>
      </c>
      <c r="AC66" s="7">
        <v>0</v>
      </c>
    </row>
    <row r="67" spans="1:29" x14ac:dyDescent="0.85">
      <c r="A67" t="s">
        <v>165</v>
      </c>
      <c r="B67" s="7">
        <v>30432.084350000001</v>
      </c>
      <c r="C67" s="7">
        <v>29671.282241249999</v>
      </c>
      <c r="D67" s="7">
        <v>28935.977085390001</v>
      </c>
      <c r="E67" s="7">
        <v>28212.57765825</v>
      </c>
      <c r="F67" s="7">
        <v>27507.263216799998</v>
      </c>
      <c r="G67" s="7">
        <v>26819.58163638</v>
      </c>
      <c r="H67" s="7">
        <v>26149.092095470001</v>
      </c>
      <c r="I67" s="7">
        <v>25495.36479308</v>
      </c>
      <c r="J67" s="7">
        <v>24857.98067325</v>
      </c>
      <c r="K67" s="7">
        <v>24236.531156419998</v>
      </c>
      <c r="L67" s="7">
        <v>23630.617877510002</v>
      </c>
      <c r="M67" s="7">
        <v>23039.852430570001</v>
      </c>
      <c r="N67" s="7">
        <v>22463.85611981</v>
      </c>
      <c r="O67" s="7">
        <v>21902.25971681</v>
      </c>
      <c r="P67" s="7">
        <v>21354.703223889999</v>
      </c>
      <c r="Q67" s="7">
        <v>20820.835643300001</v>
      </c>
      <c r="R67" s="7">
        <v>20300.314752210001</v>
      </c>
      <c r="S67" s="7">
        <v>19792.806883410001</v>
      </c>
      <c r="T67" s="7">
        <v>19297.986711320002</v>
      </c>
      <c r="U67" s="7">
        <v>18815.53704354</v>
      </c>
      <c r="V67" s="7">
        <v>18345.148617449999</v>
      </c>
      <c r="W67" s="7">
        <v>17886.519902010001</v>
      </c>
      <c r="X67" s="7">
        <v>17439.356904460001</v>
      </c>
      <c r="Y67" s="7">
        <v>17003.37298185</v>
      </c>
      <c r="Z67" s="7">
        <v>16578.28865731</v>
      </c>
      <c r="AA67" s="7">
        <v>16163.831440870001</v>
      </c>
      <c r="AB67" s="7">
        <v>15759.735654849999</v>
      </c>
      <c r="AC67" s="7">
        <v>15365.74226348</v>
      </c>
    </row>
    <row r="68" spans="1:29" x14ac:dyDescent="0.85">
      <c r="A68" t="s">
        <v>166</v>
      </c>
      <c r="B68" s="7">
        <v>5770.3806505100001</v>
      </c>
      <c r="C68" s="7">
        <v>5626.1211333900001</v>
      </c>
      <c r="D68" s="7">
        <v>5486.6962226899996</v>
      </c>
      <c r="E68" s="7">
        <v>5349.5288031600003</v>
      </c>
      <c r="F68" s="7">
        <v>5215.5027863200003</v>
      </c>
      <c r="G68" s="7">
        <v>4975.9935500900001</v>
      </c>
      <c r="H68" s="7">
        <v>4205.1627983400003</v>
      </c>
      <c r="I68" s="7">
        <v>3411.4870497400002</v>
      </c>
      <c r="J68" s="7">
        <v>2861.9716148000002</v>
      </c>
      <c r="K68" s="7">
        <v>2313.2538355800002</v>
      </c>
      <c r="L68" s="7">
        <v>1712.424501</v>
      </c>
      <c r="M68" s="7">
        <v>399.35699899999997</v>
      </c>
      <c r="N68" s="7">
        <v>4.9999999999999998E-8</v>
      </c>
      <c r="O68" s="7">
        <v>0</v>
      </c>
      <c r="P68" s="7">
        <v>0</v>
      </c>
      <c r="Q68" s="7">
        <v>0</v>
      </c>
      <c r="R68" s="7">
        <v>0</v>
      </c>
      <c r="S68" s="7">
        <v>0</v>
      </c>
      <c r="T68" s="7">
        <v>0</v>
      </c>
      <c r="U68" s="7">
        <v>0</v>
      </c>
      <c r="V68" s="7">
        <v>0</v>
      </c>
      <c r="W68" s="7">
        <v>0</v>
      </c>
      <c r="X68" s="7">
        <v>0</v>
      </c>
      <c r="Y68" s="7">
        <v>0</v>
      </c>
      <c r="Z68" s="7">
        <v>0</v>
      </c>
      <c r="AA68" s="7">
        <v>0</v>
      </c>
      <c r="AB68" s="7">
        <v>0</v>
      </c>
      <c r="AC68" s="7">
        <v>0</v>
      </c>
    </row>
    <row r="69" spans="1:29" x14ac:dyDescent="0.85">
      <c r="A69" t="s">
        <v>167</v>
      </c>
      <c r="B69" s="7">
        <v>1</v>
      </c>
      <c r="C69" s="7">
        <v>1.0249999999999999</v>
      </c>
      <c r="D69" s="7">
        <v>1</v>
      </c>
      <c r="E69" s="7">
        <v>1.00022389</v>
      </c>
      <c r="F69" s="7">
        <v>1</v>
      </c>
      <c r="G69" s="7">
        <v>0.99994481999999996</v>
      </c>
      <c r="H69" s="7">
        <v>0.97854096000000002</v>
      </c>
      <c r="I69" s="7">
        <v>0.86675906000000003</v>
      </c>
      <c r="J69" s="7">
        <v>0.83206316999999996</v>
      </c>
      <c r="K69" s="7">
        <v>0.86043283999999998</v>
      </c>
      <c r="L69" s="7">
        <v>0.82899774999999998</v>
      </c>
      <c r="M69" s="7">
        <v>0.75924776999999999</v>
      </c>
      <c r="N69" s="7">
        <v>0.23919123</v>
      </c>
      <c r="O69" s="7">
        <v>0</v>
      </c>
      <c r="P69" s="7">
        <v>0</v>
      </c>
      <c r="Q69" s="7">
        <v>2.143E-5</v>
      </c>
      <c r="R69" s="7">
        <v>1.3570000000000001E-5</v>
      </c>
      <c r="S69" s="7">
        <v>5.931E-5</v>
      </c>
      <c r="T69" s="7">
        <v>5.9559999999999999E-5</v>
      </c>
      <c r="U69" s="7">
        <v>5.5449999999999999E-5</v>
      </c>
      <c r="V69" s="7">
        <v>8.5069999999999997E-5</v>
      </c>
      <c r="W69" s="7">
        <v>2.3579349999999999E-2</v>
      </c>
      <c r="X69" s="7">
        <v>0.99999932999999996</v>
      </c>
      <c r="Y69" s="7">
        <v>0.99798865999999997</v>
      </c>
      <c r="Z69" s="7">
        <v>0.99823664000000001</v>
      </c>
      <c r="AA69" s="7">
        <v>0.99999735000000001</v>
      </c>
      <c r="AB69" s="7">
        <v>0.99911366999999995</v>
      </c>
      <c r="AC69" s="7">
        <v>0.97702387000000002</v>
      </c>
    </row>
    <row r="70" spans="1:29" x14ac:dyDescent="0.85">
      <c r="A70" t="s">
        <v>168</v>
      </c>
      <c r="B70" s="7">
        <v>1</v>
      </c>
      <c r="C70" s="7">
        <v>1</v>
      </c>
      <c r="D70" s="7">
        <v>1.00022389</v>
      </c>
      <c r="E70" s="7">
        <v>1</v>
      </c>
      <c r="F70" s="7">
        <v>0.99994481999999996</v>
      </c>
      <c r="G70" s="7">
        <v>0.97854096000000002</v>
      </c>
      <c r="H70" s="7">
        <v>0.86675906000000003</v>
      </c>
      <c r="I70" s="7">
        <v>0.83206316999999996</v>
      </c>
      <c r="J70" s="7">
        <v>0.86043283999999998</v>
      </c>
      <c r="K70" s="7">
        <v>0.82899774999999998</v>
      </c>
      <c r="L70" s="7">
        <v>0.75924776999999999</v>
      </c>
      <c r="M70" s="7">
        <v>0.23919123</v>
      </c>
      <c r="N70" s="7">
        <v>0</v>
      </c>
      <c r="O70" s="7">
        <v>0</v>
      </c>
      <c r="P70" s="7">
        <v>2.143E-5</v>
      </c>
      <c r="Q70" s="7">
        <v>1.3570000000000001E-5</v>
      </c>
      <c r="R70" s="7">
        <v>5.931E-5</v>
      </c>
      <c r="S70" s="7">
        <v>5.9559999999999999E-5</v>
      </c>
      <c r="T70" s="7">
        <v>5.5449999999999999E-5</v>
      </c>
      <c r="U70" s="7">
        <v>8.5069999999999997E-5</v>
      </c>
      <c r="V70" s="7">
        <v>2.3579349999999999E-2</v>
      </c>
      <c r="W70" s="7">
        <v>0.99999932999999996</v>
      </c>
      <c r="X70" s="7">
        <v>0.99798865999999997</v>
      </c>
      <c r="Y70" s="7">
        <v>0.99823664000000001</v>
      </c>
      <c r="Z70" s="7">
        <v>0.99999735000000001</v>
      </c>
      <c r="AA70" s="7">
        <v>0.99911366999999995</v>
      </c>
      <c r="AB70" s="7">
        <v>0.97702387000000002</v>
      </c>
      <c r="AC70" s="7">
        <v>0.97551104</v>
      </c>
    </row>
    <row r="71" spans="1:29" x14ac:dyDescent="0.85">
      <c r="A71" t="s">
        <v>169</v>
      </c>
      <c r="B71" s="7">
        <v>1</v>
      </c>
      <c r="C71" s="7">
        <v>1.36975275</v>
      </c>
      <c r="D71" s="7">
        <v>1.38202004</v>
      </c>
      <c r="E71" s="7">
        <v>1.39524447</v>
      </c>
      <c r="F71" s="7">
        <v>1.4092262</v>
      </c>
      <c r="G71" s="7">
        <v>1.42407441</v>
      </c>
      <c r="H71" s="7">
        <v>1.4488496399999999</v>
      </c>
      <c r="I71" s="7">
        <v>1.4889474899999999</v>
      </c>
      <c r="J71" s="7">
        <v>1.53289914</v>
      </c>
      <c r="K71" s="7">
        <v>1.5721549800000001</v>
      </c>
      <c r="L71" s="7">
        <v>1.61385497</v>
      </c>
      <c r="M71" s="7">
        <v>1.65978702</v>
      </c>
      <c r="N71" s="7">
        <v>1.7352863199999999</v>
      </c>
      <c r="O71" s="7">
        <v>1.7950170299999999</v>
      </c>
      <c r="P71" s="7">
        <v>1.83636512</v>
      </c>
      <c r="Q71" s="7">
        <v>1.8797380299999999</v>
      </c>
      <c r="R71" s="7">
        <v>1.9386176900000001</v>
      </c>
      <c r="S71" s="7">
        <v>1.99309797</v>
      </c>
      <c r="T71" s="7">
        <v>2.0443560500000002</v>
      </c>
      <c r="U71" s="7">
        <v>2.09825449</v>
      </c>
      <c r="V71" s="7">
        <v>2.1549248400000001</v>
      </c>
      <c r="W71" s="7">
        <v>2.2129742999999999</v>
      </c>
      <c r="X71" s="7">
        <v>2.2737898699999999</v>
      </c>
      <c r="Y71" s="7">
        <v>2.3374837899999998</v>
      </c>
      <c r="Z71" s="7">
        <v>2.4137590800000002</v>
      </c>
      <c r="AA71" s="7">
        <v>2.4978741699999998</v>
      </c>
      <c r="AB71" s="7">
        <v>2.5875205000000001</v>
      </c>
      <c r="AC71" s="7">
        <v>2.6787147500000001</v>
      </c>
    </row>
    <row r="72" spans="1:29" x14ac:dyDescent="0.85">
      <c r="A72" t="s">
        <v>170</v>
      </c>
      <c r="B72" s="7">
        <v>0</v>
      </c>
      <c r="C72" s="7">
        <v>4.7538080899999997</v>
      </c>
      <c r="D72" s="7">
        <v>13.204372579999999</v>
      </c>
      <c r="E72" s="7">
        <v>12.645507159999999</v>
      </c>
      <c r="F72" s="7">
        <v>11.91473345</v>
      </c>
      <c r="G72" s="7">
        <v>11.15679587</v>
      </c>
      <c r="H72" s="7">
        <v>10.596845160000001</v>
      </c>
      <c r="I72" s="7">
        <v>53.208199090000001</v>
      </c>
      <c r="J72" s="7">
        <v>142.2576157</v>
      </c>
      <c r="K72" s="7">
        <v>364.13083655999998</v>
      </c>
      <c r="L72" s="7">
        <v>556.77623893999998</v>
      </c>
      <c r="M72" s="7">
        <v>501.10630456000001</v>
      </c>
      <c r="N72" s="7">
        <v>450.99567442</v>
      </c>
      <c r="O72" s="7">
        <v>452.23042628000002</v>
      </c>
      <c r="P72" s="7">
        <v>407.01140810999999</v>
      </c>
      <c r="Q72" s="7">
        <v>366.31026730000002</v>
      </c>
      <c r="R72" s="7">
        <v>329.68181378000003</v>
      </c>
      <c r="S72" s="7">
        <v>296.71607965999999</v>
      </c>
      <c r="T72" s="7">
        <v>267.04532655000003</v>
      </c>
      <c r="U72" s="7">
        <v>240.3409868</v>
      </c>
      <c r="V72" s="7">
        <v>216.39059363000001</v>
      </c>
      <c r="W72" s="7">
        <v>194.75153427000001</v>
      </c>
      <c r="X72" s="7">
        <v>175.75962354999999</v>
      </c>
      <c r="Y72" s="7">
        <v>158.19924141999999</v>
      </c>
      <c r="Z72" s="7">
        <v>142.37940717000001</v>
      </c>
      <c r="AA72" s="7">
        <v>128.14290549</v>
      </c>
      <c r="AB72" s="7">
        <v>115.32861792</v>
      </c>
      <c r="AC72" s="7">
        <v>103.79577849</v>
      </c>
    </row>
    <row r="73" spans="1:29" x14ac:dyDescent="0.85">
      <c r="A73" t="s">
        <v>171</v>
      </c>
      <c r="B73" s="7">
        <v>0</v>
      </c>
      <c r="C73" s="7">
        <v>1.1884519899999999</v>
      </c>
      <c r="D73" s="7">
        <v>2.2314848500000002</v>
      </c>
      <c r="E73" s="7">
        <v>0.17307442000000001</v>
      </c>
      <c r="F73" s="7">
        <v>0.15075992999999999</v>
      </c>
      <c r="G73" s="7">
        <v>0</v>
      </c>
      <c r="H73" s="7">
        <v>0.24731416000000001</v>
      </c>
      <c r="I73" s="7">
        <v>10.91775238</v>
      </c>
      <c r="J73" s="7">
        <v>23.583349510000001</v>
      </c>
      <c r="K73" s="7">
        <v>59.033966419999999</v>
      </c>
      <c r="L73" s="7">
        <v>57.264622000000003</v>
      </c>
      <c r="M73" s="7">
        <v>1.92391E-3</v>
      </c>
      <c r="N73" s="7">
        <v>4.9999999999999998E-8</v>
      </c>
      <c r="O73" s="7">
        <v>10.893679990000001</v>
      </c>
      <c r="P73" s="7">
        <v>51.9840357</v>
      </c>
      <c r="Q73" s="7">
        <v>91.577558379999999</v>
      </c>
      <c r="R73" s="7">
        <v>82.420453440000003</v>
      </c>
      <c r="S73" s="7">
        <v>74.179019679999996</v>
      </c>
      <c r="T73" s="7">
        <v>66.761327089999995</v>
      </c>
      <c r="U73" s="7">
        <v>60.085246509999997</v>
      </c>
      <c r="V73" s="7">
        <v>54.097026839999998</v>
      </c>
      <c r="W73" s="7">
        <v>48.687883569999997</v>
      </c>
      <c r="X73" s="7">
        <v>43.939904660000003</v>
      </c>
      <c r="Y73" s="7">
        <v>39.549810350000001</v>
      </c>
      <c r="Z73" s="7">
        <v>35.594848740000003</v>
      </c>
      <c r="AA73" s="7">
        <v>32.03572621</v>
      </c>
      <c r="AB73" s="7">
        <v>28.832153430000002</v>
      </c>
      <c r="AC73" s="7">
        <v>25.948944619999999</v>
      </c>
    </row>
    <row r="74" spans="1:29" x14ac:dyDescent="0.85">
      <c r="A74" t="s">
        <v>172</v>
      </c>
      <c r="B74" s="7">
        <v>0</v>
      </c>
      <c r="C74" s="7">
        <v>1.1884519899999999</v>
      </c>
      <c r="D74" s="7">
        <v>2.2314848500000002</v>
      </c>
      <c r="E74" s="7">
        <v>0.17307442000000001</v>
      </c>
      <c r="F74" s="7">
        <v>0.15075992999999999</v>
      </c>
      <c r="G74" s="7">
        <v>0</v>
      </c>
      <c r="H74" s="7">
        <v>0.24731416000000001</v>
      </c>
      <c r="I74" s="7">
        <v>10.91775238</v>
      </c>
      <c r="J74" s="7">
        <v>23.583349510000001</v>
      </c>
      <c r="K74" s="7">
        <v>59.033966419999999</v>
      </c>
      <c r="L74" s="7">
        <v>57.264622000000003</v>
      </c>
      <c r="M74" s="7">
        <v>1.92391E-3</v>
      </c>
      <c r="N74" s="7">
        <v>4.9999999999999998E-8</v>
      </c>
      <c r="O74" s="7">
        <v>10.893679990000001</v>
      </c>
      <c r="P74" s="7">
        <v>51.9840357</v>
      </c>
      <c r="Q74" s="7">
        <v>91.577558379999999</v>
      </c>
      <c r="R74" s="7">
        <v>82.420453440000003</v>
      </c>
      <c r="S74" s="7">
        <v>74.179019679999996</v>
      </c>
      <c r="T74" s="7">
        <v>66.761327089999995</v>
      </c>
      <c r="U74" s="7">
        <v>60.085246509999997</v>
      </c>
      <c r="V74" s="7">
        <v>54.097026839999998</v>
      </c>
      <c r="W74" s="7">
        <v>48.687883569999997</v>
      </c>
      <c r="X74" s="7">
        <v>43.939904660000003</v>
      </c>
      <c r="Y74" s="7">
        <v>39.549810350000001</v>
      </c>
      <c r="Z74" s="7">
        <v>35.594848740000003</v>
      </c>
      <c r="AA74" s="7">
        <v>32.03572621</v>
      </c>
      <c r="AB74" s="7">
        <v>28.832153430000002</v>
      </c>
      <c r="AC74" s="7">
        <v>25.948944619999999</v>
      </c>
    </row>
    <row r="75" spans="1:29" x14ac:dyDescent="0.85">
      <c r="A75" t="s">
        <v>173</v>
      </c>
      <c r="B75" s="7">
        <v>0</v>
      </c>
      <c r="C75" s="7">
        <v>1.2624683699999999</v>
      </c>
      <c r="D75" s="7">
        <v>3.5066692599999998</v>
      </c>
      <c r="E75" s="7">
        <v>3.358225</v>
      </c>
      <c r="F75" s="7">
        <v>3.1641556999999998</v>
      </c>
      <c r="G75" s="7">
        <v>2.96287083</v>
      </c>
      <c r="H75" s="7">
        <v>2.8141701000000001</v>
      </c>
      <c r="I75" s="7">
        <v>14.13046361</v>
      </c>
      <c r="J75" s="7">
        <v>37.779176679999999</v>
      </c>
      <c r="K75" s="7">
        <v>96.701751479999999</v>
      </c>
      <c r="L75" s="7">
        <v>147.86188537000001</v>
      </c>
      <c r="M75" s="7">
        <v>133.07702925999999</v>
      </c>
      <c r="N75" s="7">
        <v>119.76932639</v>
      </c>
      <c r="O75" s="7">
        <v>120.09738508</v>
      </c>
      <c r="P75" s="7">
        <v>108.08929615</v>
      </c>
      <c r="Q75" s="7">
        <v>97.280983320000004</v>
      </c>
      <c r="R75" s="7">
        <v>87.55356836</v>
      </c>
      <c r="S75" s="7">
        <v>78.798861439999996</v>
      </c>
      <c r="T75" s="7">
        <v>70.919202319999997</v>
      </c>
      <c r="U75" s="7">
        <v>63.827333320000001</v>
      </c>
      <c r="V75" s="7">
        <v>57.46682964</v>
      </c>
      <c r="W75" s="7">
        <v>51.720146679999999</v>
      </c>
      <c r="X75" s="7">
        <v>46.676466740000002</v>
      </c>
      <c r="Y75" s="7">
        <v>42.012957700000001</v>
      </c>
      <c r="Z75" s="7">
        <v>37.811685799999999</v>
      </c>
      <c r="AA75" s="7">
        <v>34.030899390000002</v>
      </c>
      <c r="AB75" s="7">
        <v>30.627810239999999</v>
      </c>
      <c r="AC75" s="7">
        <v>27.56503515</v>
      </c>
    </row>
    <row r="76" spans="1:29" x14ac:dyDescent="0.85">
      <c r="A76" t="s">
        <v>174</v>
      </c>
      <c r="B76" s="7">
        <v>0</v>
      </c>
      <c r="C76" s="7">
        <v>2.6400000000000001E-6</v>
      </c>
      <c r="D76" s="7">
        <v>9.9299999999999998E-6</v>
      </c>
      <c r="E76" s="7">
        <v>1.1599999999999999E-6</v>
      </c>
      <c r="F76" s="7">
        <v>1.3400000000000001E-6</v>
      </c>
      <c r="G76" s="7">
        <v>0</v>
      </c>
      <c r="H76" s="7">
        <v>3.3000000000000002E-6</v>
      </c>
      <c r="I76" s="7">
        <v>1.7003999999999999E-4</v>
      </c>
      <c r="J76" s="7">
        <v>4.1978000000000002E-4</v>
      </c>
      <c r="K76" s="7">
        <v>1.18216E-3</v>
      </c>
      <c r="L76" s="7">
        <v>1.27414E-3</v>
      </c>
      <c r="M76" s="7">
        <v>4.9999999999999998E-8</v>
      </c>
      <c r="N76" s="7">
        <v>0</v>
      </c>
      <c r="O76" s="7">
        <v>3.1510000000000002E-4</v>
      </c>
      <c r="P76" s="7">
        <v>1.6192999999999999E-3</v>
      </c>
      <c r="Q76" s="7">
        <v>3.0563999999999999E-3</v>
      </c>
      <c r="R76" s="7">
        <v>2.9341699999999998E-3</v>
      </c>
      <c r="S76" s="7">
        <v>2.8058200000000001E-3</v>
      </c>
      <c r="T76" s="7">
        <v>2.6737900000000001E-3</v>
      </c>
      <c r="U76" s="7">
        <v>2.5401E-3</v>
      </c>
      <c r="V76" s="7">
        <v>2.4073200000000001E-3</v>
      </c>
      <c r="W76" s="7">
        <v>2.27494E-3</v>
      </c>
      <c r="X76" s="7">
        <v>2.1508600000000001E-3</v>
      </c>
      <c r="Y76" s="7">
        <v>2.02396E-3</v>
      </c>
      <c r="Z76" s="7">
        <v>1.90076E-3</v>
      </c>
      <c r="AA76" s="7">
        <v>1.78199E-3</v>
      </c>
      <c r="AB76" s="7">
        <v>1.6679399999999999E-3</v>
      </c>
      <c r="AC76" s="7">
        <v>1.5588799999999999E-3</v>
      </c>
    </row>
    <row r="77" spans="1:29" x14ac:dyDescent="0.85">
      <c r="A77" t="s">
        <v>175</v>
      </c>
      <c r="B77" s="7">
        <v>0</v>
      </c>
      <c r="C77" s="7">
        <v>1.3E-7</v>
      </c>
      <c r="D77" s="7">
        <v>2.4999999999999999E-7</v>
      </c>
      <c r="E77" s="7">
        <v>2E-8</v>
      </c>
      <c r="F77" s="7">
        <v>2E-8</v>
      </c>
      <c r="G77" s="7">
        <v>0</v>
      </c>
      <c r="H77" s="7">
        <v>2.9999999999999997E-8</v>
      </c>
      <c r="I77" s="7">
        <v>1.2100000000000001E-6</v>
      </c>
      <c r="J77" s="7">
        <v>2.6199999999999999E-6</v>
      </c>
      <c r="K77" s="7">
        <v>6.5699999999999998E-6</v>
      </c>
      <c r="L77" s="7">
        <v>6.37E-6</v>
      </c>
      <c r="M77" s="7">
        <v>0</v>
      </c>
      <c r="N77" s="7">
        <v>0</v>
      </c>
      <c r="O77" s="7">
        <v>1.2100000000000001E-6</v>
      </c>
      <c r="P77" s="7">
        <v>5.7799999999999997E-6</v>
      </c>
      <c r="Q77" s="7">
        <v>1.0190000000000001E-5</v>
      </c>
      <c r="R77" s="7">
        <v>9.1700000000000003E-6</v>
      </c>
      <c r="S77" s="7">
        <v>8.2500000000000006E-6</v>
      </c>
      <c r="T77" s="7">
        <v>7.43E-6</v>
      </c>
      <c r="U77" s="7">
        <v>6.6800000000000004E-6</v>
      </c>
      <c r="V77" s="7">
        <v>6.02E-6</v>
      </c>
      <c r="W77" s="7">
        <v>5.4199999999999998E-6</v>
      </c>
      <c r="X77" s="7">
        <v>4.8899999999999998E-6</v>
      </c>
      <c r="Y77" s="7">
        <v>4.4000000000000002E-6</v>
      </c>
      <c r="Z77" s="7">
        <v>3.9600000000000002E-6</v>
      </c>
      <c r="AA77" s="7">
        <v>3.5599999999999998E-6</v>
      </c>
      <c r="AB77" s="7">
        <v>3.2100000000000002E-6</v>
      </c>
      <c r="AC77" s="7">
        <v>2.8899999999999999E-6</v>
      </c>
    </row>
    <row r="78" spans="1:29" x14ac:dyDescent="0.85">
      <c r="A78" t="s">
        <v>176</v>
      </c>
      <c r="B78" s="7">
        <v>0</v>
      </c>
      <c r="C78" s="7">
        <v>1.2624519999999999</v>
      </c>
      <c r="D78" s="7">
        <v>3.50663853</v>
      </c>
      <c r="E78" s="7">
        <v>3.3582226199999998</v>
      </c>
      <c r="F78" s="7">
        <v>3.1641536299999999</v>
      </c>
      <c r="G78" s="7">
        <v>2.96287083</v>
      </c>
      <c r="H78" s="7">
        <v>2.8141666999999999</v>
      </c>
      <c r="I78" s="7">
        <v>14.13031327</v>
      </c>
      <c r="J78" s="7">
        <v>37.778851930000002</v>
      </c>
      <c r="K78" s="7">
        <v>96.700938579999999</v>
      </c>
      <c r="L78" s="7">
        <v>147.86109683999999</v>
      </c>
      <c r="M78" s="7">
        <v>133.07702922999999</v>
      </c>
      <c r="N78" s="7">
        <v>119.76932639</v>
      </c>
      <c r="O78" s="7">
        <v>120.09723508</v>
      </c>
      <c r="P78" s="7">
        <v>108.08858033</v>
      </c>
      <c r="Q78" s="7">
        <v>97.279722300000003</v>
      </c>
      <c r="R78" s="7">
        <v>87.552433429999994</v>
      </c>
      <c r="S78" s="7">
        <v>78.79783999</v>
      </c>
      <c r="T78" s="7">
        <v>70.918283009999996</v>
      </c>
      <c r="U78" s="7">
        <v>63.826505939999997</v>
      </c>
      <c r="V78" s="7">
        <v>57.466084719999998</v>
      </c>
      <c r="W78" s="7">
        <v>51.71947625</v>
      </c>
      <c r="X78" s="7">
        <v>46.675861679999997</v>
      </c>
      <c r="Y78" s="7">
        <v>42.012413100000003</v>
      </c>
      <c r="Z78" s="7">
        <v>37.811195660000003</v>
      </c>
      <c r="AA78" s="7">
        <v>34.030458260000003</v>
      </c>
      <c r="AB78" s="7">
        <v>30.627413220000001</v>
      </c>
      <c r="AC78" s="7">
        <v>27.564677840000002</v>
      </c>
    </row>
    <row r="79" spans="1:29" x14ac:dyDescent="0.85">
      <c r="A79" t="s">
        <v>177</v>
      </c>
      <c r="B79" s="7">
        <v>0</v>
      </c>
      <c r="C79" s="7">
        <v>1.6359999999999999E-5</v>
      </c>
      <c r="D79" s="7">
        <v>3.0729999999999999E-5</v>
      </c>
      <c r="E79" s="7">
        <v>2.3800000000000001E-6</v>
      </c>
      <c r="F79" s="7">
        <v>2.08E-6</v>
      </c>
      <c r="G79" s="7">
        <v>0</v>
      </c>
      <c r="H79" s="7">
        <v>3.41E-6</v>
      </c>
      <c r="I79" s="7">
        <v>1.5034E-4</v>
      </c>
      <c r="J79" s="7">
        <v>3.2474000000000001E-4</v>
      </c>
      <c r="K79" s="7">
        <v>8.1289999999999997E-4</v>
      </c>
      <c r="L79" s="7">
        <v>7.8852999999999996E-4</v>
      </c>
      <c r="M79" s="7">
        <v>2.9999999999999997E-8</v>
      </c>
      <c r="N79" s="7">
        <v>0</v>
      </c>
      <c r="O79" s="7">
        <v>1.5001000000000001E-4</v>
      </c>
      <c r="P79" s="7">
        <v>7.1582000000000004E-4</v>
      </c>
      <c r="Q79" s="7">
        <v>1.2610200000000001E-3</v>
      </c>
      <c r="R79" s="7">
        <v>1.1349299999999999E-3</v>
      </c>
      <c r="S79" s="7">
        <v>1.0214499999999999E-3</v>
      </c>
      <c r="T79" s="7">
        <v>9.1929999999999996E-4</v>
      </c>
      <c r="U79" s="7">
        <v>8.2737000000000002E-4</v>
      </c>
      <c r="V79" s="7">
        <v>7.4492000000000004E-4</v>
      </c>
      <c r="W79" s="7">
        <v>6.7042999999999996E-4</v>
      </c>
      <c r="X79" s="7">
        <v>6.0504999999999999E-4</v>
      </c>
      <c r="Y79" s="7">
        <v>5.4460000000000001E-4</v>
      </c>
      <c r="Z79" s="7">
        <v>4.9014000000000002E-4</v>
      </c>
      <c r="AA79" s="7">
        <v>4.4113000000000003E-4</v>
      </c>
      <c r="AB79" s="7">
        <v>3.9701999999999999E-4</v>
      </c>
      <c r="AC79" s="7">
        <v>3.5732E-4</v>
      </c>
    </row>
    <row r="80" spans="1:29" x14ac:dyDescent="0.85">
      <c r="A80" t="s">
        <v>178</v>
      </c>
      <c r="B80" s="7">
        <v>1</v>
      </c>
      <c r="C80" s="7">
        <v>1.1000000000000001</v>
      </c>
      <c r="D80" s="7">
        <v>1.0018610299999999</v>
      </c>
      <c r="E80" s="7">
        <v>1.0034631000000001</v>
      </c>
      <c r="F80" s="7">
        <v>1.00029236</v>
      </c>
      <c r="G80" s="7">
        <v>1.00020266</v>
      </c>
      <c r="H80" s="7">
        <v>1.00016266</v>
      </c>
      <c r="I80" s="7">
        <v>1.00020156</v>
      </c>
      <c r="J80" s="7">
        <v>1.01486196</v>
      </c>
      <c r="K80" s="7">
        <v>1.03012014</v>
      </c>
      <c r="L80" s="7">
        <v>1.071787</v>
      </c>
      <c r="M80" s="7">
        <v>1.0663725100000001</v>
      </c>
      <c r="N80" s="7">
        <v>1.00000212</v>
      </c>
      <c r="O80" s="7">
        <v>1</v>
      </c>
      <c r="P80" s="7">
        <v>1.01109881</v>
      </c>
      <c r="Q80" s="7">
        <v>1.0000009400000001</v>
      </c>
      <c r="R80" s="7">
        <v>1</v>
      </c>
      <c r="S80" s="7">
        <v>1.0000005599999999</v>
      </c>
      <c r="T80" s="7">
        <v>1.0000005199999999</v>
      </c>
      <c r="U80" s="7">
        <v>1.00000018</v>
      </c>
      <c r="V80" s="7">
        <v>1.00000004</v>
      </c>
      <c r="W80" s="7">
        <v>1.0000163399999999</v>
      </c>
      <c r="X80" s="7">
        <v>1</v>
      </c>
      <c r="Y80" s="7">
        <v>1.00008984</v>
      </c>
      <c r="Z80" s="7">
        <v>1.0000028299999999</v>
      </c>
      <c r="AA80" s="7">
        <v>1.0000000200000001</v>
      </c>
      <c r="AB80" s="7">
        <v>1.0000002400000001</v>
      </c>
      <c r="AC80" s="7">
        <v>1</v>
      </c>
    </row>
    <row r="81" spans="1:29" x14ac:dyDescent="0.85">
      <c r="A81" t="s">
        <v>179</v>
      </c>
      <c r="B81" s="7">
        <v>1</v>
      </c>
      <c r="C81" s="7">
        <v>1.0018610299999999</v>
      </c>
      <c r="D81" s="7">
        <v>1.0034631000000001</v>
      </c>
      <c r="E81" s="7">
        <v>1.00029236</v>
      </c>
      <c r="F81" s="7">
        <v>1.00020266</v>
      </c>
      <c r="G81" s="7">
        <v>1.00016266</v>
      </c>
      <c r="H81" s="7">
        <v>1.00020156</v>
      </c>
      <c r="I81" s="7">
        <v>1.01486196</v>
      </c>
      <c r="J81" s="7">
        <v>1.03012014</v>
      </c>
      <c r="K81" s="7">
        <v>1.071787</v>
      </c>
      <c r="L81" s="7">
        <v>1.0663725100000001</v>
      </c>
      <c r="M81" s="7">
        <v>1.00000212</v>
      </c>
      <c r="N81" s="7">
        <v>1</v>
      </c>
      <c r="O81" s="7">
        <v>1.01109881</v>
      </c>
      <c r="P81" s="7">
        <v>1.0000009400000001</v>
      </c>
      <c r="Q81" s="7">
        <v>1</v>
      </c>
      <c r="R81" s="7">
        <v>1.0000005599999999</v>
      </c>
      <c r="S81" s="7">
        <v>1.0000005199999999</v>
      </c>
      <c r="T81" s="7">
        <v>1.00000018</v>
      </c>
      <c r="U81" s="7">
        <v>1.00000004</v>
      </c>
      <c r="V81" s="7">
        <v>1.0000163399999999</v>
      </c>
      <c r="W81" s="7">
        <v>1</v>
      </c>
      <c r="X81" s="7">
        <v>1.00008984</v>
      </c>
      <c r="Y81" s="7">
        <v>1.0000028299999999</v>
      </c>
      <c r="Z81" s="7">
        <v>1.0000000200000001</v>
      </c>
      <c r="AA81" s="7">
        <v>1.0000002400000001</v>
      </c>
      <c r="AB81" s="7">
        <v>1</v>
      </c>
      <c r="AC81" s="7">
        <v>1</v>
      </c>
    </row>
    <row r="82" spans="1:29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A047C-D8E3-4E16-B3E5-B7FDAE587DAC}">
  <sheetPr codeName="Sheet11"/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29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</row>
    <row r="2" spans="1:29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</row>
    <row r="3" spans="1:29" x14ac:dyDescent="0.85">
      <c r="A3" t="s">
        <v>69</v>
      </c>
      <c r="B3" s="7">
        <v>0</v>
      </c>
      <c r="C3" s="7">
        <v>20</v>
      </c>
      <c r="D3" s="7">
        <v>40</v>
      </c>
      <c r="E3" s="7">
        <v>60</v>
      </c>
      <c r="F3" s="7">
        <v>80</v>
      </c>
      <c r="G3" s="7">
        <v>100</v>
      </c>
      <c r="H3" s="7">
        <v>120</v>
      </c>
      <c r="I3" s="7">
        <v>140</v>
      </c>
      <c r="J3" s="7">
        <v>160</v>
      </c>
      <c r="K3" s="7">
        <v>180</v>
      </c>
      <c r="L3" s="7">
        <v>200</v>
      </c>
      <c r="M3" s="7">
        <v>220</v>
      </c>
      <c r="N3" s="7">
        <v>240</v>
      </c>
      <c r="O3" s="7">
        <v>260</v>
      </c>
      <c r="P3" s="7">
        <v>280</v>
      </c>
      <c r="Q3" s="7">
        <v>300</v>
      </c>
      <c r="R3" s="7">
        <v>320</v>
      </c>
      <c r="S3" s="7">
        <v>340</v>
      </c>
      <c r="T3" s="7">
        <v>360</v>
      </c>
      <c r="U3" s="7">
        <v>380</v>
      </c>
      <c r="V3" s="7">
        <v>400</v>
      </c>
      <c r="W3" s="7">
        <v>420</v>
      </c>
      <c r="X3" s="7">
        <v>440</v>
      </c>
      <c r="Y3" s="7">
        <v>460</v>
      </c>
      <c r="Z3" s="7">
        <v>480</v>
      </c>
      <c r="AA3" s="7">
        <v>500</v>
      </c>
      <c r="AB3" s="7">
        <v>520</v>
      </c>
      <c r="AC3" s="7">
        <v>540</v>
      </c>
    </row>
    <row r="4" spans="1:29" x14ac:dyDescent="0.85">
      <c r="A4" t="s">
        <v>104</v>
      </c>
      <c r="B4" s="7">
        <v>0</v>
      </c>
      <c r="C4" s="7">
        <v>7.0000000000000005E-8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</row>
    <row r="5" spans="1:29" x14ac:dyDescent="0.85">
      <c r="A5" t="s">
        <v>105</v>
      </c>
      <c r="B5" s="7">
        <v>22151</v>
      </c>
      <c r="C5" s="7">
        <v>22455.954817080001</v>
      </c>
      <c r="D5" s="7">
        <v>22810.91403575</v>
      </c>
      <c r="E5" s="7">
        <v>23235.152723790001</v>
      </c>
      <c r="F5" s="7">
        <v>23618.447058959999</v>
      </c>
      <c r="G5" s="7">
        <v>24013.661109019999</v>
      </c>
      <c r="H5" s="7">
        <v>24426.126555940002</v>
      </c>
      <c r="I5" s="7">
        <v>24913.92351945</v>
      </c>
      <c r="J5" s="7">
        <v>25598.91109383</v>
      </c>
      <c r="K5" s="7">
        <v>26610.78623559</v>
      </c>
      <c r="L5" s="7">
        <v>27644.480902349998</v>
      </c>
      <c r="M5" s="7">
        <v>28705.35646726</v>
      </c>
      <c r="N5" s="7">
        <v>29784.621476439999</v>
      </c>
      <c r="O5" s="7">
        <v>31000.38797914</v>
      </c>
      <c r="P5" s="7">
        <v>32216.658289669998</v>
      </c>
      <c r="Q5" s="7">
        <v>33495.365376499998</v>
      </c>
      <c r="R5" s="7">
        <v>34804.939404049997</v>
      </c>
      <c r="S5" s="7">
        <v>36146.079129739999</v>
      </c>
      <c r="T5" s="7">
        <v>37518.506521720003</v>
      </c>
      <c r="U5" s="7">
        <v>38924.555320250001</v>
      </c>
      <c r="V5" s="7">
        <v>40364.712493289997</v>
      </c>
      <c r="W5" s="7">
        <v>41839.000539449997</v>
      </c>
      <c r="X5" s="7">
        <v>43349.845837319997</v>
      </c>
      <c r="Y5" s="7">
        <v>44900.457576879999</v>
      </c>
      <c r="Z5" s="7">
        <v>46638.141904969998</v>
      </c>
      <c r="AA5" s="7">
        <v>47485.802350600003</v>
      </c>
      <c r="AB5" s="7">
        <v>48555.022603459998</v>
      </c>
      <c r="AC5" s="7">
        <v>50132.223743740004</v>
      </c>
    </row>
    <row r="6" spans="1:29" x14ac:dyDescent="0.85">
      <c r="A6" t="s">
        <v>106</v>
      </c>
      <c r="B6" s="7">
        <v>83647954.25</v>
      </c>
      <c r="C6" s="7">
        <v>85587737.800303593</v>
      </c>
      <c r="D6" s="7">
        <v>87566328.326333195</v>
      </c>
      <c r="E6" s="7">
        <v>89584505.086789593</v>
      </c>
      <c r="F6" s="7">
        <v>91643031.828467995</v>
      </c>
      <c r="G6" s="7">
        <v>93742729.098224595</v>
      </c>
      <c r="H6" s="7">
        <v>95884420.285508499</v>
      </c>
      <c r="I6" s="7">
        <v>98068945.233566403</v>
      </c>
      <c r="J6" s="7">
        <v>100297160.654906</v>
      </c>
      <c r="K6" s="7">
        <v>102569940.779641</v>
      </c>
      <c r="L6" s="7">
        <v>104888175.869324</v>
      </c>
      <c r="M6" s="7">
        <v>107252776.399938</v>
      </c>
      <c r="N6" s="7">
        <v>109664668.40570299</v>
      </c>
      <c r="O6" s="7">
        <v>112124797.851163</v>
      </c>
      <c r="P6" s="7">
        <v>114634131.299137</v>
      </c>
      <c r="Q6" s="7">
        <v>117197583.315237</v>
      </c>
      <c r="R6" s="7">
        <v>119850172.21306901</v>
      </c>
      <c r="S6" s="7">
        <v>122667572.329869</v>
      </c>
      <c r="T6" s="7">
        <v>125775692.77363101</v>
      </c>
      <c r="U6" s="7">
        <v>129314521.457187</v>
      </c>
      <c r="V6" s="7">
        <v>133375149.55873699</v>
      </c>
      <c r="W6" s="7">
        <v>138022685.854626</v>
      </c>
      <c r="X6" s="7">
        <v>143346321.02725601</v>
      </c>
      <c r="Y6" s="7">
        <v>149361438.10676199</v>
      </c>
      <c r="Z6" s="7">
        <v>156000724.18492401</v>
      </c>
      <c r="AA6" s="7">
        <v>160868387.05140901</v>
      </c>
      <c r="AB6" s="7">
        <v>164278970.73709401</v>
      </c>
      <c r="AC6" s="7">
        <v>166755284.46561101</v>
      </c>
    </row>
    <row r="7" spans="1:29" x14ac:dyDescent="0.85">
      <c r="A7" t="s">
        <v>107</v>
      </c>
      <c r="B7" s="7">
        <v>83647954.25</v>
      </c>
      <c r="C7" s="7">
        <v>85587749.974999994</v>
      </c>
      <c r="D7" s="7">
        <v>87566341.614500001</v>
      </c>
      <c r="E7" s="7">
        <v>89584505.086789995</v>
      </c>
      <c r="F7" s="7">
        <v>91643031.828525797</v>
      </c>
      <c r="G7" s="7">
        <v>93742729.105096295</v>
      </c>
      <c r="H7" s="7">
        <v>95884420.327198207</v>
      </c>
      <c r="I7" s="7">
        <v>98068945.373742193</v>
      </c>
      <c r="J7" s="7">
        <v>100297160.92121699</v>
      </c>
      <c r="K7" s="7">
        <v>102569940.779641</v>
      </c>
      <c r="L7" s="7">
        <v>104888176.23523401</v>
      </c>
      <c r="M7" s="7">
        <v>107252776.399938</v>
      </c>
      <c r="N7" s="7">
        <v>109664668.567937</v>
      </c>
      <c r="O7" s="7">
        <v>112124798.57929599</v>
      </c>
      <c r="P7" s="7">
        <v>114634131.190882</v>
      </c>
      <c r="Q7" s="7">
        <v>117193650.45469999</v>
      </c>
      <c r="R7" s="7">
        <v>119804360.10379399</v>
      </c>
      <c r="S7" s="7">
        <v>122467283.945869</v>
      </c>
      <c r="T7" s="7">
        <v>125183466.264787</v>
      </c>
      <c r="U7" s="7">
        <v>127953972.230083</v>
      </c>
      <c r="V7" s="7">
        <v>130779888.314684</v>
      </c>
      <c r="W7" s="7">
        <v>133662322.72097801</v>
      </c>
      <c r="X7" s="7">
        <v>136602405.81539801</v>
      </c>
      <c r="Y7" s="7">
        <v>139601290.57170501</v>
      </c>
      <c r="Z7" s="7">
        <v>142660153.02314001</v>
      </c>
      <c r="AA7" s="7">
        <v>145780192.723602</v>
      </c>
      <c r="AB7" s="7">
        <v>148962633.21807399</v>
      </c>
      <c r="AC7" s="7">
        <v>152208722.52243599</v>
      </c>
    </row>
    <row r="8" spans="1:29" x14ac:dyDescent="0.85">
      <c r="A8" t="s">
        <v>108</v>
      </c>
      <c r="B8" s="7">
        <v>8057.78244094</v>
      </c>
      <c r="C8" s="7">
        <v>8029.9376622600003</v>
      </c>
      <c r="D8" s="7">
        <v>8014.0170157700004</v>
      </c>
      <c r="E8" s="7">
        <v>7998.3218085500002</v>
      </c>
      <c r="F8" s="7">
        <v>7977.5382190700002</v>
      </c>
      <c r="G8" s="7">
        <v>7961.6727832699999</v>
      </c>
      <c r="H8" s="7">
        <v>7952.2538796999997</v>
      </c>
      <c r="I8" s="7">
        <v>7968.0841575799996</v>
      </c>
      <c r="J8" s="7">
        <v>8044.5033817499998</v>
      </c>
      <c r="K8" s="7">
        <v>8225.8168492599998</v>
      </c>
      <c r="L8" s="7">
        <v>8415.4402209100008</v>
      </c>
      <c r="M8" s="7">
        <v>8613.1895528599998</v>
      </c>
      <c r="N8" s="7">
        <v>8817.8813453500006</v>
      </c>
      <c r="O8" s="7">
        <v>9811.5814965099999</v>
      </c>
      <c r="P8" s="7">
        <v>10833.23098984</v>
      </c>
      <c r="Q8" s="7">
        <v>11893.846470070001</v>
      </c>
      <c r="R8" s="7">
        <v>12988.9029293</v>
      </c>
      <c r="S8" s="7">
        <v>14119.15343925</v>
      </c>
      <c r="T8" s="7">
        <v>15285.4442242</v>
      </c>
      <c r="U8" s="7">
        <v>16488.411557539999</v>
      </c>
      <c r="V8" s="7">
        <v>17728.92162854</v>
      </c>
      <c r="W8" s="7">
        <v>19007.782113000001</v>
      </c>
      <c r="X8" s="7">
        <v>20326.120172489998</v>
      </c>
      <c r="Y8" s="7">
        <v>21685.175295599998</v>
      </c>
      <c r="Z8" s="7">
        <v>23112.05796532</v>
      </c>
      <c r="AA8" s="7">
        <v>24263.88515066</v>
      </c>
      <c r="AB8" s="7">
        <v>25014.76732571</v>
      </c>
      <c r="AC8" s="7">
        <v>25362.120359199998</v>
      </c>
    </row>
    <row r="9" spans="1:29" x14ac:dyDescent="0.85">
      <c r="A9" t="s">
        <v>109</v>
      </c>
      <c r="B9" s="7">
        <v>1569.21746136</v>
      </c>
      <c r="C9" s="7">
        <v>1630.4590463300001</v>
      </c>
      <c r="D9" s="7">
        <v>1691.60723807</v>
      </c>
      <c r="E9" s="7">
        <v>1753.30614962</v>
      </c>
      <c r="F9" s="7">
        <v>1815.6222228700001</v>
      </c>
      <c r="G9" s="7">
        <v>1878.58268647</v>
      </c>
      <c r="H9" s="7">
        <v>1941.7985042299999</v>
      </c>
      <c r="I9" s="7">
        <v>2000.4936387600001</v>
      </c>
      <c r="J9" s="7">
        <v>2047.0780166899999</v>
      </c>
      <c r="K9" s="7">
        <v>2069.05351187</v>
      </c>
      <c r="L9" s="7">
        <v>2090.8657903399999</v>
      </c>
      <c r="M9" s="7">
        <v>2112.74615765</v>
      </c>
      <c r="N9" s="7">
        <v>2134.6896115999998</v>
      </c>
      <c r="O9" s="7">
        <v>2074.7690537600001</v>
      </c>
      <c r="P9" s="7">
        <v>2011.4314113</v>
      </c>
      <c r="Q9" s="7">
        <v>1945.57462001</v>
      </c>
      <c r="R9" s="7">
        <v>1877.8234105399999</v>
      </c>
      <c r="S9" s="7">
        <v>1809.9324504000001</v>
      </c>
      <c r="T9" s="7">
        <v>1744.8800747600001</v>
      </c>
      <c r="U9" s="7">
        <v>1685.9902758799999</v>
      </c>
      <c r="V9" s="7">
        <v>1635.38542155</v>
      </c>
      <c r="W9" s="7">
        <v>1594.5515886799999</v>
      </c>
      <c r="X9" s="7">
        <v>1565.5668990900001</v>
      </c>
      <c r="Y9" s="7">
        <v>1548.71384777</v>
      </c>
      <c r="Z9" s="7">
        <v>1543.5982711700001</v>
      </c>
      <c r="AA9" s="7">
        <v>1574.2406119100001</v>
      </c>
      <c r="AB9" s="7">
        <v>1609.95732157</v>
      </c>
      <c r="AC9" s="7">
        <v>1642.9953701300001</v>
      </c>
    </row>
    <row r="10" spans="1:29" x14ac:dyDescent="0.85">
      <c r="A10" t="s">
        <v>110</v>
      </c>
      <c r="B10" s="7">
        <v>0</v>
      </c>
      <c r="C10" s="7">
        <v>2.0200000000000001E-6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</row>
    <row r="11" spans="1:29" x14ac:dyDescent="0.85">
      <c r="A11" t="s">
        <v>37</v>
      </c>
      <c r="B11" s="7">
        <v>0</v>
      </c>
      <c r="C11" s="7">
        <v>556.89803466000001</v>
      </c>
      <c r="D11" s="7">
        <v>1167.82820563</v>
      </c>
      <c r="E11" s="7">
        <v>1833.2382265900001</v>
      </c>
      <c r="F11" s="7">
        <v>2553.7082756599998</v>
      </c>
      <c r="G11" s="7">
        <v>3329.8896862699999</v>
      </c>
      <c r="H11" s="7">
        <v>4161.4724535599998</v>
      </c>
      <c r="I11" s="7">
        <v>5035.2814666200002</v>
      </c>
      <c r="J11" s="7">
        <v>5921.5792953</v>
      </c>
      <c r="K11" s="7">
        <v>6760.9427674099998</v>
      </c>
      <c r="L11" s="7">
        <v>7621.1998389500004</v>
      </c>
      <c r="M11" s="7">
        <v>8503.0558962300001</v>
      </c>
      <c r="N11" s="7">
        <v>9406.4343312399997</v>
      </c>
      <c r="O11" s="7">
        <v>9603.1997704400001</v>
      </c>
      <c r="P11" s="7">
        <v>9679.1784776299992</v>
      </c>
      <c r="Q11" s="7">
        <v>9633.9221269000009</v>
      </c>
      <c r="R11" s="7">
        <v>9465.4780741100003</v>
      </c>
      <c r="S11" s="7">
        <v>9180.8386072100002</v>
      </c>
      <c r="T11" s="7">
        <v>8798.5839185700006</v>
      </c>
      <c r="U11" s="7">
        <v>8344.6483258400003</v>
      </c>
      <c r="V11" s="7">
        <v>7840.5501173800003</v>
      </c>
      <c r="W11" s="7">
        <v>7305.7660009399997</v>
      </c>
      <c r="X11" s="7">
        <v>6767.1392380799998</v>
      </c>
      <c r="Y11" s="7">
        <v>6237.99806309</v>
      </c>
      <c r="Z11" s="7">
        <v>5700.2388013700001</v>
      </c>
      <c r="AA11" s="7">
        <v>5448.5501549700002</v>
      </c>
      <c r="AB11" s="7">
        <v>5595.2906609299998</v>
      </c>
      <c r="AC11" s="7">
        <v>6142.6260891700003</v>
      </c>
    </row>
    <row r="12" spans="1:29" x14ac:dyDescent="0.85">
      <c r="A12" t="s">
        <v>111</v>
      </c>
      <c r="B12" s="7">
        <v>9626.9999023</v>
      </c>
      <c r="C12" s="7">
        <v>9660.3967106</v>
      </c>
      <c r="D12" s="7">
        <v>9705.6242538400002</v>
      </c>
      <c r="E12" s="7">
        <v>9751.6279581700001</v>
      </c>
      <c r="F12" s="7">
        <v>9793.1604419300002</v>
      </c>
      <c r="G12" s="7">
        <v>9840.2554697399992</v>
      </c>
      <c r="H12" s="7">
        <v>9894.0523839300004</v>
      </c>
      <c r="I12" s="7">
        <v>9968.5777963300006</v>
      </c>
      <c r="J12" s="7">
        <v>10091.58139845</v>
      </c>
      <c r="K12" s="7">
        <v>10294.87036114</v>
      </c>
      <c r="L12" s="7">
        <v>10506.306011250001</v>
      </c>
      <c r="M12" s="7">
        <v>10725.935710510001</v>
      </c>
      <c r="N12" s="7">
        <v>10952.57095695</v>
      </c>
      <c r="O12" s="7">
        <v>11886.350550270001</v>
      </c>
      <c r="P12" s="7">
        <v>12844.66240114</v>
      </c>
      <c r="Q12" s="7">
        <v>13839.421090080001</v>
      </c>
      <c r="R12" s="7">
        <v>14866.726339839999</v>
      </c>
      <c r="S12" s="7">
        <v>15929.08588964</v>
      </c>
      <c r="T12" s="7">
        <v>17030.32429896</v>
      </c>
      <c r="U12" s="7">
        <v>18174.401833420001</v>
      </c>
      <c r="V12" s="7">
        <v>19364.3070501</v>
      </c>
      <c r="W12" s="7">
        <v>20602.33370168</v>
      </c>
      <c r="X12" s="7">
        <v>21891.68707158</v>
      </c>
      <c r="Y12" s="7">
        <v>23233.889143370001</v>
      </c>
      <c r="Z12" s="7">
        <v>24655.656236489998</v>
      </c>
      <c r="AA12" s="7">
        <v>25838.125762560001</v>
      </c>
      <c r="AB12" s="7">
        <v>26624.72464728</v>
      </c>
      <c r="AC12" s="7">
        <v>27005.115729329998</v>
      </c>
    </row>
    <row r="13" spans="1:29" x14ac:dyDescent="0.85">
      <c r="A13" t="s">
        <v>112</v>
      </c>
      <c r="B13" s="7">
        <v>9626.9999023</v>
      </c>
      <c r="C13" s="7">
        <v>10217.29474526</v>
      </c>
      <c r="D13" s="7">
        <v>10873.45245947</v>
      </c>
      <c r="E13" s="7">
        <v>11584.86618476</v>
      </c>
      <c r="F13" s="7">
        <v>12346.86871759</v>
      </c>
      <c r="G13" s="7">
        <v>13170.145156</v>
      </c>
      <c r="H13" s="7">
        <v>14055.52483749</v>
      </c>
      <c r="I13" s="7">
        <v>15003.85926295</v>
      </c>
      <c r="J13" s="7">
        <v>16013.160693739999</v>
      </c>
      <c r="K13" s="7">
        <v>17055.813128549999</v>
      </c>
      <c r="L13" s="7">
        <v>18127.505850199999</v>
      </c>
      <c r="M13" s="7">
        <v>19228.991606740001</v>
      </c>
      <c r="N13" s="7">
        <v>20359.005288190001</v>
      </c>
      <c r="O13" s="7">
        <v>21489.550320710001</v>
      </c>
      <c r="P13" s="7">
        <v>22523.84087878</v>
      </c>
      <c r="Q13" s="7">
        <v>23473.34321698</v>
      </c>
      <c r="R13" s="7">
        <v>24332.20441396</v>
      </c>
      <c r="S13" s="7">
        <v>25109.92449686</v>
      </c>
      <c r="T13" s="7">
        <v>25828.908217529999</v>
      </c>
      <c r="U13" s="7">
        <v>26519.050159260001</v>
      </c>
      <c r="V13" s="7">
        <v>27204.85716748</v>
      </c>
      <c r="W13" s="7">
        <v>27908.099702629999</v>
      </c>
      <c r="X13" s="7">
        <v>28658.826309659999</v>
      </c>
      <c r="Y13" s="7">
        <v>29471.88720646</v>
      </c>
      <c r="Z13" s="7">
        <v>30355.895037859998</v>
      </c>
      <c r="AA13" s="7">
        <v>31286.67591754</v>
      </c>
      <c r="AB13" s="7">
        <v>32220.015308210001</v>
      </c>
      <c r="AC13" s="7">
        <v>33147.741818499999</v>
      </c>
    </row>
    <row r="14" spans="1:29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</row>
    <row r="15" spans="1:29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</row>
    <row r="16" spans="1:29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</row>
    <row r="17" spans="1:29" x14ac:dyDescent="0.85">
      <c r="A17" t="s">
        <v>115</v>
      </c>
      <c r="B17" s="7">
        <v>707</v>
      </c>
      <c r="C17" s="7">
        <v>683.43333332999998</v>
      </c>
      <c r="D17" s="7">
        <v>660.65222222</v>
      </c>
      <c r="E17" s="7">
        <v>638.67080653000005</v>
      </c>
      <c r="F17" s="7">
        <v>617.38177965</v>
      </c>
      <c r="G17" s="7">
        <v>596.80238698999995</v>
      </c>
      <c r="H17" s="7">
        <v>576.90898114000004</v>
      </c>
      <c r="I17" s="7">
        <v>557.67868176000002</v>
      </c>
      <c r="J17" s="7">
        <v>539.08939237000004</v>
      </c>
      <c r="K17" s="7">
        <v>521.11974596000005</v>
      </c>
      <c r="L17" s="7">
        <v>503.74915025000001</v>
      </c>
      <c r="M17" s="7">
        <v>486.95757072999999</v>
      </c>
      <c r="N17" s="7">
        <v>470.72572531999998</v>
      </c>
      <c r="O17" s="7">
        <v>455.03486780999998</v>
      </c>
      <c r="P17" s="7">
        <v>439.86714099</v>
      </c>
      <c r="Q17" s="7">
        <v>425.20511073</v>
      </c>
      <c r="R17" s="7">
        <v>411.03160702999998</v>
      </c>
      <c r="S17" s="7">
        <v>397.33056095000001</v>
      </c>
      <c r="T17" s="7">
        <v>384.08712573000003</v>
      </c>
      <c r="U17" s="7">
        <v>371.28679352</v>
      </c>
      <c r="V17" s="7">
        <v>358.91058185999998</v>
      </c>
      <c r="W17" s="7">
        <v>346.94717285000002</v>
      </c>
      <c r="X17" s="7">
        <v>335.38226709000003</v>
      </c>
      <c r="Y17" s="7">
        <v>324.20286363999998</v>
      </c>
      <c r="Z17" s="7">
        <v>317.40577589999998</v>
      </c>
      <c r="AA17" s="7">
        <v>758.8736179</v>
      </c>
      <c r="AB17" s="7">
        <v>1561.8592548500001</v>
      </c>
      <c r="AC17" s="7">
        <v>2371.9228358599999</v>
      </c>
    </row>
    <row r="18" spans="1:29" x14ac:dyDescent="0.85">
      <c r="A18" t="s">
        <v>116</v>
      </c>
      <c r="B18" s="7">
        <v>675460</v>
      </c>
      <c r="C18" s="7">
        <v>651659.20604159997</v>
      </c>
      <c r="D18" s="7">
        <v>629937.03885637003</v>
      </c>
      <c r="E18" s="7">
        <v>608977.58780898002</v>
      </c>
      <c r="F18" s="7">
        <v>588677.29061469994</v>
      </c>
      <c r="G18" s="7">
        <v>569054.64630312996</v>
      </c>
      <c r="H18" s="7">
        <v>550086.16480957996</v>
      </c>
      <c r="I18" s="7">
        <v>531749.95548649004</v>
      </c>
      <c r="J18" s="7">
        <v>514016.66671065002</v>
      </c>
      <c r="K18" s="7">
        <v>496659.83569517999</v>
      </c>
      <c r="L18" s="7">
        <v>480104.56739750999</v>
      </c>
      <c r="M18" s="7">
        <v>464101.13787631999</v>
      </c>
      <c r="N18" s="7">
        <v>448631.17010808998</v>
      </c>
      <c r="O18" s="7">
        <v>410409.03403475002</v>
      </c>
      <c r="P18" s="7">
        <v>396728.60721854999</v>
      </c>
      <c r="Q18" s="7">
        <v>383415.18309647002</v>
      </c>
      <c r="R18" s="7">
        <v>369820.10310541</v>
      </c>
      <c r="S18" s="7">
        <v>354924.85062962997</v>
      </c>
      <c r="T18" s="7">
        <v>337478.31670184998</v>
      </c>
      <c r="U18" s="7">
        <v>316702.54047390999</v>
      </c>
      <c r="V18" s="7">
        <v>292885.21747439</v>
      </c>
      <c r="W18" s="7">
        <v>266650.64074567001</v>
      </c>
      <c r="X18" s="7">
        <v>238297.45649742</v>
      </c>
      <c r="Y18" s="7">
        <v>208770.12819364999</v>
      </c>
      <c r="Z18" s="7">
        <v>181134.03588546999</v>
      </c>
      <c r="AA18" s="7">
        <v>391726.55124106997</v>
      </c>
      <c r="AB18" s="7">
        <v>787430.91809071996</v>
      </c>
      <c r="AC18" s="7">
        <v>1267527.9460634501</v>
      </c>
    </row>
    <row r="19" spans="1:29" x14ac:dyDescent="0.85">
      <c r="A19" t="s">
        <v>117</v>
      </c>
      <c r="B19" s="7">
        <v>675460</v>
      </c>
      <c r="C19" s="7">
        <v>651659.20604159997</v>
      </c>
      <c r="D19" s="7">
        <v>629937.03885637003</v>
      </c>
      <c r="E19" s="7">
        <v>608977.58780898002</v>
      </c>
      <c r="F19" s="7">
        <v>588677.29061469994</v>
      </c>
      <c r="G19" s="7">
        <v>569054.64630312996</v>
      </c>
      <c r="H19" s="7">
        <v>550086.16480957996</v>
      </c>
      <c r="I19" s="7">
        <v>531749.95548649004</v>
      </c>
      <c r="J19" s="7">
        <v>514016.66671065002</v>
      </c>
      <c r="K19" s="7">
        <v>496659.83569517999</v>
      </c>
      <c r="L19" s="7">
        <v>480104.56739750999</v>
      </c>
      <c r="M19" s="7">
        <v>464101.13787631999</v>
      </c>
      <c r="N19" s="7">
        <v>448631.17010808998</v>
      </c>
      <c r="O19" s="7">
        <v>410409.03403475002</v>
      </c>
      <c r="P19" s="7">
        <v>396728.82499633997</v>
      </c>
      <c r="Q19" s="7">
        <v>383504.71821796999</v>
      </c>
      <c r="R19" s="7">
        <v>370721.16785491997</v>
      </c>
      <c r="S19" s="7">
        <v>358363.80234454997</v>
      </c>
      <c r="T19" s="7">
        <v>346419.16916147998</v>
      </c>
      <c r="U19" s="7">
        <v>334874.18326399999</v>
      </c>
      <c r="V19" s="7">
        <v>323711.72383167001</v>
      </c>
      <c r="W19" s="7">
        <v>312921.58292280999</v>
      </c>
      <c r="X19" s="7">
        <v>302490.85914269998</v>
      </c>
      <c r="Y19" s="7">
        <v>292407.83542193001</v>
      </c>
      <c r="Z19" s="7">
        <v>286277.34757778997</v>
      </c>
      <c r="AA19" s="7">
        <v>684449.82093912002</v>
      </c>
      <c r="AB19" s="7">
        <v>1408685.53354204</v>
      </c>
      <c r="AC19" s="7">
        <v>2139305.0463250498</v>
      </c>
    </row>
    <row r="20" spans="1:29" x14ac:dyDescent="0.85">
      <c r="A20" t="s">
        <v>118</v>
      </c>
      <c r="B20" s="7">
        <v>144.33960178999999</v>
      </c>
      <c r="C20" s="7">
        <v>139.52828173</v>
      </c>
      <c r="D20" s="7">
        <v>134.87733900999999</v>
      </c>
      <c r="E20" s="7">
        <v>130.38966038000001</v>
      </c>
      <c r="F20" s="7">
        <v>126.04333837</v>
      </c>
      <c r="G20" s="7">
        <v>121.84189376</v>
      </c>
      <c r="H20" s="7">
        <v>117.78049874</v>
      </c>
      <c r="I20" s="7">
        <v>113.85448211000001</v>
      </c>
      <c r="J20" s="7">
        <v>110.05933271000001</v>
      </c>
      <c r="K20" s="7">
        <v>106.39068829</v>
      </c>
      <c r="L20" s="7">
        <v>102.84434477000001</v>
      </c>
      <c r="M20" s="7">
        <v>99.416211950000005</v>
      </c>
      <c r="N20" s="7">
        <v>96.102353249999993</v>
      </c>
      <c r="O20" s="7">
        <v>92.898941469999997</v>
      </c>
      <c r="P20" s="7">
        <v>89.802330940000004</v>
      </c>
      <c r="Q20" s="7">
        <v>86.808962320000006</v>
      </c>
      <c r="R20" s="7">
        <v>83.915330249999997</v>
      </c>
      <c r="S20" s="7">
        <v>81.118154099999998</v>
      </c>
      <c r="T20" s="7">
        <v>78.414402800000005</v>
      </c>
      <c r="U20" s="7">
        <v>75.801114470000002</v>
      </c>
      <c r="V20" s="7">
        <v>73.274413670000001</v>
      </c>
      <c r="W20" s="7">
        <v>70.831989780000001</v>
      </c>
      <c r="X20" s="7">
        <v>68.470923450000001</v>
      </c>
      <c r="Y20" s="7">
        <v>66.188560449999997</v>
      </c>
      <c r="Z20" s="7">
        <v>64.800881610000005</v>
      </c>
      <c r="AA20" s="7">
        <v>154.93000823</v>
      </c>
      <c r="AB20" s="7">
        <v>318.86583155</v>
      </c>
      <c r="AC20" s="7">
        <v>484.24667271999999</v>
      </c>
    </row>
    <row r="21" spans="1:29" x14ac:dyDescent="0.85">
      <c r="A21" t="s">
        <v>119</v>
      </c>
      <c r="B21" s="7">
        <v>0</v>
      </c>
      <c r="C21" s="7">
        <v>6.5165920000000002E-2</v>
      </c>
      <c r="D21" s="7">
        <v>0.12598740999999999</v>
      </c>
      <c r="E21" s="7">
        <v>0.18269328000000001</v>
      </c>
      <c r="F21" s="7">
        <v>0.23547092</v>
      </c>
      <c r="G21" s="7">
        <v>0.28452731999999997</v>
      </c>
      <c r="H21" s="7">
        <v>0.3300517</v>
      </c>
      <c r="I21" s="7">
        <v>0.37222496999999999</v>
      </c>
      <c r="J21" s="7">
        <v>0.41121332999999999</v>
      </c>
      <c r="K21" s="7">
        <v>0.44699385000000003</v>
      </c>
      <c r="L21" s="7">
        <v>0.48010457000000001</v>
      </c>
      <c r="M21" s="7">
        <v>0.51051124999999997</v>
      </c>
      <c r="N21" s="7">
        <v>0.53835739999999999</v>
      </c>
      <c r="O21" s="7">
        <v>0.53353174000000003</v>
      </c>
      <c r="P21" s="7">
        <v>0.55542035000000001</v>
      </c>
      <c r="Q21" s="7">
        <v>0.57525707999999998</v>
      </c>
      <c r="R21" s="7">
        <v>0.59315386999999997</v>
      </c>
      <c r="S21" s="7">
        <v>0.60921846000000002</v>
      </c>
      <c r="T21" s="7">
        <v>0.62355450000000001</v>
      </c>
      <c r="U21" s="7">
        <v>0.63626095000000005</v>
      </c>
      <c r="V21" s="7">
        <v>0.64742345000000001</v>
      </c>
      <c r="W21" s="7">
        <v>0.65713531999999997</v>
      </c>
      <c r="X21" s="7">
        <v>0.66547988999999996</v>
      </c>
      <c r="Y21" s="7">
        <v>0.67253801999999996</v>
      </c>
      <c r="Z21" s="7">
        <v>0.68706562999999998</v>
      </c>
      <c r="AA21" s="7">
        <v>1.7111245500000001</v>
      </c>
      <c r="AB21" s="7">
        <v>3.6625823899999999</v>
      </c>
      <c r="AC21" s="7">
        <v>5.7761236299999998</v>
      </c>
    </row>
    <row r="22" spans="1:29" x14ac:dyDescent="0.85">
      <c r="A22" t="s">
        <v>120</v>
      </c>
      <c r="B22" s="7">
        <v>3.3773000000000002E-3</v>
      </c>
      <c r="C22" s="7">
        <v>3.2583E-3</v>
      </c>
      <c r="D22" s="7">
        <v>3.1496900000000001E-3</v>
      </c>
      <c r="E22" s="7">
        <v>3.0448900000000002E-3</v>
      </c>
      <c r="F22" s="7">
        <v>2.9433900000000002E-3</v>
      </c>
      <c r="G22" s="7">
        <v>2.84527E-3</v>
      </c>
      <c r="H22" s="7">
        <v>2.7504299999999999E-3</v>
      </c>
      <c r="I22" s="7">
        <v>2.6587500000000001E-3</v>
      </c>
      <c r="J22" s="7">
        <v>2.5700800000000002E-3</v>
      </c>
      <c r="K22" s="7">
        <v>2.4832999999999999E-3</v>
      </c>
      <c r="L22" s="7">
        <v>2.4005200000000002E-3</v>
      </c>
      <c r="M22" s="7">
        <v>2.32051E-3</v>
      </c>
      <c r="N22" s="7">
        <v>2.2431600000000001E-3</v>
      </c>
      <c r="O22" s="7">
        <v>2.0520500000000001E-3</v>
      </c>
      <c r="P22" s="7">
        <v>1.9836400000000001E-3</v>
      </c>
      <c r="Q22" s="7">
        <v>1.91752E-3</v>
      </c>
      <c r="R22" s="7">
        <v>1.8536099999999999E-3</v>
      </c>
      <c r="S22" s="7">
        <v>1.79182E-3</v>
      </c>
      <c r="T22" s="7">
        <v>1.7321000000000001E-3</v>
      </c>
      <c r="U22" s="7">
        <v>1.6743699999999999E-3</v>
      </c>
      <c r="V22" s="7">
        <v>1.61856E-3</v>
      </c>
      <c r="W22" s="7">
        <v>1.5646099999999999E-3</v>
      </c>
      <c r="X22" s="7">
        <v>1.51245E-3</v>
      </c>
      <c r="Y22" s="7">
        <v>1.46204E-3</v>
      </c>
      <c r="Z22" s="7">
        <v>1.43139E-3</v>
      </c>
      <c r="AA22" s="7">
        <v>3.4222499999999999E-3</v>
      </c>
      <c r="AB22" s="7">
        <v>7.0434299999999998E-3</v>
      </c>
      <c r="AC22" s="7">
        <v>1.0696529999999999E-2</v>
      </c>
    </row>
    <row r="23" spans="1:29" x14ac:dyDescent="0.85">
      <c r="A23" t="s">
        <v>121</v>
      </c>
      <c r="B23" s="7">
        <v>144.33960178999999</v>
      </c>
      <c r="C23" s="7">
        <v>139.52828173</v>
      </c>
      <c r="D23" s="7">
        <v>134.87733900999999</v>
      </c>
      <c r="E23" s="7">
        <v>130.38966038000001</v>
      </c>
      <c r="F23" s="7">
        <v>126.04333837</v>
      </c>
      <c r="G23" s="7">
        <v>121.84189376</v>
      </c>
      <c r="H23" s="7">
        <v>117.78049874</v>
      </c>
      <c r="I23" s="7">
        <v>113.85448211000001</v>
      </c>
      <c r="J23" s="7">
        <v>110.05933271000001</v>
      </c>
      <c r="K23" s="7">
        <v>106.39068829</v>
      </c>
      <c r="L23" s="7">
        <v>102.84434477000001</v>
      </c>
      <c r="M23" s="7">
        <v>99.416211950000005</v>
      </c>
      <c r="N23" s="7">
        <v>96.102353249999993</v>
      </c>
      <c r="O23" s="7">
        <v>92.898941469999997</v>
      </c>
      <c r="P23" s="7">
        <v>89.802330940000004</v>
      </c>
      <c r="Q23" s="7">
        <v>86.808962320000006</v>
      </c>
      <c r="R23" s="7">
        <v>83.915330249999997</v>
      </c>
      <c r="S23" s="7">
        <v>81.118154099999998</v>
      </c>
      <c r="T23" s="7">
        <v>78.414402800000005</v>
      </c>
      <c r="U23" s="7">
        <v>75.801114470000002</v>
      </c>
      <c r="V23" s="7">
        <v>73.274413670000001</v>
      </c>
      <c r="W23" s="7">
        <v>70.831989780000001</v>
      </c>
      <c r="X23" s="7">
        <v>68.470923450000001</v>
      </c>
      <c r="Y23" s="7">
        <v>66.188560449999997</v>
      </c>
      <c r="Z23" s="7">
        <v>64.800881610000005</v>
      </c>
      <c r="AA23" s="7">
        <v>154.93000823</v>
      </c>
      <c r="AB23" s="7">
        <v>318.86583155</v>
      </c>
      <c r="AC23" s="7">
        <v>484.24667271999999</v>
      </c>
    </row>
    <row r="24" spans="1:29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</row>
    <row r="25" spans="1:29" x14ac:dyDescent="0.85">
      <c r="A25" t="s">
        <v>123</v>
      </c>
      <c r="B25" s="7">
        <v>1</v>
      </c>
      <c r="C25" s="7">
        <v>1.03333333</v>
      </c>
      <c r="D25" s="7">
        <v>0.99803129000000002</v>
      </c>
      <c r="E25" s="7">
        <v>0.99999969</v>
      </c>
      <c r="F25" s="7">
        <v>1.00006314</v>
      </c>
      <c r="G25" s="7">
        <v>0.99999822999999999</v>
      </c>
      <c r="H25" s="7">
        <v>0.99999987999999995</v>
      </c>
      <c r="I25" s="7">
        <v>1.0000000099999999</v>
      </c>
      <c r="J25" s="7">
        <v>0.99999998999999995</v>
      </c>
      <c r="K25" s="7">
        <v>0.99998387</v>
      </c>
      <c r="L25" s="7">
        <v>0.99955132000000002</v>
      </c>
      <c r="M25" s="7">
        <v>1.0000001199999999</v>
      </c>
      <c r="N25" s="7">
        <v>1.0000001199999999</v>
      </c>
      <c r="O25" s="7">
        <v>1.0000001599999999</v>
      </c>
      <c r="P25" s="7">
        <v>0.94634768999999996</v>
      </c>
      <c r="Q25" s="7">
        <v>1.0000002299999999</v>
      </c>
      <c r="R25" s="7">
        <v>1.0000004899999999</v>
      </c>
      <c r="S25" s="7">
        <v>0.99999983999999997</v>
      </c>
      <c r="T25" s="7">
        <v>1.0000000200000001</v>
      </c>
      <c r="U25" s="7">
        <v>1.0000023899999999</v>
      </c>
      <c r="V25" s="7">
        <v>1.0000069300000001</v>
      </c>
      <c r="W25" s="7">
        <v>1.00000004</v>
      </c>
      <c r="X25" s="7">
        <v>1.0000008</v>
      </c>
      <c r="Y25" s="7">
        <v>0.99999998999999995</v>
      </c>
      <c r="Z25" s="7">
        <v>1.0000000200000001</v>
      </c>
      <c r="AA25" s="7">
        <v>1.0127942700000001</v>
      </c>
      <c r="AB25" s="7">
        <v>2.1290882199999999</v>
      </c>
      <c r="AC25" s="7">
        <v>1.57101074</v>
      </c>
    </row>
    <row r="26" spans="1:29" x14ac:dyDescent="0.85">
      <c r="A26" t="s">
        <v>124</v>
      </c>
      <c r="B26" s="7">
        <v>1</v>
      </c>
      <c r="C26" s="7">
        <v>0.99803129000000002</v>
      </c>
      <c r="D26" s="7">
        <v>0.99999969</v>
      </c>
      <c r="E26" s="7">
        <v>1.00006314</v>
      </c>
      <c r="F26" s="7">
        <v>0.99999822999999999</v>
      </c>
      <c r="G26" s="7">
        <v>0.99999987999999995</v>
      </c>
      <c r="H26" s="7">
        <v>1.0000000099999999</v>
      </c>
      <c r="I26" s="7">
        <v>0.99999998999999995</v>
      </c>
      <c r="J26" s="7">
        <v>0.99998387</v>
      </c>
      <c r="K26" s="7">
        <v>0.99955132000000002</v>
      </c>
      <c r="L26" s="7">
        <v>1.0000001199999999</v>
      </c>
      <c r="M26" s="7">
        <v>1.0000001199999999</v>
      </c>
      <c r="N26" s="7">
        <v>1.0000001599999999</v>
      </c>
      <c r="O26" s="7">
        <v>0.94634768999999996</v>
      </c>
      <c r="P26" s="7">
        <v>1.0000002299999999</v>
      </c>
      <c r="Q26" s="7">
        <v>1.0000004899999999</v>
      </c>
      <c r="R26" s="7">
        <v>0.99999983999999997</v>
      </c>
      <c r="S26" s="7">
        <v>1.0000000200000001</v>
      </c>
      <c r="T26" s="7">
        <v>1.0000023899999999</v>
      </c>
      <c r="U26" s="7">
        <v>1.0000069300000001</v>
      </c>
      <c r="V26" s="7">
        <v>1.00000004</v>
      </c>
      <c r="W26" s="7">
        <v>1.0000008</v>
      </c>
      <c r="X26" s="7">
        <v>0.99999998999999995</v>
      </c>
      <c r="Y26" s="7">
        <v>1.0000000200000001</v>
      </c>
      <c r="Z26" s="7">
        <v>1.0127942700000001</v>
      </c>
      <c r="AA26" s="7">
        <v>2.4733062000000001</v>
      </c>
      <c r="AB26" s="7">
        <v>2.1290982199999999</v>
      </c>
      <c r="AC26" s="7">
        <v>1.57102074</v>
      </c>
    </row>
    <row r="27" spans="1:29" x14ac:dyDescent="0.85">
      <c r="A27" t="s">
        <v>125</v>
      </c>
      <c r="B27" s="7">
        <v>1</v>
      </c>
      <c r="C27" s="7">
        <v>1.57532805</v>
      </c>
      <c r="D27" s="7">
        <v>1.6023861699999999</v>
      </c>
      <c r="E27" s="7">
        <v>1.63199161</v>
      </c>
      <c r="F27" s="7">
        <v>1.66482839</v>
      </c>
      <c r="G27" s="7">
        <v>1.6980679400000001</v>
      </c>
      <c r="H27" s="7">
        <v>1.73318715</v>
      </c>
      <c r="I27" s="7">
        <v>1.7704521200000001</v>
      </c>
      <c r="J27" s="7">
        <v>1.8118333099999999</v>
      </c>
      <c r="K27" s="7">
        <v>1.8616594200000001</v>
      </c>
      <c r="L27" s="7">
        <v>1.9250985300000001</v>
      </c>
      <c r="M27" s="7">
        <v>1.99267957</v>
      </c>
      <c r="N27" s="7">
        <v>2.0648344999999999</v>
      </c>
      <c r="O27" s="7">
        <v>2.1415014399999999</v>
      </c>
      <c r="P27" s="7">
        <v>2.2275305799999998</v>
      </c>
      <c r="Q27" s="7">
        <v>2.3181792200000002</v>
      </c>
      <c r="R27" s="7">
        <v>2.41624595</v>
      </c>
      <c r="S27" s="7">
        <v>2.5208640199999999</v>
      </c>
      <c r="T27" s="7">
        <v>2.6324449900000002</v>
      </c>
      <c r="U27" s="7">
        <v>2.7513763299999998</v>
      </c>
      <c r="V27" s="7">
        <v>2.8781888100000002</v>
      </c>
      <c r="W27" s="7">
        <v>3.0133854499999999</v>
      </c>
      <c r="X27" s="7">
        <v>3.1574385199999999</v>
      </c>
      <c r="Y27" s="7">
        <v>3.3109897400000001</v>
      </c>
      <c r="Z27" s="7">
        <v>3.4747631999999999</v>
      </c>
      <c r="AA27" s="7">
        <v>3.6243664799999999</v>
      </c>
      <c r="AB27" s="7">
        <v>2.1290982199999999</v>
      </c>
      <c r="AC27" s="7">
        <v>1.57102074</v>
      </c>
    </row>
    <row r="28" spans="1:29" x14ac:dyDescent="0.85">
      <c r="A28" t="s">
        <v>126</v>
      </c>
      <c r="B28" s="7">
        <v>1238</v>
      </c>
      <c r="C28" s="7">
        <v>1188.48</v>
      </c>
      <c r="D28" s="7">
        <v>1140.9408000000001</v>
      </c>
      <c r="E28" s="7">
        <v>1095.3031679999999</v>
      </c>
      <c r="F28" s="7">
        <v>1051.49104128</v>
      </c>
      <c r="G28" s="7">
        <v>1009.43752747</v>
      </c>
      <c r="H28" s="7">
        <v>975.27825183000004</v>
      </c>
      <c r="I28" s="7">
        <v>1017.5496048700001</v>
      </c>
      <c r="J28" s="7">
        <v>1245.1132207400001</v>
      </c>
      <c r="K28" s="7">
        <v>1837.04869325</v>
      </c>
      <c r="L28" s="7">
        <v>2444.1596794100001</v>
      </c>
      <c r="M28" s="7">
        <v>3063.7026425700001</v>
      </c>
      <c r="N28" s="7">
        <v>3696.0937744299999</v>
      </c>
      <c r="O28" s="7">
        <v>4341.5037702999998</v>
      </c>
      <c r="P28" s="7">
        <v>5002.9718559599996</v>
      </c>
      <c r="Q28" s="7">
        <v>5680.1766338099997</v>
      </c>
      <c r="R28" s="7">
        <v>6374.3046903699997</v>
      </c>
      <c r="S28" s="7">
        <v>7085.7525456000003</v>
      </c>
      <c r="T28" s="7">
        <v>7814.9254802200003</v>
      </c>
      <c r="U28" s="7">
        <v>8562.2135206300009</v>
      </c>
      <c r="V28" s="7">
        <v>9328.0487155200008</v>
      </c>
      <c r="W28" s="7">
        <v>10112.88042028</v>
      </c>
      <c r="X28" s="7">
        <v>10917.144671509999</v>
      </c>
      <c r="Y28" s="7">
        <v>11741.31881703</v>
      </c>
      <c r="Z28" s="7">
        <v>12566.986175489999</v>
      </c>
      <c r="AA28" s="7">
        <v>12064.30683428</v>
      </c>
      <c r="AB28" s="7">
        <v>11620.00887073</v>
      </c>
      <c r="AC28" s="7">
        <v>11702.47382818</v>
      </c>
    </row>
    <row r="29" spans="1:29" x14ac:dyDescent="0.85">
      <c r="A29" t="s">
        <v>127</v>
      </c>
      <c r="B29" s="7">
        <v>3550049.5</v>
      </c>
      <c r="C29" s="7">
        <v>3408047.4377904101</v>
      </c>
      <c r="D29" s="7">
        <v>3271725.5397562501</v>
      </c>
      <c r="E29" s="7">
        <v>3140835.9940509298</v>
      </c>
      <c r="F29" s="7">
        <v>3015202.4603203698</v>
      </c>
      <c r="G29" s="7">
        <v>2894611.9337944798</v>
      </c>
      <c r="H29" s="7">
        <v>2796658.5248523601</v>
      </c>
      <c r="I29" s="7">
        <v>2917873.7161209802</v>
      </c>
      <c r="J29" s="7">
        <v>3570423.61671957</v>
      </c>
      <c r="K29" s="7">
        <v>5267827.8008767404</v>
      </c>
      <c r="L29" s="7">
        <v>7008748.5194251202</v>
      </c>
      <c r="M29" s="7">
        <v>8785318.5456611495</v>
      </c>
      <c r="N29" s="7">
        <v>10598731.3298195</v>
      </c>
      <c r="O29" s="7">
        <v>12449476.3490874</v>
      </c>
      <c r="P29" s="7">
        <v>14346260.8582977</v>
      </c>
      <c r="Q29" s="7">
        <v>16284384.1296588</v>
      </c>
      <c r="R29" s="7">
        <v>18234205.775172099</v>
      </c>
      <c r="S29" s="7">
        <v>20123761.2300709</v>
      </c>
      <c r="T29" s="7">
        <v>21831305.224217501</v>
      </c>
      <c r="U29" s="7">
        <v>23220247.0240224</v>
      </c>
      <c r="V29" s="7">
        <v>24201413.472506799</v>
      </c>
      <c r="W29" s="7">
        <v>24711146.024136201</v>
      </c>
      <c r="X29" s="7">
        <v>24661933.306210499</v>
      </c>
      <c r="Y29" s="7">
        <v>24038487.298365299</v>
      </c>
      <c r="Z29" s="7">
        <v>22801064.2521667</v>
      </c>
      <c r="AA29" s="7">
        <v>19799520.419289801</v>
      </c>
      <c r="AB29" s="7">
        <v>18625835.801996902</v>
      </c>
      <c r="AC29" s="7">
        <v>19882610.6564399</v>
      </c>
    </row>
    <row r="30" spans="1:29" x14ac:dyDescent="0.85">
      <c r="A30" t="s">
        <v>128</v>
      </c>
      <c r="B30" s="7">
        <v>3550049.5</v>
      </c>
      <c r="C30" s="7">
        <v>3408047.4377904101</v>
      </c>
      <c r="D30" s="7">
        <v>3271725.5397562501</v>
      </c>
      <c r="E30" s="7">
        <v>3140835.9940509298</v>
      </c>
      <c r="F30" s="7">
        <v>3015202.4603203698</v>
      </c>
      <c r="G30" s="7">
        <v>2894611.9337944798</v>
      </c>
      <c r="H30" s="7">
        <v>2796658.5248523601</v>
      </c>
      <c r="I30" s="7">
        <v>2917873.7161209802</v>
      </c>
      <c r="J30" s="7">
        <v>3570423.61671957</v>
      </c>
      <c r="K30" s="7">
        <v>5267827.8008767404</v>
      </c>
      <c r="L30" s="7">
        <v>7008748.5194251202</v>
      </c>
      <c r="M30" s="7">
        <v>8785318.5456611495</v>
      </c>
      <c r="N30" s="7">
        <v>10598731.3298195</v>
      </c>
      <c r="O30" s="7">
        <v>12449476.3490874</v>
      </c>
      <c r="P30" s="7">
        <v>14346268.7334469</v>
      </c>
      <c r="Q30" s="7">
        <v>16288186.8593779</v>
      </c>
      <c r="R30" s="7">
        <v>18278633.322299302</v>
      </c>
      <c r="S30" s="7">
        <v>20318745.162782699</v>
      </c>
      <c r="T30" s="7">
        <v>22409684.543275502</v>
      </c>
      <c r="U30" s="7">
        <v>24552569.8837847</v>
      </c>
      <c r="V30" s="7">
        <v>26748640.105174702</v>
      </c>
      <c r="W30" s="7">
        <v>28999183.7562645</v>
      </c>
      <c r="X30" s="7">
        <v>31305451.1935018</v>
      </c>
      <c r="Y30" s="7">
        <v>33668811.235353298</v>
      </c>
      <c r="Z30" s="7">
        <v>36036453.1389798</v>
      </c>
      <c r="AA30" s="7">
        <v>34594995.316831</v>
      </c>
      <c r="AB30" s="7">
        <v>33320948.9767325</v>
      </c>
      <c r="AC30" s="7">
        <v>33557421.312515102</v>
      </c>
    </row>
    <row r="31" spans="1:29" x14ac:dyDescent="0.85">
      <c r="A31" t="s">
        <v>129</v>
      </c>
      <c r="B31" s="7">
        <v>374.45309150000003</v>
      </c>
      <c r="C31" s="7">
        <v>359.47496783999998</v>
      </c>
      <c r="D31" s="7">
        <v>345.09596912000001</v>
      </c>
      <c r="E31" s="7">
        <v>331.29213035999999</v>
      </c>
      <c r="F31" s="7">
        <v>318.04044513999997</v>
      </c>
      <c r="G31" s="7">
        <v>305.32068079999999</v>
      </c>
      <c r="H31" s="7">
        <v>294.98865626999998</v>
      </c>
      <c r="I31" s="7">
        <v>307.77430960999999</v>
      </c>
      <c r="J31" s="7">
        <v>376.60459997999999</v>
      </c>
      <c r="K31" s="7">
        <v>555.64504234000003</v>
      </c>
      <c r="L31" s="7">
        <v>739.27556386000003</v>
      </c>
      <c r="M31" s="7">
        <v>926.66633759000001</v>
      </c>
      <c r="N31" s="7">
        <v>1117.9432474099999</v>
      </c>
      <c r="O31" s="7">
        <v>1313.15792289</v>
      </c>
      <c r="P31" s="7">
        <v>1513.22962693</v>
      </c>
      <c r="Q31" s="7">
        <v>1718.0611476399999</v>
      </c>
      <c r="R31" s="7">
        <v>1928.01138728</v>
      </c>
      <c r="S31" s="7">
        <v>2143.2002797099999</v>
      </c>
      <c r="T31" s="7">
        <v>2363.75040863</v>
      </c>
      <c r="U31" s="7">
        <v>2589.77974382</v>
      </c>
      <c r="V31" s="7">
        <v>2821.4189653899998</v>
      </c>
      <c r="W31" s="7">
        <v>3058.8039881300001</v>
      </c>
      <c r="X31" s="7">
        <v>3302.06669835</v>
      </c>
      <c r="Y31" s="7">
        <v>3551.3514776100001</v>
      </c>
      <c r="Z31" s="7">
        <v>3801.0879032399998</v>
      </c>
      <c r="AA31" s="7">
        <v>3649.04441911</v>
      </c>
      <c r="AB31" s="7">
        <v>3514.6593254099998</v>
      </c>
      <c r="AC31" s="7">
        <v>3539.6021834600001</v>
      </c>
    </row>
    <row r="32" spans="1:29" x14ac:dyDescent="0.85">
      <c r="A32" t="s">
        <v>130</v>
      </c>
      <c r="B32" s="7">
        <v>0</v>
      </c>
      <c r="C32" s="7">
        <v>0.27264379999999999</v>
      </c>
      <c r="D32" s="7">
        <v>0.52347608999999995</v>
      </c>
      <c r="E32" s="7">
        <v>0.75380064000000002</v>
      </c>
      <c r="F32" s="7">
        <v>0.96486479000000003</v>
      </c>
      <c r="G32" s="7">
        <v>1.1578447700000001</v>
      </c>
      <c r="H32" s="7">
        <v>1.34239609</v>
      </c>
      <c r="I32" s="7">
        <v>1.6340092799999999</v>
      </c>
      <c r="J32" s="7">
        <v>2.2850711100000001</v>
      </c>
      <c r="K32" s="7">
        <v>3.7928360200000002</v>
      </c>
      <c r="L32" s="7">
        <v>5.6069988200000003</v>
      </c>
      <c r="M32" s="7">
        <v>7.7310803200000002</v>
      </c>
      <c r="N32" s="7">
        <v>10.17478208</v>
      </c>
      <c r="O32" s="7">
        <v>12.947455400000001</v>
      </c>
      <c r="P32" s="7">
        <v>16.06782098</v>
      </c>
      <c r="Q32" s="7">
        <v>19.545824230000001</v>
      </c>
      <c r="R32" s="7">
        <v>23.396650650000002</v>
      </c>
      <c r="S32" s="7">
        <v>27.633493420000001</v>
      </c>
      <c r="T32" s="7">
        <v>32.269945739999997</v>
      </c>
      <c r="U32" s="7">
        <v>37.31990622</v>
      </c>
      <c r="V32" s="7">
        <v>42.797824169999998</v>
      </c>
      <c r="W32" s="7">
        <v>48.718628709999997</v>
      </c>
      <c r="X32" s="7">
        <v>55.097594100000002</v>
      </c>
      <c r="Y32" s="7">
        <v>61.950612669999998</v>
      </c>
      <c r="Z32" s="7">
        <v>69.189990030000004</v>
      </c>
      <c r="AA32" s="7">
        <v>69.189990629999997</v>
      </c>
      <c r="AB32" s="7">
        <v>69.307573869999999</v>
      </c>
      <c r="AC32" s="7">
        <v>72.484030039999993</v>
      </c>
    </row>
    <row r="33" spans="1:29" x14ac:dyDescent="0.85">
      <c r="A33" t="s">
        <v>131</v>
      </c>
      <c r="B33" s="7">
        <v>1.42002E-2</v>
      </c>
      <c r="C33" s="7">
        <v>1.3632190000000001E-2</v>
      </c>
      <c r="D33" s="7">
        <v>1.30869E-2</v>
      </c>
      <c r="E33" s="7">
        <v>1.2563339999999999E-2</v>
      </c>
      <c r="F33" s="7">
        <v>1.206081E-2</v>
      </c>
      <c r="G33" s="7">
        <v>1.1578450000000001E-2</v>
      </c>
      <c r="H33" s="7">
        <v>1.1186629999999999E-2</v>
      </c>
      <c r="I33" s="7">
        <v>1.167149E-2</v>
      </c>
      <c r="J33" s="7">
        <v>1.428169E-2</v>
      </c>
      <c r="K33" s="7">
        <v>2.1071309999999999E-2</v>
      </c>
      <c r="L33" s="7">
        <v>2.8034989999999999E-2</v>
      </c>
      <c r="M33" s="7">
        <v>3.5141270000000002E-2</v>
      </c>
      <c r="N33" s="7">
        <v>4.2394929999999997E-2</v>
      </c>
      <c r="O33" s="7">
        <v>4.9797910000000001E-2</v>
      </c>
      <c r="P33" s="7">
        <v>5.7385070000000003E-2</v>
      </c>
      <c r="Q33" s="7">
        <v>6.5152749999999995E-2</v>
      </c>
      <c r="R33" s="7">
        <v>7.3114529999999997E-2</v>
      </c>
      <c r="S33" s="7">
        <v>8.1274979999999997E-2</v>
      </c>
      <c r="T33" s="7">
        <v>8.9638739999999995E-2</v>
      </c>
      <c r="U33" s="7">
        <v>9.8210279999999997E-2</v>
      </c>
      <c r="V33" s="7">
        <v>0.10699456</v>
      </c>
      <c r="W33" s="7">
        <v>0.11599674</v>
      </c>
      <c r="X33" s="7">
        <v>0.12522179999999999</v>
      </c>
      <c r="Y33" s="7">
        <v>0.13467524</v>
      </c>
      <c r="Z33" s="7">
        <v>0.14414581000000001</v>
      </c>
      <c r="AA33" s="7">
        <v>0.13837998000000001</v>
      </c>
      <c r="AB33" s="7">
        <v>0.13328380000000001</v>
      </c>
      <c r="AC33" s="7">
        <v>0.13422969000000001</v>
      </c>
    </row>
    <row r="34" spans="1:29" x14ac:dyDescent="0.85">
      <c r="A34" t="s">
        <v>132</v>
      </c>
      <c r="B34" s="7">
        <v>374.45309150000003</v>
      </c>
      <c r="C34" s="7">
        <v>359.47496783999998</v>
      </c>
      <c r="D34" s="7">
        <v>345.09596912000001</v>
      </c>
      <c r="E34" s="7">
        <v>331.29213035999999</v>
      </c>
      <c r="F34" s="7">
        <v>318.04044513999997</v>
      </c>
      <c r="G34" s="7">
        <v>305.32068079999999</v>
      </c>
      <c r="H34" s="7">
        <v>294.98865626999998</v>
      </c>
      <c r="I34" s="7">
        <v>307.77430960999999</v>
      </c>
      <c r="J34" s="7">
        <v>376.60459997999999</v>
      </c>
      <c r="K34" s="7">
        <v>555.64504234000003</v>
      </c>
      <c r="L34" s="7">
        <v>739.27556386000003</v>
      </c>
      <c r="M34" s="7">
        <v>926.66633759000001</v>
      </c>
      <c r="N34" s="7">
        <v>1117.9432474099999</v>
      </c>
      <c r="O34" s="7">
        <v>1313.15792289</v>
      </c>
      <c r="P34" s="7">
        <v>1513.22962693</v>
      </c>
      <c r="Q34" s="7">
        <v>1718.0611476399999</v>
      </c>
      <c r="R34" s="7">
        <v>1928.01138728</v>
      </c>
      <c r="S34" s="7">
        <v>2143.2002797099999</v>
      </c>
      <c r="T34" s="7">
        <v>2363.75040863</v>
      </c>
      <c r="U34" s="7">
        <v>2589.77974382</v>
      </c>
      <c r="V34" s="7">
        <v>2821.4189653899998</v>
      </c>
      <c r="W34" s="7">
        <v>3058.8039881300001</v>
      </c>
      <c r="X34" s="7">
        <v>3302.06669835</v>
      </c>
      <c r="Y34" s="7">
        <v>3551.3514776100001</v>
      </c>
      <c r="Z34" s="7">
        <v>3801.0879032399998</v>
      </c>
      <c r="AA34" s="7">
        <v>3649.04441911</v>
      </c>
      <c r="AB34" s="7">
        <v>3514.6593254099998</v>
      </c>
      <c r="AC34" s="7">
        <v>3539.6021834600001</v>
      </c>
    </row>
    <row r="35" spans="1:29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</row>
    <row r="36" spans="1:29" x14ac:dyDescent="0.85">
      <c r="A36" t="s">
        <v>134</v>
      </c>
      <c r="B36" s="7">
        <v>1</v>
      </c>
      <c r="C36" s="7">
        <v>1.04</v>
      </c>
      <c r="D36" s="7">
        <v>0.99999998000000001</v>
      </c>
      <c r="E36" s="7">
        <v>1</v>
      </c>
      <c r="F36" s="7">
        <v>0.99999347000000005</v>
      </c>
      <c r="G36" s="7">
        <v>0.99999996999999996</v>
      </c>
      <c r="H36" s="7">
        <v>1.00000607</v>
      </c>
      <c r="I36" s="7">
        <v>1.00641676</v>
      </c>
      <c r="J36" s="7">
        <v>1.0868154800000001</v>
      </c>
      <c r="K36" s="7">
        <v>1.2746237899999999</v>
      </c>
      <c r="L36" s="7">
        <v>1.3859086700000001</v>
      </c>
      <c r="M36" s="7">
        <v>1.30570063</v>
      </c>
      <c r="N36" s="7">
        <v>1.2566712499999999</v>
      </c>
      <c r="O36" s="7">
        <v>1.22355196</v>
      </c>
      <c r="P36" s="7">
        <v>1.20036422</v>
      </c>
      <c r="Q36" s="7">
        <v>1.18265719</v>
      </c>
      <c r="R36" s="7">
        <v>1.1689502599999999</v>
      </c>
      <c r="S36" s="7">
        <v>1.1579189999999999</v>
      </c>
      <c r="T36" s="7">
        <v>1.14885137</v>
      </c>
      <c r="U36" s="7">
        <v>1.14126415</v>
      </c>
      <c r="V36" s="7">
        <v>1.1348278700000001</v>
      </c>
      <c r="W36" s="7">
        <v>1.12929967</v>
      </c>
      <c r="X36" s="7">
        <v>1.12449906</v>
      </c>
      <c r="Y36" s="7">
        <v>1.1202957899999999</v>
      </c>
      <c r="Z36" s="7">
        <v>1.11659095</v>
      </c>
      <c r="AA36" s="7">
        <v>1.1137370499999999</v>
      </c>
      <c r="AB36" s="7">
        <v>1.0000000099999999</v>
      </c>
      <c r="AC36" s="7">
        <v>1.0033047100000001</v>
      </c>
    </row>
    <row r="37" spans="1:29" x14ac:dyDescent="0.85">
      <c r="A37" t="s">
        <v>135</v>
      </c>
      <c r="B37" s="7">
        <v>1</v>
      </c>
      <c r="C37" s="7">
        <v>0.99999998000000001</v>
      </c>
      <c r="D37" s="7">
        <v>1</v>
      </c>
      <c r="E37" s="7">
        <v>0.99999347000000005</v>
      </c>
      <c r="F37" s="7">
        <v>0.99999996999999996</v>
      </c>
      <c r="G37" s="7">
        <v>1.00000607</v>
      </c>
      <c r="H37" s="7">
        <v>1.00641676</v>
      </c>
      <c r="I37" s="7">
        <v>1.0868154800000001</v>
      </c>
      <c r="J37" s="7">
        <v>1.2746237899999999</v>
      </c>
      <c r="K37" s="7">
        <v>1.53688223</v>
      </c>
      <c r="L37" s="7">
        <v>1.38591844</v>
      </c>
      <c r="M37" s="7">
        <v>1.30570721</v>
      </c>
      <c r="N37" s="7">
        <v>1.25668125</v>
      </c>
      <c r="O37" s="7">
        <v>1.2235619600000001</v>
      </c>
      <c r="P37" s="7">
        <v>1.2003741800000001</v>
      </c>
      <c r="Q37" s="7">
        <v>1.1826671900000001</v>
      </c>
      <c r="R37" s="7">
        <v>1.16896025</v>
      </c>
      <c r="S37" s="7">
        <v>1.157929</v>
      </c>
      <c r="T37" s="7">
        <v>1.1488613700000001</v>
      </c>
      <c r="U37" s="7">
        <v>1.1412741500000001</v>
      </c>
      <c r="V37" s="7">
        <v>1.1348370800000001</v>
      </c>
      <c r="W37" s="7">
        <v>1.1293091099999999</v>
      </c>
      <c r="X37" s="7">
        <v>1.1245090600000001</v>
      </c>
      <c r="Y37" s="7">
        <v>1.12030579</v>
      </c>
      <c r="Z37" s="7">
        <v>1.1149182500000001</v>
      </c>
      <c r="AA37" s="7">
        <v>1.0000000099999999</v>
      </c>
      <c r="AB37" s="7">
        <v>1.0033047100000001</v>
      </c>
      <c r="AC37" s="7">
        <v>1.04905917</v>
      </c>
    </row>
    <row r="38" spans="1:29" x14ac:dyDescent="0.85">
      <c r="A38" t="s">
        <v>136</v>
      </c>
      <c r="B38" s="7">
        <v>1</v>
      </c>
      <c r="C38" s="7">
        <v>1.4719810499999999</v>
      </c>
      <c r="D38" s="7">
        <v>1.4972953200000001</v>
      </c>
      <c r="E38" s="7">
        <v>1.5250415500000001</v>
      </c>
      <c r="F38" s="7">
        <v>1.5558691</v>
      </c>
      <c r="G38" s="7">
        <v>1.58740517</v>
      </c>
      <c r="H38" s="7">
        <v>1.6209335600000001</v>
      </c>
      <c r="I38" s="7">
        <v>1.6526646899999999</v>
      </c>
      <c r="J38" s="7">
        <v>1.63849197</v>
      </c>
      <c r="K38" s="7">
        <v>1.5393500499999999</v>
      </c>
      <c r="L38" s="7">
        <v>1.3859186699999999</v>
      </c>
      <c r="M38" s="7">
        <v>1.3057106300000001</v>
      </c>
      <c r="N38" s="7">
        <v>1.25668125</v>
      </c>
      <c r="O38" s="7">
        <v>1.2235619600000001</v>
      </c>
      <c r="P38" s="7">
        <v>1.20037422</v>
      </c>
      <c r="Q38" s="7">
        <v>1.1826671900000001</v>
      </c>
      <c r="R38" s="7">
        <v>1.16896026</v>
      </c>
      <c r="S38" s="7">
        <v>1.157929</v>
      </c>
      <c r="T38" s="7">
        <v>1.1488613700000001</v>
      </c>
      <c r="U38" s="7">
        <v>1.1412741500000001</v>
      </c>
      <c r="V38" s="7">
        <v>1.1348378699999999</v>
      </c>
      <c r="W38" s="7">
        <v>1.12930967</v>
      </c>
      <c r="X38" s="7">
        <v>1.1245090600000001</v>
      </c>
      <c r="Y38" s="7">
        <v>1.12030579</v>
      </c>
      <c r="Z38" s="7">
        <v>1.11660095</v>
      </c>
      <c r="AA38" s="7">
        <v>1.11374705</v>
      </c>
      <c r="AB38" s="7">
        <v>1.11942805</v>
      </c>
      <c r="AC38" s="7">
        <v>1.12555413</v>
      </c>
    </row>
    <row r="39" spans="1:29" x14ac:dyDescent="0.85">
      <c r="A39" t="s">
        <v>137</v>
      </c>
      <c r="B39" s="7">
        <v>3805</v>
      </c>
      <c r="C39" s="7">
        <v>3709.875</v>
      </c>
      <c r="D39" s="7">
        <v>3617.1281250000002</v>
      </c>
      <c r="E39" s="7">
        <v>3526.6999218800001</v>
      </c>
      <c r="F39" s="7">
        <v>3438.5324330799999</v>
      </c>
      <c r="G39" s="7">
        <v>3352.6390463299999</v>
      </c>
      <c r="H39" s="7">
        <v>3268.8231021199999</v>
      </c>
      <c r="I39" s="7">
        <v>3187.1030372199998</v>
      </c>
      <c r="J39" s="7">
        <v>3107.4254642699998</v>
      </c>
      <c r="K39" s="7">
        <v>3029.7398276600002</v>
      </c>
      <c r="L39" s="7">
        <v>2954.0287740099998</v>
      </c>
      <c r="M39" s="7">
        <v>2880.1780546499999</v>
      </c>
      <c r="N39" s="7">
        <v>2808.1767346800002</v>
      </c>
      <c r="O39" s="7">
        <v>3591.9557033999999</v>
      </c>
      <c r="P39" s="7">
        <v>4405.6999354299996</v>
      </c>
      <c r="Q39" s="7">
        <v>5247.670126</v>
      </c>
      <c r="R39" s="7">
        <v>6119.3896307900004</v>
      </c>
      <c r="S39" s="7">
        <v>7021.5250369100004</v>
      </c>
      <c r="T39" s="7">
        <v>7954.7575728499996</v>
      </c>
      <c r="U39" s="7">
        <v>8919.7573171599997</v>
      </c>
      <c r="V39" s="7">
        <v>9917.2534129199994</v>
      </c>
      <c r="W39" s="7">
        <v>10947.984793559999</v>
      </c>
      <c r="X39" s="7">
        <v>12012.66852161</v>
      </c>
      <c r="Y39" s="7">
        <v>13111.9510603</v>
      </c>
      <c r="Z39" s="7">
        <v>14247.06315174</v>
      </c>
      <c r="AA39" s="7">
        <v>15422.652827989999</v>
      </c>
      <c r="AB39" s="7">
        <v>16053.13891258</v>
      </c>
      <c r="AC39" s="7">
        <v>16092.333375640001</v>
      </c>
    </row>
    <row r="40" spans="1:29" x14ac:dyDescent="0.85">
      <c r="A40" t="s">
        <v>138</v>
      </c>
      <c r="B40" s="7">
        <v>25776890.75</v>
      </c>
      <c r="C40" s="7">
        <v>25087241.419980198</v>
      </c>
      <c r="D40" s="7">
        <v>24457004.7287043</v>
      </c>
      <c r="E40" s="7">
        <v>23845215.988423701</v>
      </c>
      <c r="F40" s="7">
        <v>23249085.651241399</v>
      </c>
      <c r="G40" s="7">
        <v>22668331.290443599</v>
      </c>
      <c r="H40" s="7">
        <v>22101623.224192001</v>
      </c>
      <c r="I40" s="7">
        <v>21549086.109808899</v>
      </c>
      <c r="J40" s="7">
        <v>21010358.977175798</v>
      </c>
      <c r="K40" s="7">
        <v>20485099.295627501</v>
      </c>
      <c r="L40" s="7">
        <v>19973191.164856002</v>
      </c>
      <c r="M40" s="7">
        <v>19473861.3786988</v>
      </c>
      <c r="N40" s="7">
        <v>18987036.016662899</v>
      </c>
      <c r="O40" s="7">
        <v>24286431.643817499</v>
      </c>
      <c r="P40" s="7">
        <v>29788432.586683799</v>
      </c>
      <c r="Q40" s="7">
        <v>35481278.815264098</v>
      </c>
      <c r="R40" s="7">
        <v>41375270.254441701</v>
      </c>
      <c r="S40" s="7">
        <v>47474913.925856598</v>
      </c>
      <c r="T40" s="7">
        <v>53784815.8465432</v>
      </c>
      <c r="U40" s="7">
        <v>60309506.645022497</v>
      </c>
      <c r="V40" s="7">
        <v>67053916.305085197</v>
      </c>
      <c r="W40" s="7">
        <v>74023041.006569207</v>
      </c>
      <c r="X40" s="7">
        <v>81221729.052477702</v>
      </c>
      <c r="Y40" s="7">
        <v>88654351.400245905</v>
      </c>
      <c r="Z40" s="7">
        <v>96329229.514890105</v>
      </c>
      <c r="AA40" s="7">
        <v>104277790.31877901</v>
      </c>
      <c r="AB40" s="7">
        <v>108540720.727805</v>
      </c>
      <c r="AC40" s="7">
        <v>108805727.795358</v>
      </c>
    </row>
    <row r="41" spans="1:29" x14ac:dyDescent="0.85">
      <c r="A41" t="s">
        <v>139</v>
      </c>
      <c r="B41" s="7">
        <v>25776890.75</v>
      </c>
      <c r="C41" s="7">
        <v>25087241.419980198</v>
      </c>
      <c r="D41" s="7">
        <v>24457004.7287043</v>
      </c>
      <c r="E41" s="7">
        <v>23845215.988423701</v>
      </c>
      <c r="F41" s="7">
        <v>23249085.651241399</v>
      </c>
      <c r="G41" s="7">
        <v>22668331.290443599</v>
      </c>
      <c r="H41" s="7">
        <v>22101623.224192001</v>
      </c>
      <c r="I41" s="7">
        <v>21549086.109808899</v>
      </c>
      <c r="J41" s="7">
        <v>21010358.977175798</v>
      </c>
      <c r="K41" s="7">
        <v>20485099.295627501</v>
      </c>
      <c r="L41" s="7">
        <v>19973191.164856002</v>
      </c>
      <c r="M41" s="7">
        <v>19473861.3786988</v>
      </c>
      <c r="N41" s="7">
        <v>18987036.016662899</v>
      </c>
      <c r="O41" s="7">
        <v>24286431.643817499</v>
      </c>
      <c r="P41" s="7">
        <v>29788432.586683799</v>
      </c>
      <c r="Q41" s="7">
        <v>35481278.815264098</v>
      </c>
      <c r="R41" s="7">
        <v>41375270.254441701</v>
      </c>
      <c r="S41" s="7">
        <v>47474913.925856598</v>
      </c>
      <c r="T41" s="7">
        <v>53784815.8465432</v>
      </c>
      <c r="U41" s="7">
        <v>60309506.645022497</v>
      </c>
      <c r="V41" s="7">
        <v>67053916.305085197</v>
      </c>
      <c r="W41" s="7">
        <v>74023041.006569207</v>
      </c>
      <c r="X41" s="7">
        <v>81221729.052477702</v>
      </c>
      <c r="Y41" s="7">
        <v>88654351.400245905</v>
      </c>
      <c r="Z41" s="7">
        <v>96329229.514890105</v>
      </c>
      <c r="AA41" s="7">
        <v>104277790.31877901</v>
      </c>
      <c r="AB41" s="7">
        <v>108540720.727805</v>
      </c>
      <c r="AC41" s="7">
        <v>108805727.795358</v>
      </c>
    </row>
    <row r="42" spans="1:29" x14ac:dyDescent="0.85">
      <c r="A42" t="s">
        <v>140</v>
      </c>
      <c r="B42" s="7">
        <v>4364.6560916600001</v>
      </c>
      <c r="C42" s="7">
        <v>4255.0824437800002</v>
      </c>
      <c r="D42" s="7">
        <v>4148.6744900100002</v>
      </c>
      <c r="E42" s="7">
        <v>4044.9539515400002</v>
      </c>
      <c r="F42" s="7">
        <v>3943.8301133599998</v>
      </c>
      <c r="G42" s="7">
        <v>3845.3145600600001</v>
      </c>
      <c r="H42" s="7">
        <v>3749.1817326999999</v>
      </c>
      <c r="I42" s="7">
        <v>3655.4527773700001</v>
      </c>
      <c r="J42" s="7">
        <v>3564.0664613499998</v>
      </c>
      <c r="K42" s="7">
        <v>3474.96479267</v>
      </c>
      <c r="L42" s="7">
        <v>3388.1278822899999</v>
      </c>
      <c r="M42" s="7">
        <v>3303.42468517</v>
      </c>
      <c r="N42" s="7">
        <v>3220.8426595999999</v>
      </c>
      <c r="O42" s="7">
        <v>4119.7991629199996</v>
      </c>
      <c r="P42" s="7">
        <v>5053.1243714700004</v>
      </c>
      <c r="Q42" s="7">
        <v>6018.8233869100004</v>
      </c>
      <c r="R42" s="7">
        <v>7018.6434244299999</v>
      </c>
      <c r="S42" s="7">
        <v>8053.3490271399996</v>
      </c>
      <c r="T42" s="7">
        <v>9123.7215311100008</v>
      </c>
      <c r="U42" s="7">
        <v>10230.529483959999</v>
      </c>
      <c r="V42" s="7">
        <v>11374.60917749</v>
      </c>
      <c r="W42" s="7">
        <v>12556.808132550001</v>
      </c>
      <c r="X42" s="7">
        <v>13777.948785099999</v>
      </c>
      <c r="Y42" s="7">
        <v>15038.77259717</v>
      </c>
      <c r="Z42" s="7">
        <v>16340.691170300001</v>
      </c>
      <c r="AA42" s="7">
        <v>17689.03557208</v>
      </c>
      <c r="AB42" s="7">
        <v>18412.17256431</v>
      </c>
      <c r="AC42" s="7">
        <v>18457.12671447</v>
      </c>
    </row>
    <row r="43" spans="1:29" x14ac:dyDescent="0.85">
      <c r="A43" t="s">
        <v>141</v>
      </c>
      <c r="B43" s="7">
        <v>0</v>
      </c>
      <c r="C43" s="7">
        <v>1.5052344900000001</v>
      </c>
      <c r="D43" s="7">
        <v>2.93484057</v>
      </c>
      <c r="E43" s="7">
        <v>4.2921388800000004</v>
      </c>
      <c r="F43" s="7">
        <v>5.5797805599999997</v>
      </c>
      <c r="G43" s="7">
        <v>6.8004993899999997</v>
      </c>
      <c r="H43" s="7">
        <v>7.9565843599999999</v>
      </c>
      <c r="I43" s="7">
        <v>9.0506161699999996</v>
      </c>
      <c r="J43" s="7">
        <v>10.084972309999999</v>
      </c>
      <c r="K43" s="7">
        <v>11.061953620000001</v>
      </c>
      <c r="L43" s="7">
        <v>11.9839147</v>
      </c>
      <c r="M43" s="7">
        <v>12.85274851</v>
      </c>
      <c r="N43" s="7">
        <v>13.67066593</v>
      </c>
      <c r="O43" s="7">
        <v>18.943416679999999</v>
      </c>
      <c r="P43" s="7">
        <v>25.02228337</v>
      </c>
      <c r="Q43" s="7">
        <v>31.93315093</v>
      </c>
      <c r="R43" s="7">
        <v>39.72025944</v>
      </c>
      <c r="S43" s="7">
        <v>48.424412199999999</v>
      </c>
      <c r="T43" s="7">
        <v>58.087601110000001</v>
      </c>
      <c r="U43" s="7">
        <v>68.752837580000005</v>
      </c>
      <c r="V43" s="7">
        <v>80.464699569999993</v>
      </c>
      <c r="W43" s="7">
        <v>93.269031670000004</v>
      </c>
      <c r="X43" s="7">
        <v>107.21268234999999</v>
      </c>
      <c r="Y43" s="7">
        <v>122.34300493000001</v>
      </c>
      <c r="Z43" s="7">
        <v>138.7140905</v>
      </c>
      <c r="AA43" s="7">
        <v>156.41668548000001</v>
      </c>
      <c r="AB43" s="7">
        <v>169.32352434000001</v>
      </c>
      <c r="AC43" s="7">
        <v>176.26527902999999</v>
      </c>
    </row>
    <row r="44" spans="1:29" x14ac:dyDescent="0.85">
      <c r="A44" t="s">
        <v>142</v>
      </c>
      <c r="B44" s="7">
        <v>7.7330670000000004E-2</v>
      </c>
      <c r="C44" s="7">
        <v>7.5261720000000004E-2</v>
      </c>
      <c r="D44" s="7">
        <v>7.337101E-2</v>
      </c>
      <c r="E44" s="7">
        <v>7.1535650000000006E-2</v>
      </c>
      <c r="F44" s="7">
        <v>6.9747260000000005E-2</v>
      </c>
      <c r="G44" s="7">
        <v>6.8004990000000001E-2</v>
      </c>
      <c r="H44" s="7">
        <v>6.6304870000000002E-2</v>
      </c>
      <c r="I44" s="7">
        <v>6.4647259999999998E-2</v>
      </c>
      <c r="J44" s="7">
        <v>6.3031080000000003E-2</v>
      </c>
      <c r="K44" s="7">
        <v>6.1455299999999997E-2</v>
      </c>
      <c r="L44" s="7">
        <v>5.9919569999999998E-2</v>
      </c>
      <c r="M44" s="7">
        <v>5.8421580000000001E-2</v>
      </c>
      <c r="N44" s="7">
        <v>5.6961110000000002E-2</v>
      </c>
      <c r="O44" s="7">
        <v>7.2859289999999993E-2</v>
      </c>
      <c r="P44" s="7">
        <v>8.9365299999999995E-2</v>
      </c>
      <c r="Q44" s="7">
        <v>0.10644384</v>
      </c>
      <c r="R44" s="7">
        <v>0.12412581</v>
      </c>
      <c r="S44" s="7">
        <v>0.14242473999999999</v>
      </c>
      <c r="T44" s="7">
        <v>0.16135445000000001</v>
      </c>
      <c r="U44" s="7">
        <v>0.18092852000000001</v>
      </c>
      <c r="V44" s="7">
        <v>0.20116175</v>
      </c>
      <c r="W44" s="7">
        <v>0.22206912000000001</v>
      </c>
      <c r="X44" s="7">
        <v>0.24366519</v>
      </c>
      <c r="Y44" s="7">
        <v>0.26596304999999998</v>
      </c>
      <c r="Z44" s="7">
        <v>0.28898769000000002</v>
      </c>
      <c r="AA44" s="7">
        <v>0.31283337</v>
      </c>
      <c r="AB44" s="7">
        <v>0.32562215999999999</v>
      </c>
      <c r="AC44" s="7">
        <v>0.32641717999999997</v>
      </c>
    </row>
    <row r="45" spans="1:29" x14ac:dyDescent="0.85">
      <c r="A45" t="s">
        <v>143</v>
      </c>
      <c r="B45" s="7">
        <v>4104.0517261799996</v>
      </c>
      <c r="C45" s="7">
        <v>4001.4504330300001</v>
      </c>
      <c r="D45" s="7">
        <v>3901.4141721999999</v>
      </c>
      <c r="E45" s="7">
        <v>3803.8788178999998</v>
      </c>
      <c r="F45" s="7">
        <v>3708.7818574200001</v>
      </c>
      <c r="G45" s="7">
        <v>3616.1377307100001</v>
      </c>
      <c r="H45" s="7">
        <v>3525.7343219099998</v>
      </c>
      <c r="I45" s="7">
        <v>3437.5915168000001</v>
      </c>
      <c r="J45" s="7">
        <v>3351.6517320900002</v>
      </c>
      <c r="K45" s="7">
        <v>3267.86043879</v>
      </c>
      <c r="L45" s="7">
        <v>3186.1989196200002</v>
      </c>
      <c r="M45" s="7">
        <v>3106.5439466299999</v>
      </c>
      <c r="N45" s="7">
        <v>3028.8837254700002</v>
      </c>
      <c r="O45" s="7">
        <v>3874.2633390000001</v>
      </c>
      <c r="P45" s="7">
        <v>4751.9633180199999</v>
      </c>
      <c r="Q45" s="7">
        <v>5660.1076580899999</v>
      </c>
      <c r="R45" s="7">
        <v>6600.3394421599996</v>
      </c>
      <c r="S45" s="7">
        <v>7573.3776473500002</v>
      </c>
      <c r="T45" s="7">
        <v>8579.9570428999996</v>
      </c>
      <c r="U45" s="7">
        <v>9620.8003717800002</v>
      </c>
      <c r="V45" s="7">
        <v>10696.694083640001</v>
      </c>
      <c r="W45" s="7">
        <v>11808.435187970001</v>
      </c>
      <c r="X45" s="7">
        <v>12956.797104380001</v>
      </c>
      <c r="Y45" s="7">
        <v>14142.477104510001</v>
      </c>
      <c r="Z45" s="7">
        <v>15366.8026599</v>
      </c>
      <c r="AA45" s="7">
        <v>16634.787111959999</v>
      </c>
      <c r="AB45" s="7">
        <v>17314.825877750001</v>
      </c>
      <c r="AC45" s="7">
        <v>17357.100806459999</v>
      </c>
    </row>
    <row r="46" spans="1:29" x14ac:dyDescent="0.85">
      <c r="A46" t="s">
        <v>144</v>
      </c>
      <c r="B46" s="7">
        <v>260.60436548000001</v>
      </c>
      <c r="C46" s="7">
        <v>253.63201076000001</v>
      </c>
      <c r="D46" s="7">
        <v>247.26031781</v>
      </c>
      <c r="E46" s="7">
        <v>241.07513363999999</v>
      </c>
      <c r="F46" s="7">
        <v>235.04825593000001</v>
      </c>
      <c r="G46" s="7">
        <v>229.17682934999999</v>
      </c>
      <c r="H46" s="7">
        <v>223.4474108</v>
      </c>
      <c r="I46" s="7">
        <v>217.86126057000001</v>
      </c>
      <c r="J46" s="7">
        <v>212.41472926</v>
      </c>
      <c r="K46" s="7">
        <v>207.10435387999999</v>
      </c>
      <c r="L46" s="7">
        <v>201.92896268000001</v>
      </c>
      <c r="M46" s="7">
        <v>196.88073854000001</v>
      </c>
      <c r="N46" s="7">
        <v>191.95893412999999</v>
      </c>
      <c r="O46" s="7">
        <v>245.53582392000001</v>
      </c>
      <c r="P46" s="7">
        <v>301.16105345</v>
      </c>
      <c r="Q46" s="7">
        <v>358.71572881999998</v>
      </c>
      <c r="R46" s="7">
        <v>418.30398227000001</v>
      </c>
      <c r="S46" s="7">
        <v>479.97137979000001</v>
      </c>
      <c r="T46" s="7">
        <v>543.76448820999997</v>
      </c>
      <c r="U46" s="7">
        <v>609.72911218000002</v>
      </c>
      <c r="V46" s="7">
        <v>677.91509384000005</v>
      </c>
      <c r="W46" s="7">
        <v>748.37294457999997</v>
      </c>
      <c r="X46" s="7">
        <v>821.15168071999994</v>
      </c>
      <c r="Y46" s="7">
        <v>896.29549266000004</v>
      </c>
      <c r="Z46" s="7">
        <v>973.88851039999997</v>
      </c>
      <c r="AA46" s="7">
        <v>1054.2484601199999</v>
      </c>
      <c r="AB46" s="7">
        <v>1097.3466865600001</v>
      </c>
      <c r="AC46" s="7">
        <v>1100.02590801</v>
      </c>
    </row>
    <row r="47" spans="1:29" x14ac:dyDescent="0.85">
      <c r="A47" t="s">
        <v>145</v>
      </c>
      <c r="B47" s="7">
        <v>1</v>
      </c>
      <c r="C47" s="7">
        <v>1.0249999999999999</v>
      </c>
      <c r="D47" s="7">
        <v>0.99820045000000002</v>
      </c>
      <c r="E47" s="7">
        <v>0.99987508000000003</v>
      </c>
      <c r="F47" s="7">
        <v>0.99998474999999998</v>
      </c>
      <c r="G47" s="7">
        <v>1</v>
      </c>
      <c r="H47" s="7">
        <v>1.00002086</v>
      </c>
      <c r="I47" s="7">
        <v>1.0000000099999999</v>
      </c>
      <c r="J47" s="7">
        <v>1.0000001599999999</v>
      </c>
      <c r="K47" s="7">
        <v>1</v>
      </c>
      <c r="L47" s="7">
        <v>0.99999996999999996</v>
      </c>
      <c r="M47" s="7">
        <v>1.0000109800000001</v>
      </c>
      <c r="N47" s="7">
        <v>1</v>
      </c>
      <c r="O47" s="7">
        <v>1.0000011200000001</v>
      </c>
      <c r="P47" s="7">
        <v>1.25798619</v>
      </c>
      <c r="Q47" s="7">
        <v>1.22164056</v>
      </c>
      <c r="R47" s="7">
        <v>1.1960059599999999</v>
      </c>
      <c r="S47" s="7">
        <v>1.1768335400000001</v>
      </c>
      <c r="T47" s="7">
        <v>1.1619492199999999</v>
      </c>
      <c r="U47" s="7">
        <v>1.1500526</v>
      </c>
      <c r="V47" s="7">
        <v>1.14032847</v>
      </c>
      <c r="W47" s="7">
        <v>1.13222913</v>
      </c>
      <c r="X47" s="7">
        <v>1.1253755299999999</v>
      </c>
      <c r="Y47" s="7">
        <v>1.1195034800000001</v>
      </c>
      <c r="Z47" s="7">
        <v>1.1144215900000001</v>
      </c>
      <c r="AA47" s="7">
        <v>1.1102613100000001</v>
      </c>
      <c r="AB47" s="7">
        <v>1.1048960299999999</v>
      </c>
      <c r="AC47" s="7">
        <v>1.06756977</v>
      </c>
    </row>
    <row r="48" spans="1:29" x14ac:dyDescent="0.85">
      <c r="A48" t="s">
        <v>146</v>
      </c>
      <c r="B48" s="7">
        <v>1</v>
      </c>
      <c r="C48" s="7">
        <v>0.99820045000000002</v>
      </c>
      <c r="D48" s="7">
        <v>0.99987508000000003</v>
      </c>
      <c r="E48" s="7">
        <v>0.99998474999999998</v>
      </c>
      <c r="F48" s="7">
        <v>1</v>
      </c>
      <c r="G48" s="7">
        <v>1.00002086</v>
      </c>
      <c r="H48" s="7">
        <v>1.0000000099999999</v>
      </c>
      <c r="I48" s="7">
        <v>1.0000001599999999</v>
      </c>
      <c r="J48" s="7">
        <v>1</v>
      </c>
      <c r="K48" s="7">
        <v>0.99999996999999996</v>
      </c>
      <c r="L48" s="7">
        <v>1.0000109800000001</v>
      </c>
      <c r="M48" s="7">
        <v>1</v>
      </c>
      <c r="N48" s="7">
        <v>1.0000011200000001</v>
      </c>
      <c r="O48" s="7">
        <v>1.31190359</v>
      </c>
      <c r="P48" s="7">
        <v>1.2579961900000001</v>
      </c>
      <c r="Q48" s="7">
        <v>1.2216505499999999</v>
      </c>
      <c r="R48" s="7">
        <v>1.1960159299999999</v>
      </c>
      <c r="S48" s="7">
        <v>1.1768435399999999</v>
      </c>
      <c r="T48" s="7">
        <v>1.16195921</v>
      </c>
      <c r="U48" s="7">
        <v>1.1500625799999999</v>
      </c>
      <c r="V48" s="7">
        <v>1.14033842</v>
      </c>
      <c r="W48" s="7">
        <v>1.1322391300000001</v>
      </c>
      <c r="X48" s="7">
        <v>1.1253838899999999</v>
      </c>
      <c r="Y48" s="7">
        <v>1.1194977100000001</v>
      </c>
      <c r="Z48" s="7">
        <v>1.1144315899999999</v>
      </c>
      <c r="AA48" s="7">
        <v>1.1102713099999999</v>
      </c>
      <c r="AB48" s="7">
        <v>1.06756977</v>
      </c>
      <c r="AC48" s="7">
        <v>1.0281451699999999</v>
      </c>
    </row>
    <row r="49" spans="1:29" x14ac:dyDescent="0.85">
      <c r="A49" t="s">
        <v>147</v>
      </c>
      <c r="B49" s="7">
        <v>1</v>
      </c>
      <c r="C49" s="7">
        <v>1.1805360300000001</v>
      </c>
      <c r="D49" s="7">
        <v>1.1869191299999999</v>
      </c>
      <c r="E49" s="7">
        <v>1.1939052299999999</v>
      </c>
      <c r="F49" s="7">
        <v>1.2016815700000001</v>
      </c>
      <c r="G49" s="7">
        <v>1.209414</v>
      </c>
      <c r="H49" s="7">
        <v>1.21751743</v>
      </c>
      <c r="I49" s="7">
        <v>1.22606159</v>
      </c>
      <c r="J49" s="7">
        <v>1.23556581</v>
      </c>
      <c r="K49" s="7">
        <v>1.2471719100000001</v>
      </c>
      <c r="L49" s="7">
        <v>1.2622067400000001</v>
      </c>
      <c r="M49" s="7">
        <v>1.27806409</v>
      </c>
      <c r="N49" s="7">
        <v>1.29483843</v>
      </c>
      <c r="O49" s="7">
        <v>1.31248359</v>
      </c>
      <c r="P49" s="7">
        <v>1.2579961900000001</v>
      </c>
      <c r="Q49" s="7">
        <v>1.2216505600000001</v>
      </c>
      <c r="R49" s="7">
        <v>1.19601596</v>
      </c>
      <c r="S49" s="7">
        <v>1.1768435399999999</v>
      </c>
      <c r="T49" s="7">
        <v>1.16195922</v>
      </c>
      <c r="U49" s="7">
        <v>1.1500626</v>
      </c>
      <c r="V49" s="7">
        <v>1.1403384700000001</v>
      </c>
      <c r="W49" s="7">
        <v>1.1322391300000001</v>
      </c>
      <c r="X49" s="7">
        <v>1.12538553</v>
      </c>
      <c r="Y49" s="7">
        <v>1.1195134799999999</v>
      </c>
      <c r="Z49" s="7">
        <v>1.1144315899999999</v>
      </c>
      <c r="AA49" s="7">
        <v>1.1102713099999999</v>
      </c>
      <c r="AB49" s="7">
        <v>1.10490603</v>
      </c>
      <c r="AC49" s="7">
        <v>1.10340807</v>
      </c>
    </row>
    <row r="50" spans="1:29" x14ac:dyDescent="0.85">
      <c r="A50" t="s">
        <v>148</v>
      </c>
      <c r="B50" s="7">
        <v>15607</v>
      </c>
      <c r="C50" s="7">
        <v>16100.016483740001</v>
      </c>
      <c r="D50" s="7">
        <v>16637.396638530001</v>
      </c>
      <c r="E50" s="7">
        <v>17238.552483629999</v>
      </c>
      <c r="F50" s="7">
        <v>17793.5136198</v>
      </c>
      <c r="G50" s="7">
        <v>18355.192167699999</v>
      </c>
      <c r="H50" s="7">
        <v>18923.015989840002</v>
      </c>
      <c r="I50" s="7">
        <v>19486.544470360001</v>
      </c>
      <c r="J50" s="7">
        <v>20058.861484339999</v>
      </c>
      <c r="K50" s="7">
        <v>20590.66697491</v>
      </c>
      <c r="L50" s="7">
        <v>21126.137579729999</v>
      </c>
      <c r="M50" s="7">
        <v>21673.522623320001</v>
      </c>
      <c r="N50" s="7">
        <v>22223.654555410001</v>
      </c>
      <c r="O50" s="7">
        <v>22040.572218220001</v>
      </c>
      <c r="P50" s="7">
        <v>21811.080973339998</v>
      </c>
      <c r="Q50" s="7">
        <v>21599.201081629999</v>
      </c>
      <c r="R50" s="7">
        <v>21370.678862119999</v>
      </c>
      <c r="S50" s="7">
        <v>21125.17473789</v>
      </c>
      <c r="T50" s="7">
        <v>20861.347500749998</v>
      </c>
      <c r="U50" s="7">
        <v>20580.493567820002</v>
      </c>
      <c r="V50" s="7">
        <v>20281.965753029999</v>
      </c>
      <c r="W50" s="7">
        <v>19964.617473530001</v>
      </c>
      <c r="X50" s="7">
        <v>19629.743964869998</v>
      </c>
      <c r="Y50" s="7">
        <v>19279.451083960001</v>
      </c>
      <c r="Z50" s="7">
        <v>19074.241393699998</v>
      </c>
      <c r="AA50" s="7">
        <v>18818.3347975</v>
      </c>
      <c r="AB50" s="7">
        <v>18908.922149170001</v>
      </c>
      <c r="AC50" s="7">
        <v>19564.677623349999</v>
      </c>
    </row>
    <row r="51" spans="1:29" x14ac:dyDescent="0.85">
      <c r="A51" t="s">
        <v>149</v>
      </c>
      <c r="B51" s="7">
        <v>53343391.75</v>
      </c>
      <c r="C51" s="7">
        <v>56147573.986681901</v>
      </c>
      <c r="D51" s="7">
        <v>58921775.6805472</v>
      </c>
      <c r="E51" s="7">
        <v>61710737.455349497</v>
      </c>
      <c r="F51" s="7">
        <v>64518946.900168598</v>
      </c>
      <c r="G51" s="7">
        <v>67346458.968602598</v>
      </c>
      <c r="H51" s="7">
        <v>70178387.184821993</v>
      </c>
      <c r="I51" s="7">
        <v>72819013.330913499</v>
      </c>
      <c r="J51" s="7">
        <v>74957420.097235605</v>
      </c>
      <c r="K51" s="7">
        <v>76081536.093608007</v>
      </c>
      <c r="L51" s="7">
        <v>77193284.432789803</v>
      </c>
      <c r="M51" s="7">
        <v>78302471.112620696</v>
      </c>
      <c r="N51" s="7">
        <v>79408921.6247973</v>
      </c>
      <c r="O51" s="7">
        <v>74762666.272455096</v>
      </c>
      <c r="P51" s="7">
        <v>69892288.791741893</v>
      </c>
      <c r="Q51" s="7">
        <v>64839465.937952504</v>
      </c>
      <c r="R51" s="7">
        <v>59625529.163372397</v>
      </c>
      <c r="S51" s="7">
        <v>54320534.084607303</v>
      </c>
      <c r="T51" s="7">
        <v>49044633.489464797</v>
      </c>
      <c r="U51" s="7">
        <v>43932184.515851699</v>
      </c>
      <c r="V51" s="7">
        <v>39068129.846625201</v>
      </c>
      <c r="W51" s="7">
        <v>34511310.207124799</v>
      </c>
      <c r="X51" s="7">
        <v>30346033.0043112</v>
      </c>
      <c r="Y51" s="7">
        <v>26584384.296657301</v>
      </c>
      <c r="Z51" s="7">
        <v>23348649.585468799</v>
      </c>
      <c r="AA51" s="7">
        <v>21311151.594859701</v>
      </c>
      <c r="AB51" s="7">
        <v>21008615.4990151</v>
      </c>
      <c r="AC51" s="7">
        <v>22252830.311412599</v>
      </c>
    </row>
    <row r="52" spans="1:29" x14ac:dyDescent="0.85">
      <c r="A52" t="s">
        <v>150</v>
      </c>
      <c r="B52" s="7">
        <v>53343391.75</v>
      </c>
      <c r="C52" s="7">
        <v>56147573.986681901</v>
      </c>
      <c r="D52" s="7">
        <v>58921775.6805472</v>
      </c>
      <c r="E52" s="7">
        <v>61710737.455349497</v>
      </c>
      <c r="F52" s="7">
        <v>64518946.900168598</v>
      </c>
      <c r="G52" s="7">
        <v>67346458.968602598</v>
      </c>
      <c r="H52" s="7">
        <v>70178387.184821993</v>
      </c>
      <c r="I52" s="7">
        <v>72819013.330913499</v>
      </c>
      <c r="J52" s="7">
        <v>74957420.097235605</v>
      </c>
      <c r="K52" s="7">
        <v>76081536.093608007</v>
      </c>
      <c r="L52" s="7">
        <v>77193284.432789803</v>
      </c>
      <c r="M52" s="7">
        <v>78302471.112620696</v>
      </c>
      <c r="N52" s="7">
        <v>79408921.6247973</v>
      </c>
      <c r="O52" s="7">
        <v>74762666.272455096</v>
      </c>
      <c r="P52" s="7">
        <v>69892288.791741893</v>
      </c>
      <c r="Q52" s="7">
        <v>64839465.937952504</v>
      </c>
      <c r="R52" s="7">
        <v>59625529.163372397</v>
      </c>
      <c r="S52" s="7">
        <v>54320534.084607303</v>
      </c>
      <c r="T52" s="7">
        <v>49044633.489464797</v>
      </c>
      <c r="U52" s="7">
        <v>43932184.515851699</v>
      </c>
      <c r="V52" s="7">
        <v>39068129.846625201</v>
      </c>
      <c r="W52" s="7">
        <v>34511310.207124799</v>
      </c>
      <c r="X52" s="7">
        <v>30346033.0043112</v>
      </c>
      <c r="Y52" s="7">
        <v>26584384.296657301</v>
      </c>
      <c r="Z52" s="7">
        <v>23348649.585468799</v>
      </c>
      <c r="AA52" s="7">
        <v>21311151.594859701</v>
      </c>
      <c r="AB52" s="7">
        <v>21008615.4990151</v>
      </c>
      <c r="AC52" s="7">
        <v>22252830.311412599</v>
      </c>
    </row>
    <row r="53" spans="1:29" x14ac:dyDescent="0.85">
      <c r="A53" t="s">
        <v>151</v>
      </c>
      <c r="B53" s="7">
        <v>4261.2586279699999</v>
      </c>
      <c r="C53" s="7">
        <v>4423.1753219599996</v>
      </c>
      <c r="D53" s="7">
        <v>4592.7735274200004</v>
      </c>
      <c r="E53" s="7">
        <v>4774.8261715999997</v>
      </c>
      <c r="F53" s="7">
        <v>4948.5881878800001</v>
      </c>
      <c r="G53" s="7">
        <v>5124.0950645399998</v>
      </c>
      <c r="H53" s="7">
        <v>5300.8750725700002</v>
      </c>
      <c r="I53" s="7">
        <v>5472.1727502000003</v>
      </c>
      <c r="J53" s="7">
        <v>5632.8829146400003</v>
      </c>
      <c r="K53" s="7">
        <v>5761.1618610599999</v>
      </c>
      <c r="L53" s="7">
        <v>5889.8340814800003</v>
      </c>
      <c r="M53" s="7">
        <v>6020.7032274499998</v>
      </c>
      <c r="N53" s="7">
        <v>6152.0265252999998</v>
      </c>
      <c r="O53" s="7">
        <v>6003.9385310899997</v>
      </c>
      <c r="P53" s="7">
        <v>5841.5810657000002</v>
      </c>
      <c r="Q53" s="7">
        <v>5678.1117145500002</v>
      </c>
      <c r="R53" s="7">
        <v>5507.5551664000004</v>
      </c>
      <c r="S53" s="7">
        <v>5331.5563816100002</v>
      </c>
      <c r="T53" s="7">
        <v>5152.7927441900001</v>
      </c>
      <c r="U53" s="7">
        <v>4974.7884182400003</v>
      </c>
      <c r="V53" s="7">
        <v>4799.4932741599996</v>
      </c>
      <c r="W53" s="7">
        <v>4628.1255899999996</v>
      </c>
      <c r="X53" s="7">
        <v>4462.9880923299997</v>
      </c>
      <c r="Y53" s="7">
        <v>4304.7750314100003</v>
      </c>
      <c r="Z53" s="7">
        <v>4186.9075544400002</v>
      </c>
      <c r="AA53" s="7">
        <v>4088.66299488</v>
      </c>
      <c r="AB53" s="7">
        <v>4098.4599160400003</v>
      </c>
      <c r="AC53" s="7">
        <v>4253.1748974000002</v>
      </c>
    </row>
    <row r="54" spans="1:29" x14ac:dyDescent="0.85">
      <c r="A54" t="s">
        <v>152</v>
      </c>
      <c r="B54" s="7">
        <v>0</v>
      </c>
      <c r="C54" s="7">
        <v>550.24622507000004</v>
      </c>
      <c r="D54" s="7">
        <v>1154.8668033399999</v>
      </c>
      <c r="E54" s="7">
        <v>1814.2956811900001</v>
      </c>
      <c r="F54" s="7">
        <v>2529.1427184899999</v>
      </c>
      <c r="G54" s="7">
        <v>3299.9764894599998</v>
      </c>
      <c r="H54" s="7">
        <v>4126.4891664699999</v>
      </c>
      <c r="I54" s="7">
        <v>4995.3843145000001</v>
      </c>
      <c r="J54" s="7">
        <v>5876.6617356200004</v>
      </c>
      <c r="K54" s="7">
        <v>6710.39148346</v>
      </c>
      <c r="L54" s="7">
        <v>7564.9418744100003</v>
      </c>
      <c r="M54" s="7">
        <v>8441.0063859399997</v>
      </c>
      <c r="N54" s="7">
        <v>9338.4891830800007</v>
      </c>
      <c r="O54" s="7">
        <v>9524.7636831100008</v>
      </c>
      <c r="P54" s="7">
        <v>9589.2220222300002</v>
      </c>
      <c r="Q54" s="7">
        <v>9531.4014928800007</v>
      </c>
      <c r="R54" s="7">
        <v>9349.2829728199995</v>
      </c>
      <c r="S54" s="7">
        <v>9049.8009784999995</v>
      </c>
      <c r="T54" s="7">
        <v>8651.4733475400008</v>
      </c>
      <c r="U54" s="7">
        <v>8180.17275685</v>
      </c>
      <c r="V54" s="7">
        <v>7657.3534499400002</v>
      </c>
      <c r="W54" s="7">
        <v>7102.4276406299996</v>
      </c>
      <c r="X54" s="7">
        <v>6542.60471573</v>
      </c>
      <c r="Y54" s="7">
        <v>5992.1202204700003</v>
      </c>
      <c r="Z54" s="7">
        <v>5491.6023825000002</v>
      </c>
      <c r="AA54" s="7">
        <v>5221.2321407400004</v>
      </c>
      <c r="AB54" s="7">
        <v>5352.9952291500003</v>
      </c>
      <c r="AC54" s="7">
        <v>5888.0989004000003</v>
      </c>
    </row>
    <row r="55" spans="1:29" x14ac:dyDescent="0.85">
      <c r="A55" t="s">
        <v>153</v>
      </c>
      <c r="B55" s="7">
        <v>26.138261960000001</v>
      </c>
      <c r="C55" s="7">
        <v>27.51231125</v>
      </c>
      <c r="D55" s="7">
        <v>28.871670080000001</v>
      </c>
      <c r="E55" s="7">
        <v>30.238261349999998</v>
      </c>
      <c r="F55" s="7">
        <v>31.61428398</v>
      </c>
      <c r="G55" s="7">
        <v>32.999764890000002</v>
      </c>
      <c r="H55" s="7">
        <v>34.387409720000001</v>
      </c>
      <c r="I55" s="7">
        <v>35.681316529999997</v>
      </c>
      <c r="J55" s="7">
        <v>36.729135849999999</v>
      </c>
      <c r="K55" s="7">
        <v>37.279952690000002</v>
      </c>
      <c r="L55" s="7">
        <v>37.824709370000001</v>
      </c>
      <c r="M55" s="7">
        <v>38.368210849999997</v>
      </c>
      <c r="N55" s="7">
        <v>38.910371599999998</v>
      </c>
      <c r="O55" s="7">
        <v>36.63370647</v>
      </c>
      <c r="P55" s="7">
        <v>34.247221510000003</v>
      </c>
      <c r="Q55" s="7">
        <v>31.771338310000001</v>
      </c>
      <c r="R55" s="7">
        <v>29.216509290000001</v>
      </c>
      <c r="S55" s="7">
        <v>26.617061700000001</v>
      </c>
      <c r="T55" s="7">
        <v>24.03187041</v>
      </c>
      <c r="U55" s="7">
        <v>21.526770410000001</v>
      </c>
      <c r="V55" s="7">
        <v>19.143383620000002</v>
      </c>
      <c r="W55" s="7">
        <v>16.910542</v>
      </c>
      <c r="X55" s="7">
        <v>14.869556169999999</v>
      </c>
      <c r="Y55" s="7">
        <v>13.026348309999999</v>
      </c>
      <c r="Z55" s="7">
        <v>11.440838299999999</v>
      </c>
      <c r="AA55" s="7">
        <v>10.442464279999999</v>
      </c>
      <c r="AB55" s="7">
        <v>10.294221589999999</v>
      </c>
      <c r="AC55" s="7">
        <v>10.903886849999999</v>
      </c>
    </row>
    <row r="56" spans="1:29" x14ac:dyDescent="0.85">
      <c r="A56" t="s">
        <v>154</v>
      </c>
      <c r="B56" s="7">
        <v>2959.6798692699999</v>
      </c>
      <c r="C56" s="7">
        <v>3053.1745166800001</v>
      </c>
      <c r="D56" s="7">
        <v>3155.0822008099999</v>
      </c>
      <c r="E56" s="7">
        <v>3269.0841776900002</v>
      </c>
      <c r="F56" s="7">
        <v>3374.3258835199999</v>
      </c>
      <c r="G56" s="7">
        <v>3480.8414657100002</v>
      </c>
      <c r="H56" s="7">
        <v>3588.5224252600001</v>
      </c>
      <c r="I56" s="7">
        <v>3695.3888249199999</v>
      </c>
      <c r="J56" s="7">
        <v>3803.9218642699998</v>
      </c>
      <c r="K56" s="7">
        <v>3904.7723803700001</v>
      </c>
      <c r="L56" s="7">
        <v>4006.31794132</v>
      </c>
      <c r="M56" s="7">
        <v>4110.1229322999998</v>
      </c>
      <c r="N56" s="7">
        <v>4214.4488376500003</v>
      </c>
      <c r="O56" s="7">
        <v>4179.7294740500001</v>
      </c>
      <c r="P56" s="7">
        <v>4136.2092191800002</v>
      </c>
      <c r="Q56" s="7">
        <v>4096.0287456699998</v>
      </c>
      <c r="R56" s="7">
        <v>4052.6922548100001</v>
      </c>
      <c r="S56" s="7">
        <v>4006.1353499400002</v>
      </c>
      <c r="T56" s="7">
        <v>3956.1036870500002</v>
      </c>
      <c r="U56" s="7">
        <v>3902.8431160599998</v>
      </c>
      <c r="V56" s="7">
        <v>3846.2309058999999</v>
      </c>
      <c r="W56" s="7">
        <v>3786.0496209399998</v>
      </c>
      <c r="X56" s="7">
        <v>3722.5448870199998</v>
      </c>
      <c r="Y56" s="7">
        <v>3656.1160545799999</v>
      </c>
      <c r="Z56" s="7">
        <v>3617.20050455</v>
      </c>
      <c r="AA56" s="7">
        <v>3568.6708959699999</v>
      </c>
      <c r="AB56" s="7">
        <v>3585.8496978600001</v>
      </c>
      <c r="AC56" s="7">
        <v>3710.2058378000002</v>
      </c>
    </row>
    <row r="57" spans="1:29" x14ac:dyDescent="0.85">
      <c r="A57" t="s">
        <v>155</v>
      </c>
      <c r="B57" s="7">
        <v>1301.5787587</v>
      </c>
      <c r="C57" s="7">
        <v>1370.0008052799999</v>
      </c>
      <c r="D57" s="7">
        <v>1437.69132661</v>
      </c>
      <c r="E57" s="7">
        <v>1505.74199391</v>
      </c>
      <c r="F57" s="7">
        <v>1574.2623043599999</v>
      </c>
      <c r="G57" s="7">
        <v>1643.2535988300001</v>
      </c>
      <c r="H57" s="7">
        <v>1712.3526473100001</v>
      </c>
      <c r="I57" s="7">
        <v>1776.7839252700001</v>
      </c>
      <c r="J57" s="7">
        <v>1828.9610503700001</v>
      </c>
      <c r="K57" s="7">
        <v>1856.3894806799999</v>
      </c>
      <c r="L57" s="7">
        <v>1883.5161401600001</v>
      </c>
      <c r="M57" s="7">
        <v>1910.58029515</v>
      </c>
      <c r="N57" s="7">
        <v>1937.5776876499999</v>
      </c>
      <c r="O57" s="7">
        <v>1824.20905705</v>
      </c>
      <c r="P57" s="7">
        <v>1705.37184652</v>
      </c>
      <c r="Q57" s="7">
        <v>1582.0829688900001</v>
      </c>
      <c r="R57" s="7">
        <v>1454.8629115900001</v>
      </c>
      <c r="S57" s="7">
        <v>1325.4210316599999</v>
      </c>
      <c r="T57" s="7">
        <v>1196.6890571399999</v>
      </c>
      <c r="U57" s="7">
        <v>1071.9453021899999</v>
      </c>
      <c r="V57" s="7">
        <v>953.26236826000002</v>
      </c>
      <c r="W57" s="7">
        <v>842.07596905000003</v>
      </c>
      <c r="X57" s="7">
        <v>740.44320531000005</v>
      </c>
      <c r="Y57" s="7">
        <v>648.65897684000004</v>
      </c>
      <c r="Z57" s="7">
        <v>569.70704989000001</v>
      </c>
      <c r="AA57" s="7">
        <v>519.99209890999998</v>
      </c>
      <c r="AB57" s="7">
        <v>512.61021817999995</v>
      </c>
      <c r="AC57" s="7">
        <v>542.96905960000004</v>
      </c>
    </row>
    <row r="58" spans="1:29" x14ac:dyDescent="0.85">
      <c r="A58" t="s">
        <v>156</v>
      </c>
      <c r="B58" s="7">
        <v>1</v>
      </c>
      <c r="C58" s="7">
        <v>1.04</v>
      </c>
      <c r="D58" s="7">
        <v>1.07457234</v>
      </c>
      <c r="E58" s="7">
        <v>1.0764350199999999</v>
      </c>
      <c r="F58" s="7">
        <v>1.0793050099999999</v>
      </c>
      <c r="G58" s="7">
        <v>1.0752010700000001</v>
      </c>
      <c r="H58" s="7">
        <v>1.07454841</v>
      </c>
      <c r="I58" s="7">
        <v>1.07389096</v>
      </c>
      <c r="J58" s="7">
        <v>1.0726875600000001</v>
      </c>
      <c r="K58" s="7">
        <v>1.0722602699999999</v>
      </c>
      <c r="L58" s="7">
        <v>1.06928359</v>
      </c>
      <c r="M58" s="7">
        <v>1.0687557299999999</v>
      </c>
      <c r="N58" s="7">
        <v>1.06865659</v>
      </c>
      <c r="O58" s="7">
        <v>1.06810695</v>
      </c>
      <c r="P58" s="7">
        <v>1.0330852399999999</v>
      </c>
      <c r="Q58" s="7">
        <v>1.0308206099999999</v>
      </c>
      <c r="R58" s="7">
        <v>1.03154758</v>
      </c>
      <c r="S58" s="7">
        <v>1.0306457</v>
      </c>
      <c r="T58" s="7">
        <v>1.0297001100000001</v>
      </c>
      <c r="U58" s="7">
        <v>1.02865754</v>
      </c>
      <c r="V58" s="7">
        <v>1.02764283</v>
      </c>
      <c r="W58" s="7">
        <v>1.0265569000000001</v>
      </c>
      <c r="X58" s="7">
        <v>1.0253679</v>
      </c>
      <c r="Y58" s="7">
        <v>1.0241944300000001</v>
      </c>
      <c r="Z58" s="7">
        <v>1.0230781200000001</v>
      </c>
      <c r="AA58" s="7">
        <v>1.03057921</v>
      </c>
      <c r="AB58" s="7">
        <v>1.02769131</v>
      </c>
      <c r="AC58" s="7">
        <v>1.0466810200000001</v>
      </c>
    </row>
    <row r="59" spans="1:29" x14ac:dyDescent="0.85">
      <c r="A59" t="s">
        <v>157</v>
      </c>
      <c r="B59" s="7">
        <v>1</v>
      </c>
      <c r="C59" s="7">
        <v>1.07457234</v>
      </c>
      <c r="D59" s="7">
        <v>1.0764350199999999</v>
      </c>
      <c r="E59" s="7">
        <v>1.0793050099999999</v>
      </c>
      <c r="F59" s="7">
        <v>1.0752010700000001</v>
      </c>
      <c r="G59" s="7">
        <v>1.07454841</v>
      </c>
      <c r="H59" s="7">
        <v>1.07389096</v>
      </c>
      <c r="I59" s="7">
        <v>1.0726875600000001</v>
      </c>
      <c r="J59" s="7">
        <v>1.0722602699999999</v>
      </c>
      <c r="K59" s="7">
        <v>1.06928359</v>
      </c>
      <c r="L59" s="7">
        <v>1.0687557299999999</v>
      </c>
      <c r="M59" s="7">
        <v>1.06865659</v>
      </c>
      <c r="N59" s="7">
        <v>1.06810695</v>
      </c>
      <c r="O59" s="7">
        <v>1.0330852399999999</v>
      </c>
      <c r="P59" s="7">
        <v>1.0308206099999999</v>
      </c>
      <c r="Q59" s="7">
        <v>1.03154758</v>
      </c>
      <c r="R59" s="7">
        <v>1.0306457</v>
      </c>
      <c r="S59" s="7">
        <v>1.0297001100000001</v>
      </c>
      <c r="T59" s="7">
        <v>1.02865754</v>
      </c>
      <c r="U59" s="7">
        <v>1.02764283</v>
      </c>
      <c r="V59" s="7">
        <v>1.0265569000000001</v>
      </c>
      <c r="W59" s="7">
        <v>1.0253679</v>
      </c>
      <c r="X59" s="7">
        <v>1.0241944300000001</v>
      </c>
      <c r="Y59" s="7">
        <v>1.0230781200000001</v>
      </c>
      <c r="Z59" s="7">
        <v>1.03057921</v>
      </c>
      <c r="AA59" s="7">
        <v>1.02769131</v>
      </c>
      <c r="AB59" s="7">
        <v>1.0466810200000001</v>
      </c>
      <c r="AC59" s="7">
        <v>1.0777913400000001</v>
      </c>
    </row>
    <row r="60" spans="1:29" x14ac:dyDescent="0.85">
      <c r="A60" t="s">
        <v>158</v>
      </c>
      <c r="B60" s="7">
        <v>1</v>
      </c>
      <c r="C60" s="7">
        <v>1.0893181999999999</v>
      </c>
      <c r="D60" s="7">
        <v>1.08812061</v>
      </c>
      <c r="E60" s="7">
        <v>1.0869623500000001</v>
      </c>
      <c r="F60" s="7">
        <v>1.08582913</v>
      </c>
      <c r="G60" s="7">
        <v>1.08482805</v>
      </c>
      <c r="H60" s="7">
        <v>1.0838958700000001</v>
      </c>
      <c r="I60" s="7">
        <v>1.08304311</v>
      </c>
      <c r="J60" s="7">
        <v>1.0824425499999999</v>
      </c>
      <c r="K60" s="7">
        <v>1.0823287699999999</v>
      </c>
      <c r="L60" s="7">
        <v>1.0831190799999999</v>
      </c>
      <c r="M60" s="7">
        <v>1.0839089500000001</v>
      </c>
      <c r="N60" s="7">
        <v>1.0846854800000001</v>
      </c>
      <c r="O60" s="7">
        <v>1.08545607</v>
      </c>
      <c r="P60" s="7">
        <v>1.0886938100000001</v>
      </c>
      <c r="Q60" s="7">
        <v>1.09214009</v>
      </c>
      <c r="R60" s="7">
        <v>1.0957391400000001</v>
      </c>
      <c r="S60" s="7">
        <v>1.09954189</v>
      </c>
      <c r="T60" s="7">
        <v>1.10356689</v>
      </c>
      <c r="U60" s="7">
        <v>1.10783681</v>
      </c>
      <c r="V60" s="7">
        <v>1.1123721900000001</v>
      </c>
      <c r="W60" s="7">
        <v>1.1171997600000001</v>
      </c>
      <c r="X60" s="7">
        <v>1.1223513700000001</v>
      </c>
      <c r="Y60" s="7">
        <v>1.1278564900000001</v>
      </c>
      <c r="Z60" s="7">
        <v>1.1337442499999999</v>
      </c>
      <c r="AA60" s="7">
        <v>1.13941732</v>
      </c>
      <c r="AB60" s="7">
        <v>1.14324121</v>
      </c>
      <c r="AC60" s="7">
        <v>1.1454124800000001</v>
      </c>
    </row>
    <row r="61" spans="1:29" x14ac:dyDescent="0.85">
      <c r="A61" t="s">
        <v>159</v>
      </c>
      <c r="B61" s="7">
        <v>794</v>
      </c>
      <c r="C61" s="7">
        <v>774.15</v>
      </c>
      <c r="D61" s="7">
        <v>754.79624999999999</v>
      </c>
      <c r="E61" s="7">
        <v>735.92634375</v>
      </c>
      <c r="F61" s="7">
        <v>717.52818516000002</v>
      </c>
      <c r="G61" s="7">
        <v>699.58998053000005</v>
      </c>
      <c r="H61" s="7">
        <v>682.10023101000002</v>
      </c>
      <c r="I61" s="7">
        <v>665.04772523999998</v>
      </c>
      <c r="J61" s="7">
        <v>648.42153211000004</v>
      </c>
      <c r="K61" s="7">
        <v>632.21099380999999</v>
      </c>
      <c r="L61" s="7">
        <v>616.40571895999994</v>
      </c>
      <c r="M61" s="7">
        <v>600.99557599000002</v>
      </c>
      <c r="N61" s="7">
        <v>585.97068659000001</v>
      </c>
      <c r="O61" s="7">
        <v>571.32141941999998</v>
      </c>
      <c r="P61" s="7">
        <v>557.03838394000002</v>
      </c>
      <c r="Q61" s="7">
        <v>543.11242433999996</v>
      </c>
      <c r="R61" s="7">
        <v>529.53461373000005</v>
      </c>
      <c r="S61" s="7">
        <v>516.29624838999996</v>
      </c>
      <c r="T61" s="7">
        <v>503.38884217999998</v>
      </c>
      <c r="U61" s="7">
        <v>490.80412111999999</v>
      </c>
      <c r="V61" s="7">
        <v>478.53402997000001</v>
      </c>
      <c r="W61" s="7">
        <v>466.57067921999999</v>
      </c>
      <c r="X61" s="7">
        <v>454.90641224000001</v>
      </c>
      <c r="Y61" s="7">
        <v>443.53375194</v>
      </c>
      <c r="Z61" s="7">
        <v>432.44540813999998</v>
      </c>
      <c r="AA61" s="7">
        <v>421.63427294000002</v>
      </c>
      <c r="AB61" s="7">
        <v>411.09341611000002</v>
      </c>
      <c r="AC61" s="7">
        <v>400.81608070999999</v>
      </c>
    </row>
    <row r="62" spans="1:29" x14ac:dyDescent="0.85">
      <c r="A62" t="s">
        <v>160</v>
      </c>
      <c r="B62" s="7">
        <v>302162.25</v>
      </c>
      <c r="C62" s="7">
        <v>293215.74980945</v>
      </c>
      <c r="D62" s="7">
        <v>285885.33846905001</v>
      </c>
      <c r="E62" s="7">
        <v>278738.06115646998</v>
      </c>
      <c r="F62" s="7">
        <v>271119.52612282999</v>
      </c>
      <c r="G62" s="7">
        <v>264272.25908087997</v>
      </c>
      <c r="H62" s="7">
        <v>257665.18683245999</v>
      </c>
      <c r="I62" s="7">
        <v>251222.12123645999</v>
      </c>
      <c r="J62" s="7">
        <v>244941.29706437999</v>
      </c>
      <c r="K62" s="7">
        <v>238817.75383427</v>
      </c>
      <c r="L62" s="7">
        <v>232847.18485603001</v>
      </c>
      <c r="M62" s="7">
        <v>227024.22508159</v>
      </c>
      <c r="N62" s="7">
        <v>221348.26431586</v>
      </c>
      <c r="O62" s="7">
        <v>215814.55176894</v>
      </c>
      <c r="P62" s="7">
        <v>210412.24676593</v>
      </c>
      <c r="Q62" s="7">
        <v>205099.08968141</v>
      </c>
      <c r="R62" s="7">
        <v>199532.14606982999</v>
      </c>
      <c r="S62" s="7">
        <v>193143.93651050999</v>
      </c>
      <c r="T62" s="7">
        <v>185232.34308672001</v>
      </c>
      <c r="U62" s="7">
        <v>175326.41425095001</v>
      </c>
      <c r="V62" s="7">
        <v>163538.91854963001</v>
      </c>
      <c r="W62" s="7">
        <v>150170.70982927</v>
      </c>
      <c r="X62" s="7">
        <v>134409.2765903</v>
      </c>
      <c r="Y62" s="7">
        <v>115294.09720855</v>
      </c>
      <c r="Z62" s="7">
        <v>72.508704679999994</v>
      </c>
      <c r="AA62" s="7">
        <v>0</v>
      </c>
      <c r="AB62" s="7">
        <v>0</v>
      </c>
      <c r="AC62" s="7">
        <v>0</v>
      </c>
    </row>
    <row r="63" spans="1:29" x14ac:dyDescent="0.85">
      <c r="A63" t="s">
        <v>161</v>
      </c>
      <c r="B63" s="7">
        <v>302162.25</v>
      </c>
      <c r="C63" s="7">
        <v>293215.74980945</v>
      </c>
      <c r="D63" s="7">
        <v>285885.33846905001</v>
      </c>
      <c r="E63" s="7">
        <v>278738.06115646998</v>
      </c>
      <c r="F63" s="7">
        <v>271119.52612282999</v>
      </c>
      <c r="G63" s="7">
        <v>264272.25908087997</v>
      </c>
      <c r="H63" s="7">
        <v>257665.18683245999</v>
      </c>
      <c r="I63" s="7">
        <v>251222.12123645999</v>
      </c>
      <c r="J63" s="7">
        <v>244941.29706437999</v>
      </c>
      <c r="K63" s="7">
        <v>238817.75383427</v>
      </c>
      <c r="L63" s="7">
        <v>232847.18485603001</v>
      </c>
      <c r="M63" s="7">
        <v>227024.22508159</v>
      </c>
      <c r="N63" s="7">
        <v>221348.26431586</v>
      </c>
      <c r="O63" s="7">
        <v>215814.55176894</v>
      </c>
      <c r="P63" s="7">
        <v>210412.36226835</v>
      </c>
      <c r="Q63" s="7">
        <v>205146.98442508001</v>
      </c>
      <c r="R63" s="7">
        <v>200018.30510150001</v>
      </c>
      <c r="S63" s="7">
        <v>195015.35427827999</v>
      </c>
      <c r="T63" s="7">
        <v>190139.72518604001</v>
      </c>
      <c r="U63" s="7">
        <v>185386.22926434001</v>
      </c>
      <c r="V63" s="7">
        <v>180751.57802014999</v>
      </c>
      <c r="W63" s="7">
        <v>176229.30174482</v>
      </c>
      <c r="X63" s="7">
        <v>170616.91782256999</v>
      </c>
      <c r="Y63" s="7">
        <v>161483.33908387</v>
      </c>
      <c r="Z63" s="7">
        <v>114.59800777</v>
      </c>
      <c r="AA63" s="7">
        <v>0</v>
      </c>
      <c r="AB63" s="7">
        <v>0</v>
      </c>
      <c r="AC63" s="7">
        <v>0</v>
      </c>
    </row>
    <row r="64" spans="1:29" x14ac:dyDescent="0.85">
      <c r="A64" t="s">
        <v>162</v>
      </c>
      <c r="B64" s="7">
        <v>482.29248938000001</v>
      </c>
      <c r="C64" s="7">
        <v>470.20276104999999</v>
      </c>
      <c r="D64" s="7">
        <v>458.44769160999999</v>
      </c>
      <c r="E64" s="7">
        <v>446.98649597000002</v>
      </c>
      <c r="F64" s="7">
        <v>435.79669962999998</v>
      </c>
      <c r="G64" s="7">
        <v>424.90016931999997</v>
      </c>
      <c r="H64" s="7">
        <v>414.27765890000001</v>
      </c>
      <c r="I64" s="7">
        <v>403.92068399999999</v>
      </c>
      <c r="J64" s="7">
        <v>393.82266059</v>
      </c>
      <c r="K64" s="7">
        <v>383.97709381999999</v>
      </c>
      <c r="L64" s="7">
        <v>374.37766356999998</v>
      </c>
      <c r="M64" s="7">
        <v>365.01818053</v>
      </c>
      <c r="N64" s="7">
        <v>355.89271774999997</v>
      </c>
      <c r="O64" s="7">
        <v>346.99539966999998</v>
      </c>
      <c r="P64" s="7">
        <v>338.32035578</v>
      </c>
      <c r="Q64" s="7">
        <v>329.86222887999998</v>
      </c>
      <c r="R64" s="7">
        <v>321.61567305</v>
      </c>
      <c r="S64" s="7">
        <v>313.57522318000002</v>
      </c>
      <c r="T64" s="7">
        <v>305.73583688999997</v>
      </c>
      <c r="U64" s="7">
        <v>298.09244090999999</v>
      </c>
      <c r="V64" s="7">
        <v>290.6401371</v>
      </c>
      <c r="W64" s="7">
        <v>283.3740525</v>
      </c>
      <c r="X64" s="7">
        <v>276.26161034</v>
      </c>
      <c r="Y64" s="7">
        <v>269.24173941999999</v>
      </c>
      <c r="Z64" s="7">
        <v>258.84801493999998</v>
      </c>
      <c r="AA64" s="7">
        <v>252.37421341999999</v>
      </c>
      <c r="AB64" s="7">
        <v>246.06485809</v>
      </c>
      <c r="AC64" s="7">
        <v>239.91323664000001</v>
      </c>
    </row>
    <row r="65" spans="1:29" x14ac:dyDescent="0.85">
      <c r="A65" t="s">
        <v>163</v>
      </c>
      <c r="B65" s="7">
        <v>0</v>
      </c>
      <c r="C65" s="7">
        <v>4.8087382999999999</v>
      </c>
      <c r="D65" s="7">
        <v>9.3770390999999993</v>
      </c>
      <c r="E65" s="7">
        <v>13.71391261</v>
      </c>
      <c r="F65" s="7">
        <v>17.785440909999998</v>
      </c>
      <c r="G65" s="7">
        <v>21.67032524</v>
      </c>
      <c r="H65" s="7">
        <v>25.35425438</v>
      </c>
      <c r="I65" s="7">
        <v>28.840299519999999</v>
      </c>
      <c r="J65" s="7">
        <v>32.136298170000003</v>
      </c>
      <c r="K65" s="7">
        <v>35.249500470000001</v>
      </c>
      <c r="L65" s="7">
        <v>38.186938320000003</v>
      </c>
      <c r="M65" s="7">
        <v>40.955170199999998</v>
      </c>
      <c r="N65" s="7">
        <v>43.561338419999998</v>
      </c>
      <c r="O65" s="7">
        <v>46.011662440000002</v>
      </c>
      <c r="P65" s="7">
        <v>48.310678379999999</v>
      </c>
      <c r="Q65" s="7">
        <v>50.46615817</v>
      </c>
      <c r="R65" s="7">
        <v>52.48480326</v>
      </c>
      <c r="S65" s="7">
        <v>54.370280770000001</v>
      </c>
      <c r="T65" s="7">
        <v>56.129246870000003</v>
      </c>
      <c r="U65" s="7">
        <v>57.766349040000001</v>
      </c>
      <c r="V65" s="7">
        <v>59.286517590000003</v>
      </c>
      <c r="W65" s="7">
        <v>60.693371519999999</v>
      </c>
      <c r="X65" s="7">
        <v>61.558583949999999</v>
      </c>
      <c r="Y65" s="7">
        <v>60.9115155</v>
      </c>
      <c r="Z65" s="7">
        <v>4.5105779999999998E-2</v>
      </c>
      <c r="AA65" s="7">
        <v>0</v>
      </c>
      <c r="AB65" s="7">
        <v>0</v>
      </c>
      <c r="AC65" s="7">
        <v>0</v>
      </c>
    </row>
    <row r="66" spans="1:29" x14ac:dyDescent="0.85">
      <c r="A66" t="s">
        <v>164</v>
      </c>
      <c r="B66" s="7">
        <v>0.24777304</v>
      </c>
      <c r="C66" s="7">
        <v>0.24043691</v>
      </c>
      <c r="D66" s="7">
        <v>0.23442598000000001</v>
      </c>
      <c r="E66" s="7">
        <v>0.22856520999999999</v>
      </c>
      <c r="F66" s="7">
        <v>0.22231801000000001</v>
      </c>
      <c r="G66" s="7">
        <v>0.21670324999999999</v>
      </c>
      <c r="H66" s="7">
        <v>0.21128545000000001</v>
      </c>
      <c r="I66" s="7">
        <v>0.20600214</v>
      </c>
      <c r="J66" s="7">
        <v>0.20085185999999999</v>
      </c>
      <c r="K66" s="7">
        <v>0.19583055999999999</v>
      </c>
      <c r="L66" s="7">
        <v>0.19093468999999999</v>
      </c>
      <c r="M66" s="7">
        <v>0.18615986000000001</v>
      </c>
      <c r="N66" s="7">
        <v>0.18150558</v>
      </c>
      <c r="O66" s="7">
        <v>0.17696793</v>
      </c>
      <c r="P66" s="7">
        <v>0.17253814000000001</v>
      </c>
      <c r="Q66" s="7">
        <v>0.16822053000000001</v>
      </c>
      <c r="R66" s="7">
        <v>0.16401500999999999</v>
      </c>
      <c r="S66" s="7">
        <v>0.15991258999999999</v>
      </c>
      <c r="T66" s="7">
        <v>0.15591457</v>
      </c>
      <c r="U66" s="7">
        <v>0.15201671</v>
      </c>
      <c r="V66" s="7">
        <v>0.14821629</v>
      </c>
      <c r="W66" s="7">
        <v>0.14450803000000001</v>
      </c>
      <c r="X66" s="7">
        <v>0.13990586999999999</v>
      </c>
      <c r="Y66" s="7">
        <v>0.13241633999999999</v>
      </c>
      <c r="Z66" s="7">
        <v>9.3969999999999996E-5</v>
      </c>
      <c r="AA66" s="7">
        <v>0</v>
      </c>
      <c r="AB66" s="7">
        <v>0</v>
      </c>
      <c r="AC66" s="7">
        <v>0</v>
      </c>
    </row>
    <row r="67" spans="1:29" x14ac:dyDescent="0.85">
      <c r="A67" t="s">
        <v>165</v>
      </c>
      <c r="B67" s="7">
        <v>475.25815219999998</v>
      </c>
      <c r="C67" s="7">
        <v>463.37669839</v>
      </c>
      <c r="D67" s="7">
        <v>451.79228093</v>
      </c>
      <c r="E67" s="7">
        <v>440.49747391</v>
      </c>
      <c r="F67" s="7">
        <v>429.48503706000002</v>
      </c>
      <c r="G67" s="7">
        <v>418.74791112999998</v>
      </c>
      <c r="H67" s="7">
        <v>408.27921335000002</v>
      </c>
      <c r="I67" s="7">
        <v>398.07223302</v>
      </c>
      <c r="J67" s="7">
        <v>388.12042719999999</v>
      </c>
      <c r="K67" s="7">
        <v>378.41741652000002</v>
      </c>
      <c r="L67" s="7">
        <v>368.95698110000001</v>
      </c>
      <c r="M67" s="7">
        <v>359.73305656999997</v>
      </c>
      <c r="N67" s="7">
        <v>350.73973016000002</v>
      </c>
      <c r="O67" s="7">
        <v>341.97123691000002</v>
      </c>
      <c r="P67" s="7">
        <v>333.42195598000001</v>
      </c>
      <c r="Q67" s="7">
        <v>325.08640708000001</v>
      </c>
      <c r="R67" s="7">
        <v>316.95924690999999</v>
      </c>
      <c r="S67" s="7">
        <v>309.03526572999999</v>
      </c>
      <c r="T67" s="7">
        <v>301.30938408999998</v>
      </c>
      <c r="U67" s="7">
        <v>293.77664949000001</v>
      </c>
      <c r="V67" s="7">
        <v>286.43224035999998</v>
      </c>
      <c r="W67" s="7">
        <v>279.27143434999999</v>
      </c>
      <c r="X67" s="7">
        <v>272.28964848999999</v>
      </c>
      <c r="Y67" s="7">
        <v>265.48240728000002</v>
      </c>
      <c r="Z67" s="7">
        <v>258.84534710000003</v>
      </c>
      <c r="AA67" s="7">
        <v>252.37421341999999</v>
      </c>
      <c r="AB67" s="7">
        <v>246.06485809</v>
      </c>
      <c r="AC67" s="7">
        <v>239.91323664000001</v>
      </c>
    </row>
    <row r="68" spans="1:29" x14ac:dyDescent="0.85">
      <c r="A68" t="s">
        <v>166</v>
      </c>
      <c r="B68" s="7">
        <v>7.0343371799999996</v>
      </c>
      <c r="C68" s="7">
        <v>6.8260626599999998</v>
      </c>
      <c r="D68" s="7">
        <v>6.6554106800000001</v>
      </c>
      <c r="E68" s="7">
        <v>6.4890220599999999</v>
      </c>
      <c r="F68" s="7">
        <v>6.3116625700000002</v>
      </c>
      <c r="G68" s="7">
        <v>6.1522581900000004</v>
      </c>
      <c r="H68" s="7">
        <v>5.9984455499999996</v>
      </c>
      <c r="I68" s="7">
        <v>5.84845098</v>
      </c>
      <c r="J68" s="7">
        <v>5.7022333999999999</v>
      </c>
      <c r="K68" s="7">
        <v>5.5596773099999997</v>
      </c>
      <c r="L68" s="7">
        <v>5.4206824600000001</v>
      </c>
      <c r="M68" s="7">
        <v>5.28512396</v>
      </c>
      <c r="N68" s="7">
        <v>5.1529875900000004</v>
      </c>
      <c r="O68" s="7">
        <v>5.0241627700000002</v>
      </c>
      <c r="P68" s="7">
        <v>4.89839979</v>
      </c>
      <c r="Q68" s="7">
        <v>4.7758218000000001</v>
      </c>
      <c r="R68" s="7">
        <v>4.6564261399999998</v>
      </c>
      <c r="S68" s="7">
        <v>4.5399574500000002</v>
      </c>
      <c r="T68" s="7">
        <v>4.4264527999999999</v>
      </c>
      <c r="U68" s="7">
        <v>4.31579142</v>
      </c>
      <c r="V68" s="7">
        <v>4.2078967399999998</v>
      </c>
      <c r="W68" s="7">
        <v>4.1026181399999997</v>
      </c>
      <c r="X68" s="7">
        <v>3.97196185</v>
      </c>
      <c r="Y68" s="7">
        <v>3.7593321300000002</v>
      </c>
      <c r="Z68" s="7">
        <v>2.6678399999999999E-3</v>
      </c>
      <c r="AA68" s="7">
        <v>0</v>
      </c>
      <c r="AB68" s="7">
        <v>0</v>
      </c>
      <c r="AC68" s="7">
        <v>0</v>
      </c>
    </row>
    <row r="69" spans="1:29" x14ac:dyDescent="0.85">
      <c r="A69" t="s">
        <v>167</v>
      </c>
      <c r="B69" s="7">
        <v>1</v>
      </c>
      <c r="C69" s="7">
        <v>1.0249999999999999</v>
      </c>
      <c r="D69" s="7">
        <v>0.99527357000000005</v>
      </c>
      <c r="E69" s="7">
        <v>0.99999994000000003</v>
      </c>
      <c r="F69" s="7">
        <v>0.99999948000000005</v>
      </c>
      <c r="G69" s="7">
        <v>0.99760795999999996</v>
      </c>
      <c r="H69" s="7">
        <v>0.99973791999999995</v>
      </c>
      <c r="I69" s="7">
        <v>0.99999897000000004</v>
      </c>
      <c r="J69" s="7">
        <v>0.99999428000000001</v>
      </c>
      <c r="K69" s="7">
        <v>0.99999888999999997</v>
      </c>
      <c r="L69" s="7">
        <v>0.99999994999999997</v>
      </c>
      <c r="M69" s="7">
        <v>0.99999945999999995</v>
      </c>
      <c r="N69" s="7">
        <v>0.99999216000000002</v>
      </c>
      <c r="O69" s="7">
        <v>0.99999839999999995</v>
      </c>
      <c r="P69" s="7">
        <v>0.99999996999999996</v>
      </c>
      <c r="Q69" s="7">
        <v>0.99996755999999998</v>
      </c>
      <c r="R69" s="7">
        <v>0.99997528999999996</v>
      </c>
      <c r="S69" s="7">
        <v>0.99999998000000001</v>
      </c>
      <c r="T69" s="7">
        <v>0.99998721999999995</v>
      </c>
      <c r="U69" s="7">
        <v>0.99999870999999996</v>
      </c>
      <c r="V69" s="7">
        <v>0.99999998000000001</v>
      </c>
      <c r="W69" s="7">
        <v>1.0000000200000001</v>
      </c>
      <c r="X69" s="7">
        <v>0.99998021000000004</v>
      </c>
      <c r="Y69" s="7">
        <v>0.99297738000000002</v>
      </c>
      <c r="Z69" s="7">
        <v>0.97073573000000002</v>
      </c>
      <c r="AA69" s="7">
        <v>7.2785000000000005E-4</v>
      </c>
      <c r="AB69" s="7">
        <v>0</v>
      </c>
      <c r="AC69" s="7">
        <v>0.99999987999999995</v>
      </c>
    </row>
    <row r="70" spans="1:29" x14ac:dyDescent="0.85">
      <c r="A70" t="s">
        <v>168</v>
      </c>
      <c r="B70" s="7">
        <v>1</v>
      </c>
      <c r="C70" s="7">
        <v>0.99527357000000005</v>
      </c>
      <c r="D70" s="7">
        <v>0.99999994000000003</v>
      </c>
      <c r="E70" s="7">
        <v>0.99999948000000005</v>
      </c>
      <c r="F70" s="7">
        <v>0.99760795999999996</v>
      </c>
      <c r="G70" s="7">
        <v>0.99973791999999995</v>
      </c>
      <c r="H70" s="7">
        <v>0.99999897000000004</v>
      </c>
      <c r="I70" s="7">
        <v>0.99999428000000001</v>
      </c>
      <c r="J70" s="7">
        <v>0.99999888999999997</v>
      </c>
      <c r="K70" s="7">
        <v>0.99999994999999997</v>
      </c>
      <c r="L70" s="7">
        <v>0.99999945999999995</v>
      </c>
      <c r="M70" s="7">
        <v>0.99999216000000002</v>
      </c>
      <c r="N70" s="7">
        <v>0.99999839999999995</v>
      </c>
      <c r="O70" s="7">
        <v>0.99999996999999996</v>
      </c>
      <c r="P70" s="7">
        <v>0.99996755999999998</v>
      </c>
      <c r="Q70" s="7">
        <v>0.99997528999999996</v>
      </c>
      <c r="R70" s="7">
        <v>0.99999998000000001</v>
      </c>
      <c r="S70" s="7">
        <v>0.99998721999999995</v>
      </c>
      <c r="T70" s="7">
        <v>0.99999870999999996</v>
      </c>
      <c r="U70" s="7">
        <v>0.99999998000000001</v>
      </c>
      <c r="V70" s="7">
        <v>1.0000000200000001</v>
      </c>
      <c r="W70" s="7">
        <v>0.99998021000000004</v>
      </c>
      <c r="X70" s="7">
        <v>0.99297738000000002</v>
      </c>
      <c r="Y70" s="7">
        <v>0.97073573000000002</v>
      </c>
      <c r="Z70" s="7">
        <v>7.2785000000000005E-4</v>
      </c>
      <c r="AA70" s="7">
        <v>0</v>
      </c>
      <c r="AB70" s="7">
        <v>0.99999987999999995</v>
      </c>
      <c r="AC70" s="7">
        <v>0.99999815000000003</v>
      </c>
    </row>
    <row r="71" spans="1:29" x14ac:dyDescent="0.85">
      <c r="A71" t="s">
        <v>169</v>
      </c>
      <c r="B71" s="7">
        <v>1</v>
      </c>
      <c r="C71" s="7">
        <v>4.2892140000000003</v>
      </c>
      <c r="D71" s="7">
        <v>4.41920161</v>
      </c>
      <c r="E71" s="7">
        <v>4.5614692100000003</v>
      </c>
      <c r="F71" s="7">
        <v>4.7198293900000001</v>
      </c>
      <c r="G71" s="7">
        <v>4.8772953100000001</v>
      </c>
      <c r="H71" s="7">
        <v>5.0424005200000002</v>
      </c>
      <c r="I71" s="7">
        <v>5.2164004200000003</v>
      </c>
      <c r="J71" s="7">
        <v>5.4099525999999996</v>
      </c>
      <c r="K71" s="7">
        <v>5.6463083999999997</v>
      </c>
      <c r="L71" s="7">
        <v>5.9524895999999998</v>
      </c>
      <c r="M71" s="7">
        <v>6.2754788899999996</v>
      </c>
      <c r="N71" s="7">
        <v>6.6170886500000003</v>
      </c>
      <c r="O71" s="7">
        <v>6.97643916</v>
      </c>
      <c r="P71" s="7">
        <v>7.3785360600000001</v>
      </c>
      <c r="Q71" s="7">
        <v>7.7974431700000002</v>
      </c>
      <c r="R71" s="7">
        <v>8.2471238600000003</v>
      </c>
      <c r="S71" s="7">
        <v>8.7222399500000005</v>
      </c>
      <c r="T71" s="7">
        <v>9.2241339300000007</v>
      </c>
      <c r="U71" s="7">
        <v>9.7539856399999998</v>
      </c>
      <c r="V71" s="7">
        <v>10.31364277</v>
      </c>
      <c r="W71" s="7">
        <v>10.904610310000001</v>
      </c>
      <c r="X71" s="7">
        <v>11.528346259999999</v>
      </c>
      <c r="Y71" s="7">
        <v>12.18698711</v>
      </c>
      <c r="Z71" s="7">
        <v>12.88300214</v>
      </c>
      <c r="AA71" s="7">
        <v>13.658061529999999</v>
      </c>
      <c r="AB71" s="7">
        <v>14.21770422</v>
      </c>
      <c r="AC71" s="7">
        <v>14.860894399999999</v>
      </c>
    </row>
    <row r="72" spans="1:29" x14ac:dyDescent="0.85">
      <c r="A72" t="s">
        <v>170</v>
      </c>
      <c r="B72" s="7">
        <v>0</v>
      </c>
      <c r="C72" s="7">
        <v>48.698786769999998</v>
      </c>
      <c r="D72" s="7">
        <v>96.981574159999994</v>
      </c>
      <c r="E72" s="7">
        <v>87.283416740000007</v>
      </c>
      <c r="F72" s="7">
        <v>78.555316270000006</v>
      </c>
      <c r="G72" s="7">
        <v>70.728437959999994</v>
      </c>
      <c r="H72" s="7">
        <v>63.821176579999999</v>
      </c>
      <c r="I72" s="7">
        <v>57.999759830000002</v>
      </c>
      <c r="J72" s="7">
        <v>53.26510476</v>
      </c>
      <c r="K72" s="7">
        <v>47.938594289999997</v>
      </c>
      <c r="L72" s="7">
        <v>44.60830661</v>
      </c>
      <c r="M72" s="7">
        <v>40.31784614</v>
      </c>
      <c r="N72" s="7">
        <v>36.764624830000002</v>
      </c>
      <c r="O72" s="7">
        <v>36.000713599999997</v>
      </c>
      <c r="P72" s="7">
        <v>32.400697999999998</v>
      </c>
      <c r="Q72" s="7">
        <v>29.196266560000002</v>
      </c>
      <c r="R72" s="7">
        <v>26.303275660000001</v>
      </c>
      <c r="S72" s="7">
        <v>23.672953</v>
      </c>
      <c r="T72" s="7">
        <v>22.251675349999999</v>
      </c>
      <c r="U72" s="7">
        <v>20.373664099999999</v>
      </c>
      <c r="V72" s="7">
        <v>18.341998090000001</v>
      </c>
      <c r="W72" s="7">
        <v>16.530294380000001</v>
      </c>
      <c r="X72" s="7">
        <v>14.87729564</v>
      </c>
      <c r="Y72" s="7">
        <v>13.40414419</v>
      </c>
      <c r="Z72" s="7">
        <v>12.50409735</v>
      </c>
      <c r="AA72" s="7">
        <v>15.357744759999999</v>
      </c>
      <c r="AB72" s="7">
        <v>129.91751508999999</v>
      </c>
      <c r="AC72" s="7">
        <v>116.9259917</v>
      </c>
    </row>
    <row r="73" spans="1:29" x14ac:dyDescent="0.85">
      <c r="A73" t="s">
        <v>171</v>
      </c>
      <c r="B73" s="7">
        <v>0</v>
      </c>
      <c r="C73" s="7">
        <v>12.174696689999999</v>
      </c>
      <c r="D73" s="7">
        <v>13.288166479999999</v>
      </c>
      <c r="E73" s="7">
        <v>0</v>
      </c>
      <c r="F73" s="7">
        <v>5.7479999999999999E-5</v>
      </c>
      <c r="G73" s="7">
        <v>6.8715699999999996E-3</v>
      </c>
      <c r="H73" s="7">
        <v>4.168989E-2</v>
      </c>
      <c r="I73" s="7">
        <v>0.14017552</v>
      </c>
      <c r="J73" s="7">
        <v>0.26631133000000001</v>
      </c>
      <c r="K73" s="7">
        <v>0</v>
      </c>
      <c r="L73" s="7">
        <v>0.36590951999999999</v>
      </c>
      <c r="M73" s="7">
        <v>0</v>
      </c>
      <c r="N73" s="7">
        <v>0.16223472</v>
      </c>
      <c r="O73" s="7">
        <v>0.72813262000000001</v>
      </c>
      <c r="P73" s="7">
        <v>8.1001743000000008</v>
      </c>
      <c r="Q73" s="7">
        <v>7.2990466999999999</v>
      </c>
      <c r="R73" s="7">
        <v>6.5751018099999996</v>
      </c>
      <c r="S73" s="7">
        <v>5.9181948799999997</v>
      </c>
      <c r="T73" s="7">
        <v>5.5629186400000004</v>
      </c>
      <c r="U73" s="7">
        <v>5.0904614300000004</v>
      </c>
      <c r="V73" s="7">
        <v>4.5544439800000003</v>
      </c>
      <c r="W73" s="7">
        <v>4.1325730199999997</v>
      </c>
      <c r="X73" s="7">
        <v>3.7193108100000001</v>
      </c>
      <c r="Y73" s="7">
        <v>3.3510347299999999</v>
      </c>
      <c r="Z73" s="7">
        <v>3.1260242800000002</v>
      </c>
      <c r="AA73" s="7">
        <v>3.83943235</v>
      </c>
      <c r="AB73" s="7">
        <v>30.271166959999999</v>
      </c>
      <c r="AC73" s="7">
        <v>29.23149733</v>
      </c>
    </row>
    <row r="74" spans="1:29" x14ac:dyDescent="0.85">
      <c r="A74" t="s">
        <v>172</v>
      </c>
      <c r="B74" s="7">
        <v>0</v>
      </c>
      <c r="C74" s="7">
        <v>12.174696689999999</v>
      </c>
      <c r="D74" s="7">
        <v>13.288166479999999</v>
      </c>
      <c r="E74" s="7">
        <v>0</v>
      </c>
      <c r="F74" s="7">
        <v>5.7479999999999999E-5</v>
      </c>
      <c r="G74" s="7">
        <v>6.8715699999999996E-3</v>
      </c>
      <c r="H74" s="7">
        <v>4.168989E-2</v>
      </c>
      <c r="I74" s="7">
        <v>0.14017552</v>
      </c>
      <c r="J74" s="7">
        <v>0.26631133000000001</v>
      </c>
      <c r="K74" s="7">
        <v>0</v>
      </c>
      <c r="L74" s="7">
        <v>0.36590951999999999</v>
      </c>
      <c r="M74" s="7">
        <v>0</v>
      </c>
      <c r="N74" s="7">
        <v>0.16223472</v>
      </c>
      <c r="O74" s="7">
        <v>0.72813262000000001</v>
      </c>
      <c r="P74" s="7">
        <v>8.1001743000000008</v>
      </c>
      <c r="Q74" s="7">
        <v>7.2990466999999999</v>
      </c>
      <c r="R74" s="7">
        <v>6.5751018099999996</v>
      </c>
      <c r="S74" s="7">
        <v>5.9181948799999997</v>
      </c>
      <c r="T74" s="7">
        <v>5.5629186400000004</v>
      </c>
      <c r="U74" s="7">
        <v>5.0904614300000004</v>
      </c>
      <c r="V74" s="7">
        <v>4.5544439800000003</v>
      </c>
      <c r="W74" s="7">
        <v>4.1325730199999997</v>
      </c>
      <c r="X74" s="7">
        <v>3.7193108100000001</v>
      </c>
      <c r="Y74" s="7">
        <v>3.3510347299999999</v>
      </c>
      <c r="Z74" s="7">
        <v>3.1260242800000002</v>
      </c>
      <c r="AA74" s="7">
        <v>3.83943235</v>
      </c>
      <c r="AB74" s="7">
        <v>30.271166959999999</v>
      </c>
      <c r="AC74" s="7">
        <v>29.23149733</v>
      </c>
    </row>
    <row r="75" spans="1:29" x14ac:dyDescent="0.85">
      <c r="A75" t="s">
        <v>173</v>
      </c>
      <c r="B75" s="7">
        <v>0</v>
      </c>
      <c r="C75" s="7">
        <v>12.93293223</v>
      </c>
      <c r="D75" s="7">
        <v>25.755236669999999</v>
      </c>
      <c r="E75" s="7">
        <v>23.179548319999999</v>
      </c>
      <c r="F75" s="7">
        <v>20.86165755</v>
      </c>
      <c r="G75" s="7">
        <v>18.783101250000001</v>
      </c>
      <c r="H75" s="7">
        <v>16.948764749999999</v>
      </c>
      <c r="I75" s="7">
        <v>15.402793040000001</v>
      </c>
      <c r="J75" s="7">
        <v>14.145429180000001</v>
      </c>
      <c r="K75" s="7">
        <v>12.730882960000001</v>
      </c>
      <c r="L75" s="7">
        <v>11.84647528</v>
      </c>
      <c r="M75" s="7">
        <v>10.707067820000001</v>
      </c>
      <c r="N75" s="7">
        <v>9.7634536399999998</v>
      </c>
      <c r="O75" s="7">
        <v>9.5605922299999992</v>
      </c>
      <c r="P75" s="7">
        <v>8.6046503300000001</v>
      </c>
      <c r="Q75" s="7">
        <v>7.75364977</v>
      </c>
      <c r="R75" s="7">
        <v>6.9853584399999997</v>
      </c>
      <c r="S75" s="7">
        <v>6.2868239099999998</v>
      </c>
      <c r="T75" s="7">
        <v>5.9093753299999996</v>
      </c>
      <c r="U75" s="7">
        <v>5.4106320200000004</v>
      </c>
      <c r="V75" s="7">
        <v>4.8710822900000004</v>
      </c>
      <c r="W75" s="7">
        <v>4.3899487300000004</v>
      </c>
      <c r="X75" s="7">
        <v>3.95096201</v>
      </c>
      <c r="Y75" s="7">
        <v>3.55973732</v>
      </c>
      <c r="Z75" s="7">
        <v>3.3207119600000001</v>
      </c>
      <c r="AA75" s="7">
        <v>4.0785548299999999</v>
      </c>
      <c r="AB75" s="7">
        <v>34.50215189</v>
      </c>
      <c r="AC75" s="7">
        <v>31.05202465</v>
      </c>
    </row>
    <row r="76" spans="1:29" x14ac:dyDescent="0.85">
      <c r="A76" t="s">
        <v>174</v>
      </c>
      <c r="B76" s="7">
        <v>0</v>
      </c>
      <c r="C76" s="7">
        <v>2.709E-5</v>
      </c>
      <c r="D76" s="7">
        <v>5.9129999999999998E-5</v>
      </c>
      <c r="E76" s="7">
        <v>0</v>
      </c>
      <c r="F76" s="7">
        <v>0</v>
      </c>
      <c r="G76" s="7">
        <v>8.0000000000000002E-8</v>
      </c>
      <c r="H76" s="7">
        <v>5.6000000000000004E-7</v>
      </c>
      <c r="I76" s="7">
        <v>2.1799999999999999E-6</v>
      </c>
      <c r="J76" s="7">
        <v>4.7400000000000004E-6</v>
      </c>
      <c r="K76" s="7">
        <v>0</v>
      </c>
      <c r="L76" s="7">
        <v>8.14E-6</v>
      </c>
      <c r="M76" s="7">
        <v>0</v>
      </c>
      <c r="N76" s="7">
        <v>4.33E-6</v>
      </c>
      <c r="O76" s="7">
        <v>2.1060000000000002E-5</v>
      </c>
      <c r="P76" s="7">
        <v>2.5232E-4</v>
      </c>
      <c r="Q76" s="7">
        <v>2.4361000000000001E-4</v>
      </c>
      <c r="R76" s="7">
        <v>2.3406999999999999E-4</v>
      </c>
      <c r="S76" s="7">
        <v>2.2385999999999999E-4</v>
      </c>
      <c r="T76" s="7">
        <v>2.2279E-4</v>
      </c>
      <c r="U76" s="7">
        <v>2.152E-4</v>
      </c>
      <c r="V76" s="7">
        <v>2.0267000000000001E-4</v>
      </c>
      <c r="W76" s="7">
        <v>1.9309000000000001E-4</v>
      </c>
      <c r="X76" s="7">
        <v>1.8206E-4</v>
      </c>
      <c r="Y76" s="7">
        <v>1.7149E-4</v>
      </c>
      <c r="Z76" s="7">
        <v>1.6693E-4</v>
      </c>
      <c r="AA76" s="7">
        <v>2.1357E-4</v>
      </c>
      <c r="AB76" s="7">
        <v>1.7511899999999999E-3</v>
      </c>
      <c r="AC76" s="7">
        <v>1.7560799999999999E-3</v>
      </c>
    </row>
    <row r="77" spans="1:29" x14ac:dyDescent="0.85">
      <c r="A77" t="s">
        <v>175</v>
      </c>
      <c r="B77" s="7">
        <v>0</v>
      </c>
      <c r="C77" s="7">
        <v>1.35E-6</v>
      </c>
      <c r="D77" s="7">
        <v>1.48E-6</v>
      </c>
      <c r="E77" s="7">
        <v>0</v>
      </c>
      <c r="F77" s="7">
        <v>0</v>
      </c>
      <c r="G77" s="7">
        <v>0</v>
      </c>
      <c r="H77" s="7">
        <v>0</v>
      </c>
      <c r="I77" s="7">
        <v>2E-8</v>
      </c>
      <c r="J77" s="7">
        <v>2.9999999999999997E-8</v>
      </c>
      <c r="K77" s="7">
        <v>0</v>
      </c>
      <c r="L77" s="7">
        <v>4.0000000000000001E-8</v>
      </c>
      <c r="M77" s="7">
        <v>0</v>
      </c>
      <c r="N77" s="7">
        <v>2E-8</v>
      </c>
      <c r="O77" s="7">
        <v>8.0000000000000002E-8</v>
      </c>
      <c r="P77" s="7">
        <v>8.9999999999999996E-7</v>
      </c>
      <c r="Q77" s="7">
        <v>8.0999999999999997E-7</v>
      </c>
      <c r="R77" s="7">
        <v>7.3E-7</v>
      </c>
      <c r="S77" s="7">
        <v>6.6000000000000003E-7</v>
      </c>
      <c r="T77" s="7">
        <v>6.1999999999999999E-7</v>
      </c>
      <c r="U77" s="7">
        <v>5.7000000000000005E-7</v>
      </c>
      <c r="V77" s="7">
        <v>5.0999999999999999E-7</v>
      </c>
      <c r="W77" s="7">
        <v>4.5999999999999999E-7</v>
      </c>
      <c r="X77" s="7">
        <v>4.0999999999999999E-7</v>
      </c>
      <c r="Y77" s="7">
        <v>3.7E-7</v>
      </c>
      <c r="Z77" s="7">
        <v>3.4999999999999998E-7</v>
      </c>
      <c r="AA77" s="7">
        <v>4.3000000000000001E-7</v>
      </c>
      <c r="AB77" s="7">
        <v>3.3699999999999999E-6</v>
      </c>
      <c r="AC77" s="7">
        <v>3.2499999999999998E-6</v>
      </c>
    </row>
    <row r="78" spans="1:29" x14ac:dyDescent="0.85">
      <c r="A78" t="s">
        <v>176</v>
      </c>
      <c r="B78" s="7">
        <v>0</v>
      </c>
      <c r="C78" s="7">
        <v>12.93276459</v>
      </c>
      <c r="D78" s="7">
        <v>25.75505369</v>
      </c>
      <c r="E78" s="7">
        <v>23.179548319999999</v>
      </c>
      <c r="F78" s="7">
        <v>20.86165755</v>
      </c>
      <c r="G78" s="7">
        <v>18.78310115</v>
      </c>
      <c r="H78" s="7">
        <v>16.94876417</v>
      </c>
      <c r="I78" s="7">
        <v>15.402791110000001</v>
      </c>
      <c r="J78" s="7">
        <v>14.145425510000001</v>
      </c>
      <c r="K78" s="7">
        <v>12.730882960000001</v>
      </c>
      <c r="L78" s="7">
        <v>11.84647024</v>
      </c>
      <c r="M78" s="7">
        <v>10.707067820000001</v>
      </c>
      <c r="N78" s="7">
        <v>9.7634513999999992</v>
      </c>
      <c r="O78" s="7">
        <v>9.5605822000000007</v>
      </c>
      <c r="P78" s="7">
        <v>8.6045387899999994</v>
      </c>
      <c r="Q78" s="7">
        <v>7.7535492599999998</v>
      </c>
      <c r="R78" s="7">
        <v>6.9852679000000002</v>
      </c>
      <c r="S78" s="7">
        <v>6.2867424099999996</v>
      </c>
      <c r="T78" s="7">
        <v>5.9092987299999997</v>
      </c>
      <c r="U78" s="7">
        <v>5.4105619300000001</v>
      </c>
      <c r="V78" s="7">
        <v>4.8710195699999996</v>
      </c>
      <c r="W78" s="7">
        <v>4.3898918199999999</v>
      </c>
      <c r="X78" s="7">
        <v>3.95091079</v>
      </c>
      <c r="Y78" s="7">
        <v>3.5596911699999998</v>
      </c>
      <c r="Z78" s="7">
        <v>3.3206689200000001</v>
      </c>
      <c r="AA78" s="7">
        <v>4.0785019699999996</v>
      </c>
      <c r="AB78" s="7">
        <v>34.501735050000001</v>
      </c>
      <c r="AC78" s="7">
        <v>31.051622129999998</v>
      </c>
    </row>
    <row r="79" spans="1:29" x14ac:dyDescent="0.85">
      <c r="A79" t="s">
        <v>177</v>
      </c>
      <c r="B79" s="7">
        <v>0</v>
      </c>
      <c r="C79" s="7">
        <v>1.6765000000000001E-4</v>
      </c>
      <c r="D79" s="7">
        <v>1.8298000000000001E-4</v>
      </c>
      <c r="E79" s="7">
        <v>0</v>
      </c>
      <c r="F79" s="7">
        <v>0</v>
      </c>
      <c r="G79" s="7">
        <v>8.9999999999999999E-8</v>
      </c>
      <c r="H79" s="7">
        <v>5.7000000000000005E-7</v>
      </c>
      <c r="I79" s="7">
        <v>1.9300000000000002E-6</v>
      </c>
      <c r="J79" s="7">
        <v>3.67E-6</v>
      </c>
      <c r="K79" s="7">
        <v>0</v>
      </c>
      <c r="L79" s="7">
        <v>5.04E-6</v>
      </c>
      <c r="M79" s="7">
        <v>0</v>
      </c>
      <c r="N79" s="7">
        <v>2.2299999999999998E-6</v>
      </c>
      <c r="O79" s="7">
        <v>1.0030000000000001E-5</v>
      </c>
      <c r="P79" s="7">
        <v>1.1154000000000001E-4</v>
      </c>
      <c r="Q79" s="7">
        <v>1.0051E-4</v>
      </c>
      <c r="R79" s="7">
        <v>9.0539999999999997E-5</v>
      </c>
      <c r="S79" s="7">
        <v>8.1489999999999994E-5</v>
      </c>
      <c r="T79" s="7">
        <v>7.6600000000000005E-5</v>
      </c>
      <c r="U79" s="7">
        <v>7.0099999999999996E-5</v>
      </c>
      <c r="V79" s="7">
        <v>6.2710000000000001E-5</v>
      </c>
      <c r="W79" s="7">
        <v>5.6910000000000002E-5</v>
      </c>
      <c r="X79" s="7">
        <v>5.1209999999999999E-5</v>
      </c>
      <c r="Y79" s="7">
        <v>4.6140000000000002E-5</v>
      </c>
      <c r="Z79" s="7">
        <v>4.3050000000000003E-5</v>
      </c>
      <c r="AA79" s="7">
        <v>5.287E-5</v>
      </c>
      <c r="AB79" s="7">
        <v>4.1682999999999998E-4</v>
      </c>
      <c r="AC79" s="7">
        <v>4.0252000000000002E-4</v>
      </c>
    </row>
    <row r="80" spans="1:29" x14ac:dyDescent="0.85">
      <c r="A80" t="s">
        <v>178</v>
      </c>
      <c r="B80" s="7">
        <v>1</v>
      </c>
      <c r="C80" s="7">
        <v>1.1000000000000001</v>
      </c>
      <c r="D80" s="7">
        <v>1.13103179</v>
      </c>
      <c r="E80" s="7">
        <v>1.14080706</v>
      </c>
      <c r="F80" s="7">
        <v>1</v>
      </c>
      <c r="G80" s="7">
        <v>1.00000062</v>
      </c>
      <c r="H80" s="7">
        <v>1.00007212</v>
      </c>
      <c r="I80" s="7">
        <v>1.00041011</v>
      </c>
      <c r="J80" s="7">
        <v>1.00136585</v>
      </c>
      <c r="K80" s="7">
        <v>1.0025452699999999</v>
      </c>
      <c r="L80" s="7">
        <v>1</v>
      </c>
      <c r="M80" s="7">
        <v>1.00327633</v>
      </c>
      <c r="N80" s="7">
        <v>1.0003672400000001</v>
      </c>
      <c r="O80" s="7">
        <v>1.00099377</v>
      </c>
      <c r="P80" s="7">
        <v>1.00583062</v>
      </c>
      <c r="Q80" s="7">
        <v>1.00000011</v>
      </c>
      <c r="R80" s="7">
        <v>1.0000659300000001</v>
      </c>
      <c r="S80" s="7">
        <v>1.00004739</v>
      </c>
      <c r="T80" s="7">
        <v>1.0000000099999999</v>
      </c>
      <c r="U80" s="7">
        <v>1.00155912</v>
      </c>
      <c r="V80" s="7">
        <v>1.00055111</v>
      </c>
      <c r="W80" s="7">
        <v>1.0000087200000001</v>
      </c>
      <c r="X80" s="7">
        <v>1.00003318</v>
      </c>
      <c r="Y80" s="7">
        <v>1.00000004</v>
      </c>
      <c r="Z80" s="7">
        <v>1.00002002</v>
      </c>
      <c r="AA80" s="7">
        <v>1.00058362</v>
      </c>
      <c r="AB80" s="7">
        <v>1.0052356099999999</v>
      </c>
      <c r="AC80" s="7">
        <v>1.14540153</v>
      </c>
    </row>
    <row r="81" spans="1:29" x14ac:dyDescent="0.85">
      <c r="A81" t="s">
        <v>179</v>
      </c>
      <c r="B81" s="7">
        <v>1</v>
      </c>
      <c r="C81" s="7">
        <v>1.13103179</v>
      </c>
      <c r="D81" s="7">
        <v>1.14080706</v>
      </c>
      <c r="E81" s="7">
        <v>1</v>
      </c>
      <c r="F81" s="7">
        <v>1.00000062</v>
      </c>
      <c r="G81" s="7">
        <v>1.00007212</v>
      </c>
      <c r="H81" s="7">
        <v>1.00041011</v>
      </c>
      <c r="I81" s="7">
        <v>1.00136585</v>
      </c>
      <c r="J81" s="7">
        <v>1.0025452699999999</v>
      </c>
      <c r="K81" s="7">
        <v>1</v>
      </c>
      <c r="L81" s="7">
        <v>1.00327633</v>
      </c>
      <c r="M81" s="7">
        <v>1.0003672400000001</v>
      </c>
      <c r="N81" s="7">
        <v>1.00099377</v>
      </c>
      <c r="O81" s="7">
        <v>1.00583062</v>
      </c>
      <c r="P81" s="7">
        <v>1.00000011</v>
      </c>
      <c r="Q81" s="7">
        <v>1.0000659300000001</v>
      </c>
      <c r="R81" s="7">
        <v>1.00004739</v>
      </c>
      <c r="S81" s="7">
        <v>1.0000000099999999</v>
      </c>
      <c r="T81" s="7">
        <v>1.00155912</v>
      </c>
      <c r="U81" s="7">
        <v>1.00055111</v>
      </c>
      <c r="V81" s="7">
        <v>1.0000087200000001</v>
      </c>
      <c r="W81" s="7">
        <v>1.00003318</v>
      </c>
      <c r="X81" s="7">
        <v>1.00000004</v>
      </c>
      <c r="Y81" s="7">
        <v>1.00002002</v>
      </c>
      <c r="Z81" s="7">
        <v>1.00058362</v>
      </c>
      <c r="AA81" s="7">
        <v>1.0052356099999999</v>
      </c>
      <c r="AB81" s="7">
        <v>1.14540153</v>
      </c>
      <c r="AC81" s="7">
        <v>1.0000002800000001</v>
      </c>
    </row>
    <row r="82" spans="1:29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0D94E-0C01-48CD-92A7-26D282143357}">
  <sheetPr codeName="Sheet12"/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29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</row>
    <row r="2" spans="1:29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</row>
    <row r="3" spans="1:29" x14ac:dyDescent="0.85">
      <c r="A3" t="s">
        <v>69</v>
      </c>
      <c r="B3" s="7">
        <v>0</v>
      </c>
      <c r="C3" s="7">
        <v>20</v>
      </c>
      <c r="D3" s="7">
        <v>40</v>
      </c>
      <c r="E3" s="7">
        <v>60</v>
      </c>
      <c r="F3" s="7">
        <v>80</v>
      </c>
      <c r="G3" s="7">
        <v>100</v>
      </c>
      <c r="H3" s="7">
        <v>120</v>
      </c>
      <c r="I3" s="7">
        <v>140</v>
      </c>
      <c r="J3" s="7">
        <v>160</v>
      </c>
      <c r="K3" s="7">
        <v>180</v>
      </c>
      <c r="L3" s="7">
        <v>200</v>
      </c>
      <c r="M3" s="7">
        <v>220</v>
      </c>
      <c r="N3" s="7">
        <v>240</v>
      </c>
      <c r="O3" s="7">
        <v>260</v>
      </c>
      <c r="P3" s="7">
        <v>280</v>
      </c>
      <c r="Q3" s="7">
        <v>300</v>
      </c>
      <c r="R3" s="7">
        <v>320</v>
      </c>
      <c r="S3" s="7">
        <v>340</v>
      </c>
      <c r="T3" s="7">
        <v>360</v>
      </c>
      <c r="U3" s="7">
        <v>380</v>
      </c>
      <c r="V3" s="7">
        <v>400</v>
      </c>
      <c r="W3" s="7">
        <v>420</v>
      </c>
      <c r="X3" s="7">
        <v>440</v>
      </c>
      <c r="Y3" s="7">
        <v>460</v>
      </c>
      <c r="Z3" s="7">
        <v>480</v>
      </c>
      <c r="AA3" s="7">
        <v>500</v>
      </c>
      <c r="AB3" s="7">
        <v>520</v>
      </c>
      <c r="AC3" s="7">
        <v>540</v>
      </c>
    </row>
    <row r="4" spans="1:29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</row>
    <row r="5" spans="1:29" x14ac:dyDescent="0.85">
      <c r="A5" t="s">
        <v>105</v>
      </c>
      <c r="B5" s="7">
        <v>25729</v>
      </c>
      <c r="C5" s="7">
        <v>26187.134539030001</v>
      </c>
      <c r="D5" s="7">
        <v>26658.992811399999</v>
      </c>
      <c r="E5" s="7">
        <v>27141.767544679999</v>
      </c>
      <c r="F5" s="7">
        <v>27646.27888899</v>
      </c>
      <c r="G5" s="7">
        <v>28161.796373860001</v>
      </c>
      <c r="H5" s="7">
        <v>28691.920824050001</v>
      </c>
      <c r="I5" s="7">
        <v>29237.021627270002</v>
      </c>
      <c r="J5" s="7">
        <v>30170.592778170001</v>
      </c>
      <c r="K5" s="7">
        <v>31122.293220570002</v>
      </c>
      <c r="L5" s="7">
        <v>32033.926725180001</v>
      </c>
      <c r="M5" s="7">
        <v>33252.548942670001</v>
      </c>
      <c r="N5" s="7">
        <v>34542.99669801</v>
      </c>
      <c r="O5" s="7">
        <v>35843.702029220003</v>
      </c>
      <c r="P5" s="7">
        <v>37173.620077710002</v>
      </c>
      <c r="Q5" s="7">
        <v>38533.020760070001</v>
      </c>
      <c r="R5" s="7">
        <v>39923.400243360004</v>
      </c>
      <c r="S5" s="7">
        <v>41344.459000570001</v>
      </c>
      <c r="T5" s="7">
        <v>43253.041421820002</v>
      </c>
      <c r="U5" s="7">
        <v>45395.467661570001</v>
      </c>
      <c r="V5" s="7">
        <v>47707.890829869997</v>
      </c>
      <c r="W5" s="7">
        <v>50126.81763138</v>
      </c>
      <c r="X5" s="7">
        <v>52637.635908069999</v>
      </c>
      <c r="Y5" s="7">
        <v>55260.968170079999</v>
      </c>
      <c r="Z5" s="7">
        <v>57993.741302900002</v>
      </c>
      <c r="AA5" s="7">
        <v>60827.33005977</v>
      </c>
      <c r="AB5" s="7">
        <v>63765.01631531</v>
      </c>
      <c r="AC5" s="7">
        <v>66810.193927269996</v>
      </c>
    </row>
    <row r="6" spans="1:29" x14ac:dyDescent="0.85">
      <c r="A6" t="s">
        <v>106</v>
      </c>
      <c r="B6" s="7">
        <v>90406301.25</v>
      </c>
      <c r="C6" s="7">
        <v>92909042.834999904</v>
      </c>
      <c r="D6" s="7">
        <v>95461839.212063</v>
      </c>
      <c r="E6" s="7">
        <v>98065690.6660721</v>
      </c>
      <c r="F6" s="7">
        <v>100721620.98843899</v>
      </c>
      <c r="G6" s="7">
        <v>103430668.968372</v>
      </c>
      <c r="H6" s="7">
        <v>106193897.90781</v>
      </c>
      <c r="I6" s="7">
        <v>109012391.42590401</v>
      </c>
      <c r="J6" s="7">
        <v>111887254.81443401</v>
      </c>
      <c r="K6" s="7">
        <v>114819615.47063801</v>
      </c>
      <c r="L6" s="7">
        <v>117810622.90389299</v>
      </c>
      <c r="M6" s="7">
        <v>120861446.659236</v>
      </c>
      <c r="N6" s="7">
        <v>123973295.953859</v>
      </c>
      <c r="O6" s="7">
        <v>127147377.432996</v>
      </c>
      <c r="P6" s="7">
        <v>130384940.54209</v>
      </c>
      <c r="Q6" s="7">
        <v>133687254.837942</v>
      </c>
      <c r="R6" s="7">
        <v>137055615.57119101</v>
      </c>
      <c r="S6" s="7">
        <v>140491343.44238299</v>
      </c>
      <c r="T6" s="7">
        <v>143995782.51447901</v>
      </c>
      <c r="U6" s="7">
        <v>147570317.148359</v>
      </c>
      <c r="V6" s="7">
        <v>151216352.18785301</v>
      </c>
      <c r="W6" s="7">
        <v>154946200.96565101</v>
      </c>
      <c r="X6" s="7">
        <v>158807476.383461</v>
      </c>
      <c r="Y6" s="7">
        <v>162877257.626068</v>
      </c>
      <c r="Z6" s="7">
        <v>167252272.45962399</v>
      </c>
      <c r="AA6" s="7">
        <v>172027502.78478599</v>
      </c>
      <c r="AB6" s="7">
        <v>177313979.53662801</v>
      </c>
      <c r="AC6" s="7">
        <v>183208457.43157199</v>
      </c>
    </row>
    <row r="7" spans="1:29" x14ac:dyDescent="0.85">
      <c r="A7" t="s">
        <v>107</v>
      </c>
      <c r="B7" s="7">
        <v>90406301.25</v>
      </c>
      <c r="C7" s="7">
        <v>92909042.834999993</v>
      </c>
      <c r="D7" s="7">
        <v>95461839.251699999</v>
      </c>
      <c r="E7" s="7">
        <v>98065691.596734002</v>
      </c>
      <c r="F7" s="7">
        <v>100721620.98866799</v>
      </c>
      <c r="G7" s="7">
        <v>103430668.96844199</v>
      </c>
      <c r="H7" s="7">
        <v>106193897.90781</v>
      </c>
      <c r="I7" s="7">
        <v>109012391.42596699</v>
      </c>
      <c r="J7" s="7">
        <v>111887254.814486</v>
      </c>
      <c r="K7" s="7">
        <v>114819615.47077601</v>
      </c>
      <c r="L7" s="7">
        <v>117810623.34019101</v>
      </c>
      <c r="M7" s="7">
        <v>120861451.36699501</v>
      </c>
      <c r="N7" s="7">
        <v>123973295.954335</v>
      </c>
      <c r="O7" s="7">
        <v>127147377.433422</v>
      </c>
      <c r="P7" s="7">
        <v>130384940.54209</v>
      </c>
      <c r="Q7" s="7">
        <v>133687254.91293199</v>
      </c>
      <c r="R7" s="7">
        <v>137055615.57119101</v>
      </c>
      <c r="S7" s="7">
        <v>140491343.44261399</v>
      </c>
      <c r="T7" s="7">
        <v>143995785.87146699</v>
      </c>
      <c r="U7" s="7">
        <v>147570317.14889601</v>
      </c>
      <c r="V7" s="7">
        <v>151216339.05187401</v>
      </c>
      <c r="W7" s="7">
        <v>154935281.392912</v>
      </c>
      <c r="X7" s="7">
        <v>158728602.58076999</v>
      </c>
      <c r="Y7" s="7">
        <v>162597790.19238499</v>
      </c>
      <c r="Z7" s="7">
        <v>166544361.55623299</v>
      </c>
      <c r="AA7" s="7">
        <v>170569864.34735799</v>
      </c>
      <c r="AB7" s="7">
        <v>174675877.194305</v>
      </c>
      <c r="AC7" s="7">
        <v>178864010.29819101</v>
      </c>
    </row>
    <row r="8" spans="1:29" x14ac:dyDescent="0.85">
      <c r="A8" t="s">
        <v>108</v>
      </c>
      <c r="B8" s="7">
        <v>9991.0862086199995</v>
      </c>
      <c r="C8" s="7">
        <v>9946.5892018100003</v>
      </c>
      <c r="D8" s="7">
        <v>9908.1646863000005</v>
      </c>
      <c r="E8" s="7">
        <v>9876.0882078400009</v>
      </c>
      <c r="F8" s="7">
        <v>9850.2946652099999</v>
      </c>
      <c r="G8" s="7">
        <v>9829.7906474299998</v>
      </c>
      <c r="H8" s="7">
        <v>9815.1151547200006</v>
      </c>
      <c r="I8" s="7">
        <v>9806.3047589500002</v>
      </c>
      <c r="J8" s="7">
        <v>9957.7466571999994</v>
      </c>
      <c r="K8" s="7">
        <v>10115.895315760001</v>
      </c>
      <c r="L8" s="7">
        <v>10259.23286756</v>
      </c>
      <c r="M8" s="7">
        <v>10478.925082309999</v>
      </c>
      <c r="N8" s="7">
        <v>10711.85743801</v>
      </c>
      <c r="O8" s="7">
        <v>10950.950040240001</v>
      </c>
      <c r="P8" s="7">
        <v>11199.71773197</v>
      </c>
      <c r="Q8" s="7">
        <v>11458.27231251</v>
      </c>
      <c r="R8" s="7">
        <v>11726.712498880001</v>
      </c>
      <c r="S8" s="7">
        <v>12005.05710156</v>
      </c>
      <c r="T8" s="7">
        <v>13433.505691279999</v>
      </c>
      <c r="U8" s="7">
        <v>14945.985662569999</v>
      </c>
      <c r="V8" s="7">
        <v>16540.281744849999</v>
      </c>
      <c r="W8" s="7">
        <v>18208.548118840001</v>
      </c>
      <c r="X8" s="7">
        <v>19950.476848170001</v>
      </c>
      <c r="Y8" s="7">
        <v>21772.047832759999</v>
      </c>
      <c r="Z8" s="7">
        <v>23675.282818119998</v>
      </c>
      <c r="AA8" s="7">
        <v>25661.04206566</v>
      </c>
      <c r="AB8" s="7">
        <v>27732.207546320002</v>
      </c>
      <c r="AC8" s="7">
        <v>29891.751824589999</v>
      </c>
    </row>
    <row r="9" spans="1:29" x14ac:dyDescent="0.85">
      <c r="A9" t="s">
        <v>109</v>
      </c>
      <c r="B9" s="7">
        <v>1681.7490151500001</v>
      </c>
      <c r="C9" s="7">
        <v>1757.59075121</v>
      </c>
      <c r="D9" s="7">
        <v>1834.1796595999999</v>
      </c>
      <c r="E9" s="7">
        <v>1911.5940336199999</v>
      </c>
      <c r="F9" s="7">
        <v>1989.8719788400001</v>
      </c>
      <c r="G9" s="7">
        <v>2069.0370792799999</v>
      </c>
      <c r="H9" s="7">
        <v>2149.1543217899998</v>
      </c>
      <c r="I9" s="7">
        <v>2230.2395566</v>
      </c>
      <c r="J9" s="7">
        <v>2274.3121433199999</v>
      </c>
      <c r="K9" s="7">
        <v>2319.15193912</v>
      </c>
      <c r="L9" s="7">
        <v>2370.6460529300002</v>
      </c>
      <c r="M9" s="7">
        <v>2417.46087803</v>
      </c>
      <c r="N9" s="7">
        <v>2464.3124713799998</v>
      </c>
      <c r="O9" s="7">
        <v>2511.6432721400001</v>
      </c>
      <c r="P9" s="7">
        <v>2559.4955940499999</v>
      </c>
      <c r="Q9" s="7">
        <v>2607.8861699899999</v>
      </c>
      <c r="R9" s="7">
        <v>2656.8322986200001</v>
      </c>
      <c r="S9" s="7">
        <v>2706.3503070000002</v>
      </c>
      <c r="T9" s="7">
        <v>2666.9565399600001</v>
      </c>
      <c r="U9" s="7">
        <v>2624.3371209799998</v>
      </c>
      <c r="V9" s="7">
        <v>2577.80873931</v>
      </c>
      <c r="W9" s="7">
        <v>2527.1714027100002</v>
      </c>
      <c r="X9" s="7">
        <v>2473.3006997000002</v>
      </c>
      <c r="Y9" s="7">
        <v>2417.8421141399999</v>
      </c>
      <c r="Z9" s="7">
        <v>2362.8551187200001</v>
      </c>
      <c r="AA9" s="7">
        <v>2310.3699222499999</v>
      </c>
      <c r="AB9" s="7">
        <v>2262.83958622</v>
      </c>
      <c r="AC9" s="7">
        <v>2222.3606572600002</v>
      </c>
    </row>
    <row r="10" spans="1:29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</row>
    <row r="11" spans="1:29" x14ac:dyDescent="0.85">
      <c r="A11" t="s">
        <v>37</v>
      </c>
      <c r="B11" s="7">
        <v>0</v>
      </c>
      <c r="C11" s="7">
        <v>592.87646789999997</v>
      </c>
      <c r="D11" s="7">
        <v>1252.9169617699999</v>
      </c>
      <c r="E11" s="7">
        <v>1980.9051440400001</v>
      </c>
      <c r="F11" s="7">
        <v>2777.6929227000001</v>
      </c>
      <c r="G11" s="7">
        <v>3644.17122913</v>
      </c>
      <c r="H11" s="7">
        <v>4581.37464301</v>
      </c>
      <c r="I11" s="7">
        <v>5590.3111395400001</v>
      </c>
      <c r="J11" s="7">
        <v>6550.8821417899999</v>
      </c>
      <c r="K11" s="7">
        <v>7554.2350237399996</v>
      </c>
      <c r="L11" s="7">
        <v>8624.0184903099998</v>
      </c>
      <c r="M11" s="7">
        <v>9719.37956949</v>
      </c>
      <c r="N11" s="7">
        <v>10856.646140229999</v>
      </c>
      <c r="O11" s="7">
        <v>12038.015978629999</v>
      </c>
      <c r="P11" s="7">
        <v>13264.16667542</v>
      </c>
      <c r="Q11" s="7">
        <v>14535.69568877</v>
      </c>
      <c r="R11" s="7">
        <v>15853.236101889999</v>
      </c>
      <c r="S11" s="7">
        <v>17217.44709052</v>
      </c>
      <c r="T11" s="7">
        <v>17530.961913039999</v>
      </c>
      <c r="U11" s="7">
        <v>17723.99593524</v>
      </c>
      <c r="V11" s="7">
        <v>17781.759427879999</v>
      </c>
      <c r="W11" s="7">
        <v>17692.707591440001</v>
      </c>
      <c r="X11" s="7">
        <v>17454.917502100001</v>
      </c>
      <c r="Y11" s="7">
        <v>17074.966446779999</v>
      </c>
      <c r="Z11" s="7">
        <v>16565.609965790001</v>
      </c>
      <c r="AA11" s="7">
        <v>15942.442348279999</v>
      </c>
      <c r="AB11" s="7">
        <v>15228.65085367</v>
      </c>
      <c r="AC11" s="7">
        <v>14447.25631776</v>
      </c>
    </row>
    <row r="12" spans="1:29" x14ac:dyDescent="0.85">
      <c r="A12" t="s">
        <v>111</v>
      </c>
      <c r="B12" s="7">
        <v>11672.835223759999</v>
      </c>
      <c r="C12" s="7">
        <v>11704.179953020001</v>
      </c>
      <c r="D12" s="7">
        <v>11742.344345899999</v>
      </c>
      <c r="E12" s="7">
        <v>11787.682241459999</v>
      </c>
      <c r="F12" s="7">
        <v>11840.166644049999</v>
      </c>
      <c r="G12" s="7">
        <v>11898.82772671</v>
      </c>
      <c r="H12" s="7">
        <v>11964.26947651</v>
      </c>
      <c r="I12" s="7">
        <v>12036.54431555</v>
      </c>
      <c r="J12" s="7">
        <v>12232.058800520001</v>
      </c>
      <c r="K12" s="7">
        <v>12435.047254880001</v>
      </c>
      <c r="L12" s="7">
        <v>12629.87892049</v>
      </c>
      <c r="M12" s="7">
        <v>12896.38596034</v>
      </c>
      <c r="N12" s="7">
        <v>13176.169909390001</v>
      </c>
      <c r="O12" s="7">
        <v>13462.59331237</v>
      </c>
      <c r="P12" s="7">
        <v>13759.213326020001</v>
      </c>
      <c r="Q12" s="7">
        <v>14066.158482500001</v>
      </c>
      <c r="R12" s="7">
        <v>14383.544797500001</v>
      </c>
      <c r="S12" s="7">
        <v>14711.40740856</v>
      </c>
      <c r="T12" s="7">
        <v>16100.462231240001</v>
      </c>
      <c r="U12" s="7">
        <v>17570.32278355</v>
      </c>
      <c r="V12" s="7">
        <v>19118.090484159999</v>
      </c>
      <c r="W12" s="7">
        <v>20735.71952155</v>
      </c>
      <c r="X12" s="7">
        <v>22423.777547869999</v>
      </c>
      <c r="Y12" s="7">
        <v>24189.889946899999</v>
      </c>
      <c r="Z12" s="7">
        <v>26038.137936840001</v>
      </c>
      <c r="AA12" s="7">
        <v>27971.41198791</v>
      </c>
      <c r="AB12" s="7">
        <v>29995.047132539999</v>
      </c>
      <c r="AC12" s="7">
        <v>32114.112481839999</v>
      </c>
    </row>
    <row r="13" spans="1:29" x14ac:dyDescent="0.85">
      <c r="A13" t="s">
        <v>112</v>
      </c>
      <c r="B13" s="7">
        <v>11672.835223759999</v>
      </c>
      <c r="C13" s="7">
        <v>12297.056420929999</v>
      </c>
      <c r="D13" s="7">
        <v>12995.261307659999</v>
      </c>
      <c r="E13" s="7">
        <v>13768.587385500001</v>
      </c>
      <c r="F13" s="7">
        <v>14617.859566749999</v>
      </c>
      <c r="G13" s="7">
        <v>15542.998955839999</v>
      </c>
      <c r="H13" s="7">
        <v>16545.644119519999</v>
      </c>
      <c r="I13" s="7">
        <v>17626.855455090001</v>
      </c>
      <c r="J13" s="7">
        <v>18782.940942310001</v>
      </c>
      <c r="K13" s="7">
        <v>19989.282278620001</v>
      </c>
      <c r="L13" s="7">
        <v>21253.8974108</v>
      </c>
      <c r="M13" s="7">
        <v>22615.765529830001</v>
      </c>
      <c r="N13" s="7">
        <v>24032.816049630001</v>
      </c>
      <c r="O13" s="7">
        <v>25500.609291000001</v>
      </c>
      <c r="P13" s="7">
        <v>27023.38000144</v>
      </c>
      <c r="Q13" s="7">
        <v>28601.854171269999</v>
      </c>
      <c r="R13" s="7">
        <v>30236.78089939</v>
      </c>
      <c r="S13" s="7">
        <v>31928.854499090001</v>
      </c>
      <c r="T13" s="7">
        <v>33631.424144279998</v>
      </c>
      <c r="U13" s="7">
        <v>35294.318718789997</v>
      </c>
      <c r="V13" s="7">
        <v>36899.849912049998</v>
      </c>
      <c r="W13" s="7">
        <v>38428.427112990001</v>
      </c>
      <c r="X13" s="7">
        <v>39878.695049970003</v>
      </c>
      <c r="Y13" s="7">
        <v>41264.856393679998</v>
      </c>
      <c r="Z13" s="7">
        <v>42603.747902629999</v>
      </c>
      <c r="AA13" s="7">
        <v>43913.854336199998</v>
      </c>
      <c r="AB13" s="7">
        <v>45223.697986220002</v>
      </c>
      <c r="AC13" s="7">
        <v>46561.368799609998</v>
      </c>
    </row>
    <row r="14" spans="1:29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</row>
    <row r="15" spans="1:29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</row>
    <row r="16" spans="1:29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</row>
    <row r="17" spans="1:29" x14ac:dyDescent="0.85">
      <c r="A17" t="s">
        <v>115</v>
      </c>
      <c r="B17" s="7">
        <v>0</v>
      </c>
      <c r="C17" s="7">
        <v>0</v>
      </c>
      <c r="D17" s="7">
        <v>0</v>
      </c>
      <c r="E17" s="7">
        <v>0</v>
      </c>
      <c r="F17" s="7">
        <v>0</v>
      </c>
      <c r="G17" s="7">
        <v>0</v>
      </c>
      <c r="H17" s="7">
        <v>0</v>
      </c>
      <c r="I17" s="7">
        <v>0</v>
      </c>
      <c r="J17" s="7">
        <v>0</v>
      </c>
      <c r="K17" s="7">
        <v>0</v>
      </c>
      <c r="L17" s="7">
        <v>0</v>
      </c>
      <c r="M17" s="7">
        <v>0</v>
      </c>
      <c r="N17" s="7">
        <v>0</v>
      </c>
      <c r="O17" s="7">
        <v>0</v>
      </c>
      <c r="P17" s="7">
        <v>0</v>
      </c>
      <c r="Q17" s="7">
        <v>0</v>
      </c>
      <c r="R17" s="7">
        <v>0</v>
      </c>
      <c r="S17" s="7">
        <v>0</v>
      </c>
      <c r="T17" s="7">
        <v>0</v>
      </c>
      <c r="U17" s="7">
        <v>0</v>
      </c>
      <c r="V17" s="7">
        <v>0</v>
      </c>
      <c r="W17" s="7">
        <v>0</v>
      </c>
      <c r="X17" s="7">
        <v>0</v>
      </c>
      <c r="Y17" s="7">
        <v>0</v>
      </c>
      <c r="Z17" s="7">
        <v>0</v>
      </c>
      <c r="AA17" s="7">
        <v>0</v>
      </c>
      <c r="AB17" s="7">
        <v>0</v>
      </c>
      <c r="AC17" s="7">
        <v>0</v>
      </c>
    </row>
    <row r="18" spans="1:29" x14ac:dyDescent="0.85">
      <c r="A18" t="s">
        <v>116</v>
      </c>
      <c r="B18" s="7">
        <v>0</v>
      </c>
      <c r="C18" s="7">
        <v>0</v>
      </c>
      <c r="D18" s="7">
        <v>0</v>
      </c>
      <c r="E18" s="7">
        <v>0</v>
      </c>
      <c r="F18" s="7">
        <v>0</v>
      </c>
      <c r="G18" s="7">
        <v>0</v>
      </c>
      <c r="H18" s="7">
        <v>0</v>
      </c>
      <c r="I18" s="7">
        <v>0</v>
      </c>
      <c r="J18" s="7">
        <v>0</v>
      </c>
      <c r="K18" s="7">
        <v>0</v>
      </c>
      <c r="L18" s="7">
        <v>0</v>
      </c>
      <c r="M18" s="7">
        <v>0</v>
      </c>
      <c r="N18" s="7">
        <v>0</v>
      </c>
      <c r="O18" s="7">
        <v>0</v>
      </c>
      <c r="P18" s="7">
        <v>0</v>
      </c>
      <c r="Q18" s="7">
        <v>0</v>
      </c>
      <c r="R18" s="7">
        <v>0</v>
      </c>
      <c r="S18" s="7">
        <v>0</v>
      </c>
      <c r="T18" s="7">
        <v>0</v>
      </c>
      <c r="U18" s="7">
        <v>0</v>
      </c>
      <c r="V18" s="7">
        <v>0</v>
      </c>
      <c r="W18" s="7">
        <v>0</v>
      </c>
      <c r="X18" s="7">
        <v>0</v>
      </c>
      <c r="Y18" s="7">
        <v>0</v>
      </c>
      <c r="Z18" s="7">
        <v>0</v>
      </c>
      <c r="AA18" s="7">
        <v>0</v>
      </c>
      <c r="AB18" s="7">
        <v>0</v>
      </c>
      <c r="AC18" s="7">
        <v>0</v>
      </c>
    </row>
    <row r="19" spans="1:29" x14ac:dyDescent="0.85">
      <c r="A19" t="s">
        <v>117</v>
      </c>
      <c r="B19" s="7">
        <v>0</v>
      </c>
      <c r="C19" s="7">
        <v>0</v>
      </c>
      <c r="D19" s="7">
        <v>0</v>
      </c>
      <c r="E19" s="7">
        <v>0</v>
      </c>
      <c r="F19" s="7">
        <v>0</v>
      </c>
      <c r="G19" s="7">
        <v>0</v>
      </c>
      <c r="H19" s="7">
        <v>0</v>
      </c>
      <c r="I19" s="7">
        <v>0</v>
      </c>
      <c r="J19" s="7">
        <v>0</v>
      </c>
      <c r="K19" s="7">
        <v>0</v>
      </c>
      <c r="L19" s="7">
        <v>0</v>
      </c>
      <c r="M19" s="7">
        <v>0</v>
      </c>
      <c r="N19" s="7">
        <v>0</v>
      </c>
      <c r="O19" s="7">
        <v>0</v>
      </c>
      <c r="P19" s="7">
        <v>0</v>
      </c>
      <c r="Q19" s="7">
        <v>0</v>
      </c>
      <c r="R19" s="7">
        <v>0</v>
      </c>
      <c r="S19" s="7">
        <v>0</v>
      </c>
      <c r="T19" s="7">
        <v>0</v>
      </c>
      <c r="U19" s="7">
        <v>0</v>
      </c>
      <c r="V19" s="7">
        <v>0</v>
      </c>
      <c r="W19" s="7">
        <v>0</v>
      </c>
      <c r="X19" s="7">
        <v>0</v>
      </c>
      <c r="Y19" s="7">
        <v>0</v>
      </c>
      <c r="Z19" s="7">
        <v>0</v>
      </c>
      <c r="AA19" s="7">
        <v>0</v>
      </c>
      <c r="AB19" s="7">
        <v>0</v>
      </c>
      <c r="AC19" s="7">
        <v>0</v>
      </c>
    </row>
    <row r="20" spans="1:29" x14ac:dyDescent="0.85">
      <c r="A20" t="s">
        <v>118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  <c r="H20" s="7">
        <v>0</v>
      </c>
      <c r="I20" s="7">
        <v>0</v>
      </c>
      <c r="J20" s="7">
        <v>0</v>
      </c>
      <c r="K20" s="7">
        <v>0</v>
      </c>
      <c r="L20" s="7">
        <v>0</v>
      </c>
      <c r="M20" s="7">
        <v>0</v>
      </c>
      <c r="N20" s="7">
        <v>0</v>
      </c>
      <c r="O20" s="7">
        <v>0</v>
      </c>
      <c r="P20" s="7">
        <v>0</v>
      </c>
      <c r="Q20" s="7">
        <v>0</v>
      </c>
      <c r="R20" s="7">
        <v>0</v>
      </c>
      <c r="S20" s="7">
        <v>0</v>
      </c>
      <c r="T20" s="7">
        <v>0</v>
      </c>
      <c r="U20" s="7">
        <v>0</v>
      </c>
      <c r="V20" s="7">
        <v>0</v>
      </c>
      <c r="W20" s="7">
        <v>0</v>
      </c>
      <c r="X20" s="7">
        <v>0</v>
      </c>
      <c r="Y20" s="7">
        <v>0</v>
      </c>
      <c r="Z20" s="7">
        <v>0</v>
      </c>
      <c r="AA20" s="7">
        <v>0</v>
      </c>
      <c r="AB20" s="7">
        <v>0</v>
      </c>
      <c r="AC20" s="7">
        <v>0</v>
      </c>
    </row>
    <row r="21" spans="1:29" x14ac:dyDescent="0.85">
      <c r="A21" t="s">
        <v>119</v>
      </c>
      <c r="B21" s="7">
        <v>0</v>
      </c>
      <c r="C21" s="7">
        <v>0</v>
      </c>
      <c r="D21" s="7">
        <v>0</v>
      </c>
      <c r="E21" s="7">
        <v>0</v>
      </c>
      <c r="F21" s="7">
        <v>0</v>
      </c>
      <c r="G21" s="7">
        <v>0</v>
      </c>
      <c r="H21" s="7">
        <v>0</v>
      </c>
      <c r="I21" s="7">
        <v>0</v>
      </c>
      <c r="J21" s="7">
        <v>0</v>
      </c>
      <c r="K21" s="7">
        <v>0</v>
      </c>
      <c r="L21" s="7">
        <v>0</v>
      </c>
      <c r="M21" s="7">
        <v>0</v>
      </c>
      <c r="N21" s="7">
        <v>0</v>
      </c>
      <c r="O21" s="7">
        <v>0</v>
      </c>
      <c r="P21" s="7">
        <v>0</v>
      </c>
      <c r="Q21" s="7">
        <v>0</v>
      </c>
      <c r="R21" s="7">
        <v>0</v>
      </c>
      <c r="S21" s="7">
        <v>0</v>
      </c>
      <c r="T21" s="7">
        <v>0</v>
      </c>
      <c r="U21" s="7">
        <v>0</v>
      </c>
      <c r="V21" s="7">
        <v>0</v>
      </c>
      <c r="W21" s="7">
        <v>0</v>
      </c>
      <c r="X21" s="7">
        <v>0</v>
      </c>
      <c r="Y21" s="7">
        <v>0</v>
      </c>
      <c r="Z21" s="7">
        <v>0</v>
      </c>
      <c r="AA21" s="7">
        <v>0</v>
      </c>
      <c r="AB21" s="7">
        <v>0</v>
      </c>
      <c r="AC21" s="7">
        <v>0</v>
      </c>
    </row>
    <row r="22" spans="1:29" x14ac:dyDescent="0.85">
      <c r="A22" t="s">
        <v>120</v>
      </c>
      <c r="B22" s="7">
        <v>0</v>
      </c>
      <c r="C22" s="7">
        <v>0</v>
      </c>
      <c r="D22" s="7">
        <v>0</v>
      </c>
      <c r="E22" s="7">
        <v>0</v>
      </c>
      <c r="F22" s="7">
        <v>0</v>
      </c>
      <c r="G22" s="7">
        <v>0</v>
      </c>
      <c r="H22" s="7">
        <v>0</v>
      </c>
      <c r="I22" s="7">
        <v>0</v>
      </c>
      <c r="J22" s="7">
        <v>0</v>
      </c>
      <c r="K22" s="7">
        <v>0</v>
      </c>
      <c r="L22" s="7">
        <v>0</v>
      </c>
      <c r="M22" s="7">
        <v>0</v>
      </c>
      <c r="N22" s="7">
        <v>0</v>
      </c>
      <c r="O22" s="7">
        <v>0</v>
      </c>
      <c r="P22" s="7">
        <v>0</v>
      </c>
      <c r="Q22" s="7">
        <v>0</v>
      </c>
      <c r="R22" s="7">
        <v>0</v>
      </c>
      <c r="S22" s="7">
        <v>0</v>
      </c>
      <c r="T22" s="7">
        <v>0</v>
      </c>
      <c r="U22" s="7">
        <v>0</v>
      </c>
      <c r="V22" s="7">
        <v>0</v>
      </c>
      <c r="W22" s="7">
        <v>0</v>
      </c>
      <c r="X22" s="7">
        <v>0</v>
      </c>
      <c r="Y22" s="7">
        <v>0</v>
      </c>
      <c r="Z22" s="7">
        <v>0</v>
      </c>
      <c r="AA22" s="7">
        <v>0</v>
      </c>
      <c r="AB22" s="7">
        <v>0</v>
      </c>
      <c r="AC22" s="7">
        <v>0</v>
      </c>
    </row>
    <row r="23" spans="1:29" x14ac:dyDescent="0.85">
      <c r="A23" t="s">
        <v>121</v>
      </c>
      <c r="B23" s="7">
        <v>0</v>
      </c>
      <c r="C23" s="7">
        <v>0</v>
      </c>
      <c r="D23" s="7">
        <v>0</v>
      </c>
      <c r="E23" s="7">
        <v>0</v>
      </c>
      <c r="F23" s="7">
        <v>0</v>
      </c>
      <c r="G23" s="7">
        <v>0</v>
      </c>
      <c r="H23" s="7">
        <v>0</v>
      </c>
      <c r="I23" s="7">
        <v>0</v>
      </c>
      <c r="J23" s="7">
        <v>0</v>
      </c>
      <c r="K23" s="7">
        <v>0</v>
      </c>
      <c r="L23" s="7">
        <v>0</v>
      </c>
      <c r="M23" s="7">
        <v>0</v>
      </c>
      <c r="N23" s="7">
        <v>0</v>
      </c>
      <c r="O23" s="7">
        <v>0</v>
      </c>
      <c r="P23" s="7">
        <v>0</v>
      </c>
      <c r="Q23" s="7">
        <v>0</v>
      </c>
      <c r="R23" s="7">
        <v>0</v>
      </c>
      <c r="S23" s="7">
        <v>0</v>
      </c>
      <c r="T23" s="7">
        <v>0</v>
      </c>
      <c r="U23" s="7">
        <v>0</v>
      </c>
      <c r="V23" s="7">
        <v>0</v>
      </c>
      <c r="W23" s="7">
        <v>0</v>
      </c>
      <c r="X23" s="7">
        <v>0</v>
      </c>
      <c r="Y23" s="7">
        <v>0</v>
      </c>
      <c r="Z23" s="7">
        <v>0</v>
      </c>
      <c r="AA23" s="7">
        <v>0</v>
      </c>
      <c r="AB23" s="7">
        <v>0</v>
      </c>
      <c r="AC23" s="7">
        <v>0</v>
      </c>
    </row>
    <row r="24" spans="1:29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</row>
    <row r="25" spans="1:29" x14ac:dyDescent="0.85">
      <c r="A25" t="s">
        <v>123</v>
      </c>
      <c r="B25" s="7">
        <v>1</v>
      </c>
      <c r="C25" s="7">
        <v>1.03333333</v>
      </c>
      <c r="D25" s="7">
        <v>1.6984400000000001E-3</v>
      </c>
      <c r="E25" s="7">
        <v>7.4800000000000004E-6</v>
      </c>
      <c r="F25" s="7">
        <v>9.7899999999999994E-6</v>
      </c>
      <c r="G25" s="7">
        <v>9.2699999999999993E-6</v>
      </c>
      <c r="H25" s="7">
        <v>1.047E-5</v>
      </c>
      <c r="I25" s="7">
        <v>1.4980000000000001E-5</v>
      </c>
      <c r="J25" s="7">
        <v>2.6E-7</v>
      </c>
      <c r="K25" s="7">
        <v>2.3999999999999998E-7</v>
      </c>
      <c r="L25" s="7">
        <v>2.6E-7</v>
      </c>
      <c r="M25" s="7">
        <v>7.1210000000000004E-5</v>
      </c>
      <c r="N25" s="7">
        <v>0</v>
      </c>
      <c r="O25" s="7">
        <v>1.199E-5</v>
      </c>
      <c r="P25" s="7">
        <v>0</v>
      </c>
      <c r="Q25" s="7">
        <v>2.3999999999999998E-7</v>
      </c>
      <c r="R25" s="7">
        <v>2.6E-7</v>
      </c>
      <c r="S25" s="7">
        <v>2.7000000000000001E-7</v>
      </c>
      <c r="T25" s="7">
        <v>2.4999999999999999E-7</v>
      </c>
      <c r="U25" s="7">
        <v>5.5000000000000003E-7</v>
      </c>
      <c r="V25" s="7">
        <v>5.5000000000000003E-7</v>
      </c>
      <c r="W25" s="7">
        <v>4.7E-7</v>
      </c>
      <c r="X25" s="7">
        <v>3.8000000000000001E-7</v>
      </c>
      <c r="Y25" s="7">
        <v>4.0000000000000001E-8</v>
      </c>
      <c r="Z25" s="7">
        <v>4.0000000000000001E-8</v>
      </c>
      <c r="AA25" s="7">
        <v>4.0000000000000001E-8</v>
      </c>
      <c r="AB25" s="7">
        <v>4.0000000000000001E-8</v>
      </c>
      <c r="AC25" s="7">
        <v>4.0000000000000001E-8</v>
      </c>
    </row>
    <row r="26" spans="1:29" x14ac:dyDescent="0.85">
      <c r="A26" t="s">
        <v>124</v>
      </c>
      <c r="B26" s="7">
        <v>1</v>
      </c>
      <c r="C26" s="7">
        <v>1.6984400000000001E-3</v>
      </c>
      <c r="D26" s="7">
        <v>7.4800000000000004E-6</v>
      </c>
      <c r="E26" s="7">
        <v>9.7899999999999994E-6</v>
      </c>
      <c r="F26" s="7">
        <v>9.2699999999999993E-6</v>
      </c>
      <c r="G26" s="7">
        <v>1.047E-5</v>
      </c>
      <c r="H26" s="7">
        <v>1.4980000000000001E-5</v>
      </c>
      <c r="I26" s="7">
        <v>2.6E-7</v>
      </c>
      <c r="J26" s="7">
        <v>2.3999999999999998E-7</v>
      </c>
      <c r="K26" s="7">
        <v>2.6E-7</v>
      </c>
      <c r="L26" s="7">
        <v>7.1210000000000004E-5</v>
      </c>
      <c r="M26" s="7">
        <v>0</v>
      </c>
      <c r="N26" s="7">
        <v>1.199E-5</v>
      </c>
      <c r="O26" s="7">
        <v>0</v>
      </c>
      <c r="P26" s="7">
        <v>2.3999999999999998E-7</v>
      </c>
      <c r="Q26" s="7">
        <v>2.6E-7</v>
      </c>
      <c r="R26" s="7">
        <v>2.7000000000000001E-7</v>
      </c>
      <c r="S26" s="7">
        <v>2.4999999999999999E-7</v>
      </c>
      <c r="T26" s="7">
        <v>5.5000000000000003E-7</v>
      </c>
      <c r="U26" s="7">
        <v>5.5000000000000003E-7</v>
      </c>
      <c r="V26" s="7">
        <v>4.7E-7</v>
      </c>
      <c r="W26" s="7">
        <v>3.8000000000000001E-7</v>
      </c>
      <c r="X26" s="7">
        <v>4.0000000000000001E-8</v>
      </c>
      <c r="Y26" s="7">
        <v>4.0000000000000001E-8</v>
      </c>
      <c r="Z26" s="7">
        <v>4.0000000000000001E-8</v>
      </c>
      <c r="AA26" s="7">
        <v>4.0000000000000001E-8</v>
      </c>
      <c r="AB26" s="7">
        <v>4.0000000000000001E-8</v>
      </c>
      <c r="AC26" s="7">
        <v>4.0000000000000001E-8</v>
      </c>
    </row>
    <row r="27" spans="1:29" x14ac:dyDescent="0.85">
      <c r="A27" t="s">
        <v>125</v>
      </c>
      <c r="B27" s="7">
        <v>1</v>
      </c>
      <c r="C27" s="7">
        <v>10</v>
      </c>
      <c r="D27" s="7">
        <v>10</v>
      </c>
      <c r="E27" s="7">
        <v>10</v>
      </c>
      <c r="F27" s="7">
        <v>10</v>
      </c>
      <c r="G27" s="7">
        <v>10</v>
      </c>
      <c r="H27" s="7">
        <v>10</v>
      </c>
      <c r="I27" s="7">
        <v>10</v>
      </c>
      <c r="J27" s="7">
        <v>10</v>
      </c>
      <c r="K27" s="7">
        <v>10</v>
      </c>
      <c r="L27" s="7">
        <v>10</v>
      </c>
      <c r="M27" s="7">
        <v>10</v>
      </c>
      <c r="N27" s="7">
        <v>10</v>
      </c>
      <c r="O27" s="7">
        <v>10</v>
      </c>
      <c r="P27" s="7">
        <v>10</v>
      </c>
      <c r="Q27" s="7">
        <v>10</v>
      </c>
      <c r="R27" s="7">
        <v>10</v>
      </c>
      <c r="S27" s="7">
        <v>10</v>
      </c>
      <c r="T27" s="7">
        <v>10</v>
      </c>
      <c r="U27" s="7">
        <v>10</v>
      </c>
      <c r="V27" s="7">
        <v>10</v>
      </c>
      <c r="W27" s="7">
        <v>10</v>
      </c>
      <c r="X27" s="7">
        <v>10</v>
      </c>
      <c r="Y27" s="7">
        <v>10</v>
      </c>
      <c r="Z27" s="7">
        <v>10</v>
      </c>
      <c r="AA27" s="7">
        <v>10</v>
      </c>
      <c r="AB27" s="7">
        <v>10</v>
      </c>
      <c r="AC27" s="7">
        <v>10</v>
      </c>
    </row>
    <row r="28" spans="1:29" x14ac:dyDescent="0.85">
      <c r="A28" t="s">
        <v>126</v>
      </c>
      <c r="B28" s="7">
        <v>2115</v>
      </c>
      <c r="C28" s="7">
        <v>2030.4</v>
      </c>
      <c r="D28" s="7">
        <v>1949.184</v>
      </c>
      <c r="E28" s="7">
        <v>1871.2166704799999</v>
      </c>
      <c r="F28" s="7">
        <v>1796.3680036600001</v>
      </c>
      <c r="G28" s="7">
        <v>1724.79271849</v>
      </c>
      <c r="H28" s="7">
        <v>1655.8483519900001</v>
      </c>
      <c r="I28" s="7">
        <v>1589.85499974</v>
      </c>
      <c r="J28" s="7">
        <v>2265.7952511200001</v>
      </c>
      <c r="K28" s="7">
        <v>2950.2938432000001</v>
      </c>
      <c r="L28" s="7">
        <v>3525.4825898899999</v>
      </c>
      <c r="M28" s="7">
        <v>4219.7332768899996</v>
      </c>
      <c r="N28" s="7">
        <v>4938.3066500799996</v>
      </c>
      <c r="O28" s="7">
        <v>5673.27108254</v>
      </c>
      <c r="P28" s="7">
        <v>6424.4908689599997</v>
      </c>
      <c r="Q28" s="7">
        <v>7192.3363178299996</v>
      </c>
      <c r="R28" s="7">
        <v>7977.1765808</v>
      </c>
      <c r="S28" s="7">
        <v>8779.4094137899992</v>
      </c>
      <c r="T28" s="7">
        <v>9599.4170357700004</v>
      </c>
      <c r="U28" s="7">
        <v>10448.652371100001</v>
      </c>
      <c r="V28" s="7">
        <v>11332.17827214</v>
      </c>
      <c r="W28" s="7">
        <v>12253.404018200001</v>
      </c>
      <c r="X28" s="7">
        <v>13214.12819189</v>
      </c>
      <c r="Y28" s="7">
        <v>14215.75690875</v>
      </c>
      <c r="Z28" s="7">
        <v>15260.169305470001</v>
      </c>
      <c r="AA28" s="7">
        <v>16349.128744060001</v>
      </c>
      <c r="AB28" s="7">
        <v>17484.153464449999</v>
      </c>
      <c r="AC28" s="7">
        <v>18666.80971392</v>
      </c>
    </row>
    <row r="29" spans="1:29" x14ac:dyDescent="0.85">
      <c r="A29" t="s">
        <v>127</v>
      </c>
      <c r="B29" s="7">
        <v>4456405.5</v>
      </c>
      <c r="C29" s="7">
        <v>4278109.5135997403</v>
      </c>
      <c r="D29" s="7">
        <v>4106979.3822170701</v>
      </c>
      <c r="E29" s="7">
        <v>3942700.2711516102</v>
      </c>
      <c r="F29" s="7">
        <v>3784991.9155758298</v>
      </c>
      <c r="G29" s="7">
        <v>3634181.0153622301</v>
      </c>
      <c r="H29" s="7">
        <v>3488913.52601982</v>
      </c>
      <c r="I29" s="7">
        <v>3349863.8968676501</v>
      </c>
      <c r="J29" s="7">
        <v>4774086.7630440397</v>
      </c>
      <c r="K29" s="7">
        <v>6216342.26524485</v>
      </c>
      <c r="L29" s="7">
        <v>7428279.2134040203</v>
      </c>
      <c r="M29" s="7">
        <v>8891082.6213671006</v>
      </c>
      <c r="N29" s="7">
        <v>10405134.5320601</v>
      </c>
      <c r="O29" s="7">
        <v>11953722.8109797</v>
      </c>
      <c r="P29" s="7">
        <v>13536561.5236689</v>
      </c>
      <c r="Q29" s="7">
        <v>15154430.919281401</v>
      </c>
      <c r="R29" s="7">
        <v>16808108.809494302</v>
      </c>
      <c r="S29" s="7">
        <v>18498433.275919199</v>
      </c>
      <c r="T29" s="7">
        <v>20226209.663384099</v>
      </c>
      <c r="U29" s="7">
        <v>22015569.567414701</v>
      </c>
      <c r="V29" s="7">
        <v>23877162.505742099</v>
      </c>
      <c r="W29" s="7">
        <v>25807302.039887901</v>
      </c>
      <c r="X29" s="7">
        <v>27763617.9016441</v>
      </c>
      <c r="Y29" s="7">
        <v>29673481.204726301</v>
      </c>
      <c r="Z29" s="7">
        <v>31445640.900551099</v>
      </c>
      <c r="AA29" s="7">
        <v>32990378.221005201</v>
      </c>
      <c r="AB29" s="7">
        <v>34201439.829093702</v>
      </c>
      <c r="AC29" s="7">
        <v>34986981.334589101</v>
      </c>
    </row>
    <row r="30" spans="1:29" x14ac:dyDescent="0.85">
      <c r="A30" t="s">
        <v>128</v>
      </c>
      <c r="B30" s="7">
        <v>4456405.5</v>
      </c>
      <c r="C30" s="7">
        <v>4278109.5135997403</v>
      </c>
      <c r="D30" s="7">
        <v>4106979.3822170701</v>
      </c>
      <c r="E30" s="7">
        <v>3942700.2711516102</v>
      </c>
      <c r="F30" s="7">
        <v>3784991.9155758298</v>
      </c>
      <c r="G30" s="7">
        <v>3634181.0153622301</v>
      </c>
      <c r="H30" s="7">
        <v>3488913.52601982</v>
      </c>
      <c r="I30" s="7">
        <v>3349863.8968676501</v>
      </c>
      <c r="J30" s="7">
        <v>4774086.7630440397</v>
      </c>
      <c r="K30" s="7">
        <v>6216342.26524485</v>
      </c>
      <c r="L30" s="7">
        <v>7428279.2134040203</v>
      </c>
      <c r="M30" s="7">
        <v>8891082.6213671006</v>
      </c>
      <c r="N30" s="7">
        <v>10405134.5320601</v>
      </c>
      <c r="O30" s="7">
        <v>11953722.8109797</v>
      </c>
      <c r="P30" s="7">
        <v>13536561.5236689</v>
      </c>
      <c r="Q30" s="7">
        <v>15154430.919281401</v>
      </c>
      <c r="R30" s="7">
        <v>16808108.809494302</v>
      </c>
      <c r="S30" s="7">
        <v>18498433.275919199</v>
      </c>
      <c r="T30" s="7">
        <v>20226209.663384099</v>
      </c>
      <c r="U30" s="7">
        <v>22015569.567414701</v>
      </c>
      <c r="V30" s="7">
        <v>23877180.543458398</v>
      </c>
      <c r="W30" s="7">
        <v>25818226.027534701</v>
      </c>
      <c r="X30" s="7">
        <v>27842495.6778083</v>
      </c>
      <c r="Y30" s="7">
        <v>29952952.214552</v>
      </c>
      <c r="Z30" s="7">
        <v>32153555.0253697</v>
      </c>
      <c r="AA30" s="7">
        <v>34448019.557718001</v>
      </c>
      <c r="AB30" s="7">
        <v>36839544.780770697</v>
      </c>
      <c r="AC30" s="7">
        <v>39331430.816390403</v>
      </c>
    </row>
    <row r="31" spans="1:29" x14ac:dyDescent="0.85">
      <c r="A31" t="s">
        <v>129</v>
      </c>
      <c r="B31" s="7">
        <v>639.71590348999996</v>
      </c>
      <c r="C31" s="7">
        <v>614.12726735000001</v>
      </c>
      <c r="D31" s="7">
        <v>589.56217664999997</v>
      </c>
      <c r="E31" s="7">
        <v>565.97969880999995</v>
      </c>
      <c r="F31" s="7">
        <v>543.34051084999999</v>
      </c>
      <c r="G31" s="7">
        <v>521.69141004000005</v>
      </c>
      <c r="H31" s="7">
        <v>500.83807306</v>
      </c>
      <c r="I31" s="7">
        <v>480.877318</v>
      </c>
      <c r="J31" s="7">
        <v>685.32636226</v>
      </c>
      <c r="K31" s="7">
        <v>892.36401487000001</v>
      </c>
      <c r="L31" s="7">
        <v>1066.3391395799999</v>
      </c>
      <c r="M31" s="7">
        <v>1276.3264707799999</v>
      </c>
      <c r="N31" s="7">
        <v>1493.67059118</v>
      </c>
      <c r="O31" s="7">
        <v>1715.9724521400001</v>
      </c>
      <c r="P31" s="7">
        <v>1943.1910074100001</v>
      </c>
      <c r="Q31" s="7">
        <v>2175.4382627599998</v>
      </c>
      <c r="R31" s="7">
        <v>2412.8258740699998</v>
      </c>
      <c r="S31" s="7">
        <v>2655.4741490400002</v>
      </c>
      <c r="T31" s="7">
        <v>2903.49869597</v>
      </c>
      <c r="U31" s="7">
        <v>3160.36363678</v>
      </c>
      <c r="V31" s="7">
        <v>3427.6003129199999</v>
      </c>
      <c r="W31" s="7">
        <v>3706.2399159699999</v>
      </c>
      <c r="X31" s="7">
        <v>3996.8264562899999</v>
      </c>
      <c r="Y31" s="7">
        <v>4299.7852362200001</v>
      </c>
      <c r="Z31" s="7">
        <v>4615.68463101</v>
      </c>
      <c r="AA31" s="7">
        <v>4945.0579979699996</v>
      </c>
      <c r="AB31" s="7">
        <v>5288.3645532800001</v>
      </c>
      <c r="AC31" s="7">
        <v>5646.0780337300002</v>
      </c>
    </row>
    <row r="32" spans="1:29" x14ac:dyDescent="0.85">
      <c r="A32" t="s">
        <v>130</v>
      </c>
      <c r="B32" s="7">
        <v>0</v>
      </c>
      <c r="C32" s="7">
        <v>0.34224875999999999</v>
      </c>
      <c r="D32" s="7">
        <v>0.6571167</v>
      </c>
      <c r="E32" s="7">
        <v>0.94624807</v>
      </c>
      <c r="F32" s="7">
        <v>1.21119741</v>
      </c>
      <c r="G32" s="7">
        <v>1.45367241</v>
      </c>
      <c r="H32" s="7">
        <v>1.67467849</v>
      </c>
      <c r="I32" s="7">
        <v>1.8759237799999999</v>
      </c>
      <c r="J32" s="7">
        <v>3.0554155299999999</v>
      </c>
      <c r="K32" s="7">
        <v>4.4757664300000002</v>
      </c>
      <c r="L32" s="7">
        <v>5.9426233699999997</v>
      </c>
      <c r="M32" s="7">
        <v>7.8241527099999999</v>
      </c>
      <c r="N32" s="7">
        <v>9.9889291500000006</v>
      </c>
      <c r="O32" s="7">
        <v>12.43187172</v>
      </c>
      <c r="P32" s="7">
        <v>15.16094891</v>
      </c>
      <c r="Q32" s="7">
        <v>18.185317099999999</v>
      </c>
      <c r="R32" s="7">
        <v>21.51437928</v>
      </c>
      <c r="S32" s="7">
        <v>25.157869259999998</v>
      </c>
      <c r="T32" s="7">
        <v>29.125741919999999</v>
      </c>
      <c r="U32" s="7">
        <v>33.463665740000003</v>
      </c>
      <c r="V32" s="7">
        <v>38.203488870000001</v>
      </c>
      <c r="W32" s="7">
        <v>43.374619729999999</v>
      </c>
      <c r="X32" s="7">
        <v>49.002792390000003</v>
      </c>
      <c r="Y32" s="7">
        <v>55.113432070000002</v>
      </c>
      <c r="Z32" s="7">
        <v>61.734825649999998</v>
      </c>
      <c r="AA32" s="7">
        <v>68.896039119999998</v>
      </c>
      <c r="AB32" s="7">
        <v>76.626253140000003</v>
      </c>
      <c r="AC32" s="7">
        <v>84.95589056</v>
      </c>
    </row>
    <row r="33" spans="1:29" x14ac:dyDescent="0.85">
      <c r="A33" t="s">
        <v>131</v>
      </c>
      <c r="B33" s="7">
        <v>1.782562E-2</v>
      </c>
      <c r="C33" s="7">
        <v>1.711244E-2</v>
      </c>
      <c r="D33" s="7">
        <v>1.6427919999999999E-2</v>
      </c>
      <c r="E33" s="7">
        <v>1.5770800000000001E-2</v>
      </c>
      <c r="F33" s="7">
        <v>1.5139970000000001E-2</v>
      </c>
      <c r="G33" s="7">
        <v>1.453672E-2</v>
      </c>
      <c r="H33" s="7">
        <v>1.395565E-2</v>
      </c>
      <c r="I33" s="7">
        <v>1.339946E-2</v>
      </c>
      <c r="J33" s="7">
        <v>1.9096350000000002E-2</v>
      </c>
      <c r="K33" s="7">
        <v>2.4865370000000001E-2</v>
      </c>
      <c r="L33" s="7">
        <v>2.9713119999999999E-2</v>
      </c>
      <c r="M33" s="7">
        <v>3.5564329999999998E-2</v>
      </c>
      <c r="N33" s="7">
        <v>4.1620539999999998E-2</v>
      </c>
      <c r="O33" s="7">
        <v>4.7814889999999999E-2</v>
      </c>
      <c r="P33" s="7">
        <v>5.414625E-2</v>
      </c>
      <c r="Q33" s="7">
        <v>6.061772E-2</v>
      </c>
      <c r="R33" s="7">
        <v>6.7232440000000004E-2</v>
      </c>
      <c r="S33" s="7">
        <v>7.3993729999999994E-2</v>
      </c>
      <c r="T33" s="7">
        <v>8.0904840000000006E-2</v>
      </c>
      <c r="U33" s="7">
        <v>8.8062280000000007E-2</v>
      </c>
      <c r="V33" s="7">
        <v>9.5508720000000005E-2</v>
      </c>
      <c r="W33" s="7">
        <v>0.1032729</v>
      </c>
      <c r="X33" s="7">
        <v>0.11136997999999999</v>
      </c>
      <c r="Y33" s="7">
        <v>0.11981181</v>
      </c>
      <c r="Z33" s="7">
        <v>0.12861422</v>
      </c>
      <c r="AA33" s="7">
        <v>0.13779208000000001</v>
      </c>
      <c r="AB33" s="7">
        <v>0.14735818000000001</v>
      </c>
      <c r="AC33" s="7">
        <v>0.15732572</v>
      </c>
    </row>
    <row r="34" spans="1:29" x14ac:dyDescent="0.85">
      <c r="A34" t="s">
        <v>132</v>
      </c>
      <c r="B34" s="7">
        <v>639.71590348999996</v>
      </c>
      <c r="C34" s="7">
        <v>614.12726735000001</v>
      </c>
      <c r="D34" s="7">
        <v>589.56217664999997</v>
      </c>
      <c r="E34" s="7">
        <v>565.97969880999995</v>
      </c>
      <c r="F34" s="7">
        <v>543.34051084999999</v>
      </c>
      <c r="G34" s="7">
        <v>521.69141004000005</v>
      </c>
      <c r="H34" s="7">
        <v>500.83807306</v>
      </c>
      <c r="I34" s="7">
        <v>480.877318</v>
      </c>
      <c r="J34" s="7">
        <v>685.32636226</v>
      </c>
      <c r="K34" s="7">
        <v>892.36401487000001</v>
      </c>
      <c r="L34" s="7">
        <v>1066.3391395799999</v>
      </c>
      <c r="M34" s="7">
        <v>1276.3264707799999</v>
      </c>
      <c r="N34" s="7">
        <v>1493.67059118</v>
      </c>
      <c r="O34" s="7">
        <v>1715.9724521400001</v>
      </c>
      <c r="P34" s="7">
        <v>1943.1910074100001</v>
      </c>
      <c r="Q34" s="7">
        <v>2175.4382627599998</v>
      </c>
      <c r="R34" s="7">
        <v>2412.8258740699998</v>
      </c>
      <c r="S34" s="7">
        <v>2655.4741490400002</v>
      </c>
      <c r="T34" s="7">
        <v>2903.49869597</v>
      </c>
      <c r="U34" s="7">
        <v>3160.36363678</v>
      </c>
      <c r="V34" s="7">
        <v>3427.6003129199999</v>
      </c>
      <c r="W34" s="7">
        <v>3706.2399159699999</v>
      </c>
      <c r="X34" s="7">
        <v>3996.8264562899999</v>
      </c>
      <c r="Y34" s="7">
        <v>4299.7852362200001</v>
      </c>
      <c r="Z34" s="7">
        <v>4615.68463101</v>
      </c>
      <c r="AA34" s="7">
        <v>4945.0579979699996</v>
      </c>
      <c r="AB34" s="7">
        <v>5288.3645532800001</v>
      </c>
      <c r="AC34" s="7">
        <v>5646.0780337300002</v>
      </c>
    </row>
    <row r="35" spans="1:29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</row>
    <row r="36" spans="1:29" x14ac:dyDescent="0.85">
      <c r="A36" t="s">
        <v>134</v>
      </c>
      <c r="B36" s="7">
        <v>1</v>
      </c>
      <c r="C36" s="7">
        <v>1.04</v>
      </c>
      <c r="D36" s="7">
        <v>0.99999070000000001</v>
      </c>
      <c r="E36" s="7">
        <v>0.99999859999999996</v>
      </c>
      <c r="F36" s="7">
        <v>1.0000000200000001</v>
      </c>
      <c r="G36" s="7">
        <v>0.99999990999999999</v>
      </c>
      <c r="H36" s="7">
        <v>1.00016204</v>
      </c>
      <c r="I36" s="7">
        <v>1.0000285900000001</v>
      </c>
      <c r="J36" s="7">
        <v>1.0001513500000001</v>
      </c>
      <c r="K36" s="7">
        <v>1.35635493</v>
      </c>
      <c r="L36" s="7">
        <v>1.28646339</v>
      </c>
      <c r="M36" s="7">
        <v>1.2447498100000001</v>
      </c>
      <c r="N36" s="7">
        <v>1.2190515900000001</v>
      </c>
      <c r="O36" s="7">
        <v>1.1966871299999999</v>
      </c>
      <c r="P36" s="7">
        <v>1.1795877800000001</v>
      </c>
      <c r="Q36" s="7">
        <v>1.1661550899999999</v>
      </c>
      <c r="R36" s="7">
        <v>1.1553251499999999</v>
      </c>
      <c r="S36" s="7">
        <v>1.1464129300000001</v>
      </c>
      <c r="T36" s="7">
        <v>1.1389496100000001</v>
      </c>
      <c r="U36" s="7">
        <v>1.1338101899999999</v>
      </c>
      <c r="V36" s="7">
        <v>1.12973879</v>
      </c>
      <c r="W36" s="7">
        <v>1.1263367799999999</v>
      </c>
      <c r="X36" s="7">
        <v>1.1233282</v>
      </c>
      <c r="Y36" s="7">
        <v>1.12061488</v>
      </c>
      <c r="Z36" s="7">
        <v>1.1181865099999999</v>
      </c>
      <c r="AA36" s="7">
        <v>1.11598957</v>
      </c>
      <c r="AB36" s="7">
        <v>1.1139735099999999</v>
      </c>
      <c r="AC36" s="7">
        <v>1.11211667</v>
      </c>
    </row>
    <row r="37" spans="1:29" x14ac:dyDescent="0.85">
      <c r="A37" t="s">
        <v>135</v>
      </c>
      <c r="B37" s="7">
        <v>1</v>
      </c>
      <c r="C37" s="7">
        <v>0.99999070000000001</v>
      </c>
      <c r="D37" s="7">
        <v>0.99999859999999996</v>
      </c>
      <c r="E37" s="7">
        <v>1.0000000200000001</v>
      </c>
      <c r="F37" s="7">
        <v>0.99999990999999999</v>
      </c>
      <c r="G37" s="7">
        <v>1.00016204</v>
      </c>
      <c r="H37" s="7">
        <v>1.0000285900000001</v>
      </c>
      <c r="I37" s="7">
        <v>1.0001513500000001</v>
      </c>
      <c r="J37" s="7">
        <v>1.48454003</v>
      </c>
      <c r="K37" s="7">
        <v>1.3563550200000001</v>
      </c>
      <c r="L37" s="7">
        <v>1.2447498100000001</v>
      </c>
      <c r="M37" s="7">
        <v>1.24679541</v>
      </c>
      <c r="N37" s="7">
        <v>1.2190508499999999</v>
      </c>
      <c r="O37" s="7">
        <v>1.19669713</v>
      </c>
      <c r="P37" s="7">
        <v>1.1795977799999999</v>
      </c>
      <c r="Q37" s="7">
        <v>1.16616509</v>
      </c>
      <c r="R37" s="7">
        <v>1.15533515</v>
      </c>
      <c r="S37" s="7">
        <v>1.14642293</v>
      </c>
      <c r="T37" s="7">
        <v>1.1389596099999999</v>
      </c>
      <c r="U37" s="7">
        <v>1.13382019</v>
      </c>
      <c r="V37" s="7">
        <v>1.1297487900000001</v>
      </c>
      <c r="W37" s="7">
        <v>1.12634678</v>
      </c>
      <c r="X37" s="7">
        <v>1.1233382000000001</v>
      </c>
      <c r="Y37" s="7">
        <v>1.1206248299999999</v>
      </c>
      <c r="Z37" s="7">
        <v>1.11819651</v>
      </c>
      <c r="AA37" s="7">
        <v>1.1159995700000001</v>
      </c>
      <c r="AB37" s="7">
        <v>1.11398351</v>
      </c>
      <c r="AC37" s="7">
        <v>1.1121266700000001</v>
      </c>
    </row>
    <row r="38" spans="1:29" x14ac:dyDescent="0.85">
      <c r="A38" t="s">
        <v>136</v>
      </c>
      <c r="B38" s="7">
        <v>1</v>
      </c>
      <c r="C38" s="7">
        <v>1.32729823</v>
      </c>
      <c r="D38" s="7">
        <v>1.3458021200000001</v>
      </c>
      <c r="E38" s="7">
        <v>1.36549235</v>
      </c>
      <c r="F38" s="7">
        <v>1.38640516</v>
      </c>
      <c r="G38" s="7">
        <v>1.4087665599999999</v>
      </c>
      <c r="H38" s="7">
        <v>1.4324496799999999</v>
      </c>
      <c r="I38" s="7">
        <v>1.4577101299999999</v>
      </c>
      <c r="J38" s="7">
        <v>1.48454003</v>
      </c>
      <c r="K38" s="7">
        <v>1.35636493</v>
      </c>
      <c r="L38" s="7">
        <v>1.28647339</v>
      </c>
      <c r="M38" s="7">
        <v>1.24952983</v>
      </c>
      <c r="N38" s="7">
        <v>1.2190615899999999</v>
      </c>
      <c r="O38" s="7">
        <v>1.19669713</v>
      </c>
      <c r="P38" s="7">
        <v>1.1795977799999999</v>
      </c>
      <c r="Q38" s="7">
        <v>1.16616509</v>
      </c>
      <c r="R38" s="7">
        <v>1.15533515</v>
      </c>
      <c r="S38" s="7">
        <v>1.14642293</v>
      </c>
      <c r="T38" s="7">
        <v>1.1389596099999999</v>
      </c>
      <c r="U38" s="7">
        <v>1.13382019</v>
      </c>
      <c r="V38" s="7">
        <v>1.1297487900000001</v>
      </c>
      <c r="W38" s="7">
        <v>1.12634678</v>
      </c>
      <c r="X38" s="7">
        <v>1.1233382000000001</v>
      </c>
      <c r="Y38" s="7">
        <v>1.12062488</v>
      </c>
      <c r="Z38" s="7">
        <v>1.11819651</v>
      </c>
      <c r="AA38" s="7">
        <v>1.1159995700000001</v>
      </c>
      <c r="AB38" s="7">
        <v>1.11398351</v>
      </c>
      <c r="AC38" s="7">
        <v>1.1121266700000001</v>
      </c>
    </row>
    <row r="39" spans="1:29" x14ac:dyDescent="0.85">
      <c r="A39" t="s">
        <v>137</v>
      </c>
      <c r="B39" s="7">
        <v>5482</v>
      </c>
      <c r="C39" s="7">
        <v>5344.95</v>
      </c>
      <c r="D39" s="7">
        <v>5211.3262500000001</v>
      </c>
      <c r="E39" s="7">
        <v>5081.0430937499996</v>
      </c>
      <c r="F39" s="7">
        <v>4954.01701641</v>
      </c>
      <c r="G39" s="7">
        <v>4830.1665975899996</v>
      </c>
      <c r="H39" s="7">
        <v>4709.4124460700004</v>
      </c>
      <c r="I39" s="7">
        <v>4591.6771404199999</v>
      </c>
      <c r="J39" s="7">
        <v>4477.1649268399997</v>
      </c>
      <c r="K39" s="7">
        <v>4365.2358036699998</v>
      </c>
      <c r="L39" s="7">
        <v>4258.5386211200002</v>
      </c>
      <c r="M39" s="7">
        <v>4152.0752700399999</v>
      </c>
      <c r="N39" s="7">
        <v>4048.2733882900002</v>
      </c>
      <c r="O39" s="7">
        <v>3947.06655378</v>
      </c>
      <c r="P39" s="7">
        <v>3848.3899013700002</v>
      </c>
      <c r="Q39" s="7">
        <v>3752.1801802999998</v>
      </c>
      <c r="R39" s="7">
        <v>3658.3756768500002</v>
      </c>
      <c r="S39" s="7">
        <v>3566.9163688200001</v>
      </c>
      <c r="T39" s="7">
        <v>4658.9168711399998</v>
      </c>
      <c r="U39" s="7">
        <v>5796.2269679999999</v>
      </c>
      <c r="V39" s="7">
        <v>6984.8845024599996</v>
      </c>
      <c r="W39" s="7">
        <v>8229.1782437700003</v>
      </c>
      <c r="X39" s="7">
        <v>9531.6654736399996</v>
      </c>
      <c r="Y39" s="7">
        <v>10894.496791899999</v>
      </c>
      <c r="Z39" s="7">
        <v>12320.365442570001</v>
      </c>
      <c r="AA39" s="7">
        <v>13811.86723075</v>
      </c>
      <c r="AB39" s="7">
        <v>15371.351779660001</v>
      </c>
      <c r="AC39" s="7">
        <v>17001.244028559999</v>
      </c>
    </row>
    <row r="40" spans="1:29" x14ac:dyDescent="0.85">
      <c r="A40" t="s">
        <v>138</v>
      </c>
      <c r="B40" s="7">
        <v>29071269.5</v>
      </c>
      <c r="C40" s="7">
        <v>28341778.994536199</v>
      </c>
      <c r="D40" s="7">
        <v>27633234.4854821</v>
      </c>
      <c r="E40" s="7">
        <v>26942403.417093799</v>
      </c>
      <c r="F40" s="7">
        <v>26268843.2847635</v>
      </c>
      <c r="G40" s="7">
        <v>25612122.2375912</v>
      </c>
      <c r="H40" s="7">
        <v>24971819.2528302</v>
      </c>
      <c r="I40" s="7">
        <v>24347523.800693899</v>
      </c>
      <c r="J40" s="7">
        <v>23740318.9035598</v>
      </c>
      <c r="K40" s="7">
        <v>23146810.853417099</v>
      </c>
      <c r="L40" s="7">
        <v>22581045.425377801</v>
      </c>
      <c r="M40" s="7">
        <v>22016519.8965744</v>
      </c>
      <c r="N40" s="7">
        <v>21466106.879992198</v>
      </c>
      <c r="O40" s="7">
        <v>20929454.209073301</v>
      </c>
      <c r="P40" s="7">
        <v>20406217.914476901</v>
      </c>
      <c r="Q40" s="7">
        <v>19896062.606945802</v>
      </c>
      <c r="R40" s="7">
        <v>19398661.047357101</v>
      </c>
      <c r="S40" s="7">
        <v>18913694.966025401</v>
      </c>
      <c r="T40" s="7">
        <v>24704064.648946598</v>
      </c>
      <c r="U40" s="7">
        <v>30734689.992971499</v>
      </c>
      <c r="V40" s="7">
        <v>37037586.8655736</v>
      </c>
      <c r="W40" s="7">
        <v>43635496.611110099</v>
      </c>
      <c r="X40" s="7">
        <v>50541979.302477598</v>
      </c>
      <c r="Y40" s="7">
        <v>57768438.568248101</v>
      </c>
      <c r="Z40" s="7">
        <v>65329155.426155098</v>
      </c>
      <c r="AA40" s="7">
        <v>73237894.220678106</v>
      </c>
      <c r="AB40" s="7">
        <v>81507113.908603296</v>
      </c>
      <c r="AC40" s="7">
        <v>90149672.812612399</v>
      </c>
    </row>
    <row r="41" spans="1:29" x14ac:dyDescent="0.85">
      <c r="A41" t="s">
        <v>139</v>
      </c>
      <c r="B41" s="7">
        <v>29071269.5</v>
      </c>
      <c r="C41" s="7">
        <v>28341778.994536199</v>
      </c>
      <c r="D41" s="7">
        <v>27633234.4854821</v>
      </c>
      <c r="E41" s="7">
        <v>26942403.417093799</v>
      </c>
      <c r="F41" s="7">
        <v>26268843.2847635</v>
      </c>
      <c r="G41" s="7">
        <v>25612122.2375912</v>
      </c>
      <c r="H41" s="7">
        <v>24971819.2528302</v>
      </c>
      <c r="I41" s="7">
        <v>24347523.800693899</v>
      </c>
      <c r="J41" s="7">
        <v>23740318.9035598</v>
      </c>
      <c r="K41" s="7">
        <v>23146810.853417099</v>
      </c>
      <c r="L41" s="7">
        <v>22581045.425377801</v>
      </c>
      <c r="M41" s="7">
        <v>22016519.8965744</v>
      </c>
      <c r="N41" s="7">
        <v>21466106.879992198</v>
      </c>
      <c r="O41" s="7">
        <v>20929454.209073301</v>
      </c>
      <c r="P41" s="7">
        <v>20406217.914476901</v>
      </c>
      <c r="Q41" s="7">
        <v>19896062.606945802</v>
      </c>
      <c r="R41" s="7">
        <v>19398661.047357101</v>
      </c>
      <c r="S41" s="7">
        <v>18913694.966025401</v>
      </c>
      <c r="T41" s="7">
        <v>24704064.648946598</v>
      </c>
      <c r="U41" s="7">
        <v>30734689.992971499</v>
      </c>
      <c r="V41" s="7">
        <v>37037586.8655736</v>
      </c>
      <c r="W41" s="7">
        <v>43635496.611110099</v>
      </c>
      <c r="X41" s="7">
        <v>50541979.302477598</v>
      </c>
      <c r="Y41" s="7">
        <v>57768438.568248101</v>
      </c>
      <c r="Z41" s="7">
        <v>65329155.426155098</v>
      </c>
      <c r="AA41" s="7">
        <v>73237894.220678106</v>
      </c>
      <c r="AB41" s="7">
        <v>81507113.908603296</v>
      </c>
      <c r="AC41" s="7">
        <v>90149672.812612399</v>
      </c>
    </row>
    <row r="42" spans="1:29" x14ac:dyDescent="0.85">
      <c r="A42" t="s">
        <v>140</v>
      </c>
      <c r="B42" s="7">
        <v>6206.7650846899996</v>
      </c>
      <c r="C42" s="7">
        <v>6051.56857193</v>
      </c>
      <c r="D42" s="7">
        <v>5900.27935729</v>
      </c>
      <c r="E42" s="7">
        <v>5752.7723712699999</v>
      </c>
      <c r="F42" s="7">
        <v>5608.9530615100002</v>
      </c>
      <c r="G42" s="7">
        <v>5468.7292424400002</v>
      </c>
      <c r="H42" s="7">
        <v>5332.0110265699996</v>
      </c>
      <c r="I42" s="7">
        <v>5198.7107571400002</v>
      </c>
      <c r="J42" s="7">
        <v>5069.0596822999996</v>
      </c>
      <c r="K42" s="7">
        <v>4942.3331894599996</v>
      </c>
      <c r="L42" s="7">
        <v>4821.5303164300003</v>
      </c>
      <c r="M42" s="7">
        <v>4700.9921880900001</v>
      </c>
      <c r="N42" s="7">
        <v>4583.4673831999999</v>
      </c>
      <c r="O42" s="7">
        <v>4468.88069885</v>
      </c>
      <c r="P42" s="7">
        <v>4357.15869432</v>
      </c>
      <c r="Q42" s="7">
        <v>4248.2297569299999</v>
      </c>
      <c r="R42" s="7">
        <v>4142.0240142000002</v>
      </c>
      <c r="S42" s="7">
        <v>4038.4735088299999</v>
      </c>
      <c r="T42" s="7">
        <v>5274.8397827299996</v>
      </c>
      <c r="U42" s="7">
        <v>6562.5057167100003</v>
      </c>
      <c r="V42" s="7">
        <v>7908.3073749599998</v>
      </c>
      <c r="W42" s="7">
        <v>9317.1005150000001</v>
      </c>
      <c r="X42" s="7">
        <v>10791.780498919999</v>
      </c>
      <c r="Y42" s="7">
        <v>12334.78224235</v>
      </c>
      <c r="Z42" s="7">
        <v>13949.15504435</v>
      </c>
      <c r="AA42" s="7">
        <v>15637.837883280001</v>
      </c>
      <c r="AB42" s="7">
        <v>17403.49100967</v>
      </c>
      <c r="AC42" s="7">
        <v>19248.859947100002</v>
      </c>
    </row>
    <row r="43" spans="1:29" x14ac:dyDescent="0.85">
      <c r="A43" t="s">
        <v>141</v>
      </c>
      <c r="B43" s="7">
        <v>0</v>
      </c>
      <c r="C43" s="7">
        <v>1.70050674</v>
      </c>
      <c r="D43" s="7">
        <v>3.31598814</v>
      </c>
      <c r="E43" s="7">
        <v>4.8496326200000004</v>
      </c>
      <c r="F43" s="7">
        <v>6.3045223899999998</v>
      </c>
      <c r="G43" s="7">
        <v>7.6836366700000003</v>
      </c>
      <c r="H43" s="7">
        <v>8.9898549299999999</v>
      </c>
      <c r="I43" s="7">
        <v>10.225960000000001</v>
      </c>
      <c r="J43" s="7">
        <v>11.395353070000001</v>
      </c>
      <c r="K43" s="7">
        <v>12.499277859999999</v>
      </c>
      <c r="L43" s="7">
        <v>13.54862726</v>
      </c>
      <c r="M43" s="7">
        <v>14.53090313</v>
      </c>
      <c r="N43" s="7">
        <v>15.45559695</v>
      </c>
      <c r="O43" s="7">
        <v>16.324974279999999</v>
      </c>
      <c r="P43" s="7">
        <v>17.141223050000001</v>
      </c>
      <c r="Q43" s="7">
        <v>17.906456349999999</v>
      </c>
      <c r="R43" s="7">
        <v>18.622714609999999</v>
      </c>
      <c r="S43" s="7">
        <v>19.291968870000002</v>
      </c>
      <c r="T43" s="7">
        <v>26.680389819999998</v>
      </c>
      <c r="U43" s="7">
        <v>35.037546589999998</v>
      </c>
      <c r="V43" s="7">
        <v>44.445104239999999</v>
      </c>
      <c r="W43" s="7">
        <v>54.980725730000003</v>
      </c>
      <c r="X43" s="7">
        <v>66.71541268</v>
      </c>
      <c r="Y43" s="7">
        <v>79.720445220000002</v>
      </c>
      <c r="Z43" s="7">
        <v>94.073983810000001</v>
      </c>
      <c r="AA43" s="7">
        <v>109.85684132999999</v>
      </c>
      <c r="AB43" s="7">
        <v>127.15109769999999</v>
      </c>
      <c r="AC43" s="7">
        <v>146.04246996000001</v>
      </c>
    </row>
    <row r="44" spans="1:29" x14ac:dyDescent="0.85">
      <c r="A44" t="s">
        <v>142</v>
      </c>
      <c r="B44" s="7">
        <v>8.7213810000000003E-2</v>
      </c>
      <c r="C44" s="7">
        <v>8.5025340000000005E-2</v>
      </c>
      <c r="D44" s="7">
        <v>8.2899700000000007E-2</v>
      </c>
      <c r="E44" s="7">
        <v>8.0827209999999997E-2</v>
      </c>
      <c r="F44" s="7">
        <v>7.880653E-2</v>
      </c>
      <c r="G44" s="7">
        <v>7.6836370000000001E-2</v>
      </c>
      <c r="H44" s="7">
        <v>7.4915460000000003E-2</v>
      </c>
      <c r="I44" s="7">
        <v>7.3042570000000001E-2</v>
      </c>
      <c r="J44" s="7">
        <v>7.122096E-2</v>
      </c>
      <c r="K44" s="7">
        <v>6.9440429999999997E-2</v>
      </c>
      <c r="L44" s="7">
        <v>6.7743139999999993E-2</v>
      </c>
      <c r="M44" s="7">
        <v>6.6049559999999993E-2</v>
      </c>
      <c r="N44" s="7">
        <v>6.4398319999999995E-2</v>
      </c>
      <c r="O44" s="7">
        <v>6.2788360000000001E-2</v>
      </c>
      <c r="P44" s="7">
        <v>6.1218649999999999E-2</v>
      </c>
      <c r="Q44" s="7">
        <v>5.9688190000000002E-2</v>
      </c>
      <c r="R44" s="7">
        <v>5.8195980000000001E-2</v>
      </c>
      <c r="S44" s="7">
        <v>5.6741079999999999E-2</v>
      </c>
      <c r="T44" s="7">
        <v>7.4112189999999994E-2</v>
      </c>
      <c r="U44" s="7">
        <v>9.2204069999999999E-2</v>
      </c>
      <c r="V44" s="7">
        <v>0.11111276</v>
      </c>
      <c r="W44" s="7">
        <v>0.13090648999999999</v>
      </c>
      <c r="X44" s="7">
        <v>0.15162593999999999</v>
      </c>
      <c r="Y44" s="7">
        <v>0.17330532000000001</v>
      </c>
      <c r="Z44" s="7">
        <v>0.19598747</v>
      </c>
      <c r="AA44" s="7">
        <v>0.21971367999999999</v>
      </c>
      <c r="AB44" s="7">
        <v>0.24452134</v>
      </c>
      <c r="AC44" s="7">
        <v>0.27044901999999998</v>
      </c>
    </row>
    <row r="45" spans="1:29" x14ac:dyDescent="0.85">
      <c r="A45" t="s">
        <v>143</v>
      </c>
      <c r="B45" s="7">
        <v>5912.8545500500004</v>
      </c>
      <c r="C45" s="7">
        <v>5765.0331863000001</v>
      </c>
      <c r="D45" s="7">
        <v>5620.9073566400002</v>
      </c>
      <c r="E45" s="7">
        <v>5480.3846727199998</v>
      </c>
      <c r="F45" s="7">
        <v>5343.3750559</v>
      </c>
      <c r="G45" s="7">
        <v>5209.7906866200001</v>
      </c>
      <c r="H45" s="7">
        <v>5079.5459339299996</v>
      </c>
      <c r="I45" s="7">
        <v>4952.55729152</v>
      </c>
      <c r="J45" s="7">
        <v>4829.0450581799996</v>
      </c>
      <c r="K45" s="7">
        <v>4708.3189317300003</v>
      </c>
      <c r="L45" s="7">
        <v>4593.23594718</v>
      </c>
      <c r="M45" s="7">
        <v>4478.4051719400004</v>
      </c>
      <c r="N45" s="7">
        <v>4366.4450426399999</v>
      </c>
      <c r="O45" s="7">
        <v>4257.2839167900001</v>
      </c>
      <c r="P45" s="7">
        <v>4150.8518312099995</v>
      </c>
      <c r="Q45" s="7">
        <v>4047.0805639700002</v>
      </c>
      <c r="R45" s="7">
        <v>3945.9035510099998</v>
      </c>
      <c r="S45" s="7">
        <v>3847.2560527199998</v>
      </c>
      <c r="T45" s="7">
        <v>5025.0816891300001</v>
      </c>
      <c r="U45" s="7">
        <v>6251.77800088</v>
      </c>
      <c r="V45" s="7">
        <v>7533.8573717500003</v>
      </c>
      <c r="W45" s="7">
        <v>8875.9456442600003</v>
      </c>
      <c r="X45" s="7">
        <v>10280.801088169999</v>
      </c>
      <c r="Y45" s="7">
        <v>11750.74332843</v>
      </c>
      <c r="Z45" s="7">
        <v>13288.67728299</v>
      </c>
      <c r="AA45" s="7">
        <v>14897.40277271</v>
      </c>
      <c r="AB45" s="7">
        <v>16579.45408806</v>
      </c>
      <c r="AC45" s="7">
        <v>18337.446754969998</v>
      </c>
    </row>
    <row r="46" spans="1:29" x14ac:dyDescent="0.85">
      <c r="A46" t="s">
        <v>144</v>
      </c>
      <c r="B46" s="7">
        <v>293.91053463999998</v>
      </c>
      <c r="C46" s="7">
        <v>286.53538563000001</v>
      </c>
      <c r="D46" s="7">
        <v>279.37200065000002</v>
      </c>
      <c r="E46" s="7">
        <v>272.38769854999998</v>
      </c>
      <c r="F46" s="7">
        <v>265.57800560999999</v>
      </c>
      <c r="G46" s="7">
        <v>258.93855581999998</v>
      </c>
      <c r="H46" s="7">
        <v>252.46509265</v>
      </c>
      <c r="I46" s="7">
        <v>246.15346563</v>
      </c>
      <c r="J46" s="7">
        <v>240.01462411</v>
      </c>
      <c r="K46" s="7">
        <v>234.01425773</v>
      </c>
      <c r="L46" s="7">
        <v>228.29436924999999</v>
      </c>
      <c r="M46" s="7">
        <v>222.58701615000001</v>
      </c>
      <c r="N46" s="7">
        <v>217.02234056</v>
      </c>
      <c r="O46" s="7">
        <v>211.59678205</v>
      </c>
      <c r="P46" s="7">
        <v>206.30686312</v>
      </c>
      <c r="Q46" s="7">
        <v>201.14919295999999</v>
      </c>
      <c r="R46" s="7">
        <v>196.12046319000001</v>
      </c>
      <c r="S46" s="7">
        <v>191.21745611</v>
      </c>
      <c r="T46" s="7">
        <v>249.7580936</v>
      </c>
      <c r="U46" s="7">
        <v>310.72771583000002</v>
      </c>
      <c r="V46" s="7">
        <v>374.45000320999998</v>
      </c>
      <c r="W46" s="7">
        <v>441.15487073999998</v>
      </c>
      <c r="X46" s="7">
        <v>510.97941075</v>
      </c>
      <c r="Y46" s="7">
        <v>584.03891392000003</v>
      </c>
      <c r="Z46" s="7">
        <v>660.47776136000004</v>
      </c>
      <c r="AA46" s="7">
        <v>740.43511057000001</v>
      </c>
      <c r="AB46" s="7">
        <v>824.03692162000004</v>
      </c>
      <c r="AC46" s="7">
        <v>911.41319213999998</v>
      </c>
    </row>
    <row r="47" spans="1:29" x14ac:dyDescent="0.85">
      <c r="A47" t="s">
        <v>145</v>
      </c>
      <c r="B47" s="7">
        <v>1</v>
      </c>
      <c r="C47" s="7">
        <v>1.0249999999999999</v>
      </c>
      <c r="D47" s="7">
        <v>0.99990442999999996</v>
      </c>
      <c r="E47" s="7">
        <v>1</v>
      </c>
      <c r="F47" s="7">
        <v>0.99999998999999995</v>
      </c>
      <c r="G47" s="7">
        <v>1</v>
      </c>
      <c r="H47" s="7">
        <v>1</v>
      </c>
      <c r="I47" s="7">
        <v>1</v>
      </c>
      <c r="J47" s="7">
        <v>1</v>
      </c>
      <c r="K47" s="7">
        <v>1.00006248</v>
      </c>
      <c r="L47" s="7">
        <v>1</v>
      </c>
      <c r="M47" s="7">
        <v>1.00057182</v>
      </c>
      <c r="N47" s="7">
        <v>1.00000003</v>
      </c>
      <c r="O47" s="7">
        <v>1</v>
      </c>
      <c r="P47" s="7">
        <v>1</v>
      </c>
      <c r="Q47" s="7">
        <v>1</v>
      </c>
      <c r="R47" s="7">
        <v>1.0000000099999999</v>
      </c>
      <c r="S47" s="7">
        <v>1</v>
      </c>
      <c r="T47" s="7">
        <v>1.0000000200000001</v>
      </c>
      <c r="U47" s="7">
        <v>1.27600508</v>
      </c>
      <c r="V47" s="7">
        <v>1.23596375</v>
      </c>
      <c r="W47" s="7">
        <v>1.20833966</v>
      </c>
      <c r="X47" s="7">
        <v>1.1879661100000001</v>
      </c>
      <c r="Y47" s="7">
        <v>1.1722765100000001</v>
      </c>
      <c r="Z47" s="7">
        <v>1.15986663</v>
      </c>
      <c r="AA47" s="7">
        <v>1.14979499</v>
      </c>
      <c r="AB47" s="7">
        <v>1.1414351599999999</v>
      </c>
      <c r="AC47" s="7">
        <v>1.13438427</v>
      </c>
    </row>
    <row r="48" spans="1:29" x14ac:dyDescent="0.85">
      <c r="A48" t="s">
        <v>146</v>
      </c>
      <c r="B48" s="7">
        <v>1</v>
      </c>
      <c r="C48" s="7">
        <v>0.99990442999999996</v>
      </c>
      <c r="D48" s="7">
        <v>1</v>
      </c>
      <c r="E48" s="7">
        <v>0.99999998999999995</v>
      </c>
      <c r="F48" s="7">
        <v>1</v>
      </c>
      <c r="G48" s="7">
        <v>1</v>
      </c>
      <c r="H48" s="7">
        <v>1</v>
      </c>
      <c r="I48" s="7">
        <v>1</v>
      </c>
      <c r="J48" s="7">
        <v>1.00006248</v>
      </c>
      <c r="K48" s="7">
        <v>1</v>
      </c>
      <c r="L48" s="7">
        <v>1.00057182</v>
      </c>
      <c r="M48" s="7">
        <v>1.00000003</v>
      </c>
      <c r="N48" s="7">
        <v>1</v>
      </c>
      <c r="O48" s="7">
        <v>1</v>
      </c>
      <c r="P48" s="7">
        <v>1</v>
      </c>
      <c r="Q48" s="7">
        <v>1.0000000099999999</v>
      </c>
      <c r="R48" s="7">
        <v>1</v>
      </c>
      <c r="S48" s="7">
        <v>1.0000000200000001</v>
      </c>
      <c r="T48" s="7">
        <v>1.3396378799999999</v>
      </c>
      <c r="U48" s="7">
        <v>1.2760150800000001</v>
      </c>
      <c r="V48" s="7">
        <v>1.2359737</v>
      </c>
      <c r="W48" s="7">
        <v>1.2083496600000001</v>
      </c>
      <c r="X48" s="7">
        <v>1.1879761099999999</v>
      </c>
      <c r="Y48" s="7">
        <v>1.1722865099999999</v>
      </c>
      <c r="Z48" s="7">
        <v>1.1598766300000001</v>
      </c>
      <c r="AA48" s="7">
        <v>1.14980499</v>
      </c>
      <c r="AB48" s="7">
        <v>1.14144516</v>
      </c>
      <c r="AC48" s="7">
        <v>1.13439427</v>
      </c>
    </row>
    <row r="49" spans="1:29" x14ac:dyDescent="0.85">
      <c r="A49" t="s">
        <v>147</v>
      </c>
      <c r="B49" s="7">
        <v>1</v>
      </c>
      <c r="C49" s="7">
        <v>1.14942487</v>
      </c>
      <c r="D49" s="7">
        <v>1.1551070999999999</v>
      </c>
      <c r="E49" s="7">
        <v>1.1610682699999999</v>
      </c>
      <c r="F49" s="7">
        <v>1.16730555</v>
      </c>
      <c r="G49" s="7">
        <v>1.1738909399999999</v>
      </c>
      <c r="H49" s="7">
        <v>1.18078003</v>
      </c>
      <c r="I49" s="7">
        <v>1.1880067599999999</v>
      </c>
      <c r="J49" s="7">
        <v>1.1955883300000001</v>
      </c>
      <c r="K49" s="7">
        <v>1.20582948</v>
      </c>
      <c r="L49" s="7">
        <v>1.2166064400000001</v>
      </c>
      <c r="M49" s="7">
        <v>1.22743567</v>
      </c>
      <c r="N49" s="7">
        <v>1.2408480500000001</v>
      </c>
      <c r="O49" s="7">
        <v>1.25530114</v>
      </c>
      <c r="P49" s="7">
        <v>1.2704218700000001</v>
      </c>
      <c r="Q49" s="7">
        <v>1.2863726600000001</v>
      </c>
      <c r="R49" s="7">
        <v>1.3031934599999999</v>
      </c>
      <c r="S49" s="7">
        <v>1.3209352599999999</v>
      </c>
      <c r="T49" s="7">
        <v>1.3396378799999999</v>
      </c>
      <c r="U49" s="7">
        <v>1.2760150800000001</v>
      </c>
      <c r="V49" s="7">
        <v>1.2359737500000001</v>
      </c>
      <c r="W49" s="7">
        <v>1.2083496600000001</v>
      </c>
      <c r="X49" s="7">
        <v>1.1879761099999999</v>
      </c>
      <c r="Y49" s="7">
        <v>1.1722865099999999</v>
      </c>
      <c r="Z49" s="7">
        <v>1.1598766300000001</v>
      </c>
      <c r="AA49" s="7">
        <v>1.14980499</v>
      </c>
      <c r="AB49" s="7">
        <v>1.14144516</v>
      </c>
      <c r="AC49" s="7">
        <v>1.13439427</v>
      </c>
    </row>
    <row r="50" spans="1:29" x14ac:dyDescent="0.85">
      <c r="A50" t="s">
        <v>148</v>
      </c>
      <c r="B50" s="7">
        <v>18132</v>
      </c>
      <c r="C50" s="7">
        <v>18811.784539029999</v>
      </c>
      <c r="D50" s="7">
        <v>19498.4825614</v>
      </c>
      <c r="E50" s="7">
        <v>20189.50778045</v>
      </c>
      <c r="F50" s="7">
        <v>20895.893868930001</v>
      </c>
      <c r="G50" s="7">
        <v>21606.837057780001</v>
      </c>
      <c r="H50" s="7">
        <v>22326.660026000001</v>
      </c>
      <c r="I50" s="7">
        <v>23055.4894871</v>
      </c>
      <c r="J50" s="7">
        <v>23427.63260021</v>
      </c>
      <c r="K50" s="7">
        <v>23806.763573699998</v>
      </c>
      <c r="L50" s="7">
        <v>24249.905514170001</v>
      </c>
      <c r="M50" s="7">
        <v>24880.740395739998</v>
      </c>
      <c r="N50" s="7">
        <v>25556.416659639999</v>
      </c>
      <c r="O50" s="7">
        <v>26223.364392899999</v>
      </c>
      <c r="P50" s="7">
        <v>26900.73930737</v>
      </c>
      <c r="Q50" s="7">
        <v>27588.504261940001</v>
      </c>
      <c r="R50" s="7">
        <v>28287.84798572</v>
      </c>
      <c r="S50" s="7">
        <v>28998.133217959999</v>
      </c>
      <c r="T50" s="7">
        <v>28994.707514909998</v>
      </c>
      <c r="U50" s="7">
        <v>29150.588322470001</v>
      </c>
      <c r="V50" s="7">
        <v>29390.828055270002</v>
      </c>
      <c r="W50" s="7">
        <v>29644.235369409998</v>
      </c>
      <c r="X50" s="7">
        <v>29891.842242539999</v>
      </c>
      <c r="Y50" s="7">
        <v>30150.71446943</v>
      </c>
      <c r="Z50" s="7">
        <v>30413.20655486</v>
      </c>
      <c r="AA50" s="7">
        <v>30666.334084949998</v>
      </c>
      <c r="AB50" s="7">
        <v>30909.511071209999</v>
      </c>
      <c r="AC50" s="7">
        <v>31142.140184780001</v>
      </c>
    </row>
    <row r="51" spans="1:29" x14ac:dyDescent="0.85">
      <c r="A51" t="s">
        <v>149</v>
      </c>
      <c r="B51" s="7">
        <v>56878626.25</v>
      </c>
      <c r="C51" s="7">
        <v>60289154.326863997</v>
      </c>
      <c r="D51" s="7">
        <v>63721625.344363898</v>
      </c>
      <c r="E51" s="7">
        <v>67180586.977826595</v>
      </c>
      <c r="F51" s="7">
        <v>70667785.788100094</v>
      </c>
      <c r="G51" s="7">
        <v>74184365.715419307</v>
      </c>
      <c r="H51" s="7">
        <v>77733165.128960103</v>
      </c>
      <c r="I51" s="7">
        <v>81315003.728342399</v>
      </c>
      <c r="J51" s="7">
        <v>83372849.147830203</v>
      </c>
      <c r="K51" s="7">
        <v>85456462.351976499</v>
      </c>
      <c r="L51" s="7">
        <v>87801298.265111804</v>
      </c>
      <c r="M51" s="7">
        <v>89953844.141294494</v>
      </c>
      <c r="N51" s="7">
        <v>92102054.541807503</v>
      </c>
      <c r="O51" s="7">
        <v>94264200.412943795</v>
      </c>
      <c r="P51" s="7">
        <v>96442161.103944898</v>
      </c>
      <c r="Q51" s="7">
        <v>98636761.311714798</v>
      </c>
      <c r="R51" s="7">
        <v>100848845.714339</v>
      </c>
      <c r="S51" s="7">
        <v>103079215.20043901</v>
      </c>
      <c r="T51" s="7">
        <v>99065508.202149004</v>
      </c>
      <c r="U51" s="7">
        <v>94820057.587973401</v>
      </c>
      <c r="V51" s="7">
        <v>90301584.778821796</v>
      </c>
      <c r="W51" s="7">
        <v>85492478.327006802</v>
      </c>
      <c r="X51" s="7">
        <v>80423001.403175399</v>
      </c>
      <c r="Y51" s="7">
        <v>75155866.843268394</v>
      </c>
      <c r="Z51" s="7">
        <v>69769562.008099496</v>
      </c>
      <c r="AA51" s="7">
        <v>64341589.006390199</v>
      </c>
      <c r="AB51" s="7">
        <v>58967320.847254097</v>
      </c>
      <c r="AC51" s="7">
        <v>53727353.802569598</v>
      </c>
    </row>
    <row r="52" spans="1:29" x14ac:dyDescent="0.85">
      <c r="A52" t="s">
        <v>150</v>
      </c>
      <c r="B52" s="7">
        <v>56878626.25</v>
      </c>
      <c r="C52" s="7">
        <v>60289154.326863997</v>
      </c>
      <c r="D52" s="7">
        <v>63721625.344363898</v>
      </c>
      <c r="E52" s="7">
        <v>67180586.977826595</v>
      </c>
      <c r="F52" s="7">
        <v>70667785.788100094</v>
      </c>
      <c r="G52" s="7">
        <v>74184365.715419307</v>
      </c>
      <c r="H52" s="7">
        <v>77733165.128960103</v>
      </c>
      <c r="I52" s="7">
        <v>81315003.728342399</v>
      </c>
      <c r="J52" s="7">
        <v>83372849.147830203</v>
      </c>
      <c r="K52" s="7">
        <v>85456462.351976499</v>
      </c>
      <c r="L52" s="7">
        <v>87801298.265111804</v>
      </c>
      <c r="M52" s="7">
        <v>89953844.141294494</v>
      </c>
      <c r="N52" s="7">
        <v>92102054.541807503</v>
      </c>
      <c r="O52" s="7">
        <v>94264200.412943795</v>
      </c>
      <c r="P52" s="7">
        <v>96442161.103944898</v>
      </c>
      <c r="Q52" s="7">
        <v>98636761.311714798</v>
      </c>
      <c r="R52" s="7">
        <v>100848845.714339</v>
      </c>
      <c r="S52" s="7">
        <v>103079215.20043901</v>
      </c>
      <c r="T52" s="7">
        <v>99065508.202149004</v>
      </c>
      <c r="U52" s="7">
        <v>94820057.587973401</v>
      </c>
      <c r="V52" s="7">
        <v>90301584.778821796</v>
      </c>
      <c r="W52" s="7">
        <v>85492478.327006802</v>
      </c>
      <c r="X52" s="7">
        <v>80423001.403175399</v>
      </c>
      <c r="Y52" s="7">
        <v>75155866.843268394</v>
      </c>
      <c r="Z52" s="7">
        <v>69769562.008099496</v>
      </c>
      <c r="AA52" s="7">
        <v>64341589.006390199</v>
      </c>
      <c r="AB52" s="7">
        <v>58967320.847254097</v>
      </c>
      <c r="AC52" s="7">
        <v>53727353.802569598</v>
      </c>
    </row>
    <row r="53" spans="1:29" x14ac:dyDescent="0.85">
      <c r="A53" t="s">
        <v>151</v>
      </c>
      <c r="B53" s="7">
        <v>4826.35423558</v>
      </c>
      <c r="C53" s="7">
        <v>5038.4840837900001</v>
      </c>
      <c r="D53" s="7">
        <v>5252.4603987299997</v>
      </c>
      <c r="E53" s="7">
        <v>5467.9036855100003</v>
      </c>
      <c r="F53" s="7">
        <v>5686.9489635700002</v>
      </c>
      <c r="G53" s="7">
        <v>5907.5753401700003</v>
      </c>
      <c r="H53" s="7">
        <v>6130.6718156099996</v>
      </c>
      <c r="I53" s="7">
        <v>6356.2824202600004</v>
      </c>
      <c r="J53" s="7">
        <v>6477.0663147100004</v>
      </c>
      <c r="K53" s="7">
        <v>6599.8041068100001</v>
      </c>
      <c r="L53" s="7">
        <v>6741.0546431299999</v>
      </c>
      <c r="M53" s="7">
        <v>6913.2070117499998</v>
      </c>
      <c r="N53" s="7">
        <v>7093.7572236799997</v>
      </c>
      <c r="O53" s="7">
        <v>7272.9922002200001</v>
      </c>
      <c r="P53" s="7">
        <v>7454.5904478900002</v>
      </c>
      <c r="Q53" s="7">
        <v>7638.5650459300005</v>
      </c>
      <c r="R53" s="7">
        <v>7825.1620326700004</v>
      </c>
      <c r="S53" s="7">
        <v>8014.28010094</v>
      </c>
      <c r="T53" s="7">
        <v>7915.6960067999999</v>
      </c>
      <c r="U53" s="7">
        <v>7841.6679324300003</v>
      </c>
      <c r="V53" s="7">
        <v>7776.9757722300001</v>
      </c>
      <c r="W53" s="7">
        <v>7707.6892246099997</v>
      </c>
      <c r="X53" s="7">
        <v>7630.9496535799999</v>
      </c>
      <c r="Y53" s="7">
        <v>7551.5235751</v>
      </c>
      <c r="Z53" s="7">
        <v>7469.8762045399999</v>
      </c>
      <c r="AA53" s="7">
        <v>7385.4362554199997</v>
      </c>
      <c r="AB53" s="7">
        <v>7300.4197034700001</v>
      </c>
      <c r="AC53" s="7">
        <v>7216.6798215099998</v>
      </c>
    </row>
    <row r="54" spans="1:29" x14ac:dyDescent="0.85">
      <c r="A54" t="s">
        <v>152</v>
      </c>
      <c r="B54" s="7">
        <v>0</v>
      </c>
      <c r="C54" s="7">
        <v>590.83371239999997</v>
      </c>
      <c r="D54" s="7">
        <v>1248.9438567499999</v>
      </c>
      <c r="E54" s="7">
        <v>1975.1092571500001</v>
      </c>
      <c r="F54" s="7">
        <v>2770.17720289</v>
      </c>
      <c r="G54" s="7">
        <v>3635.0339200600001</v>
      </c>
      <c r="H54" s="7">
        <v>4570.7101095799999</v>
      </c>
      <c r="I54" s="7">
        <v>5578.2092557599999</v>
      </c>
      <c r="J54" s="7">
        <v>6536.4313731900002</v>
      </c>
      <c r="K54" s="7">
        <v>7537.2599794400003</v>
      </c>
      <c r="L54" s="7">
        <v>8604.5272299799999</v>
      </c>
      <c r="M54" s="7">
        <v>9697.0243984299996</v>
      </c>
      <c r="N54" s="7">
        <v>10831.20161412</v>
      </c>
      <c r="O54" s="7">
        <v>12009.259132609999</v>
      </c>
      <c r="P54" s="7">
        <v>13231.864503459999</v>
      </c>
      <c r="Q54" s="7">
        <v>14499.603912819999</v>
      </c>
      <c r="R54" s="7">
        <v>15813.09900801</v>
      </c>
      <c r="S54" s="7">
        <v>17172.99725239</v>
      </c>
      <c r="T54" s="7">
        <v>17475.155646859999</v>
      </c>
      <c r="U54" s="7">
        <v>17655.494722880001</v>
      </c>
      <c r="V54" s="7">
        <v>17699.110616649999</v>
      </c>
      <c r="W54" s="7">
        <v>17594.352039699999</v>
      </c>
      <c r="X54" s="7">
        <v>17339.19910252</v>
      </c>
      <c r="Y54" s="7">
        <v>16940.132386469999</v>
      </c>
      <c r="Z54" s="7">
        <v>16409.800984310001</v>
      </c>
      <c r="AA54" s="7">
        <v>15763.689306570001</v>
      </c>
      <c r="AB54" s="7">
        <v>15024.87335188</v>
      </c>
      <c r="AC54" s="7">
        <v>14216.257816159999</v>
      </c>
    </row>
    <row r="55" spans="1:29" x14ac:dyDescent="0.85">
      <c r="A55" t="s">
        <v>153</v>
      </c>
      <c r="B55" s="7">
        <v>27.870526859999998</v>
      </c>
      <c r="C55" s="7">
        <v>29.541685619999999</v>
      </c>
      <c r="D55" s="7">
        <v>31.22359642</v>
      </c>
      <c r="E55" s="7">
        <v>32.918487620000001</v>
      </c>
      <c r="F55" s="7">
        <v>34.627215040000003</v>
      </c>
      <c r="G55" s="7">
        <v>36.350339200000001</v>
      </c>
      <c r="H55" s="7">
        <v>38.089250909999997</v>
      </c>
      <c r="I55" s="7">
        <v>39.844351830000001</v>
      </c>
      <c r="J55" s="7">
        <v>40.852696080000001</v>
      </c>
      <c r="K55" s="7">
        <v>41.873666550000003</v>
      </c>
      <c r="L55" s="7">
        <v>43.022636149999997</v>
      </c>
      <c r="M55" s="7">
        <v>44.07738363</v>
      </c>
      <c r="N55" s="7">
        <v>45.130006729999998</v>
      </c>
      <c r="O55" s="7">
        <v>46.189458199999997</v>
      </c>
      <c r="P55" s="7">
        <v>47.256658940000001</v>
      </c>
      <c r="Q55" s="7">
        <v>48.33201304</v>
      </c>
      <c r="R55" s="7">
        <v>49.415934399999998</v>
      </c>
      <c r="S55" s="7">
        <v>50.50881545</v>
      </c>
      <c r="T55" s="7">
        <v>48.542099020000002</v>
      </c>
      <c r="U55" s="7">
        <v>46.461828220000001</v>
      </c>
      <c r="V55" s="7">
        <v>44.247776539999997</v>
      </c>
      <c r="W55" s="7">
        <v>41.891314379999997</v>
      </c>
      <c r="X55" s="7">
        <v>39.407270689999997</v>
      </c>
      <c r="Y55" s="7">
        <v>36.826374749999999</v>
      </c>
      <c r="Z55" s="7">
        <v>34.187085379999999</v>
      </c>
      <c r="AA55" s="7">
        <v>31.52737861</v>
      </c>
      <c r="AB55" s="7">
        <v>28.89398722</v>
      </c>
      <c r="AC55" s="7">
        <v>26.32640336</v>
      </c>
    </row>
    <row r="56" spans="1:29" x14ac:dyDescent="0.85">
      <c r="A56" t="s">
        <v>154</v>
      </c>
      <c r="B56" s="7">
        <v>3438.51575508</v>
      </c>
      <c r="C56" s="7">
        <v>3567.4287182200001</v>
      </c>
      <c r="D56" s="7">
        <v>3697.6527403300001</v>
      </c>
      <c r="E56" s="7">
        <v>3828.6973632499999</v>
      </c>
      <c r="F56" s="7">
        <v>3962.65499034</v>
      </c>
      <c r="G56" s="7">
        <v>4097.47681672</v>
      </c>
      <c r="H56" s="7">
        <v>4233.9825864699997</v>
      </c>
      <c r="I56" s="7">
        <v>4372.1963292800001</v>
      </c>
      <c r="J56" s="7">
        <v>4442.76879551</v>
      </c>
      <c r="K56" s="7">
        <v>4514.6664254200005</v>
      </c>
      <c r="L56" s="7">
        <v>4598.7029654600001</v>
      </c>
      <c r="M56" s="7">
        <v>4718.3332147000001</v>
      </c>
      <c r="N56" s="7">
        <v>4846.4670928599999</v>
      </c>
      <c r="O56" s="7">
        <v>4972.9457101400003</v>
      </c>
      <c r="P56" s="7">
        <v>5101.4017169500003</v>
      </c>
      <c r="Q56" s="7">
        <v>5231.8280699200004</v>
      </c>
      <c r="R56" s="7">
        <v>5364.4501972400003</v>
      </c>
      <c r="S56" s="7">
        <v>5499.1472500500004</v>
      </c>
      <c r="T56" s="7">
        <v>5498.4976066700001</v>
      </c>
      <c r="U56" s="7">
        <v>5528.0585272899998</v>
      </c>
      <c r="V56" s="7">
        <v>5573.6171036300002</v>
      </c>
      <c r="W56" s="7">
        <v>5621.6727534299998</v>
      </c>
      <c r="X56" s="7">
        <v>5668.6284193399997</v>
      </c>
      <c r="Y56" s="7">
        <v>5717.7204241199997</v>
      </c>
      <c r="Z56" s="7">
        <v>5767.4988915399999</v>
      </c>
      <c r="AA56" s="7">
        <v>5815.5014836600003</v>
      </c>
      <c r="AB56" s="7">
        <v>5861.6170748000004</v>
      </c>
      <c r="AC56" s="7">
        <v>5905.7323887299999</v>
      </c>
    </row>
    <row r="57" spans="1:29" x14ac:dyDescent="0.85">
      <c r="A57" t="s">
        <v>155</v>
      </c>
      <c r="B57" s="7">
        <v>1387.8384805000001</v>
      </c>
      <c r="C57" s="7">
        <v>1471.0553655799999</v>
      </c>
      <c r="D57" s="7">
        <v>1554.8076584</v>
      </c>
      <c r="E57" s="7">
        <v>1639.20632226</v>
      </c>
      <c r="F57" s="7">
        <v>1724.2939732299999</v>
      </c>
      <c r="G57" s="7">
        <v>1810.09852346</v>
      </c>
      <c r="H57" s="7">
        <v>1896.6892291500001</v>
      </c>
      <c r="I57" s="7">
        <v>1984.08609097</v>
      </c>
      <c r="J57" s="7">
        <v>2034.29751921</v>
      </c>
      <c r="K57" s="7">
        <v>2085.1376813900001</v>
      </c>
      <c r="L57" s="7">
        <v>2142.3516776699998</v>
      </c>
      <c r="M57" s="7">
        <v>2194.8737970500001</v>
      </c>
      <c r="N57" s="7">
        <v>2247.2901308199998</v>
      </c>
      <c r="O57" s="7">
        <v>2300.0464900799998</v>
      </c>
      <c r="P57" s="7">
        <v>2353.1887309399999</v>
      </c>
      <c r="Q57" s="7">
        <v>2406.73697601</v>
      </c>
      <c r="R57" s="7">
        <v>2460.7118354300001</v>
      </c>
      <c r="S57" s="7">
        <v>2515.1328508900001</v>
      </c>
      <c r="T57" s="7">
        <v>2417.1984001300002</v>
      </c>
      <c r="U57" s="7">
        <v>2313.6094051499999</v>
      </c>
      <c r="V57" s="7">
        <v>2203.3586685999999</v>
      </c>
      <c r="W57" s="7">
        <v>2086.0164711799998</v>
      </c>
      <c r="X57" s="7">
        <v>1962.32123424</v>
      </c>
      <c r="Y57" s="7">
        <v>1833.8031509800001</v>
      </c>
      <c r="Z57" s="7">
        <v>1702.377313</v>
      </c>
      <c r="AA57" s="7">
        <v>1569.9347717600001</v>
      </c>
      <c r="AB57" s="7">
        <v>1438.8026286700001</v>
      </c>
      <c r="AC57" s="7">
        <v>1310.9474327800001</v>
      </c>
    </row>
    <row r="58" spans="1:29" x14ac:dyDescent="0.85">
      <c r="A58" t="s">
        <v>156</v>
      </c>
      <c r="B58" s="7">
        <v>1</v>
      </c>
      <c r="C58" s="7">
        <v>1.04</v>
      </c>
      <c r="D58" s="7">
        <v>1.08071966</v>
      </c>
      <c r="E58" s="7">
        <v>1.0796912599999999</v>
      </c>
      <c r="F58" s="7">
        <v>1.0785832799999999</v>
      </c>
      <c r="G58" s="7">
        <v>1.0781122700000001</v>
      </c>
      <c r="H58" s="7">
        <v>1.0771074</v>
      </c>
      <c r="I58" s="7">
        <v>1.0763693700000001</v>
      </c>
      <c r="J58" s="7">
        <v>1.0756707400000001</v>
      </c>
      <c r="K58" s="7">
        <v>1.05848041</v>
      </c>
      <c r="L58" s="7">
        <v>1.0585240300000001</v>
      </c>
      <c r="M58" s="7">
        <v>1.06105637</v>
      </c>
      <c r="N58" s="7">
        <v>1.06876449</v>
      </c>
      <c r="O58" s="7">
        <v>1.0699547899999999</v>
      </c>
      <c r="P58" s="7">
        <v>1.0688511199999999</v>
      </c>
      <c r="Q58" s="7">
        <v>1.0685739299999999</v>
      </c>
      <c r="R58" s="7">
        <v>1.06829872</v>
      </c>
      <c r="S58" s="7">
        <v>1.06807198</v>
      </c>
      <c r="T58" s="7">
        <v>1.06782208</v>
      </c>
      <c r="U58" s="7">
        <v>1.04154361</v>
      </c>
      <c r="V58" s="7">
        <v>1.0472668599999999</v>
      </c>
      <c r="W58" s="7">
        <v>1.0502513899999999</v>
      </c>
      <c r="X58" s="7">
        <v>1.0506479</v>
      </c>
      <c r="Y58" s="7">
        <v>1.0503673099999999</v>
      </c>
      <c r="Z58" s="7">
        <v>1.0506878100000001</v>
      </c>
      <c r="AA58" s="7">
        <v>1.0507354200000001</v>
      </c>
      <c r="AB58" s="7">
        <v>1.0503363999999999</v>
      </c>
      <c r="AC58" s="7">
        <v>1.0499268399999999</v>
      </c>
    </row>
    <row r="59" spans="1:29" x14ac:dyDescent="0.85">
      <c r="A59" t="s">
        <v>157</v>
      </c>
      <c r="B59" s="7">
        <v>1</v>
      </c>
      <c r="C59" s="7">
        <v>1.08071966</v>
      </c>
      <c r="D59" s="7">
        <v>1.0796912599999999</v>
      </c>
      <c r="E59" s="7">
        <v>1.0785832799999999</v>
      </c>
      <c r="F59" s="7">
        <v>1.0781122700000001</v>
      </c>
      <c r="G59" s="7">
        <v>1.0771074</v>
      </c>
      <c r="H59" s="7">
        <v>1.0763693700000001</v>
      </c>
      <c r="I59" s="7">
        <v>1.0756707400000001</v>
      </c>
      <c r="J59" s="7">
        <v>1.05848041</v>
      </c>
      <c r="K59" s="7">
        <v>1.0585240300000001</v>
      </c>
      <c r="L59" s="7">
        <v>1.06105637</v>
      </c>
      <c r="M59" s="7">
        <v>1.06876449</v>
      </c>
      <c r="N59" s="7">
        <v>1.0699547899999999</v>
      </c>
      <c r="O59" s="7">
        <v>1.0688511199999999</v>
      </c>
      <c r="P59" s="7">
        <v>1.0685739299999999</v>
      </c>
      <c r="Q59" s="7">
        <v>1.06829872</v>
      </c>
      <c r="R59" s="7">
        <v>1.06807198</v>
      </c>
      <c r="S59" s="7">
        <v>1.06782208</v>
      </c>
      <c r="T59" s="7">
        <v>1.04154361</v>
      </c>
      <c r="U59" s="7">
        <v>1.0472668599999999</v>
      </c>
      <c r="V59" s="7">
        <v>1.0502513899999999</v>
      </c>
      <c r="W59" s="7">
        <v>1.0506479</v>
      </c>
      <c r="X59" s="7">
        <v>1.0503673099999999</v>
      </c>
      <c r="Y59" s="7">
        <v>1.0506878100000001</v>
      </c>
      <c r="Z59" s="7">
        <v>1.0507354200000001</v>
      </c>
      <c r="AA59" s="7">
        <v>1.0503363999999999</v>
      </c>
      <c r="AB59" s="7">
        <v>1.0499268399999999</v>
      </c>
      <c r="AC59" s="7">
        <v>1.0495063899999999</v>
      </c>
    </row>
    <row r="60" spans="1:29" x14ac:dyDescent="0.85">
      <c r="A60" t="s">
        <v>158</v>
      </c>
      <c r="B60" s="7">
        <v>1</v>
      </c>
      <c r="C60" s="7">
        <v>1.08930276</v>
      </c>
      <c r="D60" s="7">
        <v>1.08798785</v>
      </c>
      <c r="E60" s="7">
        <v>1.08677537</v>
      </c>
      <c r="F60" s="7">
        <v>1.08565771</v>
      </c>
      <c r="G60" s="7">
        <v>1.0846173400000001</v>
      </c>
      <c r="H60" s="7">
        <v>1.08365646</v>
      </c>
      <c r="I60" s="7">
        <v>1.0827637999999999</v>
      </c>
      <c r="J60" s="7">
        <v>1.08193443</v>
      </c>
      <c r="K60" s="7">
        <v>1.0828968299999999</v>
      </c>
      <c r="L60" s="7">
        <v>1.0838475999999999</v>
      </c>
      <c r="M60" s="7">
        <v>1.0845168999999999</v>
      </c>
      <c r="N60" s="7">
        <v>1.08527321</v>
      </c>
      <c r="O60" s="7">
        <v>1.0860136</v>
      </c>
      <c r="P60" s="7">
        <v>1.0867571499999999</v>
      </c>
      <c r="Q60" s="7">
        <v>1.08749071</v>
      </c>
      <c r="R60" s="7">
        <v>1.08821474</v>
      </c>
      <c r="S60" s="7">
        <v>1.0889288399999999</v>
      </c>
      <c r="T60" s="7">
        <v>1.0896338800000001</v>
      </c>
      <c r="U60" s="7">
        <v>1.092857</v>
      </c>
      <c r="V60" s="7">
        <v>1.0960568799999999</v>
      </c>
      <c r="W60" s="7">
        <v>1.0992778299999999</v>
      </c>
      <c r="X60" s="7">
        <v>1.10258539</v>
      </c>
      <c r="Y60" s="7">
        <v>1.1060036799999999</v>
      </c>
      <c r="Z60" s="7">
        <v>1.10951467</v>
      </c>
      <c r="AA60" s="7">
        <v>1.11313057</v>
      </c>
      <c r="AB60" s="7">
        <v>1.1168746700000001</v>
      </c>
      <c r="AC60" s="7">
        <v>1.1207543200000001</v>
      </c>
    </row>
    <row r="61" spans="1:29" x14ac:dyDescent="0.85">
      <c r="A61" t="s">
        <v>159</v>
      </c>
      <c r="B61" s="7">
        <v>0</v>
      </c>
      <c r="C61" s="7">
        <v>0</v>
      </c>
      <c r="D61" s="7">
        <v>0</v>
      </c>
      <c r="E61" s="7">
        <v>0</v>
      </c>
      <c r="F61" s="7">
        <v>0</v>
      </c>
      <c r="G61" s="7">
        <v>0</v>
      </c>
      <c r="H61" s="7">
        <v>0</v>
      </c>
      <c r="I61" s="7">
        <v>0</v>
      </c>
      <c r="J61" s="7">
        <v>0</v>
      </c>
      <c r="K61" s="7">
        <v>0</v>
      </c>
      <c r="L61" s="7">
        <v>0</v>
      </c>
      <c r="M61" s="7">
        <v>0</v>
      </c>
      <c r="N61" s="7">
        <v>0</v>
      </c>
      <c r="O61" s="7">
        <v>0</v>
      </c>
      <c r="P61" s="7">
        <v>0</v>
      </c>
      <c r="Q61" s="7">
        <v>0</v>
      </c>
      <c r="R61" s="7">
        <v>0</v>
      </c>
      <c r="S61" s="7">
        <v>0</v>
      </c>
      <c r="T61" s="7">
        <v>0</v>
      </c>
      <c r="U61" s="7">
        <v>0</v>
      </c>
      <c r="V61" s="7">
        <v>0</v>
      </c>
      <c r="W61" s="7">
        <v>0</v>
      </c>
      <c r="X61" s="7">
        <v>0</v>
      </c>
      <c r="Y61" s="7">
        <v>0</v>
      </c>
      <c r="Z61" s="7">
        <v>0</v>
      </c>
      <c r="AA61" s="7">
        <v>0</v>
      </c>
      <c r="AB61" s="7">
        <v>0</v>
      </c>
      <c r="AC61" s="7">
        <v>0</v>
      </c>
    </row>
    <row r="62" spans="1:29" x14ac:dyDescent="0.85">
      <c r="A62" t="s">
        <v>160</v>
      </c>
      <c r="B62" s="7">
        <v>0</v>
      </c>
      <c r="C62" s="7">
        <v>0</v>
      </c>
      <c r="D62" s="7">
        <v>0</v>
      </c>
      <c r="E62" s="7">
        <v>0</v>
      </c>
      <c r="F62" s="7">
        <v>0</v>
      </c>
      <c r="G62" s="7">
        <v>0</v>
      </c>
      <c r="H62" s="7">
        <v>0</v>
      </c>
      <c r="I62" s="7">
        <v>0</v>
      </c>
      <c r="J62" s="7">
        <v>0</v>
      </c>
      <c r="K62" s="7">
        <v>0</v>
      </c>
      <c r="L62" s="7">
        <v>0</v>
      </c>
      <c r="M62" s="7">
        <v>0</v>
      </c>
      <c r="N62" s="7">
        <v>0</v>
      </c>
      <c r="O62" s="7">
        <v>0</v>
      </c>
      <c r="P62" s="7">
        <v>0</v>
      </c>
      <c r="Q62" s="7">
        <v>0</v>
      </c>
      <c r="R62" s="7">
        <v>0</v>
      </c>
      <c r="S62" s="7">
        <v>0</v>
      </c>
      <c r="T62" s="7">
        <v>0</v>
      </c>
      <c r="U62" s="7">
        <v>0</v>
      </c>
      <c r="V62" s="7">
        <v>0</v>
      </c>
      <c r="W62" s="7">
        <v>0</v>
      </c>
      <c r="X62" s="7">
        <v>0</v>
      </c>
      <c r="Y62" s="7">
        <v>0</v>
      </c>
      <c r="Z62" s="7">
        <v>0</v>
      </c>
      <c r="AA62" s="7">
        <v>0</v>
      </c>
      <c r="AB62" s="7">
        <v>0</v>
      </c>
      <c r="AC62" s="7">
        <v>0</v>
      </c>
    </row>
    <row r="63" spans="1:29" x14ac:dyDescent="0.85">
      <c r="A63" t="s">
        <v>161</v>
      </c>
      <c r="B63" s="7">
        <v>0</v>
      </c>
      <c r="C63" s="7">
        <v>0</v>
      </c>
      <c r="D63" s="7">
        <v>0</v>
      </c>
      <c r="E63" s="7">
        <v>0</v>
      </c>
      <c r="F63" s="7">
        <v>0</v>
      </c>
      <c r="G63" s="7">
        <v>0</v>
      </c>
      <c r="H63" s="7">
        <v>0</v>
      </c>
      <c r="I63" s="7">
        <v>0</v>
      </c>
      <c r="J63" s="7">
        <v>0</v>
      </c>
      <c r="K63" s="7">
        <v>0</v>
      </c>
      <c r="L63" s="7">
        <v>0</v>
      </c>
      <c r="M63" s="7">
        <v>0</v>
      </c>
      <c r="N63" s="7">
        <v>0</v>
      </c>
      <c r="O63" s="7">
        <v>0</v>
      </c>
      <c r="P63" s="7">
        <v>0</v>
      </c>
      <c r="Q63" s="7">
        <v>0</v>
      </c>
      <c r="R63" s="7">
        <v>0</v>
      </c>
      <c r="S63" s="7">
        <v>0</v>
      </c>
      <c r="T63" s="7">
        <v>0</v>
      </c>
      <c r="U63" s="7">
        <v>0</v>
      </c>
      <c r="V63" s="7">
        <v>0</v>
      </c>
      <c r="W63" s="7">
        <v>0</v>
      </c>
      <c r="X63" s="7">
        <v>0</v>
      </c>
      <c r="Y63" s="7">
        <v>0</v>
      </c>
      <c r="Z63" s="7">
        <v>0</v>
      </c>
      <c r="AA63" s="7">
        <v>0</v>
      </c>
      <c r="AB63" s="7">
        <v>0</v>
      </c>
      <c r="AC63" s="7">
        <v>0</v>
      </c>
    </row>
    <row r="64" spans="1:29" x14ac:dyDescent="0.85">
      <c r="A64" t="s">
        <v>162</v>
      </c>
      <c r="B64" s="7">
        <v>0</v>
      </c>
      <c r="C64" s="7">
        <v>0</v>
      </c>
      <c r="D64" s="7">
        <v>0</v>
      </c>
      <c r="E64" s="7">
        <v>0</v>
      </c>
      <c r="F64" s="7">
        <v>0</v>
      </c>
      <c r="G64" s="7">
        <v>0</v>
      </c>
      <c r="H64" s="7">
        <v>0</v>
      </c>
      <c r="I64" s="7">
        <v>0</v>
      </c>
      <c r="J64" s="7">
        <v>0</v>
      </c>
      <c r="K64" s="7">
        <v>0</v>
      </c>
      <c r="L64" s="7">
        <v>0</v>
      </c>
      <c r="M64" s="7">
        <v>0</v>
      </c>
      <c r="N64" s="7">
        <v>0</v>
      </c>
      <c r="O64" s="7">
        <v>0</v>
      </c>
      <c r="P64" s="7">
        <v>0</v>
      </c>
      <c r="Q64" s="7">
        <v>0</v>
      </c>
      <c r="R64" s="7">
        <v>0</v>
      </c>
      <c r="S64" s="7">
        <v>0</v>
      </c>
      <c r="T64" s="7">
        <v>0</v>
      </c>
      <c r="U64" s="7">
        <v>0</v>
      </c>
      <c r="V64" s="7">
        <v>0</v>
      </c>
      <c r="W64" s="7">
        <v>0</v>
      </c>
      <c r="X64" s="7">
        <v>0</v>
      </c>
      <c r="Y64" s="7">
        <v>0</v>
      </c>
      <c r="Z64" s="7">
        <v>0</v>
      </c>
      <c r="AA64" s="7">
        <v>0</v>
      </c>
      <c r="AB64" s="7">
        <v>0</v>
      </c>
      <c r="AC64" s="7">
        <v>0</v>
      </c>
    </row>
    <row r="65" spans="1:29" x14ac:dyDescent="0.85">
      <c r="A65" t="s">
        <v>163</v>
      </c>
      <c r="B65" s="7">
        <v>0</v>
      </c>
      <c r="C65" s="7">
        <v>0</v>
      </c>
      <c r="D65" s="7">
        <v>0</v>
      </c>
      <c r="E65" s="7">
        <v>0</v>
      </c>
      <c r="F65" s="7">
        <v>0</v>
      </c>
      <c r="G65" s="7">
        <v>0</v>
      </c>
      <c r="H65" s="7">
        <v>0</v>
      </c>
      <c r="I65" s="7">
        <v>0</v>
      </c>
      <c r="J65" s="7">
        <v>0</v>
      </c>
      <c r="K65" s="7">
        <v>0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v>0</v>
      </c>
      <c r="W65" s="7">
        <v>0</v>
      </c>
      <c r="X65" s="7">
        <v>0</v>
      </c>
      <c r="Y65" s="7">
        <v>0</v>
      </c>
      <c r="Z65" s="7">
        <v>0</v>
      </c>
      <c r="AA65" s="7">
        <v>0</v>
      </c>
      <c r="AB65" s="7">
        <v>0</v>
      </c>
      <c r="AC65" s="7">
        <v>0</v>
      </c>
    </row>
    <row r="66" spans="1:29" x14ac:dyDescent="0.85">
      <c r="A66" t="s">
        <v>164</v>
      </c>
      <c r="B66" s="7">
        <v>0</v>
      </c>
      <c r="C66" s="7">
        <v>0</v>
      </c>
      <c r="D66" s="7">
        <v>0</v>
      </c>
      <c r="E66" s="7">
        <v>0</v>
      </c>
      <c r="F66" s="7">
        <v>0</v>
      </c>
      <c r="G66" s="7">
        <v>0</v>
      </c>
      <c r="H66" s="7">
        <v>0</v>
      </c>
      <c r="I66" s="7">
        <v>0</v>
      </c>
      <c r="J66" s="7">
        <v>0</v>
      </c>
      <c r="K66" s="7">
        <v>0</v>
      </c>
      <c r="L66" s="7">
        <v>0</v>
      </c>
      <c r="M66" s="7">
        <v>0</v>
      </c>
      <c r="N66" s="7">
        <v>0</v>
      </c>
      <c r="O66" s="7">
        <v>0</v>
      </c>
      <c r="P66" s="7">
        <v>0</v>
      </c>
      <c r="Q66" s="7">
        <v>0</v>
      </c>
      <c r="R66" s="7">
        <v>0</v>
      </c>
      <c r="S66" s="7">
        <v>0</v>
      </c>
      <c r="T66" s="7">
        <v>0</v>
      </c>
      <c r="U66" s="7">
        <v>0</v>
      </c>
      <c r="V66" s="7">
        <v>0</v>
      </c>
      <c r="W66" s="7">
        <v>0</v>
      </c>
      <c r="X66" s="7">
        <v>0</v>
      </c>
      <c r="Y66" s="7">
        <v>0</v>
      </c>
      <c r="Z66" s="7">
        <v>0</v>
      </c>
      <c r="AA66" s="7">
        <v>0</v>
      </c>
      <c r="AB66" s="7">
        <v>0</v>
      </c>
      <c r="AC66" s="7">
        <v>0</v>
      </c>
    </row>
    <row r="67" spans="1:29" x14ac:dyDescent="0.85">
      <c r="A67" t="s">
        <v>165</v>
      </c>
      <c r="B67" s="7">
        <v>0</v>
      </c>
      <c r="C67" s="7">
        <v>0</v>
      </c>
      <c r="D67" s="7">
        <v>0</v>
      </c>
      <c r="E67" s="7">
        <v>0</v>
      </c>
      <c r="F67" s="7">
        <v>0</v>
      </c>
      <c r="G67" s="7">
        <v>0</v>
      </c>
      <c r="H67" s="7">
        <v>0</v>
      </c>
      <c r="I67" s="7">
        <v>0</v>
      </c>
      <c r="J67" s="7">
        <v>0</v>
      </c>
      <c r="K67" s="7">
        <v>0</v>
      </c>
      <c r="L67" s="7">
        <v>0</v>
      </c>
      <c r="M67" s="7">
        <v>0</v>
      </c>
      <c r="N67" s="7">
        <v>0</v>
      </c>
      <c r="O67" s="7">
        <v>0</v>
      </c>
      <c r="P67" s="7">
        <v>0</v>
      </c>
      <c r="Q67" s="7">
        <v>0</v>
      </c>
      <c r="R67" s="7">
        <v>0</v>
      </c>
      <c r="S67" s="7">
        <v>0</v>
      </c>
      <c r="T67" s="7">
        <v>0</v>
      </c>
      <c r="U67" s="7">
        <v>0</v>
      </c>
      <c r="V67" s="7">
        <v>0</v>
      </c>
      <c r="W67" s="7">
        <v>0</v>
      </c>
      <c r="X67" s="7">
        <v>0</v>
      </c>
      <c r="Y67" s="7">
        <v>0</v>
      </c>
      <c r="Z67" s="7">
        <v>0</v>
      </c>
      <c r="AA67" s="7">
        <v>0</v>
      </c>
      <c r="AB67" s="7">
        <v>0</v>
      </c>
      <c r="AC67" s="7">
        <v>0</v>
      </c>
    </row>
    <row r="68" spans="1:29" x14ac:dyDescent="0.85">
      <c r="A68" t="s">
        <v>166</v>
      </c>
      <c r="B68" s="7">
        <v>0</v>
      </c>
      <c r="C68" s="7">
        <v>0</v>
      </c>
      <c r="D68" s="7">
        <v>0</v>
      </c>
      <c r="E68" s="7">
        <v>0</v>
      </c>
      <c r="F68" s="7">
        <v>0</v>
      </c>
      <c r="G68" s="7">
        <v>0</v>
      </c>
      <c r="H68" s="7">
        <v>0</v>
      </c>
      <c r="I68" s="7">
        <v>0</v>
      </c>
      <c r="J68" s="7">
        <v>0</v>
      </c>
      <c r="K68" s="7">
        <v>0</v>
      </c>
      <c r="L68" s="7">
        <v>0</v>
      </c>
      <c r="M68" s="7">
        <v>0</v>
      </c>
      <c r="N68" s="7">
        <v>0</v>
      </c>
      <c r="O68" s="7">
        <v>0</v>
      </c>
      <c r="P68" s="7">
        <v>0</v>
      </c>
      <c r="Q68" s="7">
        <v>0</v>
      </c>
      <c r="R68" s="7">
        <v>0</v>
      </c>
      <c r="S68" s="7">
        <v>0</v>
      </c>
      <c r="T68" s="7">
        <v>0</v>
      </c>
      <c r="U68" s="7">
        <v>0</v>
      </c>
      <c r="V68" s="7">
        <v>0</v>
      </c>
      <c r="W68" s="7">
        <v>0</v>
      </c>
      <c r="X68" s="7">
        <v>0</v>
      </c>
      <c r="Y68" s="7">
        <v>0</v>
      </c>
      <c r="Z68" s="7">
        <v>0</v>
      </c>
      <c r="AA68" s="7">
        <v>0</v>
      </c>
      <c r="AB68" s="7">
        <v>0</v>
      </c>
      <c r="AC68" s="7">
        <v>0</v>
      </c>
    </row>
    <row r="69" spans="1:29" x14ac:dyDescent="0.85">
      <c r="A69" t="s">
        <v>167</v>
      </c>
      <c r="B69" s="7">
        <v>1</v>
      </c>
      <c r="C69" s="7">
        <v>1.0249999999999999</v>
      </c>
      <c r="D69" s="7">
        <v>3.6421519999999999E-2</v>
      </c>
      <c r="E69" s="7">
        <v>0</v>
      </c>
      <c r="F69" s="7">
        <v>0</v>
      </c>
      <c r="G69" s="7">
        <v>5.9999999999999995E-8</v>
      </c>
      <c r="H69" s="7">
        <v>7.0000000000000005E-8</v>
      </c>
      <c r="I69" s="7">
        <v>1.3E-7</v>
      </c>
      <c r="J69" s="7">
        <v>3.1E-7</v>
      </c>
      <c r="K69" s="7">
        <v>7.0000000000000005E-8</v>
      </c>
      <c r="L69" s="7">
        <v>7.0000000000000005E-8</v>
      </c>
      <c r="M69" s="7">
        <v>0</v>
      </c>
      <c r="N69" s="7">
        <v>0</v>
      </c>
      <c r="O69" s="7">
        <v>1.7400000000000001E-6</v>
      </c>
      <c r="P69" s="7">
        <v>3.4999999999999998E-7</v>
      </c>
      <c r="Q69" s="7">
        <v>3.8000000000000001E-7</v>
      </c>
      <c r="R69" s="7">
        <v>2.7000000000000001E-7</v>
      </c>
      <c r="S69" s="7">
        <v>2.7000000000000001E-7</v>
      </c>
      <c r="T69" s="7">
        <v>2.7000000000000001E-7</v>
      </c>
      <c r="U69" s="7">
        <v>3.4300000000000002E-6</v>
      </c>
      <c r="V69" s="7">
        <v>2.9000000000000002E-6</v>
      </c>
      <c r="W69" s="7">
        <v>2.1900000000000002E-6</v>
      </c>
      <c r="X69" s="7">
        <v>1.42E-6</v>
      </c>
      <c r="Y69" s="7">
        <v>2.2000000000000001E-6</v>
      </c>
      <c r="Z69" s="7">
        <v>1.3799999999999999E-6</v>
      </c>
      <c r="AA69" s="7">
        <v>1.9700000000000002E-6</v>
      </c>
      <c r="AB69" s="7">
        <v>1.86E-6</v>
      </c>
      <c r="AC69" s="7">
        <v>1.81E-6</v>
      </c>
    </row>
    <row r="70" spans="1:29" x14ac:dyDescent="0.85">
      <c r="A70" t="s">
        <v>168</v>
      </c>
      <c r="B70" s="7">
        <v>1</v>
      </c>
      <c r="C70" s="7">
        <v>3.6421519999999999E-2</v>
      </c>
      <c r="D70" s="7">
        <v>0</v>
      </c>
      <c r="E70" s="7">
        <v>0</v>
      </c>
      <c r="F70" s="7">
        <v>5.9999999999999995E-8</v>
      </c>
      <c r="G70" s="7">
        <v>7.0000000000000005E-8</v>
      </c>
      <c r="H70" s="7">
        <v>1.3E-7</v>
      </c>
      <c r="I70" s="7">
        <v>3.1E-7</v>
      </c>
      <c r="J70" s="7">
        <v>7.0000000000000005E-8</v>
      </c>
      <c r="K70" s="7">
        <v>7.0000000000000005E-8</v>
      </c>
      <c r="L70" s="7">
        <v>0</v>
      </c>
      <c r="M70" s="7">
        <v>0</v>
      </c>
      <c r="N70" s="7">
        <v>1.7400000000000001E-6</v>
      </c>
      <c r="O70" s="7">
        <v>3.4999999999999998E-7</v>
      </c>
      <c r="P70" s="7">
        <v>3.8000000000000001E-7</v>
      </c>
      <c r="Q70" s="7">
        <v>2.7000000000000001E-7</v>
      </c>
      <c r="R70" s="7">
        <v>2.7000000000000001E-7</v>
      </c>
      <c r="S70" s="7">
        <v>2.7000000000000001E-7</v>
      </c>
      <c r="T70" s="7">
        <v>3.4300000000000002E-6</v>
      </c>
      <c r="U70" s="7">
        <v>2.9000000000000002E-6</v>
      </c>
      <c r="V70" s="7">
        <v>2.1900000000000002E-6</v>
      </c>
      <c r="W70" s="7">
        <v>1.42E-6</v>
      </c>
      <c r="X70" s="7">
        <v>2.2000000000000001E-6</v>
      </c>
      <c r="Y70" s="7">
        <v>1.3799999999999999E-6</v>
      </c>
      <c r="Z70" s="7">
        <v>1.9700000000000002E-6</v>
      </c>
      <c r="AA70" s="7">
        <v>1.86E-6</v>
      </c>
      <c r="AB70" s="7">
        <v>1.81E-6</v>
      </c>
      <c r="AC70" s="7">
        <v>1.7799999999999999E-6</v>
      </c>
    </row>
    <row r="71" spans="1:29" x14ac:dyDescent="0.85">
      <c r="A71" t="s">
        <v>169</v>
      </c>
      <c r="B71" s="7">
        <v>1</v>
      </c>
      <c r="C71" s="7">
        <v>10</v>
      </c>
      <c r="D71" s="7">
        <v>10</v>
      </c>
      <c r="E71" s="7">
        <v>10</v>
      </c>
      <c r="F71" s="7">
        <v>10</v>
      </c>
      <c r="G71" s="7">
        <v>10</v>
      </c>
      <c r="H71" s="7">
        <v>10</v>
      </c>
      <c r="I71" s="7">
        <v>10</v>
      </c>
      <c r="J71" s="7">
        <v>10</v>
      </c>
      <c r="K71" s="7">
        <v>10</v>
      </c>
      <c r="L71" s="7">
        <v>10</v>
      </c>
      <c r="M71" s="7">
        <v>10</v>
      </c>
      <c r="N71" s="7">
        <v>10</v>
      </c>
      <c r="O71" s="7">
        <v>10</v>
      </c>
      <c r="P71" s="7">
        <v>10</v>
      </c>
      <c r="Q71" s="7">
        <v>10</v>
      </c>
      <c r="R71" s="7">
        <v>10</v>
      </c>
      <c r="S71" s="7">
        <v>10</v>
      </c>
      <c r="T71" s="7">
        <v>10</v>
      </c>
      <c r="U71" s="7">
        <v>10</v>
      </c>
      <c r="V71" s="7">
        <v>10</v>
      </c>
      <c r="W71" s="7">
        <v>10</v>
      </c>
      <c r="X71" s="7">
        <v>10</v>
      </c>
      <c r="Y71" s="7">
        <v>10</v>
      </c>
      <c r="Z71" s="7">
        <v>10</v>
      </c>
      <c r="AA71" s="7">
        <v>10</v>
      </c>
      <c r="AB71" s="7">
        <v>10</v>
      </c>
      <c r="AC71" s="7">
        <v>10</v>
      </c>
    </row>
    <row r="72" spans="1:29" x14ac:dyDescent="0.85">
      <c r="A72" t="s">
        <v>170</v>
      </c>
      <c r="B72" s="7">
        <v>0</v>
      </c>
      <c r="C72" s="7">
        <v>1.1279E-4</v>
      </c>
      <c r="D72" s="7">
        <v>0.15970646999999999</v>
      </c>
      <c r="E72" s="7">
        <v>3.8652209499999999</v>
      </c>
      <c r="F72" s="7">
        <v>3.47976208</v>
      </c>
      <c r="G72" s="7">
        <v>3.1319242900000002</v>
      </c>
      <c r="H72" s="7">
        <v>2.8187341699999999</v>
      </c>
      <c r="I72" s="7">
        <v>2.5372938299999999</v>
      </c>
      <c r="J72" s="7">
        <v>2.28357615</v>
      </c>
      <c r="K72" s="7">
        <v>2.0557706499999999</v>
      </c>
      <c r="L72" s="7">
        <v>3.5953912300000002</v>
      </c>
      <c r="M72" s="7">
        <v>22.066886060000002</v>
      </c>
      <c r="N72" s="7">
        <v>19.862113839999999</v>
      </c>
      <c r="O72" s="7">
        <v>17.878617240000001</v>
      </c>
      <c r="P72" s="7">
        <v>16.090798289999999</v>
      </c>
      <c r="Q72" s="7">
        <v>14.781293529999999</v>
      </c>
      <c r="R72" s="7">
        <v>13.303172849999999</v>
      </c>
      <c r="S72" s="7">
        <v>11.973084650000001</v>
      </c>
      <c r="T72" s="7">
        <v>24.20373201</v>
      </c>
      <c r="U72" s="7">
        <v>21.785497840000001</v>
      </c>
      <c r="V72" s="7">
        <v>19.60698081</v>
      </c>
      <c r="W72" s="7">
        <v>17.65962884</v>
      </c>
      <c r="X72" s="7">
        <v>15.893890819999999</v>
      </c>
      <c r="Y72" s="7">
        <v>14.30468263</v>
      </c>
      <c r="Z72" s="7">
        <v>12.885710509999999</v>
      </c>
      <c r="AA72" s="7">
        <v>11.597139459999999</v>
      </c>
      <c r="AB72" s="7">
        <v>10.437425510000001</v>
      </c>
      <c r="AC72" s="7">
        <v>9.3936829599999996</v>
      </c>
    </row>
    <row r="73" spans="1:29" x14ac:dyDescent="0.85">
      <c r="A73" t="s">
        <v>171</v>
      </c>
      <c r="B73" s="7">
        <v>0</v>
      </c>
      <c r="C73" s="7">
        <v>0</v>
      </c>
      <c r="D73" s="7">
        <v>3.9636749999999998E-2</v>
      </c>
      <c r="E73" s="7">
        <v>0.93066190000000004</v>
      </c>
      <c r="F73" s="7">
        <v>2.2913E-4</v>
      </c>
      <c r="G73" s="7">
        <v>6.9690000000000005E-5</v>
      </c>
      <c r="H73" s="7">
        <v>0</v>
      </c>
      <c r="I73" s="7">
        <v>6.3E-5</v>
      </c>
      <c r="J73" s="7">
        <v>5.2410000000000001E-5</v>
      </c>
      <c r="K73" s="7">
        <v>1.3651000000000001E-4</v>
      </c>
      <c r="L73" s="7">
        <v>0.43629812000000001</v>
      </c>
      <c r="M73" s="7">
        <v>4.7077601700000002</v>
      </c>
      <c r="N73" s="7">
        <v>4.7497000000000001E-4</v>
      </c>
      <c r="O73" s="7">
        <v>4.2632E-4</v>
      </c>
      <c r="P73" s="7">
        <v>0</v>
      </c>
      <c r="Q73" s="7">
        <v>7.4989840000000002E-2</v>
      </c>
      <c r="R73" s="7">
        <v>0</v>
      </c>
      <c r="S73" s="7">
        <v>2.3148999999999999E-4</v>
      </c>
      <c r="T73" s="7">
        <v>3.35698747</v>
      </c>
      <c r="U73" s="7">
        <v>5.3600999999999996E-4</v>
      </c>
      <c r="V73" s="7">
        <v>4.9017371799999996</v>
      </c>
      <c r="W73" s="7">
        <v>4.41490721</v>
      </c>
      <c r="X73" s="7">
        <v>3.9734723299999999</v>
      </c>
      <c r="Y73" s="7">
        <v>3.5761431300000002</v>
      </c>
      <c r="Z73" s="7">
        <v>3.2214276000000002</v>
      </c>
      <c r="AA73" s="7">
        <v>2.8992842300000001</v>
      </c>
      <c r="AB73" s="7">
        <v>2.6093535299999999</v>
      </c>
      <c r="AC73" s="7">
        <v>2.3484196100000001</v>
      </c>
    </row>
    <row r="74" spans="1:29" x14ac:dyDescent="0.85">
      <c r="A74" t="s">
        <v>172</v>
      </c>
      <c r="B74" s="7">
        <v>0</v>
      </c>
      <c r="C74" s="7">
        <v>0</v>
      </c>
      <c r="D74" s="7">
        <v>3.9636749999999998E-2</v>
      </c>
      <c r="E74" s="7">
        <v>0.93066190000000004</v>
      </c>
      <c r="F74" s="7">
        <v>2.2913E-4</v>
      </c>
      <c r="G74" s="7">
        <v>6.9690000000000005E-5</v>
      </c>
      <c r="H74" s="7">
        <v>0</v>
      </c>
      <c r="I74" s="7">
        <v>6.3E-5</v>
      </c>
      <c r="J74" s="7">
        <v>5.2410000000000001E-5</v>
      </c>
      <c r="K74" s="7">
        <v>1.3651000000000001E-4</v>
      </c>
      <c r="L74" s="7">
        <v>0.43629812000000001</v>
      </c>
      <c r="M74" s="7">
        <v>4.7077601700000002</v>
      </c>
      <c r="N74" s="7">
        <v>4.7497000000000001E-4</v>
      </c>
      <c r="O74" s="7">
        <v>4.2632E-4</v>
      </c>
      <c r="P74" s="7">
        <v>0</v>
      </c>
      <c r="Q74" s="7">
        <v>7.4989840000000002E-2</v>
      </c>
      <c r="R74" s="7">
        <v>0</v>
      </c>
      <c r="S74" s="7">
        <v>2.3148999999999999E-4</v>
      </c>
      <c r="T74" s="7">
        <v>3.35698747</v>
      </c>
      <c r="U74" s="7">
        <v>5.3600999999999996E-4</v>
      </c>
      <c r="V74" s="7">
        <v>4.9017371799999996</v>
      </c>
      <c r="W74" s="7">
        <v>4.41490721</v>
      </c>
      <c r="X74" s="7">
        <v>3.9734723299999999</v>
      </c>
      <c r="Y74" s="7">
        <v>3.5761431300000002</v>
      </c>
      <c r="Z74" s="7">
        <v>3.2214276000000002</v>
      </c>
      <c r="AA74" s="7">
        <v>2.8992842300000001</v>
      </c>
      <c r="AB74" s="7">
        <v>2.6093535299999999</v>
      </c>
      <c r="AC74" s="7">
        <v>2.3484196100000001</v>
      </c>
    </row>
    <row r="75" spans="1:29" x14ac:dyDescent="0.85">
      <c r="A75" t="s">
        <v>173</v>
      </c>
      <c r="B75" s="7">
        <v>0</v>
      </c>
      <c r="C75" s="7">
        <v>2.995E-5</v>
      </c>
      <c r="D75" s="7">
        <v>4.2413230000000003E-2</v>
      </c>
      <c r="E75" s="7">
        <v>1.0264858699999999</v>
      </c>
      <c r="F75" s="7">
        <v>0.92410811000000004</v>
      </c>
      <c r="G75" s="7">
        <v>0.83173406000000005</v>
      </c>
      <c r="H75" s="7">
        <v>0.74856126999999995</v>
      </c>
      <c r="I75" s="7">
        <v>0.67382014999999995</v>
      </c>
      <c r="J75" s="7">
        <v>0.60644123999999999</v>
      </c>
      <c r="K75" s="7">
        <v>0.54594374000000001</v>
      </c>
      <c r="L75" s="7">
        <v>0.95482133999999996</v>
      </c>
      <c r="M75" s="7">
        <v>5.8602897199999999</v>
      </c>
      <c r="N75" s="7">
        <v>5.2747113399999996</v>
      </c>
      <c r="O75" s="7">
        <v>4.74796116</v>
      </c>
      <c r="P75" s="7">
        <v>4.2731763999999997</v>
      </c>
      <c r="Q75" s="7">
        <v>3.9254168800000002</v>
      </c>
      <c r="R75" s="7">
        <v>3.53287657</v>
      </c>
      <c r="S75" s="7">
        <v>3.1796497499999998</v>
      </c>
      <c r="T75" s="7">
        <v>6.4277457399999998</v>
      </c>
      <c r="U75" s="7">
        <v>5.7854976300000001</v>
      </c>
      <c r="V75" s="7">
        <v>5.2070240600000002</v>
      </c>
      <c r="W75" s="7">
        <v>4.6898659699999996</v>
      </c>
      <c r="X75" s="7">
        <v>4.2209390899999999</v>
      </c>
      <c r="Y75" s="7">
        <v>3.7988932200000001</v>
      </c>
      <c r="Z75" s="7">
        <v>3.4220569300000001</v>
      </c>
      <c r="AA75" s="7">
        <v>3.07985124</v>
      </c>
      <c r="AB75" s="7">
        <v>2.7718661099999999</v>
      </c>
      <c r="AC75" s="7">
        <v>2.4946795000000002</v>
      </c>
    </row>
    <row r="76" spans="1:29" x14ac:dyDescent="0.85">
      <c r="A76" t="s">
        <v>174</v>
      </c>
      <c r="B76" s="7">
        <v>0</v>
      </c>
      <c r="C76" s="7">
        <v>0</v>
      </c>
      <c r="D76" s="7">
        <v>1.8E-7</v>
      </c>
      <c r="E76" s="7">
        <v>6.2099999999999998E-6</v>
      </c>
      <c r="F76" s="7">
        <v>0</v>
      </c>
      <c r="G76" s="7">
        <v>0</v>
      </c>
      <c r="H76" s="7">
        <v>0</v>
      </c>
      <c r="I76" s="7">
        <v>0</v>
      </c>
      <c r="J76" s="7">
        <v>0</v>
      </c>
      <c r="K76" s="7">
        <v>0</v>
      </c>
      <c r="L76" s="7">
        <v>9.7100000000000002E-6</v>
      </c>
      <c r="M76" s="7">
        <v>1.1522E-4</v>
      </c>
      <c r="N76" s="7">
        <v>1E-8</v>
      </c>
      <c r="O76" s="7">
        <v>1E-8</v>
      </c>
      <c r="P76" s="7">
        <v>0</v>
      </c>
      <c r="Q76" s="7">
        <v>2.5000000000000002E-6</v>
      </c>
      <c r="R76" s="7">
        <v>0</v>
      </c>
      <c r="S76" s="7">
        <v>1E-8</v>
      </c>
      <c r="T76" s="7">
        <v>1.3444999999999999E-4</v>
      </c>
      <c r="U76" s="7">
        <v>2E-8</v>
      </c>
      <c r="V76" s="7">
        <v>2.1813E-4</v>
      </c>
      <c r="W76" s="7">
        <v>2.0629000000000001E-4</v>
      </c>
      <c r="X76" s="7">
        <v>1.9450000000000001E-4</v>
      </c>
      <c r="Y76" s="7">
        <v>1.8301E-4</v>
      </c>
      <c r="Z76" s="7">
        <v>1.7202E-4</v>
      </c>
      <c r="AA76" s="7">
        <v>1.6127000000000001E-4</v>
      </c>
      <c r="AB76" s="7">
        <v>1.5095000000000001E-4</v>
      </c>
      <c r="AC76" s="7">
        <v>1.4108E-4</v>
      </c>
    </row>
    <row r="77" spans="1:29" x14ac:dyDescent="0.85">
      <c r="A77" t="s">
        <v>175</v>
      </c>
      <c r="B77" s="7">
        <v>0</v>
      </c>
      <c r="C77" s="7">
        <v>0</v>
      </c>
      <c r="D77" s="7">
        <v>0</v>
      </c>
      <c r="E77" s="7">
        <v>9.9999999999999995E-8</v>
      </c>
      <c r="F77" s="7">
        <v>0</v>
      </c>
      <c r="G77" s="7">
        <v>0</v>
      </c>
      <c r="H77" s="7">
        <v>0</v>
      </c>
      <c r="I77" s="7">
        <v>0</v>
      </c>
      <c r="J77" s="7">
        <v>0</v>
      </c>
      <c r="K77" s="7">
        <v>0</v>
      </c>
      <c r="L77" s="7">
        <v>4.9999999999999998E-8</v>
      </c>
      <c r="M77" s="7">
        <v>5.2E-7</v>
      </c>
      <c r="N77" s="7">
        <v>0</v>
      </c>
      <c r="O77" s="7">
        <v>0</v>
      </c>
      <c r="P77" s="7">
        <v>0</v>
      </c>
      <c r="Q77" s="7">
        <v>1E-8</v>
      </c>
      <c r="R77" s="7">
        <v>0</v>
      </c>
      <c r="S77" s="7">
        <v>0</v>
      </c>
      <c r="T77" s="7">
        <v>3.7E-7</v>
      </c>
      <c r="U77" s="7">
        <v>0</v>
      </c>
      <c r="V77" s="7">
        <v>5.5000000000000003E-7</v>
      </c>
      <c r="W77" s="7">
        <v>4.8999999999999997E-7</v>
      </c>
      <c r="X77" s="7">
        <v>4.4000000000000002E-7</v>
      </c>
      <c r="Y77" s="7">
        <v>3.9999999999999998E-7</v>
      </c>
      <c r="Z77" s="7">
        <v>3.5999999999999999E-7</v>
      </c>
      <c r="AA77" s="7">
        <v>3.2000000000000001E-7</v>
      </c>
      <c r="AB77" s="7">
        <v>2.8999999999999998E-7</v>
      </c>
      <c r="AC77" s="7">
        <v>2.6E-7</v>
      </c>
    </row>
    <row r="78" spans="1:29" x14ac:dyDescent="0.85">
      <c r="A78" t="s">
        <v>176</v>
      </c>
      <c r="B78" s="7">
        <v>0</v>
      </c>
      <c r="C78" s="7">
        <v>2.995E-5</v>
      </c>
      <c r="D78" s="7">
        <v>4.2412680000000001E-2</v>
      </c>
      <c r="E78" s="7">
        <v>1.02647306</v>
      </c>
      <c r="F78" s="7">
        <v>0.92410811000000004</v>
      </c>
      <c r="G78" s="7">
        <v>0.83173406000000005</v>
      </c>
      <c r="H78" s="7">
        <v>0.74856126999999995</v>
      </c>
      <c r="I78" s="7">
        <v>0.67382014999999995</v>
      </c>
      <c r="J78" s="7">
        <v>0.60644123999999999</v>
      </c>
      <c r="K78" s="7">
        <v>0.54594374000000001</v>
      </c>
      <c r="L78" s="7">
        <v>0.95481534000000001</v>
      </c>
      <c r="M78" s="7">
        <v>5.8602248899999996</v>
      </c>
      <c r="N78" s="7">
        <v>5.2747113299999997</v>
      </c>
      <c r="O78" s="7">
        <v>4.74796116</v>
      </c>
      <c r="P78" s="7">
        <v>4.2731763999999997</v>
      </c>
      <c r="Q78" s="7">
        <v>3.9254158499999998</v>
      </c>
      <c r="R78" s="7">
        <v>3.53287657</v>
      </c>
      <c r="S78" s="7">
        <v>3.1796497499999998</v>
      </c>
      <c r="T78" s="7">
        <v>6.42769952</v>
      </c>
      <c r="U78" s="7">
        <v>5.7854976200000001</v>
      </c>
      <c r="V78" s="7">
        <v>5.2069565600000001</v>
      </c>
      <c r="W78" s="7">
        <v>4.6898051799999996</v>
      </c>
      <c r="X78" s="7">
        <v>4.2208843800000002</v>
      </c>
      <c r="Y78" s="7">
        <v>3.79884398</v>
      </c>
      <c r="Z78" s="7">
        <v>3.4220125700000001</v>
      </c>
      <c r="AA78" s="7">
        <v>3.0798113200000001</v>
      </c>
      <c r="AB78" s="7">
        <v>2.7718301799999998</v>
      </c>
      <c r="AC78" s="7">
        <v>2.4946471699999999</v>
      </c>
    </row>
    <row r="79" spans="1:29" x14ac:dyDescent="0.85">
      <c r="A79" t="s">
        <v>177</v>
      </c>
      <c r="B79" s="7">
        <v>0</v>
      </c>
      <c r="C79" s="7">
        <v>0</v>
      </c>
      <c r="D79" s="7">
        <v>5.5000000000000003E-7</v>
      </c>
      <c r="E79" s="7">
        <v>1.2819999999999999E-5</v>
      </c>
      <c r="F79" s="7">
        <v>0</v>
      </c>
      <c r="G79" s="7">
        <v>0</v>
      </c>
      <c r="H79" s="7">
        <v>0</v>
      </c>
      <c r="I79" s="7">
        <v>0</v>
      </c>
      <c r="J79" s="7">
        <v>0</v>
      </c>
      <c r="K79" s="7">
        <v>0</v>
      </c>
      <c r="L79" s="7">
        <v>6.0100000000000001E-6</v>
      </c>
      <c r="M79" s="7">
        <v>6.4830000000000001E-5</v>
      </c>
      <c r="N79" s="7">
        <v>1E-8</v>
      </c>
      <c r="O79" s="7">
        <v>1E-8</v>
      </c>
      <c r="P79" s="7">
        <v>0</v>
      </c>
      <c r="Q79" s="7">
        <v>1.0300000000000001E-6</v>
      </c>
      <c r="R79" s="7">
        <v>0</v>
      </c>
      <c r="S79" s="7">
        <v>0</v>
      </c>
      <c r="T79" s="7">
        <v>4.6230000000000003E-5</v>
      </c>
      <c r="U79" s="7">
        <v>1E-8</v>
      </c>
      <c r="V79" s="7">
        <v>6.7500000000000001E-5</v>
      </c>
      <c r="W79" s="7">
        <v>6.0789999999999999E-5</v>
      </c>
      <c r="X79" s="7">
        <v>5.4710000000000003E-5</v>
      </c>
      <c r="Y79" s="7">
        <v>4.9240000000000003E-5</v>
      </c>
      <c r="Z79" s="7">
        <v>4.4360000000000002E-5</v>
      </c>
      <c r="AA79" s="7">
        <v>3.9919999999999997E-5</v>
      </c>
      <c r="AB79" s="7">
        <v>3.5930000000000003E-5</v>
      </c>
      <c r="AC79" s="7">
        <v>3.2339999999999999E-5</v>
      </c>
    </row>
    <row r="80" spans="1:29" x14ac:dyDescent="0.85">
      <c r="A80" t="s">
        <v>178</v>
      </c>
      <c r="B80" s="7">
        <v>1</v>
      </c>
      <c r="C80" s="7">
        <v>1.1000000000000001</v>
      </c>
      <c r="D80" s="7">
        <v>1.00000026</v>
      </c>
      <c r="E80" s="7">
        <v>1.00036335</v>
      </c>
      <c r="F80" s="7">
        <v>1.0083233899999999</v>
      </c>
      <c r="G80" s="7">
        <v>1.00000234</v>
      </c>
      <c r="H80" s="7">
        <v>1.0000003</v>
      </c>
      <c r="I80" s="7">
        <v>1</v>
      </c>
      <c r="J80" s="7">
        <v>1.0000009000000001</v>
      </c>
      <c r="K80" s="7">
        <v>1.0000000200000001</v>
      </c>
      <c r="L80" s="7">
        <v>1.00000109</v>
      </c>
      <c r="M80" s="7">
        <v>1.0033461800000001</v>
      </c>
      <c r="N80" s="7">
        <v>1.0350809700000001</v>
      </c>
      <c r="O80" s="7">
        <v>1.00000344</v>
      </c>
      <c r="P80" s="7">
        <v>1.0000046899999999</v>
      </c>
      <c r="Q80" s="7">
        <v>1.00000007</v>
      </c>
      <c r="R80" s="7">
        <v>1.000481</v>
      </c>
      <c r="S80" s="7">
        <v>1.0000000099999999</v>
      </c>
      <c r="T80" s="7">
        <v>1.0000003399999999</v>
      </c>
      <c r="U80" s="7">
        <v>1.01939297</v>
      </c>
      <c r="V80" s="7">
        <v>1.0000029500000001</v>
      </c>
      <c r="W80" s="7">
        <v>1.00000004</v>
      </c>
      <c r="X80" s="7">
        <v>1.00001669</v>
      </c>
      <c r="Y80" s="7">
        <v>1.0000002699999999</v>
      </c>
      <c r="Z80" s="7">
        <v>1.0000001999999999</v>
      </c>
      <c r="AA80" s="7">
        <v>1.0000123999999999</v>
      </c>
      <c r="AB80" s="7">
        <v>1</v>
      </c>
      <c r="AC80" s="7">
        <v>1</v>
      </c>
    </row>
    <row r="81" spans="1:29" x14ac:dyDescent="0.85">
      <c r="A81" t="s">
        <v>179</v>
      </c>
      <c r="B81" s="7">
        <v>1</v>
      </c>
      <c r="C81" s="7">
        <v>1.00000026</v>
      </c>
      <c r="D81" s="7">
        <v>1.00036335</v>
      </c>
      <c r="E81" s="7">
        <v>1.0083233899999999</v>
      </c>
      <c r="F81" s="7">
        <v>1.00000234</v>
      </c>
      <c r="G81" s="7">
        <v>1.0000003</v>
      </c>
      <c r="H81" s="7">
        <v>1</v>
      </c>
      <c r="I81" s="7">
        <v>1.0000009000000001</v>
      </c>
      <c r="J81" s="7">
        <v>1.0000000200000001</v>
      </c>
      <c r="K81" s="7">
        <v>1.00000109</v>
      </c>
      <c r="L81" s="7">
        <v>1.0033461800000001</v>
      </c>
      <c r="M81" s="7">
        <v>1.0350809700000001</v>
      </c>
      <c r="N81" s="7">
        <v>1.00000344</v>
      </c>
      <c r="O81" s="7">
        <v>1.0000046899999999</v>
      </c>
      <c r="P81" s="7">
        <v>1.00000007</v>
      </c>
      <c r="Q81" s="7">
        <v>1.000481</v>
      </c>
      <c r="R81" s="7">
        <v>1.0000000099999999</v>
      </c>
      <c r="S81" s="7">
        <v>1.0000003399999999</v>
      </c>
      <c r="T81" s="7">
        <v>1.01939297</v>
      </c>
      <c r="U81" s="7">
        <v>1.0000029500000001</v>
      </c>
      <c r="V81" s="7">
        <v>1.00000004</v>
      </c>
      <c r="W81" s="7">
        <v>1.00001669</v>
      </c>
      <c r="X81" s="7">
        <v>1.0000002699999999</v>
      </c>
      <c r="Y81" s="7">
        <v>1.0000001999999999</v>
      </c>
      <c r="Z81" s="7">
        <v>1.0000123999999999</v>
      </c>
      <c r="AA81" s="7">
        <v>1</v>
      </c>
      <c r="AB81" s="7">
        <v>1</v>
      </c>
      <c r="AC81" s="7">
        <v>1</v>
      </c>
    </row>
    <row r="82" spans="1:29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A9466-4413-471E-8CFD-879638A55D11}">
  <sheetPr codeName="Sheet13"/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29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</row>
    <row r="2" spans="1:29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</row>
    <row r="3" spans="1:29" x14ac:dyDescent="0.85">
      <c r="A3" t="s">
        <v>69</v>
      </c>
      <c r="B3" s="7">
        <v>0</v>
      </c>
      <c r="C3" s="7">
        <v>20</v>
      </c>
      <c r="D3" s="7">
        <v>40</v>
      </c>
      <c r="E3" s="7">
        <v>60</v>
      </c>
      <c r="F3" s="7">
        <v>80</v>
      </c>
      <c r="G3" s="7">
        <v>100</v>
      </c>
      <c r="H3" s="7">
        <v>120</v>
      </c>
      <c r="I3" s="7">
        <v>140</v>
      </c>
      <c r="J3" s="7">
        <v>160</v>
      </c>
      <c r="K3" s="7">
        <v>180</v>
      </c>
      <c r="L3" s="7">
        <v>200</v>
      </c>
      <c r="M3" s="7">
        <v>220</v>
      </c>
      <c r="N3" s="7">
        <v>240</v>
      </c>
      <c r="O3" s="7">
        <v>260</v>
      </c>
      <c r="P3" s="7">
        <v>280</v>
      </c>
      <c r="Q3" s="7">
        <v>300</v>
      </c>
      <c r="R3" s="7">
        <v>320</v>
      </c>
      <c r="S3" s="7">
        <v>340</v>
      </c>
      <c r="T3" s="7">
        <v>360</v>
      </c>
      <c r="U3" s="7">
        <v>380</v>
      </c>
      <c r="V3" s="7">
        <v>400</v>
      </c>
      <c r="W3" s="7">
        <v>420</v>
      </c>
      <c r="X3" s="7">
        <v>440</v>
      </c>
      <c r="Y3" s="7">
        <v>460</v>
      </c>
      <c r="Z3" s="7">
        <v>480</v>
      </c>
      <c r="AA3" s="7">
        <v>500</v>
      </c>
      <c r="AB3" s="7">
        <v>520</v>
      </c>
      <c r="AC3" s="7">
        <v>540</v>
      </c>
    </row>
    <row r="4" spans="1:29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</row>
    <row r="5" spans="1:29" x14ac:dyDescent="0.85">
      <c r="A5" t="s">
        <v>105</v>
      </c>
      <c r="B5" s="7">
        <v>55048</v>
      </c>
      <c r="C5" s="7">
        <v>55526.965717469997</v>
      </c>
      <c r="D5" s="7">
        <v>56054.954891549998</v>
      </c>
      <c r="E5" s="7">
        <v>56628.583522460001</v>
      </c>
      <c r="F5" s="7">
        <v>57308.490256980003</v>
      </c>
      <c r="G5" s="7">
        <v>58452.443026230001</v>
      </c>
      <c r="H5" s="7">
        <v>62378.162690110003</v>
      </c>
      <c r="I5" s="7">
        <v>66576.684948680006</v>
      </c>
      <c r="J5" s="7">
        <v>71066.666847080007</v>
      </c>
      <c r="K5" s="7">
        <v>77789.672314809999</v>
      </c>
      <c r="L5" s="7">
        <v>84361.223130240003</v>
      </c>
      <c r="M5" s="7">
        <v>88729.676602940002</v>
      </c>
      <c r="N5" s="7">
        <v>91855.553404580001</v>
      </c>
      <c r="O5" s="7">
        <v>97679.210763730007</v>
      </c>
      <c r="P5" s="7">
        <v>103616.30210884</v>
      </c>
      <c r="Q5" s="7">
        <v>110150.44761745</v>
      </c>
      <c r="R5" s="7">
        <v>117033.67700946001</v>
      </c>
      <c r="S5" s="7">
        <v>124352.37098111</v>
      </c>
      <c r="T5" s="7">
        <v>131317.89122170999</v>
      </c>
      <c r="U5" s="7">
        <v>136572.84347108999</v>
      </c>
      <c r="V5" s="7">
        <v>141713.32680949999</v>
      </c>
      <c r="W5" s="7">
        <v>146585.34804680001</v>
      </c>
      <c r="X5" s="7">
        <v>151478.99417948001</v>
      </c>
      <c r="Y5" s="7">
        <v>155776.87209640999</v>
      </c>
      <c r="Z5" s="7">
        <v>159533.6777873</v>
      </c>
      <c r="AA5" s="7">
        <v>163424.62675045</v>
      </c>
      <c r="AB5" s="7">
        <v>168864.90762697</v>
      </c>
      <c r="AC5" s="7">
        <v>174508.49523927999</v>
      </c>
    </row>
    <row r="6" spans="1:29" x14ac:dyDescent="0.85">
      <c r="A6" t="s">
        <v>106</v>
      </c>
      <c r="B6" s="7">
        <v>234195297.75</v>
      </c>
      <c r="C6" s="7">
        <v>241589557.39489999</v>
      </c>
      <c r="D6" s="7">
        <v>249131703.956063</v>
      </c>
      <c r="E6" s="7">
        <v>256824694.04796901</v>
      </c>
      <c r="F6" s="7">
        <v>264671542.93511799</v>
      </c>
      <c r="G6" s="7">
        <v>272675326.697133</v>
      </c>
      <c r="H6" s="7">
        <v>280839161.57322299</v>
      </c>
      <c r="I6" s="7">
        <v>289166303.03391802</v>
      </c>
      <c r="J6" s="7">
        <v>297659981.88865203</v>
      </c>
      <c r="K6" s="7">
        <v>306323533.72540402</v>
      </c>
      <c r="L6" s="7">
        <v>315160392.49610001</v>
      </c>
      <c r="M6" s="7">
        <v>324173955.25595701</v>
      </c>
      <c r="N6" s="7">
        <v>333367789.50639701</v>
      </c>
      <c r="O6" s="7">
        <v>342748106.91641599</v>
      </c>
      <c r="P6" s="7">
        <v>352390415.69476199</v>
      </c>
      <c r="Q6" s="7">
        <v>362639973.61966801</v>
      </c>
      <c r="R6" s="7">
        <v>374076071.42681098</v>
      </c>
      <c r="S6" s="7">
        <v>387610888.37128901</v>
      </c>
      <c r="T6" s="7">
        <v>403060332.18562597</v>
      </c>
      <c r="U6" s="7">
        <v>416588764.88165498</v>
      </c>
      <c r="V6" s="7">
        <v>430453964.70067799</v>
      </c>
      <c r="W6" s="7">
        <v>444544949.42059499</v>
      </c>
      <c r="X6" s="7">
        <v>458984846.80547601</v>
      </c>
      <c r="Y6" s="7">
        <v>473222369.98518401</v>
      </c>
      <c r="Z6" s="7">
        <v>487397711.30972898</v>
      </c>
      <c r="AA6" s="7">
        <v>502167990.93252099</v>
      </c>
      <c r="AB6" s="7">
        <v>517542544.44434398</v>
      </c>
      <c r="AC6" s="7">
        <v>533561595.190566</v>
      </c>
    </row>
    <row r="7" spans="1:29" x14ac:dyDescent="0.85">
      <c r="A7" t="s">
        <v>107</v>
      </c>
      <c r="B7" s="7">
        <v>234195297.75</v>
      </c>
      <c r="C7" s="7">
        <v>241589558.73144999</v>
      </c>
      <c r="D7" s="7">
        <v>249131704.932529</v>
      </c>
      <c r="E7" s="7">
        <v>256824694.05762899</v>
      </c>
      <c r="F7" s="7">
        <v>264671542.96523201</v>
      </c>
      <c r="G7" s="7">
        <v>272675328.850986</v>
      </c>
      <c r="H7" s="7">
        <v>280839190.45445597</v>
      </c>
      <c r="I7" s="7">
        <v>289166329.28999501</v>
      </c>
      <c r="J7" s="7">
        <v>297660010.90224499</v>
      </c>
      <c r="K7" s="7">
        <v>306323566.14674002</v>
      </c>
      <c r="L7" s="7">
        <v>315160392.49612498</v>
      </c>
      <c r="M7" s="7">
        <v>324173955.37249702</v>
      </c>
      <c r="N7" s="7">
        <v>333367789.50639701</v>
      </c>
      <c r="O7" s="7">
        <v>342745500.32297498</v>
      </c>
      <c r="P7" s="7">
        <v>352310765.35588503</v>
      </c>
      <c r="Q7" s="7">
        <v>362067335.68945301</v>
      </c>
      <c r="R7" s="7">
        <v>372019037.42969197</v>
      </c>
      <c r="S7" s="7">
        <v>382169773.20473599</v>
      </c>
      <c r="T7" s="7">
        <v>392523523.69528002</v>
      </c>
      <c r="U7" s="7">
        <v>403084349.19563597</v>
      </c>
      <c r="V7" s="7">
        <v>413856391.20599902</v>
      </c>
      <c r="W7" s="7">
        <v>424843874.05656898</v>
      </c>
      <c r="X7" s="7">
        <v>436051106.56414998</v>
      </c>
      <c r="Y7" s="7">
        <v>447482483.721883</v>
      </c>
      <c r="Z7" s="7">
        <v>459142488.42277098</v>
      </c>
      <c r="AA7" s="7">
        <v>471035693.21767598</v>
      </c>
      <c r="AB7" s="7">
        <v>483166762.10847998</v>
      </c>
      <c r="AC7" s="7">
        <v>495540452.37709898</v>
      </c>
    </row>
    <row r="8" spans="1:29" x14ac:dyDescent="0.85">
      <c r="A8" t="s">
        <v>108</v>
      </c>
      <c r="B8" s="7">
        <v>19162.548844559999</v>
      </c>
      <c r="C8" s="7">
        <v>19012.666049790001</v>
      </c>
      <c r="D8" s="7">
        <v>18878.520155509999</v>
      </c>
      <c r="E8" s="7">
        <v>18758.86430266</v>
      </c>
      <c r="F8" s="7">
        <v>18665.885337970001</v>
      </c>
      <c r="G8" s="7">
        <v>18672.452809009999</v>
      </c>
      <c r="H8" s="7">
        <v>19438.13581453</v>
      </c>
      <c r="I8" s="7">
        <v>20262.614672240001</v>
      </c>
      <c r="J8" s="7">
        <v>21156.034738139999</v>
      </c>
      <c r="K8" s="7">
        <v>24203.12599294</v>
      </c>
      <c r="L8" s="7">
        <v>27355.425894929998</v>
      </c>
      <c r="M8" s="7">
        <v>30256.81751886</v>
      </c>
      <c r="N8" s="7">
        <v>30783.314979890001</v>
      </c>
      <c r="O8" s="7">
        <v>34151.04280499</v>
      </c>
      <c r="P8" s="7">
        <v>37684.08200106</v>
      </c>
      <c r="Q8" s="7">
        <v>41476.08592818</v>
      </c>
      <c r="R8" s="7">
        <v>45494.969194429999</v>
      </c>
      <c r="S8" s="7">
        <v>49765.288627540001</v>
      </c>
      <c r="T8" s="7">
        <v>53464.444387060001</v>
      </c>
      <c r="U8" s="7">
        <v>55159.832294239997</v>
      </c>
      <c r="V8" s="7">
        <v>56857.56355223</v>
      </c>
      <c r="W8" s="7">
        <v>58597.44760172</v>
      </c>
      <c r="X8" s="7">
        <v>60329.607456819998</v>
      </c>
      <c r="Y8" s="7">
        <v>62062.844231160001</v>
      </c>
      <c r="Z8" s="7">
        <v>63847.754737839998</v>
      </c>
      <c r="AA8" s="7">
        <v>65711.446673700004</v>
      </c>
      <c r="AB8" s="7">
        <v>67437.06552371</v>
      </c>
      <c r="AC8" s="7">
        <v>69276.238992850005</v>
      </c>
    </row>
    <row r="9" spans="1:29" x14ac:dyDescent="0.85">
      <c r="A9" t="s">
        <v>109</v>
      </c>
      <c r="B9" s="7">
        <v>4015.3697614799999</v>
      </c>
      <c r="C9" s="7">
        <v>4258.2947196499999</v>
      </c>
      <c r="D9" s="7">
        <v>4502.4824237100001</v>
      </c>
      <c r="E9" s="7">
        <v>4747.91312647</v>
      </c>
      <c r="F9" s="7">
        <v>4995.2169426199998</v>
      </c>
      <c r="G9" s="7">
        <v>5245.2951501899997</v>
      </c>
      <c r="H9" s="7">
        <v>5318.6095949999999</v>
      </c>
      <c r="I9" s="7">
        <v>5387.2489083299997</v>
      </c>
      <c r="J9" s="7">
        <v>5451.5063638900001</v>
      </c>
      <c r="K9" s="7">
        <v>5312.9135067400002</v>
      </c>
      <c r="L9" s="7">
        <v>5140.6001993999998</v>
      </c>
      <c r="M9" s="7">
        <v>4917.5942144700002</v>
      </c>
      <c r="N9" s="7">
        <v>4955.7075812599996</v>
      </c>
      <c r="O9" s="7">
        <v>4707.4809476199998</v>
      </c>
      <c r="P9" s="7">
        <v>4437.6552744399996</v>
      </c>
      <c r="Q9" s="7">
        <v>4154.3204005199996</v>
      </c>
      <c r="R9" s="7">
        <v>3868.5054080899999</v>
      </c>
      <c r="S9" s="7">
        <v>3600.8210743999998</v>
      </c>
      <c r="T9" s="7">
        <v>3428.8880816199999</v>
      </c>
      <c r="U9" s="7">
        <v>3405.0470481100001</v>
      </c>
      <c r="V9" s="7">
        <v>3392.4414888299998</v>
      </c>
      <c r="W9" s="7">
        <v>3391.7087195499998</v>
      </c>
      <c r="X9" s="7">
        <v>3398.5984190999998</v>
      </c>
      <c r="Y9" s="7">
        <v>3424.19202597</v>
      </c>
      <c r="Z9" s="7">
        <v>3468.1210635100001</v>
      </c>
      <c r="AA9" s="7">
        <v>3517.18571509</v>
      </c>
      <c r="AB9" s="7">
        <v>3548.70563477</v>
      </c>
      <c r="AC9" s="7">
        <v>3580.5211147099999</v>
      </c>
    </row>
    <row r="10" spans="1:29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</row>
    <row r="11" spans="1:29" x14ac:dyDescent="0.85">
      <c r="A11" t="s">
        <v>37</v>
      </c>
      <c r="B11" s="7">
        <v>0</v>
      </c>
      <c r="C11" s="7">
        <v>2270.0974896500002</v>
      </c>
      <c r="D11" s="7">
        <v>4708.2070387399999</v>
      </c>
      <c r="E11" s="7">
        <v>7316.9189251999996</v>
      </c>
      <c r="F11" s="7">
        <v>10095.512960939999</v>
      </c>
      <c r="G11" s="7">
        <v>12956.62275477</v>
      </c>
      <c r="H11" s="7">
        <v>15307.358498969999</v>
      </c>
      <c r="I11" s="7">
        <v>17576.071633930002</v>
      </c>
      <c r="J11" s="7">
        <v>19721.77398378</v>
      </c>
      <c r="K11" s="7">
        <v>19714.16086566</v>
      </c>
      <c r="L11" s="7">
        <v>19199.325021010001</v>
      </c>
      <c r="M11" s="7">
        <v>19385.548586860001</v>
      </c>
      <c r="N11" s="7">
        <v>21406.371168289999</v>
      </c>
      <c r="O11" s="7">
        <v>20934.40945617</v>
      </c>
      <c r="P11" s="7">
        <v>19933.055327940001</v>
      </c>
      <c r="Q11" s="7">
        <v>18410.94353371</v>
      </c>
      <c r="R11" s="7">
        <v>16402.00944668</v>
      </c>
      <c r="S11" s="7">
        <v>14024.958843410001</v>
      </c>
      <c r="T11" s="7">
        <v>12265.97287856</v>
      </c>
      <c r="U11" s="7">
        <v>12463.52573483</v>
      </c>
      <c r="V11" s="7">
        <v>12688.363001920001</v>
      </c>
      <c r="W11" s="7">
        <v>12903.38600851</v>
      </c>
      <c r="X11" s="7">
        <v>13161.60280242</v>
      </c>
      <c r="Y11" s="7">
        <v>13461.889987</v>
      </c>
      <c r="Z11" s="7">
        <v>13775.522980510001</v>
      </c>
      <c r="AA11" s="7">
        <v>14077.84954573</v>
      </c>
      <c r="AB11" s="7">
        <v>14604.015764719999</v>
      </c>
      <c r="AC11" s="7">
        <v>15071.3316696</v>
      </c>
    </row>
    <row r="12" spans="1:29" x14ac:dyDescent="0.85">
      <c r="A12" t="s">
        <v>111</v>
      </c>
      <c r="B12" s="7">
        <v>23177.918606039999</v>
      </c>
      <c r="C12" s="7">
        <v>23270.96076944</v>
      </c>
      <c r="D12" s="7">
        <v>23381.002579219999</v>
      </c>
      <c r="E12" s="7">
        <v>23506.777429130001</v>
      </c>
      <c r="F12" s="7">
        <v>23661.1022806</v>
      </c>
      <c r="G12" s="7">
        <v>23917.747959209999</v>
      </c>
      <c r="H12" s="7">
        <v>24756.745409520001</v>
      </c>
      <c r="I12" s="7">
        <v>25649.86358057</v>
      </c>
      <c r="J12" s="7">
        <v>26607.541102030002</v>
      </c>
      <c r="K12" s="7">
        <v>29516.039499679999</v>
      </c>
      <c r="L12" s="7">
        <v>32496.026094330002</v>
      </c>
      <c r="M12" s="7">
        <v>35174.411733330002</v>
      </c>
      <c r="N12" s="7">
        <v>35739.022561140002</v>
      </c>
      <c r="O12" s="7">
        <v>38858.523752610003</v>
      </c>
      <c r="P12" s="7">
        <v>42121.737275489999</v>
      </c>
      <c r="Q12" s="7">
        <v>45630.406328700003</v>
      </c>
      <c r="R12" s="7">
        <v>49363.47460252</v>
      </c>
      <c r="S12" s="7">
        <v>53366.109701939997</v>
      </c>
      <c r="T12" s="7">
        <v>56893.332468679997</v>
      </c>
      <c r="U12" s="7">
        <v>58564.879342350003</v>
      </c>
      <c r="V12" s="7">
        <v>60250.005041060002</v>
      </c>
      <c r="W12" s="7">
        <v>61989.156321260001</v>
      </c>
      <c r="X12" s="7">
        <v>63728.205875909996</v>
      </c>
      <c r="Y12" s="7">
        <v>65487.036257129999</v>
      </c>
      <c r="Z12" s="7">
        <v>67315.875801339993</v>
      </c>
      <c r="AA12" s="7">
        <v>69228.632388800004</v>
      </c>
      <c r="AB12" s="7">
        <v>70985.771158489995</v>
      </c>
      <c r="AC12" s="7">
        <v>72856.760107559996</v>
      </c>
    </row>
    <row r="13" spans="1:29" x14ac:dyDescent="0.85">
      <c r="A13" t="s">
        <v>112</v>
      </c>
      <c r="B13" s="7">
        <v>23177.918606039999</v>
      </c>
      <c r="C13" s="7">
        <v>25541.058259090001</v>
      </c>
      <c r="D13" s="7">
        <v>28089.209617960001</v>
      </c>
      <c r="E13" s="7">
        <v>30823.69635432</v>
      </c>
      <c r="F13" s="7">
        <v>33756.615241539999</v>
      </c>
      <c r="G13" s="7">
        <v>36874.370713980003</v>
      </c>
      <c r="H13" s="7">
        <v>40064.103908500001</v>
      </c>
      <c r="I13" s="7">
        <v>43225.935214489997</v>
      </c>
      <c r="J13" s="7">
        <v>46329.315085820002</v>
      </c>
      <c r="K13" s="7">
        <v>49230.200365340002</v>
      </c>
      <c r="L13" s="7">
        <v>51695.351115340003</v>
      </c>
      <c r="M13" s="7">
        <v>54559.960320190003</v>
      </c>
      <c r="N13" s="7">
        <v>57145.393729440002</v>
      </c>
      <c r="O13" s="7">
        <v>59792.933208779999</v>
      </c>
      <c r="P13" s="7">
        <v>62054.792603430004</v>
      </c>
      <c r="Q13" s="7">
        <v>64041.349862410003</v>
      </c>
      <c r="R13" s="7">
        <v>65765.484049199993</v>
      </c>
      <c r="S13" s="7">
        <v>67391.068545350005</v>
      </c>
      <c r="T13" s="7">
        <v>69159.305347240006</v>
      </c>
      <c r="U13" s="7">
        <v>71028.405077169999</v>
      </c>
      <c r="V13" s="7">
        <v>72938.368042980001</v>
      </c>
      <c r="W13" s="7">
        <v>74892.542329770004</v>
      </c>
      <c r="X13" s="7">
        <v>76889.808678329995</v>
      </c>
      <c r="Y13" s="7">
        <v>78948.926244129994</v>
      </c>
      <c r="Z13" s="7">
        <v>81091.398781850003</v>
      </c>
      <c r="AA13" s="7">
        <v>83306.481934519994</v>
      </c>
      <c r="AB13" s="7">
        <v>85589.786923199994</v>
      </c>
      <c r="AC13" s="7">
        <v>87928.091777160007</v>
      </c>
    </row>
    <row r="14" spans="1:29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</row>
    <row r="15" spans="1:29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</row>
    <row r="16" spans="1:29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</row>
    <row r="17" spans="1:29" x14ac:dyDescent="0.85">
      <c r="A17" t="s">
        <v>115</v>
      </c>
      <c r="B17" s="7">
        <v>7201</v>
      </c>
      <c r="C17" s="7">
        <v>6960.9667034900003</v>
      </c>
      <c r="D17" s="7">
        <v>6728.9346704299996</v>
      </c>
      <c r="E17" s="7">
        <v>6507.1748572099996</v>
      </c>
      <c r="F17" s="7">
        <v>6291.7625614099998</v>
      </c>
      <c r="G17" s="7">
        <v>6082.3819196300001</v>
      </c>
      <c r="H17" s="7">
        <v>6998.7377750300002</v>
      </c>
      <c r="I17" s="7">
        <v>7969.5271951100003</v>
      </c>
      <c r="J17" s="7">
        <v>8998.6620923400005</v>
      </c>
      <c r="K17" s="7">
        <v>10090.271182259999</v>
      </c>
      <c r="L17" s="7">
        <v>11281.836186320001</v>
      </c>
      <c r="M17" s="7">
        <v>12569.31458934</v>
      </c>
      <c r="N17" s="7">
        <v>13913.616284539999</v>
      </c>
      <c r="O17" s="7">
        <v>15292.65574776</v>
      </c>
      <c r="P17" s="7">
        <v>16752.169747970001</v>
      </c>
      <c r="Q17" s="7">
        <v>18292.97519121</v>
      </c>
      <c r="R17" s="7">
        <v>19924.163774069999</v>
      </c>
      <c r="S17" s="7">
        <v>21650.451248599999</v>
      </c>
      <c r="T17" s="7">
        <v>23477.96737156</v>
      </c>
      <c r="U17" s="7">
        <v>25399.243751459999</v>
      </c>
      <c r="V17" s="7">
        <v>27053.71966314</v>
      </c>
      <c r="W17" s="7">
        <v>28162.687401759998</v>
      </c>
      <c r="X17" s="7">
        <v>29226.151126659999</v>
      </c>
      <c r="Y17" s="7">
        <v>29277.210356790001</v>
      </c>
      <c r="Z17" s="7">
        <v>28314.672594029998</v>
      </c>
      <c r="AA17" s="7">
        <v>27370.85017423</v>
      </c>
      <c r="AB17" s="7">
        <v>28442.359900740001</v>
      </c>
      <c r="AC17" s="7">
        <v>29545.884061289998</v>
      </c>
    </row>
    <row r="18" spans="1:29" x14ac:dyDescent="0.85">
      <c r="A18" t="s">
        <v>116</v>
      </c>
      <c r="B18" s="7">
        <v>12723958.25</v>
      </c>
      <c r="C18" s="7">
        <v>12299826.373404199</v>
      </c>
      <c r="D18" s="7">
        <v>11889832.497368401</v>
      </c>
      <c r="E18" s="7">
        <v>11497989.336002</v>
      </c>
      <c r="F18" s="7">
        <v>11117362.0539263</v>
      </c>
      <c r="G18" s="7">
        <v>10747392.529645501</v>
      </c>
      <c r="H18" s="7">
        <v>12366566.7618604</v>
      </c>
      <c r="I18" s="7">
        <v>14081923.5248992</v>
      </c>
      <c r="J18" s="7">
        <v>15900375.054677799</v>
      </c>
      <c r="K18" s="7">
        <v>17829216.6718853</v>
      </c>
      <c r="L18" s="7">
        <v>19934677.491755798</v>
      </c>
      <c r="M18" s="7">
        <v>22209614.507127501</v>
      </c>
      <c r="N18" s="7">
        <v>24584956.6325492</v>
      </c>
      <c r="O18" s="7">
        <v>27021026.978905398</v>
      </c>
      <c r="P18" s="7">
        <v>29580358.699801799</v>
      </c>
      <c r="Q18" s="7">
        <v>32176507.532189898</v>
      </c>
      <c r="R18" s="7">
        <v>34674648.875943497</v>
      </c>
      <c r="S18" s="7">
        <v>36842152.733579703</v>
      </c>
      <c r="T18" s="7">
        <v>38730536.830643602</v>
      </c>
      <c r="U18" s="7">
        <v>41329813.540728599</v>
      </c>
      <c r="V18" s="7">
        <v>43457033.259270303</v>
      </c>
      <c r="W18" s="7">
        <v>44700665.678701602</v>
      </c>
      <c r="X18" s="7">
        <v>45862802.741587199</v>
      </c>
      <c r="Y18" s="7">
        <v>45528160.412272401</v>
      </c>
      <c r="Z18" s="7">
        <v>43683582.852126598</v>
      </c>
      <c r="AA18" s="7">
        <v>41843008.952964798</v>
      </c>
      <c r="AB18" s="7">
        <v>43141626.988612197</v>
      </c>
      <c r="AC18" s="7">
        <v>44422927.023140997</v>
      </c>
    </row>
    <row r="19" spans="1:29" x14ac:dyDescent="0.85">
      <c r="A19" t="s">
        <v>117</v>
      </c>
      <c r="B19" s="7">
        <v>12723958.25</v>
      </c>
      <c r="C19" s="7">
        <v>12299826.373404199</v>
      </c>
      <c r="D19" s="7">
        <v>11889832.497368401</v>
      </c>
      <c r="E19" s="7">
        <v>11497989.336002</v>
      </c>
      <c r="F19" s="7">
        <v>11117362.0539263</v>
      </c>
      <c r="G19" s="7">
        <v>10747392.529645501</v>
      </c>
      <c r="H19" s="7">
        <v>12366566.7618604</v>
      </c>
      <c r="I19" s="7">
        <v>14081923.5248992</v>
      </c>
      <c r="J19" s="7">
        <v>15900375.054677799</v>
      </c>
      <c r="K19" s="7">
        <v>17829216.6718853</v>
      </c>
      <c r="L19" s="7">
        <v>19934677.491755798</v>
      </c>
      <c r="M19" s="7">
        <v>22209614.507127501</v>
      </c>
      <c r="N19" s="7">
        <v>24584956.6325492</v>
      </c>
      <c r="O19" s="7">
        <v>27021679.387050599</v>
      </c>
      <c r="P19" s="7">
        <v>29600598.3155283</v>
      </c>
      <c r="Q19" s="7">
        <v>32323156.867278501</v>
      </c>
      <c r="R19" s="7">
        <v>35205419.806618802</v>
      </c>
      <c r="S19" s="7">
        <v>38255719.730706297</v>
      </c>
      <c r="T19" s="7">
        <v>41484887.7420623</v>
      </c>
      <c r="U19" s="7">
        <v>44879727.409400098</v>
      </c>
      <c r="V19" s="7">
        <v>47803138.3837042</v>
      </c>
      <c r="W19" s="7">
        <v>49762652.229943499</v>
      </c>
      <c r="X19" s="7">
        <v>51641761.803049497</v>
      </c>
      <c r="Y19" s="7">
        <v>51731981.9825394</v>
      </c>
      <c r="Z19" s="7">
        <v>50031205.6587843</v>
      </c>
      <c r="AA19" s="7">
        <v>48363498.803492099</v>
      </c>
      <c r="AB19" s="7">
        <v>50256825.428201102</v>
      </c>
      <c r="AC19" s="7">
        <v>52206720.629805401</v>
      </c>
    </row>
    <row r="20" spans="1:29" x14ac:dyDescent="0.85">
      <c r="A20" t="s">
        <v>118</v>
      </c>
      <c r="B20" s="7">
        <v>1470.1406966300001</v>
      </c>
      <c r="C20" s="7">
        <v>1421.1360142599999</v>
      </c>
      <c r="D20" s="7">
        <v>1373.76485265</v>
      </c>
      <c r="E20" s="7">
        <v>1328.49084539</v>
      </c>
      <c r="F20" s="7">
        <v>1284.5127336600001</v>
      </c>
      <c r="G20" s="7">
        <v>1241.7660314499999</v>
      </c>
      <c r="H20" s="7">
        <v>1428.8472751100001</v>
      </c>
      <c r="I20" s="7">
        <v>1627.0415584499999</v>
      </c>
      <c r="J20" s="7">
        <v>1837.1475291100001</v>
      </c>
      <c r="K20" s="7">
        <v>2060.0080968000002</v>
      </c>
      <c r="L20" s="7">
        <v>2303.2754492700001</v>
      </c>
      <c r="M20" s="7">
        <v>2566.12427531</v>
      </c>
      <c r="N20" s="7">
        <v>2840.5740226600001</v>
      </c>
      <c r="O20" s="7">
        <v>3122.1157581299999</v>
      </c>
      <c r="P20" s="7">
        <v>3420.0870022700001</v>
      </c>
      <c r="Q20" s="7">
        <v>3734.6545328399998</v>
      </c>
      <c r="R20" s="7">
        <v>4067.6744911199999</v>
      </c>
      <c r="S20" s="7">
        <v>4420.1096348999999</v>
      </c>
      <c r="T20" s="7">
        <v>4793.2114021699999</v>
      </c>
      <c r="U20" s="7">
        <v>5185.4550621600001</v>
      </c>
      <c r="V20" s="7">
        <v>5523.2293114800004</v>
      </c>
      <c r="W20" s="7">
        <v>5749.6337836100001</v>
      </c>
      <c r="X20" s="7">
        <v>5966.74825401</v>
      </c>
      <c r="Y20" s="7">
        <v>5977.1723967899998</v>
      </c>
      <c r="Z20" s="7">
        <v>5780.6627540899999</v>
      </c>
      <c r="AA20" s="7">
        <v>5587.9739956200001</v>
      </c>
      <c r="AB20" s="7">
        <v>5806.7311204300004</v>
      </c>
      <c r="AC20" s="7">
        <v>6032.0242433499998</v>
      </c>
    </row>
    <row r="21" spans="1:29" x14ac:dyDescent="0.85">
      <c r="A21" t="s">
        <v>119</v>
      </c>
      <c r="B21" s="7">
        <v>0</v>
      </c>
      <c r="C21" s="7">
        <v>1.22998264</v>
      </c>
      <c r="D21" s="7">
        <v>2.3779664999999999</v>
      </c>
      <c r="E21" s="7">
        <v>3.4493968000000002</v>
      </c>
      <c r="F21" s="7">
        <v>4.4469448199999997</v>
      </c>
      <c r="G21" s="7">
        <v>5.37369626</v>
      </c>
      <c r="H21" s="7">
        <v>7.4199400600000001</v>
      </c>
      <c r="I21" s="7">
        <v>9.8573464699999995</v>
      </c>
      <c r="J21" s="7">
        <v>12.72030004</v>
      </c>
      <c r="K21" s="7">
        <v>16.046295000000001</v>
      </c>
      <c r="L21" s="7">
        <v>19.934677489999999</v>
      </c>
      <c r="M21" s="7">
        <v>24.430575959999999</v>
      </c>
      <c r="N21" s="7">
        <v>29.501947959999999</v>
      </c>
      <c r="O21" s="7">
        <v>35.128183200000002</v>
      </c>
      <c r="P21" s="7">
        <v>41.440837639999998</v>
      </c>
      <c r="Q21" s="7">
        <v>48.484735299999997</v>
      </c>
      <c r="R21" s="7">
        <v>56.32867169</v>
      </c>
      <c r="S21" s="7">
        <v>65.034723540000002</v>
      </c>
      <c r="T21" s="7">
        <v>74.672797939999995</v>
      </c>
      <c r="U21" s="7">
        <v>85.271482079999998</v>
      </c>
      <c r="V21" s="7">
        <v>95.606276769999994</v>
      </c>
      <c r="W21" s="7">
        <v>104.50156968</v>
      </c>
      <c r="X21" s="7">
        <v>113.61187597</v>
      </c>
      <c r="Y21" s="7">
        <v>118.98355856000001</v>
      </c>
      <c r="Z21" s="7">
        <v>120.07489357999999</v>
      </c>
      <c r="AA21" s="7">
        <v>120.90874701</v>
      </c>
      <c r="AB21" s="7">
        <v>130.66774611</v>
      </c>
      <c r="AC21" s="7">
        <v>140.95814569999999</v>
      </c>
    </row>
    <row r="22" spans="1:29" x14ac:dyDescent="0.85">
      <c r="A22" t="s">
        <v>120</v>
      </c>
      <c r="B22" s="7">
        <v>6.3619789999999996E-2</v>
      </c>
      <c r="C22" s="7">
        <v>6.1499129999999999E-2</v>
      </c>
      <c r="D22" s="7">
        <v>5.9449160000000001E-2</v>
      </c>
      <c r="E22" s="7">
        <v>5.7489949999999998E-2</v>
      </c>
      <c r="F22" s="7">
        <v>5.558681E-2</v>
      </c>
      <c r="G22" s="7">
        <v>5.373696E-2</v>
      </c>
      <c r="H22" s="7">
        <v>6.1832829999999998E-2</v>
      </c>
      <c r="I22" s="7">
        <v>7.0409620000000006E-2</v>
      </c>
      <c r="J22" s="7">
        <v>7.9501879999999997E-2</v>
      </c>
      <c r="K22" s="7">
        <v>8.9146080000000003E-2</v>
      </c>
      <c r="L22" s="7">
        <v>9.9673390000000001E-2</v>
      </c>
      <c r="M22" s="7">
        <v>0.11104807</v>
      </c>
      <c r="N22" s="7">
        <v>0.12292478</v>
      </c>
      <c r="O22" s="7">
        <v>0.13510839999999999</v>
      </c>
      <c r="P22" s="7">
        <v>0.14800299</v>
      </c>
      <c r="Q22" s="7">
        <v>0.16161577999999999</v>
      </c>
      <c r="R22" s="7">
        <v>0.17602709999999999</v>
      </c>
      <c r="S22" s="7">
        <v>0.19127859999999999</v>
      </c>
      <c r="T22" s="7">
        <v>0.20742443999999999</v>
      </c>
      <c r="U22" s="7">
        <v>0.22439864000000001</v>
      </c>
      <c r="V22" s="7">
        <v>0.23901569</v>
      </c>
      <c r="W22" s="7">
        <v>0.24881326000000001</v>
      </c>
      <c r="X22" s="7">
        <v>0.25820881000000001</v>
      </c>
      <c r="Y22" s="7">
        <v>0.25865990999999999</v>
      </c>
      <c r="Z22" s="7">
        <v>0.25015602999999997</v>
      </c>
      <c r="AA22" s="7">
        <v>0.24181749</v>
      </c>
      <c r="AB22" s="7">
        <v>0.25128412999999999</v>
      </c>
      <c r="AC22" s="7">
        <v>0.26103359999999998</v>
      </c>
    </row>
    <row r="23" spans="1:29" x14ac:dyDescent="0.85">
      <c r="A23" t="s">
        <v>121</v>
      </c>
      <c r="B23" s="7">
        <v>1470.1406966300001</v>
      </c>
      <c r="C23" s="7">
        <v>1421.1360142599999</v>
      </c>
      <c r="D23" s="7">
        <v>1373.76485265</v>
      </c>
      <c r="E23" s="7">
        <v>1328.49084539</v>
      </c>
      <c r="F23" s="7">
        <v>1284.5127336600001</v>
      </c>
      <c r="G23" s="7">
        <v>1241.7660314499999</v>
      </c>
      <c r="H23" s="7">
        <v>1428.8472751100001</v>
      </c>
      <c r="I23" s="7">
        <v>1627.0415584499999</v>
      </c>
      <c r="J23" s="7">
        <v>1837.1475291100001</v>
      </c>
      <c r="K23" s="7">
        <v>2060.0080968000002</v>
      </c>
      <c r="L23" s="7">
        <v>2303.2754492700001</v>
      </c>
      <c r="M23" s="7">
        <v>2566.12427531</v>
      </c>
      <c r="N23" s="7">
        <v>2840.5740226600001</v>
      </c>
      <c r="O23" s="7">
        <v>3122.1157581299999</v>
      </c>
      <c r="P23" s="7">
        <v>3420.0870022700001</v>
      </c>
      <c r="Q23" s="7">
        <v>3734.6545328399998</v>
      </c>
      <c r="R23" s="7">
        <v>4067.6744911199999</v>
      </c>
      <c r="S23" s="7">
        <v>4420.1096348999999</v>
      </c>
      <c r="T23" s="7">
        <v>4793.2114021699999</v>
      </c>
      <c r="U23" s="7">
        <v>5185.4550621600001</v>
      </c>
      <c r="V23" s="7">
        <v>5523.2293114800004</v>
      </c>
      <c r="W23" s="7">
        <v>5749.6337836100001</v>
      </c>
      <c r="X23" s="7">
        <v>5966.74825401</v>
      </c>
      <c r="Y23" s="7">
        <v>5977.1723967899998</v>
      </c>
      <c r="Z23" s="7">
        <v>5780.6627540899999</v>
      </c>
      <c r="AA23" s="7">
        <v>5587.9739956200001</v>
      </c>
      <c r="AB23" s="7">
        <v>5806.7311204300004</v>
      </c>
      <c r="AC23" s="7">
        <v>6032.0242433499998</v>
      </c>
    </row>
    <row r="24" spans="1:29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</row>
    <row r="25" spans="1:29" x14ac:dyDescent="0.85">
      <c r="A25" t="s">
        <v>123</v>
      </c>
      <c r="B25" s="7">
        <v>1</v>
      </c>
      <c r="C25" s="7">
        <v>1.03333333</v>
      </c>
      <c r="D25" s="7">
        <v>1.0000000099999999</v>
      </c>
      <c r="E25" s="7">
        <v>1.00000003</v>
      </c>
      <c r="F25" s="7">
        <v>1.0003901799999999</v>
      </c>
      <c r="G25" s="7">
        <v>1.00023744</v>
      </c>
      <c r="H25" s="7">
        <v>1.0000566900000001</v>
      </c>
      <c r="I25" s="7">
        <v>1.17796506</v>
      </c>
      <c r="J25" s="7">
        <v>1.16805939</v>
      </c>
      <c r="K25" s="7">
        <v>1.15996926</v>
      </c>
      <c r="L25" s="7">
        <v>1.1566353300000001</v>
      </c>
      <c r="M25" s="7">
        <v>1.1525274999999999</v>
      </c>
      <c r="N25" s="7">
        <v>1.1451118</v>
      </c>
      <c r="O25" s="7">
        <v>1.1370048800000001</v>
      </c>
      <c r="P25" s="7">
        <v>1.1332026399999999</v>
      </c>
      <c r="Q25" s="7">
        <v>1.1296208299999999</v>
      </c>
      <c r="R25" s="7">
        <v>1.1267178099999999</v>
      </c>
      <c r="S25" s="7">
        <v>1.1241033499999999</v>
      </c>
      <c r="T25" s="7">
        <v>1.12179352</v>
      </c>
      <c r="U25" s="7">
        <v>1.11912776</v>
      </c>
      <c r="V25" s="7">
        <v>1.1152957800000001</v>
      </c>
      <c r="W25" s="7">
        <v>1.1018677100000001</v>
      </c>
      <c r="X25" s="7">
        <v>1.07688757</v>
      </c>
      <c r="Y25" s="7">
        <v>1.0735463199999999</v>
      </c>
      <c r="Z25" s="7">
        <v>1.0362900399999999</v>
      </c>
      <c r="AA25" s="7">
        <v>1.0004723900000001</v>
      </c>
      <c r="AB25" s="7">
        <v>1</v>
      </c>
      <c r="AC25" s="7">
        <v>1.0749805299999999</v>
      </c>
    </row>
    <row r="26" spans="1:29" x14ac:dyDescent="0.85">
      <c r="A26" t="s">
        <v>124</v>
      </c>
      <c r="B26" s="7">
        <v>1</v>
      </c>
      <c r="C26" s="7">
        <v>1.0000000099999999</v>
      </c>
      <c r="D26" s="7">
        <v>1.00000003</v>
      </c>
      <c r="E26" s="7">
        <v>1.0003901799999999</v>
      </c>
      <c r="F26" s="7">
        <v>1.00023744</v>
      </c>
      <c r="G26" s="7">
        <v>1.0000566900000001</v>
      </c>
      <c r="H26" s="7">
        <v>1.19033524</v>
      </c>
      <c r="I26" s="7">
        <v>1.1779750499999999</v>
      </c>
      <c r="J26" s="7">
        <v>1.1680693900000001</v>
      </c>
      <c r="K26" s="7">
        <v>1.15997372</v>
      </c>
      <c r="L26" s="7">
        <v>1.1566453299999999</v>
      </c>
      <c r="M26" s="7">
        <v>1.1525375</v>
      </c>
      <c r="N26" s="7">
        <v>1.1451218000000001</v>
      </c>
      <c r="O26" s="7">
        <v>1.13701488</v>
      </c>
      <c r="P26" s="7">
        <v>1.13321264</v>
      </c>
      <c r="Q26" s="7">
        <v>1.12963083</v>
      </c>
      <c r="R26" s="7">
        <v>1.12672781</v>
      </c>
      <c r="S26" s="7">
        <v>1.12411335</v>
      </c>
      <c r="T26" s="7">
        <v>1.1218035200000001</v>
      </c>
      <c r="U26" s="7">
        <v>1.1191377600000001</v>
      </c>
      <c r="V26" s="7">
        <v>1.1018677100000001</v>
      </c>
      <c r="W26" s="7">
        <v>1.07688757</v>
      </c>
      <c r="X26" s="7">
        <v>1.0735463199999999</v>
      </c>
      <c r="Y26" s="7">
        <v>1.0362900399999999</v>
      </c>
      <c r="Z26" s="7">
        <v>1.0004723900000001</v>
      </c>
      <c r="AA26" s="7">
        <v>1</v>
      </c>
      <c r="AB26" s="7">
        <v>1.0749805299999999</v>
      </c>
      <c r="AC26" s="7">
        <v>1.07461926</v>
      </c>
    </row>
    <row r="27" spans="1:29" x14ac:dyDescent="0.85">
      <c r="A27" t="s">
        <v>125</v>
      </c>
      <c r="B27" s="7">
        <v>1</v>
      </c>
      <c r="C27" s="7">
        <v>1.15549536</v>
      </c>
      <c r="D27" s="7">
        <v>1.1613871899999999</v>
      </c>
      <c r="E27" s="7">
        <v>1.16765338</v>
      </c>
      <c r="F27" s="7">
        <v>1.17424777</v>
      </c>
      <c r="G27" s="7">
        <v>1.1814441499999999</v>
      </c>
      <c r="H27" s="7">
        <v>1.1903353000000001</v>
      </c>
      <c r="I27" s="7">
        <v>1.1779750600000001</v>
      </c>
      <c r="J27" s="7">
        <v>1.1680693900000001</v>
      </c>
      <c r="K27" s="7">
        <v>1.1599792600000001</v>
      </c>
      <c r="L27" s="7">
        <v>1.1566453299999999</v>
      </c>
      <c r="M27" s="7">
        <v>1.1525375</v>
      </c>
      <c r="N27" s="7">
        <v>1.1451218000000001</v>
      </c>
      <c r="O27" s="7">
        <v>1.13701488</v>
      </c>
      <c r="P27" s="7">
        <v>1.13321264</v>
      </c>
      <c r="Q27" s="7">
        <v>1.12963083</v>
      </c>
      <c r="R27" s="7">
        <v>1.12672781</v>
      </c>
      <c r="S27" s="7">
        <v>1.12411335</v>
      </c>
      <c r="T27" s="7">
        <v>1.1218035200000001</v>
      </c>
      <c r="U27" s="7">
        <v>1.1191377600000001</v>
      </c>
      <c r="V27" s="7">
        <v>1.1153057799999999</v>
      </c>
      <c r="W27" s="7">
        <v>1.11284519</v>
      </c>
      <c r="X27" s="7">
        <v>1.11225548</v>
      </c>
      <c r="Y27" s="7">
        <v>1.1118663499999999</v>
      </c>
      <c r="Z27" s="7">
        <v>1.11430809</v>
      </c>
      <c r="AA27" s="7">
        <v>1.1198657400000001</v>
      </c>
      <c r="AB27" s="7">
        <v>1.1258290500000001</v>
      </c>
      <c r="AC27" s="7">
        <v>1.1252324</v>
      </c>
    </row>
    <row r="28" spans="1:29" x14ac:dyDescent="0.85">
      <c r="A28" t="s">
        <v>126</v>
      </c>
      <c r="B28" s="7">
        <v>13708</v>
      </c>
      <c r="C28" s="7">
        <v>13159.680050839999</v>
      </c>
      <c r="D28" s="7">
        <v>12633.298384649999</v>
      </c>
      <c r="E28" s="7">
        <v>12128.79178809</v>
      </c>
      <c r="F28" s="7">
        <v>11643.64012339</v>
      </c>
      <c r="G28" s="7">
        <v>11201.74228427</v>
      </c>
      <c r="H28" s="7">
        <v>12386.240466179999</v>
      </c>
      <c r="I28" s="7">
        <v>13641.30133627</v>
      </c>
      <c r="J28" s="7">
        <v>14972.072976539999</v>
      </c>
      <c r="K28" s="7">
        <v>16384.048387809999</v>
      </c>
      <c r="L28" s="7">
        <v>17929.690228529998</v>
      </c>
      <c r="M28" s="7">
        <v>19602.54540228</v>
      </c>
      <c r="N28" s="7">
        <v>21346.541897570001</v>
      </c>
      <c r="O28" s="7">
        <v>23130.06700354</v>
      </c>
      <c r="P28" s="7">
        <v>25017.72076113</v>
      </c>
      <c r="Q28" s="7">
        <v>27010.087950419998</v>
      </c>
      <c r="R28" s="7">
        <v>29119.469654749999</v>
      </c>
      <c r="S28" s="7">
        <v>31351.89723061</v>
      </c>
      <c r="T28" s="7">
        <v>33715.371510630001</v>
      </c>
      <c r="U28" s="7">
        <v>36198.602121950003</v>
      </c>
      <c r="V28" s="7">
        <v>38757.615909300002</v>
      </c>
      <c r="W28" s="7">
        <v>41388.061223769997</v>
      </c>
      <c r="X28" s="7">
        <v>44081.94170191</v>
      </c>
      <c r="Y28" s="7">
        <v>46838.462303120003</v>
      </c>
      <c r="Z28" s="7">
        <v>49641.872500090001</v>
      </c>
      <c r="AA28" s="7">
        <v>52478.075775630001</v>
      </c>
      <c r="AB28" s="7">
        <v>55349.643058640002</v>
      </c>
      <c r="AC28" s="7">
        <v>58293.410686869996</v>
      </c>
    </row>
    <row r="29" spans="1:29" x14ac:dyDescent="0.85">
      <c r="A29" t="s">
        <v>127</v>
      </c>
      <c r="B29" s="7">
        <v>47657998</v>
      </c>
      <c r="C29" s="7">
        <v>45751678.256762601</v>
      </c>
      <c r="D29" s="7">
        <v>43921630.372690298</v>
      </c>
      <c r="E29" s="7">
        <v>42167634.576831698</v>
      </c>
      <c r="F29" s="7">
        <v>40480929.217477202</v>
      </c>
      <c r="G29" s="7">
        <v>38944602.522626303</v>
      </c>
      <c r="H29" s="7">
        <v>43062695.022225998</v>
      </c>
      <c r="I29" s="7">
        <v>47426109.702468701</v>
      </c>
      <c r="J29" s="7">
        <v>52052744.672596604</v>
      </c>
      <c r="K29" s="7">
        <v>56961697.2058632</v>
      </c>
      <c r="L29" s="7">
        <v>62335361.909227699</v>
      </c>
      <c r="M29" s="7">
        <v>68151303.587450802</v>
      </c>
      <c r="N29" s="7">
        <v>74214579.155323505</v>
      </c>
      <c r="O29" s="7">
        <v>80413340.560830206</v>
      </c>
      <c r="P29" s="7">
        <v>86918532.705061793</v>
      </c>
      <c r="Q29" s="7">
        <v>93478735.9295827</v>
      </c>
      <c r="R29" s="7">
        <v>99712063.648627207</v>
      </c>
      <c r="S29" s="7">
        <v>104972163.3119</v>
      </c>
      <c r="T29" s="7">
        <v>109434244.970617</v>
      </c>
      <c r="U29" s="7">
        <v>115895542.90011699</v>
      </c>
      <c r="V29" s="7">
        <v>122496143.99156</v>
      </c>
      <c r="W29" s="7">
        <v>129254970.62611599</v>
      </c>
      <c r="X29" s="7">
        <v>136107468.41036201</v>
      </c>
      <c r="Y29" s="7">
        <v>143312909.46789101</v>
      </c>
      <c r="Z29" s="7">
        <v>150690938.024468</v>
      </c>
      <c r="AA29" s="7">
        <v>157850076.49762401</v>
      </c>
      <c r="AB29" s="7">
        <v>165187808.26282099</v>
      </c>
      <c r="AC29" s="7">
        <v>172449493.08519301</v>
      </c>
    </row>
    <row r="30" spans="1:29" x14ac:dyDescent="0.85">
      <c r="A30" t="s">
        <v>128</v>
      </c>
      <c r="B30" s="7">
        <v>47657998</v>
      </c>
      <c r="C30" s="7">
        <v>45751678.256762601</v>
      </c>
      <c r="D30" s="7">
        <v>43921630.372690298</v>
      </c>
      <c r="E30" s="7">
        <v>42167634.576831698</v>
      </c>
      <c r="F30" s="7">
        <v>40480929.217477202</v>
      </c>
      <c r="G30" s="7">
        <v>38944602.522626303</v>
      </c>
      <c r="H30" s="7">
        <v>43062695.022225998</v>
      </c>
      <c r="I30" s="7">
        <v>47426109.702468701</v>
      </c>
      <c r="J30" s="7">
        <v>52052744.672596604</v>
      </c>
      <c r="K30" s="7">
        <v>56961697.2058632</v>
      </c>
      <c r="L30" s="7">
        <v>62335361.909227699</v>
      </c>
      <c r="M30" s="7">
        <v>68151303.587450802</v>
      </c>
      <c r="N30" s="7">
        <v>74214579.155323505</v>
      </c>
      <c r="O30" s="7">
        <v>80415282.097634494</v>
      </c>
      <c r="P30" s="7">
        <v>86978004.522808</v>
      </c>
      <c r="Q30" s="7">
        <v>93904779.509834006</v>
      </c>
      <c r="R30" s="7">
        <v>101238373.69178499</v>
      </c>
      <c r="S30" s="7">
        <v>108999756.019301</v>
      </c>
      <c r="T30" s="7">
        <v>117216742.63372099</v>
      </c>
      <c r="U30" s="7">
        <v>125850080.794485</v>
      </c>
      <c r="V30" s="7">
        <v>134746890.97534201</v>
      </c>
      <c r="W30" s="7">
        <v>143892043.99082699</v>
      </c>
      <c r="X30" s="7">
        <v>153257739.23734599</v>
      </c>
      <c r="Y30" s="7">
        <v>162841212.63242999</v>
      </c>
      <c r="Z30" s="7">
        <v>172587705.013538</v>
      </c>
      <c r="AA30" s="7">
        <v>182448207.642176</v>
      </c>
      <c r="AB30" s="7">
        <v>192431658.75323001</v>
      </c>
      <c r="AC30" s="7">
        <v>202666125.61482799</v>
      </c>
    </row>
    <row r="31" spans="1:29" x14ac:dyDescent="0.85">
      <c r="A31" t="s">
        <v>129</v>
      </c>
      <c r="B31" s="7">
        <v>4146.2059597999996</v>
      </c>
      <c r="C31" s="7">
        <v>3980.3577367900002</v>
      </c>
      <c r="D31" s="7">
        <v>3821.1451017200002</v>
      </c>
      <c r="E31" s="7">
        <v>3668.5489347100001</v>
      </c>
      <c r="F31" s="7">
        <v>3521.80697938</v>
      </c>
      <c r="G31" s="7">
        <v>3388.1478420799999</v>
      </c>
      <c r="H31" s="7">
        <v>3746.4184447299999</v>
      </c>
      <c r="I31" s="7">
        <v>4126.0318718899998</v>
      </c>
      <c r="J31" s="7">
        <v>4528.5452440899999</v>
      </c>
      <c r="K31" s="7">
        <v>4955.6200081099996</v>
      </c>
      <c r="L31" s="7">
        <v>5423.1243421999998</v>
      </c>
      <c r="M31" s="7">
        <v>5929.1064031400001</v>
      </c>
      <c r="N31" s="7">
        <v>6456.6063055799996</v>
      </c>
      <c r="O31" s="7">
        <v>6996.0622746299996</v>
      </c>
      <c r="P31" s="7">
        <v>7567.0136358700001</v>
      </c>
      <c r="Q31" s="7">
        <v>8169.6372654500001</v>
      </c>
      <c r="R31" s="7">
        <v>8807.6538246799992</v>
      </c>
      <c r="S31" s="7">
        <v>9482.8875947399993</v>
      </c>
      <c r="T31" s="7">
        <v>10197.75855663</v>
      </c>
      <c r="U31" s="7">
        <v>10948.85175478</v>
      </c>
      <c r="V31" s="7">
        <v>11722.86679828</v>
      </c>
      <c r="W31" s="7">
        <v>12518.48746065</v>
      </c>
      <c r="X31" s="7">
        <v>13333.29511264</v>
      </c>
      <c r="Y31" s="7">
        <v>14167.049281379999</v>
      </c>
      <c r="Z31" s="7">
        <v>15014.98596554</v>
      </c>
      <c r="AA31" s="7">
        <v>15872.84144586</v>
      </c>
      <c r="AB31" s="7">
        <v>16741.393341300001</v>
      </c>
      <c r="AC31" s="7">
        <v>17631.783397070001</v>
      </c>
    </row>
    <row r="32" spans="1:29" x14ac:dyDescent="0.85">
      <c r="A32" t="s">
        <v>130</v>
      </c>
      <c r="B32" s="7">
        <v>0</v>
      </c>
      <c r="C32" s="7">
        <v>3.66013426</v>
      </c>
      <c r="D32" s="7">
        <v>7.0274608599999997</v>
      </c>
      <c r="E32" s="7">
        <v>10.1202323</v>
      </c>
      <c r="F32" s="7">
        <v>12.95389735</v>
      </c>
      <c r="G32" s="7">
        <v>15.57784101</v>
      </c>
      <c r="H32" s="7">
        <v>20.670093609999999</v>
      </c>
      <c r="I32" s="7">
        <v>26.558621429999999</v>
      </c>
      <c r="J32" s="7">
        <v>33.313756589999997</v>
      </c>
      <c r="K32" s="7">
        <v>41.01242199</v>
      </c>
      <c r="L32" s="7">
        <v>49.868289529999998</v>
      </c>
      <c r="M32" s="7">
        <v>59.973147160000003</v>
      </c>
      <c r="N32" s="7">
        <v>71.245995989999997</v>
      </c>
      <c r="O32" s="7">
        <v>83.631893379999994</v>
      </c>
      <c r="P32" s="7">
        <v>97.415365070000007</v>
      </c>
      <c r="Q32" s="7">
        <v>112.68573541000001</v>
      </c>
      <c r="R32" s="7">
        <v>129.58511833</v>
      </c>
      <c r="S32" s="7">
        <v>148.23966819</v>
      </c>
      <c r="T32" s="7">
        <v>168.79210939000001</v>
      </c>
      <c r="U32" s="7">
        <v>191.29212281</v>
      </c>
      <c r="V32" s="7">
        <v>215.59502556000001</v>
      </c>
      <c r="W32" s="7">
        <v>241.7386339</v>
      </c>
      <c r="X32" s="7">
        <v>269.73362106000002</v>
      </c>
      <c r="Y32" s="7">
        <v>299.62783123999998</v>
      </c>
      <c r="Z32" s="7">
        <v>331.36839363000001</v>
      </c>
      <c r="AA32" s="7">
        <v>364.89641527999999</v>
      </c>
      <c r="AB32" s="7">
        <v>400.25785021000002</v>
      </c>
      <c r="AC32" s="7">
        <v>437.75883133000002</v>
      </c>
    </row>
    <row r="33" spans="1:29" x14ac:dyDescent="0.85">
      <c r="A33" t="s">
        <v>131</v>
      </c>
      <c r="B33" s="7">
        <v>0.19063199</v>
      </c>
      <c r="C33" s="7">
        <v>0.18300670999999999</v>
      </c>
      <c r="D33" s="7">
        <v>0.17568652000000001</v>
      </c>
      <c r="E33" s="7">
        <v>0.16867054000000001</v>
      </c>
      <c r="F33" s="7">
        <v>0.16192371999999999</v>
      </c>
      <c r="G33" s="7">
        <v>0.15577841000000001</v>
      </c>
      <c r="H33" s="7">
        <v>0.17225077999999999</v>
      </c>
      <c r="I33" s="7">
        <v>0.18970444</v>
      </c>
      <c r="J33" s="7">
        <v>0.20821097999999999</v>
      </c>
      <c r="K33" s="7">
        <v>0.22784678999999999</v>
      </c>
      <c r="L33" s="7">
        <v>0.24934144999999999</v>
      </c>
      <c r="M33" s="7">
        <v>0.27260520999999999</v>
      </c>
      <c r="N33" s="7">
        <v>0.29685832000000001</v>
      </c>
      <c r="O33" s="7">
        <v>0.32166113000000002</v>
      </c>
      <c r="P33" s="7">
        <v>0.34791201999999999</v>
      </c>
      <c r="Q33" s="7">
        <v>0.37561911999999997</v>
      </c>
      <c r="R33" s="7">
        <v>0.40495349000000003</v>
      </c>
      <c r="S33" s="7">
        <v>0.43599902000000001</v>
      </c>
      <c r="T33" s="7">
        <v>0.46886696999999999</v>
      </c>
      <c r="U33" s="7">
        <v>0.50340032000000001</v>
      </c>
      <c r="V33" s="7">
        <v>0.53898756000000003</v>
      </c>
      <c r="W33" s="7">
        <v>0.57556817999999998</v>
      </c>
      <c r="X33" s="7">
        <v>0.61303096000000001</v>
      </c>
      <c r="Y33" s="7">
        <v>0.65136485</v>
      </c>
      <c r="Z33" s="7">
        <v>0.69035082000000003</v>
      </c>
      <c r="AA33" s="7">
        <v>0.72979282999999995</v>
      </c>
      <c r="AB33" s="7">
        <v>0.76972664000000002</v>
      </c>
      <c r="AC33" s="7">
        <v>0.81066450000000001</v>
      </c>
    </row>
    <row r="34" spans="1:29" x14ac:dyDescent="0.85">
      <c r="A34" t="s">
        <v>132</v>
      </c>
      <c r="B34" s="7">
        <v>4146.2059597999996</v>
      </c>
      <c r="C34" s="7">
        <v>3980.3577367900002</v>
      </c>
      <c r="D34" s="7">
        <v>3821.1451017200002</v>
      </c>
      <c r="E34" s="7">
        <v>3668.5489347100001</v>
      </c>
      <c r="F34" s="7">
        <v>3521.80697938</v>
      </c>
      <c r="G34" s="7">
        <v>3388.1478420799999</v>
      </c>
      <c r="H34" s="7">
        <v>3746.4184447299999</v>
      </c>
      <c r="I34" s="7">
        <v>4126.0318718899998</v>
      </c>
      <c r="J34" s="7">
        <v>4528.5452440899999</v>
      </c>
      <c r="K34" s="7">
        <v>4955.6200081099996</v>
      </c>
      <c r="L34" s="7">
        <v>5423.1243421999998</v>
      </c>
      <c r="M34" s="7">
        <v>5929.1064031400001</v>
      </c>
      <c r="N34" s="7">
        <v>6456.6063055799996</v>
      </c>
      <c r="O34" s="7">
        <v>6996.0622746299996</v>
      </c>
      <c r="P34" s="7">
        <v>7567.0136358700001</v>
      </c>
      <c r="Q34" s="7">
        <v>8169.6372654500001</v>
      </c>
      <c r="R34" s="7">
        <v>8807.6538246799992</v>
      </c>
      <c r="S34" s="7">
        <v>9482.8875947399993</v>
      </c>
      <c r="T34" s="7">
        <v>10197.75855663</v>
      </c>
      <c r="U34" s="7">
        <v>10948.85175478</v>
      </c>
      <c r="V34" s="7">
        <v>11722.86679828</v>
      </c>
      <c r="W34" s="7">
        <v>12518.48746065</v>
      </c>
      <c r="X34" s="7">
        <v>13333.29511264</v>
      </c>
      <c r="Y34" s="7">
        <v>14167.049281379999</v>
      </c>
      <c r="Z34" s="7">
        <v>15014.98596554</v>
      </c>
      <c r="AA34" s="7">
        <v>15872.84144586</v>
      </c>
      <c r="AB34" s="7">
        <v>16741.393341300001</v>
      </c>
      <c r="AC34" s="7">
        <v>17631.783397070001</v>
      </c>
    </row>
    <row r="35" spans="1:29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</row>
    <row r="36" spans="1:29" x14ac:dyDescent="0.85">
      <c r="A36" t="s">
        <v>134</v>
      </c>
      <c r="B36" s="7">
        <v>1</v>
      </c>
      <c r="C36" s="7">
        <v>1.04</v>
      </c>
      <c r="D36" s="7">
        <v>1</v>
      </c>
      <c r="E36" s="7">
        <v>1.00000044</v>
      </c>
      <c r="F36" s="7">
        <v>1.0000680500000001</v>
      </c>
      <c r="G36" s="7">
        <v>1</v>
      </c>
      <c r="H36" s="7">
        <v>1.0021334799999999</v>
      </c>
      <c r="I36" s="7">
        <v>1.14720567</v>
      </c>
      <c r="J36" s="7">
        <v>1.1432760399999999</v>
      </c>
      <c r="K36" s="7">
        <v>1.13989341</v>
      </c>
      <c r="L36" s="7">
        <v>1.1399034100000001</v>
      </c>
      <c r="M36" s="7">
        <v>1.1388450400000001</v>
      </c>
      <c r="N36" s="7">
        <v>1.1343315199999999</v>
      </c>
      <c r="O36" s="7">
        <v>1.12868897</v>
      </c>
      <c r="P36" s="7">
        <v>1.12666749</v>
      </c>
      <c r="Q36" s="7">
        <v>1.1246131699999999</v>
      </c>
      <c r="R36" s="7">
        <v>1.1230067399999999</v>
      </c>
      <c r="S36" s="7">
        <v>1.12151545</v>
      </c>
      <c r="T36" s="7">
        <v>1.12018309</v>
      </c>
      <c r="U36" s="7">
        <v>1.11837831</v>
      </c>
      <c r="V36" s="7">
        <v>1.1152959600000001</v>
      </c>
      <c r="W36" s="7">
        <v>1.1123536700000001</v>
      </c>
      <c r="X36" s="7">
        <v>1.10945703</v>
      </c>
      <c r="Y36" s="7">
        <v>1.1067939</v>
      </c>
      <c r="Z36" s="7">
        <v>1.10400327</v>
      </c>
      <c r="AA36" s="7">
        <v>1.10117051</v>
      </c>
      <c r="AB36" s="7">
        <v>1.09865601</v>
      </c>
      <c r="AC36" s="7">
        <v>1.09705765</v>
      </c>
    </row>
    <row r="37" spans="1:29" x14ac:dyDescent="0.85">
      <c r="A37" t="s">
        <v>135</v>
      </c>
      <c r="B37" s="7">
        <v>1</v>
      </c>
      <c r="C37" s="7">
        <v>1</v>
      </c>
      <c r="D37" s="7">
        <v>1.00000044</v>
      </c>
      <c r="E37" s="7">
        <v>1.0000680500000001</v>
      </c>
      <c r="F37" s="7">
        <v>1</v>
      </c>
      <c r="G37" s="7">
        <v>1.0021334799999999</v>
      </c>
      <c r="H37" s="7">
        <v>1.1518149099999999</v>
      </c>
      <c r="I37" s="7">
        <v>1.1472156499999999</v>
      </c>
      <c r="J37" s="7">
        <v>1.14328604</v>
      </c>
      <c r="K37" s="7">
        <v>1.1399034100000001</v>
      </c>
      <c r="L37" s="7">
        <v>1.13993564</v>
      </c>
      <c r="M37" s="7">
        <v>1.1388550399999999</v>
      </c>
      <c r="N37" s="7">
        <v>1.13434152</v>
      </c>
      <c r="O37" s="7">
        <v>1.1286989700000001</v>
      </c>
      <c r="P37" s="7">
        <v>1.1266774900000001</v>
      </c>
      <c r="Q37" s="7">
        <v>1.1246231600000001</v>
      </c>
      <c r="R37" s="7">
        <v>1.12301674</v>
      </c>
      <c r="S37" s="7">
        <v>1.12152545</v>
      </c>
      <c r="T37" s="7">
        <v>1.1201930899999999</v>
      </c>
      <c r="U37" s="7">
        <v>1.1183883100000001</v>
      </c>
      <c r="V37" s="7">
        <v>1.1153059599999999</v>
      </c>
      <c r="W37" s="7">
        <v>1.1123636699999999</v>
      </c>
      <c r="X37" s="7">
        <v>1.10946703</v>
      </c>
      <c r="Y37" s="7">
        <v>1.1068039000000001</v>
      </c>
      <c r="Z37" s="7">
        <v>1.10401327</v>
      </c>
      <c r="AA37" s="7">
        <v>1.1011805100000001</v>
      </c>
      <c r="AB37" s="7">
        <v>1.0986660100000001</v>
      </c>
      <c r="AC37" s="7">
        <v>1.0970676500000001</v>
      </c>
    </row>
    <row r="38" spans="1:29" x14ac:dyDescent="0.85">
      <c r="A38" t="s">
        <v>136</v>
      </c>
      <c r="B38" s="7">
        <v>1</v>
      </c>
      <c r="C38" s="7">
        <v>1.1214413400000001</v>
      </c>
      <c r="D38" s="7">
        <v>1.12658747</v>
      </c>
      <c r="E38" s="7">
        <v>1.1320843</v>
      </c>
      <c r="F38" s="7">
        <v>1.13794124</v>
      </c>
      <c r="G38" s="7">
        <v>1.1443305100000001</v>
      </c>
      <c r="H38" s="7">
        <v>1.15181494</v>
      </c>
      <c r="I38" s="7">
        <v>1.14721567</v>
      </c>
      <c r="J38" s="7">
        <v>1.14328604</v>
      </c>
      <c r="K38" s="7">
        <v>1.1399034100000001</v>
      </c>
      <c r="L38" s="7">
        <v>1.13993564</v>
      </c>
      <c r="M38" s="7">
        <v>1.1388550399999999</v>
      </c>
      <c r="N38" s="7">
        <v>1.13434152</v>
      </c>
      <c r="O38" s="7">
        <v>1.1286989700000001</v>
      </c>
      <c r="P38" s="7">
        <v>1.1266774900000001</v>
      </c>
      <c r="Q38" s="7">
        <v>1.12462317</v>
      </c>
      <c r="R38" s="7">
        <v>1.12301674</v>
      </c>
      <c r="S38" s="7">
        <v>1.12152545</v>
      </c>
      <c r="T38" s="7">
        <v>1.1201930899999999</v>
      </c>
      <c r="U38" s="7">
        <v>1.1183883100000001</v>
      </c>
      <c r="V38" s="7">
        <v>1.1153059599999999</v>
      </c>
      <c r="W38" s="7">
        <v>1.1123636699999999</v>
      </c>
      <c r="X38" s="7">
        <v>1.10946703</v>
      </c>
      <c r="Y38" s="7">
        <v>1.1068039000000001</v>
      </c>
      <c r="Z38" s="7">
        <v>1.10401327</v>
      </c>
      <c r="AA38" s="7">
        <v>1.1011805100000001</v>
      </c>
      <c r="AB38" s="7">
        <v>1.0986660100000001</v>
      </c>
      <c r="AC38" s="7">
        <v>1.0970676500000001</v>
      </c>
    </row>
    <row r="39" spans="1:29" x14ac:dyDescent="0.85">
      <c r="A39" t="s">
        <v>137</v>
      </c>
      <c r="B39" s="7">
        <v>1182</v>
      </c>
      <c r="C39" s="7">
        <v>1152.45</v>
      </c>
      <c r="D39" s="7">
        <v>1123.6387500000001</v>
      </c>
      <c r="E39" s="7">
        <v>1095.5477812500001</v>
      </c>
      <c r="F39" s="7">
        <v>1068.15910532</v>
      </c>
      <c r="G39" s="7">
        <v>1041.4551500699999</v>
      </c>
      <c r="H39" s="7">
        <v>1015.41878481</v>
      </c>
      <c r="I39" s="7">
        <v>990.03340843000001</v>
      </c>
      <c r="J39" s="7">
        <v>965.28260079999995</v>
      </c>
      <c r="K39" s="7">
        <v>2870.7259549099999</v>
      </c>
      <c r="L39" s="7">
        <v>4946.4492043800001</v>
      </c>
      <c r="M39" s="7">
        <v>7187.44368493</v>
      </c>
      <c r="N39" s="7">
        <v>7007.7577109800004</v>
      </c>
      <c r="O39" s="7">
        <v>9438.9132241200005</v>
      </c>
      <c r="P39" s="7">
        <v>12013.276622789999</v>
      </c>
      <c r="Q39" s="7">
        <v>14733.11023789</v>
      </c>
      <c r="R39" s="7">
        <v>17613.66676955</v>
      </c>
      <c r="S39" s="7">
        <v>20663.44797628</v>
      </c>
      <c r="T39" s="7">
        <v>23124.35930978</v>
      </c>
      <c r="U39" s="7">
        <v>23676.09490461</v>
      </c>
      <c r="V39" s="7">
        <v>24246.463765730001</v>
      </c>
      <c r="W39" s="7">
        <v>24918.062591540001</v>
      </c>
      <c r="X39" s="7">
        <v>25566.391197379999</v>
      </c>
      <c r="Y39" s="7">
        <v>26348.77094201</v>
      </c>
      <c r="Z39" s="7">
        <v>27312.566503189999</v>
      </c>
      <c r="AA39" s="7">
        <v>28329.2507004</v>
      </c>
      <c r="AB39" s="7">
        <v>28820.132531769999</v>
      </c>
      <c r="AC39" s="7">
        <v>29383.217388050001</v>
      </c>
    </row>
    <row r="40" spans="1:29" x14ac:dyDescent="0.85">
      <c r="A40" t="s">
        <v>138</v>
      </c>
      <c r="B40" s="7">
        <v>9062132.75</v>
      </c>
      <c r="C40" s="7">
        <v>8835579.3802241609</v>
      </c>
      <c r="D40" s="7">
        <v>8614689.8099955898</v>
      </c>
      <c r="E40" s="7">
        <v>8399322.5553319994</v>
      </c>
      <c r="F40" s="7">
        <v>8189339.6340339603</v>
      </c>
      <c r="G40" s="7">
        <v>7984606.3148023104</v>
      </c>
      <c r="H40" s="7">
        <v>7784991.2603621399</v>
      </c>
      <c r="I40" s="7">
        <v>7590367.1937434804</v>
      </c>
      <c r="J40" s="7">
        <v>7400608.2253327901</v>
      </c>
      <c r="K40" s="7">
        <v>22009221.027041499</v>
      </c>
      <c r="L40" s="7">
        <v>37923332.128666498</v>
      </c>
      <c r="M40" s="7">
        <v>55104541.208724901</v>
      </c>
      <c r="N40" s="7">
        <v>53726928.5844732</v>
      </c>
      <c r="O40" s="7">
        <v>72366060.246799603</v>
      </c>
      <c r="P40" s="7">
        <v>92103135.096561402</v>
      </c>
      <c r="Q40" s="7">
        <v>112955497.92459001</v>
      </c>
      <c r="R40" s="7">
        <v>135040087.80954301</v>
      </c>
      <c r="S40" s="7">
        <v>158422085.853782</v>
      </c>
      <c r="T40" s="7">
        <v>177289348.81014001</v>
      </c>
      <c r="U40" s="7">
        <v>181519383.59783399</v>
      </c>
      <c r="V40" s="7">
        <v>185893280.65836301</v>
      </c>
      <c r="W40" s="7">
        <v>191043657.372473</v>
      </c>
      <c r="X40" s="7">
        <v>196017101.63493299</v>
      </c>
      <c r="Y40" s="7">
        <v>202018782.00497201</v>
      </c>
      <c r="Z40" s="7">
        <v>209410914.452878</v>
      </c>
      <c r="AA40" s="7">
        <v>217208408.45389</v>
      </c>
      <c r="AB40" s="7">
        <v>220975064.72957301</v>
      </c>
      <c r="AC40" s="7">
        <v>225296331.349534</v>
      </c>
    </row>
    <row r="41" spans="1:29" x14ac:dyDescent="0.85">
      <c r="A41" t="s">
        <v>139</v>
      </c>
      <c r="B41" s="7">
        <v>9062132.75</v>
      </c>
      <c r="C41" s="7">
        <v>8835579.3802241609</v>
      </c>
      <c r="D41" s="7">
        <v>8614689.8099955898</v>
      </c>
      <c r="E41" s="7">
        <v>8399322.5553319994</v>
      </c>
      <c r="F41" s="7">
        <v>8189339.6340339603</v>
      </c>
      <c r="G41" s="7">
        <v>7984606.3148023104</v>
      </c>
      <c r="H41" s="7">
        <v>7784991.2603621399</v>
      </c>
      <c r="I41" s="7">
        <v>7590367.1937434804</v>
      </c>
      <c r="J41" s="7">
        <v>7400608.2253327901</v>
      </c>
      <c r="K41" s="7">
        <v>22009221.027041499</v>
      </c>
      <c r="L41" s="7">
        <v>37923332.128666498</v>
      </c>
      <c r="M41" s="7">
        <v>55104541.208724901</v>
      </c>
      <c r="N41" s="7">
        <v>53726928.5844732</v>
      </c>
      <c r="O41" s="7">
        <v>72366060.246799603</v>
      </c>
      <c r="P41" s="7">
        <v>92103135.096561402</v>
      </c>
      <c r="Q41" s="7">
        <v>112955497.92459001</v>
      </c>
      <c r="R41" s="7">
        <v>135040087.80954301</v>
      </c>
      <c r="S41" s="7">
        <v>158422085.853782</v>
      </c>
      <c r="T41" s="7">
        <v>177289348.81014001</v>
      </c>
      <c r="U41" s="7">
        <v>181519383.59783399</v>
      </c>
      <c r="V41" s="7">
        <v>185893280.65836301</v>
      </c>
      <c r="W41" s="7">
        <v>191043657.372473</v>
      </c>
      <c r="X41" s="7">
        <v>196017101.63493299</v>
      </c>
      <c r="Y41" s="7">
        <v>202018782.00497201</v>
      </c>
      <c r="Z41" s="7">
        <v>209410914.452878</v>
      </c>
      <c r="AA41" s="7">
        <v>217208408.45389</v>
      </c>
      <c r="AB41" s="7">
        <v>220975064.72957301</v>
      </c>
      <c r="AC41" s="7">
        <v>225296331.349534</v>
      </c>
    </row>
    <row r="42" spans="1:29" x14ac:dyDescent="0.85">
      <c r="A42" t="s">
        <v>140</v>
      </c>
      <c r="B42" s="7">
        <v>1366.5167535200001</v>
      </c>
      <c r="C42" s="7">
        <v>1332.35383417</v>
      </c>
      <c r="D42" s="7">
        <v>1299.04498745</v>
      </c>
      <c r="E42" s="7">
        <v>1266.5688626599999</v>
      </c>
      <c r="F42" s="7">
        <v>1234.9046625999999</v>
      </c>
      <c r="G42" s="7">
        <v>1204.03207191</v>
      </c>
      <c r="H42" s="7">
        <v>1173.9312857100001</v>
      </c>
      <c r="I42" s="7">
        <v>1144.5831113700001</v>
      </c>
      <c r="J42" s="7">
        <v>1115.9685654699999</v>
      </c>
      <c r="K42" s="7">
        <v>3318.8621892699998</v>
      </c>
      <c r="L42" s="7">
        <v>5718.6173439900003</v>
      </c>
      <c r="M42" s="7">
        <v>8309.44348507</v>
      </c>
      <c r="N42" s="7">
        <v>8101.7075345599997</v>
      </c>
      <c r="O42" s="7">
        <v>10912.379899510001</v>
      </c>
      <c r="P42" s="7">
        <v>13888.615694730001</v>
      </c>
      <c r="Q42" s="7">
        <v>17033.03041354</v>
      </c>
      <c r="R42" s="7">
        <v>20363.257787080001</v>
      </c>
      <c r="S42" s="7">
        <v>23889.12674552</v>
      </c>
      <c r="T42" s="7">
        <v>26734.199979320001</v>
      </c>
      <c r="U42" s="7">
        <v>27372.064558850001</v>
      </c>
      <c r="V42" s="7">
        <v>28031.481322790001</v>
      </c>
      <c r="W42" s="7">
        <v>28807.93436997</v>
      </c>
      <c r="X42" s="7">
        <v>29557.499500900001</v>
      </c>
      <c r="Y42" s="7">
        <v>30462.046907700002</v>
      </c>
      <c r="Z42" s="7">
        <v>31576.32587045</v>
      </c>
      <c r="AA42" s="7">
        <v>32751.74842561</v>
      </c>
      <c r="AB42" s="7">
        <v>33319.291719350003</v>
      </c>
      <c r="AC42" s="7">
        <v>33970.319902640003</v>
      </c>
    </row>
    <row r="43" spans="1:29" x14ac:dyDescent="0.85">
      <c r="A43" t="s">
        <v>141</v>
      </c>
      <c r="B43" s="7">
        <v>0</v>
      </c>
      <c r="C43" s="7">
        <v>0.53013476000000004</v>
      </c>
      <c r="D43" s="7">
        <v>1.03376278</v>
      </c>
      <c r="E43" s="7">
        <v>1.5118780599999999</v>
      </c>
      <c r="F43" s="7">
        <v>1.96544151</v>
      </c>
      <c r="G43" s="7">
        <v>2.3953818899999999</v>
      </c>
      <c r="H43" s="7">
        <v>2.80259685</v>
      </c>
      <c r="I43" s="7">
        <v>3.1879542199999999</v>
      </c>
      <c r="J43" s="7">
        <v>3.5522919499999999</v>
      </c>
      <c r="K43" s="7">
        <v>11.88497935</v>
      </c>
      <c r="L43" s="7">
        <v>22.753999279999999</v>
      </c>
      <c r="M43" s="7">
        <v>36.368997200000003</v>
      </c>
      <c r="N43" s="7">
        <v>38.683388579999999</v>
      </c>
      <c r="O43" s="7">
        <v>56.445526989999998</v>
      </c>
      <c r="P43" s="7">
        <v>77.366633480000004</v>
      </c>
      <c r="Q43" s="7">
        <v>101.65994813</v>
      </c>
      <c r="R43" s="7">
        <v>129.63848429999999</v>
      </c>
      <c r="S43" s="7">
        <v>161.59052757000001</v>
      </c>
      <c r="T43" s="7">
        <v>191.47249671</v>
      </c>
      <c r="U43" s="7">
        <v>206.93209730000001</v>
      </c>
      <c r="V43" s="7">
        <v>223.07193679</v>
      </c>
      <c r="W43" s="7">
        <v>240.71500828999999</v>
      </c>
      <c r="X43" s="7">
        <v>258.74257416</v>
      </c>
      <c r="Y43" s="7">
        <v>278.78591917</v>
      </c>
      <c r="Z43" s="7">
        <v>301.55171681000002</v>
      </c>
      <c r="AA43" s="7">
        <v>325.81261267999997</v>
      </c>
      <c r="AB43" s="7">
        <v>344.72110098000002</v>
      </c>
      <c r="AC43" s="7">
        <v>364.98005678999999</v>
      </c>
    </row>
    <row r="44" spans="1:29" x14ac:dyDescent="0.85">
      <c r="A44" t="s">
        <v>142</v>
      </c>
      <c r="B44" s="7">
        <v>2.7186399999999999E-2</v>
      </c>
      <c r="C44" s="7">
        <v>2.6506740000000001E-2</v>
      </c>
      <c r="D44" s="7">
        <v>2.584407E-2</v>
      </c>
      <c r="E44" s="7">
        <v>2.519797E-2</v>
      </c>
      <c r="F44" s="7">
        <v>2.4568019999999999E-2</v>
      </c>
      <c r="G44" s="7">
        <v>2.3953820000000001E-2</v>
      </c>
      <c r="H44" s="7">
        <v>2.3354969999999999E-2</v>
      </c>
      <c r="I44" s="7">
        <v>2.2771099999999999E-2</v>
      </c>
      <c r="J44" s="7">
        <v>2.2201820000000001E-2</v>
      </c>
      <c r="K44" s="7">
        <v>6.6027660000000002E-2</v>
      </c>
      <c r="L44" s="7">
        <v>0.11377</v>
      </c>
      <c r="M44" s="7">
        <v>0.16531361999999999</v>
      </c>
      <c r="N44" s="7">
        <v>0.16118078999999999</v>
      </c>
      <c r="O44" s="7">
        <v>0.21709818</v>
      </c>
      <c r="P44" s="7">
        <v>0.27630940999999998</v>
      </c>
      <c r="Q44" s="7">
        <v>0.33886649000000002</v>
      </c>
      <c r="R44" s="7">
        <v>0.40512026000000001</v>
      </c>
      <c r="S44" s="7">
        <v>0.47526626</v>
      </c>
      <c r="T44" s="7">
        <v>0.53186805000000004</v>
      </c>
      <c r="U44" s="7">
        <v>0.54455814999999996</v>
      </c>
      <c r="V44" s="7">
        <v>0.55767984000000004</v>
      </c>
      <c r="W44" s="7">
        <v>0.57313097000000002</v>
      </c>
      <c r="X44" s="7">
        <v>0.58805130000000005</v>
      </c>
      <c r="Y44" s="7">
        <v>0.60605635000000002</v>
      </c>
      <c r="Z44" s="7">
        <v>0.62823273999999996</v>
      </c>
      <c r="AA44" s="7">
        <v>0.65162523000000006</v>
      </c>
      <c r="AB44" s="7">
        <v>0.66292519000000005</v>
      </c>
      <c r="AC44" s="7">
        <v>0.67588899000000002</v>
      </c>
    </row>
    <row r="45" spans="1:29" x14ac:dyDescent="0.85">
      <c r="A45" t="s">
        <v>143</v>
      </c>
      <c r="B45" s="7">
        <v>1274.89859142</v>
      </c>
      <c r="C45" s="7">
        <v>1243.0261266299999</v>
      </c>
      <c r="D45" s="7">
        <v>1211.9504734699999</v>
      </c>
      <c r="E45" s="7">
        <v>1181.6517116299999</v>
      </c>
      <c r="F45" s="7">
        <v>1152.1104389</v>
      </c>
      <c r="G45" s="7">
        <v>1123.30770207</v>
      </c>
      <c r="H45" s="7">
        <v>1095.22502407</v>
      </c>
      <c r="I45" s="7">
        <v>1067.8444990400001</v>
      </c>
      <c r="J45" s="7">
        <v>1041.1484163099999</v>
      </c>
      <c r="K45" s="7">
        <v>3096.3489646799999</v>
      </c>
      <c r="L45" s="7">
        <v>5335.2124561700002</v>
      </c>
      <c r="M45" s="7">
        <v>7752.3365734500003</v>
      </c>
      <c r="N45" s="7">
        <v>7558.5282865700001</v>
      </c>
      <c r="O45" s="7">
        <v>10180.75903042</v>
      </c>
      <c r="P45" s="7">
        <v>12957.452998909999</v>
      </c>
      <c r="Q45" s="7">
        <v>15891.05032952</v>
      </c>
      <c r="R45" s="7">
        <v>18998.002499329999</v>
      </c>
      <c r="S45" s="7">
        <v>22287.479457540001</v>
      </c>
      <c r="T45" s="7">
        <v>24941.804662850001</v>
      </c>
      <c r="U45" s="7">
        <v>25536.903590670001</v>
      </c>
      <c r="V45" s="7">
        <v>26152.100255329999</v>
      </c>
      <c r="W45" s="7">
        <v>26876.482993940001</v>
      </c>
      <c r="X45" s="7">
        <v>27575.766603370001</v>
      </c>
      <c r="Y45" s="7">
        <v>28419.637021629998</v>
      </c>
      <c r="Z45" s="7">
        <v>29459.181525330001</v>
      </c>
      <c r="AA45" s="7">
        <v>30555.77141614</v>
      </c>
      <c r="AB45" s="7">
        <v>31085.233814930001</v>
      </c>
      <c r="AC45" s="7">
        <v>31692.5739927</v>
      </c>
    </row>
    <row r="46" spans="1:29" x14ac:dyDescent="0.85">
      <c r="A46" t="s">
        <v>144</v>
      </c>
      <c r="B46" s="7">
        <v>91.618162100000006</v>
      </c>
      <c r="C46" s="7">
        <v>89.327707529999998</v>
      </c>
      <c r="D46" s="7">
        <v>87.094513980000002</v>
      </c>
      <c r="E46" s="7">
        <v>84.917151029999999</v>
      </c>
      <c r="F46" s="7">
        <v>82.794223700000003</v>
      </c>
      <c r="G46" s="7">
        <v>80.724369839999994</v>
      </c>
      <c r="H46" s="7">
        <v>78.706261639999994</v>
      </c>
      <c r="I46" s="7">
        <v>76.738612329999995</v>
      </c>
      <c r="J46" s="7">
        <v>74.82014916</v>
      </c>
      <c r="K46" s="7">
        <v>222.51322458000001</v>
      </c>
      <c r="L46" s="7">
        <v>383.40488782</v>
      </c>
      <c r="M46" s="7">
        <v>557.10691162000001</v>
      </c>
      <c r="N46" s="7">
        <v>543.17924799000002</v>
      </c>
      <c r="O46" s="7">
        <v>731.62086910000005</v>
      </c>
      <c r="P46" s="7">
        <v>931.16269582999996</v>
      </c>
      <c r="Q46" s="7">
        <v>1141.98008402</v>
      </c>
      <c r="R46" s="7">
        <v>1365.25528775</v>
      </c>
      <c r="S46" s="7">
        <v>1601.6472879800001</v>
      </c>
      <c r="T46" s="7">
        <v>1792.3953164699999</v>
      </c>
      <c r="U46" s="7">
        <v>1835.1609681699999</v>
      </c>
      <c r="V46" s="7">
        <v>1879.3810674599999</v>
      </c>
      <c r="W46" s="7">
        <v>1931.45137604</v>
      </c>
      <c r="X46" s="7">
        <v>1981.7328975299999</v>
      </c>
      <c r="Y46" s="7">
        <v>2042.4098860700001</v>
      </c>
      <c r="Z46" s="7">
        <v>2117.1443451199998</v>
      </c>
      <c r="AA46" s="7">
        <v>2195.9770094700002</v>
      </c>
      <c r="AB46" s="7">
        <v>2234.0579044199999</v>
      </c>
      <c r="AC46" s="7">
        <v>2277.7459099399998</v>
      </c>
    </row>
    <row r="47" spans="1:29" x14ac:dyDescent="0.85">
      <c r="A47" t="s">
        <v>145</v>
      </c>
      <c r="B47" s="7">
        <v>1</v>
      </c>
      <c r="C47" s="7">
        <v>1.0249999999999999</v>
      </c>
      <c r="D47" s="7">
        <v>0.99999998999999995</v>
      </c>
      <c r="E47" s="7">
        <v>0.99999998999999995</v>
      </c>
      <c r="F47" s="7">
        <v>1</v>
      </c>
      <c r="G47" s="7">
        <v>1.0000000200000001</v>
      </c>
      <c r="H47" s="7">
        <v>1.0000000200000001</v>
      </c>
      <c r="I47" s="7">
        <v>1.0000000099999999</v>
      </c>
      <c r="J47" s="7">
        <v>1.0000000899999999</v>
      </c>
      <c r="K47" s="7">
        <v>1.00000003</v>
      </c>
      <c r="L47" s="7">
        <v>1.7672367899999999</v>
      </c>
      <c r="M47" s="7">
        <v>1.4902988699999999</v>
      </c>
      <c r="N47" s="7">
        <v>1.3604203699999999</v>
      </c>
      <c r="O47" s="7">
        <v>1.0000000200000001</v>
      </c>
      <c r="P47" s="7">
        <v>1.30536374</v>
      </c>
      <c r="Q47" s="7">
        <v>1.2578385299999999</v>
      </c>
      <c r="R47" s="7">
        <v>1.2261601</v>
      </c>
      <c r="S47" s="7">
        <v>1.2032193</v>
      </c>
      <c r="T47" s="7">
        <v>1.1859430099999999</v>
      </c>
      <c r="U47" s="7">
        <v>1.1477896400000001</v>
      </c>
      <c r="V47" s="7">
        <v>1.05011231</v>
      </c>
      <c r="W47" s="7">
        <v>1.0503492299999999</v>
      </c>
      <c r="X47" s="7">
        <v>1.0540500900000001</v>
      </c>
      <c r="Y47" s="7">
        <v>1.0523265799999999</v>
      </c>
      <c r="Z47" s="7">
        <v>1.05702757</v>
      </c>
      <c r="AA47" s="7">
        <v>1.06315732</v>
      </c>
      <c r="AB47" s="7">
        <v>1.06381953</v>
      </c>
      <c r="AC47" s="7">
        <v>1.04341306</v>
      </c>
    </row>
    <row r="48" spans="1:29" x14ac:dyDescent="0.85">
      <c r="A48" t="s">
        <v>146</v>
      </c>
      <c r="B48" s="7">
        <v>1</v>
      </c>
      <c r="C48" s="7">
        <v>0.99999998999999995</v>
      </c>
      <c r="D48" s="7">
        <v>0.99999998999999995</v>
      </c>
      <c r="E48" s="7">
        <v>1</v>
      </c>
      <c r="F48" s="7">
        <v>1.0000000200000001</v>
      </c>
      <c r="G48" s="7">
        <v>1.0000000200000001</v>
      </c>
      <c r="H48" s="7">
        <v>1.0000000099999999</v>
      </c>
      <c r="I48" s="7">
        <v>1.0000000899999999</v>
      </c>
      <c r="J48" s="7">
        <v>1.00000003</v>
      </c>
      <c r="K48" s="7">
        <v>3.0502303799999999</v>
      </c>
      <c r="L48" s="7">
        <v>1.76724679</v>
      </c>
      <c r="M48" s="7">
        <v>1.49030887</v>
      </c>
      <c r="N48" s="7">
        <v>1.0000000200000001</v>
      </c>
      <c r="O48" s="7">
        <v>1.38145995</v>
      </c>
      <c r="P48" s="7">
        <v>1.3053737299999999</v>
      </c>
      <c r="Q48" s="7">
        <v>1.25784853</v>
      </c>
      <c r="R48" s="7">
        <v>1.2261701</v>
      </c>
      <c r="S48" s="7">
        <v>1.2032293000000001</v>
      </c>
      <c r="T48" s="7">
        <v>1.1477896400000001</v>
      </c>
      <c r="U48" s="7">
        <v>1.05011231</v>
      </c>
      <c r="V48" s="7">
        <v>1.0503492299999999</v>
      </c>
      <c r="W48" s="7">
        <v>1.0540500900000001</v>
      </c>
      <c r="X48" s="7">
        <v>1.0523265799999999</v>
      </c>
      <c r="Y48" s="7">
        <v>1.05702757</v>
      </c>
      <c r="Z48" s="7">
        <v>1.06315732</v>
      </c>
      <c r="AA48" s="7">
        <v>1.06381953</v>
      </c>
      <c r="AB48" s="7">
        <v>1.04341306</v>
      </c>
      <c r="AC48" s="7">
        <v>1.0456799000000001</v>
      </c>
    </row>
    <row r="49" spans="1:29" x14ac:dyDescent="0.85">
      <c r="A49" t="s">
        <v>147</v>
      </c>
      <c r="B49" s="7">
        <v>1</v>
      </c>
      <c r="C49" s="7">
        <v>2.3042746799999998</v>
      </c>
      <c r="D49" s="7">
        <v>2.3486656400000001</v>
      </c>
      <c r="E49" s="7">
        <v>2.3956918100000002</v>
      </c>
      <c r="F49" s="7">
        <v>2.4454048400000001</v>
      </c>
      <c r="G49" s="7">
        <v>2.4995064899999999</v>
      </c>
      <c r="H49" s="7">
        <v>2.5677326699999998</v>
      </c>
      <c r="I49" s="7">
        <v>2.7140305499999999</v>
      </c>
      <c r="J49" s="7">
        <v>2.8744117500000002</v>
      </c>
      <c r="K49" s="7">
        <v>3.0502303799999999</v>
      </c>
      <c r="L49" s="7">
        <v>1.76724679</v>
      </c>
      <c r="M49" s="7">
        <v>1.49030887</v>
      </c>
      <c r="N49" s="7">
        <v>1.36043037</v>
      </c>
      <c r="O49" s="7">
        <v>1.3814599599999999</v>
      </c>
      <c r="P49" s="7">
        <v>1.3053737400000001</v>
      </c>
      <c r="Q49" s="7">
        <v>1.25784853</v>
      </c>
      <c r="R49" s="7">
        <v>1.2261701</v>
      </c>
      <c r="S49" s="7">
        <v>1.2032293000000001</v>
      </c>
      <c r="T49" s="7">
        <v>1.18595301</v>
      </c>
      <c r="U49" s="7">
        <v>1.17659866</v>
      </c>
      <c r="V49" s="7">
        <v>1.1790699499999999</v>
      </c>
      <c r="W49" s="7">
        <v>1.18117443</v>
      </c>
      <c r="X49" s="7">
        <v>1.1822221500000001</v>
      </c>
      <c r="Y49" s="7">
        <v>1.1833867499999999</v>
      </c>
      <c r="Z49" s="7">
        <v>1.18303336</v>
      </c>
      <c r="AA49" s="7">
        <v>1.1810733600000001</v>
      </c>
      <c r="AB49" s="7">
        <v>1.1790802499999999</v>
      </c>
      <c r="AC49" s="7">
        <v>1.1815761600000001</v>
      </c>
    </row>
    <row r="50" spans="1:29" x14ac:dyDescent="0.85">
      <c r="A50" t="s">
        <v>148</v>
      </c>
      <c r="B50" s="7">
        <v>18232</v>
      </c>
      <c r="C50" s="7">
        <v>19896.993963140001</v>
      </c>
      <c r="D50" s="7">
        <v>21571.12996147</v>
      </c>
      <c r="E50" s="7">
        <v>23249.064799039999</v>
      </c>
      <c r="F50" s="7">
        <v>24998.124277409999</v>
      </c>
      <c r="G50" s="7">
        <v>27152.729587540001</v>
      </c>
      <c r="H50" s="7">
        <v>29327.984931489998</v>
      </c>
      <c r="I50" s="7">
        <v>31642.286794579999</v>
      </c>
      <c r="J50" s="7">
        <v>34105.45136847</v>
      </c>
      <c r="K50" s="7">
        <v>36720.058926140002</v>
      </c>
      <c r="L50" s="7">
        <v>38771.793843899999</v>
      </c>
      <c r="M50" s="7">
        <v>38224.705600959998</v>
      </c>
      <c r="N50" s="7">
        <v>38720.611869200002</v>
      </c>
      <c r="O50" s="7">
        <v>39222.224787070001</v>
      </c>
      <c r="P50" s="7">
        <v>39502.668725739997</v>
      </c>
      <c r="Q50" s="7">
        <v>40042.069643000003</v>
      </c>
      <c r="R50" s="7">
        <v>40555.977331039998</v>
      </c>
      <c r="S50" s="7">
        <v>41111.68503257</v>
      </c>
      <c r="T50" s="7">
        <v>41664.67577401</v>
      </c>
      <c r="U50" s="7">
        <v>42196.773368729999</v>
      </c>
      <c r="V50" s="7">
        <v>42780.951380109997</v>
      </c>
      <c r="W50" s="7">
        <v>43463.825140779998</v>
      </c>
      <c r="X50" s="7">
        <v>44168.116256829999</v>
      </c>
      <c r="Y50" s="7">
        <v>45086.944445189998</v>
      </c>
      <c r="Z50" s="7">
        <v>46244.71924192</v>
      </c>
      <c r="AA50" s="7">
        <v>47427.099325820003</v>
      </c>
      <c r="AB50" s="7">
        <v>48628.905130810002</v>
      </c>
      <c r="AC50" s="7">
        <v>49852.712773179999</v>
      </c>
    </row>
    <row r="51" spans="1:29" x14ac:dyDescent="0.85">
      <c r="A51" t="s">
        <v>149</v>
      </c>
      <c r="B51" s="7">
        <v>78878089</v>
      </c>
      <c r="C51" s="7">
        <v>90976261.892407298</v>
      </c>
      <c r="D51" s="7">
        <v>103073805.87829299</v>
      </c>
      <c r="E51" s="7">
        <v>115168796.108741</v>
      </c>
      <c r="F51" s="7">
        <v>127433255.763546</v>
      </c>
      <c r="G51" s="7">
        <v>142321808.04319099</v>
      </c>
      <c r="H51" s="7">
        <v>154995593.847083</v>
      </c>
      <c r="I51" s="7">
        <v>167258180.023491</v>
      </c>
      <c r="J51" s="7">
        <v>179818056.77371201</v>
      </c>
      <c r="K51" s="7">
        <v>189906349.25665399</v>
      </c>
      <c r="L51" s="7">
        <v>194967020.96645001</v>
      </c>
      <c r="M51" s="7">
        <v>178708495.95265299</v>
      </c>
      <c r="N51" s="7">
        <v>180841325.134051</v>
      </c>
      <c r="O51" s="7">
        <v>162945085.18493101</v>
      </c>
      <c r="P51" s="7">
        <v>143708677.759864</v>
      </c>
      <c r="Q51" s="7">
        <v>123456539.317965</v>
      </c>
      <c r="R51" s="7">
        <v>102592190.118863</v>
      </c>
      <c r="S51" s="7">
        <v>81933326.767499402</v>
      </c>
      <c r="T51" s="7">
        <v>67069352.999702699</v>
      </c>
      <c r="U51" s="7">
        <v>64339573.079934902</v>
      </c>
      <c r="V51" s="7">
        <v>62010654.683266997</v>
      </c>
      <c r="W51" s="7">
        <v>59846595.8273516</v>
      </c>
      <c r="X51" s="7">
        <v>58068244.130146801</v>
      </c>
      <c r="Y51" s="7">
        <v>56630393.365240797</v>
      </c>
      <c r="Z51" s="7">
        <v>55367886.1845285</v>
      </c>
      <c r="AA51" s="7">
        <v>54147876.0329623</v>
      </c>
      <c r="AB51" s="7">
        <v>53878995.533339903</v>
      </c>
      <c r="AC51" s="7">
        <v>53392417.596398398</v>
      </c>
    </row>
    <row r="52" spans="1:29" x14ac:dyDescent="0.85">
      <c r="A52" t="s">
        <v>150</v>
      </c>
      <c r="B52" s="7">
        <v>78878089</v>
      </c>
      <c r="C52" s="7">
        <v>90976261.892407298</v>
      </c>
      <c r="D52" s="7">
        <v>103073805.87829299</v>
      </c>
      <c r="E52" s="7">
        <v>115168796.108741</v>
      </c>
      <c r="F52" s="7">
        <v>127433255.763546</v>
      </c>
      <c r="G52" s="7">
        <v>142321808.04319099</v>
      </c>
      <c r="H52" s="7">
        <v>154995593.847083</v>
      </c>
      <c r="I52" s="7">
        <v>167258180.023491</v>
      </c>
      <c r="J52" s="7">
        <v>179818056.77371201</v>
      </c>
      <c r="K52" s="7">
        <v>189906349.25665399</v>
      </c>
      <c r="L52" s="7">
        <v>194967020.96645001</v>
      </c>
      <c r="M52" s="7">
        <v>178708495.95265299</v>
      </c>
      <c r="N52" s="7">
        <v>180841325.134051</v>
      </c>
      <c r="O52" s="7">
        <v>162945085.18493101</v>
      </c>
      <c r="P52" s="7">
        <v>143708677.759864</v>
      </c>
      <c r="Q52" s="7">
        <v>123456539.317965</v>
      </c>
      <c r="R52" s="7">
        <v>102592190.118863</v>
      </c>
      <c r="S52" s="7">
        <v>81933326.767499402</v>
      </c>
      <c r="T52" s="7">
        <v>67069352.999702699</v>
      </c>
      <c r="U52" s="7">
        <v>64339573.079934902</v>
      </c>
      <c r="V52" s="7">
        <v>62010654.683266997</v>
      </c>
      <c r="W52" s="7">
        <v>59846595.8273516</v>
      </c>
      <c r="X52" s="7">
        <v>58068244.130146801</v>
      </c>
      <c r="Y52" s="7">
        <v>56630393.365240797</v>
      </c>
      <c r="Z52" s="7">
        <v>55367886.1845285</v>
      </c>
      <c r="AA52" s="7">
        <v>54147876.0329623</v>
      </c>
      <c r="AB52" s="7">
        <v>53878995.533339903</v>
      </c>
      <c r="AC52" s="7">
        <v>53392417.596398398</v>
      </c>
    </row>
    <row r="53" spans="1:29" x14ac:dyDescent="0.85">
      <c r="A53" t="s">
        <v>151</v>
      </c>
      <c r="B53" s="7">
        <v>5382.1049241399996</v>
      </c>
      <c r="C53" s="7">
        <v>5993.0464255699999</v>
      </c>
      <c r="D53" s="7">
        <v>6605.7062587199998</v>
      </c>
      <c r="E53" s="7">
        <v>7219.02418442</v>
      </c>
      <c r="F53" s="7">
        <v>7849.9650969000004</v>
      </c>
      <c r="G53" s="7">
        <v>8621.8407595499993</v>
      </c>
      <c r="H53" s="7">
        <v>9343.5921507900002</v>
      </c>
      <c r="I53" s="7">
        <v>10081.67877138</v>
      </c>
      <c r="J53" s="7">
        <v>10855.249304929999</v>
      </c>
      <c r="K53" s="7">
        <v>11597.232523070001</v>
      </c>
      <c r="L53" s="7">
        <v>12109.79976697</v>
      </c>
      <c r="M53" s="7">
        <v>11609.343050330001</v>
      </c>
      <c r="N53" s="7">
        <v>11755.42674264</v>
      </c>
      <c r="O53" s="7">
        <v>11413.88334565</v>
      </c>
      <c r="P53" s="7">
        <v>10997.69782499</v>
      </c>
      <c r="Q53" s="7">
        <v>10605.83654445</v>
      </c>
      <c r="R53" s="7">
        <v>10194.202837070001</v>
      </c>
      <c r="S53" s="7">
        <v>9795.5098542699998</v>
      </c>
      <c r="T53" s="7">
        <v>9537.6969385100001</v>
      </c>
      <c r="U53" s="7">
        <v>9571.9962186100001</v>
      </c>
      <c r="V53" s="7">
        <v>9625.9529445999997</v>
      </c>
      <c r="W53" s="7">
        <v>9702.6487053799992</v>
      </c>
      <c r="X53" s="7">
        <v>9792.8172647299998</v>
      </c>
      <c r="Y53" s="7">
        <v>9931.9784227</v>
      </c>
      <c r="Z53" s="7">
        <v>10120.73131496</v>
      </c>
      <c r="AA53" s="7">
        <v>10315.18723155</v>
      </c>
      <c r="AB53" s="7">
        <v>10536.53456606</v>
      </c>
      <c r="AC53" s="7">
        <v>10756.74246698</v>
      </c>
    </row>
    <row r="54" spans="1:29" x14ac:dyDescent="0.85">
      <c r="A54" t="s">
        <v>152</v>
      </c>
      <c r="B54" s="7">
        <v>0</v>
      </c>
      <c r="C54" s="7">
        <v>891.56736654999997</v>
      </c>
      <c r="D54" s="7">
        <v>2020.2465952099999</v>
      </c>
      <c r="E54" s="7">
        <v>3385.9626056000002</v>
      </c>
      <c r="F54" s="7">
        <v>4995.3836259299997</v>
      </c>
      <c r="G54" s="7">
        <v>6973.7685941199998</v>
      </c>
      <c r="H54" s="7">
        <v>9113.74091821</v>
      </c>
      <c r="I54" s="7">
        <v>11473.911149609999</v>
      </c>
      <c r="J54" s="7">
        <v>14097.73565106</v>
      </c>
      <c r="K54" s="7">
        <v>16749.740004439998</v>
      </c>
      <c r="L54" s="7">
        <v>19106.768054709999</v>
      </c>
      <c r="M54" s="7">
        <v>19264.775863700001</v>
      </c>
      <c r="N54" s="7">
        <v>21266.93983576</v>
      </c>
      <c r="O54" s="7">
        <v>20759.20385256</v>
      </c>
      <c r="P54" s="7">
        <v>19716.830588649998</v>
      </c>
      <c r="Q54" s="7">
        <v>18148.111279739998</v>
      </c>
      <c r="R54" s="7">
        <v>16086.455410639999</v>
      </c>
      <c r="S54" s="7">
        <v>13650.092239469999</v>
      </c>
      <c r="T54" s="7">
        <v>11831.03386915</v>
      </c>
      <c r="U54" s="7">
        <v>11980.028507479999</v>
      </c>
      <c r="V54" s="7">
        <v>12154.088317919999</v>
      </c>
      <c r="W54" s="7">
        <v>12316.429421270001</v>
      </c>
      <c r="X54" s="7">
        <v>12519.513434459999</v>
      </c>
      <c r="Y54" s="7">
        <v>12764.49066453</v>
      </c>
      <c r="Z54" s="7">
        <v>13022.5268306</v>
      </c>
      <c r="AA54" s="7">
        <v>13266.22962808</v>
      </c>
      <c r="AB54" s="7">
        <v>13728.368061900001</v>
      </c>
      <c r="AC54" s="7">
        <v>14127.63369601</v>
      </c>
    </row>
    <row r="55" spans="1:29" x14ac:dyDescent="0.85">
      <c r="A55" t="s">
        <v>153</v>
      </c>
      <c r="B55" s="7">
        <v>38.650263610000003</v>
      </c>
      <c r="C55" s="7">
        <v>44.578368330000004</v>
      </c>
      <c r="D55" s="7">
        <v>50.50616488</v>
      </c>
      <c r="E55" s="7">
        <v>56.43271009</v>
      </c>
      <c r="F55" s="7">
        <v>62.442295319999999</v>
      </c>
      <c r="G55" s="7">
        <v>69.737685940000006</v>
      </c>
      <c r="H55" s="7">
        <v>75.947840990000003</v>
      </c>
      <c r="I55" s="7">
        <v>81.956508209999996</v>
      </c>
      <c r="J55" s="7">
        <v>88.110847820000004</v>
      </c>
      <c r="K55" s="7">
        <v>93.054111140000003</v>
      </c>
      <c r="L55" s="7">
        <v>95.533840269999999</v>
      </c>
      <c r="M55" s="7">
        <v>87.567163019999995</v>
      </c>
      <c r="N55" s="7">
        <v>88.612249320000004</v>
      </c>
      <c r="O55" s="7">
        <v>79.843091740000006</v>
      </c>
      <c r="P55" s="7">
        <v>70.417252099999999</v>
      </c>
      <c r="Q55" s="7">
        <v>60.493704270000002</v>
      </c>
      <c r="R55" s="7">
        <v>50.270173159999999</v>
      </c>
      <c r="S55" s="7">
        <v>40.147330119999999</v>
      </c>
      <c r="T55" s="7">
        <v>32.863982970000002</v>
      </c>
      <c r="U55" s="7">
        <v>31.526390809999999</v>
      </c>
      <c r="V55" s="7">
        <v>30.385220790000002</v>
      </c>
      <c r="W55" s="7">
        <v>29.324831960000001</v>
      </c>
      <c r="X55" s="7">
        <v>28.453439620000001</v>
      </c>
      <c r="Y55" s="7">
        <v>27.74889275</v>
      </c>
      <c r="Z55" s="7">
        <v>27.130264230000002</v>
      </c>
      <c r="AA55" s="7">
        <v>26.53245926</v>
      </c>
      <c r="AB55" s="7">
        <v>26.40070781</v>
      </c>
      <c r="AC55" s="7">
        <v>26.162284620000001</v>
      </c>
    </row>
    <row r="56" spans="1:29" x14ac:dyDescent="0.85">
      <c r="A56" t="s">
        <v>154</v>
      </c>
      <c r="B56" s="7">
        <v>3457.47955254</v>
      </c>
      <c r="C56" s="7">
        <v>3773.2256354000001</v>
      </c>
      <c r="D56" s="7">
        <v>4090.7053952900001</v>
      </c>
      <c r="E56" s="7">
        <v>4408.9055593700004</v>
      </c>
      <c r="F56" s="7">
        <v>4740.5936562699999</v>
      </c>
      <c r="G56" s="7">
        <v>5149.1886433</v>
      </c>
      <c r="H56" s="7">
        <v>5561.6996609199996</v>
      </c>
      <c r="I56" s="7">
        <v>6000.5791787999997</v>
      </c>
      <c r="J56" s="7">
        <v>6467.6887196500002</v>
      </c>
      <c r="K56" s="7">
        <v>6963.5176012100001</v>
      </c>
      <c r="L56" s="7">
        <v>7352.6044553900001</v>
      </c>
      <c r="M56" s="7">
        <v>7248.8557490800004</v>
      </c>
      <c r="N56" s="7">
        <v>7342.8984093700001</v>
      </c>
      <c r="O56" s="7">
        <v>7438.0232671399999</v>
      </c>
      <c r="P56" s="7">
        <v>7491.20608765</v>
      </c>
      <c r="Q56" s="7">
        <v>7593.4969850899997</v>
      </c>
      <c r="R56" s="7">
        <v>7690.9533981699997</v>
      </c>
      <c r="S56" s="7">
        <v>7796.33668115</v>
      </c>
      <c r="T56" s="7">
        <v>7901.20472531</v>
      </c>
      <c r="U56" s="7">
        <v>8002.1106354599997</v>
      </c>
      <c r="V56" s="7">
        <v>8112.89297033</v>
      </c>
      <c r="W56" s="7">
        <v>8242.3917672000007</v>
      </c>
      <c r="X56" s="7">
        <v>8375.9521079599999</v>
      </c>
      <c r="Y56" s="7">
        <v>8550.1968245900007</v>
      </c>
      <c r="Z56" s="7">
        <v>8769.7548920600002</v>
      </c>
      <c r="AA56" s="7">
        <v>8993.9790563499992</v>
      </c>
      <c r="AB56" s="7">
        <v>9221.8870750499991</v>
      </c>
      <c r="AC56" s="7">
        <v>9453.9674776200009</v>
      </c>
    </row>
    <row r="57" spans="1:29" x14ac:dyDescent="0.85">
      <c r="A57" t="s">
        <v>155</v>
      </c>
      <c r="B57" s="7">
        <v>1924.6253716000001</v>
      </c>
      <c r="C57" s="7">
        <v>2219.8207901699998</v>
      </c>
      <c r="D57" s="7">
        <v>2515.0008634300002</v>
      </c>
      <c r="E57" s="7">
        <v>2810.11862505</v>
      </c>
      <c r="F57" s="7">
        <v>3109.3714406300001</v>
      </c>
      <c r="G57" s="7">
        <v>3472.6521162499998</v>
      </c>
      <c r="H57" s="7">
        <v>3781.8924898700002</v>
      </c>
      <c r="I57" s="7">
        <v>4081.0995925699999</v>
      </c>
      <c r="J57" s="7">
        <v>4387.5605852799999</v>
      </c>
      <c r="K57" s="7">
        <v>4633.7149218599998</v>
      </c>
      <c r="L57" s="7">
        <v>4757.1953115799997</v>
      </c>
      <c r="M57" s="7">
        <v>4360.4873012400003</v>
      </c>
      <c r="N57" s="7">
        <v>4412.5283332700001</v>
      </c>
      <c r="O57" s="7">
        <v>3975.8600785100002</v>
      </c>
      <c r="P57" s="7">
        <v>3506.4917373399999</v>
      </c>
      <c r="Q57" s="7">
        <v>3012.3395593599998</v>
      </c>
      <c r="R57" s="7">
        <v>2503.2494388999999</v>
      </c>
      <c r="S57" s="7">
        <v>1999.1731731299999</v>
      </c>
      <c r="T57" s="7">
        <v>1636.49221319</v>
      </c>
      <c r="U57" s="7">
        <v>1569.88558315</v>
      </c>
      <c r="V57" s="7">
        <v>1513.0599742700001</v>
      </c>
      <c r="W57" s="7">
        <v>1460.25693819</v>
      </c>
      <c r="X57" s="7">
        <v>1416.86515678</v>
      </c>
      <c r="Y57" s="7">
        <v>1381.78159811</v>
      </c>
      <c r="Z57" s="7">
        <v>1350.9764229</v>
      </c>
      <c r="AA57" s="7">
        <v>1321.2081751999999</v>
      </c>
      <c r="AB57" s="7">
        <v>1314.6474910100001</v>
      </c>
      <c r="AC57" s="7">
        <v>1302.7749893499999</v>
      </c>
    </row>
    <row r="58" spans="1:29" x14ac:dyDescent="0.85">
      <c r="A58" t="s">
        <v>156</v>
      </c>
      <c r="B58" s="7">
        <v>1</v>
      </c>
      <c r="C58" s="7">
        <v>1.04</v>
      </c>
      <c r="D58" s="7">
        <v>1.1367943899999999</v>
      </c>
      <c r="E58" s="7">
        <v>1.1293126499999999</v>
      </c>
      <c r="F58" s="7">
        <v>1.1226938900000001</v>
      </c>
      <c r="G58" s="7">
        <v>1.1200327000000001</v>
      </c>
      <c r="H58" s="7">
        <v>1.12512868</v>
      </c>
      <c r="I58" s="7">
        <v>1.1238680299999999</v>
      </c>
      <c r="J58" s="7">
        <v>1.1227508399999999</v>
      </c>
      <c r="K58" s="7">
        <v>1.121759</v>
      </c>
      <c r="L58" s="7">
        <v>1.1215233899999999</v>
      </c>
      <c r="M58" s="7">
        <v>1.09986984</v>
      </c>
      <c r="N58" s="7">
        <v>1.0269682600000001</v>
      </c>
      <c r="O58" s="7">
        <v>1.0551806800000001</v>
      </c>
      <c r="P58" s="7">
        <v>1.05516112</v>
      </c>
      <c r="Q58" s="7">
        <v>1.0491147199999999</v>
      </c>
      <c r="R58" s="7">
        <v>1.0558904099999999</v>
      </c>
      <c r="S58" s="7">
        <v>1.05503562</v>
      </c>
      <c r="T58" s="7">
        <v>1.05593983</v>
      </c>
      <c r="U58" s="7">
        <v>1.05567806</v>
      </c>
      <c r="V58" s="7">
        <v>1.05496974</v>
      </c>
      <c r="W58" s="7">
        <v>1.05608765</v>
      </c>
      <c r="X58" s="7">
        <v>1.0582938500000001</v>
      </c>
      <c r="Y58" s="7">
        <v>1.0585459100000001</v>
      </c>
      <c r="Z58" s="7">
        <v>1.0633364300000001</v>
      </c>
      <c r="AA58" s="7">
        <v>1.0684153300000001</v>
      </c>
      <c r="AB58" s="7">
        <v>1.06829989</v>
      </c>
      <c r="AC58" s="7">
        <v>1.0680625699999999</v>
      </c>
    </row>
    <row r="59" spans="1:29" x14ac:dyDescent="0.85">
      <c r="A59" t="s">
        <v>157</v>
      </c>
      <c r="B59" s="7">
        <v>1</v>
      </c>
      <c r="C59" s="7">
        <v>1.1367943899999999</v>
      </c>
      <c r="D59" s="7">
        <v>1.1293126499999999</v>
      </c>
      <c r="E59" s="7">
        <v>1.1226938900000001</v>
      </c>
      <c r="F59" s="7">
        <v>1.1200327000000001</v>
      </c>
      <c r="G59" s="7">
        <v>1.13144862</v>
      </c>
      <c r="H59" s="7">
        <v>1.12511651</v>
      </c>
      <c r="I59" s="7">
        <v>1.12386567</v>
      </c>
      <c r="J59" s="7">
        <v>1.1227542500000001</v>
      </c>
      <c r="K59" s="7">
        <v>1.1215233899999999</v>
      </c>
      <c r="L59" s="7">
        <v>1.09986984</v>
      </c>
      <c r="M59" s="7">
        <v>1.0269682600000001</v>
      </c>
      <c r="N59" s="7">
        <v>1.0551806800000001</v>
      </c>
      <c r="O59" s="7">
        <v>1.05516112</v>
      </c>
      <c r="P59" s="7">
        <v>1.0491147199999999</v>
      </c>
      <c r="Q59" s="7">
        <v>1.0558904099999999</v>
      </c>
      <c r="R59" s="7">
        <v>1.05503562</v>
      </c>
      <c r="S59" s="7">
        <v>1.05593983</v>
      </c>
      <c r="T59" s="7">
        <v>1.05567806</v>
      </c>
      <c r="U59" s="7">
        <v>1.05496974</v>
      </c>
      <c r="V59" s="7">
        <v>1.05608765</v>
      </c>
      <c r="W59" s="7">
        <v>1.0582938500000001</v>
      </c>
      <c r="X59" s="7">
        <v>1.0585459100000001</v>
      </c>
      <c r="Y59" s="7">
        <v>1.0633364300000001</v>
      </c>
      <c r="Z59" s="7">
        <v>1.0684153300000001</v>
      </c>
      <c r="AA59" s="7">
        <v>1.06829989</v>
      </c>
      <c r="AB59" s="7">
        <v>1.0680625699999999</v>
      </c>
      <c r="AC59" s="7">
        <v>1.06788152</v>
      </c>
    </row>
    <row r="60" spans="1:29" x14ac:dyDescent="0.85">
      <c r="A60" t="s">
        <v>158</v>
      </c>
      <c r="B60" s="7">
        <v>1</v>
      </c>
      <c r="C60" s="7">
        <v>1.1674621599999999</v>
      </c>
      <c r="D60" s="7">
        <v>1.15629811</v>
      </c>
      <c r="E60" s="7">
        <v>1.1469154399999999</v>
      </c>
      <c r="F60" s="7">
        <v>1.1389607100000001</v>
      </c>
      <c r="G60" s="7">
        <v>1.13196567</v>
      </c>
      <c r="H60" s="7">
        <v>1.1251386800000001</v>
      </c>
      <c r="I60" s="7">
        <v>1.12387803</v>
      </c>
      <c r="J60" s="7">
        <v>1.12276084</v>
      </c>
      <c r="K60" s="7">
        <v>1.121769</v>
      </c>
      <c r="L60" s="7">
        <v>1.12346463</v>
      </c>
      <c r="M60" s="7">
        <v>1.1262674699999999</v>
      </c>
      <c r="N60" s="7">
        <v>1.13336999</v>
      </c>
      <c r="O60" s="7">
        <v>1.1358608100000001</v>
      </c>
      <c r="P60" s="7">
        <v>1.14163072</v>
      </c>
      <c r="Q60" s="7">
        <v>1.1481076299999999</v>
      </c>
      <c r="R60" s="7">
        <v>1.15435168</v>
      </c>
      <c r="S60" s="7">
        <v>1.1609384</v>
      </c>
      <c r="T60" s="7">
        <v>1.1677277699999999</v>
      </c>
      <c r="U60" s="7">
        <v>1.1739321199999999</v>
      </c>
      <c r="V60" s="7">
        <v>1.17807328</v>
      </c>
      <c r="W60" s="7">
        <v>1.1817832699999999</v>
      </c>
      <c r="X60" s="7">
        <v>1.1847160699999999</v>
      </c>
      <c r="Y60" s="7">
        <v>1.1875008</v>
      </c>
      <c r="Z60" s="7">
        <v>1.18874291</v>
      </c>
      <c r="AA60" s="7">
        <v>1.18848591</v>
      </c>
      <c r="AB60" s="7">
        <v>1.18829232</v>
      </c>
      <c r="AC60" s="7">
        <v>1.18959704</v>
      </c>
    </row>
    <row r="61" spans="1:29" x14ac:dyDescent="0.85">
      <c r="A61" t="s">
        <v>159</v>
      </c>
      <c r="B61" s="7">
        <v>14725</v>
      </c>
      <c r="C61" s="7">
        <v>14356.875</v>
      </c>
      <c r="D61" s="7">
        <v>13997.953125</v>
      </c>
      <c r="E61" s="7">
        <v>13648.004296880001</v>
      </c>
      <c r="F61" s="7">
        <v>13306.80418945</v>
      </c>
      <c r="G61" s="7">
        <v>12974.134084720001</v>
      </c>
      <c r="H61" s="7">
        <v>12649.7807326</v>
      </c>
      <c r="I61" s="7">
        <v>12333.53621428</v>
      </c>
      <c r="J61" s="7">
        <v>12025.197808929999</v>
      </c>
      <c r="K61" s="7">
        <v>11724.5678637</v>
      </c>
      <c r="L61" s="7">
        <v>11431.45366711</v>
      </c>
      <c r="M61" s="7">
        <v>11145.66732543</v>
      </c>
      <c r="N61" s="7">
        <v>10867.025642299999</v>
      </c>
      <c r="O61" s="7">
        <v>10595.35000124</v>
      </c>
      <c r="P61" s="7">
        <v>10330.46625121</v>
      </c>
      <c r="Q61" s="7">
        <v>10072.204594930001</v>
      </c>
      <c r="R61" s="7">
        <v>9820.3994800599994</v>
      </c>
      <c r="S61" s="7">
        <v>9574.8894930499991</v>
      </c>
      <c r="T61" s="7">
        <v>9335.5172557299993</v>
      </c>
      <c r="U61" s="7">
        <v>9102.1293243300006</v>
      </c>
      <c r="V61" s="7">
        <v>8874.5760912299993</v>
      </c>
      <c r="W61" s="7">
        <v>8652.7116889499994</v>
      </c>
      <c r="X61" s="7">
        <v>8436.3938967199992</v>
      </c>
      <c r="Y61" s="7">
        <v>8225.4840492999992</v>
      </c>
      <c r="Z61" s="7">
        <v>8019.8469480699996</v>
      </c>
      <c r="AA61" s="7">
        <v>7819.3507743700002</v>
      </c>
      <c r="AB61" s="7">
        <v>7623.86700501</v>
      </c>
      <c r="AC61" s="7">
        <v>7433.2703298899996</v>
      </c>
    </row>
    <row r="62" spans="1:29" x14ac:dyDescent="0.85">
      <c r="A62" t="s">
        <v>160</v>
      </c>
      <c r="B62" s="7">
        <v>85873119.75</v>
      </c>
      <c r="C62" s="7">
        <v>83726211.492102101</v>
      </c>
      <c r="D62" s="7">
        <v>81631745.397715807</v>
      </c>
      <c r="E62" s="7">
        <v>79590951.471062005</v>
      </c>
      <c r="F62" s="7">
        <v>77450656.266134605</v>
      </c>
      <c r="G62" s="7">
        <v>72676917.286867604</v>
      </c>
      <c r="H62" s="7">
        <v>62629314.681691602</v>
      </c>
      <c r="I62" s="7">
        <v>52809722.589315102</v>
      </c>
      <c r="J62" s="7">
        <v>42488197.162332498</v>
      </c>
      <c r="K62" s="7">
        <v>19617049.5639605</v>
      </c>
      <c r="L62" s="7">
        <v>0</v>
      </c>
      <c r="M62" s="7">
        <v>0</v>
      </c>
      <c r="N62" s="7">
        <v>0</v>
      </c>
      <c r="O62" s="7">
        <v>0</v>
      </c>
      <c r="P62" s="7">
        <v>0</v>
      </c>
      <c r="Q62" s="7">
        <v>0</v>
      </c>
      <c r="R62" s="7">
        <v>0</v>
      </c>
      <c r="S62" s="7">
        <v>0</v>
      </c>
      <c r="T62" s="7">
        <v>0</v>
      </c>
      <c r="U62" s="7">
        <v>0</v>
      </c>
      <c r="V62" s="7">
        <v>0</v>
      </c>
      <c r="W62" s="7">
        <v>0</v>
      </c>
      <c r="X62" s="7">
        <v>0</v>
      </c>
      <c r="Y62" s="7">
        <v>0</v>
      </c>
      <c r="Z62" s="7">
        <v>0</v>
      </c>
      <c r="AA62" s="7">
        <v>0</v>
      </c>
      <c r="AB62" s="7">
        <v>0</v>
      </c>
      <c r="AC62" s="7">
        <v>0</v>
      </c>
    </row>
    <row r="63" spans="1:29" x14ac:dyDescent="0.85">
      <c r="A63" t="s">
        <v>161</v>
      </c>
      <c r="B63" s="7">
        <v>85873119.75</v>
      </c>
      <c r="C63" s="7">
        <v>83726211.492102101</v>
      </c>
      <c r="D63" s="7">
        <v>81631745.397715807</v>
      </c>
      <c r="E63" s="7">
        <v>79590951.471062005</v>
      </c>
      <c r="F63" s="7">
        <v>77450656.266134605</v>
      </c>
      <c r="G63" s="7">
        <v>72676917.286867604</v>
      </c>
      <c r="H63" s="7">
        <v>62629314.681691602</v>
      </c>
      <c r="I63" s="7">
        <v>52809722.589315102</v>
      </c>
      <c r="J63" s="7">
        <v>42488197.162332498</v>
      </c>
      <c r="K63" s="7">
        <v>19617049.5639605</v>
      </c>
      <c r="L63" s="7">
        <v>0</v>
      </c>
      <c r="M63" s="7">
        <v>0</v>
      </c>
      <c r="N63" s="7">
        <v>0</v>
      </c>
      <c r="O63" s="7">
        <v>0</v>
      </c>
      <c r="P63" s="7">
        <v>0</v>
      </c>
      <c r="Q63" s="7">
        <v>0</v>
      </c>
      <c r="R63" s="7">
        <v>0</v>
      </c>
      <c r="S63" s="7">
        <v>0</v>
      </c>
      <c r="T63" s="7">
        <v>0</v>
      </c>
      <c r="U63" s="7">
        <v>0</v>
      </c>
      <c r="V63" s="7">
        <v>0</v>
      </c>
      <c r="W63" s="7">
        <v>0</v>
      </c>
      <c r="X63" s="7">
        <v>0</v>
      </c>
      <c r="Y63" s="7">
        <v>0</v>
      </c>
      <c r="Z63" s="7">
        <v>0</v>
      </c>
      <c r="AA63" s="7">
        <v>0</v>
      </c>
      <c r="AB63" s="7">
        <v>0</v>
      </c>
      <c r="AC63" s="7">
        <v>0</v>
      </c>
    </row>
    <row r="64" spans="1:29" x14ac:dyDescent="0.85">
      <c r="A64" t="s">
        <v>162</v>
      </c>
      <c r="B64" s="7">
        <v>10812.95027195</v>
      </c>
      <c r="C64" s="7">
        <v>10542.624646599999</v>
      </c>
      <c r="D64" s="7">
        <v>10279.028514850001</v>
      </c>
      <c r="E64" s="7">
        <v>10022.05279519</v>
      </c>
      <c r="F64" s="7">
        <v>9767.9973366899994</v>
      </c>
      <c r="G64" s="7">
        <v>9457.7410417800002</v>
      </c>
      <c r="H64" s="7">
        <v>9029.6872929500005</v>
      </c>
      <c r="I64" s="7">
        <v>8611.7952678599995</v>
      </c>
      <c r="J64" s="7">
        <v>8186.9505327699999</v>
      </c>
      <c r="K64" s="7">
        <v>7474.5645841100004</v>
      </c>
      <c r="L64" s="7">
        <v>6842.4326785100002</v>
      </c>
      <c r="M64" s="7">
        <v>6671.3718615400003</v>
      </c>
      <c r="N64" s="7">
        <v>6504.5875650099997</v>
      </c>
      <c r="O64" s="7">
        <v>6341.9728758800002</v>
      </c>
      <c r="P64" s="7">
        <v>6183.4235539800002</v>
      </c>
      <c r="Q64" s="7">
        <v>6028.8379651300002</v>
      </c>
      <c r="R64" s="7">
        <v>5878.11701601</v>
      </c>
      <c r="S64" s="7">
        <v>5731.1640906100001</v>
      </c>
      <c r="T64" s="7">
        <v>5587.8849883399998</v>
      </c>
      <c r="U64" s="7">
        <v>5448.1878636299998</v>
      </c>
      <c r="V64" s="7">
        <v>5311.9831670399999</v>
      </c>
      <c r="W64" s="7">
        <v>5179.1835878600004</v>
      </c>
      <c r="X64" s="7">
        <v>5049.70399817</v>
      </c>
      <c r="Y64" s="7">
        <v>4923.46139821</v>
      </c>
      <c r="Z64" s="7">
        <v>4800.37486326</v>
      </c>
      <c r="AA64" s="7">
        <v>4680.3654916799996</v>
      </c>
      <c r="AB64" s="7">
        <v>4563.35635439</v>
      </c>
      <c r="AC64" s="7">
        <v>4449.2724455300004</v>
      </c>
    </row>
    <row r="65" spans="1:29" x14ac:dyDescent="0.85">
      <c r="A65" t="s">
        <v>163</v>
      </c>
      <c r="B65" s="7">
        <v>0</v>
      </c>
      <c r="C65" s="7">
        <v>1373.10986847</v>
      </c>
      <c r="D65" s="7">
        <v>2677.5212490499998</v>
      </c>
      <c r="E65" s="7">
        <v>3915.8748123800001</v>
      </c>
      <c r="F65" s="7">
        <v>5080.7630510600002</v>
      </c>
      <c r="G65" s="7">
        <v>5959.5072175200003</v>
      </c>
      <c r="H65" s="7">
        <v>6162.7245646800002</v>
      </c>
      <c r="I65" s="7">
        <v>6062.5561532499996</v>
      </c>
      <c r="J65" s="7">
        <v>5574.4514676999997</v>
      </c>
      <c r="K65" s="7">
        <v>2895.4765156399999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v>0</v>
      </c>
      <c r="W65" s="7">
        <v>0</v>
      </c>
      <c r="X65" s="7">
        <v>0</v>
      </c>
      <c r="Y65" s="7">
        <v>0</v>
      </c>
      <c r="Z65" s="7">
        <v>0</v>
      </c>
      <c r="AA65" s="7">
        <v>0</v>
      </c>
      <c r="AB65" s="7">
        <v>0</v>
      </c>
      <c r="AC65" s="7">
        <v>0</v>
      </c>
    </row>
    <row r="66" spans="1:29" x14ac:dyDescent="0.85">
      <c r="A66" t="s">
        <v>164</v>
      </c>
      <c r="B66" s="7">
        <v>70.415958200000006</v>
      </c>
      <c r="C66" s="7">
        <v>68.655493419999999</v>
      </c>
      <c r="D66" s="7">
        <v>66.938031230000007</v>
      </c>
      <c r="E66" s="7">
        <v>65.264580210000005</v>
      </c>
      <c r="F66" s="7">
        <v>63.509538139999997</v>
      </c>
      <c r="G66" s="7">
        <v>59.595072180000003</v>
      </c>
      <c r="H66" s="7">
        <v>51.356038040000001</v>
      </c>
      <c r="I66" s="7">
        <v>43.303972520000002</v>
      </c>
      <c r="J66" s="7">
        <v>34.840321670000002</v>
      </c>
      <c r="K66" s="7">
        <v>16.085980639999999</v>
      </c>
      <c r="L66" s="7">
        <v>0</v>
      </c>
      <c r="M66" s="7">
        <v>0</v>
      </c>
      <c r="N66" s="7">
        <v>0</v>
      </c>
      <c r="O66" s="7">
        <v>0</v>
      </c>
      <c r="P66" s="7">
        <v>0</v>
      </c>
      <c r="Q66" s="7">
        <v>0</v>
      </c>
      <c r="R66" s="7">
        <v>0</v>
      </c>
      <c r="S66" s="7">
        <v>0</v>
      </c>
      <c r="T66" s="7">
        <v>0</v>
      </c>
      <c r="U66" s="7">
        <v>0</v>
      </c>
      <c r="V66" s="7">
        <v>0</v>
      </c>
      <c r="W66" s="7">
        <v>0</v>
      </c>
      <c r="X66" s="7">
        <v>0</v>
      </c>
      <c r="Y66" s="7">
        <v>0</v>
      </c>
      <c r="Z66" s="7">
        <v>0</v>
      </c>
      <c r="AA66" s="7">
        <v>0</v>
      </c>
      <c r="AB66" s="7">
        <v>0</v>
      </c>
      <c r="AC66" s="7">
        <v>0</v>
      </c>
    </row>
    <row r="67" spans="1:29" x14ac:dyDescent="0.85">
      <c r="A67" t="s">
        <v>165</v>
      </c>
      <c r="B67" s="7">
        <v>8813.82404417</v>
      </c>
      <c r="C67" s="7">
        <v>8593.4784430700001</v>
      </c>
      <c r="D67" s="7">
        <v>8378.6414819900001</v>
      </c>
      <c r="E67" s="7">
        <v>8169.1754449399996</v>
      </c>
      <c r="F67" s="7">
        <v>7964.94605882</v>
      </c>
      <c r="G67" s="7">
        <v>7765.8224073499996</v>
      </c>
      <c r="H67" s="7">
        <v>7571.6768471599999</v>
      </c>
      <c r="I67" s="7">
        <v>7382.3849259799999</v>
      </c>
      <c r="J67" s="7">
        <v>7197.8253028299996</v>
      </c>
      <c r="K67" s="7">
        <v>7017.8796702600002</v>
      </c>
      <c r="L67" s="7">
        <v>6842.4326785100002</v>
      </c>
      <c r="M67" s="7">
        <v>6671.3718615400003</v>
      </c>
      <c r="N67" s="7">
        <v>6504.5875650099997</v>
      </c>
      <c r="O67" s="7">
        <v>6341.9728758800002</v>
      </c>
      <c r="P67" s="7">
        <v>6183.4235539800002</v>
      </c>
      <c r="Q67" s="7">
        <v>6028.8379651300002</v>
      </c>
      <c r="R67" s="7">
        <v>5878.11701601</v>
      </c>
      <c r="S67" s="7">
        <v>5731.1640906100001</v>
      </c>
      <c r="T67" s="7">
        <v>5587.8849883399998</v>
      </c>
      <c r="U67" s="7">
        <v>5448.1878636299998</v>
      </c>
      <c r="V67" s="7">
        <v>5311.9831670399999</v>
      </c>
      <c r="W67" s="7">
        <v>5179.1835878600004</v>
      </c>
      <c r="X67" s="7">
        <v>5049.70399817</v>
      </c>
      <c r="Y67" s="7">
        <v>4923.46139821</v>
      </c>
      <c r="Z67" s="7">
        <v>4800.37486326</v>
      </c>
      <c r="AA67" s="7">
        <v>4680.3654916799996</v>
      </c>
      <c r="AB67" s="7">
        <v>4563.35635439</v>
      </c>
      <c r="AC67" s="7">
        <v>4449.2724455300004</v>
      </c>
    </row>
    <row r="68" spans="1:29" x14ac:dyDescent="0.85">
      <c r="A68" t="s">
        <v>166</v>
      </c>
      <c r="B68" s="7">
        <v>1999.1262277799999</v>
      </c>
      <c r="C68" s="7">
        <v>1949.14620354</v>
      </c>
      <c r="D68" s="7">
        <v>1900.3870328600001</v>
      </c>
      <c r="E68" s="7">
        <v>1852.8773502500001</v>
      </c>
      <c r="F68" s="7">
        <v>1803.05127788</v>
      </c>
      <c r="G68" s="7">
        <v>1691.91863444</v>
      </c>
      <c r="H68" s="7">
        <v>1458.0104457899999</v>
      </c>
      <c r="I68" s="7">
        <v>1229.41034188</v>
      </c>
      <c r="J68" s="7">
        <v>989.12522994000005</v>
      </c>
      <c r="K68" s="7">
        <v>456.68491384999999</v>
      </c>
      <c r="L68" s="7">
        <v>0</v>
      </c>
      <c r="M68" s="7">
        <v>0</v>
      </c>
      <c r="N68" s="7">
        <v>0</v>
      </c>
      <c r="O68" s="7">
        <v>0</v>
      </c>
      <c r="P68" s="7">
        <v>0</v>
      </c>
      <c r="Q68" s="7">
        <v>0</v>
      </c>
      <c r="R68" s="7">
        <v>0</v>
      </c>
      <c r="S68" s="7">
        <v>0</v>
      </c>
      <c r="T68" s="7">
        <v>0</v>
      </c>
      <c r="U68" s="7">
        <v>0</v>
      </c>
      <c r="V68" s="7">
        <v>0</v>
      </c>
      <c r="W68" s="7">
        <v>0</v>
      </c>
      <c r="X68" s="7">
        <v>0</v>
      </c>
      <c r="Y68" s="7">
        <v>0</v>
      </c>
      <c r="Z68" s="7">
        <v>0</v>
      </c>
      <c r="AA68" s="7">
        <v>0</v>
      </c>
      <c r="AB68" s="7">
        <v>0</v>
      </c>
      <c r="AC68" s="7">
        <v>0</v>
      </c>
    </row>
    <row r="69" spans="1:29" x14ac:dyDescent="0.85">
      <c r="A69" t="s">
        <v>167</v>
      </c>
      <c r="B69" s="7">
        <v>1</v>
      </c>
      <c r="C69" s="7">
        <v>1.0249999999999999</v>
      </c>
      <c r="D69" s="7">
        <v>0.99999903999999995</v>
      </c>
      <c r="E69" s="7">
        <v>0.99998394000000002</v>
      </c>
      <c r="F69" s="7">
        <v>1</v>
      </c>
      <c r="G69" s="7">
        <v>0.99806032</v>
      </c>
      <c r="H69" s="7">
        <v>0.96242474</v>
      </c>
      <c r="I69" s="7">
        <v>0.88384589000000002</v>
      </c>
      <c r="J69" s="7">
        <v>0.86483171999999997</v>
      </c>
      <c r="K69" s="7">
        <v>0.82518210999999997</v>
      </c>
      <c r="L69" s="7">
        <v>0.47354447</v>
      </c>
      <c r="M69" s="7">
        <v>0</v>
      </c>
      <c r="N69" s="7">
        <v>6.7570000000000005E-5</v>
      </c>
      <c r="O69" s="7">
        <v>4.9089999999999999E-5</v>
      </c>
      <c r="P69" s="7">
        <v>5.8810000000000001E-5</v>
      </c>
      <c r="Q69" s="7">
        <v>5.427E-5</v>
      </c>
      <c r="R69" s="7">
        <v>5.8050000000000002E-5</v>
      </c>
      <c r="S69" s="7">
        <v>4.5269999999999999E-5</v>
      </c>
      <c r="T69" s="7">
        <v>0</v>
      </c>
      <c r="U69" s="7">
        <v>0.53244161000000001</v>
      </c>
      <c r="V69" s="7">
        <v>0.81782009</v>
      </c>
      <c r="W69" s="7">
        <v>0.99999998999999995</v>
      </c>
      <c r="X69" s="7">
        <v>0.36906215999999997</v>
      </c>
      <c r="Y69" s="7">
        <v>0.37518709</v>
      </c>
      <c r="Z69" s="7">
        <v>0.33418088000000001</v>
      </c>
      <c r="AA69" s="7">
        <v>0.29188732000000001</v>
      </c>
      <c r="AB69" s="7">
        <v>0.27923492</v>
      </c>
      <c r="AC69" s="7">
        <v>0.37189257999999997</v>
      </c>
    </row>
    <row r="70" spans="1:29" x14ac:dyDescent="0.85">
      <c r="A70" t="s">
        <v>168</v>
      </c>
      <c r="B70" s="7">
        <v>1</v>
      </c>
      <c r="C70" s="7">
        <v>0.99999903999999995</v>
      </c>
      <c r="D70" s="7">
        <v>0.99998394000000002</v>
      </c>
      <c r="E70" s="7">
        <v>1</v>
      </c>
      <c r="F70" s="7">
        <v>0.99806032</v>
      </c>
      <c r="G70" s="7">
        <v>0.96242474</v>
      </c>
      <c r="H70" s="7">
        <v>0.88384589000000002</v>
      </c>
      <c r="I70" s="7">
        <v>0.86483171999999997</v>
      </c>
      <c r="J70" s="7">
        <v>0.82518210999999997</v>
      </c>
      <c r="K70" s="7">
        <v>0.47354447</v>
      </c>
      <c r="L70" s="7">
        <v>0</v>
      </c>
      <c r="M70" s="7">
        <v>6.7570000000000005E-5</v>
      </c>
      <c r="N70" s="7">
        <v>4.9089999999999999E-5</v>
      </c>
      <c r="O70" s="7">
        <v>5.8810000000000001E-5</v>
      </c>
      <c r="P70" s="7">
        <v>5.427E-5</v>
      </c>
      <c r="Q70" s="7">
        <v>5.8050000000000002E-5</v>
      </c>
      <c r="R70" s="7">
        <v>4.5269999999999999E-5</v>
      </c>
      <c r="S70" s="7">
        <v>0</v>
      </c>
      <c r="T70" s="7">
        <v>0.53244161000000001</v>
      </c>
      <c r="U70" s="7">
        <v>0.81782009</v>
      </c>
      <c r="V70" s="7">
        <v>0.99999998999999995</v>
      </c>
      <c r="W70" s="7">
        <v>0.36906215999999997</v>
      </c>
      <c r="X70" s="7">
        <v>0.37518709</v>
      </c>
      <c r="Y70" s="7">
        <v>0.33418088000000001</v>
      </c>
      <c r="Z70" s="7">
        <v>0.29188732000000001</v>
      </c>
      <c r="AA70" s="7">
        <v>0.27923492</v>
      </c>
      <c r="AB70" s="7">
        <v>0.37189257999999997</v>
      </c>
      <c r="AC70" s="7">
        <v>0</v>
      </c>
    </row>
    <row r="71" spans="1:29" x14ac:dyDescent="0.85">
      <c r="A71" t="s">
        <v>169</v>
      </c>
      <c r="B71" s="7">
        <v>1</v>
      </c>
      <c r="C71" s="7">
        <v>1.4580833600000001</v>
      </c>
      <c r="D71" s="7">
        <v>1.4732257099999999</v>
      </c>
      <c r="E71" s="7">
        <v>1.4892669700000001</v>
      </c>
      <c r="F71" s="7">
        <v>1.5062247499999999</v>
      </c>
      <c r="G71" s="7">
        <v>1.52467956</v>
      </c>
      <c r="H71" s="7">
        <v>1.54795244</v>
      </c>
      <c r="I71" s="7">
        <v>1.5978566299999999</v>
      </c>
      <c r="J71" s="7">
        <v>1.65256487</v>
      </c>
      <c r="K71" s="7">
        <v>1.712539</v>
      </c>
      <c r="L71" s="7">
        <v>1.79749143</v>
      </c>
      <c r="M71" s="7">
        <v>1.88479252</v>
      </c>
      <c r="N71" s="7">
        <v>1.9528962299999999</v>
      </c>
      <c r="O71" s="7">
        <v>2.01052455</v>
      </c>
      <c r="P71" s="7">
        <v>2.10033227</v>
      </c>
      <c r="Q71" s="7">
        <v>2.19538104</v>
      </c>
      <c r="R71" s="7">
        <v>2.3015402300000001</v>
      </c>
      <c r="S71" s="7">
        <v>2.4165362400000001</v>
      </c>
      <c r="T71" s="7">
        <v>2.5419164699999999</v>
      </c>
      <c r="U71" s="7">
        <v>2.6683750399999999</v>
      </c>
      <c r="V71" s="7">
        <v>2.77829551</v>
      </c>
      <c r="W71" s="7">
        <v>2.89125766</v>
      </c>
      <c r="X71" s="7">
        <v>3.0052209300000001</v>
      </c>
      <c r="Y71" s="7">
        <v>3.1240985600000002</v>
      </c>
      <c r="Z71" s="7">
        <v>3.2392796499999998</v>
      </c>
      <c r="AA71" s="7">
        <v>3.35107804</v>
      </c>
      <c r="AB71" s="7">
        <v>3.4691609200000002</v>
      </c>
      <c r="AC71" s="7">
        <v>3.6155811500000001</v>
      </c>
    </row>
    <row r="72" spans="1:29" x14ac:dyDescent="0.85">
      <c r="A72" t="s">
        <v>170</v>
      </c>
      <c r="B72" s="7">
        <v>0</v>
      </c>
      <c r="C72" s="7">
        <v>5.43025512</v>
      </c>
      <c r="D72" s="7">
        <v>8.7091206900000007</v>
      </c>
      <c r="E72" s="7">
        <v>7.8767725200000003</v>
      </c>
      <c r="F72" s="7">
        <v>7.2127742599999998</v>
      </c>
      <c r="G72" s="7">
        <v>15.891248879999999</v>
      </c>
      <c r="H72" s="7">
        <v>129.03949562</v>
      </c>
      <c r="I72" s="7">
        <v>221.15984545000001</v>
      </c>
      <c r="J72" s="7">
        <v>315.09824314000002</v>
      </c>
      <c r="K72" s="7">
        <v>413.27376336999998</v>
      </c>
      <c r="L72" s="7">
        <v>371.94648761000002</v>
      </c>
      <c r="M72" s="7">
        <v>335.21799063999998</v>
      </c>
      <c r="N72" s="7">
        <v>301.69619158</v>
      </c>
      <c r="O72" s="7">
        <v>271.53126859999998</v>
      </c>
      <c r="P72" s="7">
        <v>244.37845607</v>
      </c>
      <c r="Q72" s="7">
        <v>219.94061045999999</v>
      </c>
      <c r="R72" s="7">
        <v>197.94654942</v>
      </c>
      <c r="S72" s="7">
        <v>178.15189448000001</v>
      </c>
      <c r="T72" s="7">
        <v>160.33670502999999</v>
      </c>
      <c r="U72" s="7">
        <v>144.30808397999999</v>
      </c>
      <c r="V72" s="7">
        <v>129.87727927</v>
      </c>
      <c r="W72" s="7">
        <v>117.74080216</v>
      </c>
      <c r="X72" s="7">
        <v>105.96737361</v>
      </c>
      <c r="Y72" s="7">
        <v>95.370884610000004</v>
      </c>
      <c r="Z72" s="7">
        <v>85.834398109999995</v>
      </c>
      <c r="AA72" s="7">
        <v>77.250974290000002</v>
      </c>
      <c r="AB72" s="7">
        <v>69.526164399999999</v>
      </c>
      <c r="AC72" s="7">
        <v>62.573550730000001</v>
      </c>
    </row>
    <row r="73" spans="1:29" x14ac:dyDescent="0.85">
      <c r="A73" t="s">
        <v>171</v>
      </c>
      <c r="B73" s="7">
        <v>0</v>
      </c>
      <c r="C73" s="7">
        <v>1.3365491700000001</v>
      </c>
      <c r="D73" s="7">
        <v>0.97646518000000004</v>
      </c>
      <c r="E73" s="7">
        <v>9.6606299999999999E-3</v>
      </c>
      <c r="F73" s="7">
        <v>3.011287E-2</v>
      </c>
      <c r="G73" s="7">
        <v>2.15385377</v>
      </c>
      <c r="H73" s="7">
        <v>28.88123341</v>
      </c>
      <c r="I73" s="7">
        <v>26.256077470000001</v>
      </c>
      <c r="J73" s="7">
        <v>29.013594770000001</v>
      </c>
      <c r="K73" s="7">
        <v>32.42133595</v>
      </c>
      <c r="L73" s="7">
        <v>2.4360000000000001E-5</v>
      </c>
      <c r="M73" s="7">
        <v>0.11654027</v>
      </c>
      <c r="N73" s="7">
        <v>0</v>
      </c>
      <c r="O73" s="7">
        <v>1.1740399999999999E-3</v>
      </c>
      <c r="P73" s="7">
        <v>61.09459631</v>
      </c>
      <c r="Q73" s="7">
        <v>54.985124599999999</v>
      </c>
      <c r="R73" s="7">
        <v>49.486636140000002</v>
      </c>
      <c r="S73" s="7">
        <v>44.537973610000002</v>
      </c>
      <c r="T73" s="7">
        <v>40.08417626</v>
      </c>
      <c r="U73" s="7">
        <v>36.077021000000002</v>
      </c>
      <c r="V73" s="7">
        <v>32.46931378</v>
      </c>
      <c r="W73" s="7">
        <v>29.43520054</v>
      </c>
      <c r="X73" s="7">
        <v>26.4918434</v>
      </c>
      <c r="Y73" s="7">
        <v>39.34537323</v>
      </c>
      <c r="Z73" s="7">
        <v>21.458599530000001</v>
      </c>
      <c r="AA73" s="7">
        <v>38.520031959999997</v>
      </c>
      <c r="AB73" s="7">
        <v>17.3815411</v>
      </c>
      <c r="AC73" s="7">
        <v>15.64338096</v>
      </c>
    </row>
    <row r="74" spans="1:29" x14ac:dyDescent="0.85">
      <c r="A74" t="s">
        <v>172</v>
      </c>
      <c r="B74" s="7">
        <v>0</v>
      </c>
      <c r="C74" s="7">
        <v>1.3365491700000001</v>
      </c>
      <c r="D74" s="7">
        <v>0.97646518000000004</v>
      </c>
      <c r="E74" s="7">
        <v>9.6606299999999999E-3</v>
      </c>
      <c r="F74" s="7">
        <v>3.011287E-2</v>
      </c>
      <c r="G74" s="7">
        <v>2.15385377</v>
      </c>
      <c r="H74" s="7">
        <v>28.88123341</v>
      </c>
      <c r="I74" s="7">
        <v>26.256077470000001</v>
      </c>
      <c r="J74" s="7">
        <v>29.013594770000001</v>
      </c>
      <c r="K74" s="7">
        <v>32.42133595</v>
      </c>
      <c r="L74" s="7">
        <v>2.4360000000000001E-5</v>
      </c>
      <c r="M74" s="7">
        <v>0.11654027</v>
      </c>
      <c r="N74" s="7">
        <v>0</v>
      </c>
      <c r="O74" s="7">
        <v>1.1740399999999999E-3</v>
      </c>
      <c r="P74" s="7">
        <v>61.09459631</v>
      </c>
      <c r="Q74" s="7">
        <v>54.985124599999999</v>
      </c>
      <c r="R74" s="7">
        <v>49.486636140000002</v>
      </c>
      <c r="S74" s="7">
        <v>44.537973610000002</v>
      </c>
      <c r="T74" s="7">
        <v>40.08417626</v>
      </c>
      <c r="U74" s="7">
        <v>36.077021000000002</v>
      </c>
      <c r="V74" s="7">
        <v>32.46931378</v>
      </c>
      <c r="W74" s="7">
        <v>29.43520054</v>
      </c>
      <c r="X74" s="7">
        <v>26.4918434</v>
      </c>
      <c r="Y74" s="7">
        <v>39.34537323</v>
      </c>
      <c r="Z74" s="7">
        <v>21.458599530000001</v>
      </c>
      <c r="AA74" s="7">
        <v>38.520031959999997</v>
      </c>
      <c r="AB74" s="7">
        <v>17.3815411</v>
      </c>
      <c r="AC74" s="7">
        <v>15.64338096</v>
      </c>
    </row>
    <row r="75" spans="1:29" x14ac:dyDescent="0.85">
      <c r="A75" t="s">
        <v>173</v>
      </c>
      <c r="B75" s="7">
        <v>0</v>
      </c>
      <c r="C75" s="7">
        <v>1.44211205</v>
      </c>
      <c r="D75" s="7">
        <v>2.31286383</v>
      </c>
      <c r="E75" s="7">
        <v>2.0918067599999999</v>
      </c>
      <c r="F75" s="7">
        <v>1.9154713699999999</v>
      </c>
      <c r="G75" s="7">
        <v>4.2202124300000001</v>
      </c>
      <c r="H75" s="7">
        <v>34.268960219999997</v>
      </c>
      <c r="I75" s="7">
        <v>58.73299961</v>
      </c>
      <c r="J75" s="7">
        <v>83.679925659999995</v>
      </c>
      <c r="K75" s="7">
        <v>109.75209830999999</v>
      </c>
      <c r="L75" s="7">
        <v>98.776513390000005</v>
      </c>
      <c r="M75" s="7">
        <v>89.022657940000002</v>
      </c>
      <c r="N75" s="7">
        <v>80.120390700000002</v>
      </c>
      <c r="O75" s="7">
        <v>72.109598800000001</v>
      </c>
      <c r="P75" s="7">
        <v>64.899563650000005</v>
      </c>
      <c r="Q75" s="7">
        <v>58.409607289999997</v>
      </c>
      <c r="R75" s="7">
        <v>52.568646559999998</v>
      </c>
      <c r="S75" s="7">
        <v>47.3117819</v>
      </c>
      <c r="T75" s="7">
        <v>42.580603709999998</v>
      </c>
      <c r="U75" s="7">
        <v>38.323884319999998</v>
      </c>
      <c r="V75" s="7">
        <v>34.491496869999999</v>
      </c>
      <c r="W75" s="7">
        <v>31.268413779999999</v>
      </c>
      <c r="X75" s="7">
        <v>28.14174547</v>
      </c>
      <c r="Y75" s="7">
        <v>25.327850349999999</v>
      </c>
      <c r="Z75" s="7">
        <v>22.795033050000001</v>
      </c>
      <c r="AA75" s="7">
        <v>20.515798480000001</v>
      </c>
      <c r="AB75" s="7">
        <v>18.464056960000001</v>
      </c>
      <c r="AC75" s="7">
        <v>16.617652</v>
      </c>
    </row>
    <row r="76" spans="1:29" x14ac:dyDescent="0.85">
      <c r="A76" t="s">
        <v>174</v>
      </c>
      <c r="B76" s="7">
        <v>0</v>
      </c>
      <c r="C76" s="7">
        <v>2.9699999999999999E-6</v>
      </c>
      <c r="D76" s="7">
        <v>4.3499999999999999E-6</v>
      </c>
      <c r="E76" s="7">
        <v>5.9999999999999995E-8</v>
      </c>
      <c r="F76" s="7">
        <v>2.7000000000000001E-7</v>
      </c>
      <c r="G76" s="7">
        <v>2.3960000000000001E-5</v>
      </c>
      <c r="H76" s="7">
        <v>3.8556000000000002E-4</v>
      </c>
      <c r="I76" s="7">
        <v>4.0894E-4</v>
      </c>
      <c r="J76" s="7">
        <v>5.1643999999999995E-4</v>
      </c>
      <c r="K76" s="7">
        <v>6.4924000000000004E-4</v>
      </c>
      <c r="L76" s="7">
        <v>0</v>
      </c>
      <c r="M76" s="7">
        <v>2.8499999999999998E-6</v>
      </c>
      <c r="N76" s="7">
        <v>0</v>
      </c>
      <c r="O76" s="7">
        <v>2.9999999999999997E-8</v>
      </c>
      <c r="P76" s="7">
        <v>1.9031E-3</v>
      </c>
      <c r="Q76" s="7">
        <v>1.8351299999999999E-3</v>
      </c>
      <c r="R76" s="7">
        <v>1.76172E-3</v>
      </c>
      <c r="S76" s="7">
        <v>1.68465E-3</v>
      </c>
      <c r="T76" s="7">
        <v>1.6053700000000001E-3</v>
      </c>
      <c r="U76" s="7">
        <v>1.52516E-3</v>
      </c>
      <c r="V76" s="7">
        <v>1.4448799999999999E-3</v>
      </c>
      <c r="W76" s="7">
        <v>1.37536E-3</v>
      </c>
      <c r="X76" s="7">
        <v>1.29678E-3</v>
      </c>
      <c r="Y76" s="7">
        <v>2.0135000000000001E-3</v>
      </c>
      <c r="Z76" s="7">
        <v>1.1458900000000001E-3</v>
      </c>
      <c r="AA76" s="7">
        <v>2.1426800000000001E-3</v>
      </c>
      <c r="AB76" s="7">
        <v>1.00552E-3</v>
      </c>
      <c r="AC76" s="7">
        <v>9.3977999999999998E-4</v>
      </c>
    </row>
    <row r="77" spans="1:29" x14ac:dyDescent="0.85">
      <c r="A77" t="s">
        <v>175</v>
      </c>
      <c r="B77" s="7">
        <v>0</v>
      </c>
      <c r="C77" s="7">
        <v>1.4999999999999999E-7</v>
      </c>
      <c r="D77" s="7">
        <v>1.1000000000000001E-7</v>
      </c>
      <c r="E77" s="7">
        <v>0</v>
      </c>
      <c r="F77" s="7">
        <v>0</v>
      </c>
      <c r="G77" s="7">
        <v>2.3999999999999998E-7</v>
      </c>
      <c r="H77" s="7">
        <v>3.2100000000000002E-6</v>
      </c>
      <c r="I77" s="7">
        <v>2.92E-6</v>
      </c>
      <c r="J77" s="7">
        <v>3.23E-6</v>
      </c>
      <c r="K77" s="7">
        <v>3.6100000000000002E-6</v>
      </c>
      <c r="L77" s="7">
        <v>0</v>
      </c>
      <c r="M77" s="7">
        <v>1E-8</v>
      </c>
      <c r="N77" s="7">
        <v>0</v>
      </c>
      <c r="O77" s="7">
        <v>0</v>
      </c>
      <c r="P77" s="7">
        <v>6.8000000000000001E-6</v>
      </c>
      <c r="Q77" s="7">
        <v>6.1199999999999999E-6</v>
      </c>
      <c r="R77" s="7">
        <v>5.5099999999999998E-6</v>
      </c>
      <c r="S77" s="7">
        <v>4.95E-6</v>
      </c>
      <c r="T77" s="7">
        <v>4.4599999999999996E-6</v>
      </c>
      <c r="U77" s="7">
        <v>4.0099999999999997E-6</v>
      </c>
      <c r="V77" s="7">
        <v>3.6100000000000002E-6</v>
      </c>
      <c r="W77" s="7">
        <v>3.27E-6</v>
      </c>
      <c r="X77" s="7">
        <v>2.9500000000000001E-6</v>
      </c>
      <c r="Y77" s="7">
        <v>4.3800000000000004E-6</v>
      </c>
      <c r="Z77" s="7">
        <v>2.39E-6</v>
      </c>
      <c r="AA77" s="7">
        <v>4.2899999999999996E-6</v>
      </c>
      <c r="AB77" s="7">
        <v>1.9300000000000002E-6</v>
      </c>
      <c r="AC77" s="7">
        <v>1.7400000000000001E-6</v>
      </c>
    </row>
    <row r="78" spans="1:29" x14ac:dyDescent="0.85">
      <c r="A78" t="s">
        <v>176</v>
      </c>
      <c r="B78" s="7">
        <v>0</v>
      </c>
      <c r="C78" s="7">
        <v>1.4420936499999999</v>
      </c>
      <c r="D78" s="7">
        <v>2.31285038</v>
      </c>
      <c r="E78" s="7">
        <v>2.0918066199999998</v>
      </c>
      <c r="F78" s="7">
        <v>1.91547095</v>
      </c>
      <c r="G78" s="7">
        <v>4.2201827700000001</v>
      </c>
      <c r="H78" s="7">
        <v>34.268562529999997</v>
      </c>
      <c r="I78" s="7">
        <v>58.73263807</v>
      </c>
      <c r="J78" s="7">
        <v>83.679526139999993</v>
      </c>
      <c r="K78" s="7">
        <v>109.75165187</v>
      </c>
      <c r="L78" s="7">
        <v>98.776513390000005</v>
      </c>
      <c r="M78" s="7">
        <v>89.022656339999997</v>
      </c>
      <c r="N78" s="7">
        <v>80.120390700000002</v>
      </c>
      <c r="O78" s="7">
        <v>72.109598779999999</v>
      </c>
      <c r="P78" s="7">
        <v>64.898722379999995</v>
      </c>
      <c r="Q78" s="7">
        <v>58.408850139999998</v>
      </c>
      <c r="R78" s="7">
        <v>52.567965129999997</v>
      </c>
      <c r="S78" s="7">
        <v>47.311168610000003</v>
      </c>
      <c r="T78" s="7">
        <v>42.580051750000003</v>
      </c>
      <c r="U78" s="7">
        <v>38.323387539999999</v>
      </c>
      <c r="V78" s="7">
        <v>34.491049769999996</v>
      </c>
      <c r="W78" s="7">
        <v>31.268008460000001</v>
      </c>
      <c r="X78" s="7">
        <v>28.14138067</v>
      </c>
      <c r="Y78" s="7">
        <v>25.32730857</v>
      </c>
      <c r="Z78" s="7">
        <v>22.794737569999999</v>
      </c>
      <c r="AA78" s="7">
        <v>20.51526806</v>
      </c>
      <c r="AB78" s="7">
        <v>18.46381761</v>
      </c>
      <c r="AC78" s="7">
        <v>16.617436590000001</v>
      </c>
    </row>
    <row r="79" spans="1:29" x14ac:dyDescent="0.85">
      <c r="A79" t="s">
        <v>177</v>
      </c>
      <c r="B79" s="7">
        <v>0</v>
      </c>
      <c r="C79" s="7">
        <v>1.84E-5</v>
      </c>
      <c r="D79" s="7">
        <v>1.345E-5</v>
      </c>
      <c r="E79" s="7">
        <v>1.3E-7</v>
      </c>
      <c r="F79" s="7">
        <v>4.0999999999999999E-7</v>
      </c>
      <c r="G79" s="7">
        <v>2.9660000000000001E-5</v>
      </c>
      <c r="H79" s="7">
        <v>3.9769000000000002E-4</v>
      </c>
      <c r="I79" s="7">
        <v>3.6154999999999998E-4</v>
      </c>
      <c r="J79" s="7">
        <v>3.9952E-4</v>
      </c>
      <c r="K79" s="7">
        <v>4.4643999999999999E-4</v>
      </c>
      <c r="L79" s="7">
        <v>0</v>
      </c>
      <c r="M79" s="7">
        <v>1.5999999999999999E-6</v>
      </c>
      <c r="N79" s="7">
        <v>0</v>
      </c>
      <c r="O79" s="7">
        <v>2E-8</v>
      </c>
      <c r="P79" s="7">
        <v>8.4126999999999997E-4</v>
      </c>
      <c r="Q79" s="7">
        <v>7.5715000000000005E-4</v>
      </c>
      <c r="R79" s="7">
        <v>6.8143000000000001E-4</v>
      </c>
      <c r="S79" s="7">
        <v>6.1328999999999995E-4</v>
      </c>
      <c r="T79" s="7">
        <v>5.5195999999999999E-4</v>
      </c>
      <c r="U79" s="7">
        <v>4.9678000000000005E-4</v>
      </c>
      <c r="V79" s="7">
        <v>4.4710000000000003E-4</v>
      </c>
      <c r="W79" s="7">
        <v>4.0531999999999998E-4</v>
      </c>
      <c r="X79" s="7">
        <v>3.6478999999999998E-4</v>
      </c>
      <c r="Y79" s="7">
        <v>5.4179E-4</v>
      </c>
      <c r="Z79" s="7">
        <v>2.9547999999999998E-4</v>
      </c>
      <c r="AA79" s="7">
        <v>5.3041999999999998E-4</v>
      </c>
      <c r="AB79" s="7">
        <v>2.3934E-4</v>
      </c>
      <c r="AC79" s="7">
        <v>2.1541E-4</v>
      </c>
    </row>
    <row r="80" spans="1:29" x14ac:dyDescent="0.85">
      <c r="A80" t="s">
        <v>178</v>
      </c>
      <c r="B80" s="7">
        <v>1</v>
      </c>
      <c r="C80" s="7">
        <v>1.1000000000000001</v>
      </c>
      <c r="D80" s="7">
        <v>1.00586792</v>
      </c>
      <c r="E80" s="7">
        <v>1.0040947</v>
      </c>
      <c r="F80" s="7">
        <v>1.0000409299999999</v>
      </c>
      <c r="G80" s="7">
        <v>1.0001299699999999</v>
      </c>
      <c r="H80" s="7">
        <v>1.0097627499999999</v>
      </c>
      <c r="I80" s="7">
        <v>1.1168449300000001</v>
      </c>
      <c r="J80" s="7">
        <v>1.1000812099999999</v>
      </c>
      <c r="K80" s="7">
        <v>1.1035221</v>
      </c>
      <c r="L80" s="7">
        <v>1.1082842500000001</v>
      </c>
      <c r="M80" s="7">
        <v>1.00000008</v>
      </c>
      <c r="N80" s="7">
        <v>1.0003278200000001</v>
      </c>
      <c r="O80" s="7">
        <v>1</v>
      </c>
      <c r="P80" s="7">
        <v>1.00000304</v>
      </c>
      <c r="Q80" s="7">
        <v>1.00000019</v>
      </c>
      <c r="R80" s="7">
        <v>1</v>
      </c>
      <c r="S80" s="7">
        <v>1</v>
      </c>
      <c r="T80" s="7">
        <v>1</v>
      </c>
      <c r="U80" s="7">
        <v>1</v>
      </c>
      <c r="V80" s="7">
        <v>1.0000022900000001</v>
      </c>
      <c r="W80" s="7">
        <v>1</v>
      </c>
      <c r="X80" s="7">
        <v>1.00035717</v>
      </c>
      <c r="Y80" s="7">
        <v>1.00000026</v>
      </c>
      <c r="Z80" s="7">
        <v>1.0000001000000001</v>
      </c>
      <c r="AA80" s="7">
        <v>1.0000002299999999</v>
      </c>
      <c r="AB80" s="7">
        <v>1.0000000099999999</v>
      </c>
      <c r="AC80" s="7">
        <v>1.0000001000000001</v>
      </c>
    </row>
    <row r="81" spans="1:29" x14ac:dyDescent="0.85">
      <c r="A81" t="s">
        <v>179</v>
      </c>
      <c r="B81" s="7">
        <v>1</v>
      </c>
      <c r="C81" s="7">
        <v>1.00586792</v>
      </c>
      <c r="D81" s="7">
        <v>1.0040947</v>
      </c>
      <c r="E81" s="7">
        <v>1.0000409299999999</v>
      </c>
      <c r="F81" s="7">
        <v>1.0001299699999999</v>
      </c>
      <c r="G81" s="7">
        <v>1.0097627499999999</v>
      </c>
      <c r="H81" s="7">
        <v>1.1168449300000001</v>
      </c>
      <c r="I81" s="7">
        <v>1.1000812099999999</v>
      </c>
      <c r="J81" s="7">
        <v>1.1035221</v>
      </c>
      <c r="K81" s="7">
        <v>1.1082842500000001</v>
      </c>
      <c r="L81" s="7">
        <v>1.00000008</v>
      </c>
      <c r="M81" s="7">
        <v>1.0003278200000001</v>
      </c>
      <c r="N81" s="7">
        <v>1</v>
      </c>
      <c r="O81" s="7">
        <v>1.00000304</v>
      </c>
      <c r="P81" s="7">
        <v>1.00000019</v>
      </c>
      <c r="Q81" s="7">
        <v>1</v>
      </c>
      <c r="R81" s="7">
        <v>1</v>
      </c>
      <c r="S81" s="7">
        <v>1</v>
      </c>
      <c r="T81" s="7">
        <v>1</v>
      </c>
      <c r="U81" s="7">
        <v>1.0000022900000001</v>
      </c>
      <c r="V81" s="7">
        <v>1</v>
      </c>
      <c r="W81" s="7">
        <v>1.00035717</v>
      </c>
      <c r="X81" s="7">
        <v>1.00000026</v>
      </c>
      <c r="Y81" s="7">
        <v>1.0000001000000001</v>
      </c>
      <c r="Z81" s="7">
        <v>1.0000002299999999</v>
      </c>
      <c r="AA81" s="7">
        <v>1.0000000099999999</v>
      </c>
      <c r="AB81" s="7">
        <v>1.0000001000000001</v>
      </c>
      <c r="AC81" s="7">
        <v>1</v>
      </c>
    </row>
    <row r="82" spans="1:29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F3298-982B-4424-AEF9-CB156BDABA16}">
  <sheetPr codeName="Sheet14"/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29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</row>
    <row r="2" spans="1:29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</row>
    <row r="3" spans="1:29" x14ac:dyDescent="0.85">
      <c r="A3" t="s">
        <v>69</v>
      </c>
      <c r="B3" s="7">
        <v>0</v>
      </c>
      <c r="C3" s="7">
        <v>20</v>
      </c>
      <c r="D3" s="7">
        <v>40</v>
      </c>
      <c r="E3" s="7">
        <v>60</v>
      </c>
      <c r="F3" s="7">
        <v>80</v>
      </c>
      <c r="G3" s="7">
        <v>100</v>
      </c>
      <c r="H3" s="7">
        <v>120</v>
      </c>
      <c r="I3" s="7">
        <v>140</v>
      </c>
      <c r="J3" s="7">
        <v>160</v>
      </c>
      <c r="K3" s="7">
        <v>180</v>
      </c>
      <c r="L3" s="7">
        <v>200</v>
      </c>
      <c r="M3" s="7">
        <v>220</v>
      </c>
      <c r="N3" s="7">
        <v>240</v>
      </c>
      <c r="O3" s="7">
        <v>260</v>
      </c>
      <c r="P3" s="7">
        <v>280</v>
      </c>
      <c r="Q3" s="7">
        <v>300</v>
      </c>
      <c r="R3" s="7">
        <v>320</v>
      </c>
      <c r="S3" s="7">
        <v>340</v>
      </c>
      <c r="T3" s="7">
        <v>360</v>
      </c>
      <c r="U3" s="7">
        <v>380</v>
      </c>
      <c r="V3" s="7">
        <v>400</v>
      </c>
      <c r="W3" s="7">
        <v>420</v>
      </c>
      <c r="X3" s="7">
        <v>440</v>
      </c>
      <c r="Y3" s="7">
        <v>460</v>
      </c>
      <c r="Z3" s="7">
        <v>480</v>
      </c>
      <c r="AA3" s="7">
        <v>500</v>
      </c>
      <c r="AB3" s="7">
        <v>520</v>
      </c>
      <c r="AC3" s="7">
        <v>540</v>
      </c>
    </row>
    <row r="4" spans="1:29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</row>
    <row r="5" spans="1:29" x14ac:dyDescent="0.85">
      <c r="A5" t="s">
        <v>105</v>
      </c>
      <c r="B5" s="7">
        <v>53455</v>
      </c>
      <c r="C5" s="7">
        <v>54014.201621940003</v>
      </c>
      <c r="D5" s="7">
        <v>55395.788153889996</v>
      </c>
      <c r="E5" s="7">
        <v>56593.154131269999</v>
      </c>
      <c r="F5" s="7">
        <v>57935.954759389999</v>
      </c>
      <c r="G5" s="7">
        <v>59183.177716899998</v>
      </c>
      <c r="H5" s="7">
        <v>60352.343892550001</v>
      </c>
      <c r="I5" s="7">
        <v>62933.015851780001</v>
      </c>
      <c r="J5" s="7">
        <v>64980.962211630002</v>
      </c>
      <c r="K5" s="7">
        <v>67006.45593312</v>
      </c>
      <c r="L5" s="7">
        <v>69889.724743679995</v>
      </c>
      <c r="M5" s="7">
        <v>74893.8847332</v>
      </c>
      <c r="N5" s="7">
        <v>78453.687182719994</v>
      </c>
      <c r="O5" s="7">
        <v>80877.383731490001</v>
      </c>
      <c r="P5" s="7">
        <v>83364.422454750005</v>
      </c>
      <c r="Q5" s="7">
        <v>85916.078057720006</v>
      </c>
      <c r="R5" s="7">
        <v>88533.655983789999</v>
      </c>
      <c r="S5" s="7">
        <v>91111.515025939996</v>
      </c>
      <c r="T5" s="7">
        <v>93926.454777320003</v>
      </c>
      <c r="U5" s="7">
        <v>97066.610608980001</v>
      </c>
      <c r="V5" s="7">
        <v>100292.22988703</v>
      </c>
      <c r="W5" s="7">
        <v>103605.41625162</v>
      </c>
      <c r="X5" s="7">
        <v>107008.30519738</v>
      </c>
      <c r="Y5" s="7">
        <v>110503.06612017</v>
      </c>
      <c r="Z5" s="7">
        <v>114148.55930016001</v>
      </c>
      <c r="AA5" s="7">
        <v>117995.69644267</v>
      </c>
      <c r="AB5" s="7">
        <v>120211.33708401</v>
      </c>
      <c r="AC5" s="7">
        <v>121758.3334977</v>
      </c>
    </row>
    <row r="6" spans="1:29" x14ac:dyDescent="0.85">
      <c r="A6" t="s">
        <v>106</v>
      </c>
      <c r="B6" s="7">
        <v>228249709.75</v>
      </c>
      <c r="C6" s="7">
        <v>233109895.598932</v>
      </c>
      <c r="D6" s="7">
        <v>238067414.520367</v>
      </c>
      <c r="E6" s="7">
        <v>243124030.67844599</v>
      </c>
      <c r="F6" s="7">
        <v>248281769.95712501</v>
      </c>
      <c r="G6" s="7">
        <v>253542660.15472999</v>
      </c>
      <c r="H6" s="7">
        <v>258908777.12004399</v>
      </c>
      <c r="I6" s="7">
        <v>264382214.28473499</v>
      </c>
      <c r="J6" s="7">
        <v>269965117.88893598</v>
      </c>
      <c r="K6" s="7">
        <v>275659674.84886003</v>
      </c>
      <c r="L6" s="7">
        <v>281468102.44954699</v>
      </c>
      <c r="M6" s="7">
        <v>287392725.78392297</v>
      </c>
      <c r="N6" s="7">
        <v>293435870.68885398</v>
      </c>
      <c r="O6" s="7">
        <v>299599847.77252698</v>
      </c>
      <c r="P6" s="7">
        <v>305887104.39760202</v>
      </c>
      <c r="Q6" s="7">
        <v>312300106.15575802</v>
      </c>
      <c r="R6" s="7">
        <v>318849448.540308</v>
      </c>
      <c r="S6" s="7">
        <v>325567584.02862197</v>
      </c>
      <c r="T6" s="7">
        <v>332524351.810552</v>
      </c>
      <c r="U6" s="7">
        <v>339831090.08337599</v>
      </c>
      <c r="V6" s="7">
        <v>347598011.84929401</v>
      </c>
      <c r="W6" s="7">
        <v>355993558.436997</v>
      </c>
      <c r="X6" s="7">
        <v>365140400.48242801</v>
      </c>
      <c r="Y6" s="7">
        <v>375187603.43642902</v>
      </c>
      <c r="Z6" s="7">
        <v>386302429.41299099</v>
      </c>
      <c r="AA6" s="7">
        <v>398597906.28428102</v>
      </c>
      <c r="AB6" s="7">
        <v>410265406.85226101</v>
      </c>
      <c r="AC6" s="7">
        <v>422076677.64051002</v>
      </c>
    </row>
    <row r="7" spans="1:29" x14ac:dyDescent="0.85">
      <c r="A7" t="s">
        <v>107</v>
      </c>
      <c r="B7" s="7">
        <v>228249709.75</v>
      </c>
      <c r="C7" s="7">
        <v>233109963.61500001</v>
      </c>
      <c r="D7" s="7">
        <v>238067422.5573</v>
      </c>
      <c r="E7" s="7">
        <v>243124030.67844599</v>
      </c>
      <c r="F7" s="7">
        <v>248281770.96201399</v>
      </c>
      <c r="G7" s="7">
        <v>253542666.05125499</v>
      </c>
      <c r="H7" s="7">
        <v>258908779.04227999</v>
      </c>
      <c r="I7" s="7">
        <v>264382214.293125</v>
      </c>
      <c r="J7" s="7">
        <v>269965118.24898797</v>
      </c>
      <c r="K7" s="7">
        <v>275659680.28396797</v>
      </c>
      <c r="L7" s="7">
        <v>281468133.55964702</v>
      </c>
      <c r="M7" s="7">
        <v>287392755.90083998</v>
      </c>
      <c r="N7" s="7">
        <v>293435870.68885702</v>
      </c>
      <c r="O7" s="7">
        <v>299599847.77263403</v>
      </c>
      <c r="P7" s="7">
        <v>305887104.39808702</v>
      </c>
      <c r="Q7" s="7">
        <v>312300106.15604901</v>
      </c>
      <c r="R7" s="7">
        <v>318841367.94916898</v>
      </c>
      <c r="S7" s="7">
        <v>325513454.97815299</v>
      </c>
      <c r="T7" s="7">
        <v>332318983.74771601</v>
      </c>
      <c r="U7" s="7">
        <v>339260623.09267002</v>
      </c>
      <c r="V7" s="7">
        <v>346341095.22452402</v>
      </c>
      <c r="W7" s="7">
        <v>353563176.79901397</v>
      </c>
      <c r="X7" s="7">
        <v>360929700.00499499</v>
      </c>
      <c r="Y7" s="7">
        <v>368443553.67509401</v>
      </c>
      <c r="Z7" s="7">
        <v>376107684.41859603</v>
      </c>
      <c r="AA7" s="7">
        <v>383925097.776968</v>
      </c>
      <c r="AB7" s="7">
        <v>391898859.40250802</v>
      </c>
      <c r="AC7" s="7">
        <v>400032096.26055801</v>
      </c>
    </row>
    <row r="8" spans="1:29" x14ac:dyDescent="0.85">
      <c r="A8" t="s">
        <v>108</v>
      </c>
      <c r="B8" s="7">
        <v>22050.858983670001</v>
      </c>
      <c r="C8" s="7">
        <v>21931.458570229999</v>
      </c>
      <c r="D8" s="7">
        <v>21918.400642749999</v>
      </c>
      <c r="E8" s="7">
        <v>21869.131612749999</v>
      </c>
      <c r="F8" s="7">
        <v>21855.607598350001</v>
      </c>
      <c r="G8" s="7">
        <v>21829.444601939998</v>
      </c>
      <c r="H8" s="7">
        <v>21790.050920869999</v>
      </c>
      <c r="I8" s="7">
        <v>22032.695803039998</v>
      </c>
      <c r="J8" s="7">
        <v>22174.174530280001</v>
      </c>
      <c r="K8" s="7">
        <v>22320.625435009999</v>
      </c>
      <c r="L8" s="7">
        <v>22674.560729640001</v>
      </c>
      <c r="M8" s="7">
        <v>25199.177039450002</v>
      </c>
      <c r="N8" s="7">
        <v>27529.989975100001</v>
      </c>
      <c r="O8" s="7">
        <v>29725.150257069999</v>
      </c>
      <c r="P8" s="7">
        <v>31984.039037120001</v>
      </c>
      <c r="Q8" s="7">
        <v>34307.970185120001</v>
      </c>
      <c r="R8" s="7">
        <v>36698.333006170004</v>
      </c>
      <c r="S8" s="7">
        <v>39136.270093979998</v>
      </c>
      <c r="T8" s="7">
        <v>41672.8993157</v>
      </c>
      <c r="U8" s="7">
        <v>44330.260372119999</v>
      </c>
      <c r="V8" s="7">
        <v>47070.31832102</v>
      </c>
      <c r="W8" s="7">
        <v>49895.078027329997</v>
      </c>
      <c r="X8" s="7">
        <v>52806.597846199998</v>
      </c>
      <c r="Y8" s="7">
        <v>55806.990018910001</v>
      </c>
      <c r="Z8" s="7">
        <v>58909.164994799998</v>
      </c>
      <c r="AA8" s="7">
        <v>62125.942318870002</v>
      </c>
      <c r="AB8" s="7">
        <v>65087.538134019997</v>
      </c>
      <c r="AC8" s="7">
        <v>67952.037530589994</v>
      </c>
    </row>
    <row r="9" spans="1:29" x14ac:dyDescent="0.85">
      <c r="A9" t="s">
        <v>109</v>
      </c>
      <c r="B9" s="7">
        <v>4656.30500407</v>
      </c>
      <c r="C9" s="7">
        <v>4797.2844179200001</v>
      </c>
      <c r="D9" s="7">
        <v>4899.2679623900003</v>
      </c>
      <c r="E9" s="7">
        <v>5002.2965964599998</v>
      </c>
      <c r="F9" s="7">
        <v>5109.4145127399997</v>
      </c>
      <c r="G9" s="7">
        <v>5241.5870031599998</v>
      </c>
      <c r="H9" s="7">
        <v>5375.2734779299999</v>
      </c>
      <c r="I9" s="7">
        <v>5489.0840527299997</v>
      </c>
      <c r="J9" s="7">
        <v>5631.5207911699999</v>
      </c>
      <c r="K9" s="7">
        <v>5780.0740465099998</v>
      </c>
      <c r="L9" s="7">
        <v>5897.1861821399998</v>
      </c>
      <c r="M9" s="7">
        <v>5827.8247935899999</v>
      </c>
      <c r="N9" s="7">
        <v>5737.7695023099996</v>
      </c>
      <c r="O9" s="7">
        <v>5634.9330987599997</v>
      </c>
      <c r="P9" s="7">
        <v>5528.7295759199997</v>
      </c>
      <c r="Q9" s="7">
        <v>5419.0529024199996</v>
      </c>
      <c r="R9" s="7">
        <v>5305.9884788899999</v>
      </c>
      <c r="S9" s="7">
        <v>5190.1525177200001</v>
      </c>
      <c r="T9" s="7">
        <v>5073.4301333000003</v>
      </c>
      <c r="U9" s="7">
        <v>4957.7825939000004</v>
      </c>
      <c r="V9" s="7">
        <v>4844.8520158399997</v>
      </c>
      <c r="W9" s="7">
        <v>4738.5187046499996</v>
      </c>
      <c r="X9" s="7">
        <v>4641.5409380900001</v>
      </c>
      <c r="Y9" s="7">
        <v>4557.3154910800004</v>
      </c>
      <c r="Z9" s="7">
        <v>4489.6775363500001</v>
      </c>
      <c r="AA9" s="7">
        <v>4440.94116872</v>
      </c>
      <c r="AB9" s="7">
        <v>4445.1746535700004</v>
      </c>
      <c r="AC9" s="7">
        <v>4481.1467475500003</v>
      </c>
    </row>
    <row r="10" spans="1:29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</row>
    <row r="11" spans="1:29" x14ac:dyDescent="0.85">
      <c r="A11" t="s">
        <v>37</v>
      </c>
      <c r="B11" s="7">
        <v>0</v>
      </c>
      <c r="C11" s="7">
        <v>2037.14653406</v>
      </c>
      <c r="D11" s="7">
        <v>4145.6819431599997</v>
      </c>
      <c r="E11" s="7">
        <v>6335.3254430999996</v>
      </c>
      <c r="F11" s="7">
        <v>8608.7655137000002</v>
      </c>
      <c r="G11" s="7">
        <v>10996.313188800001</v>
      </c>
      <c r="H11" s="7">
        <v>13504.14627162</v>
      </c>
      <c r="I11" s="7">
        <v>15857.60053937</v>
      </c>
      <c r="J11" s="7">
        <v>18349.8987763</v>
      </c>
      <c r="K11" s="7">
        <v>20918.667256029999</v>
      </c>
      <c r="L11" s="7">
        <v>23384.658044389998</v>
      </c>
      <c r="M11" s="7">
        <v>23910.059176399998</v>
      </c>
      <c r="N11" s="7">
        <v>24590.10609239</v>
      </c>
      <c r="O11" s="7">
        <v>25368.79024771</v>
      </c>
      <c r="P11" s="7">
        <v>25912.38088981</v>
      </c>
      <c r="Q11" s="7">
        <v>26211.183541930001</v>
      </c>
      <c r="R11" s="7">
        <v>26256.384740879999</v>
      </c>
      <c r="S11" s="7">
        <v>26042.759750130001</v>
      </c>
      <c r="T11" s="7">
        <v>25576.49974295</v>
      </c>
      <c r="U11" s="7">
        <v>24863.674009210001</v>
      </c>
      <c r="V11" s="7">
        <v>23908.98934321</v>
      </c>
      <c r="W11" s="7">
        <v>22741.48908471</v>
      </c>
      <c r="X11" s="7">
        <v>21386.298056840002</v>
      </c>
      <c r="Y11" s="7">
        <v>19878.62684438</v>
      </c>
      <c r="Z11" s="7">
        <v>18263.118490330002</v>
      </c>
      <c r="AA11" s="7">
        <v>16574.004931579999</v>
      </c>
      <c r="AB11" s="7">
        <v>15171.07291501</v>
      </c>
      <c r="AC11" s="7">
        <v>13917.59258925</v>
      </c>
    </row>
    <row r="12" spans="1:29" x14ac:dyDescent="0.85">
      <c r="A12" t="s">
        <v>111</v>
      </c>
      <c r="B12" s="7">
        <v>26707.16398773</v>
      </c>
      <c r="C12" s="7">
        <v>26728.742988149999</v>
      </c>
      <c r="D12" s="7">
        <v>26817.668605139999</v>
      </c>
      <c r="E12" s="7">
        <v>26871.42820921</v>
      </c>
      <c r="F12" s="7">
        <v>26965.022111089998</v>
      </c>
      <c r="G12" s="7">
        <v>27071.031605100001</v>
      </c>
      <c r="H12" s="7">
        <v>27165.324398799999</v>
      </c>
      <c r="I12" s="7">
        <v>27521.77985576</v>
      </c>
      <c r="J12" s="7">
        <v>27805.695321449999</v>
      </c>
      <c r="K12" s="7">
        <v>28100.699481520001</v>
      </c>
      <c r="L12" s="7">
        <v>28571.746911769998</v>
      </c>
      <c r="M12" s="7">
        <v>31027.001833040002</v>
      </c>
      <c r="N12" s="7">
        <v>33267.759477400003</v>
      </c>
      <c r="O12" s="7">
        <v>35360.08335583</v>
      </c>
      <c r="P12" s="7">
        <v>37512.768613040003</v>
      </c>
      <c r="Q12" s="7">
        <v>39727.023087540001</v>
      </c>
      <c r="R12" s="7">
        <v>42004.321485050001</v>
      </c>
      <c r="S12" s="7">
        <v>44326.4226117</v>
      </c>
      <c r="T12" s="7">
        <v>46746.329448999997</v>
      </c>
      <c r="U12" s="7">
        <v>49288.042966009998</v>
      </c>
      <c r="V12" s="7">
        <v>51915.170336859999</v>
      </c>
      <c r="W12" s="7">
        <v>54633.596731979997</v>
      </c>
      <c r="X12" s="7">
        <v>57448.13878429</v>
      </c>
      <c r="Y12" s="7">
        <v>60364.305509990001</v>
      </c>
      <c r="Z12" s="7">
        <v>63398.842531150003</v>
      </c>
      <c r="AA12" s="7">
        <v>66566.883487590007</v>
      </c>
      <c r="AB12" s="7">
        <v>69532.712787590004</v>
      </c>
      <c r="AC12" s="7">
        <v>72433.184278140005</v>
      </c>
    </row>
    <row r="13" spans="1:29" x14ac:dyDescent="0.85">
      <c r="A13" t="s">
        <v>112</v>
      </c>
      <c r="B13" s="7">
        <v>26707.16398773</v>
      </c>
      <c r="C13" s="7">
        <v>28765.88952221</v>
      </c>
      <c r="D13" s="7">
        <v>30963.350548300001</v>
      </c>
      <c r="E13" s="7">
        <v>33206.753652309999</v>
      </c>
      <c r="F13" s="7">
        <v>35573.787624789999</v>
      </c>
      <c r="G13" s="7">
        <v>38067.344793889999</v>
      </c>
      <c r="H13" s="7">
        <v>40669.470670429997</v>
      </c>
      <c r="I13" s="7">
        <v>43379.38039513</v>
      </c>
      <c r="J13" s="7">
        <v>46155.594097740002</v>
      </c>
      <c r="K13" s="7">
        <v>49019.366737550001</v>
      </c>
      <c r="L13" s="7">
        <v>51956.404956170001</v>
      </c>
      <c r="M13" s="7">
        <v>54937.061009440004</v>
      </c>
      <c r="N13" s="7">
        <v>57857.865569790003</v>
      </c>
      <c r="O13" s="7">
        <v>60728.87360354</v>
      </c>
      <c r="P13" s="7">
        <v>63425.149502859997</v>
      </c>
      <c r="Q13" s="7">
        <v>65938.206629470005</v>
      </c>
      <c r="R13" s="7">
        <v>68260.706225939997</v>
      </c>
      <c r="S13" s="7">
        <v>70369.18236182</v>
      </c>
      <c r="T13" s="7">
        <v>72322.829191950004</v>
      </c>
      <c r="U13" s="7">
        <v>74151.716975219999</v>
      </c>
      <c r="V13" s="7">
        <v>75824.159680070006</v>
      </c>
      <c r="W13" s="7">
        <v>77375.08581669</v>
      </c>
      <c r="X13" s="7">
        <v>78834.436841129995</v>
      </c>
      <c r="Y13" s="7">
        <v>80242.932354370001</v>
      </c>
      <c r="Z13" s="7">
        <v>81661.961021480005</v>
      </c>
      <c r="AA13" s="7">
        <v>83140.888419170005</v>
      </c>
      <c r="AB13" s="7">
        <v>84703.785702590001</v>
      </c>
      <c r="AC13" s="7">
        <v>86350.776867389999</v>
      </c>
    </row>
    <row r="14" spans="1:29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</row>
    <row r="15" spans="1:29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</row>
    <row r="16" spans="1:29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</row>
    <row r="17" spans="1:29" x14ac:dyDescent="0.85">
      <c r="A17" t="s">
        <v>115</v>
      </c>
      <c r="B17" s="7">
        <v>3796</v>
      </c>
      <c r="C17" s="7">
        <v>3711.1807033599998</v>
      </c>
      <c r="D17" s="7">
        <v>4584.6898964800002</v>
      </c>
      <c r="E17" s="7">
        <v>5469.6370388699997</v>
      </c>
      <c r="F17" s="7">
        <v>6307.0496299300003</v>
      </c>
      <c r="G17" s="7">
        <v>6624.27285467</v>
      </c>
      <c r="H17" s="7">
        <v>6942.5340654000001</v>
      </c>
      <c r="I17" s="7">
        <v>7879.4003922499996</v>
      </c>
      <c r="J17" s="7">
        <v>8192.5683388599991</v>
      </c>
      <c r="K17" s="7">
        <v>8423.5367498300002</v>
      </c>
      <c r="L17" s="7">
        <v>9453.6791019100001</v>
      </c>
      <c r="M17" s="7">
        <v>10518.80066814</v>
      </c>
      <c r="N17" s="7">
        <v>11654.750558829999</v>
      </c>
      <c r="O17" s="7">
        <v>12835.78991639</v>
      </c>
      <c r="P17" s="7">
        <v>14041.821733770001</v>
      </c>
      <c r="Q17" s="7">
        <v>15273.58140551</v>
      </c>
      <c r="R17" s="7">
        <v>16531.815871120001</v>
      </c>
      <c r="S17" s="7">
        <v>17817.283980079999</v>
      </c>
      <c r="T17" s="7">
        <v>19128.923924899998</v>
      </c>
      <c r="U17" s="7">
        <v>20470.431377090001</v>
      </c>
      <c r="V17" s="7">
        <v>21846.960380569999</v>
      </c>
      <c r="W17" s="7">
        <v>23259.48493241</v>
      </c>
      <c r="X17" s="7">
        <v>24709.00144751</v>
      </c>
      <c r="Y17" s="7">
        <v>26196.528979989998</v>
      </c>
      <c r="Z17" s="7">
        <v>27723.109402139999</v>
      </c>
      <c r="AA17" s="7">
        <v>29290.778752220001</v>
      </c>
      <c r="AB17" s="7">
        <v>29075.030468270001</v>
      </c>
      <c r="AC17" s="7">
        <v>28105.863419329999</v>
      </c>
    </row>
    <row r="18" spans="1:29" x14ac:dyDescent="0.85">
      <c r="A18" t="s">
        <v>116</v>
      </c>
      <c r="B18" s="7">
        <v>6709525</v>
      </c>
      <c r="C18" s="7">
        <v>6559604.7704668399</v>
      </c>
      <c r="D18" s="7">
        <v>8103554.1300543305</v>
      </c>
      <c r="E18" s="7">
        <v>9667720.3512162305</v>
      </c>
      <c r="F18" s="7">
        <v>11147868.063299701</v>
      </c>
      <c r="G18" s="7">
        <v>11708568.051960301</v>
      </c>
      <c r="H18" s="7">
        <v>12271102.706845401</v>
      </c>
      <c r="I18" s="7">
        <v>13927037.3858763</v>
      </c>
      <c r="J18" s="7">
        <v>14480569.5689651</v>
      </c>
      <c r="K18" s="7">
        <v>14888812.0156557</v>
      </c>
      <c r="L18" s="7">
        <v>16709614.4036534</v>
      </c>
      <c r="M18" s="7">
        <v>18592243.428062901</v>
      </c>
      <c r="N18" s="7">
        <v>20600063.2885295</v>
      </c>
      <c r="O18" s="7">
        <v>22687579.910110701</v>
      </c>
      <c r="P18" s="7">
        <v>24819271.3298891</v>
      </c>
      <c r="Q18" s="7">
        <v>26996437.376130398</v>
      </c>
      <c r="R18" s="7">
        <v>29212317.691961098</v>
      </c>
      <c r="S18" s="7">
        <v>31438316.148544401</v>
      </c>
      <c r="T18" s="7">
        <v>33605418.718274802</v>
      </c>
      <c r="U18" s="7">
        <v>35611504.868212797</v>
      </c>
      <c r="V18" s="7">
        <v>37358096.0473013</v>
      </c>
      <c r="W18" s="7">
        <v>38681307.184806503</v>
      </c>
      <c r="X18" s="7">
        <v>39463048.351421602</v>
      </c>
      <c r="Y18" s="7">
        <v>39558960.306811899</v>
      </c>
      <c r="Z18" s="7">
        <v>38806510.8844366</v>
      </c>
      <c r="AA18" s="7">
        <v>37099354.395791203</v>
      </c>
      <c r="AB18" s="7">
        <v>33024277.117919602</v>
      </c>
      <c r="AC18" s="7">
        <v>27633218.0812569</v>
      </c>
    </row>
    <row r="19" spans="1:29" x14ac:dyDescent="0.85">
      <c r="A19" t="s">
        <v>117</v>
      </c>
      <c r="B19" s="7">
        <v>6709525</v>
      </c>
      <c r="C19" s="7">
        <v>6559604.7704668399</v>
      </c>
      <c r="D19" s="7">
        <v>8103554.1300543305</v>
      </c>
      <c r="E19" s="7">
        <v>9667720.3512162305</v>
      </c>
      <c r="F19" s="7">
        <v>11147868.063299701</v>
      </c>
      <c r="G19" s="7">
        <v>11708568.051960301</v>
      </c>
      <c r="H19" s="7">
        <v>12271102.706845401</v>
      </c>
      <c r="I19" s="7">
        <v>13927037.3858763</v>
      </c>
      <c r="J19" s="7">
        <v>14480569.5689651</v>
      </c>
      <c r="K19" s="7">
        <v>14888812.0156557</v>
      </c>
      <c r="L19" s="7">
        <v>16709614.4036534</v>
      </c>
      <c r="M19" s="7">
        <v>18592243.428062901</v>
      </c>
      <c r="N19" s="7">
        <v>20600063.2885295</v>
      </c>
      <c r="O19" s="7">
        <v>22687579.910110701</v>
      </c>
      <c r="P19" s="7">
        <v>24819271.3298891</v>
      </c>
      <c r="Q19" s="7">
        <v>26996437.376130398</v>
      </c>
      <c r="R19" s="7">
        <v>29220398.283100799</v>
      </c>
      <c r="S19" s="7">
        <v>31492495.3362679</v>
      </c>
      <c r="T19" s="7">
        <v>33810851.764278501</v>
      </c>
      <c r="U19" s="7">
        <v>36181999.759053901</v>
      </c>
      <c r="V19" s="7">
        <v>38615049.222188897</v>
      </c>
      <c r="W19" s="7">
        <v>41111721.717894301</v>
      </c>
      <c r="X19" s="7">
        <v>43673778.434433401</v>
      </c>
      <c r="Y19" s="7">
        <v>46303020.575462103</v>
      </c>
      <c r="Z19" s="7">
        <v>49001289.676333301</v>
      </c>
      <c r="AA19" s="7">
        <v>51772184.485638604</v>
      </c>
      <c r="AB19" s="7">
        <v>51390843.994374402</v>
      </c>
      <c r="AC19" s="7">
        <v>49677816.980657198</v>
      </c>
    </row>
    <row r="20" spans="1:29" x14ac:dyDescent="0.85">
      <c r="A20" t="s">
        <v>118</v>
      </c>
      <c r="B20" s="7">
        <v>774.98320850000005</v>
      </c>
      <c r="C20" s="7">
        <v>757.66668303999995</v>
      </c>
      <c r="D20" s="7">
        <v>936.00044414000001</v>
      </c>
      <c r="E20" s="7">
        <v>1116.6693524</v>
      </c>
      <c r="F20" s="7">
        <v>1287.63370874</v>
      </c>
      <c r="G20" s="7">
        <v>1352.3973211</v>
      </c>
      <c r="H20" s="7">
        <v>1417.37284645</v>
      </c>
      <c r="I20" s="7">
        <v>1608.64146392</v>
      </c>
      <c r="J20" s="7">
        <v>1672.5771594</v>
      </c>
      <c r="K20" s="7">
        <v>1719.7311742100001</v>
      </c>
      <c r="L20" s="7">
        <v>1930.0428246900001</v>
      </c>
      <c r="M20" s="7">
        <v>2147.4957564199999</v>
      </c>
      <c r="N20" s="7">
        <v>2379.4088467699999</v>
      </c>
      <c r="O20" s="7">
        <v>2620.5273058500002</v>
      </c>
      <c r="P20" s="7">
        <v>2866.7481718700001</v>
      </c>
      <c r="Q20" s="7">
        <v>3118.2215813799999</v>
      </c>
      <c r="R20" s="7">
        <v>3375.1000279499999</v>
      </c>
      <c r="S20" s="7">
        <v>3637.5384366799999</v>
      </c>
      <c r="T20" s="7">
        <v>3905.3200311999999</v>
      </c>
      <c r="U20" s="7">
        <v>4179.1993118999999</v>
      </c>
      <c r="V20" s="7">
        <v>4460.2285173</v>
      </c>
      <c r="W20" s="7">
        <v>4748.6064965599999</v>
      </c>
      <c r="X20" s="7">
        <v>5044.5366756000003</v>
      </c>
      <c r="Y20" s="7">
        <v>5348.22710233</v>
      </c>
      <c r="Z20" s="7">
        <v>5659.8904831500004</v>
      </c>
      <c r="AA20" s="7">
        <v>5979.9424912599998</v>
      </c>
      <c r="AB20" s="7">
        <v>5935.8957849099997</v>
      </c>
      <c r="AC20" s="7">
        <v>5738.0327213800001</v>
      </c>
    </row>
    <row r="21" spans="1:29" x14ac:dyDescent="0.85">
      <c r="A21" t="s">
        <v>119</v>
      </c>
      <c r="B21" s="7">
        <v>0</v>
      </c>
      <c r="C21" s="7">
        <v>0.65596047999999996</v>
      </c>
      <c r="D21" s="7">
        <v>1.6207108299999999</v>
      </c>
      <c r="E21" s="7">
        <v>2.9003161099999999</v>
      </c>
      <c r="F21" s="7">
        <v>4.4591472300000001</v>
      </c>
      <c r="G21" s="7">
        <v>5.8542840299999996</v>
      </c>
      <c r="H21" s="7">
        <v>7.3626616199999999</v>
      </c>
      <c r="I21" s="7">
        <v>9.7489261700000007</v>
      </c>
      <c r="J21" s="7">
        <v>11.58445566</v>
      </c>
      <c r="K21" s="7">
        <v>13.399930810000001</v>
      </c>
      <c r="L21" s="7">
        <v>16.7096144</v>
      </c>
      <c r="M21" s="7">
        <v>20.451467770000001</v>
      </c>
      <c r="N21" s="7">
        <v>24.720075949999998</v>
      </c>
      <c r="O21" s="7">
        <v>29.49385388</v>
      </c>
      <c r="P21" s="7">
        <v>34.746979860000003</v>
      </c>
      <c r="Q21" s="7">
        <v>40.494656059999997</v>
      </c>
      <c r="R21" s="7">
        <v>46.752637249999999</v>
      </c>
      <c r="S21" s="7">
        <v>53.537242069999998</v>
      </c>
      <c r="T21" s="7">
        <v>60.85953318</v>
      </c>
      <c r="U21" s="7">
        <v>68.745799539999993</v>
      </c>
      <c r="V21" s="7">
        <v>77.230098440000006</v>
      </c>
      <c r="W21" s="7">
        <v>86.33461561</v>
      </c>
      <c r="X21" s="7">
        <v>96.082312560000005</v>
      </c>
      <c r="Y21" s="7">
        <v>106.49694732</v>
      </c>
      <c r="Z21" s="7">
        <v>117.60309522</v>
      </c>
      <c r="AA21" s="7">
        <v>129.43046121</v>
      </c>
      <c r="AB21" s="7">
        <v>133.61619439</v>
      </c>
      <c r="AC21" s="7">
        <v>134.13010585000001</v>
      </c>
    </row>
    <row r="22" spans="1:29" x14ac:dyDescent="0.85">
      <c r="A22" t="s">
        <v>120</v>
      </c>
      <c r="B22" s="7">
        <v>3.354762E-2</v>
      </c>
      <c r="C22" s="7">
        <v>3.2798019999999997E-2</v>
      </c>
      <c r="D22" s="7">
        <v>4.0517770000000002E-2</v>
      </c>
      <c r="E22" s="7">
        <v>4.8338600000000002E-2</v>
      </c>
      <c r="F22" s="7">
        <v>5.5739339999999998E-2</v>
      </c>
      <c r="G22" s="7">
        <v>5.8542839999999999E-2</v>
      </c>
      <c r="H22" s="7">
        <v>6.1355510000000002E-2</v>
      </c>
      <c r="I22" s="7">
        <v>6.963519E-2</v>
      </c>
      <c r="J22" s="7">
        <v>7.2402850000000005E-2</v>
      </c>
      <c r="K22" s="7">
        <v>7.4444060000000006E-2</v>
      </c>
      <c r="L22" s="7">
        <v>8.3548070000000002E-2</v>
      </c>
      <c r="M22" s="7">
        <v>9.2961219999999997E-2</v>
      </c>
      <c r="N22" s="7">
        <v>0.10300032000000001</v>
      </c>
      <c r="O22" s="7">
        <v>0.11343789999999999</v>
      </c>
      <c r="P22" s="7">
        <v>0.12409636</v>
      </c>
      <c r="Q22" s="7">
        <v>0.13498219</v>
      </c>
      <c r="R22" s="7">
        <v>0.14610198999999999</v>
      </c>
      <c r="S22" s="7">
        <v>0.15746247999999999</v>
      </c>
      <c r="T22" s="7">
        <v>0.16905426000000001</v>
      </c>
      <c r="U22" s="7">
        <v>0.18090999999999999</v>
      </c>
      <c r="V22" s="7">
        <v>0.19307525</v>
      </c>
      <c r="W22" s="7">
        <v>0.20555861</v>
      </c>
      <c r="X22" s="7">
        <v>0.21836889000000001</v>
      </c>
      <c r="Y22" s="7">
        <v>0.2315151</v>
      </c>
      <c r="Z22" s="7">
        <v>0.24500644999999999</v>
      </c>
      <c r="AA22" s="7">
        <v>0.25886091999999999</v>
      </c>
      <c r="AB22" s="7">
        <v>0.25695422000000001</v>
      </c>
      <c r="AC22" s="7">
        <v>0.24838908000000001</v>
      </c>
    </row>
    <row r="23" spans="1:29" x14ac:dyDescent="0.85">
      <c r="A23" t="s">
        <v>121</v>
      </c>
      <c r="B23" s="7">
        <v>774.98320850000005</v>
      </c>
      <c r="C23" s="7">
        <v>757.66668303999995</v>
      </c>
      <c r="D23" s="7">
        <v>936.00044414000001</v>
      </c>
      <c r="E23" s="7">
        <v>1116.6693524</v>
      </c>
      <c r="F23" s="7">
        <v>1287.63370874</v>
      </c>
      <c r="G23" s="7">
        <v>1352.3973211</v>
      </c>
      <c r="H23" s="7">
        <v>1417.37284645</v>
      </c>
      <c r="I23" s="7">
        <v>1608.64146392</v>
      </c>
      <c r="J23" s="7">
        <v>1672.5771594</v>
      </c>
      <c r="K23" s="7">
        <v>1719.7311742100001</v>
      </c>
      <c r="L23" s="7">
        <v>1930.0428246900001</v>
      </c>
      <c r="M23" s="7">
        <v>2147.4957564199999</v>
      </c>
      <c r="N23" s="7">
        <v>2379.4088467699999</v>
      </c>
      <c r="O23" s="7">
        <v>2620.5273058500002</v>
      </c>
      <c r="P23" s="7">
        <v>2866.7481718700001</v>
      </c>
      <c r="Q23" s="7">
        <v>3118.2215813799999</v>
      </c>
      <c r="R23" s="7">
        <v>3375.1000279499999</v>
      </c>
      <c r="S23" s="7">
        <v>3637.5384366799999</v>
      </c>
      <c r="T23" s="7">
        <v>3905.3200311999999</v>
      </c>
      <c r="U23" s="7">
        <v>4179.1993118999999</v>
      </c>
      <c r="V23" s="7">
        <v>4460.2285173</v>
      </c>
      <c r="W23" s="7">
        <v>4748.6064965599999</v>
      </c>
      <c r="X23" s="7">
        <v>5044.5366756000003</v>
      </c>
      <c r="Y23" s="7">
        <v>5348.22710233</v>
      </c>
      <c r="Z23" s="7">
        <v>5659.8904831500004</v>
      </c>
      <c r="AA23" s="7">
        <v>5979.9424912599998</v>
      </c>
      <c r="AB23" s="7">
        <v>5935.8957849099997</v>
      </c>
      <c r="AC23" s="7">
        <v>5738.0327213800001</v>
      </c>
    </row>
    <row r="24" spans="1:29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</row>
    <row r="25" spans="1:29" x14ac:dyDescent="0.85">
      <c r="A25" t="s">
        <v>123</v>
      </c>
      <c r="B25" s="7">
        <v>1</v>
      </c>
      <c r="C25" s="7">
        <v>1.03333333</v>
      </c>
      <c r="D25" s="7">
        <v>1.0113678699999999</v>
      </c>
      <c r="E25" s="7">
        <v>1.23415202</v>
      </c>
      <c r="F25" s="7">
        <v>1.20338229</v>
      </c>
      <c r="G25" s="7">
        <v>1.1828061999999999</v>
      </c>
      <c r="H25" s="7">
        <v>1.08651374</v>
      </c>
      <c r="I25" s="7">
        <v>1.0841841699999999</v>
      </c>
      <c r="J25" s="7">
        <v>1.1615566799999999</v>
      </c>
      <c r="K25" s="7">
        <v>1.0755984300000001</v>
      </c>
      <c r="L25" s="7">
        <v>1.0636473399999999</v>
      </c>
      <c r="M25" s="7">
        <v>1.15102525</v>
      </c>
      <c r="N25" s="7">
        <v>1.1461889700000001</v>
      </c>
      <c r="O25" s="7">
        <v>1.1393025299999999</v>
      </c>
      <c r="P25" s="7">
        <v>1.13167123</v>
      </c>
      <c r="Q25" s="7">
        <v>1.1252184000000001</v>
      </c>
      <c r="R25" s="7">
        <v>1.11969323</v>
      </c>
      <c r="S25" s="7">
        <v>1.1149112699999999</v>
      </c>
      <c r="T25" s="7">
        <v>1.1106274</v>
      </c>
      <c r="U25" s="7">
        <v>1.10702082</v>
      </c>
      <c r="V25" s="7">
        <v>1.10403629</v>
      </c>
      <c r="W25" s="7">
        <v>1.10135768</v>
      </c>
      <c r="X25" s="7">
        <v>1.0989410799999999</v>
      </c>
      <c r="Y25" s="7">
        <v>1.09675053</v>
      </c>
      <c r="Z25" s="7">
        <v>1.0947563600000001</v>
      </c>
      <c r="AA25" s="7">
        <v>1.0929700499999999</v>
      </c>
      <c r="AB25" s="7">
        <v>1.09139209</v>
      </c>
      <c r="AC25" s="7">
        <v>1.0268630299999999</v>
      </c>
    </row>
    <row r="26" spans="1:29" x14ac:dyDescent="0.85">
      <c r="A26" t="s">
        <v>124</v>
      </c>
      <c r="B26" s="7">
        <v>1</v>
      </c>
      <c r="C26" s="7">
        <v>1.0113678699999999</v>
      </c>
      <c r="D26" s="7">
        <v>1.27797136</v>
      </c>
      <c r="E26" s="7">
        <v>1.23416094</v>
      </c>
      <c r="F26" s="7">
        <v>1.1928641799999999</v>
      </c>
      <c r="G26" s="7">
        <v>1.08651374</v>
      </c>
      <c r="H26" s="7">
        <v>1.0841841699999999</v>
      </c>
      <c r="I26" s="7">
        <v>1.17408194</v>
      </c>
      <c r="J26" s="7">
        <v>1.0755984300000001</v>
      </c>
      <c r="K26" s="7">
        <v>1.0636473399999999</v>
      </c>
      <c r="L26" s="7">
        <v>1.1609931</v>
      </c>
      <c r="M26" s="7">
        <v>1.1510352500000001</v>
      </c>
      <c r="N26" s="7">
        <v>1.1461989699999999</v>
      </c>
      <c r="O26" s="7">
        <v>1.13931253</v>
      </c>
      <c r="P26" s="7">
        <v>1.1316812300000001</v>
      </c>
      <c r="Q26" s="7">
        <v>1.1252283999999999</v>
      </c>
      <c r="R26" s="7">
        <v>1.11970323</v>
      </c>
      <c r="S26" s="7">
        <v>1.11492127</v>
      </c>
      <c r="T26" s="7">
        <v>1.1106374000000001</v>
      </c>
      <c r="U26" s="7">
        <v>1.1070308200000001</v>
      </c>
      <c r="V26" s="7">
        <v>1.1040462900000001</v>
      </c>
      <c r="W26" s="7">
        <v>1.1013676800000001</v>
      </c>
      <c r="X26" s="7">
        <v>1.09895108</v>
      </c>
      <c r="Y26" s="7">
        <v>1.0967605300000001</v>
      </c>
      <c r="Z26" s="7">
        <v>1.0947663599999999</v>
      </c>
      <c r="AA26" s="7">
        <v>1.09298005</v>
      </c>
      <c r="AB26" s="7">
        <v>1.0268630299999999</v>
      </c>
      <c r="AC26" s="7">
        <v>1.0000000200000001</v>
      </c>
    </row>
    <row r="27" spans="1:29" x14ac:dyDescent="0.85">
      <c r="A27" t="s">
        <v>125</v>
      </c>
      <c r="B27" s="7">
        <v>1</v>
      </c>
      <c r="C27" s="7">
        <v>1.2695961099999999</v>
      </c>
      <c r="D27" s="7">
        <v>1.27797139</v>
      </c>
      <c r="E27" s="7">
        <v>1.2341620200000001</v>
      </c>
      <c r="F27" s="7">
        <v>1.20339229</v>
      </c>
      <c r="G27" s="7">
        <v>1.1828162</v>
      </c>
      <c r="H27" s="7">
        <v>1.1783564500000001</v>
      </c>
      <c r="I27" s="7">
        <v>1.1740819600000001</v>
      </c>
      <c r="J27" s="7">
        <v>1.16156668</v>
      </c>
      <c r="K27" s="7">
        <v>1.1605858899999999</v>
      </c>
      <c r="L27" s="7">
        <v>1.1609931</v>
      </c>
      <c r="M27" s="7">
        <v>1.1510352500000001</v>
      </c>
      <c r="N27" s="7">
        <v>1.1461989699999999</v>
      </c>
      <c r="O27" s="7">
        <v>1.13931253</v>
      </c>
      <c r="P27" s="7">
        <v>1.1316812300000001</v>
      </c>
      <c r="Q27" s="7">
        <v>1.1252283999999999</v>
      </c>
      <c r="R27" s="7">
        <v>1.11970323</v>
      </c>
      <c r="S27" s="7">
        <v>1.11492127</v>
      </c>
      <c r="T27" s="7">
        <v>1.1106374000000001</v>
      </c>
      <c r="U27" s="7">
        <v>1.1070308200000001</v>
      </c>
      <c r="V27" s="7">
        <v>1.1040462900000001</v>
      </c>
      <c r="W27" s="7">
        <v>1.1013676800000001</v>
      </c>
      <c r="X27" s="7">
        <v>1.09895108</v>
      </c>
      <c r="Y27" s="7">
        <v>1.0967605300000001</v>
      </c>
      <c r="Z27" s="7">
        <v>1.0947663599999999</v>
      </c>
      <c r="AA27" s="7">
        <v>1.09298005</v>
      </c>
      <c r="AB27" s="7">
        <v>1.0914020900000001</v>
      </c>
      <c r="AC27" s="7">
        <v>1.0932826099999999</v>
      </c>
    </row>
    <row r="28" spans="1:29" x14ac:dyDescent="0.85">
      <c r="A28" t="s">
        <v>126</v>
      </c>
      <c r="B28" s="7">
        <v>0</v>
      </c>
      <c r="C28" s="7">
        <v>0</v>
      </c>
      <c r="D28" s="7">
        <v>0</v>
      </c>
      <c r="E28" s="7">
        <v>0</v>
      </c>
      <c r="F28" s="7">
        <v>0</v>
      </c>
      <c r="G28" s="7">
        <v>0</v>
      </c>
      <c r="H28" s="7">
        <v>0</v>
      </c>
      <c r="I28" s="7">
        <v>0</v>
      </c>
      <c r="J28" s="7">
        <v>0</v>
      </c>
      <c r="K28" s="7">
        <v>0</v>
      </c>
      <c r="L28" s="7">
        <v>0</v>
      </c>
      <c r="M28" s="7">
        <v>0</v>
      </c>
      <c r="N28" s="7">
        <v>0</v>
      </c>
      <c r="O28" s="7">
        <v>0</v>
      </c>
      <c r="P28" s="7">
        <v>0</v>
      </c>
      <c r="Q28" s="7">
        <v>0</v>
      </c>
      <c r="R28" s="7">
        <v>0</v>
      </c>
      <c r="S28" s="7">
        <v>0</v>
      </c>
      <c r="T28" s="7">
        <v>0</v>
      </c>
      <c r="U28" s="7">
        <v>0</v>
      </c>
      <c r="V28" s="7">
        <v>0</v>
      </c>
      <c r="W28" s="7">
        <v>0</v>
      </c>
      <c r="X28" s="7">
        <v>0</v>
      </c>
      <c r="Y28" s="7">
        <v>0</v>
      </c>
      <c r="Z28" s="7">
        <v>0</v>
      </c>
      <c r="AA28" s="7">
        <v>0</v>
      </c>
      <c r="AB28" s="7">
        <v>0</v>
      </c>
      <c r="AC28" s="7">
        <v>0</v>
      </c>
    </row>
    <row r="29" spans="1:29" x14ac:dyDescent="0.85">
      <c r="A29" t="s">
        <v>127</v>
      </c>
      <c r="B29" s="7">
        <v>0</v>
      </c>
      <c r="C29" s="7">
        <v>0</v>
      </c>
      <c r="D29" s="7">
        <v>0</v>
      </c>
      <c r="E29" s="7">
        <v>0</v>
      </c>
      <c r="F29" s="7">
        <v>0</v>
      </c>
      <c r="G29" s="7">
        <v>0</v>
      </c>
      <c r="H29" s="7">
        <v>0</v>
      </c>
      <c r="I29" s="7">
        <v>0</v>
      </c>
      <c r="J29" s="7">
        <v>0</v>
      </c>
      <c r="K29" s="7">
        <v>0</v>
      </c>
      <c r="L29" s="7">
        <v>0</v>
      </c>
      <c r="M29" s="7">
        <v>0</v>
      </c>
      <c r="N29" s="7">
        <v>0</v>
      </c>
      <c r="O29" s="7">
        <v>0</v>
      </c>
      <c r="P29" s="7">
        <v>0</v>
      </c>
      <c r="Q29" s="7">
        <v>0</v>
      </c>
      <c r="R29" s="7">
        <v>0</v>
      </c>
      <c r="S29" s="7">
        <v>0</v>
      </c>
      <c r="T29" s="7">
        <v>0</v>
      </c>
      <c r="U29" s="7">
        <v>0</v>
      </c>
      <c r="V29" s="7">
        <v>0</v>
      </c>
      <c r="W29" s="7">
        <v>0</v>
      </c>
      <c r="X29" s="7">
        <v>0</v>
      </c>
      <c r="Y29" s="7">
        <v>0</v>
      </c>
      <c r="Z29" s="7">
        <v>0</v>
      </c>
      <c r="AA29" s="7">
        <v>0</v>
      </c>
      <c r="AB29" s="7">
        <v>0</v>
      </c>
      <c r="AC29" s="7">
        <v>0</v>
      </c>
    </row>
    <row r="30" spans="1:29" x14ac:dyDescent="0.85">
      <c r="A30" t="s">
        <v>128</v>
      </c>
      <c r="B30" s="7">
        <v>0</v>
      </c>
      <c r="C30" s="7">
        <v>0</v>
      </c>
      <c r="D30" s="7">
        <v>0</v>
      </c>
      <c r="E30" s="7">
        <v>0</v>
      </c>
      <c r="F30" s="7">
        <v>0</v>
      </c>
      <c r="G30" s="7">
        <v>0</v>
      </c>
      <c r="H30" s="7">
        <v>0</v>
      </c>
      <c r="I30" s="7">
        <v>0</v>
      </c>
      <c r="J30" s="7">
        <v>0</v>
      </c>
      <c r="K30" s="7">
        <v>0</v>
      </c>
      <c r="L30" s="7">
        <v>0</v>
      </c>
      <c r="M30" s="7">
        <v>0</v>
      </c>
      <c r="N30" s="7">
        <v>0</v>
      </c>
      <c r="O30" s="7">
        <v>0</v>
      </c>
      <c r="P30" s="7">
        <v>0</v>
      </c>
      <c r="Q30" s="7">
        <v>0</v>
      </c>
      <c r="R30" s="7">
        <v>0</v>
      </c>
      <c r="S30" s="7">
        <v>0</v>
      </c>
      <c r="T30" s="7">
        <v>0</v>
      </c>
      <c r="U30" s="7">
        <v>0</v>
      </c>
      <c r="V30" s="7">
        <v>0</v>
      </c>
      <c r="W30" s="7">
        <v>0</v>
      </c>
      <c r="X30" s="7">
        <v>0</v>
      </c>
      <c r="Y30" s="7">
        <v>0</v>
      </c>
      <c r="Z30" s="7">
        <v>0</v>
      </c>
      <c r="AA30" s="7">
        <v>0</v>
      </c>
      <c r="AB30" s="7">
        <v>0</v>
      </c>
      <c r="AC30" s="7">
        <v>0</v>
      </c>
    </row>
    <row r="31" spans="1:29" x14ac:dyDescent="0.85">
      <c r="A31" t="s">
        <v>129</v>
      </c>
      <c r="B31" s="7">
        <v>0</v>
      </c>
      <c r="C31" s="7">
        <v>0</v>
      </c>
      <c r="D31" s="7">
        <v>0</v>
      </c>
      <c r="E31" s="7">
        <v>0</v>
      </c>
      <c r="F31" s="7">
        <v>0</v>
      </c>
      <c r="G31" s="7">
        <v>0</v>
      </c>
      <c r="H31" s="7">
        <v>0</v>
      </c>
      <c r="I31" s="7">
        <v>0</v>
      </c>
      <c r="J31" s="7">
        <v>0</v>
      </c>
      <c r="K31" s="7">
        <v>0</v>
      </c>
      <c r="L31" s="7">
        <v>0</v>
      </c>
      <c r="M31" s="7">
        <v>0</v>
      </c>
      <c r="N31" s="7">
        <v>0</v>
      </c>
      <c r="O31" s="7">
        <v>0</v>
      </c>
      <c r="P31" s="7">
        <v>0</v>
      </c>
      <c r="Q31" s="7">
        <v>0</v>
      </c>
      <c r="R31" s="7">
        <v>0</v>
      </c>
      <c r="S31" s="7">
        <v>0</v>
      </c>
      <c r="T31" s="7">
        <v>0</v>
      </c>
      <c r="U31" s="7">
        <v>0</v>
      </c>
      <c r="V31" s="7">
        <v>0</v>
      </c>
      <c r="W31" s="7">
        <v>0</v>
      </c>
      <c r="X31" s="7">
        <v>0</v>
      </c>
      <c r="Y31" s="7">
        <v>0</v>
      </c>
      <c r="Z31" s="7">
        <v>0</v>
      </c>
      <c r="AA31" s="7">
        <v>0</v>
      </c>
      <c r="AB31" s="7">
        <v>0</v>
      </c>
      <c r="AC31" s="7">
        <v>0</v>
      </c>
    </row>
    <row r="32" spans="1:29" x14ac:dyDescent="0.85">
      <c r="A32" t="s">
        <v>130</v>
      </c>
      <c r="B32" s="7">
        <v>0</v>
      </c>
      <c r="C32" s="7">
        <v>0</v>
      </c>
      <c r="D32" s="7">
        <v>0</v>
      </c>
      <c r="E32" s="7">
        <v>0</v>
      </c>
      <c r="F32" s="7">
        <v>0</v>
      </c>
      <c r="G32" s="7">
        <v>0</v>
      </c>
      <c r="H32" s="7">
        <v>0</v>
      </c>
      <c r="I32" s="7">
        <v>0</v>
      </c>
      <c r="J32" s="7">
        <v>0</v>
      </c>
      <c r="K32" s="7">
        <v>0</v>
      </c>
      <c r="L32" s="7">
        <v>0</v>
      </c>
      <c r="M32" s="7">
        <v>0</v>
      </c>
      <c r="N32" s="7">
        <v>0</v>
      </c>
      <c r="O32" s="7">
        <v>0</v>
      </c>
      <c r="P32" s="7">
        <v>0</v>
      </c>
      <c r="Q32" s="7">
        <v>0</v>
      </c>
      <c r="R32" s="7">
        <v>0</v>
      </c>
      <c r="S32" s="7">
        <v>0</v>
      </c>
      <c r="T32" s="7">
        <v>0</v>
      </c>
      <c r="U32" s="7">
        <v>0</v>
      </c>
      <c r="V32" s="7">
        <v>0</v>
      </c>
      <c r="W32" s="7">
        <v>0</v>
      </c>
      <c r="X32" s="7">
        <v>0</v>
      </c>
      <c r="Y32" s="7">
        <v>0</v>
      </c>
      <c r="Z32" s="7">
        <v>0</v>
      </c>
      <c r="AA32" s="7">
        <v>0</v>
      </c>
      <c r="AB32" s="7">
        <v>0</v>
      </c>
      <c r="AC32" s="7">
        <v>0</v>
      </c>
    </row>
    <row r="33" spans="1:29" x14ac:dyDescent="0.85">
      <c r="A33" t="s">
        <v>131</v>
      </c>
      <c r="B33" s="7">
        <v>0</v>
      </c>
      <c r="C33" s="7">
        <v>0</v>
      </c>
      <c r="D33" s="7">
        <v>0</v>
      </c>
      <c r="E33" s="7">
        <v>0</v>
      </c>
      <c r="F33" s="7">
        <v>0</v>
      </c>
      <c r="G33" s="7">
        <v>0</v>
      </c>
      <c r="H33" s="7">
        <v>0</v>
      </c>
      <c r="I33" s="7">
        <v>0</v>
      </c>
      <c r="J33" s="7">
        <v>0</v>
      </c>
      <c r="K33" s="7">
        <v>0</v>
      </c>
      <c r="L33" s="7">
        <v>0</v>
      </c>
      <c r="M33" s="7">
        <v>0</v>
      </c>
      <c r="N33" s="7">
        <v>0</v>
      </c>
      <c r="O33" s="7">
        <v>0</v>
      </c>
      <c r="P33" s="7">
        <v>0</v>
      </c>
      <c r="Q33" s="7">
        <v>0</v>
      </c>
      <c r="R33" s="7">
        <v>0</v>
      </c>
      <c r="S33" s="7">
        <v>0</v>
      </c>
      <c r="T33" s="7">
        <v>0</v>
      </c>
      <c r="U33" s="7">
        <v>0</v>
      </c>
      <c r="V33" s="7">
        <v>0</v>
      </c>
      <c r="W33" s="7">
        <v>0</v>
      </c>
      <c r="X33" s="7">
        <v>0</v>
      </c>
      <c r="Y33" s="7">
        <v>0</v>
      </c>
      <c r="Z33" s="7">
        <v>0</v>
      </c>
      <c r="AA33" s="7">
        <v>0</v>
      </c>
      <c r="AB33" s="7">
        <v>0</v>
      </c>
      <c r="AC33" s="7">
        <v>0</v>
      </c>
    </row>
    <row r="34" spans="1:29" x14ac:dyDescent="0.85">
      <c r="A34" t="s">
        <v>132</v>
      </c>
      <c r="B34" s="7">
        <v>0</v>
      </c>
      <c r="C34" s="7">
        <v>0</v>
      </c>
      <c r="D34" s="7">
        <v>0</v>
      </c>
      <c r="E34" s="7">
        <v>0</v>
      </c>
      <c r="F34" s="7">
        <v>0</v>
      </c>
      <c r="G34" s="7">
        <v>0</v>
      </c>
      <c r="H34" s="7">
        <v>0</v>
      </c>
      <c r="I34" s="7">
        <v>0</v>
      </c>
      <c r="J34" s="7">
        <v>0</v>
      </c>
      <c r="K34" s="7">
        <v>0</v>
      </c>
      <c r="L34" s="7">
        <v>0</v>
      </c>
      <c r="M34" s="7">
        <v>0</v>
      </c>
      <c r="N34" s="7">
        <v>0</v>
      </c>
      <c r="O34" s="7">
        <v>0</v>
      </c>
      <c r="P34" s="7">
        <v>0</v>
      </c>
      <c r="Q34" s="7">
        <v>0</v>
      </c>
      <c r="R34" s="7">
        <v>0</v>
      </c>
      <c r="S34" s="7">
        <v>0</v>
      </c>
      <c r="T34" s="7">
        <v>0</v>
      </c>
      <c r="U34" s="7">
        <v>0</v>
      </c>
      <c r="V34" s="7">
        <v>0</v>
      </c>
      <c r="W34" s="7">
        <v>0</v>
      </c>
      <c r="X34" s="7">
        <v>0</v>
      </c>
      <c r="Y34" s="7">
        <v>0</v>
      </c>
      <c r="Z34" s="7">
        <v>0</v>
      </c>
      <c r="AA34" s="7">
        <v>0</v>
      </c>
      <c r="AB34" s="7">
        <v>0</v>
      </c>
      <c r="AC34" s="7">
        <v>0</v>
      </c>
    </row>
    <row r="35" spans="1:29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</row>
    <row r="36" spans="1:29" x14ac:dyDescent="0.85">
      <c r="A36" t="s">
        <v>134</v>
      </c>
      <c r="B36" s="7">
        <v>1</v>
      </c>
      <c r="C36" s="7">
        <v>1.04</v>
      </c>
      <c r="D36" s="7">
        <v>4.3438820000000003E-2</v>
      </c>
      <c r="E36" s="7">
        <v>9.5210470000000005E-2</v>
      </c>
      <c r="F36" s="7">
        <v>0</v>
      </c>
      <c r="G36" s="7">
        <v>6.7360000000000006E-5</v>
      </c>
      <c r="H36" s="7">
        <v>0</v>
      </c>
      <c r="I36" s="7">
        <v>3.7799999999999998E-6</v>
      </c>
      <c r="J36" s="7">
        <v>1.1000000000000001E-6</v>
      </c>
      <c r="K36" s="7">
        <v>0</v>
      </c>
      <c r="L36" s="7">
        <v>0</v>
      </c>
      <c r="M36" s="7">
        <v>0</v>
      </c>
      <c r="N36" s="7">
        <v>0</v>
      </c>
      <c r="O36" s="7">
        <v>0</v>
      </c>
      <c r="P36" s="7">
        <v>0</v>
      </c>
      <c r="Q36" s="7">
        <v>0</v>
      </c>
      <c r="R36" s="7">
        <v>0</v>
      </c>
      <c r="S36" s="7">
        <v>0</v>
      </c>
      <c r="T36" s="7">
        <v>0</v>
      </c>
      <c r="U36" s="7">
        <v>0</v>
      </c>
      <c r="V36" s="7">
        <v>0</v>
      </c>
      <c r="W36" s="7">
        <v>0</v>
      </c>
      <c r="X36" s="7">
        <v>0</v>
      </c>
      <c r="Y36" s="7">
        <v>0</v>
      </c>
      <c r="Z36" s="7">
        <v>0</v>
      </c>
      <c r="AA36" s="7">
        <v>0</v>
      </c>
      <c r="AB36" s="7">
        <v>0</v>
      </c>
      <c r="AC36" s="7">
        <v>0</v>
      </c>
    </row>
    <row r="37" spans="1:29" x14ac:dyDescent="0.85">
      <c r="A37" t="s">
        <v>135</v>
      </c>
      <c r="B37" s="7">
        <v>1</v>
      </c>
      <c r="C37" s="7">
        <v>4.3438820000000003E-2</v>
      </c>
      <c r="D37" s="7">
        <v>9.5210470000000005E-2</v>
      </c>
      <c r="E37" s="7">
        <v>0</v>
      </c>
      <c r="F37" s="7">
        <v>6.7360000000000006E-5</v>
      </c>
      <c r="G37" s="7">
        <v>0</v>
      </c>
      <c r="H37" s="7">
        <v>3.7799999999999998E-6</v>
      </c>
      <c r="I37" s="7">
        <v>1.1000000000000001E-6</v>
      </c>
      <c r="J37" s="7">
        <v>0</v>
      </c>
      <c r="K37" s="7">
        <v>0</v>
      </c>
      <c r="L37" s="7">
        <v>0</v>
      </c>
      <c r="M37" s="7">
        <v>0</v>
      </c>
      <c r="N37" s="7">
        <v>0</v>
      </c>
      <c r="O37" s="7">
        <v>0</v>
      </c>
      <c r="P37" s="7">
        <v>0</v>
      </c>
      <c r="Q37" s="7">
        <v>0</v>
      </c>
      <c r="R37" s="7">
        <v>0</v>
      </c>
      <c r="S37" s="7">
        <v>0</v>
      </c>
      <c r="T37" s="7">
        <v>0</v>
      </c>
      <c r="U37" s="7">
        <v>0</v>
      </c>
      <c r="V37" s="7">
        <v>0</v>
      </c>
      <c r="W37" s="7">
        <v>0</v>
      </c>
      <c r="X37" s="7">
        <v>0</v>
      </c>
      <c r="Y37" s="7">
        <v>0</v>
      </c>
      <c r="Z37" s="7">
        <v>0</v>
      </c>
      <c r="AA37" s="7">
        <v>0</v>
      </c>
      <c r="AB37" s="7">
        <v>0</v>
      </c>
      <c r="AC37" s="7">
        <v>0</v>
      </c>
    </row>
    <row r="38" spans="1:29" x14ac:dyDescent="0.85">
      <c r="A38" t="s">
        <v>136</v>
      </c>
      <c r="B38" s="7">
        <v>1</v>
      </c>
      <c r="C38" s="7">
        <v>10</v>
      </c>
      <c r="D38" s="7">
        <v>10</v>
      </c>
      <c r="E38" s="7">
        <v>10</v>
      </c>
      <c r="F38" s="7">
        <v>10</v>
      </c>
      <c r="G38" s="7">
        <v>10</v>
      </c>
      <c r="H38" s="7">
        <v>10</v>
      </c>
      <c r="I38" s="7">
        <v>10</v>
      </c>
      <c r="J38" s="7">
        <v>10</v>
      </c>
      <c r="K38" s="7">
        <v>10</v>
      </c>
      <c r="L38" s="7">
        <v>10</v>
      </c>
      <c r="M38" s="7">
        <v>10</v>
      </c>
      <c r="N38" s="7">
        <v>10</v>
      </c>
      <c r="O38" s="7">
        <v>10</v>
      </c>
      <c r="P38" s="7">
        <v>10</v>
      </c>
      <c r="Q38" s="7">
        <v>10</v>
      </c>
      <c r="R38" s="7">
        <v>10</v>
      </c>
      <c r="S38" s="7">
        <v>10</v>
      </c>
      <c r="T38" s="7">
        <v>10</v>
      </c>
      <c r="U38" s="7">
        <v>10</v>
      </c>
      <c r="V38" s="7">
        <v>10</v>
      </c>
      <c r="W38" s="7">
        <v>10</v>
      </c>
      <c r="X38" s="7">
        <v>10</v>
      </c>
      <c r="Y38" s="7">
        <v>10</v>
      </c>
      <c r="Z38" s="7">
        <v>10</v>
      </c>
      <c r="AA38" s="7">
        <v>10</v>
      </c>
      <c r="AB38" s="7">
        <v>10</v>
      </c>
      <c r="AC38" s="7">
        <v>10</v>
      </c>
    </row>
    <row r="39" spans="1:29" x14ac:dyDescent="0.85">
      <c r="A39" t="s">
        <v>137</v>
      </c>
      <c r="B39" s="7">
        <v>7123</v>
      </c>
      <c r="C39" s="7">
        <v>6944.9250000000002</v>
      </c>
      <c r="D39" s="7">
        <v>6771.3018750000001</v>
      </c>
      <c r="E39" s="7">
        <v>6602.01932812</v>
      </c>
      <c r="F39" s="7">
        <v>6436.9688449200003</v>
      </c>
      <c r="G39" s="7">
        <v>6276.0446539200002</v>
      </c>
      <c r="H39" s="7">
        <v>6119.1435591600002</v>
      </c>
      <c r="I39" s="7">
        <v>5966.1655639500004</v>
      </c>
      <c r="J39" s="7">
        <v>5818.8202398599997</v>
      </c>
      <c r="K39" s="7">
        <v>5673.3497537200001</v>
      </c>
      <c r="L39" s="7">
        <v>5531.5160098799997</v>
      </c>
      <c r="M39" s="7">
        <v>7379.7752883000003</v>
      </c>
      <c r="N39" s="7">
        <v>9352.7032828899992</v>
      </c>
      <c r="O39" s="7">
        <v>11410.59011495</v>
      </c>
      <c r="P39" s="7">
        <v>13522.362667040001</v>
      </c>
      <c r="Q39" s="7">
        <v>15689.388883109999</v>
      </c>
      <c r="R39" s="7">
        <v>17913.102206539999</v>
      </c>
      <c r="S39" s="7">
        <v>20194.963295910002</v>
      </c>
      <c r="T39" s="7">
        <v>22533.584426410001</v>
      </c>
      <c r="U39" s="7">
        <v>24935.027749919998</v>
      </c>
      <c r="V39" s="7">
        <v>27407.691751040002</v>
      </c>
      <c r="W39" s="7">
        <v>29953.48255122</v>
      </c>
      <c r="X39" s="7">
        <v>32574.352348289998</v>
      </c>
      <c r="Y39" s="7">
        <v>35272.30001952</v>
      </c>
      <c r="Z39" s="7">
        <v>38049.37160608</v>
      </c>
      <c r="AA39" s="7">
        <v>40909.184969080001</v>
      </c>
      <c r="AB39" s="7">
        <v>43856.706411239997</v>
      </c>
      <c r="AC39" s="7">
        <v>46847.58788341</v>
      </c>
    </row>
    <row r="40" spans="1:29" x14ac:dyDescent="0.85">
      <c r="A40" t="s">
        <v>138</v>
      </c>
      <c r="B40" s="7">
        <v>49003073.5</v>
      </c>
      <c r="C40" s="7">
        <v>47777996.569135703</v>
      </c>
      <c r="D40" s="7">
        <v>46583262.538593799</v>
      </c>
      <c r="E40" s="7">
        <v>45417511.792891599</v>
      </c>
      <c r="F40" s="7">
        <v>44282073.802491598</v>
      </c>
      <c r="G40" s="7">
        <v>43175022.164666303</v>
      </c>
      <c r="H40" s="7">
        <v>42095646.759070002</v>
      </c>
      <c r="I40" s="7">
        <v>41043259.674814202</v>
      </c>
      <c r="J40" s="7">
        <v>40029621.629794203</v>
      </c>
      <c r="K40" s="7">
        <v>39028881.225662403</v>
      </c>
      <c r="L40" s="7">
        <v>38053159.185149297</v>
      </c>
      <c r="M40" s="7">
        <v>50767956.432701997</v>
      </c>
      <c r="N40" s="7">
        <v>64340391.711721003</v>
      </c>
      <c r="O40" s="7">
        <v>78497287.409981102</v>
      </c>
      <c r="P40" s="7">
        <v>93024881.101153195</v>
      </c>
      <c r="Q40" s="7">
        <v>107932583.331618</v>
      </c>
      <c r="R40" s="7">
        <v>123230255.24063601</v>
      </c>
      <c r="S40" s="7">
        <v>138927945.189841</v>
      </c>
      <c r="T40" s="7">
        <v>155016106.553509</v>
      </c>
      <c r="U40" s="7">
        <v>171536442.91345799</v>
      </c>
      <c r="V40" s="7">
        <v>188546730.27015299</v>
      </c>
      <c r="W40" s="7">
        <v>206060081.47409001</v>
      </c>
      <c r="X40" s="7">
        <v>224089926.35081401</v>
      </c>
      <c r="Y40" s="7">
        <v>242650015.849464</v>
      </c>
      <c r="Z40" s="7">
        <v>261754425.375366</v>
      </c>
      <c r="AA40" s="7">
        <v>281428043.41203099</v>
      </c>
      <c r="AB40" s="7">
        <v>301705034.826267</v>
      </c>
      <c r="AC40" s="7">
        <v>322280314.47135001</v>
      </c>
    </row>
    <row r="41" spans="1:29" x14ac:dyDescent="0.85">
      <c r="A41" t="s">
        <v>139</v>
      </c>
      <c r="B41" s="7">
        <v>49003073.5</v>
      </c>
      <c r="C41" s="7">
        <v>47777996.569135703</v>
      </c>
      <c r="D41" s="7">
        <v>46583262.538593799</v>
      </c>
      <c r="E41" s="7">
        <v>45417511.792891599</v>
      </c>
      <c r="F41" s="7">
        <v>44282073.802491598</v>
      </c>
      <c r="G41" s="7">
        <v>43175022.164666303</v>
      </c>
      <c r="H41" s="7">
        <v>42095646.759070002</v>
      </c>
      <c r="I41" s="7">
        <v>41043259.674814202</v>
      </c>
      <c r="J41" s="7">
        <v>40029621.629794203</v>
      </c>
      <c r="K41" s="7">
        <v>39028881.225662403</v>
      </c>
      <c r="L41" s="7">
        <v>38053159.185149297</v>
      </c>
      <c r="M41" s="7">
        <v>50767956.432701997</v>
      </c>
      <c r="N41" s="7">
        <v>64340391.711721003</v>
      </c>
      <c r="O41" s="7">
        <v>78497287.409981102</v>
      </c>
      <c r="P41" s="7">
        <v>93024881.101153195</v>
      </c>
      <c r="Q41" s="7">
        <v>107932583.331618</v>
      </c>
      <c r="R41" s="7">
        <v>123230255.24063601</v>
      </c>
      <c r="S41" s="7">
        <v>138927945.189841</v>
      </c>
      <c r="T41" s="7">
        <v>155016106.553509</v>
      </c>
      <c r="U41" s="7">
        <v>171536442.91345799</v>
      </c>
      <c r="V41" s="7">
        <v>188546730.27015299</v>
      </c>
      <c r="W41" s="7">
        <v>206060081.47409001</v>
      </c>
      <c r="X41" s="7">
        <v>224089926.35081401</v>
      </c>
      <c r="Y41" s="7">
        <v>242650015.849464</v>
      </c>
      <c r="Z41" s="7">
        <v>261754425.375366</v>
      </c>
      <c r="AA41" s="7">
        <v>281428043.41203099</v>
      </c>
      <c r="AB41" s="7">
        <v>301705034.826267</v>
      </c>
      <c r="AC41" s="7">
        <v>322280314.47135001</v>
      </c>
    </row>
    <row r="42" spans="1:29" x14ac:dyDescent="0.85">
      <c r="A42" t="s">
        <v>140</v>
      </c>
      <c r="B42" s="7">
        <v>8178.2490482699995</v>
      </c>
      <c r="C42" s="7">
        <v>7973.7928211199996</v>
      </c>
      <c r="D42" s="7">
        <v>7774.4451281800002</v>
      </c>
      <c r="E42" s="7">
        <v>7580.0721795400004</v>
      </c>
      <c r="F42" s="7">
        <v>7390.5703730799996</v>
      </c>
      <c r="G42" s="7">
        <v>7205.8061483399997</v>
      </c>
      <c r="H42" s="7">
        <v>7025.6610194200002</v>
      </c>
      <c r="I42" s="7">
        <v>6850.0201756599999</v>
      </c>
      <c r="J42" s="7">
        <v>6680.8464522699996</v>
      </c>
      <c r="K42" s="7">
        <v>6513.8253137700003</v>
      </c>
      <c r="L42" s="7">
        <v>6350.9796808199999</v>
      </c>
      <c r="M42" s="7">
        <v>8473.0484050499999</v>
      </c>
      <c r="N42" s="7">
        <v>10738.254830010001</v>
      </c>
      <c r="O42" s="7">
        <v>13101.0062769</v>
      </c>
      <c r="P42" s="7">
        <v>15525.626316850001</v>
      </c>
      <c r="Q42" s="7">
        <v>18013.68554717</v>
      </c>
      <c r="R42" s="7">
        <v>20566.829768</v>
      </c>
      <c r="S42" s="7">
        <v>23186.736026459999</v>
      </c>
      <c r="T42" s="7">
        <v>25871.811013940001</v>
      </c>
      <c r="U42" s="7">
        <v>28629.014956759998</v>
      </c>
      <c r="V42" s="7">
        <v>31467.990528850001</v>
      </c>
      <c r="W42" s="7">
        <v>34390.926233029997</v>
      </c>
      <c r="X42" s="7">
        <v>37400.063474529998</v>
      </c>
      <c r="Y42" s="7">
        <v>40497.697253279999</v>
      </c>
      <c r="Z42" s="7">
        <v>43686.17672019</v>
      </c>
      <c r="AA42" s="7">
        <v>46969.655702609998</v>
      </c>
      <c r="AB42" s="7">
        <v>50353.836233679998</v>
      </c>
      <c r="AC42" s="7">
        <v>53787.800344709998</v>
      </c>
    </row>
    <row r="43" spans="1:29" x14ac:dyDescent="0.85">
      <c r="A43" t="s">
        <v>141</v>
      </c>
      <c r="B43" s="7">
        <v>0</v>
      </c>
      <c r="C43" s="7">
        <v>2.8666797900000001</v>
      </c>
      <c r="D43" s="7">
        <v>5.5899915</v>
      </c>
      <c r="E43" s="7">
        <v>8.1751521199999999</v>
      </c>
      <c r="F43" s="7">
        <v>10.62769771</v>
      </c>
      <c r="G43" s="7">
        <v>12.95250665</v>
      </c>
      <c r="H43" s="7">
        <v>15.154432829999999</v>
      </c>
      <c r="I43" s="7">
        <v>17.238169060000001</v>
      </c>
      <c r="J43" s="7">
        <v>19.214218379999998</v>
      </c>
      <c r="K43" s="7">
        <v>21.07559586</v>
      </c>
      <c r="L43" s="7">
        <v>22.831895509999999</v>
      </c>
      <c r="M43" s="7">
        <v>33.506851249999997</v>
      </c>
      <c r="N43" s="7">
        <v>46.325082029999997</v>
      </c>
      <c r="O43" s="7">
        <v>61.227884179999997</v>
      </c>
      <c r="P43" s="7">
        <v>78.140900119999998</v>
      </c>
      <c r="Q43" s="7">
        <v>97.139324999999999</v>
      </c>
      <c r="R43" s="7">
        <v>118.30104503</v>
      </c>
      <c r="S43" s="7">
        <v>141.70650409000001</v>
      </c>
      <c r="T43" s="7">
        <v>167.41739508000001</v>
      </c>
      <c r="U43" s="7">
        <v>195.55154492</v>
      </c>
      <c r="V43" s="7">
        <v>226.25607632000001</v>
      </c>
      <c r="W43" s="7">
        <v>259.63570265999999</v>
      </c>
      <c r="X43" s="7">
        <v>295.79870277999999</v>
      </c>
      <c r="Y43" s="7">
        <v>334.85702186999998</v>
      </c>
      <c r="Z43" s="7">
        <v>376.92637253999999</v>
      </c>
      <c r="AA43" s="7">
        <v>422.14206511999998</v>
      </c>
      <c r="AB43" s="7">
        <v>470.65985432999997</v>
      </c>
      <c r="AC43" s="7">
        <v>522.09410944000001</v>
      </c>
    </row>
    <row r="44" spans="1:29" x14ac:dyDescent="0.85">
      <c r="A44" t="s">
        <v>142</v>
      </c>
      <c r="B44" s="7">
        <v>0.14700922</v>
      </c>
      <c r="C44" s="7">
        <v>0.14333398999999999</v>
      </c>
      <c r="D44" s="7">
        <v>0.13974979000000001</v>
      </c>
      <c r="E44" s="7">
        <v>0.13625254000000001</v>
      </c>
      <c r="F44" s="7">
        <v>0.13284621999999999</v>
      </c>
      <c r="G44" s="7">
        <v>0.12952506999999999</v>
      </c>
      <c r="H44" s="7">
        <v>0.12628693999999999</v>
      </c>
      <c r="I44" s="7">
        <v>0.12312977999999999</v>
      </c>
      <c r="J44" s="7">
        <v>0.12008886000000001</v>
      </c>
      <c r="K44" s="7">
        <v>0.11708664000000001</v>
      </c>
      <c r="L44" s="7">
        <v>0.11415947999999999</v>
      </c>
      <c r="M44" s="7">
        <v>0.15230387000000001</v>
      </c>
      <c r="N44" s="7">
        <v>0.19302117999999999</v>
      </c>
      <c r="O44" s="7">
        <v>0.23549186</v>
      </c>
      <c r="P44" s="7">
        <v>0.27907463999999998</v>
      </c>
      <c r="Q44" s="7">
        <v>0.32379775</v>
      </c>
      <c r="R44" s="7">
        <v>0.36969077</v>
      </c>
      <c r="S44" s="7">
        <v>0.41678384000000002</v>
      </c>
      <c r="T44" s="7">
        <v>0.46504832000000002</v>
      </c>
      <c r="U44" s="7">
        <v>0.51460932999999998</v>
      </c>
      <c r="V44" s="7">
        <v>0.56564018999999999</v>
      </c>
      <c r="W44" s="7">
        <v>0.61818024000000005</v>
      </c>
      <c r="X44" s="7">
        <v>0.67226978000000004</v>
      </c>
      <c r="Y44" s="7">
        <v>0.72795005000000002</v>
      </c>
      <c r="Z44" s="7">
        <v>0.78526328000000001</v>
      </c>
      <c r="AA44" s="7">
        <v>0.84428413000000002</v>
      </c>
      <c r="AB44" s="7">
        <v>0.90511509999999995</v>
      </c>
      <c r="AC44" s="7">
        <v>0.96684093999999998</v>
      </c>
    </row>
    <row r="45" spans="1:29" x14ac:dyDescent="0.85">
      <c r="A45" t="s">
        <v>143</v>
      </c>
      <c r="B45" s="7">
        <v>7682.82797519</v>
      </c>
      <c r="C45" s="7">
        <v>7490.7572758099996</v>
      </c>
      <c r="D45" s="7">
        <v>7303.4883439100004</v>
      </c>
      <c r="E45" s="7">
        <v>7120.9011353200003</v>
      </c>
      <c r="F45" s="7">
        <v>6942.8786069300004</v>
      </c>
      <c r="G45" s="7">
        <v>6769.3066742499996</v>
      </c>
      <c r="H45" s="7">
        <v>6600.0740306799999</v>
      </c>
      <c r="I45" s="7">
        <v>6435.0728203500003</v>
      </c>
      <c r="J45" s="7">
        <v>6276.1469775899996</v>
      </c>
      <c r="K45" s="7">
        <v>6119.2433245700004</v>
      </c>
      <c r="L45" s="7">
        <v>5966.26224146</v>
      </c>
      <c r="M45" s="7">
        <v>7959.7843655200004</v>
      </c>
      <c r="N45" s="7">
        <v>10087.773469809999</v>
      </c>
      <c r="O45" s="7">
        <v>12307.39870118</v>
      </c>
      <c r="P45" s="7">
        <v>14585.144768919999</v>
      </c>
      <c r="Q45" s="7">
        <v>16922.487129689998</v>
      </c>
      <c r="R45" s="7">
        <v>19320.971887520001</v>
      </c>
      <c r="S45" s="7">
        <v>21782.174500590001</v>
      </c>
      <c r="T45" s="7">
        <v>24304.59817668</v>
      </c>
      <c r="U45" s="7">
        <v>26894.78151891</v>
      </c>
      <c r="V45" s="7">
        <v>29561.78308582</v>
      </c>
      <c r="W45" s="7">
        <v>32307.658809330002</v>
      </c>
      <c r="X45" s="7">
        <v>35134.514319119997</v>
      </c>
      <c r="Y45" s="7">
        <v>38044.505593039998</v>
      </c>
      <c r="Z45" s="7">
        <v>41039.83947965</v>
      </c>
      <c r="AA45" s="7">
        <v>44124.418183720001</v>
      </c>
      <c r="AB45" s="7">
        <v>47303.598331590001</v>
      </c>
      <c r="AC45" s="7">
        <v>50529.546365410002</v>
      </c>
    </row>
    <row r="46" spans="1:29" x14ac:dyDescent="0.85">
      <c r="A46" t="s">
        <v>144</v>
      </c>
      <c r="B46" s="7">
        <v>495.42107307999999</v>
      </c>
      <c r="C46" s="7">
        <v>483.03554530999997</v>
      </c>
      <c r="D46" s="7">
        <v>470.95678427000001</v>
      </c>
      <c r="E46" s="7">
        <v>459.17104423000001</v>
      </c>
      <c r="F46" s="7">
        <v>447.69176614000003</v>
      </c>
      <c r="G46" s="7">
        <v>436.49947408000003</v>
      </c>
      <c r="H46" s="7">
        <v>425.58698872999997</v>
      </c>
      <c r="I46" s="7">
        <v>414.94735530999998</v>
      </c>
      <c r="J46" s="7">
        <v>404.69947467999998</v>
      </c>
      <c r="K46" s="7">
        <v>394.58198919</v>
      </c>
      <c r="L46" s="7">
        <v>384.71743936000001</v>
      </c>
      <c r="M46" s="7">
        <v>513.26403952999999</v>
      </c>
      <c r="N46" s="7">
        <v>650.48136021000005</v>
      </c>
      <c r="O46" s="7">
        <v>793.60757570999999</v>
      </c>
      <c r="P46" s="7">
        <v>940.48154793000003</v>
      </c>
      <c r="Q46" s="7">
        <v>1091.19841748</v>
      </c>
      <c r="R46" s="7">
        <v>1245.8578804799999</v>
      </c>
      <c r="S46" s="7">
        <v>1404.56152587</v>
      </c>
      <c r="T46" s="7">
        <v>1567.21283726</v>
      </c>
      <c r="U46" s="7">
        <v>1734.2334378600001</v>
      </c>
      <c r="V46" s="7">
        <v>1906.2074430299999</v>
      </c>
      <c r="W46" s="7">
        <v>2083.2674237000001</v>
      </c>
      <c r="X46" s="7">
        <v>2265.5491554099999</v>
      </c>
      <c r="Y46" s="7">
        <v>2453.1916602400001</v>
      </c>
      <c r="Z46" s="7">
        <v>2646.33724054</v>
      </c>
      <c r="AA46" s="7">
        <v>2845.2375188999999</v>
      </c>
      <c r="AB46" s="7">
        <v>3050.2379020899998</v>
      </c>
      <c r="AC46" s="7">
        <v>3258.25397931</v>
      </c>
    </row>
    <row r="47" spans="1:29" x14ac:dyDescent="0.85">
      <c r="A47" t="s">
        <v>145</v>
      </c>
      <c r="B47" s="7">
        <v>1</v>
      </c>
      <c r="C47" s="7">
        <v>1.0249999999999999</v>
      </c>
      <c r="D47" s="7">
        <v>1</v>
      </c>
      <c r="E47" s="7">
        <v>0.99999389999999999</v>
      </c>
      <c r="F47" s="7">
        <v>0.99997426</v>
      </c>
      <c r="G47" s="7">
        <v>1</v>
      </c>
      <c r="H47" s="7">
        <v>1</v>
      </c>
      <c r="I47" s="7">
        <v>1</v>
      </c>
      <c r="J47" s="7">
        <v>1.0000001000000001</v>
      </c>
      <c r="K47" s="7">
        <v>1.00031095</v>
      </c>
      <c r="L47" s="7">
        <v>1</v>
      </c>
      <c r="M47" s="7">
        <v>1</v>
      </c>
      <c r="N47" s="7">
        <v>1.29984758</v>
      </c>
      <c r="O47" s="7">
        <v>1.2513083300000001</v>
      </c>
      <c r="P47" s="7">
        <v>1.2154477299999999</v>
      </c>
      <c r="Q47" s="7">
        <v>1.18999513</v>
      </c>
      <c r="R47" s="7">
        <v>1.1709988</v>
      </c>
      <c r="S47" s="7">
        <v>1.15628234</v>
      </c>
      <c r="T47" s="7">
        <v>1.1444025099999999</v>
      </c>
      <c r="U47" s="7">
        <v>1.1349353799999999</v>
      </c>
      <c r="V47" s="7">
        <v>1.1273379800000001</v>
      </c>
      <c r="W47" s="7">
        <v>1.12089872</v>
      </c>
      <c r="X47" s="7">
        <v>1.11537256</v>
      </c>
      <c r="Y47" s="7">
        <v>1.1105790200000001</v>
      </c>
      <c r="Z47" s="7">
        <v>1.1063821700000001</v>
      </c>
      <c r="AA47" s="7">
        <v>1.10271881</v>
      </c>
      <c r="AB47" s="7">
        <v>1.0995288299999999</v>
      </c>
      <c r="AC47" s="7">
        <v>1.0955763300000001</v>
      </c>
    </row>
    <row r="48" spans="1:29" x14ac:dyDescent="0.85">
      <c r="A48" t="s">
        <v>146</v>
      </c>
      <c r="B48" s="7">
        <v>1</v>
      </c>
      <c r="C48" s="7">
        <v>1</v>
      </c>
      <c r="D48" s="7">
        <v>0.99999389999999999</v>
      </c>
      <c r="E48" s="7">
        <v>0.99997426</v>
      </c>
      <c r="F48" s="7">
        <v>1</v>
      </c>
      <c r="G48" s="7">
        <v>1</v>
      </c>
      <c r="H48" s="7">
        <v>1</v>
      </c>
      <c r="I48" s="7">
        <v>1.0000001000000001</v>
      </c>
      <c r="J48" s="7">
        <v>1.00031095</v>
      </c>
      <c r="K48" s="7">
        <v>1</v>
      </c>
      <c r="L48" s="7">
        <v>1</v>
      </c>
      <c r="M48" s="7">
        <v>1.3683410300000001</v>
      </c>
      <c r="N48" s="7">
        <v>1.29983852</v>
      </c>
      <c r="O48" s="7">
        <v>1.25131408</v>
      </c>
      <c r="P48" s="7">
        <v>1.21545773</v>
      </c>
      <c r="Q48" s="7">
        <v>1.1900051300000001</v>
      </c>
      <c r="R48" s="7">
        <v>1.1710088000000001</v>
      </c>
      <c r="S48" s="7">
        <v>1.15629234</v>
      </c>
      <c r="T48" s="7">
        <v>1.14441251</v>
      </c>
      <c r="U48" s="7">
        <v>1.13494538</v>
      </c>
      <c r="V48" s="7">
        <v>1.1273479799999999</v>
      </c>
      <c r="W48" s="7">
        <v>1.1209087200000001</v>
      </c>
      <c r="X48" s="7">
        <v>1.11538256</v>
      </c>
      <c r="Y48" s="7">
        <v>1.1105890199999999</v>
      </c>
      <c r="Z48" s="7">
        <v>1.1063921699999999</v>
      </c>
      <c r="AA48" s="7">
        <v>1.1027288099999999</v>
      </c>
      <c r="AB48" s="7">
        <v>1.09953883</v>
      </c>
      <c r="AC48" s="7">
        <v>1.0955863299999999</v>
      </c>
    </row>
    <row r="49" spans="1:29" x14ac:dyDescent="0.85">
      <c r="A49" t="s">
        <v>147</v>
      </c>
      <c r="B49" s="7">
        <v>1</v>
      </c>
      <c r="C49" s="7">
        <v>1.2269470499999999</v>
      </c>
      <c r="D49" s="7">
        <v>1.2344738</v>
      </c>
      <c r="E49" s="7">
        <v>1.2455996499999999</v>
      </c>
      <c r="F49" s="7">
        <v>1.25638557</v>
      </c>
      <c r="G49" s="7">
        <v>1.26819934</v>
      </c>
      <c r="H49" s="7">
        <v>1.28004356</v>
      </c>
      <c r="I49" s="7">
        <v>1.29198024</v>
      </c>
      <c r="J49" s="7">
        <v>1.31088217</v>
      </c>
      <c r="K49" s="7">
        <v>1.32795343</v>
      </c>
      <c r="L49" s="7">
        <v>1.3456948900000001</v>
      </c>
      <c r="M49" s="7">
        <v>1.3684199500000001</v>
      </c>
      <c r="N49" s="7">
        <v>1.2998575800000001</v>
      </c>
      <c r="O49" s="7">
        <v>1.2513183299999999</v>
      </c>
      <c r="P49" s="7">
        <v>1.21545773</v>
      </c>
      <c r="Q49" s="7">
        <v>1.1900051300000001</v>
      </c>
      <c r="R49" s="7">
        <v>1.1710088000000001</v>
      </c>
      <c r="S49" s="7">
        <v>1.15629234</v>
      </c>
      <c r="T49" s="7">
        <v>1.14441251</v>
      </c>
      <c r="U49" s="7">
        <v>1.13494538</v>
      </c>
      <c r="V49" s="7">
        <v>1.1273479799999999</v>
      </c>
      <c r="W49" s="7">
        <v>1.1209087200000001</v>
      </c>
      <c r="X49" s="7">
        <v>1.11538256</v>
      </c>
      <c r="Y49" s="7">
        <v>1.1105890199999999</v>
      </c>
      <c r="Z49" s="7">
        <v>1.1063921699999999</v>
      </c>
      <c r="AA49" s="7">
        <v>1.1027288099999999</v>
      </c>
      <c r="AB49" s="7">
        <v>1.09953883</v>
      </c>
      <c r="AC49" s="7">
        <v>1.0955863299999999</v>
      </c>
    </row>
    <row r="50" spans="1:29" x14ac:dyDescent="0.85">
      <c r="A50" t="s">
        <v>148</v>
      </c>
      <c r="B50" s="7">
        <v>29021</v>
      </c>
      <c r="C50" s="7">
        <v>30180.970918579998</v>
      </c>
      <c r="D50" s="7">
        <v>31192.099507409999</v>
      </c>
      <c r="E50" s="7">
        <v>31994.99331116</v>
      </c>
      <c r="F50" s="7">
        <v>32978.594442740003</v>
      </c>
      <c r="G50" s="7">
        <v>34374.851912550002</v>
      </c>
      <c r="H50" s="7">
        <v>35680.358179620001</v>
      </c>
      <c r="I50" s="7">
        <v>37767.399509440002</v>
      </c>
      <c r="J50" s="7">
        <v>39932.524506410002</v>
      </c>
      <c r="K50" s="7">
        <v>42148.446531230002</v>
      </c>
      <c r="L50" s="7">
        <v>44412.434806010002</v>
      </c>
      <c r="M50" s="7">
        <v>46765.516321529998</v>
      </c>
      <c r="N50" s="7">
        <v>47472.185697150002</v>
      </c>
      <c r="O50" s="7">
        <v>46906.3072474</v>
      </c>
      <c r="P50" s="7">
        <v>46318.659012509997</v>
      </c>
      <c r="Q50" s="7">
        <v>45708.568203700001</v>
      </c>
      <c r="R50" s="7">
        <v>45075.311829879996</v>
      </c>
      <c r="S50" s="7">
        <v>44311.177325589997</v>
      </c>
      <c r="T50" s="7">
        <v>43695.558262270002</v>
      </c>
      <c r="U50" s="7">
        <v>43306.973022320002</v>
      </c>
      <c r="V50" s="7">
        <v>42892.25375725</v>
      </c>
      <c r="W50" s="7">
        <v>42450.757869779998</v>
      </c>
      <c r="X50" s="7">
        <v>41981.802775830001</v>
      </c>
      <c r="Y50" s="7">
        <v>41484.667210560001</v>
      </c>
      <c r="Z50" s="7">
        <v>41015.247629589998</v>
      </c>
      <c r="AA50" s="7">
        <v>40618.922825579997</v>
      </c>
      <c r="AB50" s="7">
        <v>40282.210556099999</v>
      </c>
      <c r="AC50" s="7">
        <v>39982.427287769999</v>
      </c>
    </row>
    <row r="51" spans="1:29" x14ac:dyDescent="0.85">
      <c r="A51" t="s">
        <v>149</v>
      </c>
      <c r="B51" s="7">
        <v>128767840.25</v>
      </c>
      <c r="C51" s="7">
        <v>136097255.06104499</v>
      </c>
      <c r="D51" s="7">
        <v>142152454.88431501</v>
      </c>
      <c r="E51" s="7">
        <v>147841359.243496</v>
      </c>
      <c r="F51" s="7">
        <v>153689441.779268</v>
      </c>
      <c r="G51" s="7">
        <v>160985981.890977</v>
      </c>
      <c r="H51" s="7">
        <v>167810766.91067499</v>
      </c>
      <c r="I51" s="7">
        <v>177702914.573908</v>
      </c>
      <c r="J51" s="7">
        <v>188420194.80871201</v>
      </c>
      <c r="K51" s="7">
        <v>199409509.50774801</v>
      </c>
      <c r="L51" s="7">
        <v>209614516.52854601</v>
      </c>
      <c r="M51" s="7">
        <v>213181371.29842901</v>
      </c>
      <c r="N51" s="7">
        <v>208495415.06451499</v>
      </c>
      <c r="O51" s="7">
        <v>198414980.45243499</v>
      </c>
      <c r="P51" s="7">
        <v>188042951.96656001</v>
      </c>
      <c r="Q51" s="7">
        <v>177371085.44800901</v>
      </c>
      <c r="R51" s="7">
        <v>166398795.016572</v>
      </c>
      <c r="S51" s="7">
        <v>155147143.50251201</v>
      </c>
      <c r="T51" s="7">
        <v>143697393.49276301</v>
      </c>
      <c r="U51" s="7">
        <v>132112647.410864</v>
      </c>
      <c r="V51" s="7">
        <v>120436232.356951</v>
      </c>
      <c r="W51" s="7">
        <v>108821755.245013</v>
      </c>
      <c r="X51" s="7">
        <v>97376695.697180301</v>
      </c>
      <c r="Y51" s="7">
        <v>86234567.011502206</v>
      </c>
      <c r="Z51" s="7">
        <v>75546714.361291796</v>
      </c>
      <c r="AA51" s="7">
        <v>65397678.386611998</v>
      </c>
      <c r="AB51" s="7">
        <v>57169528.031619601</v>
      </c>
      <c r="AC51" s="7">
        <v>50118546.188502401</v>
      </c>
    </row>
    <row r="52" spans="1:29" x14ac:dyDescent="0.85">
      <c r="A52" t="s">
        <v>150</v>
      </c>
      <c r="B52" s="7">
        <v>128767840.25</v>
      </c>
      <c r="C52" s="7">
        <v>136097255.06104499</v>
      </c>
      <c r="D52" s="7">
        <v>142152454.88431501</v>
      </c>
      <c r="E52" s="7">
        <v>147841359.243496</v>
      </c>
      <c r="F52" s="7">
        <v>153689441.779268</v>
      </c>
      <c r="G52" s="7">
        <v>160985981.890977</v>
      </c>
      <c r="H52" s="7">
        <v>167810766.91067499</v>
      </c>
      <c r="I52" s="7">
        <v>177702914.573908</v>
      </c>
      <c r="J52" s="7">
        <v>188420194.80871201</v>
      </c>
      <c r="K52" s="7">
        <v>199409509.50774801</v>
      </c>
      <c r="L52" s="7">
        <v>209614516.52854601</v>
      </c>
      <c r="M52" s="7">
        <v>213181371.29842901</v>
      </c>
      <c r="N52" s="7">
        <v>208495415.06451499</v>
      </c>
      <c r="O52" s="7">
        <v>198414980.45243499</v>
      </c>
      <c r="P52" s="7">
        <v>188042951.96656001</v>
      </c>
      <c r="Q52" s="7">
        <v>177371085.44800901</v>
      </c>
      <c r="R52" s="7">
        <v>166398795.016572</v>
      </c>
      <c r="S52" s="7">
        <v>155147143.50251201</v>
      </c>
      <c r="T52" s="7">
        <v>143697393.49276301</v>
      </c>
      <c r="U52" s="7">
        <v>132112647.410864</v>
      </c>
      <c r="V52" s="7">
        <v>120436232.356951</v>
      </c>
      <c r="W52" s="7">
        <v>108821755.245013</v>
      </c>
      <c r="X52" s="7">
        <v>97376695.697180301</v>
      </c>
      <c r="Y52" s="7">
        <v>86234567.011502206</v>
      </c>
      <c r="Z52" s="7">
        <v>75546714.361291796</v>
      </c>
      <c r="AA52" s="7">
        <v>65397678.386611998</v>
      </c>
      <c r="AB52" s="7">
        <v>57169528.031619601</v>
      </c>
      <c r="AC52" s="7">
        <v>50118546.188502401</v>
      </c>
    </row>
    <row r="53" spans="1:29" x14ac:dyDescent="0.85">
      <c r="A53" t="s">
        <v>151</v>
      </c>
      <c r="B53" s="7">
        <v>8645.4189623900002</v>
      </c>
      <c r="C53" s="7">
        <v>9044.2312193500002</v>
      </c>
      <c r="D53" s="7">
        <v>9383.7264726600006</v>
      </c>
      <c r="E53" s="7">
        <v>9674.7948937700003</v>
      </c>
      <c r="F53" s="7">
        <v>10004.016234029999</v>
      </c>
      <c r="G53" s="7">
        <v>10446.835251320001</v>
      </c>
      <c r="H53" s="7">
        <v>10860.933570089999</v>
      </c>
      <c r="I53" s="7">
        <v>11498.084263729999</v>
      </c>
      <c r="J53" s="7">
        <v>12170.175820590001</v>
      </c>
      <c r="K53" s="7">
        <v>12858.53806386</v>
      </c>
      <c r="L53" s="7">
        <v>13536.87838607</v>
      </c>
      <c r="M53" s="7">
        <v>14070.14325508</v>
      </c>
      <c r="N53" s="7">
        <v>14089.81727207</v>
      </c>
      <c r="O53" s="7">
        <v>13736.54262446</v>
      </c>
      <c r="P53" s="7">
        <v>13372.02470838</v>
      </c>
      <c r="Q53" s="7">
        <v>12995.93478003</v>
      </c>
      <c r="R53" s="7">
        <v>12608.121437379999</v>
      </c>
      <c r="S53" s="7">
        <v>12188.67222074</v>
      </c>
      <c r="T53" s="7">
        <v>11792.553568220001</v>
      </c>
      <c r="U53" s="7">
        <v>11436.195245970001</v>
      </c>
      <c r="V53" s="7">
        <v>11072.644197199999</v>
      </c>
      <c r="W53" s="7">
        <v>10705.526569789999</v>
      </c>
      <c r="X53" s="7">
        <v>10337.33542263</v>
      </c>
      <c r="Y53" s="7">
        <v>9971.1917010100005</v>
      </c>
      <c r="Z53" s="7">
        <v>9621.3883177900007</v>
      </c>
      <c r="AA53" s="7">
        <v>9298.5936068999999</v>
      </c>
      <c r="AB53" s="7">
        <v>9033.9733054299995</v>
      </c>
      <c r="AC53" s="7">
        <v>8805.0790566399992</v>
      </c>
    </row>
    <row r="54" spans="1:29" x14ac:dyDescent="0.85">
      <c r="A54" t="s">
        <v>152</v>
      </c>
      <c r="B54" s="7">
        <v>0</v>
      </c>
      <c r="C54" s="7">
        <v>1333.7530996</v>
      </c>
      <c r="D54" s="7">
        <v>2786.1881157299999</v>
      </c>
      <c r="E54" s="7">
        <v>4346.5359617599997</v>
      </c>
      <c r="F54" s="7">
        <v>6024.62611775</v>
      </c>
      <c r="G54" s="7">
        <v>7888.3131126600001</v>
      </c>
      <c r="H54" s="7">
        <v>9867.2730943499992</v>
      </c>
      <c r="I54" s="7">
        <v>12190.419939769999</v>
      </c>
      <c r="J54" s="7">
        <v>14772.143273</v>
      </c>
      <c r="K54" s="7">
        <v>17587.91873858</v>
      </c>
      <c r="L54" s="7">
        <v>20542.222619799999</v>
      </c>
      <c r="M54" s="7">
        <v>22980.951825970002</v>
      </c>
      <c r="N54" s="7">
        <v>24519.06081159</v>
      </c>
      <c r="O54" s="7">
        <v>25278.068509640001</v>
      </c>
      <c r="P54" s="7">
        <v>25799.493009810001</v>
      </c>
      <c r="Q54" s="7">
        <v>26073.549560859999</v>
      </c>
      <c r="R54" s="7">
        <v>26091.331058600001</v>
      </c>
      <c r="S54" s="7">
        <v>25847.514107520001</v>
      </c>
      <c r="T54" s="7">
        <v>25348.220212119999</v>
      </c>
      <c r="U54" s="7">
        <v>24599.3749479</v>
      </c>
      <c r="V54" s="7">
        <v>23605.501541959999</v>
      </c>
      <c r="W54" s="7">
        <v>22395.517229419998</v>
      </c>
      <c r="X54" s="7">
        <v>20994.415592310001</v>
      </c>
      <c r="Y54" s="7">
        <v>19437.271404390001</v>
      </c>
      <c r="Z54" s="7">
        <v>17768.587217780001</v>
      </c>
      <c r="AA54" s="7">
        <v>16022.43120472</v>
      </c>
      <c r="AB54" s="7">
        <v>14566.795742460001</v>
      </c>
      <c r="AC54" s="7">
        <v>13261.36732148</v>
      </c>
    </row>
    <row r="55" spans="1:29" x14ac:dyDescent="0.85">
      <c r="A55" t="s">
        <v>153</v>
      </c>
      <c r="B55" s="7">
        <v>63.096241720000002</v>
      </c>
      <c r="C55" s="7">
        <v>66.687654980000005</v>
      </c>
      <c r="D55" s="7">
        <v>69.654702889999996</v>
      </c>
      <c r="E55" s="7">
        <v>72.442266029999999</v>
      </c>
      <c r="F55" s="7">
        <v>75.307826469999995</v>
      </c>
      <c r="G55" s="7">
        <v>78.883131129999995</v>
      </c>
      <c r="H55" s="7">
        <v>82.227275789999993</v>
      </c>
      <c r="I55" s="7">
        <v>87.074428139999995</v>
      </c>
      <c r="J55" s="7">
        <v>92.325895459999998</v>
      </c>
      <c r="K55" s="7">
        <v>97.710659660000005</v>
      </c>
      <c r="L55" s="7">
        <v>102.71111310000001</v>
      </c>
      <c r="M55" s="7">
        <v>104.45887193999999</v>
      </c>
      <c r="N55" s="7">
        <v>102.16275338</v>
      </c>
      <c r="O55" s="7">
        <v>97.22334042</v>
      </c>
      <c r="P55" s="7">
        <v>92.141046459999998</v>
      </c>
      <c r="Q55" s="7">
        <v>86.91183187</v>
      </c>
      <c r="R55" s="7">
        <v>81.535409560000005</v>
      </c>
      <c r="S55" s="7">
        <v>76.022100320000007</v>
      </c>
      <c r="T55" s="7">
        <v>70.411722810000001</v>
      </c>
      <c r="U55" s="7">
        <v>64.735197229999997</v>
      </c>
      <c r="V55" s="7">
        <v>59.013753850000001</v>
      </c>
      <c r="W55" s="7">
        <v>53.322660069999998</v>
      </c>
      <c r="X55" s="7">
        <v>47.714580890000001</v>
      </c>
      <c r="Y55" s="7">
        <v>42.254937839999997</v>
      </c>
      <c r="Z55" s="7">
        <v>37.017890039999997</v>
      </c>
      <c r="AA55" s="7">
        <v>32.04486241</v>
      </c>
      <c r="AB55" s="7">
        <v>28.013068740000001</v>
      </c>
      <c r="AC55" s="7">
        <v>24.558087629999999</v>
      </c>
    </row>
    <row r="56" spans="1:29" x14ac:dyDescent="0.85">
      <c r="A56" t="s">
        <v>154</v>
      </c>
      <c r="B56" s="7">
        <v>5503.4836602900004</v>
      </c>
      <c r="C56" s="7">
        <v>5723.4581958600002</v>
      </c>
      <c r="D56" s="7">
        <v>5915.2065734799999</v>
      </c>
      <c r="E56" s="7">
        <v>6067.4657282300004</v>
      </c>
      <c r="F56" s="7">
        <v>6253.9938546200001</v>
      </c>
      <c r="G56" s="7">
        <v>6518.77729318</v>
      </c>
      <c r="H56" s="7">
        <v>6766.3508574699999</v>
      </c>
      <c r="I56" s="7">
        <v>7162.1331481200004</v>
      </c>
      <c r="J56" s="7">
        <v>7572.7230672599999</v>
      </c>
      <c r="K56" s="7">
        <v>7992.9460318700003</v>
      </c>
      <c r="L56" s="7">
        <v>8422.2841827800003</v>
      </c>
      <c r="M56" s="7">
        <v>8868.5177953999992</v>
      </c>
      <c r="N56" s="7">
        <v>9002.5291444899995</v>
      </c>
      <c r="O56" s="7">
        <v>8895.2171014199994</v>
      </c>
      <c r="P56" s="7">
        <v>8783.7766803899995</v>
      </c>
      <c r="Q56" s="7">
        <v>8668.0802951000005</v>
      </c>
      <c r="R56" s="7">
        <v>8547.9908389800003</v>
      </c>
      <c r="S56" s="7">
        <v>8403.0819192800009</v>
      </c>
      <c r="T56" s="7">
        <v>8286.3371669999997</v>
      </c>
      <c r="U56" s="7">
        <v>8212.6466491400006</v>
      </c>
      <c r="V56" s="7">
        <v>8134.0001277000001</v>
      </c>
      <c r="W56" s="7">
        <v>8050.27574181</v>
      </c>
      <c r="X56" s="7">
        <v>7961.3440476200003</v>
      </c>
      <c r="Y56" s="7">
        <v>7867.0682659300001</v>
      </c>
      <c r="Z56" s="7">
        <v>7778.0484873699997</v>
      </c>
      <c r="AA56" s="7">
        <v>7702.8902542599999</v>
      </c>
      <c r="AB56" s="7">
        <v>7639.0368214600003</v>
      </c>
      <c r="AC56" s="7">
        <v>7582.1865296400001</v>
      </c>
    </row>
    <row r="57" spans="1:29" x14ac:dyDescent="0.85">
      <c r="A57" t="s">
        <v>155</v>
      </c>
      <c r="B57" s="7">
        <v>3141.9353021000002</v>
      </c>
      <c r="C57" s="7">
        <v>3320.77302349</v>
      </c>
      <c r="D57" s="7">
        <v>3468.5198991799998</v>
      </c>
      <c r="E57" s="7">
        <v>3607.3291655399998</v>
      </c>
      <c r="F57" s="7">
        <v>3750.0223794100002</v>
      </c>
      <c r="G57" s="7">
        <v>3928.0579581400002</v>
      </c>
      <c r="H57" s="7">
        <v>4094.5827126200002</v>
      </c>
      <c r="I57" s="7">
        <v>4335.9511155999999</v>
      </c>
      <c r="J57" s="7">
        <v>4597.4527533299997</v>
      </c>
      <c r="K57" s="7">
        <v>4865.5920319899997</v>
      </c>
      <c r="L57" s="7">
        <v>5114.5942033000001</v>
      </c>
      <c r="M57" s="7">
        <v>5201.6254596799999</v>
      </c>
      <c r="N57" s="7">
        <v>5087.2881275700001</v>
      </c>
      <c r="O57" s="7">
        <v>4841.32552304</v>
      </c>
      <c r="P57" s="7">
        <v>4588.2480279800002</v>
      </c>
      <c r="Q57" s="7">
        <v>4327.8544849299997</v>
      </c>
      <c r="R57" s="7">
        <v>4060.1305984000001</v>
      </c>
      <c r="S57" s="7">
        <v>3785.5903014599999</v>
      </c>
      <c r="T57" s="7">
        <v>3506.2164012200001</v>
      </c>
      <c r="U57" s="7">
        <v>3223.54859683</v>
      </c>
      <c r="V57" s="7">
        <v>2938.64406951</v>
      </c>
      <c r="W57" s="7">
        <v>2655.2508279799999</v>
      </c>
      <c r="X57" s="7">
        <v>2375.99137501</v>
      </c>
      <c r="Y57" s="7">
        <v>2104.12343508</v>
      </c>
      <c r="Z57" s="7">
        <v>1843.33983042</v>
      </c>
      <c r="AA57" s="7">
        <v>1595.7033526299999</v>
      </c>
      <c r="AB57" s="7">
        <v>1394.9364839699999</v>
      </c>
      <c r="AC57" s="7">
        <v>1222.892527</v>
      </c>
    </row>
    <row r="58" spans="1:29" x14ac:dyDescent="0.85">
      <c r="A58" t="s">
        <v>156</v>
      </c>
      <c r="B58" s="7">
        <v>1</v>
      </c>
      <c r="C58" s="7">
        <v>1.04</v>
      </c>
      <c r="D58" s="7">
        <v>1.08330214</v>
      </c>
      <c r="E58" s="7">
        <v>1.07656478</v>
      </c>
      <c r="F58" s="7">
        <v>1.06847947</v>
      </c>
      <c r="G58" s="7">
        <v>1.07368994</v>
      </c>
      <c r="H58" s="7">
        <v>1.0857690600000001</v>
      </c>
      <c r="I58" s="7">
        <v>1.0812276300000001</v>
      </c>
      <c r="J58" s="7">
        <v>1.10137321</v>
      </c>
      <c r="K58" s="7">
        <v>1.0994653999999999</v>
      </c>
      <c r="L58" s="7">
        <v>1.0976340899999999</v>
      </c>
      <c r="M58" s="7">
        <v>1.09684676</v>
      </c>
      <c r="N58" s="7">
        <v>1.0968567600000001</v>
      </c>
      <c r="O58" s="7">
        <v>1.0574071899999999</v>
      </c>
      <c r="P58" s="7">
        <v>1.02924978</v>
      </c>
      <c r="Q58" s="7">
        <v>1.0286165300000001</v>
      </c>
      <c r="R58" s="7">
        <v>1.0279462500000001</v>
      </c>
      <c r="S58" s="7">
        <v>1.0272351900000001</v>
      </c>
      <c r="T58" s="7">
        <v>1.0240079200000001</v>
      </c>
      <c r="U58" s="7">
        <v>1.0271946999999999</v>
      </c>
      <c r="V58" s="7">
        <v>1.03240311</v>
      </c>
      <c r="W58" s="7">
        <v>1.03169139</v>
      </c>
      <c r="X58" s="7">
        <v>1.0309446499999999</v>
      </c>
      <c r="Y58" s="7">
        <v>1.03015934</v>
      </c>
      <c r="Z58" s="7">
        <v>1.0293315700000001</v>
      </c>
      <c r="AA58" s="7">
        <v>1.02987969</v>
      </c>
      <c r="AB58" s="7">
        <v>1.03160118</v>
      </c>
      <c r="AC58" s="7">
        <v>1.03303173</v>
      </c>
    </row>
    <row r="59" spans="1:29" x14ac:dyDescent="0.85">
      <c r="A59" t="s">
        <v>157</v>
      </c>
      <c r="B59" s="7">
        <v>1</v>
      </c>
      <c r="C59" s="7">
        <v>1.08330214</v>
      </c>
      <c r="D59" s="7">
        <v>1.07656478</v>
      </c>
      <c r="E59" s="7">
        <v>1.06847947</v>
      </c>
      <c r="F59" s="7">
        <v>1.07368994</v>
      </c>
      <c r="G59" s="7">
        <v>1.0857690600000001</v>
      </c>
      <c r="H59" s="7">
        <v>1.0812276300000001</v>
      </c>
      <c r="I59" s="7">
        <v>1.1025965900000001</v>
      </c>
      <c r="J59" s="7">
        <v>1.1013832100000001</v>
      </c>
      <c r="K59" s="7">
        <v>1.0994704799999999</v>
      </c>
      <c r="L59" s="7">
        <v>1.0976194100000001</v>
      </c>
      <c r="M59" s="7">
        <v>1.0968567600000001</v>
      </c>
      <c r="N59" s="7">
        <v>1.0574071899999999</v>
      </c>
      <c r="O59" s="7">
        <v>1.02924978</v>
      </c>
      <c r="P59" s="7">
        <v>1.0286165300000001</v>
      </c>
      <c r="Q59" s="7">
        <v>1.0279462500000001</v>
      </c>
      <c r="R59" s="7">
        <v>1.0272351900000001</v>
      </c>
      <c r="S59" s="7">
        <v>1.0240079200000001</v>
      </c>
      <c r="T59" s="7">
        <v>1.0271946999999999</v>
      </c>
      <c r="U59" s="7">
        <v>1.03240311</v>
      </c>
      <c r="V59" s="7">
        <v>1.03169139</v>
      </c>
      <c r="W59" s="7">
        <v>1.0309446499999999</v>
      </c>
      <c r="X59" s="7">
        <v>1.03015934</v>
      </c>
      <c r="Y59" s="7">
        <v>1.0293315700000001</v>
      </c>
      <c r="Z59" s="7">
        <v>1.02987969</v>
      </c>
      <c r="AA59" s="7">
        <v>1.03160118</v>
      </c>
      <c r="AB59" s="7">
        <v>1.03303173</v>
      </c>
      <c r="AC59" s="7">
        <v>1.0339145000000001</v>
      </c>
    </row>
    <row r="60" spans="1:29" x14ac:dyDescent="0.85">
      <c r="A60" t="s">
        <v>158</v>
      </c>
      <c r="B60" s="7">
        <v>1</v>
      </c>
      <c r="C60" s="7">
        <v>1.10995997</v>
      </c>
      <c r="D60" s="7">
        <v>1.1074073799999999</v>
      </c>
      <c r="E60" s="7">
        <v>1.1067372200000001</v>
      </c>
      <c r="F60" s="7">
        <v>1.10638836</v>
      </c>
      <c r="G60" s="7">
        <v>1.1058004100000001</v>
      </c>
      <c r="H60" s="7">
        <v>1.10408738</v>
      </c>
      <c r="I60" s="7">
        <v>1.10261108</v>
      </c>
      <c r="J60" s="7">
        <v>1.1013832100000001</v>
      </c>
      <c r="K60" s="7">
        <v>1.0994754</v>
      </c>
      <c r="L60" s="7">
        <v>1.09764409</v>
      </c>
      <c r="M60" s="7">
        <v>1.0968567600000001</v>
      </c>
      <c r="N60" s="7">
        <v>1.0982157100000001</v>
      </c>
      <c r="O60" s="7">
        <v>1.10071374</v>
      </c>
      <c r="P60" s="7">
        <v>1.1042110700000001</v>
      </c>
      <c r="Q60" s="7">
        <v>1.1079018700000001</v>
      </c>
      <c r="R60" s="7">
        <v>1.1118015800000001</v>
      </c>
      <c r="S60" s="7">
        <v>1.1159274699999999</v>
      </c>
      <c r="T60" s="7">
        <v>1.12042303</v>
      </c>
      <c r="U60" s="7">
        <v>1.12498421</v>
      </c>
      <c r="V60" s="7">
        <v>1.12946755</v>
      </c>
      <c r="W60" s="7">
        <v>1.1341988599999999</v>
      </c>
      <c r="X60" s="7">
        <v>1.1391983800000001</v>
      </c>
      <c r="Y60" s="7">
        <v>1.14448865</v>
      </c>
      <c r="Z60" s="7">
        <v>1.15009484</v>
      </c>
      <c r="AA60" s="7">
        <v>1.15592472</v>
      </c>
      <c r="AB60" s="7">
        <v>1.16187671</v>
      </c>
      <c r="AC60" s="7">
        <v>1.1657489700000001</v>
      </c>
    </row>
    <row r="61" spans="1:29" x14ac:dyDescent="0.85">
      <c r="A61" t="s">
        <v>159</v>
      </c>
      <c r="B61" s="7">
        <v>13515</v>
      </c>
      <c r="C61" s="7">
        <v>13177.125</v>
      </c>
      <c r="D61" s="7">
        <v>12847.696875</v>
      </c>
      <c r="E61" s="7">
        <v>12526.50445312</v>
      </c>
      <c r="F61" s="7">
        <v>12213.3418418</v>
      </c>
      <c r="G61" s="7">
        <v>11908.00829575</v>
      </c>
      <c r="H61" s="7">
        <v>11610.30808836</v>
      </c>
      <c r="I61" s="7">
        <v>11320.05038615</v>
      </c>
      <c r="J61" s="7">
        <v>11037.0491265</v>
      </c>
      <c r="K61" s="7">
        <v>10761.122898330001</v>
      </c>
      <c r="L61" s="7">
        <v>10492.094825869999</v>
      </c>
      <c r="M61" s="7">
        <v>10229.792455229999</v>
      </c>
      <c r="N61" s="7">
        <v>9974.0476438500009</v>
      </c>
      <c r="O61" s="7">
        <v>9724.6964527500004</v>
      </c>
      <c r="P61" s="7">
        <v>9481.5790414300009</v>
      </c>
      <c r="Q61" s="7">
        <v>9244.5395654000004</v>
      </c>
      <c r="R61" s="7">
        <v>9013.4260762600006</v>
      </c>
      <c r="S61" s="7">
        <v>8788.0904243500008</v>
      </c>
      <c r="T61" s="7">
        <v>8568.3881637499999</v>
      </c>
      <c r="U61" s="7">
        <v>8354.1784596500001</v>
      </c>
      <c r="V61" s="7">
        <v>8145.32399816</v>
      </c>
      <c r="W61" s="7">
        <v>7941.6908982100003</v>
      </c>
      <c r="X61" s="7">
        <v>7743.1486257500001</v>
      </c>
      <c r="Y61" s="7">
        <v>7549.5699101099999</v>
      </c>
      <c r="Z61" s="7">
        <v>7360.8306623600001</v>
      </c>
      <c r="AA61" s="7">
        <v>7176.8098958</v>
      </c>
      <c r="AB61" s="7">
        <v>6997.3896483999997</v>
      </c>
      <c r="AC61" s="7">
        <v>6822.4549071900001</v>
      </c>
    </row>
    <row r="62" spans="1:29" x14ac:dyDescent="0.85">
      <c r="A62" t="s">
        <v>160</v>
      </c>
      <c r="B62" s="7">
        <v>43769271</v>
      </c>
      <c r="C62" s="7">
        <v>42675039.198283702</v>
      </c>
      <c r="D62" s="7">
        <v>41228142.9674045</v>
      </c>
      <c r="E62" s="7">
        <v>40197439.290842697</v>
      </c>
      <c r="F62" s="7">
        <v>39162386.312065698</v>
      </c>
      <c r="G62" s="7">
        <v>37673088.047126099</v>
      </c>
      <c r="H62" s="7">
        <v>36731260.743452698</v>
      </c>
      <c r="I62" s="7">
        <v>31709002.6501364</v>
      </c>
      <c r="J62" s="7">
        <v>27034731.8814651</v>
      </c>
      <c r="K62" s="7">
        <v>22332472.0997945</v>
      </c>
      <c r="L62" s="7">
        <v>17090812.332197599</v>
      </c>
      <c r="M62" s="7">
        <v>4851154.6247283798</v>
      </c>
      <c r="N62" s="7">
        <v>0.62408903999999998</v>
      </c>
      <c r="O62" s="7">
        <v>8.9999999999999999E-8</v>
      </c>
      <c r="P62" s="7">
        <v>0</v>
      </c>
      <c r="Q62" s="7">
        <v>0</v>
      </c>
      <c r="R62" s="7">
        <v>0</v>
      </c>
      <c r="S62" s="7">
        <v>0</v>
      </c>
      <c r="T62" s="7">
        <v>0</v>
      </c>
      <c r="U62" s="7">
        <v>0</v>
      </c>
      <c r="V62" s="7">
        <v>0</v>
      </c>
      <c r="W62" s="7">
        <v>0</v>
      </c>
      <c r="X62" s="7">
        <v>0</v>
      </c>
      <c r="Y62" s="7">
        <v>0</v>
      </c>
      <c r="Z62" s="7">
        <v>0</v>
      </c>
      <c r="AA62" s="7">
        <v>0</v>
      </c>
      <c r="AB62" s="7">
        <v>0</v>
      </c>
      <c r="AC62" s="7">
        <v>0</v>
      </c>
    </row>
    <row r="63" spans="1:29" x14ac:dyDescent="0.85">
      <c r="A63" t="s">
        <v>161</v>
      </c>
      <c r="B63" s="7">
        <v>43769271</v>
      </c>
      <c r="C63" s="7">
        <v>42675039.198283702</v>
      </c>
      <c r="D63" s="7">
        <v>41228142.9674045</v>
      </c>
      <c r="E63" s="7">
        <v>40197439.290842697</v>
      </c>
      <c r="F63" s="7">
        <v>39162386.312065698</v>
      </c>
      <c r="G63" s="7">
        <v>37673088.047126099</v>
      </c>
      <c r="H63" s="7">
        <v>36731260.743452698</v>
      </c>
      <c r="I63" s="7">
        <v>31709002.6501364</v>
      </c>
      <c r="J63" s="7">
        <v>27034731.8814651</v>
      </c>
      <c r="K63" s="7">
        <v>22332472.0997945</v>
      </c>
      <c r="L63" s="7">
        <v>17090812.332197599</v>
      </c>
      <c r="M63" s="7">
        <v>4851154.6247283798</v>
      </c>
      <c r="N63" s="7">
        <v>0.62408903999999998</v>
      </c>
      <c r="O63" s="7">
        <v>8.9999999999999999E-8</v>
      </c>
      <c r="P63" s="7">
        <v>0</v>
      </c>
      <c r="Q63" s="7">
        <v>0</v>
      </c>
      <c r="R63" s="7">
        <v>0</v>
      </c>
      <c r="S63" s="7">
        <v>0</v>
      </c>
      <c r="T63" s="7">
        <v>0</v>
      </c>
      <c r="U63" s="7">
        <v>0</v>
      </c>
      <c r="V63" s="7">
        <v>0</v>
      </c>
      <c r="W63" s="7">
        <v>0</v>
      </c>
      <c r="X63" s="7">
        <v>0</v>
      </c>
      <c r="Y63" s="7">
        <v>0</v>
      </c>
      <c r="Z63" s="7">
        <v>0</v>
      </c>
      <c r="AA63" s="7">
        <v>0</v>
      </c>
      <c r="AB63" s="7">
        <v>0</v>
      </c>
      <c r="AC63" s="7">
        <v>0</v>
      </c>
    </row>
    <row r="64" spans="1:29" x14ac:dyDescent="0.85">
      <c r="A64" t="s">
        <v>162</v>
      </c>
      <c r="B64" s="7">
        <v>9108.5127685700008</v>
      </c>
      <c r="C64" s="7">
        <v>8880.7999487399993</v>
      </c>
      <c r="D64" s="7">
        <v>8649.9330785799993</v>
      </c>
      <c r="E64" s="7">
        <v>8433.6847492300003</v>
      </c>
      <c r="F64" s="7">
        <v>8222.1415068200004</v>
      </c>
      <c r="G64" s="7">
        <v>8004.7096143700001</v>
      </c>
      <c r="H64" s="7">
        <v>7804.5918716300002</v>
      </c>
      <c r="I64" s="7">
        <v>7513.9365001799997</v>
      </c>
      <c r="J64" s="7">
        <v>7235.7257037199997</v>
      </c>
      <c r="K64" s="7">
        <v>6961.0981673699998</v>
      </c>
      <c r="L64" s="7">
        <v>6678.0423725500004</v>
      </c>
      <c r="M64" s="7">
        <v>6236.0989345899998</v>
      </c>
      <c r="N64" s="7">
        <v>5970.0849680800002</v>
      </c>
      <c r="O64" s="7">
        <v>5820.8328297099997</v>
      </c>
      <c r="P64" s="7">
        <v>5675.3120089699996</v>
      </c>
      <c r="Q64" s="7">
        <v>5533.4292087499998</v>
      </c>
      <c r="R64" s="7">
        <v>5395.0934785299996</v>
      </c>
      <c r="S64" s="7">
        <v>5260.2161415600003</v>
      </c>
      <c r="T64" s="7">
        <v>5128.7107380199996</v>
      </c>
      <c r="U64" s="7">
        <v>5000.4929695700002</v>
      </c>
      <c r="V64" s="7">
        <v>4875.4806453299998</v>
      </c>
      <c r="W64" s="7">
        <v>4753.5936291999997</v>
      </c>
      <c r="X64" s="7">
        <v>4634.7537884699996</v>
      </c>
      <c r="Y64" s="7">
        <v>4518.8849437600002</v>
      </c>
      <c r="Z64" s="7">
        <v>4405.9128201699996</v>
      </c>
      <c r="AA64" s="7">
        <v>4295.7649996600003</v>
      </c>
      <c r="AB64" s="7">
        <v>4188.3708746700004</v>
      </c>
      <c r="AC64" s="7">
        <v>4083.6616027999999</v>
      </c>
    </row>
    <row r="65" spans="1:29" x14ac:dyDescent="0.85">
      <c r="A65" t="s">
        <v>163</v>
      </c>
      <c r="B65" s="7">
        <v>0</v>
      </c>
      <c r="C65" s="7">
        <v>699.87064284999997</v>
      </c>
      <c r="D65" s="7">
        <v>1352.2830893299999</v>
      </c>
      <c r="E65" s="7">
        <v>1977.71401311</v>
      </c>
      <c r="F65" s="7">
        <v>2569.0525420700001</v>
      </c>
      <c r="G65" s="7">
        <v>3089.1932198600002</v>
      </c>
      <c r="H65" s="7">
        <v>3614.3560571600001</v>
      </c>
      <c r="I65" s="7">
        <v>3640.19350424</v>
      </c>
      <c r="J65" s="7">
        <v>3546.9568228500002</v>
      </c>
      <c r="K65" s="7">
        <v>3296.27288193</v>
      </c>
      <c r="L65" s="7">
        <v>2802.8932224800001</v>
      </c>
      <c r="M65" s="7">
        <v>875.14829429999998</v>
      </c>
      <c r="N65" s="7">
        <v>1.2281999999999999E-4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v>0</v>
      </c>
      <c r="W65" s="7">
        <v>0</v>
      </c>
      <c r="X65" s="7">
        <v>0</v>
      </c>
      <c r="Y65" s="7">
        <v>0</v>
      </c>
      <c r="Z65" s="7">
        <v>0</v>
      </c>
      <c r="AA65" s="7">
        <v>0</v>
      </c>
      <c r="AB65" s="7">
        <v>0</v>
      </c>
      <c r="AC65" s="7">
        <v>0</v>
      </c>
    </row>
    <row r="66" spans="1:29" x14ac:dyDescent="0.85">
      <c r="A66" t="s">
        <v>164</v>
      </c>
      <c r="B66" s="7">
        <v>35.890802219999998</v>
      </c>
      <c r="C66" s="7">
        <v>34.993532139999999</v>
      </c>
      <c r="D66" s="7">
        <v>33.807077229999997</v>
      </c>
      <c r="E66" s="7">
        <v>32.961900219999997</v>
      </c>
      <c r="F66" s="7">
        <v>32.113156779999997</v>
      </c>
      <c r="G66" s="7">
        <v>30.891932199999999</v>
      </c>
      <c r="H66" s="7">
        <v>30.11963381</v>
      </c>
      <c r="I66" s="7">
        <v>26.001382169999999</v>
      </c>
      <c r="J66" s="7">
        <v>22.16848014</v>
      </c>
      <c r="K66" s="7">
        <v>18.312627119999998</v>
      </c>
      <c r="L66" s="7">
        <v>14.014466110000001</v>
      </c>
      <c r="M66" s="7">
        <v>3.9779467899999998</v>
      </c>
      <c r="N66" s="7">
        <v>5.0999999999999999E-7</v>
      </c>
      <c r="O66" s="7">
        <v>0</v>
      </c>
      <c r="P66" s="7">
        <v>0</v>
      </c>
      <c r="Q66" s="7">
        <v>0</v>
      </c>
      <c r="R66" s="7">
        <v>0</v>
      </c>
      <c r="S66" s="7">
        <v>0</v>
      </c>
      <c r="T66" s="7">
        <v>0</v>
      </c>
      <c r="U66" s="7">
        <v>0</v>
      </c>
      <c r="V66" s="7">
        <v>0</v>
      </c>
      <c r="W66" s="7">
        <v>0</v>
      </c>
      <c r="X66" s="7">
        <v>0</v>
      </c>
      <c r="Y66" s="7">
        <v>0</v>
      </c>
      <c r="Z66" s="7">
        <v>0</v>
      </c>
      <c r="AA66" s="7">
        <v>0</v>
      </c>
      <c r="AB66" s="7">
        <v>0</v>
      </c>
      <c r="AC66" s="7">
        <v>0</v>
      </c>
    </row>
    <row r="67" spans="1:29" x14ac:dyDescent="0.85">
      <c r="A67" t="s">
        <v>165</v>
      </c>
      <c r="B67" s="7">
        <v>8089.56413969</v>
      </c>
      <c r="C67" s="7">
        <v>7887.3250361999999</v>
      </c>
      <c r="D67" s="7">
        <v>7690.1419102999998</v>
      </c>
      <c r="E67" s="7">
        <v>7497.8883625400003</v>
      </c>
      <c r="F67" s="7">
        <v>7310.4411534700002</v>
      </c>
      <c r="G67" s="7">
        <v>7127.68012464</v>
      </c>
      <c r="H67" s="7">
        <v>6949.4881215200003</v>
      </c>
      <c r="I67" s="7">
        <v>6775.7509184800001</v>
      </c>
      <c r="J67" s="7">
        <v>6606.3571455199999</v>
      </c>
      <c r="K67" s="7">
        <v>6441.1982168799996</v>
      </c>
      <c r="L67" s="7">
        <v>6280.1682614600004</v>
      </c>
      <c r="M67" s="7">
        <v>6123.1640549200001</v>
      </c>
      <c r="N67" s="7">
        <v>5970.0849535500001</v>
      </c>
      <c r="O67" s="7">
        <v>5820.8328297099997</v>
      </c>
      <c r="P67" s="7">
        <v>5675.3120089699996</v>
      </c>
      <c r="Q67" s="7">
        <v>5533.4292087499998</v>
      </c>
      <c r="R67" s="7">
        <v>5395.0934785299996</v>
      </c>
      <c r="S67" s="7">
        <v>5260.2161415600003</v>
      </c>
      <c r="T67" s="7">
        <v>5128.7107380199996</v>
      </c>
      <c r="U67" s="7">
        <v>5000.4929695700002</v>
      </c>
      <c r="V67" s="7">
        <v>4875.4806453299998</v>
      </c>
      <c r="W67" s="7">
        <v>4753.5936291999997</v>
      </c>
      <c r="X67" s="7">
        <v>4634.7537884699996</v>
      </c>
      <c r="Y67" s="7">
        <v>4518.8849437600002</v>
      </c>
      <c r="Z67" s="7">
        <v>4405.9128201699996</v>
      </c>
      <c r="AA67" s="7">
        <v>4295.7649996600003</v>
      </c>
      <c r="AB67" s="7">
        <v>4188.3708746700004</v>
      </c>
      <c r="AC67" s="7">
        <v>4083.6616027999999</v>
      </c>
    </row>
    <row r="68" spans="1:29" x14ac:dyDescent="0.85">
      <c r="A68" t="s">
        <v>166</v>
      </c>
      <c r="B68" s="7">
        <v>1018.94862888</v>
      </c>
      <c r="C68" s="7">
        <v>993.47491253999999</v>
      </c>
      <c r="D68" s="7">
        <v>959.79116827999997</v>
      </c>
      <c r="E68" s="7">
        <v>935.79638668999996</v>
      </c>
      <c r="F68" s="7">
        <v>911.70035333999999</v>
      </c>
      <c r="G68" s="7">
        <v>877.02948974000003</v>
      </c>
      <c r="H68" s="7">
        <v>855.10375010999996</v>
      </c>
      <c r="I68" s="7">
        <v>738.18558169999994</v>
      </c>
      <c r="J68" s="7">
        <v>629.36855820000005</v>
      </c>
      <c r="K68" s="7">
        <v>519.89995048000003</v>
      </c>
      <c r="L68" s="7">
        <v>397.87411108999999</v>
      </c>
      <c r="M68" s="7">
        <v>112.93487966000001</v>
      </c>
      <c r="N68" s="7">
        <v>1.453E-5</v>
      </c>
      <c r="O68" s="7">
        <v>0</v>
      </c>
      <c r="P68" s="7">
        <v>0</v>
      </c>
      <c r="Q68" s="7">
        <v>0</v>
      </c>
      <c r="R68" s="7">
        <v>0</v>
      </c>
      <c r="S68" s="7">
        <v>0</v>
      </c>
      <c r="T68" s="7">
        <v>0</v>
      </c>
      <c r="U68" s="7">
        <v>0</v>
      </c>
      <c r="V68" s="7">
        <v>0</v>
      </c>
      <c r="W68" s="7">
        <v>0</v>
      </c>
      <c r="X68" s="7">
        <v>0</v>
      </c>
      <c r="Y68" s="7">
        <v>0</v>
      </c>
      <c r="Z68" s="7">
        <v>0</v>
      </c>
      <c r="AA68" s="7">
        <v>0</v>
      </c>
      <c r="AB68" s="7">
        <v>0</v>
      </c>
      <c r="AC68" s="7">
        <v>0</v>
      </c>
    </row>
    <row r="69" spans="1:29" x14ac:dyDescent="0.85">
      <c r="A69" t="s">
        <v>167</v>
      </c>
      <c r="B69" s="7">
        <v>1</v>
      </c>
      <c r="C69" s="7">
        <v>1.0249999999999999</v>
      </c>
      <c r="D69" s="7">
        <v>1</v>
      </c>
      <c r="E69" s="7">
        <v>0.99086669000000005</v>
      </c>
      <c r="F69" s="7">
        <v>1</v>
      </c>
      <c r="G69" s="7">
        <v>0.99923156000000002</v>
      </c>
      <c r="H69" s="7">
        <v>0.98663714000000002</v>
      </c>
      <c r="I69" s="7">
        <v>1</v>
      </c>
      <c r="J69" s="7">
        <v>0.88540532999999999</v>
      </c>
      <c r="K69" s="7">
        <v>0.87444977000000002</v>
      </c>
      <c r="L69" s="7">
        <v>0.84724714999999995</v>
      </c>
      <c r="M69" s="7">
        <v>0.78491257999999997</v>
      </c>
      <c r="N69" s="7">
        <v>0.29112386000000001</v>
      </c>
      <c r="O69" s="7">
        <v>1.3E-7</v>
      </c>
      <c r="P69" s="7">
        <v>1.4999999999999999E-7</v>
      </c>
      <c r="Q69" s="7">
        <v>1.8E-7</v>
      </c>
      <c r="R69" s="7">
        <v>1.8E-7</v>
      </c>
      <c r="S69" s="7">
        <v>1.8E-7</v>
      </c>
      <c r="T69" s="7">
        <v>1.4999999999999999E-7</v>
      </c>
      <c r="U69" s="7">
        <v>1.4999999999999999E-7</v>
      </c>
      <c r="V69" s="7">
        <v>1.4000000000000001E-7</v>
      </c>
      <c r="W69" s="7">
        <v>1.4000000000000001E-7</v>
      </c>
      <c r="X69" s="7">
        <v>1.3E-7</v>
      </c>
      <c r="Y69" s="7">
        <v>1.1000000000000001E-7</v>
      </c>
      <c r="Z69" s="7">
        <v>9.9999999999999995E-8</v>
      </c>
      <c r="AA69" s="7">
        <v>1.9000000000000001E-7</v>
      </c>
      <c r="AB69" s="7">
        <v>1.9000000000000001E-7</v>
      </c>
      <c r="AC69" s="7">
        <v>7.8139999999999994E-5</v>
      </c>
    </row>
    <row r="70" spans="1:29" x14ac:dyDescent="0.85">
      <c r="A70" t="s">
        <v>168</v>
      </c>
      <c r="B70" s="7">
        <v>1</v>
      </c>
      <c r="C70" s="7">
        <v>1</v>
      </c>
      <c r="D70" s="7">
        <v>0.99086669000000005</v>
      </c>
      <c r="E70" s="7">
        <v>1</v>
      </c>
      <c r="F70" s="7">
        <v>0.99923156000000002</v>
      </c>
      <c r="G70" s="7">
        <v>0.98663714000000002</v>
      </c>
      <c r="H70" s="7">
        <v>1</v>
      </c>
      <c r="I70" s="7">
        <v>0.88540532999999999</v>
      </c>
      <c r="J70" s="7">
        <v>0.87444977000000002</v>
      </c>
      <c r="K70" s="7">
        <v>0.84724714999999995</v>
      </c>
      <c r="L70" s="7">
        <v>0.78491257999999997</v>
      </c>
      <c r="M70" s="7">
        <v>0.29112386000000001</v>
      </c>
      <c r="N70" s="7">
        <v>1.3E-7</v>
      </c>
      <c r="O70" s="7">
        <v>1.4999999999999999E-7</v>
      </c>
      <c r="P70" s="7">
        <v>1.8E-7</v>
      </c>
      <c r="Q70" s="7">
        <v>1.8E-7</v>
      </c>
      <c r="R70" s="7">
        <v>1.8E-7</v>
      </c>
      <c r="S70" s="7">
        <v>1.4999999999999999E-7</v>
      </c>
      <c r="T70" s="7">
        <v>1.4999999999999999E-7</v>
      </c>
      <c r="U70" s="7">
        <v>1.4000000000000001E-7</v>
      </c>
      <c r="V70" s="7">
        <v>1.4000000000000001E-7</v>
      </c>
      <c r="W70" s="7">
        <v>1.3E-7</v>
      </c>
      <c r="X70" s="7">
        <v>1.1000000000000001E-7</v>
      </c>
      <c r="Y70" s="7">
        <v>9.9999999999999995E-8</v>
      </c>
      <c r="Z70" s="7">
        <v>1.9000000000000001E-7</v>
      </c>
      <c r="AA70" s="7">
        <v>1.9000000000000001E-7</v>
      </c>
      <c r="AB70" s="7">
        <v>7.8139999999999994E-5</v>
      </c>
      <c r="AC70" s="7">
        <v>2.1059E-4</v>
      </c>
    </row>
    <row r="71" spans="1:29" x14ac:dyDescent="0.85">
      <c r="A71" t="s">
        <v>169</v>
      </c>
      <c r="B71" s="7">
        <v>1</v>
      </c>
      <c r="C71" s="7">
        <v>1.48349259</v>
      </c>
      <c r="D71" s="7">
        <v>1.50035002</v>
      </c>
      <c r="E71" s="7">
        <v>1.5252682200000001</v>
      </c>
      <c r="F71" s="7">
        <v>1.5494250899999999</v>
      </c>
      <c r="G71" s="7">
        <v>1.5758840000000001</v>
      </c>
      <c r="H71" s="7">
        <v>1.6024111299999999</v>
      </c>
      <c r="I71" s="7">
        <v>1.6291453199999999</v>
      </c>
      <c r="J71" s="7">
        <v>1.67147942</v>
      </c>
      <c r="K71" s="7">
        <v>1.7099278499999999</v>
      </c>
      <c r="L71" s="7">
        <v>1.7496751800000001</v>
      </c>
      <c r="M71" s="7">
        <v>1.80058758</v>
      </c>
      <c r="N71" s="7">
        <v>1.87792644</v>
      </c>
      <c r="O71" s="7">
        <v>1.9417484899999999</v>
      </c>
      <c r="P71" s="7">
        <v>1.9945891099999999</v>
      </c>
      <c r="Q71" s="7">
        <v>2.0503163500000001</v>
      </c>
      <c r="R71" s="7">
        <v>2.1090797299999999</v>
      </c>
      <c r="S71" s="7">
        <v>2.17103628</v>
      </c>
      <c r="T71" s="7">
        <v>2.2349244399999999</v>
      </c>
      <c r="U71" s="7">
        <v>2.3045745499999999</v>
      </c>
      <c r="V71" s="7">
        <v>2.3815595300000001</v>
      </c>
      <c r="W71" s="7">
        <v>2.4628774299999998</v>
      </c>
      <c r="X71" s="7">
        <v>2.5487624100000001</v>
      </c>
      <c r="Y71" s="7">
        <v>2.6394606700000001</v>
      </c>
      <c r="Z71" s="7">
        <v>2.7352310599999998</v>
      </c>
      <c r="AA71" s="7">
        <v>2.8372476799999999</v>
      </c>
      <c r="AB71" s="7">
        <v>2.9466607100000002</v>
      </c>
      <c r="AC71" s="7">
        <v>3.0331673800000001</v>
      </c>
    </row>
    <row r="72" spans="1:29" x14ac:dyDescent="0.85">
      <c r="A72" t="s">
        <v>170</v>
      </c>
      <c r="B72" s="7">
        <v>0</v>
      </c>
      <c r="C72" s="7">
        <v>272.06514829999998</v>
      </c>
      <c r="D72" s="7">
        <v>277.00549948999998</v>
      </c>
      <c r="E72" s="7">
        <v>249.30495121000001</v>
      </c>
      <c r="F72" s="7">
        <v>228.41842958999999</v>
      </c>
      <c r="G72" s="7">
        <v>230.76403518999999</v>
      </c>
      <c r="H72" s="7">
        <v>213.75087787999999</v>
      </c>
      <c r="I72" s="7">
        <v>192.40928036</v>
      </c>
      <c r="J72" s="7">
        <v>174.60857013</v>
      </c>
      <c r="K72" s="7">
        <v>178.88812772</v>
      </c>
      <c r="L72" s="7">
        <v>285.43972833999999</v>
      </c>
      <c r="M72" s="7">
        <v>377.36341329999999</v>
      </c>
      <c r="N72" s="7">
        <v>339.62707196999997</v>
      </c>
      <c r="O72" s="7">
        <v>305.66479583</v>
      </c>
      <c r="P72" s="7">
        <v>275.10027418999999</v>
      </c>
      <c r="Q72" s="7">
        <v>247.59139123</v>
      </c>
      <c r="R72" s="7">
        <v>222.83225211000001</v>
      </c>
      <c r="S72" s="7">
        <v>200.5490269</v>
      </c>
      <c r="T72" s="7">
        <v>180.49418639000001</v>
      </c>
      <c r="U72" s="7">
        <v>162.44491866000001</v>
      </c>
      <c r="V72" s="7">
        <v>146.20048154</v>
      </c>
      <c r="W72" s="7">
        <v>131.58043354</v>
      </c>
      <c r="X72" s="7">
        <v>118.4223902</v>
      </c>
      <c r="Y72" s="7">
        <v>106.58015118</v>
      </c>
      <c r="Z72" s="7">
        <v>95.922218920000006</v>
      </c>
      <c r="AA72" s="7">
        <v>86.330139930000001</v>
      </c>
      <c r="AB72" s="7">
        <v>77.706804939999998</v>
      </c>
      <c r="AC72" s="7">
        <v>70.077791849999997</v>
      </c>
    </row>
    <row r="73" spans="1:29" x14ac:dyDescent="0.85">
      <c r="A73" t="s">
        <v>171</v>
      </c>
      <c r="B73" s="7">
        <v>0</v>
      </c>
      <c r="C73" s="7">
        <v>68.016069200000004</v>
      </c>
      <c r="D73" s="7">
        <v>8.0369321500000002</v>
      </c>
      <c r="E73" s="7">
        <v>0</v>
      </c>
      <c r="F73" s="7">
        <v>1.0048892</v>
      </c>
      <c r="G73" s="7">
        <v>5.8965246899999997</v>
      </c>
      <c r="H73" s="7">
        <v>1.9222359099999999</v>
      </c>
      <c r="I73" s="7">
        <v>8.3911200000000002E-3</v>
      </c>
      <c r="J73" s="7">
        <v>0.36005289000000001</v>
      </c>
      <c r="K73" s="7">
        <v>5.4351060100000002</v>
      </c>
      <c r="L73" s="7">
        <v>31.110102300000001</v>
      </c>
      <c r="M73" s="7">
        <v>30.116915760000001</v>
      </c>
      <c r="N73" s="7">
        <v>0</v>
      </c>
      <c r="O73" s="7">
        <v>1.0762E-4</v>
      </c>
      <c r="P73" s="7">
        <v>4.8633999999999998E-4</v>
      </c>
      <c r="Q73" s="7">
        <v>2.8948E-4</v>
      </c>
      <c r="R73" s="7">
        <v>0</v>
      </c>
      <c r="S73" s="7">
        <v>50.137254579999997</v>
      </c>
      <c r="T73" s="7">
        <v>64.983167219999999</v>
      </c>
      <c r="U73" s="7">
        <v>40.611229350000002</v>
      </c>
      <c r="V73" s="7">
        <v>36.550117800000002</v>
      </c>
      <c r="W73" s="7">
        <v>32.895105289999997</v>
      </c>
      <c r="X73" s="7">
        <v>29.605578319999999</v>
      </c>
      <c r="Y73" s="7">
        <v>28.740510069999999</v>
      </c>
      <c r="Z73" s="7">
        <v>33.797501429999997</v>
      </c>
      <c r="AA73" s="7">
        <v>21.582534200000001</v>
      </c>
      <c r="AB73" s="7">
        <v>19.42670124</v>
      </c>
      <c r="AC73" s="7">
        <v>17.519447960000001</v>
      </c>
    </row>
    <row r="74" spans="1:29" x14ac:dyDescent="0.85">
      <c r="A74" t="s">
        <v>172</v>
      </c>
      <c r="B74" s="7">
        <v>0</v>
      </c>
      <c r="C74" s="7">
        <v>68.016069200000004</v>
      </c>
      <c r="D74" s="7">
        <v>8.0369321500000002</v>
      </c>
      <c r="E74" s="7">
        <v>0</v>
      </c>
      <c r="F74" s="7">
        <v>1.0048892</v>
      </c>
      <c r="G74" s="7">
        <v>5.8965246899999997</v>
      </c>
      <c r="H74" s="7">
        <v>1.9222359099999999</v>
      </c>
      <c r="I74" s="7">
        <v>8.3911200000000002E-3</v>
      </c>
      <c r="J74" s="7">
        <v>0.36005289000000001</v>
      </c>
      <c r="K74" s="7">
        <v>5.4351060100000002</v>
      </c>
      <c r="L74" s="7">
        <v>31.110102300000001</v>
      </c>
      <c r="M74" s="7">
        <v>30.116915760000001</v>
      </c>
      <c r="N74" s="7">
        <v>0</v>
      </c>
      <c r="O74" s="7">
        <v>1.0762E-4</v>
      </c>
      <c r="P74" s="7">
        <v>4.8633999999999998E-4</v>
      </c>
      <c r="Q74" s="7">
        <v>2.8948E-4</v>
      </c>
      <c r="R74" s="7">
        <v>0</v>
      </c>
      <c r="S74" s="7">
        <v>50.137254579999997</v>
      </c>
      <c r="T74" s="7">
        <v>64.983167219999999</v>
      </c>
      <c r="U74" s="7">
        <v>40.611229350000002</v>
      </c>
      <c r="V74" s="7">
        <v>36.550117800000002</v>
      </c>
      <c r="W74" s="7">
        <v>32.895105289999997</v>
      </c>
      <c r="X74" s="7">
        <v>29.605578319999999</v>
      </c>
      <c r="Y74" s="7">
        <v>28.740510069999999</v>
      </c>
      <c r="Z74" s="7">
        <v>33.797501429999997</v>
      </c>
      <c r="AA74" s="7">
        <v>21.582534200000001</v>
      </c>
      <c r="AB74" s="7">
        <v>19.42670124</v>
      </c>
      <c r="AC74" s="7">
        <v>17.519447960000001</v>
      </c>
    </row>
    <row r="75" spans="1:29" x14ac:dyDescent="0.85">
      <c r="A75" t="s">
        <v>173</v>
      </c>
      <c r="B75" s="7">
        <v>0</v>
      </c>
      <c r="C75" s="7">
        <v>72.252315909999993</v>
      </c>
      <c r="D75" s="7">
        <v>73.563481589999995</v>
      </c>
      <c r="E75" s="7">
        <v>66.207034269999994</v>
      </c>
      <c r="F75" s="7">
        <v>60.660288420000001</v>
      </c>
      <c r="G75" s="7">
        <v>61.283269959999998</v>
      </c>
      <c r="H75" s="7">
        <v>56.765091220000002</v>
      </c>
      <c r="I75" s="7">
        <v>51.097452279999999</v>
      </c>
      <c r="J75" s="7">
        <v>46.370185460000002</v>
      </c>
      <c r="K75" s="7">
        <v>47.506762309999999</v>
      </c>
      <c r="L75" s="7">
        <v>75.803647639999994</v>
      </c>
      <c r="M75" s="7">
        <v>100.2154819</v>
      </c>
      <c r="N75" s="7">
        <v>90.193560469999994</v>
      </c>
      <c r="O75" s="7">
        <v>81.174318900000003</v>
      </c>
      <c r="P75" s="7">
        <v>73.057406979999996</v>
      </c>
      <c r="Q75" s="7">
        <v>65.751970209999996</v>
      </c>
      <c r="R75" s="7">
        <v>59.176773189999999</v>
      </c>
      <c r="S75" s="7">
        <v>53.259786259999998</v>
      </c>
      <c r="T75" s="7">
        <v>47.934097610000002</v>
      </c>
      <c r="U75" s="7">
        <v>43.140481809999997</v>
      </c>
      <c r="V75" s="7">
        <v>38.826448169999999</v>
      </c>
      <c r="W75" s="7">
        <v>34.943803389999999</v>
      </c>
      <c r="X75" s="7">
        <v>31.44942305</v>
      </c>
      <c r="Y75" s="7">
        <v>28.304509599999999</v>
      </c>
      <c r="Z75" s="7">
        <v>25.474189859999999</v>
      </c>
      <c r="AA75" s="7">
        <v>22.92668716</v>
      </c>
      <c r="AB75" s="7">
        <v>20.6365889</v>
      </c>
      <c r="AC75" s="7">
        <v>18.610552609999999</v>
      </c>
    </row>
    <row r="76" spans="1:29" x14ac:dyDescent="0.85">
      <c r="A76" t="s">
        <v>174</v>
      </c>
      <c r="B76" s="7">
        <v>0</v>
      </c>
      <c r="C76" s="7">
        <v>1.5134E-4</v>
      </c>
      <c r="D76" s="7">
        <v>3.5760000000000003E-5</v>
      </c>
      <c r="E76" s="7">
        <v>0</v>
      </c>
      <c r="F76" s="7">
        <v>8.9400000000000008E-6</v>
      </c>
      <c r="G76" s="7">
        <v>6.5599999999999995E-5</v>
      </c>
      <c r="H76" s="7">
        <v>2.5660000000000002E-5</v>
      </c>
      <c r="I76" s="7">
        <v>1.3E-7</v>
      </c>
      <c r="J76" s="7">
        <v>6.4099999999999996E-6</v>
      </c>
      <c r="K76" s="7">
        <v>1.0883999999999999E-4</v>
      </c>
      <c r="L76" s="7">
        <v>6.9220000000000002E-4</v>
      </c>
      <c r="M76" s="7">
        <v>7.3711000000000002E-4</v>
      </c>
      <c r="N76" s="7">
        <v>0</v>
      </c>
      <c r="O76" s="7">
        <v>0</v>
      </c>
      <c r="P76" s="7">
        <v>2E-8</v>
      </c>
      <c r="Q76" s="7">
        <v>1E-8</v>
      </c>
      <c r="R76" s="7">
        <v>0</v>
      </c>
      <c r="S76" s="7">
        <v>1.8964400000000001E-3</v>
      </c>
      <c r="T76" s="7">
        <v>2.6025800000000002E-3</v>
      </c>
      <c r="U76" s="7">
        <v>1.7168400000000001E-3</v>
      </c>
      <c r="V76" s="7">
        <v>1.62648E-3</v>
      </c>
      <c r="W76" s="7">
        <v>1.5370200000000001E-3</v>
      </c>
      <c r="X76" s="7">
        <v>1.4491899999999999E-3</v>
      </c>
      <c r="Y76" s="7">
        <v>1.4708E-3</v>
      </c>
      <c r="Z76" s="7">
        <v>1.8047899999999999E-3</v>
      </c>
      <c r="AA76" s="7">
        <v>1.20053E-3</v>
      </c>
      <c r="AB76" s="7">
        <v>1.1238299999999999E-3</v>
      </c>
      <c r="AC76" s="7">
        <v>1.05248E-3</v>
      </c>
    </row>
    <row r="77" spans="1:29" x14ac:dyDescent="0.85">
      <c r="A77" t="s">
        <v>175</v>
      </c>
      <c r="B77" s="7">
        <v>0</v>
      </c>
      <c r="C77" s="7">
        <v>7.5700000000000004E-6</v>
      </c>
      <c r="D77" s="7">
        <v>8.8999999999999995E-7</v>
      </c>
      <c r="E77" s="7">
        <v>0</v>
      </c>
      <c r="F77" s="7">
        <v>1.1000000000000001E-7</v>
      </c>
      <c r="G77" s="7">
        <v>6.6000000000000003E-7</v>
      </c>
      <c r="H77" s="7">
        <v>2.1E-7</v>
      </c>
      <c r="I77" s="7">
        <v>0</v>
      </c>
      <c r="J77" s="7">
        <v>4.0000000000000001E-8</v>
      </c>
      <c r="K77" s="7">
        <v>5.9999999999999997E-7</v>
      </c>
      <c r="L77" s="7">
        <v>3.4599999999999999E-6</v>
      </c>
      <c r="M77" s="7">
        <v>3.3500000000000001E-6</v>
      </c>
      <c r="N77" s="7">
        <v>0</v>
      </c>
      <c r="O77" s="7">
        <v>0</v>
      </c>
      <c r="P77" s="7">
        <v>0</v>
      </c>
      <c r="Q77" s="7">
        <v>0</v>
      </c>
      <c r="R77" s="7">
        <v>0</v>
      </c>
      <c r="S77" s="7">
        <v>5.5799999999999999E-6</v>
      </c>
      <c r="T77" s="7">
        <v>7.2300000000000002E-6</v>
      </c>
      <c r="U77" s="7">
        <v>4.5199999999999999E-6</v>
      </c>
      <c r="V77" s="7">
        <v>4.07E-6</v>
      </c>
      <c r="W77" s="7">
        <v>3.6600000000000001E-6</v>
      </c>
      <c r="X77" s="7">
        <v>3.2899999999999998E-6</v>
      </c>
      <c r="Y77" s="7">
        <v>3.1999999999999999E-6</v>
      </c>
      <c r="Z77" s="7">
        <v>3.76E-6</v>
      </c>
      <c r="AA77" s="7">
        <v>2.3999999999999999E-6</v>
      </c>
      <c r="AB77" s="7">
        <v>2.1600000000000001E-6</v>
      </c>
      <c r="AC77" s="7">
        <v>1.95E-6</v>
      </c>
    </row>
    <row r="78" spans="1:29" x14ac:dyDescent="0.85">
      <c r="A78" t="s">
        <v>176</v>
      </c>
      <c r="B78" s="7">
        <v>0</v>
      </c>
      <c r="C78" s="7">
        <v>72.251379330000006</v>
      </c>
      <c r="D78" s="7">
        <v>73.563370919999997</v>
      </c>
      <c r="E78" s="7">
        <v>66.207034269999994</v>
      </c>
      <c r="F78" s="7">
        <v>60.66027459</v>
      </c>
      <c r="G78" s="7">
        <v>61.283188770000002</v>
      </c>
      <c r="H78" s="7">
        <v>56.765064750000001</v>
      </c>
      <c r="I78" s="7">
        <v>51.097452169999997</v>
      </c>
      <c r="J78" s="7">
        <v>46.370180499999996</v>
      </c>
      <c r="K78" s="7">
        <v>47.506687470000003</v>
      </c>
      <c r="L78" s="7">
        <v>75.803219249999998</v>
      </c>
      <c r="M78" s="7">
        <v>100.21506719</v>
      </c>
      <c r="N78" s="7">
        <v>90.193560469999994</v>
      </c>
      <c r="O78" s="7">
        <v>81.174318900000003</v>
      </c>
      <c r="P78" s="7">
        <v>73.057406970000002</v>
      </c>
      <c r="Q78" s="7">
        <v>65.751970209999996</v>
      </c>
      <c r="R78" s="7">
        <v>59.176773189999999</v>
      </c>
      <c r="S78" s="7">
        <v>53.259095870000003</v>
      </c>
      <c r="T78" s="7">
        <v>47.933202790000003</v>
      </c>
      <c r="U78" s="7">
        <v>43.139922589999998</v>
      </c>
      <c r="V78" s="7">
        <v>38.825944870000001</v>
      </c>
      <c r="W78" s="7">
        <v>34.943350420000002</v>
      </c>
      <c r="X78" s="7">
        <v>31.44901539</v>
      </c>
      <c r="Y78" s="7">
        <v>28.30411385</v>
      </c>
      <c r="Z78" s="7">
        <v>25.473724470000001</v>
      </c>
      <c r="AA78" s="7">
        <v>22.926389969999999</v>
      </c>
      <c r="AB78" s="7">
        <v>20.636321389999999</v>
      </c>
      <c r="AC78" s="7">
        <v>18.610311360000001</v>
      </c>
    </row>
    <row r="79" spans="1:29" x14ac:dyDescent="0.85">
      <c r="A79" t="s">
        <v>177</v>
      </c>
      <c r="B79" s="7">
        <v>0</v>
      </c>
      <c r="C79" s="7">
        <v>9.3658000000000001E-4</v>
      </c>
      <c r="D79" s="7">
        <v>1.1067E-4</v>
      </c>
      <c r="E79" s="7">
        <v>0</v>
      </c>
      <c r="F79" s="7">
        <v>1.384E-5</v>
      </c>
      <c r="G79" s="7">
        <v>8.1199999999999995E-5</v>
      </c>
      <c r="H79" s="7">
        <v>2.6469999999999999E-5</v>
      </c>
      <c r="I79" s="7">
        <v>1.1999999999999999E-7</v>
      </c>
      <c r="J79" s="7">
        <v>4.9599999999999999E-6</v>
      </c>
      <c r="K79" s="7">
        <v>7.4839999999999995E-5</v>
      </c>
      <c r="L79" s="7">
        <v>4.2839000000000001E-4</v>
      </c>
      <c r="M79" s="7">
        <v>4.1470999999999999E-4</v>
      </c>
      <c r="N79" s="7">
        <v>0</v>
      </c>
      <c r="O79" s="7">
        <v>0</v>
      </c>
      <c r="P79" s="7">
        <v>1E-8</v>
      </c>
      <c r="Q79" s="7">
        <v>0</v>
      </c>
      <c r="R79" s="7">
        <v>0</v>
      </c>
      <c r="S79" s="7">
        <v>6.9039000000000004E-4</v>
      </c>
      <c r="T79" s="7">
        <v>8.9481999999999995E-4</v>
      </c>
      <c r="U79" s="7">
        <v>5.5922000000000003E-4</v>
      </c>
      <c r="V79" s="7">
        <v>5.0330000000000004E-4</v>
      </c>
      <c r="W79" s="7">
        <v>4.5297000000000002E-4</v>
      </c>
      <c r="X79" s="7">
        <v>4.0767000000000001E-4</v>
      </c>
      <c r="Y79" s="7">
        <v>3.9575999999999999E-4</v>
      </c>
      <c r="Z79" s="7">
        <v>4.6538999999999999E-4</v>
      </c>
      <c r="AA79" s="7">
        <v>2.9719000000000002E-4</v>
      </c>
      <c r="AB79" s="7">
        <v>2.6750999999999999E-4</v>
      </c>
      <c r="AC79" s="7">
        <v>2.4123999999999999E-4</v>
      </c>
    </row>
    <row r="80" spans="1:29" x14ac:dyDescent="0.85">
      <c r="A80" t="s">
        <v>178</v>
      </c>
      <c r="B80" s="7">
        <v>1</v>
      </c>
      <c r="C80" s="7">
        <v>1.1000000000000001</v>
      </c>
      <c r="D80" s="7">
        <v>1.3024225300000001</v>
      </c>
      <c r="E80" s="7">
        <v>1.0352067</v>
      </c>
      <c r="F80" s="7">
        <v>1</v>
      </c>
      <c r="G80" s="7">
        <v>1.0042309899999999</v>
      </c>
      <c r="H80" s="7">
        <v>1.02575679</v>
      </c>
      <c r="I80" s="7">
        <v>1.00607113</v>
      </c>
      <c r="J80" s="7">
        <v>1.0000328999999999</v>
      </c>
      <c r="K80" s="7">
        <v>1.0013577899999999</v>
      </c>
      <c r="L80" s="7">
        <v>1.01986157</v>
      </c>
      <c r="M80" s="7">
        <v>1.1102757400000001</v>
      </c>
      <c r="N80" s="7">
        <v>1.1022350999999999</v>
      </c>
      <c r="O80" s="7">
        <v>1</v>
      </c>
      <c r="P80" s="7">
        <v>1.00000033</v>
      </c>
      <c r="Q80" s="7">
        <v>1.0000014399999999</v>
      </c>
      <c r="R80" s="7">
        <v>1.00000081</v>
      </c>
      <c r="S80" s="7">
        <v>1</v>
      </c>
      <c r="T80" s="7">
        <v>1</v>
      </c>
      <c r="U80" s="7">
        <v>1.00000004</v>
      </c>
      <c r="V80" s="7">
        <v>1.0000001000000001</v>
      </c>
      <c r="W80" s="7">
        <v>1.00000003</v>
      </c>
      <c r="X80" s="7">
        <v>1</v>
      </c>
      <c r="Y80" s="7">
        <v>1</v>
      </c>
      <c r="Z80" s="7">
        <v>1</v>
      </c>
      <c r="AA80" s="7">
        <v>1.00000004</v>
      </c>
      <c r="AB80" s="7">
        <v>1.00000007</v>
      </c>
      <c r="AC80" s="7">
        <v>1.00000486</v>
      </c>
    </row>
    <row r="81" spans="1:29" x14ac:dyDescent="0.85">
      <c r="A81" t="s">
        <v>179</v>
      </c>
      <c r="B81" s="7">
        <v>1</v>
      </c>
      <c r="C81" s="7">
        <v>1.3024225300000001</v>
      </c>
      <c r="D81" s="7">
        <v>1.0352067</v>
      </c>
      <c r="E81" s="7">
        <v>1</v>
      </c>
      <c r="F81" s="7">
        <v>1.0042309899999999</v>
      </c>
      <c r="G81" s="7">
        <v>1.02575679</v>
      </c>
      <c r="H81" s="7">
        <v>1.00607113</v>
      </c>
      <c r="I81" s="7">
        <v>1.0000328999999999</v>
      </c>
      <c r="J81" s="7">
        <v>1.0013577899999999</v>
      </c>
      <c r="K81" s="7">
        <v>1.01986157</v>
      </c>
      <c r="L81" s="7">
        <v>1.1102757400000001</v>
      </c>
      <c r="M81" s="7">
        <v>1.1022350999999999</v>
      </c>
      <c r="N81" s="7">
        <v>1</v>
      </c>
      <c r="O81" s="7">
        <v>1.00000033</v>
      </c>
      <c r="P81" s="7">
        <v>1.0000014399999999</v>
      </c>
      <c r="Q81" s="7">
        <v>1.00000081</v>
      </c>
      <c r="R81" s="7">
        <v>1</v>
      </c>
      <c r="S81" s="7">
        <v>1</v>
      </c>
      <c r="T81" s="7">
        <v>1.00000004</v>
      </c>
      <c r="U81" s="7">
        <v>1.0000001000000001</v>
      </c>
      <c r="V81" s="7">
        <v>1.00000003</v>
      </c>
      <c r="W81" s="7">
        <v>1</v>
      </c>
      <c r="X81" s="7">
        <v>1</v>
      </c>
      <c r="Y81" s="7">
        <v>1</v>
      </c>
      <c r="Z81" s="7">
        <v>1.00000004</v>
      </c>
      <c r="AA81" s="7">
        <v>1.00000007</v>
      </c>
      <c r="AB81" s="7">
        <v>1.00000486</v>
      </c>
      <c r="AC81" s="7">
        <v>1.00006986</v>
      </c>
    </row>
    <row r="82" spans="1:29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BC3932-EA80-488A-9B6C-9527D2B1A5C0}">
  <sheetPr codeName="Sheet15"/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29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</row>
    <row r="2" spans="1:29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</row>
    <row r="3" spans="1:29" x14ac:dyDescent="0.85">
      <c r="A3" t="s">
        <v>69</v>
      </c>
      <c r="B3" s="7">
        <v>0</v>
      </c>
      <c r="C3" s="7">
        <v>20</v>
      </c>
      <c r="D3" s="7">
        <v>40</v>
      </c>
      <c r="E3" s="7">
        <v>60</v>
      </c>
      <c r="F3" s="7">
        <v>80</v>
      </c>
      <c r="G3" s="7">
        <v>100</v>
      </c>
      <c r="H3" s="7">
        <v>120</v>
      </c>
      <c r="I3" s="7">
        <v>140</v>
      </c>
      <c r="J3" s="7">
        <v>160</v>
      </c>
      <c r="K3" s="7">
        <v>180</v>
      </c>
      <c r="L3" s="7">
        <v>200</v>
      </c>
      <c r="M3" s="7">
        <v>220</v>
      </c>
      <c r="N3" s="7">
        <v>240</v>
      </c>
      <c r="O3" s="7">
        <v>260</v>
      </c>
      <c r="P3" s="7">
        <v>280</v>
      </c>
      <c r="Q3" s="7">
        <v>300</v>
      </c>
      <c r="R3" s="7">
        <v>320</v>
      </c>
      <c r="S3" s="7">
        <v>340</v>
      </c>
      <c r="T3" s="7">
        <v>360</v>
      </c>
      <c r="U3" s="7">
        <v>380</v>
      </c>
      <c r="V3" s="7">
        <v>400</v>
      </c>
      <c r="W3" s="7">
        <v>420</v>
      </c>
      <c r="X3" s="7">
        <v>440</v>
      </c>
      <c r="Y3" s="7">
        <v>460</v>
      </c>
      <c r="Z3" s="7">
        <v>480</v>
      </c>
      <c r="AA3" s="7">
        <v>500</v>
      </c>
      <c r="AB3" s="7">
        <v>520</v>
      </c>
      <c r="AC3" s="7">
        <v>540</v>
      </c>
    </row>
    <row r="4" spans="1:29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</row>
    <row r="5" spans="1:29" x14ac:dyDescent="0.85">
      <c r="A5" t="s">
        <v>105</v>
      </c>
      <c r="B5" s="7">
        <v>31722</v>
      </c>
      <c r="C5" s="7">
        <v>31835.799057200002</v>
      </c>
      <c r="D5" s="7">
        <v>32246.667669539998</v>
      </c>
      <c r="E5" s="7">
        <v>32500.901606070001</v>
      </c>
      <c r="F5" s="7">
        <v>32816.246268590003</v>
      </c>
      <c r="G5" s="7">
        <v>33131.674165960001</v>
      </c>
      <c r="H5" s="7">
        <v>33871.488271230002</v>
      </c>
      <c r="I5" s="7">
        <v>34621.91842034</v>
      </c>
      <c r="J5" s="7">
        <v>35401.681164909998</v>
      </c>
      <c r="K5" s="7">
        <v>37259.763566130001</v>
      </c>
      <c r="L5" s="7">
        <v>39365.957222409997</v>
      </c>
      <c r="M5" s="7">
        <v>40568.14205309</v>
      </c>
      <c r="N5" s="7">
        <v>41714.615059780001</v>
      </c>
      <c r="O5" s="7">
        <v>43123.098057820003</v>
      </c>
      <c r="P5" s="7">
        <v>44447.367137840003</v>
      </c>
      <c r="Q5" s="7">
        <v>46433.015594850003</v>
      </c>
      <c r="R5" s="7">
        <v>48220.202302240003</v>
      </c>
      <c r="S5" s="7">
        <v>50397.636333150003</v>
      </c>
      <c r="T5" s="7">
        <v>52657.748598810002</v>
      </c>
      <c r="U5" s="7">
        <v>55095.587903619999</v>
      </c>
      <c r="V5" s="7">
        <v>56772.542377500002</v>
      </c>
      <c r="W5" s="7">
        <v>57240.54636385</v>
      </c>
      <c r="X5" s="7">
        <v>57591.626078230001</v>
      </c>
      <c r="Y5" s="7">
        <v>58023.106893279997</v>
      </c>
      <c r="Z5" s="7">
        <v>58491.000890889998</v>
      </c>
      <c r="AA5" s="7">
        <v>59097.020775960002</v>
      </c>
      <c r="AB5" s="7">
        <v>59229.375007180002</v>
      </c>
      <c r="AC5" s="7">
        <v>59641.130793769997</v>
      </c>
    </row>
    <row r="6" spans="1:29" x14ac:dyDescent="0.85">
      <c r="A6" t="s">
        <v>106</v>
      </c>
      <c r="B6" s="7">
        <v>122537074.25</v>
      </c>
      <c r="C6" s="7">
        <v>125092959.15468501</v>
      </c>
      <c r="D6" s="7">
        <v>127700023.966111</v>
      </c>
      <c r="E6" s="7">
        <v>130359193.424428</v>
      </c>
      <c r="F6" s="7">
        <v>133071556.842108</v>
      </c>
      <c r="G6" s="7">
        <v>135838162.19938999</v>
      </c>
      <c r="H6" s="7">
        <v>138660099.28261399</v>
      </c>
      <c r="I6" s="7">
        <v>141538473.27667901</v>
      </c>
      <c r="J6" s="7">
        <v>144474419.604678</v>
      </c>
      <c r="K6" s="7">
        <v>147469009.80653599</v>
      </c>
      <c r="L6" s="7">
        <v>150523638.01145101</v>
      </c>
      <c r="M6" s="7">
        <v>153639285.05312201</v>
      </c>
      <c r="N6" s="7">
        <v>156817215.64425799</v>
      </c>
      <c r="O6" s="7">
        <v>160058764.08619601</v>
      </c>
      <c r="P6" s="7">
        <v>163365113.58401901</v>
      </c>
      <c r="Q6" s="7">
        <v>166741282.04780701</v>
      </c>
      <c r="R6" s="7">
        <v>170241294.66096401</v>
      </c>
      <c r="S6" s="7">
        <v>174073519.63482001</v>
      </c>
      <c r="T6" s="7">
        <v>178577124.06746599</v>
      </c>
      <c r="U6" s="7">
        <v>184125609.79082599</v>
      </c>
      <c r="V6" s="7">
        <v>190632610.50158501</v>
      </c>
      <c r="W6" s="7">
        <v>196306966.61331099</v>
      </c>
      <c r="X6" s="7">
        <v>202347760.06692699</v>
      </c>
      <c r="Y6" s="7">
        <v>208840577.65687799</v>
      </c>
      <c r="Z6" s="7">
        <v>215773308.119901</v>
      </c>
      <c r="AA6" s="7">
        <v>222749211.39241299</v>
      </c>
      <c r="AB6" s="7">
        <v>225256138.21928501</v>
      </c>
      <c r="AC6" s="7">
        <v>230586142.60739699</v>
      </c>
    </row>
    <row r="7" spans="1:29" x14ac:dyDescent="0.85">
      <c r="A7" t="s">
        <v>107</v>
      </c>
      <c r="B7" s="7">
        <v>122537074.25</v>
      </c>
      <c r="C7" s="7">
        <v>125092989.95110001</v>
      </c>
      <c r="D7" s="7">
        <v>127700023.966221</v>
      </c>
      <c r="E7" s="7">
        <v>130359198.66164599</v>
      </c>
      <c r="F7" s="7">
        <v>133071556.850979</v>
      </c>
      <c r="G7" s="7">
        <v>135838162.20409799</v>
      </c>
      <c r="H7" s="7">
        <v>138660099.66428</v>
      </c>
      <c r="I7" s="7">
        <v>141538475.87366599</v>
      </c>
      <c r="J7" s="7">
        <v>144474419.60723901</v>
      </c>
      <c r="K7" s="7">
        <v>147469082.21548399</v>
      </c>
      <c r="L7" s="7">
        <v>150523638.075894</v>
      </c>
      <c r="M7" s="7">
        <v>153639285.05351201</v>
      </c>
      <c r="N7" s="7">
        <v>156817244.970682</v>
      </c>
      <c r="O7" s="7">
        <v>160058764.08619601</v>
      </c>
      <c r="P7" s="7">
        <v>163365113.58401999</v>
      </c>
      <c r="Q7" s="7">
        <v>166737590.07179999</v>
      </c>
      <c r="R7" s="7">
        <v>170177516.08933601</v>
      </c>
      <c r="S7" s="7">
        <v>173686240.62722301</v>
      </c>
      <c r="T7" s="7">
        <v>177265139.65586701</v>
      </c>
      <c r="U7" s="7">
        <v>180915616.66508499</v>
      </c>
      <c r="V7" s="7">
        <v>184639103.214486</v>
      </c>
      <c r="W7" s="7">
        <v>188437059.494876</v>
      </c>
      <c r="X7" s="7">
        <v>192310974.90087399</v>
      </c>
      <c r="Y7" s="7">
        <v>196262368.61499101</v>
      </c>
      <c r="Z7" s="7">
        <v>200292790.20339099</v>
      </c>
      <c r="AA7" s="7">
        <v>204403820.22355899</v>
      </c>
      <c r="AB7" s="7">
        <v>208597070.84413001</v>
      </c>
      <c r="AC7" s="7">
        <v>212874186.47711301</v>
      </c>
    </row>
    <row r="8" spans="1:29" x14ac:dyDescent="0.85">
      <c r="A8" t="s">
        <v>108</v>
      </c>
      <c r="B8" s="7">
        <v>11775.35647647</v>
      </c>
      <c r="C8" s="7">
        <v>11680.15884016</v>
      </c>
      <c r="D8" s="7">
        <v>11609.26401499</v>
      </c>
      <c r="E8" s="7">
        <v>11518.400979280001</v>
      </c>
      <c r="F8" s="7">
        <v>11437.0574156</v>
      </c>
      <c r="G8" s="7">
        <v>11359.679932380001</v>
      </c>
      <c r="H8" s="7">
        <v>11371.413812229999</v>
      </c>
      <c r="I8" s="7">
        <v>11386.678796529999</v>
      </c>
      <c r="J8" s="7">
        <v>11412.951555989999</v>
      </c>
      <c r="K8" s="7">
        <v>11959.340784260001</v>
      </c>
      <c r="L8" s="7">
        <v>12571.720303190001</v>
      </c>
      <c r="M8" s="7">
        <v>13140.853761570001</v>
      </c>
      <c r="N8" s="7">
        <v>14395.52087484</v>
      </c>
      <c r="O8" s="7">
        <v>15692.798727179999</v>
      </c>
      <c r="P8" s="7">
        <v>17006.039807379999</v>
      </c>
      <c r="Q8" s="7">
        <v>18486.184868699998</v>
      </c>
      <c r="R8" s="7">
        <v>19973.78799579</v>
      </c>
      <c r="S8" s="7">
        <v>21578.576550829999</v>
      </c>
      <c r="T8" s="7">
        <v>23250.044232600001</v>
      </c>
      <c r="U8" s="7">
        <v>25008.807696470001</v>
      </c>
      <c r="V8" s="7">
        <v>26668.930757319999</v>
      </c>
      <c r="W8" s="7">
        <v>27956.697182520002</v>
      </c>
      <c r="X8" s="7">
        <v>29230.400586749998</v>
      </c>
      <c r="Y8" s="7">
        <v>30513.582817300001</v>
      </c>
      <c r="Z8" s="7">
        <v>31810.936191360001</v>
      </c>
      <c r="AA8" s="7">
        <v>33047.13487681</v>
      </c>
      <c r="AB8" s="7">
        <v>33205.874050830003</v>
      </c>
      <c r="AC8" s="7">
        <v>34021.02611318</v>
      </c>
    </row>
    <row r="9" spans="1:29" x14ac:dyDescent="0.85">
      <c r="A9" t="s">
        <v>109</v>
      </c>
      <c r="B9" s="7">
        <v>2202.4877514200002</v>
      </c>
      <c r="C9" s="7">
        <v>2288.2928814400002</v>
      </c>
      <c r="D9" s="7">
        <v>2376.5445818100002</v>
      </c>
      <c r="E9" s="7">
        <v>2463.3910631700001</v>
      </c>
      <c r="F9" s="7">
        <v>2550.84823534</v>
      </c>
      <c r="G9" s="7">
        <v>2638.9851766900001</v>
      </c>
      <c r="H9" s="7">
        <v>2729.3596171999998</v>
      </c>
      <c r="I9" s="7">
        <v>2821.5573453400002</v>
      </c>
      <c r="J9" s="7">
        <v>2913.9125584799999</v>
      </c>
      <c r="K9" s="7">
        <v>2939.02078282</v>
      </c>
      <c r="L9" s="7">
        <v>2948.02292257</v>
      </c>
      <c r="M9" s="7">
        <v>2938.1498756699998</v>
      </c>
      <c r="N9" s="7">
        <v>2846.9970140599999</v>
      </c>
      <c r="O9" s="7">
        <v>2753.6837517600002</v>
      </c>
      <c r="P9" s="7">
        <v>2657.3909435</v>
      </c>
      <c r="Q9" s="7">
        <v>2539.2093276199998</v>
      </c>
      <c r="R9" s="7">
        <v>2419.5885688499998</v>
      </c>
      <c r="S9" s="7">
        <v>2298.5017349300001</v>
      </c>
      <c r="T9" s="7">
        <v>2186.1225992700001</v>
      </c>
      <c r="U9" s="7">
        <v>2089.9710216200001</v>
      </c>
      <c r="V9" s="7">
        <v>2033.1801066600001</v>
      </c>
      <c r="W9" s="7">
        <v>2045.28332516</v>
      </c>
      <c r="X9" s="7">
        <v>2069.8802860699998</v>
      </c>
      <c r="Y9" s="7">
        <v>2103.88714312</v>
      </c>
      <c r="Z9" s="7">
        <v>2146.8759172800001</v>
      </c>
      <c r="AA9" s="7">
        <v>2197.4089730699998</v>
      </c>
      <c r="AB9" s="7">
        <v>2263.7827305999999</v>
      </c>
      <c r="AC9" s="7">
        <v>2323.4938873999999</v>
      </c>
    </row>
    <row r="10" spans="1:29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</row>
    <row r="11" spans="1:29" x14ac:dyDescent="0.85">
      <c r="A11" t="s">
        <v>37</v>
      </c>
      <c r="B11" s="7">
        <v>0</v>
      </c>
      <c r="C11" s="7">
        <v>934.47666886000002</v>
      </c>
      <c r="D11" s="7">
        <v>1938.7143540699999</v>
      </c>
      <c r="E11" s="7">
        <v>3011.56422703</v>
      </c>
      <c r="F11" s="7">
        <v>4154.4307609699999</v>
      </c>
      <c r="G11" s="7">
        <v>5367.9293592399999</v>
      </c>
      <c r="H11" s="7">
        <v>6560.7060518799999</v>
      </c>
      <c r="I11" s="7">
        <v>7797.1142794199995</v>
      </c>
      <c r="J11" s="7">
        <v>9076.4317741300001</v>
      </c>
      <c r="K11" s="7">
        <v>9909.1144977500007</v>
      </c>
      <c r="L11" s="7">
        <v>10738.846614059999</v>
      </c>
      <c r="M11" s="7">
        <v>11661.706227209999</v>
      </c>
      <c r="N11" s="7">
        <v>11889.849165359999</v>
      </c>
      <c r="O11" s="7">
        <v>11957.036778150001</v>
      </c>
      <c r="P11" s="7">
        <v>11851.669903669999</v>
      </c>
      <c r="Q11" s="7">
        <v>11455.61985433</v>
      </c>
      <c r="R11" s="7">
        <v>10861.361990519999</v>
      </c>
      <c r="S11" s="7">
        <v>10065.958394970001</v>
      </c>
      <c r="T11" s="7">
        <v>9131.4848947699993</v>
      </c>
      <c r="U11" s="7">
        <v>8120.02579504</v>
      </c>
      <c r="V11" s="7">
        <v>7227.3311592399996</v>
      </c>
      <c r="W11" s="7">
        <v>6752.9479210099998</v>
      </c>
      <c r="X11" s="7">
        <v>6306.0531461700002</v>
      </c>
      <c r="Y11" s="7">
        <v>5875.1582391800002</v>
      </c>
      <c r="Z11" s="7">
        <v>5466.0627778300004</v>
      </c>
      <c r="AA11" s="7">
        <v>5158.8525628799998</v>
      </c>
      <c r="AB11" s="7">
        <v>5864.0479425399999</v>
      </c>
      <c r="AC11" s="7">
        <v>5975.5994595800003</v>
      </c>
    </row>
    <row r="12" spans="1:29" x14ac:dyDescent="0.85">
      <c r="A12" t="s">
        <v>111</v>
      </c>
      <c r="B12" s="7">
        <v>13977.84422789</v>
      </c>
      <c r="C12" s="7">
        <v>13968.45172159</v>
      </c>
      <c r="D12" s="7">
        <v>13985.8085968</v>
      </c>
      <c r="E12" s="7">
        <v>13981.792042450001</v>
      </c>
      <c r="F12" s="7">
        <v>13987.90565094</v>
      </c>
      <c r="G12" s="7">
        <v>13998.66510907</v>
      </c>
      <c r="H12" s="7">
        <v>14100.77342944</v>
      </c>
      <c r="I12" s="7">
        <v>14208.23614187</v>
      </c>
      <c r="J12" s="7">
        <v>14326.86411447</v>
      </c>
      <c r="K12" s="7">
        <v>14898.361567080001</v>
      </c>
      <c r="L12" s="7">
        <v>15519.743225759999</v>
      </c>
      <c r="M12" s="7">
        <v>16079.003637240001</v>
      </c>
      <c r="N12" s="7">
        <v>17242.517888900002</v>
      </c>
      <c r="O12" s="7">
        <v>18446.482478940001</v>
      </c>
      <c r="P12" s="7">
        <v>19663.430750880001</v>
      </c>
      <c r="Q12" s="7">
        <v>21025.394196329999</v>
      </c>
      <c r="R12" s="7">
        <v>22393.376564639999</v>
      </c>
      <c r="S12" s="7">
        <v>23877.078285759999</v>
      </c>
      <c r="T12" s="7">
        <v>25436.166831859999</v>
      </c>
      <c r="U12" s="7">
        <v>27098.778718090001</v>
      </c>
      <c r="V12" s="7">
        <v>28702.11086398</v>
      </c>
      <c r="W12" s="7">
        <v>30001.980507669999</v>
      </c>
      <c r="X12" s="7">
        <v>31300.280872809999</v>
      </c>
      <c r="Y12" s="7">
        <v>32617.46996042</v>
      </c>
      <c r="Z12" s="7">
        <v>33957.812108639999</v>
      </c>
      <c r="AA12" s="7">
        <v>35244.543849879999</v>
      </c>
      <c r="AB12" s="7">
        <v>35469.65678143</v>
      </c>
      <c r="AC12" s="7">
        <v>36344.52000058</v>
      </c>
    </row>
    <row r="13" spans="1:29" x14ac:dyDescent="0.85">
      <c r="A13" t="s">
        <v>112</v>
      </c>
      <c r="B13" s="7">
        <v>13977.84422789</v>
      </c>
      <c r="C13" s="7">
        <v>14902.928390450001</v>
      </c>
      <c r="D13" s="7">
        <v>15924.52295086</v>
      </c>
      <c r="E13" s="7">
        <v>16993.356269479998</v>
      </c>
      <c r="F13" s="7">
        <v>18142.336411910001</v>
      </c>
      <c r="G13" s="7">
        <v>19366.594468309999</v>
      </c>
      <c r="H13" s="7">
        <v>20661.479481310002</v>
      </c>
      <c r="I13" s="7">
        <v>22005.350421300001</v>
      </c>
      <c r="J13" s="7">
        <v>23403.295888590001</v>
      </c>
      <c r="K13" s="7">
        <v>24807.47606483</v>
      </c>
      <c r="L13" s="7">
        <v>26258.58983981</v>
      </c>
      <c r="M13" s="7">
        <v>27740.70986445</v>
      </c>
      <c r="N13" s="7">
        <v>29132.367054260001</v>
      </c>
      <c r="O13" s="7">
        <v>30403.51925709</v>
      </c>
      <c r="P13" s="7">
        <v>31515.100654549999</v>
      </c>
      <c r="Q13" s="7">
        <v>32481.01405066</v>
      </c>
      <c r="R13" s="7">
        <v>33254.738555160002</v>
      </c>
      <c r="S13" s="7">
        <v>33943.036680730002</v>
      </c>
      <c r="T13" s="7">
        <v>34567.65172663</v>
      </c>
      <c r="U13" s="7">
        <v>35218.804513130002</v>
      </c>
      <c r="V13" s="7">
        <v>35929.442023210002</v>
      </c>
      <c r="W13" s="7">
        <v>36754.92842869</v>
      </c>
      <c r="X13" s="7">
        <v>37606.334018989997</v>
      </c>
      <c r="Y13" s="7">
        <v>38492.628199600003</v>
      </c>
      <c r="Z13" s="7">
        <v>39423.874886470003</v>
      </c>
      <c r="AA13" s="7">
        <v>40403.396412759997</v>
      </c>
      <c r="AB13" s="7">
        <v>41333.704723969997</v>
      </c>
      <c r="AC13" s="7">
        <v>42320.11946016</v>
      </c>
    </row>
    <row r="14" spans="1:29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</row>
    <row r="15" spans="1:29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</row>
    <row r="16" spans="1:29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</row>
    <row r="17" spans="1:29" x14ac:dyDescent="0.85">
      <c r="A17" t="s">
        <v>115</v>
      </c>
      <c r="B17" s="7">
        <v>5948</v>
      </c>
      <c r="C17" s="7">
        <v>5749.7334263399998</v>
      </c>
      <c r="D17" s="7">
        <v>5558.0756454599996</v>
      </c>
      <c r="E17" s="7">
        <v>5372.8064572800004</v>
      </c>
      <c r="F17" s="7">
        <v>5193.7286800000002</v>
      </c>
      <c r="G17" s="7">
        <v>5021.0285530600004</v>
      </c>
      <c r="H17" s="7">
        <v>4853.7771696099999</v>
      </c>
      <c r="I17" s="7">
        <v>4691.9846258199996</v>
      </c>
      <c r="J17" s="7">
        <v>4535.5852677700004</v>
      </c>
      <c r="K17" s="7">
        <v>4389.5746788099996</v>
      </c>
      <c r="L17" s="7">
        <v>4288.4390079300001</v>
      </c>
      <c r="M17" s="7">
        <v>4145.49106321</v>
      </c>
      <c r="N17" s="7">
        <v>4007.3080338599998</v>
      </c>
      <c r="O17" s="7">
        <v>3873.7310993999999</v>
      </c>
      <c r="P17" s="7">
        <v>3744.6067294200002</v>
      </c>
      <c r="Q17" s="7">
        <v>4453.7114088600001</v>
      </c>
      <c r="R17" s="7">
        <v>5056.10549266</v>
      </c>
      <c r="S17" s="7">
        <v>5811.5054235500002</v>
      </c>
      <c r="T17" s="7">
        <v>6566.5140305599998</v>
      </c>
      <c r="U17" s="7">
        <v>7376.80753594</v>
      </c>
      <c r="V17" s="7">
        <v>7130.9139515500001</v>
      </c>
      <c r="W17" s="7">
        <v>6970.2069565900001</v>
      </c>
      <c r="X17" s="7">
        <v>6737.8667394100003</v>
      </c>
      <c r="Y17" s="7">
        <v>6513.2716883200001</v>
      </c>
      <c r="Z17" s="7">
        <v>6296.1626435799999</v>
      </c>
      <c r="AA17" s="7">
        <v>6247.44057109</v>
      </c>
      <c r="AB17" s="7">
        <v>6039.19257956</v>
      </c>
      <c r="AC17" s="7">
        <v>5837.8861602400002</v>
      </c>
    </row>
    <row r="18" spans="1:29" x14ac:dyDescent="0.85">
      <c r="A18" t="s">
        <v>116</v>
      </c>
      <c r="B18" s="7">
        <v>5685817.25</v>
      </c>
      <c r="C18" s="7">
        <v>5496290.0972399097</v>
      </c>
      <c r="D18" s="7">
        <v>5312654.7544999504</v>
      </c>
      <c r="E18" s="7">
        <v>5135326.9022110105</v>
      </c>
      <c r="F18" s="7">
        <v>4964164.4130034596</v>
      </c>
      <c r="G18" s="7">
        <v>4799097.6801990904</v>
      </c>
      <c r="H18" s="7">
        <v>4639238.8548913803</v>
      </c>
      <c r="I18" s="7">
        <v>4484597.5869958196</v>
      </c>
      <c r="J18" s="7">
        <v>4335111.12451756</v>
      </c>
      <c r="K18" s="7">
        <v>4195554.2446189504</v>
      </c>
      <c r="L18" s="7">
        <v>4098888.7988057202</v>
      </c>
      <c r="M18" s="7">
        <v>3962259.1934140199</v>
      </c>
      <c r="N18" s="7">
        <v>3830183.8927891902</v>
      </c>
      <c r="O18" s="7">
        <v>3702510.9680900499</v>
      </c>
      <c r="P18" s="7">
        <v>3579093.7308169198</v>
      </c>
      <c r="Q18" s="7">
        <v>4256223.9065112304</v>
      </c>
      <c r="R18" s="7">
        <v>4821544.3332699602</v>
      </c>
      <c r="S18" s="7">
        <v>5485305.5232604695</v>
      </c>
      <c r="T18" s="7">
        <v>6036123.5975492802</v>
      </c>
      <c r="U18" s="7">
        <v>6450219.1188731603</v>
      </c>
      <c r="V18" s="7">
        <v>5798830.4296011897</v>
      </c>
      <c r="W18" s="7">
        <v>5311806.7591974102</v>
      </c>
      <c r="X18" s="7">
        <v>4708043.24456493</v>
      </c>
      <c r="Y18" s="7">
        <v>4042357.5770752202</v>
      </c>
      <c r="Z18" s="7">
        <v>3315732.7282720101</v>
      </c>
      <c r="AA18" s="7">
        <v>2680789.5655796998</v>
      </c>
      <c r="AB18" s="7">
        <v>2767241.4849014501</v>
      </c>
      <c r="AC18" s="7">
        <v>2367159.2370734699</v>
      </c>
    </row>
    <row r="19" spans="1:29" x14ac:dyDescent="0.85">
      <c r="A19" t="s">
        <v>117</v>
      </c>
      <c r="B19" s="7">
        <v>5685817.25</v>
      </c>
      <c r="C19" s="7">
        <v>5496290.0972399097</v>
      </c>
      <c r="D19" s="7">
        <v>5312654.7544999504</v>
      </c>
      <c r="E19" s="7">
        <v>5135326.9022110105</v>
      </c>
      <c r="F19" s="7">
        <v>4964164.4130034596</v>
      </c>
      <c r="G19" s="7">
        <v>4799097.6801990904</v>
      </c>
      <c r="H19" s="7">
        <v>4639238.8548913803</v>
      </c>
      <c r="I19" s="7">
        <v>4484597.5869958196</v>
      </c>
      <c r="J19" s="7">
        <v>4335111.12451756</v>
      </c>
      <c r="K19" s="7">
        <v>4195554.2446189504</v>
      </c>
      <c r="L19" s="7">
        <v>4098888.7988057202</v>
      </c>
      <c r="M19" s="7">
        <v>3962259.1934140199</v>
      </c>
      <c r="N19" s="7">
        <v>3830183.8927891902</v>
      </c>
      <c r="O19" s="7">
        <v>3702510.9680900499</v>
      </c>
      <c r="P19" s="7">
        <v>3579093.7308169198</v>
      </c>
      <c r="Q19" s="7">
        <v>4256855.7218759404</v>
      </c>
      <c r="R19" s="7">
        <v>4832623.7649856098</v>
      </c>
      <c r="S19" s="7">
        <v>5554634.7403070899</v>
      </c>
      <c r="T19" s="7">
        <v>6276271.6884111799</v>
      </c>
      <c r="U19" s="7">
        <v>7050749.92198624</v>
      </c>
      <c r="V19" s="7">
        <v>6815724.92472234</v>
      </c>
      <c r="W19" s="7">
        <v>6662121.23821289</v>
      </c>
      <c r="X19" s="7">
        <v>6440050.5443231398</v>
      </c>
      <c r="Y19" s="7">
        <v>6225382.6773357</v>
      </c>
      <c r="Z19" s="7">
        <v>6017869.9324552603</v>
      </c>
      <c r="AA19" s="7">
        <v>5971301.3935368499</v>
      </c>
      <c r="AB19" s="7">
        <v>5772258.0400377698</v>
      </c>
      <c r="AC19" s="7">
        <v>5578249.6882705502</v>
      </c>
    </row>
    <row r="20" spans="1:29" x14ac:dyDescent="0.85">
      <c r="A20" t="s">
        <v>118</v>
      </c>
      <c r="B20" s="7">
        <v>1214.3309073099999</v>
      </c>
      <c r="C20" s="7">
        <v>1173.85322939</v>
      </c>
      <c r="D20" s="7">
        <v>1134.72478841</v>
      </c>
      <c r="E20" s="7">
        <v>1096.9006287899999</v>
      </c>
      <c r="F20" s="7">
        <v>1060.3404943400001</v>
      </c>
      <c r="G20" s="7">
        <v>1025.08240727</v>
      </c>
      <c r="H20" s="7">
        <v>990.93672398000001</v>
      </c>
      <c r="I20" s="7">
        <v>957.90550567000003</v>
      </c>
      <c r="J20" s="7">
        <v>925.97534858999995</v>
      </c>
      <c r="K20" s="7">
        <v>896.16614029000004</v>
      </c>
      <c r="L20" s="7">
        <v>875.51849890000005</v>
      </c>
      <c r="M20" s="7">
        <v>846.33455346999995</v>
      </c>
      <c r="N20" s="7">
        <v>818.12340293</v>
      </c>
      <c r="O20" s="7">
        <v>790.85262282999997</v>
      </c>
      <c r="P20" s="7">
        <v>764.49086874</v>
      </c>
      <c r="Q20" s="7">
        <v>909.26015737</v>
      </c>
      <c r="R20" s="7">
        <v>1032.2436399400001</v>
      </c>
      <c r="S20" s="7">
        <v>1186.46446769</v>
      </c>
      <c r="T20" s="7">
        <v>1340.6054036</v>
      </c>
      <c r="U20" s="7">
        <v>1506.0331856400001</v>
      </c>
      <c r="V20" s="7">
        <v>1455.8320794799999</v>
      </c>
      <c r="W20" s="7">
        <v>1423.0224844899999</v>
      </c>
      <c r="X20" s="7">
        <v>1375.58840467</v>
      </c>
      <c r="Y20" s="7">
        <v>1329.73556134</v>
      </c>
      <c r="Z20" s="7">
        <v>1285.41104498</v>
      </c>
      <c r="AA20" s="7">
        <v>1275.46405129</v>
      </c>
      <c r="AB20" s="7">
        <v>1232.9485885300001</v>
      </c>
      <c r="AC20" s="7">
        <v>1191.85030224</v>
      </c>
    </row>
    <row r="21" spans="1:29" x14ac:dyDescent="0.85">
      <c r="A21" t="s">
        <v>119</v>
      </c>
      <c r="B21" s="7">
        <v>0</v>
      </c>
      <c r="C21" s="7">
        <v>0.54962900999999997</v>
      </c>
      <c r="D21" s="7">
        <v>1.06253095</v>
      </c>
      <c r="E21" s="7">
        <v>1.5405980699999999</v>
      </c>
      <c r="F21" s="7">
        <v>1.98566577</v>
      </c>
      <c r="G21" s="7">
        <v>2.39954884</v>
      </c>
      <c r="H21" s="7">
        <v>2.7835433100000002</v>
      </c>
      <c r="I21" s="7">
        <v>3.13921831</v>
      </c>
      <c r="J21" s="7">
        <v>3.4680889000000001</v>
      </c>
      <c r="K21" s="7">
        <v>3.7759988199999999</v>
      </c>
      <c r="L21" s="7">
        <v>4.0988888000000001</v>
      </c>
      <c r="M21" s="7">
        <v>4.3584851100000002</v>
      </c>
      <c r="N21" s="7">
        <v>4.5962206700000001</v>
      </c>
      <c r="O21" s="7">
        <v>4.8132642600000004</v>
      </c>
      <c r="P21" s="7">
        <v>5.0107312200000003</v>
      </c>
      <c r="Q21" s="7">
        <v>6.3852835800000003</v>
      </c>
      <c r="R21" s="7">
        <v>7.7321980200000002</v>
      </c>
      <c r="S21" s="7">
        <v>9.4428790599999992</v>
      </c>
      <c r="T21" s="7">
        <v>11.297289040000001</v>
      </c>
      <c r="U21" s="7">
        <v>13.396424850000001</v>
      </c>
      <c r="V21" s="7">
        <v>13.631449849999999</v>
      </c>
      <c r="W21" s="7">
        <v>13.9904546</v>
      </c>
      <c r="X21" s="7">
        <v>14.1681112</v>
      </c>
      <c r="Y21" s="7">
        <v>14.31838016</v>
      </c>
      <c r="Z21" s="7">
        <v>14.442887839999999</v>
      </c>
      <c r="AA21" s="7">
        <v>14.92825348</v>
      </c>
      <c r="AB21" s="7">
        <v>15.0078709</v>
      </c>
      <c r="AC21" s="7">
        <v>15.06127416</v>
      </c>
    </row>
    <row r="22" spans="1:29" x14ac:dyDescent="0.85">
      <c r="A22" t="s">
        <v>120</v>
      </c>
      <c r="B22" s="7">
        <v>2.8429090000000001E-2</v>
      </c>
      <c r="C22" s="7">
        <v>2.7481450000000001E-2</v>
      </c>
      <c r="D22" s="7">
        <v>2.656327E-2</v>
      </c>
      <c r="E22" s="7">
        <v>2.5676629999999999E-2</v>
      </c>
      <c r="F22" s="7">
        <v>2.482082E-2</v>
      </c>
      <c r="G22" s="7">
        <v>2.3995490000000001E-2</v>
      </c>
      <c r="H22" s="7">
        <v>2.3196189999999998E-2</v>
      </c>
      <c r="I22" s="7">
        <v>2.242299E-2</v>
      </c>
      <c r="J22" s="7">
        <v>2.167556E-2</v>
      </c>
      <c r="K22" s="7">
        <v>2.097777E-2</v>
      </c>
      <c r="L22" s="7">
        <v>2.0494439999999999E-2</v>
      </c>
      <c r="M22" s="7">
        <v>1.98113E-2</v>
      </c>
      <c r="N22" s="7">
        <v>1.9150919999999998E-2</v>
      </c>
      <c r="O22" s="7">
        <v>1.8512549999999999E-2</v>
      </c>
      <c r="P22" s="7">
        <v>1.789547E-2</v>
      </c>
      <c r="Q22" s="7">
        <v>2.1284279999999999E-2</v>
      </c>
      <c r="R22" s="7">
        <v>2.416312E-2</v>
      </c>
      <c r="S22" s="7">
        <v>2.777317E-2</v>
      </c>
      <c r="T22" s="7">
        <v>3.1381359999999997E-2</v>
      </c>
      <c r="U22" s="7">
        <v>3.525375E-2</v>
      </c>
      <c r="V22" s="7">
        <v>3.4078619999999997E-2</v>
      </c>
      <c r="W22" s="7">
        <v>3.3310609999999997E-2</v>
      </c>
      <c r="X22" s="7">
        <v>3.220025E-2</v>
      </c>
      <c r="Y22" s="7">
        <v>3.1126910000000001E-2</v>
      </c>
      <c r="Z22" s="7">
        <v>3.0089350000000001E-2</v>
      </c>
      <c r="AA22" s="7">
        <v>2.9856509999999999E-2</v>
      </c>
      <c r="AB22" s="7">
        <v>2.8861290000000001E-2</v>
      </c>
      <c r="AC22" s="7">
        <v>2.7891249999999999E-2</v>
      </c>
    </row>
    <row r="23" spans="1:29" x14ac:dyDescent="0.85">
      <c r="A23" t="s">
        <v>121</v>
      </c>
      <c r="B23" s="7">
        <v>1214.3309073099999</v>
      </c>
      <c r="C23" s="7">
        <v>1173.85322939</v>
      </c>
      <c r="D23" s="7">
        <v>1134.72478841</v>
      </c>
      <c r="E23" s="7">
        <v>1096.9006287899999</v>
      </c>
      <c r="F23" s="7">
        <v>1060.3404943400001</v>
      </c>
      <c r="G23" s="7">
        <v>1025.08240727</v>
      </c>
      <c r="H23" s="7">
        <v>990.93672398000001</v>
      </c>
      <c r="I23" s="7">
        <v>957.90550567000003</v>
      </c>
      <c r="J23" s="7">
        <v>925.97534858999995</v>
      </c>
      <c r="K23" s="7">
        <v>896.16614029000004</v>
      </c>
      <c r="L23" s="7">
        <v>875.51849890000005</v>
      </c>
      <c r="M23" s="7">
        <v>846.33455346999995</v>
      </c>
      <c r="N23" s="7">
        <v>818.12340293</v>
      </c>
      <c r="O23" s="7">
        <v>790.85262282999997</v>
      </c>
      <c r="P23" s="7">
        <v>764.49086874</v>
      </c>
      <c r="Q23" s="7">
        <v>909.26015737</v>
      </c>
      <c r="R23" s="7">
        <v>1032.2436399400001</v>
      </c>
      <c r="S23" s="7">
        <v>1186.46446769</v>
      </c>
      <c r="T23" s="7">
        <v>1340.6054036</v>
      </c>
      <c r="U23" s="7">
        <v>1506.0331856400001</v>
      </c>
      <c r="V23" s="7">
        <v>1455.8320794799999</v>
      </c>
      <c r="W23" s="7">
        <v>1423.0224844899999</v>
      </c>
      <c r="X23" s="7">
        <v>1375.58840467</v>
      </c>
      <c r="Y23" s="7">
        <v>1329.73556134</v>
      </c>
      <c r="Z23" s="7">
        <v>1285.41104498</v>
      </c>
      <c r="AA23" s="7">
        <v>1275.46405129</v>
      </c>
      <c r="AB23" s="7">
        <v>1232.9485885300001</v>
      </c>
      <c r="AC23" s="7">
        <v>1191.85030224</v>
      </c>
    </row>
    <row r="24" spans="1:29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</row>
    <row r="25" spans="1:29" x14ac:dyDescent="0.85">
      <c r="A25" t="s">
        <v>123</v>
      </c>
      <c r="B25" s="7">
        <v>1</v>
      </c>
      <c r="C25" s="7">
        <v>1.03333333</v>
      </c>
      <c r="D25" s="7">
        <v>1.0000000200000001</v>
      </c>
      <c r="E25" s="7">
        <v>0.99991987999999998</v>
      </c>
      <c r="F25" s="7">
        <v>0.99995339000000005</v>
      </c>
      <c r="G25" s="7">
        <v>1.00000304</v>
      </c>
      <c r="H25" s="7">
        <v>1.0000844799999999</v>
      </c>
      <c r="I25" s="7">
        <v>1.0000239500000001</v>
      </c>
      <c r="J25" s="7">
        <v>1.0000000099999999</v>
      </c>
      <c r="K25" s="7">
        <v>1.00000003</v>
      </c>
      <c r="L25" s="7">
        <v>1.00118046</v>
      </c>
      <c r="M25" s="7">
        <v>1.0106483100000001</v>
      </c>
      <c r="N25" s="7">
        <v>1.0000000099999999</v>
      </c>
      <c r="O25" s="7">
        <v>1</v>
      </c>
      <c r="P25" s="7">
        <v>0.99999996999999996</v>
      </c>
      <c r="Q25" s="7">
        <v>0.99999994000000003</v>
      </c>
      <c r="R25" s="7">
        <v>1.20478087</v>
      </c>
      <c r="S25" s="7">
        <v>1.1744034299999999</v>
      </c>
      <c r="T25" s="7">
        <v>1.1736982600000001</v>
      </c>
      <c r="U25" s="7">
        <v>1.16212567</v>
      </c>
      <c r="V25" s="7">
        <v>1.1523705099999999</v>
      </c>
      <c r="W25" s="7">
        <v>1</v>
      </c>
      <c r="X25" s="7">
        <v>1.0111689699999999</v>
      </c>
      <c r="Y25" s="7">
        <v>1</v>
      </c>
      <c r="Z25" s="7">
        <v>1.00000008</v>
      </c>
      <c r="AA25" s="7">
        <v>1</v>
      </c>
      <c r="AB25" s="7">
        <v>1.0264775399999999</v>
      </c>
      <c r="AC25" s="7">
        <v>1</v>
      </c>
    </row>
    <row r="26" spans="1:29" x14ac:dyDescent="0.85">
      <c r="A26" t="s">
        <v>124</v>
      </c>
      <c r="B26" s="7">
        <v>1</v>
      </c>
      <c r="C26" s="7">
        <v>1.0000000200000001</v>
      </c>
      <c r="D26" s="7">
        <v>0.99991987999999998</v>
      </c>
      <c r="E26" s="7">
        <v>0.99995339000000005</v>
      </c>
      <c r="F26" s="7">
        <v>1.00000304</v>
      </c>
      <c r="G26" s="7">
        <v>1.0000844799999999</v>
      </c>
      <c r="H26" s="7">
        <v>1.0000239500000001</v>
      </c>
      <c r="I26" s="7">
        <v>1.0000000099999999</v>
      </c>
      <c r="J26" s="7">
        <v>1.00000003</v>
      </c>
      <c r="K26" s="7">
        <v>1.00118046</v>
      </c>
      <c r="L26" s="7">
        <v>1.0106483100000001</v>
      </c>
      <c r="M26" s="7">
        <v>1.0000000099999999</v>
      </c>
      <c r="N26" s="7">
        <v>1</v>
      </c>
      <c r="O26" s="7">
        <v>0.99999996999999996</v>
      </c>
      <c r="P26" s="7">
        <v>0.99999994000000003</v>
      </c>
      <c r="Q26" s="7">
        <v>1.2303795799999999</v>
      </c>
      <c r="R26" s="7">
        <v>1.1744034299999999</v>
      </c>
      <c r="S26" s="7">
        <v>1.18903812</v>
      </c>
      <c r="T26" s="7">
        <v>1.16887881</v>
      </c>
      <c r="U26" s="7">
        <v>1.1621356700000001</v>
      </c>
      <c r="V26" s="7">
        <v>1</v>
      </c>
      <c r="W26" s="7">
        <v>1.0111689699999999</v>
      </c>
      <c r="X26" s="7">
        <v>1</v>
      </c>
      <c r="Y26" s="7">
        <v>1.00000008</v>
      </c>
      <c r="Z26" s="7">
        <v>1</v>
      </c>
      <c r="AA26" s="7">
        <v>1.0264775399999999</v>
      </c>
      <c r="AB26" s="7">
        <v>1</v>
      </c>
      <c r="AC26" s="7">
        <v>0.99971330000000003</v>
      </c>
    </row>
    <row r="27" spans="1:29" x14ac:dyDescent="0.85">
      <c r="A27" t="s">
        <v>125</v>
      </c>
      <c r="B27" s="7">
        <v>1</v>
      </c>
      <c r="C27" s="7">
        <v>1.11452905</v>
      </c>
      <c r="D27" s="7">
        <v>1.11813947</v>
      </c>
      <c r="E27" s="7">
        <v>1.12283384</v>
      </c>
      <c r="F27" s="7">
        <v>1.1272185400000001</v>
      </c>
      <c r="G27" s="7">
        <v>1.1319915700000001</v>
      </c>
      <c r="H27" s="7">
        <v>1.13695704</v>
      </c>
      <c r="I27" s="7">
        <v>1.14368873</v>
      </c>
      <c r="J27" s="7">
        <v>1.1507887000000001</v>
      </c>
      <c r="K27" s="7">
        <v>1.1583458799999999</v>
      </c>
      <c r="L27" s="7">
        <v>1.1704504</v>
      </c>
      <c r="M27" s="7">
        <v>1.1827036399999999</v>
      </c>
      <c r="N27" s="7">
        <v>1.1934541999999999</v>
      </c>
      <c r="O27" s="7">
        <v>1.2045063</v>
      </c>
      <c r="P27" s="7">
        <v>1.2173132099999999</v>
      </c>
      <c r="Q27" s="7">
        <v>1.2303853600000001</v>
      </c>
      <c r="R27" s="7">
        <v>1.2047908700000001</v>
      </c>
      <c r="S27" s="7">
        <v>1.18903965</v>
      </c>
      <c r="T27" s="7">
        <v>1.1737082599999999</v>
      </c>
      <c r="U27" s="7">
        <v>1.1621356700000001</v>
      </c>
      <c r="V27" s="7">
        <v>1.15238051</v>
      </c>
      <c r="W27" s="7">
        <v>1.16111359</v>
      </c>
      <c r="X27" s="7">
        <v>1.1655572300000001</v>
      </c>
      <c r="Y27" s="7">
        <v>1.17149999</v>
      </c>
      <c r="Z27" s="7">
        <v>1.17789831</v>
      </c>
      <c r="AA27" s="7">
        <v>1.18466026</v>
      </c>
      <c r="AB27" s="7">
        <v>1.1876637400000001</v>
      </c>
      <c r="AC27" s="7">
        <v>1.1938336899999999</v>
      </c>
    </row>
    <row r="28" spans="1:29" x14ac:dyDescent="0.85">
      <c r="A28" t="s">
        <v>126</v>
      </c>
      <c r="B28" s="7">
        <v>2825</v>
      </c>
      <c r="C28" s="7">
        <v>2712.0000733400002</v>
      </c>
      <c r="D28" s="7">
        <v>2603.5200704099998</v>
      </c>
      <c r="E28" s="7">
        <v>2499.3792675899999</v>
      </c>
      <c r="F28" s="7">
        <v>2399.4047039400002</v>
      </c>
      <c r="G28" s="7">
        <v>2303.42851578</v>
      </c>
      <c r="H28" s="7">
        <v>2220.7848093699999</v>
      </c>
      <c r="I28" s="7">
        <v>2132.2071420500001</v>
      </c>
      <c r="J28" s="7">
        <v>2046.9197603</v>
      </c>
      <c r="K28" s="7">
        <v>2862.8484749899999</v>
      </c>
      <c r="L28" s="7">
        <v>3706.8650990199999</v>
      </c>
      <c r="M28" s="7">
        <v>4584.4021990600004</v>
      </c>
      <c r="N28" s="7">
        <v>5472.8399618699996</v>
      </c>
      <c r="O28" s="7">
        <v>6370.6006579900004</v>
      </c>
      <c r="P28" s="7">
        <v>7283.8441849199999</v>
      </c>
      <c r="Q28" s="7">
        <v>8210.2063023299997</v>
      </c>
      <c r="R28" s="7">
        <v>9165.4528405700003</v>
      </c>
      <c r="S28" s="7">
        <v>10144.17022964</v>
      </c>
      <c r="T28" s="7">
        <v>11155.33390392</v>
      </c>
      <c r="U28" s="7">
        <v>12200.27400408</v>
      </c>
      <c r="V28" s="7">
        <v>13282.55446906</v>
      </c>
      <c r="W28" s="7">
        <v>12808.837140469999</v>
      </c>
      <c r="X28" s="7">
        <v>12296.48375639</v>
      </c>
      <c r="Y28" s="7">
        <v>11804.62453623</v>
      </c>
      <c r="Z28" s="7">
        <v>11332.44070288</v>
      </c>
      <c r="AA28" s="7">
        <v>10879.1452379</v>
      </c>
      <c r="AB28" s="7">
        <v>10444.13155905</v>
      </c>
      <c r="AC28" s="7">
        <v>10031.16079593</v>
      </c>
    </row>
    <row r="29" spans="1:29" x14ac:dyDescent="0.85">
      <c r="A29" t="s">
        <v>127</v>
      </c>
      <c r="B29" s="7">
        <v>7100189.25</v>
      </c>
      <c r="C29" s="7">
        <v>6816181.8643394904</v>
      </c>
      <c r="D29" s="7">
        <v>6538777.6899408204</v>
      </c>
      <c r="E29" s="7">
        <v>6277226.5641269498</v>
      </c>
      <c r="F29" s="7">
        <v>6026139.0261737304</v>
      </c>
      <c r="G29" s="7">
        <v>5784473.2670866204</v>
      </c>
      <c r="H29" s="7">
        <v>5576934.6752998196</v>
      </c>
      <c r="I29" s="7">
        <v>5354494.45406288</v>
      </c>
      <c r="J29" s="7">
        <v>5140316.9458860997</v>
      </c>
      <c r="K29" s="7">
        <v>7189313.8240866996</v>
      </c>
      <c r="L29" s="7">
        <v>9308846.3232316896</v>
      </c>
      <c r="M29" s="7">
        <v>11512556.949054901</v>
      </c>
      <c r="N29" s="7">
        <v>13743641.8093984</v>
      </c>
      <c r="O29" s="7">
        <v>15998138.8390992</v>
      </c>
      <c r="P29" s="7">
        <v>18291517.049748398</v>
      </c>
      <c r="Q29" s="7">
        <v>20614779.092833601</v>
      </c>
      <c r="R29" s="7">
        <v>22963928.4810712</v>
      </c>
      <c r="S29" s="7">
        <v>25156540.892776299</v>
      </c>
      <c r="T29" s="7">
        <v>26941888.990372699</v>
      </c>
      <c r="U29" s="7">
        <v>28028368.636762001</v>
      </c>
      <c r="V29" s="7">
        <v>28379127.5299895</v>
      </c>
      <c r="W29" s="7">
        <v>25646524.427708801</v>
      </c>
      <c r="X29" s="7">
        <v>22574658.393449999</v>
      </c>
      <c r="Y29" s="7">
        <v>19249077.9950395</v>
      </c>
      <c r="Z29" s="7">
        <v>15680115.3718017</v>
      </c>
      <c r="AA29" s="7">
        <v>12265283.3681708</v>
      </c>
      <c r="AB29" s="7">
        <v>12573689.616668699</v>
      </c>
      <c r="AC29" s="7">
        <v>10689805.298523899</v>
      </c>
    </row>
    <row r="30" spans="1:29" x14ac:dyDescent="0.85">
      <c r="A30" t="s">
        <v>128</v>
      </c>
      <c r="B30" s="7">
        <v>7100189.25</v>
      </c>
      <c r="C30" s="7">
        <v>6816181.8643394904</v>
      </c>
      <c r="D30" s="7">
        <v>6538777.6899408204</v>
      </c>
      <c r="E30" s="7">
        <v>6277226.5641269498</v>
      </c>
      <c r="F30" s="7">
        <v>6026139.0261737304</v>
      </c>
      <c r="G30" s="7">
        <v>5784473.2670866204</v>
      </c>
      <c r="H30" s="7">
        <v>5576934.6752998196</v>
      </c>
      <c r="I30" s="7">
        <v>5354494.45406288</v>
      </c>
      <c r="J30" s="7">
        <v>5140316.9458860997</v>
      </c>
      <c r="K30" s="7">
        <v>7189313.8240866996</v>
      </c>
      <c r="L30" s="7">
        <v>9308846.3232316896</v>
      </c>
      <c r="M30" s="7">
        <v>11512556.949054901</v>
      </c>
      <c r="N30" s="7">
        <v>13743641.8093984</v>
      </c>
      <c r="O30" s="7">
        <v>15998138.8390992</v>
      </c>
      <c r="P30" s="7">
        <v>18291517.049748398</v>
      </c>
      <c r="Q30" s="7">
        <v>20617839.254718199</v>
      </c>
      <c r="R30" s="7">
        <v>23016697.316104699</v>
      </c>
      <c r="S30" s="7">
        <v>25474496.4335026</v>
      </c>
      <c r="T30" s="7">
        <v>28013776.121358201</v>
      </c>
      <c r="U30" s="7">
        <v>30637876.6886876</v>
      </c>
      <c r="V30" s="7">
        <v>33355748.059238601</v>
      </c>
      <c r="W30" s="7">
        <v>32166127.802058998</v>
      </c>
      <c r="X30" s="7">
        <v>30879482.944953602</v>
      </c>
      <c r="Y30" s="7">
        <v>29644303.953858901</v>
      </c>
      <c r="Z30" s="7">
        <v>28458534.678870499</v>
      </c>
      <c r="AA30" s="7">
        <v>27320198.7238582</v>
      </c>
      <c r="AB30" s="7">
        <v>26227772.812295899</v>
      </c>
      <c r="AC30" s="7">
        <v>25190702.061888002</v>
      </c>
    </row>
    <row r="31" spans="1:29" x14ac:dyDescent="0.85">
      <c r="A31" t="s">
        <v>129</v>
      </c>
      <c r="B31" s="7">
        <v>854.46686871999998</v>
      </c>
      <c r="C31" s="7">
        <v>820.28821616000005</v>
      </c>
      <c r="D31" s="7">
        <v>787.47668751000003</v>
      </c>
      <c r="E31" s="7">
        <v>755.97762001000001</v>
      </c>
      <c r="F31" s="7">
        <v>725.73869881999997</v>
      </c>
      <c r="G31" s="7">
        <v>696.70915087000003</v>
      </c>
      <c r="H31" s="7">
        <v>671.71222732000001</v>
      </c>
      <c r="I31" s="7">
        <v>644.92048146000002</v>
      </c>
      <c r="J31" s="7">
        <v>619.12393560999999</v>
      </c>
      <c r="K31" s="7">
        <v>865.91475117000005</v>
      </c>
      <c r="L31" s="7">
        <v>1121.20120847</v>
      </c>
      <c r="M31" s="7">
        <v>1386.6264750400001</v>
      </c>
      <c r="N31" s="7">
        <v>1655.34882309</v>
      </c>
      <c r="O31" s="7">
        <v>1926.8910428700001</v>
      </c>
      <c r="P31" s="7">
        <v>2203.11629485</v>
      </c>
      <c r="Q31" s="7">
        <v>2483.3094763600002</v>
      </c>
      <c r="R31" s="7">
        <v>2772.2392173799999</v>
      </c>
      <c r="S31" s="7">
        <v>3068.2680962499999</v>
      </c>
      <c r="T31" s="7">
        <v>3374.1108780300001</v>
      </c>
      <c r="U31" s="7">
        <v>3690.16988524</v>
      </c>
      <c r="V31" s="7">
        <v>4017.5230887799999</v>
      </c>
      <c r="W31" s="7">
        <v>3874.23963306</v>
      </c>
      <c r="X31" s="7">
        <v>3719.2700784499998</v>
      </c>
      <c r="Y31" s="7">
        <v>3570.49931466</v>
      </c>
      <c r="Z31" s="7">
        <v>3427.6796893300002</v>
      </c>
      <c r="AA31" s="7">
        <v>3290.5731560300001</v>
      </c>
      <c r="AB31" s="7">
        <v>3158.99624417</v>
      </c>
      <c r="AC31" s="7">
        <v>3034.0865681199998</v>
      </c>
    </row>
    <row r="32" spans="1:29" x14ac:dyDescent="0.85">
      <c r="A32" t="s">
        <v>130</v>
      </c>
      <c r="B32" s="7">
        <v>0</v>
      </c>
      <c r="C32" s="7">
        <v>0.54529455000000004</v>
      </c>
      <c r="D32" s="7">
        <v>1.04620443</v>
      </c>
      <c r="E32" s="7">
        <v>1.50653438</v>
      </c>
      <c r="F32" s="7">
        <v>1.9283644900000001</v>
      </c>
      <c r="G32" s="7">
        <v>2.3137893100000002</v>
      </c>
      <c r="H32" s="7">
        <v>2.6769286399999999</v>
      </c>
      <c r="I32" s="7">
        <v>2.9985168899999999</v>
      </c>
      <c r="J32" s="7">
        <v>3.2898028500000001</v>
      </c>
      <c r="K32" s="7">
        <v>5.1763059499999997</v>
      </c>
      <c r="L32" s="7">
        <v>7.4470770599999998</v>
      </c>
      <c r="M32" s="7">
        <v>10.131050119999999</v>
      </c>
      <c r="N32" s="7">
        <v>13.19389614</v>
      </c>
      <c r="O32" s="7">
        <v>16.63806439</v>
      </c>
      <c r="P32" s="7">
        <v>20.4864991</v>
      </c>
      <c r="Q32" s="7">
        <v>24.741407110000001</v>
      </c>
      <c r="R32" s="7">
        <v>29.461372560000001</v>
      </c>
      <c r="S32" s="7">
        <v>34.645315150000002</v>
      </c>
      <c r="T32" s="7">
        <v>40.339837609999996</v>
      </c>
      <c r="U32" s="7">
        <v>46.569572569999998</v>
      </c>
      <c r="V32" s="7">
        <v>53.369196889999998</v>
      </c>
      <c r="W32" s="7">
        <v>54.039094710000001</v>
      </c>
      <c r="X32" s="7">
        <v>54.347889979999998</v>
      </c>
      <c r="Y32" s="7">
        <v>54.545519280000001</v>
      </c>
      <c r="Z32" s="7">
        <v>54.640386579999998</v>
      </c>
      <c r="AA32" s="7">
        <v>54.640397450000002</v>
      </c>
      <c r="AB32" s="7">
        <v>54.553767450000002</v>
      </c>
      <c r="AC32" s="7">
        <v>54.41191645</v>
      </c>
    </row>
    <row r="33" spans="1:29" x14ac:dyDescent="0.85">
      <c r="A33" t="s">
        <v>131</v>
      </c>
      <c r="B33" s="7">
        <v>2.8400760000000001E-2</v>
      </c>
      <c r="C33" s="7">
        <v>2.7264730000000001E-2</v>
      </c>
      <c r="D33" s="7">
        <v>2.6155109999999999E-2</v>
      </c>
      <c r="E33" s="7">
        <v>2.5108910000000002E-2</v>
      </c>
      <c r="F33" s="7">
        <v>2.4104560000000001E-2</v>
      </c>
      <c r="G33" s="7">
        <v>2.3137890000000001E-2</v>
      </c>
      <c r="H33" s="7">
        <v>2.230774E-2</v>
      </c>
      <c r="I33" s="7">
        <v>2.141798E-2</v>
      </c>
      <c r="J33" s="7">
        <v>2.056127E-2</v>
      </c>
      <c r="K33" s="7">
        <v>2.875726E-2</v>
      </c>
      <c r="L33" s="7">
        <v>3.723539E-2</v>
      </c>
      <c r="M33" s="7">
        <v>4.6050229999999998E-2</v>
      </c>
      <c r="N33" s="7">
        <v>5.497457E-2</v>
      </c>
      <c r="O33" s="7">
        <v>6.3992560000000004E-2</v>
      </c>
      <c r="P33" s="7">
        <v>7.316607E-2</v>
      </c>
      <c r="Q33" s="7">
        <v>8.2471359999999994E-2</v>
      </c>
      <c r="R33" s="7">
        <v>9.2066789999999996E-2</v>
      </c>
      <c r="S33" s="7">
        <v>0.10189798999999999</v>
      </c>
      <c r="T33" s="7">
        <v>0.1120551</v>
      </c>
      <c r="U33" s="7">
        <v>0.12255151</v>
      </c>
      <c r="V33" s="7">
        <v>0.13342298999999999</v>
      </c>
      <c r="W33" s="7">
        <v>0.12866451000000001</v>
      </c>
      <c r="X33" s="7">
        <v>0.12351793</v>
      </c>
      <c r="Y33" s="7">
        <v>0.11857722</v>
      </c>
      <c r="Z33" s="7">
        <v>0.11383414</v>
      </c>
      <c r="AA33" s="7">
        <v>0.10928079</v>
      </c>
      <c r="AB33" s="7">
        <v>0.10491109</v>
      </c>
      <c r="AC33" s="7">
        <v>0.10076280999999999</v>
      </c>
    </row>
    <row r="34" spans="1:29" x14ac:dyDescent="0.85">
      <c r="A34" t="s">
        <v>132</v>
      </c>
      <c r="B34" s="7">
        <v>854.46686871999998</v>
      </c>
      <c r="C34" s="7">
        <v>820.28821616000005</v>
      </c>
      <c r="D34" s="7">
        <v>787.47668751000003</v>
      </c>
      <c r="E34" s="7">
        <v>755.97762001000001</v>
      </c>
      <c r="F34" s="7">
        <v>725.73869881999997</v>
      </c>
      <c r="G34" s="7">
        <v>696.70915087000003</v>
      </c>
      <c r="H34" s="7">
        <v>671.71222732000001</v>
      </c>
      <c r="I34" s="7">
        <v>644.92048146000002</v>
      </c>
      <c r="J34" s="7">
        <v>619.12393560999999</v>
      </c>
      <c r="K34" s="7">
        <v>865.91475117000005</v>
      </c>
      <c r="L34" s="7">
        <v>1121.20120847</v>
      </c>
      <c r="M34" s="7">
        <v>1386.6264750400001</v>
      </c>
      <c r="N34" s="7">
        <v>1655.34882309</v>
      </c>
      <c r="O34" s="7">
        <v>1926.8910428700001</v>
      </c>
      <c r="P34" s="7">
        <v>2203.11629485</v>
      </c>
      <c r="Q34" s="7">
        <v>2483.3094763600002</v>
      </c>
      <c r="R34" s="7">
        <v>2772.2392173799999</v>
      </c>
      <c r="S34" s="7">
        <v>3068.2680962499999</v>
      </c>
      <c r="T34" s="7">
        <v>3374.1108780300001</v>
      </c>
      <c r="U34" s="7">
        <v>3690.16988524</v>
      </c>
      <c r="V34" s="7">
        <v>4017.5230887799999</v>
      </c>
      <c r="W34" s="7">
        <v>3874.23963306</v>
      </c>
      <c r="X34" s="7">
        <v>3719.2700784499998</v>
      </c>
      <c r="Y34" s="7">
        <v>3570.49931466</v>
      </c>
      <c r="Z34" s="7">
        <v>3427.6796893300002</v>
      </c>
      <c r="AA34" s="7">
        <v>3290.5731560300001</v>
      </c>
      <c r="AB34" s="7">
        <v>3158.99624417</v>
      </c>
      <c r="AC34" s="7">
        <v>3034.0865681199998</v>
      </c>
    </row>
    <row r="35" spans="1:29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</row>
    <row r="36" spans="1:29" x14ac:dyDescent="0.85">
      <c r="A36" t="s">
        <v>134</v>
      </c>
      <c r="B36" s="7">
        <v>1</v>
      </c>
      <c r="C36" s="7">
        <v>1.04</v>
      </c>
      <c r="D36" s="7">
        <v>1.00000003</v>
      </c>
      <c r="E36" s="7">
        <v>0.99927303999999995</v>
      </c>
      <c r="F36" s="7">
        <v>1</v>
      </c>
      <c r="G36" s="7">
        <v>1.00000025</v>
      </c>
      <c r="H36" s="7">
        <v>0.99989278999999998</v>
      </c>
      <c r="I36" s="7">
        <v>1.00429316</v>
      </c>
      <c r="J36" s="7">
        <v>1.0001190099999999</v>
      </c>
      <c r="K36" s="7">
        <v>1.00000044</v>
      </c>
      <c r="L36" s="7">
        <v>1.3487577900000001</v>
      </c>
      <c r="M36" s="7">
        <v>1.28825349</v>
      </c>
      <c r="N36" s="7">
        <v>1.24352727</v>
      </c>
      <c r="O36" s="7">
        <v>1.2125309099999999</v>
      </c>
      <c r="P36" s="7">
        <v>1.1909825199999999</v>
      </c>
      <c r="Q36" s="7">
        <v>1.1741362399999999</v>
      </c>
      <c r="R36" s="7">
        <v>1.1628531900000001</v>
      </c>
      <c r="S36" s="7">
        <v>1.1528892799999999</v>
      </c>
      <c r="T36" s="7">
        <v>1.14548926</v>
      </c>
      <c r="U36" s="7">
        <v>1.13923145</v>
      </c>
      <c r="V36" s="7">
        <v>1.1340661299999999</v>
      </c>
      <c r="W36" s="7">
        <v>1.1279602900000001</v>
      </c>
      <c r="X36" s="7">
        <v>1.0045160200000001</v>
      </c>
      <c r="Y36" s="7">
        <v>1.0000000099999999</v>
      </c>
      <c r="Z36" s="7">
        <v>1.0000000099999999</v>
      </c>
      <c r="AA36" s="7">
        <v>1.0000001000000001</v>
      </c>
      <c r="AB36" s="7">
        <v>1.0000001999999999</v>
      </c>
      <c r="AC36" s="7">
        <v>1.00001457</v>
      </c>
    </row>
    <row r="37" spans="1:29" x14ac:dyDescent="0.85">
      <c r="A37" t="s">
        <v>135</v>
      </c>
      <c r="B37" s="7">
        <v>1</v>
      </c>
      <c r="C37" s="7">
        <v>1.00000003</v>
      </c>
      <c r="D37" s="7">
        <v>0.99927303999999995</v>
      </c>
      <c r="E37" s="7">
        <v>1</v>
      </c>
      <c r="F37" s="7">
        <v>1.00000025</v>
      </c>
      <c r="G37" s="7">
        <v>0.99989278999999998</v>
      </c>
      <c r="H37" s="7">
        <v>1.00429316</v>
      </c>
      <c r="I37" s="7">
        <v>1.0001190099999999</v>
      </c>
      <c r="J37" s="7">
        <v>1.00000044</v>
      </c>
      <c r="K37" s="7">
        <v>1.4568884799999999</v>
      </c>
      <c r="L37" s="7">
        <v>1.3487677899999999</v>
      </c>
      <c r="M37" s="7">
        <v>1.2882634900000001</v>
      </c>
      <c r="N37" s="7">
        <v>1.2435372600000001</v>
      </c>
      <c r="O37" s="7">
        <v>1.21254091</v>
      </c>
      <c r="P37" s="7">
        <v>1.1909925100000001</v>
      </c>
      <c r="Q37" s="7">
        <v>1.17414624</v>
      </c>
      <c r="R37" s="7">
        <v>1.1628631899999999</v>
      </c>
      <c r="S37" s="7">
        <v>1.15289928</v>
      </c>
      <c r="T37" s="7">
        <v>1.14549926</v>
      </c>
      <c r="U37" s="7">
        <v>1.1392414500000001</v>
      </c>
      <c r="V37" s="7">
        <v>1.1340724200000001</v>
      </c>
      <c r="W37" s="7">
        <v>1.0045160200000001</v>
      </c>
      <c r="X37" s="7">
        <v>1.0000000099999999</v>
      </c>
      <c r="Y37" s="7">
        <v>1.0000000099999999</v>
      </c>
      <c r="Z37" s="7">
        <v>1.0000001000000001</v>
      </c>
      <c r="AA37" s="7">
        <v>1.0000001999999999</v>
      </c>
      <c r="AB37" s="7">
        <v>1.00001457</v>
      </c>
      <c r="AC37" s="7">
        <v>1.0004781899999999</v>
      </c>
    </row>
    <row r="38" spans="1:29" x14ac:dyDescent="0.85">
      <c r="A38" t="s">
        <v>136</v>
      </c>
      <c r="B38" s="7">
        <v>1</v>
      </c>
      <c r="C38" s="7">
        <v>1.3036544699999999</v>
      </c>
      <c r="D38" s="7">
        <v>1.3165333800000001</v>
      </c>
      <c r="E38" s="7">
        <v>1.3328754199999999</v>
      </c>
      <c r="F38" s="7">
        <v>1.3484813899999999</v>
      </c>
      <c r="G38" s="7">
        <v>1.36548797</v>
      </c>
      <c r="H38" s="7">
        <v>1.38334248</v>
      </c>
      <c r="I38" s="7">
        <v>1.40527899</v>
      </c>
      <c r="J38" s="7">
        <v>1.43017507</v>
      </c>
      <c r="K38" s="7">
        <v>1.4568884799999999</v>
      </c>
      <c r="L38" s="7">
        <v>1.3487677899999999</v>
      </c>
      <c r="M38" s="7">
        <v>1.2882634900000001</v>
      </c>
      <c r="N38" s="7">
        <v>1.24353727</v>
      </c>
      <c r="O38" s="7">
        <v>1.21254091</v>
      </c>
      <c r="P38" s="7">
        <v>1.19099252</v>
      </c>
      <c r="Q38" s="7">
        <v>1.17414624</v>
      </c>
      <c r="R38" s="7">
        <v>1.1628631899999999</v>
      </c>
      <c r="S38" s="7">
        <v>1.15289928</v>
      </c>
      <c r="T38" s="7">
        <v>1.14549926</v>
      </c>
      <c r="U38" s="7">
        <v>1.1392414500000001</v>
      </c>
      <c r="V38" s="7">
        <v>1.13407613</v>
      </c>
      <c r="W38" s="7">
        <v>1.1279702899999999</v>
      </c>
      <c r="X38" s="7">
        <v>1.1328863899999999</v>
      </c>
      <c r="Y38" s="7">
        <v>1.1383112200000001</v>
      </c>
      <c r="Z38" s="7">
        <v>1.14416418</v>
      </c>
      <c r="AA38" s="7">
        <v>1.15038065</v>
      </c>
      <c r="AB38" s="7">
        <v>1.1572202899999999</v>
      </c>
      <c r="AC38" s="7">
        <v>1.1632558399999999</v>
      </c>
    </row>
    <row r="39" spans="1:29" x14ac:dyDescent="0.85">
      <c r="A39" t="s">
        <v>137</v>
      </c>
      <c r="B39" s="7">
        <v>4096</v>
      </c>
      <c r="C39" s="7">
        <v>3993.6</v>
      </c>
      <c r="D39" s="7">
        <v>3893.76</v>
      </c>
      <c r="E39" s="7">
        <v>3796.4160000000002</v>
      </c>
      <c r="F39" s="7">
        <v>3701.5056</v>
      </c>
      <c r="G39" s="7">
        <v>3608.9679751100002</v>
      </c>
      <c r="H39" s="7">
        <v>3522.48958429</v>
      </c>
      <c r="I39" s="7">
        <v>3434.4273476100002</v>
      </c>
      <c r="J39" s="7">
        <v>3354.09290478</v>
      </c>
      <c r="K39" s="7">
        <v>3426.4537684900001</v>
      </c>
      <c r="L39" s="7">
        <v>3609.69415213</v>
      </c>
      <c r="M39" s="7">
        <v>3931.60346476</v>
      </c>
      <c r="N39" s="7">
        <v>4998.1467280899997</v>
      </c>
      <c r="O39" s="7">
        <v>6092.2271172000001</v>
      </c>
      <c r="P39" s="7">
        <v>7218.1602516800003</v>
      </c>
      <c r="Q39" s="7">
        <v>8373.5060587200005</v>
      </c>
      <c r="R39" s="7">
        <v>9575.8851168500005</v>
      </c>
      <c r="S39" s="7">
        <v>10819.70272754</v>
      </c>
      <c r="T39" s="7">
        <v>12115.223510149999</v>
      </c>
      <c r="U39" s="7">
        <v>13464.3860243</v>
      </c>
      <c r="V39" s="7">
        <v>14871.38855996</v>
      </c>
      <c r="W39" s="7">
        <v>16316.02563869</v>
      </c>
      <c r="X39" s="7">
        <v>17765.069828079999</v>
      </c>
      <c r="Y39" s="7">
        <v>19215.775065279999</v>
      </c>
      <c r="Z39" s="7">
        <v>20669.855651040001</v>
      </c>
      <c r="AA39" s="7">
        <v>22018.849136239998</v>
      </c>
      <c r="AB39" s="7">
        <v>22257.680153550002</v>
      </c>
      <c r="AC39" s="7">
        <v>23168.98244797</v>
      </c>
    </row>
    <row r="40" spans="1:29" x14ac:dyDescent="0.85">
      <c r="A40" t="s">
        <v>138</v>
      </c>
      <c r="B40" s="7">
        <v>31697696</v>
      </c>
      <c r="C40" s="7">
        <v>30905189.6393332</v>
      </c>
      <c r="D40" s="7">
        <v>30013627.5862264</v>
      </c>
      <c r="E40" s="7">
        <v>29263286.814538099</v>
      </c>
      <c r="F40" s="7">
        <v>28531704.614700198</v>
      </c>
      <c r="G40" s="7">
        <v>27818412.115799502</v>
      </c>
      <c r="H40" s="7">
        <v>27151825.010671899</v>
      </c>
      <c r="I40" s="7">
        <v>26473029.4080122</v>
      </c>
      <c r="J40" s="7">
        <v>25853800.6830272</v>
      </c>
      <c r="K40" s="7">
        <v>26411567.984232102</v>
      </c>
      <c r="L40" s="7">
        <v>27824009.586278699</v>
      </c>
      <c r="M40" s="7">
        <v>30305330.0037366</v>
      </c>
      <c r="N40" s="7">
        <v>38526389.387841001</v>
      </c>
      <c r="O40" s="7">
        <v>46959708.653033003</v>
      </c>
      <c r="P40" s="7">
        <v>55638553.177512698</v>
      </c>
      <c r="Q40" s="7">
        <v>64544114.550765403</v>
      </c>
      <c r="R40" s="7">
        <v>73812214.569701806</v>
      </c>
      <c r="S40" s="7">
        <v>83399728.543158501</v>
      </c>
      <c r="T40" s="7">
        <v>93385777.542190894</v>
      </c>
      <c r="U40" s="7">
        <v>103785304.245814</v>
      </c>
      <c r="V40" s="7">
        <v>114630669.639698</v>
      </c>
      <c r="W40" s="7">
        <v>125766127.169726</v>
      </c>
      <c r="X40" s="7">
        <v>136935555.303289</v>
      </c>
      <c r="Y40" s="7">
        <v>148117787.01756001</v>
      </c>
      <c r="Z40" s="7">
        <v>159326036.37393701</v>
      </c>
      <c r="AA40" s="7">
        <v>169724260.17966601</v>
      </c>
      <c r="AB40" s="7">
        <v>171565201.886913</v>
      </c>
      <c r="AC40" s="7">
        <v>178589642.93574399</v>
      </c>
    </row>
    <row r="41" spans="1:29" x14ac:dyDescent="0.85">
      <c r="A41" t="s">
        <v>139</v>
      </c>
      <c r="B41" s="7">
        <v>31697696</v>
      </c>
      <c r="C41" s="7">
        <v>30905189.6393332</v>
      </c>
      <c r="D41" s="7">
        <v>30013627.5862264</v>
      </c>
      <c r="E41" s="7">
        <v>29263286.814538099</v>
      </c>
      <c r="F41" s="7">
        <v>28531704.614700198</v>
      </c>
      <c r="G41" s="7">
        <v>27818412.115799502</v>
      </c>
      <c r="H41" s="7">
        <v>27151825.010671899</v>
      </c>
      <c r="I41" s="7">
        <v>26473029.4080122</v>
      </c>
      <c r="J41" s="7">
        <v>25853800.6830272</v>
      </c>
      <c r="K41" s="7">
        <v>26411567.984232102</v>
      </c>
      <c r="L41" s="7">
        <v>27824009.586278699</v>
      </c>
      <c r="M41" s="7">
        <v>30305330.0037366</v>
      </c>
      <c r="N41" s="7">
        <v>38526389.387841001</v>
      </c>
      <c r="O41" s="7">
        <v>46959708.653033003</v>
      </c>
      <c r="P41" s="7">
        <v>55638553.177512698</v>
      </c>
      <c r="Q41" s="7">
        <v>64544114.550765403</v>
      </c>
      <c r="R41" s="7">
        <v>73812214.569701806</v>
      </c>
      <c r="S41" s="7">
        <v>83399728.543158501</v>
      </c>
      <c r="T41" s="7">
        <v>93385777.542190894</v>
      </c>
      <c r="U41" s="7">
        <v>103785304.245814</v>
      </c>
      <c r="V41" s="7">
        <v>114630669.639698</v>
      </c>
      <c r="W41" s="7">
        <v>125766127.169726</v>
      </c>
      <c r="X41" s="7">
        <v>136935555.303289</v>
      </c>
      <c r="Y41" s="7">
        <v>148117787.01756001</v>
      </c>
      <c r="Z41" s="7">
        <v>159326036.37393701</v>
      </c>
      <c r="AA41" s="7">
        <v>169724260.17966601</v>
      </c>
      <c r="AB41" s="7">
        <v>171565201.886913</v>
      </c>
      <c r="AC41" s="7">
        <v>178589642.93574399</v>
      </c>
    </row>
    <row r="42" spans="1:29" x14ac:dyDescent="0.85">
      <c r="A42" t="s">
        <v>140</v>
      </c>
      <c r="B42" s="7">
        <v>4738.3864057600003</v>
      </c>
      <c r="C42" s="7">
        <v>4619.9260989699997</v>
      </c>
      <c r="D42" s="7">
        <v>4503.2255408199999</v>
      </c>
      <c r="E42" s="7">
        <v>4390.6449014700001</v>
      </c>
      <c r="F42" s="7">
        <v>4280.8787786399998</v>
      </c>
      <c r="G42" s="7">
        <v>4173.8568266399998</v>
      </c>
      <c r="H42" s="7">
        <v>4073.8425221699999</v>
      </c>
      <c r="I42" s="7">
        <v>3971.9964625100001</v>
      </c>
      <c r="J42" s="7">
        <v>3879.08777921</v>
      </c>
      <c r="K42" s="7">
        <v>3962.7748296499999</v>
      </c>
      <c r="L42" s="7">
        <v>4174.6966675499998</v>
      </c>
      <c r="M42" s="7">
        <v>4546.9924017699996</v>
      </c>
      <c r="N42" s="7">
        <v>5780.4749129100001</v>
      </c>
      <c r="O42" s="7">
        <v>7045.8047613500003</v>
      </c>
      <c r="P42" s="7">
        <v>8347.9730632299998</v>
      </c>
      <c r="Q42" s="7">
        <v>9684.1578166300005</v>
      </c>
      <c r="R42" s="7">
        <v>11074.7376374</v>
      </c>
      <c r="S42" s="7">
        <v>12513.24212436</v>
      </c>
      <c r="T42" s="7">
        <v>14011.542552589999</v>
      </c>
      <c r="U42" s="7">
        <v>15571.88091213</v>
      </c>
      <c r="V42" s="7">
        <v>17199.112624649999</v>
      </c>
      <c r="W42" s="7">
        <v>18869.869576410001</v>
      </c>
      <c r="X42" s="7">
        <v>20545.723455880001</v>
      </c>
      <c r="Y42" s="7">
        <v>22223.498376439999</v>
      </c>
      <c r="Z42" s="7">
        <v>23905.176967449999</v>
      </c>
      <c r="AA42" s="7">
        <v>25465.319841019998</v>
      </c>
      <c r="AB42" s="7">
        <v>25741.533561640001</v>
      </c>
      <c r="AC42" s="7">
        <v>26795.476220299999</v>
      </c>
    </row>
    <row r="43" spans="1:29" x14ac:dyDescent="0.85">
      <c r="A43" t="s">
        <v>141</v>
      </c>
      <c r="B43" s="7">
        <v>0</v>
      </c>
      <c r="C43" s="7">
        <v>1.85431138</v>
      </c>
      <c r="D43" s="7">
        <v>3.6016353099999998</v>
      </c>
      <c r="E43" s="7">
        <v>5.2673916299999997</v>
      </c>
      <c r="F43" s="7">
        <v>6.8476091099999996</v>
      </c>
      <c r="G43" s="7">
        <v>8.3455236300000006</v>
      </c>
      <c r="H43" s="7">
        <v>9.7746569999999995</v>
      </c>
      <c r="I43" s="7">
        <v>11.118672350000001</v>
      </c>
      <c r="J43" s="7">
        <v>12.409824329999999</v>
      </c>
      <c r="K43" s="7">
        <v>14.262246709999999</v>
      </c>
      <c r="L43" s="7">
        <v>16.694405750000001</v>
      </c>
      <c r="M43" s="7">
        <v>20.001517799999998</v>
      </c>
      <c r="N43" s="7">
        <v>27.739000359999999</v>
      </c>
      <c r="O43" s="7">
        <v>36.628572749999996</v>
      </c>
      <c r="P43" s="7">
        <v>46.73638467</v>
      </c>
      <c r="Q43" s="7">
        <v>58.089703100000001</v>
      </c>
      <c r="R43" s="7">
        <v>70.859725990000001</v>
      </c>
      <c r="S43" s="7">
        <v>85.067723110000003</v>
      </c>
      <c r="T43" s="7">
        <v>100.85663975</v>
      </c>
      <c r="U43" s="7">
        <v>118.31524684</v>
      </c>
      <c r="V43" s="7">
        <v>137.55680357</v>
      </c>
      <c r="W43" s="7">
        <v>158.46532023</v>
      </c>
      <c r="X43" s="7">
        <v>180.75493299999999</v>
      </c>
      <c r="Y43" s="7">
        <v>204.40254608000001</v>
      </c>
      <c r="Z43" s="7">
        <v>229.42949238</v>
      </c>
      <c r="AA43" s="7">
        <v>254.58639027000001</v>
      </c>
      <c r="AB43" s="7">
        <v>267.64171493999999</v>
      </c>
      <c r="AC43" s="7">
        <v>289.31522156</v>
      </c>
    </row>
    <row r="44" spans="1:29" x14ac:dyDescent="0.85">
      <c r="A44" t="s">
        <v>142</v>
      </c>
      <c r="B44" s="7">
        <v>9.5093090000000005E-2</v>
      </c>
      <c r="C44" s="7">
        <v>9.2715569999999997E-2</v>
      </c>
      <c r="D44" s="7">
        <v>9.0040880000000004E-2</v>
      </c>
      <c r="E44" s="7">
        <v>8.7789859999999997E-2</v>
      </c>
      <c r="F44" s="7">
        <v>8.5595110000000002E-2</v>
      </c>
      <c r="G44" s="7">
        <v>8.345524E-2</v>
      </c>
      <c r="H44" s="7">
        <v>8.1455479999999997E-2</v>
      </c>
      <c r="I44" s="7">
        <v>7.9419089999999998E-2</v>
      </c>
      <c r="J44" s="7">
        <v>7.7561400000000003E-2</v>
      </c>
      <c r="K44" s="7">
        <v>7.9234700000000005E-2</v>
      </c>
      <c r="L44" s="7">
        <v>8.3472030000000003E-2</v>
      </c>
      <c r="M44" s="7">
        <v>9.0915990000000002E-2</v>
      </c>
      <c r="N44" s="7">
        <v>0.11557916999999999</v>
      </c>
      <c r="O44" s="7">
        <v>0.14087912999999999</v>
      </c>
      <c r="P44" s="7">
        <v>0.16691565999999999</v>
      </c>
      <c r="Q44" s="7">
        <v>0.19363233999999999</v>
      </c>
      <c r="R44" s="7">
        <v>0.22143663999999999</v>
      </c>
      <c r="S44" s="7">
        <v>0.25019919000000002</v>
      </c>
      <c r="T44" s="7">
        <v>0.28015732999999998</v>
      </c>
      <c r="U44" s="7">
        <v>0.31135591000000001</v>
      </c>
      <c r="V44" s="7">
        <v>0.34389201000000003</v>
      </c>
      <c r="W44" s="7">
        <v>0.37729837999999999</v>
      </c>
      <c r="X44" s="7">
        <v>0.41080666999999998</v>
      </c>
      <c r="Y44" s="7">
        <v>0.44435335999999998</v>
      </c>
      <c r="Z44" s="7">
        <v>0.47797811000000001</v>
      </c>
      <c r="AA44" s="7">
        <v>0.50917277999999999</v>
      </c>
      <c r="AB44" s="7">
        <v>0.51469560999999997</v>
      </c>
      <c r="AC44" s="7">
        <v>0.53576893000000003</v>
      </c>
    </row>
    <row r="45" spans="1:29" x14ac:dyDescent="0.85">
      <c r="A45" t="s">
        <v>143</v>
      </c>
      <c r="B45" s="7">
        <v>4417.9226992000004</v>
      </c>
      <c r="C45" s="7">
        <v>4307.4746317199997</v>
      </c>
      <c r="D45" s="7">
        <v>4199.7877659200003</v>
      </c>
      <c r="E45" s="7">
        <v>4094.79307178</v>
      </c>
      <c r="F45" s="7">
        <v>3992.4232449800002</v>
      </c>
      <c r="G45" s="7">
        <v>3892.61268015</v>
      </c>
      <c r="H45" s="7">
        <v>3799.3375713099999</v>
      </c>
      <c r="I45" s="7">
        <v>3704.3541351899999</v>
      </c>
      <c r="J45" s="7">
        <v>3617.7058543100002</v>
      </c>
      <c r="K45" s="7">
        <v>3695.7538773299998</v>
      </c>
      <c r="L45" s="7">
        <v>3893.3959306299998</v>
      </c>
      <c r="M45" s="7">
        <v>4240.6055154300002</v>
      </c>
      <c r="N45" s="7">
        <v>5390.9731161999998</v>
      </c>
      <c r="O45" s="7">
        <v>6571.0421068699998</v>
      </c>
      <c r="P45" s="7">
        <v>7785.4672906100004</v>
      </c>
      <c r="Q45" s="7">
        <v>9031.6168185200004</v>
      </c>
      <c r="R45" s="7">
        <v>10328.496148099999</v>
      </c>
      <c r="S45" s="7">
        <v>11670.070868790001</v>
      </c>
      <c r="T45" s="7">
        <v>13067.41234164</v>
      </c>
      <c r="U45" s="7">
        <v>14522.611486199999</v>
      </c>
      <c r="V45" s="7">
        <v>16040.19655459</v>
      </c>
      <c r="W45" s="7">
        <v>17598.374030719999</v>
      </c>
      <c r="X45" s="7">
        <v>19161.30499176</v>
      </c>
      <c r="Y45" s="7">
        <v>20726.027549689999</v>
      </c>
      <c r="Z45" s="7">
        <v>22294.390739710001</v>
      </c>
      <c r="AA45" s="7">
        <v>23749.4075706</v>
      </c>
      <c r="AB45" s="7">
        <v>24007.009370560001</v>
      </c>
      <c r="AC45" s="7">
        <v>24989.934930219999</v>
      </c>
    </row>
    <row r="46" spans="1:29" x14ac:dyDescent="0.85">
      <c r="A46" t="s">
        <v>144</v>
      </c>
      <c r="B46" s="7">
        <v>320.46370655999999</v>
      </c>
      <c r="C46" s="7">
        <v>312.45146725000001</v>
      </c>
      <c r="D46" s="7">
        <v>303.43777490000002</v>
      </c>
      <c r="E46" s="7">
        <v>295.85182968999999</v>
      </c>
      <c r="F46" s="7">
        <v>288.45553365000001</v>
      </c>
      <c r="G46" s="7">
        <v>281.24414648999999</v>
      </c>
      <c r="H46" s="7">
        <v>274.50495086000001</v>
      </c>
      <c r="I46" s="7">
        <v>267.64232731999999</v>
      </c>
      <c r="J46" s="7">
        <v>261.38192491000001</v>
      </c>
      <c r="K46" s="7">
        <v>267.02095231999999</v>
      </c>
      <c r="L46" s="7">
        <v>281.30073692000002</v>
      </c>
      <c r="M46" s="7">
        <v>306.38688633999999</v>
      </c>
      <c r="N46" s="7">
        <v>389.50179671000001</v>
      </c>
      <c r="O46" s="7">
        <v>474.76265447999998</v>
      </c>
      <c r="P46" s="7">
        <v>562.50577262000002</v>
      </c>
      <c r="Q46" s="7">
        <v>652.54099811000003</v>
      </c>
      <c r="R46" s="7">
        <v>746.24148930000001</v>
      </c>
      <c r="S46" s="7">
        <v>843.17125556999997</v>
      </c>
      <c r="T46" s="7">
        <v>944.13021094999999</v>
      </c>
      <c r="U46" s="7">
        <v>1049.2694259299999</v>
      </c>
      <c r="V46" s="7">
        <v>1158.91607006</v>
      </c>
      <c r="W46" s="7">
        <v>1271.49554569</v>
      </c>
      <c r="X46" s="7">
        <v>1384.41846412</v>
      </c>
      <c r="Y46" s="7">
        <v>1497.47082675</v>
      </c>
      <c r="Z46" s="7">
        <v>1610.78622774</v>
      </c>
      <c r="AA46" s="7">
        <v>1715.9122704199999</v>
      </c>
      <c r="AB46" s="7">
        <v>1734.52419108</v>
      </c>
      <c r="AC46" s="7">
        <v>1805.54129008</v>
      </c>
    </row>
    <row r="47" spans="1:29" x14ac:dyDescent="0.85">
      <c r="A47" t="s">
        <v>145</v>
      </c>
      <c r="B47" s="7">
        <v>1</v>
      </c>
      <c r="C47" s="7">
        <v>1.0249999999999999</v>
      </c>
      <c r="D47" s="7">
        <v>0.99999793000000003</v>
      </c>
      <c r="E47" s="7">
        <v>0.99605303000000001</v>
      </c>
      <c r="F47" s="7">
        <v>1</v>
      </c>
      <c r="G47" s="7">
        <v>1</v>
      </c>
      <c r="H47" s="7">
        <v>1</v>
      </c>
      <c r="I47" s="7">
        <v>1.0010645300000001</v>
      </c>
      <c r="J47" s="7">
        <v>1</v>
      </c>
      <c r="K47" s="7">
        <v>1.0016503299999999</v>
      </c>
      <c r="L47" s="7">
        <v>1.0477681000000001</v>
      </c>
      <c r="M47" s="7">
        <v>1.0804904</v>
      </c>
      <c r="N47" s="7">
        <v>1.1171067800000001</v>
      </c>
      <c r="O47" s="7">
        <v>1.2501411200000001</v>
      </c>
      <c r="P47" s="7">
        <v>1.2151845699999999</v>
      </c>
      <c r="Q47" s="7">
        <v>1.18979613</v>
      </c>
      <c r="R47" s="7">
        <v>1.1729061700000001</v>
      </c>
      <c r="S47" s="7">
        <v>1.1588521700000001</v>
      </c>
      <c r="T47" s="7">
        <v>1.1484384000000001</v>
      </c>
      <c r="U47" s="7">
        <v>1.1398473600000001</v>
      </c>
      <c r="V47" s="7">
        <v>1.1328302699999999</v>
      </c>
      <c r="W47" s="7">
        <v>1.12526389</v>
      </c>
      <c r="X47" s="7">
        <v>1.1167338200000001</v>
      </c>
      <c r="Y47" s="7">
        <v>1.1093876899999999</v>
      </c>
      <c r="Z47" s="7">
        <v>1.1032577699999999</v>
      </c>
      <c r="AA47" s="7">
        <v>1.0980242899999999</v>
      </c>
      <c r="AB47" s="7">
        <v>1.09257826</v>
      </c>
      <c r="AC47" s="7">
        <v>1.0367658099999999</v>
      </c>
    </row>
    <row r="48" spans="1:29" x14ac:dyDescent="0.85">
      <c r="A48" t="s">
        <v>146</v>
      </c>
      <c r="B48" s="7">
        <v>1</v>
      </c>
      <c r="C48" s="7">
        <v>0.99999793000000003</v>
      </c>
      <c r="D48" s="7">
        <v>0.99605303000000001</v>
      </c>
      <c r="E48" s="7">
        <v>1</v>
      </c>
      <c r="F48" s="7">
        <v>1</v>
      </c>
      <c r="G48" s="7">
        <v>1</v>
      </c>
      <c r="H48" s="7">
        <v>1.0010645300000001</v>
      </c>
      <c r="I48" s="7">
        <v>1</v>
      </c>
      <c r="J48" s="7">
        <v>1.0016503299999999</v>
      </c>
      <c r="K48" s="7">
        <v>1.0477681000000001</v>
      </c>
      <c r="L48" s="7">
        <v>1.0804904</v>
      </c>
      <c r="M48" s="7">
        <v>1.1171067800000001</v>
      </c>
      <c r="N48" s="7">
        <v>1.30387115</v>
      </c>
      <c r="O48" s="7">
        <v>1.2501509900000001</v>
      </c>
      <c r="P48" s="7">
        <v>1.21519457</v>
      </c>
      <c r="Q48" s="7">
        <v>1.18980613</v>
      </c>
      <c r="R48" s="7">
        <v>1.1729161699999999</v>
      </c>
      <c r="S48" s="7">
        <v>1.1588621699999999</v>
      </c>
      <c r="T48" s="7">
        <v>1.1484483999999999</v>
      </c>
      <c r="U48" s="7">
        <v>1.1398573599999999</v>
      </c>
      <c r="V48" s="7">
        <v>1.1328185500000001</v>
      </c>
      <c r="W48" s="7">
        <v>1.1252738900000001</v>
      </c>
      <c r="X48" s="7">
        <v>1.1167293300000001</v>
      </c>
      <c r="Y48" s="7">
        <v>1.10939543</v>
      </c>
      <c r="Z48" s="7">
        <v>1.1032525</v>
      </c>
      <c r="AA48" s="7">
        <v>1.09257826</v>
      </c>
      <c r="AB48" s="7">
        <v>1.0367658099999999</v>
      </c>
      <c r="AC48" s="7">
        <v>1.0676341300000001</v>
      </c>
    </row>
    <row r="49" spans="1:29" x14ac:dyDescent="0.85">
      <c r="A49" t="s">
        <v>147</v>
      </c>
      <c r="B49" s="7">
        <v>1</v>
      </c>
      <c r="C49" s="7">
        <v>1.23356716</v>
      </c>
      <c r="D49" s="7">
        <v>1.2398290300000001</v>
      </c>
      <c r="E49" s="7">
        <v>1.2483755000000001</v>
      </c>
      <c r="F49" s="7">
        <v>1.25607797</v>
      </c>
      <c r="G49" s="7">
        <v>1.2644805699999999</v>
      </c>
      <c r="H49" s="7">
        <v>1.2731594900000001</v>
      </c>
      <c r="I49" s="7">
        <v>1.2851663499999999</v>
      </c>
      <c r="J49" s="7">
        <v>1.29799094</v>
      </c>
      <c r="K49" s="7">
        <v>1.3110600800000001</v>
      </c>
      <c r="L49" s="7">
        <v>1.31986727</v>
      </c>
      <c r="M49" s="7">
        <v>1.3207352000000001</v>
      </c>
      <c r="N49" s="7">
        <v>1.3045438899999999</v>
      </c>
      <c r="O49" s="7">
        <v>1.2501511199999999</v>
      </c>
      <c r="P49" s="7">
        <v>1.21519457</v>
      </c>
      <c r="Q49" s="7">
        <v>1.18980613</v>
      </c>
      <c r="R49" s="7">
        <v>1.1729161699999999</v>
      </c>
      <c r="S49" s="7">
        <v>1.1588621699999999</v>
      </c>
      <c r="T49" s="7">
        <v>1.1484483999999999</v>
      </c>
      <c r="U49" s="7">
        <v>1.1398573599999999</v>
      </c>
      <c r="V49" s="7">
        <v>1.13284027</v>
      </c>
      <c r="W49" s="7">
        <v>1.1252738900000001</v>
      </c>
      <c r="X49" s="7">
        <v>1.1167438199999999</v>
      </c>
      <c r="Y49" s="7">
        <v>1.10939769</v>
      </c>
      <c r="Z49" s="7">
        <v>1.10326777</v>
      </c>
      <c r="AA49" s="7">
        <v>1.09803429</v>
      </c>
      <c r="AB49" s="7">
        <v>1.0940124600000001</v>
      </c>
      <c r="AC49" s="7">
        <v>1.0933822600000001</v>
      </c>
    </row>
    <row r="50" spans="1:29" x14ac:dyDescent="0.85">
      <c r="A50" t="s">
        <v>148</v>
      </c>
      <c r="B50" s="7">
        <v>14663</v>
      </c>
      <c r="C50" s="7">
        <v>15295.215557060001</v>
      </c>
      <c r="D50" s="7">
        <v>16208.19320322</v>
      </c>
      <c r="E50" s="7">
        <v>16948.759087800001</v>
      </c>
      <c r="F50" s="7">
        <v>17735.155011089999</v>
      </c>
      <c r="G50" s="7">
        <v>18506.458155290002</v>
      </c>
      <c r="H50" s="7">
        <v>19674.940515419999</v>
      </c>
      <c r="I50" s="7">
        <v>20853.79051712</v>
      </c>
      <c r="J50" s="7">
        <v>22043.312164020001</v>
      </c>
      <c r="K50" s="7">
        <v>23244.659852500001</v>
      </c>
      <c r="L50" s="7">
        <v>24508.13784177</v>
      </c>
      <c r="M50" s="7">
        <v>24735.14473254</v>
      </c>
      <c r="N50" s="7">
        <v>24144.10725727</v>
      </c>
      <c r="O50" s="7">
        <v>23771.631431509999</v>
      </c>
      <c r="P50" s="7">
        <v>23261.22091389</v>
      </c>
      <c r="Q50" s="7">
        <v>22529.54514346</v>
      </c>
      <c r="R50" s="7">
        <v>21628.363337719999</v>
      </c>
      <c r="S50" s="7">
        <v>20897.722325850002</v>
      </c>
      <c r="T50" s="7">
        <v>20164.254918260001</v>
      </c>
      <c r="U50" s="7">
        <v>19464.108659289999</v>
      </c>
      <c r="V50" s="7">
        <v>18962.424008919999</v>
      </c>
      <c r="W50" s="7">
        <v>18683.346774779999</v>
      </c>
      <c r="X50" s="7">
        <v>18391.62914737</v>
      </c>
      <c r="Y50" s="7">
        <v>18148.873411640001</v>
      </c>
      <c r="Z50" s="7">
        <v>17910.49375637</v>
      </c>
      <c r="AA50" s="7">
        <v>17726.588897149999</v>
      </c>
      <c r="AB50" s="7">
        <v>18318.998704770001</v>
      </c>
      <c r="AC50" s="7">
        <v>18487.963679640001</v>
      </c>
    </row>
    <row r="51" spans="1:29" x14ac:dyDescent="0.85">
      <c r="A51" t="s">
        <v>149</v>
      </c>
      <c r="B51" s="7">
        <v>57983527.25</v>
      </c>
      <c r="C51" s="7">
        <v>62307199.164107002</v>
      </c>
      <c r="D51" s="7">
        <v>66847184.371885002</v>
      </c>
      <c r="E51" s="7">
        <v>71170268.0132332</v>
      </c>
      <c r="F51" s="7">
        <v>75499290.870381996</v>
      </c>
      <c r="G51" s="7">
        <v>79845339.1446466</v>
      </c>
      <c r="H51" s="7">
        <v>86405853.413350895</v>
      </c>
      <c r="I51" s="7">
        <v>93076349.748733193</v>
      </c>
      <c r="J51" s="7">
        <v>99670170.107471794</v>
      </c>
      <c r="K51" s="7">
        <v>106090461.10695501</v>
      </c>
      <c r="L51" s="7">
        <v>109291882.737903</v>
      </c>
      <c r="M51" s="7">
        <v>107859138.90684199</v>
      </c>
      <c r="N51" s="7">
        <v>100717000.55422901</v>
      </c>
      <c r="O51" s="7">
        <v>93398405.625973806</v>
      </c>
      <c r="P51" s="7">
        <v>85855949.625941604</v>
      </c>
      <c r="Q51" s="7">
        <v>77322472.520447999</v>
      </c>
      <c r="R51" s="7">
        <v>68579759.010172099</v>
      </c>
      <c r="S51" s="7">
        <v>59644659.917852603</v>
      </c>
      <c r="T51" s="7">
        <v>50901298.715506203</v>
      </c>
      <c r="U51" s="7">
        <v>42651678.934338003</v>
      </c>
      <c r="V51" s="7">
        <v>35830467.877925999</v>
      </c>
      <c r="W51" s="7">
        <v>31712590.403312702</v>
      </c>
      <c r="X51" s="7">
        <v>28092671.274360798</v>
      </c>
      <c r="Y51" s="7">
        <v>24853104.008122999</v>
      </c>
      <c r="Z51" s="7">
        <v>21970867.134637799</v>
      </c>
      <c r="AA51" s="7">
        <v>19733451.095351499</v>
      </c>
      <c r="AB51" s="7">
        <v>21690905.480038699</v>
      </c>
      <c r="AC51" s="7">
        <v>21227547.9214934</v>
      </c>
    </row>
    <row r="52" spans="1:29" x14ac:dyDescent="0.85">
      <c r="A52" t="s">
        <v>150</v>
      </c>
      <c r="B52" s="7">
        <v>57983527.25</v>
      </c>
      <c r="C52" s="7">
        <v>62307199.164107002</v>
      </c>
      <c r="D52" s="7">
        <v>66847184.371885002</v>
      </c>
      <c r="E52" s="7">
        <v>71170268.0132332</v>
      </c>
      <c r="F52" s="7">
        <v>75499290.870381996</v>
      </c>
      <c r="G52" s="7">
        <v>79845339.1446466</v>
      </c>
      <c r="H52" s="7">
        <v>86405853.413350895</v>
      </c>
      <c r="I52" s="7">
        <v>93076349.748733193</v>
      </c>
      <c r="J52" s="7">
        <v>99670170.107471794</v>
      </c>
      <c r="K52" s="7">
        <v>106090461.10695501</v>
      </c>
      <c r="L52" s="7">
        <v>109291882.737903</v>
      </c>
      <c r="M52" s="7">
        <v>107859138.90684199</v>
      </c>
      <c r="N52" s="7">
        <v>100717000.55422901</v>
      </c>
      <c r="O52" s="7">
        <v>93398405.625973806</v>
      </c>
      <c r="P52" s="7">
        <v>85855949.625941604</v>
      </c>
      <c r="Q52" s="7">
        <v>77322472.520447999</v>
      </c>
      <c r="R52" s="7">
        <v>68579759.010172099</v>
      </c>
      <c r="S52" s="7">
        <v>59644659.917852603</v>
      </c>
      <c r="T52" s="7">
        <v>50901298.715506203</v>
      </c>
      <c r="U52" s="7">
        <v>42651678.934338003</v>
      </c>
      <c r="V52" s="7">
        <v>35830467.877925999</v>
      </c>
      <c r="W52" s="7">
        <v>31712590.403312702</v>
      </c>
      <c r="X52" s="7">
        <v>28092671.274360798</v>
      </c>
      <c r="Y52" s="7">
        <v>24853104.008122999</v>
      </c>
      <c r="Z52" s="7">
        <v>21970867.134637799</v>
      </c>
      <c r="AA52" s="7">
        <v>19733451.095351499</v>
      </c>
      <c r="AB52" s="7">
        <v>21690905.480038699</v>
      </c>
      <c r="AC52" s="7">
        <v>21227547.9214934</v>
      </c>
    </row>
    <row r="53" spans="1:29" x14ac:dyDescent="0.85">
      <c r="A53" t="s">
        <v>151</v>
      </c>
      <c r="B53" s="7">
        <v>4195.4596861700002</v>
      </c>
      <c r="C53" s="7">
        <v>4420.8493586100003</v>
      </c>
      <c r="D53" s="7">
        <v>4704.7602293299997</v>
      </c>
      <c r="E53" s="7">
        <v>4950.6828845800001</v>
      </c>
      <c r="F53" s="7">
        <v>5205.4415724</v>
      </c>
      <c r="G53" s="7">
        <v>5457.7535163499997</v>
      </c>
      <c r="H53" s="7">
        <v>5839.4186926100001</v>
      </c>
      <c r="I53" s="7">
        <v>6225.7335298500002</v>
      </c>
      <c r="J53" s="7">
        <v>6612.2012224399996</v>
      </c>
      <c r="K53" s="7">
        <v>6996.6774652399999</v>
      </c>
      <c r="L53" s="7">
        <v>7314.3955598399998</v>
      </c>
      <c r="M53" s="7">
        <v>7322.4857373499999</v>
      </c>
      <c r="N53" s="7">
        <v>7036.1344118300003</v>
      </c>
      <c r="O53" s="7">
        <v>6786.9251344100003</v>
      </c>
      <c r="P53" s="7">
        <v>6506.0959912400003</v>
      </c>
      <c r="Q53" s="7">
        <v>6159.1256387100002</v>
      </c>
      <c r="R53" s="7">
        <v>5774.9051366900003</v>
      </c>
      <c r="S53" s="7">
        <v>5418.3314372000004</v>
      </c>
      <c r="T53" s="7">
        <v>5065.9001502700003</v>
      </c>
      <c r="U53" s="7">
        <v>4731.8351091499999</v>
      </c>
      <c r="V53" s="7">
        <v>4470.2590983999999</v>
      </c>
      <c r="W53" s="7">
        <v>4316.8592465900001</v>
      </c>
      <c r="X53" s="7">
        <v>4173.2124798300001</v>
      </c>
      <c r="Y53" s="7">
        <v>4048.1313324900002</v>
      </c>
      <c r="Z53" s="7">
        <v>3932.5989177699998</v>
      </c>
      <c r="AA53" s="7">
        <v>3843.1306213900002</v>
      </c>
      <c r="AB53" s="7">
        <v>4003.2359044200002</v>
      </c>
      <c r="AC53" s="7">
        <v>4023.9721556</v>
      </c>
    </row>
    <row r="54" spans="1:29" x14ac:dyDescent="0.85">
      <c r="A54" t="s">
        <v>152</v>
      </c>
      <c r="B54" s="7">
        <v>0</v>
      </c>
      <c r="C54" s="7">
        <v>610.61055180999995</v>
      </c>
      <c r="D54" s="7">
        <v>1310.20481369</v>
      </c>
      <c r="E54" s="7">
        <v>2092.40587959</v>
      </c>
      <c r="F54" s="7">
        <v>2959.5722021199999</v>
      </c>
      <c r="G54" s="7">
        <v>3912.4216180899998</v>
      </c>
      <c r="H54" s="7">
        <v>5080.6641807100004</v>
      </c>
      <c r="I54" s="7">
        <v>6385.0375927599998</v>
      </c>
      <c r="J54" s="7">
        <v>7814.1413364299997</v>
      </c>
      <c r="K54" s="7">
        <v>9357.1786696300005</v>
      </c>
      <c r="L54" s="7">
        <v>10710.60450831</v>
      </c>
      <c r="M54" s="7">
        <v>11627.215174159999</v>
      </c>
      <c r="N54" s="7">
        <v>11844.31926518</v>
      </c>
      <c r="O54" s="7">
        <v>11898.95687675</v>
      </c>
      <c r="P54" s="7">
        <v>11779.436288680001</v>
      </c>
      <c r="Q54" s="7">
        <v>11366.403460510001</v>
      </c>
      <c r="R54" s="7">
        <v>10753.306212789999</v>
      </c>
      <c r="S54" s="7">
        <v>9936.8003423099999</v>
      </c>
      <c r="T54" s="7">
        <v>8978.9890934199993</v>
      </c>
      <c r="U54" s="7">
        <v>7941.7426175700002</v>
      </c>
      <c r="V54" s="7">
        <v>7022.7717040699999</v>
      </c>
      <c r="W54" s="7">
        <v>6526.4511050000001</v>
      </c>
      <c r="X54" s="7">
        <v>6056.7799267500004</v>
      </c>
      <c r="Y54" s="7">
        <v>5601.8896434300004</v>
      </c>
      <c r="Z54" s="7">
        <v>5167.5479500700003</v>
      </c>
      <c r="AA54" s="7">
        <v>4834.6955183600003</v>
      </c>
      <c r="AB54" s="7">
        <v>5526.8427163099996</v>
      </c>
      <c r="AC54" s="7">
        <v>5616.8091800299999</v>
      </c>
    </row>
    <row r="55" spans="1:29" x14ac:dyDescent="0.85">
      <c r="A55" t="s">
        <v>153</v>
      </c>
      <c r="B55" s="7">
        <v>28.41192835</v>
      </c>
      <c r="C55" s="7">
        <v>30.530527589999998</v>
      </c>
      <c r="D55" s="7">
        <v>32.755120339999998</v>
      </c>
      <c r="E55" s="7">
        <v>34.873431330000003</v>
      </c>
      <c r="F55" s="7">
        <v>36.994652530000003</v>
      </c>
      <c r="G55" s="7">
        <v>39.124216179999998</v>
      </c>
      <c r="H55" s="7">
        <v>42.338868169999998</v>
      </c>
      <c r="I55" s="7">
        <v>45.607411380000002</v>
      </c>
      <c r="J55" s="7">
        <v>48.838383350000001</v>
      </c>
      <c r="K55" s="7">
        <v>51.984325939999998</v>
      </c>
      <c r="L55" s="7">
        <v>53.553022540000001</v>
      </c>
      <c r="M55" s="7">
        <v>52.850978060000003</v>
      </c>
      <c r="N55" s="7">
        <v>49.351330269999998</v>
      </c>
      <c r="O55" s="7">
        <v>45.765218760000003</v>
      </c>
      <c r="P55" s="7">
        <v>42.069415319999997</v>
      </c>
      <c r="Q55" s="7">
        <v>37.888011540000001</v>
      </c>
      <c r="R55" s="7">
        <v>33.604081909999998</v>
      </c>
      <c r="S55" s="7">
        <v>29.225883360000001</v>
      </c>
      <c r="T55" s="7">
        <v>24.941636370000001</v>
      </c>
      <c r="U55" s="7">
        <v>20.899322680000001</v>
      </c>
      <c r="V55" s="7">
        <v>17.55692926</v>
      </c>
      <c r="W55" s="7">
        <v>15.539169299999999</v>
      </c>
      <c r="X55" s="7">
        <v>13.76540892</v>
      </c>
      <c r="Y55" s="7">
        <v>12.17802096</v>
      </c>
      <c r="Z55" s="7">
        <v>10.7657249</v>
      </c>
      <c r="AA55" s="7">
        <v>9.6693910400000007</v>
      </c>
      <c r="AB55" s="7">
        <v>10.628543690000001</v>
      </c>
      <c r="AC55" s="7">
        <v>10.401498480000001</v>
      </c>
    </row>
    <row r="56" spans="1:29" x14ac:dyDescent="0.85">
      <c r="A56" t="s">
        <v>154</v>
      </c>
      <c r="B56" s="7">
        <v>2780.6616212700001</v>
      </c>
      <c r="C56" s="7">
        <v>2900.5536990099999</v>
      </c>
      <c r="D56" s="7">
        <v>3073.6889306600001</v>
      </c>
      <c r="E56" s="7">
        <v>3214.12834505</v>
      </c>
      <c r="F56" s="7">
        <v>3363.25887517</v>
      </c>
      <c r="G56" s="7">
        <v>3509.5272412200002</v>
      </c>
      <c r="H56" s="7">
        <v>3731.1158693299999</v>
      </c>
      <c r="I56" s="7">
        <v>3954.6705959800001</v>
      </c>
      <c r="J56" s="7">
        <v>4180.2490718199997</v>
      </c>
      <c r="K56" s="7">
        <v>4408.0702142299997</v>
      </c>
      <c r="L56" s="7">
        <v>4647.6736210400004</v>
      </c>
      <c r="M56" s="7">
        <v>4690.7227480199999</v>
      </c>
      <c r="N56" s="7">
        <v>4578.6395983100001</v>
      </c>
      <c r="O56" s="7">
        <v>4508.0040371300001</v>
      </c>
      <c r="P56" s="7">
        <v>4411.21082037</v>
      </c>
      <c r="Q56" s="7">
        <v>4272.4573092099999</v>
      </c>
      <c r="R56" s="7">
        <v>4101.5590168500003</v>
      </c>
      <c r="S56" s="7">
        <v>3963.0017352099999</v>
      </c>
      <c r="T56" s="7">
        <v>3823.9084616099999</v>
      </c>
      <c r="U56" s="7">
        <v>3691.13414315</v>
      </c>
      <c r="V56" s="7">
        <v>3595.9956821800001</v>
      </c>
      <c r="W56" s="7">
        <v>3543.0720407399999</v>
      </c>
      <c r="X56" s="7">
        <v>3487.7513007299999</v>
      </c>
      <c r="Y56" s="7">
        <v>3441.7155946900002</v>
      </c>
      <c r="Z56" s="7">
        <v>3396.50975969</v>
      </c>
      <c r="AA56" s="7">
        <v>3361.6344146699998</v>
      </c>
      <c r="AB56" s="7">
        <v>3473.9778107100001</v>
      </c>
      <c r="AC56" s="7">
        <v>3506.0199863100001</v>
      </c>
    </row>
    <row r="57" spans="1:29" x14ac:dyDescent="0.85">
      <c r="A57" t="s">
        <v>155</v>
      </c>
      <c r="B57" s="7">
        <v>1414.7980649000001</v>
      </c>
      <c r="C57" s="7">
        <v>1520.2956595999999</v>
      </c>
      <c r="D57" s="7">
        <v>1631.07129867</v>
      </c>
      <c r="E57" s="7">
        <v>1736.5545395199999</v>
      </c>
      <c r="F57" s="7">
        <v>1842.1826972399999</v>
      </c>
      <c r="G57" s="7">
        <v>1948.22627513</v>
      </c>
      <c r="H57" s="7">
        <v>2108.3028232900001</v>
      </c>
      <c r="I57" s="7">
        <v>2271.0629338700001</v>
      </c>
      <c r="J57" s="7">
        <v>2431.9521506199999</v>
      </c>
      <c r="K57" s="7">
        <v>2588.6072510099998</v>
      </c>
      <c r="L57" s="7">
        <v>2666.7219387999999</v>
      </c>
      <c r="M57" s="7">
        <v>2631.76298933</v>
      </c>
      <c r="N57" s="7">
        <v>2457.4948135200002</v>
      </c>
      <c r="O57" s="7">
        <v>2278.9210972699998</v>
      </c>
      <c r="P57" s="7">
        <v>2094.8851708699999</v>
      </c>
      <c r="Q57" s="7">
        <v>1886.6683295</v>
      </c>
      <c r="R57" s="7">
        <v>1673.3461198499999</v>
      </c>
      <c r="S57" s="7">
        <v>1455.329702</v>
      </c>
      <c r="T57" s="7">
        <v>1241.9916886599999</v>
      </c>
      <c r="U57" s="7">
        <v>1040.7009660000001</v>
      </c>
      <c r="V57" s="7">
        <v>874.26341621999995</v>
      </c>
      <c r="W57" s="7">
        <v>773.78720583999996</v>
      </c>
      <c r="X57" s="7">
        <v>685.46117908999997</v>
      </c>
      <c r="Y57" s="7">
        <v>606.41573779999999</v>
      </c>
      <c r="Z57" s="7">
        <v>536.08915808999996</v>
      </c>
      <c r="AA57" s="7">
        <v>481.49620672999998</v>
      </c>
      <c r="AB57" s="7">
        <v>529.25809371000003</v>
      </c>
      <c r="AC57" s="7">
        <v>517.95216928000002</v>
      </c>
    </row>
    <row r="58" spans="1:29" x14ac:dyDescent="0.85">
      <c r="A58" t="s">
        <v>156</v>
      </c>
      <c r="B58" s="7">
        <v>1</v>
      </c>
      <c r="C58" s="7">
        <v>1.04</v>
      </c>
      <c r="D58" s="7">
        <v>1.0865795700000001</v>
      </c>
      <c r="E58" s="7">
        <v>1.1038441699999999</v>
      </c>
      <c r="F58" s="7">
        <v>1.08926129</v>
      </c>
      <c r="G58" s="7">
        <v>1.08999837</v>
      </c>
      <c r="H58" s="7">
        <v>1.0869688200000001</v>
      </c>
      <c r="I58" s="7">
        <v>1.1040702899999999</v>
      </c>
      <c r="J58" s="7">
        <v>1.1010747999999999</v>
      </c>
      <c r="K58" s="7">
        <v>1.09842689</v>
      </c>
      <c r="L58" s="7">
        <v>1.0982771099999999</v>
      </c>
      <c r="M58" s="7">
        <v>1.09828711</v>
      </c>
      <c r="N58" s="7">
        <v>1.0513151199999999</v>
      </c>
      <c r="O58" s="7">
        <v>1.0167764100000001</v>
      </c>
      <c r="P58" s="7">
        <v>1.0255966700000001</v>
      </c>
      <c r="Q58" s="7">
        <v>1.0193006099999999</v>
      </c>
      <c r="R58" s="7">
        <v>1.0089013099999999</v>
      </c>
      <c r="S58" s="7">
        <v>1</v>
      </c>
      <c r="T58" s="7">
        <v>1.00647749</v>
      </c>
      <c r="U58" s="7">
        <v>1.0051062900000001</v>
      </c>
      <c r="V58" s="7">
        <v>1.0054977599999999</v>
      </c>
      <c r="W58" s="7">
        <v>1.01481786</v>
      </c>
      <c r="X58" s="7">
        <v>1.02633606</v>
      </c>
      <c r="Y58" s="7">
        <v>1.02540231</v>
      </c>
      <c r="Z58" s="7">
        <v>1.0279174499999999</v>
      </c>
      <c r="AA58" s="7">
        <v>1.0279847099999999</v>
      </c>
      <c r="AB58" s="7">
        <v>1.0309708399999999</v>
      </c>
      <c r="AC58" s="7">
        <v>1.07647841</v>
      </c>
    </row>
    <row r="59" spans="1:29" x14ac:dyDescent="0.85">
      <c r="A59" t="s">
        <v>157</v>
      </c>
      <c r="B59" s="7">
        <v>1</v>
      </c>
      <c r="C59" s="7">
        <v>1.0865795700000001</v>
      </c>
      <c r="D59" s="7">
        <v>1.1038441699999999</v>
      </c>
      <c r="E59" s="7">
        <v>1.08926129</v>
      </c>
      <c r="F59" s="7">
        <v>1.08999837</v>
      </c>
      <c r="G59" s="7">
        <v>1.0869688200000001</v>
      </c>
      <c r="H59" s="7">
        <v>1.10743663</v>
      </c>
      <c r="I59" s="7">
        <v>1.1040795000000001</v>
      </c>
      <c r="J59" s="7">
        <v>1.1010844</v>
      </c>
      <c r="K59" s="7">
        <v>1.0984368900000001</v>
      </c>
      <c r="L59" s="7">
        <v>1.09828711</v>
      </c>
      <c r="M59" s="7">
        <v>1.0513151199999999</v>
      </c>
      <c r="N59" s="7">
        <v>1.0167764100000001</v>
      </c>
      <c r="O59" s="7">
        <v>1.0255966700000001</v>
      </c>
      <c r="P59" s="7">
        <v>1.0193006099999999</v>
      </c>
      <c r="Q59" s="7">
        <v>1.0089013099999999</v>
      </c>
      <c r="R59" s="7">
        <v>1</v>
      </c>
      <c r="S59" s="7">
        <v>1.00647749</v>
      </c>
      <c r="T59" s="7">
        <v>1.0051062900000001</v>
      </c>
      <c r="U59" s="7">
        <v>1.0054977599999999</v>
      </c>
      <c r="V59" s="7">
        <v>1.01481786</v>
      </c>
      <c r="W59" s="7">
        <v>1.02633606</v>
      </c>
      <c r="X59" s="7">
        <v>1.02540231</v>
      </c>
      <c r="Y59" s="7">
        <v>1.0279174499999999</v>
      </c>
      <c r="Z59" s="7">
        <v>1.0279847099999999</v>
      </c>
      <c r="AA59" s="7">
        <v>1.0309708399999999</v>
      </c>
      <c r="AB59" s="7">
        <v>1.07647841</v>
      </c>
      <c r="AC59" s="7">
        <v>1.0512744599999999</v>
      </c>
    </row>
    <row r="60" spans="1:29" x14ac:dyDescent="0.85">
      <c r="A60" t="s">
        <v>158</v>
      </c>
      <c r="B60" s="7">
        <v>1</v>
      </c>
      <c r="C60" s="7">
        <v>1.1256601100000001</v>
      </c>
      <c r="D60" s="7">
        <v>1.12165611</v>
      </c>
      <c r="E60" s="7">
        <v>1.11716807</v>
      </c>
      <c r="F60" s="7">
        <v>1.11365498</v>
      </c>
      <c r="G60" s="7">
        <v>1.1103706200000001</v>
      </c>
      <c r="H60" s="7">
        <v>1.10743663</v>
      </c>
      <c r="I60" s="7">
        <v>1.10408029</v>
      </c>
      <c r="J60" s="7">
        <v>1.1010848</v>
      </c>
      <c r="K60" s="7">
        <v>1.0984368900000001</v>
      </c>
      <c r="L60" s="7">
        <v>1.09828711</v>
      </c>
      <c r="M60" s="7">
        <v>1.0984483599999999</v>
      </c>
      <c r="N60" s="7">
        <v>1.1001021200000001</v>
      </c>
      <c r="O60" s="7">
        <v>1.1043821199999999</v>
      </c>
      <c r="P60" s="7">
        <v>1.1085980799999999</v>
      </c>
      <c r="Q60" s="7">
        <v>1.11332261</v>
      </c>
      <c r="R60" s="7">
        <v>1.1206578899999999</v>
      </c>
      <c r="S60" s="7">
        <v>1.1288876699999999</v>
      </c>
      <c r="T60" s="7">
        <v>1.1377835300000001</v>
      </c>
      <c r="U60" s="7">
        <v>1.1475420700000001</v>
      </c>
      <c r="V60" s="7">
        <v>1.1582469799999999</v>
      </c>
      <c r="W60" s="7">
        <v>1.1662237200000001</v>
      </c>
      <c r="X60" s="7">
        <v>1.1696313</v>
      </c>
      <c r="Y60" s="7">
        <v>1.1729369700000001</v>
      </c>
      <c r="Z60" s="7">
        <v>1.1761437699999999</v>
      </c>
      <c r="AA60" s="7">
        <v>1.17949785</v>
      </c>
      <c r="AB60" s="7">
        <v>1.18282226</v>
      </c>
      <c r="AC60" s="7">
        <v>1.1779096899999999</v>
      </c>
    </row>
    <row r="61" spans="1:29" x14ac:dyDescent="0.85">
      <c r="A61" t="s">
        <v>159</v>
      </c>
      <c r="B61" s="7">
        <v>4190</v>
      </c>
      <c r="C61" s="7">
        <v>4085.2500004499998</v>
      </c>
      <c r="D61" s="7">
        <v>3983.11875044</v>
      </c>
      <c r="E61" s="7">
        <v>3883.5407934</v>
      </c>
      <c r="F61" s="7">
        <v>3786.4522735599999</v>
      </c>
      <c r="G61" s="7">
        <v>3691.7909667200001</v>
      </c>
      <c r="H61" s="7">
        <v>3599.4961925500002</v>
      </c>
      <c r="I61" s="7">
        <v>3509.5087877400001</v>
      </c>
      <c r="J61" s="7">
        <v>3421.7710680499999</v>
      </c>
      <c r="K61" s="7">
        <v>3336.22679135</v>
      </c>
      <c r="L61" s="7">
        <v>3252.8211215599999</v>
      </c>
      <c r="M61" s="7">
        <v>3171.5005935200002</v>
      </c>
      <c r="N61" s="7">
        <v>3092.2130786799999</v>
      </c>
      <c r="O61" s="7">
        <v>3014.9077517199999</v>
      </c>
      <c r="P61" s="7">
        <v>2939.5350579199999</v>
      </c>
      <c r="Q61" s="7">
        <v>2866.0466814800002</v>
      </c>
      <c r="R61" s="7">
        <v>2794.3955144400002</v>
      </c>
      <c r="S61" s="7">
        <v>2724.5356265800001</v>
      </c>
      <c r="T61" s="7">
        <v>2656.4222359099999</v>
      </c>
      <c r="U61" s="7">
        <v>2590.0116800199999</v>
      </c>
      <c r="V61" s="7">
        <v>2525.2613880200001</v>
      </c>
      <c r="W61" s="7">
        <v>2462.1298533200002</v>
      </c>
      <c r="X61" s="7">
        <v>2400.5766069800002</v>
      </c>
      <c r="Y61" s="7">
        <v>2340.5621918100001</v>
      </c>
      <c r="Z61" s="7">
        <v>2282.0481370100001</v>
      </c>
      <c r="AA61" s="7">
        <v>2224.99693359</v>
      </c>
      <c r="AB61" s="7">
        <v>2169.3720102500001</v>
      </c>
      <c r="AC61" s="7">
        <v>2115.1377099900001</v>
      </c>
    </row>
    <row r="62" spans="1:29" x14ac:dyDescent="0.85">
      <c r="A62" t="s">
        <v>160</v>
      </c>
      <c r="B62" s="7">
        <v>20069844.5</v>
      </c>
      <c r="C62" s="7">
        <v>19568098.389666099</v>
      </c>
      <c r="D62" s="7">
        <v>18987779.563558899</v>
      </c>
      <c r="E62" s="7">
        <v>18513085.130319301</v>
      </c>
      <c r="F62" s="7">
        <v>18050257.917848799</v>
      </c>
      <c r="G62" s="7">
        <v>17590839.991658699</v>
      </c>
      <c r="H62" s="7">
        <v>14886247.328400601</v>
      </c>
      <c r="I62" s="7">
        <v>12150002.078875</v>
      </c>
      <c r="J62" s="7">
        <v>9475020.7437756006</v>
      </c>
      <c r="K62" s="7">
        <v>3582112.6466435902</v>
      </c>
      <c r="L62" s="7">
        <v>10.56523162</v>
      </c>
      <c r="M62" s="7">
        <v>7.4900000000000005E-5</v>
      </c>
      <c r="N62" s="7">
        <v>0</v>
      </c>
      <c r="O62" s="7">
        <v>0</v>
      </c>
      <c r="P62" s="7">
        <v>0</v>
      </c>
      <c r="Q62" s="7">
        <v>0</v>
      </c>
      <c r="R62" s="7">
        <v>0</v>
      </c>
      <c r="S62" s="7">
        <v>0</v>
      </c>
      <c r="T62" s="7">
        <v>0</v>
      </c>
      <c r="U62" s="7">
        <v>0</v>
      </c>
      <c r="V62" s="7">
        <v>0</v>
      </c>
      <c r="W62" s="7">
        <v>0</v>
      </c>
      <c r="X62" s="7">
        <v>0</v>
      </c>
      <c r="Y62" s="7">
        <v>0</v>
      </c>
      <c r="Z62" s="7">
        <v>0</v>
      </c>
      <c r="AA62" s="7">
        <v>0</v>
      </c>
      <c r="AB62" s="7">
        <v>0</v>
      </c>
      <c r="AC62" s="7">
        <v>0</v>
      </c>
    </row>
    <row r="63" spans="1:29" x14ac:dyDescent="0.85">
      <c r="A63" t="s">
        <v>161</v>
      </c>
      <c r="B63" s="7">
        <v>20069844.5</v>
      </c>
      <c r="C63" s="7">
        <v>19568098.389666099</v>
      </c>
      <c r="D63" s="7">
        <v>18987779.563558899</v>
      </c>
      <c r="E63" s="7">
        <v>18513085.130319301</v>
      </c>
      <c r="F63" s="7">
        <v>18050257.917848799</v>
      </c>
      <c r="G63" s="7">
        <v>17590839.991658699</v>
      </c>
      <c r="H63" s="7">
        <v>14886247.328400601</v>
      </c>
      <c r="I63" s="7">
        <v>12150002.078875</v>
      </c>
      <c r="J63" s="7">
        <v>9475020.7437756006</v>
      </c>
      <c r="K63" s="7">
        <v>3582112.6466435902</v>
      </c>
      <c r="L63" s="7">
        <v>10.56523162</v>
      </c>
      <c r="M63" s="7">
        <v>7.4900000000000005E-5</v>
      </c>
      <c r="N63" s="7">
        <v>0</v>
      </c>
      <c r="O63" s="7">
        <v>0</v>
      </c>
      <c r="P63" s="7">
        <v>0</v>
      </c>
      <c r="Q63" s="7">
        <v>0</v>
      </c>
      <c r="R63" s="7">
        <v>0</v>
      </c>
      <c r="S63" s="7">
        <v>0</v>
      </c>
      <c r="T63" s="7">
        <v>0</v>
      </c>
      <c r="U63" s="7">
        <v>0</v>
      </c>
      <c r="V63" s="7">
        <v>0</v>
      </c>
      <c r="W63" s="7">
        <v>0</v>
      </c>
      <c r="X63" s="7">
        <v>0</v>
      </c>
      <c r="Y63" s="7">
        <v>0</v>
      </c>
      <c r="Z63" s="7">
        <v>0</v>
      </c>
      <c r="AA63" s="7">
        <v>0</v>
      </c>
      <c r="AB63" s="7">
        <v>0</v>
      </c>
      <c r="AC63" s="7">
        <v>0</v>
      </c>
    </row>
    <row r="64" spans="1:29" x14ac:dyDescent="0.85">
      <c r="A64" t="s">
        <v>162</v>
      </c>
      <c r="B64" s="7">
        <v>2975.2003599300001</v>
      </c>
      <c r="C64" s="7">
        <v>2900.8203512499999</v>
      </c>
      <c r="D64" s="7">
        <v>2826.1786534600001</v>
      </c>
      <c r="E64" s="7">
        <v>2755.5241954399999</v>
      </c>
      <c r="F64" s="7">
        <v>2686.6360885899999</v>
      </c>
      <c r="G64" s="7">
        <v>2619.2801871699999</v>
      </c>
      <c r="H64" s="7">
        <v>2501.0731341599999</v>
      </c>
      <c r="I64" s="7">
        <v>2383.5103123399999</v>
      </c>
      <c r="J64" s="7">
        <v>2268.7202902600002</v>
      </c>
      <c r="K64" s="7">
        <v>2080.3298445800001</v>
      </c>
      <c r="L64" s="7">
        <v>1947.01505157</v>
      </c>
      <c r="M64" s="7">
        <v>1898.3394354699999</v>
      </c>
      <c r="N64" s="7">
        <v>1850.8809495800001</v>
      </c>
      <c r="O64" s="7">
        <v>1804.60892584</v>
      </c>
      <c r="P64" s="7">
        <v>1759.4937027000001</v>
      </c>
      <c r="Q64" s="7">
        <v>1715.5063601300001</v>
      </c>
      <c r="R64" s="7">
        <v>1672.6187011300001</v>
      </c>
      <c r="S64" s="7">
        <v>1630.8032336000001</v>
      </c>
      <c r="T64" s="7">
        <v>1590.0331527599999</v>
      </c>
      <c r="U64" s="7">
        <v>1550.28232394</v>
      </c>
      <c r="V64" s="7">
        <v>1511.52526584</v>
      </c>
      <c r="W64" s="7">
        <v>1473.7371341999999</v>
      </c>
      <c r="X64" s="7">
        <v>1436.8937058399999</v>
      </c>
      <c r="Y64" s="7">
        <v>1400.9713631899999</v>
      </c>
      <c r="Z64" s="7">
        <v>1365.94707911</v>
      </c>
      <c r="AA64" s="7">
        <v>1331.79840214</v>
      </c>
      <c r="AB64" s="7">
        <v>1298.50344208</v>
      </c>
      <c r="AC64" s="7">
        <v>1266.04085603</v>
      </c>
    </row>
    <row r="65" spans="1:29" x14ac:dyDescent="0.85">
      <c r="A65" t="s">
        <v>163</v>
      </c>
      <c r="B65" s="7">
        <v>0</v>
      </c>
      <c r="C65" s="7">
        <v>320.91681359</v>
      </c>
      <c r="D65" s="7">
        <v>622.79916967999998</v>
      </c>
      <c r="E65" s="7">
        <v>910.84378841</v>
      </c>
      <c r="F65" s="7">
        <v>1184.0969194100001</v>
      </c>
      <c r="G65" s="7">
        <v>1442.4488793200001</v>
      </c>
      <c r="H65" s="7">
        <v>1464.8067371100001</v>
      </c>
      <c r="I65" s="7">
        <v>1394.82023865</v>
      </c>
      <c r="J65" s="7">
        <v>1243.12272158</v>
      </c>
      <c r="K65" s="7">
        <v>528.71982663999995</v>
      </c>
      <c r="L65" s="7">
        <v>1.7327E-3</v>
      </c>
      <c r="M65" s="7">
        <v>1E-8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v>0</v>
      </c>
      <c r="W65" s="7">
        <v>0</v>
      </c>
      <c r="X65" s="7">
        <v>0</v>
      </c>
      <c r="Y65" s="7">
        <v>0</v>
      </c>
      <c r="Z65" s="7">
        <v>0</v>
      </c>
      <c r="AA65" s="7">
        <v>0</v>
      </c>
      <c r="AB65" s="7">
        <v>0</v>
      </c>
      <c r="AC65" s="7">
        <v>0</v>
      </c>
    </row>
    <row r="66" spans="1:29" x14ac:dyDescent="0.85">
      <c r="A66" t="s">
        <v>164</v>
      </c>
      <c r="B66" s="7">
        <v>16.457272490000001</v>
      </c>
      <c r="C66" s="7">
        <v>16.045840680000001</v>
      </c>
      <c r="D66" s="7">
        <v>15.56997924</v>
      </c>
      <c r="E66" s="7">
        <v>15.180729810000001</v>
      </c>
      <c r="F66" s="7">
        <v>14.80121149</v>
      </c>
      <c r="G66" s="7">
        <v>14.42448879</v>
      </c>
      <c r="H66" s="7">
        <v>12.20672281</v>
      </c>
      <c r="I66" s="7">
        <v>9.9630016999999995</v>
      </c>
      <c r="J66" s="7">
        <v>7.7695170100000004</v>
      </c>
      <c r="K66" s="7">
        <v>2.93733237</v>
      </c>
      <c r="L66" s="7">
        <v>8.6600000000000001E-6</v>
      </c>
      <c r="M66" s="7">
        <v>0</v>
      </c>
      <c r="N66" s="7">
        <v>0</v>
      </c>
      <c r="O66" s="7">
        <v>0</v>
      </c>
      <c r="P66" s="7">
        <v>0</v>
      </c>
      <c r="Q66" s="7">
        <v>0</v>
      </c>
      <c r="R66" s="7">
        <v>0</v>
      </c>
      <c r="S66" s="7">
        <v>0</v>
      </c>
      <c r="T66" s="7">
        <v>0</v>
      </c>
      <c r="U66" s="7">
        <v>0</v>
      </c>
      <c r="V66" s="7">
        <v>0</v>
      </c>
      <c r="W66" s="7">
        <v>0</v>
      </c>
      <c r="X66" s="7">
        <v>0</v>
      </c>
      <c r="Y66" s="7">
        <v>0</v>
      </c>
      <c r="Z66" s="7">
        <v>0</v>
      </c>
      <c r="AA66" s="7">
        <v>0</v>
      </c>
      <c r="AB66" s="7">
        <v>0</v>
      </c>
      <c r="AC66" s="7">
        <v>0</v>
      </c>
    </row>
    <row r="67" spans="1:29" x14ac:dyDescent="0.85">
      <c r="A67" t="s">
        <v>165</v>
      </c>
      <c r="B67" s="7">
        <v>2507.97437997</v>
      </c>
      <c r="C67" s="7">
        <v>2445.2750207399999</v>
      </c>
      <c r="D67" s="7">
        <v>2384.14314522</v>
      </c>
      <c r="E67" s="7">
        <v>2324.5395736099999</v>
      </c>
      <c r="F67" s="7">
        <v>2266.42608427</v>
      </c>
      <c r="G67" s="7">
        <v>2209.7654321599998</v>
      </c>
      <c r="H67" s="7">
        <v>2154.5212963600002</v>
      </c>
      <c r="I67" s="7">
        <v>2100.6582639500002</v>
      </c>
      <c r="J67" s="7">
        <v>2048.1418073499999</v>
      </c>
      <c r="K67" s="7">
        <v>1996.93826216</v>
      </c>
      <c r="L67" s="7">
        <v>1947.0148056099999</v>
      </c>
      <c r="M67" s="7">
        <v>1898.3394354699999</v>
      </c>
      <c r="N67" s="7">
        <v>1850.8809495800001</v>
      </c>
      <c r="O67" s="7">
        <v>1804.60892584</v>
      </c>
      <c r="P67" s="7">
        <v>1759.4937027000001</v>
      </c>
      <c r="Q67" s="7">
        <v>1715.5063601300001</v>
      </c>
      <c r="R67" s="7">
        <v>1672.6187011300001</v>
      </c>
      <c r="S67" s="7">
        <v>1630.8032336000001</v>
      </c>
      <c r="T67" s="7">
        <v>1590.0331527599999</v>
      </c>
      <c r="U67" s="7">
        <v>1550.28232394</v>
      </c>
      <c r="V67" s="7">
        <v>1511.52526584</v>
      </c>
      <c r="W67" s="7">
        <v>1473.7371341999999</v>
      </c>
      <c r="X67" s="7">
        <v>1436.8937058399999</v>
      </c>
      <c r="Y67" s="7">
        <v>1400.9713631899999</v>
      </c>
      <c r="Z67" s="7">
        <v>1365.94707911</v>
      </c>
      <c r="AA67" s="7">
        <v>1331.79840214</v>
      </c>
      <c r="AB67" s="7">
        <v>1298.50344208</v>
      </c>
      <c r="AC67" s="7">
        <v>1266.04085603</v>
      </c>
    </row>
    <row r="68" spans="1:29" x14ac:dyDescent="0.85">
      <c r="A68" t="s">
        <v>166</v>
      </c>
      <c r="B68" s="7">
        <v>467.22597996000002</v>
      </c>
      <c r="C68" s="7">
        <v>455.54533050999999</v>
      </c>
      <c r="D68" s="7">
        <v>442.03550824000001</v>
      </c>
      <c r="E68" s="7">
        <v>430.98462182999998</v>
      </c>
      <c r="F68" s="7">
        <v>420.21000433</v>
      </c>
      <c r="G68" s="7">
        <v>409.51475500999999</v>
      </c>
      <c r="H68" s="7">
        <v>346.55183780999999</v>
      </c>
      <c r="I68" s="7">
        <v>282.8520484</v>
      </c>
      <c r="J68" s="7">
        <v>220.57848292</v>
      </c>
      <c r="K68" s="7">
        <v>83.391582409999998</v>
      </c>
      <c r="L68" s="7">
        <v>2.4595999999999998E-4</v>
      </c>
      <c r="M68" s="7">
        <v>0</v>
      </c>
      <c r="N68" s="7">
        <v>0</v>
      </c>
      <c r="O68" s="7">
        <v>0</v>
      </c>
      <c r="P68" s="7">
        <v>0</v>
      </c>
      <c r="Q68" s="7">
        <v>0</v>
      </c>
      <c r="R68" s="7">
        <v>0</v>
      </c>
      <c r="S68" s="7">
        <v>0</v>
      </c>
      <c r="T68" s="7">
        <v>0</v>
      </c>
      <c r="U68" s="7">
        <v>0</v>
      </c>
      <c r="V68" s="7">
        <v>0</v>
      </c>
      <c r="W68" s="7">
        <v>0</v>
      </c>
      <c r="X68" s="7">
        <v>0</v>
      </c>
      <c r="Y68" s="7">
        <v>0</v>
      </c>
      <c r="Z68" s="7">
        <v>0</v>
      </c>
      <c r="AA68" s="7">
        <v>0</v>
      </c>
      <c r="AB68" s="7">
        <v>0</v>
      </c>
      <c r="AC68" s="7">
        <v>0</v>
      </c>
    </row>
    <row r="69" spans="1:29" x14ac:dyDescent="0.85">
      <c r="A69" t="s">
        <v>167</v>
      </c>
      <c r="B69" s="7">
        <v>1</v>
      </c>
      <c r="C69" s="7">
        <v>1.0249999999999999</v>
      </c>
      <c r="D69" s="7">
        <v>1</v>
      </c>
      <c r="E69" s="7">
        <v>0.99522423000000004</v>
      </c>
      <c r="F69" s="7">
        <v>1</v>
      </c>
      <c r="G69" s="7">
        <v>1</v>
      </c>
      <c r="H69" s="7">
        <v>0.99953625000000001</v>
      </c>
      <c r="I69" s="7">
        <v>0.86794866000000004</v>
      </c>
      <c r="J69" s="7">
        <v>0.83711765999999999</v>
      </c>
      <c r="K69" s="7">
        <v>0.79983278000000002</v>
      </c>
      <c r="L69" s="7">
        <v>0.38775236000000002</v>
      </c>
      <c r="M69" s="7">
        <v>3.0299999999999998E-6</v>
      </c>
      <c r="N69" s="7">
        <v>7.2699999999999999E-6</v>
      </c>
      <c r="O69" s="7">
        <v>2.809E-5</v>
      </c>
      <c r="P69" s="7">
        <v>2.6869999999999999E-5</v>
      </c>
      <c r="Q69" s="7">
        <v>2.7370000000000001E-5</v>
      </c>
      <c r="R69" s="7">
        <v>2.0579999999999999E-5</v>
      </c>
      <c r="S69" s="7">
        <v>2.0769999999999999E-5</v>
      </c>
      <c r="T69" s="7">
        <v>3.2159999999999997E-5</v>
      </c>
      <c r="U69" s="7">
        <v>0</v>
      </c>
      <c r="V69" s="7">
        <v>0</v>
      </c>
      <c r="W69" s="7">
        <v>0</v>
      </c>
      <c r="X69" s="7">
        <v>0</v>
      </c>
      <c r="Y69" s="7">
        <v>4.2899999999999996E-6</v>
      </c>
      <c r="Z69" s="7">
        <v>4.3699999999999997E-6</v>
      </c>
      <c r="AA69" s="7">
        <v>4.8300000000000003E-6</v>
      </c>
      <c r="AB69" s="7">
        <v>3.0728999999999999E-3</v>
      </c>
      <c r="AC69" s="7">
        <v>3.2319460000000001E-2</v>
      </c>
    </row>
    <row r="70" spans="1:29" x14ac:dyDescent="0.85">
      <c r="A70" t="s">
        <v>168</v>
      </c>
      <c r="B70" s="7">
        <v>1</v>
      </c>
      <c r="C70" s="7">
        <v>1</v>
      </c>
      <c r="D70" s="7">
        <v>0.99522423000000004</v>
      </c>
      <c r="E70" s="7">
        <v>1</v>
      </c>
      <c r="F70" s="7">
        <v>1</v>
      </c>
      <c r="G70" s="7">
        <v>0.99953625000000001</v>
      </c>
      <c r="H70" s="7">
        <v>0.86794866000000004</v>
      </c>
      <c r="I70" s="7">
        <v>0.83711765999999999</v>
      </c>
      <c r="J70" s="7">
        <v>0.79983278000000002</v>
      </c>
      <c r="K70" s="7">
        <v>0.38775236000000002</v>
      </c>
      <c r="L70" s="7">
        <v>3.0299999999999998E-6</v>
      </c>
      <c r="M70" s="7">
        <v>7.2699999999999999E-6</v>
      </c>
      <c r="N70" s="7">
        <v>2.809E-5</v>
      </c>
      <c r="O70" s="7">
        <v>2.6869999999999999E-5</v>
      </c>
      <c r="P70" s="7">
        <v>2.7370000000000001E-5</v>
      </c>
      <c r="Q70" s="7">
        <v>2.0579999999999999E-5</v>
      </c>
      <c r="R70" s="7">
        <v>2.0769999999999999E-5</v>
      </c>
      <c r="S70" s="7">
        <v>3.2159999999999997E-5</v>
      </c>
      <c r="T70" s="7">
        <v>0</v>
      </c>
      <c r="U70" s="7">
        <v>0</v>
      </c>
      <c r="V70" s="7">
        <v>0</v>
      </c>
      <c r="W70" s="7">
        <v>0</v>
      </c>
      <c r="X70" s="7">
        <v>4.2899999999999996E-6</v>
      </c>
      <c r="Y70" s="7">
        <v>4.3699999999999997E-6</v>
      </c>
      <c r="Z70" s="7">
        <v>4.8300000000000003E-6</v>
      </c>
      <c r="AA70" s="7">
        <v>3.0728999999999999E-3</v>
      </c>
      <c r="AB70" s="7">
        <v>3.2319460000000001E-2</v>
      </c>
      <c r="AC70" s="7">
        <v>0.99999969</v>
      </c>
    </row>
    <row r="71" spans="1:29" x14ac:dyDescent="0.85">
      <c r="A71" t="s">
        <v>169</v>
      </c>
      <c r="B71" s="7">
        <v>1</v>
      </c>
      <c r="C71" s="7">
        <v>1.9071908500000001</v>
      </c>
      <c r="D71" s="7">
        <v>1.9332036399999999</v>
      </c>
      <c r="E71" s="7">
        <v>1.968707</v>
      </c>
      <c r="F71" s="7">
        <v>2.0007042400000001</v>
      </c>
      <c r="G71" s="7">
        <v>2.0356099099999998</v>
      </c>
      <c r="H71" s="7">
        <v>2.0716634799999998</v>
      </c>
      <c r="I71" s="7">
        <v>2.12271448</v>
      </c>
      <c r="J71" s="7">
        <v>2.1760465199999999</v>
      </c>
      <c r="K71" s="7">
        <v>2.23239309</v>
      </c>
      <c r="L71" s="7">
        <v>2.3287450299999999</v>
      </c>
      <c r="M71" s="7">
        <v>2.4381793300000001</v>
      </c>
      <c r="N71" s="7">
        <v>2.5189627400000001</v>
      </c>
      <c r="O71" s="7">
        <v>2.6008452000000002</v>
      </c>
      <c r="P71" s="7">
        <v>2.6961251499999999</v>
      </c>
      <c r="Q71" s="7">
        <v>2.7918947099999998</v>
      </c>
      <c r="R71" s="7">
        <v>2.9185154999999998</v>
      </c>
      <c r="S71" s="7">
        <v>3.04214209</v>
      </c>
      <c r="T71" s="7">
        <v>3.1876451700000001</v>
      </c>
      <c r="U71" s="7">
        <v>3.34292772</v>
      </c>
      <c r="V71" s="7">
        <v>3.5127895499999999</v>
      </c>
      <c r="W71" s="7">
        <v>3.6545261899999999</v>
      </c>
      <c r="X71" s="7">
        <v>3.7443527099999998</v>
      </c>
      <c r="Y71" s="7">
        <v>3.8313459299999999</v>
      </c>
      <c r="Z71" s="7">
        <v>3.92503461</v>
      </c>
      <c r="AA71" s="7">
        <v>4.0235493199999999</v>
      </c>
      <c r="AB71" s="7">
        <v>4.1324808400000004</v>
      </c>
      <c r="AC71" s="7">
        <v>4.2194375199999996</v>
      </c>
    </row>
    <row r="72" spans="1:29" x14ac:dyDescent="0.85">
      <c r="A72" t="s">
        <v>170</v>
      </c>
      <c r="B72" s="7">
        <v>0</v>
      </c>
      <c r="C72" s="7">
        <v>123.18589738999999</v>
      </c>
      <c r="D72" s="7">
        <v>110.86752767</v>
      </c>
      <c r="E72" s="7">
        <v>120.72962676</v>
      </c>
      <c r="F72" s="7">
        <v>108.71108359</v>
      </c>
      <c r="G72" s="7">
        <v>97.839992080000002</v>
      </c>
      <c r="H72" s="7">
        <v>89.582561029999994</v>
      </c>
      <c r="I72" s="7">
        <v>91.012298529999995</v>
      </c>
      <c r="J72" s="7">
        <v>81.921256209999996</v>
      </c>
      <c r="K72" s="7">
        <v>363.36492848</v>
      </c>
      <c r="L72" s="7">
        <v>327.28619922000001</v>
      </c>
      <c r="M72" s="7">
        <v>294.55915877000001</v>
      </c>
      <c r="N72" s="7">
        <v>382.40892058999998</v>
      </c>
      <c r="O72" s="7">
        <v>344.16993157000002</v>
      </c>
      <c r="P72" s="7">
        <v>309.75609263000001</v>
      </c>
      <c r="Q72" s="7">
        <v>278.78048337000001</v>
      </c>
      <c r="R72" s="7">
        <v>250.90243502999999</v>
      </c>
      <c r="S72" s="7">
        <v>225.81220712000001</v>
      </c>
      <c r="T72" s="7">
        <v>203.24100496</v>
      </c>
      <c r="U72" s="7">
        <v>182.91719377999999</v>
      </c>
      <c r="V72" s="7">
        <v>180.21133312000001</v>
      </c>
      <c r="W72" s="7">
        <v>166.63195605999999</v>
      </c>
      <c r="X72" s="7">
        <v>186.74084295</v>
      </c>
      <c r="Y72" s="7">
        <v>168.06878814000001</v>
      </c>
      <c r="Z72" s="7">
        <v>154.37897532</v>
      </c>
      <c r="AA72" s="7">
        <v>144.05916153000001</v>
      </c>
      <c r="AB72" s="7">
        <v>129.67975813999999</v>
      </c>
      <c r="AC72" s="7">
        <v>124.61464371</v>
      </c>
    </row>
    <row r="73" spans="1:29" x14ac:dyDescent="0.85">
      <c r="A73" t="s">
        <v>171</v>
      </c>
      <c r="B73" s="7">
        <v>0</v>
      </c>
      <c r="C73" s="7">
        <v>30.796414339999998</v>
      </c>
      <c r="D73" s="7">
        <v>1.1044000000000001E-4</v>
      </c>
      <c r="E73" s="7">
        <v>5.23721747</v>
      </c>
      <c r="F73" s="7">
        <v>8.8710899999999999E-3</v>
      </c>
      <c r="G73" s="7">
        <v>4.7089499999999999E-3</v>
      </c>
      <c r="H73" s="7">
        <v>0.38166636999999998</v>
      </c>
      <c r="I73" s="7">
        <v>2.59698765</v>
      </c>
      <c r="J73" s="7">
        <v>2.5614700000000002E-3</v>
      </c>
      <c r="K73" s="7">
        <v>72.408946589999999</v>
      </c>
      <c r="L73" s="7">
        <v>6.4442330000000006E-2</v>
      </c>
      <c r="M73" s="7">
        <v>3.9004000000000003E-4</v>
      </c>
      <c r="N73" s="7">
        <v>29.326425400000002</v>
      </c>
      <c r="O73" s="7">
        <v>0</v>
      </c>
      <c r="P73" s="7">
        <v>0</v>
      </c>
      <c r="Q73" s="7">
        <v>1.2416700000000001E-3</v>
      </c>
      <c r="R73" s="7">
        <v>69.695120790000004</v>
      </c>
      <c r="S73" s="7">
        <v>56.453037139999999</v>
      </c>
      <c r="T73" s="7">
        <v>50.810248719999997</v>
      </c>
      <c r="U73" s="7">
        <v>45.72929731</v>
      </c>
      <c r="V73" s="7">
        <v>45.052832260000002</v>
      </c>
      <c r="W73" s="7">
        <v>41.657989010000001</v>
      </c>
      <c r="X73" s="7">
        <v>46.685208959999997</v>
      </c>
      <c r="Y73" s="7">
        <v>42.01719293</v>
      </c>
      <c r="Z73" s="7">
        <v>38.594742009999997</v>
      </c>
      <c r="AA73" s="7">
        <v>36.014790380000001</v>
      </c>
      <c r="AB73" s="7">
        <v>32.375608360000001</v>
      </c>
      <c r="AC73" s="7">
        <v>31.084277109999999</v>
      </c>
    </row>
    <row r="74" spans="1:29" x14ac:dyDescent="0.85">
      <c r="A74" t="s">
        <v>172</v>
      </c>
      <c r="B74" s="7">
        <v>0</v>
      </c>
      <c r="C74" s="7">
        <v>30.796414339999998</v>
      </c>
      <c r="D74" s="7">
        <v>1.1044000000000001E-4</v>
      </c>
      <c r="E74" s="7">
        <v>5.23721747</v>
      </c>
      <c r="F74" s="7">
        <v>8.8710899999999999E-3</v>
      </c>
      <c r="G74" s="7">
        <v>4.7089499999999999E-3</v>
      </c>
      <c r="H74" s="7">
        <v>0.38166636999999998</v>
      </c>
      <c r="I74" s="7">
        <v>2.59698765</v>
      </c>
      <c r="J74" s="7">
        <v>2.5614700000000002E-3</v>
      </c>
      <c r="K74" s="7">
        <v>72.408946589999999</v>
      </c>
      <c r="L74" s="7">
        <v>6.4442330000000006E-2</v>
      </c>
      <c r="M74" s="7">
        <v>3.9004000000000003E-4</v>
      </c>
      <c r="N74" s="7">
        <v>29.326425400000002</v>
      </c>
      <c r="O74" s="7">
        <v>0</v>
      </c>
      <c r="P74" s="7">
        <v>0</v>
      </c>
      <c r="Q74" s="7">
        <v>1.2416700000000001E-3</v>
      </c>
      <c r="R74" s="7">
        <v>69.695120790000004</v>
      </c>
      <c r="S74" s="7">
        <v>56.453037139999999</v>
      </c>
      <c r="T74" s="7">
        <v>50.810248719999997</v>
      </c>
      <c r="U74" s="7">
        <v>45.72929731</v>
      </c>
      <c r="V74" s="7">
        <v>45.052832260000002</v>
      </c>
      <c r="W74" s="7">
        <v>41.657989010000001</v>
      </c>
      <c r="X74" s="7">
        <v>46.685208959999997</v>
      </c>
      <c r="Y74" s="7">
        <v>42.01719293</v>
      </c>
      <c r="Z74" s="7">
        <v>38.594742009999997</v>
      </c>
      <c r="AA74" s="7">
        <v>36.014790380000001</v>
      </c>
      <c r="AB74" s="7">
        <v>32.375608360000001</v>
      </c>
      <c r="AC74" s="7">
        <v>31.084277109999999</v>
      </c>
    </row>
    <row r="75" spans="1:29" x14ac:dyDescent="0.85">
      <c r="A75" t="s">
        <v>173</v>
      </c>
      <c r="B75" s="7">
        <v>0</v>
      </c>
      <c r="C75" s="7">
        <v>32.714467210000002</v>
      </c>
      <c r="D75" s="7">
        <v>29.442697259999999</v>
      </c>
      <c r="E75" s="7">
        <v>32.061812160000002</v>
      </c>
      <c r="F75" s="7">
        <v>28.87001815</v>
      </c>
      <c r="G75" s="7">
        <v>25.98302077</v>
      </c>
      <c r="H75" s="7">
        <v>23.790129199999999</v>
      </c>
      <c r="I75" s="7">
        <v>24.169850029999999</v>
      </c>
      <c r="J75" s="7">
        <v>21.755538349999998</v>
      </c>
      <c r="K75" s="7">
        <v>96.498536150000007</v>
      </c>
      <c r="L75" s="7">
        <v>86.916239430000005</v>
      </c>
      <c r="M75" s="7">
        <v>78.225034149999999</v>
      </c>
      <c r="N75" s="7">
        <v>101.55538855</v>
      </c>
      <c r="O75" s="7">
        <v>91.399991630000002</v>
      </c>
      <c r="P75" s="7">
        <v>82.260830119999994</v>
      </c>
      <c r="Q75" s="7">
        <v>74.03474713</v>
      </c>
      <c r="R75" s="7">
        <v>66.632232099999996</v>
      </c>
      <c r="S75" s="7">
        <v>59.968926660000001</v>
      </c>
      <c r="T75" s="7">
        <v>53.974694620000001</v>
      </c>
      <c r="U75" s="7">
        <v>48.577301990000002</v>
      </c>
      <c r="V75" s="7">
        <v>47.858706830000003</v>
      </c>
      <c r="W75" s="7">
        <v>44.252432939999998</v>
      </c>
      <c r="X75" s="7">
        <v>49.592748139999998</v>
      </c>
      <c r="Y75" s="7">
        <v>44.634012300000002</v>
      </c>
      <c r="Z75" s="7">
        <v>40.998409989999999</v>
      </c>
      <c r="AA75" s="7">
        <v>38.257778010000003</v>
      </c>
      <c r="AB75" s="7">
        <v>34.439040589999998</v>
      </c>
      <c r="AC75" s="7">
        <v>33.093898279999998</v>
      </c>
    </row>
    <row r="76" spans="1:29" x14ac:dyDescent="0.85">
      <c r="A76" t="s">
        <v>174</v>
      </c>
      <c r="B76" s="7">
        <v>0</v>
      </c>
      <c r="C76" s="7">
        <v>6.8520000000000001E-5</v>
      </c>
      <c r="D76" s="7">
        <v>0</v>
      </c>
      <c r="E76" s="7">
        <v>3.4959999999999997E-5</v>
      </c>
      <c r="F76" s="7">
        <v>8.0000000000000002E-8</v>
      </c>
      <c r="G76" s="7">
        <v>4.9999999999999998E-8</v>
      </c>
      <c r="H76" s="7">
        <v>5.1000000000000003E-6</v>
      </c>
      <c r="I76" s="7">
        <v>4.0450000000000001E-5</v>
      </c>
      <c r="J76" s="7">
        <v>4.9999999999999998E-8</v>
      </c>
      <c r="K76" s="7">
        <v>1.44999E-3</v>
      </c>
      <c r="L76" s="7">
        <v>1.4300000000000001E-6</v>
      </c>
      <c r="M76" s="7">
        <v>1E-8</v>
      </c>
      <c r="N76" s="7">
        <v>7.8302000000000005E-4</v>
      </c>
      <c r="O76" s="7">
        <v>0</v>
      </c>
      <c r="P76" s="7">
        <v>0</v>
      </c>
      <c r="Q76" s="7">
        <v>4.0000000000000001E-8</v>
      </c>
      <c r="R76" s="7">
        <v>2.4811500000000001E-3</v>
      </c>
      <c r="S76" s="7">
        <v>2.1353399999999999E-3</v>
      </c>
      <c r="T76" s="7">
        <v>2.0349500000000002E-3</v>
      </c>
      <c r="U76" s="7">
        <v>1.9332100000000001E-3</v>
      </c>
      <c r="V76" s="7">
        <v>2.0048499999999999E-3</v>
      </c>
      <c r="W76" s="7">
        <v>1.9464700000000001E-3</v>
      </c>
      <c r="X76" s="7">
        <v>2.28524E-3</v>
      </c>
      <c r="Y76" s="7">
        <v>2.1502299999999999E-3</v>
      </c>
      <c r="Z76" s="7">
        <v>2.0609600000000001E-3</v>
      </c>
      <c r="AA76" s="7">
        <v>2.0033199999999998E-3</v>
      </c>
      <c r="AB76" s="7">
        <v>1.8729300000000001E-3</v>
      </c>
      <c r="AC76" s="7">
        <v>1.86739E-3</v>
      </c>
    </row>
    <row r="77" spans="1:29" x14ac:dyDescent="0.85">
      <c r="A77" t="s">
        <v>175</v>
      </c>
      <c r="B77" s="7">
        <v>0</v>
      </c>
      <c r="C77" s="7">
        <v>3.4300000000000002E-6</v>
      </c>
      <c r="D77" s="7">
        <v>0</v>
      </c>
      <c r="E77" s="7">
        <v>5.7999999999999995E-7</v>
      </c>
      <c r="F77" s="7">
        <v>0</v>
      </c>
      <c r="G77" s="7">
        <v>0</v>
      </c>
      <c r="H77" s="7">
        <v>4.0000000000000001E-8</v>
      </c>
      <c r="I77" s="7">
        <v>2.8999999999999998E-7</v>
      </c>
      <c r="J77" s="7">
        <v>0</v>
      </c>
      <c r="K77" s="7">
        <v>8.0600000000000008E-6</v>
      </c>
      <c r="L77" s="7">
        <v>1E-8</v>
      </c>
      <c r="M77" s="7">
        <v>0</v>
      </c>
      <c r="N77" s="7">
        <v>3.2600000000000001E-6</v>
      </c>
      <c r="O77" s="7">
        <v>0</v>
      </c>
      <c r="P77" s="7">
        <v>0</v>
      </c>
      <c r="Q77" s="7">
        <v>0</v>
      </c>
      <c r="R77" s="7">
        <v>7.7500000000000003E-6</v>
      </c>
      <c r="S77" s="7">
        <v>6.28E-6</v>
      </c>
      <c r="T77" s="7">
        <v>5.6500000000000001E-6</v>
      </c>
      <c r="U77" s="7">
        <v>5.0900000000000004E-6</v>
      </c>
      <c r="V77" s="7">
        <v>5.0100000000000003E-6</v>
      </c>
      <c r="W77" s="7">
        <v>4.6299999999999997E-6</v>
      </c>
      <c r="X77" s="7">
        <v>5.1900000000000003E-6</v>
      </c>
      <c r="Y77" s="7">
        <v>4.6700000000000002E-6</v>
      </c>
      <c r="Z77" s="7">
        <v>4.2899999999999996E-6</v>
      </c>
      <c r="AA77" s="7">
        <v>4.0099999999999997E-6</v>
      </c>
      <c r="AB77" s="7">
        <v>3.5999999999999998E-6</v>
      </c>
      <c r="AC77" s="7">
        <v>3.4599999999999999E-6</v>
      </c>
    </row>
    <row r="78" spans="1:29" x14ac:dyDescent="0.85">
      <c r="A78" t="s">
        <v>176</v>
      </c>
      <c r="B78" s="7">
        <v>0</v>
      </c>
      <c r="C78" s="7">
        <v>32.714043150000002</v>
      </c>
      <c r="D78" s="7">
        <v>29.442697259999999</v>
      </c>
      <c r="E78" s="7">
        <v>32.061740039999997</v>
      </c>
      <c r="F78" s="7">
        <v>28.870018030000001</v>
      </c>
      <c r="G78" s="7">
        <v>25.983020700000001</v>
      </c>
      <c r="H78" s="7">
        <v>23.790123940000001</v>
      </c>
      <c r="I78" s="7">
        <v>24.16981427</v>
      </c>
      <c r="J78" s="7">
        <v>21.755538309999999</v>
      </c>
      <c r="K78" s="7">
        <v>96.497539079999996</v>
      </c>
      <c r="L78" s="7">
        <v>86.916238539999995</v>
      </c>
      <c r="M78" s="7">
        <v>78.225034140000005</v>
      </c>
      <c r="N78" s="7">
        <v>101.55498471999999</v>
      </c>
      <c r="O78" s="7">
        <v>91.399991630000002</v>
      </c>
      <c r="P78" s="7">
        <v>82.260830119999994</v>
      </c>
      <c r="Q78" s="7">
        <v>74.034747109999998</v>
      </c>
      <c r="R78" s="7">
        <v>66.6312724</v>
      </c>
      <c r="S78" s="7">
        <v>59.9681493</v>
      </c>
      <c r="T78" s="7">
        <v>53.973994959999999</v>
      </c>
      <c r="U78" s="7">
        <v>48.576672299999998</v>
      </c>
      <c r="V78" s="7">
        <v>47.858086450000002</v>
      </c>
      <c r="W78" s="7">
        <v>44.25185931</v>
      </c>
      <c r="X78" s="7">
        <v>49.592105289999999</v>
      </c>
      <c r="Y78" s="7">
        <v>44.633433719999999</v>
      </c>
      <c r="Z78" s="7">
        <v>40.997878540000002</v>
      </c>
      <c r="AA78" s="7">
        <v>38.257282089999997</v>
      </c>
      <c r="AB78" s="7">
        <v>34.438594780000003</v>
      </c>
      <c r="AC78" s="7">
        <v>33.093470250000003</v>
      </c>
    </row>
    <row r="79" spans="1:29" x14ac:dyDescent="0.85">
      <c r="A79" t="s">
        <v>177</v>
      </c>
      <c r="B79" s="7">
        <v>0</v>
      </c>
      <c r="C79" s="7">
        <v>4.2407000000000002E-4</v>
      </c>
      <c r="D79" s="7">
        <v>0</v>
      </c>
      <c r="E79" s="7">
        <v>7.2119999999999994E-5</v>
      </c>
      <c r="F79" s="7">
        <v>1.1999999999999999E-7</v>
      </c>
      <c r="G79" s="7">
        <v>5.9999999999999995E-8</v>
      </c>
      <c r="H79" s="7">
        <v>5.2599999999999996E-6</v>
      </c>
      <c r="I79" s="7">
        <v>3.5760000000000003E-5</v>
      </c>
      <c r="J79" s="7">
        <v>4.0000000000000001E-8</v>
      </c>
      <c r="K79" s="7">
        <v>9.9707000000000007E-4</v>
      </c>
      <c r="L79" s="7">
        <v>8.8999999999999995E-7</v>
      </c>
      <c r="M79" s="7">
        <v>1E-8</v>
      </c>
      <c r="N79" s="7">
        <v>4.0381999999999999E-4</v>
      </c>
      <c r="O79" s="7">
        <v>0</v>
      </c>
      <c r="P79" s="7">
        <v>0</v>
      </c>
      <c r="Q79" s="7">
        <v>2E-8</v>
      </c>
      <c r="R79" s="7">
        <v>9.5969999999999996E-4</v>
      </c>
      <c r="S79" s="7">
        <v>7.7736000000000005E-4</v>
      </c>
      <c r="T79" s="7">
        <v>6.9965999999999995E-4</v>
      </c>
      <c r="U79" s="7">
        <v>6.2969000000000002E-4</v>
      </c>
      <c r="V79" s="7">
        <v>6.2038000000000002E-4</v>
      </c>
      <c r="W79" s="7">
        <v>5.7362999999999999E-4</v>
      </c>
      <c r="X79" s="7">
        <v>6.4285999999999998E-4</v>
      </c>
      <c r="Y79" s="7">
        <v>5.7857999999999998E-4</v>
      </c>
      <c r="Z79" s="7">
        <v>5.3145000000000004E-4</v>
      </c>
      <c r="AA79" s="7">
        <v>4.9591999999999995E-4</v>
      </c>
      <c r="AB79" s="7">
        <v>4.4580999999999999E-4</v>
      </c>
      <c r="AC79" s="7">
        <v>4.2802999999999998E-4</v>
      </c>
    </row>
    <row r="80" spans="1:29" x14ac:dyDescent="0.85">
      <c r="A80" t="s">
        <v>178</v>
      </c>
      <c r="B80" s="7">
        <v>1</v>
      </c>
      <c r="C80" s="7">
        <v>1.1000000000000001</v>
      </c>
      <c r="D80" s="7">
        <v>1.2310059200000001</v>
      </c>
      <c r="E80" s="7">
        <v>1.00000041</v>
      </c>
      <c r="F80" s="7">
        <v>1.03853605</v>
      </c>
      <c r="G80" s="7">
        <v>1.00009931</v>
      </c>
      <c r="H80" s="7">
        <v>1.00000003</v>
      </c>
      <c r="I80" s="7">
        <v>1.0027358</v>
      </c>
      <c r="J80" s="7">
        <v>1.0182190600000001</v>
      </c>
      <c r="K80" s="7">
        <v>1.0000174799999999</v>
      </c>
      <c r="L80" s="7">
        <v>1.48636612</v>
      </c>
      <c r="M80" s="7">
        <v>1.0004085199999999</v>
      </c>
      <c r="N80" s="7">
        <v>1.00000237</v>
      </c>
      <c r="O80" s="7">
        <v>1.17118213</v>
      </c>
      <c r="P80" s="7">
        <v>1.0000027</v>
      </c>
      <c r="Q80" s="7">
        <v>1.0000043300000001</v>
      </c>
      <c r="R80" s="7">
        <v>1</v>
      </c>
      <c r="S80" s="7">
        <v>1</v>
      </c>
      <c r="T80" s="7">
        <v>1.0000000200000001</v>
      </c>
      <c r="U80" s="7">
        <v>1.0000117799999999</v>
      </c>
      <c r="V80" s="7">
        <v>1.00000033</v>
      </c>
      <c r="W80" s="7">
        <v>1.0167745699999999</v>
      </c>
      <c r="X80" s="7">
        <v>1.0046391299999999</v>
      </c>
      <c r="Y80" s="7">
        <v>1.0380896100000001</v>
      </c>
      <c r="Z80" s="7">
        <v>1.00000209</v>
      </c>
      <c r="AA80" s="7">
        <v>1.0031833100000001</v>
      </c>
      <c r="AB80" s="7">
        <v>1.0051847700000001</v>
      </c>
      <c r="AC80" s="7">
        <v>1.0000265800000001</v>
      </c>
    </row>
    <row r="81" spans="1:29" x14ac:dyDescent="0.85">
      <c r="A81" t="s">
        <v>179</v>
      </c>
      <c r="B81" s="7">
        <v>1</v>
      </c>
      <c r="C81" s="7">
        <v>1.2310059200000001</v>
      </c>
      <c r="D81" s="7">
        <v>1.00000041</v>
      </c>
      <c r="E81" s="7">
        <v>1.03853605</v>
      </c>
      <c r="F81" s="7">
        <v>1.00009931</v>
      </c>
      <c r="G81" s="7">
        <v>1.00000003</v>
      </c>
      <c r="H81" s="7">
        <v>1.0027358</v>
      </c>
      <c r="I81" s="7">
        <v>1.0182190600000001</v>
      </c>
      <c r="J81" s="7">
        <v>1.0000174799999999</v>
      </c>
      <c r="K81" s="7">
        <v>1.48636612</v>
      </c>
      <c r="L81" s="7">
        <v>1.0004085199999999</v>
      </c>
      <c r="M81" s="7">
        <v>1.00000237</v>
      </c>
      <c r="N81" s="7">
        <v>1.17118213</v>
      </c>
      <c r="O81" s="7">
        <v>1.0000027</v>
      </c>
      <c r="P81" s="7">
        <v>1.0000043300000001</v>
      </c>
      <c r="Q81" s="7">
        <v>1</v>
      </c>
      <c r="R81" s="7">
        <v>1</v>
      </c>
      <c r="S81" s="7">
        <v>1.0000000200000001</v>
      </c>
      <c r="T81" s="7">
        <v>1.0000117799999999</v>
      </c>
      <c r="U81" s="7">
        <v>1.00000033</v>
      </c>
      <c r="V81" s="7">
        <v>1.0167745699999999</v>
      </c>
      <c r="W81" s="7">
        <v>1.0046391299999999</v>
      </c>
      <c r="X81" s="7">
        <v>1.0380896100000001</v>
      </c>
      <c r="Y81" s="7">
        <v>1.00000209</v>
      </c>
      <c r="Z81" s="7">
        <v>1.0031833100000001</v>
      </c>
      <c r="AA81" s="7">
        <v>1.0051847700000001</v>
      </c>
      <c r="AB81" s="7">
        <v>1.0000265800000001</v>
      </c>
      <c r="AC81" s="7">
        <v>1.0079071900000001</v>
      </c>
    </row>
    <row r="82" spans="1:29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DEC8E-55A4-4A84-B9BE-964B6ED39A1E}">
  <sheetPr codeName="Sheet16"/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7" width="10.65234375" bestFit="1" customWidth="1"/>
    <col min="28" max="29" width="10.765625" bestFit="1" customWidth="1"/>
  </cols>
  <sheetData>
    <row r="1" spans="1:29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</row>
    <row r="2" spans="1:29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</row>
    <row r="3" spans="1:29" x14ac:dyDescent="0.85">
      <c r="A3" t="s">
        <v>69</v>
      </c>
      <c r="B3" s="7">
        <v>0</v>
      </c>
      <c r="C3" s="7">
        <v>20</v>
      </c>
      <c r="D3" s="7">
        <v>40</v>
      </c>
      <c r="E3" s="7">
        <v>60</v>
      </c>
      <c r="F3" s="7">
        <v>80</v>
      </c>
      <c r="G3" s="7">
        <v>100</v>
      </c>
      <c r="H3" s="7">
        <v>120</v>
      </c>
      <c r="I3" s="7">
        <v>140</v>
      </c>
      <c r="J3" s="7">
        <v>160</v>
      </c>
      <c r="K3" s="7">
        <v>180</v>
      </c>
      <c r="L3" s="7">
        <v>200</v>
      </c>
      <c r="M3" s="7">
        <v>220</v>
      </c>
      <c r="N3" s="7">
        <v>240</v>
      </c>
      <c r="O3" s="7">
        <v>260</v>
      </c>
      <c r="P3" s="7">
        <v>280</v>
      </c>
      <c r="Q3" s="7">
        <v>300</v>
      </c>
      <c r="R3" s="7">
        <v>320</v>
      </c>
      <c r="S3" s="7">
        <v>340</v>
      </c>
      <c r="T3" s="7">
        <v>360</v>
      </c>
      <c r="U3" s="7">
        <v>380</v>
      </c>
      <c r="V3" s="7">
        <v>400</v>
      </c>
      <c r="W3" s="7">
        <v>420</v>
      </c>
      <c r="X3" s="7">
        <v>440</v>
      </c>
      <c r="Y3" s="7">
        <v>460</v>
      </c>
      <c r="Z3" s="7">
        <v>480</v>
      </c>
      <c r="AA3" s="7">
        <v>500</v>
      </c>
      <c r="AB3" s="7">
        <v>520</v>
      </c>
      <c r="AC3" s="7">
        <v>540</v>
      </c>
    </row>
    <row r="4" spans="1:29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1E-8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</row>
    <row r="5" spans="1:29" x14ac:dyDescent="0.85">
      <c r="A5" t="s">
        <v>105</v>
      </c>
      <c r="B5" s="7">
        <v>28265.27</v>
      </c>
      <c r="C5" s="7">
        <v>28581.613591019999</v>
      </c>
      <c r="D5" s="7">
        <v>29005.177592100001</v>
      </c>
      <c r="E5" s="7">
        <v>29532.761987959999</v>
      </c>
      <c r="F5" s="7">
        <v>30126.86050332</v>
      </c>
      <c r="G5" s="7">
        <v>30836.662647749999</v>
      </c>
      <c r="H5" s="7">
        <v>31566.965185069999</v>
      </c>
      <c r="I5" s="7">
        <v>32318.322420799999</v>
      </c>
      <c r="J5" s="7">
        <v>33091.212854029996</v>
      </c>
      <c r="K5" s="7">
        <v>33886.183604760001</v>
      </c>
      <c r="L5" s="7">
        <v>35051.857389190001</v>
      </c>
      <c r="M5" s="7">
        <v>36979.55615592</v>
      </c>
      <c r="N5" s="7">
        <v>38309.07463481</v>
      </c>
      <c r="O5" s="7">
        <v>39045.94291713</v>
      </c>
      <c r="P5" s="7">
        <v>39801.546609650002</v>
      </c>
      <c r="Q5" s="7">
        <v>40578.046550229999</v>
      </c>
      <c r="R5" s="7">
        <v>41375.540032620003</v>
      </c>
      <c r="S5" s="7">
        <v>42194.409138399998</v>
      </c>
      <c r="T5" s="7">
        <v>43034.899278190001</v>
      </c>
      <c r="U5" s="7">
        <v>43897.31553172</v>
      </c>
      <c r="V5" s="7">
        <v>44681.809896129998</v>
      </c>
      <c r="W5" s="7">
        <v>45617.923342599999</v>
      </c>
      <c r="X5" s="7">
        <v>46656.852472819999</v>
      </c>
      <c r="Y5" s="7">
        <v>47721.295316590003</v>
      </c>
      <c r="Z5" s="7">
        <v>48811.695094269999</v>
      </c>
      <c r="AA5" s="7">
        <v>49938.993852309999</v>
      </c>
      <c r="AB5" s="7">
        <v>51096.902645280003</v>
      </c>
      <c r="AC5" s="7">
        <v>52282.165355030003</v>
      </c>
    </row>
    <row r="6" spans="1:29" x14ac:dyDescent="0.85">
      <c r="A6" t="s">
        <v>106</v>
      </c>
      <c r="B6" s="7">
        <v>135995476.894999</v>
      </c>
      <c r="C6" s="7">
        <v>139101838.036901</v>
      </c>
      <c r="D6" s="7">
        <v>142270350.60172001</v>
      </c>
      <c r="E6" s="7">
        <v>145502255.06225401</v>
      </c>
      <c r="F6" s="7">
        <v>148798743.52619001</v>
      </c>
      <c r="G6" s="7">
        <v>152161194.871995</v>
      </c>
      <c r="H6" s="7">
        <v>155590903.31339899</v>
      </c>
      <c r="I6" s="7">
        <v>159089214.61397001</v>
      </c>
      <c r="J6" s="7">
        <v>162657476.23356599</v>
      </c>
      <c r="K6" s="7">
        <v>166297099.11633801</v>
      </c>
      <c r="L6" s="7">
        <v>170009517.02345201</v>
      </c>
      <c r="M6" s="7">
        <v>173796168.70056799</v>
      </c>
      <c r="N6" s="7">
        <v>177658580.34711501</v>
      </c>
      <c r="O6" s="7">
        <v>181598226.60360599</v>
      </c>
      <c r="P6" s="7">
        <v>185616665.77199101</v>
      </c>
      <c r="Q6" s="7">
        <v>189715473.75046599</v>
      </c>
      <c r="R6" s="7">
        <v>193896257.870891</v>
      </c>
      <c r="S6" s="7">
        <v>198160657.681858</v>
      </c>
      <c r="T6" s="7">
        <v>202510345.48528701</v>
      </c>
      <c r="U6" s="7">
        <v>206947027.04358301</v>
      </c>
      <c r="V6" s="7">
        <v>211474126.35477501</v>
      </c>
      <c r="W6" s="7">
        <v>216099076.78984901</v>
      </c>
      <c r="X6" s="7">
        <v>220834282.38556001</v>
      </c>
      <c r="Y6" s="7">
        <v>225701459.355261</v>
      </c>
      <c r="Z6" s="7">
        <v>230724009.86160901</v>
      </c>
      <c r="AA6" s="7">
        <v>235932470.284677</v>
      </c>
      <c r="AB6" s="7">
        <v>241367805.87661099</v>
      </c>
      <c r="AC6" s="7">
        <v>247073216.00182199</v>
      </c>
    </row>
    <row r="7" spans="1:29" x14ac:dyDescent="0.85">
      <c r="A7" t="s">
        <v>107</v>
      </c>
      <c r="B7" s="7">
        <v>135995476.89500001</v>
      </c>
      <c r="C7" s="7">
        <v>139101861.08245</v>
      </c>
      <c r="D7" s="7">
        <v>142270372.95364901</v>
      </c>
      <c r="E7" s="7">
        <v>145502255.062271</v>
      </c>
      <c r="F7" s="7">
        <v>148798774.81306699</v>
      </c>
      <c r="G7" s="7">
        <v>152161224.95887801</v>
      </c>
      <c r="H7" s="7">
        <v>155590924.10760599</v>
      </c>
      <c r="I7" s="7">
        <v>159089217.239308</v>
      </c>
      <c r="J7" s="7">
        <v>162657476.23364401</v>
      </c>
      <c r="K7" s="7">
        <v>166297100.40786701</v>
      </c>
      <c r="L7" s="7">
        <v>170009517.06557399</v>
      </c>
      <c r="M7" s="7">
        <v>173796182.056436</v>
      </c>
      <c r="N7" s="7">
        <v>177658580.34711501</v>
      </c>
      <c r="O7" s="7">
        <v>181598226.603607</v>
      </c>
      <c r="P7" s="7">
        <v>185616665.785229</v>
      </c>
      <c r="Q7" s="7">
        <v>189715473.75048399</v>
      </c>
      <c r="R7" s="7">
        <v>193896257.875043</v>
      </c>
      <c r="S7" s="7">
        <v>198160657.68209401</v>
      </c>
      <c r="T7" s="7">
        <v>202510345.485286</v>
      </c>
      <c r="U7" s="7">
        <v>206947027.04454201</v>
      </c>
      <c r="V7" s="7">
        <v>211472442.234983</v>
      </c>
      <c r="W7" s="7">
        <v>216088365.72923201</v>
      </c>
      <c r="X7" s="7">
        <v>220796607.693367</v>
      </c>
      <c r="Y7" s="7">
        <v>225599014.496784</v>
      </c>
      <c r="Z7" s="7">
        <v>230497469.43627</v>
      </c>
      <c r="AA7" s="7">
        <v>235493893.47454599</v>
      </c>
      <c r="AB7" s="7">
        <v>240590245.99358699</v>
      </c>
      <c r="AC7" s="7">
        <v>245788525.56300801</v>
      </c>
    </row>
    <row r="8" spans="1:29" x14ac:dyDescent="0.85">
      <c r="A8" t="s">
        <v>108</v>
      </c>
      <c r="B8" s="7">
        <v>15635.29232907</v>
      </c>
      <c r="C8" s="7">
        <v>15462.64581826</v>
      </c>
      <c r="D8" s="7">
        <v>15313.600663040001</v>
      </c>
      <c r="E8" s="7">
        <v>15164.665973880001</v>
      </c>
      <c r="F8" s="7">
        <v>15068.15541868</v>
      </c>
      <c r="G8" s="7">
        <v>14995.41554161</v>
      </c>
      <c r="H8" s="7">
        <v>14919.963084290001</v>
      </c>
      <c r="I8" s="7">
        <v>14833.615932320001</v>
      </c>
      <c r="J8" s="7">
        <v>14754.89036646</v>
      </c>
      <c r="K8" s="7">
        <v>14688.111766419999</v>
      </c>
      <c r="L8" s="7">
        <v>15004.651597169999</v>
      </c>
      <c r="M8" s="7">
        <v>16129.282716940001</v>
      </c>
      <c r="N8" s="7">
        <v>17168.551675269999</v>
      </c>
      <c r="O8" s="7">
        <v>18124.62252298</v>
      </c>
      <c r="P8" s="7">
        <v>19099.022080309998</v>
      </c>
      <c r="Q8" s="7">
        <v>20092.405679250001</v>
      </c>
      <c r="R8" s="7">
        <v>21105.14348671</v>
      </c>
      <c r="S8" s="7">
        <v>22137.63759477</v>
      </c>
      <c r="T8" s="7">
        <v>23190.2911131</v>
      </c>
      <c r="U8" s="7">
        <v>24263.524653060002</v>
      </c>
      <c r="V8" s="7">
        <v>25338.773430959998</v>
      </c>
      <c r="W8" s="7">
        <v>26457.556212520001</v>
      </c>
      <c r="X8" s="7">
        <v>27614.116022409999</v>
      </c>
      <c r="Y8" s="7">
        <v>28796.08366325</v>
      </c>
      <c r="Z8" s="7">
        <v>30004.00336536</v>
      </c>
      <c r="AA8" s="7">
        <v>31240.419867230001</v>
      </c>
      <c r="AB8" s="7">
        <v>32504.849185880001</v>
      </c>
      <c r="AC8" s="7">
        <v>33797.253608890001</v>
      </c>
    </row>
    <row r="9" spans="1:29" x14ac:dyDescent="0.85">
      <c r="A9" t="s">
        <v>109</v>
      </c>
      <c r="B9" s="7">
        <v>2317.9515254500002</v>
      </c>
      <c r="C9" s="7">
        <v>2419.1775858000001</v>
      </c>
      <c r="D9" s="7">
        <v>2521.0621430299998</v>
      </c>
      <c r="E9" s="7">
        <v>2623.9146594600002</v>
      </c>
      <c r="F9" s="7">
        <v>2731.0835697299999</v>
      </c>
      <c r="G9" s="7">
        <v>2838.38663331</v>
      </c>
      <c r="H9" s="7">
        <v>2946.4548194200001</v>
      </c>
      <c r="I9" s="7">
        <v>3054.3493376900001</v>
      </c>
      <c r="J9" s="7">
        <v>3163.3402839</v>
      </c>
      <c r="K9" s="7">
        <v>3273.6496933100002</v>
      </c>
      <c r="L9" s="7">
        <v>3348.4545033700001</v>
      </c>
      <c r="M9" s="7">
        <v>3347.1655489300001</v>
      </c>
      <c r="N9" s="7">
        <v>3339.55064885</v>
      </c>
      <c r="O9" s="7">
        <v>3328.0108775499998</v>
      </c>
      <c r="P9" s="7">
        <v>3316.7801277799999</v>
      </c>
      <c r="Q9" s="7">
        <v>3305.8565114399998</v>
      </c>
      <c r="R9" s="7">
        <v>3295.2266305200001</v>
      </c>
      <c r="S9" s="7">
        <v>3284.8782747999999</v>
      </c>
      <c r="T9" s="7">
        <v>3274.7988647500001</v>
      </c>
      <c r="U9" s="7">
        <v>3264.9763666600002</v>
      </c>
      <c r="V9" s="7">
        <v>3255.4404131900001</v>
      </c>
      <c r="W9" s="7">
        <v>3246.6137868400001</v>
      </c>
      <c r="X9" s="7">
        <v>3238.3589000900001</v>
      </c>
      <c r="Y9" s="7">
        <v>3230.9134853999999</v>
      </c>
      <c r="Z9" s="7">
        <v>3224.7863413999999</v>
      </c>
      <c r="AA9" s="7">
        <v>3220.6595128499998</v>
      </c>
      <c r="AB9" s="7">
        <v>3219.4374308699998</v>
      </c>
      <c r="AC9" s="7">
        <v>3222.0981940199999</v>
      </c>
    </row>
    <row r="10" spans="1:29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6.6000000000000003E-7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</row>
    <row r="11" spans="1:29" x14ac:dyDescent="0.85">
      <c r="A11" t="s">
        <v>37</v>
      </c>
      <c r="B11" s="7">
        <v>0</v>
      </c>
      <c r="C11" s="7">
        <v>875.82904178000001</v>
      </c>
      <c r="D11" s="7">
        <v>1838.28733336</v>
      </c>
      <c r="E11" s="7">
        <v>2888.05748537</v>
      </c>
      <c r="F11" s="7">
        <v>3960.6467231299998</v>
      </c>
      <c r="G11" s="7">
        <v>5098.2436690300001</v>
      </c>
      <c r="H11" s="7">
        <v>6307.5540094899998</v>
      </c>
      <c r="I11" s="7">
        <v>7635.8832343399999</v>
      </c>
      <c r="J11" s="7">
        <v>9049.7454013700008</v>
      </c>
      <c r="K11" s="7">
        <v>10542.48722218</v>
      </c>
      <c r="L11" s="7">
        <v>11770.461605619999</v>
      </c>
      <c r="M11" s="7">
        <v>12259.89721958</v>
      </c>
      <c r="N11" s="7">
        <v>12807.31472294</v>
      </c>
      <c r="O11" s="7">
        <v>13419.90888431</v>
      </c>
      <c r="P11" s="7">
        <v>13958.67965661</v>
      </c>
      <c r="Q11" s="7">
        <v>14421.924995789999</v>
      </c>
      <c r="R11" s="7">
        <v>14808.316935299999</v>
      </c>
      <c r="S11" s="7">
        <v>15116.45515715</v>
      </c>
      <c r="T11" s="7">
        <v>15344.85345708</v>
      </c>
      <c r="U11" s="7">
        <v>15491.947109209999</v>
      </c>
      <c r="V11" s="7">
        <v>15556.42042855</v>
      </c>
      <c r="W11" s="7">
        <v>15542.007300089999</v>
      </c>
      <c r="X11" s="7">
        <v>15444.238301789999</v>
      </c>
      <c r="Y11" s="7">
        <v>15262.33894917</v>
      </c>
      <c r="Z11" s="7">
        <v>14999.756996440001</v>
      </c>
      <c r="AA11" s="7">
        <v>14662.419201840001</v>
      </c>
      <c r="AB11" s="7">
        <v>14259.365686749999</v>
      </c>
      <c r="AC11" s="7">
        <v>13801.92640543</v>
      </c>
    </row>
    <row r="12" spans="1:29" x14ac:dyDescent="0.85">
      <c r="A12" t="s">
        <v>111</v>
      </c>
      <c r="B12" s="7">
        <v>17953.243854519998</v>
      </c>
      <c r="C12" s="7">
        <v>17881.82340406</v>
      </c>
      <c r="D12" s="7">
        <v>17834.662806069999</v>
      </c>
      <c r="E12" s="7">
        <v>17788.580633329999</v>
      </c>
      <c r="F12" s="7">
        <v>17799.238988410001</v>
      </c>
      <c r="G12" s="7">
        <v>17833.802174920002</v>
      </c>
      <c r="H12" s="7">
        <v>17866.41790371</v>
      </c>
      <c r="I12" s="7">
        <v>17887.965270010001</v>
      </c>
      <c r="J12" s="7">
        <v>17918.230650360001</v>
      </c>
      <c r="K12" s="7">
        <v>17961.761459730002</v>
      </c>
      <c r="L12" s="7">
        <v>18353.106100540001</v>
      </c>
      <c r="M12" s="7">
        <v>19476.44826587</v>
      </c>
      <c r="N12" s="7">
        <v>20508.10232477</v>
      </c>
      <c r="O12" s="7">
        <v>21452.633400530001</v>
      </c>
      <c r="P12" s="7">
        <v>22415.802208090001</v>
      </c>
      <c r="Q12" s="7">
        <v>23398.262190689999</v>
      </c>
      <c r="R12" s="7">
        <v>24400.370117229999</v>
      </c>
      <c r="S12" s="7">
        <v>25422.51586956</v>
      </c>
      <c r="T12" s="7">
        <v>26465.089977849999</v>
      </c>
      <c r="U12" s="7">
        <v>27528.501019709998</v>
      </c>
      <c r="V12" s="7">
        <v>28594.213844149999</v>
      </c>
      <c r="W12" s="7">
        <v>29704.169999360001</v>
      </c>
      <c r="X12" s="7">
        <v>30852.474922500001</v>
      </c>
      <c r="Y12" s="7">
        <v>32026.99714865</v>
      </c>
      <c r="Z12" s="7">
        <v>33228.789706759999</v>
      </c>
      <c r="AA12" s="7">
        <v>34461.079380080002</v>
      </c>
      <c r="AB12" s="7">
        <v>35724.286616750003</v>
      </c>
      <c r="AC12" s="7">
        <v>37019.351802910001</v>
      </c>
    </row>
    <row r="13" spans="1:29" x14ac:dyDescent="0.85">
      <c r="A13" t="s">
        <v>112</v>
      </c>
      <c r="B13" s="7">
        <v>17953.243854519998</v>
      </c>
      <c r="C13" s="7">
        <v>18757.652445840002</v>
      </c>
      <c r="D13" s="7">
        <v>19672.950139429999</v>
      </c>
      <c r="E13" s="7">
        <v>20676.638118710001</v>
      </c>
      <c r="F13" s="7">
        <v>21759.885711539999</v>
      </c>
      <c r="G13" s="7">
        <v>22932.04584395</v>
      </c>
      <c r="H13" s="7">
        <v>24173.971913199999</v>
      </c>
      <c r="I13" s="7">
        <v>25523.84850435</v>
      </c>
      <c r="J13" s="7">
        <v>26967.976051729998</v>
      </c>
      <c r="K13" s="7">
        <v>28504.248681900001</v>
      </c>
      <c r="L13" s="7">
        <v>30123.56770616</v>
      </c>
      <c r="M13" s="7">
        <v>31736.345485450001</v>
      </c>
      <c r="N13" s="7">
        <v>33315.417047709998</v>
      </c>
      <c r="O13" s="7">
        <v>34872.542284839998</v>
      </c>
      <c r="P13" s="7">
        <v>36374.481864699999</v>
      </c>
      <c r="Q13" s="7">
        <v>37820.187186479998</v>
      </c>
      <c r="R13" s="7">
        <v>39208.687052529996</v>
      </c>
      <c r="S13" s="7">
        <v>40538.971026710002</v>
      </c>
      <c r="T13" s="7">
        <v>41809.943434920002</v>
      </c>
      <c r="U13" s="7">
        <v>43020.448128919998</v>
      </c>
      <c r="V13" s="7">
        <v>44150.634272700001</v>
      </c>
      <c r="W13" s="7">
        <v>45246.177299449999</v>
      </c>
      <c r="X13" s="7">
        <v>46296.713224289997</v>
      </c>
      <c r="Y13" s="7">
        <v>47289.336097829997</v>
      </c>
      <c r="Z13" s="7">
        <v>48228.546703200002</v>
      </c>
      <c r="AA13" s="7">
        <v>49123.498581929998</v>
      </c>
      <c r="AB13" s="7">
        <v>49983.652303499999</v>
      </c>
      <c r="AC13" s="7">
        <v>50821.278208340002</v>
      </c>
    </row>
    <row r="14" spans="1:29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</row>
    <row r="15" spans="1:29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</row>
    <row r="16" spans="1:29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</row>
    <row r="17" spans="1:29" x14ac:dyDescent="0.85">
      <c r="A17" t="s">
        <v>115</v>
      </c>
      <c r="B17" s="7">
        <v>1743.02</v>
      </c>
      <c r="C17" s="7">
        <v>1684.91933333</v>
      </c>
      <c r="D17" s="7">
        <v>1628.75535556</v>
      </c>
      <c r="E17" s="7">
        <v>1574.46351037</v>
      </c>
      <c r="F17" s="7">
        <v>1521.9813933600001</v>
      </c>
      <c r="G17" s="7">
        <v>1471.24868025</v>
      </c>
      <c r="H17" s="7">
        <v>1422.2397348699999</v>
      </c>
      <c r="I17" s="7">
        <v>1374.8317437999999</v>
      </c>
      <c r="J17" s="7">
        <v>1329.0040234000001</v>
      </c>
      <c r="K17" s="7">
        <v>1284.70388929</v>
      </c>
      <c r="L17" s="7">
        <v>1243.36893072</v>
      </c>
      <c r="M17" s="7">
        <v>1201.92329969</v>
      </c>
      <c r="N17" s="7">
        <v>1161.85919083</v>
      </c>
      <c r="O17" s="7">
        <v>1123.2187555600001</v>
      </c>
      <c r="P17" s="7">
        <v>1085.77813038</v>
      </c>
      <c r="Q17" s="7">
        <v>1049.58552603</v>
      </c>
      <c r="R17" s="7">
        <v>1014.59934183</v>
      </c>
      <c r="S17" s="7">
        <v>980.77936392000004</v>
      </c>
      <c r="T17" s="7">
        <v>948.08671846000004</v>
      </c>
      <c r="U17" s="7">
        <v>916.48544092999998</v>
      </c>
      <c r="V17" s="7">
        <v>885.93592835000004</v>
      </c>
      <c r="W17" s="7">
        <v>856.40473073999999</v>
      </c>
      <c r="X17" s="7">
        <v>827.85798144</v>
      </c>
      <c r="Y17" s="7">
        <v>800.26475076999998</v>
      </c>
      <c r="Z17" s="7">
        <v>773.58929979000004</v>
      </c>
      <c r="AA17" s="7">
        <v>747.80313195999997</v>
      </c>
      <c r="AB17" s="7">
        <v>722.87636089</v>
      </c>
      <c r="AC17" s="7">
        <v>698.78048220000005</v>
      </c>
    </row>
    <row r="18" spans="1:29" x14ac:dyDescent="0.85">
      <c r="A18" t="s">
        <v>116</v>
      </c>
      <c r="B18" s="7">
        <v>1025020.675</v>
      </c>
      <c r="C18" s="7">
        <v>983721.92616163997</v>
      </c>
      <c r="D18" s="7">
        <v>950931.09482979996</v>
      </c>
      <c r="E18" s="7">
        <v>919229.79092522</v>
      </c>
      <c r="F18" s="7">
        <v>866203.82912957994</v>
      </c>
      <c r="G18" s="7">
        <v>836845.84869659995</v>
      </c>
      <c r="H18" s="7">
        <v>808969.57391050004</v>
      </c>
      <c r="I18" s="7">
        <v>782003.92150123999</v>
      </c>
      <c r="J18" s="7">
        <v>755937.12661611999</v>
      </c>
      <c r="K18" s="7">
        <v>730739.22068741999</v>
      </c>
      <c r="L18" s="7">
        <v>707227.90756294003</v>
      </c>
      <c r="M18" s="7">
        <v>683653.64367251005</v>
      </c>
      <c r="N18" s="7">
        <v>660865.18952758994</v>
      </c>
      <c r="O18" s="7">
        <v>638886.52052788995</v>
      </c>
      <c r="P18" s="7">
        <v>617590.30314550002</v>
      </c>
      <c r="Q18" s="7">
        <v>597003.95967936004</v>
      </c>
      <c r="R18" s="7">
        <v>577103.82764399005</v>
      </c>
      <c r="S18" s="7">
        <v>557867.03347671998</v>
      </c>
      <c r="T18" s="7">
        <v>539271.46568286</v>
      </c>
      <c r="U18" s="7">
        <v>521296.66768595</v>
      </c>
      <c r="V18" s="7">
        <v>502206.55201592</v>
      </c>
      <c r="W18" s="7">
        <v>476367.77680170001</v>
      </c>
      <c r="X18" s="7">
        <v>433187.84759724</v>
      </c>
      <c r="Y18" s="7">
        <v>352742.71965101</v>
      </c>
      <c r="Z18" s="7">
        <v>213463.77447228</v>
      </c>
      <c r="AA18" s="7">
        <v>-13232.152518819999</v>
      </c>
      <c r="AB18" s="7">
        <v>-366382.79601085</v>
      </c>
      <c r="AC18" s="7">
        <v>-887194.09476931999</v>
      </c>
    </row>
    <row r="19" spans="1:29" x14ac:dyDescent="0.85">
      <c r="A19" t="s">
        <v>117</v>
      </c>
      <c r="B19" s="7">
        <v>1025020.675</v>
      </c>
      <c r="C19" s="7">
        <v>983721.92616163997</v>
      </c>
      <c r="D19" s="7">
        <v>950931.09482979996</v>
      </c>
      <c r="E19" s="7">
        <v>919229.79092522</v>
      </c>
      <c r="F19" s="7">
        <v>866203.82912957994</v>
      </c>
      <c r="G19" s="7">
        <v>836845.84869659995</v>
      </c>
      <c r="H19" s="7">
        <v>808969.57391050004</v>
      </c>
      <c r="I19" s="7">
        <v>782003.92150123999</v>
      </c>
      <c r="J19" s="7">
        <v>755937.12661611999</v>
      </c>
      <c r="K19" s="7">
        <v>730739.22068741999</v>
      </c>
      <c r="L19" s="7">
        <v>707227.90756294003</v>
      </c>
      <c r="M19" s="7">
        <v>683653.64367251005</v>
      </c>
      <c r="N19" s="7">
        <v>660865.18952758994</v>
      </c>
      <c r="O19" s="7">
        <v>638886.52052788995</v>
      </c>
      <c r="P19" s="7">
        <v>617590.30314550002</v>
      </c>
      <c r="Q19" s="7">
        <v>597003.95967936004</v>
      </c>
      <c r="R19" s="7">
        <v>577103.82764399005</v>
      </c>
      <c r="S19" s="7">
        <v>557867.03347671998</v>
      </c>
      <c r="T19" s="7">
        <v>539271.46568286</v>
      </c>
      <c r="U19" s="7">
        <v>521296.66768595</v>
      </c>
      <c r="V19" s="7">
        <v>503920.11330043001</v>
      </c>
      <c r="W19" s="7">
        <v>487122.77600476</v>
      </c>
      <c r="X19" s="7">
        <v>470885.39282949001</v>
      </c>
      <c r="Y19" s="7">
        <v>455190.37079317</v>
      </c>
      <c r="Z19" s="7">
        <v>440017.38158723997</v>
      </c>
      <c r="AA19" s="7">
        <v>425350.21639676002</v>
      </c>
      <c r="AB19" s="7">
        <v>411171.87584320997</v>
      </c>
      <c r="AC19" s="7">
        <v>397466.14665309998</v>
      </c>
    </row>
    <row r="20" spans="1:29" x14ac:dyDescent="0.85">
      <c r="A20" t="s">
        <v>118</v>
      </c>
      <c r="B20" s="7">
        <v>355.85122024999998</v>
      </c>
      <c r="C20" s="7">
        <v>343.98951290999997</v>
      </c>
      <c r="D20" s="7">
        <v>332.52319581</v>
      </c>
      <c r="E20" s="7">
        <v>321.43908929000003</v>
      </c>
      <c r="F20" s="7">
        <v>310.72445298000002</v>
      </c>
      <c r="G20" s="7">
        <v>300.36697120999997</v>
      </c>
      <c r="H20" s="7">
        <v>290.36141015999999</v>
      </c>
      <c r="I20" s="7">
        <v>280.68269651000003</v>
      </c>
      <c r="J20" s="7">
        <v>271.32660751999998</v>
      </c>
      <c r="K20" s="7">
        <v>262.28238727000002</v>
      </c>
      <c r="L20" s="7">
        <v>253.84353089000001</v>
      </c>
      <c r="M20" s="7">
        <v>245.38207986</v>
      </c>
      <c r="N20" s="7">
        <v>237.20267742999999</v>
      </c>
      <c r="O20" s="7">
        <v>229.31392914</v>
      </c>
      <c r="P20" s="7">
        <v>221.67013151</v>
      </c>
      <c r="Q20" s="7">
        <v>214.28112712000001</v>
      </c>
      <c r="R20" s="7">
        <v>207.13842288999999</v>
      </c>
      <c r="S20" s="7">
        <v>200.23380882000001</v>
      </c>
      <c r="T20" s="7">
        <v>193.55934852999999</v>
      </c>
      <c r="U20" s="7">
        <v>187.10769956999999</v>
      </c>
      <c r="V20" s="7">
        <v>180.87077668000001</v>
      </c>
      <c r="W20" s="7">
        <v>174.84175078999999</v>
      </c>
      <c r="X20" s="7">
        <v>169.01370775000001</v>
      </c>
      <c r="Y20" s="7">
        <v>163.38033304000001</v>
      </c>
      <c r="Z20" s="7">
        <v>157.93433024000001</v>
      </c>
      <c r="AA20" s="7">
        <v>152.66988158999999</v>
      </c>
      <c r="AB20" s="7">
        <v>147.58088554</v>
      </c>
      <c r="AC20" s="7">
        <v>142.66152269</v>
      </c>
    </row>
    <row r="21" spans="1:29" x14ac:dyDescent="0.85">
      <c r="A21" t="s">
        <v>119</v>
      </c>
      <c r="B21" s="7">
        <v>0</v>
      </c>
      <c r="C21" s="7">
        <v>9.8372189999999998E-2</v>
      </c>
      <c r="D21" s="7">
        <v>0.19018621999999999</v>
      </c>
      <c r="E21" s="7">
        <v>0.27576894000000002</v>
      </c>
      <c r="F21" s="7">
        <v>0.34648152999999998</v>
      </c>
      <c r="G21" s="7">
        <v>0.41842291999999998</v>
      </c>
      <c r="H21" s="7">
        <v>0.48538174000000001</v>
      </c>
      <c r="I21" s="7">
        <v>0.54740275000000005</v>
      </c>
      <c r="J21" s="7">
        <v>0.60474969999999995</v>
      </c>
      <c r="K21" s="7">
        <v>0.65766530000000001</v>
      </c>
      <c r="L21" s="7">
        <v>0.70722790999999996</v>
      </c>
      <c r="M21" s="7">
        <v>0.75201901000000004</v>
      </c>
      <c r="N21" s="7">
        <v>0.79303822999999996</v>
      </c>
      <c r="O21" s="7">
        <v>0.83055248000000004</v>
      </c>
      <c r="P21" s="7">
        <v>0.86462642000000001</v>
      </c>
      <c r="Q21" s="7">
        <v>0.89550593999999994</v>
      </c>
      <c r="R21" s="7">
        <v>0.92336611999999996</v>
      </c>
      <c r="S21" s="7">
        <v>0.94837395999999996</v>
      </c>
      <c r="T21" s="7">
        <v>0.97068863999999999</v>
      </c>
      <c r="U21" s="7">
        <v>0.99046367000000002</v>
      </c>
      <c r="V21" s="7">
        <v>1.00784023</v>
      </c>
      <c r="W21" s="7">
        <v>1.02295783</v>
      </c>
      <c r="X21" s="7">
        <v>1.0359478600000001</v>
      </c>
      <c r="Y21" s="7">
        <v>1.0469378499999999</v>
      </c>
      <c r="Z21" s="7">
        <v>1.0560417200000001</v>
      </c>
      <c r="AA21" s="7">
        <v>1.06337554</v>
      </c>
      <c r="AB21" s="7">
        <v>1.0690468799999999</v>
      </c>
      <c r="AC21" s="7">
        <v>1.0731586</v>
      </c>
    </row>
    <row r="22" spans="1:29" x14ac:dyDescent="0.85">
      <c r="A22" t="s">
        <v>120</v>
      </c>
      <c r="B22" s="7">
        <v>5.1250999999999996E-3</v>
      </c>
      <c r="C22" s="7">
        <v>4.9186100000000003E-3</v>
      </c>
      <c r="D22" s="7">
        <v>4.75466E-3</v>
      </c>
      <c r="E22" s="7">
        <v>4.5961500000000002E-3</v>
      </c>
      <c r="F22" s="7">
        <v>4.3310199999999997E-3</v>
      </c>
      <c r="G22" s="7">
        <v>4.1842299999999997E-3</v>
      </c>
      <c r="H22" s="7">
        <v>4.04485E-3</v>
      </c>
      <c r="I22" s="7">
        <v>3.9100200000000002E-3</v>
      </c>
      <c r="J22" s="7">
        <v>3.77969E-3</v>
      </c>
      <c r="K22" s="7">
        <v>3.6537000000000002E-3</v>
      </c>
      <c r="L22" s="7">
        <v>3.5361400000000001E-3</v>
      </c>
      <c r="M22" s="7">
        <v>3.4182700000000002E-3</v>
      </c>
      <c r="N22" s="7">
        <v>3.3043299999999999E-3</v>
      </c>
      <c r="O22" s="7">
        <v>3.1944299999999998E-3</v>
      </c>
      <c r="P22" s="7">
        <v>3.0879499999999999E-3</v>
      </c>
      <c r="Q22" s="7">
        <v>2.9850200000000001E-3</v>
      </c>
      <c r="R22" s="7">
        <v>2.8855199999999999E-3</v>
      </c>
      <c r="S22" s="7">
        <v>2.78934E-3</v>
      </c>
      <c r="T22" s="7">
        <v>2.6963600000000001E-3</v>
      </c>
      <c r="U22" s="7">
        <v>2.60648E-3</v>
      </c>
      <c r="V22" s="7">
        <v>2.5195999999999999E-3</v>
      </c>
      <c r="W22" s="7">
        <v>2.4356099999999999E-3</v>
      </c>
      <c r="X22" s="7">
        <v>2.3544299999999998E-3</v>
      </c>
      <c r="Y22" s="7">
        <v>2.2759500000000001E-3</v>
      </c>
      <c r="Z22" s="7">
        <v>2.20009E-3</v>
      </c>
      <c r="AA22" s="7">
        <v>2.1267500000000002E-3</v>
      </c>
      <c r="AB22" s="7">
        <v>2.0558600000000001E-3</v>
      </c>
      <c r="AC22" s="7">
        <v>1.9873299999999998E-3</v>
      </c>
    </row>
    <row r="23" spans="1:29" x14ac:dyDescent="0.85">
      <c r="A23" t="s">
        <v>121</v>
      </c>
      <c r="B23" s="7">
        <v>355.85122024999998</v>
      </c>
      <c r="C23" s="7">
        <v>343.98951290999997</v>
      </c>
      <c r="D23" s="7">
        <v>332.52319581</v>
      </c>
      <c r="E23" s="7">
        <v>321.43908929000003</v>
      </c>
      <c r="F23" s="7">
        <v>310.72445298000002</v>
      </c>
      <c r="G23" s="7">
        <v>300.36697120999997</v>
      </c>
      <c r="H23" s="7">
        <v>290.36141015999999</v>
      </c>
      <c r="I23" s="7">
        <v>280.68269651000003</v>
      </c>
      <c r="J23" s="7">
        <v>271.32660751999998</v>
      </c>
      <c r="K23" s="7">
        <v>262.28238727000002</v>
      </c>
      <c r="L23" s="7">
        <v>253.84353089000001</v>
      </c>
      <c r="M23" s="7">
        <v>245.38207986</v>
      </c>
      <c r="N23" s="7">
        <v>237.20267742999999</v>
      </c>
      <c r="O23" s="7">
        <v>229.31392914</v>
      </c>
      <c r="P23" s="7">
        <v>221.67013151</v>
      </c>
      <c r="Q23" s="7">
        <v>214.28112712000001</v>
      </c>
      <c r="R23" s="7">
        <v>207.13842288999999</v>
      </c>
      <c r="S23" s="7">
        <v>200.23380882000001</v>
      </c>
      <c r="T23" s="7">
        <v>193.55934852999999</v>
      </c>
      <c r="U23" s="7">
        <v>187.10769956999999</v>
      </c>
      <c r="V23" s="7">
        <v>180.87077668000001</v>
      </c>
      <c r="W23" s="7">
        <v>174.84175078999999</v>
      </c>
      <c r="X23" s="7">
        <v>169.01370775000001</v>
      </c>
      <c r="Y23" s="7">
        <v>163.38033304000001</v>
      </c>
      <c r="Z23" s="7">
        <v>157.93433024000001</v>
      </c>
      <c r="AA23" s="7">
        <v>152.66988158999999</v>
      </c>
      <c r="AB23" s="7">
        <v>147.58088554</v>
      </c>
      <c r="AC23" s="7">
        <v>142.66152269</v>
      </c>
    </row>
    <row r="24" spans="1:29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</row>
    <row r="25" spans="1:29" x14ac:dyDescent="0.85">
      <c r="A25" t="s">
        <v>123</v>
      </c>
      <c r="B25" s="7">
        <v>1</v>
      </c>
      <c r="C25" s="7">
        <v>1.03333333</v>
      </c>
      <c r="D25" s="7">
        <v>0.99280278</v>
      </c>
      <c r="E25" s="7">
        <v>0.99999989</v>
      </c>
      <c r="F25" s="7">
        <v>0.99999607999999995</v>
      </c>
      <c r="G25" s="7">
        <v>0.97480840999999996</v>
      </c>
      <c r="H25" s="7">
        <v>0.99942134999999999</v>
      </c>
      <c r="I25" s="7">
        <v>1.00002298</v>
      </c>
      <c r="J25" s="7">
        <v>1</v>
      </c>
      <c r="K25" s="7">
        <v>1</v>
      </c>
      <c r="L25" s="7">
        <v>1</v>
      </c>
      <c r="M25" s="7">
        <v>1.00119859</v>
      </c>
      <c r="N25" s="7">
        <v>1</v>
      </c>
      <c r="O25" s="7">
        <v>1</v>
      </c>
      <c r="P25" s="7">
        <v>1.0000785299999999</v>
      </c>
      <c r="Q25" s="7">
        <v>1</v>
      </c>
      <c r="R25" s="7">
        <v>1</v>
      </c>
      <c r="S25" s="7">
        <v>1</v>
      </c>
      <c r="T25" s="7">
        <v>1</v>
      </c>
      <c r="U25" s="7">
        <v>1</v>
      </c>
      <c r="V25" s="7">
        <v>1.00000176</v>
      </c>
      <c r="W25" s="7">
        <v>1</v>
      </c>
      <c r="X25" s="7">
        <v>1</v>
      </c>
      <c r="Y25" s="7">
        <v>1.0000000899999999</v>
      </c>
      <c r="Z25" s="7">
        <v>1.0000025400000001</v>
      </c>
      <c r="AA25" s="7">
        <v>1.0000000499999999</v>
      </c>
      <c r="AB25" s="7">
        <v>1.00000019</v>
      </c>
      <c r="AC25" s="7">
        <v>1</v>
      </c>
    </row>
    <row r="26" spans="1:29" x14ac:dyDescent="0.85">
      <c r="A26" t="s">
        <v>124</v>
      </c>
      <c r="B26" s="7">
        <v>1</v>
      </c>
      <c r="C26" s="7">
        <v>0.99280278</v>
      </c>
      <c r="D26" s="7">
        <v>0.99999989</v>
      </c>
      <c r="E26" s="7">
        <v>0.99999607999999995</v>
      </c>
      <c r="F26" s="7">
        <v>0.97480840999999996</v>
      </c>
      <c r="G26" s="7">
        <v>0.99942134999999999</v>
      </c>
      <c r="H26" s="7">
        <v>1.00002298</v>
      </c>
      <c r="I26" s="7">
        <v>1</v>
      </c>
      <c r="J26" s="7">
        <v>1</v>
      </c>
      <c r="K26" s="7">
        <v>1</v>
      </c>
      <c r="L26" s="7">
        <v>1.00119859</v>
      </c>
      <c r="M26" s="7">
        <v>1</v>
      </c>
      <c r="N26" s="7">
        <v>1</v>
      </c>
      <c r="O26" s="7">
        <v>1.0000785299999999</v>
      </c>
      <c r="P26" s="7">
        <v>1</v>
      </c>
      <c r="Q26" s="7">
        <v>1</v>
      </c>
      <c r="R26" s="7">
        <v>1</v>
      </c>
      <c r="S26" s="7">
        <v>1</v>
      </c>
      <c r="T26" s="7">
        <v>1</v>
      </c>
      <c r="U26" s="7">
        <v>1.00000176</v>
      </c>
      <c r="V26" s="7">
        <v>1</v>
      </c>
      <c r="W26" s="7">
        <v>1</v>
      </c>
      <c r="X26" s="7">
        <v>1.0000000899999999</v>
      </c>
      <c r="Y26" s="7">
        <v>1.0000025400000001</v>
      </c>
      <c r="Z26" s="7">
        <v>1.0000000499999999</v>
      </c>
      <c r="AA26" s="7">
        <v>1.00000019</v>
      </c>
      <c r="AB26" s="7">
        <v>1</v>
      </c>
      <c r="AC26" s="7">
        <v>1</v>
      </c>
    </row>
    <row r="27" spans="1:29" x14ac:dyDescent="0.85">
      <c r="A27" t="s">
        <v>125</v>
      </c>
      <c r="B27" s="7">
        <v>1</v>
      </c>
      <c r="C27" s="7">
        <v>1.30742626</v>
      </c>
      <c r="D27" s="7">
        <v>1.3206652999999999</v>
      </c>
      <c r="E27" s="7">
        <v>1.3356424099999999</v>
      </c>
      <c r="F27" s="7">
        <v>1.3524659299999999</v>
      </c>
      <c r="G27" s="7">
        <v>1.3708489800000001</v>
      </c>
      <c r="H27" s="7">
        <v>1.39149842</v>
      </c>
      <c r="I27" s="7">
        <v>1.4134012199999999</v>
      </c>
      <c r="J27" s="7">
        <v>1.4366534099999999</v>
      </c>
      <c r="K27" s="7">
        <v>1.4613286000000001</v>
      </c>
      <c r="L27" s="7">
        <v>1.4875147399999999</v>
      </c>
      <c r="M27" s="7">
        <v>1.5196739500000001</v>
      </c>
      <c r="N27" s="7">
        <v>1.56533155</v>
      </c>
      <c r="O27" s="7">
        <v>1.60441835</v>
      </c>
      <c r="P27" s="7">
        <v>1.63615113</v>
      </c>
      <c r="Q27" s="7">
        <v>1.66973243</v>
      </c>
      <c r="R27" s="7">
        <v>1.70524991</v>
      </c>
      <c r="S27" s="7">
        <v>1.74281105</v>
      </c>
      <c r="T27" s="7">
        <v>1.7825341100000001</v>
      </c>
      <c r="U27" s="7">
        <v>1.82454143</v>
      </c>
      <c r="V27" s="7">
        <v>1.8689616600000001</v>
      </c>
      <c r="W27" s="7">
        <v>1.91393126</v>
      </c>
      <c r="X27" s="7">
        <v>1.9641307400000001</v>
      </c>
      <c r="Y27" s="7">
        <v>2.0189305200000001</v>
      </c>
      <c r="Z27" s="7">
        <v>2.0769494499999999</v>
      </c>
      <c r="AA27" s="7">
        <v>2.1383793</v>
      </c>
      <c r="AB27" s="7">
        <v>2.2036633299999999</v>
      </c>
      <c r="AC27" s="7">
        <v>2.2728706500000002</v>
      </c>
    </row>
    <row r="28" spans="1:29" x14ac:dyDescent="0.85">
      <c r="A28" t="s">
        <v>126</v>
      </c>
      <c r="B28" s="7">
        <v>17</v>
      </c>
      <c r="C28" s="7">
        <v>16.32</v>
      </c>
      <c r="D28" s="7">
        <v>15.667199999999999</v>
      </c>
      <c r="E28" s="7">
        <v>15.040512</v>
      </c>
      <c r="F28" s="7">
        <v>14.43889152</v>
      </c>
      <c r="G28" s="7">
        <v>13.861335860000001</v>
      </c>
      <c r="H28" s="7">
        <v>13.306882420000001</v>
      </c>
      <c r="I28" s="7">
        <v>12.77460713</v>
      </c>
      <c r="J28" s="7">
        <v>12.26362284</v>
      </c>
      <c r="K28" s="7">
        <v>11.773077929999999</v>
      </c>
      <c r="L28" s="7">
        <v>11.302154809999999</v>
      </c>
      <c r="M28" s="7">
        <v>10.85006862</v>
      </c>
      <c r="N28" s="7">
        <v>10.416065870000001</v>
      </c>
      <c r="O28" s="7">
        <v>9.9994232400000005</v>
      </c>
      <c r="P28" s="7">
        <v>9.5994463099999994</v>
      </c>
      <c r="Q28" s="7">
        <v>9.2154684600000003</v>
      </c>
      <c r="R28" s="7">
        <v>8.8468497199999998</v>
      </c>
      <c r="S28" s="7">
        <v>8.4929757299999995</v>
      </c>
      <c r="T28" s="7">
        <v>8.1532567</v>
      </c>
      <c r="U28" s="7">
        <v>7.8271264299999999</v>
      </c>
      <c r="V28" s="7">
        <v>7.5140413800000001</v>
      </c>
      <c r="W28" s="7">
        <v>7.2134797199999996</v>
      </c>
      <c r="X28" s="7">
        <v>6.9249405299999998</v>
      </c>
      <c r="Y28" s="7">
        <v>6.6479429100000003</v>
      </c>
      <c r="Z28" s="7">
        <v>6.3820251900000002</v>
      </c>
      <c r="AA28" s="7">
        <v>6.1267441900000001</v>
      </c>
      <c r="AB28" s="7">
        <v>5.8816744200000004</v>
      </c>
      <c r="AC28" s="7">
        <v>5.6464074399999999</v>
      </c>
    </row>
    <row r="29" spans="1:29" x14ac:dyDescent="0.85">
      <c r="A29" t="s">
        <v>127</v>
      </c>
      <c r="B29" s="7">
        <v>6067.75</v>
      </c>
      <c r="C29" s="7">
        <v>5702.0886182499999</v>
      </c>
      <c r="D29" s="7">
        <v>5467.0206947300003</v>
      </c>
      <c r="E29" s="7">
        <v>4250.8835922400003</v>
      </c>
      <c r="F29" s="7">
        <v>3995.8059933099998</v>
      </c>
      <c r="G29" s="7">
        <v>3829.0159177099999</v>
      </c>
      <c r="H29" s="7">
        <v>3675.8520121699999</v>
      </c>
      <c r="I29" s="7">
        <v>3528.7688422900001</v>
      </c>
      <c r="J29" s="7">
        <v>3387.6065076499999</v>
      </c>
      <c r="K29" s="7">
        <v>3252.1012777599999</v>
      </c>
      <c r="L29" s="7">
        <v>3122.01557387</v>
      </c>
      <c r="M29" s="7">
        <v>2997.1337423800001</v>
      </c>
      <c r="N29" s="7">
        <v>27.921424930000001</v>
      </c>
      <c r="O29" s="7">
        <v>26.804566149999999</v>
      </c>
      <c r="P29" s="7">
        <v>25.39822126</v>
      </c>
      <c r="Q29" s="7">
        <v>20.076528889999999</v>
      </c>
      <c r="R29" s="7">
        <v>19.273464959999998</v>
      </c>
      <c r="S29" s="7">
        <v>16.022147660000002</v>
      </c>
      <c r="T29" s="7">
        <v>15.381245180000001</v>
      </c>
      <c r="U29" s="7">
        <v>14.765977230000001</v>
      </c>
      <c r="V29" s="7">
        <v>14.12267271</v>
      </c>
      <c r="W29" s="7">
        <v>13.30366516</v>
      </c>
      <c r="X29" s="7">
        <v>11.967914909999999</v>
      </c>
      <c r="Y29" s="7">
        <v>9.6781757099999997</v>
      </c>
      <c r="Z29" s="7">
        <v>5.8161553899999996</v>
      </c>
      <c r="AA29" s="7">
        <v>-0.35804417999999999</v>
      </c>
      <c r="AB29" s="7">
        <v>-9.8454488799999993</v>
      </c>
      <c r="AC29" s="7">
        <v>-23.67606468</v>
      </c>
    </row>
    <row r="30" spans="1:29" x14ac:dyDescent="0.85">
      <c r="A30" t="s">
        <v>128</v>
      </c>
      <c r="B30" s="7">
        <v>6067.75</v>
      </c>
      <c r="C30" s="7">
        <v>5702.0886182499999</v>
      </c>
      <c r="D30" s="7">
        <v>5467.0206947300003</v>
      </c>
      <c r="E30" s="7">
        <v>4250.8835922400003</v>
      </c>
      <c r="F30" s="7">
        <v>3995.8059933099998</v>
      </c>
      <c r="G30" s="7">
        <v>3829.0159177099999</v>
      </c>
      <c r="H30" s="7">
        <v>3675.8520121699999</v>
      </c>
      <c r="I30" s="7">
        <v>3528.7688422900001</v>
      </c>
      <c r="J30" s="7">
        <v>3387.6065076499999</v>
      </c>
      <c r="K30" s="7">
        <v>3252.1012777599999</v>
      </c>
      <c r="L30" s="7">
        <v>3122.01557387</v>
      </c>
      <c r="M30" s="7">
        <v>2997.1337423800001</v>
      </c>
      <c r="N30" s="7">
        <v>27.921424930000001</v>
      </c>
      <c r="O30" s="7">
        <v>26.804566149999999</v>
      </c>
      <c r="P30" s="7">
        <v>25.39822126</v>
      </c>
      <c r="Q30" s="7">
        <v>20.076528889999999</v>
      </c>
      <c r="R30" s="7">
        <v>19.273464959999998</v>
      </c>
      <c r="S30" s="7">
        <v>16.022147660000002</v>
      </c>
      <c r="T30" s="7">
        <v>15.381245180000001</v>
      </c>
      <c r="U30" s="7">
        <v>14.765977230000001</v>
      </c>
      <c r="V30" s="7">
        <v>14.170860190000001</v>
      </c>
      <c r="W30" s="7">
        <v>13.60402324</v>
      </c>
      <c r="X30" s="7">
        <v>13.00940538</v>
      </c>
      <c r="Y30" s="7">
        <v>12.48902427</v>
      </c>
      <c r="Z30" s="7">
        <v>11.98896381</v>
      </c>
      <c r="AA30" s="7">
        <v>11.50940254</v>
      </c>
      <c r="AB30" s="7">
        <v>11.04902231</v>
      </c>
      <c r="AC30" s="7">
        <v>10.606962169999999</v>
      </c>
    </row>
    <row r="31" spans="1:29" x14ac:dyDescent="0.85">
      <c r="A31" t="s">
        <v>129</v>
      </c>
      <c r="B31" s="7">
        <v>5.1419245199999999</v>
      </c>
      <c r="C31" s="7">
        <v>4.9362475400000001</v>
      </c>
      <c r="D31" s="7">
        <v>4.7387976399999996</v>
      </c>
      <c r="E31" s="7">
        <v>4.54924573</v>
      </c>
      <c r="F31" s="7">
        <v>4.3672759000000001</v>
      </c>
      <c r="G31" s="7">
        <v>4.1925848700000001</v>
      </c>
      <c r="H31" s="7">
        <v>4.0248814700000004</v>
      </c>
      <c r="I31" s="7">
        <v>3.86388621</v>
      </c>
      <c r="J31" s="7">
        <v>3.7093307599999998</v>
      </c>
      <c r="K31" s="7">
        <v>3.56095753</v>
      </c>
      <c r="L31" s="7">
        <v>3.4185192299999998</v>
      </c>
      <c r="M31" s="7">
        <v>3.28177846</v>
      </c>
      <c r="N31" s="7">
        <v>3.15050732</v>
      </c>
      <c r="O31" s="7">
        <v>3.02448703</v>
      </c>
      <c r="P31" s="7">
        <v>2.90350755</v>
      </c>
      <c r="Q31" s="7">
        <v>2.78736725</v>
      </c>
      <c r="R31" s="7">
        <v>2.6758725600000002</v>
      </c>
      <c r="S31" s="7">
        <v>2.5688376599999998</v>
      </c>
      <c r="T31" s="7">
        <v>2.4660841499999999</v>
      </c>
      <c r="U31" s="7">
        <v>2.3674407799999999</v>
      </c>
      <c r="V31" s="7">
        <v>2.2727431500000002</v>
      </c>
      <c r="W31" s="7">
        <v>2.1818334300000002</v>
      </c>
      <c r="X31" s="7">
        <v>2.0945600899999999</v>
      </c>
      <c r="Y31" s="7">
        <v>2.0107776899999998</v>
      </c>
      <c r="Z31" s="7">
        <v>1.9303465799999999</v>
      </c>
      <c r="AA31" s="7">
        <v>1.8531327200000001</v>
      </c>
      <c r="AB31" s="7">
        <v>1.77900741</v>
      </c>
      <c r="AC31" s="7">
        <v>1.7078471099999999</v>
      </c>
    </row>
    <row r="32" spans="1:29" x14ac:dyDescent="0.85">
      <c r="A32" t="s">
        <v>130</v>
      </c>
      <c r="B32" s="7">
        <v>0</v>
      </c>
      <c r="C32" s="7">
        <v>4.5616999999999999E-4</v>
      </c>
      <c r="D32" s="7">
        <v>8.7471999999999995E-4</v>
      </c>
      <c r="E32" s="7">
        <v>1.0202099999999999E-3</v>
      </c>
      <c r="F32" s="7">
        <v>1.27866E-3</v>
      </c>
      <c r="G32" s="7">
        <v>1.5316100000000001E-3</v>
      </c>
      <c r="H32" s="7">
        <v>1.7644099999999999E-3</v>
      </c>
      <c r="I32" s="7">
        <v>1.9761100000000001E-3</v>
      </c>
      <c r="J32" s="7">
        <v>2.1680699999999998E-3</v>
      </c>
      <c r="K32" s="7">
        <v>2.3415100000000002E-3</v>
      </c>
      <c r="L32" s="7">
        <v>2.4976099999999999E-3</v>
      </c>
      <c r="M32" s="7">
        <v>2.6374800000000002E-3</v>
      </c>
      <c r="N32" s="7">
        <v>2.6800000000000001E-5</v>
      </c>
      <c r="O32" s="7">
        <v>2.7880000000000001E-5</v>
      </c>
      <c r="P32" s="7">
        <v>2.845E-5</v>
      </c>
      <c r="Q32" s="7">
        <v>2.4090000000000001E-5</v>
      </c>
      <c r="R32" s="7">
        <v>2.4669999999999999E-5</v>
      </c>
      <c r="S32" s="7">
        <v>2.179E-5</v>
      </c>
      <c r="T32" s="7">
        <v>2.215E-5</v>
      </c>
      <c r="U32" s="7">
        <v>2.2439999999999999E-5</v>
      </c>
      <c r="V32" s="7">
        <v>2.2670000000000001E-5</v>
      </c>
      <c r="W32" s="7">
        <v>2.285E-5</v>
      </c>
      <c r="X32" s="7">
        <v>2.2900000000000001E-5</v>
      </c>
      <c r="Y32" s="7">
        <v>2.298E-5</v>
      </c>
      <c r="Z32" s="7">
        <v>2.302E-5</v>
      </c>
      <c r="AA32" s="7">
        <v>2.302E-5</v>
      </c>
      <c r="AB32" s="7">
        <v>2.298E-5</v>
      </c>
      <c r="AC32" s="7">
        <v>2.2909999999999999E-5</v>
      </c>
    </row>
    <row r="33" spans="1:29" x14ac:dyDescent="0.85">
      <c r="A33" t="s">
        <v>131</v>
      </c>
      <c r="B33" s="7">
        <v>2.427E-5</v>
      </c>
      <c r="C33" s="7">
        <v>2.281E-5</v>
      </c>
      <c r="D33" s="7">
        <v>2.1869999999999999E-5</v>
      </c>
      <c r="E33" s="7">
        <v>1.7E-5</v>
      </c>
      <c r="F33" s="7">
        <v>1.5979999999999999E-5</v>
      </c>
      <c r="G33" s="7">
        <v>1.5319999999999999E-5</v>
      </c>
      <c r="H33" s="7">
        <v>1.47E-5</v>
      </c>
      <c r="I33" s="7">
        <v>1.412E-5</v>
      </c>
      <c r="J33" s="7">
        <v>1.3550000000000001E-5</v>
      </c>
      <c r="K33" s="7">
        <v>1.3010000000000001E-5</v>
      </c>
      <c r="L33" s="7">
        <v>1.2490000000000001E-5</v>
      </c>
      <c r="M33" s="7">
        <v>1.199E-5</v>
      </c>
      <c r="N33" s="7">
        <v>1.1000000000000001E-7</v>
      </c>
      <c r="O33" s="7">
        <v>1.1000000000000001E-7</v>
      </c>
      <c r="P33" s="7">
        <v>9.9999999999999995E-8</v>
      </c>
      <c r="Q33" s="7">
        <v>8.0000000000000002E-8</v>
      </c>
      <c r="R33" s="7">
        <v>8.0000000000000002E-8</v>
      </c>
      <c r="S33" s="7">
        <v>5.9999999999999995E-8</v>
      </c>
      <c r="T33" s="7">
        <v>5.9999999999999995E-8</v>
      </c>
      <c r="U33" s="7">
        <v>5.9999999999999995E-8</v>
      </c>
      <c r="V33" s="7">
        <v>5.9999999999999995E-8</v>
      </c>
      <c r="W33" s="7">
        <v>4.9999999999999998E-8</v>
      </c>
      <c r="X33" s="7">
        <v>4.9999999999999998E-8</v>
      </c>
      <c r="Y33" s="7">
        <v>4.9999999999999998E-8</v>
      </c>
      <c r="Z33" s="7">
        <v>4.9999999999999998E-8</v>
      </c>
      <c r="AA33" s="7">
        <v>4.9999999999999998E-8</v>
      </c>
      <c r="AB33" s="7">
        <v>4.0000000000000001E-8</v>
      </c>
      <c r="AC33" s="7">
        <v>4.0000000000000001E-8</v>
      </c>
    </row>
    <row r="34" spans="1:29" x14ac:dyDescent="0.85">
      <c r="A34" t="s">
        <v>132</v>
      </c>
      <c r="B34" s="7">
        <v>5.1419245199999999</v>
      </c>
      <c r="C34" s="7">
        <v>4.9362475400000001</v>
      </c>
      <c r="D34" s="7">
        <v>4.7387976399999996</v>
      </c>
      <c r="E34" s="7">
        <v>4.54924573</v>
      </c>
      <c r="F34" s="7">
        <v>4.3672759000000001</v>
      </c>
      <c r="G34" s="7">
        <v>4.1925848700000001</v>
      </c>
      <c r="H34" s="7">
        <v>4.0248814700000004</v>
      </c>
      <c r="I34" s="7">
        <v>3.86388621</v>
      </c>
      <c r="J34" s="7">
        <v>3.7093307599999998</v>
      </c>
      <c r="K34" s="7">
        <v>3.56095753</v>
      </c>
      <c r="L34" s="7">
        <v>3.4185192299999998</v>
      </c>
      <c r="M34" s="7">
        <v>3.28177846</v>
      </c>
      <c r="N34" s="7">
        <v>3.15050732</v>
      </c>
      <c r="O34" s="7">
        <v>3.02448703</v>
      </c>
      <c r="P34" s="7">
        <v>2.90350755</v>
      </c>
      <c r="Q34" s="7">
        <v>2.78736725</v>
      </c>
      <c r="R34" s="7">
        <v>2.6758725600000002</v>
      </c>
      <c r="S34" s="7">
        <v>2.5688376599999998</v>
      </c>
      <c r="T34" s="7">
        <v>2.4660841499999999</v>
      </c>
      <c r="U34" s="7">
        <v>2.3674407799999999</v>
      </c>
      <c r="V34" s="7">
        <v>2.2727431500000002</v>
      </c>
      <c r="W34" s="7">
        <v>2.1818334300000002</v>
      </c>
      <c r="X34" s="7">
        <v>2.0945600899999999</v>
      </c>
      <c r="Y34" s="7">
        <v>2.0107776899999998</v>
      </c>
      <c r="Z34" s="7">
        <v>1.9303465799999999</v>
      </c>
      <c r="AA34" s="7">
        <v>1.8531327200000001</v>
      </c>
      <c r="AB34" s="7">
        <v>1.77900741</v>
      </c>
      <c r="AC34" s="7">
        <v>1.7078471099999999</v>
      </c>
    </row>
    <row r="35" spans="1:29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</row>
    <row r="36" spans="1:29" x14ac:dyDescent="0.85">
      <c r="A36" t="s">
        <v>134</v>
      </c>
      <c r="B36" s="7">
        <v>1</v>
      </c>
      <c r="C36" s="7">
        <v>1.04</v>
      </c>
      <c r="D36" s="7">
        <v>0.97889261000000005</v>
      </c>
      <c r="E36" s="7">
        <v>0.99872408000000001</v>
      </c>
      <c r="F36" s="7">
        <v>0.80994823000000005</v>
      </c>
      <c r="G36" s="7">
        <v>0.97916064000000003</v>
      </c>
      <c r="H36" s="7">
        <v>0.99818616000000004</v>
      </c>
      <c r="I36" s="7">
        <v>0.99999910999999997</v>
      </c>
      <c r="J36" s="7">
        <v>0.99998609000000005</v>
      </c>
      <c r="K36" s="7">
        <v>0.99999658000000002</v>
      </c>
      <c r="L36" s="7">
        <v>0.99999970000000005</v>
      </c>
      <c r="M36" s="7">
        <v>0.99999947</v>
      </c>
      <c r="N36" s="7">
        <v>0.99999959999999999</v>
      </c>
      <c r="O36" s="7">
        <v>9.7042099999999996E-3</v>
      </c>
      <c r="P36" s="7">
        <v>0.99999992999999998</v>
      </c>
      <c r="Q36" s="7">
        <v>0.98701393999999998</v>
      </c>
      <c r="R36" s="7">
        <v>0.82340612000000002</v>
      </c>
      <c r="S36" s="7">
        <v>0.99999985999999996</v>
      </c>
      <c r="T36" s="7">
        <v>0.86594378000000005</v>
      </c>
      <c r="U36" s="7">
        <v>0.99999892000000001</v>
      </c>
      <c r="V36" s="7">
        <v>0.99999877000000004</v>
      </c>
      <c r="W36" s="7">
        <v>0.99968409999999996</v>
      </c>
      <c r="X36" s="7">
        <v>0.99999981000000004</v>
      </c>
      <c r="Y36" s="7">
        <v>0.99613649000000004</v>
      </c>
      <c r="Z36" s="7">
        <v>0.99999961000000004</v>
      </c>
      <c r="AA36" s="7">
        <v>0.99995833999999995</v>
      </c>
      <c r="AB36" s="7">
        <v>0.99999976000000002</v>
      </c>
      <c r="AC36" s="7">
        <v>0.99999963000000003</v>
      </c>
    </row>
    <row r="37" spans="1:29" x14ac:dyDescent="0.85">
      <c r="A37" t="s">
        <v>135</v>
      </c>
      <c r="B37" s="7">
        <v>1</v>
      </c>
      <c r="C37" s="7">
        <v>0.97889261000000005</v>
      </c>
      <c r="D37" s="7">
        <v>0.99872408000000001</v>
      </c>
      <c r="E37" s="7">
        <v>0.80994823000000005</v>
      </c>
      <c r="F37" s="7">
        <v>0.97916064000000003</v>
      </c>
      <c r="G37" s="7">
        <v>0.99818616000000004</v>
      </c>
      <c r="H37" s="7">
        <v>0.99999910999999997</v>
      </c>
      <c r="I37" s="7">
        <v>0.99998609000000005</v>
      </c>
      <c r="J37" s="7">
        <v>0.99999658000000002</v>
      </c>
      <c r="K37" s="7">
        <v>0.99999970000000005</v>
      </c>
      <c r="L37" s="7">
        <v>0.99999947</v>
      </c>
      <c r="M37" s="7">
        <v>0.99999959999999999</v>
      </c>
      <c r="N37" s="7">
        <v>9.7042099999999996E-3</v>
      </c>
      <c r="O37" s="7">
        <v>0.99999992999999998</v>
      </c>
      <c r="P37" s="7">
        <v>0.98701393999999998</v>
      </c>
      <c r="Q37" s="7">
        <v>0.82340612000000002</v>
      </c>
      <c r="R37" s="7">
        <v>0.99999985999999996</v>
      </c>
      <c r="S37" s="7">
        <v>0.86594378000000005</v>
      </c>
      <c r="T37" s="7">
        <v>0.99999892000000001</v>
      </c>
      <c r="U37" s="7">
        <v>0.99999877000000004</v>
      </c>
      <c r="V37" s="7">
        <v>0.99968409999999996</v>
      </c>
      <c r="W37" s="7">
        <v>0.99999981000000004</v>
      </c>
      <c r="X37" s="7">
        <v>0.99613649000000004</v>
      </c>
      <c r="Y37" s="7">
        <v>0.99999961000000004</v>
      </c>
      <c r="Z37" s="7">
        <v>0.99995833999999995</v>
      </c>
      <c r="AA37" s="7">
        <v>0.99999976000000002</v>
      </c>
      <c r="AB37" s="7">
        <v>0.99999963000000003</v>
      </c>
      <c r="AC37" s="7">
        <v>0.99999064000000004</v>
      </c>
    </row>
    <row r="38" spans="1:29" x14ac:dyDescent="0.85">
      <c r="A38" t="s">
        <v>136</v>
      </c>
      <c r="B38" s="7">
        <v>1</v>
      </c>
      <c r="C38" s="7">
        <v>43.020237590000001</v>
      </c>
      <c r="D38" s="7">
        <v>45.259898229999997</v>
      </c>
      <c r="E38" s="7">
        <v>47.786155739999998</v>
      </c>
      <c r="F38" s="7">
        <v>50.620833560000001</v>
      </c>
      <c r="G38" s="7">
        <v>53.726909659999997</v>
      </c>
      <c r="H38" s="7">
        <v>57.216570560000001</v>
      </c>
      <c r="I38" s="7">
        <v>60.944447959999998</v>
      </c>
      <c r="J38" s="7">
        <v>64.92705239</v>
      </c>
      <c r="K38" s="7">
        <v>69.18185948</v>
      </c>
      <c r="L38" s="7">
        <v>73.727660569999998</v>
      </c>
      <c r="M38" s="7">
        <v>79.362479829999998</v>
      </c>
      <c r="N38" s="7">
        <v>87.114763949999997</v>
      </c>
      <c r="O38" s="7">
        <v>93.926366180000002</v>
      </c>
      <c r="P38" s="7">
        <v>99.658962200000005</v>
      </c>
      <c r="Q38" s="7">
        <v>105.75728079</v>
      </c>
      <c r="R38" s="7">
        <v>112.2498238</v>
      </c>
      <c r="S38" s="7">
        <v>119.16152034</v>
      </c>
      <c r="T38" s="7">
        <v>126.5196622</v>
      </c>
      <c r="U38" s="7">
        <v>134.35286310000001</v>
      </c>
      <c r="V38" s="7">
        <v>142.69171248000001</v>
      </c>
      <c r="W38" s="7">
        <v>151.23202626</v>
      </c>
      <c r="X38" s="7">
        <v>160.76902862</v>
      </c>
      <c r="Y38" s="7">
        <v>171.21504787000001</v>
      </c>
      <c r="Z38" s="7">
        <v>182.35117356000001</v>
      </c>
      <c r="AA38" s="7">
        <v>194.22257288</v>
      </c>
      <c r="AB38" s="7">
        <v>206.92058047</v>
      </c>
      <c r="AC38" s="7">
        <v>220.47279929000001</v>
      </c>
    </row>
    <row r="39" spans="1:29" x14ac:dyDescent="0.85">
      <c r="A39" t="s">
        <v>137</v>
      </c>
      <c r="B39" s="7">
        <v>8601</v>
      </c>
      <c r="C39" s="7">
        <v>8385.9750000000004</v>
      </c>
      <c r="D39" s="7">
        <v>8176.3447803700001</v>
      </c>
      <c r="E39" s="7">
        <v>7971.9361609199996</v>
      </c>
      <c r="F39" s="7">
        <v>7772.6377568999997</v>
      </c>
      <c r="G39" s="7">
        <v>7578.3786185299996</v>
      </c>
      <c r="H39" s="7">
        <v>7388.91915307</v>
      </c>
      <c r="I39" s="7">
        <v>7204.1961742399999</v>
      </c>
      <c r="J39" s="7">
        <v>7024.0912717600004</v>
      </c>
      <c r="K39" s="7">
        <v>6848.4894529399999</v>
      </c>
      <c r="L39" s="7">
        <v>7024.0991921000004</v>
      </c>
      <c r="M39" s="7">
        <v>7927.8959584000004</v>
      </c>
      <c r="N39" s="7">
        <v>8878.5529720100003</v>
      </c>
      <c r="O39" s="7">
        <v>9859.7278221699999</v>
      </c>
      <c r="P39" s="7">
        <v>10855.31821143</v>
      </c>
      <c r="Q39" s="7">
        <v>11865.74845085</v>
      </c>
      <c r="R39" s="7">
        <v>12891.49902918</v>
      </c>
      <c r="S39" s="7">
        <v>13933.04999507</v>
      </c>
      <c r="T39" s="7">
        <v>14990.889167720001</v>
      </c>
      <c r="U39" s="7">
        <v>16065.508143200001</v>
      </c>
      <c r="V39" s="7">
        <v>17157.40443137</v>
      </c>
      <c r="W39" s="7">
        <v>18264.387801569999</v>
      </c>
      <c r="X39" s="7">
        <v>19390.451820710001</v>
      </c>
      <c r="Y39" s="7">
        <v>20538.255925820002</v>
      </c>
      <c r="Z39" s="7">
        <v>21708.366527530001</v>
      </c>
      <c r="AA39" s="7">
        <v>22901.358837290001</v>
      </c>
      <c r="AB39" s="7">
        <v>24118.099101039999</v>
      </c>
      <c r="AC39" s="7">
        <v>25359.279709040002</v>
      </c>
    </row>
    <row r="40" spans="1:29" x14ac:dyDescent="0.85">
      <c r="A40" t="s">
        <v>138</v>
      </c>
      <c r="B40" s="7">
        <v>66380828.814999998</v>
      </c>
      <c r="C40" s="7">
        <v>64721308.0906993</v>
      </c>
      <c r="D40" s="7">
        <v>63103423.225838102</v>
      </c>
      <c r="E40" s="7">
        <v>61525837.645639099</v>
      </c>
      <c r="F40" s="7">
        <v>59987417.722349197</v>
      </c>
      <c r="G40" s="7">
        <v>58488170.691426598</v>
      </c>
      <c r="H40" s="7">
        <v>57025832.751085401</v>
      </c>
      <c r="I40" s="7">
        <v>55600186.9298741</v>
      </c>
      <c r="J40" s="7">
        <v>54210182.271083698</v>
      </c>
      <c r="K40" s="7">
        <v>52854931.287440702</v>
      </c>
      <c r="L40" s="7">
        <v>54210243.398254097</v>
      </c>
      <c r="M40" s="7">
        <v>61185521.130524203</v>
      </c>
      <c r="N40" s="7">
        <v>68522454.548828393</v>
      </c>
      <c r="O40" s="7">
        <v>76094917.008227706</v>
      </c>
      <c r="P40" s="7">
        <v>83778634.998354599</v>
      </c>
      <c r="Q40" s="7">
        <v>91576883.246002093</v>
      </c>
      <c r="R40" s="7">
        <v>99493370.043283805</v>
      </c>
      <c r="S40" s="7">
        <v>107531800.28587499</v>
      </c>
      <c r="T40" s="7">
        <v>115695938.840509</v>
      </c>
      <c r="U40" s="7">
        <v>123989579.722838</v>
      </c>
      <c r="V40" s="7">
        <v>132416562.589746</v>
      </c>
      <c r="W40" s="7">
        <v>140959983.78801301</v>
      </c>
      <c r="X40" s="7">
        <v>149650664.669671</v>
      </c>
      <c r="Y40" s="7">
        <v>158509130.105593</v>
      </c>
      <c r="Z40" s="7">
        <v>167539751.51146999</v>
      </c>
      <c r="AA40" s="7">
        <v>176746968.22576901</v>
      </c>
      <c r="AB40" s="7">
        <v>186137465.71825001</v>
      </c>
      <c r="AC40" s="7">
        <v>195716587.68404999</v>
      </c>
    </row>
    <row r="41" spans="1:29" x14ac:dyDescent="0.85">
      <c r="A41" t="s">
        <v>139</v>
      </c>
      <c r="B41" s="7">
        <v>66380828.814999998</v>
      </c>
      <c r="C41" s="7">
        <v>64721308.0906993</v>
      </c>
      <c r="D41" s="7">
        <v>63103423.225838102</v>
      </c>
      <c r="E41" s="7">
        <v>61525837.645639099</v>
      </c>
      <c r="F41" s="7">
        <v>59987417.722349197</v>
      </c>
      <c r="G41" s="7">
        <v>58488170.691426598</v>
      </c>
      <c r="H41" s="7">
        <v>57025832.751085401</v>
      </c>
      <c r="I41" s="7">
        <v>55600186.9298741</v>
      </c>
      <c r="J41" s="7">
        <v>54210182.271083698</v>
      </c>
      <c r="K41" s="7">
        <v>52854931.287440702</v>
      </c>
      <c r="L41" s="7">
        <v>54210243.398254097</v>
      </c>
      <c r="M41" s="7">
        <v>61185521.130524203</v>
      </c>
      <c r="N41" s="7">
        <v>68522454.548828393</v>
      </c>
      <c r="O41" s="7">
        <v>76094917.008227706</v>
      </c>
      <c r="P41" s="7">
        <v>83778634.998354599</v>
      </c>
      <c r="Q41" s="7">
        <v>91576883.246002093</v>
      </c>
      <c r="R41" s="7">
        <v>99493370.043283805</v>
      </c>
      <c r="S41" s="7">
        <v>107531800.28587499</v>
      </c>
      <c r="T41" s="7">
        <v>115695938.840509</v>
      </c>
      <c r="U41" s="7">
        <v>123989579.722838</v>
      </c>
      <c r="V41" s="7">
        <v>132416562.589746</v>
      </c>
      <c r="W41" s="7">
        <v>140959983.78801301</v>
      </c>
      <c r="X41" s="7">
        <v>149650664.669671</v>
      </c>
      <c r="Y41" s="7">
        <v>158509130.105593</v>
      </c>
      <c r="Z41" s="7">
        <v>167539751.51146999</v>
      </c>
      <c r="AA41" s="7">
        <v>176746968.22576901</v>
      </c>
      <c r="AB41" s="7">
        <v>186137465.71825001</v>
      </c>
      <c r="AC41" s="7">
        <v>195716587.68404999</v>
      </c>
    </row>
    <row r="42" spans="1:29" x14ac:dyDescent="0.85">
      <c r="A42" t="s">
        <v>140</v>
      </c>
      <c r="B42" s="7">
        <v>9948.1006909900007</v>
      </c>
      <c r="C42" s="7">
        <v>9699.3981736700007</v>
      </c>
      <c r="D42" s="7">
        <v>9456.9353748400008</v>
      </c>
      <c r="E42" s="7">
        <v>9220.5119905400006</v>
      </c>
      <c r="F42" s="7">
        <v>8989.9964208199999</v>
      </c>
      <c r="G42" s="7">
        <v>8765.3122127999995</v>
      </c>
      <c r="H42" s="7">
        <v>8546.1780560499992</v>
      </c>
      <c r="I42" s="7">
        <v>8332.5236046200007</v>
      </c>
      <c r="J42" s="7">
        <v>8124.2105166700003</v>
      </c>
      <c r="K42" s="7">
        <v>7921.1057892400004</v>
      </c>
      <c r="L42" s="7">
        <v>8124.2196775000002</v>
      </c>
      <c r="M42" s="7">
        <v>9169.5698743600005</v>
      </c>
      <c r="N42" s="7">
        <v>10269.119610960001</v>
      </c>
      <c r="O42" s="7">
        <v>11403.96691404</v>
      </c>
      <c r="P42" s="7">
        <v>12555.487530410001</v>
      </c>
      <c r="Q42" s="7">
        <v>13724.172227110001</v>
      </c>
      <c r="R42" s="7">
        <v>14910.57674742</v>
      </c>
      <c r="S42" s="7">
        <v>16115.256325660001</v>
      </c>
      <c r="T42" s="7">
        <v>17338.775183670001</v>
      </c>
      <c r="U42" s="7">
        <v>18581.701911730001</v>
      </c>
      <c r="V42" s="7">
        <v>19844.611940120001</v>
      </c>
      <c r="W42" s="7">
        <v>21124.97200238</v>
      </c>
      <c r="X42" s="7">
        <v>22427.40114129</v>
      </c>
      <c r="Y42" s="7">
        <v>23754.975317230001</v>
      </c>
      <c r="Z42" s="7">
        <v>25108.34965253</v>
      </c>
      <c r="AA42" s="7">
        <v>26488.189448779998</v>
      </c>
      <c r="AB42" s="7">
        <v>27895.4966241</v>
      </c>
      <c r="AC42" s="7">
        <v>29331.0720115</v>
      </c>
    </row>
    <row r="43" spans="1:29" x14ac:dyDescent="0.85">
      <c r="A43" t="s">
        <v>141</v>
      </c>
      <c r="B43" s="7">
        <v>0</v>
      </c>
      <c r="C43" s="7">
        <v>3.8832784899999999</v>
      </c>
      <c r="D43" s="7">
        <v>7.5724107900000002</v>
      </c>
      <c r="E43" s="7">
        <v>11.074650780000001</v>
      </c>
      <c r="F43" s="7">
        <v>14.39698025</v>
      </c>
      <c r="G43" s="7">
        <v>17.546451210000001</v>
      </c>
      <c r="H43" s="7">
        <v>20.52929979</v>
      </c>
      <c r="I43" s="7">
        <v>23.352078509999998</v>
      </c>
      <c r="J43" s="7">
        <v>26.02088749</v>
      </c>
      <c r="K43" s="7">
        <v>28.541662899999999</v>
      </c>
      <c r="L43" s="7">
        <v>32.52614604</v>
      </c>
      <c r="M43" s="7">
        <v>40.382443950000003</v>
      </c>
      <c r="N43" s="7">
        <v>49.336167279999998</v>
      </c>
      <c r="O43" s="7">
        <v>59.354035269999997</v>
      </c>
      <c r="P43" s="7">
        <v>70.374053399999994</v>
      </c>
      <c r="Q43" s="7">
        <v>82.419194919999995</v>
      </c>
      <c r="R43" s="7">
        <v>95.513635239999999</v>
      </c>
      <c r="S43" s="7">
        <v>109.68243629</v>
      </c>
      <c r="T43" s="7">
        <v>124.95161395</v>
      </c>
      <c r="U43" s="7">
        <v>141.34812088000001</v>
      </c>
      <c r="V43" s="7">
        <v>158.89987511000001</v>
      </c>
      <c r="W43" s="7">
        <v>177.60957956999999</v>
      </c>
      <c r="X43" s="7">
        <v>197.53887735999999</v>
      </c>
      <c r="Y43" s="7">
        <v>218.74259954999999</v>
      </c>
      <c r="Z43" s="7">
        <v>241.25724217999999</v>
      </c>
      <c r="AA43" s="7">
        <v>265.12045233999999</v>
      </c>
      <c r="AB43" s="7">
        <v>290.37444651999999</v>
      </c>
      <c r="AC43" s="7">
        <v>317.06087205</v>
      </c>
    </row>
    <row r="44" spans="1:29" x14ac:dyDescent="0.85">
      <c r="A44" t="s">
        <v>142</v>
      </c>
      <c r="B44" s="7">
        <v>0.19914249000000001</v>
      </c>
      <c r="C44" s="7">
        <v>0.19416391999999999</v>
      </c>
      <c r="D44" s="7">
        <v>0.18931027</v>
      </c>
      <c r="E44" s="7">
        <v>0.18457751</v>
      </c>
      <c r="F44" s="7">
        <v>0.17996224999999999</v>
      </c>
      <c r="G44" s="7">
        <v>0.17546450999999999</v>
      </c>
      <c r="H44" s="7">
        <v>0.17107749999999999</v>
      </c>
      <c r="I44" s="7">
        <v>0.16680055999999999</v>
      </c>
      <c r="J44" s="7">
        <v>0.16263055000000001</v>
      </c>
      <c r="K44" s="7">
        <v>0.15856479000000001</v>
      </c>
      <c r="L44" s="7">
        <v>0.16263073</v>
      </c>
      <c r="M44" s="7">
        <v>0.18355656000000001</v>
      </c>
      <c r="N44" s="7">
        <v>0.20556736</v>
      </c>
      <c r="O44" s="7">
        <v>0.22828475000000001</v>
      </c>
      <c r="P44" s="7">
        <v>0.2513359</v>
      </c>
      <c r="Q44" s="7">
        <v>0.27473065000000002</v>
      </c>
      <c r="R44" s="7">
        <v>0.29848011000000002</v>
      </c>
      <c r="S44" s="7">
        <v>0.32259539999999998</v>
      </c>
      <c r="T44" s="7">
        <v>0.34708781999999999</v>
      </c>
      <c r="U44" s="7">
        <v>0.37196874000000002</v>
      </c>
      <c r="V44" s="7">
        <v>0.39724968999999999</v>
      </c>
      <c r="W44" s="7">
        <v>0.42287995</v>
      </c>
      <c r="X44" s="7">
        <v>0.44895199000000002</v>
      </c>
      <c r="Y44" s="7">
        <v>0.47552738999999999</v>
      </c>
      <c r="Z44" s="7">
        <v>0.50261924999999996</v>
      </c>
      <c r="AA44" s="7">
        <v>0.53024090000000001</v>
      </c>
      <c r="AB44" s="7">
        <v>0.55841240000000003</v>
      </c>
      <c r="AC44" s="7">
        <v>0.58714975999999997</v>
      </c>
    </row>
    <row r="45" spans="1:29" x14ac:dyDescent="0.85">
      <c r="A45" t="s">
        <v>143</v>
      </c>
      <c r="B45" s="7">
        <v>9276.9905116699993</v>
      </c>
      <c r="C45" s="7">
        <v>9045.0657488699999</v>
      </c>
      <c r="D45" s="7">
        <v>8818.9597660300005</v>
      </c>
      <c r="E45" s="7">
        <v>8598.4857719400006</v>
      </c>
      <c r="F45" s="7">
        <v>8383.5236276399992</v>
      </c>
      <c r="G45" s="7">
        <v>8173.9968071100002</v>
      </c>
      <c r="H45" s="7">
        <v>7969.6468869299997</v>
      </c>
      <c r="I45" s="7">
        <v>7770.4057147599997</v>
      </c>
      <c r="J45" s="7">
        <v>7576.1455739100002</v>
      </c>
      <c r="K45" s="7">
        <v>7386.7424339299996</v>
      </c>
      <c r="L45" s="7">
        <v>7576.1541167400001</v>
      </c>
      <c r="M45" s="7">
        <v>8550.9842557299999</v>
      </c>
      <c r="N45" s="7">
        <v>9576.3575954700009</v>
      </c>
      <c r="O45" s="7">
        <v>10634.64730309</v>
      </c>
      <c r="P45" s="7">
        <v>11708.485530579999</v>
      </c>
      <c r="Q45" s="7">
        <v>12798.32993749</v>
      </c>
      <c r="R45" s="7">
        <v>13904.69877628</v>
      </c>
      <c r="S45" s="7">
        <v>15028.109824769999</v>
      </c>
      <c r="T45" s="7">
        <v>16169.089241989999</v>
      </c>
      <c r="U45" s="7">
        <v>17328.167260729999</v>
      </c>
      <c r="V45" s="7">
        <v>18505.880492339998</v>
      </c>
      <c r="W45" s="7">
        <v>19699.866566280001</v>
      </c>
      <c r="X45" s="7">
        <v>20914.432921479998</v>
      </c>
      <c r="Y45" s="7">
        <v>22152.44801186</v>
      </c>
      <c r="Z45" s="7">
        <v>23414.52276475</v>
      </c>
      <c r="AA45" s="7">
        <v>24701.277600019999</v>
      </c>
      <c r="AB45" s="7">
        <v>26013.64684569</v>
      </c>
      <c r="AC45" s="7">
        <v>27352.377310010001</v>
      </c>
    </row>
    <row r="46" spans="1:29" x14ac:dyDescent="0.85">
      <c r="A46" t="s">
        <v>144</v>
      </c>
      <c r="B46" s="7">
        <v>671.11017932000004</v>
      </c>
      <c r="C46" s="7">
        <v>654.33242480000001</v>
      </c>
      <c r="D46" s="7">
        <v>637.97560881000004</v>
      </c>
      <c r="E46" s="7">
        <v>622.02621859999999</v>
      </c>
      <c r="F46" s="7">
        <v>606.47279317000005</v>
      </c>
      <c r="G46" s="7">
        <v>591.31540569000003</v>
      </c>
      <c r="H46" s="7">
        <v>576.53116910999995</v>
      </c>
      <c r="I46" s="7">
        <v>562.11788985999999</v>
      </c>
      <c r="J46" s="7">
        <v>548.06494276000001</v>
      </c>
      <c r="K46" s="7">
        <v>534.36335531999998</v>
      </c>
      <c r="L46" s="7">
        <v>548.06556076000004</v>
      </c>
      <c r="M46" s="7">
        <v>618.58561863</v>
      </c>
      <c r="N46" s="7">
        <v>692.76201548999995</v>
      </c>
      <c r="O46" s="7">
        <v>769.31961094999997</v>
      </c>
      <c r="P46" s="7">
        <v>847.00199983000005</v>
      </c>
      <c r="Q46" s="7">
        <v>925.84228961999997</v>
      </c>
      <c r="R46" s="7">
        <v>1005.87797114</v>
      </c>
      <c r="S46" s="7">
        <v>1087.14650089</v>
      </c>
      <c r="T46" s="7">
        <v>1169.68594168</v>
      </c>
      <c r="U46" s="7">
        <v>1253.5346509999999</v>
      </c>
      <c r="V46" s="7">
        <v>1338.7314477800001</v>
      </c>
      <c r="W46" s="7">
        <v>1425.1054360999999</v>
      </c>
      <c r="X46" s="7">
        <v>1512.9682198099999</v>
      </c>
      <c r="Y46" s="7">
        <v>1602.52730537</v>
      </c>
      <c r="Z46" s="7">
        <v>1693.8268877800001</v>
      </c>
      <c r="AA46" s="7">
        <v>1786.9118487600001</v>
      </c>
      <c r="AB46" s="7">
        <v>1881.84977841</v>
      </c>
      <c r="AC46" s="7">
        <v>1978.6947014899999</v>
      </c>
    </row>
    <row r="47" spans="1:29" x14ac:dyDescent="0.85">
      <c r="A47" t="s">
        <v>145</v>
      </c>
      <c r="B47" s="7">
        <v>1</v>
      </c>
      <c r="C47" s="7">
        <v>1.0249999999999999</v>
      </c>
      <c r="D47" s="7">
        <v>1</v>
      </c>
      <c r="E47" s="7">
        <v>1.00000234</v>
      </c>
      <c r="F47" s="7">
        <v>1</v>
      </c>
      <c r="G47" s="7">
        <v>0.99999543000000002</v>
      </c>
      <c r="H47" s="7">
        <v>1.0000074999999999</v>
      </c>
      <c r="I47" s="7">
        <v>0.99999766000000001</v>
      </c>
      <c r="J47" s="7">
        <v>1</v>
      </c>
      <c r="K47" s="7">
        <v>1</v>
      </c>
      <c r="L47" s="7">
        <v>1.00000007</v>
      </c>
      <c r="M47" s="7">
        <v>1.05194063</v>
      </c>
      <c r="N47" s="7">
        <v>1.1486186199999999</v>
      </c>
      <c r="O47" s="7">
        <v>1.1389753</v>
      </c>
      <c r="P47" s="7">
        <v>1.12919558</v>
      </c>
      <c r="Q47" s="7">
        <v>1.1210993300000001</v>
      </c>
      <c r="R47" s="7">
        <v>1.11429394</v>
      </c>
      <c r="S47" s="7">
        <v>1.10849628</v>
      </c>
      <c r="T47" s="7">
        <v>1.10350079</v>
      </c>
      <c r="U47" s="7">
        <v>1.0991539100000001</v>
      </c>
      <c r="V47" s="7">
        <v>1.09533898</v>
      </c>
      <c r="W47" s="7">
        <v>1.09180465</v>
      </c>
      <c r="X47" s="7">
        <v>1.0888654200000001</v>
      </c>
      <c r="Y47" s="7">
        <v>1.08634312</v>
      </c>
      <c r="Z47" s="7">
        <v>1.0840641</v>
      </c>
      <c r="AA47" s="7">
        <v>1.08199555</v>
      </c>
      <c r="AB47" s="7">
        <v>1.0801229299999999</v>
      </c>
      <c r="AC47" s="7">
        <v>1.0784132</v>
      </c>
    </row>
    <row r="48" spans="1:29" x14ac:dyDescent="0.85">
      <c r="A48" t="s">
        <v>146</v>
      </c>
      <c r="B48" s="7">
        <v>1</v>
      </c>
      <c r="C48" s="7">
        <v>1</v>
      </c>
      <c r="D48" s="7">
        <v>1.00000234</v>
      </c>
      <c r="E48" s="7">
        <v>1</v>
      </c>
      <c r="F48" s="7">
        <v>0.99999543000000002</v>
      </c>
      <c r="G48" s="7">
        <v>1.0000074999999999</v>
      </c>
      <c r="H48" s="7">
        <v>0.99999766000000001</v>
      </c>
      <c r="I48" s="7">
        <v>1</v>
      </c>
      <c r="J48" s="7">
        <v>1</v>
      </c>
      <c r="K48" s="7">
        <v>1.00000007</v>
      </c>
      <c r="L48" s="7">
        <v>1.05194063</v>
      </c>
      <c r="M48" s="7">
        <v>1.1576111200000001</v>
      </c>
      <c r="N48" s="7">
        <v>1.14862862</v>
      </c>
      <c r="O48" s="7">
        <v>1.1389853000000001</v>
      </c>
      <c r="P48" s="7">
        <v>1.12920558</v>
      </c>
      <c r="Q48" s="7">
        <v>1.12110932</v>
      </c>
      <c r="R48" s="7">
        <v>1.1143039400000001</v>
      </c>
      <c r="S48" s="7">
        <v>1.1085062800000001</v>
      </c>
      <c r="T48" s="7">
        <v>1.1035107900000001</v>
      </c>
      <c r="U48" s="7">
        <v>1.0991639</v>
      </c>
      <c r="V48" s="7">
        <v>1.09534898</v>
      </c>
      <c r="W48" s="7">
        <v>1.0918146500000001</v>
      </c>
      <c r="X48" s="7">
        <v>1.0888754199999999</v>
      </c>
      <c r="Y48" s="7">
        <v>1.0863531200000001</v>
      </c>
      <c r="Z48" s="7">
        <v>1.0840741</v>
      </c>
      <c r="AA48" s="7">
        <v>1.0820055500000001</v>
      </c>
      <c r="AB48" s="7">
        <v>1.08013293</v>
      </c>
      <c r="AC48" s="7">
        <v>1.0784232</v>
      </c>
    </row>
    <row r="49" spans="1:29" x14ac:dyDescent="0.85">
      <c r="A49" t="s">
        <v>147</v>
      </c>
      <c r="B49" s="7">
        <v>1</v>
      </c>
      <c r="C49" s="7">
        <v>1.11062292</v>
      </c>
      <c r="D49" s="7">
        <v>1.1139868399999999</v>
      </c>
      <c r="E49" s="7">
        <v>1.1178250700000001</v>
      </c>
      <c r="F49" s="7">
        <v>1.1221584099999999</v>
      </c>
      <c r="G49" s="7">
        <v>1.1268856300000001</v>
      </c>
      <c r="H49" s="7">
        <v>1.13220828</v>
      </c>
      <c r="I49" s="7">
        <v>1.13781098</v>
      </c>
      <c r="J49" s="7">
        <v>1.14370781</v>
      </c>
      <c r="K49" s="7">
        <v>1.14991413</v>
      </c>
      <c r="L49" s="7">
        <v>1.1564462900000001</v>
      </c>
      <c r="M49" s="7">
        <v>1.15761135</v>
      </c>
      <c r="N49" s="7">
        <v>1.14862862</v>
      </c>
      <c r="O49" s="7">
        <v>1.1389853000000001</v>
      </c>
      <c r="P49" s="7">
        <v>1.12920558</v>
      </c>
      <c r="Q49" s="7">
        <v>1.1211093299999999</v>
      </c>
      <c r="R49" s="7">
        <v>1.1143039400000001</v>
      </c>
      <c r="S49" s="7">
        <v>1.1085062800000001</v>
      </c>
      <c r="T49" s="7">
        <v>1.1035107900000001</v>
      </c>
      <c r="U49" s="7">
        <v>1.0991639099999999</v>
      </c>
      <c r="V49" s="7">
        <v>1.09534898</v>
      </c>
      <c r="W49" s="7">
        <v>1.0918146500000001</v>
      </c>
      <c r="X49" s="7">
        <v>1.0888754199999999</v>
      </c>
      <c r="Y49" s="7">
        <v>1.0863531200000001</v>
      </c>
      <c r="Z49" s="7">
        <v>1.0840741</v>
      </c>
      <c r="AA49" s="7">
        <v>1.0820055500000001</v>
      </c>
      <c r="AB49" s="7">
        <v>1.08013293</v>
      </c>
      <c r="AC49" s="7">
        <v>1.0784232</v>
      </c>
    </row>
    <row r="50" spans="1:29" x14ac:dyDescent="0.85">
      <c r="A50" t="s">
        <v>148</v>
      </c>
      <c r="B50" s="7">
        <v>11541.25</v>
      </c>
      <c r="C50" s="7">
        <v>12290.474257690001</v>
      </c>
      <c r="D50" s="7">
        <v>13135.583381169999</v>
      </c>
      <c r="E50" s="7">
        <v>14073.71560154</v>
      </c>
      <c r="F50" s="7">
        <v>15067.6364135</v>
      </c>
      <c r="G50" s="7">
        <v>16166.762116260001</v>
      </c>
      <c r="H50" s="7">
        <v>17276.247815279999</v>
      </c>
      <c r="I50" s="7">
        <v>18396.924586190002</v>
      </c>
      <c r="J50" s="7">
        <v>19529.498509320001</v>
      </c>
      <c r="K50" s="7">
        <v>20674.770643569998</v>
      </c>
      <c r="L50" s="7">
        <v>21833.301734050001</v>
      </c>
      <c r="M50" s="7">
        <v>23022.596086140002</v>
      </c>
      <c r="N50" s="7">
        <v>23562.36293159</v>
      </c>
      <c r="O50" s="7">
        <v>23474.510528530001</v>
      </c>
      <c r="P50" s="7">
        <v>23386.826593599999</v>
      </c>
      <c r="Q50" s="7">
        <v>23301.073482650001</v>
      </c>
      <c r="R50" s="7">
        <v>23216.981780210001</v>
      </c>
      <c r="S50" s="7">
        <v>23134.56409779</v>
      </c>
      <c r="T50" s="7">
        <v>23053.68549706</v>
      </c>
      <c r="U50" s="7">
        <v>22974.262298860001</v>
      </c>
      <c r="V50" s="7">
        <v>22796.053785799999</v>
      </c>
      <c r="W50" s="7">
        <v>22750.888164060001</v>
      </c>
      <c r="X50" s="7">
        <v>22786.064292800002</v>
      </c>
      <c r="Y50" s="7">
        <v>22821.712095679999</v>
      </c>
      <c r="Z50" s="7">
        <v>22857.80300539</v>
      </c>
      <c r="AA50" s="7">
        <v>22904.78975842</v>
      </c>
      <c r="AB50" s="7">
        <v>22955.603012989999</v>
      </c>
      <c r="AC50" s="7">
        <v>23006.377322789998</v>
      </c>
    </row>
    <row r="51" spans="1:29" x14ac:dyDescent="0.85">
      <c r="A51" t="s">
        <v>149</v>
      </c>
      <c r="B51" s="7">
        <v>44835783.357500002</v>
      </c>
      <c r="C51" s="7">
        <v>50267765.699386798</v>
      </c>
      <c r="D51" s="7">
        <v>55665272.5433283</v>
      </c>
      <c r="E51" s="7">
        <v>61085779.912375502</v>
      </c>
      <c r="F51" s="7">
        <v>69054400.470974296</v>
      </c>
      <c r="G51" s="7">
        <v>76726536.828374296</v>
      </c>
      <c r="H51" s="7">
        <v>84149023.926297799</v>
      </c>
      <c r="I51" s="7">
        <v>90441114.484798297</v>
      </c>
      <c r="J51" s="7">
        <v>96695908.461832196</v>
      </c>
      <c r="K51" s="7">
        <v>103071402.79149801</v>
      </c>
      <c r="L51" s="7">
        <v>108141784.151677</v>
      </c>
      <c r="M51" s="7">
        <v>109811697.370897</v>
      </c>
      <c r="N51" s="7">
        <v>108468943.210058</v>
      </c>
      <c r="O51" s="7">
        <v>104864394.127389</v>
      </c>
      <c r="P51" s="7">
        <v>101220415.072143</v>
      </c>
      <c r="Q51" s="7">
        <v>97541566.468256295</v>
      </c>
      <c r="R51" s="7">
        <v>93825764.726498902</v>
      </c>
      <c r="S51" s="7">
        <v>90070974.340358004</v>
      </c>
      <c r="T51" s="7">
        <v>86275119.797849402</v>
      </c>
      <c r="U51" s="7">
        <v>82436135.887081504</v>
      </c>
      <c r="V51" s="7">
        <v>78553629.480868399</v>
      </c>
      <c r="W51" s="7">
        <v>74651956.621807203</v>
      </c>
      <c r="X51" s="7">
        <v>70712719.313654393</v>
      </c>
      <c r="Y51" s="7">
        <v>66737126.389850698</v>
      </c>
      <c r="Z51" s="7">
        <v>62744228.979587398</v>
      </c>
      <c r="AA51" s="7">
        <v>58760140.333109103</v>
      </c>
      <c r="AB51" s="7">
        <v>54819157.233495198</v>
      </c>
      <c r="AC51" s="7">
        <v>50959151.564155698</v>
      </c>
    </row>
    <row r="52" spans="1:29" x14ac:dyDescent="0.85">
      <c r="A52" t="s">
        <v>150</v>
      </c>
      <c r="B52" s="7">
        <v>44835783.357500002</v>
      </c>
      <c r="C52" s="7">
        <v>50267765.699386798</v>
      </c>
      <c r="D52" s="7">
        <v>55665272.5433283</v>
      </c>
      <c r="E52" s="7">
        <v>61085779.912375502</v>
      </c>
      <c r="F52" s="7">
        <v>69054400.470974296</v>
      </c>
      <c r="G52" s="7">
        <v>76726536.828374296</v>
      </c>
      <c r="H52" s="7">
        <v>84149023.926297799</v>
      </c>
      <c r="I52" s="7">
        <v>90441114.484798297</v>
      </c>
      <c r="J52" s="7">
        <v>96695908.461832196</v>
      </c>
      <c r="K52" s="7">
        <v>103071402.79149801</v>
      </c>
      <c r="L52" s="7">
        <v>108141784.151677</v>
      </c>
      <c r="M52" s="7">
        <v>109811697.370897</v>
      </c>
      <c r="N52" s="7">
        <v>108468943.210058</v>
      </c>
      <c r="O52" s="7">
        <v>104864394.127389</v>
      </c>
      <c r="P52" s="7">
        <v>101220415.072143</v>
      </c>
      <c r="Q52" s="7">
        <v>97541566.468256295</v>
      </c>
      <c r="R52" s="7">
        <v>93825764.726498902</v>
      </c>
      <c r="S52" s="7">
        <v>90070974.340358004</v>
      </c>
      <c r="T52" s="7">
        <v>86275119.797849402</v>
      </c>
      <c r="U52" s="7">
        <v>82436135.887081504</v>
      </c>
      <c r="V52" s="7">
        <v>78553629.480868399</v>
      </c>
      <c r="W52" s="7">
        <v>74651956.621807203</v>
      </c>
      <c r="X52" s="7">
        <v>70712719.313654393</v>
      </c>
      <c r="Y52" s="7">
        <v>66737126.389850698</v>
      </c>
      <c r="Z52" s="7">
        <v>62744228.979587398</v>
      </c>
      <c r="AA52" s="7">
        <v>58760140.333109103</v>
      </c>
      <c r="AB52" s="7">
        <v>54819157.233495198</v>
      </c>
      <c r="AC52" s="7">
        <v>50959151.564155698</v>
      </c>
    </row>
    <row r="53" spans="1:29" x14ac:dyDescent="0.85">
      <c r="A53" t="s">
        <v>151</v>
      </c>
      <c r="B53" s="7">
        <v>3282.65238804</v>
      </c>
      <c r="C53" s="7">
        <v>3557.27412792</v>
      </c>
      <c r="D53" s="7">
        <v>3849.2380773899999</v>
      </c>
      <c r="E53" s="7">
        <v>4159.4039513500002</v>
      </c>
      <c r="F53" s="7">
        <v>4542.3234226599998</v>
      </c>
      <c r="G53" s="7">
        <v>4937.9595218599998</v>
      </c>
      <c r="H53" s="7">
        <v>5329.46882783</v>
      </c>
      <c r="I53" s="7">
        <v>5695.51871046</v>
      </c>
      <c r="J53" s="7">
        <v>6062.9147083400003</v>
      </c>
      <c r="K53" s="7">
        <v>6435.6638578599996</v>
      </c>
      <c r="L53" s="7">
        <v>6779.0826525399998</v>
      </c>
      <c r="M53" s="7">
        <v>7045.3639071999996</v>
      </c>
      <c r="N53" s="7">
        <v>7114.9609969900002</v>
      </c>
      <c r="O53" s="7">
        <v>7010.3498475899996</v>
      </c>
      <c r="P53" s="7">
        <v>6904.8085548199997</v>
      </c>
      <c r="Q53" s="7">
        <v>6798.7826026100001</v>
      </c>
      <c r="R53" s="7">
        <v>6692.1700599899996</v>
      </c>
      <c r="S53" s="7">
        <v>6584.9236522000001</v>
      </c>
      <c r="T53" s="7">
        <v>6476.9671473300004</v>
      </c>
      <c r="U53" s="7">
        <v>6368.23428547</v>
      </c>
      <c r="V53" s="7">
        <v>6239.7060276900002</v>
      </c>
      <c r="W53" s="7">
        <v>6135.9400929000003</v>
      </c>
      <c r="X53" s="7">
        <v>6046.4934323899997</v>
      </c>
      <c r="Y53" s="7">
        <v>5956.2491421799996</v>
      </c>
      <c r="Z53" s="7">
        <v>5865.6666523900003</v>
      </c>
      <c r="AA53" s="7">
        <v>5777.3653620900004</v>
      </c>
      <c r="AB53" s="7">
        <v>5690.8414971399998</v>
      </c>
      <c r="AC53" s="7">
        <v>5606.2860960799999</v>
      </c>
    </row>
    <row r="54" spans="1:29" x14ac:dyDescent="0.85">
      <c r="A54" t="s">
        <v>152</v>
      </c>
      <c r="B54" s="7">
        <v>0</v>
      </c>
      <c r="C54" s="7">
        <v>492.62410384999998</v>
      </c>
      <c r="D54" s="7">
        <v>1091.03934185</v>
      </c>
      <c r="E54" s="7">
        <v>1795.92192942</v>
      </c>
      <c r="F54" s="7">
        <v>2706.9324984599998</v>
      </c>
      <c r="G54" s="7">
        <v>3759.6003045900002</v>
      </c>
      <c r="H54" s="7">
        <v>4947.9626068699999</v>
      </c>
      <c r="I54" s="7">
        <v>6204.2604536600002</v>
      </c>
      <c r="J54" s="7">
        <v>7580.95922341</v>
      </c>
      <c r="K54" s="7">
        <v>9090.8977262099997</v>
      </c>
      <c r="L54" s="7">
        <v>10597.894846859999</v>
      </c>
      <c r="M54" s="7">
        <v>11837.700976579999</v>
      </c>
      <c r="N54" s="7">
        <v>12755.947721500001</v>
      </c>
      <c r="O54" s="7">
        <v>13359.723811829999</v>
      </c>
      <c r="P54" s="7">
        <v>13887.440947900001</v>
      </c>
      <c r="Q54" s="7">
        <v>14338.61027083</v>
      </c>
      <c r="R54" s="7">
        <v>14711.87990912</v>
      </c>
      <c r="S54" s="7">
        <v>15005.8243251</v>
      </c>
      <c r="T54" s="7">
        <v>15218.93113234</v>
      </c>
      <c r="U54" s="7">
        <v>15349.60850217</v>
      </c>
      <c r="V54" s="7">
        <v>15396.511378249999</v>
      </c>
      <c r="W54" s="7">
        <v>15363.37267277</v>
      </c>
      <c r="X54" s="7">
        <v>15245.66228402</v>
      </c>
      <c r="Y54" s="7">
        <v>15042.54828827</v>
      </c>
      <c r="Z54" s="7">
        <v>14757.442655999999</v>
      </c>
      <c r="AA54" s="7">
        <v>14396.23438161</v>
      </c>
      <c r="AB54" s="7">
        <v>13967.92126309</v>
      </c>
      <c r="AC54" s="7">
        <v>13483.79150388</v>
      </c>
    </row>
    <row r="55" spans="1:29" x14ac:dyDescent="0.85">
      <c r="A55" t="s">
        <v>153</v>
      </c>
      <c r="B55" s="7">
        <v>21.969533850000001</v>
      </c>
      <c r="C55" s="7">
        <v>24.631205189999999</v>
      </c>
      <c r="D55" s="7">
        <v>27.275983549999999</v>
      </c>
      <c r="E55" s="7">
        <v>29.932032159999999</v>
      </c>
      <c r="F55" s="7">
        <v>33.836656230000003</v>
      </c>
      <c r="G55" s="7">
        <v>37.59600305</v>
      </c>
      <c r="H55" s="7">
        <v>41.233021720000004</v>
      </c>
      <c r="I55" s="7">
        <v>44.316146099999997</v>
      </c>
      <c r="J55" s="7">
        <v>47.380995149999997</v>
      </c>
      <c r="K55" s="7">
        <v>50.504987370000002</v>
      </c>
      <c r="L55" s="7">
        <v>52.989474229999999</v>
      </c>
      <c r="M55" s="7">
        <v>53.807731709999999</v>
      </c>
      <c r="N55" s="7">
        <v>53.149782170000002</v>
      </c>
      <c r="O55" s="7">
        <v>51.383553120000002</v>
      </c>
      <c r="P55" s="7">
        <v>49.598003390000002</v>
      </c>
      <c r="Q55" s="7">
        <v>47.795367570000003</v>
      </c>
      <c r="R55" s="7">
        <v>45.974624720000001</v>
      </c>
      <c r="S55" s="7">
        <v>44.13477743</v>
      </c>
      <c r="T55" s="7">
        <v>42.274808700000001</v>
      </c>
      <c r="U55" s="7">
        <v>40.39370658</v>
      </c>
      <c r="V55" s="7">
        <v>38.491278450000003</v>
      </c>
      <c r="W55" s="7">
        <v>36.57945874</v>
      </c>
      <c r="X55" s="7">
        <v>34.64923246</v>
      </c>
      <c r="Y55" s="7">
        <v>32.70119193</v>
      </c>
      <c r="Z55" s="7">
        <v>30.7446722</v>
      </c>
      <c r="AA55" s="7">
        <v>28.792468759999998</v>
      </c>
      <c r="AB55" s="7">
        <v>26.86138704</v>
      </c>
      <c r="AC55" s="7">
        <v>24.969984270000001</v>
      </c>
    </row>
    <row r="56" spans="1:29" x14ac:dyDescent="0.85">
      <c r="A56" t="s">
        <v>154</v>
      </c>
      <c r="B56" s="7">
        <v>2188.6592741200002</v>
      </c>
      <c r="C56" s="7">
        <v>2330.7406448500001</v>
      </c>
      <c r="D56" s="7">
        <v>2491.0054273300002</v>
      </c>
      <c r="E56" s="7">
        <v>2668.91092149</v>
      </c>
      <c r="F56" s="7">
        <v>2857.3960511599998</v>
      </c>
      <c r="G56" s="7">
        <v>3065.8320232400001</v>
      </c>
      <c r="H56" s="7">
        <v>3276.2326440299998</v>
      </c>
      <c r="I56" s="7">
        <v>3488.7555170300002</v>
      </c>
      <c r="J56" s="7">
        <v>3703.5345418699999</v>
      </c>
      <c r="K56" s="7">
        <v>3920.7216297499999</v>
      </c>
      <c r="L56" s="7">
        <v>4140.4231192400002</v>
      </c>
      <c r="M56" s="7">
        <v>4365.9584913500003</v>
      </c>
      <c r="N56" s="7">
        <v>4468.3187826699996</v>
      </c>
      <c r="O56" s="7">
        <v>4451.6586308899996</v>
      </c>
      <c r="P56" s="7">
        <v>4435.03042706</v>
      </c>
      <c r="Q56" s="7">
        <v>4418.7683807900003</v>
      </c>
      <c r="R56" s="7">
        <v>4402.8214006600001</v>
      </c>
      <c r="S56" s="7">
        <v>4387.1918782900002</v>
      </c>
      <c r="T56" s="7">
        <v>4371.8542242699996</v>
      </c>
      <c r="U56" s="7">
        <v>4356.7925698199997</v>
      </c>
      <c r="V56" s="7">
        <v>4322.9974683600003</v>
      </c>
      <c r="W56" s="7">
        <v>4314.4323513299996</v>
      </c>
      <c r="X56" s="7">
        <v>4321.1030811399996</v>
      </c>
      <c r="Y56" s="7">
        <v>4327.8632582700002</v>
      </c>
      <c r="Z56" s="7">
        <v>4334.7074652900001</v>
      </c>
      <c r="AA56" s="7">
        <v>4343.6179379699997</v>
      </c>
      <c r="AB56" s="7">
        <v>4353.2540606399998</v>
      </c>
      <c r="AC56" s="7">
        <v>4362.8827979199996</v>
      </c>
    </row>
    <row r="57" spans="1:29" x14ac:dyDescent="0.85">
      <c r="A57" t="s">
        <v>155</v>
      </c>
      <c r="B57" s="7">
        <v>1093.99311392</v>
      </c>
      <c r="C57" s="7">
        <v>1226.5334830700001</v>
      </c>
      <c r="D57" s="7">
        <v>1358.23265006</v>
      </c>
      <c r="E57" s="7">
        <v>1490.49302986</v>
      </c>
      <c r="F57" s="7">
        <v>1684.92737149</v>
      </c>
      <c r="G57" s="7">
        <v>1872.12749861</v>
      </c>
      <c r="H57" s="7">
        <v>2053.2361838000002</v>
      </c>
      <c r="I57" s="7">
        <v>2206.7631934299998</v>
      </c>
      <c r="J57" s="7">
        <v>2359.3801664699999</v>
      </c>
      <c r="K57" s="7">
        <v>2514.9422281100001</v>
      </c>
      <c r="L57" s="7">
        <v>2638.6595333</v>
      </c>
      <c r="M57" s="7">
        <v>2679.4054158499998</v>
      </c>
      <c r="N57" s="7">
        <v>2646.6422143300001</v>
      </c>
      <c r="O57" s="7">
        <v>2558.6912167099999</v>
      </c>
      <c r="P57" s="7">
        <v>2469.7781277600002</v>
      </c>
      <c r="Q57" s="7">
        <v>2380.0142218300002</v>
      </c>
      <c r="R57" s="7">
        <v>2289.3486593299999</v>
      </c>
      <c r="S57" s="7">
        <v>2197.7317739</v>
      </c>
      <c r="T57" s="7">
        <v>2105.1129230699999</v>
      </c>
      <c r="U57" s="7">
        <v>2011.44171564</v>
      </c>
      <c r="V57" s="7">
        <v>1916.7085593300001</v>
      </c>
      <c r="W57" s="7">
        <v>1821.50774157</v>
      </c>
      <c r="X57" s="7">
        <v>1725.3903512500001</v>
      </c>
      <c r="Y57" s="7">
        <v>1628.3858839100001</v>
      </c>
      <c r="Z57" s="7">
        <v>1530.9591871</v>
      </c>
      <c r="AA57" s="7">
        <v>1433.7474241299999</v>
      </c>
      <c r="AB57" s="7">
        <v>1337.5874365</v>
      </c>
      <c r="AC57" s="7">
        <v>1243.40329817</v>
      </c>
    </row>
    <row r="58" spans="1:29" x14ac:dyDescent="0.85">
      <c r="A58" t="s">
        <v>156</v>
      </c>
      <c r="B58" s="7">
        <v>1</v>
      </c>
      <c r="C58" s="7">
        <v>1.04</v>
      </c>
      <c r="D58" s="7">
        <v>1.10928863</v>
      </c>
      <c r="E58" s="7">
        <v>1.1132930299999999</v>
      </c>
      <c r="F58" s="7">
        <v>1.11606162</v>
      </c>
      <c r="G58" s="7">
        <v>1.1152317599999999</v>
      </c>
      <c r="H58" s="7">
        <v>1.1131474699999999</v>
      </c>
      <c r="I58" s="7">
        <v>1.1092294199999999</v>
      </c>
      <c r="J58" s="7">
        <v>1.1057879500000001</v>
      </c>
      <c r="K58" s="7">
        <v>1.10274513</v>
      </c>
      <c r="L58" s="7">
        <v>1.10003889</v>
      </c>
      <c r="M58" s="7">
        <v>1.09839883</v>
      </c>
      <c r="N58" s="7">
        <v>1.0984078900000001</v>
      </c>
      <c r="O58" s="7">
        <v>1.06608864</v>
      </c>
      <c r="P58" s="7">
        <v>1.0377828099999999</v>
      </c>
      <c r="Q58" s="7">
        <v>1.03777575</v>
      </c>
      <c r="R58" s="7">
        <v>1.0378471600000001</v>
      </c>
      <c r="S58" s="7">
        <v>1.03790738</v>
      </c>
      <c r="T58" s="7">
        <v>1.03796887</v>
      </c>
      <c r="U58" s="7">
        <v>1.03802499</v>
      </c>
      <c r="V58" s="7">
        <v>1.03807798</v>
      </c>
      <c r="W58" s="7">
        <v>1.0335865900000001</v>
      </c>
      <c r="X58" s="7">
        <v>1.03960282</v>
      </c>
      <c r="Y58" s="7">
        <v>1.0432772299999999</v>
      </c>
      <c r="Z58" s="7">
        <v>1.0432963099999999</v>
      </c>
      <c r="AA58" s="7">
        <v>1.0433139899999999</v>
      </c>
      <c r="AB58" s="7">
        <v>1.0438079300000001</v>
      </c>
      <c r="AC58" s="7">
        <v>1.0439775600000001</v>
      </c>
    </row>
    <row r="59" spans="1:29" x14ac:dyDescent="0.85">
      <c r="A59" t="s">
        <v>157</v>
      </c>
      <c r="B59" s="7">
        <v>1</v>
      </c>
      <c r="C59" s="7">
        <v>1.10928863</v>
      </c>
      <c r="D59" s="7">
        <v>1.1132930299999999</v>
      </c>
      <c r="E59" s="7">
        <v>1.11606162</v>
      </c>
      <c r="F59" s="7">
        <v>1.1152317599999999</v>
      </c>
      <c r="G59" s="7">
        <v>1.1176522099999999</v>
      </c>
      <c r="H59" s="7">
        <v>1.1131537300000001</v>
      </c>
      <c r="I59" s="7">
        <v>1.1092375699999999</v>
      </c>
      <c r="J59" s="7">
        <v>1.10579502</v>
      </c>
      <c r="K59" s="7">
        <v>1.1027533300000001</v>
      </c>
      <c r="L59" s="7">
        <v>1.1000374799999999</v>
      </c>
      <c r="M59" s="7">
        <v>1.0984078900000001</v>
      </c>
      <c r="N59" s="7">
        <v>1.06608864</v>
      </c>
      <c r="O59" s="7">
        <v>1.0377828099999999</v>
      </c>
      <c r="P59" s="7">
        <v>1.03777575</v>
      </c>
      <c r="Q59" s="7">
        <v>1.0378471600000001</v>
      </c>
      <c r="R59" s="7">
        <v>1.03790738</v>
      </c>
      <c r="S59" s="7">
        <v>1.03796887</v>
      </c>
      <c r="T59" s="7">
        <v>1.03802499</v>
      </c>
      <c r="U59" s="7">
        <v>1.03807798</v>
      </c>
      <c r="V59" s="7">
        <v>1.0335865900000001</v>
      </c>
      <c r="W59" s="7">
        <v>1.03960282</v>
      </c>
      <c r="X59" s="7">
        <v>1.0432772299999999</v>
      </c>
      <c r="Y59" s="7">
        <v>1.0432963099999999</v>
      </c>
      <c r="Z59" s="7">
        <v>1.0433139899999999</v>
      </c>
      <c r="AA59" s="7">
        <v>1.0438079300000001</v>
      </c>
      <c r="AB59" s="7">
        <v>1.0439775600000001</v>
      </c>
      <c r="AC59" s="7">
        <v>1.0439706799999999</v>
      </c>
    </row>
    <row r="60" spans="1:29" x14ac:dyDescent="0.85">
      <c r="A60" t="s">
        <v>158</v>
      </c>
      <c r="B60" s="7">
        <v>1</v>
      </c>
      <c r="C60" s="7">
        <v>1.13961169</v>
      </c>
      <c r="D60" s="7">
        <v>1.1335772799999999</v>
      </c>
      <c r="E60" s="7">
        <v>1.12784488</v>
      </c>
      <c r="F60" s="7">
        <v>1.12248697</v>
      </c>
      <c r="G60" s="7">
        <v>1.1176522099999999</v>
      </c>
      <c r="H60" s="7">
        <v>1.11315747</v>
      </c>
      <c r="I60" s="7">
        <v>1.10923942</v>
      </c>
      <c r="J60" s="7">
        <v>1.1057979499999999</v>
      </c>
      <c r="K60" s="7">
        <v>1.10275513</v>
      </c>
      <c r="L60" s="7">
        <v>1.1000488900000001</v>
      </c>
      <c r="M60" s="7">
        <v>1.0984088299999999</v>
      </c>
      <c r="N60" s="7">
        <v>1.0984478</v>
      </c>
      <c r="O60" s="7">
        <v>1.0994065200000001</v>
      </c>
      <c r="P60" s="7">
        <v>1.10123678</v>
      </c>
      <c r="Q60" s="7">
        <v>1.10311932</v>
      </c>
      <c r="R60" s="7">
        <v>1.10505279</v>
      </c>
      <c r="S60" s="7">
        <v>1.10703847</v>
      </c>
      <c r="T60" s="7">
        <v>1.1090772799999999</v>
      </c>
      <c r="U60" s="7">
        <v>1.1111703799999999</v>
      </c>
      <c r="V60" s="7">
        <v>1.1133189299999999</v>
      </c>
      <c r="W60" s="7">
        <v>1.1157292000000001</v>
      </c>
      <c r="X60" s="7">
        <v>1.1179288199999999</v>
      </c>
      <c r="Y60" s="7">
        <v>1.12000448</v>
      </c>
      <c r="Z60" s="7">
        <v>1.1221262400000001</v>
      </c>
      <c r="AA60" s="7">
        <v>1.12429482</v>
      </c>
      <c r="AB60" s="7">
        <v>1.1264846100000001</v>
      </c>
      <c r="AC60" s="7">
        <v>1.12871243</v>
      </c>
    </row>
    <row r="61" spans="1:29" x14ac:dyDescent="0.85">
      <c r="A61" t="s">
        <v>159</v>
      </c>
      <c r="B61" s="7">
        <v>6363</v>
      </c>
      <c r="C61" s="7">
        <v>6203.9250000000002</v>
      </c>
      <c r="D61" s="7">
        <v>6048.8268749999997</v>
      </c>
      <c r="E61" s="7">
        <v>5897.6062031199999</v>
      </c>
      <c r="F61" s="7">
        <v>5750.1660480500004</v>
      </c>
      <c r="G61" s="7">
        <v>5606.4118968499997</v>
      </c>
      <c r="H61" s="7">
        <v>5466.2515994200003</v>
      </c>
      <c r="I61" s="7">
        <v>5329.5953094400002</v>
      </c>
      <c r="J61" s="7">
        <v>5196.3554267</v>
      </c>
      <c r="K61" s="7">
        <v>5066.4465410399998</v>
      </c>
      <c r="L61" s="7">
        <v>4939.7853775100002</v>
      </c>
      <c r="M61" s="7">
        <v>4816.2907430699997</v>
      </c>
      <c r="N61" s="7">
        <v>4695.8834744899996</v>
      </c>
      <c r="O61" s="7">
        <v>4578.4863876299996</v>
      </c>
      <c r="P61" s="7">
        <v>4464.0242279399999</v>
      </c>
      <c r="Q61" s="7">
        <v>4352.4236222400004</v>
      </c>
      <c r="R61" s="7">
        <v>4243.6130316899998</v>
      </c>
      <c r="S61" s="7">
        <v>4137.52270589</v>
      </c>
      <c r="T61" s="7">
        <v>4034.0846382499999</v>
      </c>
      <c r="U61" s="7">
        <v>3933.2325222899999</v>
      </c>
      <c r="V61" s="7">
        <v>3834.9017092300001</v>
      </c>
      <c r="W61" s="7">
        <v>3739.0291665</v>
      </c>
      <c r="X61" s="7">
        <v>3645.5534373400001</v>
      </c>
      <c r="Y61" s="7">
        <v>3554.4146014100002</v>
      </c>
      <c r="Z61" s="7">
        <v>3465.5542363700001</v>
      </c>
      <c r="AA61" s="7">
        <v>3378.9153804600001</v>
      </c>
      <c r="AB61" s="7">
        <v>3294.4424959500002</v>
      </c>
      <c r="AC61" s="7">
        <v>3212.0814335499999</v>
      </c>
    </row>
    <row r="62" spans="1:29" x14ac:dyDescent="0.85">
      <c r="A62" t="s">
        <v>160</v>
      </c>
      <c r="B62" s="7">
        <v>23747776.297499999</v>
      </c>
      <c r="C62" s="7">
        <v>23123340.232034899</v>
      </c>
      <c r="D62" s="7">
        <v>22545256.717029698</v>
      </c>
      <c r="E62" s="7">
        <v>21967156.829722699</v>
      </c>
      <c r="F62" s="7">
        <v>18886725.697744101</v>
      </c>
      <c r="G62" s="7">
        <v>16105812.4875798</v>
      </c>
      <c r="H62" s="7">
        <v>13603401.210093301</v>
      </c>
      <c r="I62" s="7">
        <v>12262380.5089543</v>
      </c>
      <c r="J62" s="7">
        <v>10992060.767526301</v>
      </c>
      <c r="K62" s="7">
        <v>9636773.7154340297</v>
      </c>
      <c r="L62" s="7">
        <v>6947139.5503837196</v>
      </c>
      <c r="M62" s="7">
        <v>2112299.4217319698</v>
      </c>
      <c r="N62" s="7">
        <v>6289.4772764099998</v>
      </c>
      <c r="O62" s="7">
        <v>2.14289606</v>
      </c>
      <c r="P62" s="7">
        <v>1.2667000000000001E-4</v>
      </c>
      <c r="Q62" s="7">
        <v>1E-8</v>
      </c>
      <c r="R62" s="7">
        <v>0</v>
      </c>
      <c r="S62" s="7">
        <v>0</v>
      </c>
      <c r="T62" s="7">
        <v>0</v>
      </c>
      <c r="U62" s="7">
        <v>0</v>
      </c>
      <c r="V62" s="7">
        <v>0</v>
      </c>
      <c r="W62" s="7">
        <v>0</v>
      </c>
      <c r="X62" s="7">
        <v>0</v>
      </c>
      <c r="Y62" s="7">
        <v>0</v>
      </c>
      <c r="Z62" s="7">
        <v>0</v>
      </c>
      <c r="AA62" s="7">
        <v>0</v>
      </c>
      <c r="AB62" s="7">
        <v>0</v>
      </c>
      <c r="AC62" s="7">
        <v>0</v>
      </c>
    </row>
    <row r="63" spans="1:29" x14ac:dyDescent="0.85">
      <c r="A63" t="s">
        <v>161</v>
      </c>
      <c r="B63" s="7">
        <v>23747776.297499999</v>
      </c>
      <c r="C63" s="7">
        <v>23123340.232034899</v>
      </c>
      <c r="D63" s="7">
        <v>22545256.717029698</v>
      </c>
      <c r="E63" s="7">
        <v>21967156.829722699</v>
      </c>
      <c r="F63" s="7">
        <v>18886725.697744101</v>
      </c>
      <c r="G63" s="7">
        <v>16105812.4875798</v>
      </c>
      <c r="H63" s="7">
        <v>13603401.210093301</v>
      </c>
      <c r="I63" s="7">
        <v>12262380.5089543</v>
      </c>
      <c r="J63" s="7">
        <v>10992060.767526301</v>
      </c>
      <c r="K63" s="7">
        <v>9636773.7154340297</v>
      </c>
      <c r="L63" s="7">
        <v>6947139.5503837196</v>
      </c>
      <c r="M63" s="7">
        <v>2112299.4217319698</v>
      </c>
      <c r="N63" s="7">
        <v>6289.4772764099998</v>
      </c>
      <c r="O63" s="7">
        <v>2.14289606</v>
      </c>
      <c r="P63" s="7">
        <v>1.2667000000000001E-4</v>
      </c>
      <c r="Q63" s="7">
        <v>1E-8</v>
      </c>
      <c r="R63" s="7">
        <v>0</v>
      </c>
      <c r="S63" s="7">
        <v>0</v>
      </c>
      <c r="T63" s="7">
        <v>0</v>
      </c>
      <c r="U63" s="7">
        <v>0</v>
      </c>
      <c r="V63" s="7">
        <v>0</v>
      </c>
      <c r="W63" s="7">
        <v>0</v>
      </c>
      <c r="X63" s="7">
        <v>0</v>
      </c>
      <c r="Y63" s="7">
        <v>0</v>
      </c>
      <c r="Z63" s="7">
        <v>0</v>
      </c>
      <c r="AA63" s="7">
        <v>0</v>
      </c>
      <c r="AB63" s="7">
        <v>0</v>
      </c>
      <c r="AC63" s="7">
        <v>0</v>
      </c>
    </row>
    <row r="64" spans="1:29" x14ac:dyDescent="0.85">
      <c r="A64" t="s">
        <v>162</v>
      </c>
      <c r="B64" s="7">
        <v>4361.4976307200004</v>
      </c>
      <c r="C64" s="7">
        <v>4251.74452415</v>
      </c>
      <c r="D64" s="7">
        <v>4145.4509108299999</v>
      </c>
      <c r="E64" s="7">
        <v>4041.47781209</v>
      </c>
      <c r="F64" s="7">
        <v>3881.5133153100001</v>
      </c>
      <c r="G64" s="7">
        <v>3730.7278972499998</v>
      </c>
      <c r="H64" s="7">
        <v>3588.5771481500001</v>
      </c>
      <c r="I64" s="7">
        <v>3475.5609370299999</v>
      </c>
      <c r="J64" s="7">
        <v>3366.2355754800001</v>
      </c>
      <c r="K64" s="7">
        <v>3256.9259828899999</v>
      </c>
      <c r="L64" s="7">
        <v>3118.4967522500001</v>
      </c>
      <c r="M64" s="7">
        <v>2932.0224904699999</v>
      </c>
      <c r="N64" s="7">
        <v>2810.9233749700002</v>
      </c>
      <c r="O64" s="7">
        <v>2740.5075819200001</v>
      </c>
      <c r="P64" s="7">
        <v>2671.9948437399999</v>
      </c>
      <c r="Q64" s="7">
        <v>2605.1949726399998</v>
      </c>
      <c r="R64" s="7">
        <v>2540.0650983300002</v>
      </c>
      <c r="S64" s="7">
        <v>2476.5634708699999</v>
      </c>
      <c r="T64" s="7">
        <v>2414.6493841000001</v>
      </c>
      <c r="U64" s="7">
        <v>2354.2831494900001</v>
      </c>
      <c r="V64" s="7">
        <v>2295.4260707600001</v>
      </c>
      <c r="W64" s="7">
        <v>2238.04041899</v>
      </c>
      <c r="X64" s="7">
        <v>2182.0894085099999</v>
      </c>
      <c r="Y64" s="7">
        <v>2127.5371733000002</v>
      </c>
      <c r="Z64" s="7">
        <v>2074.3487439700002</v>
      </c>
      <c r="AA64" s="7">
        <v>2022.49002537</v>
      </c>
      <c r="AB64" s="7">
        <v>1971.92777473</v>
      </c>
      <c r="AC64" s="7">
        <v>1922.62958037</v>
      </c>
    </row>
    <row r="65" spans="1:29" x14ac:dyDescent="0.85">
      <c r="A65" t="s">
        <v>163</v>
      </c>
      <c r="B65" s="7">
        <v>0</v>
      </c>
      <c r="C65" s="7">
        <v>379.22277981000002</v>
      </c>
      <c r="D65" s="7">
        <v>739.48442032000003</v>
      </c>
      <c r="E65" s="7">
        <v>1080.7841160200001</v>
      </c>
      <c r="F65" s="7">
        <v>1238.9692057699999</v>
      </c>
      <c r="G65" s="7">
        <v>1320.6766239799999</v>
      </c>
      <c r="H65" s="7">
        <v>1338.57467907</v>
      </c>
      <c r="I65" s="7">
        <v>1407.72128243</v>
      </c>
      <c r="J65" s="7">
        <v>1442.1583727</v>
      </c>
      <c r="K65" s="7">
        <v>1422.3878004000001</v>
      </c>
      <c r="L65" s="7">
        <v>1139.3308862599999</v>
      </c>
      <c r="M65" s="7">
        <v>381.05881568000001</v>
      </c>
      <c r="N65" s="7">
        <v>1.23776913</v>
      </c>
      <c r="O65" s="7">
        <v>4.5687000000000001E-4</v>
      </c>
      <c r="P65" s="7">
        <v>2.9999999999999997E-8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v>0</v>
      </c>
      <c r="W65" s="7">
        <v>0</v>
      </c>
      <c r="X65" s="7">
        <v>0</v>
      </c>
      <c r="Y65" s="7">
        <v>0</v>
      </c>
      <c r="Z65" s="7">
        <v>0</v>
      </c>
      <c r="AA65" s="7">
        <v>0</v>
      </c>
      <c r="AB65" s="7">
        <v>0</v>
      </c>
      <c r="AC65" s="7">
        <v>0</v>
      </c>
    </row>
    <row r="66" spans="1:29" x14ac:dyDescent="0.85">
      <c r="A66" t="s">
        <v>164</v>
      </c>
      <c r="B66" s="7">
        <v>19.473176559999999</v>
      </c>
      <c r="C66" s="7">
        <v>18.961138989999998</v>
      </c>
      <c r="D66" s="7">
        <v>18.487110510000001</v>
      </c>
      <c r="E66" s="7">
        <v>18.0130686</v>
      </c>
      <c r="F66" s="7">
        <v>15.48711507</v>
      </c>
      <c r="G66" s="7">
        <v>13.20676624</v>
      </c>
      <c r="H66" s="7">
        <v>11.15478899</v>
      </c>
      <c r="I66" s="7">
        <v>10.05515202</v>
      </c>
      <c r="J66" s="7">
        <v>9.0134898299999993</v>
      </c>
      <c r="K66" s="7">
        <v>7.9021544500000003</v>
      </c>
      <c r="L66" s="7">
        <v>5.6966544299999997</v>
      </c>
      <c r="M66" s="7">
        <v>1.73208553</v>
      </c>
      <c r="N66" s="7">
        <v>5.1573699999999997E-3</v>
      </c>
      <c r="O66" s="7">
        <v>1.7600000000000001E-6</v>
      </c>
      <c r="P66" s="7">
        <v>0</v>
      </c>
      <c r="Q66" s="7">
        <v>0</v>
      </c>
      <c r="R66" s="7">
        <v>0</v>
      </c>
      <c r="S66" s="7">
        <v>0</v>
      </c>
      <c r="T66" s="7">
        <v>0</v>
      </c>
      <c r="U66" s="7">
        <v>0</v>
      </c>
      <c r="V66" s="7">
        <v>0</v>
      </c>
      <c r="W66" s="7">
        <v>0</v>
      </c>
      <c r="X66" s="7">
        <v>0</v>
      </c>
      <c r="Y66" s="7">
        <v>0</v>
      </c>
      <c r="Z66" s="7">
        <v>0</v>
      </c>
      <c r="AA66" s="7">
        <v>0</v>
      </c>
      <c r="AB66" s="7">
        <v>0</v>
      </c>
      <c r="AC66" s="7">
        <v>0</v>
      </c>
    </row>
    <row r="67" spans="1:29" x14ac:dyDescent="0.85">
      <c r="A67" t="s">
        <v>165</v>
      </c>
      <c r="B67" s="7">
        <v>3808.6493985100001</v>
      </c>
      <c r="C67" s="7">
        <v>3713.4331635499998</v>
      </c>
      <c r="D67" s="7">
        <v>3620.5973344600002</v>
      </c>
      <c r="E67" s="7">
        <v>3530.0824011</v>
      </c>
      <c r="F67" s="7">
        <v>3441.83034107</v>
      </c>
      <c r="G67" s="7">
        <v>3355.78458254</v>
      </c>
      <c r="H67" s="7">
        <v>3271.8899679800002</v>
      </c>
      <c r="I67" s="7">
        <v>3190.0927187799998</v>
      </c>
      <c r="J67" s="7">
        <v>3110.3404008100001</v>
      </c>
      <c r="K67" s="7">
        <v>3032.5818907900002</v>
      </c>
      <c r="L67" s="7">
        <v>2956.7673435199999</v>
      </c>
      <c r="M67" s="7">
        <v>2882.8481599299998</v>
      </c>
      <c r="N67" s="7">
        <v>2810.77695593</v>
      </c>
      <c r="O67" s="7">
        <v>2740.5075320400001</v>
      </c>
      <c r="P67" s="7">
        <v>2671.99484373</v>
      </c>
      <c r="Q67" s="7">
        <v>2605.1949726399998</v>
      </c>
      <c r="R67" s="7">
        <v>2540.0650983300002</v>
      </c>
      <c r="S67" s="7">
        <v>2476.5634708699999</v>
      </c>
      <c r="T67" s="7">
        <v>2414.6493841000001</v>
      </c>
      <c r="U67" s="7">
        <v>2354.2831494900001</v>
      </c>
      <c r="V67" s="7">
        <v>2295.4260707600001</v>
      </c>
      <c r="W67" s="7">
        <v>2238.04041899</v>
      </c>
      <c r="X67" s="7">
        <v>2182.0894085099999</v>
      </c>
      <c r="Y67" s="7">
        <v>2127.5371733000002</v>
      </c>
      <c r="Z67" s="7">
        <v>2074.3487439700002</v>
      </c>
      <c r="AA67" s="7">
        <v>2022.49002537</v>
      </c>
      <c r="AB67" s="7">
        <v>1971.92777473</v>
      </c>
      <c r="AC67" s="7">
        <v>1922.62958037</v>
      </c>
    </row>
    <row r="68" spans="1:29" x14ac:dyDescent="0.85">
      <c r="A68" t="s">
        <v>166</v>
      </c>
      <c r="B68" s="7">
        <v>552.84823220999999</v>
      </c>
      <c r="C68" s="7">
        <v>538.31136059999994</v>
      </c>
      <c r="D68" s="7">
        <v>524.85357637000004</v>
      </c>
      <c r="E68" s="7">
        <v>511.39541100000002</v>
      </c>
      <c r="F68" s="7">
        <v>439.68297424000002</v>
      </c>
      <c r="G68" s="7">
        <v>374.94331470999998</v>
      </c>
      <c r="H68" s="7">
        <v>316.68718016999998</v>
      </c>
      <c r="I68" s="7">
        <v>285.46821825000001</v>
      </c>
      <c r="J68" s="7">
        <v>255.89517466999999</v>
      </c>
      <c r="K68" s="7">
        <v>224.34409210000001</v>
      </c>
      <c r="L68" s="7">
        <v>161.72940872999999</v>
      </c>
      <c r="M68" s="7">
        <v>49.17433054</v>
      </c>
      <c r="N68" s="7">
        <v>0.14641903000000001</v>
      </c>
      <c r="O68" s="7">
        <v>4.9889999999999998E-5</v>
      </c>
      <c r="P68" s="7">
        <v>0</v>
      </c>
      <c r="Q68" s="7">
        <v>0</v>
      </c>
      <c r="R68" s="7">
        <v>0</v>
      </c>
      <c r="S68" s="7">
        <v>0</v>
      </c>
      <c r="T68" s="7">
        <v>0</v>
      </c>
      <c r="U68" s="7">
        <v>0</v>
      </c>
      <c r="V68" s="7">
        <v>0</v>
      </c>
      <c r="W68" s="7">
        <v>0</v>
      </c>
      <c r="X68" s="7">
        <v>0</v>
      </c>
      <c r="Y68" s="7">
        <v>0</v>
      </c>
      <c r="Z68" s="7">
        <v>0</v>
      </c>
      <c r="AA68" s="7">
        <v>0</v>
      </c>
      <c r="AB68" s="7">
        <v>0</v>
      </c>
      <c r="AC68" s="7">
        <v>0</v>
      </c>
    </row>
    <row r="69" spans="1:29" x14ac:dyDescent="0.85">
      <c r="A69" t="s">
        <v>167</v>
      </c>
      <c r="B69" s="7">
        <v>1</v>
      </c>
      <c r="C69" s="7">
        <v>1.0249999999999999</v>
      </c>
      <c r="D69" s="7">
        <v>0.99867229999999996</v>
      </c>
      <c r="E69" s="7">
        <v>1</v>
      </c>
      <c r="F69" s="7">
        <v>0.99934179000000001</v>
      </c>
      <c r="G69" s="7">
        <v>0.88181646999999996</v>
      </c>
      <c r="H69" s="7">
        <v>0.87462392</v>
      </c>
      <c r="I69" s="7">
        <v>0.86628391999999999</v>
      </c>
      <c r="J69" s="7">
        <v>0.92453353000000005</v>
      </c>
      <c r="K69" s="7">
        <v>0.91938987000000005</v>
      </c>
      <c r="L69" s="7">
        <v>0.89918266000000002</v>
      </c>
      <c r="M69" s="7">
        <v>0.73938347999999998</v>
      </c>
      <c r="N69" s="7">
        <v>0.31184935000000003</v>
      </c>
      <c r="O69" s="7">
        <v>3.0539E-3</v>
      </c>
      <c r="P69" s="7">
        <v>3.4945000000000001E-4</v>
      </c>
      <c r="Q69" s="7">
        <v>6.0630000000000001E-5</v>
      </c>
      <c r="R69" s="7">
        <v>1.1266E-4</v>
      </c>
      <c r="S69" s="7">
        <v>1.1158999999999999E-4</v>
      </c>
      <c r="T69" s="7">
        <v>1.2740000000000001E-4</v>
      </c>
      <c r="U69" s="7">
        <v>1.2795999999999999E-4</v>
      </c>
      <c r="V69" s="7">
        <v>1.2784E-4</v>
      </c>
      <c r="W69" s="7">
        <v>1.3092E-4</v>
      </c>
      <c r="X69" s="7">
        <v>1.2345999999999999E-4</v>
      </c>
      <c r="Y69" s="7">
        <v>1.0124400000000001E-3</v>
      </c>
      <c r="Z69" s="7">
        <v>0</v>
      </c>
      <c r="AA69" s="7">
        <v>2E-8</v>
      </c>
      <c r="AB69" s="7">
        <v>2E-8</v>
      </c>
      <c r="AC69" s="7">
        <v>0</v>
      </c>
    </row>
    <row r="70" spans="1:29" x14ac:dyDescent="0.85">
      <c r="A70" t="s">
        <v>168</v>
      </c>
      <c r="B70" s="7">
        <v>1</v>
      </c>
      <c r="C70" s="7">
        <v>0.99867229999999996</v>
      </c>
      <c r="D70" s="7">
        <v>1</v>
      </c>
      <c r="E70" s="7">
        <v>0.99934179000000001</v>
      </c>
      <c r="F70" s="7">
        <v>0.88181646999999996</v>
      </c>
      <c r="G70" s="7">
        <v>0.87462392</v>
      </c>
      <c r="H70" s="7">
        <v>0.86628391999999999</v>
      </c>
      <c r="I70" s="7">
        <v>0.92453353000000005</v>
      </c>
      <c r="J70" s="7">
        <v>0.91938987000000005</v>
      </c>
      <c r="K70" s="7">
        <v>0.89918266000000002</v>
      </c>
      <c r="L70" s="7">
        <v>0.73938347999999998</v>
      </c>
      <c r="M70" s="7">
        <v>0.31184935000000003</v>
      </c>
      <c r="N70" s="7">
        <v>3.0539E-3</v>
      </c>
      <c r="O70" s="7">
        <v>3.4945000000000001E-4</v>
      </c>
      <c r="P70" s="7">
        <v>6.0630000000000001E-5</v>
      </c>
      <c r="Q70" s="7">
        <v>1.1266E-4</v>
      </c>
      <c r="R70" s="7">
        <v>1.1158999999999999E-4</v>
      </c>
      <c r="S70" s="7">
        <v>1.2740000000000001E-4</v>
      </c>
      <c r="T70" s="7">
        <v>1.2795999999999999E-4</v>
      </c>
      <c r="U70" s="7">
        <v>1.2784E-4</v>
      </c>
      <c r="V70" s="7">
        <v>1.3092E-4</v>
      </c>
      <c r="W70" s="7">
        <v>1.2345999999999999E-4</v>
      </c>
      <c r="X70" s="7">
        <v>1.0124400000000001E-3</v>
      </c>
      <c r="Y70" s="7">
        <v>0</v>
      </c>
      <c r="Z70" s="7">
        <v>2E-8</v>
      </c>
      <c r="AA70" s="7">
        <v>2E-8</v>
      </c>
      <c r="AB70" s="7">
        <v>0</v>
      </c>
      <c r="AC70" s="7">
        <v>0</v>
      </c>
    </row>
    <row r="71" spans="1:29" x14ac:dyDescent="0.85">
      <c r="A71" t="s">
        <v>169</v>
      </c>
      <c r="B71" s="7">
        <v>1</v>
      </c>
      <c r="C71" s="7">
        <v>1.54054914</v>
      </c>
      <c r="D71" s="7">
        <v>1.5598719000000001</v>
      </c>
      <c r="E71" s="7">
        <v>1.5819205199999999</v>
      </c>
      <c r="F71" s="7">
        <v>1.60681176</v>
      </c>
      <c r="G71" s="7">
        <v>1.6339655500000001</v>
      </c>
      <c r="H71" s="7">
        <v>1.6645444700000001</v>
      </c>
      <c r="I71" s="7">
        <v>1.69672735</v>
      </c>
      <c r="J71" s="7">
        <v>1.7305998199999999</v>
      </c>
      <c r="K71" s="7">
        <v>1.76625001</v>
      </c>
      <c r="L71" s="7">
        <v>1.8037719400000001</v>
      </c>
      <c r="M71" s="7">
        <v>1.8515214799999999</v>
      </c>
      <c r="N71" s="7">
        <v>1.91974515</v>
      </c>
      <c r="O71" s="7">
        <v>1.97599334</v>
      </c>
      <c r="P71" s="7">
        <v>2.0193658499999998</v>
      </c>
      <c r="Q71" s="7">
        <v>2.0648258799999999</v>
      </c>
      <c r="R71" s="7">
        <v>2.1125227600000001</v>
      </c>
      <c r="S71" s="7">
        <v>2.1625584199999999</v>
      </c>
      <c r="T71" s="7">
        <v>2.2150471399999998</v>
      </c>
      <c r="U71" s="7">
        <v>2.2701044499999998</v>
      </c>
      <c r="V71" s="7">
        <v>2.3278527699999998</v>
      </c>
      <c r="W71" s="7">
        <v>2.3853595599999999</v>
      </c>
      <c r="X71" s="7">
        <v>2.4497074300000001</v>
      </c>
      <c r="Y71" s="7">
        <v>2.5197624799999998</v>
      </c>
      <c r="Z71" s="7">
        <v>2.59331128</v>
      </c>
      <c r="AA71" s="7">
        <v>2.6705234799999999</v>
      </c>
      <c r="AB71" s="7">
        <v>2.7519405799999999</v>
      </c>
      <c r="AC71" s="7">
        <v>2.8375365800000001</v>
      </c>
    </row>
    <row r="72" spans="1:29" x14ac:dyDescent="0.85">
      <c r="A72" t="s">
        <v>170</v>
      </c>
      <c r="B72" s="7">
        <v>0</v>
      </c>
      <c r="C72" s="7">
        <v>92.182198729999996</v>
      </c>
      <c r="D72" s="7">
        <v>172.37169607999999</v>
      </c>
      <c r="E72" s="7">
        <v>155.13458951000001</v>
      </c>
      <c r="F72" s="7">
        <v>264.76863436000002</v>
      </c>
      <c r="G72" s="7">
        <v>358.63930751999999</v>
      </c>
      <c r="H72" s="7">
        <v>405.95221329999998</v>
      </c>
      <c r="I72" s="7">
        <v>375.85844858000002</v>
      </c>
      <c r="J72" s="7">
        <v>338.27280123000003</v>
      </c>
      <c r="K72" s="7">
        <v>309.61163544999999</v>
      </c>
      <c r="L72" s="7">
        <v>278.81896876000002</v>
      </c>
      <c r="M72" s="7">
        <v>304.3605374</v>
      </c>
      <c r="N72" s="7">
        <v>273.92448366000002</v>
      </c>
      <c r="O72" s="7">
        <v>246.53203529000001</v>
      </c>
      <c r="P72" s="7">
        <v>221.93178710999999</v>
      </c>
      <c r="Q72" s="7">
        <v>199.73867641000001</v>
      </c>
      <c r="R72" s="7">
        <v>179.78142019000001</v>
      </c>
      <c r="S72" s="7">
        <v>161.80421942000001</v>
      </c>
      <c r="T72" s="7">
        <v>145.62392229</v>
      </c>
      <c r="U72" s="7">
        <v>131.06524132999999</v>
      </c>
      <c r="V72" s="7">
        <v>117.95871828</v>
      </c>
      <c r="W72" s="7">
        <v>106.16284645</v>
      </c>
      <c r="X72" s="7">
        <v>95.578120380000001</v>
      </c>
      <c r="Y72" s="7">
        <v>86.02030834</v>
      </c>
      <c r="Z72" s="7">
        <v>77.418339059999994</v>
      </c>
      <c r="AA72" s="7">
        <v>69.704921749999997</v>
      </c>
      <c r="AB72" s="7">
        <v>62.736128800000003</v>
      </c>
      <c r="AC72" s="7">
        <v>56.46251633</v>
      </c>
    </row>
    <row r="73" spans="1:29" x14ac:dyDescent="0.85">
      <c r="A73" t="s">
        <v>171</v>
      </c>
      <c r="B73" s="7">
        <v>0</v>
      </c>
      <c r="C73" s="7">
        <v>23.045548499999999</v>
      </c>
      <c r="D73" s="7">
        <v>22.351928109999999</v>
      </c>
      <c r="E73" s="7">
        <v>1.7329999999999998E-5</v>
      </c>
      <c r="F73" s="7">
        <v>31.286876679999999</v>
      </c>
      <c r="G73" s="7">
        <v>30.086884139999999</v>
      </c>
      <c r="H73" s="7">
        <v>20.79420794</v>
      </c>
      <c r="I73" s="7">
        <v>2.6253368099999999</v>
      </c>
      <c r="J73" s="7">
        <v>7.7849999999999995E-5</v>
      </c>
      <c r="K73" s="7">
        <v>1.2915286699999999</v>
      </c>
      <c r="L73" s="7">
        <v>4.2123420000000002E-2</v>
      </c>
      <c r="M73" s="7">
        <v>13.355867099999999</v>
      </c>
      <c r="N73" s="7">
        <v>1.4000000000000001E-7</v>
      </c>
      <c r="O73" s="7">
        <v>0</v>
      </c>
      <c r="P73" s="7">
        <v>1.323882E-2</v>
      </c>
      <c r="Q73" s="7">
        <v>1.6900000000000001E-5</v>
      </c>
      <c r="R73" s="7">
        <v>4.1524500000000002E-3</v>
      </c>
      <c r="S73" s="7">
        <v>2.3582E-4</v>
      </c>
      <c r="T73" s="7">
        <v>0</v>
      </c>
      <c r="U73" s="7">
        <v>9.5903000000000004E-4</v>
      </c>
      <c r="V73" s="7">
        <v>29.48967957</v>
      </c>
      <c r="W73" s="7">
        <v>44.23894439</v>
      </c>
      <c r="X73" s="7">
        <v>23.89453009</v>
      </c>
      <c r="Y73" s="7">
        <v>21.505077050000001</v>
      </c>
      <c r="Z73" s="7">
        <v>19.354584389999999</v>
      </c>
      <c r="AA73" s="7">
        <v>17.426230440000001</v>
      </c>
      <c r="AB73" s="7">
        <v>15.68330066</v>
      </c>
      <c r="AC73" s="7">
        <v>14.115604749999999</v>
      </c>
    </row>
    <row r="74" spans="1:29" x14ac:dyDescent="0.85">
      <c r="A74" t="s">
        <v>172</v>
      </c>
      <c r="B74" s="7">
        <v>0</v>
      </c>
      <c r="C74" s="7">
        <v>23.045548499999999</v>
      </c>
      <c r="D74" s="7">
        <v>22.351928109999999</v>
      </c>
      <c r="E74" s="7">
        <v>1.7329999999999998E-5</v>
      </c>
      <c r="F74" s="7">
        <v>31.286876679999999</v>
      </c>
      <c r="G74" s="7">
        <v>30.086884139999999</v>
      </c>
      <c r="H74" s="7">
        <v>20.79420794</v>
      </c>
      <c r="I74" s="7">
        <v>2.6253368099999999</v>
      </c>
      <c r="J74" s="7">
        <v>7.7849999999999995E-5</v>
      </c>
      <c r="K74" s="7">
        <v>1.2915286699999999</v>
      </c>
      <c r="L74" s="7">
        <v>4.2123420000000002E-2</v>
      </c>
      <c r="M74" s="7">
        <v>13.355867099999999</v>
      </c>
      <c r="N74" s="7">
        <v>1.4000000000000001E-7</v>
      </c>
      <c r="O74" s="7">
        <v>0</v>
      </c>
      <c r="P74" s="7">
        <v>1.323882E-2</v>
      </c>
      <c r="Q74" s="7">
        <v>1.6900000000000001E-5</v>
      </c>
      <c r="R74" s="7">
        <v>4.1524500000000002E-3</v>
      </c>
      <c r="S74" s="7">
        <v>2.3582E-4</v>
      </c>
      <c r="T74" s="7">
        <v>0</v>
      </c>
      <c r="U74" s="7">
        <v>9.5903000000000004E-4</v>
      </c>
      <c r="V74" s="7">
        <v>29.48967957</v>
      </c>
      <c r="W74" s="7">
        <v>44.23894439</v>
      </c>
      <c r="X74" s="7">
        <v>23.89453009</v>
      </c>
      <c r="Y74" s="7">
        <v>21.505077050000001</v>
      </c>
      <c r="Z74" s="7">
        <v>19.354584389999999</v>
      </c>
      <c r="AA74" s="7">
        <v>17.426230440000001</v>
      </c>
      <c r="AB74" s="7">
        <v>15.68330066</v>
      </c>
      <c r="AC74" s="7">
        <v>14.115604749999999</v>
      </c>
    </row>
    <row r="75" spans="1:29" x14ac:dyDescent="0.85">
      <c r="A75" t="s">
        <v>173</v>
      </c>
      <c r="B75" s="7">
        <v>0</v>
      </c>
      <c r="C75" s="7">
        <v>24.480817869999999</v>
      </c>
      <c r="D75" s="7">
        <v>45.776449550000002</v>
      </c>
      <c r="E75" s="7">
        <v>41.198544329999997</v>
      </c>
      <c r="F75" s="7">
        <v>70.314100740000001</v>
      </c>
      <c r="G75" s="7">
        <v>95.242986930000001</v>
      </c>
      <c r="H75" s="7">
        <v>107.80758005</v>
      </c>
      <c r="I75" s="7">
        <v>99.815435190000002</v>
      </c>
      <c r="J75" s="7">
        <v>89.83391159</v>
      </c>
      <c r="K75" s="7">
        <v>82.222484929999993</v>
      </c>
      <c r="L75" s="7">
        <v>74.044968119999993</v>
      </c>
      <c r="M75" s="7">
        <v>80.828135509999996</v>
      </c>
      <c r="N75" s="7">
        <v>72.745156440000002</v>
      </c>
      <c r="O75" s="7">
        <v>65.470640799999998</v>
      </c>
      <c r="P75" s="7">
        <v>58.93764006</v>
      </c>
      <c r="Q75" s="7">
        <v>53.043893959999998</v>
      </c>
      <c r="R75" s="7">
        <v>47.743916050000003</v>
      </c>
      <c r="S75" s="7">
        <v>42.969774360000002</v>
      </c>
      <c r="T75" s="7">
        <v>38.672830070000003</v>
      </c>
      <c r="U75" s="7">
        <v>34.806532670000003</v>
      </c>
      <c r="V75" s="7">
        <v>31.32628575</v>
      </c>
      <c r="W75" s="7">
        <v>28.193900880000001</v>
      </c>
      <c r="X75" s="7">
        <v>25.382672459999998</v>
      </c>
      <c r="Y75" s="7">
        <v>22.844405219999999</v>
      </c>
      <c r="Z75" s="7">
        <v>20.55998104</v>
      </c>
      <c r="AA75" s="7">
        <v>18.511529530000001</v>
      </c>
      <c r="AB75" s="7">
        <v>16.660827829999999</v>
      </c>
      <c r="AC75" s="7">
        <v>14.99474517</v>
      </c>
    </row>
    <row r="76" spans="1:29" x14ac:dyDescent="0.85">
      <c r="A76" t="s">
        <v>174</v>
      </c>
      <c r="B76" s="7">
        <v>0</v>
      </c>
      <c r="C76" s="7">
        <v>5.1279999999999997E-5</v>
      </c>
      <c r="D76" s="7">
        <v>9.9469999999999995E-5</v>
      </c>
      <c r="E76" s="7">
        <v>0</v>
      </c>
      <c r="F76" s="7">
        <v>2.7845000000000002E-4</v>
      </c>
      <c r="G76" s="7">
        <v>3.3471999999999999E-4</v>
      </c>
      <c r="H76" s="7">
        <v>2.7760000000000003E-4</v>
      </c>
      <c r="I76" s="7">
        <v>4.0890000000000003E-5</v>
      </c>
      <c r="J76" s="7">
        <v>0</v>
      </c>
      <c r="K76" s="7">
        <v>2.586E-5</v>
      </c>
      <c r="L76" s="7">
        <v>9.4E-7</v>
      </c>
      <c r="M76" s="7">
        <v>3.2687999999999999E-4</v>
      </c>
      <c r="N76" s="7">
        <v>0</v>
      </c>
      <c r="O76" s="7">
        <v>0</v>
      </c>
      <c r="P76" s="7">
        <v>4.0999999999999999E-7</v>
      </c>
      <c r="Q76" s="7">
        <v>0</v>
      </c>
      <c r="R76" s="7">
        <v>1.4999999999999999E-7</v>
      </c>
      <c r="S76" s="7">
        <v>1E-8</v>
      </c>
      <c r="T76" s="7">
        <v>0</v>
      </c>
      <c r="U76" s="7">
        <v>4.0000000000000001E-8</v>
      </c>
      <c r="V76" s="7">
        <v>1.31229E-3</v>
      </c>
      <c r="W76" s="7">
        <v>2.0670599999999999E-3</v>
      </c>
      <c r="X76" s="7">
        <v>1.16964E-3</v>
      </c>
      <c r="Y76" s="7">
        <v>1.10052E-3</v>
      </c>
      <c r="Z76" s="7">
        <v>1.03353E-3</v>
      </c>
      <c r="AA76" s="7">
        <v>9.6933000000000002E-4</v>
      </c>
      <c r="AB76" s="7">
        <v>9.0728E-4</v>
      </c>
      <c r="AC76" s="7">
        <v>8.4798999999999996E-4</v>
      </c>
    </row>
    <row r="77" spans="1:29" x14ac:dyDescent="0.85">
      <c r="A77" t="s">
        <v>175</v>
      </c>
      <c r="B77" s="7">
        <v>0</v>
      </c>
      <c r="C77" s="7">
        <v>2.5600000000000001E-6</v>
      </c>
      <c r="D77" s="7">
        <v>2.4899999999999999E-6</v>
      </c>
      <c r="E77" s="7">
        <v>0</v>
      </c>
      <c r="F77" s="7">
        <v>3.4800000000000001E-6</v>
      </c>
      <c r="G77" s="7">
        <v>3.3500000000000001E-6</v>
      </c>
      <c r="H77" s="7">
        <v>2.3099999999999999E-6</v>
      </c>
      <c r="I77" s="7">
        <v>2.8999999999999998E-7</v>
      </c>
      <c r="J77" s="7">
        <v>0</v>
      </c>
      <c r="K77" s="7">
        <v>1.4000000000000001E-7</v>
      </c>
      <c r="L77" s="7">
        <v>0</v>
      </c>
      <c r="M77" s="7">
        <v>1.4899999999999999E-6</v>
      </c>
      <c r="N77" s="7">
        <v>0</v>
      </c>
      <c r="O77" s="7">
        <v>0</v>
      </c>
      <c r="P77" s="7">
        <v>0</v>
      </c>
      <c r="Q77" s="7">
        <v>0</v>
      </c>
      <c r="R77" s="7">
        <v>0</v>
      </c>
      <c r="S77" s="7">
        <v>0</v>
      </c>
      <c r="T77" s="7">
        <v>0</v>
      </c>
      <c r="U77" s="7">
        <v>0</v>
      </c>
      <c r="V77" s="7">
        <v>3.2799999999999999E-6</v>
      </c>
      <c r="W77" s="7">
        <v>4.9200000000000003E-6</v>
      </c>
      <c r="X77" s="7">
        <v>2.6599999999999999E-6</v>
      </c>
      <c r="Y77" s="7">
        <v>2.39E-6</v>
      </c>
      <c r="Z77" s="7">
        <v>2.1500000000000002E-6</v>
      </c>
      <c r="AA77" s="7">
        <v>1.9400000000000001E-6</v>
      </c>
      <c r="AB77" s="7">
        <v>1.7400000000000001E-6</v>
      </c>
      <c r="AC77" s="7">
        <v>1.57E-6</v>
      </c>
    </row>
    <row r="78" spans="1:29" x14ac:dyDescent="0.85">
      <c r="A78" t="s">
        <v>176</v>
      </c>
      <c r="B78" s="7">
        <v>0</v>
      </c>
      <c r="C78" s="7">
        <v>24.48050053</v>
      </c>
      <c r="D78" s="7">
        <v>45.776141770000002</v>
      </c>
      <c r="E78" s="7">
        <v>41.198544329999997</v>
      </c>
      <c r="F78" s="7">
        <v>70.313669919999995</v>
      </c>
      <c r="G78" s="7">
        <v>95.242572640000006</v>
      </c>
      <c r="H78" s="7">
        <v>107.80729371</v>
      </c>
      <c r="I78" s="7">
        <v>99.815399029999995</v>
      </c>
      <c r="J78" s="7">
        <v>89.833911580000006</v>
      </c>
      <c r="K78" s="7">
        <v>82.222467140000006</v>
      </c>
      <c r="L78" s="7">
        <v>74.044967540000002</v>
      </c>
      <c r="M78" s="7">
        <v>80.827951600000006</v>
      </c>
      <c r="N78" s="7">
        <v>72.745156440000002</v>
      </c>
      <c r="O78" s="7">
        <v>65.470640799999998</v>
      </c>
      <c r="P78" s="7">
        <v>58.937639879999999</v>
      </c>
      <c r="Q78" s="7">
        <v>53.043893959999998</v>
      </c>
      <c r="R78" s="7">
        <v>47.743915989999998</v>
      </c>
      <c r="S78" s="7">
        <v>42.969774360000002</v>
      </c>
      <c r="T78" s="7">
        <v>38.672830070000003</v>
      </c>
      <c r="U78" s="7">
        <v>34.806532650000001</v>
      </c>
      <c r="V78" s="7">
        <v>31.325879669999999</v>
      </c>
      <c r="W78" s="7">
        <v>28.19329171</v>
      </c>
      <c r="X78" s="7">
        <v>25.382343429999999</v>
      </c>
      <c r="Y78" s="7">
        <v>22.84410909</v>
      </c>
      <c r="Z78" s="7">
        <v>20.559714530000001</v>
      </c>
      <c r="AA78" s="7">
        <v>18.511289569999999</v>
      </c>
      <c r="AB78" s="7">
        <v>16.66061187</v>
      </c>
      <c r="AC78" s="7">
        <v>14.99455079</v>
      </c>
    </row>
    <row r="79" spans="1:29" x14ac:dyDescent="0.85">
      <c r="A79" t="s">
        <v>177</v>
      </c>
      <c r="B79" s="7">
        <v>0</v>
      </c>
      <c r="C79" s="7">
        <v>3.1733999999999999E-4</v>
      </c>
      <c r="D79" s="7">
        <v>3.0779000000000001E-4</v>
      </c>
      <c r="E79" s="7">
        <v>0</v>
      </c>
      <c r="F79" s="7">
        <v>4.3082E-4</v>
      </c>
      <c r="G79" s="7">
        <v>4.1429999999999999E-4</v>
      </c>
      <c r="H79" s="7">
        <v>2.8634E-4</v>
      </c>
      <c r="I79" s="7">
        <v>3.6149999999999998E-5</v>
      </c>
      <c r="J79" s="7">
        <v>0</v>
      </c>
      <c r="K79" s="7">
        <v>1.7779999999999999E-5</v>
      </c>
      <c r="L79" s="7">
        <v>5.7999999999999995E-7</v>
      </c>
      <c r="M79" s="7">
        <v>1.8390999999999999E-4</v>
      </c>
      <c r="N79" s="7">
        <v>0</v>
      </c>
      <c r="O79" s="7">
        <v>0</v>
      </c>
      <c r="P79" s="7">
        <v>1.8E-7</v>
      </c>
      <c r="Q79" s="7">
        <v>0</v>
      </c>
      <c r="R79" s="7">
        <v>5.9999999999999995E-8</v>
      </c>
      <c r="S79" s="7">
        <v>0</v>
      </c>
      <c r="T79" s="7">
        <v>0</v>
      </c>
      <c r="U79" s="7">
        <v>1E-8</v>
      </c>
      <c r="V79" s="7">
        <v>4.0607000000000002E-4</v>
      </c>
      <c r="W79" s="7">
        <v>6.0917000000000002E-4</v>
      </c>
      <c r="X79" s="7">
        <v>3.2903000000000001E-4</v>
      </c>
      <c r="Y79" s="7">
        <v>2.9611999999999998E-4</v>
      </c>
      <c r="Z79" s="7">
        <v>2.6651000000000002E-4</v>
      </c>
      <c r="AA79" s="7">
        <v>2.3996E-4</v>
      </c>
      <c r="AB79" s="7">
        <v>2.1596000000000001E-4</v>
      </c>
      <c r="AC79" s="7">
        <v>1.9437E-4</v>
      </c>
    </row>
    <row r="80" spans="1:29" x14ac:dyDescent="0.85">
      <c r="A80" t="s">
        <v>178</v>
      </c>
      <c r="B80" s="7">
        <v>1</v>
      </c>
      <c r="C80" s="7">
        <v>1.1000000000000001</v>
      </c>
      <c r="D80" s="7">
        <v>1.1933686999999999</v>
      </c>
      <c r="E80" s="7">
        <v>1.1849761999999999</v>
      </c>
      <c r="F80" s="7">
        <v>1.0000001300000001</v>
      </c>
      <c r="G80" s="7">
        <v>1.25027676</v>
      </c>
      <c r="H80" s="7">
        <v>1.2352413</v>
      </c>
      <c r="I80" s="7">
        <v>1.15848119</v>
      </c>
      <c r="J80" s="7">
        <v>1.0195304000000001</v>
      </c>
      <c r="K80" s="7">
        <v>1.00000036</v>
      </c>
      <c r="L80" s="7">
        <v>1.00919325</v>
      </c>
      <c r="M80" s="7">
        <v>1.0002931900000001</v>
      </c>
      <c r="N80" s="7">
        <v>1.0899808799999999</v>
      </c>
      <c r="O80" s="7">
        <v>1</v>
      </c>
      <c r="P80" s="7">
        <v>1</v>
      </c>
      <c r="Q80" s="7">
        <v>1.00008016</v>
      </c>
      <c r="R80" s="7">
        <v>1.0000001000000001</v>
      </c>
      <c r="S80" s="7">
        <v>1.00002422</v>
      </c>
      <c r="T80" s="7">
        <v>1.00000135</v>
      </c>
      <c r="U80" s="7">
        <v>1.00000018</v>
      </c>
      <c r="V80" s="7">
        <v>1.00000511</v>
      </c>
      <c r="W80" s="7">
        <v>1</v>
      </c>
      <c r="X80" s="7">
        <v>1</v>
      </c>
      <c r="Y80" s="7">
        <v>1.0000409699999999</v>
      </c>
      <c r="Z80" s="7">
        <v>1</v>
      </c>
      <c r="AA80" s="7">
        <v>1.00000008</v>
      </c>
      <c r="AB80" s="7">
        <v>1.0000344800000001</v>
      </c>
      <c r="AC80" s="7">
        <v>1.0000020199999999</v>
      </c>
    </row>
    <row r="81" spans="1:29" x14ac:dyDescent="0.85">
      <c r="A81" t="s">
        <v>179</v>
      </c>
      <c r="B81" s="7">
        <v>1</v>
      </c>
      <c r="C81" s="7">
        <v>1.1933686999999999</v>
      </c>
      <c r="D81" s="7">
        <v>1.1849761999999999</v>
      </c>
      <c r="E81" s="7">
        <v>1.0000001300000001</v>
      </c>
      <c r="F81" s="7">
        <v>1.25027676</v>
      </c>
      <c r="G81" s="7">
        <v>1.2352413</v>
      </c>
      <c r="H81" s="7">
        <v>1.15848119</v>
      </c>
      <c r="I81" s="7">
        <v>1.0195304000000001</v>
      </c>
      <c r="J81" s="7">
        <v>1.00000036</v>
      </c>
      <c r="K81" s="7">
        <v>1.00919325</v>
      </c>
      <c r="L81" s="7">
        <v>1.0002931900000001</v>
      </c>
      <c r="M81" s="7">
        <v>1.0899808799999999</v>
      </c>
      <c r="N81" s="7">
        <v>1</v>
      </c>
      <c r="O81" s="7">
        <v>1</v>
      </c>
      <c r="P81" s="7">
        <v>1.00008016</v>
      </c>
      <c r="Q81" s="7">
        <v>1.0000001000000001</v>
      </c>
      <c r="R81" s="7">
        <v>1.00002422</v>
      </c>
      <c r="S81" s="7">
        <v>1.00000135</v>
      </c>
      <c r="T81" s="7">
        <v>1.00000018</v>
      </c>
      <c r="U81" s="7">
        <v>1.00000511</v>
      </c>
      <c r="V81" s="7">
        <v>1</v>
      </c>
      <c r="W81" s="7">
        <v>1</v>
      </c>
      <c r="X81" s="7">
        <v>1.0000409699999999</v>
      </c>
      <c r="Y81" s="7">
        <v>1</v>
      </c>
      <c r="Z81" s="7">
        <v>1.00000008</v>
      </c>
      <c r="AA81" s="7">
        <v>1.0000344800000001</v>
      </c>
      <c r="AB81" s="7">
        <v>1.0000020199999999</v>
      </c>
      <c r="AC81" s="7">
        <v>1</v>
      </c>
    </row>
    <row r="82" spans="1:29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6FFB52-A5E9-4A8B-AC7B-D795421F5900}">
  <sheetPr codeName="Sheet17"/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29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</row>
    <row r="2" spans="1:29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</row>
    <row r="3" spans="1:29" x14ac:dyDescent="0.85">
      <c r="A3" t="s">
        <v>69</v>
      </c>
      <c r="B3" s="7">
        <v>0</v>
      </c>
      <c r="C3" s="7">
        <v>20</v>
      </c>
      <c r="D3" s="7">
        <v>40</v>
      </c>
      <c r="E3" s="7">
        <v>60</v>
      </c>
      <c r="F3" s="7">
        <v>80</v>
      </c>
      <c r="G3" s="7">
        <v>100</v>
      </c>
      <c r="H3" s="7">
        <v>120</v>
      </c>
      <c r="I3" s="7">
        <v>140</v>
      </c>
      <c r="J3" s="7">
        <v>160</v>
      </c>
      <c r="K3" s="7">
        <v>180</v>
      </c>
      <c r="L3" s="7">
        <v>200</v>
      </c>
      <c r="M3" s="7">
        <v>220</v>
      </c>
      <c r="N3" s="7">
        <v>240</v>
      </c>
      <c r="O3" s="7">
        <v>260</v>
      </c>
      <c r="P3" s="7">
        <v>280</v>
      </c>
      <c r="Q3" s="7">
        <v>300</v>
      </c>
      <c r="R3" s="7">
        <v>320</v>
      </c>
      <c r="S3" s="7">
        <v>340</v>
      </c>
      <c r="T3" s="7">
        <v>360</v>
      </c>
      <c r="U3" s="7">
        <v>380</v>
      </c>
      <c r="V3" s="7">
        <v>400</v>
      </c>
      <c r="W3" s="7">
        <v>420</v>
      </c>
      <c r="X3" s="7">
        <v>440</v>
      </c>
      <c r="Y3" s="7">
        <v>460</v>
      </c>
      <c r="Z3" s="7">
        <v>480</v>
      </c>
      <c r="AA3" s="7">
        <v>500</v>
      </c>
      <c r="AB3" s="7">
        <v>520</v>
      </c>
      <c r="AC3" s="7">
        <v>540</v>
      </c>
    </row>
    <row r="4" spans="1:29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</row>
    <row r="5" spans="1:29" x14ac:dyDescent="0.85">
      <c r="A5" t="s">
        <v>105</v>
      </c>
      <c r="B5" s="7">
        <v>110677</v>
      </c>
      <c r="C5" s="7">
        <v>110926.90555527</v>
      </c>
      <c r="D5" s="7">
        <v>111254.98594697</v>
      </c>
      <c r="E5" s="7">
        <v>111674.24792911</v>
      </c>
      <c r="F5" s="7">
        <v>112704.97082978</v>
      </c>
      <c r="G5" s="7">
        <v>116568.24640153001</v>
      </c>
      <c r="H5" s="7">
        <v>123165.4177187</v>
      </c>
      <c r="I5" s="7">
        <v>129802.79212858999</v>
      </c>
      <c r="J5" s="7">
        <v>137861.66736145999</v>
      </c>
      <c r="K5" s="7">
        <v>144549.33218316999</v>
      </c>
      <c r="L5" s="7">
        <v>145589.45579599001</v>
      </c>
      <c r="M5" s="7">
        <v>149626.51515724001</v>
      </c>
      <c r="N5" s="7">
        <v>155559.63463332001</v>
      </c>
      <c r="O5" s="7">
        <v>161891.74074499999</v>
      </c>
      <c r="P5" s="7">
        <v>168490.30510908001</v>
      </c>
      <c r="Q5" s="7">
        <v>175276.69065017</v>
      </c>
      <c r="R5" s="7">
        <v>182256.19006401999</v>
      </c>
      <c r="S5" s="7">
        <v>188275.51432471001</v>
      </c>
      <c r="T5" s="7">
        <v>193292.74930413</v>
      </c>
      <c r="U5" s="7">
        <v>198428.61563904001</v>
      </c>
      <c r="V5" s="7">
        <v>203940.59959987001</v>
      </c>
      <c r="W5" s="7">
        <v>206684.11848557001</v>
      </c>
      <c r="X5" s="7">
        <v>211325.99198339001</v>
      </c>
      <c r="Y5" s="7">
        <v>219519.50593232</v>
      </c>
      <c r="Z5" s="7">
        <v>228013.07667255</v>
      </c>
      <c r="AA5" s="7">
        <v>236765.00903737999</v>
      </c>
      <c r="AB5" s="7">
        <v>245772.91879006001</v>
      </c>
      <c r="AC5" s="7">
        <v>253755.09411126</v>
      </c>
    </row>
    <row r="6" spans="1:29" x14ac:dyDescent="0.85">
      <c r="A6" t="s">
        <v>106</v>
      </c>
      <c r="B6" s="7">
        <v>409950380.25</v>
      </c>
      <c r="C6" s="7">
        <v>418180408.91494602</v>
      </c>
      <c r="D6" s="7">
        <v>426575038.15328699</v>
      </c>
      <c r="E6" s="7">
        <v>435137559.87063301</v>
      </c>
      <c r="F6" s="7">
        <v>443871332.21548402</v>
      </c>
      <c r="G6" s="7">
        <v>452779779.342969</v>
      </c>
      <c r="H6" s="7">
        <v>461866349.04769498</v>
      </c>
      <c r="I6" s="7">
        <v>471134697.82888401</v>
      </c>
      <c r="J6" s="7">
        <v>480588254.29045498</v>
      </c>
      <c r="K6" s="7">
        <v>490231251.85450602</v>
      </c>
      <c r="L6" s="7">
        <v>500066897.58789802</v>
      </c>
      <c r="M6" s="7">
        <v>510099979.86840099</v>
      </c>
      <c r="N6" s="7">
        <v>520484302.81162602</v>
      </c>
      <c r="O6" s="7">
        <v>532442983.85957998</v>
      </c>
      <c r="P6" s="7">
        <v>547428220.51819706</v>
      </c>
      <c r="Q6" s="7">
        <v>565986107.39552402</v>
      </c>
      <c r="R6" s="7">
        <v>588127236.33384097</v>
      </c>
      <c r="S6" s="7">
        <v>613545041.93156099</v>
      </c>
      <c r="T6" s="7">
        <v>641712415.30299401</v>
      </c>
      <c r="U6" s="7">
        <v>672300625.58545005</v>
      </c>
      <c r="V6" s="7">
        <v>703769899.28524101</v>
      </c>
      <c r="W6" s="7">
        <v>699646436.23533201</v>
      </c>
      <c r="X6" s="7">
        <v>710865912.14520705</v>
      </c>
      <c r="Y6" s="7">
        <v>724585049.76206398</v>
      </c>
      <c r="Z6" s="7">
        <v>744657931.58732998</v>
      </c>
      <c r="AA6" s="7">
        <v>766485773.55854499</v>
      </c>
      <c r="AB6" s="7">
        <v>789095366.10048199</v>
      </c>
      <c r="AC6" s="7">
        <v>811444748.237813</v>
      </c>
    </row>
    <row r="7" spans="1:29" x14ac:dyDescent="0.85">
      <c r="A7" t="s">
        <v>107</v>
      </c>
      <c r="B7" s="7">
        <v>409950380.25</v>
      </c>
      <c r="C7" s="7">
        <v>418180408.91500002</v>
      </c>
      <c r="D7" s="7">
        <v>426575038.15329999</v>
      </c>
      <c r="E7" s="7">
        <v>435137559.97636598</v>
      </c>
      <c r="F7" s="7">
        <v>443871332.23589301</v>
      </c>
      <c r="G7" s="7">
        <v>452779779.940611</v>
      </c>
      <c r="H7" s="7">
        <v>461866396.59942299</v>
      </c>
      <c r="I7" s="7">
        <v>471134745.59141099</v>
      </c>
      <c r="J7" s="7">
        <v>480588461.56323999</v>
      </c>
      <c r="K7" s="7">
        <v>490231251.854505</v>
      </c>
      <c r="L7" s="7">
        <v>500066897.95159501</v>
      </c>
      <c r="M7" s="7">
        <v>510099256.97062701</v>
      </c>
      <c r="N7" s="7">
        <v>520332263.170039</v>
      </c>
      <c r="O7" s="7">
        <v>530769929.49343997</v>
      </c>
      <c r="P7" s="7">
        <v>541416349.143309</v>
      </c>
      <c r="Q7" s="7">
        <v>552275697.18617499</v>
      </c>
      <c r="R7" s="7">
        <v>563352232.18989897</v>
      </c>
      <c r="S7" s="7">
        <v>574650297.89369595</v>
      </c>
      <c r="T7" s="7">
        <v>586174324.91156995</v>
      </c>
      <c r="U7" s="7">
        <v>597928832.46980202</v>
      </c>
      <c r="V7" s="7">
        <v>609918430.17919803</v>
      </c>
      <c r="W7" s="7">
        <v>622147819.84278202</v>
      </c>
      <c r="X7" s="7">
        <v>634621797.29963803</v>
      </c>
      <c r="Y7" s="7">
        <v>647345254.30562997</v>
      </c>
      <c r="Z7" s="7">
        <v>660323180.45174301</v>
      </c>
      <c r="AA7" s="7">
        <v>673560665.12077796</v>
      </c>
      <c r="AB7" s="7">
        <v>687062899.48319304</v>
      </c>
      <c r="AC7" s="7">
        <v>700835178.53285694</v>
      </c>
    </row>
    <row r="8" spans="1:29" x14ac:dyDescent="0.85">
      <c r="A8" t="s">
        <v>108</v>
      </c>
      <c r="B8" s="7">
        <v>34427.75582731</v>
      </c>
      <c r="C8" s="7">
        <v>34092.027897319997</v>
      </c>
      <c r="D8" s="7">
        <v>33782.577331469998</v>
      </c>
      <c r="E8" s="7">
        <v>33501.622560440002</v>
      </c>
      <c r="F8" s="7">
        <v>33356.695443080003</v>
      </c>
      <c r="G8" s="7">
        <v>34117.110401940001</v>
      </c>
      <c r="H8" s="7">
        <v>35464.604421709999</v>
      </c>
      <c r="I8" s="7">
        <v>36825.643589530002</v>
      </c>
      <c r="J8" s="7">
        <v>38660.05844406</v>
      </c>
      <c r="K8" s="7">
        <v>39983.06319809</v>
      </c>
      <c r="L8" s="7">
        <v>40259.593420489997</v>
      </c>
      <c r="M8" s="7">
        <v>44672.966183459997</v>
      </c>
      <c r="N8" s="7">
        <v>49555.342956319997</v>
      </c>
      <c r="O8" s="7">
        <v>54651.332155550001</v>
      </c>
      <c r="P8" s="7">
        <v>59877.246726140002</v>
      </c>
      <c r="Q8" s="7">
        <v>65060.246611529998</v>
      </c>
      <c r="R8" s="7">
        <v>70206.050732560005</v>
      </c>
      <c r="S8" s="7">
        <v>75173.516236779993</v>
      </c>
      <c r="T8" s="7">
        <v>79966.129262389994</v>
      </c>
      <c r="U8" s="7">
        <v>84727.418382909993</v>
      </c>
      <c r="V8" s="7">
        <v>89476.695875270001</v>
      </c>
      <c r="W8" s="7">
        <v>88689.791619559997</v>
      </c>
      <c r="X8" s="7">
        <v>88928.608890439995</v>
      </c>
      <c r="Y8" s="7">
        <v>89920.278067909996</v>
      </c>
      <c r="Z8" s="7">
        <v>92236.20825666</v>
      </c>
      <c r="AA8" s="7">
        <v>94840.471659880001</v>
      </c>
      <c r="AB8" s="7">
        <v>97516.725910559995</v>
      </c>
      <c r="AC8" s="7">
        <v>100003.11873538001</v>
      </c>
    </row>
    <row r="9" spans="1:29" x14ac:dyDescent="0.85">
      <c r="A9" t="s">
        <v>109</v>
      </c>
      <c r="B9" s="7">
        <v>6426.6911513599998</v>
      </c>
      <c r="C9" s="7">
        <v>6757.3356525099998</v>
      </c>
      <c r="D9" s="7">
        <v>7087.1535235299998</v>
      </c>
      <c r="E9" s="7">
        <v>7416.5074231999997</v>
      </c>
      <c r="F9" s="7">
        <v>7722.6896908999997</v>
      </c>
      <c r="G9" s="7">
        <v>7745.5919628600004</v>
      </c>
      <c r="H9" s="7">
        <v>7772.9475604600002</v>
      </c>
      <c r="I9" s="7">
        <v>7805.13983517</v>
      </c>
      <c r="J9" s="7">
        <v>7799.6585395299999</v>
      </c>
      <c r="K9" s="7">
        <v>7824.39406022</v>
      </c>
      <c r="L9" s="7">
        <v>7837.9286034500001</v>
      </c>
      <c r="M9" s="7">
        <v>7361.1418085900004</v>
      </c>
      <c r="N9" s="7">
        <v>6825.7259912099998</v>
      </c>
      <c r="O9" s="7">
        <v>6302.83148807</v>
      </c>
      <c r="P9" s="7">
        <v>5834.5846889599998</v>
      </c>
      <c r="Q9" s="7">
        <v>5454.1126391300004</v>
      </c>
      <c r="R9" s="7">
        <v>5160.7668730400001</v>
      </c>
      <c r="S9" s="7">
        <v>4978.9044391699999</v>
      </c>
      <c r="T9" s="7">
        <v>4896.6957269300001</v>
      </c>
      <c r="U9" s="7">
        <v>4875.7311694</v>
      </c>
      <c r="V9" s="7">
        <v>4904.14685672</v>
      </c>
      <c r="W9" s="7">
        <v>5068.1690882100002</v>
      </c>
      <c r="X9" s="7">
        <v>5146.2104067399996</v>
      </c>
      <c r="Y9" s="7">
        <v>5156.86076555</v>
      </c>
      <c r="Z9" s="7">
        <v>5147.67869324</v>
      </c>
      <c r="AA9" s="7">
        <v>5138.0572440799997</v>
      </c>
      <c r="AB9" s="7">
        <v>5131.5610655700002</v>
      </c>
      <c r="AC9" s="7">
        <v>5151.1516293100003</v>
      </c>
    </row>
    <row r="10" spans="1:29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2E-8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</row>
    <row r="11" spans="1:29" x14ac:dyDescent="0.85">
      <c r="A11" t="s">
        <v>37</v>
      </c>
      <c r="B11" s="7">
        <v>0</v>
      </c>
      <c r="C11" s="7">
        <v>3040.6185719499999</v>
      </c>
      <c r="D11" s="7">
        <v>6329.5814366799996</v>
      </c>
      <c r="E11" s="7">
        <v>9865.3363285600008</v>
      </c>
      <c r="F11" s="7">
        <v>13614.60425421</v>
      </c>
      <c r="G11" s="7">
        <v>16979.471010339999</v>
      </c>
      <c r="H11" s="7">
        <v>19718.125803399998</v>
      </c>
      <c r="I11" s="7">
        <v>22257.765757720001</v>
      </c>
      <c r="J11" s="7">
        <v>24133.217943489999</v>
      </c>
      <c r="K11" s="7">
        <v>27210.875618990001</v>
      </c>
      <c r="L11" s="7">
        <v>30328.571574689999</v>
      </c>
      <c r="M11" s="7">
        <v>29896.128402539998</v>
      </c>
      <c r="N11" s="7">
        <v>28520.411042119998</v>
      </c>
      <c r="O11" s="7">
        <v>26471.059073479999</v>
      </c>
      <c r="P11" s="7">
        <v>24016.813645509999</v>
      </c>
      <c r="Q11" s="7">
        <v>21501.81666208</v>
      </c>
      <c r="R11" s="7">
        <v>19035.35383701</v>
      </c>
      <c r="S11" s="7">
        <v>16838.17768587</v>
      </c>
      <c r="T11" s="7">
        <v>14945.772929389999</v>
      </c>
      <c r="U11" s="7">
        <v>13244.36501136</v>
      </c>
      <c r="V11" s="7">
        <v>11723.950054929999</v>
      </c>
      <c r="W11" s="7">
        <v>14425.13078177</v>
      </c>
      <c r="X11" s="7">
        <v>16577.51733173</v>
      </c>
      <c r="Y11" s="7">
        <v>18234.707163120001</v>
      </c>
      <c r="Z11" s="7">
        <v>18702.343441749999</v>
      </c>
      <c r="AA11" s="7">
        <v>18941.69042418</v>
      </c>
      <c r="AB11" s="7">
        <v>19167.66129095</v>
      </c>
      <c r="AC11" s="7">
        <v>19621.145154419999</v>
      </c>
    </row>
    <row r="12" spans="1:29" x14ac:dyDescent="0.85">
      <c r="A12" t="s">
        <v>111</v>
      </c>
      <c r="B12" s="7">
        <v>40854.446978669999</v>
      </c>
      <c r="C12" s="7">
        <v>40849.363549840004</v>
      </c>
      <c r="D12" s="7">
        <v>40869.730855000002</v>
      </c>
      <c r="E12" s="7">
        <v>40918.129983639999</v>
      </c>
      <c r="F12" s="7">
        <v>41079.385133980002</v>
      </c>
      <c r="G12" s="7">
        <v>41862.702364800003</v>
      </c>
      <c r="H12" s="7">
        <v>43237.55198217</v>
      </c>
      <c r="I12" s="7">
        <v>44630.783424699999</v>
      </c>
      <c r="J12" s="7">
        <v>46459.716983589999</v>
      </c>
      <c r="K12" s="7">
        <v>47807.457258310002</v>
      </c>
      <c r="L12" s="7">
        <v>48097.522023940001</v>
      </c>
      <c r="M12" s="7">
        <v>52034.107992049998</v>
      </c>
      <c r="N12" s="7">
        <v>56381.068947530002</v>
      </c>
      <c r="O12" s="7">
        <v>60954.163643619999</v>
      </c>
      <c r="P12" s="7">
        <v>65711.831415089997</v>
      </c>
      <c r="Q12" s="7">
        <v>70514.359250659996</v>
      </c>
      <c r="R12" s="7">
        <v>75366.817605599994</v>
      </c>
      <c r="S12" s="7">
        <v>80152.420675939997</v>
      </c>
      <c r="T12" s="7">
        <v>84862.824989319997</v>
      </c>
      <c r="U12" s="7">
        <v>89603.149552310002</v>
      </c>
      <c r="V12" s="7">
        <v>94380.842732019999</v>
      </c>
      <c r="W12" s="7">
        <v>93757.960707770006</v>
      </c>
      <c r="X12" s="7">
        <v>94074.819297189999</v>
      </c>
      <c r="Y12" s="7">
        <v>95077.138833460005</v>
      </c>
      <c r="Z12" s="7">
        <v>97383.886949899999</v>
      </c>
      <c r="AA12" s="7">
        <v>99978.528903960003</v>
      </c>
      <c r="AB12" s="7">
        <v>102648.28697613</v>
      </c>
      <c r="AC12" s="7">
        <v>105154.27036469</v>
      </c>
    </row>
    <row r="13" spans="1:29" x14ac:dyDescent="0.85">
      <c r="A13" t="s">
        <v>112</v>
      </c>
      <c r="B13" s="7">
        <v>40854.446978669999</v>
      </c>
      <c r="C13" s="7">
        <v>43889.982121790003</v>
      </c>
      <c r="D13" s="7">
        <v>47199.312291670001</v>
      </c>
      <c r="E13" s="7">
        <v>50783.466312199998</v>
      </c>
      <c r="F13" s="7">
        <v>54693.989388189999</v>
      </c>
      <c r="G13" s="7">
        <v>58842.173375140002</v>
      </c>
      <c r="H13" s="7">
        <v>62955.677785569998</v>
      </c>
      <c r="I13" s="7">
        <v>66888.54918242</v>
      </c>
      <c r="J13" s="7">
        <v>70592.934927080001</v>
      </c>
      <c r="K13" s="7">
        <v>75018.332877299996</v>
      </c>
      <c r="L13" s="7">
        <v>78426.093598630003</v>
      </c>
      <c r="M13" s="7">
        <v>81930.23639459</v>
      </c>
      <c r="N13" s="7">
        <v>84901.479989640007</v>
      </c>
      <c r="O13" s="7">
        <v>87425.222717099998</v>
      </c>
      <c r="P13" s="7">
        <v>89728.6450606</v>
      </c>
      <c r="Q13" s="7">
        <v>92016.175912749997</v>
      </c>
      <c r="R13" s="7">
        <v>94402.171442609993</v>
      </c>
      <c r="S13" s="7">
        <v>96990.59836181</v>
      </c>
      <c r="T13" s="7">
        <v>99808.597918700005</v>
      </c>
      <c r="U13" s="7">
        <v>102847.51456367</v>
      </c>
      <c r="V13" s="7">
        <v>106104.79278695</v>
      </c>
      <c r="W13" s="7">
        <v>108183.09148954001</v>
      </c>
      <c r="X13" s="7">
        <v>110652.33662892001</v>
      </c>
      <c r="Y13" s="7">
        <v>113311.84599658</v>
      </c>
      <c r="Z13" s="7">
        <v>116086.23039164999</v>
      </c>
      <c r="AA13" s="7">
        <v>118920.21932814</v>
      </c>
      <c r="AB13" s="7">
        <v>121815.94826708001</v>
      </c>
      <c r="AC13" s="7">
        <v>124775.41551911</v>
      </c>
    </row>
    <row r="14" spans="1:29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</row>
    <row r="15" spans="1:29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</row>
    <row r="16" spans="1:29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</row>
    <row r="17" spans="1:29" x14ac:dyDescent="0.85">
      <c r="A17" t="s">
        <v>115</v>
      </c>
      <c r="B17" s="7">
        <v>13741</v>
      </c>
      <c r="C17" s="7">
        <v>13282.96666667</v>
      </c>
      <c r="D17" s="7">
        <v>12840.201175050001</v>
      </c>
      <c r="E17" s="7">
        <v>12412.194469210001</v>
      </c>
      <c r="F17" s="7">
        <v>12647.26436829</v>
      </c>
      <c r="G17" s="7">
        <v>12852.336083939999</v>
      </c>
      <c r="H17" s="7">
        <v>13383.64686501</v>
      </c>
      <c r="I17" s="7">
        <v>13611.29038973</v>
      </c>
      <c r="J17" s="7">
        <v>14913.745206580001</v>
      </c>
      <c r="K17" s="7">
        <v>14416.620366360001</v>
      </c>
      <c r="L17" s="7">
        <v>14049.826525230001</v>
      </c>
      <c r="M17" s="7">
        <v>14879.44618316</v>
      </c>
      <c r="N17" s="7">
        <v>17234.79724566</v>
      </c>
      <c r="O17" s="7">
        <v>19658.829979300001</v>
      </c>
      <c r="P17" s="7">
        <v>22157.41897798</v>
      </c>
      <c r="Q17" s="7">
        <v>24734.085883060001</v>
      </c>
      <c r="R17" s="7">
        <v>27390.955684969998</v>
      </c>
      <c r="S17" s="7">
        <v>28871.103751219998</v>
      </c>
      <c r="T17" s="7">
        <v>29140.932934330001</v>
      </c>
      <c r="U17" s="7">
        <v>29448.09302507</v>
      </c>
      <c r="V17" s="7">
        <v>30681.762686189999</v>
      </c>
      <c r="W17" s="7">
        <v>33745.613506529997</v>
      </c>
      <c r="X17" s="7">
        <v>33413.769896450001</v>
      </c>
      <c r="Y17" s="7">
        <v>36566.78384009</v>
      </c>
      <c r="Z17" s="7">
        <v>39816.04120842</v>
      </c>
      <c r="AA17" s="7">
        <v>43165.335673790003</v>
      </c>
      <c r="AB17" s="7">
        <v>46617.080079259998</v>
      </c>
      <c r="AC17" s="7">
        <v>48938.297085999999</v>
      </c>
    </row>
    <row r="18" spans="1:29" x14ac:dyDescent="0.85">
      <c r="A18" t="s">
        <v>116</v>
      </c>
      <c r="B18" s="7">
        <v>19768701.75</v>
      </c>
      <c r="C18" s="7">
        <v>19109744.916027602</v>
      </c>
      <c r="D18" s="7">
        <v>18472753.5108114</v>
      </c>
      <c r="E18" s="7">
        <v>17856863.0034617</v>
      </c>
      <c r="F18" s="7">
        <v>18195047.439299401</v>
      </c>
      <c r="G18" s="7">
        <v>18490074.8449152</v>
      </c>
      <c r="H18" s="7">
        <v>19254447.644040398</v>
      </c>
      <c r="I18" s="7">
        <v>19581948.090856999</v>
      </c>
      <c r="J18" s="7">
        <v>21455730.9493412</v>
      </c>
      <c r="K18" s="7">
        <v>20740539.747901302</v>
      </c>
      <c r="L18" s="7">
        <v>20212850.036450401</v>
      </c>
      <c r="M18" s="7">
        <v>21406288.093047</v>
      </c>
      <c r="N18" s="7">
        <v>24774564.417686101</v>
      </c>
      <c r="O18" s="7">
        <v>28044738.274488401</v>
      </c>
      <c r="P18" s="7">
        <v>30980462.622509699</v>
      </c>
      <c r="Q18" s="7">
        <v>33451814.356264502</v>
      </c>
      <c r="R18" s="7">
        <v>35410988.773789801</v>
      </c>
      <c r="S18" s="7">
        <v>35288268.848607697</v>
      </c>
      <c r="T18" s="7">
        <v>33343647.960709199</v>
      </c>
      <c r="U18" s="7">
        <v>31286376.607152801</v>
      </c>
      <c r="V18" s="7">
        <v>30175316.3324355</v>
      </c>
      <c r="W18" s="7">
        <v>35616751.931702897</v>
      </c>
      <c r="X18" s="7">
        <v>36013871.153835401</v>
      </c>
      <c r="Y18" s="7">
        <v>39994311.784789801</v>
      </c>
      <c r="Z18" s="7">
        <v>43112259.882086597</v>
      </c>
      <c r="AA18" s="7">
        <v>46084742.187060699</v>
      </c>
      <c r="AB18" s="7">
        <v>49074208.517221503</v>
      </c>
      <c r="AC18" s="7">
        <v>50886063.281766199</v>
      </c>
    </row>
    <row r="19" spans="1:29" x14ac:dyDescent="0.85">
      <c r="A19" t="s">
        <v>117</v>
      </c>
      <c r="B19" s="7">
        <v>19768701.75</v>
      </c>
      <c r="C19" s="7">
        <v>19109744.916027602</v>
      </c>
      <c r="D19" s="7">
        <v>18472753.5108114</v>
      </c>
      <c r="E19" s="7">
        <v>17856863.0034617</v>
      </c>
      <c r="F19" s="7">
        <v>18195047.439299401</v>
      </c>
      <c r="G19" s="7">
        <v>18490074.8449152</v>
      </c>
      <c r="H19" s="7">
        <v>19254447.644040398</v>
      </c>
      <c r="I19" s="7">
        <v>19581948.090856999</v>
      </c>
      <c r="J19" s="7">
        <v>21455730.9493412</v>
      </c>
      <c r="K19" s="7">
        <v>20740539.747901302</v>
      </c>
      <c r="L19" s="7">
        <v>20212850.036450401</v>
      </c>
      <c r="M19" s="7">
        <v>21406386.3198356</v>
      </c>
      <c r="N19" s="7">
        <v>24794923.375719901</v>
      </c>
      <c r="O19" s="7">
        <v>28282269.6458348</v>
      </c>
      <c r="P19" s="7">
        <v>31876876.6427451</v>
      </c>
      <c r="Q19" s="7">
        <v>35583810.792636603</v>
      </c>
      <c r="R19" s="7">
        <v>39406129.223109402</v>
      </c>
      <c r="S19" s="7">
        <v>41535551.3082297</v>
      </c>
      <c r="T19" s="7">
        <v>41923742.351291202</v>
      </c>
      <c r="U19" s="7">
        <v>42365639.682914197</v>
      </c>
      <c r="V19" s="7">
        <v>44140464.433236599</v>
      </c>
      <c r="W19" s="7">
        <v>48548288.049730197</v>
      </c>
      <c r="X19" s="7">
        <v>48070879.655119397</v>
      </c>
      <c r="Y19" s="7">
        <v>52606978.224819496</v>
      </c>
      <c r="Z19" s="7">
        <v>57281537.857127801</v>
      </c>
      <c r="AA19" s="7">
        <v>62100016.336906403</v>
      </c>
      <c r="AB19" s="7">
        <v>67065884.912345499</v>
      </c>
      <c r="AC19" s="7">
        <v>70405314.8458765</v>
      </c>
    </row>
    <row r="20" spans="1:29" x14ac:dyDescent="0.85">
      <c r="A20" t="s">
        <v>118</v>
      </c>
      <c r="B20" s="7">
        <v>2805.33305268</v>
      </c>
      <c r="C20" s="7">
        <v>2711.8219509300002</v>
      </c>
      <c r="D20" s="7">
        <v>2621.4278989499999</v>
      </c>
      <c r="E20" s="7">
        <v>2534.0469689800002</v>
      </c>
      <c r="F20" s="7">
        <v>2582.0383347900001</v>
      </c>
      <c r="G20" s="7">
        <v>2623.9053358900001</v>
      </c>
      <c r="H20" s="7">
        <v>2732.3766040199998</v>
      </c>
      <c r="I20" s="7">
        <v>2778.85181719</v>
      </c>
      <c r="J20" s="7">
        <v>3044.7581957100001</v>
      </c>
      <c r="K20" s="7">
        <v>2943.26625586</v>
      </c>
      <c r="L20" s="7">
        <v>2868.3824129</v>
      </c>
      <c r="M20" s="7">
        <v>3037.7557807500002</v>
      </c>
      <c r="N20" s="7">
        <v>3518.6191957999999</v>
      </c>
      <c r="O20" s="7">
        <v>4013.5045133499998</v>
      </c>
      <c r="P20" s="7">
        <v>4523.6110778700004</v>
      </c>
      <c r="Q20" s="7">
        <v>5049.6578601000001</v>
      </c>
      <c r="R20" s="7">
        <v>5592.0786935200003</v>
      </c>
      <c r="S20" s="7">
        <v>5894.2625442600001</v>
      </c>
      <c r="T20" s="7">
        <v>5949.3502908600003</v>
      </c>
      <c r="U20" s="7">
        <v>6012.0594353899996</v>
      </c>
      <c r="V20" s="7">
        <v>6263.9227842299997</v>
      </c>
      <c r="W20" s="7">
        <v>6889.4319884200004</v>
      </c>
      <c r="X20" s="7">
        <v>6821.6835095899996</v>
      </c>
      <c r="Y20" s="7">
        <v>7465.3960655600004</v>
      </c>
      <c r="Z20" s="7">
        <v>8128.75747245</v>
      </c>
      <c r="AA20" s="7">
        <v>8812.5422382500001</v>
      </c>
      <c r="AB20" s="7">
        <v>9517.2429638199992</v>
      </c>
      <c r="AC20" s="7">
        <v>9991.1376433599999</v>
      </c>
    </row>
    <row r="21" spans="1:29" x14ac:dyDescent="0.85">
      <c r="A21" t="s">
        <v>119</v>
      </c>
      <c r="B21" s="7">
        <v>0</v>
      </c>
      <c r="C21" s="7">
        <v>1.9109744900000001</v>
      </c>
      <c r="D21" s="7">
        <v>3.6945507000000002</v>
      </c>
      <c r="E21" s="7">
        <v>5.3570589000000002</v>
      </c>
      <c r="F21" s="7">
        <v>7.2780189799999997</v>
      </c>
      <c r="G21" s="7">
        <v>9.2450374199999992</v>
      </c>
      <c r="H21" s="7">
        <v>11.55266859</v>
      </c>
      <c r="I21" s="7">
        <v>13.70736366</v>
      </c>
      <c r="J21" s="7">
        <v>17.16458476</v>
      </c>
      <c r="K21" s="7">
        <v>18.666485770000001</v>
      </c>
      <c r="L21" s="7">
        <v>20.212850039999999</v>
      </c>
      <c r="M21" s="7">
        <v>23.547024950000001</v>
      </c>
      <c r="N21" s="7">
        <v>29.75390805</v>
      </c>
      <c r="O21" s="7">
        <v>36.766950540000003</v>
      </c>
      <c r="P21" s="7">
        <v>44.6276273</v>
      </c>
      <c r="Q21" s="7">
        <v>53.375716189999999</v>
      </c>
      <c r="R21" s="7">
        <v>63.049806760000003</v>
      </c>
      <c r="S21" s="7">
        <v>70.610437219999994</v>
      </c>
      <c r="T21" s="7">
        <v>75.462736230000004</v>
      </c>
      <c r="U21" s="7">
        <v>80.494715400000004</v>
      </c>
      <c r="V21" s="7">
        <v>88.280928869999997</v>
      </c>
      <c r="W21" s="7">
        <v>101.9514049</v>
      </c>
      <c r="X21" s="7">
        <v>105.75593524</v>
      </c>
      <c r="Y21" s="7">
        <v>120.99604992</v>
      </c>
      <c r="Z21" s="7">
        <v>137.47569085999999</v>
      </c>
      <c r="AA21" s="7">
        <v>155.25004084</v>
      </c>
      <c r="AB21" s="7">
        <v>174.37130077</v>
      </c>
      <c r="AC21" s="7">
        <v>190.09435008</v>
      </c>
    </row>
    <row r="22" spans="1:29" x14ac:dyDescent="0.85">
      <c r="A22" t="s">
        <v>120</v>
      </c>
      <c r="B22" s="7">
        <v>9.8843509999999996E-2</v>
      </c>
      <c r="C22" s="7">
        <v>9.5548720000000004E-2</v>
      </c>
      <c r="D22" s="7">
        <v>9.2363769999999998E-2</v>
      </c>
      <c r="E22" s="7">
        <v>8.928432E-2</v>
      </c>
      <c r="F22" s="7">
        <v>9.0975239999999999E-2</v>
      </c>
      <c r="G22" s="7">
        <v>9.2450370000000004E-2</v>
      </c>
      <c r="H22" s="7">
        <v>9.6272239999999995E-2</v>
      </c>
      <c r="I22" s="7">
        <v>9.7909739999999995E-2</v>
      </c>
      <c r="J22" s="7">
        <v>0.10727865</v>
      </c>
      <c r="K22" s="7">
        <v>0.10370269999999999</v>
      </c>
      <c r="L22" s="7">
        <v>0.10106424999999999</v>
      </c>
      <c r="M22" s="7">
        <v>0.10703193</v>
      </c>
      <c r="N22" s="7">
        <v>0.12397461999999999</v>
      </c>
      <c r="O22" s="7">
        <v>0.14141134999999999</v>
      </c>
      <c r="P22" s="7">
        <v>0.15938437999999999</v>
      </c>
      <c r="Q22" s="7">
        <v>0.17791905</v>
      </c>
      <c r="R22" s="7">
        <v>0.19703065</v>
      </c>
      <c r="S22" s="7">
        <v>0.20767775999999999</v>
      </c>
      <c r="T22" s="7">
        <v>0.20961871000000001</v>
      </c>
      <c r="U22" s="7">
        <v>0.21182819999999999</v>
      </c>
      <c r="V22" s="7">
        <v>0.22070232000000001</v>
      </c>
      <c r="W22" s="7">
        <v>0.24274144</v>
      </c>
      <c r="X22" s="7">
        <v>0.2403544</v>
      </c>
      <c r="Y22" s="7">
        <v>0.26303489000000002</v>
      </c>
      <c r="Z22" s="7">
        <v>0.28640768999999999</v>
      </c>
      <c r="AA22" s="7">
        <v>0.31050008000000001</v>
      </c>
      <c r="AB22" s="7">
        <v>0.33532941999999999</v>
      </c>
      <c r="AC22" s="7">
        <v>0.35202656999999998</v>
      </c>
    </row>
    <row r="23" spans="1:29" x14ac:dyDescent="0.85">
      <c r="A23" t="s">
        <v>121</v>
      </c>
      <c r="B23" s="7">
        <v>2805.33305268</v>
      </c>
      <c r="C23" s="7">
        <v>2711.8219509300002</v>
      </c>
      <c r="D23" s="7">
        <v>2621.4278989499999</v>
      </c>
      <c r="E23" s="7">
        <v>2534.0469689800002</v>
      </c>
      <c r="F23" s="7">
        <v>2582.0383347900001</v>
      </c>
      <c r="G23" s="7">
        <v>2623.9053358900001</v>
      </c>
      <c r="H23" s="7">
        <v>2732.3766040199998</v>
      </c>
      <c r="I23" s="7">
        <v>2778.85181719</v>
      </c>
      <c r="J23" s="7">
        <v>3044.7581957100001</v>
      </c>
      <c r="K23" s="7">
        <v>2943.26625586</v>
      </c>
      <c r="L23" s="7">
        <v>2868.3824129</v>
      </c>
      <c r="M23" s="7">
        <v>3037.7557807500002</v>
      </c>
      <c r="N23" s="7">
        <v>3518.6191957999999</v>
      </c>
      <c r="O23" s="7">
        <v>4013.5045133499998</v>
      </c>
      <c r="P23" s="7">
        <v>4523.6110778700004</v>
      </c>
      <c r="Q23" s="7">
        <v>5049.6578601000001</v>
      </c>
      <c r="R23" s="7">
        <v>5592.0786935200003</v>
      </c>
      <c r="S23" s="7">
        <v>5894.2625442600001</v>
      </c>
      <c r="T23" s="7">
        <v>5949.3502908600003</v>
      </c>
      <c r="U23" s="7">
        <v>6012.0594353899996</v>
      </c>
      <c r="V23" s="7">
        <v>6263.9227842299997</v>
      </c>
      <c r="W23" s="7">
        <v>6889.4319884200004</v>
      </c>
      <c r="X23" s="7">
        <v>6821.6835095899996</v>
      </c>
      <c r="Y23" s="7">
        <v>7465.3960655600004</v>
      </c>
      <c r="Z23" s="7">
        <v>8128.75747245</v>
      </c>
      <c r="AA23" s="7">
        <v>8812.5422382500001</v>
      </c>
      <c r="AB23" s="7">
        <v>9517.2429638199992</v>
      </c>
      <c r="AC23" s="7">
        <v>9991.1376433599999</v>
      </c>
    </row>
    <row r="24" spans="1:29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</row>
    <row r="25" spans="1:29" x14ac:dyDescent="0.85">
      <c r="A25" t="s">
        <v>123</v>
      </c>
      <c r="B25" s="7">
        <v>1</v>
      </c>
      <c r="C25" s="7">
        <v>1.03333333</v>
      </c>
      <c r="D25" s="7">
        <v>0.99999998999999995</v>
      </c>
      <c r="E25" s="7">
        <v>1</v>
      </c>
      <c r="F25" s="7">
        <v>0.99999260000000001</v>
      </c>
      <c r="G25" s="7">
        <v>1.0540744399999999</v>
      </c>
      <c r="H25" s="7">
        <v>1.0512566000000001</v>
      </c>
      <c r="I25" s="7">
        <v>1.07724789</v>
      </c>
      <c r="J25" s="7">
        <v>1.0520783600000001</v>
      </c>
      <c r="K25" s="7">
        <v>1.1334716899999999</v>
      </c>
      <c r="L25" s="7">
        <v>0.99999998999999995</v>
      </c>
      <c r="M25" s="7">
        <v>1.0081629999999999</v>
      </c>
      <c r="N25" s="7">
        <v>1.0955672999999999</v>
      </c>
      <c r="O25" s="7">
        <v>1.1799702700000001</v>
      </c>
      <c r="P25" s="7">
        <v>1.1659529799999999</v>
      </c>
      <c r="Q25" s="7">
        <v>1.1547718600000001</v>
      </c>
      <c r="R25" s="7">
        <v>1.14559415</v>
      </c>
      <c r="S25" s="7">
        <v>1.1379271900000001</v>
      </c>
      <c r="T25" s="7">
        <v>1.09038397</v>
      </c>
      <c r="U25" s="7">
        <v>1.0441510300000001</v>
      </c>
      <c r="V25" s="7">
        <v>1.0453867299999999</v>
      </c>
      <c r="W25" s="7">
        <v>1.07782037</v>
      </c>
      <c r="X25" s="7">
        <v>1.1285489099999999</v>
      </c>
      <c r="Y25" s="7">
        <v>1.02430998</v>
      </c>
      <c r="Z25" s="7">
        <v>1.126395</v>
      </c>
      <c r="AA25" s="7">
        <v>1.12149265</v>
      </c>
      <c r="AB25" s="7">
        <v>1.11721055</v>
      </c>
      <c r="AC25" s="7">
        <v>1.11343685</v>
      </c>
    </row>
    <row r="26" spans="1:29" x14ac:dyDescent="0.85">
      <c r="A26" t="s">
        <v>124</v>
      </c>
      <c r="B26" s="7">
        <v>1</v>
      </c>
      <c r="C26" s="7">
        <v>0.99999998999999995</v>
      </c>
      <c r="D26" s="7">
        <v>1</v>
      </c>
      <c r="E26" s="7">
        <v>0.99999260000000001</v>
      </c>
      <c r="F26" s="7">
        <v>1.0540744399999999</v>
      </c>
      <c r="G26" s="7">
        <v>1.0512566000000001</v>
      </c>
      <c r="H26" s="7">
        <v>1.07724789</v>
      </c>
      <c r="I26" s="7">
        <v>1.0520783600000001</v>
      </c>
      <c r="J26" s="7">
        <v>1.1334716899999999</v>
      </c>
      <c r="K26" s="7">
        <v>0.99999998999999995</v>
      </c>
      <c r="L26" s="7">
        <v>1.0081629999999999</v>
      </c>
      <c r="M26" s="7">
        <v>1.0955672999999999</v>
      </c>
      <c r="N26" s="7">
        <v>1.1982368400000001</v>
      </c>
      <c r="O26" s="7">
        <v>1.1799802699999999</v>
      </c>
      <c r="P26" s="7">
        <v>1.16596298</v>
      </c>
      <c r="Q26" s="7">
        <v>1.1547818599999999</v>
      </c>
      <c r="R26" s="7">
        <v>1.14560415</v>
      </c>
      <c r="S26" s="7">
        <v>1.09038397</v>
      </c>
      <c r="T26" s="7">
        <v>1.0441510300000001</v>
      </c>
      <c r="U26" s="7">
        <v>1.0453867299999999</v>
      </c>
      <c r="V26" s="7">
        <v>1.07782037</v>
      </c>
      <c r="W26" s="7">
        <v>1.1377851999999999</v>
      </c>
      <c r="X26" s="7">
        <v>1.02430998</v>
      </c>
      <c r="Y26" s="7">
        <v>1.13209936</v>
      </c>
      <c r="Z26" s="7">
        <v>1.1264050000000001</v>
      </c>
      <c r="AA26" s="7">
        <v>1.1215026400000001</v>
      </c>
      <c r="AB26" s="7">
        <v>1.1172058499999999</v>
      </c>
      <c r="AC26" s="7">
        <v>1.08599304</v>
      </c>
    </row>
    <row r="27" spans="1:29" x14ac:dyDescent="0.85">
      <c r="A27" t="s">
        <v>125</v>
      </c>
      <c r="B27" s="7">
        <v>1</v>
      </c>
      <c r="C27" s="7">
        <v>1.1627626900000001</v>
      </c>
      <c r="D27" s="7">
        <v>1.1680190100000001</v>
      </c>
      <c r="E27" s="7">
        <v>1.173576</v>
      </c>
      <c r="F27" s="7">
        <v>1.1794704199999999</v>
      </c>
      <c r="G27" s="7">
        <v>1.17795092</v>
      </c>
      <c r="H27" s="7">
        <v>1.18075847</v>
      </c>
      <c r="I27" s="7">
        <v>1.18311353</v>
      </c>
      <c r="J27" s="7">
        <v>1.18902869</v>
      </c>
      <c r="K27" s="7">
        <v>1.1838447400000001</v>
      </c>
      <c r="L27" s="7">
        <v>1.19771673</v>
      </c>
      <c r="M27" s="7">
        <v>1.2036684900000001</v>
      </c>
      <c r="N27" s="7">
        <v>1.1982368400000001</v>
      </c>
      <c r="O27" s="7">
        <v>1.1799802699999999</v>
      </c>
      <c r="P27" s="7">
        <v>1.16596298</v>
      </c>
      <c r="Q27" s="7">
        <v>1.1547818599999999</v>
      </c>
      <c r="R27" s="7">
        <v>1.14560415</v>
      </c>
      <c r="S27" s="7">
        <v>1.1379371899999999</v>
      </c>
      <c r="T27" s="7">
        <v>1.1355862400000001</v>
      </c>
      <c r="U27" s="7">
        <v>1.1375676400000001</v>
      </c>
      <c r="V27" s="7">
        <v>1.13943258</v>
      </c>
      <c r="W27" s="7">
        <v>1.1378145900000001</v>
      </c>
      <c r="X27" s="7">
        <v>1.12855891</v>
      </c>
      <c r="Y27" s="7">
        <v>1.13209936</v>
      </c>
      <c r="Z27" s="7">
        <v>1.1264050000000001</v>
      </c>
      <c r="AA27" s="7">
        <v>1.12150265</v>
      </c>
      <c r="AB27" s="7">
        <v>1.1172205500000001</v>
      </c>
      <c r="AC27" s="7">
        <v>1.1134468500000001</v>
      </c>
    </row>
    <row r="28" spans="1:29" x14ac:dyDescent="0.85">
      <c r="A28" t="s">
        <v>126</v>
      </c>
      <c r="B28" s="7">
        <v>26871</v>
      </c>
      <c r="C28" s="7">
        <v>25796.1600583</v>
      </c>
      <c r="D28" s="7">
        <v>24764.313665130001</v>
      </c>
      <c r="E28" s="7">
        <v>23773.74113368</v>
      </c>
      <c r="F28" s="7">
        <v>22822.851409210001</v>
      </c>
      <c r="G28" s="7">
        <v>25081.275143859999</v>
      </c>
      <c r="H28" s="7">
        <v>27385.50275267</v>
      </c>
      <c r="I28" s="7">
        <v>29802.69395135</v>
      </c>
      <c r="J28" s="7">
        <v>32330.566508970001</v>
      </c>
      <c r="K28" s="7">
        <v>35001.290200869997</v>
      </c>
      <c r="L28" s="7">
        <v>37778.641333480002</v>
      </c>
      <c r="M28" s="7">
        <v>40523.44696786</v>
      </c>
      <c r="N28" s="7">
        <v>43309.060917050003</v>
      </c>
      <c r="O28" s="7">
        <v>46180.614569210004</v>
      </c>
      <c r="P28" s="7">
        <v>49145.995960799999</v>
      </c>
      <c r="Q28" s="7">
        <v>52209.71519191</v>
      </c>
      <c r="R28" s="7">
        <v>55374.281572649998</v>
      </c>
      <c r="S28" s="7">
        <v>58642.280569410002</v>
      </c>
      <c r="T28" s="7">
        <v>61988.276159950001</v>
      </c>
      <c r="U28" s="7">
        <v>65386.344957200003</v>
      </c>
      <c r="V28" s="7">
        <v>68217.483527570002</v>
      </c>
      <c r="W28" s="7">
        <v>65488.785507029999</v>
      </c>
      <c r="X28" s="7">
        <v>69138.789661930001</v>
      </c>
      <c r="Y28" s="7">
        <v>72825.440982350003</v>
      </c>
      <c r="Z28" s="7">
        <v>76634.10588042</v>
      </c>
      <c r="AA28" s="7">
        <v>80569.522968539997</v>
      </c>
      <c r="AB28" s="7">
        <v>84635.321171839998</v>
      </c>
      <c r="AC28" s="7">
        <v>88765.851521699995</v>
      </c>
    </row>
    <row r="29" spans="1:29" x14ac:dyDescent="0.85">
      <c r="A29" t="s">
        <v>127</v>
      </c>
      <c r="B29" s="7">
        <v>99460984</v>
      </c>
      <c r="C29" s="7">
        <v>95482544.855785802</v>
      </c>
      <c r="D29" s="7">
        <v>91663243.095483303</v>
      </c>
      <c r="E29" s="7">
        <v>87996713.427759901</v>
      </c>
      <c r="F29" s="7">
        <v>84477066.683255196</v>
      </c>
      <c r="G29" s="7">
        <v>92836452.152256697</v>
      </c>
      <c r="H29" s="7">
        <v>101365377.21392199</v>
      </c>
      <c r="I29" s="7">
        <v>110312428.50105201</v>
      </c>
      <c r="J29" s="7">
        <v>119669158.50767501</v>
      </c>
      <c r="K29" s="7">
        <v>129554641.23584799</v>
      </c>
      <c r="L29" s="7">
        <v>139834797.41024101</v>
      </c>
      <c r="M29" s="7">
        <v>149993800.597747</v>
      </c>
      <c r="N29" s="7">
        <v>160173603.60966399</v>
      </c>
      <c r="O29" s="7">
        <v>169498462.674687</v>
      </c>
      <c r="P29" s="7">
        <v>176794683.15184799</v>
      </c>
      <c r="Q29" s="7">
        <v>181671778.73001599</v>
      </c>
      <c r="R29" s="7">
        <v>184183746.94023699</v>
      </c>
      <c r="S29" s="7">
        <v>184412412.04017699</v>
      </c>
      <c r="T29" s="7">
        <v>182486839.8608</v>
      </c>
      <c r="U29" s="7">
        <v>178730011.97944099</v>
      </c>
      <c r="V29" s="7">
        <v>172615404.57318601</v>
      </c>
      <c r="W29" s="7">
        <v>177834595.120655</v>
      </c>
      <c r="X29" s="7">
        <v>191724861.27734599</v>
      </c>
      <c r="Y29" s="7">
        <v>204930649.85307699</v>
      </c>
      <c r="Z29" s="7">
        <v>213489803.11882001</v>
      </c>
      <c r="AA29" s="7">
        <v>221312101.81863701</v>
      </c>
      <c r="AB29" s="7">
        <v>229230400.806761</v>
      </c>
      <c r="AC29" s="7">
        <v>237469728.05371299</v>
      </c>
    </row>
    <row r="30" spans="1:29" x14ac:dyDescent="0.85">
      <c r="A30" t="s">
        <v>128</v>
      </c>
      <c r="B30" s="7">
        <v>99460984</v>
      </c>
      <c r="C30" s="7">
        <v>95482544.855785802</v>
      </c>
      <c r="D30" s="7">
        <v>91663243.095483303</v>
      </c>
      <c r="E30" s="7">
        <v>87996713.427759901</v>
      </c>
      <c r="F30" s="7">
        <v>84477066.683255196</v>
      </c>
      <c r="G30" s="7">
        <v>92836452.152256697</v>
      </c>
      <c r="H30" s="7">
        <v>101365377.21392199</v>
      </c>
      <c r="I30" s="7">
        <v>110312428.50105201</v>
      </c>
      <c r="J30" s="7">
        <v>119669158.50767501</v>
      </c>
      <c r="K30" s="7">
        <v>129554641.23584799</v>
      </c>
      <c r="L30" s="7">
        <v>139834797.41024101</v>
      </c>
      <c r="M30" s="7">
        <v>149994488.87257901</v>
      </c>
      <c r="N30" s="7">
        <v>160305229.24065599</v>
      </c>
      <c r="O30" s="7">
        <v>170934068.95085001</v>
      </c>
      <c r="P30" s="7">
        <v>181910204.97640699</v>
      </c>
      <c r="Q30" s="7">
        <v>193250331.11335501</v>
      </c>
      <c r="R30" s="7">
        <v>204963735.384186</v>
      </c>
      <c r="S30" s="7">
        <v>217059987.69818899</v>
      </c>
      <c r="T30" s="7">
        <v>229444938.533438</v>
      </c>
      <c r="U30" s="7">
        <v>242022634.42398101</v>
      </c>
      <c r="V30" s="7">
        <v>252501880.75083801</v>
      </c>
      <c r="W30" s="7">
        <v>242401810.40876701</v>
      </c>
      <c r="X30" s="7">
        <v>255912026.06321901</v>
      </c>
      <c r="Y30" s="7">
        <v>269557888.4425</v>
      </c>
      <c r="Z30" s="7">
        <v>283655374.89587098</v>
      </c>
      <c r="AA30" s="7">
        <v>298222025.04045397</v>
      </c>
      <c r="AB30" s="7">
        <v>313271271.06944799</v>
      </c>
      <c r="AC30" s="7">
        <v>328560118.26674902</v>
      </c>
    </row>
    <row r="31" spans="1:29" x14ac:dyDescent="0.85">
      <c r="A31" t="s">
        <v>129</v>
      </c>
      <c r="B31" s="7">
        <v>8127.5678688199996</v>
      </c>
      <c r="C31" s="7">
        <v>7802.4651716999997</v>
      </c>
      <c r="D31" s="7">
        <v>7490.3665676099999</v>
      </c>
      <c r="E31" s="7">
        <v>7190.7519094899999</v>
      </c>
      <c r="F31" s="7">
        <v>6903.1399571399998</v>
      </c>
      <c r="G31" s="7">
        <v>7586.2366852100004</v>
      </c>
      <c r="H31" s="7">
        <v>8283.1875346699999</v>
      </c>
      <c r="I31" s="7">
        <v>9014.3060460500001</v>
      </c>
      <c r="J31" s="7">
        <v>9778.90192174</v>
      </c>
      <c r="K31" s="7">
        <v>10586.705429789999</v>
      </c>
      <c r="L31" s="7">
        <v>11426.76012913</v>
      </c>
      <c r="M31" s="7">
        <v>12256.97091697</v>
      </c>
      <c r="N31" s="7">
        <v>13099.524838609999</v>
      </c>
      <c r="O31" s="7">
        <v>13968.07261119</v>
      </c>
      <c r="P31" s="7">
        <v>14865.0000987</v>
      </c>
      <c r="Q31" s="7">
        <v>15791.671453770001</v>
      </c>
      <c r="R31" s="7">
        <v>16748.845657729998</v>
      </c>
      <c r="S31" s="7">
        <v>17737.304726670001</v>
      </c>
      <c r="T31" s="7">
        <v>18749.355124900001</v>
      </c>
      <c r="U31" s="7">
        <v>19777.155905399999</v>
      </c>
      <c r="V31" s="7">
        <v>20633.479483849998</v>
      </c>
      <c r="W31" s="7">
        <v>19808.140703919998</v>
      </c>
      <c r="X31" s="7">
        <v>20912.143401649999</v>
      </c>
      <c r="Y31" s="7">
        <v>22027.23062636</v>
      </c>
      <c r="Z31" s="7">
        <v>23179.222827940001</v>
      </c>
      <c r="AA31" s="7">
        <v>24369.553276229999</v>
      </c>
      <c r="AB31" s="7">
        <v>25599.319598220001</v>
      </c>
      <c r="AC31" s="7">
        <v>26848.665203249999</v>
      </c>
    </row>
    <row r="32" spans="1:29" x14ac:dyDescent="0.85">
      <c r="A32" t="s">
        <v>130</v>
      </c>
      <c r="B32" s="7">
        <v>0</v>
      </c>
      <c r="C32" s="7">
        <v>7.6386035899999998</v>
      </c>
      <c r="D32" s="7">
        <v>14.666118900000001</v>
      </c>
      <c r="E32" s="7">
        <v>21.11921122</v>
      </c>
      <c r="F32" s="7">
        <v>27.032661340000001</v>
      </c>
      <c r="G32" s="7">
        <v>37.13458086</v>
      </c>
      <c r="H32" s="7">
        <v>48.655381060000003</v>
      </c>
      <c r="I32" s="7">
        <v>61.774959959999997</v>
      </c>
      <c r="J32" s="7">
        <v>76.588261439999997</v>
      </c>
      <c r="K32" s="7">
        <v>93.279341689999995</v>
      </c>
      <c r="L32" s="7">
        <v>111.86783792999999</v>
      </c>
      <c r="M32" s="7">
        <v>131.99515020999999</v>
      </c>
      <c r="N32" s="7">
        <v>153.89302007000001</v>
      </c>
      <c r="O32" s="7">
        <v>177.77143171</v>
      </c>
      <c r="P32" s="7">
        <v>203.73942957</v>
      </c>
      <c r="Q32" s="7">
        <v>231.90039734000001</v>
      </c>
      <c r="R32" s="7">
        <v>262.35358129000002</v>
      </c>
      <c r="S32" s="7">
        <v>295.20158327000001</v>
      </c>
      <c r="T32" s="7">
        <v>330.40071148999999</v>
      </c>
      <c r="U32" s="7">
        <v>367.87440432</v>
      </c>
      <c r="V32" s="7">
        <v>404.00300920000001</v>
      </c>
      <c r="W32" s="7">
        <v>407.23504149000001</v>
      </c>
      <c r="X32" s="7">
        <v>450.40516587000002</v>
      </c>
      <c r="Y32" s="7">
        <v>495.98651473000001</v>
      </c>
      <c r="Z32" s="7">
        <v>544.61831979999999</v>
      </c>
      <c r="AA32" s="7">
        <v>596.44405008000001</v>
      </c>
      <c r="AB32" s="7">
        <v>651.60424381999997</v>
      </c>
      <c r="AC32" s="7">
        <v>709.68985545999999</v>
      </c>
    </row>
    <row r="33" spans="1:29" x14ac:dyDescent="0.85">
      <c r="A33" t="s">
        <v>131</v>
      </c>
      <c r="B33" s="7">
        <v>0.39784394000000001</v>
      </c>
      <c r="C33" s="7">
        <v>0.38193018000000001</v>
      </c>
      <c r="D33" s="7">
        <v>0.36665297000000002</v>
      </c>
      <c r="E33" s="7">
        <v>0.35198685000000002</v>
      </c>
      <c r="F33" s="7">
        <v>0.33790827000000001</v>
      </c>
      <c r="G33" s="7">
        <v>0.37134581</v>
      </c>
      <c r="H33" s="7">
        <v>0.40546151000000002</v>
      </c>
      <c r="I33" s="7">
        <v>0.44124971000000002</v>
      </c>
      <c r="J33" s="7">
        <v>0.47867662999999999</v>
      </c>
      <c r="K33" s="7">
        <v>0.51821855999999999</v>
      </c>
      <c r="L33" s="7">
        <v>0.55933918999999999</v>
      </c>
      <c r="M33" s="7">
        <v>0.59997796000000003</v>
      </c>
      <c r="N33" s="7">
        <v>0.64122091999999997</v>
      </c>
      <c r="O33" s="7">
        <v>0.68373627999999997</v>
      </c>
      <c r="P33" s="7">
        <v>0.72764081999999997</v>
      </c>
      <c r="Q33" s="7">
        <v>0.77300131999999999</v>
      </c>
      <c r="R33" s="7">
        <v>0.81985494000000003</v>
      </c>
      <c r="S33" s="7">
        <v>0.86823994999999998</v>
      </c>
      <c r="T33" s="7">
        <v>0.91777975000000001</v>
      </c>
      <c r="U33" s="7">
        <v>0.96809054000000005</v>
      </c>
      <c r="V33" s="7">
        <v>1.01000752</v>
      </c>
      <c r="W33" s="7">
        <v>0.96960723999999998</v>
      </c>
      <c r="X33" s="7">
        <v>1.0236480999999999</v>
      </c>
      <c r="Y33" s="7">
        <v>1.0782315499999999</v>
      </c>
      <c r="Z33" s="7">
        <v>1.1346214999999999</v>
      </c>
      <c r="AA33" s="7">
        <v>1.1928881</v>
      </c>
      <c r="AB33" s="7">
        <v>1.25308508</v>
      </c>
      <c r="AC33" s="7">
        <v>1.3142404700000001</v>
      </c>
    </row>
    <row r="34" spans="1:29" x14ac:dyDescent="0.85">
      <c r="A34" t="s">
        <v>132</v>
      </c>
      <c r="B34" s="7">
        <v>8127.5678688199996</v>
      </c>
      <c r="C34" s="7">
        <v>7802.4651716999997</v>
      </c>
      <c r="D34" s="7">
        <v>7490.3665676099999</v>
      </c>
      <c r="E34" s="7">
        <v>7190.7519094899999</v>
      </c>
      <c r="F34" s="7">
        <v>6903.1399571399998</v>
      </c>
      <c r="G34" s="7">
        <v>7586.2366852100004</v>
      </c>
      <c r="H34" s="7">
        <v>8283.1875346699999</v>
      </c>
      <c r="I34" s="7">
        <v>9014.3060460500001</v>
      </c>
      <c r="J34" s="7">
        <v>9778.90192174</v>
      </c>
      <c r="K34" s="7">
        <v>10586.705429789999</v>
      </c>
      <c r="L34" s="7">
        <v>11426.76012913</v>
      </c>
      <c r="M34" s="7">
        <v>12256.97091697</v>
      </c>
      <c r="N34" s="7">
        <v>13099.524838609999</v>
      </c>
      <c r="O34" s="7">
        <v>13968.07261119</v>
      </c>
      <c r="P34" s="7">
        <v>14865.0000987</v>
      </c>
      <c r="Q34" s="7">
        <v>15791.671453770001</v>
      </c>
      <c r="R34" s="7">
        <v>16748.845657729998</v>
      </c>
      <c r="S34" s="7">
        <v>17737.304726670001</v>
      </c>
      <c r="T34" s="7">
        <v>18749.355124900001</v>
      </c>
      <c r="U34" s="7">
        <v>19777.155905399999</v>
      </c>
      <c r="V34" s="7">
        <v>20633.479483849998</v>
      </c>
      <c r="W34" s="7">
        <v>19808.140703919998</v>
      </c>
      <c r="X34" s="7">
        <v>20912.143401649999</v>
      </c>
      <c r="Y34" s="7">
        <v>22027.23062636</v>
      </c>
      <c r="Z34" s="7">
        <v>23179.222827940001</v>
      </c>
      <c r="AA34" s="7">
        <v>24369.553276229999</v>
      </c>
      <c r="AB34" s="7">
        <v>25599.319598220001</v>
      </c>
      <c r="AC34" s="7">
        <v>26848.665203249999</v>
      </c>
    </row>
    <row r="35" spans="1:29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</row>
    <row r="36" spans="1:29" x14ac:dyDescent="0.85">
      <c r="A36" t="s">
        <v>134</v>
      </c>
      <c r="B36" s="7">
        <v>1</v>
      </c>
      <c r="C36" s="7">
        <v>1.04</v>
      </c>
      <c r="D36" s="7">
        <v>1</v>
      </c>
      <c r="E36" s="7">
        <v>1</v>
      </c>
      <c r="F36" s="7">
        <v>1</v>
      </c>
      <c r="G36" s="7">
        <v>1.00000263</v>
      </c>
      <c r="H36" s="7">
        <v>1.13739273</v>
      </c>
      <c r="I36" s="7">
        <v>1.1335997499999999</v>
      </c>
      <c r="J36" s="7">
        <v>1.1300111100000001</v>
      </c>
      <c r="K36" s="7">
        <v>1.12770539</v>
      </c>
      <c r="L36" s="7">
        <v>1.12431288</v>
      </c>
      <c r="M36" s="7">
        <v>1.1173389199999999</v>
      </c>
      <c r="N36" s="7">
        <v>1.11326166</v>
      </c>
      <c r="O36" s="7">
        <v>1.11072309</v>
      </c>
      <c r="P36" s="7">
        <v>1.10854488</v>
      </c>
      <c r="Q36" s="7">
        <v>1.1065932700000001</v>
      </c>
      <c r="R36" s="7">
        <v>1.1047947899999999</v>
      </c>
      <c r="S36" s="7">
        <v>1.1031322400000001</v>
      </c>
      <c r="T36" s="7">
        <v>1.10109181</v>
      </c>
      <c r="U36" s="7">
        <v>1.09875867</v>
      </c>
      <c r="V36" s="7">
        <v>1.09664929</v>
      </c>
      <c r="W36" s="7">
        <v>1.0867694000000001</v>
      </c>
      <c r="X36" s="7">
        <v>1.0000000200000001</v>
      </c>
      <c r="Y36" s="7">
        <v>1.09720091</v>
      </c>
      <c r="Z36" s="7">
        <v>1.09613432</v>
      </c>
      <c r="AA36" s="7">
        <v>1.0951497299999999</v>
      </c>
      <c r="AB36" s="7">
        <v>1.0942225299999999</v>
      </c>
      <c r="AC36" s="7">
        <v>1.0933450300000001</v>
      </c>
    </row>
    <row r="37" spans="1:29" x14ac:dyDescent="0.85">
      <c r="A37" t="s">
        <v>135</v>
      </c>
      <c r="B37" s="7">
        <v>1</v>
      </c>
      <c r="C37" s="7">
        <v>1</v>
      </c>
      <c r="D37" s="7">
        <v>1</v>
      </c>
      <c r="E37" s="7">
        <v>1</v>
      </c>
      <c r="F37" s="7">
        <v>1.00000263</v>
      </c>
      <c r="G37" s="7">
        <v>1.1447442699999999</v>
      </c>
      <c r="H37" s="7">
        <v>1.13736503</v>
      </c>
      <c r="I37" s="7">
        <v>1.13360975</v>
      </c>
      <c r="J37" s="7">
        <v>1.1300211099999999</v>
      </c>
      <c r="K37" s="7">
        <v>1.1277153900000001</v>
      </c>
      <c r="L37" s="7">
        <v>1.12432288</v>
      </c>
      <c r="M37" s="7">
        <v>1.11734892</v>
      </c>
      <c r="N37" s="7">
        <v>1.1132716600000001</v>
      </c>
      <c r="O37" s="7">
        <v>1.1107330900000001</v>
      </c>
      <c r="P37" s="7">
        <v>1.10855488</v>
      </c>
      <c r="Q37" s="7">
        <v>1.1066032699999999</v>
      </c>
      <c r="R37" s="7">
        <v>1.10480479</v>
      </c>
      <c r="S37" s="7">
        <v>1.1031422399999999</v>
      </c>
      <c r="T37" s="7">
        <v>1.1011018100000001</v>
      </c>
      <c r="U37" s="7">
        <v>1.0987686699999999</v>
      </c>
      <c r="V37" s="7">
        <v>1.0867694000000001</v>
      </c>
      <c r="W37" s="7">
        <v>1.0000000200000001</v>
      </c>
      <c r="X37" s="7">
        <v>1.0997237500000001</v>
      </c>
      <c r="Y37" s="7">
        <v>1.09721091</v>
      </c>
      <c r="Z37" s="7">
        <v>1.0961443200000001</v>
      </c>
      <c r="AA37" s="7">
        <v>1.09515973</v>
      </c>
      <c r="AB37" s="7">
        <v>1.09423253</v>
      </c>
      <c r="AC37" s="7">
        <v>1.09250402</v>
      </c>
    </row>
    <row r="38" spans="1:29" x14ac:dyDescent="0.85">
      <c r="A38" t="s">
        <v>136</v>
      </c>
      <c r="B38" s="7">
        <v>1</v>
      </c>
      <c r="C38" s="7">
        <v>1.1240449699999999</v>
      </c>
      <c r="D38" s="7">
        <v>1.12862489</v>
      </c>
      <c r="E38" s="7">
        <v>1.13348559</v>
      </c>
      <c r="F38" s="7">
        <v>1.13865964</v>
      </c>
      <c r="G38" s="7">
        <v>1.1447442999999999</v>
      </c>
      <c r="H38" s="7">
        <v>1.13740273</v>
      </c>
      <c r="I38" s="7">
        <v>1.13360975</v>
      </c>
      <c r="J38" s="7">
        <v>1.1300211099999999</v>
      </c>
      <c r="K38" s="7">
        <v>1.1277153900000001</v>
      </c>
      <c r="L38" s="7">
        <v>1.12432288</v>
      </c>
      <c r="M38" s="7">
        <v>1.11734892</v>
      </c>
      <c r="N38" s="7">
        <v>1.1132716600000001</v>
      </c>
      <c r="O38" s="7">
        <v>1.1107330900000001</v>
      </c>
      <c r="P38" s="7">
        <v>1.10855488</v>
      </c>
      <c r="Q38" s="7">
        <v>1.1066032699999999</v>
      </c>
      <c r="R38" s="7">
        <v>1.10480479</v>
      </c>
      <c r="S38" s="7">
        <v>1.1031422399999999</v>
      </c>
      <c r="T38" s="7">
        <v>1.1011018100000001</v>
      </c>
      <c r="U38" s="7">
        <v>1.0987686699999999</v>
      </c>
      <c r="V38" s="7">
        <v>1.0966592900000001</v>
      </c>
      <c r="W38" s="7">
        <v>1.09551888</v>
      </c>
      <c r="X38" s="7">
        <v>1.0997237500000001</v>
      </c>
      <c r="Y38" s="7">
        <v>1.09721091</v>
      </c>
      <c r="Z38" s="7">
        <v>1.0961443200000001</v>
      </c>
      <c r="AA38" s="7">
        <v>1.09515973</v>
      </c>
      <c r="AB38" s="7">
        <v>1.09423253</v>
      </c>
      <c r="AC38" s="7">
        <v>1.0933550299999999</v>
      </c>
    </row>
    <row r="39" spans="1:29" x14ac:dyDescent="0.85">
      <c r="A39" t="s">
        <v>137</v>
      </c>
      <c r="B39" s="7">
        <v>5157</v>
      </c>
      <c r="C39" s="7">
        <v>5028.0750007400002</v>
      </c>
      <c r="D39" s="7">
        <v>4902.3731257299996</v>
      </c>
      <c r="E39" s="7">
        <v>4779.81379758</v>
      </c>
      <c r="F39" s="7">
        <v>4660.3184618400001</v>
      </c>
      <c r="G39" s="7">
        <v>4543.8105090600002</v>
      </c>
      <c r="H39" s="7">
        <v>4433.7453766799999</v>
      </c>
      <c r="I39" s="7">
        <v>4322.9017422699999</v>
      </c>
      <c r="J39" s="7">
        <v>4220.8450380100003</v>
      </c>
      <c r="K39" s="7">
        <v>4115.3239275699998</v>
      </c>
      <c r="L39" s="7">
        <v>4014.5962396499999</v>
      </c>
      <c r="M39" s="7">
        <v>7906.9447022900004</v>
      </c>
      <c r="N39" s="7">
        <v>11886.428694030001</v>
      </c>
      <c r="O39" s="7">
        <v>16003.547882680001</v>
      </c>
      <c r="P39" s="7">
        <v>20191.66334775</v>
      </c>
      <c r="Q39" s="7">
        <v>24272.75409527</v>
      </c>
      <c r="R39" s="7">
        <v>28252.122958650001</v>
      </c>
      <c r="S39" s="7">
        <v>32235.281057889999</v>
      </c>
      <c r="T39" s="7">
        <v>36243.63223648</v>
      </c>
      <c r="U39" s="7">
        <v>40180.286341929997</v>
      </c>
      <c r="V39" s="7">
        <v>44036.370727399997</v>
      </c>
      <c r="W39" s="7">
        <v>42935.461482090002</v>
      </c>
      <c r="X39" s="7">
        <v>41864.822303109999</v>
      </c>
      <c r="Y39" s="7">
        <v>40818.201745530001</v>
      </c>
      <c r="Z39" s="7">
        <v>41176.482745950001</v>
      </c>
      <c r="AA39" s="7">
        <v>41782.545072859997</v>
      </c>
      <c r="AB39" s="7">
        <v>42393.666092580002</v>
      </c>
      <c r="AC39" s="7">
        <v>43017.070333759999</v>
      </c>
    </row>
    <row r="40" spans="1:29" x14ac:dyDescent="0.85">
      <c r="A40" t="s">
        <v>138</v>
      </c>
      <c r="B40" s="7">
        <v>41219508.75</v>
      </c>
      <c r="C40" s="7">
        <v>40189021.037204199</v>
      </c>
      <c r="D40" s="7">
        <v>39184295.474942498</v>
      </c>
      <c r="E40" s="7">
        <v>38204555.384167701</v>
      </c>
      <c r="F40" s="7">
        <v>37249441.573097996</v>
      </c>
      <c r="G40" s="7">
        <v>36318205.603784703</v>
      </c>
      <c r="H40" s="7">
        <v>35438466.4290682</v>
      </c>
      <c r="I40" s="7">
        <v>34552504.7432862</v>
      </c>
      <c r="J40" s="7">
        <v>33736776.103543401</v>
      </c>
      <c r="K40" s="7">
        <v>32893356.824908201</v>
      </c>
      <c r="L40" s="7">
        <v>32088250.874773402</v>
      </c>
      <c r="M40" s="7">
        <v>63199387.961910002</v>
      </c>
      <c r="N40" s="7">
        <v>95006990.285130903</v>
      </c>
      <c r="O40" s="7">
        <v>127914696.445498</v>
      </c>
      <c r="P40" s="7">
        <v>161389868.47108999</v>
      </c>
      <c r="Q40" s="7">
        <v>194009603.04259399</v>
      </c>
      <c r="R40" s="7">
        <v>225816285.15680999</v>
      </c>
      <c r="S40" s="7">
        <v>257653254.23974699</v>
      </c>
      <c r="T40" s="7">
        <v>289691588.98996502</v>
      </c>
      <c r="U40" s="7">
        <v>321156856.47939903</v>
      </c>
      <c r="V40" s="7">
        <v>351978138.56333798</v>
      </c>
      <c r="W40" s="7">
        <v>343178685.28212702</v>
      </c>
      <c r="X40" s="7">
        <v>334621177.49781901</v>
      </c>
      <c r="Y40" s="7">
        <v>326255648.06037003</v>
      </c>
      <c r="Z40" s="7">
        <v>329119350.89348799</v>
      </c>
      <c r="AA40" s="7">
        <v>333963544.139983</v>
      </c>
      <c r="AB40" s="7">
        <v>338848170.99285698</v>
      </c>
      <c r="AC40" s="7">
        <v>343830976.35935199</v>
      </c>
    </row>
    <row r="41" spans="1:29" x14ac:dyDescent="0.85">
      <c r="A41" t="s">
        <v>139</v>
      </c>
      <c r="B41" s="7">
        <v>41219508.75</v>
      </c>
      <c r="C41" s="7">
        <v>40189021.037204199</v>
      </c>
      <c r="D41" s="7">
        <v>39184295.474942498</v>
      </c>
      <c r="E41" s="7">
        <v>38204555.384167701</v>
      </c>
      <c r="F41" s="7">
        <v>37249441.573097996</v>
      </c>
      <c r="G41" s="7">
        <v>36318205.603784703</v>
      </c>
      <c r="H41" s="7">
        <v>35438466.4290682</v>
      </c>
      <c r="I41" s="7">
        <v>34552504.7432862</v>
      </c>
      <c r="J41" s="7">
        <v>33736776.103543401</v>
      </c>
      <c r="K41" s="7">
        <v>32893356.824908201</v>
      </c>
      <c r="L41" s="7">
        <v>32088250.874773402</v>
      </c>
      <c r="M41" s="7">
        <v>63199387.961910002</v>
      </c>
      <c r="N41" s="7">
        <v>95006990.285130903</v>
      </c>
      <c r="O41" s="7">
        <v>127914696.445498</v>
      </c>
      <c r="P41" s="7">
        <v>161389868.47108999</v>
      </c>
      <c r="Q41" s="7">
        <v>194009603.04259399</v>
      </c>
      <c r="R41" s="7">
        <v>225816285.15680999</v>
      </c>
      <c r="S41" s="7">
        <v>257653254.23974699</v>
      </c>
      <c r="T41" s="7">
        <v>289691588.98996502</v>
      </c>
      <c r="U41" s="7">
        <v>321156856.47939903</v>
      </c>
      <c r="V41" s="7">
        <v>351978138.56333798</v>
      </c>
      <c r="W41" s="7">
        <v>343178685.28212702</v>
      </c>
      <c r="X41" s="7">
        <v>334621177.49781901</v>
      </c>
      <c r="Y41" s="7">
        <v>326255648.06037003</v>
      </c>
      <c r="Z41" s="7">
        <v>329119350.89348799</v>
      </c>
      <c r="AA41" s="7">
        <v>333963544.139983</v>
      </c>
      <c r="AB41" s="7">
        <v>338848170.99285698</v>
      </c>
      <c r="AC41" s="7">
        <v>343830976.35935199</v>
      </c>
    </row>
    <row r="42" spans="1:29" x14ac:dyDescent="0.85">
      <c r="A42" t="s">
        <v>140</v>
      </c>
      <c r="B42" s="7">
        <v>5979.0406005900004</v>
      </c>
      <c r="C42" s="7">
        <v>5829.5645864400003</v>
      </c>
      <c r="D42" s="7">
        <v>5683.8254714100003</v>
      </c>
      <c r="E42" s="7">
        <v>5541.7284929899997</v>
      </c>
      <c r="F42" s="7">
        <v>5403.1852913299999</v>
      </c>
      <c r="G42" s="7">
        <v>5268.1056692000002</v>
      </c>
      <c r="H42" s="7">
        <v>5140.4958697499997</v>
      </c>
      <c r="I42" s="7">
        <v>5011.9834727500001</v>
      </c>
      <c r="J42" s="7">
        <v>4893.6586655900001</v>
      </c>
      <c r="K42" s="7">
        <v>4771.3172169299996</v>
      </c>
      <c r="L42" s="7">
        <v>4654.5332747599996</v>
      </c>
      <c r="M42" s="7">
        <v>9167.3321603299992</v>
      </c>
      <c r="N42" s="7">
        <v>13781.15620394</v>
      </c>
      <c r="O42" s="7">
        <v>18554.554851230001</v>
      </c>
      <c r="P42" s="7">
        <v>23410.266765199998</v>
      </c>
      <c r="Q42" s="7">
        <v>28141.89394455</v>
      </c>
      <c r="R42" s="7">
        <v>32755.58450805</v>
      </c>
      <c r="S42" s="7">
        <v>37373.668321409998</v>
      </c>
      <c r="T42" s="7">
        <v>42020.961056209999</v>
      </c>
      <c r="U42" s="7">
        <v>46585.128018759999</v>
      </c>
      <c r="V42" s="7">
        <v>51055.882239370003</v>
      </c>
      <c r="W42" s="7">
        <v>49779.485209910003</v>
      </c>
      <c r="X42" s="7">
        <v>48538.18337372</v>
      </c>
      <c r="Y42" s="7">
        <v>47324.728789380002</v>
      </c>
      <c r="Z42" s="7">
        <v>47740.120708920003</v>
      </c>
      <c r="AA42" s="7">
        <v>48442.790939940001</v>
      </c>
      <c r="AB42" s="7">
        <v>49151.32623251</v>
      </c>
      <c r="AC42" s="7">
        <v>49874.102723830001</v>
      </c>
    </row>
    <row r="43" spans="1:29" x14ac:dyDescent="0.85">
      <c r="A43" t="s">
        <v>141</v>
      </c>
      <c r="B43" s="7">
        <v>0</v>
      </c>
      <c r="C43" s="7">
        <v>2.4113412599999999</v>
      </c>
      <c r="D43" s="7">
        <v>4.7021154599999999</v>
      </c>
      <c r="E43" s="7">
        <v>6.8768199699999997</v>
      </c>
      <c r="F43" s="7">
        <v>8.9398659800000004</v>
      </c>
      <c r="G43" s="7">
        <v>10.89546168</v>
      </c>
      <c r="H43" s="7">
        <v>12.757847910000001</v>
      </c>
      <c r="I43" s="7">
        <v>14.51205199</v>
      </c>
      <c r="J43" s="7">
        <v>16.193652530000001</v>
      </c>
      <c r="K43" s="7">
        <v>17.762412690000001</v>
      </c>
      <c r="L43" s="7">
        <v>19.252950519999999</v>
      </c>
      <c r="M43" s="7">
        <v>41.711596049999997</v>
      </c>
      <c r="N43" s="7">
        <v>68.405033009999997</v>
      </c>
      <c r="O43" s="7">
        <v>99.773463230000004</v>
      </c>
      <c r="P43" s="7">
        <v>135.56748952000001</v>
      </c>
      <c r="Q43" s="7">
        <v>174.60864273999999</v>
      </c>
      <c r="R43" s="7">
        <v>216.78363375000001</v>
      </c>
      <c r="S43" s="7">
        <v>262.80631932</v>
      </c>
      <c r="T43" s="7">
        <v>312.86691610999998</v>
      </c>
      <c r="U43" s="7">
        <v>366.11881639000001</v>
      </c>
      <c r="V43" s="7">
        <v>422.37376627999998</v>
      </c>
      <c r="W43" s="7">
        <v>432.40514345999998</v>
      </c>
      <c r="X43" s="7">
        <v>441.6999543</v>
      </c>
      <c r="Y43" s="7">
        <v>450.23279431999998</v>
      </c>
      <c r="Z43" s="7">
        <v>473.93186529000002</v>
      </c>
      <c r="AA43" s="7">
        <v>500.94531620999999</v>
      </c>
      <c r="AB43" s="7">
        <v>528.60314674999995</v>
      </c>
      <c r="AC43" s="7">
        <v>557.00618169999996</v>
      </c>
    </row>
    <row r="44" spans="1:29" x14ac:dyDescent="0.85">
      <c r="A44" t="s">
        <v>142</v>
      </c>
      <c r="B44" s="7">
        <v>0.12365853</v>
      </c>
      <c r="C44" s="7">
        <v>0.12056706</v>
      </c>
      <c r="D44" s="7">
        <v>0.11755288999999999</v>
      </c>
      <c r="E44" s="7">
        <v>0.11461367</v>
      </c>
      <c r="F44" s="7">
        <v>0.11174832</v>
      </c>
      <c r="G44" s="7">
        <v>0.10895462</v>
      </c>
      <c r="H44" s="7">
        <v>0.1063154</v>
      </c>
      <c r="I44" s="7">
        <v>0.10365750999999999</v>
      </c>
      <c r="J44" s="7">
        <v>0.10121033</v>
      </c>
      <c r="K44" s="7">
        <v>9.8680069999999995E-2</v>
      </c>
      <c r="L44" s="7">
        <v>9.6264749999999996E-2</v>
      </c>
      <c r="M44" s="7">
        <v>0.18959815999999999</v>
      </c>
      <c r="N44" s="7">
        <v>0.28502096999999998</v>
      </c>
      <c r="O44" s="7">
        <v>0.38374408999999998</v>
      </c>
      <c r="P44" s="7">
        <v>0.48416960999999997</v>
      </c>
      <c r="Q44" s="7">
        <v>0.58202880999999995</v>
      </c>
      <c r="R44" s="7">
        <v>0.67744886000000004</v>
      </c>
      <c r="S44" s="7">
        <v>0.77295976</v>
      </c>
      <c r="T44" s="7">
        <v>0.86907477</v>
      </c>
      <c r="U44" s="7">
        <v>0.96347057000000003</v>
      </c>
      <c r="V44" s="7">
        <v>1.05593442</v>
      </c>
      <c r="W44" s="7">
        <v>1.0295360600000001</v>
      </c>
      <c r="X44" s="7">
        <v>1.0038635300000001</v>
      </c>
      <c r="Y44" s="7">
        <v>0.97876693999999997</v>
      </c>
      <c r="Z44" s="7">
        <v>0.98735804999999999</v>
      </c>
      <c r="AA44" s="7">
        <v>1.0018906299999999</v>
      </c>
      <c r="AB44" s="7">
        <v>1.0165445099999999</v>
      </c>
      <c r="AC44" s="7">
        <v>1.03149293</v>
      </c>
    </row>
    <row r="45" spans="1:29" x14ac:dyDescent="0.85">
      <c r="A45" t="s">
        <v>143</v>
      </c>
      <c r="B45" s="7">
        <v>5562.3113671299998</v>
      </c>
      <c r="C45" s="7">
        <v>5423.25358375</v>
      </c>
      <c r="D45" s="7">
        <v>5287.6722441600004</v>
      </c>
      <c r="E45" s="7">
        <v>5155.4804380599999</v>
      </c>
      <c r="F45" s="7">
        <v>5026.5934370300001</v>
      </c>
      <c r="G45" s="7">
        <v>4900.9286105499996</v>
      </c>
      <c r="H45" s="7">
        <v>4782.2129741500003</v>
      </c>
      <c r="I45" s="7">
        <v>4662.6576497899996</v>
      </c>
      <c r="J45" s="7">
        <v>4552.5798591800003</v>
      </c>
      <c r="K45" s="7">
        <v>4438.7653794300004</v>
      </c>
      <c r="L45" s="7">
        <v>4330.1210584099999</v>
      </c>
      <c r="M45" s="7">
        <v>8528.3863480300006</v>
      </c>
      <c r="N45" s="7">
        <v>12820.63553216</v>
      </c>
      <c r="O45" s="7">
        <v>17261.337270159998</v>
      </c>
      <c r="P45" s="7">
        <v>21778.615194959999</v>
      </c>
      <c r="Q45" s="7">
        <v>26180.456857789999</v>
      </c>
      <c r="R45" s="7">
        <v>30472.581865119999</v>
      </c>
      <c r="S45" s="7">
        <v>34768.793921049997</v>
      </c>
      <c r="T45" s="7">
        <v>39092.179091520004</v>
      </c>
      <c r="U45" s="7">
        <v>43338.232199749997</v>
      </c>
      <c r="V45" s="7">
        <v>47497.383258490001</v>
      </c>
      <c r="W45" s="7">
        <v>46309.948701709996</v>
      </c>
      <c r="X45" s="7">
        <v>45155.16326922</v>
      </c>
      <c r="Y45" s="7">
        <v>44026.284187489997</v>
      </c>
      <c r="Z45" s="7">
        <v>44412.724071390003</v>
      </c>
      <c r="AA45" s="7">
        <v>45066.41950869</v>
      </c>
      <c r="AB45" s="7">
        <v>45725.571223769999</v>
      </c>
      <c r="AC45" s="7">
        <v>46397.971552839997</v>
      </c>
    </row>
    <row r="46" spans="1:29" x14ac:dyDescent="0.85">
      <c r="A46" t="s">
        <v>144</v>
      </c>
      <c r="B46" s="7">
        <v>416.72923345999999</v>
      </c>
      <c r="C46" s="7">
        <v>406.31100269000001</v>
      </c>
      <c r="D46" s="7">
        <v>396.15322724999999</v>
      </c>
      <c r="E46" s="7">
        <v>386.24805493000002</v>
      </c>
      <c r="F46" s="7">
        <v>376.59185430000002</v>
      </c>
      <c r="G46" s="7">
        <v>367.17705864999999</v>
      </c>
      <c r="H46" s="7">
        <v>358.28289560000002</v>
      </c>
      <c r="I46" s="7">
        <v>349.32582294999997</v>
      </c>
      <c r="J46" s="7">
        <v>341.07880641000003</v>
      </c>
      <c r="K46" s="7">
        <v>332.55183749999998</v>
      </c>
      <c r="L46" s="7">
        <v>324.41221633999999</v>
      </c>
      <c r="M46" s="7">
        <v>638.94581229000005</v>
      </c>
      <c r="N46" s="7">
        <v>960.52067178000004</v>
      </c>
      <c r="O46" s="7">
        <v>1293.2175810599999</v>
      </c>
      <c r="P46" s="7">
        <v>1631.65157024</v>
      </c>
      <c r="Q46" s="7">
        <v>1961.4370867600001</v>
      </c>
      <c r="R46" s="7">
        <v>2283.00264294</v>
      </c>
      <c r="S46" s="7">
        <v>2604.87440036</v>
      </c>
      <c r="T46" s="7">
        <v>2928.7819646900002</v>
      </c>
      <c r="U46" s="7">
        <v>3246.8958190100002</v>
      </c>
      <c r="V46" s="7">
        <v>3558.4989808800001</v>
      </c>
      <c r="W46" s="7">
        <v>3469.5365081999998</v>
      </c>
      <c r="X46" s="7">
        <v>3383.0201044999999</v>
      </c>
      <c r="Y46" s="7">
        <v>3298.4446018899998</v>
      </c>
      <c r="Z46" s="7">
        <v>3327.3966375300001</v>
      </c>
      <c r="AA46" s="7">
        <v>3376.37143126</v>
      </c>
      <c r="AB46" s="7">
        <v>3425.75500874</v>
      </c>
      <c r="AC46" s="7">
        <v>3476.1311709900001</v>
      </c>
    </row>
    <row r="47" spans="1:29" x14ac:dyDescent="0.85">
      <c r="A47" t="s">
        <v>145</v>
      </c>
      <c r="B47" s="7">
        <v>1</v>
      </c>
      <c r="C47" s="7">
        <v>1.0249999999999999</v>
      </c>
      <c r="D47" s="7">
        <v>1</v>
      </c>
      <c r="E47" s="7">
        <v>1</v>
      </c>
      <c r="F47" s="7">
        <v>0.99999652999999999</v>
      </c>
      <c r="G47" s="7">
        <v>1</v>
      </c>
      <c r="H47" s="7">
        <v>1</v>
      </c>
      <c r="I47" s="7">
        <v>1.0007968300000001</v>
      </c>
      <c r="J47" s="7">
        <v>1</v>
      </c>
      <c r="K47" s="7">
        <v>1.0014273</v>
      </c>
      <c r="L47" s="7">
        <v>1</v>
      </c>
      <c r="M47" s="7">
        <v>1.00053718</v>
      </c>
      <c r="N47" s="7">
        <v>1.5418256100000001</v>
      </c>
      <c r="O47" s="7">
        <v>1.3808837599999999</v>
      </c>
      <c r="P47" s="7">
        <v>1.29895022</v>
      </c>
      <c r="Q47" s="7">
        <v>1.2501006299999999</v>
      </c>
      <c r="R47" s="7">
        <v>1.2191210400000001</v>
      </c>
      <c r="S47" s="7">
        <v>1.1937885699999999</v>
      </c>
      <c r="T47" s="7">
        <v>1.1702422100000001</v>
      </c>
      <c r="U47" s="7">
        <v>1.15317611</v>
      </c>
      <c r="V47" s="7">
        <v>1.1370425</v>
      </c>
      <c r="W47" s="7">
        <v>1.12407134</v>
      </c>
      <c r="X47" s="7">
        <v>1</v>
      </c>
      <c r="Y47" s="7">
        <v>1.0000656299999999</v>
      </c>
      <c r="Z47" s="7">
        <v>1</v>
      </c>
      <c r="AA47" s="7">
        <v>1.0346435700000001</v>
      </c>
      <c r="AB47" s="7">
        <v>1.04073708</v>
      </c>
      <c r="AC47" s="7">
        <v>1.0406422799999999</v>
      </c>
    </row>
    <row r="48" spans="1:29" x14ac:dyDescent="0.85">
      <c r="A48" t="s">
        <v>146</v>
      </c>
      <c r="B48" s="7">
        <v>1</v>
      </c>
      <c r="C48" s="7">
        <v>1</v>
      </c>
      <c r="D48" s="7">
        <v>1</v>
      </c>
      <c r="E48" s="7">
        <v>0.99999652999999999</v>
      </c>
      <c r="F48" s="7">
        <v>1</v>
      </c>
      <c r="G48" s="7">
        <v>1</v>
      </c>
      <c r="H48" s="7">
        <v>1.0007968300000001</v>
      </c>
      <c r="I48" s="7">
        <v>1</v>
      </c>
      <c r="J48" s="7">
        <v>1.0014273</v>
      </c>
      <c r="K48" s="7">
        <v>1</v>
      </c>
      <c r="L48" s="7">
        <v>1.00053718</v>
      </c>
      <c r="M48" s="7">
        <v>2.02005043</v>
      </c>
      <c r="N48" s="7">
        <v>1.5418356099999999</v>
      </c>
      <c r="O48" s="7">
        <v>1.38089376</v>
      </c>
      <c r="P48" s="7">
        <v>1.2940504500000001</v>
      </c>
      <c r="Q48" s="7">
        <v>1.2329411400000001</v>
      </c>
      <c r="R48" s="7">
        <v>1.1937885699999999</v>
      </c>
      <c r="S48" s="7">
        <v>1.1702422100000001</v>
      </c>
      <c r="T48" s="7">
        <v>1.15317611</v>
      </c>
      <c r="U48" s="7">
        <v>1.1370425</v>
      </c>
      <c r="V48" s="7">
        <v>1.12407134</v>
      </c>
      <c r="W48" s="7">
        <v>1</v>
      </c>
      <c r="X48" s="7">
        <v>1.0000656299999999</v>
      </c>
      <c r="Y48" s="7">
        <v>1</v>
      </c>
      <c r="Z48" s="7">
        <v>1.0346435700000001</v>
      </c>
      <c r="AA48" s="7">
        <v>1.04073708</v>
      </c>
      <c r="AB48" s="7">
        <v>1.0406422799999999</v>
      </c>
      <c r="AC48" s="7">
        <v>1.0407232099999999</v>
      </c>
    </row>
    <row r="49" spans="1:29" x14ac:dyDescent="0.85">
      <c r="A49" t="s">
        <v>147</v>
      </c>
      <c r="B49" s="7">
        <v>1</v>
      </c>
      <c r="C49" s="7">
        <v>1.6118260799999999</v>
      </c>
      <c r="D49" s="7">
        <v>1.6283717</v>
      </c>
      <c r="E49" s="7">
        <v>1.6458164500000001</v>
      </c>
      <c r="F49" s="7">
        <v>1.6642818699999999</v>
      </c>
      <c r="G49" s="7">
        <v>1.6869009399999999</v>
      </c>
      <c r="H49" s="7">
        <v>1.72744699</v>
      </c>
      <c r="I49" s="7">
        <v>1.78604078</v>
      </c>
      <c r="J49" s="7">
        <v>1.8480232299999999</v>
      </c>
      <c r="K49" s="7">
        <v>1.9206954599999999</v>
      </c>
      <c r="L49" s="7">
        <v>1.98860324</v>
      </c>
      <c r="M49" s="7">
        <v>2.02005043</v>
      </c>
      <c r="N49" s="7">
        <v>1.5418356099999999</v>
      </c>
      <c r="O49" s="7">
        <v>1.38089376</v>
      </c>
      <c r="P49" s="7">
        <v>1.2989602200000001</v>
      </c>
      <c r="Q49" s="7">
        <v>1.25011063</v>
      </c>
      <c r="R49" s="7">
        <v>1.2191310399999999</v>
      </c>
      <c r="S49" s="7">
        <v>1.19789554</v>
      </c>
      <c r="T49" s="7">
        <v>1.1810631700000001</v>
      </c>
      <c r="U49" s="7">
        <v>1.1670678400000001</v>
      </c>
      <c r="V49" s="7">
        <v>1.1561836999999999</v>
      </c>
      <c r="W49" s="7">
        <v>1.14771033</v>
      </c>
      <c r="X49" s="7">
        <v>1.15274703</v>
      </c>
      <c r="Y49" s="7">
        <v>1.15919945</v>
      </c>
      <c r="Z49" s="7">
        <v>1.16830408</v>
      </c>
      <c r="AA49" s="7">
        <v>1.17270187</v>
      </c>
      <c r="AB49" s="7">
        <v>1.17626312</v>
      </c>
      <c r="AC49" s="7">
        <v>1.1798699699999999</v>
      </c>
    </row>
    <row r="50" spans="1:29" x14ac:dyDescent="0.85">
      <c r="A50" t="s">
        <v>148</v>
      </c>
      <c r="B50" s="7">
        <v>51156</v>
      </c>
      <c r="C50" s="7">
        <v>53411.503829560002</v>
      </c>
      <c r="D50" s="7">
        <v>55675.102981069998</v>
      </c>
      <c r="E50" s="7">
        <v>57962.328403630003</v>
      </c>
      <c r="F50" s="7">
        <v>60147.020718560001</v>
      </c>
      <c r="G50" s="7">
        <v>61973.99668959</v>
      </c>
      <c r="H50" s="7">
        <v>66148.615448640005</v>
      </c>
      <c r="I50" s="7">
        <v>70547.346451439997</v>
      </c>
      <c r="J50" s="7">
        <v>75165.915003939997</v>
      </c>
      <c r="K50" s="7">
        <v>80066.266974509999</v>
      </c>
      <c r="L50" s="7">
        <v>79070.306751619995</v>
      </c>
      <c r="M50" s="7">
        <v>75907.494481560003</v>
      </c>
      <c r="N50" s="7">
        <v>72980.394524770003</v>
      </c>
      <c r="O50" s="7">
        <v>70153.518893290006</v>
      </c>
      <c r="P50" s="7">
        <v>67347.378137559994</v>
      </c>
      <c r="Q50" s="7">
        <v>64653.483012049997</v>
      </c>
      <c r="R50" s="7">
        <v>62067.34369157</v>
      </c>
      <c r="S50" s="7">
        <v>59584.649943910001</v>
      </c>
      <c r="T50" s="7">
        <v>57201.26394615</v>
      </c>
      <c r="U50" s="7">
        <v>54913.213388310003</v>
      </c>
      <c r="V50" s="7">
        <v>52716.821680339999</v>
      </c>
      <c r="W50" s="7">
        <v>56433.301035999997</v>
      </c>
      <c r="X50" s="7">
        <v>59029.677091830003</v>
      </c>
      <c r="Y50" s="7">
        <v>61627.119660030003</v>
      </c>
      <c r="Z50" s="7">
        <v>62896.536126049999</v>
      </c>
      <c r="AA50" s="7">
        <v>63944.94237828</v>
      </c>
      <c r="AB50" s="7">
        <v>65006.755076059999</v>
      </c>
      <c r="AC50" s="7">
        <v>66091.781208739994</v>
      </c>
    </row>
    <row r="51" spans="1:29" x14ac:dyDescent="0.85">
      <c r="A51" t="s">
        <v>149</v>
      </c>
      <c r="B51" s="7">
        <v>179977065.75</v>
      </c>
      <c r="C51" s="7">
        <v>195619326.71612701</v>
      </c>
      <c r="D51" s="7">
        <v>211169471.17740101</v>
      </c>
      <c r="E51" s="7">
        <v>226723465.785703</v>
      </c>
      <c r="F51" s="7">
        <v>241202713.331976</v>
      </c>
      <c r="G51" s="7">
        <v>245420542.70041299</v>
      </c>
      <c r="H51" s="7">
        <v>263796808.399811</v>
      </c>
      <c r="I51" s="7">
        <v>282250880.850043</v>
      </c>
      <c r="J51" s="7">
        <v>304698119.05417299</v>
      </c>
      <c r="K51" s="7">
        <v>307042714.04584903</v>
      </c>
      <c r="L51" s="7">
        <v>307930999.266433</v>
      </c>
      <c r="M51" s="7">
        <v>275499716.71407598</v>
      </c>
      <c r="N51" s="7">
        <v>240377159.910119</v>
      </c>
      <c r="O51" s="7">
        <v>205311948.81739599</v>
      </c>
      <c r="P51" s="7">
        <v>172251270.42795399</v>
      </c>
      <c r="Q51" s="7">
        <v>143142362.44693699</v>
      </c>
      <c r="R51" s="7">
        <v>117941086.56973501</v>
      </c>
      <c r="S51" s="7">
        <v>97296248.685395807</v>
      </c>
      <c r="T51" s="7">
        <v>80652145.428299606</v>
      </c>
      <c r="U51" s="7">
        <v>66755494.999155603</v>
      </c>
      <c r="V51" s="7">
        <v>55149415.537826903</v>
      </c>
      <c r="W51" s="7">
        <v>65517652.494707301</v>
      </c>
      <c r="X51" s="7">
        <v>72261828.929049</v>
      </c>
      <c r="Y51" s="7">
        <v>76164535.034373403</v>
      </c>
      <c r="Z51" s="7">
        <v>74601667.940842897</v>
      </c>
      <c r="AA51" s="7">
        <v>72200188.0412011</v>
      </c>
      <c r="AB51" s="7">
        <v>69910039.125831693</v>
      </c>
      <c r="AC51" s="7">
        <v>68648338.765834495</v>
      </c>
    </row>
    <row r="52" spans="1:29" x14ac:dyDescent="0.85">
      <c r="A52" t="s">
        <v>150</v>
      </c>
      <c r="B52" s="7">
        <v>179977065.75</v>
      </c>
      <c r="C52" s="7">
        <v>195619326.71612701</v>
      </c>
      <c r="D52" s="7">
        <v>211169471.17740101</v>
      </c>
      <c r="E52" s="7">
        <v>226723465.785703</v>
      </c>
      <c r="F52" s="7">
        <v>241202713.331976</v>
      </c>
      <c r="G52" s="7">
        <v>245420542.70041299</v>
      </c>
      <c r="H52" s="7">
        <v>263796808.399811</v>
      </c>
      <c r="I52" s="7">
        <v>282250880.850043</v>
      </c>
      <c r="J52" s="7">
        <v>304698119.05417299</v>
      </c>
      <c r="K52" s="7">
        <v>307042714.04584903</v>
      </c>
      <c r="L52" s="7">
        <v>307930999.266433</v>
      </c>
      <c r="M52" s="7">
        <v>275499716.71407598</v>
      </c>
      <c r="N52" s="7">
        <v>240377159.910119</v>
      </c>
      <c r="O52" s="7">
        <v>205311948.81739599</v>
      </c>
      <c r="P52" s="7">
        <v>172251270.42795399</v>
      </c>
      <c r="Q52" s="7">
        <v>143142362.44693699</v>
      </c>
      <c r="R52" s="7">
        <v>117941086.56973501</v>
      </c>
      <c r="S52" s="7">
        <v>97296248.685395807</v>
      </c>
      <c r="T52" s="7">
        <v>80652145.428299606</v>
      </c>
      <c r="U52" s="7">
        <v>66755494.999155603</v>
      </c>
      <c r="V52" s="7">
        <v>55149415.537826903</v>
      </c>
      <c r="W52" s="7">
        <v>65517652.494707301</v>
      </c>
      <c r="X52" s="7">
        <v>72261828.929049</v>
      </c>
      <c r="Y52" s="7">
        <v>76164535.034373403</v>
      </c>
      <c r="Z52" s="7">
        <v>74601667.940842897</v>
      </c>
      <c r="AA52" s="7">
        <v>72200188.0412011</v>
      </c>
      <c r="AB52" s="7">
        <v>69910039.125831693</v>
      </c>
      <c r="AC52" s="7">
        <v>68648338.765834495</v>
      </c>
    </row>
    <row r="53" spans="1:29" x14ac:dyDescent="0.85">
      <c r="A53" t="s">
        <v>151</v>
      </c>
      <c r="B53" s="7">
        <v>14092.560631910001</v>
      </c>
      <c r="C53" s="7">
        <v>14901.96097738</v>
      </c>
      <c r="D53" s="7">
        <v>15710.648860589999</v>
      </c>
      <c r="E53" s="7">
        <v>16523.911125570001</v>
      </c>
      <c r="F53" s="7">
        <v>17291.505391390001</v>
      </c>
      <c r="G53" s="7">
        <v>17740.884450729998</v>
      </c>
      <c r="H53" s="7">
        <v>18980.9315799</v>
      </c>
      <c r="I53" s="7">
        <v>20265.377385780001</v>
      </c>
      <c r="J53" s="7">
        <v>21688.945983720001</v>
      </c>
      <c r="K53" s="7">
        <v>22675.446923939999</v>
      </c>
      <c r="L53" s="7">
        <v>22508.249203899999</v>
      </c>
      <c r="M53" s="7">
        <v>21117.136596749999</v>
      </c>
      <c r="N53" s="7">
        <v>19705.05690353</v>
      </c>
      <c r="O53" s="7">
        <v>18313.382783720001</v>
      </c>
      <c r="P53" s="7">
        <v>16974.551381720001</v>
      </c>
      <c r="Q53" s="7">
        <v>15753.42921165</v>
      </c>
      <c r="R53" s="7">
        <v>14648.087857529999</v>
      </c>
      <c r="S53" s="7">
        <v>13673.54079934</v>
      </c>
      <c r="T53" s="7">
        <v>12815.444186610001</v>
      </c>
      <c r="U53" s="7">
        <v>12042.46464262</v>
      </c>
      <c r="V53" s="7">
        <v>11342.75702888</v>
      </c>
      <c r="W53" s="7">
        <v>12300.5276282</v>
      </c>
      <c r="X53" s="7">
        <v>12957.45702967</v>
      </c>
      <c r="Y53" s="7">
        <v>13545.256806359999</v>
      </c>
      <c r="Z53" s="7">
        <v>13747.8524168</v>
      </c>
      <c r="AA53" s="7">
        <v>13888.07394545</v>
      </c>
      <c r="AB53" s="7">
        <v>14033.554321310001</v>
      </c>
      <c r="AC53" s="7">
        <v>14208.53099069</v>
      </c>
    </row>
    <row r="54" spans="1:29" x14ac:dyDescent="0.85">
      <c r="A54" t="s">
        <v>152</v>
      </c>
      <c r="B54" s="7">
        <v>0</v>
      </c>
      <c r="C54" s="7">
        <v>1917.0694018199999</v>
      </c>
      <c r="D54" s="7">
        <v>4138.9216350799998</v>
      </c>
      <c r="E54" s="7">
        <v>6665.6698941000004</v>
      </c>
      <c r="F54" s="7">
        <v>9455.1463626099994</v>
      </c>
      <c r="G54" s="7">
        <v>12025.60659232</v>
      </c>
      <c r="H54" s="7">
        <v>15511.252333910001</v>
      </c>
      <c r="I54" s="7">
        <v>19362.410426310002</v>
      </c>
      <c r="J54" s="7">
        <v>23888.33253385</v>
      </c>
      <c r="K54" s="7">
        <v>27081.16737884</v>
      </c>
      <c r="L54" s="7">
        <v>30177.23792811</v>
      </c>
      <c r="M54" s="7">
        <v>29698.869461779999</v>
      </c>
      <c r="N54" s="7">
        <v>28268.354005429999</v>
      </c>
      <c r="O54" s="7">
        <v>26156.74227934</v>
      </c>
      <c r="P54" s="7">
        <v>23632.87430272</v>
      </c>
      <c r="Q54" s="7">
        <v>21041.927279700001</v>
      </c>
      <c r="R54" s="7">
        <v>18493.162374129999</v>
      </c>
      <c r="S54" s="7">
        <v>16209.555030990001</v>
      </c>
      <c r="T54" s="7">
        <v>14227.03845355</v>
      </c>
      <c r="U54" s="7">
        <v>12429.87316884</v>
      </c>
      <c r="V54" s="7">
        <v>10809.28544541</v>
      </c>
      <c r="W54" s="7">
        <v>13483.53288341</v>
      </c>
      <c r="X54" s="7">
        <v>15579.6503171</v>
      </c>
      <c r="Y54" s="7">
        <v>17167.48619675</v>
      </c>
      <c r="Z54" s="7">
        <v>17546.312299689998</v>
      </c>
      <c r="AA54" s="7">
        <v>17689.04607009</v>
      </c>
      <c r="AB54" s="7">
        <v>17813.077969260001</v>
      </c>
      <c r="AC54" s="7">
        <v>18164.35043744</v>
      </c>
    </row>
    <row r="55" spans="1:29" x14ac:dyDescent="0.85">
      <c r="A55" t="s">
        <v>153</v>
      </c>
      <c r="B55" s="7">
        <v>88.188762220000001</v>
      </c>
      <c r="C55" s="7">
        <v>95.853470090000002</v>
      </c>
      <c r="D55" s="7">
        <v>103.47304088</v>
      </c>
      <c r="E55" s="7">
        <v>111.09449823</v>
      </c>
      <c r="F55" s="7">
        <v>118.18932952999999</v>
      </c>
      <c r="G55" s="7">
        <v>120.25606592</v>
      </c>
      <c r="H55" s="7">
        <v>129.26043612000001</v>
      </c>
      <c r="I55" s="7">
        <v>138.30293162000001</v>
      </c>
      <c r="J55" s="7">
        <v>149.30207834000001</v>
      </c>
      <c r="K55" s="7">
        <v>150.45092987999999</v>
      </c>
      <c r="L55" s="7">
        <v>150.88618964</v>
      </c>
      <c r="M55" s="7">
        <v>134.99486118999999</v>
      </c>
      <c r="N55" s="7">
        <v>117.78480836</v>
      </c>
      <c r="O55" s="7">
        <v>100.60285492</v>
      </c>
      <c r="P55" s="7">
        <v>84.403122510000003</v>
      </c>
      <c r="Q55" s="7">
        <v>70.139757599999996</v>
      </c>
      <c r="R55" s="7">
        <v>57.791132419999997</v>
      </c>
      <c r="S55" s="7">
        <v>47.675161860000003</v>
      </c>
      <c r="T55" s="7">
        <v>39.51955126</v>
      </c>
      <c r="U55" s="7">
        <v>32.710192550000002</v>
      </c>
      <c r="V55" s="7">
        <v>27.023213609999999</v>
      </c>
      <c r="W55" s="7">
        <v>32.10364972</v>
      </c>
      <c r="X55" s="7">
        <v>35.408296180000001</v>
      </c>
      <c r="Y55" s="7">
        <v>37.32062217</v>
      </c>
      <c r="Z55" s="7">
        <v>36.554817290000003</v>
      </c>
      <c r="AA55" s="7">
        <v>35.37809214</v>
      </c>
      <c r="AB55" s="7">
        <v>34.255919169999999</v>
      </c>
      <c r="AC55" s="7">
        <v>33.637686000000002</v>
      </c>
    </row>
    <row r="56" spans="1:29" x14ac:dyDescent="0.85">
      <c r="A56" t="s">
        <v>154</v>
      </c>
      <c r="B56" s="7">
        <v>9701.1202276099993</v>
      </c>
      <c r="C56" s="7">
        <v>10128.84940551</v>
      </c>
      <c r="D56" s="7">
        <v>10558.113763859999</v>
      </c>
      <c r="E56" s="7">
        <v>10991.8585604</v>
      </c>
      <c r="F56" s="7">
        <v>11406.159186090001</v>
      </c>
      <c r="G56" s="7">
        <v>11752.623208839999</v>
      </c>
      <c r="H56" s="7">
        <v>12544.28945495</v>
      </c>
      <c r="I56" s="7">
        <v>13378.45589304</v>
      </c>
      <c r="J56" s="7">
        <v>14254.311878799999</v>
      </c>
      <c r="K56" s="7">
        <v>15183.60470122</v>
      </c>
      <c r="L56" s="7">
        <v>14994.732821789999</v>
      </c>
      <c r="M56" s="7">
        <v>14394.94350892</v>
      </c>
      <c r="N56" s="7">
        <v>13839.85420172</v>
      </c>
      <c r="O56" s="7">
        <v>13303.77123258</v>
      </c>
      <c r="P56" s="7">
        <v>12771.62038328</v>
      </c>
      <c r="Q56" s="7">
        <v>12260.75556795</v>
      </c>
      <c r="R56" s="7">
        <v>11770.32534523</v>
      </c>
      <c r="S56" s="7">
        <v>11299.512331419999</v>
      </c>
      <c r="T56" s="7">
        <v>10847.531838159999</v>
      </c>
      <c r="U56" s="7">
        <v>10413.63056464</v>
      </c>
      <c r="V56" s="7">
        <v>9997.1112897500007</v>
      </c>
      <c r="W56" s="7">
        <v>10701.89690733</v>
      </c>
      <c r="X56" s="7">
        <v>11194.268403800001</v>
      </c>
      <c r="Y56" s="7">
        <v>11686.84215153</v>
      </c>
      <c r="Z56" s="7">
        <v>11927.571719039999</v>
      </c>
      <c r="AA56" s="7">
        <v>12126.38935725</v>
      </c>
      <c r="AB56" s="7">
        <v>12327.749366640001</v>
      </c>
      <c r="AC56" s="7">
        <v>12533.511524809999</v>
      </c>
    </row>
    <row r="57" spans="1:29" x14ac:dyDescent="0.85">
      <c r="A57" t="s">
        <v>155</v>
      </c>
      <c r="B57" s="7">
        <v>4391.4404043000004</v>
      </c>
      <c r="C57" s="7">
        <v>4773.1115718700003</v>
      </c>
      <c r="D57" s="7">
        <v>5152.5350967300001</v>
      </c>
      <c r="E57" s="7">
        <v>5532.05256517</v>
      </c>
      <c r="F57" s="7">
        <v>5885.3462053000003</v>
      </c>
      <c r="G57" s="7">
        <v>5988.2612418899998</v>
      </c>
      <c r="H57" s="7">
        <v>6436.6421249599998</v>
      </c>
      <c r="I57" s="7">
        <v>6886.9214927399998</v>
      </c>
      <c r="J57" s="7">
        <v>7434.63410492</v>
      </c>
      <c r="K57" s="7">
        <v>7491.8422227199999</v>
      </c>
      <c r="L57" s="7">
        <v>7513.5163820999996</v>
      </c>
      <c r="M57" s="7">
        <v>6722.1930878200001</v>
      </c>
      <c r="N57" s="7">
        <v>5865.2027018099998</v>
      </c>
      <c r="O57" s="7">
        <v>5009.6115511400003</v>
      </c>
      <c r="P57" s="7">
        <v>4202.9309984399997</v>
      </c>
      <c r="Q57" s="7">
        <v>3492.6736437099999</v>
      </c>
      <c r="R57" s="7">
        <v>2877.7625122999998</v>
      </c>
      <c r="S57" s="7">
        <v>2374.0284679199999</v>
      </c>
      <c r="T57" s="7">
        <v>1967.9123484500001</v>
      </c>
      <c r="U57" s="7">
        <v>1628.8340779800001</v>
      </c>
      <c r="V57" s="7">
        <v>1345.6457391199999</v>
      </c>
      <c r="W57" s="7">
        <v>1598.63072087</v>
      </c>
      <c r="X57" s="7">
        <v>1763.1886258699999</v>
      </c>
      <c r="Y57" s="7">
        <v>1858.4146548399999</v>
      </c>
      <c r="Z57" s="7">
        <v>1820.2806977600001</v>
      </c>
      <c r="AA57" s="7">
        <v>1761.6845882099999</v>
      </c>
      <c r="AB57" s="7">
        <v>1705.8049546699999</v>
      </c>
      <c r="AC57" s="7">
        <v>1675.01946589</v>
      </c>
    </row>
    <row r="58" spans="1:29" x14ac:dyDescent="0.85">
      <c r="A58" t="s">
        <v>156</v>
      </c>
      <c r="B58" s="7">
        <v>1</v>
      </c>
      <c r="C58" s="7">
        <v>1.04</v>
      </c>
      <c r="D58" s="7">
        <v>1.0875944799999999</v>
      </c>
      <c r="E58" s="7">
        <v>1.08581288</v>
      </c>
      <c r="F58" s="7">
        <v>1.0844600600000001</v>
      </c>
      <c r="G58" s="7">
        <v>1.0809287400000001</v>
      </c>
      <c r="H58" s="7">
        <v>1.07330747</v>
      </c>
      <c r="I58" s="7">
        <v>1.1109271599999999</v>
      </c>
      <c r="J58" s="7">
        <v>1.1098521299999999</v>
      </c>
      <c r="K58" s="7">
        <v>1.10956688</v>
      </c>
      <c r="L58" s="7">
        <v>1.1081638599999999</v>
      </c>
      <c r="M58" s="7">
        <v>1.02870917</v>
      </c>
      <c r="N58" s="7">
        <v>1</v>
      </c>
      <c r="O58" s="7">
        <v>1.0014985300000001</v>
      </c>
      <c r="P58" s="7">
        <v>1.00131799</v>
      </c>
      <c r="Q58" s="7">
        <v>1</v>
      </c>
      <c r="R58" s="7">
        <v>1</v>
      </c>
      <c r="S58" s="7">
        <v>1</v>
      </c>
      <c r="T58" s="7">
        <v>1</v>
      </c>
      <c r="U58" s="7">
        <v>1</v>
      </c>
      <c r="V58" s="7">
        <v>1</v>
      </c>
      <c r="W58" s="7">
        <v>1.0000026</v>
      </c>
      <c r="X58" s="7">
        <v>1.1151030500000001</v>
      </c>
      <c r="Y58" s="7">
        <v>1.0895915300000001</v>
      </c>
      <c r="Z58" s="7">
        <v>1.0875024099999999</v>
      </c>
      <c r="AA58" s="7">
        <v>1.06312327</v>
      </c>
      <c r="AB58" s="7">
        <v>1.0590299400000001</v>
      </c>
      <c r="AC58" s="7">
        <v>1.0589636499999999</v>
      </c>
    </row>
    <row r="59" spans="1:29" x14ac:dyDescent="0.85">
      <c r="A59" t="s">
        <v>157</v>
      </c>
      <c r="B59" s="7">
        <v>1</v>
      </c>
      <c r="C59" s="7">
        <v>1.0875944799999999</v>
      </c>
      <c r="D59" s="7">
        <v>1.08581288</v>
      </c>
      <c r="E59" s="7">
        <v>1.0844600600000001</v>
      </c>
      <c r="F59" s="7">
        <v>1.0809287400000001</v>
      </c>
      <c r="G59" s="7">
        <v>1.07330747</v>
      </c>
      <c r="H59" s="7">
        <v>1.11183418</v>
      </c>
      <c r="I59" s="7">
        <v>1.11093511</v>
      </c>
      <c r="J59" s="7">
        <v>1.10986213</v>
      </c>
      <c r="K59" s="7">
        <v>1.1095768800000001</v>
      </c>
      <c r="L59" s="7">
        <v>1.02870917</v>
      </c>
      <c r="M59" s="7">
        <v>1</v>
      </c>
      <c r="N59" s="7">
        <v>1.0014985300000001</v>
      </c>
      <c r="O59" s="7">
        <v>1.00131799</v>
      </c>
      <c r="P59" s="7">
        <v>1</v>
      </c>
      <c r="Q59" s="7">
        <v>1</v>
      </c>
      <c r="R59" s="7">
        <v>1</v>
      </c>
      <c r="S59" s="7">
        <v>1</v>
      </c>
      <c r="T59" s="7">
        <v>1</v>
      </c>
      <c r="U59" s="7">
        <v>1</v>
      </c>
      <c r="V59" s="7">
        <v>1.0000026</v>
      </c>
      <c r="W59" s="7">
        <v>1.1151030500000001</v>
      </c>
      <c r="X59" s="7">
        <v>1.0895915300000001</v>
      </c>
      <c r="Y59" s="7">
        <v>1.0875024099999999</v>
      </c>
      <c r="Z59" s="7">
        <v>1.06312327</v>
      </c>
      <c r="AA59" s="7">
        <v>1.0590299400000001</v>
      </c>
      <c r="AB59" s="7">
        <v>1.0589636499999999</v>
      </c>
      <c r="AC59" s="7">
        <v>1.0590531000000001</v>
      </c>
    </row>
    <row r="60" spans="1:29" x14ac:dyDescent="0.85">
      <c r="A60" t="s">
        <v>158</v>
      </c>
      <c r="B60" s="7">
        <v>1</v>
      </c>
      <c r="C60" s="7">
        <v>1.1256657299999999</v>
      </c>
      <c r="D60" s="7">
        <v>1.12143211</v>
      </c>
      <c r="E60" s="7">
        <v>1.1175959499999999</v>
      </c>
      <c r="F60" s="7">
        <v>1.11409804</v>
      </c>
      <c r="G60" s="7">
        <v>1.1115171100000001</v>
      </c>
      <c r="H60" s="7">
        <v>1.11186374</v>
      </c>
      <c r="I60" s="7">
        <v>1.11093716</v>
      </c>
      <c r="J60" s="7">
        <v>1.10986213</v>
      </c>
      <c r="K60" s="7">
        <v>1.1095768800000001</v>
      </c>
      <c r="L60" s="7">
        <v>1.10817386</v>
      </c>
      <c r="M60" s="7">
        <v>1.10992695</v>
      </c>
      <c r="N60" s="7">
        <v>1.1162713900000001</v>
      </c>
      <c r="O60" s="7">
        <v>1.1241032</v>
      </c>
      <c r="P60" s="7">
        <v>1.1327064</v>
      </c>
      <c r="Q60" s="7">
        <v>1.1421877199999999</v>
      </c>
      <c r="R60" s="7">
        <v>1.1524053700000001</v>
      </c>
      <c r="S60" s="7">
        <v>1.1634143100000001</v>
      </c>
      <c r="T60" s="7">
        <v>1.17432376</v>
      </c>
      <c r="U60" s="7">
        <v>1.18503775</v>
      </c>
      <c r="V60" s="7">
        <v>1.19648215</v>
      </c>
      <c r="W60" s="7">
        <v>1.2089417</v>
      </c>
      <c r="X60" s="7">
        <v>1.19887309</v>
      </c>
      <c r="Y60" s="7">
        <v>1.1948460599999999</v>
      </c>
      <c r="Z60" s="7">
        <v>1.1939700900000001</v>
      </c>
      <c r="AA60" s="7">
        <v>1.19705426</v>
      </c>
      <c r="AB60" s="7">
        <v>1.2008359099999999</v>
      </c>
      <c r="AC60" s="7">
        <v>1.20464982</v>
      </c>
    </row>
    <row r="61" spans="1:29" x14ac:dyDescent="0.85">
      <c r="A61" t="s">
        <v>159</v>
      </c>
      <c r="B61" s="7">
        <v>13752</v>
      </c>
      <c r="C61" s="7">
        <v>13408.2</v>
      </c>
      <c r="D61" s="7">
        <v>13072.995000000001</v>
      </c>
      <c r="E61" s="7">
        <v>12746.170125000001</v>
      </c>
      <c r="F61" s="7">
        <v>12427.515871879999</v>
      </c>
      <c r="G61" s="7">
        <v>12116.827975079999</v>
      </c>
      <c r="H61" s="7">
        <v>11813.907275699999</v>
      </c>
      <c r="I61" s="7">
        <v>11518.55959381</v>
      </c>
      <c r="J61" s="7">
        <v>11230.595603960001</v>
      </c>
      <c r="K61" s="7">
        <v>10949.830713859999</v>
      </c>
      <c r="L61" s="7">
        <v>10676.084946020001</v>
      </c>
      <c r="M61" s="7">
        <v>10409.182822369999</v>
      </c>
      <c r="N61" s="7">
        <v>10148.95325181</v>
      </c>
      <c r="O61" s="7">
        <v>9895.2294205100006</v>
      </c>
      <c r="P61" s="7">
        <v>9647.8486850000008</v>
      </c>
      <c r="Q61" s="7">
        <v>9406.6524678799997</v>
      </c>
      <c r="R61" s="7">
        <v>9171.4861561800008</v>
      </c>
      <c r="S61" s="7">
        <v>8942.1990022699993</v>
      </c>
      <c r="T61" s="7">
        <v>8718.6440272199998</v>
      </c>
      <c r="U61" s="7">
        <v>8500.67792654</v>
      </c>
      <c r="V61" s="7">
        <v>8288.1609783700005</v>
      </c>
      <c r="W61" s="7">
        <v>8080.9569539100003</v>
      </c>
      <c r="X61" s="7">
        <v>7878.9330300700003</v>
      </c>
      <c r="Y61" s="7">
        <v>7681.9597043100002</v>
      </c>
      <c r="Z61" s="7">
        <v>7489.9107117100002</v>
      </c>
      <c r="AA61" s="7">
        <v>7302.6629439099997</v>
      </c>
      <c r="AB61" s="7">
        <v>7120.0963703199996</v>
      </c>
      <c r="AC61" s="7">
        <v>6942.0939610599999</v>
      </c>
    </row>
    <row r="62" spans="1:29" x14ac:dyDescent="0.85">
      <c r="A62" t="s">
        <v>160</v>
      </c>
      <c r="B62" s="7">
        <v>69524120</v>
      </c>
      <c r="C62" s="7">
        <v>67779771.389800698</v>
      </c>
      <c r="D62" s="7">
        <v>66085274.8946485</v>
      </c>
      <c r="E62" s="7">
        <v>64355962.269540802</v>
      </c>
      <c r="F62" s="7">
        <v>62747063.187855102</v>
      </c>
      <c r="G62" s="7">
        <v>59714504.041599199</v>
      </c>
      <c r="H62" s="7">
        <v>42011249.360853598</v>
      </c>
      <c r="I62" s="7">
        <v>24436935.643645398</v>
      </c>
      <c r="J62" s="7">
        <v>1028469.67572134</v>
      </c>
      <c r="K62" s="7">
        <v>0</v>
      </c>
      <c r="L62" s="7">
        <v>0</v>
      </c>
      <c r="M62" s="7">
        <v>0</v>
      </c>
      <c r="N62" s="7">
        <v>0</v>
      </c>
      <c r="O62" s="7">
        <v>0</v>
      </c>
      <c r="P62" s="7">
        <v>0</v>
      </c>
      <c r="Q62" s="7">
        <v>0</v>
      </c>
      <c r="R62" s="7">
        <v>0</v>
      </c>
      <c r="S62" s="7">
        <v>0</v>
      </c>
      <c r="T62" s="7">
        <v>0</v>
      </c>
      <c r="U62" s="7">
        <v>0</v>
      </c>
      <c r="V62" s="7">
        <v>0</v>
      </c>
      <c r="W62" s="7">
        <v>0</v>
      </c>
      <c r="X62" s="7">
        <v>0</v>
      </c>
      <c r="Y62" s="7">
        <v>0</v>
      </c>
      <c r="Z62" s="7">
        <v>0</v>
      </c>
      <c r="AA62" s="7">
        <v>0</v>
      </c>
      <c r="AB62" s="7">
        <v>0</v>
      </c>
      <c r="AC62" s="7">
        <v>0</v>
      </c>
    </row>
    <row r="63" spans="1:29" x14ac:dyDescent="0.85">
      <c r="A63" t="s">
        <v>161</v>
      </c>
      <c r="B63" s="7">
        <v>69524120</v>
      </c>
      <c r="C63" s="7">
        <v>67779771.389800698</v>
      </c>
      <c r="D63" s="7">
        <v>66085274.8946485</v>
      </c>
      <c r="E63" s="7">
        <v>64355962.269540802</v>
      </c>
      <c r="F63" s="7">
        <v>62747063.187855102</v>
      </c>
      <c r="G63" s="7">
        <v>59714504.041599199</v>
      </c>
      <c r="H63" s="7">
        <v>42011249.360853598</v>
      </c>
      <c r="I63" s="7">
        <v>24436935.643645398</v>
      </c>
      <c r="J63" s="7">
        <v>1028469.67572134</v>
      </c>
      <c r="K63" s="7">
        <v>0</v>
      </c>
      <c r="L63" s="7">
        <v>0</v>
      </c>
      <c r="M63" s="7">
        <v>0</v>
      </c>
      <c r="N63" s="7">
        <v>0</v>
      </c>
      <c r="O63" s="7">
        <v>0</v>
      </c>
      <c r="P63" s="7">
        <v>0</v>
      </c>
      <c r="Q63" s="7">
        <v>0</v>
      </c>
      <c r="R63" s="7">
        <v>0</v>
      </c>
      <c r="S63" s="7">
        <v>0</v>
      </c>
      <c r="T63" s="7">
        <v>0</v>
      </c>
      <c r="U63" s="7">
        <v>0</v>
      </c>
      <c r="V63" s="7">
        <v>0</v>
      </c>
      <c r="W63" s="7">
        <v>0</v>
      </c>
      <c r="X63" s="7">
        <v>0</v>
      </c>
      <c r="Y63" s="7">
        <v>0</v>
      </c>
      <c r="Z63" s="7">
        <v>0</v>
      </c>
      <c r="AA63" s="7">
        <v>0</v>
      </c>
      <c r="AB63" s="7">
        <v>0</v>
      </c>
      <c r="AC63" s="7">
        <v>0</v>
      </c>
    </row>
    <row r="64" spans="1:29" x14ac:dyDescent="0.85">
      <c r="A64" t="s">
        <v>162</v>
      </c>
      <c r="B64" s="7">
        <v>9849.9448246699994</v>
      </c>
      <c r="C64" s="7">
        <v>9603.5508062400004</v>
      </c>
      <c r="D64" s="7">
        <v>9363.4619846299993</v>
      </c>
      <c r="E64" s="7">
        <v>9127.5786670899997</v>
      </c>
      <c r="F64" s="7">
        <v>8899.3891998300005</v>
      </c>
      <c r="G64" s="7">
        <v>8642.8252836899992</v>
      </c>
      <c r="H64" s="7">
        <v>8049.37672398</v>
      </c>
      <c r="I64" s="7">
        <v>7463.4628296700002</v>
      </c>
      <c r="J64" s="7">
        <v>6746.1494677399996</v>
      </c>
      <c r="K64" s="7">
        <v>6554.1515263499996</v>
      </c>
      <c r="L64" s="7">
        <v>6390.29773819</v>
      </c>
      <c r="M64" s="7">
        <v>6230.5402947299999</v>
      </c>
      <c r="N64" s="7">
        <v>6074.7767873700004</v>
      </c>
      <c r="O64" s="7">
        <v>5922.9073676799999</v>
      </c>
      <c r="P64" s="7">
        <v>5774.8346834900003</v>
      </c>
      <c r="Q64" s="7">
        <v>5630.4638163999998</v>
      </c>
      <c r="R64" s="7">
        <v>5489.7022209899997</v>
      </c>
      <c r="S64" s="7">
        <v>5352.4596654699999</v>
      </c>
      <c r="T64" s="7">
        <v>5218.6481738299999</v>
      </c>
      <c r="U64" s="7">
        <v>5088.1819694799997</v>
      </c>
      <c r="V64" s="7">
        <v>4960.9774202500003</v>
      </c>
      <c r="W64" s="7">
        <v>4836.9529847399999</v>
      </c>
      <c r="X64" s="7">
        <v>4716.0291601199997</v>
      </c>
      <c r="Y64" s="7">
        <v>4598.1284311199997</v>
      </c>
      <c r="Z64" s="7">
        <v>4483.1752203400001</v>
      </c>
      <c r="AA64" s="7">
        <v>4371.0958398299999</v>
      </c>
      <c r="AB64" s="7">
        <v>4261.8184438400003</v>
      </c>
      <c r="AC64" s="7">
        <v>4155.2729827399999</v>
      </c>
    </row>
    <row r="65" spans="1:29" x14ac:dyDescent="0.85">
      <c r="A65" t="s">
        <v>163</v>
      </c>
      <c r="B65" s="7">
        <v>0</v>
      </c>
      <c r="C65" s="7">
        <v>1111.5882507900001</v>
      </c>
      <c r="D65" s="7">
        <v>2167.5970165399999</v>
      </c>
      <c r="E65" s="7">
        <v>3166.3133436600001</v>
      </c>
      <c r="F65" s="7">
        <v>4116.2073451200004</v>
      </c>
      <c r="G65" s="7">
        <v>4896.5893314100003</v>
      </c>
      <c r="H65" s="7">
        <v>4133.9069371100004</v>
      </c>
      <c r="I65" s="7">
        <v>2805.3602118899998</v>
      </c>
      <c r="J65" s="7">
        <v>134.93522145</v>
      </c>
      <c r="K65" s="7">
        <v>0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v>0</v>
      </c>
      <c r="W65" s="7">
        <v>0</v>
      </c>
      <c r="X65" s="7">
        <v>0</v>
      </c>
      <c r="Y65" s="7">
        <v>0</v>
      </c>
      <c r="Z65" s="7">
        <v>0</v>
      </c>
      <c r="AA65" s="7">
        <v>0</v>
      </c>
      <c r="AB65" s="7">
        <v>0</v>
      </c>
      <c r="AC65" s="7">
        <v>0</v>
      </c>
    </row>
    <row r="66" spans="1:29" x14ac:dyDescent="0.85">
      <c r="A66" t="s">
        <v>164</v>
      </c>
      <c r="B66" s="7">
        <v>57.009778400000002</v>
      </c>
      <c r="C66" s="7">
        <v>55.57941254</v>
      </c>
      <c r="D66" s="7">
        <v>54.189925410000001</v>
      </c>
      <c r="E66" s="7">
        <v>52.771889059999999</v>
      </c>
      <c r="F66" s="7">
        <v>51.452591810000001</v>
      </c>
      <c r="G66" s="7">
        <v>48.965893309999998</v>
      </c>
      <c r="H66" s="7">
        <v>34.449224479999998</v>
      </c>
      <c r="I66" s="7">
        <v>20.038287230000002</v>
      </c>
      <c r="J66" s="7">
        <v>0.84334513</v>
      </c>
      <c r="K66" s="7">
        <v>0</v>
      </c>
      <c r="L66" s="7">
        <v>0</v>
      </c>
      <c r="M66" s="7">
        <v>0</v>
      </c>
      <c r="N66" s="7">
        <v>0</v>
      </c>
      <c r="O66" s="7">
        <v>0</v>
      </c>
      <c r="P66" s="7">
        <v>0</v>
      </c>
      <c r="Q66" s="7">
        <v>0</v>
      </c>
      <c r="R66" s="7">
        <v>0</v>
      </c>
      <c r="S66" s="7">
        <v>0</v>
      </c>
      <c r="T66" s="7">
        <v>0</v>
      </c>
      <c r="U66" s="7">
        <v>0</v>
      </c>
      <c r="V66" s="7">
        <v>0</v>
      </c>
      <c r="W66" s="7">
        <v>0</v>
      </c>
      <c r="X66" s="7">
        <v>0</v>
      </c>
      <c r="Y66" s="7">
        <v>0</v>
      </c>
      <c r="Z66" s="7">
        <v>0</v>
      </c>
      <c r="AA66" s="7">
        <v>0</v>
      </c>
      <c r="AB66" s="7">
        <v>0</v>
      </c>
      <c r="AC66" s="7">
        <v>0</v>
      </c>
    </row>
    <row r="67" spans="1:29" x14ac:dyDescent="0.85">
      <c r="A67" t="s">
        <v>165</v>
      </c>
      <c r="B67" s="7">
        <v>8231.4233110700006</v>
      </c>
      <c r="C67" s="7">
        <v>8025.6377282900003</v>
      </c>
      <c r="D67" s="7">
        <v>7824.9967850800003</v>
      </c>
      <c r="E67" s="7">
        <v>7629.3718654499999</v>
      </c>
      <c r="F67" s="7">
        <v>7438.6375688199996</v>
      </c>
      <c r="G67" s="7">
        <v>7252.6716296000004</v>
      </c>
      <c r="H67" s="7">
        <v>7071.3548388600002</v>
      </c>
      <c r="I67" s="7">
        <v>6894.5709678900002</v>
      </c>
      <c r="J67" s="7">
        <v>6722.2066936900001</v>
      </c>
      <c r="K67" s="7">
        <v>6554.1515263499996</v>
      </c>
      <c r="L67" s="7">
        <v>6390.29773819</v>
      </c>
      <c r="M67" s="7">
        <v>6230.5402947299999</v>
      </c>
      <c r="N67" s="7">
        <v>6074.7767873700004</v>
      </c>
      <c r="O67" s="7">
        <v>5922.9073676799999</v>
      </c>
      <c r="P67" s="7">
        <v>5774.8346834900003</v>
      </c>
      <c r="Q67" s="7">
        <v>5630.4638163999998</v>
      </c>
      <c r="R67" s="7">
        <v>5489.7022209899997</v>
      </c>
      <c r="S67" s="7">
        <v>5352.4596654699999</v>
      </c>
      <c r="T67" s="7">
        <v>5218.6481738299999</v>
      </c>
      <c r="U67" s="7">
        <v>5088.1819694799997</v>
      </c>
      <c r="V67" s="7">
        <v>4960.9774202500003</v>
      </c>
      <c r="W67" s="7">
        <v>4836.9529847399999</v>
      </c>
      <c r="X67" s="7">
        <v>4716.0291601199997</v>
      </c>
      <c r="Y67" s="7">
        <v>4598.1284311199997</v>
      </c>
      <c r="Z67" s="7">
        <v>4483.1752203400001</v>
      </c>
      <c r="AA67" s="7">
        <v>4371.0958398299999</v>
      </c>
      <c r="AB67" s="7">
        <v>4261.8184438400003</v>
      </c>
      <c r="AC67" s="7">
        <v>4155.2729827399999</v>
      </c>
    </row>
    <row r="68" spans="1:29" x14ac:dyDescent="0.85">
      <c r="A68" t="s">
        <v>166</v>
      </c>
      <c r="B68" s="7">
        <v>1618.5215135999999</v>
      </c>
      <c r="C68" s="7">
        <v>1577.9130779499999</v>
      </c>
      <c r="D68" s="7">
        <v>1538.4651995500001</v>
      </c>
      <c r="E68" s="7">
        <v>1498.20680163</v>
      </c>
      <c r="F68" s="7">
        <v>1460.75163101</v>
      </c>
      <c r="G68" s="7">
        <v>1390.1536540899999</v>
      </c>
      <c r="H68" s="7">
        <v>978.02188511999998</v>
      </c>
      <c r="I68" s="7">
        <v>568.89186178</v>
      </c>
      <c r="J68" s="7">
        <v>23.942774050000001</v>
      </c>
      <c r="K68" s="7">
        <v>0</v>
      </c>
      <c r="L68" s="7">
        <v>0</v>
      </c>
      <c r="M68" s="7">
        <v>0</v>
      </c>
      <c r="N68" s="7">
        <v>0</v>
      </c>
      <c r="O68" s="7">
        <v>0</v>
      </c>
      <c r="P68" s="7">
        <v>0</v>
      </c>
      <c r="Q68" s="7">
        <v>0</v>
      </c>
      <c r="R68" s="7">
        <v>0</v>
      </c>
      <c r="S68" s="7">
        <v>0</v>
      </c>
      <c r="T68" s="7">
        <v>0</v>
      </c>
      <c r="U68" s="7">
        <v>0</v>
      </c>
      <c r="V68" s="7">
        <v>0</v>
      </c>
      <c r="W68" s="7">
        <v>0</v>
      </c>
      <c r="X68" s="7">
        <v>0</v>
      </c>
      <c r="Y68" s="7">
        <v>0</v>
      </c>
      <c r="Z68" s="7">
        <v>0</v>
      </c>
      <c r="AA68" s="7">
        <v>0</v>
      </c>
      <c r="AB68" s="7">
        <v>0</v>
      </c>
      <c r="AC68" s="7">
        <v>0</v>
      </c>
    </row>
    <row r="69" spans="1:29" x14ac:dyDescent="0.85">
      <c r="A69" t="s">
        <v>167</v>
      </c>
      <c r="B69" s="7">
        <v>1</v>
      </c>
      <c r="C69" s="7">
        <v>1.0249999999999999</v>
      </c>
      <c r="D69" s="7">
        <v>0.99990785999999998</v>
      </c>
      <c r="E69" s="7">
        <v>0.99999996999999996</v>
      </c>
      <c r="F69" s="7">
        <v>0.99880215999999999</v>
      </c>
      <c r="G69" s="7">
        <v>1</v>
      </c>
      <c r="H69" s="7">
        <v>0.97607189999999999</v>
      </c>
      <c r="I69" s="7">
        <v>0.72157446000000003</v>
      </c>
      <c r="J69" s="7">
        <v>0.59659077000000005</v>
      </c>
      <c r="K69" s="7">
        <v>4.3165830000000002E-2</v>
      </c>
      <c r="L69" s="7">
        <v>0</v>
      </c>
      <c r="M69" s="7">
        <v>0.77676389999999995</v>
      </c>
      <c r="N69" s="7">
        <v>1.1754999999999999E-3</v>
      </c>
      <c r="O69" s="7">
        <v>9.611E-4</v>
      </c>
      <c r="P69" s="7">
        <v>8.8628000000000003E-4</v>
      </c>
      <c r="Q69" s="7">
        <v>6.4942300000000001E-3</v>
      </c>
      <c r="R69" s="7">
        <v>5.4000000000000002E-7</v>
      </c>
      <c r="S69" s="7">
        <v>1.1496E-4</v>
      </c>
      <c r="T69" s="7">
        <v>6.3338099999999996E-3</v>
      </c>
      <c r="U69" s="7">
        <v>6.2783600000000002E-3</v>
      </c>
      <c r="V69" s="7">
        <v>5.5479300000000004E-3</v>
      </c>
      <c r="W69" s="7">
        <v>0</v>
      </c>
      <c r="X69" s="7">
        <v>0</v>
      </c>
      <c r="Y69" s="7">
        <v>0.24196981000000001</v>
      </c>
      <c r="Z69" s="7">
        <v>0.22185757</v>
      </c>
      <c r="AA69" s="7">
        <v>0.98743513000000005</v>
      </c>
      <c r="AB69" s="7">
        <v>0.95267064000000001</v>
      </c>
      <c r="AC69" s="7">
        <v>0.99954463000000005</v>
      </c>
    </row>
    <row r="70" spans="1:29" x14ac:dyDescent="0.85">
      <c r="A70" t="s">
        <v>168</v>
      </c>
      <c r="B70" s="7">
        <v>1</v>
      </c>
      <c r="C70" s="7">
        <v>0.99990785999999998</v>
      </c>
      <c r="D70" s="7">
        <v>0.99999996999999996</v>
      </c>
      <c r="E70" s="7">
        <v>0.99880215999999999</v>
      </c>
      <c r="F70" s="7">
        <v>1</v>
      </c>
      <c r="G70" s="7">
        <v>0.97607189999999999</v>
      </c>
      <c r="H70" s="7">
        <v>0.72157446000000003</v>
      </c>
      <c r="I70" s="7">
        <v>0.59659077000000005</v>
      </c>
      <c r="J70" s="7">
        <v>4.3165830000000002E-2</v>
      </c>
      <c r="K70" s="7">
        <v>0</v>
      </c>
      <c r="L70" s="7">
        <v>0.77676389999999995</v>
      </c>
      <c r="M70" s="7">
        <v>1.1754999999999999E-3</v>
      </c>
      <c r="N70" s="7">
        <v>9.611E-4</v>
      </c>
      <c r="O70" s="7">
        <v>8.8628000000000003E-4</v>
      </c>
      <c r="P70" s="7">
        <v>6.4942300000000001E-3</v>
      </c>
      <c r="Q70" s="7">
        <v>5.4000000000000002E-7</v>
      </c>
      <c r="R70" s="7">
        <v>1.1496E-4</v>
      </c>
      <c r="S70" s="7">
        <v>6.3338099999999996E-3</v>
      </c>
      <c r="T70" s="7">
        <v>6.2783600000000002E-3</v>
      </c>
      <c r="U70" s="7">
        <v>5.5479300000000004E-3</v>
      </c>
      <c r="V70" s="7">
        <v>0</v>
      </c>
      <c r="W70" s="7">
        <v>0</v>
      </c>
      <c r="X70" s="7">
        <v>0.24196981000000001</v>
      </c>
      <c r="Y70" s="7">
        <v>0.22185757</v>
      </c>
      <c r="Z70" s="7">
        <v>0.98743513000000005</v>
      </c>
      <c r="AA70" s="7">
        <v>0.95267064000000001</v>
      </c>
      <c r="AB70" s="7">
        <v>0.99954463000000005</v>
      </c>
      <c r="AC70" s="7">
        <v>0.99941687000000001</v>
      </c>
    </row>
    <row r="71" spans="1:29" x14ac:dyDescent="0.85">
      <c r="A71" t="s">
        <v>169</v>
      </c>
      <c r="B71" s="7">
        <v>1</v>
      </c>
      <c r="C71" s="7">
        <v>1.9631093100000001</v>
      </c>
      <c r="D71" s="7">
        <v>1.98947571</v>
      </c>
      <c r="E71" s="7">
        <v>2.0172749400000001</v>
      </c>
      <c r="F71" s="7">
        <v>2.0467006599999999</v>
      </c>
      <c r="G71" s="7">
        <v>2.0827454699999999</v>
      </c>
      <c r="H71" s="7">
        <v>2.1473579599999999</v>
      </c>
      <c r="I71" s="7">
        <v>2.2417032899999998</v>
      </c>
      <c r="J71" s="7">
        <v>2.3405546400000001</v>
      </c>
      <c r="K71" s="7">
        <v>2.45850459</v>
      </c>
      <c r="L71" s="7">
        <v>2.5669604100000001</v>
      </c>
      <c r="M71" s="7">
        <v>2.6180428400000002</v>
      </c>
      <c r="N71" s="7">
        <v>2.70446674</v>
      </c>
      <c r="O71" s="7">
        <v>2.8161647900000002</v>
      </c>
      <c r="P71" s="7">
        <v>2.9372084799999998</v>
      </c>
      <c r="Q71" s="7">
        <v>3.0665150799999998</v>
      </c>
      <c r="R71" s="7">
        <v>3.2035320999999999</v>
      </c>
      <c r="S71" s="7">
        <v>3.3486975600000002</v>
      </c>
      <c r="T71" s="7">
        <v>3.4872890299999999</v>
      </c>
      <c r="U71" s="7">
        <v>3.6179879499999998</v>
      </c>
      <c r="V71" s="7">
        <v>3.75540261</v>
      </c>
      <c r="W71" s="7">
        <v>3.90347394</v>
      </c>
      <c r="X71" s="7">
        <v>4.0171938300000001</v>
      </c>
      <c r="Y71" s="7">
        <v>4.1630842599999998</v>
      </c>
      <c r="Z71" s="7">
        <v>4.36866427</v>
      </c>
      <c r="AA71" s="7">
        <v>4.5874149700000002</v>
      </c>
      <c r="AB71" s="7">
        <v>4.8193279200000001</v>
      </c>
      <c r="AC71" s="7">
        <v>5.0650013500000002</v>
      </c>
    </row>
    <row r="72" spans="1:29" x14ac:dyDescent="0.85">
      <c r="A72" t="s">
        <v>170</v>
      </c>
      <c r="B72" s="7">
        <v>0</v>
      </c>
      <c r="C72" s="7">
        <v>2.1516999999999999E-4</v>
      </c>
      <c r="D72" s="7">
        <v>2.7042E-4</v>
      </c>
      <c r="E72" s="7">
        <v>0.42482041999999998</v>
      </c>
      <c r="F72" s="7">
        <v>0.47806947</v>
      </c>
      <c r="G72" s="7">
        <v>2.8050674600000001</v>
      </c>
      <c r="H72" s="7">
        <v>192.73147051999999</v>
      </c>
      <c r="I72" s="7">
        <v>364.50843313000001</v>
      </c>
      <c r="J72" s="7">
        <v>1157.1487253099999</v>
      </c>
      <c r="K72" s="7">
        <v>1041.4338527800001</v>
      </c>
      <c r="L72" s="7">
        <v>938.74526401000003</v>
      </c>
      <c r="M72" s="7">
        <v>844.87073760999999</v>
      </c>
      <c r="N72" s="7">
        <v>760.38366384999995</v>
      </c>
      <c r="O72" s="7">
        <v>684.34529746999999</v>
      </c>
      <c r="P72" s="7">
        <v>615.91093077999994</v>
      </c>
      <c r="Q72" s="7">
        <v>554.44145126000001</v>
      </c>
      <c r="R72" s="7">
        <v>498.99730613000003</v>
      </c>
      <c r="S72" s="7">
        <v>456.31909323000002</v>
      </c>
      <c r="T72" s="7">
        <v>410.68718390999999</v>
      </c>
      <c r="U72" s="7">
        <v>369.61861406999998</v>
      </c>
      <c r="V72" s="7">
        <v>466.25480105999998</v>
      </c>
      <c r="W72" s="7">
        <v>540.05438580999999</v>
      </c>
      <c r="X72" s="7">
        <v>486.96339241999999</v>
      </c>
      <c r="Y72" s="7">
        <v>438.29557482000001</v>
      </c>
      <c r="Z72" s="7">
        <v>394.46601819</v>
      </c>
      <c r="AA72" s="7">
        <v>355.73557867</v>
      </c>
      <c r="AB72" s="7">
        <v>320.16209085000003</v>
      </c>
      <c r="AC72" s="7">
        <v>288.28876706</v>
      </c>
    </row>
    <row r="73" spans="1:29" x14ac:dyDescent="0.85">
      <c r="A73" t="s">
        <v>171</v>
      </c>
      <c r="B73" s="7">
        <v>0</v>
      </c>
      <c r="C73" s="7">
        <v>5.3659999999999998E-5</v>
      </c>
      <c r="D73" s="7">
        <v>1.309E-5</v>
      </c>
      <c r="E73" s="7">
        <v>0.10573169</v>
      </c>
      <c r="F73" s="7">
        <v>2.040838E-2</v>
      </c>
      <c r="G73" s="7">
        <v>0.59764282000000002</v>
      </c>
      <c r="H73" s="7">
        <v>47.551728349999998</v>
      </c>
      <c r="I73" s="7">
        <v>47.762526190000003</v>
      </c>
      <c r="J73" s="7">
        <v>207.27278545999999</v>
      </c>
      <c r="K73" s="7">
        <v>0</v>
      </c>
      <c r="L73" s="7">
        <v>0.36369646</v>
      </c>
      <c r="M73" s="7">
        <v>211.2176844</v>
      </c>
      <c r="N73" s="7">
        <v>190.09591595000001</v>
      </c>
      <c r="O73" s="7">
        <v>171.08632437</v>
      </c>
      <c r="P73" s="7">
        <v>153.97773269999999</v>
      </c>
      <c r="Q73" s="7">
        <v>138.61036279999999</v>
      </c>
      <c r="R73" s="7">
        <v>124.7493265</v>
      </c>
      <c r="S73" s="7">
        <v>114.07976841</v>
      </c>
      <c r="T73" s="7">
        <v>102.67179598</v>
      </c>
      <c r="U73" s="7">
        <v>92.404653519999997</v>
      </c>
      <c r="V73" s="7">
        <v>155.17241098</v>
      </c>
      <c r="W73" s="7">
        <v>135.01358868</v>
      </c>
      <c r="X73" s="7">
        <v>121.74084798</v>
      </c>
      <c r="Y73" s="7">
        <v>109.57301937</v>
      </c>
      <c r="Z73" s="7">
        <v>98.616504169999999</v>
      </c>
      <c r="AA73" s="7">
        <v>88.933894170000002</v>
      </c>
      <c r="AB73" s="7">
        <v>80.040521279999993</v>
      </c>
      <c r="AC73" s="7">
        <v>72.072190509999999</v>
      </c>
    </row>
    <row r="74" spans="1:29" x14ac:dyDescent="0.85">
      <c r="A74" t="s">
        <v>172</v>
      </c>
      <c r="B74" s="7">
        <v>0</v>
      </c>
      <c r="C74" s="7">
        <v>5.3659999999999998E-5</v>
      </c>
      <c r="D74" s="7">
        <v>1.309E-5</v>
      </c>
      <c r="E74" s="7">
        <v>0.10573169</v>
      </c>
      <c r="F74" s="7">
        <v>2.040838E-2</v>
      </c>
      <c r="G74" s="7">
        <v>0.59764282000000002</v>
      </c>
      <c r="H74" s="7">
        <v>47.551728349999998</v>
      </c>
      <c r="I74" s="7">
        <v>47.762526190000003</v>
      </c>
      <c r="J74" s="7">
        <v>207.27278545999999</v>
      </c>
      <c r="K74" s="7">
        <v>0</v>
      </c>
      <c r="L74" s="7">
        <v>0.36369646</v>
      </c>
      <c r="M74" s="7">
        <v>211.2176844</v>
      </c>
      <c r="N74" s="7">
        <v>190.09591595000001</v>
      </c>
      <c r="O74" s="7">
        <v>171.08632437</v>
      </c>
      <c r="P74" s="7">
        <v>153.97773269999999</v>
      </c>
      <c r="Q74" s="7">
        <v>138.61036279999999</v>
      </c>
      <c r="R74" s="7">
        <v>124.7493265</v>
      </c>
      <c r="S74" s="7">
        <v>114.07976841</v>
      </c>
      <c r="T74" s="7">
        <v>102.67179598</v>
      </c>
      <c r="U74" s="7">
        <v>92.404653519999997</v>
      </c>
      <c r="V74" s="7">
        <v>155.17241098</v>
      </c>
      <c r="W74" s="7">
        <v>135.01358868</v>
      </c>
      <c r="X74" s="7">
        <v>121.74084798</v>
      </c>
      <c r="Y74" s="7">
        <v>109.57301937</v>
      </c>
      <c r="Z74" s="7">
        <v>98.616504169999999</v>
      </c>
      <c r="AA74" s="7">
        <v>88.933894170000002</v>
      </c>
      <c r="AB74" s="7">
        <v>80.040521279999993</v>
      </c>
      <c r="AC74" s="7">
        <v>72.072190509999999</v>
      </c>
    </row>
    <row r="75" spans="1:29" x14ac:dyDescent="0.85">
      <c r="A75" t="s">
        <v>173</v>
      </c>
      <c r="B75" s="7">
        <v>0</v>
      </c>
      <c r="C75" s="7">
        <v>5.7139999999999998E-5</v>
      </c>
      <c r="D75" s="7">
        <v>7.1810000000000005E-5</v>
      </c>
      <c r="E75" s="7">
        <v>0.11281951</v>
      </c>
      <c r="F75" s="7">
        <v>0.1269595</v>
      </c>
      <c r="G75" s="7">
        <v>0.74494008</v>
      </c>
      <c r="H75" s="7">
        <v>51.183669850000001</v>
      </c>
      <c r="I75" s="7">
        <v>96.801873259999994</v>
      </c>
      <c r="J75" s="7">
        <v>307.30274908000001</v>
      </c>
      <c r="K75" s="7">
        <v>276.56990544000001</v>
      </c>
      <c r="L75" s="7">
        <v>249.29926506999999</v>
      </c>
      <c r="M75" s="7">
        <v>224.37224251999999</v>
      </c>
      <c r="N75" s="7">
        <v>201.93501827</v>
      </c>
      <c r="O75" s="7">
        <v>181.74151645000001</v>
      </c>
      <c r="P75" s="7">
        <v>163.56740811</v>
      </c>
      <c r="Q75" s="7">
        <v>147.24296419999999</v>
      </c>
      <c r="R75" s="7">
        <v>132.51866777999999</v>
      </c>
      <c r="S75" s="7">
        <v>121.18461877999999</v>
      </c>
      <c r="T75" s="7">
        <v>109.0661569</v>
      </c>
      <c r="U75" s="7">
        <v>98.159580660000003</v>
      </c>
      <c r="V75" s="7">
        <v>123.82377542</v>
      </c>
      <c r="W75" s="7">
        <v>143.42219256999999</v>
      </c>
      <c r="X75" s="7">
        <v>129.32282244000001</v>
      </c>
      <c r="Y75" s="7">
        <v>116.39811467</v>
      </c>
      <c r="Z75" s="7">
        <v>104.75830344000001</v>
      </c>
      <c r="AA75" s="7">
        <v>94.472664249999994</v>
      </c>
      <c r="AB75" s="7">
        <v>85.025416430000007</v>
      </c>
      <c r="AC75" s="7">
        <v>76.560820820000004</v>
      </c>
    </row>
    <row r="76" spans="1:29" x14ac:dyDescent="0.85">
      <c r="A76" t="s">
        <v>174</v>
      </c>
      <c r="B76" s="7">
        <v>0</v>
      </c>
      <c r="C76" s="7">
        <v>0</v>
      </c>
      <c r="D76" s="7">
        <v>0</v>
      </c>
      <c r="E76" s="7">
        <v>7.0999999999999998E-7</v>
      </c>
      <c r="F76" s="7">
        <v>1.8E-7</v>
      </c>
      <c r="G76" s="7">
        <v>6.6499999999999999E-6</v>
      </c>
      <c r="H76" s="7">
        <v>6.3482000000000002E-4</v>
      </c>
      <c r="I76" s="7">
        <v>7.4390000000000003E-4</v>
      </c>
      <c r="J76" s="7">
        <v>3.6894599999999999E-3</v>
      </c>
      <c r="K76" s="7">
        <v>0</v>
      </c>
      <c r="L76" s="7">
        <v>8.0900000000000005E-6</v>
      </c>
      <c r="M76" s="7">
        <v>5.1695500000000002E-3</v>
      </c>
      <c r="N76" s="7">
        <v>5.0755599999999998E-3</v>
      </c>
      <c r="O76" s="7">
        <v>4.9486699999999996E-3</v>
      </c>
      <c r="P76" s="7">
        <v>4.7964100000000001E-3</v>
      </c>
      <c r="Q76" s="7">
        <v>4.6261200000000001E-3</v>
      </c>
      <c r="R76" s="7">
        <v>4.44108E-3</v>
      </c>
      <c r="S76" s="7">
        <v>4.3150699999999998E-3</v>
      </c>
      <c r="T76" s="7">
        <v>4.1120100000000001E-3</v>
      </c>
      <c r="U76" s="7">
        <v>3.9064099999999999E-3</v>
      </c>
      <c r="V76" s="7">
        <v>6.9051700000000004E-3</v>
      </c>
      <c r="W76" s="7">
        <v>6.3085099999999998E-3</v>
      </c>
      <c r="X76" s="7">
        <v>5.9592100000000004E-3</v>
      </c>
      <c r="Y76" s="7">
        <v>5.6074000000000002E-3</v>
      </c>
      <c r="Z76" s="7">
        <v>5.26612E-3</v>
      </c>
      <c r="AA76" s="7">
        <v>4.9469500000000003E-3</v>
      </c>
      <c r="AB76" s="7">
        <v>4.6303400000000002E-3</v>
      </c>
      <c r="AC76" s="7">
        <v>4.3297400000000003E-3</v>
      </c>
    </row>
    <row r="77" spans="1:29" x14ac:dyDescent="0.85">
      <c r="A77" t="s">
        <v>175</v>
      </c>
      <c r="B77" s="7">
        <v>0</v>
      </c>
      <c r="C77" s="7">
        <v>0</v>
      </c>
      <c r="D77" s="7">
        <v>0</v>
      </c>
      <c r="E77" s="7">
        <v>1E-8</v>
      </c>
      <c r="F77" s="7">
        <v>0</v>
      </c>
      <c r="G77" s="7">
        <v>7.0000000000000005E-8</v>
      </c>
      <c r="H77" s="7">
        <v>5.2900000000000002E-6</v>
      </c>
      <c r="I77" s="7">
        <v>5.31E-6</v>
      </c>
      <c r="J77" s="7">
        <v>2.3059999999999999E-5</v>
      </c>
      <c r="K77" s="7">
        <v>0</v>
      </c>
      <c r="L77" s="7">
        <v>4.0000000000000001E-8</v>
      </c>
      <c r="M77" s="7">
        <v>2.3499999999999999E-5</v>
      </c>
      <c r="N77" s="7">
        <v>2.1149999999999999E-5</v>
      </c>
      <c r="O77" s="7">
        <v>1.9029999999999999E-5</v>
      </c>
      <c r="P77" s="7">
        <v>1.713E-5</v>
      </c>
      <c r="Q77" s="7">
        <v>1.5420000000000001E-5</v>
      </c>
      <c r="R77" s="7">
        <v>1.3879999999999999E-5</v>
      </c>
      <c r="S77" s="7">
        <v>1.269E-5</v>
      </c>
      <c r="T77" s="7">
        <v>1.1420000000000001E-5</v>
      </c>
      <c r="U77" s="7">
        <v>1.028E-5</v>
      </c>
      <c r="V77" s="7">
        <v>1.7260000000000001E-5</v>
      </c>
      <c r="W77" s="7">
        <v>1.502E-5</v>
      </c>
      <c r="X77" s="7">
        <v>1.3540000000000001E-5</v>
      </c>
      <c r="Y77" s="7">
        <v>1.219E-5</v>
      </c>
      <c r="Z77" s="7">
        <v>1.097E-5</v>
      </c>
      <c r="AA77" s="7">
        <v>9.8900000000000002E-6</v>
      </c>
      <c r="AB77" s="7">
        <v>8.8999999999999995E-6</v>
      </c>
      <c r="AC77" s="7">
        <v>8.0199999999999994E-6</v>
      </c>
    </row>
    <row r="78" spans="1:29" x14ac:dyDescent="0.85">
      <c r="A78" t="s">
        <v>176</v>
      </c>
      <c r="B78" s="7">
        <v>0</v>
      </c>
      <c r="C78" s="7">
        <v>5.7139999999999998E-5</v>
      </c>
      <c r="D78" s="7">
        <v>7.1810000000000005E-5</v>
      </c>
      <c r="E78" s="7">
        <v>0.11281806</v>
      </c>
      <c r="F78" s="7">
        <v>0.12695922000000001</v>
      </c>
      <c r="G78" s="7">
        <v>0.74493184999999995</v>
      </c>
      <c r="H78" s="7">
        <v>51.183015070000003</v>
      </c>
      <c r="I78" s="7">
        <v>96.801215569999997</v>
      </c>
      <c r="J78" s="7">
        <v>307.29989494</v>
      </c>
      <c r="K78" s="7">
        <v>276.56990544000001</v>
      </c>
      <c r="L78" s="7">
        <v>249.29926005999999</v>
      </c>
      <c r="M78" s="7">
        <v>224.36933406</v>
      </c>
      <c r="N78" s="7">
        <v>201.93240065000001</v>
      </c>
      <c r="O78" s="7">
        <v>181.73916059000001</v>
      </c>
      <c r="P78" s="7">
        <v>163.56528782999999</v>
      </c>
      <c r="Q78" s="7">
        <v>147.24105553000001</v>
      </c>
      <c r="R78" s="7">
        <v>132.51694997999999</v>
      </c>
      <c r="S78" s="7">
        <v>121.18304790000001</v>
      </c>
      <c r="T78" s="7">
        <v>109.06474310999999</v>
      </c>
      <c r="U78" s="7">
        <v>98.158308250000005</v>
      </c>
      <c r="V78" s="7">
        <v>123.82163869</v>
      </c>
      <c r="W78" s="7">
        <v>143.42033344000001</v>
      </c>
      <c r="X78" s="7">
        <v>129.32114607</v>
      </c>
      <c r="Y78" s="7">
        <v>116.39660585</v>
      </c>
      <c r="Z78" s="7">
        <v>104.75694549000001</v>
      </c>
      <c r="AA78" s="7">
        <v>94.471439630000006</v>
      </c>
      <c r="AB78" s="7">
        <v>85.024314270000005</v>
      </c>
      <c r="AC78" s="7">
        <v>76.559828390000007</v>
      </c>
    </row>
    <row r="79" spans="1:29" x14ac:dyDescent="0.85">
      <c r="A79" t="s">
        <v>177</v>
      </c>
      <c r="B79" s="7">
        <v>0</v>
      </c>
      <c r="C79" s="7">
        <v>0</v>
      </c>
      <c r="D79" s="7">
        <v>0</v>
      </c>
      <c r="E79" s="7">
        <v>1.46E-6</v>
      </c>
      <c r="F79" s="7">
        <v>2.8000000000000002E-7</v>
      </c>
      <c r="G79" s="7">
        <v>8.2300000000000008E-6</v>
      </c>
      <c r="H79" s="7">
        <v>6.5479000000000004E-4</v>
      </c>
      <c r="I79" s="7">
        <v>6.5769000000000005E-4</v>
      </c>
      <c r="J79" s="7">
        <v>2.8541500000000002E-3</v>
      </c>
      <c r="K79" s="7">
        <v>0</v>
      </c>
      <c r="L79" s="7">
        <v>5.0100000000000003E-6</v>
      </c>
      <c r="M79" s="7">
        <v>2.9084699999999998E-3</v>
      </c>
      <c r="N79" s="7">
        <v>2.6176200000000002E-3</v>
      </c>
      <c r="O79" s="7">
        <v>2.35586E-3</v>
      </c>
      <c r="P79" s="7">
        <v>2.1202700000000001E-3</v>
      </c>
      <c r="Q79" s="7">
        <v>1.90866E-3</v>
      </c>
      <c r="R79" s="7">
        <v>1.7178E-3</v>
      </c>
      <c r="S79" s="7">
        <v>1.57088E-3</v>
      </c>
      <c r="T79" s="7">
        <v>1.4137900000000001E-3</v>
      </c>
      <c r="U79" s="7">
        <v>1.2724100000000001E-3</v>
      </c>
      <c r="V79" s="7">
        <v>2.1367199999999999E-3</v>
      </c>
      <c r="W79" s="7">
        <v>1.85914E-3</v>
      </c>
      <c r="X79" s="7">
        <v>1.6763699999999999E-3</v>
      </c>
      <c r="Y79" s="7">
        <v>1.5088199999999999E-3</v>
      </c>
      <c r="Z79" s="7">
        <v>1.3579499999999999E-3</v>
      </c>
      <c r="AA79" s="7">
        <v>1.22462E-3</v>
      </c>
      <c r="AB79" s="7">
        <v>1.10216E-3</v>
      </c>
      <c r="AC79" s="7">
        <v>9.9243000000000009E-4</v>
      </c>
    </row>
    <row r="80" spans="1:29" x14ac:dyDescent="0.85">
      <c r="A80" t="s">
        <v>178</v>
      </c>
      <c r="B80" s="7">
        <v>1</v>
      </c>
      <c r="C80" s="7">
        <v>1.1000000000000001</v>
      </c>
      <c r="D80" s="7">
        <v>1.0000001199999999</v>
      </c>
      <c r="E80" s="7">
        <v>1.00000004</v>
      </c>
      <c r="F80" s="7">
        <v>1.0002274799999999</v>
      </c>
      <c r="G80" s="7">
        <v>1.0000511000000001</v>
      </c>
      <c r="H80" s="7">
        <v>1.00125624</v>
      </c>
      <c r="I80" s="7">
        <v>1.0972949299999999</v>
      </c>
      <c r="J80" s="7">
        <v>1.09237552</v>
      </c>
      <c r="K80" s="7">
        <v>1.38000638</v>
      </c>
      <c r="L80" s="7">
        <v>1</v>
      </c>
      <c r="M80" s="7">
        <v>1.0005965100000001</v>
      </c>
      <c r="N80" s="7">
        <v>1</v>
      </c>
      <c r="O80" s="7">
        <v>1</v>
      </c>
      <c r="P80" s="7">
        <v>1</v>
      </c>
      <c r="Q80" s="7">
        <v>1.0000000600000001</v>
      </c>
      <c r="R80" s="7">
        <v>1.00004286</v>
      </c>
      <c r="S80" s="7">
        <v>1</v>
      </c>
      <c r="T80" s="7">
        <v>1.0023536900000001</v>
      </c>
      <c r="U80" s="7">
        <v>1</v>
      </c>
      <c r="V80" s="7">
        <v>1.0000000499999999</v>
      </c>
      <c r="W80" s="7">
        <v>1.0400026600000001</v>
      </c>
      <c r="X80" s="7">
        <v>1.0350633300000001</v>
      </c>
      <c r="Y80" s="7">
        <v>1.00026266</v>
      </c>
      <c r="Z80" s="7">
        <v>1.0000080200000001</v>
      </c>
      <c r="AA80" s="7">
        <v>1</v>
      </c>
      <c r="AB80" s="7">
        <v>1.0001867</v>
      </c>
      <c r="AC80" s="7">
        <v>1.0000000200000001</v>
      </c>
    </row>
    <row r="81" spans="1:29" x14ac:dyDescent="0.85">
      <c r="A81" t="s">
        <v>179</v>
      </c>
      <c r="B81" s="7">
        <v>1</v>
      </c>
      <c r="C81" s="7">
        <v>1.0000001199999999</v>
      </c>
      <c r="D81" s="7">
        <v>1.00000004</v>
      </c>
      <c r="E81" s="7">
        <v>1.0002274799999999</v>
      </c>
      <c r="F81" s="7">
        <v>1.0000511000000001</v>
      </c>
      <c r="G81" s="7">
        <v>1.00125624</v>
      </c>
      <c r="H81" s="7">
        <v>1.0972949299999999</v>
      </c>
      <c r="I81" s="7">
        <v>1.09237552</v>
      </c>
      <c r="J81" s="7">
        <v>1.38000638</v>
      </c>
      <c r="K81" s="7">
        <v>1</v>
      </c>
      <c r="L81" s="7">
        <v>1.0005965100000001</v>
      </c>
      <c r="M81" s="7">
        <v>1</v>
      </c>
      <c r="N81" s="7">
        <v>1</v>
      </c>
      <c r="O81" s="7">
        <v>1</v>
      </c>
      <c r="P81" s="7">
        <v>1.0000000600000001</v>
      </c>
      <c r="Q81" s="7">
        <v>1.00004286</v>
      </c>
      <c r="R81" s="7">
        <v>1</v>
      </c>
      <c r="S81" s="7">
        <v>1.0023536900000001</v>
      </c>
      <c r="T81" s="7">
        <v>1</v>
      </c>
      <c r="U81" s="7">
        <v>1.0000000499999999</v>
      </c>
      <c r="V81" s="7">
        <v>1.0400026600000001</v>
      </c>
      <c r="W81" s="7">
        <v>1.0350633300000001</v>
      </c>
      <c r="X81" s="7">
        <v>1.00026266</v>
      </c>
      <c r="Y81" s="7">
        <v>1.0000080200000001</v>
      </c>
      <c r="Z81" s="7">
        <v>1</v>
      </c>
      <c r="AA81" s="7">
        <v>1.0001867</v>
      </c>
      <c r="AB81" s="7">
        <v>1.0000000200000001</v>
      </c>
      <c r="AC81" s="7">
        <v>1.00003457</v>
      </c>
    </row>
    <row r="82" spans="1:29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17</vt:i4>
      </vt:variant>
    </vt:vector>
  </HeadingPairs>
  <TitlesOfParts>
    <vt:vector size="34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Delta_Corner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2025-01-24T04:44:03Z</dcterms:modified>
</cp:coreProperties>
</file>