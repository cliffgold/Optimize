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0D053C27-9C2C-4BA3-8AB5-465221C5D0DE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N17" i="1" a="1"/>
  <c r="K28" i="1" a="1"/>
  <c r="P25" i="1" a="1"/>
  <c r="O21" i="1" a="1"/>
  <c r="M9" i="1" a="1"/>
  <c r="P7" i="1" a="1"/>
  <c r="K30" i="1" a="1"/>
  <c r="O32" i="1" a="1"/>
  <c r="L17" i="1" a="1"/>
  <c r="L7" i="1" a="1"/>
  <c r="M11" i="1" a="1"/>
  <c r="P32" i="1" a="1"/>
  <c r="L25" i="1" a="1"/>
  <c r="M29" i="1" a="1"/>
  <c r="P11" i="1" a="1"/>
  <c r="P30" i="1" a="1"/>
  <c r="K11" i="1" a="1"/>
  <c r="N10" i="1" a="1"/>
  <c r="N21" i="1" a="1"/>
  <c r="K20" i="1" a="1"/>
  <c r="M12" i="1" a="1"/>
  <c r="M19" i="1" a="1"/>
  <c r="N11" i="1" a="1"/>
  <c r="O19" i="1" a="1"/>
  <c r="P29" i="1" a="1"/>
  <c r="M7" i="1" a="1"/>
  <c r="N29" i="1" a="1"/>
  <c r="N20" i="1" a="1"/>
  <c r="N22" i="1" a="1"/>
  <c r="K26" i="1" a="1"/>
  <c r="L10" i="1" a="1"/>
  <c r="L11" i="1" a="1"/>
  <c r="L14" i="1" a="1"/>
  <c r="K23" i="1" a="1"/>
  <c r="K27" i="1" a="1"/>
  <c r="K31" i="1" a="1"/>
  <c r="P23" i="1" a="1"/>
  <c r="M15" i="1" a="1"/>
  <c r="L16" i="1" a="1"/>
  <c r="M25" i="1" a="1"/>
  <c r="M28" i="1" a="1"/>
  <c r="M14" i="1" a="1"/>
  <c r="L26" i="1" a="1"/>
  <c r="O27" i="1" a="1"/>
  <c r="O20" i="1" a="1"/>
  <c r="K24" i="1" a="1"/>
  <c r="P20" i="1" a="1"/>
  <c r="M16" i="1" a="1"/>
  <c r="K21" i="1" a="1"/>
  <c r="L13" i="1" a="1"/>
  <c r="P18" i="1" a="1"/>
  <c r="K17" i="1" a="1"/>
  <c r="N18" i="1" a="1"/>
  <c r="K10" i="1" a="1"/>
  <c r="M8" i="1" a="1"/>
  <c r="O24" i="1" a="1"/>
  <c r="P16" i="1" a="1"/>
  <c r="K18" i="1" a="1"/>
  <c r="K29" i="1" a="1"/>
  <c r="O18" i="1" a="1"/>
  <c r="K15" i="1" a="1"/>
  <c r="L27" i="1" a="1"/>
  <c r="N8" i="1" a="1"/>
  <c r="O16" i="1" a="1"/>
  <c r="L21" i="1" a="1"/>
  <c r="L19" i="1" a="1"/>
  <c r="M33" i="1" a="1"/>
  <c r="P9" i="1" a="1"/>
  <c r="P33" i="1" a="1"/>
  <c r="K33" i="1" a="1"/>
  <c r="O7" i="1" a="1"/>
  <c r="N7" i="1" a="1"/>
  <c r="L33" i="1" a="1"/>
  <c r="N9" i="1" a="1"/>
  <c r="O12" i="1" a="1"/>
  <c r="L32" i="1" a="1"/>
  <c r="P27" i="1" a="1"/>
  <c r="L15" i="1" a="1"/>
  <c r="N28" i="1" a="1"/>
  <c r="P22" i="1" a="1"/>
  <c r="P12" i="1" a="1"/>
  <c r="K32" i="1" a="1"/>
  <c r="P8" i="1" a="1"/>
  <c r="O23" i="1" a="1"/>
  <c r="P26" i="1" a="1"/>
  <c r="M23" i="1" a="1"/>
  <c r="M31" i="1" a="1"/>
  <c r="L23" i="1" a="1"/>
  <c r="M20" i="1" a="1"/>
  <c r="M22" i="1" a="1"/>
  <c r="N13" i="1" a="1"/>
  <c r="O25" i="1" a="1"/>
  <c r="K22" i="1" a="1"/>
  <c r="P31" i="1" a="1"/>
  <c r="P10" i="1" a="1"/>
  <c r="L29" i="1" a="1"/>
  <c r="O28" i="1" a="1"/>
  <c r="M10" i="1" a="1"/>
  <c r="K14" i="1" a="1"/>
  <c r="L8" i="1" a="1"/>
  <c r="K13" i="1" a="1"/>
  <c r="O26" i="1" a="1"/>
  <c r="M26" i="1" a="1"/>
  <c r="L12" i="1" a="1"/>
  <c r="L20" i="1" a="1"/>
  <c r="P17" i="1" a="1"/>
  <c r="M27" i="1" a="1"/>
  <c r="O31" i="1" a="1"/>
  <c r="N23" i="1" a="1"/>
  <c r="N12" i="1" a="1"/>
  <c r="N24" i="1" a="1"/>
  <c r="O29" i="1" a="1"/>
  <c r="M18" i="1" a="1"/>
  <c r="O33" i="1" a="1"/>
  <c r="N27" i="1" a="1"/>
  <c r="O17" i="1" a="1"/>
  <c r="M24" i="1" a="1"/>
  <c r="N14" i="1" a="1"/>
  <c r="N26" i="1" a="1"/>
  <c r="K25" i="1" a="1"/>
  <c r="O15" i="1" a="1"/>
  <c r="P24" i="1" a="1"/>
  <c r="L24" i="1" a="1"/>
  <c r="P19" i="1" a="1"/>
  <c r="L9" i="1" a="1"/>
  <c r="K16" i="1" a="1"/>
  <c r="N15" i="1" a="1"/>
  <c r="L28" i="1" a="1"/>
  <c r="L31" i="1" a="1"/>
  <c r="P13" i="1" a="1"/>
  <c r="O13" i="1" a="1"/>
  <c r="N33" i="1" a="1"/>
  <c r="N16" i="1" a="1"/>
  <c r="K7" i="1" a="1"/>
  <c r="O8" i="1" a="1"/>
  <c r="N19" i="1" a="1"/>
  <c r="P15" i="1" a="1"/>
  <c r="M13" i="1" a="1"/>
  <c r="P14" i="1" a="1"/>
  <c r="L18" i="1" a="1"/>
  <c r="N31" i="1" a="1"/>
  <c r="O11" i="1" a="1"/>
  <c r="O9" i="1" a="1"/>
  <c r="O14" i="1" a="1"/>
  <c r="O22" i="1" a="1"/>
  <c r="N25" i="1" a="1"/>
  <c r="M32" i="1" a="1"/>
  <c r="O30" i="1" a="1"/>
  <c r="K8" i="1" a="1"/>
  <c r="N30" i="1" a="1"/>
  <c r="L30" i="1" a="1"/>
  <c r="L22" i="1" a="1"/>
  <c r="M21" i="1" a="1"/>
  <c r="M17" i="1" a="1"/>
  <c r="M30" i="1" a="1"/>
  <c r="N32" i="1" a="1"/>
  <c r="P21" i="1" a="1"/>
  <c r="P28" i="1" a="1"/>
  <c r="K12" i="1" a="1"/>
  <c r="K19" i="1" a="1"/>
  <c r="K9" i="1" a="1"/>
  <c r="O20" i="1" l="1"/>
  <c r="N15" i="1"/>
  <c r="K29" i="1"/>
  <c r="P18" i="1"/>
  <c r="M32" i="1"/>
  <c r="N25" i="1"/>
  <c r="O18" i="1"/>
  <c r="L32" i="1"/>
  <c r="P28" i="1"/>
  <c r="M25" i="1"/>
  <c r="L20" i="1"/>
  <c r="P16" i="1"/>
  <c r="M13" i="1"/>
  <c r="L8" i="1"/>
  <c r="P33" i="1"/>
  <c r="M30" i="1"/>
  <c r="N23" i="1"/>
  <c r="K20" i="1"/>
  <c r="O16" i="1"/>
  <c r="L13" i="1"/>
  <c r="K8" i="1"/>
  <c r="O33" i="1"/>
  <c r="L30" i="1"/>
  <c r="N28" i="1"/>
  <c r="P26" i="1"/>
  <c r="K25" i="1"/>
  <c r="M23" i="1"/>
  <c r="O21" i="1"/>
  <c r="L18" i="1"/>
  <c r="V17" i="1" s="1"/>
  <c r="P14" i="1"/>
  <c r="K13" i="1"/>
  <c r="M11" i="1"/>
  <c r="O9" i="1"/>
  <c r="N27" i="1"/>
  <c r="M10" i="1"/>
  <c r="P30" i="1"/>
  <c r="O13" i="1"/>
  <c r="K22" i="1"/>
  <c r="K10" i="1"/>
  <c r="N30" i="1"/>
  <c r="K27" i="1"/>
  <c r="O23" i="1"/>
  <c r="N18" i="1"/>
  <c r="X17" i="1" s="1"/>
  <c r="K15" i="1"/>
  <c r="O11" i="1"/>
  <c r="K32" i="1"/>
  <c r="O28" i="1"/>
  <c r="Y27" i="1" s="1"/>
  <c r="L25" i="1"/>
  <c r="V24" i="1" s="1"/>
  <c r="P21" i="1"/>
  <c r="M18" i="1"/>
  <c r="N11" i="1"/>
  <c r="P9" i="1"/>
  <c r="N16" i="1"/>
  <c r="X15" i="1" s="1"/>
  <c r="N33" i="1"/>
  <c r="P31" i="1"/>
  <c r="K30" i="1"/>
  <c r="M28" i="1"/>
  <c r="O26" i="1"/>
  <c r="L23" i="1"/>
  <c r="V22" i="1" s="1"/>
  <c r="N21" i="1"/>
  <c r="P19" i="1"/>
  <c r="Z18" i="1" s="1"/>
  <c r="K18" i="1"/>
  <c r="M16" i="1"/>
  <c r="O14" i="1"/>
  <c r="L11" i="1"/>
  <c r="N9" i="1"/>
  <c r="P7" i="1"/>
  <c r="P25" i="1"/>
  <c r="O8" i="1"/>
  <c r="M27" i="1"/>
  <c r="L10" i="1"/>
  <c r="M8" i="1"/>
  <c r="W7" i="1" s="1"/>
  <c r="M21" i="1"/>
  <c r="L16" i="1"/>
  <c r="K11" i="1"/>
  <c r="L33" i="1"/>
  <c r="K16" i="1"/>
  <c r="L9" i="1"/>
  <c r="M31" i="1"/>
  <c r="K21" i="1"/>
  <c r="L14" i="1"/>
  <c r="P10" i="1"/>
  <c r="Z9" i="1" s="1"/>
  <c r="N29" i="1"/>
  <c r="P27" i="1"/>
  <c r="M24" i="1"/>
  <c r="W23" i="1" s="1"/>
  <c r="L19" i="1"/>
  <c r="N17" i="1"/>
  <c r="P15" i="1"/>
  <c r="K14" i="1"/>
  <c r="L7" i="1"/>
  <c r="O32" i="1"/>
  <c r="M22" i="1"/>
  <c r="K12" i="1"/>
  <c r="N32" i="1"/>
  <c r="N20" i="1"/>
  <c r="K17" i="1"/>
  <c r="O30" i="1"/>
  <c r="M20" i="1"/>
  <c r="L15" i="1"/>
  <c r="M33" i="1"/>
  <c r="N26" i="1"/>
  <c r="N14" i="1"/>
  <c r="P12" i="1"/>
  <c r="K28" i="1"/>
  <c r="N19" i="1"/>
  <c r="N7" i="1"/>
  <c r="K33" i="1"/>
  <c r="P22" i="1"/>
  <c r="N12" i="1"/>
  <c r="X11" i="1" s="1"/>
  <c r="M12" i="1"/>
  <c r="K24" i="1"/>
  <c r="P13" i="1"/>
  <c r="O25" i="1"/>
  <c r="N8" i="1"/>
  <c r="L27" i="1"/>
  <c r="V26" i="1" s="1"/>
  <c r="N13" i="1"/>
  <c r="L28" i="1"/>
  <c r="K23" i="1"/>
  <c r="O19" i="1"/>
  <c r="M9" i="1"/>
  <c r="N31" i="1"/>
  <c r="M26" i="1"/>
  <c r="L21" i="1"/>
  <c r="M14" i="1"/>
  <c r="O29" i="1"/>
  <c r="N24" i="1"/>
  <c r="M19" i="1"/>
  <c r="W18" i="1" s="1"/>
  <c r="K9" i="1"/>
  <c r="L31" i="1"/>
  <c r="K26" i="1"/>
  <c r="O22" i="1"/>
  <c r="Y21" i="1" s="1"/>
  <c r="P32" i="1"/>
  <c r="K31" i="1"/>
  <c r="M29" i="1"/>
  <c r="O27" i="1"/>
  <c r="L24" i="1"/>
  <c r="N22" i="1"/>
  <c r="P20" i="1"/>
  <c r="K19" i="1"/>
  <c r="M17" i="1"/>
  <c r="W16" i="1" s="1"/>
  <c r="O15" i="1"/>
  <c r="Y14" i="1" s="1"/>
  <c r="L12" i="1"/>
  <c r="N10" i="1"/>
  <c r="P8" i="1"/>
  <c r="K7" i="1"/>
  <c r="L29" i="1"/>
  <c r="L17" i="1"/>
  <c r="L22" i="1"/>
  <c r="M15" i="1"/>
  <c r="P23" i="1"/>
  <c r="P11" i="1"/>
  <c r="O31" i="1"/>
  <c r="P24" i="1"/>
  <c r="O7" i="1"/>
  <c r="P29" i="1"/>
  <c r="O24" i="1"/>
  <c r="P17" i="1"/>
  <c r="O12" i="1"/>
  <c r="L26" i="1"/>
  <c r="O17" i="1"/>
  <c r="M7" i="1"/>
  <c r="O10" i="1"/>
  <c r="T6" i="1"/>
  <c r="J6" i="1"/>
  <c r="M3" i="1"/>
  <c r="W3" i="1" s="1"/>
  <c r="M6" i="1" a="1"/>
  <c r="N6" i="1" a="1"/>
  <c r="L6" i="1" a="1"/>
  <c r="O6" i="1" a="1"/>
  <c r="K6" i="1" a="1"/>
  <c r="P6" i="1" a="1"/>
  <c r="V21" i="1" l="1"/>
  <c r="Z21" i="1"/>
  <c r="Y30" i="1"/>
  <c r="Z26" i="1"/>
  <c r="X26" i="1"/>
  <c r="Y20" i="1"/>
  <c r="Z31" i="1"/>
  <c r="Z7" i="1"/>
  <c r="Q7" i="1"/>
  <c r="W14" i="1"/>
  <c r="Z23" i="1"/>
  <c r="Z16" i="1"/>
  <c r="X9" i="1"/>
  <c r="Y10" i="1"/>
  <c r="V11" i="1"/>
  <c r="Z29" i="1"/>
  <c r="V16" i="1"/>
  <c r="V27" i="1"/>
  <c r="W8" i="1"/>
  <c r="Y32" i="1"/>
  <c r="Z28" i="1"/>
  <c r="W29" i="1"/>
  <c r="X27" i="1"/>
  <c r="Y18" i="1"/>
  <c r="X19" i="1"/>
  <c r="V9" i="1"/>
  <c r="V29" i="1"/>
  <c r="X31" i="1"/>
  <c r="W26" i="1"/>
  <c r="Y7" i="1"/>
  <c r="X12" i="1"/>
  <c r="W21" i="1"/>
  <c r="Z24" i="1"/>
  <c r="Y31" i="1"/>
  <c r="Y9" i="1"/>
  <c r="Z19" i="1"/>
  <c r="X7" i="1"/>
  <c r="Y22" i="1"/>
  <c r="X21" i="1"/>
  <c r="Y24" i="1"/>
  <c r="V23" i="1"/>
  <c r="Z12" i="1"/>
  <c r="Z14" i="1"/>
  <c r="Y13" i="1"/>
  <c r="X29" i="1"/>
  <c r="Y26" i="1"/>
  <c r="X16" i="1"/>
  <c r="W15" i="1"/>
  <c r="Z32" i="1"/>
  <c r="W28" i="1"/>
  <c r="W11" i="1"/>
  <c r="V18" i="1"/>
  <c r="X8" i="1"/>
  <c r="Q27" i="1"/>
  <c r="U26" i="1"/>
  <c r="V25" i="1"/>
  <c r="Q10" i="1"/>
  <c r="U9" i="1"/>
  <c r="Q8" i="1"/>
  <c r="U7" i="1"/>
  <c r="Q19" i="1"/>
  <c r="U18" i="1"/>
  <c r="Y15" i="1"/>
  <c r="Q24" i="1"/>
  <c r="U23" i="1"/>
  <c r="W12" i="1"/>
  <c r="Q23" i="1"/>
  <c r="U22" i="1"/>
  <c r="X22" i="1"/>
  <c r="Y11" i="1"/>
  <c r="V7" i="1"/>
  <c r="Q31" i="1"/>
  <c r="U30" i="1"/>
  <c r="X20" i="1"/>
  <c r="Z15" i="1"/>
  <c r="X28" i="1"/>
  <c r="W9" i="1"/>
  <c r="Z27" i="1"/>
  <c r="Q9" i="1"/>
  <c r="U8" i="1"/>
  <c r="W10" i="1"/>
  <c r="Z30" i="1"/>
  <c r="X23" i="1"/>
  <c r="Z13" i="1"/>
  <c r="X25" i="1"/>
  <c r="W32" i="1"/>
  <c r="V20" i="1"/>
  <c r="V14" i="1"/>
  <c r="Q11" i="1"/>
  <c r="U10" i="1"/>
  <c r="X10" i="1"/>
  <c r="W22" i="1"/>
  <c r="Q29" i="1"/>
  <c r="U28" i="1"/>
  <c r="Q32" i="1"/>
  <c r="U31" i="1"/>
  <c r="Q12" i="1"/>
  <c r="U11" i="1"/>
  <c r="V12" i="1"/>
  <c r="V10" i="1"/>
  <c r="Y16" i="1"/>
  <c r="Q18" i="1"/>
  <c r="U17" i="1"/>
  <c r="Y12" i="1"/>
  <c r="Q26" i="1"/>
  <c r="U25" i="1"/>
  <c r="Y25" i="1"/>
  <c r="W24" i="1"/>
  <c r="V30" i="1"/>
  <c r="V13" i="1"/>
  <c r="W27" i="1"/>
  <c r="V31" i="1"/>
  <c r="Z10" i="1"/>
  <c r="W30" i="1"/>
  <c r="Q13" i="1"/>
  <c r="U12" i="1"/>
  <c r="Z22" i="1"/>
  <c r="V8" i="1"/>
  <c r="X24" i="1"/>
  <c r="Y28" i="1"/>
  <c r="Q16" i="1"/>
  <c r="U15" i="1"/>
  <c r="W31" i="1"/>
  <c r="W13" i="1"/>
  <c r="V32" i="1"/>
  <c r="Z8" i="1"/>
  <c r="Z17" i="1"/>
  <c r="V28" i="1"/>
  <c r="W25" i="1"/>
  <c r="W19" i="1"/>
  <c r="V15" i="1"/>
  <c r="W17" i="1"/>
  <c r="Q25" i="1"/>
  <c r="U24" i="1"/>
  <c r="X14" i="1"/>
  <c r="Q17" i="1"/>
  <c r="U16" i="1"/>
  <c r="Q15" i="1"/>
  <c r="U14" i="1"/>
  <c r="Q20" i="1"/>
  <c r="U19" i="1"/>
  <c r="Q14" i="1"/>
  <c r="U13" i="1"/>
  <c r="Q22" i="1"/>
  <c r="U21" i="1"/>
  <c r="Y23" i="1"/>
  <c r="Q33" i="1"/>
  <c r="U32" i="1"/>
  <c r="V19" i="1"/>
  <c r="X18" i="1"/>
  <c r="Y8" i="1"/>
  <c r="Q28" i="1"/>
  <c r="U27" i="1"/>
  <c r="Q21" i="1"/>
  <c r="U20" i="1"/>
  <c r="Q30" i="1"/>
  <c r="U29" i="1"/>
  <c r="Z11" i="1"/>
  <c r="Y17" i="1"/>
  <c r="X13" i="1"/>
  <c r="X32" i="1"/>
  <c r="X30" i="1"/>
  <c r="Y29" i="1"/>
  <c r="W20" i="1"/>
  <c r="Z20" i="1"/>
  <c r="Z25" i="1"/>
  <c r="Y19" i="1"/>
  <c r="N6" i="1"/>
  <c r="M6" i="1"/>
  <c r="O6" i="1"/>
  <c r="P6" i="1"/>
  <c r="L6" i="1"/>
  <c r="K6" i="1"/>
  <c r="U6" i="1" s="1"/>
  <c r="AA27" i="1" l="1"/>
  <c r="AA32" i="1"/>
  <c r="AA9" i="1"/>
  <c r="AA19" i="1"/>
  <c r="AA7" i="1"/>
  <c r="AA13" i="1"/>
  <c r="AA15" i="1"/>
  <c r="AA30" i="1"/>
  <c r="AA11" i="1"/>
  <c r="AA21" i="1"/>
  <c r="AA28" i="1"/>
  <c r="AA10" i="1"/>
  <c r="AA18" i="1"/>
  <c r="AA12" i="1"/>
  <c r="AA31" i="1"/>
  <c r="AA14" i="1"/>
  <c r="AA23" i="1"/>
  <c r="AA24" i="1"/>
  <c r="AA20" i="1"/>
  <c r="AA8" i="1"/>
  <c r="AA22" i="1"/>
  <c r="AA16" i="1"/>
  <c r="AA29" i="1"/>
  <c r="AA25" i="1"/>
  <c r="AA17" i="1"/>
  <c r="AA26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C6D7216-D934-4DBC-B067-7C2848628B6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9E45CAA-5D60-4191-A13E-6F50AE979E8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<sst xmlns="http://schemas.openxmlformats.org/spreadsheetml/2006/main" count="1188" uniqueCount="181">
  <si>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</si>
  <si>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</si>
  <si>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</si>
  <si>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</si>
  <si>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</si>
  <si>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</si>
  <si>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</si>
  <si>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</si>
  <si>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Lib_Constant_CO2_CO2_200_0_.xlsm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</si>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</sst>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0.63005078999999997</c:v>
                </c:pt>
                <c:pt idx="2">
                  <c:v>0.70255646000000005</c:v>
                </c:pt>
                <c:pt idx="3">
                  <c:v>0.79423186999999995</c:v>
                </c:pt>
                <c:pt idx="4">
                  <c:v>0.88114702</c:v>
                </c:pt>
                <c:pt idx="5">
                  <c:v>0.94614844999999992</c:v>
                </c:pt>
                <c:pt idx="6">
                  <c:v>1.0235975100000003</c:v>
                </c:pt>
                <c:pt idx="7">
                  <c:v>1.06789541</c:v>
                </c:pt>
                <c:pt idx="8">
                  <c:v>1.12002395</c:v>
                </c:pt>
                <c:pt idx="9">
                  <c:v>1.16726281</c:v>
                </c:pt>
                <c:pt idx="10">
                  <c:v>1.2313355100000001</c:v>
                </c:pt>
                <c:pt idx="11">
                  <c:v>1.28433558</c:v>
                </c:pt>
                <c:pt idx="12">
                  <c:v>1.34870585</c:v>
                </c:pt>
                <c:pt idx="13">
                  <c:v>1.3901693999999998</c:v>
                </c:pt>
                <c:pt idx="14">
                  <c:v>1.4249539200000001</c:v>
                </c:pt>
                <c:pt idx="15">
                  <c:v>1.4390120599999998</c:v>
                </c:pt>
                <c:pt idx="16">
                  <c:v>1.4615482699999998</c:v>
                </c:pt>
                <c:pt idx="17">
                  <c:v>1.5068374499999999</c:v>
                </c:pt>
                <c:pt idx="18">
                  <c:v>1.5407529199999999</c:v>
                </c:pt>
                <c:pt idx="19">
                  <c:v>1.59635138</c:v>
                </c:pt>
                <c:pt idx="20">
                  <c:v>1.6495606699999998</c:v>
                </c:pt>
                <c:pt idx="21">
                  <c:v>1.7095138000000001</c:v>
                </c:pt>
                <c:pt idx="22">
                  <c:v>1.7732277700000001</c:v>
                </c:pt>
                <c:pt idx="23">
                  <c:v>1.8161659599999997</c:v>
                </c:pt>
                <c:pt idx="24">
                  <c:v>1.8711389000000003</c:v>
                </c:pt>
                <c:pt idx="25">
                  <c:v>1.9217991099999998</c:v>
                </c:pt>
                <c:pt idx="26">
                  <c:v>1.9727629400000002</c:v>
                </c:pt>
                <c:pt idx="27">
                  <c:v>2.0242217199999999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1.7575771499999999</c:v>
                </c:pt>
                <c:pt idx="2">
                  <c:v>1.9608196099999999</c:v>
                </c:pt>
                <c:pt idx="3">
                  <c:v>2.1677548600000005</c:v>
                </c:pt>
                <c:pt idx="4">
                  <c:v>2.3889945799999999</c:v>
                </c:pt>
                <c:pt idx="5">
                  <c:v>2.62122645</c:v>
                </c:pt>
                <c:pt idx="6">
                  <c:v>2.8651370599999999</c:v>
                </c:pt>
                <c:pt idx="7">
                  <c:v>3.1176561700000001</c:v>
                </c:pt>
                <c:pt idx="8">
                  <c:v>3.374772179999999</c:v>
                </c:pt>
                <c:pt idx="9">
                  <c:v>3.5718750600000004</c:v>
                </c:pt>
                <c:pt idx="10">
                  <c:v>3.7897312200000002</c:v>
                </c:pt>
                <c:pt idx="11">
                  <c:v>4.0410407999999993</c:v>
                </c:pt>
                <c:pt idx="12">
                  <c:v>4.2926259300000007</c:v>
                </c:pt>
                <c:pt idx="13">
                  <c:v>4.56679704</c:v>
                </c:pt>
                <c:pt idx="14">
                  <c:v>4.8448699700000013</c:v>
                </c:pt>
                <c:pt idx="15">
                  <c:v>5.118971150000001</c:v>
                </c:pt>
                <c:pt idx="16">
                  <c:v>5.3973059299999999</c:v>
                </c:pt>
                <c:pt idx="17">
                  <c:v>5.6791952700000001</c:v>
                </c:pt>
                <c:pt idx="18">
                  <c:v>5.9654469699999995</c:v>
                </c:pt>
                <c:pt idx="19">
                  <c:v>6.2531650700000005</c:v>
                </c:pt>
                <c:pt idx="20">
                  <c:v>6.5408060999999993</c:v>
                </c:pt>
                <c:pt idx="21">
                  <c:v>6.8344044699999991</c:v>
                </c:pt>
                <c:pt idx="22">
                  <c:v>7.1228085999999999</c:v>
                </c:pt>
                <c:pt idx="23">
                  <c:v>7.3921690600000014</c:v>
                </c:pt>
                <c:pt idx="24">
                  <c:v>7.6393072000000002</c:v>
                </c:pt>
                <c:pt idx="25">
                  <c:v>7.92365371</c:v>
                </c:pt>
                <c:pt idx="26">
                  <c:v>8.2257573699999984</c:v>
                </c:pt>
                <c:pt idx="27">
                  <c:v>8.5302116199999993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2.43272333</c:v>
                </c:pt>
                <c:pt idx="2">
                  <c:v>2.5250191100000001</c:v>
                </c:pt>
                <c:pt idx="3">
                  <c:v>2.5908488800000007</c:v>
                </c:pt>
                <c:pt idx="4">
                  <c:v>2.6654050900000001</c:v>
                </c:pt>
                <c:pt idx="5">
                  <c:v>2.8570420900000002</c:v>
                </c:pt>
                <c:pt idx="6">
                  <c:v>3.06100233</c:v>
                </c:pt>
                <c:pt idx="7">
                  <c:v>3.07936684</c:v>
                </c:pt>
                <c:pt idx="8">
                  <c:v>3.0672028600000001</c:v>
                </c:pt>
                <c:pt idx="9">
                  <c:v>2.9905360300000003</c:v>
                </c:pt>
                <c:pt idx="10">
                  <c:v>2.9169991099999999</c:v>
                </c:pt>
                <c:pt idx="11">
                  <c:v>2.8442810600000001</c:v>
                </c:pt>
                <c:pt idx="12">
                  <c:v>2.7739764499999997</c:v>
                </c:pt>
                <c:pt idx="13">
                  <c:v>2.7046374399999995</c:v>
                </c:pt>
                <c:pt idx="14">
                  <c:v>2.6370304400000002</c:v>
                </c:pt>
                <c:pt idx="15">
                  <c:v>2.57111629</c:v>
                </c:pt>
                <c:pt idx="16">
                  <c:v>2.5068440299999999</c:v>
                </c:pt>
                <c:pt idx="17">
                  <c:v>2.4444211500000002</c:v>
                </c:pt>
                <c:pt idx="18">
                  <c:v>2.38333248</c:v>
                </c:pt>
                <c:pt idx="19">
                  <c:v>2.3237584</c:v>
                </c:pt>
                <c:pt idx="20">
                  <c:v>2.2657684599999999</c:v>
                </c:pt>
                <c:pt idx="21">
                  <c:v>2.2091327999999999</c:v>
                </c:pt>
                <c:pt idx="22">
                  <c:v>2.1548798300000005</c:v>
                </c:pt>
                <c:pt idx="23">
                  <c:v>2.1010206</c:v>
                </c:pt>
                <c:pt idx="24">
                  <c:v>2.0484996099999999</c:v>
                </c:pt>
                <c:pt idx="25">
                  <c:v>1.99728989</c:v>
                </c:pt>
                <c:pt idx="26">
                  <c:v>1.9474046400000002</c:v>
                </c:pt>
                <c:pt idx="27">
                  <c:v>1.8987217600000001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823.03400654999984</c:v>
                </c:pt>
                <c:pt idx="2">
                  <c:v>890.96822680999992</c:v>
                </c:pt>
                <c:pt idx="3">
                  <c:v>939.00778627000011</c:v>
                </c:pt>
                <c:pt idx="4">
                  <c:v>981.38253694999992</c:v>
                </c:pt>
                <c:pt idx="5">
                  <c:v>1016.36132072</c:v>
                </c:pt>
                <c:pt idx="6">
                  <c:v>1042.6636708800002</c:v>
                </c:pt>
                <c:pt idx="7">
                  <c:v>1076.1051654399998</c:v>
                </c:pt>
                <c:pt idx="8">
                  <c:v>1095.7076204699999</c:v>
                </c:pt>
                <c:pt idx="9">
                  <c:v>1124.1112173199999</c:v>
                </c:pt>
                <c:pt idx="10">
                  <c:v>1150.9326713600001</c:v>
                </c:pt>
                <c:pt idx="11">
                  <c:v>1176.3470872299999</c:v>
                </c:pt>
                <c:pt idx="12">
                  <c:v>1200.1377560399999</c:v>
                </c:pt>
                <c:pt idx="13">
                  <c:v>1224.3033272099999</c:v>
                </c:pt>
                <c:pt idx="14">
                  <c:v>1249.66826066</c:v>
                </c:pt>
                <c:pt idx="15">
                  <c:v>1277.7499200300001</c:v>
                </c:pt>
                <c:pt idx="16">
                  <c:v>1305.5618936599999</c:v>
                </c:pt>
                <c:pt idx="17">
                  <c:v>1331.8146299499999</c:v>
                </c:pt>
                <c:pt idx="18">
                  <c:v>1359.30883623</c:v>
                </c:pt>
                <c:pt idx="19">
                  <c:v>1386.06979916</c:v>
                </c:pt>
                <c:pt idx="20">
                  <c:v>1414.0811733100002</c:v>
                </c:pt>
                <c:pt idx="21">
                  <c:v>1442.0390763099999</c:v>
                </c:pt>
                <c:pt idx="22">
                  <c:v>1470.6045294000003</c:v>
                </c:pt>
                <c:pt idx="23">
                  <c:v>1503.0471458699999</c:v>
                </c:pt>
                <c:pt idx="24">
                  <c:v>1536.6684393400001</c:v>
                </c:pt>
                <c:pt idx="25">
                  <c:v>1569.24523153</c:v>
                </c:pt>
                <c:pt idx="26">
                  <c:v>1601.3462636499996</c:v>
                </c:pt>
                <c:pt idx="27">
                  <c:v>1634.2472619800001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528.63323974000002</c:v>
                </c:pt>
                <c:pt idx="2">
                  <c:v>402.59703837000006</c:v>
                </c:pt>
                <c:pt idx="3">
                  <c:v>315.1356468699999</c:v>
                </c:pt>
                <c:pt idx="4">
                  <c:v>235.81663593999997</c:v>
                </c:pt>
                <c:pt idx="5">
                  <c:v>141.82742967000001</c:v>
                </c:pt>
                <c:pt idx="6">
                  <c:v>58.754219000000006</c:v>
                </c:pt>
                <c:pt idx="7">
                  <c:v>21.096543539999999</c:v>
                </c:pt>
                <c:pt idx="8">
                  <c:v>12.708689719999999</c:v>
                </c:pt>
                <c:pt idx="9">
                  <c:v>8.0793525099999997</c:v>
                </c:pt>
                <c:pt idx="10">
                  <c:v>3.23972309</c:v>
                </c:pt>
                <c:pt idx="11">
                  <c:v>0.20304701999999999</c:v>
                </c:pt>
                <c:pt idx="12">
                  <c:v>0.17840272999999998</c:v>
                </c:pt>
                <c:pt idx="13">
                  <c:v>0.17247166999999999</c:v>
                </c:pt>
                <c:pt idx="14">
                  <c:v>0.16815988000000001</c:v>
                </c:pt>
                <c:pt idx="15">
                  <c:v>0.16367337000000001</c:v>
                </c:pt>
                <c:pt idx="16">
                  <c:v>0.15957847</c:v>
                </c:pt>
                <c:pt idx="17">
                  <c:v>0.1555889</c:v>
                </c:pt>
                <c:pt idx="18">
                  <c:v>0.15169916</c:v>
                </c:pt>
                <c:pt idx="19">
                  <c:v>0.14790269</c:v>
                </c:pt>
                <c:pt idx="20">
                  <c:v>0.14420496999999999</c:v>
                </c:pt>
                <c:pt idx="21">
                  <c:v>0.14060015000000001</c:v>
                </c:pt>
                <c:pt idx="22">
                  <c:v>0.13708516000000001</c:v>
                </c:pt>
                <c:pt idx="23">
                  <c:v>0.13365799</c:v>
                </c:pt>
                <c:pt idx="24">
                  <c:v>0.13029188999999999</c:v>
                </c:pt>
                <c:pt idx="25">
                  <c:v>0.12703455999999999</c:v>
                </c:pt>
                <c:pt idx="26">
                  <c:v>0.12385866</c:v>
                </c:pt>
                <c:pt idx="27">
                  <c:v>0.12076219000000001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2.194E-5</c:v>
                </c:pt>
                <c:pt idx="2">
                  <c:v>3.7629999999999997E-5</c:v>
                </c:pt>
                <c:pt idx="3">
                  <c:v>7.4259999999999997E-5</c:v>
                </c:pt>
                <c:pt idx="4">
                  <c:v>1.0147000000000002E-4</c:v>
                </c:pt>
                <c:pt idx="5">
                  <c:v>1.3010000000000002E-4</c:v>
                </c:pt>
                <c:pt idx="6">
                  <c:v>5.2280000000000001E-5</c:v>
                </c:pt>
                <c:pt idx="7">
                  <c:v>3.9209999999999999E-5</c:v>
                </c:pt>
                <c:pt idx="8">
                  <c:v>2.1471000000000001E-4</c:v>
                </c:pt>
                <c:pt idx="9">
                  <c:v>3.1352000000000002E-4</c:v>
                </c:pt>
                <c:pt idx="10">
                  <c:v>2.3908999999999999E-4</c:v>
                </c:pt>
                <c:pt idx="11">
                  <c:v>2.2805999999999998E-4</c:v>
                </c:pt>
                <c:pt idx="12">
                  <c:v>2.3560000000000001E-4</c:v>
                </c:pt>
                <c:pt idx="13">
                  <c:v>2.1020000000000001E-4</c:v>
                </c:pt>
                <c:pt idx="14">
                  <c:v>2.0438999999999999E-4</c:v>
                </c:pt>
                <c:pt idx="15">
                  <c:v>2.7492999999999994E-4</c:v>
                </c:pt>
                <c:pt idx="16">
                  <c:v>2.4811000000000001E-4</c:v>
                </c:pt>
                <c:pt idx="17">
                  <c:v>2.1952000000000001E-4</c:v>
                </c:pt>
                <c:pt idx="18">
                  <c:v>1.9405999999999997E-4</c:v>
                </c:pt>
                <c:pt idx="19">
                  <c:v>1.6296000000000003E-4</c:v>
                </c:pt>
                <c:pt idx="20">
                  <c:v>1.3665999999999998E-4</c:v>
                </c:pt>
                <c:pt idx="21">
                  <c:v>1.2048000000000001E-4</c:v>
                </c:pt>
                <c:pt idx="22">
                  <c:v>1.0958E-4</c:v>
                </c:pt>
                <c:pt idx="23">
                  <c:v>9.5330000000000011E-5</c:v>
                </c:pt>
                <c:pt idx="24">
                  <c:v>8.4920000000000007E-5</c:v>
                </c:pt>
                <c:pt idx="25">
                  <c:v>8.5389999999999994E-5</c:v>
                </c:pt>
                <c:pt idx="26">
                  <c:v>7.7300000000000009E-5</c:v>
                </c:pt>
                <c:pt idx="27">
                  <c:v>7.1430000000000012E-5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6.3153219999999899E-2</c:v>
                </c:pt>
                <c:pt idx="1">
                  <c:v>7.2505670000000078E-2</c:v>
                </c:pt>
                <c:pt idx="2">
                  <c:v>9.1675409999999902E-2</c:v>
                </c:pt>
                <c:pt idx="3">
                  <c:v>8.6915150000000052E-2</c:v>
                </c:pt>
                <c:pt idx="4">
                  <c:v>6.5001429999999916E-2</c:v>
                </c:pt>
                <c:pt idx="5">
                  <c:v>7.7449060000000403E-2</c:v>
                </c:pt>
                <c:pt idx="6">
                  <c:v>4.4297899999999668E-2</c:v>
                </c:pt>
                <c:pt idx="7">
                  <c:v>5.2128540000000001E-2</c:v>
                </c:pt>
                <c:pt idx="8">
                  <c:v>4.7238859999999994E-2</c:v>
                </c:pt>
                <c:pt idx="9">
                  <c:v>6.4072700000000093E-2</c:v>
                </c:pt>
                <c:pt idx="10">
                  <c:v>5.3000069999999955E-2</c:v>
                </c:pt>
                <c:pt idx="11">
                  <c:v>6.4370269999999952E-2</c:v>
                </c:pt>
                <c:pt idx="12">
                  <c:v>4.1463549999999794E-2</c:v>
                </c:pt>
                <c:pt idx="13">
                  <c:v>3.4784520000000319E-2</c:v>
                </c:pt>
                <c:pt idx="14">
                  <c:v>1.4058139999999719E-2</c:v>
                </c:pt>
                <c:pt idx="15">
                  <c:v>2.2536209999999945E-2</c:v>
                </c:pt>
                <c:pt idx="16">
                  <c:v>4.5289180000000151E-2</c:v>
                </c:pt>
                <c:pt idx="17">
                  <c:v>3.3915469999999948E-2</c:v>
                </c:pt>
                <c:pt idx="18">
                  <c:v>5.5598460000000127E-2</c:v>
                </c:pt>
                <c:pt idx="19">
                  <c:v>5.3209289999999854E-2</c:v>
                </c:pt>
                <c:pt idx="20">
                  <c:v>5.9953130000000243E-2</c:v>
                </c:pt>
                <c:pt idx="21">
                  <c:v>6.3713970000000009E-2</c:v>
                </c:pt>
                <c:pt idx="22">
                  <c:v>4.2938189999999654E-2</c:v>
                </c:pt>
                <c:pt idx="23">
                  <c:v>5.4972940000000525E-2</c:v>
                </c:pt>
                <c:pt idx="24">
                  <c:v>5.0660209999999539E-2</c:v>
                </c:pt>
                <c:pt idx="25">
                  <c:v>5.0963830000000376E-2</c:v>
                </c:pt>
                <c:pt idx="26">
                  <c:v>5.1458779999999704E-2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0.18664952000000001</c:v>
                </c:pt>
                <c:pt idx="1">
                  <c:v>0.20324246000000001</c:v>
                </c:pt>
                <c:pt idx="2">
                  <c:v>0.20693525000000057</c:v>
                </c:pt>
                <c:pt idx="3">
                  <c:v>0.22123971999999936</c:v>
                </c:pt>
                <c:pt idx="4">
                  <c:v>0.23223187000000012</c:v>
                </c:pt>
                <c:pt idx="5">
                  <c:v>0.24391060999999992</c:v>
                </c:pt>
                <c:pt idx="6">
                  <c:v>0.25251911000000016</c:v>
                </c:pt>
                <c:pt idx="7">
                  <c:v>0.25711600999999895</c:v>
                </c:pt>
                <c:pt idx="8">
                  <c:v>0.19710288000000142</c:v>
                </c:pt>
                <c:pt idx="9">
                  <c:v>0.21785615999999974</c:v>
                </c:pt>
                <c:pt idx="10">
                  <c:v>0.25130957999999914</c:v>
                </c:pt>
                <c:pt idx="11">
                  <c:v>0.25158513000000138</c:v>
                </c:pt>
                <c:pt idx="12">
                  <c:v>0.27417110999999927</c:v>
                </c:pt>
                <c:pt idx="13">
                  <c:v>0.27807293000000133</c:v>
                </c:pt>
                <c:pt idx="14">
                  <c:v>0.27410117999999972</c:v>
                </c:pt>
                <c:pt idx="15">
                  <c:v>0.27833477999999889</c:v>
                </c:pt>
                <c:pt idx="16">
                  <c:v>0.28188934000000021</c:v>
                </c:pt>
                <c:pt idx="17">
                  <c:v>0.28625169999999933</c:v>
                </c:pt>
                <c:pt idx="18">
                  <c:v>0.28771810000000109</c:v>
                </c:pt>
                <c:pt idx="19">
                  <c:v>0.28764102999999874</c:v>
                </c:pt>
                <c:pt idx="20">
                  <c:v>0.29359836999999978</c:v>
                </c:pt>
                <c:pt idx="21">
                  <c:v>0.28840413000000087</c:v>
                </c:pt>
                <c:pt idx="22">
                  <c:v>0.26936046000000147</c:v>
                </c:pt>
                <c:pt idx="23">
                  <c:v>0.24713813999999878</c:v>
                </c:pt>
                <c:pt idx="24">
                  <c:v>0.28434650999999977</c:v>
                </c:pt>
                <c:pt idx="25">
                  <c:v>0.30210365999999844</c:v>
                </c:pt>
                <c:pt idx="26">
                  <c:v>0.30445425000000093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9.770884000000013E-2</c:v>
                </c:pt>
                <c:pt idx="1">
                  <c:v>9.229578000000016E-2</c:v>
                </c:pt>
                <c:pt idx="2">
                  <c:v>6.5829770000000565E-2</c:v>
                </c:pt>
                <c:pt idx="3">
                  <c:v>7.4556209999999457E-2</c:v>
                </c:pt>
                <c:pt idx="4">
                  <c:v>0.19163700000000006</c:v>
                </c:pt>
                <c:pt idx="5">
                  <c:v>0.20396023999999979</c:v>
                </c:pt>
                <c:pt idx="6">
                  <c:v>1.8364510000000056E-2</c:v>
                </c:pt>
                <c:pt idx="7">
                  <c:v>-1.2163979999999963E-2</c:v>
                </c:pt>
                <c:pt idx="8">
                  <c:v>-7.6666829999999742E-2</c:v>
                </c:pt>
                <c:pt idx="9">
                  <c:v>-7.353692000000045E-2</c:v>
                </c:pt>
                <c:pt idx="10">
                  <c:v>-7.2718049999999756E-2</c:v>
                </c:pt>
                <c:pt idx="11">
                  <c:v>-7.0304610000000434E-2</c:v>
                </c:pt>
                <c:pt idx="12">
                  <c:v>-6.9339010000000201E-2</c:v>
                </c:pt>
                <c:pt idx="13">
                  <c:v>-6.7606999999999307E-2</c:v>
                </c:pt>
                <c:pt idx="14">
                  <c:v>-6.5914150000000227E-2</c:v>
                </c:pt>
                <c:pt idx="15">
                  <c:v>-6.4272260000000081E-2</c:v>
                </c:pt>
                <c:pt idx="16">
                  <c:v>-6.2422879999999736E-2</c:v>
                </c:pt>
                <c:pt idx="17">
                  <c:v>-6.1088670000000178E-2</c:v>
                </c:pt>
                <c:pt idx="18">
                  <c:v>-5.9574079999999974E-2</c:v>
                </c:pt>
                <c:pt idx="19">
                  <c:v>-5.7989940000000129E-2</c:v>
                </c:pt>
                <c:pt idx="20">
                  <c:v>-5.6635659999999977E-2</c:v>
                </c:pt>
                <c:pt idx="21">
                  <c:v>-5.4252969999999401E-2</c:v>
                </c:pt>
                <c:pt idx="22">
                  <c:v>-5.385923000000048E-2</c:v>
                </c:pt>
                <c:pt idx="23">
                  <c:v>-5.2520990000000101E-2</c:v>
                </c:pt>
                <c:pt idx="24">
                  <c:v>-5.1209719999999903E-2</c:v>
                </c:pt>
                <c:pt idx="25">
                  <c:v>-4.988524999999977E-2</c:v>
                </c:pt>
                <c:pt idx="26">
                  <c:v>-4.8682880000000095E-2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71.094909019999818</c:v>
                </c:pt>
                <c:pt idx="1">
                  <c:v>67.934220260000075</c:v>
                </c:pt>
                <c:pt idx="2">
                  <c:v>48.039559460000191</c:v>
                </c:pt>
                <c:pt idx="3">
                  <c:v>42.374750679999806</c:v>
                </c:pt>
                <c:pt idx="4">
                  <c:v>34.978783770000064</c:v>
                </c:pt>
                <c:pt idx="5">
                  <c:v>26.302350160000174</c:v>
                </c:pt>
                <c:pt idx="6">
                  <c:v>33.441494559999683</c:v>
                </c:pt>
                <c:pt idx="7">
                  <c:v>19.602455030000101</c:v>
                </c:pt>
                <c:pt idx="8">
                  <c:v>28.403596849999985</c:v>
                </c:pt>
                <c:pt idx="9">
                  <c:v>26.821454040000162</c:v>
                </c:pt>
                <c:pt idx="10">
                  <c:v>25.414415869999857</c:v>
                </c:pt>
                <c:pt idx="11">
                  <c:v>23.790668809999943</c:v>
                </c:pt>
                <c:pt idx="12">
                  <c:v>24.165571170000021</c:v>
                </c:pt>
                <c:pt idx="13">
                  <c:v>25.36493345000008</c:v>
                </c:pt>
                <c:pt idx="14">
                  <c:v>28.081659370000125</c:v>
                </c:pt>
                <c:pt idx="15">
                  <c:v>27.811973629999784</c:v>
                </c:pt>
                <c:pt idx="16">
                  <c:v>26.25273629000003</c:v>
                </c:pt>
                <c:pt idx="17">
                  <c:v>27.494206280000071</c:v>
                </c:pt>
                <c:pt idx="18">
                  <c:v>26.760962930000005</c:v>
                </c:pt>
                <c:pt idx="19">
                  <c:v>28.011374150000165</c:v>
                </c:pt>
                <c:pt idx="20">
                  <c:v>27.95790299999976</c:v>
                </c:pt>
                <c:pt idx="21">
                  <c:v>28.565453090000346</c:v>
                </c:pt>
                <c:pt idx="22">
                  <c:v>32.442616469999621</c:v>
                </c:pt>
                <c:pt idx="23">
                  <c:v>33.621293470000182</c:v>
                </c:pt>
                <c:pt idx="24">
                  <c:v>32.576792189999878</c:v>
                </c:pt>
                <c:pt idx="25">
                  <c:v>32.101032119999672</c:v>
                </c:pt>
                <c:pt idx="26">
                  <c:v>32.900998330000448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-129.19439177999993</c:v>
                </c:pt>
                <c:pt idx="1">
                  <c:v>-126.03620136999996</c:v>
                </c:pt>
                <c:pt idx="2">
                  <c:v>-87.461391500000161</c:v>
                </c:pt>
                <c:pt idx="3">
                  <c:v>-79.319010929999934</c:v>
                </c:pt>
                <c:pt idx="4">
                  <c:v>-93.989206269999954</c:v>
                </c:pt>
                <c:pt idx="5">
                  <c:v>-83.073210670000009</c:v>
                </c:pt>
                <c:pt idx="6">
                  <c:v>-37.657675460000007</c:v>
                </c:pt>
                <c:pt idx="7">
                  <c:v>-8.3878538200000001</c:v>
                </c:pt>
                <c:pt idx="8">
                  <c:v>-4.6293372099999992</c:v>
                </c:pt>
                <c:pt idx="9">
                  <c:v>-4.8396294199999996</c:v>
                </c:pt>
                <c:pt idx="10">
                  <c:v>-3.0366760699999999</c:v>
                </c:pt>
                <c:pt idx="11">
                  <c:v>-2.4644290000000013E-2</c:v>
                </c:pt>
                <c:pt idx="12">
                  <c:v>-5.931059999999988E-3</c:v>
                </c:pt>
                <c:pt idx="13">
                  <c:v>-4.311789999999982E-3</c:v>
                </c:pt>
                <c:pt idx="14">
                  <c:v>-4.4865099999999991E-3</c:v>
                </c:pt>
                <c:pt idx="15">
                  <c:v>-4.0949000000000124E-3</c:v>
                </c:pt>
                <c:pt idx="16">
                  <c:v>-3.9895699999999978E-3</c:v>
                </c:pt>
                <c:pt idx="17">
                  <c:v>-3.8897400000000026E-3</c:v>
                </c:pt>
                <c:pt idx="18">
                  <c:v>-3.7964699999999962E-3</c:v>
                </c:pt>
                <c:pt idx="19">
                  <c:v>-3.6977200000000154E-3</c:v>
                </c:pt>
                <c:pt idx="20">
                  <c:v>-3.6048199999999808E-3</c:v>
                </c:pt>
                <c:pt idx="21">
                  <c:v>-3.5149899999999956E-3</c:v>
                </c:pt>
                <c:pt idx="22">
                  <c:v>-3.4271700000000072E-3</c:v>
                </c:pt>
                <c:pt idx="23">
                  <c:v>-3.3661000000000108E-3</c:v>
                </c:pt>
                <c:pt idx="24">
                  <c:v>-3.2573300000000027E-3</c:v>
                </c:pt>
                <c:pt idx="25">
                  <c:v>-3.1758999999999954E-3</c:v>
                </c:pt>
                <c:pt idx="26">
                  <c:v>-3.0964699999999901E-3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2.194E-5</c:v>
                </c:pt>
                <c:pt idx="1">
                  <c:v>1.5689999999999997E-5</c:v>
                </c:pt>
                <c:pt idx="2">
                  <c:v>3.663E-5</c:v>
                </c:pt>
                <c:pt idx="3">
                  <c:v>2.7210000000000019E-5</c:v>
                </c:pt>
                <c:pt idx="4">
                  <c:v>2.8630000000000002E-5</c:v>
                </c:pt>
                <c:pt idx="5">
                  <c:v>-7.782000000000001E-5</c:v>
                </c:pt>
                <c:pt idx="6">
                  <c:v>-1.3070000000000002E-5</c:v>
                </c:pt>
                <c:pt idx="7">
                  <c:v>1.7550000000000001E-4</c:v>
                </c:pt>
                <c:pt idx="8">
                  <c:v>9.8810000000000011E-5</c:v>
                </c:pt>
                <c:pt idx="9">
                  <c:v>-7.4430000000000031E-5</c:v>
                </c:pt>
                <c:pt idx="10">
                  <c:v>-1.1030000000000008E-5</c:v>
                </c:pt>
                <c:pt idx="11">
                  <c:v>7.5400000000000261E-6</c:v>
                </c:pt>
                <c:pt idx="12">
                  <c:v>-2.5399999999999994E-5</c:v>
                </c:pt>
                <c:pt idx="13">
                  <c:v>-5.8100000000000274E-6</c:v>
                </c:pt>
                <c:pt idx="14">
                  <c:v>7.0539999999999958E-5</c:v>
                </c:pt>
                <c:pt idx="15">
                  <c:v>-2.6819999999999936E-5</c:v>
                </c:pt>
                <c:pt idx="16">
                  <c:v>-2.8589999999999996E-5</c:v>
                </c:pt>
                <c:pt idx="17">
                  <c:v>-2.5460000000000044E-5</c:v>
                </c:pt>
                <c:pt idx="18">
                  <c:v>-3.1099999999999943E-5</c:v>
                </c:pt>
                <c:pt idx="19">
                  <c:v>-2.6300000000000043E-5</c:v>
                </c:pt>
                <c:pt idx="20">
                  <c:v>-1.617999999999997E-5</c:v>
                </c:pt>
                <c:pt idx="21">
                  <c:v>-1.0900000000000007E-5</c:v>
                </c:pt>
                <c:pt idx="22">
                  <c:v>-1.4249999999999994E-5</c:v>
                </c:pt>
                <c:pt idx="23">
                  <c:v>-1.0410000000000004E-5</c:v>
                </c:pt>
                <c:pt idx="24">
                  <c:v>4.6999999999998703E-7</c:v>
                </c:pt>
                <c:pt idx="25">
                  <c:v>-8.0899999999999852E-6</c:v>
                </c:pt>
                <c:pt idx="26">
                  <c:v>-5.8699999999999963E-6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6A60-BAEA-4850-A913-8A59B7FCF563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CO2_MTons (MTons)</v>
      </c>
      <c r="N3" s="9"/>
      <c r="O3" s="9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0.56689757000000007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1.5709276299999999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2.3350144899999998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751.93909753000003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657.82763151999995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1414.2395687399999</v>
      </c>
      <c r="T6">
        <f>T5+1</f>
        <v>1</v>
      </c>
      <c r="U6" s="1">
        <f ca="1">K7-K6</f>
        <v>6.3153219999999899E-2</v>
      </c>
      <c r="V6" s="1">
        <f t="shared" ref="V6:AA6" ca="1" si="0">L7-L6</f>
        <v>0.18664952000000001</v>
      </c>
      <c r="W6" s="1">
        <f t="shared" ca="1" si="0"/>
        <v>9.770884000000013E-2</v>
      </c>
      <c r="X6" s="1">
        <f t="shared" ca="1" si="0"/>
        <v>71.094909019999818</v>
      </c>
      <c r="Y6" s="1">
        <f t="shared" ca="1" si="0"/>
        <v>-129.19439177999993</v>
      </c>
      <c r="Z6" s="1">
        <f t="shared" ca="1" si="0"/>
        <v>2.194E-5</v>
      </c>
      <c r="AA6" s="1">
        <f t="shared" ca="1" si="0"/>
        <v>-57.751949240000158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0.63005078999999997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1.7575771499999999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2.43272333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823.03400654999984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528.63323974000002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2.194E-5</v>
      </c>
      <c r="Q7" s="1">
        <f t="shared" ref="Q7:Q33" ca="1" si="2">SUM(K7:P7)</f>
        <v>1356.4876194999997</v>
      </c>
      <c r="T7">
        <f t="shared" ref="T7:T32" si="3">T6+1</f>
        <v>2</v>
      </c>
      <c r="U7" s="1">
        <f t="shared" ref="U7:U32" ca="1" si="4">K8-K7</f>
        <v>7.2505670000000078E-2</v>
      </c>
      <c r="V7" s="1">
        <f t="shared" ref="V7:V32" ca="1" si="5">L8-L7</f>
        <v>0.20324246000000001</v>
      </c>
      <c r="W7" s="1">
        <f t="shared" ref="W7:W32" ca="1" si="6">M8-M7</f>
        <v>9.229578000000016E-2</v>
      </c>
      <c r="X7" s="1">
        <f t="shared" ref="X7:X32" ca="1" si="7">N8-N7</f>
        <v>67.934220260000075</v>
      </c>
      <c r="Y7" s="1">
        <f t="shared" ref="Y7:Y32" ca="1" si="8">O8-O7</f>
        <v>-126.03620136999996</v>
      </c>
      <c r="Z7" s="1">
        <f t="shared" ref="Z7:Z32" ca="1" si="9">P8-P7</f>
        <v>1.5689999999999997E-5</v>
      </c>
      <c r="AA7" s="1">
        <f t="shared" ref="AA7:AA32" ca="1" si="10">Q8-Q7</f>
        <v>-57.733921509999618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0.70255646000000005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1.9608196099999999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2.5250191100000001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890.96822680999992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402.59703837000006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3.7629999999999997E-5</v>
      </c>
      <c r="Q8" s="1">
        <f t="shared" ca="1" si="2"/>
        <v>1298.7536979900001</v>
      </c>
      <c r="T8">
        <f t="shared" si="3"/>
        <v>3</v>
      </c>
      <c r="U8" s="1">
        <f t="shared" ca="1" si="4"/>
        <v>9.1675409999999902E-2</v>
      </c>
      <c r="V8" s="1">
        <f t="shared" ca="1" si="5"/>
        <v>0.20693525000000057</v>
      </c>
      <c r="W8" s="1">
        <f t="shared" ca="1" si="6"/>
        <v>6.5829770000000565E-2</v>
      </c>
      <c r="X8" s="1">
        <f t="shared" ca="1" si="7"/>
        <v>48.039559460000191</v>
      </c>
      <c r="Y8" s="1">
        <f t="shared" ca="1" si="8"/>
        <v>-87.461391500000161</v>
      </c>
      <c r="Z8" s="1">
        <f t="shared" ca="1" si="9"/>
        <v>3.663E-5</v>
      </c>
      <c r="AA8" s="1">
        <f t="shared" ca="1" si="10"/>
        <v>-39.057354980000127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0.79423186999999995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2.1677548600000005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2.5908488800000007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939.00778627000011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315.1356468699999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7.4259999999999997E-5</v>
      </c>
      <c r="Q9" s="1">
        <f t="shared" ca="1" si="2"/>
        <v>1259.69634301</v>
      </c>
      <c r="T9">
        <f t="shared" si="3"/>
        <v>4</v>
      </c>
      <c r="U9" s="1">
        <f t="shared" ca="1" si="4"/>
        <v>8.6915150000000052E-2</v>
      </c>
      <c r="V9" s="1">
        <f t="shared" ca="1" si="5"/>
        <v>0.22123971999999936</v>
      </c>
      <c r="W9" s="1">
        <f t="shared" ca="1" si="6"/>
        <v>7.4556209999999457E-2</v>
      </c>
      <c r="X9" s="1">
        <f t="shared" ca="1" si="7"/>
        <v>42.374750679999806</v>
      </c>
      <c r="Y9" s="1">
        <f t="shared" ca="1" si="8"/>
        <v>-79.319010929999934</v>
      </c>
      <c r="Z9" s="1">
        <f t="shared" ca="1" si="9"/>
        <v>2.7210000000000019E-5</v>
      </c>
      <c r="AA9" s="1">
        <f t="shared" ca="1" si="10"/>
        <v>-36.561521960000164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0.88114702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2.3889945799999999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2.6654050900000001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981.38253694999992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235.81663593999997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1.0147000000000002E-4</v>
      </c>
      <c r="Q10" s="1">
        <f t="shared" ca="1" si="2"/>
        <v>1223.1348210499998</v>
      </c>
      <c r="T10">
        <f t="shared" si="3"/>
        <v>5</v>
      </c>
      <c r="U10" s="1">
        <f t="shared" ca="1" si="4"/>
        <v>6.5001429999999916E-2</v>
      </c>
      <c r="V10" s="1">
        <f t="shared" ca="1" si="5"/>
        <v>0.23223187000000012</v>
      </c>
      <c r="W10" s="1">
        <f t="shared" ca="1" si="6"/>
        <v>0.19163700000000006</v>
      </c>
      <c r="X10" s="1">
        <f t="shared" ca="1" si="7"/>
        <v>34.978783770000064</v>
      </c>
      <c r="Y10" s="1">
        <f t="shared" ca="1" si="8"/>
        <v>-93.989206269999954</v>
      </c>
      <c r="Z10" s="1">
        <f t="shared" ca="1" si="9"/>
        <v>2.8630000000000002E-5</v>
      </c>
      <c r="AA10" s="1">
        <f t="shared" ca="1" si="10"/>
        <v>-58.521523569999772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0.94614844999999992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2.62122645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2.8570420900000002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1016.36132072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141.82742967000001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1.3010000000000002E-4</v>
      </c>
      <c r="Q11" s="1">
        <f t="shared" ca="1" si="2"/>
        <v>1164.61329748</v>
      </c>
      <c r="T11">
        <f t="shared" si="3"/>
        <v>6</v>
      </c>
      <c r="U11" s="1">
        <f t="shared" ca="1" si="4"/>
        <v>7.7449060000000403E-2</v>
      </c>
      <c r="V11" s="1">
        <f t="shared" ca="1" si="5"/>
        <v>0.24391060999999992</v>
      </c>
      <c r="W11" s="1">
        <f t="shared" ca="1" si="6"/>
        <v>0.20396023999999979</v>
      </c>
      <c r="X11" s="1">
        <f t="shared" ca="1" si="7"/>
        <v>26.302350160000174</v>
      </c>
      <c r="Y11" s="1">
        <f t="shared" ca="1" si="8"/>
        <v>-83.073210670000009</v>
      </c>
      <c r="Z11" s="1">
        <f t="shared" ca="1" si="9"/>
        <v>-7.782000000000001E-5</v>
      </c>
      <c r="AA11" s="1">
        <f t="shared" ca="1" si="10"/>
        <v>-56.245618419999801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1.0235975100000003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2.8651370599999999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3.06100233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1042.6636708800002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58.754219000000006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5.2280000000000001E-5</v>
      </c>
      <c r="Q12" s="1">
        <f t="shared" ca="1" si="2"/>
        <v>1108.3676790600002</v>
      </c>
      <c r="T12">
        <f t="shared" si="3"/>
        <v>7</v>
      </c>
      <c r="U12" s="1">
        <f t="shared" ca="1" si="4"/>
        <v>4.4297899999999668E-2</v>
      </c>
      <c r="V12" s="1">
        <f t="shared" ca="1" si="5"/>
        <v>0.25251911000000016</v>
      </c>
      <c r="W12" s="1">
        <f t="shared" ca="1" si="6"/>
        <v>1.8364510000000056E-2</v>
      </c>
      <c r="X12" s="1">
        <f t="shared" ca="1" si="7"/>
        <v>33.441494559999683</v>
      </c>
      <c r="Y12" s="1">
        <f t="shared" ca="1" si="8"/>
        <v>-37.657675460000007</v>
      </c>
      <c r="Z12" s="1">
        <f t="shared" ca="1" si="9"/>
        <v>-1.3070000000000002E-5</v>
      </c>
      <c r="AA12" s="1">
        <f t="shared" ca="1" si="10"/>
        <v>-3.9010124500002803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1.06789541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3.1176561700000001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3.07936684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1076.1051654399998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21.096543539999999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3.9209999999999999E-5</v>
      </c>
      <c r="Q13" s="1">
        <f t="shared" ca="1" si="2"/>
        <v>1104.4666666099999</v>
      </c>
      <c r="T13">
        <f t="shared" si="3"/>
        <v>8</v>
      </c>
      <c r="U13" s="1">
        <f t="shared" ca="1" si="4"/>
        <v>5.2128540000000001E-2</v>
      </c>
      <c r="V13" s="1">
        <f t="shared" ca="1" si="5"/>
        <v>0.25711600999999895</v>
      </c>
      <c r="W13" s="1">
        <f t="shared" ca="1" si="6"/>
        <v>-1.2163979999999963E-2</v>
      </c>
      <c r="X13" s="1">
        <f t="shared" ca="1" si="7"/>
        <v>19.602455030000101</v>
      </c>
      <c r="Y13" s="1">
        <f t="shared" ca="1" si="8"/>
        <v>-8.3878538200000001</v>
      </c>
      <c r="Z13" s="1">
        <f t="shared" ca="1" si="9"/>
        <v>1.7550000000000001E-4</v>
      </c>
      <c r="AA13" s="1">
        <f t="shared" ca="1" si="10"/>
        <v>11.511857279999731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1.12002395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3.374772179999999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3.0672028600000001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1095.7076204699999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12.708689719999999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2.1471000000000001E-4</v>
      </c>
      <c r="Q14" s="1">
        <f t="shared" ca="1" si="2"/>
        <v>1115.9785238899997</v>
      </c>
      <c r="T14">
        <f t="shared" si="3"/>
        <v>9</v>
      </c>
      <c r="U14" s="1">
        <f t="shared" ca="1" si="4"/>
        <v>4.7238859999999994E-2</v>
      </c>
      <c r="V14" s="1">
        <f t="shared" ca="1" si="5"/>
        <v>0.19710288000000142</v>
      </c>
      <c r="W14" s="1">
        <f t="shared" ca="1" si="6"/>
        <v>-7.6666829999999742E-2</v>
      </c>
      <c r="X14" s="1">
        <f t="shared" ca="1" si="7"/>
        <v>28.403596849999985</v>
      </c>
      <c r="Y14" s="1">
        <f t="shared" ca="1" si="8"/>
        <v>-4.6293372099999992</v>
      </c>
      <c r="Z14" s="1">
        <f t="shared" ca="1" si="9"/>
        <v>9.8810000000000011E-5</v>
      </c>
      <c r="AA14" s="1">
        <f t="shared" ca="1" si="10"/>
        <v>23.942033360000323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1.16726281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3.5718750600000004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2.9905360300000003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1124.1112173199999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8.0793525099999997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3.1352000000000002E-4</v>
      </c>
      <c r="Q15" s="1">
        <f t="shared" ca="1" si="2"/>
        <v>1139.92055725</v>
      </c>
      <c r="T15">
        <f t="shared" si="3"/>
        <v>10</v>
      </c>
      <c r="U15" s="1">
        <f t="shared" ca="1" si="4"/>
        <v>6.4072700000000093E-2</v>
      </c>
      <c r="V15" s="1">
        <f t="shared" ca="1" si="5"/>
        <v>0.21785615999999974</v>
      </c>
      <c r="W15" s="1">
        <f t="shared" ca="1" si="6"/>
        <v>-7.353692000000045E-2</v>
      </c>
      <c r="X15" s="1">
        <f t="shared" ca="1" si="7"/>
        <v>26.821454040000162</v>
      </c>
      <c r="Y15" s="1">
        <f t="shared" ca="1" si="8"/>
        <v>-4.8396294199999996</v>
      </c>
      <c r="Z15" s="1">
        <f t="shared" ca="1" si="9"/>
        <v>-7.4430000000000031E-5</v>
      </c>
      <c r="AA15" s="1">
        <f t="shared" ca="1" si="10"/>
        <v>22.19014213000014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1.2313355100000001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3.7897312200000002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2.9169991099999999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1150.9326713600001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3.23972309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2.3908999999999999E-4</v>
      </c>
      <c r="Q16" s="1">
        <f t="shared" ca="1" si="2"/>
        <v>1162.1106993800001</v>
      </c>
      <c r="T16">
        <f t="shared" si="3"/>
        <v>11</v>
      </c>
      <c r="U16" s="1">
        <f t="shared" ca="1" si="4"/>
        <v>5.3000069999999955E-2</v>
      </c>
      <c r="V16" s="1">
        <f t="shared" ca="1" si="5"/>
        <v>0.25130957999999914</v>
      </c>
      <c r="W16" s="1">
        <f t="shared" ca="1" si="6"/>
        <v>-7.2718049999999756E-2</v>
      </c>
      <c r="X16" s="1">
        <f t="shared" ca="1" si="7"/>
        <v>25.414415869999857</v>
      </c>
      <c r="Y16" s="1">
        <f t="shared" ca="1" si="8"/>
        <v>-3.0366760699999999</v>
      </c>
      <c r="Z16" s="1">
        <f t="shared" ca="1" si="9"/>
        <v>-1.1030000000000008E-5</v>
      </c>
      <c r="AA16" s="1">
        <f t="shared" ca="1" si="10"/>
        <v>22.60932036999975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1.28433558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4.0410407999999993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2.8442810600000001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1176.3470872299999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0.20304701999999999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2.2805999999999998E-4</v>
      </c>
      <c r="Q17" s="1">
        <f t="shared" ca="1" si="2"/>
        <v>1184.7200197499999</v>
      </c>
      <c r="T17">
        <f t="shared" si="3"/>
        <v>12</v>
      </c>
      <c r="U17" s="1">
        <f t="shared" ca="1" si="4"/>
        <v>6.4370269999999952E-2</v>
      </c>
      <c r="V17" s="1">
        <f t="shared" ca="1" si="5"/>
        <v>0.25158513000000138</v>
      </c>
      <c r="W17" s="1">
        <f t="shared" ca="1" si="6"/>
        <v>-7.0304610000000434E-2</v>
      </c>
      <c r="X17" s="1">
        <f t="shared" ca="1" si="7"/>
        <v>23.790668809999943</v>
      </c>
      <c r="Y17" s="1">
        <f t="shared" ca="1" si="8"/>
        <v>-2.4644290000000013E-2</v>
      </c>
      <c r="Z17" s="1">
        <f t="shared" ca="1" si="9"/>
        <v>7.5400000000000261E-6</v>
      </c>
      <c r="AA17" s="1">
        <f t="shared" ca="1" si="10"/>
        <v>24.011682849999943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1.34870585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4.2926259300000007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2.7739764499999997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1200.1377560399999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0.17840272999999998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2.3560000000000001E-4</v>
      </c>
      <c r="Q18" s="1">
        <f t="shared" ca="1" si="2"/>
        <v>1208.7317025999998</v>
      </c>
      <c r="T18">
        <f t="shared" si="3"/>
        <v>13</v>
      </c>
      <c r="U18" s="1">
        <f t="shared" ca="1" si="4"/>
        <v>4.1463549999999794E-2</v>
      </c>
      <c r="V18" s="1">
        <f t="shared" ca="1" si="5"/>
        <v>0.27417110999999927</v>
      </c>
      <c r="W18" s="1">
        <f t="shared" ca="1" si="6"/>
        <v>-6.9339010000000201E-2</v>
      </c>
      <c r="X18" s="1">
        <f t="shared" ca="1" si="7"/>
        <v>24.165571170000021</v>
      </c>
      <c r="Y18" s="1">
        <f t="shared" ca="1" si="8"/>
        <v>-5.931059999999988E-3</v>
      </c>
      <c r="Z18" s="1">
        <f t="shared" ca="1" si="9"/>
        <v>-2.5399999999999994E-5</v>
      </c>
      <c r="AA18" s="1">
        <f t="shared" ca="1" si="10"/>
        <v>24.405910360000235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1.3901693999999998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4.56679704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2.7046374399999995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1224.3033272099999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0.17247166999999999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2.1020000000000001E-4</v>
      </c>
      <c r="Q19" s="1">
        <f t="shared" ca="1" si="2"/>
        <v>1233.1376129600001</v>
      </c>
      <c r="T19">
        <f t="shared" si="3"/>
        <v>14</v>
      </c>
      <c r="U19" s="1">
        <f t="shared" ca="1" si="4"/>
        <v>3.4784520000000319E-2</v>
      </c>
      <c r="V19" s="1">
        <f t="shared" ca="1" si="5"/>
        <v>0.27807293000000133</v>
      </c>
      <c r="W19" s="1">
        <f t="shared" ca="1" si="6"/>
        <v>-6.7606999999999307E-2</v>
      </c>
      <c r="X19" s="1">
        <f t="shared" ca="1" si="7"/>
        <v>25.36493345000008</v>
      </c>
      <c r="Y19" s="1">
        <f t="shared" ca="1" si="8"/>
        <v>-4.311789999999982E-3</v>
      </c>
      <c r="Z19" s="1">
        <f t="shared" ca="1" si="9"/>
        <v>-5.8100000000000274E-6</v>
      </c>
      <c r="AA19" s="1">
        <f t="shared" ca="1" si="10"/>
        <v>25.605866299999889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1.4249539200000001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4.8448699700000013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2.6370304400000002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1249.66826066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0.16815988000000001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2.0438999999999999E-4</v>
      </c>
      <c r="Q20" s="1">
        <f t="shared" ca="1" si="2"/>
        <v>1258.74347926</v>
      </c>
      <c r="T20">
        <f t="shared" si="3"/>
        <v>15</v>
      </c>
      <c r="U20" s="1">
        <f t="shared" ca="1" si="4"/>
        <v>1.4058139999999719E-2</v>
      </c>
      <c r="V20" s="1">
        <f t="shared" ca="1" si="5"/>
        <v>0.27410117999999972</v>
      </c>
      <c r="W20" s="1">
        <f t="shared" ca="1" si="6"/>
        <v>-6.5914150000000227E-2</v>
      </c>
      <c r="X20" s="1">
        <f t="shared" ca="1" si="7"/>
        <v>28.081659370000125</v>
      </c>
      <c r="Y20" s="1">
        <f t="shared" ca="1" si="8"/>
        <v>-4.4865099999999991E-3</v>
      </c>
      <c r="Z20" s="1">
        <f t="shared" ca="1" si="9"/>
        <v>7.0539999999999958E-5</v>
      </c>
      <c r="AA20" s="1">
        <f t="shared" ca="1" si="10"/>
        <v>28.299488569999994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1.4390120599999998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5.118971150000001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2.57111629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1277.7499200300001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0.16367337000000001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2.7492999999999994E-4</v>
      </c>
      <c r="Q21" s="1">
        <f t="shared" ca="1" si="2"/>
        <v>1287.04296783</v>
      </c>
      <c r="T21">
        <f t="shared" si="3"/>
        <v>16</v>
      </c>
      <c r="U21" s="1">
        <f t="shared" ca="1" si="4"/>
        <v>2.2536209999999945E-2</v>
      </c>
      <c r="V21" s="1">
        <f t="shared" ca="1" si="5"/>
        <v>0.27833477999999889</v>
      </c>
      <c r="W21" s="1">
        <f t="shared" ca="1" si="6"/>
        <v>-6.4272260000000081E-2</v>
      </c>
      <c r="X21" s="1">
        <f t="shared" ca="1" si="7"/>
        <v>27.811973629999784</v>
      </c>
      <c r="Y21" s="1">
        <f t="shared" ca="1" si="8"/>
        <v>-4.0949000000000124E-3</v>
      </c>
      <c r="Z21" s="1">
        <f t="shared" ca="1" si="9"/>
        <v>-2.6819999999999936E-5</v>
      </c>
      <c r="AA21" s="1">
        <f t="shared" ca="1" si="10"/>
        <v>28.044450639999923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1.4615482699999998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5.3973059299999999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2.5068440299999999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1305.5618936599999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0.15957847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2.4811000000000001E-4</v>
      </c>
      <c r="Q22" s="1">
        <f t="shared" ca="1" si="2"/>
        <v>1315.0874184699999</v>
      </c>
      <c r="T22">
        <f t="shared" si="3"/>
        <v>17</v>
      </c>
      <c r="U22" s="1">
        <f t="shared" ca="1" si="4"/>
        <v>4.5289180000000151E-2</v>
      </c>
      <c r="V22" s="1">
        <f t="shared" ca="1" si="5"/>
        <v>0.28188934000000021</v>
      </c>
      <c r="W22" s="1">
        <f t="shared" ca="1" si="6"/>
        <v>-6.2422879999999736E-2</v>
      </c>
      <c r="X22" s="1">
        <f t="shared" ca="1" si="7"/>
        <v>26.25273629000003</v>
      </c>
      <c r="Y22" s="1">
        <f t="shared" ca="1" si="8"/>
        <v>-3.9895699999999978E-3</v>
      </c>
      <c r="Z22" s="1">
        <f t="shared" ca="1" si="9"/>
        <v>-2.8589999999999996E-5</v>
      </c>
      <c r="AA22" s="1">
        <f t="shared" ca="1" si="10"/>
        <v>26.513473770000246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1.5068374499999999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5.6791952700000001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2.4444211500000002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1331.8146299499999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0.1555889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2.1952000000000001E-4</v>
      </c>
      <c r="Q23" s="1">
        <f t="shared" ca="1" si="2"/>
        <v>1341.6008922400001</v>
      </c>
      <c r="T23">
        <f t="shared" si="3"/>
        <v>18</v>
      </c>
      <c r="U23" s="1">
        <f t="shared" ca="1" si="4"/>
        <v>3.3915469999999948E-2</v>
      </c>
      <c r="V23" s="1">
        <f t="shared" ca="1" si="5"/>
        <v>0.28625169999999933</v>
      </c>
      <c r="W23" s="1">
        <f t="shared" ca="1" si="6"/>
        <v>-6.1088670000000178E-2</v>
      </c>
      <c r="X23" s="1">
        <f t="shared" ca="1" si="7"/>
        <v>27.494206280000071</v>
      </c>
      <c r="Y23" s="1">
        <f t="shared" ca="1" si="8"/>
        <v>-3.8897400000000026E-3</v>
      </c>
      <c r="Z23" s="1">
        <f t="shared" ca="1" si="9"/>
        <v>-2.5460000000000044E-5</v>
      </c>
      <c r="AA23" s="1">
        <f t="shared" ca="1" si="10"/>
        <v>27.749369579999893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1.5407529199999999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5.9654469699999995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2.38333248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1359.30883623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0.15169916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1.9405999999999997E-4</v>
      </c>
      <c r="Q24" s="1">
        <f t="shared" ca="1" si="2"/>
        <v>1369.35026182</v>
      </c>
      <c r="T24">
        <f t="shared" si="3"/>
        <v>19</v>
      </c>
      <c r="U24" s="1">
        <f t="shared" ca="1" si="4"/>
        <v>5.5598460000000127E-2</v>
      </c>
      <c r="V24" s="1">
        <f t="shared" ca="1" si="5"/>
        <v>0.28771810000000109</v>
      </c>
      <c r="W24" s="1">
        <f t="shared" ca="1" si="6"/>
        <v>-5.9574079999999974E-2</v>
      </c>
      <c r="X24" s="1">
        <f t="shared" ca="1" si="7"/>
        <v>26.760962930000005</v>
      </c>
      <c r="Y24" s="1">
        <f t="shared" ca="1" si="8"/>
        <v>-3.7964699999999962E-3</v>
      </c>
      <c r="Z24" s="1">
        <f t="shared" ca="1" si="9"/>
        <v>-3.1099999999999943E-5</v>
      </c>
      <c r="AA24" s="1">
        <f t="shared" ca="1" si="10"/>
        <v>27.040877839999894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1.59635138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6.2531650700000005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2.3237584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1386.06979916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0.14790269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1.6296000000000003E-4</v>
      </c>
      <c r="Q25" s="1">
        <f t="shared" ca="1" si="2"/>
        <v>1396.3911396599999</v>
      </c>
      <c r="T25">
        <f t="shared" si="3"/>
        <v>20</v>
      </c>
      <c r="U25" s="1">
        <f t="shared" ca="1" si="4"/>
        <v>5.3209289999999854E-2</v>
      </c>
      <c r="V25" s="1">
        <f t="shared" ca="1" si="5"/>
        <v>0.28764102999999874</v>
      </c>
      <c r="W25" s="1">
        <f t="shared" ca="1" si="6"/>
        <v>-5.7989940000000129E-2</v>
      </c>
      <c r="X25" s="1">
        <f t="shared" ca="1" si="7"/>
        <v>28.011374150000165</v>
      </c>
      <c r="Y25" s="1">
        <f t="shared" ca="1" si="8"/>
        <v>-3.6977200000000154E-3</v>
      </c>
      <c r="Z25" s="1">
        <f t="shared" ca="1" si="9"/>
        <v>-2.6300000000000043E-5</v>
      </c>
      <c r="AA25" s="1">
        <f t="shared" ca="1" si="10"/>
        <v>28.290510510000104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1.6495606699999998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6.5408060999999993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2.2657684599999999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1414.0811733100002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0.14420496999999999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1.3665999999999998E-4</v>
      </c>
      <c r="Q26" s="1">
        <f t="shared" ca="1" si="2"/>
        <v>1424.68165017</v>
      </c>
      <c r="T26">
        <f t="shared" si="3"/>
        <v>21</v>
      </c>
      <c r="U26" s="1">
        <f t="shared" ca="1" si="4"/>
        <v>5.9953130000000243E-2</v>
      </c>
      <c r="V26" s="1">
        <f t="shared" ca="1" si="5"/>
        <v>0.29359836999999978</v>
      </c>
      <c r="W26" s="1">
        <f t="shared" ca="1" si="6"/>
        <v>-5.6635659999999977E-2</v>
      </c>
      <c r="X26" s="1">
        <f t="shared" ca="1" si="7"/>
        <v>27.95790299999976</v>
      </c>
      <c r="Y26" s="1">
        <f t="shared" ca="1" si="8"/>
        <v>-3.6048199999999808E-3</v>
      </c>
      <c r="Z26" s="1">
        <f t="shared" ca="1" si="9"/>
        <v>-1.617999999999997E-5</v>
      </c>
      <c r="AA26" s="1">
        <f t="shared" ca="1" si="10"/>
        <v>28.251197840000032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1.7095138000000001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6.8344044699999991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2.2091327999999999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1442.0390763099999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0.14060015000000001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1.2048000000000001E-4</v>
      </c>
      <c r="Q27" s="1">
        <f t="shared" ca="1" si="2"/>
        <v>1452.93284801</v>
      </c>
      <c r="T27">
        <f t="shared" si="3"/>
        <v>22</v>
      </c>
      <c r="U27" s="1">
        <f t="shared" ca="1" si="4"/>
        <v>6.3713970000000009E-2</v>
      </c>
      <c r="V27" s="1">
        <f t="shared" ca="1" si="5"/>
        <v>0.28840413000000087</v>
      </c>
      <c r="W27" s="1">
        <f t="shared" ca="1" si="6"/>
        <v>-5.4252969999999401E-2</v>
      </c>
      <c r="X27" s="1">
        <f t="shared" ca="1" si="7"/>
        <v>28.565453090000346</v>
      </c>
      <c r="Y27" s="1">
        <f t="shared" ca="1" si="8"/>
        <v>-3.5149899999999956E-3</v>
      </c>
      <c r="Z27" s="1">
        <f t="shared" ca="1" si="9"/>
        <v>-1.0900000000000007E-5</v>
      </c>
      <c r="AA27" s="1">
        <f t="shared" ca="1" si="10"/>
        <v>28.859792330000346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1.7732277700000001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7.1228085999999999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2.1548798300000005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1470.6045294000003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0.13708516000000001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1.0958E-4</v>
      </c>
      <c r="Q28" s="1">
        <f t="shared" ca="1" si="2"/>
        <v>1481.7926403400004</v>
      </c>
      <c r="T28">
        <f t="shared" si="3"/>
        <v>23</v>
      </c>
      <c r="U28" s="1">
        <f t="shared" ca="1" si="4"/>
        <v>4.2938189999999654E-2</v>
      </c>
      <c r="V28" s="1">
        <f t="shared" ca="1" si="5"/>
        <v>0.26936046000000147</v>
      </c>
      <c r="W28" s="1">
        <f t="shared" ca="1" si="6"/>
        <v>-5.385923000000048E-2</v>
      </c>
      <c r="X28" s="1">
        <f t="shared" ca="1" si="7"/>
        <v>32.442616469999621</v>
      </c>
      <c r="Y28" s="1">
        <f t="shared" ca="1" si="8"/>
        <v>-3.4271700000000072E-3</v>
      </c>
      <c r="Z28" s="1">
        <f t="shared" ca="1" si="9"/>
        <v>-1.4249999999999994E-5</v>
      </c>
      <c r="AA28" s="1">
        <f t="shared" ca="1" si="10"/>
        <v>32.697614469999507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1.8161659599999997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7.3921690600000014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2.1010206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1503.0471458699999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0.13365799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9.5330000000000011E-5</v>
      </c>
      <c r="Q29" s="1">
        <f t="shared" ca="1" si="2"/>
        <v>1514.4902548099999</v>
      </c>
      <c r="T29">
        <f t="shared" si="3"/>
        <v>24</v>
      </c>
      <c r="U29" s="1">
        <f t="shared" ca="1" si="4"/>
        <v>5.4972940000000525E-2</v>
      </c>
      <c r="V29" s="1">
        <f t="shared" ca="1" si="5"/>
        <v>0.24713813999999878</v>
      </c>
      <c r="W29" s="1">
        <f t="shared" ca="1" si="6"/>
        <v>-5.2520990000000101E-2</v>
      </c>
      <c r="X29" s="1">
        <f t="shared" ca="1" si="7"/>
        <v>33.621293470000182</v>
      </c>
      <c r="Y29" s="1">
        <f t="shared" ca="1" si="8"/>
        <v>-3.3661000000000108E-3</v>
      </c>
      <c r="Z29" s="1">
        <f t="shared" ca="1" si="9"/>
        <v>-1.0410000000000004E-5</v>
      </c>
      <c r="AA29" s="1">
        <f t="shared" ca="1" si="10"/>
        <v>33.867507050000313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1.8711389000000003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7.6393072000000002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2.0484996099999999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1536.6684393400001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0.13029188999999999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8.4920000000000007E-5</v>
      </c>
      <c r="Q30" s="1">
        <f t="shared" ca="1" si="2"/>
        <v>1548.3577618600002</v>
      </c>
      <c r="T30">
        <f t="shared" si="3"/>
        <v>25</v>
      </c>
      <c r="U30" s="1">
        <f t="shared" ca="1" si="4"/>
        <v>5.0660209999999539E-2</v>
      </c>
      <c r="V30" s="1">
        <f t="shared" ca="1" si="5"/>
        <v>0.28434650999999977</v>
      </c>
      <c r="W30" s="1">
        <f t="shared" ca="1" si="6"/>
        <v>-5.1209719999999903E-2</v>
      </c>
      <c r="X30" s="1">
        <f t="shared" ca="1" si="7"/>
        <v>32.576792189999878</v>
      </c>
      <c r="Y30" s="1">
        <f t="shared" ca="1" si="8"/>
        <v>-3.2573300000000027E-3</v>
      </c>
      <c r="Z30" s="1">
        <f t="shared" ca="1" si="9"/>
        <v>4.6999999999998703E-7</v>
      </c>
      <c r="AA30" s="1">
        <f t="shared" ca="1" si="10"/>
        <v>32.857332329999963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1.9217991099999998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7.92365371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1.99728989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1569.24523153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0.12703455999999999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8.5389999999999994E-5</v>
      </c>
      <c r="Q31" s="1">
        <f t="shared" ca="1" si="2"/>
        <v>1581.2150941900002</v>
      </c>
      <c r="T31">
        <f t="shared" si="3"/>
        <v>26</v>
      </c>
      <c r="U31" s="1">
        <f t="shared" ca="1" si="4"/>
        <v>5.0963830000000376E-2</v>
      </c>
      <c r="V31" s="1">
        <f t="shared" ca="1" si="5"/>
        <v>0.30210365999999844</v>
      </c>
      <c r="W31" s="1">
        <f t="shared" ca="1" si="6"/>
        <v>-4.988524999999977E-2</v>
      </c>
      <c r="X31" s="1">
        <f t="shared" ca="1" si="7"/>
        <v>32.101032119999672</v>
      </c>
      <c r="Y31" s="1">
        <f t="shared" ca="1" si="8"/>
        <v>-3.1758999999999954E-3</v>
      </c>
      <c r="Z31" s="1">
        <f t="shared" ca="1" si="9"/>
        <v>-8.0899999999999852E-6</v>
      </c>
      <c r="AA31" s="1">
        <f t="shared" ca="1" si="10"/>
        <v>32.401030369999489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1.9727629400000002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8.2257573699999984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1.9474046400000002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1601.3462636499996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0.12385866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7.7300000000000009E-5</v>
      </c>
      <c r="Q32" s="1">
        <f t="shared" ca="1" si="2"/>
        <v>1613.6161245599997</v>
      </c>
      <c r="T32">
        <f t="shared" si="3"/>
        <v>27</v>
      </c>
      <c r="U32" s="1">
        <f t="shared" ca="1" si="4"/>
        <v>5.1458779999999704E-2</v>
      </c>
      <c r="V32" s="1">
        <f t="shared" ca="1" si="5"/>
        <v>0.30445425000000093</v>
      </c>
      <c r="W32" s="1">
        <f t="shared" ca="1" si="6"/>
        <v>-4.8682880000000095E-2</v>
      </c>
      <c r="X32" s="1">
        <f t="shared" ca="1" si="7"/>
        <v>32.900998330000448</v>
      </c>
      <c r="Y32" s="1">
        <f t="shared" ca="1" si="8"/>
        <v>-3.0964699999999901E-3</v>
      </c>
      <c r="Z32" s="1">
        <f t="shared" ca="1" si="9"/>
        <v>-5.8699999999999963E-6</v>
      </c>
      <c r="AA32" s="1">
        <f t="shared" ca="1" si="10"/>
        <v>33.205126140000402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2.0242217199999999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8.5302116199999993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1.8987217600000001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1634.2472619800001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0.12076219000000001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7.1430000000000012E-5</v>
      </c>
      <c r="Q33" s="1">
        <f t="shared" ca="1" si="2"/>
        <v>1646.8212507000001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D15-2361-428C-BB4E-5B93E9B664EC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45415.62095462963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200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E3D3E-EC5D-41C2-96CB-D95444660DFB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2600</v>
      </c>
      <c r="D3" s="7">
        <f xml:space="preserve"> 0 + CAL!D3 + CAR!D3 + CENT!D3 + FLA!D3 + MIDA!D3 + MIDW!D3 + NE!D3 + NY!D3 + NW!D3 + SE!D3 + SW!D3 + TEN!D3 + TEX!D3</f>
        <v>2600</v>
      </c>
      <c r="E3" s="7">
        <f xml:space="preserve"> 0 + CAL!E3 + CAR!E3 + CENT!E3 + FLA!E3 + MIDA!E3 + MIDW!E3 + NE!E3 + NY!E3 + NW!E3 + SE!E3 + SW!E3 + TEN!E3 + TEX!E3</f>
        <v>2600</v>
      </c>
      <c r="F3" s="7">
        <f xml:space="preserve"> 0 + CAL!F3 + CAR!F3 + CENT!F3 + FLA!F3 + MIDA!F3 + MIDW!F3 + NE!F3 + NY!F3 + NW!F3 + SE!F3 + SW!F3 + TEN!F3 + TEX!F3</f>
        <v>2600</v>
      </c>
      <c r="G3" s="7">
        <f xml:space="preserve"> 0 + CAL!G3 + CAR!G3 + CENT!G3 + FLA!G3 + MIDA!G3 + MIDW!G3 + NE!G3 + NY!G3 + NW!G3 + SE!G3 + SW!G3 + TEN!G3 + TEX!G3</f>
        <v>2600</v>
      </c>
      <c r="H3" s="7">
        <f xml:space="preserve"> 0 + CAL!H3 + CAR!H3 + CENT!H3 + FLA!H3 + MIDA!H3 + MIDW!H3 + NE!H3 + NY!H3 + NW!H3 + SE!H3 + SW!H3 + TEN!H3 + TEX!H3</f>
        <v>2600</v>
      </c>
      <c r="I3" s="7">
        <f xml:space="preserve"> 0 + CAL!I3 + CAR!I3 + CENT!I3 + FLA!I3 + MIDA!I3 + MIDW!I3 + NE!I3 + NY!I3 + NW!I3 + SE!I3 + SW!I3 + TEN!I3 + TEX!I3</f>
        <v>2600</v>
      </c>
      <c r="J3" s="7">
        <f xml:space="preserve"> 0 + CAL!J3 + CAR!J3 + CENT!J3 + FLA!J3 + MIDA!J3 + MIDW!J3 + NE!J3 + NY!J3 + NW!J3 + SE!J3 + SW!J3 + TEN!J3 + TEX!J3</f>
        <v>2600</v>
      </c>
      <c r="K3" s="7">
        <f xml:space="preserve"> 0 + CAL!K3 + CAR!K3 + CENT!K3 + FLA!K3 + MIDA!K3 + MIDW!K3 + NE!K3 + NY!K3 + NW!K3 + SE!K3 + SW!K3 + TEN!K3 + TEX!K3</f>
        <v>2600</v>
      </c>
      <c r="L3" s="7">
        <f xml:space="preserve"> 0 + CAL!L3 + CAR!L3 + CENT!L3 + FLA!L3 + MIDA!L3 + MIDW!L3 + NE!L3 + NY!L3 + NW!L3 + SE!L3 + SW!L3 + TEN!L3 + TEX!L3</f>
        <v>2600</v>
      </c>
      <c r="M3" s="7">
        <f xml:space="preserve"> 0 + CAL!M3 + CAR!M3 + CENT!M3 + FLA!M3 + MIDA!M3 + MIDW!M3 + NE!M3 + NY!M3 + NW!M3 + SE!M3 + SW!M3 + TEN!M3 + TEX!M3</f>
        <v>2600</v>
      </c>
      <c r="N3" s="7">
        <f xml:space="preserve"> 0 + CAL!N3 + CAR!N3 + CENT!N3 + FLA!N3 + MIDA!N3 + MIDW!N3 + NE!N3 + NY!N3 + NW!N3 + SE!N3 + SW!N3 + TEN!N3 + TEX!N3</f>
        <v>2600</v>
      </c>
      <c r="O3" s="7">
        <f xml:space="preserve"> 0 + CAL!O3 + CAR!O3 + CENT!O3 + FLA!O3 + MIDA!O3 + MIDW!O3 + NE!O3 + NY!O3 + NW!O3 + SE!O3 + SW!O3 + TEN!O3 + TEX!O3</f>
        <v>2600</v>
      </c>
      <c r="P3" s="7">
        <f xml:space="preserve"> 0 + CAL!P3 + CAR!P3 + CENT!P3 + FLA!P3 + MIDA!P3 + MIDW!P3 + NE!P3 + NY!P3 + NW!P3 + SE!P3 + SW!P3 + TEN!P3 + TEX!P3</f>
        <v>2600</v>
      </c>
      <c r="Q3" s="7">
        <f xml:space="preserve"> 0 + CAL!Q3 + CAR!Q3 + CENT!Q3 + FLA!Q3 + MIDA!Q3 + MIDW!Q3 + NE!Q3 + NY!Q3 + NW!Q3 + SE!Q3 + SW!Q3 + TEN!Q3 + TEX!Q3</f>
        <v>2600</v>
      </c>
      <c r="R3" s="7">
        <f xml:space="preserve"> 0 + CAL!R3 + CAR!R3 + CENT!R3 + FLA!R3 + MIDA!R3 + MIDW!R3 + NE!R3 + NY!R3 + NW!R3 + SE!R3 + SW!R3 + TEN!R3 + TEX!R3</f>
        <v>2600</v>
      </c>
      <c r="S3" s="7">
        <f xml:space="preserve"> 0 + CAL!S3 + CAR!S3 + CENT!S3 + FLA!S3 + MIDA!S3 + MIDW!S3 + NE!S3 + NY!S3 + NW!S3 + SE!S3 + SW!S3 + TEN!S3 + TEX!S3</f>
        <v>2600</v>
      </c>
      <c r="T3" s="7">
        <f xml:space="preserve"> 0 + CAL!T3 + CAR!T3 + CENT!T3 + FLA!T3 + MIDA!T3 + MIDW!T3 + NE!T3 + NY!T3 + NW!T3 + SE!T3 + SW!T3 + TEN!T3 + TEX!T3</f>
        <v>2600</v>
      </c>
      <c r="U3" s="7">
        <f xml:space="preserve"> 0 + CAL!U3 + CAR!U3 + CENT!U3 + FLA!U3 + MIDA!U3 + MIDW!U3 + NE!U3 + NY!U3 + NW!U3 + SE!U3 + SW!U3 + TEN!U3 + TEX!U3</f>
        <v>2600</v>
      </c>
      <c r="V3" s="7">
        <f xml:space="preserve"> 0 + CAL!V3 + CAR!V3 + CENT!V3 + FLA!V3 + MIDA!V3 + MIDW!V3 + NE!V3 + NY!V3 + NW!V3 + SE!V3 + SW!V3 + TEN!V3 + TEX!V3</f>
        <v>2600</v>
      </c>
      <c r="W3" s="7">
        <f xml:space="preserve"> 0 + CAL!W3 + CAR!W3 + CENT!W3 + FLA!W3 + MIDA!W3 + MIDW!W3 + NE!W3 + NY!W3 + NW!W3 + SE!W3 + SW!W3 + TEN!W3 + TEX!W3</f>
        <v>2600</v>
      </c>
      <c r="X3" s="7">
        <f xml:space="preserve"> 0 + CAL!X3 + CAR!X3 + CENT!X3 + FLA!X3 + MIDA!X3 + MIDW!X3 + NE!X3 + NY!X3 + NW!X3 + SE!X3 + SW!X3 + TEN!X3 + TEX!X3</f>
        <v>2600</v>
      </c>
      <c r="Y3" s="7">
        <f xml:space="preserve"> 0 + CAL!Y3 + CAR!Y3 + CENT!Y3 + FLA!Y3 + MIDA!Y3 + MIDW!Y3 + NE!Y3 + NY!Y3 + NW!Y3 + SE!Y3 + SW!Y3 + TEN!Y3 + TEX!Y3</f>
        <v>2600</v>
      </c>
      <c r="Z3" s="7">
        <f xml:space="preserve"> 0 + CAL!Z3 + CAR!Z3 + CENT!Z3 + FLA!Z3 + MIDA!Z3 + MIDW!Z3 + NE!Z3 + NY!Z3 + NW!Z3 + SE!Z3 + SW!Z3 + TEN!Z3 + TEX!Z3</f>
        <v>2600</v>
      </c>
      <c r="AA3" s="7">
        <f xml:space="preserve"> 0 + CAL!AA3 + CAR!AA3 + CENT!AA3 + FLA!AA3 + MIDA!AA3 + MIDW!AA3 + NE!AA3 + NY!AA3 + NW!AA3 + SE!AA3 + SW!AA3 + TEN!AA3 + TEX!AA3</f>
        <v>2600</v>
      </c>
      <c r="AB3" s="7">
        <f xml:space="preserve"> 0 + CAL!AB3 + CAR!AB3 + CENT!AB3 + FLA!AB3 + MIDA!AB3 + MIDW!AB3 + NE!AB3 + NY!AB3 + NW!AB3 + SE!AB3 + SW!AB3 + TEN!AB3 + TEX!AB3</f>
        <v>2600</v>
      </c>
      <c r="AC3" s="7">
        <f xml:space="preserve"> 0 + CAL!AC3 + CAR!AC3 + CENT!AC3 + FLA!AC3 + MIDA!AC3 + MIDW!AC3 + NE!AC3 + NY!AC3 + NW!AC3 + SE!AC3 + SW!AC3 + TEN!AC3 + TEX!AC3</f>
        <v>2600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1.6999999999999999E-7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963993.42501302995</v>
      </c>
      <c r="D5" s="7">
        <f xml:space="preserve"> 0 + CAL!D5 + CAR!D5 + CENT!D5 + FLA!D5 + MIDA!D5 + MIDW!D5 + NE!D5 + NY!D5 + NW!D5 + SE!D5 + SW!D5 + TEN!D5 + TEX!D5</f>
        <v>1020254.1645223899</v>
      </c>
      <c r="E5" s="7">
        <f xml:space="preserve"> 0 + CAL!E5 + CAR!E5 + CENT!E5 + FLA!E5 + MIDA!E5 + MIDW!E5 + NE!E5 + NY!E5 + NW!E5 + SE!E5 + SW!E5 + TEN!E5 + TEX!E5</f>
        <v>1073111.72800209</v>
      </c>
      <c r="F5" s="7">
        <f xml:space="preserve"> 0 + CAL!F5 + CAR!F5 + CENT!F5 + FLA!F5 + MIDA!F5 + MIDW!F5 + NE!F5 + NY!F5 + NW!F5 + SE!F5 + SW!F5 + TEN!F5 + TEX!F5</f>
        <v>1126830.3152119899</v>
      </c>
      <c r="G5" s="7">
        <f xml:space="preserve"> 0 + CAL!G5 + CAR!G5 + CENT!G5 + FLA!G5 + MIDA!G5 + MIDW!G5 + NE!G5 + NY!G5 + NW!G5 + SE!G5 + SW!G5 + TEN!G5 + TEX!G5</f>
        <v>1184045.6549559799</v>
      </c>
      <c r="H5" s="7">
        <f xml:space="preserve"> 0 + CAL!H5 + CAR!H5 + CENT!H5 + FLA!H5 + MIDA!H5 + MIDW!H5 + NE!H5 + NY!H5 + NW!H5 + SE!H5 + SW!H5 + TEN!H5 + TEX!H5</f>
        <v>1244192.8558521601</v>
      </c>
      <c r="I5" s="7">
        <f xml:space="preserve"> 0 + CAL!I5 + CAR!I5 + CENT!I5 + FLA!I5 + MIDA!I5 + MIDW!I5 + NE!I5 + NY!I5 + NW!I5 + SE!I5 + SW!I5 + TEN!I5 + TEX!I5</f>
        <v>1287073.9005869001</v>
      </c>
      <c r="J5" s="7">
        <f xml:space="preserve"> 0 + CAL!J5 + CAR!J5 + CENT!J5 + FLA!J5 + MIDA!J5 + MIDW!J5 + NE!J5 + NY!J5 + NW!J5 + SE!J5 + SW!J5 + TEN!J5 + TEX!J5</f>
        <v>1320453.0906790402</v>
      </c>
      <c r="K5" s="7">
        <f xml:space="preserve"> 0 + CAL!K5 + CAR!K5 + CENT!K5 + FLA!K5 + MIDA!K5 + MIDW!K5 + NE!K5 + NY!K5 + NW!K5 + SE!K5 + SW!K5 + TEN!K5 + TEX!K5</f>
        <v>1350733.5470450702</v>
      </c>
      <c r="L5" s="7">
        <f xml:space="preserve"> 0 + CAL!L5 + CAR!L5 + CENT!L5 + FLA!L5 + MIDA!L5 + MIDW!L5 + NE!L5 + NY!L5 + NW!L5 + SE!L5 + SW!L5 + TEN!L5 + TEX!L5</f>
        <v>1386019.7139768703</v>
      </c>
      <c r="M5" s="7">
        <f xml:space="preserve"> 0 + CAL!M5 + CAR!M5 + CENT!M5 + FLA!M5 + MIDA!M5 + MIDW!M5 + NE!M5 + NY!M5 + NW!M5 + SE!M5 + SW!M5 + TEN!M5 + TEX!M5</f>
        <v>1421543.4867295402</v>
      </c>
      <c r="N5" s="7">
        <f xml:space="preserve"> 0 + CAL!N5 + CAR!N5 + CENT!N5 + FLA!N5 + MIDA!N5 + MIDW!N5 + NE!N5 + NY!N5 + NW!N5 + SE!N5 + SW!N5 + TEN!N5 + TEX!N5</f>
        <v>1457745.0415588301</v>
      </c>
      <c r="O5" s="7">
        <f xml:space="preserve"> 0 + CAL!O5 + CAR!O5 + CENT!O5 + FLA!O5 + MIDA!O5 + MIDW!O5 + NE!O5 + NY!O5 + NW!O5 + SE!O5 + SW!O5 + TEN!O5 + TEX!O5</f>
        <v>1495300.7895887198</v>
      </c>
      <c r="P5" s="7">
        <f xml:space="preserve"> 0 + CAL!P5 + CAR!P5 + CENT!P5 + FLA!P5 + MIDA!P5 + MIDW!P5 + NE!P5 + NY!P5 + NW!P5 + SE!P5 + SW!P5 + TEN!P5 + TEX!P5</f>
        <v>1532638.92188733</v>
      </c>
      <c r="Q5" s="7">
        <f xml:space="preserve"> 0 + CAL!Q5 + CAR!Q5 + CENT!Q5 + FLA!Q5 + MIDA!Q5 + MIDW!Q5 + NE!Q5 + NY!Q5 + NW!Q5 + SE!Q5 + SW!Q5 + TEN!Q5 + TEX!Q5</f>
        <v>1567493.9538586196</v>
      </c>
      <c r="R5" s="7">
        <f xml:space="preserve"> 0 + CAL!R5 + CAR!R5 + CENT!R5 + FLA!R5 + MIDA!R5 + MIDW!R5 + NE!R5 + NY!R5 + NW!R5 + SE!R5 + SW!R5 + TEN!R5 + TEX!R5</f>
        <v>1604912.6951474198</v>
      </c>
      <c r="S5" s="7">
        <f xml:space="preserve"> 0 + CAL!S5 + CAR!S5 + CENT!S5 + FLA!S5 + MIDA!S5 + MIDW!S5 + NE!S5 + NY!S5 + NW!S5 + SE!S5 + SW!S5 + TEN!S5 + TEX!S5</f>
        <v>1645721.0239014397</v>
      </c>
      <c r="T5" s="7">
        <f xml:space="preserve"> 0 + CAL!T5 + CAR!T5 + CENT!T5 + FLA!T5 + MIDA!T5 + MIDW!T5 + NE!T5 + NY!T5 + NW!T5 + SE!T5 + SW!T5 + TEN!T5 + TEX!T5</f>
        <v>1686477.6543381803</v>
      </c>
      <c r="U5" s="7">
        <f xml:space="preserve"> 0 + CAL!U5 + CAR!U5 + CENT!U5 + FLA!U5 + MIDA!U5 + MIDW!U5 + NE!U5 + NY!U5 + NW!U5 + SE!U5 + SW!U5 + TEN!U5 + TEX!U5</f>
        <v>1729824.6567258101</v>
      </c>
      <c r="V5" s="7">
        <f xml:space="preserve"> 0 + CAL!V5 + CAR!V5 + CENT!V5 + FLA!V5 + MIDA!V5 + MIDW!V5 + NE!V5 + NY!V5 + NW!V5 + SE!V5 + SW!V5 + TEN!V5 + TEX!V5</f>
        <v>1773375.7932310498</v>
      </c>
      <c r="W5" s="7">
        <f xml:space="preserve"> 0 + CAL!W5 + CAR!W5 + CENT!W5 + FLA!W5 + MIDA!W5 + MIDW!W5 + NE!W5 + NY!W5 + NW!W5 + SE!W5 + SW!W5 + TEN!W5 + TEX!W5</f>
        <v>1818629.73571321</v>
      </c>
      <c r="X5" s="7">
        <f xml:space="preserve"> 0 + CAL!X5 + CAR!X5 + CENT!X5 + FLA!X5 + MIDA!X5 + MIDW!X5 + NE!X5 + NY!X5 + NW!X5 + SE!X5 + SW!X5 + TEN!X5 + TEX!X5</f>
        <v>1864811.5656008602</v>
      </c>
      <c r="Y5" s="7">
        <f xml:space="preserve"> 0 + CAL!Y5 + CAR!Y5 + CENT!Y5 + FLA!Y5 + MIDA!Y5 + MIDW!Y5 + NE!Y5 + NY!Y5 + NW!Y5 + SE!Y5 + SW!Y5 + TEN!Y5 + TEX!Y5</f>
        <v>1908786.2302373697</v>
      </c>
      <c r="Z5" s="7">
        <f xml:space="preserve"> 0 + CAL!Z5 + CAR!Z5 + CENT!Z5 + FLA!Z5 + MIDA!Z5 + MIDW!Z5 + NE!Z5 + NY!Z5 + NW!Z5 + SE!Z5 + SW!Z5 + TEN!Z5 + TEX!Z5</f>
        <v>1953476.9200007701</v>
      </c>
      <c r="AA5" s="7">
        <f xml:space="preserve"> 0 + CAL!AA5 + CAR!AA5 + CENT!AA5 + FLA!AA5 + MIDA!AA5 + MIDW!AA5 + NE!AA5 + NY!AA5 + NW!AA5 + SE!AA5 + SW!AA5 + TEN!AA5 + TEX!AA5</f>
        <v>2000216.5465656701</v>
      </c>
      <c r="AB5" s="7">
        <f xml:space="preserve"> 0 + CAL!AB5 + CAR!AB5 + CENT!AB5 + FLA!AB5 + MIDA!AB5 + MIDW!AB5 + NE!AB5 + NY!AB5 + NW!AB5 + SE!AB5 + SW!AB5 + TEN!AB5 + TEX!AB5</f>
        <v>2048880.5220711203</v>
      </c>
      <c r="AC5" s="7">
        <f xml:space="preserve"> 0 + CAL!AC5 + CAR!AC5 + CENT!AC5 + FLA!AC5 + MIDA!AC5 + MIDW!AC5 + NE!AC5 + NY!AC5 + NW!AC5 + SE!AC5 + SW!AC5 + TEN!AC5 + TEX!AC5</f>
        <v>2098362.6373326797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3700648139.488143</v>
      </c>
      <c r="D6" s="7">
        <f xml:space="preserve"> 0 + CAL!D6 + CAR!D6 + CENT!D6 + FLA!D6 + MIDA!D6 + MIDW!D6 + NE!D6 + NY!D6 + NW!D6 + SE!D6 + SW!D6 + TEN!D6 + TEX!D6</f>
        <v>3781663739.2083726</v>
      </c>
      <c r="E6" s="7">
        <f xml:space="preserve"> 0 + CAL!E6 + CAR!E6 + CENT!E6 + FLA!E6 + MIDA!E6 + MIDW!E6 + NE!E6 + NY!E6 + NW!E6 + SE!E6 + SW!E6 + TEN!E6 + TEX!E6</f>
        <v>3865055572.5296383</v>
      </c>
      <c r="F6" s="7">
        <f xml:space="preserve"> 0 + CAL!F6 + CAR!F6 + CENT!F6 + FLA!F6 + MIDA!F6 + MIDW!F6 + NE!F6 + NY!F6 + NW!F6 + SE!F6 + SW!F6 + TEN!F6 + TEX!F6</f>
        <v>3952349177.0705791</v>
      </c>
      <c r="G6" s="7">
        <f xml:space="preserve"> 0 + CAL!G6 + CAR!G6 + CENT!G6 + FLA!G6 + MIDA!G6 + MIDW!G6 + NE!G6 + NY!G6 + NW!G6 + SE!G6 + SW!G6 + TEN!G6 + TEX!G6</f>
        <v>4044050726.5562844</v>
      </c>
      <c r="H6" s="7">
        <f xml:space="preserve"> 0 + CAL!H6 + CAR!H6 + CENT!H6 + FLA!H6 + MIDA!H6 + MIDW!H6 + NE!H6 + NY!H6 + NW!H6 + SE!H6 + SW!H6 + TEN!H6 + TEX!H6</f>
        <v>4140874402.1543822</v>
      </c>
      <c r="I6" s="7">
        <f xml:space="preserve"> 0 + CAL!I6 + CAR!I6 + CENT!I6 + FLA!I6 + MIDA!I6 + MIDW!I6 + NE!I6 + NY!I6 + NW!I6 + SE!I6 + SW!I6 + TEN!I6 + TEX!I6</f>
        <v>4241309222.8511624</v>
      </c>
      <c r="J6" s="7">
        <f xml:space="preserve"> 0 + CAL!J6 + CAR!J6 + CENT!J6 + FLA!J6 + MIDA!J6 + MIDW!J6 + NE!J6 + NY!J6 + NW!J6 + SE!J6 + SW!J6 + TEN!J6 + TEX!J6</f>
        <v>4341735186.6889391</v>
      </c>
      <c r="K6" s="7">
        <f xml:space="preserve"> 0 + CAL!K6 + CAR!K6 + CENT!K6 + FLA!K6 + MIDA!K6 + MIDW!K6 + NE!K6 + NY!K6 + NW!K6 + SE!K6 + SW!K6 + TEN!K6 + TEX!K6</f>
        <v>4427224061.9067936</v>
      </c>
      <c r="L6" s="7">
        <f xml:space="preserve"> 0 + CAL!L6 + CAR!L6 + CENT!L6 + FLA!L6 + MIDA!L6 + MIDW!L6 + NE!L6 + NY!L6 + NW!L6 + SE!L6 + SW!L6 + TEN!L6 + TEX!L6</f>
        <v>4518826016.434227</v>
      </c>
      <c r="M6" s="7">
        <f xml:space="preserve"> 0 + CAL!M6 + CAR!M6 + CENT!M6 + FLA!M6 + MIDA!M6 + MIDW!M6 + NE!M6 + NY!M6 + NW!M6 + SE!M6 + SW!M6 + TEN!M6 + TEX!M6</f>
        <v>4616176965.3601828</v>
      </c>
      <c r="N6" s="7">
        <f xml:space="preserve"> 0 + CAL!N6 + CAR!N6 + CENT!N6 + FLA!N6 + MIDA!N6 + MIDW!N6 + NE!N6 + NY!N6 + NW!N6 + SE!N6 + SW!N6 + TEN!N6 + TEX!N6</f>
        <v>4717034758.6468859</v>
      </c>
      <c r="O6" s="7">
        <f xml:space="preserve"> 0 + CAL!O6 + CAR!O6 + CENT!O6 + FLA!O6 + MIDA!O6 + MIDW!O6 + NE!O6 + NY!O6 + NW!O6 + SE!O6 + SW!O6 + TEN!O6 + TEX!O6</f>
        <v>4820067503.5671425</v>
      </c>
      <c r="P6" s="7">
        <f xml:space="preserve"> 0 + CAL!P6 + CAR!P6 + CENT!P6 + FLA!P6 + MIDA!P6 + MIDW!P6 + NE!P6 + NY!P6 + NW!P6 + SE!P6 + SW!P6 + TEN!P6 + TEX!P6</f>
        <v>4925766880.5004845</v>
      </c>
      <c r="Q6" s="7">
        <f xml:space="preserve"> 0 + CAL!Q6 + CAR!Q6 + CENT!Q6 + FLA!Q6 + MIDA!Q6 + MIDW!Q6 + NE!Q6 + NY!Q6 + NW!Q6 + SE!Q6 + SW!Q6 + TEN!Q6 + TEX!Q6</f>
        <v>5032436457.8816814</v>
      </c>
      <c r="R6" s="7">
        <f xml:space="preserve"> 0 + CAL!R6 + CAR!R6 + CENT!R6 + FLA!R6 + MIDA!R6 + MIDW!R6 + NE!R6 + NY!R6 + NW!R6 + SE!R6 + SW!R6 + TEN!R6 + TEX!R6</f>
        <v>5141857443.5401592</v>
      </c>
      <c r="S6" s="7">
        <f xml:space="preserve"> 0 + CAL!S6 + CAR!S6 + CENT!S6 + FLA!S6 + MIDA!S6 + MIDW!S6 + NE!S6 + NY!S6 + NW!S6 + SE!S6 + SW!S6 + TEN!S6 + TEX!S6</f>
        <v>5254152136.8638544</v>
      </c>
      <c r="T6" s="7">
        <f xml:space="preserve"> 0 + CAL!T6 + CAR!T6 + CENT!T6 + FLA!T6 + MIDA!T6 + MIDW!T6 + NE!T6 + NY!T6 + NW!T6 + SE!T6 + SW!T6 + TEN!T6 + TEX!T6</f>
        <v>5368241142.3610744</v>
      </c>
      <c r="U6" s="7">
        <f xml:space="preserve"> 0 + CAL!U6 + CAR!U6 + CENT!U6 + FLA!U6 + MIDA!U6 + MIDW!U6 + NE!U6 + NY!U6 + NW!U6 + SE!U6 + SW!U6 + TEN!U6 + TEX!U6</f>
        <v>5486041917.1483059</v>
      </c>
      <c r="V6" s="7">
        <f xml:space="preserve"> 0 + CAL!V6 + CAR!V6 + CENT!V6 + FLA!V6 + MIDA!V6 + MIDW!V6 + NE!V6 + NY!V6 + NW!V6 + SE!V6 + SW!V6 + TEN!V6 + TEX!V6</f>
        <v>5606425619.9989653</v>
      </c>
      <c r="W6" s="7">
        <f xml:space="preserve"> 0 + CAL!W6 + CAR!W6 + CENT!W6 + FLA!W6 + MIDA!W6 + MIDW!W6 + NE!W6 + NY!W6 + NW!W6 + SE!W6 + SW!W6 + TEN!W6 + TEX!W6</f>
        <v>5729989835.2787914</v>
      </c>
      <c r="X6" s="7">
        <f xml:space="preserve"> 0 + CAL!X6 + CAR!X6 + CENT!X6 + FLA!X6 + MIDA!X6 + MIDW!X6 + NE!X6 + NY!X6 + NW!X6 + SE!X6 + SW!X6 + TEN!X6 + TEX!X6</f>
        <v>5855041895.289382</v>
      </c>
      <c r="Y6" s="7">
        <f xml:space="preserve"> 0 + CAL!Y6 + CAR!Y6 + CENT!Y6 + FLA!Y6 + MIDA!Y6 + MIDW!Y6 + NE!Y6 + NY!Y6 + NW!Y6 + SE!Y6 + SW!Y6 + TEN!Y6 + TEX!Y6</f>
        <v>5979221808.3592491</v>
      </c>
      <c r="Z6" s="7">
        <f xml:space="preserve"> 0 + CAL!Z6 + CAR!Z6 + CENT!Z6 + FLA!Z6 + MIDA!Z6 + MIDW!Z6 + NE!Z6 + NY!Z6 + NW!Z6 + SE!Z6 + SW!Z6 + TEN!Z6 + TEX!Z6</f>
        <v>6103104718.6491346</v>
      </c>
      <c r="AA6" s="7">
        <f xml:space="preserve"> 0 + CAL!AA6 + CAR!AA6 + CENT!AA6 + FLA!AA6 + MIDA!AA6 + MIDW!AA6 + NE!AA6 + NY!AA6 + NW!AA6 + SE!AA6 + SW!AA6 + TEN!AA6 + TEX!AA6</f>
        <v>6233732750.9193897</v>
      </c>
      <c r="AB6" s="7">
        <f xml:space="preserve"> 0 + CAL!AB6 + CAR!AB6 + CENT!AB6 + FLA!AB6 + MIDA!AB6 + MIDW!AB6 + NE!AB6 + NY!AB6 + NW!AB6 + SE!AB6 + SW!AB6 + TEN!AB6 + TEX!AB6</f>
        <v>6368331455.3030596</v>
      </c>
      <c r="AC6" s="7">
        <f xml:space="preserve"> 0 + CAL!AC6 + CAR!AC6 + CENT!AC6 + FLA!AC6 + MIDA!AC6 + MIDW!AC6 + NE!AC6 + NY!AC6 + NW!AC6 + SE!AC6 + SW!AC6 + TEN!AC6 + TEX!AC6</f>
        <v>6505650257.5221872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381536.19523588003</v>
      </c>
      <c r="D8" s="7">
        <f xml:space="preserve"> 0 + CAL!D8 + CAR!D8 + CENT!D8 + FLA!D8 + MIDA!D8 + MIDW!D8 + NE!D8 + NY!D8 + NW!D8 + SE!D8 + SW!D8 + TEN!D8 + TEX!D8</f>
        <v>395672.98497375997</v>
      </c>
      <c r="E8" s="7">
        <f xml:space="preserve"> 0 + CAL!E8 + CAR!E8 + CENT!E8 + FLA!E8 + MIDA!E8 + MIDW!E8 + NE!E8 + NY!E8 + NW!E8 + SE!E8 + SW!E8 + TEN!E8 + TEX!E8</f>
        <v>408486.72752376995</v>
      </c>
      <c r="F8" s="7">
        <f xml:space="preserve"> 0 + CAL!F8 + CAR!F8 + CENT!F8 + FLA!F8 + MIDA!F8 + MIDW!F8 + NE!F8 + NY!F8 + NW!F8 + SE!F8 + SW!F8 + TEN!F8 + TEX!F8</f>
        <v>422041.75809458003</v>
      </c>
      <c r="G8" s="7">
        <f xml:space="preserve"> 0 + CAL!G8 + CAR!G8 + CENT!G8 + FLA!G8 + MIDA!G8 + MIDW!G8 + NE!G8 + NY!G8 + NW!G8 + SE!G8 + SW!G8 + TEN!G8 + TEX!G8</f>
        <v>441384.93309555994</v>
      </c>
      <c r="H8" s="7">
        <f xml:space="preserve"> 0 + CAL!H8 + CAR!H8 + CENT!H8 + FLA!H8 + MIDA!H8 + MIDW!H8 + NE!H8 + NY!H8 + NW!H8 + SE!H8 + SW!H8 + TEN!H8 + TEX!H8</f>
        <v>461155.42953587003</v>
      </c>
      <c r="I8" s="7">
        <f xml:space="preserve"> 0 + CAL!I8 + CAR!I8 + CENT!I8 + FLA!I8 + MIDA!I8 + MIDW!I8 + NE!I8 + NY!I8 + NW!I8 + SE!I8 + SW!I8 + TEN!I8 + TEX!I8</f>
        <v>469945.63601465995</v>
      </c>
      <c r="J8" s="7">
        <f xml:space="preserve"> 0 + CAL!J8 + CAR!J8 + CENT!J8 + FLA!J8 + MIDA!J8 + MIDW!J8 + NE!J8 + NY!J8 + NW!J8 + SE!J8 + SW!J8 + TEN!J8 + TEX!J8</f>
        <v>476518.40545069001</v>
      </c>
      <c r="K8" s="7">
        <f xml:space="preserve"> 0 + CAL!K8 + CAR!K8 + CENT!K8 + FLA!K8 + MIDA!K8 + MIDW!K8 + NE!K8 + NY!K8 + NW!K8 + SE!K8 + SW!K8 + TEN!K8 + TEX!K8</f>
        <v>479680.26515558991</v>
      </c>
      <c r="L8" s="7">
        <f xml:space="preserve"> 0 + CAL!L8 + CAR!L8 + CENT!L8 + FLA!L8 + MIDA!L8 + MIDW!L8 + NE!L8 + NY!L8 + NW!L8 + SE!L8 + SW!L8 + TEN!L8 + TEX!L8</f>
        <v>483380.98149278003</v>
      </c>
      <c r="M8" s="7">
        <f xml:space="preserve"> 0 + CAL!M8 + CAR!M8 + CENT!M8 + FLA!M8 + MIDA!M8 + MIDW!M8 + NE!M8 + NY!M8 + NW!M8 + SE!M8 + SW!M8 + TEN!M8 + TEX!M8</f>
        <v>487472.63884503004</v>
      </c>
      <c r="N8" s="7">
        <f xml:space="preserve"> 0 + CAL!N8 + CAR!N8 + CENT!N8 + FLA!N8 + MIDA!N8 + MIDW!N8 + NE!N8 + NY!N8 + NW!N8 + SE!N8 + SW!N8 + TEN!N8 + TEX!N8</f>
        <v>491851.25066629006</v>
      </c>
      <c r="O8" s="7">
        <f xml:space="preserve"> 0 + CAL!O8 + CAR!O8 + CENT!O8 + FLA!O8 + MIDA!O8 + MIDW!O8 + NE!O8 + NY!O8 + NW!O8 + SE!O8 + SW!O8 + TEN!O8 + TEX!O8</f>
        <v>496786.69671722001</v>
      </c>
      <c r="P8" s="7">
        <f xml:space="preserve"> 0 + CAL!P8 + CAR!P8 + CENT!P8 + FLA!P8 + MIDA!P8 + MIDW!P8 + NE!P8 + NY!P8 + NW!P8 + SE!P8 + SW!P8 + TEN!P8 + TEX!P8</f>
        <v>501824.19541725999</v>
      </c>
      <c r="Q8" s="7">
        <f xml:space="preserve"> 0 + CAL!Q8 + CAR!Q8 + CENT!Q8 + FLA!Q8 + MIDA!Q8 + MIDW!Q8 + NE!Q8 + NY!Q8 + NW!Q8 + SE!Q8 + SW!Q8 + TEN!Q8 + TEX!Q8</f>
        <v>506445.37258586008</v>
      </c>
      <c r="R8" s="7">
        <f xml:space="preserve"> 0 + CAL!R8 + CAR!R8 + CENT!R8 + FLA!R8 + MIDA!R8 + MIDW!R8 + NE!R8 + NY!R8 + NW!R8 + SE!R8 + SW!R8 + TEN!R8 + TEX!R8</f>
        <v>511729.23004410998</v>
      </c>
      <c r="S8" s="7">
        <f xml:space="preserve"> 0 + CAL!S8 + CAR!S8 + CENT!S8 + FLA!S8 + MIDA!S8 + MIDW!S8 + NE!S8 + NY!S8 + NW!S8 + SE!S8 + SW!S8 + TEN!S8 + TEX!S8</f>
        <v>517864.56239477004</v>
      </c>
      <c r="T8" s="7">
        <f xml:space="preserve"> 0 + CAL!T8 + CAR!T8 + CENT!T8 + FLA!T8 + MIDA!T8 + MIDW!T8 + NE!T8 + NY!T8 + NW!T8 + SE!T8 + SW!T8 + TEN!T8 + TEX!T8</f>
        <v>524111.37898762996</v>
      </c>
      <c r="U8" s="7">
        <f xml:space="preserve"> 0 + CAL!U8 + CAR!U8 + CENT!U8 + FLA!U8 + MIDA!U8 + MIDW!U8 + NE!U8 + NY!U8 + NW!U8 + SE!U8 + SW!U8 + TEN!U8 + TEX!U8</f>
        <v>530998.86573339999</v>
      </c>
      <c r="V8" s="7">
        <f xml:space="preserve"> 0 + CAL!V8 + CAR!V8 + CENT!V8 + FLA!V8 + MIDA!V8 + MIDW!V8 + NE!V8 + NY!V8 + NW!V8 + SE!V8 + SW!V8 + TEN!V8 + TEX!V8</f>
        <v>538030.79616614012</v>
      </c>
      <c r="W8" s="7">
        <f xml:space="preserve"> 0 + CAL!W8 + CAR!W8 + CENT!W8 + FLA!W8 + MIDA!W8 + MIDW!W8 + NE!W8 + NY!W8 + NW!W8 + SE!W8 + SW!W8 + TEN!W8 + TEX!W8</f>
        <v>545531.40607057</v>
      </c>
      <c r="X8" s="7">
        <f xml:space="preserve"> 0 + CAL!X8 + CAR!X8 + CENT!X8 + FLA!X8 + MIDA!X8 + MIDW!X8 + NE!X8 + NY!X8 + NW!X8 + SE!X8 + SW!X8 + TEN!X8 + TEX!X8</f>
        <v>553336.91021309001</v>
      </c>
      <c r="Y8" s="7">
        <f xml:space="preserve"> 0 + CAL!Y8 + CAR!Y8 + CENT!Y8 + FLA!Y8 + MIDA!Y8 + MIDW!Y8 + NE!Y8 + NY!Y8 + NW!Y8 + SE!Y8 + SW!Y8 + TEN!Y8 + TEX!Y8</f>
        <v>560600.82779911999</v>
      </c>
      <c r="Z8" s="7">
        <f xml:space="preserve"> 0 + CAL!Z8 + CAR!Z8 + CENT!Z8 + FLA!Z8 + MIDA!Z8 + MIDW!Z8 + NE!Z8 + NY!Z8 + NW!Z8 + SE!Z8 + SW!Z8 + TEN!Z8 + TEX!Z8</f>
        <v>568014.13474338991</v>
      </c>
      <c r="AA8" s="7">
        <f xml:space="preserve"> 0 + CAL!AA8 + CAR!AA8 + CENT!AA8 + FLA!AA8 + MIDA!AA8 + MIDW!AA8 + NE!AA8 + NY!AA8 + NW!AA8 + SE!AA8 + SW!AA8 + TEN!AA8 + TEX!AA8</f>
        <v>576157.71583012003</v>
      </c>
      <c r="AB8" s="7">
        <f xml:space="preserve"> 0 + CAL!AB8 + CAR!AB8 + CENT!AB8 + FLA!AB8 + MIDA!AB8 + MIDW!AB8 + NE!AB8 + NY!AB8 + NW!AB8 + SE!AB8 + SW!AB8 + TEN!AB8 + TEX!AB8</f>
        <v>584885.24697919004</v>
      </c>
      <c r="AC8" s="7">
        <f xml:space="preserve"> 0 + CAL!AC8 + CAR!AC8 + CENT!AC8 + FLA!AC8 + MIDA!AC8 + MIDW!AC8 + NE!AC8 + NY!AC8 + NW!AC8 + SE!AC8 + SW!AC8 + TEN!AC8 + TEX!AC8</f>
        <v>593874.02415776998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64190.041102030009</v>
      </c>
      <c r="D9" s="7">
        <f xml:space="preserve"> 0 + CAL!D9 + CAR!D9 + CENT!D9 + FLA!D9 + MIDA!D9 + MIDW!D9 + NE!D9 + NY!D9 + NW!D9 + SE!D9 + SW!D9 + TEN!D9 + TEX!D9</f>
        <v>64305.728305719997</v>
      </c>
      <c r="E9" s="7">
        <f xml:space="preserve"> 0 + CAL!E9 + CAR!E9 + CENT!E9 + FLA!E9 + MIDA!E9 + MIDW!E9 + NE!E9 + NY!E9 + NW!E9 + SE!E9 + SW!E9 + TEN!E9 + TEX!E9</f>
        <v>64436.7029148</v>
      </c>
      <c r="F9" s="7">
        <f xml:space="preserve"> 0 + CAL!F9 + CAR!F9 + CENT!F9 + FLA!F9 + MIDA!F9 + MIDW!F9 + NE!F9 + NY!F9 + NW!F9 + SE!F9 + SW!F9 + TEN!F9 + TEX!F9</f>
        <v>64546.164188150011</v>
      </c>
      <c r="G9" s="7">
        <f xml:space="preserve"> 0 + CAL!G9 + CAR!G9 + CENT!G9 + FLA!G9 + MIDA!G9 + MIDW!G9 + NE!G9 + NY!G9 + NW!G9 + SE!G9 + SW!G9 + TEN!G9 + TEX!G9</f>
        <v>64265.408653970007</v>
      </c>
      <c r="H9" s="7">
        <f xml:space="preserve"> 0 + CAL!H9 + CAR!H9 + CENT!H9 + FLA!H9 + MIDA!H9 + MIDW!H9 + NE!H9 + NY!H9 + NW!H9 + SE!H9 + SW!H9 + TEN!H9 + TEX!H9</f>
        <v>63904.025894809994</v>
      </c>
      <c r="I9" s="7">
        <f xml:space="preserve"> 0 + CAL!I9 + CAR!I9 + CENT!I9 + FLA!I9 + MIDA!I9 + MIDW!I9 + NE!I9 + NY!I9 + NW!I9 + SE!I9 + SW!I9 + TEN!I9 + TEX!I9</f>
        <v>64562.052085840012</v>
      </c>
      <c r="J9" s="7">
        <f xml:space="preserve"> 0 + CAL!J9 + CAR!J9 + CENT!J9 + FLA!J9 + MIDA!J9 + MIDW!J9 + NE!J9 + NY!J9 + NW!J9 + SE!J9 + SW!J9 + TEN!J9 + TEX!J9</f>
        <v>65259.070200279988</v>
      </c>
      <c r="K9" s="7">
        <f xml:space="preserve"> 0 + CAL!K9 + CAR!K9 + CENT!K9 + FLA!K9 + MIDA!K9 + MIDW!K9 + NE!K9 + NY!K9 + NW!K9 + SE!K9 + SW!K9 + TEN!K9 + TEX!K9</f>
        <v>66283.67044709</v>
      </c>
      <c r="L9" s="7">
        <f xml:space="preserve"> 0 + CAL!L9 + CAR!L9 + CENT!L9 + FLA!L9 + MIDA!L9 + MIDW!L9 + NE!L9 + NY!L9 + NW!L9 + SE!L9 + SW!L9 + TEN!L9 + TEX!L9</f>
        <v>67234.042464369995</v>
      </c>
      <c r="M9" s="7">
        <f xml:space="preserve"> 0 + CAL!M9 + CAR!M9 + CENT!M9 + FLA!M9 + MIDA!M9 + MIDW!M9 + NE!M9 + NY!M9 + NW!M9 + SE!M9 + SW!M9 + TEN!M9 + TEX!M9</f>
        <v>68168.303556260013</v>
      </c>
      <c r="N9" s="7">
        <f xml:space="preserve"> 0 + CAL!N9 + CAR!N9 + CENT!N9 + FLA!N9 + MIDA!N9 + MIDW!N9 + NE!N9 + NY!N9 + NW!N9 + SE!N9 + SW!N9 + TEN!N9 + TEX!N9</f>
        <v>69115.356417429997</v>
      </c>
      <c r="O9" s="7">
        <f xml:space="preserve"> 0 + CAL!O9 + CAR!O9 + CENT!O9 + FLA!O9 + MIDA!O9 + MIDW!O9 + NE!O9 + NY!O9 + NW!O9 + SE!O9 + SW!O9 + TEN!O9 + TEX!O9</f>
        <v>70084.859263139995</v>
      </c>
      <c r="P9" s="7">
        <f xml:space="preserve"> 0 + CAL!P9 + CAR!P9 + CENT!P9 + FLA!P9 + MIDA!P9 + MIDW!P9 + NE!P9 + NY!P9 + NW!P9 + SE!P9 + SW!P9 + TEN!P9 + TEX!P9</f>
        <v>71119.970643870009</v>
      </c>
      <c r="Q9" s="7">
        <f xml:space="preserve"> 0 + CAL!Q9 + CAR!Q9 + CENT!Q9 + FLA!Q9 + MIDA!Q9 + MIDW!Q9 + NE!Q9 + NY!Q9 + NW!Q9 + SE!Q9 + SW!Q9 + TEN!Q9 + TEX!Q9</f>
        <v>72296.07335215999</v>
      </c>
      <c r="R9" s="7">
        <f xml:space="preserve"> 0 + CAL!R9 + CAR!R9 + CENT!R9 + FLA!R9 + MIDA!R9 + MIDW!R9 + NE!R9 + NY!R9 + NW!R9 + SE!R9 + SW!R9 + TEN!R9 + TEX!R9</f>
        <v>73464.27898771</v>
      </c>
      <c r="S9" s="7">
        <f xml:space="preserve"> 0 + CAL!S9 + CAR!S9 + CENT!S9 + FLA!S9 + MIDA!S9 + MIDW!S9 + NE!S9 + NY!S9 + NW!S9 + SE!S9 + SW!S9 + TEN!S9 + TEX!S9</f>
        <v>74561.076230009989</v>
      </c>
      <c r="T9" s="7">
        <f xml:space="preserve"> 0 + CAL!T9 + CAR!T9 + CENT!T9 + FLA!T9 + MIDA!T9 + MIDW!T9 + NE!T9 + NY!T9 + NW!T9 + SE!T9 + SW!T9 + TEN!T9 + TEX!T9</f>
        <v>75724.193040829996</v>
      </c>
      <c r="U9" s="7">
        <f xml:space="preserve"> 0 + CAL!U9 + CAR!U9 + CENT!U9 + FLA!U9 + MIDA!U9 + MIDW!U9 + NE!U9 + NY!U9 + NW!U9 + SE!U9 + SW!U9 + TEN!U9 + TEX!U9</f>
        <v>76855.903528819996</v>
      </c>
      <c r="V9" s="7">
        <f xml:space="preserve"> 0 + CAL!V9 + CAR!V9 + CENT!V9 + FLA!V9 + MIDA!V9 + MIDW!V9 + NE!V9 + NY!V9 + NW!V9 + SE!V9 + SW!V9 + TEN!V9 + TEX!V9</f>
        <v>78055.221323659978</v>
      </c>
      <c r="W9" s="7">
        <f xml:space="preserve"> 0 + CAL!W9 + CAR!W9 + CENT!W9 + FLA!W9 + MIDA!W9 + MIDW!W9 + NE!W9 + NY!W9 + NW!W9 + SE!W9 + SW!W9 + TEN!W9 + TEX!W9</f>
        <v>79256.444294900008</v>
      </c>
      <c r="X9" s="7">
        <f xml:space="preserve"> 0 + CAL!X9 + CAR!X9 + CENT!X9 + FLA!X9 + MIDA!X9 + MIDW!X9 + NE!X9 + NY!X9 + NW!X9 + SE!X9 + SW!X9 + TEN!X9 + TEX!X9</f>
        <v>80495.953623950001</v>
      </c>
      <c r="Y9" s="7">
        <f xml:space="preserve"> 0 + CAL!Y9 + CAR!Y9 + CENT!Y9 + FLA!Y9 + MIDA!Y9 + MIDW!Y9 + NE!Y9 + NY!Y9 + NW!Y9 + SE!Y9 + SW!Y9 + TEN!Y9 + TEX!Y9</f>
        <v>81929.858798319998</v>
      </c>
      <c r="Z9" s="7">
        <f xml:space="preserve"> 0 + CAL!Z9 + CAR!Z9 + CENT!Z9 + FLA!Z9 + MIDA!Z9 + MIDW!Z9 + NE!Z9 + NY!Z9 + NW!Z9 + SE!Z9 + SW!Z9 + TEN!Z9 + TEX!Z9</f>
        <v>83426.969378089998</v>
      </c>
      <c r="AA9" s="7">
        <f xml:space="preserve"> 0 + CAL!AA9 + CAR!AA9 + CENT!AA9 + FLA!AA9 + MIDA!AA9 + MIDW!AA9 + NE!AA9 + NY!AA9 + NW!AA9 + SE!AA9 + SW!AA9 + TEN!AA9 + TEX!AA9</f>
        <v>84876.491464400009</v>
      </c>
      <c r="AB9" s="7">
        <f xml:space="preserve"> 0 + CAL!AB9 + CAR!AB9 + CENT!AB9 + FLA!AB9 + MIDA!AB9 + MIDW!AB9 + NE!AB9 + NY!AB9 + NW!AB9 + SE!AB9 + SW!AB9 + TEN!AB9 + TEX!AB9</f>
        <v>86306.787392710001</v>
      </c>
      <c r="AC9" s="7">
        <f xml:space="preserve"> 0 + CAL!AC9 + CAR!AC9 + CENT!AC9 + FLA!AC9 + MIDA!AC9 + MIDW!AC9 + NE!AC9 + NY!AC9 + NW!AC9 + SE!AC9 + SW!AC9 + TEN!AC9 + TEX!AC9</f>
        <v>87780.9727957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8.4500000000000004E-6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0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271297.52389900998</v>
      </c>
      <c r="D11" s="7">
        <f xml:space="preserve"> 0 + CAL!D11 + CAR!D11 + CENT!D11 + FLA!D11 + MIDA!D11 + MIDW!D11 + NE!D11 + NY!D11 + NW!D11 + SE!D11 + SW!D11 + TEN!D11 + TEX!D11</f>
        <v>259750.73960422998</v>
      </c>
      <c r="E11" s="7">
        <f xml:space="preserve"> 0 + CAL!E11 + CAR!E11 + CENT!E11 + FLA!E11 + MIDA!E11 + MIDW!E11 + NE!E11 + NY!E11 + NW!E11 + SE!E11 + SW!E11 + TEN!E11 + TEX!E11</f>
        <v>251939.26860229997</v>
      </c>
      <c r="F11" s="7">
        <f xml:space="preserve"> 0 + CAL!F11 + CAR!F11 + CENT!F11 + FLA!F11 + MIDA!F11 + MIDW!F11 + NE!F11 + NY!F11 + NW!F11 + SE!F11 + SW!F11 + TEN!F11 + TEX!F11</f>
        <v>244626.96420927002</v>
      </c>
      <c r="G11" s="7">
        <f xml:space="preserve"> 0 + CAL!G11 + CAR!G11 + CENT!G11 + FLA!G11 + MIDA!G11 + MIDW!G11 + NE!G11 + NY!G11 + NW!G11 + SE!G11 + SW!G11 + TEN!G11 + TEX!G11</f>
        <v>232922.65949764004</v>
      </c>
      <c r="H11" s="7">
        <f xml:space="preserve"> 0 + CAL!H11 + CAR!H11 + CENT!H11 + FLA!H11 + MIDA!H11 + MIDW!H11 + NE!H11 + NY!H11 + NW!H11 + SE!H11 + SW!H11 + TEN!H11 + TEX!H11</f>
        <v>221673.53581259001</v>
      </c>
      <c r="I11" s="7">
        <f xml:space="preserve"> 0 + CAL!I11 + CAR!I11 + CENT!I11 + FLA!I11 + MIDA!I11 + MIDW!I11 + NE!I11 + NY!I11 + NW!I11 + SE!I11 + SW!I11 + TEN!I11 + TEX!I11</f>
        <v>220893.33332115001</v>
      </c>
      <c r="J11" s="7">
        <f xml:space="preserve"> 0 + CAL!J11 + CAR!J11 + CENT!J11 + FLA!J11 + MIDA!J11 + MIDW!J11 + NE!J11 + NY!J11 + NW!J11 + SE!J11 + SW!J11 + TEN!J11 + TEX!J11</f>
        <v>223195.70477181001</v>
      </c>
      <c r="K11" s="7">
        <f xml:space="preserve"> 0 + CAL!K11 + CAR!K11 + CENT!K11 + FLA!K11 + MIDA!K11 + MIDW!K11 + NE!K11 + NY!K11 + NW!K11 + SE!K11 + SW!K11 + TEN!K11 + TEX!K11</f>
        <v>227984.11144908998</v>
      </c>
      <c r="L11" s="7">
        <f xml:space="preserve"> 0 + CAL!L11 + CAR!L11 + CENT!L11 + FLA!L11 + MIDA!L11 + MIDW!L11 + NE!L11 + NY!L11 + NW!L11 + SE!L11 + SW!L11 + TEN!L11 + TEX!L11</f>
        <v>232422.13987690999</v>
      </c>
      <c r="M11" s="7">
        <f xml:space="preserve"> 0 + CAL!M11 + CAR!M11 + CENT!M11 + FLA!M11 + MIDA!M11 + MIDW!M11 + NE!M11 + NY!M11 + NW!M11 + SE!M11 + SW!M11 + TEN!M11 + TEX!M11</f>
        <v>236944.00395697</v>
      </c>
      <c r="N11" s="7">
        <f xml:space="preserve"> 0 + CAL!N11 + CAR!N11 + CENT!N11 + FLA!N11 + MIDA!N11 + MIDW!N11 + NE!N11 + NY!N11 + NW!N11 + SE!N11 + SW!N11 + TEN!N11 + TEX!N11</f>
        <v>241746.34052000003</v>
      </c>
      <c r="O11" s="7">
        <f xml:space="preserve"> 0 + CAL!O11 + CAR!O11 + CENT!O11 + FLA!O11 + MIDA!O11 + MIDW!O11 + NE!O11 + NY!O11 + NW!O11 + SE!O11 + SW!O11 + TEN!O11 + TEX!O11</f>
        <v>246627.52259151003</v>
      </c>
      <c r="P11" s="7">
        <f xml:space="preserve"> 0 + CAL!P11 + CAR!P11 + CENT!P11 + FLA!P11 + MIDA!P11 + MIDW!P11 + NE!P11 + NY!P11 + NW!P11 + SE!P11 + SW!P11 + TEN!P11 + TEX!P11</f>
        <v>251748.69584941005</v>
      </c>
      <c r="Q11" s="7">
        <f xml:space="preserve"> 0 + CAL!Q11 + CAR!Q11 + CENT!Q11 + FLA!Q11 + MIDA!Q11 + MIDW!Q11 + NE!Q11 + NY!Q11 + NW!Q11 + SE!Q11 + SW!Q11 + TEN!Q11 + TEX!Q11</f>
        <v>257408.59356456</v>
      </c>
      <c r="R11" s="7">
        <f xml:space="preserve"> 0 + CAL!R11 + CAR!R11 + CENT!R11 + FLA!R11 + MIDA!R11 + MIDW!R11 + NE!R11 + NY!R11 + NW!R11 + SE!R11 + SW!R11 + TEN!R11 + TEX!R11</f>
        <v>263017.48369277996</v>
      </c>
      <c r="S11" s="7">
        <f xml:space="preserve"> 0 + CAL!S11 + CAR!S11 + CENT!S11 + FLA!S11 + MIDA!S11 + MIDW!S11 + NE!S11 + NY!S11 + NW!S11 + SE!S11 + SW!S11 + TEN!S11 + TEX!S11</f>
        <v>268320.17844299</v>
      </c>
      <c r="T11" s="7">
        <f xml:space="preserve"> 0 + CAL!T11 + CAR!T11 + CENT!T11 + FLA!T11 + MIDA!T11 + MIDW!T11 + NE!T11 + NY!T11 + NW!T11 + SE!T11 + SW!T11 + TEN!T11 + TEX!T11</f>
        <v>273870.05235656997</v>
      </c>
      <c r="U11" s="7">
        <f xml:space="preserve"> 0 + CAL!U11 + CAR!U11 + CENT!U11 + FLA!U11 + MIDA!U11 + MIDW!U11 + NE!U11 + NY!U11 + NW!U11 + SE!U11 + SW!U11 + TEN!U11 + TEX!U11</f>
        <v>279278.22793214</v>
      </c>
      <c r="V11" s="7">
        <f xml:space="preserve"> 0 + CAL!V11 + CAR!V11 + CENT!V11 + FLA!V11 + MIDA!V11 + MIDW!V11 + NE!V11 + NY!V11 + NW!V11 + SE!V11 + SW!V11 + TEN!V11 + TEX!V11</f>
        <v>284936.33003578003</v>
      </c>
      <c r="W11" s="7">
        <f xml:space="preserve"> 0 + CAL!W11 + CAR!W11 + CENT!W11 + FLA!W11 + MIDA!W11 + MIDW!W11 + NE!W11 + NY!W11 + NW!W11 + SE!W11 + SW!W11 + TEN!W11 + TEX!W11</f>
        <v>290586.56960524002</v>
      </c>
      <c r="X11" s="7">
        <f xml:space="preserve"> 0 + CAL!X11 + CAR!X11 + CENT!X11 + FLA!X11 + MIDA!X11 + MIDW!X11 + NE!X11 + NY!X11 + NW!X11 + SE!X11 + SW!X11 + TEN!X11 + TEX!X11</f>
        <v>296358.52807146998</v>
      </c>
      <c r="Y11" s="7">
        <f xml:space="preserve"> 0 + CAL!Y11 + CAR!Y11 + CENT!Y11 + FLA!Y11 + MIDA!Y11 + MIDW!Y11 + NE!Y11 + NY!Y11 + NW!Y11 + SE!Y11 + SW!Y11 + TEN!Y11 + TEX!Y11</f>
        <v>302898.05095585994</v>
      </c>
      <c r="Z11" s="7">
        <f xml:space="preserve"> 0 + CAL!Z11 + CAR!Z11 + CENT!Z11 + FLA!Z11 + MIDA!Z11 + MIDW!Z11 + NE!Z11 + NY!Z11 + NW!Z11 + SE!Z11 + SW!Z11 + TEN!Z11 + TEX!Z11</f>
        <v>309671.55237590993</v>
      </c>
      <c r="AA11" s="7">
        <f xml:space="preserve"> 0 + CAL!AA11 + CAR!AA11 + CENT!AA11 + FLA!AA11 + MIDA!AA11 + MIDW!AA11 + NE!AA11 + NY!AA11 + NW!AA11 + SE!AA11 + SW!AA11 + TEN!AA11 + TEX!AA11</f>
        <v>316243.01883759</v>
      </c>
      <c r="AB11" s="7">
        <f xml:space="preserve"> 0 + CAL!AB11 + CAR!AB11 + CENT!AB11 + FLA!AB11 + MIDA!AB11 + MIDW!AB11 + NE!AB11 + NY!AB11 + NW!AB11 + SE!AB11 + SW!AB11 + TEN!AB11 + TEX!AB11</f>
        <v>322723.22491047002</v>
      </c>
      <c r="AC11" s="7">
        <f xml:space="preserve"> 0 + CAL!AC11 + CAR!AC11 + CENT!AC11 + FLA!AC11 + MIDA!AC11 + MIDW!AC11 + NE!AC11 + NY!AC11 + NW!AC11 + SE!AC11 + SW!AC11 + TEN!AC11 + TEX!AC11</f>
        <v>329364.25013912999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445726.23633792001</v>
      </c>
      <c r="D12" s="7">
        <f xml:space="preserve"> 0 + CAL!D12 + CAR!D12 + CENT!D12 + FLA!D12 + MIDA!D12 + MIDW!D12 + NE!D12 + NY!D12 + NW!D12 + SE!D12 + SW!D12 + TEN!D12 + TEX!D12</f>
        <v>459978.71327949996</v>
      </c>
      <c r="E12" s="7">
        <f xml:space="preserve"> 0 + CAL!E12 + CAR!E12 + CENT!E12 + FLA!E12 + MIDA!E12 + MIDW!E12 + NE!E12 + NY!E12 + NW!E12 + SE!E12 + SW!E12 + TEN!E12 + TEX!E12</f>
        <v>472923.43044703</v>
      </c>
      <c r="F12" s="7">
        <f xml:space="preserve"> 0 + CAL!F12 + CAR!F12 + CENT!F12 + FLA!F12 + MIDA!F12 + MIDW!F12 + NE!F12 + NY!F12 + NW!F12 + SE!F12 + SW!F12 + TEN!F12 + TEX!F12</f>
        <v>486587.92228273011</v>
      </c>
      <c r="G12" s="7">
        <f xml:space="preserve"> 0 + CAL!G12 + CAR!G12 + CENT!G12 + FLA!G12 + MIDA!G12 + MIDW!G12 + NE!G12 + NY!G12 + NW!G12 + SE!G12 + SW!G12 + TEN!G12 + TEX!G12</f>
        <v>505650.34174952999</v>
      </c>
      <c r="H12" s="7">
        <f xml:space="preserve"> 0 + CAL!H12 + CAR!H12 + CENT!H12 + FLA!H12 + MIDA!H12 + MIDW!H12 + NE!H12 + NY!H12 + NW!H12 + SE!H12 + SW!H12 + TEN!H12 + TEX!H12</f>
        <v>525059.45543070999</v>
      </c>
      <c r="I12" s="7">
        <f xml:space="preserve"> 0 + CAL!I12 + CAR!I12 + CENT!I12 + FLA!I12 + MIDA!I12 + MIDW!I12 + NE!I12 + NY!I12 + NW!I12 + SE!I12 + SW!I12 + TEN!I12 + TEX!I12</f>
        <v>534507.6881004899</v>
      </c>
      <c r="J12" s="7">
        <f xml:space="preserve"> 0 + CAL!J12 + CAR!J12 + CENT!J12 + FLA!J12 + MIDA!J12 + MIDW!J12 + NE!J12 + NY!J12 + NW!J12 + SE!J12 + SW!J12 + TEN!J12 + TEX!J12</f>
        <v>541777.47565097001</v>
      </c>
      <c r="K12" s="7">
        <f xml:space="preserve"> 0 + CAL!K12 + CAR!K12 + CENT!K12 + FLA!K12 + MIDA!K12 + MIDW!K12 + NE!K12 + NY!K12 + NW!K12 + SE!K12 + SW!K12 + TEN!K12 + TEX!K12</f>
        <v>545963.93560267007</v>
      </c>
      <c r="L12" s="7">
        <f xml:space="preserve"> 0 + CAL!L12 + CAR!L12 + CENT!L12 + FLA!L12 + MIDA!L12 + MIDW!L12 + NE!L12 + NY!L12 + NW!L12 + SE!L12 + SW!L12 + TEN!L12 + TEX!L12</f>
        <v>550615.02395714994</v>
      </c>
      <c r="M12" s="7">
        <f xml:space="preserve"> 0 + CAL!M12 + CAR!M12 + CENT!M12 + FLA!M12 + MIDA!M12 + MIDW!M12 + NE!M12 + NY!M12 + NW!M12 + SE!M12 + SW!M12 + TEN!M12 + TEX!M12</f>
        <v>555640.94240129995</v>
      </c>
      <c r="N12" s="7">
        <f xml:space="preserve"> 0 + CAL!N12 + CAR!N12 + CENT!N12 + FLA!N12 + MIDA!N12 + MIDW!N12 + NE!N12 + NY!N12 + NW!N12 + SE!N12 + SW!N12 + TEN!N12 + TEX!N12</f>
        <v>560966.60708370002</v>
      </c>
      <c r="O12" s="7">
        <f xml:space="preserve"> 0 + CAL!O12 + CAR!O12 + CENT!O12 + FLA!O12 + MIDA!O12 + MIDW!O12 + NE!O12 + NY!O12 + NW!O12 + SE!O12 + SW!O12 + TEN!O12 + TEX!O12</f>
        <v>566871.55598037993</v>
      </c>
      <c r="P12" s="7">
        <f xml:space="preserve"> 0 + CAL!P12 + CAR!P12 + CENT!P12 + FLA!P12 + MIDA!P12 + MIDW!P12 + NE!P12 + NY!P12 + NW!P12 + SE!P12 + SW!P12 + TEN!P12 + TEX!P12</f>
        <v>572944.16606111999</v>
      </c>
      <c r="Q12" s="7">
        <f xml:space="preserve"> 0 + CAL!Q12 + CAR!Q12 + CENT!Q12 + FLA!Q12 + MIDA!Q12 + MIDW!Q12 + NE!Q12 + NY!Q12 + NW!Q12 + SE!Q12 + SW!Q12 + TEN!Q12 + TEX!Q12</f>
        <v>578741.44593804004</v>
      </c>
      <c r="R12" s="7">
        <f xml:space="preserve"> 0 + CAL!R12 + CAR!R12 + CENT!R12 + FLA!R12 + MIDA!R12 + MIDW!R12 + NE!R12 + NY!R12 + NW!R12 + SE!R12 + SW!R12 + TEN!R12 + TEX!R12</f>
        <v>585193.50903180987</v>
      </c>
      <c r="S12" s="7">
        <f xml:space="preserve"> 0 + CAL!S12 + CAR!S12 + CENT!S12 + FLA!S12 + MIDA!S12 + MIDW!S12 + NE!S12 + NY!S12 + NW!S12 + SE!S12 + SW!S12 + TEN!S12 + TEX!S12</f>
        <v>592425.6386247999</v>
      </c>
      <c r="T12" s="7">
        <f xml:space="preserve"> 0 + CAL!T12 + CAR!T12 + CENT!T12 + FLA!T12 + MIDA!T12 + MIDW!T12 + NE!T12 + NY!T12 + NW!T12 + SE!T12 + SW!T12 + TEN!T12 + TEX!T12</f>
        <v>599835.57202850003</v>
      </c>
      <c r="U12" s="7">
        <f xml:space="preserve"> 0 + CAL!U12 + CAR!U12 + CENT!U12 + FLA!U12 + MIDA!U12 + MIDW!U12 + NE!U12 + NY!U12 + NW!U12 + SE!U12 + SW!U12 + TEN!U12 + TEX!U12</f>
        <v>607854.76926223002</v>
      </c>
      <c r="V12" s="7">
        <f xml:space="preserve"> 0 + CAL!V12 + CAR!V12 + CENT!V12 + FLA!V12 + MIDA!V12 + MIDW!V12 + NE!V12 + NY!V12 + NW!V12 + SE!V12 + SW!V12 + TEN!V12 + TEX!V12</f>
        <v>616086.01748978999</v>
      </c>
      <c r="W12" s="7">
        <f xml:space="preserve"> 0 + CAL!W12 + CAR!W12 + CENT!W12 + FLA!W12 + MIDA!W12 + MIDW!W12 + NE!W12 + NY!W12 + NW!W12 + SE!W12 + SW!W12 + TEN!W12 + TEX!W12</f>
        <v>624787.85036547994</v>
      </c>
      <c r="X12" s="7">
        <f xml:space="preserve"> 0 + CAL!X12 + CAR!X12 + CENT!X12 + FLA!X12 + MIDA!X12 + MIDW!X12 + NE!X12 + NY!X12 + NW!X12 + SE!X12 + SW!X12 + TEN!X12 + TEX!X12</f>
        <v>633832.86383704003</v>
      </c>
      <c r="Y12" s="7">
        <f xml:space="preserve"> 0 + CAL!Y12 + CAR!Y12 + CENT!Y12 + FLA!Y12 + MIDA!Y12 + MIDW!Y12 + NE!Y12 + NY!Y12 + NW!Y12 + SE!Y12 + SW!Y12 + TEN!Y12 + TEX!Y12</f>
        <v>642530.6865974</v>
      </c>
      <c r="Z12" s="7">
        <f xml:space="preserve"> 0 + CAL!Z12 + CAR!Z12 + CENT!Z12 + FLA!Z12 + MIDA!Z12 + MIDW!Z12 + NE!Z12 + NY!Z12 + NW!Z12 + SE!Z12 + SW!Z12 + TEN!Z12 + TEX!Z12</f>
        <v>651441.10412146011</v>
      </c>
      <c r="AA12" s="7">
        <f xml:space="preserve"> 0 + CAL!AA12 + CAR!AA12 + CENT!AA12 + FLA!AA12 + MIDA!AA12 + MIDW!AA12 + NE!AA12 + NY!AA12 + NW!AA12 + SE!AA12 + SW!AA12 + TEN!AA12 + TEX!AA12</f>
        <v>661034.20729450998</v>
      </c>
      <c r="AB12" s="7">
        <f xml:space="preserve"> 0 + CAL!AB12 + CAR!AB12 + CENT!AB12 + FLA!AB12 + MIDA!AB12 + MIDW!AB12 + NE!AB12 + NY!AB12 + NW!AB12 + SE!AB12 + SW!AB12 + TEN!AB12 + TEX!AB12</f>
        <v>671192.03437188</v>
      </c>
      <c r="AC12" s="7">
        <f xml:space="preserve"> 0 + CAL!AC12 + CAR!AC12 + CENT!AC12 + FLA!AC12 + MIDA!AC12 + MIDW!AC12 + NE!AC12 + NY!AC12 + NW!AC12 + SE!AC12 + SW!AC12 + TEN!AC12 + TEX!AC12</f>
        <v>681654.99695348006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717023.7602369301</v>
      </c>
      <c r="D13" s="7">
        <f xml:space="preserve"> 0 + CAL!D13 + CAR!D13 + CENT!D13 + FLA!D13 + MIDA!D13 + MIDW!D13 + NE!D13 + NY!D13 + NW!D13 + SE!D13 + SW!D13 + TEN!D13 + TEX!D13</f>
        <v>719729.45288373006</v>
      </c>
      <c r="E13" s="7">
        <f xml:space="preserve"> 0 + CAL!E13 + CAR!E13 + CENT!E13 + FLA!E13 + MIDA!E13 + MIDW!E13 + NE!E13 + NY!E13 + NW!E13 + SE!E13 + SW!E13 + TEN!E13 + TEX!E13</f>
        <v>724862.69904932007</v>
      </c>
      <c r="F13" s="7">
        <f xml:space="preserve"> 0 + CAL!F13 + CAR!F13 + CENT!F13 + FLA!F13 + MIDA!F13 + MIDW!F13 + NE!F13 + NY!F13 + NW!F13 + SE!F13 + SW!F13 + TEN!F13 + TEX!F13</f>
        <v>731214.88649201998</v>
      </c>
      <c r="G13" s="7">
        <f xml:space="preserve"> 0 + CAL!G13 + CAR!G13 + CENT!G13 + FLA!G13 + MIDA!G13 + MIDW!G13 + NE!G13 + NY!G13 + NW!G13 + SE!G13 + SW!G13 + TEN!G13 + TEX!G13</f>
        <v>738573.00124716002</v>
      </c>
      <c r="H13" s="7">
        <f xml:space="preserve"> 0 + CAL!H13 + CAR!H13 + CENT!H13 + FLA!H13 + MIDA!H13 + MIDW!H13 + NE!H13 + NY!H13 + NW!H13 + SE!H13 + SW!H13 + TEN!H13 + TEX!H13</f>
        <v>746732.99124326999</v>
      </c>
      <c r="I13" s="7">
        <f xml:space="preserve"> 0 + CAL!I13 + CAR!I13 + CENT!I13 + FLA!I13 + MIDA!I13 + MIDW!I13 + NE!I13 + NY!I13 + NW!I13 + SE!I13 + SW!I13 + TEN!I13 + TEX!I13</f>
        <v>755401.02142164996</v>
      </c>
      <c r="J13" s="7">
        <f xml:space="preserve"> 0 + CAL!J13 + CAR!J13 + CENT!J13 + FLA!J13 + MIDA!J13 + MIDW!J13 + NE!J13 + NY!J13 + NW!J13 + SE!J13 + SW!J13 + TEN!J13 + TEX!J13</f>
        <v>764973.18042276008</v>
      </c>
      <c r="K13" s="7">
        <f xml:space="preserve"> 0 + CAL!K13 + CAR!K13 + CENT!K13 + FLA!K13 + MIDA!K13 + MIDW!K13 + NE!K13 + NY!K13 + NW!K13 + SE!K13 + SW!K13 + TEN!K13 + TEX!K13</f>
        <v>773948.04705173022</v>
      </c>
      <c r="L13" s="7">
        <f xml:space="preserve"> 0 + CAL!L13 + CAR!L13 + CENT!L13 + FLA!L13 + MIDA!L13 + MIDW!L13 + NE!L13 + NY!L13 + NW!L13 + SE!L13 + SW!L13 + TEN!L13 + TEX!L13</f>
        <v>783037.16383407998</v>
      </c>
      <c r="M13" s="7">
        <f xml:space="preserve"> 0 + CAL!M13 + CAR!M13 + CENT!M13 + FLA!M13 + MIDA!M13 + MIDW!M13 + NE!M13 + NY!M13 + NW!M13 + SE!M13 + SW!M13 + TEN!M13 + TEX!M13</f>
        <v>792584.94635826023</v>
      </c>
      <c r="N13" s="7">
        <f xml:space="preserve"> 0 + CAL!N13 + CAR!N13 + CENT!N13 + FLA!N13 + MIDA!N13 + MIDW!N13 + NE!N13 + NY!N13 + NW!N13 + SE!N13 + SW!N13 + TEN!N13 + TEX!N13</f>
        <v>802712.94760372001</v>
      </c>
      <c r="O13" s="7">
        <f xml:space="preserve"> 0 + CAL!O13 + CAR!O13 + CENT!O13 + FLA!O13 + MIDA!O13 + MIDW!O13 + NE!O13 + NY!O13 + NW!O13 + SE!O13 + SW!O13 + TEN!O13 + TEX!O13</f>
        <v>813499.07857190992</v>
      </c>
      <c r="P13" s="7">
        <f xml:space="preserve"> 0 + CAL!P13 + CAR!P13 + CENT!P13 + FLA!P13 + MIDA!P13 + MIDW!P13 + NE!P13 + NY!P13 + NW!P13 + SE!P13 + SW!P13 + TEN!P13 + TEX!P13</f>
        <v>824692.86191051011</v>
      </c>
      <c r="Q13" s="7">
        <f xml:space="preserve"> 0 + CAL!Q13 + CAR!Q13 + CENT!Q13 + FLA!Q13 + MIDA!Q13 + MIDW!Q13 + NE!Q13 + NY!Q13 + NW!Q13 + SE!Q13 + SW!Q13 + TEN!Q13 + TEX!Q13</f>
        <v>836150.03950257984</v>
      </c>
      <c r="R13" s="7">
        <f xml:space="preserve"> 0 + CAL!R13 + CAR!R13 + CENT!R13 + FLA!R13 + MIDA!R13 + MIDW!R13 + NE!R13 + NY!R13 + NW!R13 + SE!R13 + SW!R13 + TEN!R13 + TEX!R13</f>
        <v>848210.99272457988</v>
      </c>
      <c r="S13" s="7">
        <f xml:space="preserve"> 0 + CAL!S13 + CAR!S13 + CENT!S13 + FLA!S13 + MIDA!S13 + MIDW!S13 + NE!S13 + NY!S13 + NW!S13 + SE!S13 + SW!S13 + TEN!S13 + TEX!S13</f>
        <v>860745.81706780009</v>
      </c>
      <c r="T13" s="7">
        <f xml:space="preserve"> 0 + CAL!T13 + CAR!T13 + CENT!T13 + FLA!T13 + MIDA!T13 + MIDW!T13 + NE!T13 + NY!T13 + NW!T13 + SE!T13 + SW!T13 + TEN!T13 + TEX!T13</f>
        <v>873705.62438506004</v>
      </c>
      <c r="U13" s="7">
        <f xml:space="preserve"> 0 + CAL!U13 + CAR!U13 + CENT!U13 + FLA!U13 + MIDA!U13 + MIDW!U13 + NE!U13 + NY!U13 + NW!U13 + SE!U13 + SW!U13 + TEN!U13 + TEX!U13</f>
        <v>887132.99719435</v>
      </c>
      <c r="V13" s="7">
        <f xml:space="preserve"> 0 + CAL!V13 + CAR!V13 + CENT!V13 + FLA!V13 + MIDA!V13 + MIDW!V13 + NE!V13 + NY!V13 + NW!V13 + SE!V13 + SW!V13 + TEN!V13 + TEX!V13</f>
        <v>901022.34752555995</v>
      </c>
      <c r="W13" s="7">
        <f xml:space="preserve"> 0 + CAL!W13 + CAR!W13 + CENT!W13 + FLA!W13 + MIDA!W13 + MIDW!W13 + NE!W13 + NY!W13 + NW!W13 + SE!W13 + SW!W13 + TEN!W13 + TEX!W13</f>
        <v>915374.41997068003</v>
      </c>
      <c r="X13" s="7">
        <f xml:space="preserve"> 0 + CAL!X13 + CAR!X13 + CENT!X13 + FLA!X13 + MIDA!X13 + MIDW!X13 + NE!X13 + NY!X13 + NW!X13 + SE!X13 + SW!X13 + TEN!X13 + TEX!X13</f>
        <v>930191.39190853003</v>
      </c>
      <c r="Y13" s="7">
        <f xml:space="preserve"> 0 + CAL!Y13 + CAR!Y13 + CENT!Y13 + FLA!Y13 + MIDA!Y13 + MIDW!Y13 + NE!Y13 + NY!Y13 + NW!Y13 + SE!Y13 + SW!Y13 + TEN!Y13 + TEX!Y13</f>
        <v>945428.73755325016</v>
      </c>
      <c r="Z13" s="7">
        <f xml:space="preserve"> 0 + CAL!Z13 + CAR!Z13 + CENT!Z13 + FLA!Z13 + MIDA!Z13 + MIDW!Z13 + NE!Z13 + NY!Z13 + NW!Z13 + SE!Z13 + SW!Z13 + TEN!Z13 + TEX!Z13</f>
        <v>961112.65649736999</v>
      </c>
      <c r="AA13" s="7">
        <f xml:space="preserve"> 0 + CAL!AA13 + CAR!AA13 + CENT!AA13 + FLA!AA13 + MIDA!AA13 + MIDW!AA13 + NE!AA13 + NY!AA13 + NW!AA13 + SE!AA13 + SW!AA13 + TEN!AA13 + TEX!AA13</f>
        <v>977277.22613210999</v>
      </c>
      <c r="AB13" s="7">
        <f xml:space="preserve"> 0 + CAL!AB13 + CAR!AB13 + CENT!AB13 + FLA!AB13 + MIDA!AB13 + MIDW!AB13 + NE!AB13 + NY!AB13 + NW!AB13 + SE!AB13 + SW!AB13 + TEN!AB13 + TEX!AB13</f>
        <v>993915.25928236998</v>
      </c>
      <c r="AC13" s="7">
        <f xml:space="preserve"> 0 + CAL!AC13 + CAR!AC13 + CENT!AC13 + FLA!AC13 + MIDA!AC13 + MIDW!AC13 + NE!AC13 + NY!AC13 + NW!AC13 + SE!AC13 + SW!AC13 + TEN!AC13 + TEX!AC13</f>
        <v>1011019.2470925901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100941.39368633</v>
      </c>
      <c r="D17" s="7">
        <f xml:space="preserve"> 0 + CAL!D17 + CAR!D17 + CENT!D17 + FLA!D17 + MIDA!D17 + MIDW!D17 + NE!D17 + NY!D17 + NW!D17 + SE!D17 + SW!D17 + TEN!D17 + TEX!D17</f>
        <v>109531.40559384001</v>
      </c>
      <c r="E17" s="7">
        <f xml:space="preserve"> 0 + CAL!E17 + CAR!E17 + CENT!E17 + FLA!E17 + MIDA!E17 + MIDW!E17 + NE!E17 + NY!E17 + NW!E17 + SE!E17 + SW!E17 + TEN!E17 + TEX!E17</f>
        <v>121081.79702346002</v>
      </c>
      <c r="F17" s="7">
        <f xml:space="preserve"> 0 + CAL!F17 + CAR!F17 + CENT!F17 + FLA!F17 + MIDA!F17 + MIDW!F17 + NE!F17 + NY!F17 + NW!F17 + SE!F17 + SW!F17 + TEN!F17 + TEX!F17</f>
        <v>131983.25860728999</v>
      </c>
      <c r="G17" s="7">
        <f xml:space="preserve"> 0 + CAL!G17 + CAR!G17 + CENT!G17 + FLA!G17 + MIDA!G17 + MIDW!G17 + NE!G17 + NY!G17 + NW!G17 + SE!G17 + SW!G17 + TEN!G17 + TEX!G17</f>
        <v>138819.24720685001</v>
      </c>
      <c r="H17" s="7">
        <f xml:space="preserve"> 0 + CAL!H17 + CAR!H17 + CENT!H17 + FLA!H17 + MIDA!H17 + MIDW!H17 + NE!H17 + NY!H17 + NW!H17 + SE!H17 + SW!H17 + TEN!H17 + TEX!H17</f>
        <v>147351.75253701999</v>
      </c>
      <c r="I17" s="7">
        <f xml:space="preserve"> 0 + CAL!I17 + CAR!I17 + CENT!I17 + FLA!I17 + MIDA!I17 + MIDW!I17 + NE!I17 + NY!I17 + NW!I17 + SE!I17 + SW!I17 + TEN!I17 + TEX!I17</f>
        <v>150784.12294099003</v>
      </c>
      <c r="J17" s="7">
        <f xml:space="preserve"> 0 + CAL!J17 + CAR!J17 + CENT!J17 + FLA!J17 + MIDA!J17 + MIDW!J17 + NE!J17 + NY!J17 + NW!J17 + SE!J17 + SW!J17 + TEN!J17 + TEX!J17</f>
        <v>155206.84331700997</v>
      </c>
      <c r="K17" s="7">
        <f xml:space="preserve"> 0 + CAL!K17 + CAR!K17 + CENT!K17 + FLA!K17 + MIDA!K17 + MIDW!K17 + NE!K17 + NY!K17 + NW!K17 + SE!K17 + SW!K17 + TEN!K17 + TEX!K17</f>
        <v>158918.60792417001</v>
      </c>
      <c r="L17" s="7">
        <f xml:space="preserve"> 0 + CAL!L17 + CAR!L17 + CENT!L17 + FLA!L17 + MIDA!L17 + MIDW!L17 + NE!L17 + NY!L17 + NW!L17 + SE!L17 + SW!L17 + TEN!L17 + TEX!L17</f>
        <v>165093.13669874001</v>
      </c>
      <c r="M17" s="7">
        <f xml:space="preserve"> 0 + CAL!M17 + CAR!M17 + CENT!M17 + FLA!M17 + MIDA!M17 + MIDW!M17 + NE!M17 + NY!M17 + NW!M17 + SE!M17 + SW!M17 + TEN!M17 + TEX!M17</f>
        <v>170033.83717233996</v>
      </c>
      <c r="N17" s="7">
        <f xml:space="preserve"> 0 + CAL!N17 + CAR!N17 + CENT!N17 + FLA!N17 + MIDA!N17 + MIDW!N17 + NE!N17 + NY!N17 + NW!N17 + SE!N17 + SW!N17 + TEN!N17 + TEX!N17</f>
        <v>176671.24828961998</v>
      </c>
      <c r="O17" s="7">
        <f xml:space="preserve"> 0 + CAL!O17 + CAR!O17 + CENT!O17 + FLA!O17 + MIDA!O17 + MIDW!O17 + NE!O17 + NY!O17 + NW!O17 + SE!O17 + SW!O17 + TEN!O17 + TEX!O17</f>
        <v>182206.51852769995</v>
      </c>
      <c r="P17" s="7">
        <f xml:space="preserve"> 0 + CAL!P17 + CAR!P17 + CENT!P17 + FLA!P17 + MIDA!P17 + MIDW!P17 + NE!P17 + NY!P17 + NW!P17 + SE!P17 + SW!P17 + TEN!P17 + TEX!P17</f>
        <v>186296.17610392999</v>
      </c>
      <c r="Q17" s="7">
        <f xml:space="preserve"> 0 + CAL!Q17 + CAR!Q17 + CENT!Q17 + FLA!Q17 + MIDA!Q17 + MIDW!Q17 + NE!Q17 + NY!Q17 + NW!Q17 + SE!Q17 + SW!Q17 + TEN!Q17 + TEX!Q17</f>
        <v>188043.10748424</v>
      </c>
      <c r="R17" s="7">
        <f xml:space="preserve"> 0 + CAL!R17 + CAR!R17 + CENT!R17 + FLA!R17 + MIDA!R17 + MIDW!R17 + NE!R17 + NY!R17 + NW!R17 + SE!R17 + SW!R17 + TEN!R17 + TEX!R17</f>
        <v>190832.32831996999</v>
      </c>
      <c r="S17" s="7">
        <f xml:space="preserve"> 0 + CAL!S17 + CAR!S17 + CENT!S17 + FLA!S17 + MIDA!S17 + MIDW!S17 + NE!S17 + NY!S17 + NW!S17 + SE!S17 + SW!S17 + TEN!S17 + TEX!S17</f>
        <v>196786.0460415</v>
      </c>
      <c r="T17" s="7">
        <f xml:space="preserve"> 0 + CAL!T17 + CAR!T17 + CENT!T17 + FLA!T17 + MIDA!T17 + MIDW!T17 + NE!T17 + NY!T17 + NW!T17 + SE!T17 + SW!T17 + TEN!T17 + TEX!T17</f>
        <v>201820.58921768999</v>
      </c>
      <c r="U17" s="7">
        <f xml:space="preserve"> 0 + CAL!U17 + CAR!U17 + CENT!U17 + FLA!U17 + MIDA!U17 + MIDW!U17 + NE!U17 + NY!U17 + NW!U17 + SE!U17 + SW!U17 + TEN!U17 + TEX!U17</f>
        <v>208949.74906067</v>
      </c>
      <c r="V17" s="7">
        <f xml:space="preserve"> 0 + CAL!V17 + CAR!V17 + CENT!V17 + FLA!V17 + MIDA!V17 + MIDW!V17 + NE!V17 + NY!V17 + NW!V17 + SE!V17 + SW!V17 + TEN!V17 + TEX!V17</f>
        <v>215873.60339377</v>
      </c>
      <c r="W17" s="7">
        <f xml:space="preserve"> 0 + CAL!W17 + CAR!W17 + CENT!W17 + FLA!W17 + MIDA!W17 + MIDW!W17 + NE!W17 + NY!W17 + NW!W17 + SE!W17 + SW!W17 + TEN!W17 + TEX!W17</f>
        <v>223604.24710127001</v>
      </c>
      <c r="X17" s="7">
        <f xml:space="preserve"> 0 + CAL!X17 + CAR!X17 + CENT!X17 + FLA!X17 + MIDA!X17 + MIDW!X17 + NE!X17 + NY!X17 + NW!X17 + SE!X17 + SW!X17 + TEN!X17 + TEX!X17</f>
        <v>231741.62994297998</v>
      </c>
      <c r="Y17" s="7">
        <f xml:space="preserve"> 0 + CAL!Y17 + CAR!Y17 + CENT!Y17 + FLA!Y17 + MIDA!Y17 + MIDW!Y17 + NE!Y17 + NY!Y17 + NW!Y17 + SE!Y17 + SW!Y17 + TEN!Y17 + TEX!Y17</f>
        <v>237646.19168306998</v>
      </c>
      <c r="Z17" s="7">
        <f xml:space="preserve"> 0 + CAL!Z17 + CAR!Z17 + CENT!Z17 + FLA!Z17 + MIDA!Z17 + MIDW!Z17 + NE!Z17 + NY!Z17 + NW!Z17 + SE!Z17 + SW!Z17 + TEN!Z17 + TEX!Z17</f>
        <v>244873.22590385994</v>
      </c>
      <c r="AA17" s="7">
        <f xml:space="preserve"> 0 + CAL!AA17 + CAR!AA17 + CENT!AA17 + FLA!AA17 + MIDA!AA17 + MIDW!AA17 + NE!AA17 + NY!AA17 + NW!AA17 + SE!AA17 + SW!AA17 + TEN!AA17 + TEX!AA17</f>
        <v>251592.76874668998</v>
      </c>
      <c r="AB17" s="7">
        <f xml:space="preserve"> 0 + CAL!AB17 + CAR!AB17 + CENT!AB17 + FLA!AB17 + MIDA!AB17 + MIDW!AB17 + NE!AB17 + NY!AB17 + NW!AB17 + SE!AB17 + SW!AB17 + TEN!AB17 + TEX!AB17</f>
        <v>258466.40762138</v>
      </c>
      <c r="AC17" s="7">
        <f xml:space="preserve"> 0 + CAL!AC17 + CAR!AC17 + CENT!AC17 + FLA!AC17 + MIDA!AC17 + MIDW!AC17 + NE!AC17 + NY!AC17 + NW!AC17 + SE!AC17 + SW!AC17 + TEN!AC17 + TEX!AC17</f>
        <v>265380.71276008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126009688.34171253</v>
      </c>
      <c r="D18" s="7">
        <f xml:space="preserve"> 0 + CAL!D18 + CAR!D18 + CENT!D18 + FLA!D18 + MIDA!D18 + MIDW!D18 + NE!D18 + NY!D18 + NW!D18 + SE!D18 + SW!D18 + TEN!D18 + TEX!D18</f>
        <v>140505213.29905218</v>
      </c>
      <c r="E18" s="7">
        <f xml:space="preserve"> 0 + CAL!E18 + CAR!E18 + CENT!E18 + FLA!E18 + MIDA!E18 + MIDW!E18 + NE!E18 + NY!E18 + NW!E18 + SE!E18 + SW!E18 + TEN!E18 + TEX!E18</f>
        <v>158698300.40268016</v>
      </c>
      <c r="F18" s="7">
        <f xml:space="preserve"> 0 + CAL!F18 + CAR!F18 + CENT!F18 + FLA!F18 + MIDA!F18 + MIDW!F18 + NE!F18 + NY!F18 + NW!F18 + SE!F18 + SW!F18 + TEN!F18 + TEX!F18</f>
        <v>175552954.86164361</v>
      </c>
      <c r="G18" s="7">
        <f xml:space="preserve"> 0 + CAL!G18 + CAR!G18 + CENT!G18 + FLA!G18 + MIDA!G18 + MIDW!G18 + NE!G18 + NY!G18 + NW!G18 + SE!G18 + SW!G18 + TEN!G18 + TEX!G18</f>
        <v>187647280.45034665</v>
      </c>
      <c r="H18" s="7">
        <f xml:space="preserve"> 0 + CAL!H18 + CAR!H18 + CENT!H18 + FLA!H18 + MIDA!H18 + MIDW!H18 + NE!H18 + NY!H18 + NW!H18 + SE!H18 + SW!H18 + TEN!H18 + TEX!H18</f>
        <v>201644885.84893906</v>
      </c>
      <c r="I18" s="7">
        <f xml:space="preserve"> 0 + CAL!I18 + CAR!I18 + CENT!I18 + FLA!I18 + MIDA!I18 + MIDW!I18 + NE!I18 + NY!I18 + NW!I18 + SE!I18 + SW!I18 + TEN!I18 + TEX!I18</f>
        <v>208965903.07478917</v>
      </c>
      <c r="J18" s="7">
        <f xml:space="preserve"> 0 + CAL!J18 + CAR!J18 + CENT!J18 + FLA!J18 + MIDA!J18 + MIDW!J18 + NE!J18 + NY!J18 + NW!J18 + SE!J18 + SW!J18 + TEN!J18 + TEX!J18</f>
        <v>217980194.86844897</v>
      </c>
      <c r="K18" s="7">
        <f xml:space="preserve"> 0 + CAL!K18 + CAR!K18 + CENT!K18 + FLA!K18 + MIDA!K18 + MIDW!K18 + NE!K18 + NY!K18 + NW!K18 + SE!K18 + SW!K18 + TEN!K18 + TEX!K18</f>
        <v>228102229.907924</v>
      </c>
      <c r="L18" s="7">
        <f xml:space="preserve"> 0 + CAL!L18 + CAR!L18 + CENT!L18 + FLA!L18 + MIDA!L18 + MIDW!L18 + NE!L18 + NY!L18 + NW!L18 + SE!L18 + SW!L18 + TEN!L18 + TEX!L18</f>
        <v>240884040.06369963</v>
      </c>
      <c r="M18" s="7">
        <f xml:space="preserve"> 0 + CAL!M18 + CAR!M18 + CENT!M18 + FLA!M18 + MIDA!M18 + MIDW!M18 + NE!M18 + NY!M18 + NW!M18 + SE!M18 + SW!M18 + TEN!M18 + TEX!M18</f>
        <v>251232941.17371267</v>
      </c>
      <c r="N18" s="7">
        <f xml:space="preserve"> 0 + CAL!N18 + CAR!N18 + CENT!N18 + FLA!N18 + MIDA!N18 + MIDW!N18 + NE!N18 + NY!N18 + NW!N18 + SE!N18 + SW!N18 + TEN!N18 + TEX!N18</f>
        <v>263906757.40436542</v>
      </c>
      <c r="O18" s="7">
        <f xml:space="preserve"> 0 + CAL!O18 + CAR!O18 + CENT!O18 + FLA!O18 + MIDA!O18 + MIDW!O18 + NE!O18 + NY!O18 + NW!O18 + SE!O18 + SW!O18 + TEN!O18 + TEX!O18</f>
        <v>271884566.07341301</v>
      </c>
      <c r="P18" s="7">
        <f xml:space="preserve"> 0 + CAL!P18 + CAR!P18 + CENT!P18 + FLA!P18 + MIDA!P18 + MIDW!P18 + NE!P18 + NY!P18 + NW!P18 + SE!P18 + SW!P18 + TEN!P18 + TEX!P18</f>
        <v>278402831.35005933</v>
      </c>
      <c r="Q18" s="7">
        <f xml:space="preserve"> 0 + CAL!Q18 + CAR!Q18 + CENT!Q18 + FLA!Q18 + MIDA!Q18 + MIDW!Q18 + NE!Q18 + NY!Q18 + NW!Q18 + SE!Q18 + SW!Q18 + TEN!Q18 + TEX!Q18</f>
        <v>281233292.87621075</v>
      </c>
      <c r="R18" s="7">
        <f xml:space="preserve"> 0 + CAL!R18 + CAR!R18 + CENT!R18 + FLA!R18 + MIDA!R18 + MIDW!R18 + NE!R18 + NY!R18 + NW!R18 + SE!R18 + SW!R18 + TEN!R18 + TEX!R18</f>
        <v>285529050.10464752</v>
      </c>
      <c r="S18" s="7">
        <f xml:space="preserve"> 0 + CAL!S18 + CAR!S18 + CENT!S18 + FLA!S18 + MIDA!S18 + MIDW!S18 + NE!S18 + NY!S18 + NW!S18 + SE!S18 + SW!S18 + TEN!S18 + TEX!S18</f>
        <v>294251741.91006863</v>
      </c>
      <c r="T18" s="7">
        <f xml:space="preserve"> 0 + CAL!T18 + CAR!T18 + CENT!T18 + FLA!T18 + MIDA!T18 + MIDW!T18 + NE!T18 + NY!T18 + NW!T18 + SE!T18 + SW!T18 + TEN!T18 + TEX!T18</f>
        <v>300889340.23348504</v>
      </c>
      <c r="U18" s="7">
        <f xml:space="preserve"> 0 + CAL!U18 + CAR!U18 + CENT!U18 + FLA!U18 + MIDA!U18 + MIDW!U18 + NE!U18 + NY!U18 + NW!U18 + SE!U18 + SW!U18 + TEN!U18 + TEX!U18</f>
        <v>311498645.84136128</v>
      </c>
      <c r="V18" s="7">
        <f xml:space="preserve"> 0 + CAL!V18 + CAR!V18 + CENT!V18 + FLA!V18 + MIDA!V18 + MIDW!V18 + NE!V18 + NY!V18 + NW!V18 + SE!V18 + SW!V18 + TEN!V18 + TEX!V18</f>
        <v>321614282.85214138</v>
      </c>
      <c r="W18" s="7">
        <f xml:space="preserve"> 0 + CAL!W18 + CAR!W18 + CENT!W18 + FLA!W18 + MIDA!W18 + MIDW!W18 + NE!W18 + NY!W18 + NW!W18 + SE!W18 + SW!W18 + TEN!W18 + TEX!W18</f>
        <v>332919637.38784635</v>
      </c>
      <c r="X18" s="7">
        <f xml:space="preserve"> 0 + CAL!X18 + CAR!X18 + CENT!X18 + FLA!X18 + MIDA!X18 + MIDW!X18 + NE!X18 + NY!X18 + NW!X18 + SE!X18 + SW!X18 + TEN!X18 + TEX!X18</f>
        <v>345019764.86129177</v>
      </c>
      <c r="Y18" s="7">
        <f xml:space="preserve"> 0 + CAL!Y18 + CAR!Y18 + CENT!Y18 + FLA!Y18 + MIDA!Y18 + MIDW!Y18 + NE!Y18 + NY!Y18 + NW!Y18 + SE!Y18 + SW!Y18 + TEN!Y18 + TEX!Y18</f>
        <v>353657523.5478546</v>
      </c>
      <c r="Z18" s="7">
        <f xml:space="preserve"> 0 + CAL!Z18 + CAR!Z18 + CENT!Z18 + FLA!Z18 + MIDA!Z18 + MIDW!Z18 + NE!Z18 + NY!Z18 + NW!Z18 + SE!Z18 + SW!Z18 + TEN!Z18 + TEX!Z18</f>
        <v>365014338.62561011</v>
      </c>
      <c r="AA18" s="7">
        <f xml:space="preserve"> 0 + CAL!AA18 + CAR!AA18 + CENT!AA18 + FLA!AA18 + MIDA!AA18 + MIDW!AA18 + NE!AA18 + NY!AA18 + NW!AA18 + SE!AA18 + SW!AA18 + TEN!AA18 + TEX!AA18</f>
        <v>375010488.31565011</v>
      </c>
      <c r="AB18" s="7">
        <f xml:space="preserve"> 0 + CAL!AB18 + CAR!AB18 + CENT!AB18 + FLA!AB18 + MIDA!AB18 + MIDW!AB18 + NE!AB18 + NY!AB18 + NW!AB18 + SE!AB18 + SW!AB18 + TEN!AB18 + TEX!AB18</f>
        <v>384908178.01131558</v>
      </c>
      <c r="AC18" s="7">
        <f xml:space="preserve"> 0 + CAL!AC18 + CAR!AC18 + CENT!AC18 + FLA!AC18 + MIDA!AC18 + MIDW!AC18 + NE!AC18 + NY!AC18 + NW!AC18 + SE!AC18 + SW!AC18 + TEN!AC18 + TEX!AC18</f>
        <v>394889061.13626426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126010158.26442143</v>
      </c>
      <c r="D19" s="7">
        <f xml:space="preserve"> 0 + CAL!D19 + CAR!D19 + CENT!D19 + FLA!D19 + MIDA!D19 + MIDW!D19 + NE!D19 + NY!D19 + NW!D19 + SE!D19 + SW!D19 + TEN!D19 + TEX!D19</f>
        <v>140511292.03615656</v>
      </c>
      <c r="E19" s="7">
        <f xml:space="preserve"> 0 + CAL!E19 + CAR!E19 + CENT!E19 + FLA!E19 + MIDA!E19 + MIDW!E19 + NE!E19 + NY!E19 + NW!E19 + SE!E19 + SW!E19 + TEN!E19 + TEX!E19</f>
        <v>158846370.93473727</v>
      </c>
      <c r="F19" s="7">
        <f xml:space="preserve"> 0 + CAL!F19 + CAR!F19 + CENT!F19 + FLA!F19 + MIDA!F19 + MIDW!F19 + NE!F19 + NY!F19 + NW!F19 + SE!F19 + SW!F19 + TEN!F19 + TEX!F19</f>
        <v>176229407.01763633</v>
      </c>
      <c r="G19" s="7">
        <f xml:space="preserve"> 0 + CAL!G19 + CAR!G19 + CENT!G19 + FLA!G19 + MIDA!G19 + MIDW!G19 + NE!G19 + NY!G19 + NW!G19 + SE!G19 + SW!G19 + TEN!G19 + TEX!G19</f>
        <v>189229691.39118555</v>
      </c>
      <c r="H19" s="7">
        <f xml:space="preserve"> 0 + CAL!H19 + CAR!H19 + CENT!H19 + FLA!H19 + MIDA!H19 + MIDW!H19 + NE!H19 + NY!H19 + NW!H19 + SE!H19 + SW!H19 + TEN!H19 + TEX!H19</f>
        <v>204719502.79664937</v>
      </c>
      <c r="I19" s="7">
        <f xml:space="preserve"> 0 + CAL!I19 + CAR!I19 + CENT!I19 + FLA!I19 + MIDA!I19 + MIDW!I19 + NE!I19 + NY!I19 + NW!I19 + SE!I19 + SW!I19 + TEN!I19 + TEX!I19</f>
        <v>213579084.82418615</v>
      </c>
      <c r="J19" s="7">
        <f xml:space="preserve"> 0 + CAL!J19 + CAR!J19 + CENT!J19 + FLA!J19 + MIDA!J19 + MIDW!J19 + NE!J19 + NY!J19 + NW!J19 + SE!J19 + SW!J19 + TEN!J19 + TEX!J19</f>
        <v>224004788.65659308</v>
      </c>
      <c r="K19" s="7">
        <f xml:space="preserve"> 0 + CAL!K19 + CAR!K19 + CENT!K19 + FLA!K19 + MIDA!K19 + MIDW!K19 + NE!K19 + NY!K19 + NW!K19 + SE!K19 + SW!K19 + TEN!K19 + TEX!K19</f>
        <v>233452561.92694846</v>
      </c>
      <c r="L19" s="7">
        <f xml:space="preserve"> 0 + CAL!L19 + CAR!L19 + CENT!L19 + FLA!L19 + MIDA!L19 + MIDW!L19 + NE!L19 + NY!L19 + NW!L19 + SE!L19 + SW!L19 + TEN!L19 + TEX!L19</f>
        <v>246267103.43842769</v>
      </c>
      <c r="M19" s="7">
        <f xml:space="preserve"> 0 + CAL!M19 + CAR!M19 + CENT!M19 + FLA!M19 + MIDA!M19 + MIDW!M19 + NE!M19 + NY!M19 + NW!M19 + SE!M19 + SW!M19 + TEN!M19 + TEX!M19</f>
        <v>256867113.20701331</v>
      </c>
      <c r="N19" s="7">
        <f xml:space="preserve"> 0 + CAL!N19 + CAR!N19 + CENT!N19 + FLA!N19 + MIDA!N19 + MIDW!N19 + NE!N19 + NY!N19 + NW!N19 + SE!N19 + SW!N19 + TEN!N19 + TEX!N19</f>
        <v>269741170.98863429</v>
      </c>
      <c r="O19" s="7">
        <f xml:space="preserve"> 0 + CAL!O19 + CAR!O19 + CENT!O19 + FLA!O19 + MIDA!O19 + MIDW!O19 + NE!O19 + NY!O19 + NW!O19 + SE!O19 + SW!O19 + TEN!O19 + TEX!O19</f>
        <v>278033878.53407329</v>
      </c>
      <c r="P19" s="7">
        <f xml:space="preserve"> 0 + CAL!P19 + CAR!P19 + CENT!P19 + FLA!P19 + MIDA!P19 + MIDW!P19 + NE!P19 + NY!P19 + NW!P19 + SE!P19 + SW!P19 + TEN!P19 + TEX!P19</f>
        <v>284990782.78166753</v>
      </c>
      <c r="Q19" s="7">
        <f xml:space="preserve"> 0 + CAL!Q19 + CAR!Q19 + CENT!Q19 + FLA!Q19 + MIDA!Q19 + MIDW!Q19 + NE!Q19 + NY!Q19 + NW!Q19 + SE!Q19 + SW!Q19 + TEN!Q19 + TEX!Q19</f>
        <v>287802411.53115827</v>
      </c>
      <c r="R19" s="7">
        <f xml:space="preserve"> 0 + CAL!R19 + CAR!R19 + CENT!R19 + FLA!R19 + MIDA!R19 + MIDW!R19 + NE!R19 + NY!R19 + NW!R19 + SE!R19 + SW!R19 + TEN!R19 + TEX!R19</f>
        <v>292309653.098418</v>
      </c>
      <c r="S19" s="7">
        <f xml:space="preserve"> 0 + CAL!S19 + CAR!S19 + CENT!S19 + FLA!S19 + MIDA!S19 + MIDW!S19 + NE!S19 + NY!S19 + NW!S19 + SE!S19 + SW!S19 + TEN!S19 + TEX!S19</f>
        <v>301367488.68348038</v>
      </c>
      <c r="T19" s="7">
        <f xml:space="preserve"> 0 + CAL!T19 + CAR!T19 + CENT!T19 + FLA!T19 + MIDA!T19 + MIDW!T19 + NE!T19 + NY!T19 + NW!T19 + SE!T19 + SW!T19 + TEN!T19 + TEX!T19</f>
        <v>308150579.13398248</v>
      </c>
      <c r="U19" s="7">
        <f xml:space="preserve"> 0 + CAL!U19 + CAR!U19 + CENT!U19 + FLA!U19 + MIDA!U19 + MIDW!U19 + NE!U19 + NY!U19 + NW!U19 + SE!U19 + SW!U19 + TEN!U19 + TEX!U19</f>
        <v>319270275.81189251</v>
      </c>
      <c r="V19" s="7">
        <f xml:space="preserve"> 0 + CAL!V19 + CAR!V19 + CENT!V19 + FLA!V19 + MIDA!V19 + MIDW!V19 + NE!V19 + NY!V19 + NW!V19 + SE!V19 + SW!V19 + TEN!V19 + TEX!V19</f>
        <v>329912133.64700133</v>
      </c>
      <c r="W19" s="7">
        <f xml:space="preserve"> 0 + CAL!W19 + CAR!W19 + CENT!W19 + FLA!W19 + MIDA!W19 + MIDW!W19 + NE!W19 + NY!W19 + NW!W19 + SE!W19 + SW!W19 + TEN!W19 + TEX!W19</f>
        <v>341902760.36179143</v>
      </c>
      <c r="X19" s="7">
        <f xml:space="preserve"> 0 + CAL!X19 + CAR!X19 + CENT!X19 + FLA!X19 + MIDA!X19 + MIDW!X19 + NE!X19 + NY!X19 + NW!X19 + SE!X19 + SW!X19 + TEN!X19 + TEX!X19</f>
        <v>354645552.85670507</v>
      </c>
      <c r="Y19" s="7">
        <f xml:space="preserve"> 0 + CAL!Y19 + CAR!Y19 + CENT!Y19 + FLA!Y19 + MIDA!Y19 + MIDW!Y19 + NE!Y19 + NY!Y19 + NW!Y19 + SE!Y19 + SW!Y19 + TEN!Y19 + TEX!Y19</f>
        <v>363233189.54011035</v>
      </c>
      <c r="Z19" s="7">
        <f xml:space="preserve"> 0 + CAL!Z19 + CAR!Z19 + CENT!Z19 + FLA!Z19 + MIDA!Z19 + MIDW!Z19 + NE!Z19 + NY!Z19 + NW!Z19 + SE!Z19 + SW!Z19 + TEN!Z19 + TEX!Z19</f>
        <v>374227783.17793894</v>
      </c>
      <c r="AA19" s="7">
        <f xml:space="preserve"> 0 + CAL!AA19 + CAR!AA19 + CENT!AA19 + FLA!AA19 + MIDA!AA19 + MIDW!AA19 + NE!AA19 + NY!AA19 + NW!AA19 + SE!AA19 + SW!AA19 + TEN!AA19 + TEX!AA19</f>
        <v>384359818.72388935</v>
      </c>
      <c r="AB19" s="7">
        <f xml:space="preserve"> 0 + CAL!AB19 + CAR!AB19 + CENT!AB19 + FLA!AB19 + MIDA!AB19 + MIDW!AB19 + NE!AB19 + NY!AB19 + NW!AB19 + SE!AB19 + SW!AB19 + TEN!AB19 + TEX!AB19</f>
        <v>394552585.75966048</v>
      </c>
      <c r="AC19" s="7">
        <f xml:space="preserve"> 0 + CAL!AC19 + CAR!AC19 + CENT!AC19 + FLA!AC19 + MIDA!AC19 + MIDW!AC19 + NE!AC19 + NY!AC19 + NW!AC19 + SE!AC19 + SW!AC19 + TEN!AC19 + TEX!AC19</f>
        <v>404844343.50007081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20607.978174240001</v>
      </c>
      <c r="D20" s="7">
        <f xml:space="preserve"> 0 + CAL!D20 + CAR!D20 + CENT!D20 + FLA!D20 + MIDA!D20 + MIDW!D20 + NE!D20 + NY!D20 + NW!D20 + SE!D20 + SW!D20 + TEN!D20 + TEX!D20</f>
        <v>22361.696559150001</v>
      </c>
      <c r="E20" s="7">
        <f xml:space="preserve"> 0 + CAL!E20 + CAR!E20 + CENT!E20 + FLA!E20 + MIDA!E20 + MIDW!E20 + NE!E20 + NY!E20 + NW!E20 + SE!E20 + SW!E20 + TEN!E20 + TEX!E20</f>
        <v>24719.799670190001</v>
      </c>
      <c r="F20" s="7">
        <f xml:space="preserve"> 0 + CAL!F20 + CAR!F20 + CENT!F20 + FLA!F20 + MIDA!F20 + MIDW!F20 + NE!F20 + NY!F20 + NW!F20 + SE!F20 + SW!F20 + TEN!F20 + TEX!F20</f>
        <v>26945.41865743</v>
      </c>
      <c r="G20" s="7">
        <f xml:space="preserve"> 0 + CAL!G20 + CAR!G20 + CENT!G20 + FLA!G20 + MIDA!G20 + MIDW!G20 + NE!G20 + NY!G20 + NW!G20 + SE!G20 + SW!G20 + TEN!G20 + TEX!G20</f>
        <v>28341.039410349997</v>
      </c>
      <c r="H20" s="7">
        <f xml:space="preserve"> 0 + CAL!H20 + CAR!H20 + CENT!H20 + FLA!H20 + MIDA!H20 + MIDW!H20 + NE!H20 + NY!H20 + NW!H20 + SE!H20 + SW!H20 + TEN!H20 + TEX!H20</f>
        <v>30083.017375930001</v>
      </c>
      <c r="I20" s="7">
        <f xml:space="preserve"> 0 + CAL!I20 + CAR!I20 + CENT!I20 + FLA!I20 + MIDA!I20 + MIDW!I20 + NE!I20 + NY!I20 + NW!I20 + SE!I20 + SW!I20 + TEN!I20 + TEX!I20</f>
        <v>30783.76274695</v>
      </c>
      <c r="J20" s="7">
        <f xml:space="preserve"> 0 + CAL!J20 + CAR!J20 + CENT!J20 + FLA!J20 + MIDA!J20 + MIDW!J20 + NE!J20 + NY!J20 + NW!J20 + SE!J20 + SW!J20 + TEN!J20 + TEX!J20</f>
        <v>31686.695841610002</v>
      </c>
      <c r="K20" s="7">
        <f xml:space="preserve"> 0 + CAL!K20 + CAR!K20 + CENT!K20 + FLA!K20 + MIDA!K20 + MIDW!K20 + NE!K20 + NY!K20 + NW!K20 + SE!K20 + SW!K20 + TEN!K20 + TEX!K20</f>
        <v>32444.481733199995</v>
      </c>
      <c r="L20" s="7">
        <f xml:space="preserve"> 0 + CAL!L20 + CAR!L20 + CENT!L20 + FLA!L20 + MIDA!L20 + MIDW!L20 + NE!L20 + NY!L20 + NW!L20 + SE!L20 + SW!L20 + TEN!L20 + TEX!L20</f>
        <v>33705.060268679998</v>
      </c>
      <c r="M20" s="7">
        <f xml:space="preserve"> 0 + CAL!M20 + CAR!M20 + CENT!M20 + FLA!M20 + MIDA!M20 + MIDW!M20 + NE!M20 + NY!M20 + NW!M20 + SE!M20 + SW!M20 + TEN!M20 + TEX!M20</f>
        <v>34713.743067739997</v>
      </c>
      <c r="N20" s="7">
        <f xml:space="preserve"> 0 + CAL!N20 + CAR!N20 + CENT!N20 + FLA!N20 + MIDA!N20 + MIDW!N20 + NE!N20 + NY!N20 + NW!N20 + SE!N20 + SW!N20 + TEN!N20 + TEX!N20</f>
        <v>36068.822668330002</v>
      </c>
      <c r="O20" s="7">
        <f xml:space="preserve"> 0 + CAL!O20 + CAR!O20 + CENT!O20 + FLA!O20 + MIDA!O20 + MIDW!O20 + NE!O20 + NY!O20 + NW!O20 + SE!O20 + SW!O20 + TEN!O20 + TEX!O20</f>
        <v>37198.891553739995</v>
      </c>
      <c r="P20" s="7">
        <f xml:space="preserve"> 0 + CAL!P20 + CAR!P20 + CENT!P20 + FLA!P20 + MIDA!P20 + MIDW!P20 + NE!P20 + NY!P20 + NW!P20 + SE!P20 + SW!P20 + TEN!P20 + TEX!P20</f>
        <v>38033.827262399995</v>
      </c>
      <c r="Q20" s="7">
        <f xml:space="preserve"> 0 + CAL!Q20 + CAR!Q20 + CENT!Q20 + FLA!Q20 + MIDA!Q20 + MIDW!Q20 + NE!Q20 + NY!Q20 + NW!Q20 + SE!Q20 + SW!Q20 + TEN!Q20 + TEX!Q20</f>
        <v>38390.477021660001</v>
      </c>
      <c r="R20" s="7">
        <f xml:space="preserve"> 0 + CAL!R20 + CAR!R20 + CENT!R20 + FLA!R20 + MIDA!R20 + MIDW!R20 + NE!R20 + NY!R20 + NW!R20 + SE!R20 + SW!R20 + TEN!R20 + TEX!R20</f>
        <v>38959.918357939991</v>
      </c>
      <c r="S20" s="7">
        <f xml:space="preserve"> 0 + CAL!S20 + CAR!S20 + CENT!S20 + FLA!S20 + MIDA!S20 + MIDW!S20 + NE!S20 + NY!S20 + NW!S20 + SE!S20 + SW!S20 + TEN!S20 + TEX!S20</f>
        <v>40175.416582999998</v>
      </c>
      <c r="T20" s="7">
        <f xml:space="preserve"> 0 + CAL!T20 + CAR!T20 + CENT!T20 + FLA!T20 + MIDA!T20 + MIDW!T20 + NE!T20 + NY!T20 + NW!T20 + SE!T20 + SW!T20 + TEN!T20 + TEX!T20</f>
        <v>41203.258106700014</v>
      </c>
      <c r="U20" s="7">
        <f xml:space="preserve"> 0 + CAL!U20 + CAR!U20 + CENT!U20 + FLA!U20 + MIDA!U20 + MIDW!U20 + NE!U20 + NY!U20 + NW!U20 + SE!U20 + SW!U20 + TEN!U20 + TEX!U20</f>
        <v>42658.732071120001</v>
      </c>
      <c r="V20" s="7">
        <f xml:space="preserve"> 0 + CAL!V20 + CAR!V20 + CENT!V20 + FLA!V20 + MIDA!V20 + MIDW!V20 + NE!V20 + NY!V20 + NW!V20 + SE!V20 + SW!V20 + TEN!V20 + TEX!V20</f>
        <v>44072.291303549988</v>
      </c>
      <c r="W20" s="7">
        <f xml:space="preserve"> 0 + CAL!W20 + CAR!W20 + CENT!W20 + FLA!W20 + MIDA!W20 + MIDW!W20 + NE!W20 + NY!W20 + NW!W20 + SE!W20 + SW!W20 + TEN!W20 + TEX!W20</f>
        <v>45650.562922160003</v>
      </c>
      <c r="X20" s="7">
        <f xml:space="preserve"> 0 + CAL!X20 + CAR!X20 + CENT!X20 + FLA!X20 + MIDA!X20 + MIDW!X20 + NE!X20 + NY!X20 + NW!X20 + SE!X20 + SW!X20 + TEN!X20 + TEX!X20</f>
        <v>47311.873528969991</v>
      </c>
      <c r="Y20" s="7">
        <f xml:space="preserve"> 0 + CAL!Y20 + CAR!Y20 + CENT!Y20 + FLA!Y20 + MIDA!Y20 + MIDW!Y20 + NE!Y20 + NY!Y20 + NW!Y20 + SE!Y20 + SW!Y20 + TEN!Y20 + TEX!Y20</f>
        <v>48517.336174429998</v>
      </c>
      <c r="Z20" s="7">
        <f xml:space="preserve"> 0 + CAL!Z20 + CAR!Z20 + CENT!Z20 + FLA!Z20 + MIDA!Z20 + MIDW!Z20 + NE!Z20 + NY!Z20 + NW!Z20 + SE!Z20 + SW!Z20 + TEN!Z20 + TEX!Z20</f>
        <v>49992.79196164001</v>
      </c>
      <c r="AA20" s="7">
        <f xml:space="preserve"> 0 + CAL!AA20 + CAR!AA20 + CENT!AA20 + FLA!AA20 + MIDA!AA20 + MIDW!AA20 + NE!AA20 + NY!AA20 + NW!AA20 + SE!AA20 + SW!AA20 + TEN!AA20 + TEX!AA20</f>
        <v>51364.639398940002</v>
      </c>
      <c r="AB20" s="7">
        <f xml:space="preserve"> 0 + CAL!AB20 + CAR!AB20 + CENT!AB20 + FLA!AB20 + MIDA!AB20 + MIDW!AB20 + NE!AB20 + NY!AB20 + NW!AB20 + SE!AB20 + SW!AB20 + TEN!AB20 + TEX!AB20</f>
        <v>52767.946751220006</v>
      </c>
      <c r="AC20" s="7">
        <f xml:space="preserve"> 0 + CAL!AC20 + CAR!AC20 + CENT!AC20 + FLA!AC20 + MIDA!AC20 + MIDW!AC20 + NE!AC20 + NY!AC20 + NW!AC20 + SE!AC20 + SW!AC20 + TEN!AC20 + TEX!AC20</f>
        <v>54179.556440600005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126.01015826999998</v>
      </c>
      <c r="D21" s="7">
        <f xml:space="preserve"> 0 + CAL!D21 + CAR!D21 + CENT!D21 + FLA!D21 + MIDA!D21 + MIDW!D21 + NE!D21 + NY!D21 + NW!D21 + SE!D21 + SW!D21 + TEN!D21 + TEX!D21</f>
        <v>140.51129204</v>
      </c>
      <c r="E21" s="7">
        <f xml:space="preserve"> 0 + CAL!E21 + CAR!E21 + CENT!E21 + FLA!E21 + MIDA!E21 + MIDW!E21 + NE!E21 + NY!E21 + NW!E21 + SE!E21 + SW!E21 + TEN!E21 + TEX!E21</f>
        <v>158.84637093999999</v>
      </c>
      <c r="F21" s="7">
        <f xml:space="preserve"> 0 + CAL!F21 + CAR!F21 + CENT!F21 + FLA!F21 + MIDA!F21 + MIDW!F21 + NE!F21 + NY!F21 + NW!F21 + SE!F21 + SW!F21 + TEN!F21 + TEX!F21</f>
        <v>176.22940702</v>
      </c>
      <c r="G21" s="7">
        <f xml:space="preserve"> 0 + CAL!G21 + CAR!G21 + CENT!G21 + FLA!G21 + MIDA!G21 + MIDW!G21 + NE!G21 + NY!G21 + NW!G21 + SE!G21 + SW!G21 + TEN!G21 + TEX!G21</f>
        <v>189.22969139000003</v>
      </c>
      <c r="H21" s="7">
        <f xml:space="preserve"> 0 + CAL!H21 + CAR!H21 + CENT!H21 + FLA!H21 + MIDA!H21 + MIDW!H21 + NE!H21 + NY!H21 + NW!H21 + SE!H21 + SW!H21 + TEN!H21 + TEX!H21</f>
        <v>204.71950278999998</v>
      </c>
      <c r="I21" s="7">
        <f xml:space="preserve"> 0 + CAL!I21 + CAR!I21 + CENT!I21 + FLA!I21 + MIDA!I21 + MIDW!I21 + NE!I21 + NY!I21 + NW!I21 + SE!I21 + SW!I21 + TEN!I21 + TEX!I21</f>
        <v>213.57908481999999</v>
      </c>
      <c r="J21" s="7">
        <f xml:space="preserve"> 0 + CAL!J21 + CAR!J21 + CENT!J21 + FLA!J21 + MIDA!J21 + MIDW!J21 + NE!J21 + NY!J21 + NW!J21 + SE!J21 + SW!J21 + TEN!J21 + TEX!J21</f>
        <v>224.00478863999999</v>
      </c>
      <c r="K21" s="7">
        <f xml:space="preserve"> 0 + CAL!K21 + CAR!K21 + CENT!K21 + FLA!K21 + MIDA!K21 + MIDW!K21 + NE!K21 + NY!K21 + NW!K21 + SE!K21 + SW!K21 + TEN!K21 + TEX!K21</f>
        <v>233.45256193</v>
      </c>
      <c r="L21" s="7">
        <f xml:space="preserve"> 0 + CAL!L21 + CAR!L21 + CENT!L21 + FLA!L21 + MIDA!L21 + MIDW!L21 + NE!L21 + NY!L21 + NW!L21 + SE!L21 + SW!L21 + TEN!L21 + TEX!L21</f>
        <v>246.26710342999996</v>
      </c>
      <c r="M21" s="7">
        <f xml:space="preserve"> 0 + CAL!M21 + CAR!M21 + CENT!M21 + FLA!M21 + MIDA!M21 + MIDW!M21 + NE!M21 + NY!M21 + NW!M21 + SE!M21 + SW!M21 + TEN!M21 + TEX!M21</f>
        <v>256.86711321000001</v>
      </c>
      <c r="N21" s="7">
        <f xml:space="preserve"> 0 + CAL!N21 + CAR!N21 + CENT!N21 + FLA!N21 + MIDA!N21 + MIDW!N21 + NE!N21 + NY!N21 + NW!N21 + SE!N21 + SW!N21 + TEN!N21 + TEX!N21</f>
        <v>269.74117100000001</v>
      </c>
      <c r="O21" s="7">
        <f xml:space="preserve"> 0 + CAL!O21 + CAR!O21 + CENT!O21 + FLA!O21 + MIDA!O21 + MIDW!O21 + NE!O21 + NY!O21 + NW!O21 + SE!O21 + SW!O21 + TEN!O21 + TEX!O21</f>
        <v>278.03387855</v>
      </c>
      <c r="P21" s="7">
        <f xml:space="preserve"> 0 + CAL!P21 + CAR!P21 + CENT!P21 + FLA!P21 + MIDA!P21 + MIDW!P21 + NE!P21 + NY!P21 + NW!P21 + SE!P21 + SW!P21 + TEN!P21 + TEX!P21</f>
        <v>284.99078277000001</v>
      </c>
      <c r="Q21" s="7">
        <f xml:space="preserve"> 0 + CAL!Q21 + CAR!Q21 + CENT!Q21 + FLA!Q21 + MIDA!Q21 + MIDW!Q21 + NE!Q21 + NY!Q21 + NW!Q21 + SE!Q21 + SW!Q21 + TEN!Q21 + TEX!Q21</f>
        <v>287.80241154999999</v>
      </c>
      <c r="R21" s="7">
        <f xml:space="preserve"> 0 + CAL!R21 + CAR!R21 + CENT!R21 + FLA!R21 + MIDA!R21 + MIDW!R21 + NE!R21 + NY!R21 + NW!R21 + SE!R21 + SW!R21 + TEN!R21 + TEX!R21</f>
        <v>292.30965311999995</v>
      </c>
      <c r="S21" s="7">
        <f xml:space="preserve"> 0 + CAL!S21 + CAR!S21 + CENT!S21 + FLA!S21 + MIDA!S21 + MIDW!S21 + NE!S21 + NY!S21 + NW!S21 + SE!S21 + SW!S21 + TEN!S21 + TEX!S21</f>
        <v>301.36748869999997</v>
      </c>
      <c r="T21" s="7">
        <f xml:space="preserve"> 0 + CAL!T21 + CAR!T21 + CENT!T21 + FLA!T21 + MIDA!T21 + MIDW!T21 + NE!T21 + NY!T21 + NW!T21 + SE!T21 + SW!T21 + TEN!T21 + TEX!T21</f>
        <v>308.15057915000006</v>
      </c>
      <c r="U21" s="7">
        <f xml:space="preserve"> 0 + CAL!U21 + CAR!U21 + CENT!U21 + FLA!U21 + MIDA!U21 + MIDW!U21 + NE!U21 + NY!U21 + NW!U21 + SE!U21 + SW!U21 + TEN!U21 + TEX!U21</f>
        <v>319.27027580999993</v>
      </c>
      <c r="V21" s="7">
        <f xml:space="preserve"> 0 + CAL!V21 + CAR!V21 + CENT!V21 + FLA!V21 + MIDA!V21 + MIDW!V21 + NE!V21 + NY!V21 + NW!V21 + SE!V21 + SW!V21 + TEN!V21 + TEX!V21</f>
        <v>329.91213364999999</v>
      </c>
      <c r="W21" s="7">
        <f xml:space="preserve"> 0 + CAL!W21 + CAR!W21 + CENT!W21 + FLA!W21 + MIDA!W21 + MIDW!W21 + NE!W21 + NY!W21 + NW!W21 + SE!W21 + SW!W21 + TEN!W21 + TEX!W21</f>
        <v>341.90276035000005</v>
      </c>
      <c r="X21" s="7">
        <f xml:space="preserve"> 0 + CAL!X21 + CAR!X21 + CENT!X21 + FLA!X21 + MIDA!X21 + MIDW!X21 + NE!X21 + NY!X21 + NW!X21 + SE!X21 + SW!X21 + TEN!X21 + TEX!X21</f>
        <v>354.64555286000007</v>
      </c>
      <c r="Y21" s="7">
        <f xml:space="preserve"> 0 + CAL!Y21 + CAR!Y21 + CENT!Y21 + FLA!Y21 + MIDA!Y21 + MIDW!Y21 + NE!Y21 + NY!Y21 + NW!Y21 + SE!Y21 + SW!Y21 + TEN!Y21 + TEX!Y21</f>
        <v>363.23318952</v>
      </c>
      <c r="Z21" s="7">
        <f xml:space="preserve"> 0 + CAL!Z21 + CAR!Z21 + CENT!Z21 + FLA!Z21 + MIDA!Z21 + MIDW!Z21 + NE!Z21 + NY!Z21 + NW!Z21 + SE!Z21 + SW!Z21 + TEN!Z21 + TEX!Z21</f>
        <v>374.22778317000007</v>
      </c>
      <c r="AA21" s="7">
        <f xml:space="preserve"> 0 + CAL!AA21 + CAR!AA21 + CENT!AA21 + FLA!AA21 + MIDA!AA21 + MIDW!AA21 + NE!AA21 + NY!AA21 + NW!AA21 + SE!AA21 + SW!AA21 + TEN!AA21 + TEX!AA21</f>
        <v>384.35981873999998</v>
      </c>
      <c r="AB21" s="7">
        <f xml:space="preserve"> 0 + CAL!AB21 + CAR!AB21 + CENT!AB21 + FLA!AB21 + MIDA!AB21 + MIDW!AB21 + NE!AB21 + NY!AB21 + NW!AB21 + SE!AB21 + SW!AB21 + TEN!AB21 + TEX!AB21</f>
        <v>394.55258576</v>
      </c>
      <c r="AC21" s="7">
        <f xml:space="preserve"> 0 + CAL!AC21 + CAR!AC21 + CENT!AC21 + FLA!AC21 + MIDA!AC21 + MIDW!AC21 + NE!AC21 + NY!AC21 + NW!AC21 + SE!AC21 + SW!AC21 + TEN!AC21 + TEX!AC21</f>
        <v>404.84434349999992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0.63005078999999997</v>
      </c>
      <c r="D22" s="7">
        <f xml:space="preserve"> 0 + CAL!D22 + CAR!D22 + CENT!D22 + FLA!D22 + MIDA!D22 + MIDW!D22 + NE!D22 + NY!D22 + NW!D22 + SE!D22 + SW!D22 + TEN!D22 + TEX!D22</f>
        <v>0.70255646000000005</v>
      </c>
      <c r="E22" s="7">
        <f xml:space="preserve"> 0 + CAL!E22 + CAR!E22 + CENT!E22 + FLA!E22 + MIDA!E22 + MIDW!E22 + NE!E22 + NY!E22 + NW!E22 + SE!E22 + SW!E22 + TEN!E22 + TEX!E22</f>
        <v>0.79423186999999995</v>
      </c>
      <c r="F22" s="7">
        <f xml:space="preserve"> 0 + CAL!F22 + CAR!F22 + CENT!F22 + FLA!F22 + MIDA!F22 + MIDW!F22 + NE!F22 + NY!F22 + NW!F22 + SE!F22 + SW!F22 + TEN!F22 + TEX!F22</f>
        <v>0.88114702</v>
      </c>
      <c r="G22" s="7">
        <f xml:space="preserve"> 0 + CAL!G22 + CAR!G22 + CENT!G22 + FLA!G22 + MIDA!G22 + MIDW!G22 + NE!G22 + NY!G22 + NW!G22 + SE!G22 + SW!G22 + TEN!G22 + TEX!G22</f>
        <v>0.94614844999999992</v>
      </c>
      <c r="H22" s="7">
        <f xml:space="preserve"> 0 + CAL!H22 + CAR!H22 + CENT!H22 + FLA!H22 + MIDA!H22 + MIDW!H22 + NE!H22 + NY!H22 + NW!H22 + SE!H22 + SW!H22 + TEN!H22 + TEX!H22</f>
        <v>1.0235975100000003</v>
      </c>
      <c r="I22" s="7">
        <f xml:space="preserve"> 0 + CAL!I22 + CAR!I22 + CENT!I22 + FLA!I22 + MIDA!I22 + MIDW!I22 + NE!I22 + NY!I22 + NW!I22 + SE!I22 + SW!I22 + TEN!I22 + TEX!I22</f>
        <v>1.06789541</v>
      </c>
      <c r="J22" s="7">
        <f xml:space="preserve"> 0 + CAL!J22 + CAR!J22 + CENT!J22 + FLA!J22 + MIDA!J22 + MIDW!J22 + NE!J22 + NY!J22 + NW!J22 + SE!J22 + SW!J22 + TEN!J22 + TEX!J22</f>
        <v>1.12002395</v>
      </c>
      <c r="K22" s="7">
        <f xml:space="preserve"> 0 + CAL!K22 + CAR!K22 + CENT!K22 + FLA!K22 + MIDA!K22 + MIDW!K22 + NE!K22 + NY!K22 + NW!K22 + SE!K22 + SW!K22 + TEN!K22 + TEX!K22</f>
        <v>1.16726281</v>
      </c>
      <c r="L22" s="7">
        <f xml:space="preserve"> 0 + CAL!L22 + CAR!L22 + CENT!L22 + FLA!L22 + MIDA!L22 + MIDW!L22 + NE!L22 + NY!L22 + NW!L22 + SE!L22 + SW!L22 + TEN!L22 + TEX!L22</f>
        <v>1.2313355100000001</v>
      </c>
      <c r="M22" s="7">
        <f xml:space="preserve"> 0 + CAL!M22 + CAR!M22 + CENT!M22 + FLA!M22 + MIDA!M22 + MIDW!M22 + NE!M22 + NY!M22 + NW!M22 + SE!M22 + SW!M22 + TEN!M22 + TEX!M22</f>
        <v>1.28433558</v>
      </c>
      <c r="N22" s="7">
        <f xml:space="preserve"> 0 + CAL!N22 + CAR!N22 + CENT!N22 + FLA!N22 + MIDA!N22 + MIDW!N22 + NE!N22 + NY!N22 + NW!N22 + SE!N22 + SW!N22 + TEN!N22 + TEX!N22</f>
        <v>1.34870585</v>
      </c>
      <c r="O22" s="7">
        <f xml:space="preserve"> 0 + CAL!O22 + CAR!O22 + CENT!O22 + FLA!O22 + MIDA!O22 + MIDW!O22 + NE!O22 + NY!O22 + NW!O22 + SE!O22 + SW!O22 + TEN!O22 + TEX!O22</f>
        <v>1.3901693999999998</v>
      </c>
      <c r="P22" s="7">
        <f xml:space="preserve"> 0 + CAL!P22 + CAR!P22 + CENT!P22 + FLA!P22 + MIDA!P22 + MIDW!P22 + NE!P22 + NY!P22 + NW!P22 + SE!P22 + SW!P22 + TEN!P22 + TEX!P22</f>
        <v>1.4249539200000001</v>
      </c>
      <c r="Q22" s="7">
        <f xml:space="preserve"> 0 + CAL!Q22 + CAR!Q22 + CENT!Q22 + FLA!Q22 + MIDA!Q22 + MIDW!Q22 + NE!Q22 + NY!Q22 + NW!Q22 + SE!Q22 + SW!Q22 + TEN!Q22 + TEX!Q22</f>
        <v>1.4390120599999998</v>
      </c>
      <c r="R22" s="7">
        <f xml:space="preserve"> 0 + CAL!R22 + CAR!R22 + CENT!R22 + FLA!R22 + MIDA!R22 + MIDW!R22 + NE!R22 + NY!R22 + NW!R22 + SE!R22 + SW!R22 + TEN!R22 + TEX!R22</f>
        <v>1.4615482699999998</v>
      </c>
      <c r="S22" s="7">
        <f xml:space="preserve"> 0 + CAL!S22 + CAR!S22 + CENT!S22 + FLA!S22 + MIDA!S22 + MIDW!S22 + NE!S22 + NY!S22 + NW!S22 + SE!S22 + SW!S22 + TEN!S22 + TEX!S22</f>
        <v>1.5068374499999999</v>
      </c>
      <c r="T22" s="7">
        <f xml:space="preserve"> 0 + CAL!T22 + CAR!T22 + CENT!T22 + FLA!T22 + MIDA!T22 + MIDW!T22 + NE!T22 + NY!T22 + NW!T22 + SE!T22 + SW!T22 + TEN!T22 + TEX!T22</f>
        <v>1.5407529199999999</v>
      </c>
      <c r="U22" s="7">
        <f xml:space="preserve"> 0 + CAL!U22 + CAR!U22 + CENT!U22 + FLA!U22 + MIDA!U22 + MIDW!U22 + NE!U22 + NY!U22 + NW!U22 + SE!U22 + SW!U22 + TEN!U22 + TEX!U22</f>
        <v>1.59635138</v>
      </c>
      <c r="V22" s="7">
        <f xml:space="preserve"> 0 + CAL!V22 + CAR!V22 + CENT!V22 + FLA!V22 + MIDA!V22 + MIDW!V22 + NE!V22 + NY!V22 + NW!V22 + SE!V22 + SW!V22 + TEN!V22 + TEX!V22</f>
        <v>1.6495606699999998</v>
      </c>
      <c r="W22" s="7">
        <f xml:space="preserve"> 0 + CAL!W22 + CAR!W22 + CENT!W22 + FLA!W22 + MIDA!W22 + MIDW!W22 + NE!W22 + NY!W22 + NW!W22 + SE!W22 + SW!W22 + TEN!W22 + TEX!W22</f>
        <v>1.7095138000000001</v>
      </c>
      <c r="X22" s="7">
        <f xml:space="preserve"> 0 + CAL!X22 + CAR!X22 + CENT!X22 + FLA!X22 + MIDA!X22 + MIDW!X22 + NE!X22 + NY!X22 + NW!X22 + SE!X22 + SW!X22 + TEN!X22 + TEX!X22</f>
        <v>1.7732277700000001</v>
      </c>
      <c r="Y22" s="7">
        <f xml:space="preserve"> 0 + CAL!Y22 + CAR!Y22 + CENT!Y22 + FLA!Y22 + MIDA!Y22 + MIDW!Y22 + NE!Y22 + NY!Y22 + NW!Y22 + SE!Y22 + SW!Y22 + TEN!Y22 + TEX!Y22</f>
        <v>1.8161659599999997</v>
      </c>
      <c r="Z22" s="7">
        <f xml:space="preserve"> 0 + CAL!Z22 + CAR!Z22 + CENT!Z22 + FLA!Z22 + MIDA!Z22 + MIDW!Z22 + NE!Z22 + NY!Z22 + NW!Z22 + SE!Z22 + SW!Z22 + TEN!Z22 + TEX!Z22</f>
        <v>1.8711389000000003</v>
      </c>
      <c r="AA22" s="7">
        <f xml:space="preserve"> 0 + CAL!AA22 + CAR!AA22 + CENT!AA22 + FLA!AA22 + MIDA!AA22 + MIDW!AA22 + NE!AA22 + NY!AA22 + NW!AA22 + SE!AA22 + SW!AA22 + TEN!AA22 + TEX!AA22</f>
        <v>1.9217991099999998</v>
      </c>
      <c r="AB22" s="7">
        <f xml:space="preserve"> 0 + CAL!AB22 + CAR!AB22 + CENT!AB22 + FLA!AB22 + MIDA!AB22 + MIDW!AB22 + NE!AB22 + NY!AB22 + NW!AB22 + SE!AB22 + SW!AB22 + TEN!AB22 + TEX!AB22</f>
        <v>1.9727629400000002</v>
      </c>
      <c r="AC22" s="7">
        <f xml:space="preserve"> 0 + CAL!AC22 + CAR!AC22 + CENT!AC22 + FLA!AC22 + MIDA!AC22 + MIDW!AC22 + NE!AC22 + NY!AC22 + NW!AC22 + SE!AC22 + SW!AC22 + TEN!AC22 + TEX!AC22</f>
        <v>2.0242217199999999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20607.978174240001</v>
      </c>
      <c r="D23" s="7">
        <f xml:space="preserve"> 0 + CAL!D23 + CAR!D23 + CENT!D23 + FLA!D23 + MIDA!D23 + MIDW!D23 + NE!D23 + NY!D23 + NW!D23 + SE!D23 + SW!D23 + TEN!D23 + TEX!D23</f>
        <v>22361.696559150001</v>
      </c>
      <c r="E23" s="7">
        <f xml:space="preserve"> 0 + CAL!E23 + CAR!E23 + CENT!E23 + FLA!E23 + MIDA!E23 + MIDW!E23 + NE!E23 + NY!E23 + NW!E23 + SE!E23 + SW!E23 + TEN!E23 + TEX!E23</f>
        <v>24719.799670190001</v>
      </c>
      <c r="F23" s="7">
        <f xml:space="preserve"> 0 + CAL!F23 + CAR!F23 + CENT!F23 + FLA!F23 + MIDA!F23 + MIDW!F23 + NE!F23 + NY!F23 + NW!F23 + SE!F23 + SW!F23 + TEN!F23 + TEX!F23</f>
        <v>26945.41865743</v>
      </c>
      <c r="G23" s="7">
        <f xml:space="preserve"> 0 + CAL!G23 + CAR!G23 + CENT!G23 + FLA!G23 + MIDA!G23 + MIDW!G23 + NE!G23 + NY!G23 + NW!G23 + SE!G23 + SW!G23 + TEN!G23 + TEX!G23</f>
        <v>28341.039410349997</v>
      </c>
      <c r="H23" s="7">
        <f xml:space="preserve"> 0 + CAL!H23 + CAR!H23 + CENT!H23 + FLA!H23 + MIDA!H23 + MIDW!H23 + NE!H23 + NY!H23 + NW!H23 + SE!H23 + SW!H23 + TEN!H23 + TEX!H23</f>
        <v>30083.017375930001</v>
      </c>
      <c r="I23" s="7">
        <f xml:space="preserve"> 0 + CAL!I23 + CAR!I23 + CENT!I23 + FLA!I23 + MIDA!I23 + MIDW!I23 + NE!I23 + NY!I23 + NW!I23 + SE!I23 + SW!I23 + TEN!I23 + TEX!I23</f>
        <v>30783.76274695</v>
      </c>
      <c r="J23" s="7">
        <f xml:space="preserve"> 0 + CAL!J23 + CAR!J23 + CENT!J23 + FLA!J23 + MIDA!J23 + MIDW!J23 + NE!J23 + NY!J23 + NW!J23 + SE!J23 + SW!J23 + TEN!J23 + TEX!J23</f>
        <v>31686.695841610002</v>
      </c>
      <c r="K23" s="7">
        <f xml:space="preserve"> 0 + CAL!K23 + CAR!K23 + CENT!K23 + FLA!K23 + MIDA!K23 + MIDW!K23 + NE!K23 + NY!K23 + NW!K23 + SE!K23 + SW!K23 + TEN!K23 + TEX!K23</f>
        <v>32444.481733199995</v>
      </c>
      <c r="L23" s="7">
        <f xml:space="preserve"> 0 + CAL!L23 + CAR!L23 + CENT!L23 + FLA!L23 + MIDA!L23 + MIDW!L23 + NE!L23 + NY!L23 + NW!L23 + SE!L23 + SW!L23 + TEN!L23 + TEX!L23</f>
        <v>33705.060268679998</v>
      </c>
      <c r="M23" s="7">
        <f xml:space="preserve"> 0 + CAL!M23 + CAR!M23 + CENT!M23 + FLA!M23 + MIDA!M23 + MIDW!M23 + NE!M23 + NY!M23 + NW!M23 + SE!M23 + SW!M23 + TEN!M23 + TEX!M23</f>
        <v>34713.743067739997</v>
      </c>
      <c r="N23" s="7">
        <f xml:space="preserve"> 0 + CAL!N23 + CAR!N23 + CENT!N23 + FLA!N23 + MIDA!N23 + MIDW!N23 + NE!N23 + NY!N23 + NW!N23 + SE!N23 + SW!N23 + TEN!N23 + TEX!N23</f>
        <v>36068.822668330002</v>
      </c>
      <c r="O23" s="7">
        <f xml:space="preserve"> 0 + CAL!O23 + CAR!O23 + CENT!O23 + FLA!O23 + MIDA!O23 + MIDW!O23 + NE!O23 + NY!O23 + NW!O23 + SE!O23 + SW!O23 + TEN!O23 + TEX!O23</f>
        <v>37198.891553739995</v>
      </c>
      <c r="P23" s="7">
        <f xml:space="preserve"> 0 + CAL!P23 + CAR!P23 + CENT!P23 + FLA!P23 + MIDA!P23 + MIDW!P23 + NE!P23 + NY!P23 + NW!P23 + SE!P23 + SW!P23 + TEN!P23 + TEX!P23</f>
        <v>38033.827262399995</v>
      </c>
      <c r="Q23" s="7">
        <f xml:space="preserve"> 0 + CAL!Q23 + CAR!Q23 + CENT!Q23 + FLA!Q23 + MIDA!Q23 + MIDW!Q23 + NE!Q23 + NY!Q23 + NW!Q23 + SE!Q23 + SW!Q23 + TEN!Q23 + TEX!Q23</f>
        <v>38390.477021660001</v>
      </c>
      <c r="R23" s="7">
        <f xml:space="preserve"> 0 + CAL!R23 + CAR!R23 + CENT!R23 + FLA!R23 + MIDA!R23 + MIDW!R23 + NE!R23 + NY!R23 + NW!R23 + SE!R23 + SW!R23 + TEN!R23 + TEX!R23</f>
        <v>38959.918357939991</v>
      </c>
      <c r="S23" s="7">
        <f xml:space="preserve"> 0 + CAL!S23 + CAR!S23 + CENT!S23 + FLA!S23 + MIDA!S23 + MIDW!S23 + NE!S23 + NY!S23 + NW!S23 + SE!S23 + SW!S23 + TEN!S23 + TEX!S23</f>
        <v>40175.416582999998</v>
      </c>
      <c r="T23" s="7">
        <f xml:space="preserve"> 0 + CAL!T23 + CAR!T23 + CENT!T23 + FLA!T23 + MIDA!T23 + MIDW!T23 + NE!T23 + NY!T23 + NW!T23 + SE!T23 + SW!T23 + TEN!T23 + TEX!T23</f>
        <v>41203.258106700014</v>
      </c>
      <c r="U23" s="7">
        <f xml:space="preserve"> 0 + CAL!U23 + CAR!U23 + CENT!U23 + FLA!U23 + MIDA!U23 + MIDW!U23 + NE!U23 + NY!U23 + NW!U23 + SE!U23 + SW!U23 + TEN!U23 + TEX!U23</f>
        <v>42658.732071120001</v>
      </c>
      <c r="V23" s="7">
        <f xml:space="preserve"> 0 + CAL!V23 + CAR!V23 + CENT!V23 + FLA!V23 + MIDA!V23 + MIDW!V23 + NE!V23 + NY!V23 + NW!V23 + SE!V23 + SW!V23 + TEN!V23 + TEX!V23</f>
        <v>44072.291303549988</v>
      </c>
      <c r="W23" s="7">
        <f xml:space="preserve"> 0 + CAL!W23 + CAR!W23 + CENT!W23 + FLA!W23 + MIDA!W23 + MIDW!W23 + NE!W23 + NY!W23 + NW!W23 + SE!W23 + SW!W23 + TEN!W23 + TEX!W23</f>
        <v>45650.562922160003</v>
      </c>
      <c r="X23" s="7">
        <f xml:space="preserve"> 0 + CAL!X23 + CAR!X23 + CENT!X23 + FLA!X23 + MIDA!X23 + MIDW!X23 + NE!X23 + NY!X23 + NW!X23 + SE!X23 + SW!X23 + TEN!X23 + TEX!X23</f>
        <v>47311.873528969991</v>
      </c>
      <c r="Y23" s="7">
        <f xml:space="preserve"> 0 + CAL!Y23 + CAR!Y23 + CENT!Y23 + FLA!Y23 + MIDA!Y23 + MIDW!Y23 + NE!Y23 + NY!Y23 + NW!Y23 + SE!Y23 + SW!Y23 + TEN!Y23 + TEX!Y23</f>
        <v>48517.336174429998</v>
      </c>
      <c r="Z23" s="7">
        <f xml:space="preserve"> 0 + CAL!Z23 + CAR!Z23 + CENT!Z23 + FLA!Z23 + MIDA!Z23 + MIDW!Z23 + NE!Z23 + NY!Z23 + NW!Z23 + SE!Z23 + SW!Z23 + TEN!Z23 + TEX!Z23</f>
        <v>49992.79196164001</v>
      </c>
      <c r="AA23" s="7">
        <f xml:space="preserve"> 0 + CAL!AA23 + CAR!AA23 + CENT!AA23 + FLA!AA23 + MIDA!AA23 + MIDW!AA23 + NE!AA23 + NY!AA23 + NW!AA23 + SE!AA23 + SW!AA23 + TEN!AA23 + TEX!AA23</f>
        <v>51364.639398940002</v>
      </c>
      <c r="AB23" s="7">
        <f xml:space="preserve"> 0 + CAL!AB23 + CAR!AB23 + CENT!AB23 + FLA!AB23 + MIDA!AB23 + MIDW!AB23 + NE!AB23 + NY!AB23 + NW!AB23 + SE!AB23 + SW!AB23 + TEN!AB23 + TEX!AB23</f>
        <v>52767.946751220006</v>
      </c>
      <c r="AC23" s="7">
        <f xml:space="preserve"> 0 + CAL!AC23 + CAR!AC23 + CENT!AC23 + FLA!AC23 + MIDA!AC23 + MIDW!AC23 + NE!AC23 + NY!AC23 + NW!AC23 + SE!AC23 + SW!AC23 + TEN!AC23 + TEX!AC23</f>
        <v>54179.556440600005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14.219442579999999</v>
      </c>
      <c r="E25" s="7">
        <f xml:space="preserve"> 0 + CAL!E25 + CAR!E25 + CENT!E25 + FLA!E25 + MIDA!E25 + MIDW!E25 + NE!E25 + NY!E25 + NW!E25 + SE!E25 + SW!E25 + TEN!E25 + TEX!E25</f>
        <v>13.83743494</v>
      </c>
      <c r="F25" s="7">
        <f xml:space="preserve"> 0 + CAL!F25 + CAR!F25 + CENT!F25 + FLA!F25 + MIDA!F25 + MIDW!F25 + NE!F25 + NY!F25 + NW!F25 + SE!F25 + SW!F25 + TEN!F25 + TEX!F25</f>
        <v>13.847297619999999</v>
      </c>
      <c r="G25" s="7">
        <f xml:space="preserve"> 0 + CAL!G25 + CAR!G25 + CENT!G25 + FLA!G25 + MIDA!G25 + MIDW!G25 + NE!G25 + NY!G25 + NW!G25 + SE!G25 + SW!G25 + TEN!G25 + TEX!G25</f>
        <v>13.519434270000001</v>
      </c>
      <c r="H25" s="7">
        <f xml:space="preserve"> 0 + CAL!H25 + CAR!H25 + CENT!H25 + FLA!H25 + MIDA!H25 + MIDW!H25 + NE!H25 + NY!H25 + NW!H25 + SE!H25 + SW!H25 + TEN!H25 + TEX!H25</f>
        <v>13.071551919999999</v>
      </c>
      <c r="I25" s="7">
        <f xml:space="preserve"> 0 + CAL!I25 + CAR!I25 + CENT!I25 + FLA!I25 + MIDA!I25 + MIDW!I25 + NE!I25 + NY!I25 + NW!I25 + SE!I25 + SW!I25 + TEN!I25 + TEX!I25</f>
        <v>13.043361300000001</v>
      </c>
      <c r="J25" s="7">
        <f xml:space="preserve"> 0 + CAL!J25 + CAR!J25 + CENT!J25 + FLA!J25 + MIDA!J25 + MIDW!J25 + NE!J25 + NY!J25 + NW!J25 + SE!J25 + SW!J25 + TEN!J25 + TEX!J25</f>
        <v>12.702065580000003</v>
      </c>
      <c r="K25" s="7">
        <f xml:space="preserve"> 0 + CAL!K25 + CAR!K25 + CENT!K25 + FLA!K25 + MIDA!K25 + MIDW!K25 + NE!K25 + NY!K25 + NW!K25 + SE!K25 + SW!K25 + TEN!K25 + TEX!K25</f>
        <v>12.698893030000002</v>
      </c>
      <c r="L25" s="7">
        <f xml:space="preserve"> 0 + CAL!L25 + CAR!L25 + CENT!L25 + FLA!L25 + MIDA!L25 + MIDW!L25 + NE!L25 + NY!L25 + NW!L25 + SE!L25 + SW!L25 + TEN!L25 + TEX!L25</f>
        <v>12.61310231</v>
      </c>
      <c r="M25" s="7">
        <f xml:space="preserve"> 0 + CAL!M25 + CAR!M25 + CENT!M25 + FLA!M25 + MIDA!M25 + MIDW!M25 + NE!M25 + NY!M25 + NW!M25 + SE!M25 + SW!M25 + TEN!M25 + TEX!M25</f>
        <v>12.713150679999998</v>
      </c>
      <c r="N25" s="7">
        <f xml:space="preserve"> 0 + CAL!N25 + CAR!N25 + CENT!N25 + FLA!N25 + MIDA!N25 + MIDW!N25 + NE!N25 + NY!N25 + NW!N25 + SE!N25 + SW!N25 + TEN!N25 + TEX!N25</f>
        <v>12.624191960000001</v>
      </c>
      <c r="O25" s="7">
        <f xml:space="preserve"> 0 + CAL!O25 + CAR!O25 + CENT!O25 + FLA!O25 + MIDA!O25 + MIDW!O25 + NE!O25 + NY!O25 + NW!O25 + SE!O25 + SW!O25 + TEN!O25 + TEX!O25</f>
        <v>12.66882103</v>
      </c>
      <c r="P25" s="7">
        <f xml:space="preserve"> 0 + CAL!P25 + CAR!P25 + CENT!P25 + FLA!P25 + MIDA!P25 + MIDW!P25 + NE!P25 + NY!P25 + NW!P25 + SE!P25 + SW!P25 + TEN!P25 + TEX!P25</f>
        <v>12.594312029999999</v>
      </c>
      <c r="Q25" s="7">
        <f xml:space="preserve"> 0 + CAL!Q25 + CAR!Q25 + CENT!Q25 + FLA!Q25 + MIDA!Q25 + MIDW!Q25 + NE!Q25 + NY!Q25 + NW!Q25 + SE!Q25 + SW!Q25 + TEN!Q25 + TEX!Q25</f>
        <v>12.510759800000001</v>
      </c>
      <c r="R25" s="7">
        <f xml:space="preserve"> 0 + CAL!R25 + CAR!R25 + CENT!R25 + FLA!R25 + MIDA!R25 + MIDW!R25 + NE!R25 + NY!R25 + NW!R25 + SE!R25 + SW!R25 + TEN!R25 + TEX!R25</f>
        <v>12.40305727</v>
      </c>
      <c r="S25" s="7">
        <f xml:space="preserve"> 0 + CAL!S25 + CAR!S25 + CENT!S25 + FLA!S25 + MIDA!S25 + MIDW!S25 + NE!S25 + NY!S25 + NW!S25 + SE!S25 + SW!S25 + TEN!S25 + TEX!S25</f>
        <v>12.44459558</v>
      </c>
      <c r="T25" s="7">
        <f xml:space="preserve"> 0 + CAL!T25 + CAR!T25 + CENT!T25 + FLA!T25 + MIDA!T25 + MIDW!T25 + NE!T25 + NY!T25 + NW!T25 + SE!T25 + SW!T25 + TEN!T25 + TEX!T25</f>
        <v>12.59344531</v>
      </c>
      <c r="U25" s="7">
        <f xml:space="preserve"> 0 + CAL!U25 + CAR!U25 + CENT!U25 + FLA!U25 + MIDA!U25 + MIDW!U25 + NE!U25 + NY!U25 + NW!U25 + SE!U25 + SW!U25 + TEN!U25 + TEX!U25</f>
        <v>12.522927839999999</v>
      </c>
      <c r="V25" s="7">
        <f xml:space="preserve"> 0 + CAL!V25 + CAR!V25 + CENT!V25 + FLA!V25 + MIDA!V25 + MIDW!V25 + NE!V25 + NY!V25 + NW!V25 + SE!V25 + SW!V25 + TEN!V25 + TEX!V25</f>
        <v>12.611089660000001</v>
      </c>
      <c r="W25" s="7">
        <f xml:space="preserve"> 0 + CAL!W25 + CAR!W25 + CENT!W25 + FLA!W25 + MIDA!W25 + MIDW!W25 + NE!W25 + NY!W25 + NW!W25 + SE!W25 + SW!W25 + TEN!W25 + TEX!W25</f>
        <v>12.582444810000004</v>
      </c>
      <c r="X25" s="7">
        <f xml:space="preserve"> 0 + CAL!X25 + CAR!X25 + CENT!X25 + FLA!X25 + MIDA!X25 + MIDW!X25 + NE!X25 + NY!X25 + NW!X25 + SE!X25 + SW!X25 + TEN!X25 + TEX!X25</f>
        <v>12.601499310000001</v>
      </c>
      <c r="Y25" s="7">
        <f xml:space="preserve"> 0 + CAL!Y25 + CAR!Y25 + CENT!Y25 + FLA!Y25 + MIDA!Y25 + MIDW!Y25 + NE!Y25 + NY!Y25 + NW!Y25 + SE!Y25 + SW!Y25 + TEN!Y25 + TEX!Y25</f>
        <v>12.605986549999999</v>
      </c>
      <c r="Z25" s="7">
        <f xml:space="preserve"> 0 + CAL!Z25 + CAR!Z25 + CENT!Z25 + FLA!Z25 + MIDA!Z25 + MIDW!Z25 + NE!Z25 + NY!Z25 + NW!Z25 + SE!Z25 + SW!Z25 + TEN!Z25 + TEX!Z25</f>
        <v>12.49853568</v>
      </c>
      <c r="AA25" s="7">
        <f xml:space="preserve"> 0 + CAL!AA25 + CAR!AA25 + CENT!AA25 + FLA!AA25 + MIDA!AA25 + MIDW!AA25 + NE!AA25 + NY!AA25 + NW!AA25 + SE!AA25 + SW!AA25 + TEN!AA25 + TEX!AA25</f>
        <v>12.54263259</v>
      </c>
      <c r="AB25" s="7">
        <f xml:space="preserve"> 0 + CAL!AB25 + CAR!AB25 + CENT!AB25 + FLA!AB25 + MIDA!AB25 + MIDW!AB25 + NE!AB25 + NY!AB25 + NW!AB25 + SE!AB25 + SW!AB25 + TEN!AB25 + TEX!AB25</f>
        <v>12.509306339999998</v>
      </c>
      <c r="AC25" s="7">
        <f xml:space="preserve"> 0 + CAL!AC25 + CAR!AC25 + CENT!AC25 + FLA!AC25 + MIDA!AC25 + MIDW!AC25 + NE!AC25 + NY!AC25 + NW!AC25 + SE!AC25 + SW!AC25 + TEN!AC25 + TEX!AC25</f>
        <v>12.50777334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18.132768540000001</v>
      </c>
      <c r="D26" s="7">
        <f xml:space="preserve"> 0 + CAL!D26 + CAR!D26 + CENT!D26 + FLA!D26 + MIDA!D26 + MIDW!D26 + NE!D26 + NY!D26 + NW!D26 + SE!D26 + SW!D26 + TEN!D26 + TEX!D26</f>
        <v>14.393904699999998</v>
      </c>
      <c r="E26" s="7">
        <f xml:space="preserve"> 0 + CAL!E26 + CAR!E26 + CENT!E26 + FLA!E26 + MIDA!E26 + MIDW!E26 + NE!E26 + NY!E26 + NW!E26 + SE!E26 + SW!E26 + TEN!E26 + TEX!E26</f>
        <v>14.309473330000001</v>
      </c>
      <c r="F26" s="7">
        <f xml:space="preserve"> 0 + CAL!F26 + CAR!F26 + CENT!F26 + FLA!F26 + MIDA!F26 + MIDW!F26 + NE!F26 + NY!F26 + NW!F26 + SE!F26 + SW!F26 + TEN!F26 + TEX!F26</f>
        <v>13.767536930000002</v>
      </c>
      <c r="G26" s="7">
        <f xml:space="preserve"> 0 + CAL!G26 + CAR!G26 + CENT!G26 + FLA!G26 + MIDA!G26 + MIDW!G26 + NE!G26 + NY!G26 + NW!G26 + SE!G26 + SW!G26 + TEN!G26 + TEX!G26</f>
        <v>13.197887679999999</v>
      </c>
      <c r="H26" s="7">
        <f xml:space="preserve"> 0 + CAL!H26 + CAR!H26 + CENT!H26 + FLA!H26 + MIDA!H26 + MIDW!H26 + NE!H26 + NY!H26 + NW!H26 + SE!H26 + SW!H26 + TEN!H26 + TEX!H26</f>
        <v>13.133461829999998</v>
      </c>
      <c r="I26" s="7">
        <f xml:space="preserve"> 0 + CAL!I26 + CAR!I26 + CENT!I26 + FLA!I26 + MIDA!I26 + MIDW!I26 + NE!I26 + NY!I26 + NW!I26 + SE!I26 + SW!I26 + TEN!I26 + TEX!I26</f>
        <v>12.75137711</v>
      </c>
      <c r="J26" s="7">
        <f xml:space="preserve"> 0 + CAL!J26 + CAR!J26 + CENT!J26 + FLA!J26 + MIDA!J26 + MIDW!J26 + NE!J26 + NY!J26 + NW!J26 + SE!J26 + SW!J26 + TEN!J26 + TEX!J26</f>
        <v>12.737195070000004</v>
      </c>
      <c r="K26" s="7">
        <f xml:space="preserve"> 0 + CAL!K26 + CAR!K26 + CENT!K26 + FLA!K26 + MIDA!K26 + MIDW!K26 + NE!K26 + NY!K26 + NW!K26 + SE!K26 + SW!K26 + TEN!K26 + TEX!K26</f>
        <v>12.646121299999999</v>
      </c>
      <c r="L26" s="7">
        <f xml:space="preserve"> 0 + CAL!L26 + CAR!L26 + CENT!L26 + FLA!L26 + MIDA!L26 + MIDW!L26 + NE!L26 + NY!L26 + NW!L26 + SE!L26 + SW!L26 + TEN!L26 + TEX!L26</f>
        <v>12.740042319999999</v>
      </c>
      <c r="M26" s="7">
        <f xml:space="preserve"> 0 + CAL!M26 + CAR!M26 + CENT!M26 + FLA!M26 + MIDA!M26 + MIDW!M26 + NE!M26 + NY!M26 + NW!M26 + SE!M26 + SW!M26 + TEN!M26 + TEX!M26</f>
        <v>12.636771339999999</v>
      </c>
      <c r="N26" s="7">
        <f xml:space="preserve"> 0 + CAL!N26 + CAR!N26 + CENT!N26 + FLA!N26 + MIDA!N26 + MIDW!N26 + NE!N26 + NY!N26 + NW!N26 + SE!N26 + SW!N26 + TEN!N26 + TEX!N26</f>
        <v>12.689248969999998</v>
      </c>
      <c r="O26" s="7">
        <f xml:space="preserve"> 0 + CAL!O26 + CAR!O26 + CENT!O26 + FLA!O26 + MIDA!O26 + MIDW!O26 + NE!O26 + NY!O26 + NW!O26 + SE!O26 + SW!O26 + TEN!O26 + TEX!O26</f>
        <v>12.60488958</v>
      </c>
      <c r="P26" s="7">
        <f xml:space="preserve"> 0 + CAL!P26 + CAR!P26 + CENT!P26 + FLA!P26 + MIDA!P26 + MIDW!P26 + NE!P26 + NY!P26 + NW!P26 + SE!P26 + SW!P26 + TEN!P26 + TEX!P26</f>
        <v>12.519939179999998</v>
      </c>
      <c r="Q26" s="7">
        <f xml:space="preserve"> 0 + CAL!Q26 + CAR!Q26 + CENT!Q26 + FLA!Q26 + MIDA!Q26 + MIDW!Q26 + NE!Q26 + NY!Q26 + NW!Q26 + SE!Q26 + SW!Q26 + TEN!Q26 + TEX!Q26</f>
        <v>12.40897648</v>
      </c>
      <c r="R26" s="7">
        <f xml:space="preserve"> 0 + CAL!R26 + CAR!R26 + CENT!R26 + FLA!R26 + MIDA!R26 + MIDW!R26 + NE!R26 + NY!R26 + NW!R26 + SE!R26 + SW!R26 + TEN!R26 + TEX!R26</f>
        <v>12.449898439999998</v>
      </c>
      <c r="S26" s="7">
        <f xml:space="preserve"> 0 + CAL!S26 + CAR!S26 + CENT!S26 + FLA!S26 + MIDA!S26 + MIDW!S26 + NE!S26 + NY!S26 + NW!S26 + SE!S26 + SW!S26 + TEN!S26 + TEX!S26</f>
        <v>12.59822335</v>
      </c>
      <c r="T26" s="7">
        <f xml:space="preserve"> 0 + CAL!T26 + CAR!T26 + CENT!T26 + FLA!T26 + MIDA!T26 + MIDW!T26 + NE!T26 + NY!T26 + NW!T26 + SE!T26 + SW!T26 + TEN!T26 + TEX!T26</f>
        <v>12.527250699999998</v>
      </c>
      <c r="U26" s="7">
        <f xml:space="preserve"> 0 + CAL!U26 + CAR!U26 + CENT!U26 + FLA!U26 + MIDA!U26 + MIDW!U26 + NE!U26 + NY!U26 + NW!U26 + SE!U26 + SW!U26 + TEN!U26 + TEX!U26</f>
        <v>12.615016489999999</v>
      </c>
      <c r="V26" s="7">
        <f xml:space="preserve"> 0 + CAL!V26 + CAR!V26 + CENT!V26 + FLA!V26 + MIDA!V26 + MIDW!V26 + NE!V26 + NY!V26 + NW!V26 + SE!V26 + SW!V26 + TEN!V26 + TEX!V26</f>
        <v>12.5860292</v>
      </c>
      <c r="W26" s="7">
        <f xml:space="preserve"> 0 + CAL!W26 + CAR!W26 + CENT!W26 + FLA!W26 + MIDA!W26 + MIDW!W26 + NE!W26 + NY!W26 + NW!W26 + SE!W26 + SW!W26 + TEN!W26 + TEX!W26</f>
        <v>12.604783000000001</v>
      </c>
      <c r="X26" s="7">
        <f xml:space="preserve"> 0 + CAL!X26 + CAR!X26 + CENT!X26 + FLA!X26 + MIDA!X26 + MIDW!X26 + NE!X26 + NY!X26 + NW!X26 + SE!X26 + SW!X26 + TEN!X26 + TEX!X26</f>
        <v>12.60900301</v>
      </c>
      <c r="Y26" s="7">
        <f xml:space="preserve"> 0 + CAL!Y26 + CAR!Y26 + CENT!Y26 + FLA!Y26 + MIDA!Y26 + MIDW!Y26 + NE!Y26 + NY!Y26 + NW!Y26 + SE!Y26 + SW!Y26 + TEN!Y26 + TEX!Y26</f>
        <v>12.50132125</v>
      </c>
      <c r="Z26" s="7">
        <f xml:space="preserve"> 0 + CAL!Z26 + CAR!Z26 + CENT!Z26 + FLA!Z26 + MIDA!Z26 + MIDW!Z26 + NE!Z26 + NY!Z26 + NW!Z26 + SE!Z26 + SW!Z26 + TEN!Z26 + TEX!Z26</f>
        <v>12.545200139999999</v>
      </c>
      <c r="AA26" s="7">
        <f xml:space="preserve"> 0 + CAL!AA26 + CAR!AA26 + CENT!AA26 + FLA!AA26 + MIDA!AA26 + MIDW!AA26 + NE!AA26 + NY!AA26 + NW!AA26 + SE!AA26 + SW!AA26 + TEN!AA26 + TEX!AA26</f>
        <v>12.511730239999999</v>
      </c>
      <c r="AB26" s="7">
        <f xml:space="preserve"> 0 + CAL!AB26 + CAR!AB26 + CENT!AB26 + FLA!AB26 + MIDA!AB26 + MIDW!AB26 + NE!AB26 + NY!AB26 + NW!AB26 + SE!AB26 + SW!AB26 + TEN!AB26 + TEX!AB26</f>
        <v>12.509983439999999</v>
      </c>
      <c r="AC26" s="7">
        <f xml:space="preserve"> 0 + CAL!AC26 + CAR!AC26 + CENT!AC26 + FLA!AC26 + MIDA!AC26 + MIDW!AC26 + NE!AC26 + NY!AC26 + NW!AC26 + SE!AC26 + SW!AC26 + TEN!AC26 + TEX!AC26</f>
        <v>12.502932469999999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26.07618244</v>
      </c>
      <c r="E27" s="7">
        <f xml:space="preserve"> 0 + CAL!E27 + CAR!E27 + CENT!E27 + FLA!E27 + MIDA!E27 + MIDW!E27 + NE!E27 + NY!E27 + NW!E27 + SE!E27 + SW!E27 + TEN!E27 + TEX!E27</f>
        <v>25.544819359999998</v>
      </c>
      <c r="F27" s="7">
        <f xml:space="preserve"> 0 + CAL!F27 + CAR!F27 + CENT!F27 + FLA!F27 + MIDA!F27 + MIDW!F27 + NE!F27 + NY!F27 + NW!F27 + SE!F27 + SW!F27 + TEN!F27 + TEX!F27</f>
        <v>25.145411149999997</v>
      </c>
      <c r="G27" s="7">
        <f xml:space="preserve"> 0 + CAL!G27 + CAR!G27 + CENT!G27 + FLA!G27 + MIDA!G27 + MIDW!G27 + NE!G27 + NY!G27 + NW!G27 + SE!G27 + SW!G27 + TEN!G27 + TEX!G27</f>
        <v>24.976616570000001</v>
      </c>
      <c r="H27" s="7">
        <f xml:space="preserve"> 0 + CAL!H27 + CAR!H27 + CENT!H27 + FLA!H27 + MIDA!H27 + MIDW!H27 + NE!H27 + NY!H27 + NW!H27 + SE!H27 + SW!H27 + TEN!H27 + TEX!H27</f>
        <v>24.968852680000005</v>
      </c>
      <c r="I27" s="7">
        <f xml:space="preserve"> 0 + CAL!I27 + CAR!I27 + CENT!I27 + FLA!I27 + MIDA!I27 + MIDW!I27 + NE!I27 + NY!I27 + NW!I27 + SE!I27 + SW!I27 + TEN!I27 + TEX!I27</f>
        <v>24.999688729999995</v>
      </c>
      <c r="J27" s="7">
        <f xml:space="preserve"> 0 + CAL!J27 + CAR!J27 + CENT!J27 + FLA!J27 + MIDA!J27 + MIDW!J27 + NE!J27 + NY!J27 + NW!J27 + SE!J27 + SW!J27 + TEN!J27 + TEX!J27</f>
        <v>25.089821160000003</v>
      </c>
      <c r="K27" s="7">
        <f xml:space="preserve"> 0 + CAL!K27 + CAR!K27 + CENT!K27 + FLA!K27 + MIDA!K27 + MIDW!K27 + NE!K27 + NY!K27 + NW!K27 + SE!K27 + SW!K27 + TEN!K27 + TEX!K27</f>
        <v>25.185194430000003</v>
      </c>
      <c r="L27" s="7">
        <f xml:space="preserve"> 0 + CAL!L27 + CAR!L27 + CENT!L27 + FLA!L27 + MIDA!L27 + MIDW!L27 + NE!L27 + NY!L27 + NW!L27 + SE!L27 + SW!L27 + TEN!L27 + TEX!L27</f>
        <v>25.299798739999996</v>
      </c>
      <c r="M27" s="7">
        <f xml:space="preserve"> 0 + CAL!M27 + CAR!M27 + CENT!M27 + FLA!M27 + MIDA!M27 + MIDW!M27 + NE!M27 + NY!M27 + NW!M27 + SE!M27 + SW!M27 + TEN!M27 + TEX!M27</f>
        <v>25.404887800000001</v>
      </c>
      <c r="N27" s="7">
        <f xml:space="preserve"> 0 + CAL!N27 + CAR!N27 + CENT!N27 + FLA!N27 + MIDA!N27 + MIDW!N27 + NE!N27 + NY!N27 + NW!N27 + SE!N27 + SW!N27 + TEN!N27 + TEX!N27</f>
        <v>25.529838260000005</v>
      </c>
      <c r="O27" s="7">
        <f xml:space="preserve"> 0 + CAL!O27 + CAR!O27 + CENT!O27 + FLA!O27 + MIDA!O27 + MIDW!O27 + NE!O27 + NY!O27 + NW!O27 + SE!O27 + SW!O27 + TEN!O27 + TEX!O27</f>
        <v>25.652824810000002</v>
      </c>
      <c r="P27" s="7">
        <f xml:space="preserve"> 0 + CAL!P27 + CAR!P27 + CENT!P27 + FLA!P27 + MIDA!P27 + MIDW!P27 + NE!P27 + NY!P27 + NW!P27 + SE!P27 + SW!P27 + TEN!P27 + TEX!P27</f>
        <v>25.792005899999996</v>
      </c>
      <c r="Q27" s="7">
        <f xml:space="preserve"> 0 + CAL!Q27 + CAR!Q27 + CENT!Q27 + FLA!Q27 + MIDA!Q27 + MIDW!Q27 + NE!Q27 + NY!Q27 + NW!Q27 + SE!Q27 + SW!Q27 + TEN!Q27 + TEX!Q27</f>
        <v>25.964115190000001</v>
      </c>
      <c r="R27" s="7">
        <f xml:space="preserve"> 0 + CAL!R27 + CAR!R27 + CENT!R27 + FLA!R27 + MIDA!R27 + MIDW!R27 + NE!R27 + NY!R27 + NW!R27 + SE!R27 + SW!R27 + TEN!R27 + TEX!R27</f>
        <v>26.153983439999998</v>
      </c>
      <c r="S27" s="7">
        <f xml:space="preserve"> 0 + CAL!S27 + CAR!S27 + CENT!S27 + FLA!S27 + MIDA!S27 + MIDW!S27 + NE!S27 + NY!S27 + NW!S27 + SE!S27 + SW!S27 + TEN!S27 + TEX!S27</f>
        <v>26.350694279999999</v>
      </c>
      <c r="T27" s="7">
        <f xml:space="preserve"> 0 + CAL!T27 + CAR!T27 + CENT!T27 + FLA!T27 + MIDA!T27 + MIDW!T27 + NE!T27 + NY!T27 + NW!T27 + SE!T27 + SW!T27 + TEN!T27 + TEX!T27</f>
        <v>26.524228709999999</v>
      </c>
      <c r="U27" s="7">
        <f xml:space="preserve"> 0 + CAL!U27 + CAR!U27 + CENT!U27 + FLA!U27 + MIDA!U27 + MIDW!U27 + NE!U27 + NY!U27 + NW!U27 + SE!U27 + SW!U27 + TEN!U27 + TEX!U27</f>
        <v>26.714896090000003</v>
      </c>
      <c r="V27" s="7">
        <f xml:space="preserve"> 0 + CAL!V27 + CAR!V27 + CENT!V27 + FLA!V27 + MIDA!V27 + MIDW!V27 + NE!V27 + NY!V27 + NW!V27 + SE!V27 + SW!V27 + TEN!V27 + TEX!V27</f>
        <v>26.914381929999994</v>
      </c>
      <c r="W27" s="7">
        <f xml:space="preserve"> 0 + CAL!W27 + CAR!W27 + CENT!W27 + FLA!W27 + MIDA!W27 + MIDW!W27 + NE!W27 + NY!W27 + NW!W27 + SE!W27 + SW!W27 + TEN!W27 + TEX!W27</f>
        <v>27.127096869999999</v>
      </c>
      <c r="X27" s="7">
        <f xml:space="preserve"> 0 + CAL!X27 + CAR!X27 + CENT!X27 + FLA!X27 + MIDA!X27 + MIDW!X27 + NE!X27 + NY!X27 + NW!X27 + SE!X27 + SW!X27 + TEN!X27 + TEX!X27</f>
        <v>27.352740170000001</v>
      </c>
      <c r="Y27" s="7">
        <f xml:space="preserve"> 0 + CAL!Y27 + CAR!Y27 + CENT!Y27 + FLA!Y27 + MIDA!Y27 + MIDW!Y27 + NE!Y27 + NY!Y27 + NW!Y27 + SE!Y27 + SW!Y27 + TEN!Y27 + TEX!Y27</f>
        <v>27.595181550000003</v>
      </c>
      <c r="Z27" s="7">
        <f xml:space="preserve"> 0 + CAL!Z27 + CAR!Z27 + CENT!Z27 + FLA!Z27 + MIDA!Z27 + MIDW!Z27 + NE!Z27 + NY!Z27 + NW!Z27 + SE!Z27 + SW!Z27 + TEN!Z27 + TEX!Z27</f>
        <v>27.864925360000004</v>
      </c>
      <c r="AA27" s="7">
        <f xml:space="preserve"> 0 + CAL!AA27 + CAR!AA27 + CENT!AA27 + FLA!AA27 + MIDA!AA27 + MIDW!AA27 + NE!AA27 + NY!AA27 + NW!AA27 + SE!AA27 + SW!AA27 + TEN!AA27 + TEX!AA27</f>
        <v>28.147923930000001</v>
      </c>
      <c r="AB27" s="7">
        <f xml:space="preserve"> 0 + CAL!AB27 + CAR!AB27 + CENT!AB27 + FLA!AB27 + MIDA!AB27 + MIDW!AB27 + NE!AB27 + NY!AB27 + NW!AB27 + SE!AB27 + SW!AB27 + TEN!AB27 + TEX!AB27</f>
        <v>28.452394490000003</v>
      </c>
      <c r="AC27" s="7">
        <f xml:space="preserve"> 0 + CAL!AC27 + CAR!AC27 + CENT!AC27 + FLA!AC27 + MIDA!AC27 + MIDW!AC27 + NE!AC27 + NY!AC27 + NW!AC27 + SE!AC27 + SW!AC27 + TEN!AC27 + TEX!AC27</f>
        <v>28.775639930000001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125095.57165879999</v>
      </c>
      <c r="D28" s="7">
        <f xml:space="preserve"> 0 + CAL!D28 + CAR!D28 + CENT!D28 + FLA!D28 + MIDA!D28 + MIDW!D28 + NE!D28 + NY!D28 + NW!D28 + SE!D28 + SW!D28 + TEN!D28 + TEX!D28</f>
        <v>140707.14707150997</v>
      </c>
      <c r="E28" s="7">
        <f xml:space="preserve"> 0 + CAL!E28 + CAR!E28 + CENT!E28 + FLA!E28 + MIDA!E28 + MIDW!E28 + NE!E28 + NY!E28 + NW!E28 + SE!E28 + SW!E28 + TEN!E28 + TEX!E28</f>
        <v>156309.32832861997</v>
      </c>
      <c r="F28" s="7">
        <f xml:space="preserve"> 0 + CAL!F28 + CAR!F28 + CENT!F28 + FLA!F28 + MIDA!F28 + MIDW!F28 + NE!F28 + NY!F28 + NW!F28 + SE!F28 + SW!F28 + TEN!F28 + TEX!F28</f>
        <v>173039.95792061999</v>
      </c>
      <c r="G28" s="7">
        <f xml:space="preserve"> 0 + CAL!G28 + CAR!G28 + CENT!G28 + FLA!G28 + MIDA!G28 + MIDW!G28 + NE!G28 + NY!G28 + NW!G28 + SE!G28 + SW!G28 + TEN!G28 + TEX!G28</f>
        <v>190592.37379069004</v>
      </c>
      <c r="H28" s="7">
        <f xml:space="preserve"> 0 + CAL!H28 + CAR!H28 + CENT!H28 + FLA!H28 + MIDA!H28 + MIDW!H28 + NE!H28 + NY!H28 + NW!H28 + SE!H28 + SW!H28 + TEN!H28 + TEX!H28</f>
        <v>209014.29295680998</v>
      </c>
      <c r="I28" s="7">
        <f xml:space="preserve"> 0 + CAL!I28 + CAR!I28 + CENT!I28 + FLA!I28 + MIDA!I28 + MIDW!I28 + NE!I28 + NY!I28 + NW!I28 + SE!I28 + SW!I28 + TEN!I28 + TEX!I28</f>
        <v>228100.87040225998</v>
      </c>
      <c r="J28" s="7">
        <f xml:space="preserve"> 0 + CAL!J28 + CAR!J28 + CENT!J28 + FLA!J28 + MIDA!J28 + MIDW!J28 + NE!J28 + NY!J28 + NW!J28 + SE!J28 + SW!J28 + TEN!J28 + TEX!J28</f>
        <v>247556.05352675001</v>
      </c>
      <c r="K28" s="7">
        <f xml:space="preserve"> 0 + CAL!K28 + CAR!K28 + CENT!K28 + FLA!K28 + MIDA!K28 + MIDW!K28 + NE!K28 + NY!K28 + NW!K28 + SE!K28 + SW!K28 + TEN!K28 + TEX!K28</f>
        <v>262981.10894074</v>
      </c>
      <c r="L28" s="7">
        <f xml:space="preserve"> 0 + CAL!L28 + CAR!L28 + CENT!L28 + FLA!L28 + MIDA!L28 + MIDW!L28 + NE!L28 + NY!L28 + NW!L28 + SE!L28 + SW!L28 + TEN!L28 + TEX!L28</f>
        <v>279842.57647656999</v>
      </c>
      <c r="M28" s="7">
        <f xml:space="preserve"> 0 + CAL!M28 + CAR!M28 + CENT!M28 + FLA!M28 + MIDA!M28 + MIDW!M28 + NE!M28 + NY!M28 + NW!M28 + SE!M28 + SW!M28 + TEN!M28 + TEX!M28</f>
        <v>298959.40188108</v>
      </c>
      <c r="N28" s="7">
        <f xml:space="preserve"> 0 + CAL!N28 + CAR!N28 + CENT!N28 + FLA!N28 + MIDA!N28 + MIDW!N28 + NE!N28 + NY!N28 + NW!N28 + SE!N28 + SW!N28 + TEN!N28 + TEX!N28</f>
        <v>317788.60128951992</v>
      </c>
      <c r="O28" s="7">
        <f xml:space="preserve"> 0 + CAL!O28 + CAR!O28 + CENT!O28 + FLA!O28 + MIDA!O28 + MIDW!O28 + NE!O28 + NY!O28 + NW!O28 + SE!O28 + SW!O28 + TEN!O28 + TEX!O28</f>
        <v>338441.87452090991</v>
      </c>
      <c r="P28" s="7">
        <f xml:space="preserve"> 0 + CAL!P28 + CAR!P28 + CENT!P28 + FLA!P28 + MIDA!P28 + MIDW!P28 + NE!P28 + NY!P28 + NW!P28 + SE!P28 + SW!P28 + TEN!P28 + TEX!P28</f>
        <v>359401.55096651998</v>
      </c>
      <c r="Q28" s="7">
        <f xml:space="preserve"> 0 + CAL!Q28 + CAR!Q28 + CENT!Q28 + FLA!Q28 + MIDA!Q28 + MIDW!Q28 + NE!Q28 + NY!Q28 + NW!Q28 + SE!Q28 + SW!Q28 + TEN!Q28 + TEX!Q28</f>
        <v>380014.22714756004</v>
      </c>
      <c r="R28" s="7">
        <f xml:space="preserve"> 0 + CAL!R28 + CAR!R28 + CENT!R28 + FLA!R28 + MIDA!R28 + MIDW!R28 + NE!R28 + NY!R28 + NW!R28 + SE!R28 + SW!R28 + TEN!R28 + TEX!R28</f>
        <v>400951.81702843995</v>
      </c>
      <c r="S28" s="7">
        <f xml:space="preserve"> 0 + CAL!S28 + CAR!S28 + CENT!S28 + FLA!S28 + MIDA!S28 + MIDW!S28 + NE!S28 + NY!S28 + NW!S28 + SE!S28 + SW!S28 + TEN!S28 + TEX!S28</f>
        <v>422160.41834958002</v>
      </c>
      <c r="T28" s="7">
        <f xml:space="preserve"> 0 + CAL!T28 + CAR!T28 + CENT!T28 + FLA!T28 + MIDA!T28 + MIDW!T28 + NE!T28 + NY!T28 + NW!T28 + SE!T28 + SW!T28 + TEN!T28 + TEX!T28</f>
        <v>443702.53422733996</v>
      </c>
      <c r="U28" s="7">
        <f xml:space="preserve"> 0 + CAL!U28 + CAR!U28 + CENT!U28 + FLA!U28 + MIDA!U28 + MIDW!U28 + NE!U28 + NY!U28 + NW!U28 + SE!U28 + SW!U28 + TEN!U28 + TEX!U28</f>
        <v>465353.97054413008</v>
      </c>
      <c r="V28" s="7">
        <f xml:space="preserve"> 0 + CAL!V28 + CAR!V28 + CENT!V28 + FLA!V28 + MIDA!V28 + MIDW!V28 + NE!V28 + NY!V28 + NW!V28 + SE!V28 + SW!V28 + TEN!V28 + TEX!V28</f>
        <v>486882.99842754001</v>
      </c>
      <c r="W28" s="7">
        <f xml:space="preserve"> 0 + CAL!W28 + CAR!W28 + CENT!W28 + FLA!W28 + MIDA!W28 + MIDW!W28 + NE!W28 + NY!W28 + NW!W28 + SE!W28 + SW!W28 + TEN!W28 + TEX!W28</f>
        <v>508832.04854802007</v>
      </c>
      <c r="X28" s="7">
        <f xml:space="preserve"> 0 + CAL!X28 + CAR!X28 + CENT!X28 + FLA!X28 + MIDA!X28 + MIDW!X28 + NE!X28 + NY!X28 + NW!X28 + SE!X28 + SW!X28 + TEN!X28 + TEX!X28</f>
        <v>530641.10342112998</v>
      </c>
      <c r="Y28" s="7">
        <f xml:space="preserve"> 0 + CAL!Y28 + CAR!Y28 + CENT!Y28 + FLA!Y28 + MIDA!Y28 + MIDW!Y28 + NE!Y28 + NY!Y28 + NW!Y28 + SE!Y28 + SW!Y28 + TEN!Y28 + TEX!Y28</f>
        <v>551145.84419455007</v>
      </c>
      <c r="Z28" s="7">
        <f xml:space="preserve"> 0 + CAL!Z28 + CAR!Z28 + CENT!Z28 + FLA!Z28 + MIDA!Z28 + MIDW!Z28 + NE!Z28 + NY!Z28 + NW!Z28 + SE!Z28 + SW!Z28 + TEN!Z28 + TEX!Z28</f>
        <v>570654.39360104001</v>
      </c>
      <c r="AA28" s="7">
        <f xml:space="preserve"> 0 + CAL!AA28 + CAR!AA28 + CENT!AA28 + FLA!AA28 + MIDA!AA28 + MIDW!AA28 + NE!AA28 + NY!AA28 + NW!AA28 + SE!AA28 + SW!AA28 + TEN!AA28 + TEX!AA28</f>
        <v>592423.84738649009</v>
      </c>
      <c r="AB28" s="7">
        <f xml:space="preserve"> 0 + CAL!AB28 + CAR!AB28 + CENT!AB28 + FLA!AB28 + MIDA!AB28 + MIDW!AB28 + NE!AB28 + NY!AB28 + NW!AB28 + SE!AB28 + SW!AB28 + TEN!AB28 + TEX!AB28</f>
        <v>615500.97163565992</v>
      </c>
      <c r="AC28" s="7">
        <f xml:space="preserve"> 0 + CAL!AC28 + CAR!AC28 + CENT!AC28 + FLA!AC28 + MIDA!AC28 + MIDW!AC28 + NE!AC28 + NY!AC28 + NW!AC28 + SE!AC28 + SW!AC28 + TEN!AC28 + TEX!AC28</f>
        <v>638784.87485287013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439392019.2633462</v>
      </c>
      <c r="D29" s="7">
        <f xml:space="preserve"> 0 + CAL!D29 + CAR!D29 + CENT!D29 + FLA!D29 + MIDA!D29 + MIDW!D29 + NE!D29 + NY!D29 + NW!D29 + SE!D29 + SW!D29 + TEN!D29 + TEX!D29</f>
        <v>490176588.85558021</v>
      </c>
      <c r="E29" s="7">
        <f xml:space="preserve"> 0 + CAL!E29 + CAR!E29 + CENT!E29 + FLA!E29 + MIDA!E29 + MIDW!E29 + NE!E29 + NY!E29 + NW!E29 + SE!E29 + SW!E29 + TEN!E29 + TEX!E29</f>
        <v>541264996.04387951</v>
      </c>
      <c r="F29" s="7">
        <f xml:space="preserve"> 0 + CAL!F29 + CAR!F29 + CENT!F29 + FLA!F29 + MIDA!F29 + MIDW!F29 + NE!F29 + NY!F29 + NW!F29 + SE!F29 + SW!F29 + TEN!F29 + TEX!F29</f>
        <v>594067851.16895056</v>
      </c>
      <c r="G29" s="7">
        <f xml:space="preserve"> 0 + CAL!G29 + CAR!G29 + CENT!G29 + FLA!G29 + MIDA!G29 + MIDW!G29 + NE!G29 + NY!G29 + NW!G29 + SE!G29 + SW!G29 + TEN!G29 + TEX!G29</f>
        <v>647271021.25044942</v>
      </c>
      <c r="H29" s="7">
        <f xml:space="preserve"> 0 + CAL!H29 + CAR!H29 + CENT!H29 + FLA!H29 + MIDA!H29 + MIDW!H29 + NE!H29 + NY!H29 + NW!H29 + SE!H29 + SW!H29 + TEN!H29 + TEX!H29</f>
        <v>700577213.19040382</v>
      </c>
      <c r="I29" s="7">
        <f xml:space="preserve"> 0 + CAL!I29 + CAR!I29 + CENT!I29 + FLA!I29 + MIDA!I29 + MIDW!I29 + NE!I29 + NY!I29 + NW!I29 + SE!I29 + SW!I29 + TEN!I29 + TEX!I29</f>
        <v>754224705.0483005</v>
      </c>
      <c r="J29" s="7">
        <f xml:space="preserve"> 0 + CAL!J29 + CAR!J29 + CENT!J29 + FLA!J29 + MIDA!J29 + MIDW!J29 + NE!J29 + NY!J29 + NW!J29 + SE!J29 + SW!J29 + TEN!J29 + TEX!J29</f>
        <v>810689816.85099554</v>
      </c>
      <c r="K29" s="7">
        <f xml:space="preserve"> 0 + CAL!K29 + CAR!K29 + CENT!K29 + FLA!K29 + MIDA!K29 + MIDW!K29 + NE!K29 + NY!K29 + NW!K29 + SE!K29 + SW!K29 + TEN!K29 + TEX!K29</f>
        <v>866828891.82645237</v>
      </c>
      <c r="L29" s="7">
        <f xml:space="preserve"> 0 + CAL!L29 + CAR!L29 + CENT!L29 + FLA!L29 + MIDA!L29 + MIDW!L29 + NE!L29 + NY!L29 + NW!L29 + SE!L29 + SW!L29 + TEN!L29 + TEX!L29</f>
        <v>924610812.38554871</v>
      </c>
      <c r="M29" s="7">
        <f xml:space="preserve"> 0 + CAL!M29 + CAR!M29 + CENT!M29 + FLA!M29 + MIDA!M29 + MIDW!M29 + NE!M29 + NY!M29 + NW!M29 + SE!M29 + SW!M29 + TEN!M29 + TEX!M29</f>
        <v>987123094.60440075</v>
      </c>
      <c r="N29" s="7">
        <f xml:space="preserve"> 0 + CAL!N29 + CAR!N29 + CENT!N29 + FLA!N29 + MIDA!N29 + MIDW!N29 + NE!N29 + NY!N29 + NW!N29 + SE!N29 + SW!N29 + TEN!N29 + TEX!N29</f>
        <v>1048083381.1226751</v>
      </c>
      <c r="O29" s="7">
        <f xml:space="preserve"> 0 + CAL!O29 + CAR!O29 + CENT!O29 + FLA!O29 + MIDA!O29 + MIDW!O29 + NE!O29 + NY!O29 + NW!O29 + SE!O29 + SW!O29 + TEN!O29 + TEX!O29</f>
        <v>1114604799.4713676</v>
      </c>
      <c r="P29" s="7">
        <f xml:space="preserve"> 0 + CAL!P29 + CAR!P29 + CENT!P29 + FLA!P29 + MIDA!P29 + MIDW!P29 + NE!P29 + NY!P29 + NW!P29 + SE!P29 + SW!P29 + TEN!P29 + TEX!P29</f>
        <v>1181574026.4846439</v>
      </c>
      <c r="Q29" s="7">
        <f xml:space="preserve"> 0 + CAL!Q29 + CAR!Q29 + CENT!Q29 + FLA!Q29 + MIDA!Q29 + MIDW!Q29 + NE!Q29 + NY!Q29 + NW!Q29 + SE!Q29 + SW!Q29 + TEN!Q29 + TEX!Q29</f>
        <v>1248174889.711417</v>
      </c>
      <c r="R29" s="7">
        <f xml:space="preserve"> 0 + CAL!R29 + CAR!R29 + CENT!R29 + FLA!R29 + MIDA!R29 + MIDW!R29 + NE!R29 + NY!R29 + NW!R29 + SE!R29 + SW!R29 + TEN!R29 + TEX!R29</f>
        <v>1315409083.852948</v>
      </c>
      <c r="S29" s="7">
        <f xml:space="preserve"> 0 + CAL!S29 + CAR!S29 + CENT!S29 + FLA!S29 + MIDA!S29 + MIDW!S29 + NE!S29 + NY!S29 + NW!S29 + SE!S29 + SW!S29 + TEN!S29 + TEX!S29</f>
        <v>1382918474.278717</v>
      </c>
      <c r="T29" s="7">
        <f xml:space="preserve"> 0 + CAL!T29 + CAR!T29 + CENT!T29 + FLA!T29 + MIDA!T29 + MIDW!T29 + NE!T29 + NY!T29 + NW!T29 + SE!T29 + SW!T29 + TEN!T29 + TEX!T29</f>
        <v>1451713132.0638449</v>
      </c>
      <c r="U29" s="7">
        <f xml:space="preserve"> 0 + CAL!U29 + CAR!U29 + CENT!U29 + FLA!U29 + MIDA!U29 + MIDW!U29 + NE!U29 + NY!U29 + NW!U29 + SE!U29 + SW!U29 + TEN!U29 + TEX!U29</f>
        <v>1519751835.3279467</v>
      </c>
      <c r="V29" s="7">
        <f xml:space="preserve"> 0 + CAL!V29 + CAR!V29 + CENT!V29 + FLA!V29 + MIDA!V29 + MIDW!V29 + NE!V29 + NY!V29 + NW!V29 + SE!V29 + SW!V29 + TEN!V29 + TEX!V29</f>
        <v>1587471201.116966</v>
      </c>
      <c r="W29" s="7">
        <f xml:space="preserve"> 0 + CAL!W29 + CAR!W29 + CENT!W29 + FLA!W29 + MIDA!W29 + MIDW!W29 + NE!W29 + NY!W29 + NW!W29 + SE!W29 + SW!W29 + TEN!W29 + TEX!W29</f>
        <v>1655972261.8874087</v>
      </c>
      <c r="X29" s="7">
        <f xml:space="preserve"> 0 + CAL!X29 + CAR!X29 + CENT!X29 + FLA!X29 + MIDA!X29 + MIDW!X29 + NE!X29 + NY!X29 + NW!X29 + SE!X29 + SW!X29 + TEN!X29 + TEX!X29</f>
        <v>1724003662.5296254</v>
      </c>
      <c r="Y29" s="7">
        <f xml:space="preserve"> 0 + CAL!Y29 + CAR!Y29 + CENT!Y29 + FLA!Y29 + MIDA!Y29 + MIDW!Y29 + NE!Y29 + NY!Y29 + NW!Y29 + SE!Y29 + SW!Y29 + TEN!Y29 + TEX!Y29</f>
        <v>1789860386.3636515</v>
      </c>
      <c r="Z29" s="7">
        <f xml:space="preserve"> 0 + CAL!Z29 + CAR!Z29 + CENT!Z29 + FLA!Z29 + MIDA!Z29 + MIDW!Z29 + NE!Z29 + NY!Z29 + NW!Z29 + SE!Z29 + SW!Z29 + TEN!Z29 + TEX!Z29</f>
        <v>1852601485.942971</v>
      </c>
      <c r="AA29" s="7">
        <f xml:space="preserve"> 0 + CAL!AA29 + CAR!AA29 + CENT!AA29 + FLA!AA29 + MIDA!AA29 + MIDW!AA29 + NE!AA29 + NY!AA29 + NW!AA29 + SE!AA29 + SW!AA29 + TEN!AA29 + TEX!AA29</f>
        <v>1920901540.7965024</v>
      </c>
      <c r="AB29" s="7">
        <f xml:space="preserve"> 0 + CAL!AB29 + CAR!AB29 + CENT!AB29 + FLA!AB29 + MIDA!AB29 + MIDW!AB29 + NE!AB29 + NY!AB29 + NW!AB29 + SE!AB29 + SW!AB29 + TEN!AB29 + TEX!AB29</f>
        <v>1992383517.6879144</v>
      </c>
      <c r="AC29" s="7">
        <f xml:space="preserve"> 0 + CAL!AC29 + CAR!AC29 + CENT!AC29 + FLA!AC29 + MIDA!AC29 + MIDW!AC29 + NE!AC29 + NY!AC29 + NW!AC29 + SE!AC29 + SW!AC29 + TEN!AC29 + TEX!AC29</f>
        <v>2064354013.8639588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439394289.06612015</v>
      </c>
      <c r="D30" s="7">
        <f xml:space="preserve"> 0 + CAL!D30 + CAR!D30 + CENT!D30 + FLA!D30 + MIDA!D30 + MIDW!D30 + NE!D30 + NY!D30 + NW!D30 + SE!D30 + SW!D30 + TEN!D30 + TEX!D30</f>
        <v>490204904.64882523</v>
      </c>
      <c r="E30" s="7">
        <f xml:space="preserve"> 0 + CAL!E30 + CAR!E30 + CENT!E30 + FLA!E30 + MIDA!E30 + MIDW!E30 + NE!E30 + NY!E30 + NW!E30 + SE!E30 + SW!E30 + TEN!E30 + TEX!E30</f>
        <v>541938717.92277765</v>
      </c>
      <c r="F30" s="7">
        <f xml:space="preserve"> 0 + CAL!F30 + CAR!F30 + CENT!F30 + FLA!F30 + MIDA!F30 + MIDW!F30 + NE!F30 + NY!F30 + NW!F30 + SE!F30 + SW!F30 + TEN!F30 + TEX!F30</f>
        <v>597248642.47817862</v>
      </c>
      <c r="G30" s="7">
        <f xml:space="preserve"> 0 + CAL!G30 + CAR!G30 + CENT!G30 + FLA!G30 + MIDA!G30 + MIDW!G30 + NE!G30 + NY!G30 + NW!G30 + SE!G30 + SW!G30 + TEN!G30 + TEX!G30</f>
        <v>655306611.88910961</v>
      </c>
      <c r="H30" s="7">
        <f xml:space="preserve"> 0 + CAL!H30 + CAR!H30 + CENT!H30 + FLA!H30 + MIDA!H30 + MIDW!H30 + NE!H30 + NY!H30 + NW!H30 + SE!H30 + SW!H30 + TEN!H30 + TEX!H30</f>
        <v>716284267.73929369</v>
      </c>
      <c r="I30" s="7">
        <f xml:space="preserve"> 0 + CAL!I30 + CAR!I30 + CENT!I30 + FLA!I30 + MIDA!I30 + MIDW!I30 + NE!I30 + NY!I30 + NW!I30 + SE!I30 + SW!I30 + TEN!I30 + TEX!I30</f>
        <v>779414042.62064409</v>
      </c>
      <c r="J30" s="7">
        <f xml:space="preserve"> 0 + CAL!J30 + CAR!J30 + CENT!J30 + FLA!J30 + MIDA!J30 + MIDW!J30 + NE!J30 + NY!J30 + NW!J30 + SE!J30 + SW!J30 + TEN!J30 + TEX!J30</f>
        <v>843693045.34787214</v>
      </c>
      <c r="K30" s="7">
        <f xml:space="preserve"> 0 + CAL!K30 + CAR!K30 + CENT!K30 + FLA!K30 + MIDA!K30 + MIDW!K30 + NE!K30 + NY!K30 + NW!K30 + SE!K30 + SW!K30 + TEN!K30 + TEX!K30</f>
        <v>892968760.89590704</v>
      </c>
      <c r="L30" s="7">
        <f xml:space="preserve"> 0 + CAL!L30 + CAR!L30 + CENT!L30 + FLA!L30 + MIDA!L30 + MIDW!L30 + NE!L30 + NY!L30 + NW!L30 + SE!L30 + SW!L30 + TEN!L30 + TEX!L30</f>
        <v>947432808.64526641</v>
      </c>
      <c r="M30" s="7">
        <f xml:space="preserve"> 0 + CAL!M30 + CAR!M30 + CENT!M30 + FLA!M30 + MIDA!M30 + MIDW!M30 + NE!M30 + NY!M30 + NW!M30 + SE!M30 + SW!M30 + TEN!M30 + TEX!M30</f>
        <v>1010260198.7512016</v>
      </c>
      <c r="N30" s="7">
        <f xml:space="preserve"> 0 + CAL!N30 + CAR!N30 + CENT!N30 + FLA!N30 + MIDA!N30 + MIDW!N30 + NE!N30 + NY!N30 + NW!N30 + SE!N30 + SW!N30 + TEN!N30 + TEX!N30</f>
        <v>1073156480.7858162</v>
      </c>
      <c r="O30" s="7">
        <f xml:space="preserve"> 0 + CAL!O30 + CAR!O30 + CENT!O30 + FLA!O30 + MIDA!O30 + MIDW!O30 + NE!O30 + NY!O30 + NW!O30 + SE!O30 + SW!O30 + TEN!O30 + TEX!O30</f>
        <v>1141699259.5338445</v>
      </c>
      <c r="P30" s="7">
        <f xml:space="preserve"> 0 + CAL!P30 + CAR!P30 + CENT!P30 + FLA!P30 + MIDA!P30 + MIDW!P30 + NE!P30 + NY!P30 + NW!P30 + SE!P30 + SW!P30 + TEN!P30 + TEX!P30</f>
        <v>1211217492.0043099</v>
      </c>
      <c r="Q30" s="7">
        <f xml:space="preserve"> 0 + CAL!Q30 + CAR!Q30 + CENT!Q30 + FLA!Q30 + MIDA!Q30 + MIDW!Q30 + NE!Q30 + NY!Q30 + NW!Q30 + SE!Q30 + SW!Q30 + TEN!Q30 + TEX!Q30</f>
        <v>1279742784.7381322</v>
      </c>
      <c r="R30" s="7">
        <f xml:space="preserve"> 0 + CAL!R30 + CAR!R30 + CENT!R30 + FLA!R30 + MIDA!R30 + MIDW!R30 + NE!R30 + NY!R30 + NW!R30 + SE!R30 + SW!R30 + TEN!R30 + TEX!R30</f>
        <v>1349326483.5650306</v>
      </c>
      <c r="S30" s="7">
        <f xml:space="preserve"> 0 + CAL!S30 + CAR!S30 + CENT!S30 + FLA!S30 + MIDA!S30 + MIDW!S30 + NE!S30 + NY!S30 + NW!S30 + SE!S30 + SW!S30 + TEN!S30 + TEX!S30</f>
        <v>1419798816.5686736</v>
      </c>
      <c r="T30" s="7">
        <f xml:space="preserve"> 0 + CAL!T30 + CAR!T30 + CENT!T30 + FLA!T30 + MIDA!T30 + MIDW!T30 + NE!T30 + NY!T30 + NW!T30 + SE!T30 + SW!T30 + TEN!T30 + TEX!T30</f>
        <v>1491361744.1207745</v>
      </c>
      <c r="U30" s="7">
        <f xml:space="preserve"> 0 + CAL!U30 + CAR!U30 + CENT!U30 + FLA!U30 + MIDA!U30 + MIDW!U30 + NE!U30 + NY!U30 + NW!U30 + SE!U30 + SW!U30 + TEN!U30 + TEX!U30</f>
        <v>1563291264.5426302</v>
      </c>
      <c r="V30" s="7">
        <f xml:space="preserve"> 0 + CAL!V30 + CAR!V30 + CENT!V30 + FLA!V30 + MIDA!V30 + MIDW!V30 + NE!V30 + NY!V30 + NW!V30 + SE!V30 + SW!V30 + TEN!V30 + TEX!V30</f>
        <v>1635201526.4738402</v>
      </c>
      <c r="W30" s="7">
        <f xml:space="preserve"> 0 + CAL!W30 + CAR!W30 + CENT!W30 + FLA!W30 + MIDA!W30 + MIDW!W30 + NE!W30 + NY!W30 + NW!W30 + SE!W30 + SW!W30 + TEN!W30 + TEX!W30</f>
        <v>1708601116.1414623</v>
      </c>
      <c r="X30" s="7">
        <f xml:space="preserve"> 0 + CAL!X30 + CAR!X30 + CENT!X30 + FLA!X30 + MIDA!X30 + MIDW!X30 + NE!X30 + NY!X30 + NW!X30 + SE!X30 + SW!X30 + TEN!X30 + TEX!X30</f>
        <v>1780702149.8828835</v>
      </c>
      <c r="Y30" s="7">
        <f xml:space="preserve"> 0 + CAL!Y30 + CAR!Y30 + CENT!Y30 + FLA!Y30 + MIDA!Y30 + MIDW!Y30 + NE!Y30 + NY!Y30 + NW!Y30 + SE!Y30 + SW!Y30 + TEN!Y30 + TEX!Y30</f>
        <v>1848042264.555552</v>
      </c>
      <c r="Z30" s="7">
        <f xml:space="preserve"> 0 + CAL!Z30 + CAR!Z30 + CENT!Z30 + FLA!Z30 + MIDA!Z30 + MIDW!Z30 + NE!Z30 + NY!Z30 + NW!Z30 + SE!Z30 + SW!Z30 + TEN!Z30 + TEX!Z30</f>
        <v>1909826800.2571542</v>
      </c>
      <c r="AA30" s="7">
        <f xml:space="preserve"> 0 + CAL!AA30 + CAR!AA30 + CENT!AA30 + FLA!AA30 + MIDA!AA30 + MIDW!AA30 + NE!AA30 + NY!AA30 + NW!AA30 + SE!AA30 + SW!AA30 + TEN!AA30 + TEX!AA30</f>
        <v>1980913429.0283794</v>
      </c>
      <c r="AB30" s="7">
        <f xml:space="preserve"> 0 + CAL!AB30 + CAR!AB30 + CENT!AB30 + FLA!AB30 + MIDA!AB30 + MIDW!AB30 + NE!AB30 + NY!AB30 + NW!AB30 + SE!AB30 + SW!AB30 + TEN!AB30 + TEX!AB30</f>
        <v>2056439344.2395945</v>
      </c>
      <c r="AC30" s="7">
        <f xml:space="preserve"> 0 + CAL!AC30 + CAR!AC30 + CENT!AC30 + FLA!AC30 + MIDA!AC30 + MIDW!AC30 + NE!AC30 + NY!AC30 + NW!AC30 + SE!AC30 + SW!AC30 + TEN!AC30 + TEX!AC30</f>
        <v>2132552905.4617105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37837.175719040002</v>
      </c>
      <c r="D31" s="7">
        <f xml:space="preserve"> 0 + CAL!D31 + CAR!D31 + CENT!D31 + FLA!D31 + MIDA!D31 + MIDW!D31 + NE!D31 + NY!D31 + NW!D31 + SE!D31 + SW!D31 + TEN!D31 + TEX!D31</f>
        <v>42559.14880178</v>
      </c>
      <c r="E31" s="7">
        <f xml:space="preserve"> 0 + CAL!E31 + CAR!E31 + CENT!E31 + FLA!E31 + MIDA!E31 + MIDW!E31 + NE!E31 + NY!E31 + NW!E31 + SE!E31 + SW!E31 + TEN!E31 + TEX!E31</f>
        <v>47278.280470439997</v>
      </c>
      <c r="F31" s="7">
        <f xml:space="preserve"> 0 + CAL!F31 + CAR!F31 + CENT!F31 + FLA!F31 + MIDA!F31 + MIDW!F31 + NE!F31 + NY!F31 + NW!F31 + SE!F31 + SW!F31 + TEN!F31 + TEX!F31</f>
        <v>52338.729560430009</v>
      </c>
      <c r="G31" s="7">
        <f xml:space="preserve"> 0 + CAL!G31 + CAR!G31 + CENT!G31 + FLA!G31 + MIDA!G31 + MIDW!G31 + NE!G31 + NY!G31 + NW!G31 + SE!G31 + SW!G31 + TEN!G31 + TEX!G31</f>
        <v>57647.741180589997</v>
      </c>
      <c r="H31" s="7">
        <f xml:space="preserve"> 0 + CAL!H31 + CAR!H31 + CENT!H31 + FLA!H31 + MIDA!H31 + MIDW!H31 + NE!H31 + NY!H31 + NW!H31 + SE!H31 + SW!H31 + TEN!H31 + TEX!H31</f>
        <v>63219.748113590002</v>
      </c>
      <c r="I31" s="7">
        <f xml:space="preserve"> 0 + CAL!I31 + CAR!I31 + CENT!I31 + FLA!I31 + MIDA!I31 + MIDW!I31 + NE!I31 + NY!I31 + NW!I31 + SE!I31 + SW!I31 + TEN!I31 + TEX!I31</f>
        <v>68992.791676239998</v>
      </c>
      <c r="J31" s="7">
        <f xml:space="preserve"> 0 + CAL!J31 + CAR!J31 + CENT!J31 + FLA!J31 + MIDA!J31 + MIDW!J31 + NE!J31 + NY!J31 + NW!J31 + SE!J31 + SW!J31 + TEN!J31 + TEX!J31</f>
        <v>74877.325978810011</v>
      </c>
      <c r="K31" s="7">
        <f xml:space="preserve"> 0 + CAL!K31 + CAR!K31 + CENT!K31 + FLA!K31 + MIDA!K31 + MIDW!K31 + NE!K31 + NY!K31 + NW!K31 + SE!K31 + SW!K31 + TEN!K31 + TEX!K31</f>
        <v>79542.883075939986</v>
      </c>
      <c r="L31" s="7">
        <f xml:space="preserve"> 0 + CAL!L31 + CAR!L31 + CENT!L31 + FLA!L31 + MIDA!L31 + MIDW!L31 + NE!L31 + NY!L31 + NW!L31 + SE!L31 + SW!L31 + TEN!L31 + TEX!L31</f>
        <v>84642.906214850009</v>
      </c>
      <c r="M31" s="7">
        <f xml:space="preserve"> 0 + CAL!M31 + CAR!M31 + CENT!M31 + FLA!M31 + MIDA!M31 + MIDW!M31 + NE!M31 + NY!M31 + NW!M31 + SE!M31 + SW!M31 + TEN!M31 + TEX!M31</f>
        <v>90425.098761180008</v>
      </c>
      <c r="N31" s="7">
        <f xml:space="preserve"> 0 + CAL!N31 + CAR!N31 + CENT!N31 + FLA!N31 + MIDA!N31 + MIDW!N31 + NE!N31 + NY!N31 + NW!N31 + SE!N31 + SW!N31 + TEN!N31 + TEX!N31</f>
        <v>96120.294180279991</v>
      </c>
      <c r="O31" s="7">
        <f xml:space="preserve"> 0 + CAL!O31 + CAR!O31 + CENT!O31 + FLA!O31 + MIDA!O31 + MIDW!O31 + NE!O31 + NY!O31 + NW!O31 + SE!O31 + SW!O31 + TEN!O31 + TEX!O31</f>
        <v>102367.21018273001</v>
      </c>
      <c r="P31" s="7">
        <f xml:space="preserve"> 0 + CAL!P31 + CAR!P31 + CENT!P31 + FLA!P31 + MIDA!P31 + MIDW!P31 + NE!P31 + NY!P31 + NW!P31 + SE!P31 + SW!P31 + TEN!P31 + TEX!P31</f>
        <v>108706.80278519001</v>
      </c>
      <c r="Q31" s="7">
        <f xml:space="preserve"> 0 + CAL!Q31 + CAR!Q31 + CENT!Q31 + FLA!Q31 + MIDA!Q31 + MIDW!Q31 + NE!Q31 + NY!Q31 + NW!Q31 + SE!Q31 + SW!Q31 + TEN!Q31 + TEX!Q31</f>
        <v>114941.43955415</v>
      </c>
      <c r="R31" s="7">
        <f xml:space="preserve"> 0 + CAL!R31 + CAR!R31 + CENT!R31 + FLA!R31 + MIDA!R31 + MIDW!R31 + NE!R31 + NY!R31 + NW!R31 + SE!R31 + SW!R31 + TEN!R31 + TEX!R31</f>
        <v>121274.35171845002</v>
      </c>
      <c r="S31" s="7">
        <f xml:space="preserve"> 0 + CAL!S31 + CAR!S31 + CENT!S31 + FLA!S31 + MIDA!S31 + MIDW!S31 + NE!S31 + NY!S31 + NW!S31 + SE!S31 + SW!S31 + TEN!S31 + TEX!S31</f>
        <v>127689.23566919001</v>
      </c>
      <c r="T31" s="7">
        <f xml:space="preserve"> 0 + CAL!T31 + CAR!T31 + CENT!T31 + FLA!T31 + MIDA!T31 + MIDW!T31 + NE!T31 + NY!T31 + NW!T31 + SE!T31 + SW!T31 + TEN!T31 + TEX!T31</f>
        <v>134204.99648325</v>
      </c>
      <c r="U31" s="7">
        <f xml:space="preserve"> 0 + CAL!U31 + CAR!U31 + CENT!U31 + FLA!U31 + MIDA!U31 + MIDW!U31 + NE!U31 + NY!U31 + NW!U31 + SE!U31 + SW!U31 + TEN!U31 + TEX!U31</f>
        <v>140753.82302942002</v>
      </c>
      <c r="V31" s="7">
        <f xml:space="preserve"> 0 + CAL!V31 + CAR!V31 + CENT!V31 + FLA!V31 + MIDA!V31 + MIDW!V31 + NE!V31 + NY!V31 + NW!V31 + SE!V31 + SW!V31 + TEN!V31 + TEX!V31</f>
        <v>147265.62516823999</v>
      </c>
      <c r="W31" s="7">
        <f xml:space="preserve"> 0 + CAL!W31 + CAR!W31 + CENT!W31 + FLA!W31 + MIDA!W31 + MIDW!W31 + NE!W31 + NY!W31 + NW!W31 + SE!W31 + SW!W31 + TEN!W31 + TEX!W31</f>
        <v>153904.46981528</v>
      </c>
      <c r="X31" s="7">
        <f xml:space="preserve"> 0 + CAL!X31 + CAR!X31 + CENT!X31 + FLA!X31 + MIDA!X31 + MIDW!X31 + NE!X31 + NY!X31 + NW!X31 + SE!X31 + SW!X31 + TEN!X31 + TEX!X31</f>
        <v>160500.97063907</v>
      </c>
      <c r="Y31" s="7">
        <f xml:space="preserve"> 0 + CAL!Y31 + CAR!Y31 + CENT!Y31 + FLA!Y31 + MIDA!Y31 + MIDW!Y31 + NE!Y31 + NY!Y31 + NW!Y31 + SE!Y31 + SW!Y31 + TEN!Y31 + TEX!Y31</f>
        <v>166702.96060107002</v>
      </c>
      <c r="Z31" s="7">
        <f xml:space="preserve"> 0 + CAL!Z31 + CAR!Z31 + CENT!Z31 + FLA!Z31 + MIDA!Z31 + MIDW!Z31 + NE!Z31 + NY!Z31 + NW!Z31 + SE!Z31 + SW!Z31 + TEN!Z31 + TEX!Z31</f>
        <v>172603.63639738999</v>
      </c>
      <c r="AA31" s="7">
        <f xml:space="preserve"> 0 + CAL!AA31 + CAR!AA31 + CENT!AA31 + FLA!AA31 + MIDA!AA31 + MIDW!AA31 + NE!AA31 + NY!AA31 + NW!AA31 + SE!AA31 + SW!AA31 + TEN!AA31 + TEX!AA31</f>
        <v>179188.15923270999</v>
      </c>
      <c r="AB31" s="7">
        <f xml:space="preserve"> 0 + CAL!AB31 + CAR!AB31 + CENT!AB31 + FLA!AB31 + MIDA!AB31 + MIDW!AB31 + NE!AB31 + NY!AB31 + NW!AB31 + SE!AB31 + SW!AB31 + TEN!AB31 + TEX!AB31</f>
        <v>186168.20811637997</v>
      </c>
      <c r="AC31" s="7">
        <f xml:space="preserve"> 0 + CAL!AC31 + CAR!AC31 + CENT!AC31 + FLA!AC31 + MIDA!AC31 + MIDW!AC31 + NE!AC31 + NY!AC31 + NW!AC31 + SE!AC31 + SW!AC31 + TEN!AC31 + TEX!AC31</f>
        <v>193210.80063801998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351.51543125000001</v>
      </c>
      <c r="D32" s="7">
        <f xml:space="preserve"> 0 + CAL!D32 + CAR!D32 + CENT!D32 + FLA!D32 + MIDA!D32 + MIDW!D32 + NE!D32 + NY!D32 + NW!D32 + SE!D32 + SW!D32 + TEN!D32 + TEX!D32</f>
        <v>392.16392373000008</v>
      </c>
      <c r="E32" s="7">
        <f xml:space="preserve"> 0 + CAL!E32 + CAR!E32 + CENT!E32 + FLA!E32 + MIDA!E32 + MIDW!E32 + NE!E32 + NY!E32 + NW!E32 + SE!E32 + SW!E32 + TEN!E32 + TEX!E32</f>
        <v>433.55097432999997</v>
      </c>
      <c r="F32" s="7">
        <f xml:space="preserve"> 0 + CAL!F32 + CAR!F32 + CENT!F32 + FLA!F32 + MIDA!F32 + MIDW!F32 + NE!F32 + NY!F32 + NW!F32 + SE!F32 + SW!F32 + TEN!F32 + TEX!F32</f>
        <v>477.79891397000006</v>
      </c>
      <c r="G32" s="7">
        <f xml:space="preserve"> 0 + CAL!G32 + CAR!G32 + CENT!G32 + FLA!G32 + MIDA!G32 + MIDW!G32 + NE!G32 + NY!G32 + NW!G32 + SE!G32 + SW!G32 + TEN!G32 + TEX!G32</f>
        <v>524.24528952000003</v>
      </c>
      <c r="H32" s="7">
        <f xml:space="preserve"> 0 + CAL!H32 + CAR!H32 + CENT!H32 + FLA!H32 + MIDA!H32 + MIDW!H32 + NE!H32 + NY!H32 + NW!H32 + SE!H32 + SW!H32 + TEN!H32 + TEX!H32</f>
        <v>573.02741418999994</v>
      </c>
      <c r="I32" s="7">
        <f xml:space="preserve"> 0 + CAL!I32 + CAR!I32 + CENT!I32 + FLA!I32 + MIDA!I32 + MIDW!I32 + NE!I32 + NY!I32 + NW!I32 + SE!I32 + SW!I32 + TEN!I32 + TEX!I32</f>
        <v>623.53123410000001</v>
      </c>
      <c r="J32" s="7">
        <f xml:space="preserve"> 0 + CAL!J32 + CAR!J32 + CENT!J32 + FLA!J32 + MIDA!J32 + MIDW!J32 + NE!J32 + NY!J32 + NW!J32 + SE!J32 + SW!J32 + TEN!J32 + TEX!J32</f>
        <v>674.95443628999988</v>
      </c>
      <c r="K32" s="7">
        <f xml:space="preserve"> 0 + CAL!K32 + CAR!K32 + CENT!K32 + FLA!K32 + MIDA!K32 + MIDW!K32 + NE!K32 + NY!K32 + NW!K32 + SE!K32 + SW!K32 + TEN!K32 + TEX!K32</f>
        <v>714.37500872999999</v>
      </c>
      <c r="L32" s="7">
        <f xml:space="preserve"> 0 + CAL!L32 + CAR!L32 + CENT!L32 + FLA!L32 + MIDA!L32 + MIDW!L32 + NE!L32 + NY!L32 + NW!L32 + SE!L32 + SW!L32 + TEN!L32 + TEX!L32</f>
        <v>757.94624692999992</v>
      </c>
      <c r="M32" s="7">
        <f xml:space="preserve"> 0 + CAL!M32 + CAR!M32 + CENT!M32 + FLA!M32 + MIDA!M32 + MIDW!M32 + NE!M32 + NY!M32 + NW!M32 + SE!M32 + SW!M32 + TEN!M32 + TEX!M32</f>
        <v>808.20815900000002</v>
      </c>
      <c r="N32" s="7">
        <f xml:space="preserve"> 0 + CAL!N32 + CAR!N32 + CENT!N32 + FLA!N32 + MIDA!N32 + MIDW!N32 + NE!N32 + NY!N32 + NW!N32 + SE!N32 + SW!N32 + TEN!N32 + TEX!N32</f>
        <v>858.52518463000001</v>
      </c>
      <c r="O32" s="7">
        <f xml:space="preserve"> 0 + CAL!O32 + CAR!O32 + CENT!O32 + FLA!O32 + MIDA!O32 + MIDW!O32 + NE!O32 + NY!O32 + NW!O32 + SE!O32 + SW!O32 + TEN!O32 + TEX!O32</f>
        <v>913.35940762000007</v>
      </c>
      <c r="P32" s="7">
        <f xml:space="preserve"> 0 + CAL!P32 + CAR!P32 + CENT!P32 + FLA!P32 + MIDA!P32 + MIDW!P32 + NE!P32 + NY!P32 + NW!P32 + SE!P32 + SW!P32 + TEN!P32 + TEX!P32</f>
        <v>968.97399359999997</v>
      </c>
      <c r="Q32" s="7">
        <f xml:space="preserve"> 0 + CAL!Q32 + CAR!Q32 + CENT!Q32 + FLA!Q32 + MIDA!Q32 + MIDW!Q32 + NE!Q32 + NY!Q32 + NW!Q32 + SE!Q32 + SW!Q32 + TEN!Q32 + TEX!Q32</f>
        <v>1023.7942277999999</v>
      </c>
      <c r="R32" s="7">
        <f xml:space="preserve"> 0 + CAL!R32 + CAR!R32 + CENT!R32 + FLA!R32 + MIDA!R32 + MIDW!R32 + NE!R32 + NY!R32 + NW!R32 + SE!R32 + SW!R32 + TEN!R32 + TEX!R32</f>
        <v>1079.46118686</v>
      </c>
      <c r="S32" s="7">
        <f xml:space="preserve"> 0 + CAL!S32 + CAR!S32 + CENT!S32 + FLA!S32 + MIDA!S32 + MIDW!S32 + NE!S32 + NY!S32 + NW!S32 + SE!S32 + SW!S32 + TEN!S32 + TEX!S32</f>
        <v>1135.8390532499998</v>
      </c>
      <c r="T32" s="7">
        <f xml:space="preserve"> 0 + CAL!T32 + CAR!T32 + CENT!T32 + FLA!T32 + MIDA!T32 + MIDW!T32 + NE!T32 + NY!T32 + NW!T32 + SE!T32 + SW!T32 + TEN!T32 + TEX!T32</f>
        <v>1193.0893953000002</v>
      </c>
      <c r="U32" s="7">
        <f xml:space="preserve"> 0 + CAL!U32 + CAR!U32 + CENT!U32 + FLA!U32 + MIDA!U32 + MIDW!U32 + NE!U32 + NY!U32 + NW!U32 + SE!U32 + SW!U32 + TEN!U32 + TEX!U32</f>
        <v>1250.6330116399999</v>
      </c>
      <c r="V32" s="7">
        <f xml:space="preserve"> 0 + CAL!V32 + CAR!V32 + CENT!V32 + FLA!V32 + MIDA!V32 + MIDW!V32 + NE!V32 + NY!V32 + NW!V32 + SE!V32 + SW!V32 + TEN!V32 + TEX!V32</f>
        <v>1308.1612211800002</v>
      </c>
      <c r="W32" s="7">
        <f xml:space="preserve"> 0 + CAL!W32 + CAR!W32 + CENT!W32 + FLA!W32 + MIDA!W32 + MIDW!W32 + NE!W32 + NY!W32 + NW!W32 + SE!W32 + SW!W32 + TEN!W32 + TEX!W32</f>
        <v>1366.8808929300001</v>
      </c>
      <c r="X32" s="7">
        <f xml:space="preserve"> 0 + CAL!X32 + CAR!X32 + CENT!X32 + FLA!X32 + MIDA!X32 + MIDW!X32 + NE!X32 + NY!X32 + NW!X32 + SE!X32 + SW!X32 + TEN!X32 + TEX!X32</f>
        <v>1424.56171991</v>
      </c>
      <c r="Y32" s="7">
        <f xml:space="preserve"> 0 + CAL!Y32 + CAR!Y32 + CENT!Y32 + FLA!Y32 + MIDA!Y32 + MIDW!Y32 + NE!Y32 + NY!Y32 + NW!Y32 + SE!Y32 + SW!Y32 + TEN!Y32 + TEX!Y32</f>
        <v>1478.4338116500001</v>
      </c>
      <c r="Z32" s="7">
        <f xml:space="preserve"> 0 + CAL!Z32 + CAR!Z32 + CENT!Z32 + FLA!Z32 + MIDA!Z32 + MIDW!Z32 + NE!Z32 + NY!Z32 + NW!Z32 + SE!Z32 + SW!Z32 + TEN!Z32 + TEX!Z32</f>
        <v>1527.8614402000001</v>
      </c>
      <c r="AA32" s="7">
        <f xml:space="preserve"> 0 + CAL!AA32 + CAR!AA32 + CENT!AA32 + FLA!AA32 + MIDA!AA32 + MIDW!AA32 + NE!AA32 + NY!AA32 + NW!AA32 + SE!AA32 + SW!AA32 + TEN!AA32 + TEX!AA32</f>
        <v>1584.7307432100001</v>
      </c>
      <c r="AB32" s="7">
        <f xml:space="preserve"> 0 + CAL!AB32 + CAR!AB32 + CENT!AB32 + FLA!AB32 + MIDA!AB32 + MIDW!AB32 + NE!AB32 + NY!AB32 + NW!AB32 + SE!AB32 + SW!AB32 + TEN!AB32 + TEX!AB32</f>
        <v>1645.1514753899999</v>
      </c>
      <c r="AC32" s="7">
        <f xml:space="preserve"> 0 + CAL!AC32 + CAR!AC32 + CENT!AC32 + FLA!AC32 + MIDA!AC32 + MIDW!AC32 + NE!AC32 + NY!AC32 + NW!AC32 + SE!AC32 + SW!AC32 + TEN!AC32 + TEX!AC32</f>
        <v>1706.0423243600001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1.7575771499999999</v>
      </c>
      <c r="D33" s="7">
        <f xml:space="preserve"> 0 + CAL!D33 + CAR!D33 + CENT!D33 + FLA!D33 + MIDA!D33 + MIDW!D33 + NE!D33 + NY!D33 + NW!D33 + SE!D33 + SW!D33 + TEN!D33 + TEX!D33</f>
        <v>1.9608196099999999</v>
      </c>
      <c r="E33" s="7">
        <f xml:space="preserve"> 0 + CAL!E33 + CAR!E33 + CENT!E33 + FLA!E33 + MIDA!E33 + MIDW!E33 + NE!E33 + NY!E33 + NW!E33 + SE!E33 + SW!E33 + TEN!E33 + TEX!E33</f>
        <v>2.1677548600000005</v>
      </c>
      <c r="F33" s="7">
        <f xml:space="preserve"> 0 + CAL!F33 + CAR!F33 + CENT!F33 + FLA!F33 + MIDA!F33 + MIDW!F33 + NE!F33 + NY!F33 + NW!F33 + SE!F33 + SW!F33 + TEN!F33 + TEX!F33</f>
        <v>2.3889945799999999</v>
      </c>
      <c r="G33" s="7">
        <f xml:space="preserve"> 0 + CAL!G33 + CAR!G33 + CENT!G33 + FLA!G33 + MIDA!G33 + MIDW!G33 + NE!G33 + NY!G33 + NW!G33 + SE!G33 + SW!G33 + TEN!G33 + TEX!G33</f>
        <v>2.62122645</v>
      </c>
      <c r="H33" s="7">
        <f xml:space="preserve"> 0 + CAL!H33 + CAR!H33 + CENT!H33 + FLA!H33 + MIDA!H33 + MIDW!H33 + NE!H33 + NY!H33 + NW!H33 + SE!H33 + SW!H33 + TEN!H33 + TEX!H33</f>
        <v>2.8651370599999999</v>
      </c>
      <c r="I33" s="7">
        <f xml:space="preserve"> 0 + CAL!I33 + CAR!I33 + CENT!I33 + FLA!I33 + MIDA!I33 + MIDW!I33 + NE!I33 + NY!I33 + NW!I33 + SE!I33 + SW!I33 + TEN!I33 + TEX!I33</f>
        <v>3.1176561700000001</v>
      </c>
      <c r="J33" s="7">
        <f xml:space="preserve"> 0 + CAL!J33 + CAR!J33 + CENT!J33 + FLA!J33 + MIDA!J33 + MIDW!J33 + NE!J33 + NY!J33 + NW!J33 + SE!J33 + SW!J33 + TEN!J33 + TEX!J33</f>
        <v>3.374772179999999</v>
      </c>
      <c r="K33" s="7">
        <f xml:space="preserve"> 0 + CAL!K33 + CAR!K33 + CENT!K33 + FLA!K33 + MIDA!K33 + MIDW!K33 + NE!K33 + NY!K33 + NW!K33 + SE!K33 + SW!K33 + TEN!K33 + TEX!K33</f>
        <v>3.5718750600000004</v>
      </c>
      <c r="L33" s="7">
        <f xml:space="preserve"> 0 + CAL!L33 + CAR!L33 + CENT!L33 + FLA!L33 + MIDA!L33 + MIDW!L33 + NE!L33 + NY!L33 + NW!L33 + SE!L33 + SW!L33 + TEN!L33 + TEX!L33</f>
        <v>3.7897312200000002</v>
      </c>
      <c r="M33" s="7">
        <f xml:space="preserve"> 0 + CAL!M33 + CAR!M33 + CENT!M33 + FLA!M33 + MIDA!M33 + MIDW!M33 + NE!M33 + NY!M33 + NW!M33 + SE!M33 + SW!M33 + TEN!M33 + TEX!M33</f>
        <v>4.0410407999999993</v>
      </c>
      <c r="N33" s="7">
        <f xml:space="preserve"> 0 + CAL!N33 + CAR!N33 + CENT!N33 + FLA!N33 + MIDA!N33 + MIDW!N33 + NE!N33 + NY!N33 + NW!N33 + SE!N33 + SW!N33 + TEN!N33 + TEX!N33</f>
        <v>4.2926259300000007</v>
      </c>
      <c r="O33" s="7">
        <f xml:space="preserve"> 0 + CAL!O33 + CAR!O33 + CENT!O33 + FLA!O33 + MIDA!O33 + MIDW!O33 + NE!O33 + NY!O33 + NW!O33 + SE!O33 + SW!O33 + TEN!O33 + TEX!O33</f>
        <v>4.56679704</v>
      </c>
      <c r="P33" s="7">
        <f xml:space="preserve"> 0 + CAL!P33 + CAR!P33 + CENT!P33 + FLA!P33 + MIDA!P33 + MIDW!P33 + NE!P33 + NY!P33 + NW!P33 + SE!P33 + SW!P33 + TEN!P33 + TEX!P33</f>
        <v>4.8448699700000013</v>
      </c>
      <c r="Q33" s="7">
        <f xml:space="preserve"> 0 + CAL!Q33 + CAR!Q33 + CENT!Q33 + FLA!Q33 + MIDA!Q33 + MIDW!Q33 + NE!Q33 + NY!Q33 + NW!Q33 + SE!Q33 + SW!Q33 + TEN!Q33 + TEX!Q33</f>
        <v>5.118971150000001</v>
      </c>
      <c r="R33" s="7">
        <f xml:space="preserve"> 0 + CAL!R33 + CAR!R33 + CENT!R33 + FLA!R33 + MIDA!R33 + MIDW!R33 + NE!R33 + NY!R33 + NW!R33 + SE!R33 + SW!R33 + TEN!R33 + TEX!R33</f>
        <v>5.3973059299999999</v>
      </c>
      <c r="S33" s="7">
        <f xml:space="preserve"> 0 + CAL!S33 + CAR!S33 + CENT!S33 + FLA!S33 + MIDA!S33 + MIDW!S33 + NE!S33 + NY!S33 + NW!S33 + SE!S33 + SW!S33 + TEN!S33 + TEX!S33</f>
        <v>5.6791952700000001</v>
      </c>
      <c r="T33" s="7">
        <f xml:space="preserve"> 0 + CAL!T33 + CAR!T33 + CENT!T33 + FLA!T33 + MIDA!T33 + MIDW!T33 + NE!T33 + NY!T33 + NW!T33 + SE!T33 + SW!T33 + TEN!T33 + TEX!T33</f>
        <v>5.9654469699999995</v>
      </c>
      <c r="U33" s="7">
        <f xml:space="preserve"> 0 + CAL!U33 + CAR!U33 + CENT!U33 + FLA!U33 + MIDA!U33 + MIDW!U33 + NE!U33 + NY!U33 + NW!U33 + SE!U33 + SW!U33 + TEN!U33 + TEX!U33</f>
        <v>6.2531650700000005</v>
      </c>
      <c r="V33" s="7">
        <f xml:space="preserve"> 0 + CAL!V33 + CAR!V33 + CENT!V33 + FLA!V33 + MIDA!V33 + MIDW!V33 + NE!V33 + NY!V33 + NW!V33 + SE!V33 + SW!V33 + TEN!V33 + TEX!V33</f>
        <v>6.5408060999999993</v>
      </c>
      <c r="W33" s="7">
        <f xml:space="preserve"> 0 + CAL!W33 + CAR!W33 + CENT!W33 + FLA!W33 + MIDA!W33 + MIDW!W33 + NE!W33 + NY!W33 + NW!W33 + SE!W33 + SW!W33 + TEN!W33 + TEX!W33</f>
        <v>6.8344044699999991</v>
      </c>
      <c r="X33" s="7">
        <f xml:space="preserve"> 0 + CAL!X33 + CAR!X33 + CENT!X33 + FLA!X33 + MIDA!X33 + MIDW!X33 + NE!X33 + NY!X33 + NW!X33 + SE!X33 + SW!X33 + TEN!X33 + TEX!X33</f>
        <v>7.1228085999999999</v>
      </c>
      <c r="Y33" s="7">
        <f xml:space="preserve"> 0 + CAL!Y33 + CAR!Y33 + CENT!Y33 + FLA!Y33 + MIDA!Y33 + MIDW!Y33 + NE!Y33 + NY!Y33 + NW!Y33 + SE!Y33 + SW!Y33 + TEN!Y33 + TEX!Y33</f>
        <v>7.3921690600000014</v>
      </c>
      <c r="Z33" s="7">
        <f xml:space="preserve"> 0 + CAL!Z33 + CAR!Z33 + CENT!Z33 + FLA!Z33 + MIDA!Z33 + MIDW!Z33 + NE!Z33 + NY!Z33 + NW!Z33 + SE!Z33 + SW!Z33 + TEN!Z33 + TEX!Z33</f>
        <v>7.6393072000000002</v>
      </c>
      <c r="AA33" s="7">
        <f xml:space="preserve"> 0 + CAL!AA33 + CAR!AA33 + CENT!AA33 + FLA!AA33 + MIDA!AA33 + MIDW!AA33 + NE!AA33 + NY!AA33 + NW!AA33 + SE!AA33 + SW!AA33 + TEN!AA33 + TEX!AA33</f>
        <v>7.92365371</v>
      </c>
      <c r="AB33" s="7">
        <f xml:space="preserve"> 0 + CAL!AB33 + CAR!AB33 + CENT!AB33 + FLA!AB33 + MIDA!AB33 + MIDW!AB33 + NE!AB33 + NY!AB33 + NW!AB33 + SE!AB33 + SW!AB33 + TEN!AB33 + TEX!AB33</f>
        <v>8.2257573699999984</v>
      </c>
      <c r="AC33" s="7">
        <f xml:space="preserve"> 0 + CAL!AC33 + CAR!AC33 + CENT!AC33 + FLA!AC33 + MIDA!AC33 + MIDW!AC33 + NE!AC33 + NY!AC33 + NW!AC33 + SE!AC33 + SW!AC33 + TEN!AC33 + TEX!AC33</f>
        <v>8.5302116199999993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37837.175719040002</v>
      </c>
      <c r="D34" s="7">
        <f xml:space="preserve"> 0 + CAL!D34 + CAR!D34 + CENT!D34 + FLA!D34 + MIDA!D34 + MIDW!D34 + NE!D34 + NY!D34 + NW!D34 + SE!D34 + SW!D34 + TEN!D34 + TEX!D34</f>
        <v>42559.14880178</v>
      </c>
      <c r="E34" s="7">
        <f xml:space="preserve"> 0 + CAL!E34 + CAR!E34 + CENT!E34 + FLA!E34 + MIDA!E34 + MIDW!E34 + NE!E34 + NY!E34 + NW!E34 + SE!E34 + SW!E34 + TEN!E34 + TEX!E34</f>
        <v>47278.280470439997</v>
      </c>
      <c r="F34" s="7">
        <f xml:space="preserve"> 0 + CAL!F34 + CAR!F34 + CENT!F34 + FLA!F34 + MIDA!F34 + MIDW!F34 + NE!F34 + NY!F34 + NW!F34 + SE!F34 + SW!F34 + TEN!F34 + TEX!F34</f>
        <v>52338.729560430009</v>
      </c>
      <c r="G34" s="7">
        <f xml:space="preserve"> 0 + CAL!G34 + CAR!G34 + CENT!G34 + FLA!G34 + MIDA!G34 + MIDW!G34 + NE!G34 + NY!G34 + NW!G34 + SE!G34 + SW!G34 + TEN!G34 + TEX!G34</f>
        <v>57647.741180589997</v>
      </c>
      <c r="H34" s="7">
        <f xml:space="preserve"> 0 + CAL!H34 + CAR!H34 + CENT!H34 + FLA!H34 + MIDA!H34 + MIDW!H34 + NE!H34 + NY!H34 + NW!H34 + SE!H34 + SW!H34 + TEN!H34 + TEX!H34</f>
        <v>63219.748113590002</v>
      </c>
      <c r="I34" s="7">
        <f xml:space="preserve"> 0 + CAL!I34 + CAR!I34 + CENT!I34 + FLA!I34 + MIDA!I34 + MIDW!I34 + NE!I34 + NY!I34 + NW!I34 + SE!I34 + SW!I34 + TEN!I34 + TEX!I34</f>
        <v>68992.791676239998</v>
      </c>
      <c r="J34" s="7">
        <f xml:space="preserve"> 0 + CAL!J34 + CAR!J34 + CENT!J34 + FLA!J34 + MIDA!J34 + MIDW!J34 + NE!J34 + NY!J34 + NW!J34 + SE!J34 + SW!J34 + TEN!J34 + TEX!J34</f>
        <v>74877.325978810011</v>
      </c>
      <c r="K34" s="7">
        <f xml:space="preserve"> 0 + CAL!K34 + CAR!K34 + CENT!K34 + FLA!K34 + MIDA!K34 + MIDW!K34 + NE!K34 + NY!K34 + NW!K34 + SE!K34 + SW!K34 + TEN!K34 + TEX!K34</f>
        <v>79542.883075939986</v>
      </c>
      <c r="L34" s="7">
        <f xml:space="preserve"> 0 + CAL!L34 + CAR!L34 + CENT!L34 + FLA!L34 + MIDA!L34 + MIDW!L34 + NE!L34 + NY!L34 + NW!L34 + SE!L34 + SW!L34 + TEN!L34 + TEX!L34</f>
        <v>84642.906214850009</v>
      </c>
      <c r="M34" s="7">
        <f xml:space="preserve"> 0 + CAL!M34 + CAR!M34 + CENT!M34 + FLA!M34 + MIDA!M34 + MIDW!M34 + NE!M34 + NY!M34 + NW!M34 + SE!M34 + SW!M34 + TEN!M34 + TEX!M34</f>
        <v>90425.098761180008</v>
      </c>
      <c r="N34" s="7">
        <f xml:space="preserve"> 0 + CAL!N34 + CAR!N34 + CENT!N34 + FLA!N34 + MIDA!N34 + MIDW!N34 + NE!N34 + NY!N34 + NW!N34 + SE!N34 + SW!N34 + TEN!N34 + TEX!N34</f>
        <v>96120.294180279991</v>
      </c>
      <c r="O34" s="7">
        <f xml:space="preserve"> 0 + CAL!O34 + CAR!O34 + CENT!O34 + FLA!O34 + MIDA!O34 + MIDW!O34 + NE!O34 + NY!O34 + NW!O34 + SE!O34 + SW!O34 + TEN!O34 + TEX!O34</f>
        <v>102367.21018273001</v>
      </c>
      <c r="P34" s="7">
        <f xml:space="preserve"> 0 + CAL!P34 + CAR!P34 + CENT!P34 + FLA!P34 + MIDA!P34 + MIDW!P34 + NE!P34 + NY!P34 + NW!P34 + SE!P34 + SW!P34 + TEN!P34 + TEX!P34</f>
        <v>108706.80278519001</v>
      </c>
      <c r="Q34" s="7">
        <f xml:space="preserve"> 0 + CAL!Q34 + CAR!Q34 + CENT!Q34 + FLA!Q34 + MIDA!Q34 + MIDW!Q34 + NE!Q34 + NY!Q34 + NW!Q34 + SE!Q34 + SW!Q34 + TEN!Q34 + TEX!Q34</f>
        <v>114941.43955415</v>
      </c>
      <c r="R34" s="7">
        <f xml:space="preserve"> 0 + CAL!R34 + CAR!R34 + CENT!R34 + FLA!R34 + MIDA!R34 + MIDW!R34 + NE!R34 + NY!R34 + NW!R34 + SE!R34 + SW!R34 + TEN!R34 + TEX!R34</f>
        <v>121274.35171845002</v>
      </c>
      <c r="S34" s="7">
        <f xml:space="preserve"> 0 + CAL!S34 + CAR!S34 + CENT!S34 + FLA!S34 + MIDA!S34 + MIDW!S34 + NE!S34 + NY!S34 + NW!S34 + SE!S34 + SW!S34 + TEN!S34 + TEX!S34</f>
        <v>127689.23566919001</v>
      </c>
      <c r="T34" s="7">
        <f xml:space="preserve"> 0 + CAL!T34 + CAR!T34 + CENT!T34 + FLA!T34 + MIDA!T34 + MIDW!T34 + NE!T34 + NY!T34 + NW!T34 + SE!T34 + SW!T34 + TEN!T34 + TEX!T34</f>
        <v>134204.99648325</v>
      </c>
      <c r="U34" s="7">
        <f xml:space="preserve"> 0 + CAL!U34 + CAR!U34 + CENT!U34 + FLA!U34 + MIDA!U34 + MIDW!U34 + NE!U34 + NY!U34 + NW!U34 + SE!U34 + SW!U34 + TEN!U34 + TEX!U34</f>
        <v>140753.82302942002</v>
      </c>
      <c r="V34" s="7">
        <f xml:space="preserve"> 0 + CAL!V34 + CAR!V34 + CENT!V34 + FLA!V34 + MIDA!V34 + MIDW!V34 + NE!V34 + NY!V34 + NW!V34 + SE!V34 + SW!V34 + TEN!V34 + TEX!V34</f>
        <v>147265.62516823999</v>
      </c>
      <c r="W34" s="7">
        <f xml:space="preserve"> 0 + CAL!W34 + CAR!W34 + CENT!W34 + FLA!W34 + MIDA!W34 + MIDW!W34 + NE!W34 + NY!W34 + NW!W34 + SE!W34 + SW!W34 + TEN!W34 + TEX!W34</f>
        <v>153904.46981528</v>
      </c>
      <c r="X34" s="7">
        <f xml:space="preserve"> 0 + CAL!X34 + CAR!X34 + CENT!X34 + FLA!X34 + MIDA!X34 + MIDW!X34 + NE!X34 + NY!X34 + NW!X34 + SE!X34 + SW!X34 + TEN!X34 + TEX!X34</f>
        <v>160500.97063907</v>
      </c>
      <c r="Y34" s="7">
        <f xml:space="preserve"> 0 + CAL!Y34 + CAR!Y34 + CENT!Y34 + FLA!Y34 + MIDA!Y34 + MIDW!Y34 + NE!Y34 + NY!Y34 + NW!Y34 + SE!Y34 + SW!Y34 + TEN!Y34 + TEX!Y34</f>
        <v>166702.96060107002</v>
      </c>
      <c r="Z34" s="7">
        <f xml:space="preserve"> 0 + CAL!Z34 + CAR!Z34 + CENT!Z34 + FLA!Z34 + MIDA!Z34 + MIDW!Z34 + NE!Z34 + NY!Z34 + NW!Z34 + SE!Z34 + SW!Z34 + TEN!Z34 + TEX!Z34</f>
        <v>172603.63639738999</v>
      </c>
      <c r="AA34" s="7">
        <f xml:space="preserve"> 0 + CAL!AA34 + CAR!AA34 + CENT!AA34 + FLA!AA34 + MIDA!AA34 + MIDW!AA34 + NE!AA34 + NY!AA34 + NW!AA34 + SE!AA34 + SW!AA34 + TEN!AA34 + TEX!AA34</f>
        <v>179188.15923270999</v>
      </c>
      <c r="AB34" s="7">
        <f xml:space="preserve"> 0 + CAL!AB34 + CAR!AB34 + CENT!AB34 + FLA!AB34 + MIDA!AB34 + MIDW!AB34 + NE!AB34 + NY!AB34 + NW!AB34 + SE!AB34 + SW!AB34 + TEN!AB34 + TEX!AB34</f>
        <v>186168.20811637997</v>
      </c>
      <c r="AC34" s="7">
        <f xml:space="preserve"> 0 + CAL!AC34 + CAR!AC34 + CENT!AC34 + FLA!AC34 + MIDA!AC34 + MIDW!AC34 + NE!AC34 + NY!AC34 + NW!AC34 + SE!AC34 + SW!AC34 + TEN!AC34 + TEX!AC34</f>
        <v>193210.80063801998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11.971198760000002</v>
      </c>
      <c r="E36" s="7">
        <f xml:space="preserve"> 0 + CAL!E36 + CAR!E36 + CENT!E36 + FLA!E36 + MIDA!E36 + MIDW!E36 + NE!E36 + NY!E36 + NW!E36 + SE!E36 + SW!E36 + TEN!E36 + TEX!E36</f>
        <v>11.773545229999998</v>
      </c>
      <c r="F36" s="7">
        <f xml:space="preserve"> 0 + CAL!F36 + CAR!F36 + CENT!F36 + FLA!F36 + MIDA!F36 + MIDW!F36 + NE!F36 + NY!F36 + NW!F36 + SE!F36 + SW!F36 + TEN!F36 + TEX!F36</f>
        <v>11.406575850000001</v>
      </c>
      <c r="G36" s="7">
        <f xml:space="preserve"> 0 + CAL!G36 + CAR!G36 + CENT!G36 + FLA!G36 + MIDA!G36 + MIDW!G36 + NE!G36 + NY!G36 + NW!G36 + SE!G36 + SW!G36 + TEN!G36 + TEX!G36</f>
        <v>11.358397089999999</v>
      </c>
      <c r="H36" s="7">
        <f xml:space="preserve"> 0 + CAL!H36 + CAR!H36 + CENT!H36 + FLA!H36 + MIDA!H36 + MIDW!H36 + NE!H36 + NY!H36 + NW!H36 + SE!H36 + SW!H36 + TEN!H36 + TEX!H36</f>
        <v>11.290757950000001</v>
      </c>
      <c r="I36" s="7">
        <f xml:space="preserve"> 0 + CAL!I36 + CAR!I36 + CENT!I36 + FLA!I36 + MIDA!I36 + MIDW!I36 + NE!I36 + NY!I36 + NW!I36 + SE!I36 + SW!I36 + TEN!I36 + TEX!I36</f>
        <v>11.219675269999998</v>
      </c>
      <c r="J36" s="7">
        <f xml:space="preserve"> 0 + CAL!J36 + CAR!J36 + CENT!J36 + FLA!J36 + MIDA!J36 + MIDW!J36 + NE!J36 + NY!J36 + NW!J36 + SE!J36 + SW!J36 + TEN!J36 + TEX!J36</f>
        <v>11.152649420000001</v>
      </c>
      <c r="K36" s="7">
        <f xml:space="preserve"> 0 + CAL!K36 + CAR!K36 + CENT!K36 + FLA!K36 + MIDA!K36 + MIDW!K36 + NE!K36 + NY!K36 + NW!K36 + SE!K36 + SW!K36 + TEN!K36 + TEX!K36</f>
        <v>11.091626209999999</v>
      </c>
      <c r="L36" s="7">
        <f xml:space="preserve"> 0 + CAL!L36 + CAR!L36 + CENT!L36 + FLA!L36 + MIDA!L36 + MIDW!L36 + NE!L36 + NY!L36 + NW!L36 + SE!L36 + SW!L36 + TEN!L36 + TEX!L36</f>
        <v>10.948553950000001</v>
      </c>
      <c r="M36" s="7">
        <f xml:space="preserve"> 0 + CAL!M36 + CAR!M36 + CENT!M36 + FLA!M36 + MIDA!M36 + MIDW!M36 + NE!M36 + NY!M36 + NW!M36 + SE!M36 + SW!M36 + TEN!M36 + TEX!M36</f>
        <v>10.94160847</v>
      </c>
      <c r="N36" s="7">
        <f xml:space="preserve"> 0 + CAL!N36 + CAR!N36 + CENT!N36 + FLA!N36 + MIDA!N36 + MIDW!N36 + NE!N36 + NY!N36 + NW!N36 + SE!N36 + SW!N36 + TEN!N36 + TEX!N36</f>
        <v>10.701377109999999</v>
      </c>
      <c r="O36" s="7">
        <f xml:space="preserve"> 0 + CAL!O36 + CAR!O36 + CENT!O36 + FLA!O36 + MIDA!O36 + MIDW!O36 + NE!O36 + NY!O36 + NW!O36 + SE!O36 + SW!O36 + TEN!O36 + TEX!O36</f>
        <v>10.864793890000001</v>
      </c>
      <c r="P36" s="7">
        <f xml:space="preserve"> 0 + CAL!P36 + CAR!P36 + CENT!P36 + FLA!P36 + MIDA!P36 + MIDW!P36 + NE!P36 + NY!P36 + NW!P36 + SE!P36 + SW!P36 + TEN!P36 + TEX!P36</f>
        <v>10.911851239999999</v>
      </c>
      <c r="Q36" s="7">
        <f xml:space="preserve"> 0 + CAL!Q36 + CAR!Q36 + CENT!Q36 + FLA!Q36 + MIDA!Q36 + MIDW!Q36 + NE!Q36 + NY!Q36 + NW!Q36 + SE!Q36 + SW!Q36 + TEN!Q36 + TEX!Q36</f>
        <v>10.88790519</v>
      </c>
      <c r="R36" s="7">
        <f xml:space="preserve"> 0 + CAL!R36 + CAR!R36 + CENT!R36 + FLA!R36 + MIDA!R36 + MIDW!R36 + NE!R36 + NY!R36 + NW!R36 + SE!R36 + SW!R36 + TEN!R36 + TEX!R36</f>
        <v>10.843003339999999</v>
      </c>
      <c r="S36" s="7">
        <f xml:space="preserve"> 0 + CAL!S36 + CAR!S36 + CENT!S36 + FLA!S36 + MIDA!S36 + MIDW!S36 + NE!S36 + NY!S36 + NW!S36 + SE!S36 + SW!S36 + TEN!S36 + TEX!S36</f>
        <v>10.82470388</v>
      </c>
      <c r="T36" s="7">
        <f xml:space="preserve"> 0 + CAL!T36 + CAR!T36 + CENT!T36 + FLA!T36 + MIDA!T36 + MIDW!T36 + NE!T36 + NY!T36 + NW!T36 + SE!T36 + SW!T36 + TEN!T36 + TEX!T36</f>
        <v>10.809389729999999</v>
      </c>
      <c r="U36" s="7">
        <f xml:space="preserve"> 0 + CAL!U36 + CAR!U36 + CENT!U36 + FLA!U36 + MIDA!U36 + MIDW!U36 + NE!U36 + NY!U36 + NW!U36 + SE!U36 + SW!U36 + TEN!U36 + TEX!U36</f>
        <v>10.79449181</v>
      </c>
      <c r="V36" s="7">
        <f xml:space="preserve"> 0 + CAL!V36 + CAR!V36 + CENT!V36 + FLA!V36 + MIDA!V36 + MIDW!V36 + NE!V36 + NY!V36 + NW!V36 + SE!V36 + SW!V36 + TEN!V36 + TEX!V36</f>
        <v>10.77311085</v>
      </c>
      <c r="W36" s="7">
        <f xml:space="preserve"> 0 + CAL!W36 + CAR!W36 + CENT!W36 + FLA!W36 + MIDA!W36 + MIDW!W36 + NE!W36 + NY!W36 + NW!W36 + SE!W36 + SW!W36 + TEN!W36 + TEX!W36</f>
        <v>10.736655599999999</v>
      </c>
      <c r="X36" s="7">
        <f xml:space="preserve"> 0 + CAL!X36 + CAR!X36 + CENT!X36 + FLA!X36 + MIDA!X36 + MIDW!X36 + NE!X36 + NY!X36 + NW!X36 + SE!X36 + SW!X36 + TEN!X36 + TEX!X36</f>
        <v>10.736910050000001</v>
      </c>
      <c r="Y36" s="7">
        <f xml:space="preserve"> 0 + CAL!Y36 + CAR!Y36 + CENT!Y36 + FLA!Y36 + MIDA!Y36 + MIDW!Y36 + NE!Y36 + NY!Y36 + NW!Y36 + SE!Y36 + SW!Y36 + TEN!Y36 + TEX!Y36</f>
        <v>10.76810291</v>
      </c>
      <c r="Z36" s="7">
        <f xml:space="preserve"> 0 + CAL!Z36 + CAR!Z36 + CENT!Z36 + FLA!Z36 + MIDA!Z36 + MIDW!Z36 + NE!Z36 + NY!Z36 + NW!Z36 + SE!Z36 + SW!Z36 + TEN!Z36 + TEX!Z36</f>
        <v>10.72736866</v>
      </c>
      <c r="AA36" s="7">
        <f xml:space="preserve"> 0 + CAL!AA36 + CAR!AA36 + CENT!AA36 + FLA!AA36 + MIDA!AA36 + MIDW!AA36 + NE!AA36 + NY!AA36 + NW!AA36 + SE!AA36 + SW!AA36 + TEN!AA36 + TEX!AA36</f>
        <v>10.702136579999999</v>
      </c>
      <c r="AB36" s="7">
        <f xml:space="preserve"> 0 + CAL!AB36 + CAR!AB36 + CENT!AB36 + FLA!AB36 + MIDA!AB36 + MIDW!AB36 + NE!AB36 + NY!AB36 + NW!AB36 + SE!AB36 + SW!AB36 + TEN!AB36 + TEX!AB36</f>
        <v>10.717756599999998</v>
      </c>
      <c r="AC36" s="7">
        <f xml:space="preserve"> 0 + CAL!AC36 + CAR!AC36 + CENT!AC36 + FLA!AC36 + MIDA!AC36 + MIDW!AC36 + NE!AC36 + NY!AC36 + NW!AC36 + SE!AC36 + SW!AC36 + TEN!AC36 + TEX!AC36</f>
        <v>10.731011619999999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12.33191471</v>
      </c>
      <c r="D37" s="7">
        <f xml:space="preserve"> 0 + CAL!D37 + CAR!D37 + CENT!D37 + FLA!D37 + MIDA!D37 + MIDW!D37 + NE!D37 + NY!D37 + NW!D37 + SE!D37 + SW!D37 + TEN!D37 + TEX!D37</f>
        <v>11.98379652</v>
      </c>
      <c r="E37" s="7">
        <f xml:space="preserve"> 0 + CAL!E37 + CAR!E37 + CENT!E37 + FLA!E37 + MIDA!E37 + MIDW!E37 + NE!E37 + NY!E37 + NW!E37 + SE!E37 + SW!E37 + TEN!E37 + TEX!E37</f>
        <v>11.51832147</v>
      </c>
      <c r="F37" s="7">
        <f xml:space="preserve"> 0 + CAL!F37 + CAR!F37 + CENT!F37 + FLA!F37 + MIDA!F37 + MIDW!F37 + NE!F37 + NY!F37 + NW!F37 + SE!F37 + SW!F37 + TEN!F37 + TEX!F37</f>
        <v>11.466842849999999</v>
      </c>
      <c r="G37" s="7">
        <f xml:space="preserve"> 0 + CAL!G37 + CAR!G37 + CENT!G37 + FLA!G37 + MIDA!G37 + MIDW!G37 + NE!G37 + NY!G37 + NW!G37 + SE!G37 + SW!G37 + TEN!G37 + TEX!G37</f>
        <v>11.37193607</v>
      </c>
      <c r="H37" s="7">
        <f xml:space="preserve"> 0 + CAL!H37 + CAR!H37 + CENT!H37 + FLA!H37 + MIDA!H37 + MIDW!H37 + NE!H37 + NY!H37 + NW!H37 + SE!H37 + SW!H37 + TEN!H37 + TEX!H37</f>
        <v>11.28470016</v>
      </c>
      <c r="I37" s="7">
        <f xml:space="preserve"> 0 + CAL!I37 + CAR!I37 + CENT!I37 + FLA!I37 + MIDA!I37 + MIDW!I37 + NE!I37 + NY!I37 + NW!I37 + SE!I37 + SW!I37 + TEN!I37 + TEX!I37</f>
        <v>11.214090280000002</v>
      </c>
      <c r="J37" s="7">
        <f xml:space="preserve"> 0 + CAL!J37 + CAR!J37 + CENT!J37 + FLA!J37 + MIDA!J37 + MIDW!J37 + NE!J37 + NY!J37 + NW!J37 + SE!J37 + SW!J37 + TEN!J37 + TEX!J37</f>
        <v>11.14746991</v>
      </c>
      <c r="K37" s="7">
        <f xml:space="preserve"> 0 + CAL!K37 + CAR!K37 + CENT!K37 + FLA!K37 + MIDA!K37 + MIDW!K37 + NE!K37 + NY!K37 + NW!K37 + SE!K37 + SW!K37 + TEN!K37 + TEX!K37</f>
        <v>10.994149360000002</v>
      </c>
      <c r="L37" s="7">
        <f xml:space="preserve"> 0 + CAL!L37 + CAR!L37 + CENT!L37 + FLA!L37 + MIDA!L37 + MIDW!L37 + NE!L37 + NY!L37 + NW!L37 + SE!L37 + SW!L37 + TEN!L37 + TEX!L37</f>
        <v>10.979531509999999</v>
      </c>
      <c r="M37" s="7">
        <f xml:space="preserve"> 0 + CAL!M37 + CAR!M37 + CENT!M37 + FLA!M37 + MIDA!M37 + MIDW!M37 + NE!M37 + NY!M37 + NW!M37 + SE!M37 + SW!M37 + TEN!M37 + TEX!M37</f>
        <v>10.729644219999999</v>
      </c>
      <c r="N37" s="7">
        <f xml:space="preserve"> 0 + CAL!N37 + CAR!N37 + CENT!N37 + FLA!N37 + MIDA!N37 + MIDW!N37 + NE!N37 + NY!N37 + NW!N37 + SE!N37 + SW!N37 + TEN!N37 + TEX!N37</f>
        <v>10.89218415</v>
      </c>
      <c r="O37" s="7">
        <f xml:space="preserve"> 0 + CAL!O37 + CAR!O37 + CENT!O37 + FLA!O37 + MIDA!O37 + MIDW!O37 + NE!O37 + NY!O37 + NW!O37 + SE!O37 + SW!O37 + TEN!O37 + TEX!O37</f>
        <v>10.93666356</v>
      </c>
      <c r="P37" s="7">
        <f xml:space="preserve"> 0 + CAL!P37 + CAR!P37 + CENT!P37 + FLA!P37 + MIDA!P37 + MIDW!P37 + NE!P37 + NY!P37 + NW!P37 + SE!P37 + SW!P37 + TEN!P37 + TEX!P37</f>
        <v>10.909990460000001</v>
      </c>
      <c r="Q37" s="7">
        <f xml:space="preserve"> 0 + CAL!Q37 + CAR!Q37 + CENT!Q37 + FLA!Q37 + MIDA!Q37 + MIDW!Q37 + NE!Q37 + NY!Q37 + NW!Q37 + SE!Q37 + SW!Q37 + TEN!Q37 + TEX!Q37</f>
        <v>10.859515079999998</v>
      </c>
      <c r="R37" s="7">
        <f xml:space="preserve"> 0 + CAL!R37 + CAR!R37 + CENT!R37 + FLA!R37 + MIDA!R37 + MIDW!R37 + NE!R37 + NY!R37 + NW!R37 + SE!R37 + SW!R37 + TEN!R37 + TEX!R37</f>
        <v>10.843116459999997</v>
      </c>
      <c r="S37" s="7">
        <f xml:space="preserve"> 0 + CAL!S37 + CAR!S37 + CENT!S37 + FLA!S37 + MIDA!S37 + MIDW!S37 + NE!S37 + NY!S37 + NW!S37 + SE!S37 + SW!S37 + TEN!S37 + TEX!S37</f>
        <v>10.8250709</v>
      </c>
      <c r="T37" s="7">
        <f xml:space="preserve"> 0 + CAL!T37 + CAR!T37 + CENT!T37 + FLA!T37 + MIDA!T37 + MIDW!T37 + NE!T37 + NY!T37 + NW!T37 + SE!T37 + SW!T37 + TEN!T37 + TEX!T37</f>
        <v>10.809230289999999</v>
      </c>
      <c r="U37" s="7">
        <f xml:space="preserve"> 0 + CAL!U37 + CAR!U37 + CENT!U37 + FLA!U37 + MIDA!U37 + MIDW!U37 + NE!U37 + NY!U37 + NW!U37 + SE!U37 + SW!U37 + TEN!U37 + TEX!U37</f>
        <v>10.785802889999999</v>
      </c>
      <c r="V37" s="7">
        <f xml:space="preserve"> 0 + CAL!V37 + CAR!V37 + CENT!V37 + FLA!V37 + MIDA!V37 + MIDW!V37 + NE!V37 + NY!V37 + NW!V37 + SE!V37 + SW!V37 + TEN!V37 + TEX!V37</f>
        <v>10.746381549999999</v>
      </c>
      <c r="W37" s="7">
        <f xml:space="preserve"> 0 + CAL!W37 + CAR!W37 + CENT!W37 + FLA!W37 + MIDA!W37 + MIDW!W37 + NE!W37 + NY!W37 + NW!W37 + SE!W37 + SW!W37 + TEN!W37 + TEX!W37</f>
        <v>10.745392749999999</v>
      </c>
      <c r="X37" s="7">
        <f xml:space="preserve"> 0 + CAL!X37 + CAR!X37 + CENT!X37 + FLA!X37 + MIDA!X37 + MIDW!X37 + NE!X37 + NY!X37 + NW!X37 + SE!X37 + SW!X37 + TEN!X37 + TEX!X37</f>
        <v>10.774562270000001</v>
      </c>
      <c r="Y37" s="7">
        <f xml:space="preserve"> 0 + CAL!Y37 + CAR!Y37 + CENT!Y37 + FLA!Y37 + MIDA!Y37 + MIDW!Y37 + NE!Y37 + NY!Y37 + NW!Y37 + SE!Y37 + SW!Y37 + TEN!Y37 + TEX!Y37</f>
        <v>10.733716140000002</v>
      </c>
      <c r="Z37" s="7">
        <f xml:space="preserve"> 0 + CAL!Z37 + CAR!Z37 + CENT!Z37 + FLA!Z37 + MIDA!Z37 + MIDW!Z37 + NE!Z37 + NY!Z37 + NW!Z37 + SE!Z37 + SW!Z37 + TEN!Z37 + TEX!Z37</f>
        <v>10.7070948</v>
      </c>
      <c r="AA37" s="7">
        <f xml:space="preserve"> 0 + CAL!AA37 + CAR!AA37 + CENT!AA37 + FLA!AA37 + MIDA!AA37 + MIDW!AA37 + NE!AA37 + NY!AA37 + NW!AA37 + SE!AA37 + SW!AA37 + TEN!AA37 + TEX!AA37</f>
        <v>10.72259208</v>
      </c>
      <c r="AB37" s="7">
        <f xml:space="preserve"> 0 + CAL!AB37 + CAR!AB37 + CENT!AB37 + FLA!AB37 + MIDA!AB37 + MIDW!AB37 + NE!AB37 + NY!AB37 + NW!AB37 + SE!AB37 + SW!AB37 + TEN!AB37 + TEX!AB37</f>
        <v>10.73544083</v>
      </c>
      <c r="AC37" s="7">
        <f xml:space="preserve"> 0 + CAL!AC37 + CAR!AC37 + CENT!AC37 + FLA!AC37 + MIDA!AC37 + MIDW!AC37 + NE!AC37 + NY!AC37 + NW!AC37 + SE!AC37 + SW!AC37 + TEN!AC37 + TEX!AC37</f>
        <v>10.72516285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87.823782369999989</v>
      </c>
      <c r="E38" s="7">
        <f xml:space="preserve"> 0 + CAL!E38 + CAR!E38 + CENT!E38 + FLA!E38 + MIDA!E38 + MIDW!E38 + NE!E38 + NY!E38 + NW!E38 + SE!E38 + SW!E38 + TEN!E38 + TEX!E38</f>
        <v>90.612675749999994</v>
      </c>
      <c r="F38" s="7">
        <f xml:space="preserve"> 0 + CAL!F38 + CAR!F38 + CENT!F38 + FLA!F38 + MIDA!F38 + MIDW!F38 + NE!F38 + NY!F38 + NW!F38 + SE!F38 + SW!F38 + TEN!F38 + TEX!F38</f>
        <v>93.708114319999993</v>
      </c>
      <c r="G38" s="7">
        <f xml:space="preserve"> 0 + CAL!G38 + CAR!G38 + CENT!G38 + FLA!G38 + MIDA!G38 + MIDW!G38 + NE!G38 + NY!G38 + NW!G38 + SE!G38 + SW!G38 + TEN!G38 + TEX!G38</f>
        <v>97.073026630000015</v>
      </c>
      <c r="H38" s="7">
        <f xml:space="preserve"> 0 + CAL!H38 + CAR!H38 + CENT!H38 + FLA!H38 + MIDA!H38 + MIDW!H38 + NE!H38 + NY!H38 + NW!H38 + SE!H38 + SW!H38 + TEN!H38 + TEX!H38</f>
        <v>100.23103216</v>
      </c>
      <c r="I38" s="7">
        <f xml:space="preserve"> 0 + CAL!I38 + CAR!I38 + CENT!I38 + FLA!I38 + MIDA!I38 + MIDW!I38 + NE!I38 + NY!I38 + NW!I38 + SE!I38 + SW!I38 + TEN!I38 + TEX!I38</f>
        <v>104.06890116000001</v>
      </c>
      <c r="J38" s="7">
        <f xml:space="preserve"> 0 + CAL!J38 + CAR!J38 + CENT!J38 + FLA!J38 + MIDA!J38 + MIDW!J38 + NE!J38 + NY!J38 + NW!J38 + SE!J38 + SW!J38 + TEN!J38 + TEX!J38</f>
        <v>108.19968033000001</v>
      </c>
      <c r="K38" s="7">
        <f xml:space="preserve"> 0 + CAL!K38 + CAR!K38 + CENT!K38 + FLA!K38 + MIDA!K38 + MIDW!K38 + NE!K38 + NY!K38 + NW!K38 + SE!K38 + SW!K38 + TEN!K38 + TEX!K38</f>
        <v>112.59649352000001</v>
      </c>
      <c r="L38" s="7">
        <f xml:space="preserve"> 0 + CAL!L38 + CAR!L38 + CENT!L38 + FLA!L38 + MIDA!L38 + MIDW!L38 + NE!L38 + NY!L38 + NW!L38 + SE!L38 + SW!L38 + TEN!L38 + TEX!L38</f>
        <v>117.31345412</v>
      </c>
      <c r="M38" s="7">
        <f xml:space="preserve"> 0 + CAL!M38 + CAR!M38 + CENT!M38 + FLA!M38 + MIDA!M38 + MIDW!M38 + NE!M38 + NY!M38 + NW!M38 + SE!M38 + SW!M38 + TEN!M38 + TEX!M38</f>
        <v>122.37876729999998</v>
      </c>
      <c r="N38" s="7">
        <f xml:space="preserve"> 0 + CAL!N38 + CAR!N38 + CENT!N38 + FLA!N38 + MIDA!N38 + MIDW!N38 + NE!N38 + NY!N38 + NW!N38 + SE!N38 + SW!N38 + TEN!N38 + TEX!N38</f>
        <v>127.68562808999999</v>
      </c>
      <c r="O38" s="7">
        <f xml:space="preserve"> 0 + CAL!O38 + CAR!O38 + CENT!O38 + FLA!O38 + MIDA!O38 + MIDW!O38 + NE!O38 + NY!O38 + NW!O38 + SE!O38 + SW!O38 + TEN!O38 + TEX!O38</f>
        <v>132.49118505000001</v>
      </c>
      <c r="P38" s="7">
        <f xml:space="preserve"> 0 + CAL!P38 + CAR!P38 + CENT!P38 + FLA!P38 + MIDA!P38 + MIDW!P38 + NE!P38 + NY!P38 + NW!P38 + SE!P38 + SW!P38 + TEN!P38 + TEX!P38</f>
        <v>137.58743966</v>
      </c>
      <c r="Q38" s="7">
        <f xml:space="preserve"> 0 + CAL!Q38 + CAR!Q38 + CENT!Q38 + FLA!Q38 + MIDA!Q38 + MIDW!Q38 + NE!Q38 + NY!Q38 + NW!Q38 + SE!Q38 + SW!Q38 + TEN!Q38 + TEX!Q38</f>
        <v>142.98611922000001</v>
      </c>
      <c r="R38" s="7">
        <f xml:space="preserve"> 0 + CAL!R38 + CAR!R38 + CENT!R38 + FLA!R38 + MIDA!R38 + MIDW!R38 + NE!R38 + NY!R38 + NW!R38 + SE!R38 + SW!R38 + TEN!R38 + TEX!R38</f>
        <v>148.76280639000001</v>
      </c>
      <c r="S38" s="7">
        <f xml:space="preserve"> 0 + CAL!S38 + CAR!S38 + CENT!S38 + FLA!S38 + MIDA!S38 + MIDW!S38 + NE!S38 + NY!S38 + NW!S38 + SE!S38 + SW!S38 + TEN!S38 + TEX!S38</f>
        <v>154.83020492000003</v>
      </c>
      <c r="T38" s="7">
        <f xml:space="preserve"> 0 + CAL!T38 + CAR!T38 + CENT!T38 + FLA!T38 + MIDA!T38 + MIDW!T38 + NE!T38 + NY!T38 + NW!T38 + SE!T38 + SW!T38 + TEN!T38 + TEX!T38</f>
        <v>161.38211253</v>
      </c>
      <c r="U38" s="7">
        <f xml:space="preserve"> 0 + CAL!U38 + CAR!U38 + CENT!U38 + FLA!U38 + MIDA!U38 + MIDW!U38 + NE!U38 + NY!U38 + NW!U38 + SE!U38 + SW!U38 + TEN!U38 + TEX!U38</f>
        <v>168.25956311000002</v>
      </c>
      <c r="V38" s="7">
        <f xml:space="preserve"> 0 + CAL!V38 + CAR!V38 + CENT!V38 + FLA!V38 + MIDA!V38 + MIDW!V38 + NE!V38 + NY!V38 + NW!V38 + SE!V38 + SW!V38 + TEN!V38 + TEX!V38</f>
        <v>175.61786395000001</v>
      </c>
      <c r="W38" s="7">
        <f xml:space="preserve"> 0 + CAL!W38 + CAR!W38 + CENT!W38 + FLA!W38 + MIDA!W38 + MIDW!W38 + NE!W38 + NY!W38 + NW!W38 + SE!W38 + SW!W38 + TEN!W38 + TEX!W38</f>
        <v>183.42005889999999</v>
      </c>
      <c r="X38" s="7">
        <f xml:space="preserve"> 0 + CAL!X38 + CAR!X38 + CENT!X38 + FLA!X38 + MIDA!X38 + MIDW!X38 + NE!X38 + NY!X38 + NW!X38 + SE!X38 + SW!X38 + TEN!X38 + TEX!X38</f>
        <v>191.71815007000001</v>
      </c>
      <c r="Y38" s="7">
        <f xml:space="preserve"> 0 + CAL!Y38 + CAR!Y38 + CENT!Y38 + FLA!Y38 + MIDA!Y38 + MIDW!Y38 + NE!Y38 + NY!Y38 + NW!Y38 + SE!Y38 + SW!Y38 + TEN!Y38 + TEX!Y38</f>
        <v>200.5818907</v>
      </c>
      <c r="Z38" s="7">
        <f xml:space="preserve"> 0 + CAL!Z38 + CAR!Z38 + CENT!Z38 + FLA!Z38 + MIDA!Z38 + MIDW!Z38 + NE!Z38 + NY!Z38 + NW!Z38 + SE!Z38 + SW!Z38 + TEN!Z38 + TEX!Z38</f>
        <v>210.00850355</v>
      </c>
      <c r="AA38" s="7">
        <f xml:space="preserve"> 0 + CAL!AA38 + CAR!AA38 + CENT!AA38 + FLA!AA38 + MIDA!AA38 + MIDW!AA38 + NE!AA38 + NY!AA38 + NW!AA38 + SE!AA38 + SW!AA38 + TEN!AA38 + TEX!AA38</f>
        <v>220.21586773999999</v>
      </c>
      <c r="AB38" s="7">
        <f xml:space="preserve"> 0 + CAL!AB38 + CAR!AB38 + CENT!AB38 + FLA!AB38 + MIDA!AB38 + MIDW!AB38 + NE!AB38 + NY!AB38 + NW!AB38 + SE!AB38 + SW!AB38 + TEN!AB38 + TEX!AB38</f>
        <v>231.08424707</v>
      </c>
      <c r="AC38" s="7">
        <f xml:space="preserve"> 0 + CAL!AC38 + CAR!AC38 + CENT!AC38 + FLA!AC38 + MIDA!AC38 + MIDW!AC38 + NE!AC38 + NY!AC38 + NW!AC38 + SE!AC38 + SW!AC38 + TEN!AC38 + TEX!AC38</f>
        <v>242.62559031999999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121182.19941836</v>
      </c>
      <c r="D39" s="7">
        <f xml:space="preserve"> 0 + CAL!D39 + CAR!D39 + CENT!D39 + FLA!D39 + MIDA!D39 + MIDW!D39 + NE!D39 + NY!D39 + NW!D39 + SE!D39 + SW!D39 + TEN!D39 + TEX!D39</f>
        <v>124695.61174451996</v>
      </c>
      <c r="E39" s="7">
        <f xml:space="preserve"> 0 + CAL!E39 + CAR!E39 + CENT!E39 + FLA!E39 + MIDA!E39 + MIDW!E39 + NE!E39 + NY!E39 + NW!E39 + SE!E39 + SW!E39 + TEN!E39 + TEX!E39</f>
        <v>127034.12507222001</v>
      </c>
      <c r="F39" s="7">
        <f xml:space="preserve"> 0 + CAL!F39 + CAR!F39 + CENT!F39 + FLA!F39 + MIDA!F39 + MIDW!F39 + NE!F39 + NY!F39 + NW!F39 + SE!F39 + SW!F39 + TEN!F39 + TEX!F39</f>
        <v>129752.73114575999</v>
      </c>
      <c r="G39" s="7">
        <f xml:space="preserve"> 0 + CAL!G39 + CAR!G39 + CENT!G39 + FLA!G39 + MIDA!G39 + MIDW!G39 + NE!G39 + NY!G39 + NW!G39 + SE!G39 + SW!G39 + TEN!G39 + TEX!G39</f>
        <v>138111.65187058001</v>
      </c>
      <c r="H39" s="7">
        <f xml:space="preserve"> 0 + CAL!H39 + CAR!H39 + CENT!H39 + FLA!H39 + MIDA!H39 + MIDW!H39 + NE!H39 + NY!H39 + NW!H39 + SE!H39 + SW!H39 + TEN!H39 + TEX!H39</f>
        <v>147057.82584454</v>
      </c>
      <c r="I39" s="7">
        <f xml:space="preserve"> 0 + CAL!I39 + CAR!I39 + CENT!I39 + FLA!I39 + MIDA!I39 + MIDW!I39 + NE!I39 + NY!I39 + NW!I39 + SE!I39 + SW!I39 + TEN!I39 + TEX!I39</f>
        <v>147339.08455928997</v>
      </c>
      <c r="J39" s="7">
        <f xml:space="preserve"> 0 + CAL!J39 + CAR!J39 + CENT!J39 + FLA!J39 + MIDA!J39 + MIDW!J39 + NE!J39 + NY!J39 + NW!J39 + SE!J39 + SW!J39 + TEN!J39 + TEX!J39</f>
        <v>146358.98191444</v>
      </c>
      <c r="K39" s="7">
        <f xml:space="preserve"> 0 + CAL!K39 + CAR!K39 + CENT!K39 + FLA!K39 + MIDA!K39 + MIDW!K39 + NE!K39 + NY!K39 + NW!K39 + SE!K39 + SW!K39 + TEN!K39 + TEX!K39</f>
        <v>142700.74065547</v>
      </c>
      <c r="L39" s="7">
        <f xml:space="preserve"> 0 + CAL!L39 + CAR!L39 + CENT!L39 + FLA!L39 + MIDA!L39 + MIDW!L39 + NE!L39 + NY!L39 + NW!L39 + SE!L39 + SW!L39 + TEN!L39 + TEX!L39</f>
        <v>139184.63558818001</v>
      </c>
      <c r="M39" s="7">
        <f xml:space="preserve"> 0 + CAL!M39 + CAR!M39 + CENT!M39 + FLA!M39 + MIDA!M39 + MIDW!M39 + NE!M39 + NY!M39 + NW!M39 + SE!M39 + SW!M39 + TEN!M39 + TEX!M39</f>
        <v>135714.20933909999</v>
      </c>
      <c r="N39" s="7">
        <f xml:space="preserve"> 0 + CAL!N39 + CAR!N39 + CENT!N39 + FLA!N39 + MIDA!N39 + MIDW!N39 + NE!N39 + NY!N39 + NW!N39 + SE!N39 + SW!N39 + TEN!N39 + TEX!N39</f>
        <v>132355.82540107</v>
      </c>
      <c r="O39" s="7">
        <f xml:space="preserve"> 0 + CAL!O39 + CAR!O39 + CENT!O39 + FLA!O39 + MIDA!O39 + MIDW!O39 + NE!O39 + NY!O39 + NW!O39 + SE!O39 + SW!O39 + TEN!O39 + TEX!O39</f>
        <v>129047.09257754999</v>
      </c>
      <c r="P39" s="7">
        <f xml:space="preserve"> 0 + CAL!P39 + CAR!P39 + CENT!P39 + FLA!P39 + MIDA!P39 + MIDW!P39 + NE!P39 + NY!P39 + NW!P39 + SE!P39 + SW!P39 + TEN!P39 + TEX!P39</f>
        <v>125820.91583926001</v>
      </c>
      <c r="Q39" s="7">
        <f xml:space="preserve"> 0 + CAL!Q39 + CAR!Q39 + CENT!Q39 + FLA!Q39 + MIDA!Q39 + MIDW!Q39 + NE!Q39 + NY!Q39 + NW!Q39 + SE!Q39 + SW!Q39 + TEN!Q39 + TEX!Q39</f>
        <v>122675.61434944</v>
      </c>
      <c r="R39" s="7">
        <f xml:space="preserve"> 0 + CAL!R39 + CAR!R39 + CENT!R39 + FLA!R39 + MIDA!R39 + MIDW!R39 + NE!R39 + NY!R39 + NW!R39 + SE!R39 + SW!R39 + TEN!R39 + TEX!R39</f>
        <v>119608.72582400001</v>
      </c>
      <c r="S39" s="7">
        <f xml:space="preserve"> 0 + CAL!S39 + CAR!S39 + CENT!S39 + FLA!S39 + MIDA!S39 + MIDW!S39 + NE!S39 + NY!S39 + NW!S39 + SE!S39 + SW!S39 + TEN!S39 + TEX!S39</f>
        <v>116629.04587535</v>
      </c>
      <c r="T39" s="7">
        <f xml:space="preserve"> 0 + CAL!T39 + CAR!T39 + CENT!T39 + FLA!T39 + MIDA!T39 + MIDW!T39 + NE!T39 + NY!T39 + NW!T39 + SE!T39 + SW!T39 + TEN!T39 + TEX!T39</f>
        <v>113714.25081146001</v>
      </c>
      <c r="U39" s="7">
        <f xml:space="preserve"> 0 + CAL!U39 + CAR!U39 + CENT!U39 + FLA!U39 + MIDA!U39 + MIDW!U39 + NE!U39 + NY!U39 + NW!U39 + SE!U39 + SW!U39 + TEN!U39 + TEX!U39</f>
        <v>110871.68457898</v>
      </c>
      <c r="V39" s="7">
        <f xml:space="preserve"> 0 + CAL!V39 + CAR!V39 + CENT!V39 + FLA!V39 + MIDA!V39 + MIDW!V39 + NE!V39 + NY!V39 + NW!V39 + SE!V39 + SW!V39 + TEN!V39 + TEX!V39</f>
        <v>108104.30609113001</v>
      </c>
      <c r="W39" s="7">
        <f xml:space="preserve"> 0 + CAL!W39 + CAR!W39 + CENT!W39 + FLA!W39 + MIDA!W39 + MIDW!W39 + NE!W39 + NY!W39 + NW!W39 + SE!W39 + SW!W39 + TEN!W39 + TEX!W39</f>
        <v>105402.02843376</v>
      </c>
      <c r="X39" s="7">
        <f xml:space="preserve"> 0 + CAL!X39 + CAR!X39 + CENT!X39 + FLA!X39 + MIDA!X39 + MIDW!X39 + NE!X39 + NY!X39 + NW!X39 + SE!X39 + SW!X39 + TEN!X39 + TEX!X39</f>
        <v>102807.60020228999</v>
      </c>
      <c r="Y39" s="7">
        <f xml:space="preserve"> 0 + CAL!Y39 + CAR!Y39 + CENT!Y39 + FLA!Y39 + MIDA!Y39 + MIDW!Y39 + NE!Y39 + NY!Y39 + NW!Y39 + SE!Y39 + SW!Y39 + TEN!Y39 + TEX!Y39</f>
        <v>100238.01643321</v>
      </c>
      <c r="Z39" s="7">
        <f xml:space="preserve"> 0 + CAL!Z39 + CAR!Z39 + CENT!Z39 + FLA!Z39 + MIDA!Z39 + MIDW!Z39 + NE!Z39 + NY!Z39 + NW!Z39 + SE!Z39 + SW!Z39 + TEN!Z39 + TEX!Z39</f>
        <v>97732.185506309994</v>
      </c>
      <c r="AA39" s="7">
        <f xml:space="preserve"> 0 + CAL!AA39 + CAR!AA39 + CENT!AA39 + FLA!AA39 + MIDA!AA39 + MIDW!AA39 + NE!AA39 + NY!AA39 + NW!AA39 + SE!AA39 + SW!AA39 + TEN!AA39 + TEX!AA39</f>
        <v>95288.914754630008</v>
      </c>
      <c r="AB39" s="7">
        <f xml:space="preserve"> 0 + CAL!AB39 + CAR!AB39 + CENT!AB39 + FLA!AB39 + MIDA!AB39 + MIDW!AB39 + NE!AB39 + NY!AB39 + NW!AB39 + SE!AB39 + SW!AB39 + TEN!AB39 + TEX!AB39</f>
        <v>92908.643233659997</v>
      </c>
      <c r="AC39" s="7">
        <f xml:space="preserve"> 0 + CAL!AC39 + CAR!AC39 + CENT!AC39 + FLA!AC39 + MIDA!AC39 + MIDW!AC39 + NE!AC39 + NY!AC39 + NW!AC39 + SE!AC39 + SW!AC39 + TEN!AC39 + TEX!AC39</f>
        <v>90585.928424319995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810907771.67216396</v>
      </c>
      <c r="D40" s="7">
        <f xml:space="preserve"> 0 + CAL!D40 + CAR!D40 + CENT!D40 + FLA!D40 + MIDA!D40 + MIDW!D40 + NE!D40 + NY!D40 + NW!D40 + SE!D40 + SW!D40 + TEN!D40 + TEX!D40</f>
        <v>841673040.8163029</v>
      </c>
      <c r="E40" s="7">
        <f xml:space="preserve"> 0 + CAL!E40 + CAR!E40 + CENT!E40 + FLA!E40 + MIDA!E40 + MIDW!E40 + NE!E40 + NY!E40 + NW!E40 + SE!E40 + SW!E40 + TEN!E40 + TEX!E40</f>
        <v>863616298.26210308</v>
      </c>
      <c r="F40" s="7">
        <f xml:space="preserve"> 0 + CAL!F40 + CAR!F40 + CENT!F40 + FLA!F40 + MIDA!F40 + MIDW!F40 + NE!F40 + NY!F40 + NW!F40 + SE!F40 + SW!F40 + TEN!F40 + TEX!F40</f>
        <v>888468360.24825716</v>
      </c>
      <c r="G40" s="7">
        <f xml:space="preserve"> 0 + CAL!G40 + CAR!G40 + CENT!G40 + FLA!G40 + MIDA!G40 + MIDW!G40 + NE!G40 + NY!G40 + NW!G40 + SE!G40 + SW!G40 + TEN!G40 + TEX!G40</f>
        <v>952347366.22569513</v>
      </c>
      <c r="H40" s="7">
        <f xml:space="preserve"> 0 + CAL!H40 + CAR!H40 + CENT!H40 + FLA!H40 + MIDA!H40 + MIDW!H40 + NE!H40 + NY!H40 + NW!H40 + SE!H40 + SW!H40 + TEN!H40 + TEX!H40</f>
        <v>1020334102.4031242</v>
      </c>
      <c r="I40" s="7">
        <f xml:space="preserve"> 0 + CAL!I40 + CAR!I40 + CENT!I40 + FLA!I40 + MIDA!I40 + MIDW!I40 + NE!I40 + NY!I40 + NW!I40 + SE!I40 + SW!I40 + TEN!I40 + TEX!I40</f>
        <v>1026455612.6256994</v>
      </c>
      <c r="J40" s="7">
        <f xml:space="preserve"> 0 + CAL!J40 + CAR!J40 + CENT!J40 + FLA!J40 + MIDA!J40 + MIDW!J40 + NE!J40 + NY!J40 + NW!J40 + SE!J40 + SW!J40 + TEN!J40 + TEX!J40</f>
        <v>1022400949.6621714</v>
      </c>
      <c r="K40" s="7">
        <f xml:space="preserve"> 0 + CAL!K40 + CAR!K40 + CENT!K40 + FLA!K40 + MIDA!K40 + MIDW!K40 + NE!K40 + NY!K40 + NW!K40 + SE!K40 + SW!K40 + TEN!K40 + TEX!K40</f>
        <v>996845345.02435052</v>
      </c>
      <c r="L40" s="7">
        <f xml:space="preserve"> 0 + CAL!L40 + CAR!L40 + CENT!L40 + FLA!L40 + MIDA!L40 + MIDW!L40 + NE!L40 + NY!L40 + NW!L40 + SE!L40 + SW!L40 + TEN!L40 + TEX!L40</f>
        <v>972333036.07871819</v>
      </c>
      <c r="M40" s="7">
        <f xml:space="preserve"> 0 + CAL!M40 + CAR!M40 + CENT!M40 + FLA!M40 + MIDA!M40 + MIDW!M40 + NE!M40 + NY!M40 + NW!M40 + SE!M40 + SW!M40 + TEN!M40 + TEX!M40</f>
        <v>948093693.75286567</v>
      </c>
      <c r="N40" s="7">
        <f xml:space="preserve"> 0 + CAL!N40 + CAR!N40 + CENT!N40 + FLA!N40 + MIDA!N40 + MIDW!N40 + NE!N40 + NY!N40 + NW!N40 + SE!N40 + SW!N40 + TEN!N40 + TEX!N40</f>
        <v>924658815.94990647</v>
      </c>
      <c r="O40" s="7">
        <f xml:space="preserve"> 0 + CAL!O40 + CAR!O40 + CENT!O40 + FLA!O40 + MIDA!O40 + MIDW!O40 + NE!O40 + NY!O40 + NW!O40 + SE!O40 + SW!O40 + TEN!O40 + TEX!O40</f>
        <v>901545815.40555191</v>
      </c>
      <c r="P40" s="7">
        <f xml:space="preserve"> 0 + CAL!P40 + CAR!P40 + CENT!P40 + FLA!P40 + MIDA!P40 + MIDW!P40 + NE!P40 + NY!P40 + NW!P40 + SE!P40 + SW!P40 + TEN!P40 + TEX!P40</f>
        <v>879010143.56492352</v>
      </c>
      <c r="Q40" s="7">
        <f xml:space="preserve"> 0 + CAL!Q40 + CAR!Q40 + CENT!Q40 + FLA!Q40 + MIDA!Q40 + MIDW!Q40 + NE!Q40 + NY!Q40 + NW!Q40 + SE!Q40 + SW!Q40 + TEN!Q40 + TEX!Q40</f>
        <v>857038761.90973556</v>
      </c>
      <c r="R40" s="7">
        <f xml:space="preserve"> 0 + CAL!R40 + CAR!R40 + CENT!R40 + FLA!R40 + MIDA!R40 + MIDW!R40 + NE!R40 + NY!R40 + NW!R40 + SE!R40 + SW!R40 + TEN!R40 + TEX!R40</f>
        <v>835614671.10189092</v>
      </c>
      <c r="S40" s="7">
        <f xml:space="preserve"> 0 + CAL!S40 + CAR!S40 + CENT!S40 + FLA!S40 + MIDA!S40 + MIDW!S40 + NE!S40 + NY!S40 + NW!S40 + SE!S40 + SW!S40 + TEN!S40 + TEX!S40</f>
        <v>814807048.35592151</v>
      </c>
      <c r="T40" s="7">
        <f xml:space="preserve"> 0 + CAL!T40 + CAR!T40 + CENT!T40 + FLA!T40 + MIDA!T40 + MIDW!T40 + NE!T40 + NY!T40 + NW!T40 + SE!T40 + SW!T40 + TEN!T40 + TEX!T40</f>
        <v>794444154.34927726</v>
      </c>
      <c r="U40" s="7">
        <f xml:space="preserve"> 0 + CAL!U40 + CAR!U40 + CENT!U40 + FLA!U40 + MIDA!U40 + MIDW!U40 + NE!U40 + NY!U40 + NW!U40 + SE!U40 + SW!U40 + TEN!U40 + TEX!U40</f>
        <v>774586131.81172132</v>
      </c>
      <c r="V40" s="7">
        <f xml:space="preserve"> 0 + CAL!V40 + CAR!V40 + CENT!V40 + FLA!V40 + MIDA!V40 + MIDW!V40 + NE!V40 + NY!V40 + NW!V40 + SE!V40 + SW!V40 + TEN!V40 + TEX!V40</f>
        <v>755256154.63143373</v>
      </c>
      <c r="W40" s="7">
        <f xml:space="preserve"> 0 + CAL!W40 + CAR!W40 + CENT!W40 + FLA!W40 + MIDA!W40 + MIDW!W40 + NE!W40 + NY!W40 + NW!W40 + SE!W40 + SW!W40 + TEN!W40 + TEX!W40</f>
        <v>736377604.72567844</v>
      </c>
      <c r="X40" s="7">
        <f xml:space="preserve"> 0 + CAL!X40 + CAR!X40 + CENT!X40 + FLA!X40 + MIDA!X40 + MIDW!X40 + NE!X40 + NY!X40 + NW!X40 + SE!X40 + SW!X40 + TEN!X40 + TEX!X40</f>
        <v>718293282.05896199</v>
      </c>
      <c r="Y40" s="7">
        <f xml:space="preserve"> 0 + CAL!Y40 + CAR!Y40 + CENT!Y40 + FLA!Y40 + MIDA!Y40 + MIDW!Y40 + NE!Y40 + NY!Y40 + NW!Y40 + SE!Y40 + SW!Y40 + TEN!Y40 + TEX!Y40</f>
        <v>700340201.87369359</v>
      </c>
      <c r="Z40" s="7">
        <f xml:space="preserve"> 0 + CAL!Z40 + CAR!Z40 + CENT!Z40 + FLA!Z40 + MIDA!Z40 + MIDW!Z40 + NE!Z40 + NY!Z40 + NW!Z40 + SE!Z40 + SW!Z40 + TEN!Z40 + TEX!Z40</f>
        <v>682833203.21327615</v>
      </c>
      <c r="AA40" s="7">
        <f xml:space="preserve"> 0 + CAL!AA40 + CAR!AA40 + CENT!AA40 + FLA!AA40 + MIDA!AA40 + MIDW!AA40 + NE!AA40 + NY!AA40 + NW!AA40 + SE!AA40 + SW!AA40 + TEN!AA40 + TEX!AA40</f>
        <v>665763294.12971854</v>
      </c>
      <c r="AB40" s="7">
        <f xml:space="preserve"> 0 + CAL!AB40 + CAR!AB40 + CENT!AB40 + FLA!AB40 + MIDA!AB40 + MIDW!AB40 + NE!AB40 + NY!AB40 + NW!AB40 + SE!AB40 + SW!AB40 + TEN!AB40 + TEX!AB40</f>
        <v>649134878.85617125</v>
      </c>
      <c r="AC40" s="7">
        <f xml:space="preserve"> 0 + CAL!AC40 + CAR!AC40 + CENT!AC40 + FLA!AC40 + MIDA!AC40 + MIDW!AC40 + NE!AC40 + NY!AC40 + NW!AC40 + SE!AC40 + SW!AC40 + TEN!AC40 + TEX!AC40</f>
        <v>632907243.7496841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810907771.67216396</v>
      </c>
      <c r="D41" s="7">
        <f xml:space="preserve"> 0 + CAL!D41 + CAR!D41 + CENT!D41 + FLA!D41 + MIDA!D41 + MIDW!D41 + NE!D41 + NY!D41 + NW!D41 + SE!D41 + SW!D41 + TEN!D41 + TEX!D41</f>
        <v>841673040.8163029</v>
      </c>
      <c r="E41" s="7">
        <f xml:space="preserve"> 0 + CAL!E41 + CAR!E41 + CENT!E41 + FLA!E41 + MIDA!E41 + MIDW!E41 + NE!E41 + NY!E41 + NW!E41 + SE!E41 + SW!E41 + TEN!E41 + TEX!E41</f>
        <v>863616298.26210308</v>
      </c>
      <c r="F41" s="7">
        <f xml:space="preserve"> 0 + CAL!F41 + CAR!F41 + CENT!F41 + FLA!F41 + MIDA!F41 + MIDW!F41 + NE!F41 + NY!F41 + NW!F41 + SE!F41 + SW!F41 + TEN!F41 + TEX!F41</f>
        <v>888468360.24825716</v>
      </c>
      <c r="G41" s="7">
        <f xml:space="preserve"> 0 + CAL!G41 + CAR!G41 + CENT!G41 + FLA!G41 + MIDA!G41 + MIDW!G41 + NE!G41 + NY!G41 + NW!G41 + SE!G41 + SW!G41 + TEN!G41 + TEX!G41</f>
        <v>952347366.22569513</v>
      </c>
      <c r="H41" s="7">
        <f xml:space="preserve"> 0 + CAL!H41 + CAR!H41 + CENT!H41 + FLA!H41 + MIDA!H41 + MIDW!H41 + NE!H41 + NY!H41 + NW!H41 + SE!H41 + SW!H41 + TEN!H41 + TEX!H41</f>
        <v>1020334102.4031242</v>
      </c>
      <c r="I41" s="7">
        <f xml:space="preserve"> 0 + CAL!I41 + CAR!I41 + CENT!I41 + FLA!I41 + MIDA!I41 + MIDW!I41 + NE!I41 + NY!I41 + NW!I41 + SE!I41 + SW!I41 + TEN!I41 + TEX!I41</f>
        <v>1026455612.6256994</v>
      </c>
      <c r="J41" s="7">
        <f xml:space="preserve"> 0 + CAL!J41 + CAR!J41 + CENT!J41 + FLA!J41 + MIDA!J41 + MIDW!J41 + NE!J41 + NY!J41 + NW!J41 + SE!J41 + SW!J41 + TEN!J41 + TEX!J41</f>
        <v>1022400949.6621714</v>
      </c>
      <c r="K41" s="7">
        <f xml:space="preserve"> 0 + CAL!K41 + CAR!K41 + CENT!K41 + FLA!K41 + MIDA!K41 + MIDW!K41 + NE!K41 + NY!K41 + NW!K41 + SE!K41 + SW!K41 + TEN!K41 + TEX!K41</f>
        <v>996845345.02435052</v>
      </c>
      <c r="L41" s="7">
        <f xml:space="preserve"> 0 + CAL!L41 + CAR!L41 + CENT!L41 + FLA!L41 + MIDA!L41 + MIDW!L41 + NE!L41 + NY!L41 + NW!L41 + SE!L41 + SW!L41 + TEN!L41 + TEX!L41</f>
        <v>972333036.07871819</v>
      </c>
      <c r="M41" s="7">
        <f xml:space="preserve"> 0 + CAL!M41 + CAR!M41 + CENT!M41 + FLA!M41 + MIDA!M41 + MIDW!M41 + NE!M41 + NY!M41 + NW!M41 + SE!M41 + SW!M41 + TEN!M41 + TEX!M41</f>
        <v>948093693.75286567</v>
      </c>
      <c r="N41" s="7">
        <f xml:space="preserve"> 0 + CAL!N41 + CAR!N41 + CENT!N41 + FLA!N41 + MIDA!N41 + MIDW!N41 + NE!N41 + NY!N41 + NW!N41 + SE!N41 + SW!N41 + TEN!N41 + TEX!N41</f>
        <v>924658815.94990647</v>
      </c>
      <c r="O41" s="7">
        <f xml:space="preserve"> 0 + CAL!O41 + CAR!O41 + CENT!O41 + FLA!O41 + MIDA!O41 + MIDW!O41 + NE!O41 + NY!O41 + NW!O41 + SE!O41 + SW!O41 + TEN!O41 + TEX!O41</f>
        <v>901545815.40555191</v>
      </c>
      <c r="P41" s="7">
        <f xml:space="preserve"> 0 + CAL!P41 + CAR!P41 + CENT!P41 + FLA!P41 + MIDA!P41 + MIDW!P41 + NE!P41 + NY!P41 + NW!P41 + SE!P41 + SW!P41 + TEN!P41 + TEX!P41</f>
        <v>879010143.56492352</v>
      </c>
      <c r="Q41" s="7">
        <f xml:space="preserve"> 0 + CAL!Q41 + CAR!Q41 + CENT!Q41 + FLA!Q41 + MIDA!Q41 + MIDW!Q41 + NE!Q41 + NY!Q41 + NW!Q41 + SE!Q41 + SW!Q41 + TEN!Q41 + TEX!Q41</f>
        <v>857038761.90973556</v>
      </c>
      <c r="R41" s="7">
        <f xml:space="preserve"> 0 + CAL!R41 + CAR!R41 + CENT!R41 + FLA!R41 + MIDA!R41 + MIDW!R41 + NE!R41 + NY!R41 + NW!R41 + SE!R41 + SW!R41 + TEN!R41 + TEX!R41</f>
        <v>835614671.10189092</v>
      </c>
      <c r="S41" s="7">
        <f xml:space="preserve"> 0 + CAL!S41 + CAR!S41 + CENT!S41 + FLA!S41 + MIDA!S41 + MIDW!S41 + NE!S41 + NY!S41 + NW!S41 + SE!S41 + SW!S41 + TEN!S41 + TEX!S41</f>
        <v>814807048.35592151</v>
      </c>
      <c r="T41" s="7">
        <f xml:space="preserve"> 0 + CAL!T41 + CAR!T41 + CENT!T41 + FLA!T41 + MIDA!T41 + MIDW!T41 + NE!T41 + NY!T41 + NW!T41 + SE!T41 + SW!T41 + TEN!T41 + TEX!T41</f>
        <v>794444154.34927726</v>
      </c>
      <c r="U41" s="7">
        <f xml:space="preserve"> 0 + CAL!U41 + CAR!U41 + CENT!U41 + FLA!U41 + MIDA!U41 + MIDW!U41 + NE!U41 + NY!U41 + NW!U41 + SE!U41 + SW!U41 + TEN!U41 + TEX!U41</f>
        <v>774586131.81172132</v>
      </c>
      <c r="V41" s="7">
        <f xml:space="preserve"> 0 + CAL!V41 + CAR!V41 + CENT!V41 + FLA!V41 + MIDA!V41 + MIDW!V41 + NE!V41 + NY!V41 + NW!V41 + SE!V41 + SW!V41 + TEN!V41 + TEX!V41</f>
        <v>755256154.63143373</v>
      </c>
      <c r="W41" s="7">
        <f xml:space="preserve"> 0 + CAL!W41 + CAR!W41 + CENT!W41 + FLA!W41 + MIDA!W41 + MIDW!W41 + NE!W41 + NY!W41 + NW!W41 + SE!W41 + SW!W41 + TEN!W41 + TEX!W41</f>
        <v>736377604.72567844</v>
      </c>
      <c r="X41" s="7">
        <f xml:space="preserve"> 0 + CAL!X41 + CAR!X41 + CENT!X41 + FLA!X41 + MIDA!X41 + MIDW!X41 + NE!X41 + NY!X41 + NW!X41 + SE!X41 + SW!X41 + TEN!X41 + TEX!X41</f>
        <v>718293282.05896199</v>
      </c>
      <c r="Y41" s="7">
        <f xml:space="preserve"> 0 + CAL!Y41 + CAR!Y41 + CENT!Y41 + FLA!Y41 + MIDA!Y41 + MIDW!Y41 + NE!Y41 + NY!Y41 + NW!Y41 + SE!Y41 + SW!Y41 + TEN!Y41 + TEX!Y41</f>
        <v>700340201.87369359</v>
      </c>
      <c r="Z41" s="7">
        <f xml:space="preserve"> 0 + CAL!Z41 + CAR!Z41 + CENT!Z41 + FLA!Z41 + MIDA!Z41 + MIDW!Z41 + NE!Z41 + NY!Z41 + NW!Z41 + SE!Z41 + SW!Z41 + TEN!Z41 + TEX!Z41</f>
        <v>682833203.21327615</v>
      </c>
      <c r="AA41" s="7">
        <f xml:space="preserve"> 0 + CAL!AA41 + CAR!AA41 + CENT!AA41 + FLA!AA41 + MIDA!AA41 + MIDW!AA41 + NE!AA41 + NY!AA41 + NW!AA41 + SE!AA41 + SW!AA41 + TEN!AA41 + TEX!AA41</f>
        <v>665763294.12971854</v>
      </c>
      <c r="AB41" s="7">
        <f xml:space="preserve"> 0 + CAL!AB41 + CAR!AB41 + CENT!AB41 + FLA!AB41 + MIDA!AB41 + MIDW!AB41 + NE!AB41 + NY!AB41 + NW!AB41 + SE!AB41 + SW!AB41 + TEN!AB41 + TEX!AB41</f>
        <v>649134878.85617125</v>
      </c>
      <c r="AC41" s="7">
        <f xml:space="preserve"> 0 + CAL!AC41 + CAR!AC41 + CENT!AC41 + FLA!AC41 + MIDA!AC41 + MIDW!AC41 + NE!AC41 + NY!AC41 + NW!AC41 + SE!AC41 + SW!AC41 + TEN!AC41 + TEX!AC41</f>
        <v>632907243.7496841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138904.7203326</v>
      </c>
      <c r="D42" s="7">
        <f xml:space="preserve"> 0 + CAL!D42 + CAR!D42 + CENT!D42 + FLA!D42 + MIDA!D42 + MIDW!D42 + NE!D42 + NY!D42 + NW!D42 + SE!D42 + SW!D42 + TEN!D42 + TEX!D42</f>
        <v>143005.30409505</v>
      </c>
      <c r="E42" s="7">
        <f xml:space="preserve"> 0 + CAL!E42 + CAR!E42 + CENT!E42 + FLA!E42 + MIDA!E42 + MIDW!E42 + NE!E42 + NY!E42 + NW!E42 + SE!E42 + SW!E42 + TEN!E42 + TEX!E42</f>
        <v>145749.45782841003</v>
      </c>
      <c r="F42" s="7">
        <f xml:space="preserve"> 0 + CAL!F42 + CAR!F42 + CENT!F42 + FLA!F42 + MIDA!F42 + MIDW!F42 + NE!F42 + NY!F42 + NW!F42 + SE!F42 + SW!F42 + TEN!F42 + TEX!F42</f>
        <v>148932.98548624001</v>
      </c>
      <c r="G42" s="7">
        <f xml:space="preserve"> 0 + CAL!G42 + CAR!G42 + CENT!G42 + FLA!G42 + MIDA!G42 + MIDW!G42 + NE!G42 + NY!G42 + NW!G42 + SE!G42 + SW!G42 + TEN!G42 + TEX!G42</f>
        <v>158594.68739558003</v>
      </c>
      <c r="H42" s="7">
        <f xml:space="preserve"> 0 + CAL!H42 + CAR!H42 + CENT!H42 + FLA!H42 + MIDA!H42 + MIDW!H42 + NE!H42 + NY!H42 + NW!H42 + SE!H42 + SW!H42 + TEN!H42 + TEX!H42</f>
        <v>168931.32652850001</v>
      </c>
      <c r="I42" s="7">
        <f xml:space="preserve"> 0 + CAL!I42 + CAR!I42 + CENT!I42 + FLA!I42 + MIDA!I42 + MIDW!I42 + NE!I42 + NY!I42 + NW!I42 + SE!I42 + SW!I42 + TEN!I42 + TEX!I42</f>
        <v>169296.57907402</v>
      </c>
      <c r="J42" s="7">
        <f xml:space="preserve"> 0 + CAL!J42 + CAR!J42 + CENT!J42 + FLA!J42 + MIDA!J42 + MIDW!J42 + NE!J42 + NY!J42 + NW!J42 + SE!J42 + SW!J42 + TEN!J42 + TEX!J42</f>
        <v>168198.45319849998</v>
      </c>
      <c r="K42" s="7">
        <f xml:space="preserve"> 0 + CAL!K42 + CAR!K42 + CENT!K42 + FLA!K42 + MIDA!K42 + MIDW!K42 + NE!K42 + NY!K42 + NW!K42 + SE!K42 + SW!K42 + TEN!K42 + TEX!K42</f>
        <v>163994.32746698</v>
      </c>
      <c r="L42" s="7">
        <f xml:space="preserve"> 0 + CAL!L42 + CAR!L42 + CENT!L42 + FLA!L42 + MIDA!L42 + MIDW!L42 + NE!L42 + NY!L42 + NW!L42 + SE!L42 + SW!L42 + TEN!L42 + TEX!L42</f>
        <v>159954.05675655999</v>
      </c>
      <c r="M42" s="7">
        <f xml:space="preserve"> 0 + CAL!M42 + CAR!M42 + CENT!M42 + FLA!M42 + MIDA!M42 + MIDW!M42 + NE!M42 + NY!M42 + NW!M42 + SE!M42 + SW!M42 + TEN!M42 + TEX!M42</f>
        <v>155965.81465660001</v>
      </c>
      <c r="N42" s="7">
        <f xml:space="preserve"> 0 + CAL!N42 + CAR!N42 + CENT!N42 + FLA!N42 + MIDA!N42 + MIDW!N42 + NE!N42 + NY!N42 + NW!N42 + SE!N42 + SW!N42 + TEN!N42 + TEX!N42</f>
        <v>152106.55390322997</v>
      </c>
      <c r="O42" s="7">
        <f xml:space="preserve"> 0 + CAL!O42 + CAR!O42 + CENT!O42 + FLA!O42 + MIDA!O42 + MIDW!O42 + NE!O42 + NY!O42 + NW!O42 + SE!O42 + SW!O42 + TEN!O42 + TEX!O42</f>
        <v>148304.10074346</v>
      </c>
      <c r="P42" s="7">
        <f xml:space="preserve"> 0 + CAL!P42 + CAR!P42 + CENT!P42 + FLA!P42 + MIDA!P42 + MIDW!P42 + NE!P42 + NY!P42 + NW!P42 + SE!P42 + SW!P42 + TEN!P42 + TEX!P42</f>
        <v>144596.52890884</v>
      </c>
      <c r="Q42" s="7">
        <f xml:space="preserve"> 0 + CAL!Q42 + CAR!Q42 + CENT!Q42 + FLA!Q42 + MIDA!Q42 + MIDW!Q42 + NE!Q42 + NY!Q42 + NW!Q42 + SE!Q42 + SW!Q42 + TEN!Q42 + TEX!Q42</f>
        <v>140981.89363882001</v>
      </c>
      <c r="R42" s="7">
        <f xml:space="preserve"> 0 + CAL!R42 + CAR!R42 + CENT!R42 + FLA!R42 + MIDA!R42 + MIDW!R42 + NE!R42 + NY!R42 + NW!R42 + SE!R42 + SW!R42 + TEN!R42 + TEX!R42</f>
        <v>137457.36726423999</v>
      </c>
      <c r="S42" s="7">
        <f xml:space="preserve"> 0 + CAL!S42 + CAR!S42 + CENT!S42 + FLA!S42 + MIDA!S42 + MIDW!S42 + NE!S42 + NY!S42 + NW!S42 + SE!S42 + SW!S42 + TEN!S42 + TEX!S42</f>
        <v>134033.13606509002</v>
      </c>
      <c r="T42" s="7">
        <f xml:space="preserve"> 0 + CAL!T42 + CAR!T42 + CENT!T42 + FLA!T42 + MIDA!T42 + MIDW!T42 + NE!T42 + NY!T42 + NW!T42 + SE!T42 + SW!T42 + TEN!T42 + TEX!T42</f>
        <v>130683.38554744999</v>
      </c>
      <c r="U42" s="7">
        <f xml:space="preserve"> 0 + CAL!U42 + CAR!U42 + CENT!U42 + FLA!U42 + MIDA!U42 + MIDW!U42 + NE!U42 + NY!U42 + NW!U42 + SE!U42 + SW!U42 + TEN!U42 + TEX!U42</f>
        <v>127416.64489407999</v>
      </c>
      <c r="V42" s="7">
        <f xml:space="preserve"> 0 + CAL!V42 + CAR!V42 + CENT!V42 + FLA!V42 + MIDA!V42 + MIDW!V42 + NE!V42 + NY!V42 + NW!V42 + SE!V42 + SW!V42 + TEN!V42 + TEX!V42</f>
        <v>124236.33986027</v>
      </c>
      <c r="W42" s="7">
        <f xml:space="preserve"> 0 + CAL!W42 + CAR!W42 + CENT!W42 + FLA!W42 + MIDA!W42 + MIDW!W42 + NE!W42 + NY!W42 + NW!W42 + SE!W42 + SW!W42 + TEN!W42 + TEX!W42</f>
        <v>121130.81614793</v>
      </c>
      <c r="X42" s="7">
        <f xml:space="preserve"> 0 + CAL!X42 + CAR!X42 + CENT!X42 + FLA!X42 + MIDA!X42 + MIDW!X42 + NE!X42 + NY!X42 + NW!X42 + SE!X42 + SW!X42 + TEN!X42 + TEX!X42</f>
        <v>118149.64786082</v>
      </c>
      <c r="Y42" s="7">
        <f xml:space="preserve"> 0 + CAL!Y42 + CAR!Y42 + CENT!Y42 + FLA!Y42 + MIDA!Y42 + MIDW!Y42 + NE!Y42 + NY!Y42 + NW!Y42 + SE!Y42 + SW!Y42 + TEN!Y42 + TEX!Y42</f>
        <v>115196.60353341</v>
      </c>
      <c r="Z42" s="7">
        <f xml:space="preserve"> 0 + CAL!Z42 + CAR!Z42 + CENT!Z42 + FLA!Z42 + MIDA!Z42 + MIDW!Z42 + NE!Z42 + NY!Z42 + NW!Z42 + SE!Z42 + SW!Z42 + TEN!Z42 + TEX!Z42</f>
        <v>112316.83254935002</v>
      </c>
      <c r="AA42" s="7">
        <f xml:space="preserve"> 0 + CAL!AA42 + CAR!AA42 + CENT!AA42 + FLA!AA42 + MIDA!AA42 + MIDW!AA42 + NE!AA42 + NY!AA42 + NW!AA42 + SE!AA42 + SW!AA42 + TEN!AA42 + TEX!AA42</f>
        <v>109508.95759610999</v>
      </c>
      <c r="AB42" s="7">
        <f xml:space="preserve"> 0 + CAL!AB42 + CAR!AB42 + CENT!AB42 + FLA!AB42 + MIDA!AB42 + MIDW!AB42 + NE!AB42 + NY!AB42 + NW!AB42 + SE!AB42 + SW!AB42 + TEN!AB42 + TEX!AB42</f>
        <v>106773.49676331002</v>
      </c>
      <c r="AC42" s="7">
        <f xml:space="preserve"> 0 + CAL!AC42 + CAR!AC42 + CENT!AC42 + FLA!AC42 + MIDA!AC42 + MIDW!AC42 + NE!AC42 + NY!AC42 + NW!AC42 + SE!AC42 + SW!AC42 + TEN!AC42 + TEX!AC42</f>
        <v>104104.16816537001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486.54466301999992</v>
      </c>
      <c r="D43" s="7">
        <f xml:space="preserve"> 0 + CAL!D43 + CAR!D43 + CENT!D43 + FLA!D43 + MIDA!D43 + MIDW!D43 + NE!D43 + NY!D43 + NW!D43 + SE!D43 + SW!D43 + TEN!D43 + TEX!D43</f>
        <v>505.00382447999988</v>
      </c>
      <c r="E43" s="7">
        <f xml:space="preserve"> 0 + CAL!E43 + CAR!E43 + CENT!E43 + FLA!E43 + MIDA!E43 + MIDW!E43 + NE!E43 + NY!E43 + NW!E43 + SE!E43 + SW!E43 + TEN!E43 + TEX!E43</f>
        <v>518.16977896000003</v>
      </c>
      <c r="F43" s="7">
        <f xml:space="preserve"> 0 + CAL!F43 + CAR!F43 + CENT!F43 + FLA!F43 + MIDA!F43 + MIDW!F43 + NE!F43 + NY!F43 + NW!F43 + SE!F43 + SW!F43 + TEN!F43 + TEX!F43</f>
        <v>533.08101613999997</v>
      </c>
      <c r="G43" s="7">
        <f xml:space="preserve"> 0 + CAL!G43 + CAR!G43 + CENT!G43 + FLA!G43 + MIDA!G43 + MIDW!G43 + NE!G43 + NY!G43 + NW!G43 + SE!G43 + SW!G43 + TEN!G43 + TEX!G43</f>
        <v>571.40841972999999</v>
      </c>
      <c r="H43" s="7">
        <f xml:space="preserve"> 0 + CAL!H43 + CAR!H43 + CENT!H43 + FLA!H43 + MIDA!H43 + MIDW!H43 + NE!H43 + NY!H43 + NW!H43 + SE!H43 + SW!H43 + TEN!H43 + TEX!H43</f>
        <v>612.20046145000003</v>
      </c>
      <c r="I43" s="7">
        <f xml:space="preserve"> 0 + CAL!I43 + CAR!I43 + CENT!I43 + FLA!I43 + MIDA!I43 + MIDW!I43 + NE!I43 + NY!I43 + NW!I43 + SE!I43 + SW!I43 + TEN!I43 + TEX!I43</f>
        <v>615.87336758000004</v>
      </c>
      <c r="J43" s="7">
        <f xml:space="preserve"> 0 + CAL!J43 + CAR!J43 + CENT!J43 + FLA!J43 + MIDA!J43 + MIDW!J43 + NE!J43 + NY!J43 + NW!J43 + SE!J43 + SW!J43 + TEN!J43 + TEX!J43</f>
        <v>613.44056980999994</v>
      </c>
      <c r="K43" s="7">
        <f xml:space="preserve"> 0 + CAL!K43 + CAR!K43 + CENT!K43 + FLA!K43 + MIDA!K43 + MIDW!K43 + NE!K43 + NY!K43 + NW!K43 + SE!K43 + SW!K43 + TEN!K43 + TEX!K43</f>
        <v>598.10720701000002</v>
      </c>
      <c r="L43" s="7">
        <f xml:space="preserve"> 0 + CAL!L43 + CAR!L43 + CENT!L43 + FLA!L43 + MIDA!L43 + MIDW!L43 + NE!L43 + NY!L43 + NW!L43 + SE!L43 + SW!L43 + TEN!L43 + TEX!L43</f>
        <v>583.39982165000004</v>
      </c>
      <c r="M43" s="7">
        <f xml:space="preserve"> 0 + CAL!M43 + CAR!M43 + CENT!M43 + FLA!M43 + MIDA!M43 + MIDW!M43 + NE!M43 + NY!M43 + NW!M43 + SE!M43 + SW!M43 + TEN!M43 + TEX!M43</f>
        <v>568.85621626</v>
      </c>
      <c r="N43" s="7">
        <f xml:space="preserve"> 0 + CAL!N43 + CAR!N43 + CENT!N43 + FLA!N43 + MIDA!N43 + MIDW!N43 + NE!N43 + NY!N43 + NW!N43 + SE!N43 + SW!N43 + TEN!N43 + TEX!N43</f>
        <v>554.79528958000003</v>
      </c>
      <c r="O43" s="7">
        <f xml:space="preserve"> 0 + CAL!O43 + CAR!O43 + CENT!O43 + FLA!O43 + MIDA!O43 + MIDW!O43 + NE!O43 + NY!O43 + NW!O43 + SE!O43 + SW!O43 + TEN!O43 + TEX!O43</f>
        <v>540.92748922999999</v>
      </c>
      <c r="P43" s="7">
        <f xml:space="preserve"> 0 + CAL!P43 + CAR!P43 + CENT!P43 + FLA!P43 + MIDA!P43 + MIDW!P43 + NE!P43 + NY!P43 + NW!P43 + SE!P43 + SW!P43 + TEN!P43 + TEX!P43</f>
        <v>527.40608614999996</v>
      </c>
      <c r="Q43" s="7">
        <f xml:space="preserve"> 0 + CAL!Q43 + CAR!Q43 + CENT!Q43 + FLA!Q43 + MIDA!Q43 + MIDW!Q43 + NE!Q43 + NY!Q43 + NW!Q43 + SE!Q43 + SW!Q43 + TEN!Q43 + TEX!Q43</f>
        <v>514.22325711999997</v>
      </c>
      <c r="R43" s="7">
        <f xml:space="preserve"> 0 + CAL!R43 + CAR!R43 + CENT!R43 + FLA!R43 + MIDA!R43 + MIDW!R43 + NE!R43 + NY!R43 + NW!R43 + SE!R43 + SW!R43 + TEN!R43 + TEX!R43</f>
        <v>501.36880265000002</v>
      </c>
      <c r="S43" s="7">
        <f xml:space="preserve"> 0 + CAL!S43 + CAR!S43 + CENT!S43 + FLA!S43 + MIDA!S43 + MIDW!S43 + NE!S43 + NY!S43 + NW!S43 + SE!S43 + SW!S43 + TEN!S43 + TEX!S43</f>
        <v>488.88422901999996</v>
      </c>
      <c r="T43" s="7">
        <f xml:space="preserve"> 0 + CAL!T43 + CAR!T43 + CENT!T43 + FLA!T43 + MIDA!T43 + MIDW!T43 + NE!T43 + NY!T43 + NW!T43 + SE!T43 + SW!T43 + TEN!T43 + TEX!T43</f>
        <v>476.66649260000003</v>
      </c>
      <c r="U43" s="7">
        <f xml:space="preserve"> 0 + CAL!U43 + CAR!U43 + CENT!U43 + FLA!U43 + MIDA!U43 + MIDW!U43 + NE!U43 + NY!U43 + NW!U43 + SE!U43 + SW!U43 + TEN!U43 + TEX!U43</f>
        <v>464.75167910000005</v>
      </c>
      <c r="V43" s="7">
        <f xml:space="preserve"> 0 + CAL!V43 + CAR!V43 + CENT!V43 + FLA!V43 + MIDA!V43 + MIDW!V43 + NE!V43 + NY!V43 + NW!V43 + SE!V43 + SW!V43 + TEN!V43 + TEX!V43</f>
        <v>453.15369276999996</v>
      </c>
      <c r="W43" s="7">
        <f xml:space="preserve"> 0 + CAL!W43 + CAR!W43 + CENT!W43 + FLA!W43 + MIDA!W43 + MIDW!W43 + NE!W43 + NY!W43 + NW!W43 + SE!W43 + SW!W43 + TEN!W43 + TEX!W43</f>
        <v>441.82656281000004</v>
      </c>
      <c r="X43" s="7">
        <f xml:space="preserve"> 0 + CAL!X43 + CAR!X43 + CENT!X43 + FLA!X43 + MIDA!X43 + MIDW!X43 + NE!X43 + NY!X43 + NW!X43 + SE!X43 + SW!X43 + TEN!X43 + TEX!X43</f>
        <v>430.97596923999998</v>
      </c>
      <c r="Y43" s="7">
        <f xml:space="preserve"> 0 + CAL!Y43 + CAR!Y43 + CENT!Y43 + FLA!Y43 + MIDA!Y43 + MIDW!Y43 + NE!Y43 + NY!Y43 + NW!Y43 + SE!Y43 + SW!Y43 + TEN!Y43 + TEX!Y43</f>
        <v>420.20412113000003</v>
      </c>
      <c r="Z43" s="7">
        <f xml:space="preserve"> 0 + CAL!Z43 + CAR!Z43 + CENT!Z43 + FLA!Z43 + MIDA!Z43 + MIDW!Z43 + NE!Z43 + NY!Z43 + NW!Z43 + SE!Z43 + SW!Z43 + TEN!Z43 + TEX!Z43</f>
        <v>409.69992192999996</v>
      </c>
      <c r="AA43" s="7">
        <f xml:space="preserve"> 0 + CAL!AA43 + CAR!AA43 + CENT!AA43 + FLA!AA43 + MIDA!AA43 + MIDW!AA43 + NE!AA43 + NY!AA43 + NW!AA43 + SE!AA43 + SW!AA43 + TEN!AA43 + TEX!AA43</f>
        <v>399.45797648999996</v>
      </c>
      <c r="AB43" s="7">
        <f xml:space="preserve"> 0 + CAL!AB43 + CAR!AB43 + CENT!AB43 + FLA!AB43 + MIDA!AB43 + MIDW!AB43 + NE!AB43 + NY!AB43 + NW!AB43 + SE!AB43 + SW!AB43 + TEN!AB43 + TEX!AB43</f>
        <v>389.48092733000004</v>
      </c>
      <c r="AC43" s="7">
        <f xml:space="preserve"> 0 + CAL!AC43 + CAR!AC43 + CENT!AC43 + FLA!AC43 + MIDA!AC43 + MIDW!AC43 + NE!AC43 + NY!AC43 + NW!AC43 + SE!AC43 + SW!AC43 + TEN!AC43 + TEX!AC43</f>
        <v>379.74434625999999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2.43272333</v>
      </c>
      <c r="D44" s="7">
        <f xml:space="preserve"> 0 + CAL!D44 + CAR!D44 + CENT!D44 + FLA!D44 + MIDA!D44 + MIDW!D44 + NE!D44 + NY!D44 + NW!D44 + SE!D44 + SW!D44 + TEN!D44 + TEX!D44</f>
        <v>2.5250191100000001</v>
      </c>
      <c r="E44" s="7">
        <f xml:space="preserve"> 0 + CAL!E44 + CAR!E44 + CENT!E44 + FLA!E44 + MIDA!E44 + MIDW!E44 + NE!E44 + NY!E44 + NW!E44 + SE!E44 + SW!E44 + TEN!E44 + TEX!E44</f>
        <v>2.5908488800000007</v>
      </c>
      <c r="F44" s="7">
        <f xml:space="preserve"> 0 + CAL!F44 + CAR!F44 + CENT!F44 + FLA!F44 + MIDA!F44 + MIDW!F44 + NE!F44 + NY!F44 + NW!F44 + SE!F44 + SW!F44 + TEN!F44 + TEX!F44</f>
        <v>2.6654050900000001</v>
      </c>
      <c r="G44" s="7">
        <f xml:space="preserve"> 0 + CAL!G44 + CAR!G44 + CENT!G44 + FLA!G44 + MIDA!G44 + MIDW!G44 + NE!G44 + NY!G44 + NW!G44 + SE!G44 + SW!G44 + TEN!G44 + TEX!G44</f>
        <v>2.8570420900000002</v>
      </c>
      <c r="H44" s="7">
        <f xml:space="preserve"> 0 + CAL!H44 + CAR!H44 + CENT!H44 + FLA!H44 + MIDA!H44 + MIDW!H44 + NE!H44 + NY!H44 + NW!H44 + SE!H44 + SW!H44 + TEN!H44 + TEX!H44</f>
        <v>3.06100233</v>
      </c>
      <c r="I44" s="7">
        <f xml:space="preserve"> 0 + CAL!I44 + CAR!I44 + CENT!I44 + FLA!I44 + MIDA!I44 + MIDW!I44 + NE!I44 + NY!I44 + NW!I44 + SE!I44 + SW!I44 + TEN!I44 + TEX!I44</f>
        <v>3.07936684</v>
      </c>
      <c r="J44" s="7">
        <f xml:space="preserve"> 0 + CAL!J44 + CAR!J44 + CENT!J44 + FLA!J44 + MIDA!J44 + MIDW!J44 + NE!J44 + NY!J44 + NW!J44 + SE!J44 + SW!J44 + TEN!J44 + TEX!J44</f>
        <v>3.0672028600000001</v>
      </c>
      <c r="K44" s="7">
        <f xml:space="preserve"> 0 + CAL!K44 + CAR!K44 + CENT!K44 + FLA!K44 + MIDA!K44 + MIDW!K44 + NE!K44 + NY!K44 + NW!K44 + SE!K44 + SW!K44 + TEN!K44 + TEX!K44</f>
        <v>2.9905360300000003</v>
      </c>
      <c r="L44" s="7">
        <f xml:space="preserve"> 0 + CAL!L44 + CAR!L44 + CENT!L44 + FLA!L44 + MIDA!L44 + MIDW!L44 + NE!L44 + NY!L44 + NW!L44 + SE!L44 + SW!L44 + TEN!L44 + TEX!L44</f>
        <v>2.9169991099999999</v>
      </c>
      <c r="M44" s="7">
        <f xml:space="preserve"> 0 + CAL!M44 + CAR!M44 + CENT!M44 + FLA!M44 + MIDA!M44 + MIDW!M44 + NE!M44 + NY!M44 + NW!M44 + SE!M44 + SW!M44 + TEN!M44 + TEX!M44</f>
        <v>2.8442810600000001</v>
      </c>
      <c r="N44" s="7">
        <f xml:space="preserve"> 0 + CAL!N44 + CAR!N44 + CENT!N44 + FLA!N44 + MIDA!N44 + MIDW!N44 + NE!N44 + NY!N44 + NW!N44 + SE!N44 + SW!N44 + TEN!N44 + TEX!N44</f>
        <v>2.7739764499999997</v>
      </c>
      <c r="O44" s="7">
        <f xml:space="preserve"> 0 + CAL!O44 + CAR!O44 + CENT!O44 + FLA!O44 + MIDA!O44 + MIDW!O44 + NE!O44 + NY!O44 + NW!O44 + SE!O44 + SW!O44 + TEN!O44 + TEX!O44</f>
        <v>2.7046374399999995</v>
      </c>
      <c r="P44" s="7">
        <f xml:space="preserve"> 0 + CAL!P44 + CAR!P44 + CENT!P44 + FLA!P44 + MIDA!P44 + MIDW!P44 + NE!P44 + NY!P44 + NW!P44 + SE!P44 + SW!P44 + TEN!P44 + TEX!P44</f>
        <v>2.6370304400000002</v>
      </c>
      <c r="Q44" s="7">
        <f xml:space="preserve"> 0 + CAL!Q44 + CAR!Q44 + CENT!Q44 + FLA!Q44 + MIDA!Q44 + MIDW!Q44 + NE!Q44 + NY!Q44 + NW!Q44 + SE!Q44 + SW!Q44 + TEN!Q44 + TEX!Q44</f>
        <v>2.57111629</v>
      </c>
      <c r="R44" s="7">
        <f xml:space="preserve"> 0 + CAL!R44 + CAR!R44 + CENT!R44 + FLA!R44 + MIDA!R44 + MIDW!R44 + NE!R44 + NY!R44 + NW!R44 + SE!R44 + SW!R44 + TEN!R44 + TEX!R44</f>
        <v>2.5068440299999999</v>
      </c>
      <c r="S44" s="7">
        <f xml:space="preserve"> 0 + CAL!S44 + CAR!S44 + CENT!S44 + FLA!S44 + MIDA!S44 + MIDW!S44 + NE!S44 + NY!S44 + NW!S44 + SE!S44 + SW!S44 + TEN!S44 + TEX!S44</f>
        <v>2.4444211500000002</v>
      </c>
      <c r="T44" s="7">
        <f xml:space="preserve"> 0 + CAL!T44 + CAR!T44 + CENT!T44 + FLA!T44 + MIDA!T44 + MIDW!T44 + NE!T44 + NY!T44 + NW!T44 + SE!T44 + SW!T44 + TEN!T44 + TEX!T44</f>
        <v>2.38333248</v>
      </c>
      <c r="U44" s="7">
        <f xml:space="preserve"> 0 + CAL!U44 + CAR!U44 + CENT!U44 + FLA!U44 + MIDA!U44 + MIDW!U44 + NE!U44 + NY!U44 + NW!U44 + SE!U44 + SW!U44 + TEN!U44 + TEX!U44</f>
        <v>2.3237584</v>
      </c>
      <c r="V44" s="7">
        <f xml:space="preserve"> 0 + CAL!V44 + CAR!V44 + CENT!V44 + FLA!V44 + MIDA!V44 + MIDW!V44 + NE!V44 + NY!V44 + NW!V44 + SE!V44 + SW!V44 + TEN!V44 + TEX!V44</f>
        <v>2.2657684599999999</v>
      </c>
      <c r="W44" s="7">
        <f xml:space="preserve"> 0 + CAL!W44 + CAR!W44 + CENT!W44 + FLA!W44 + MIDA!W44 + MIDW!W44 + NE!W44 + NY!W44 + NW!W44 + SE!W44 + SW!W44 + TEN!W44 + TEX!W44</f>
        <v>2.2091327999999999</v>
      </c>
      <c r="X44" s="7">
        <f xml:space="preserve"> 0 + CAL!X44 + CAR!X44 + CENT!X44 + FLA!X44 + MIDA!X44 + MIDW!X44 + NE!X44 + NY!X44 + NW!X44 + SE!X44 + SW!X44 + TEN!X44 + TEX!X44</f>
        <v>2.1548798300000005</v>
      </c>
      <c r="Y44" s="7">
        <f xml:space="preserve"> 0 + CAL!Y44 + CAR!Y44 + CENT!Y44 + FLA!Y44 + MIDA!Y44 + MIDW!Y44 + NE!Y44 + NY!Y44 + NW!Y44 + SE!Y44 + SW!Y44 + TEN!Y44 + TEX!Y44</f>
        <v>2.1010206</v>
      </c>
      <c r="Z44" s="7">
        <f xml:space="preserve"> 0 + CAL!Z44 + CAR!Z44 + CENT!Z44 + FLA!Z44 + MIDA!Z44 + MIDW!Z44 + NE!Z44 + NY!Z44 + NW!Z44 + SE!Z44 + SW!Z44 + TEN!Z44 + TEX!Z44</f>
        <v>2.0484996099999999</v>
      </c>
      <c r="AA44" s="7">
        <f xml:space="preserve"> 0 + CAL!AA44 + CAR!AA44 + CENT!AA44 + FLA!AA44 + MIDA!AA44 + MIDW!AA44 + NE!AA44 + NY!AA44 + NW!AA44 + SE!AA44 + SW!AA44 + TEN!AA44 + TEX!AA44</f>
        <v>1.99728989</v>
      </c>
      <c r="AB44" s="7">
        <f xml:space="preserve"> 0 + CAL!AB44 + CAR!AB44 + CENT!AB44 + FLA!AB44 + MIDA!AB44 + MIDW!AB44 + NE!AB44 + NY!AB44 + NW!AB44 + SE!AB44 + SW!AB44 + TEN!AB44 + TEX!AB44</f>
        <v>1.9474046400000002</v>
      </c>
      <c r="AC44" s="7">
        <f xml:space="preserve"> 0 + CAL!AC44 + CAR!AC44 + CENT!AC44 + FLA!AC44 + MIDA!AC44 + MIDW!AC44 + NE!AC44 + NY!AC44 + NW!AC44 + SE!AC44 + SW!AC44 + TEN!AC44 + TEX!AC44</f>
        <v>1.8987217600000001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130706.44276099003</v>
      </c>
      <c r="D45" s="7">
        <f xml:space="preserve"> 0 + CAL!D45 + CAR!D45 + CENT!D45 + FLA!D45 + MIDA!D45 + MIDW!D45 + NE!D45 + NY!D45 + NW!D45 + SE!D45 + SW!D45 + TEN!D45 + TEX!D45</f>
        <v>134495.98965241</v>
      </c>
      <c r="E45" s="7">
        <f xml:space="preserve"> 0 + CAL!E45 + CAR!E45 + CENT!E45 + FLA!E45 + MIDA!E45 + MIDW!E45 + NE!E45 + NY!E45 + NW!E45 + SE!E45 + SW!E45 + TEN!E45 + TEX!E45</f>
        <v>137018.29705296998</v>
      </c>
      <c r="F45" s="7">
        <f xml:space="preserve"> 0 + CAL!F45 + CAR!F45 + CENT!F45 + FLA!F45 + MIDA!F45 + MIDW!F45 + NE!F45 + NY!F45 + NW!F45 + SE!F45 + SW!F45 + TEN!F45 + TEX!F45</f>
        <v>139950.57036414999</v>
      </c>
      <c r="G45" s="7">
        <f xml:space="preserve"> 0 + CAL!G45 + CAR!G45 + CENT!G45 + FLA!G45 + MIDA!G45 + MIDW!G45 + NE!G45 + NY!G45 + NW!G45 + SE!G45 + SW!G45 + TEN!G45 + TEX!G45</f>
        <v>148966.45552305999</v>
      </c>
      <c r="H45" s="7">
        <f xml:space="preserve"> 0 + CAL!H45 + CAR!H45 + CENT!H45 + FLA!H45 + MIDA!H45 + MIDW!H45 + NE!H45 + NY!H45 + NW!H45 + SE!H45 + SW!H45 + TEN!H45 + TEX!H45</f>
        <v>158615.74875320005</v>
      </c>
      <c r="I45" s="7">
        <f xml:space="preserve"> 0 + CAL!I45 + CAR!I45 + CENT!I45 + FLA!I45 + MIDA!I45 + MIDW!I45 + NE!I45 + NY!I45 + NW!I45 + SE!I45 + SW!I45 + TEN!I45 + TEX!I45</f>
        <v>158919.11283038999</v>
      </c>
      <c r="J45" s="7">
        <f xml:space="preserve"> 0 + CAL!J45 + CAR!J45 + CENT!J45 + FLA!J45 + MIDA!J45 + MIDW!J45 + NE!J45 + NY!J45 + NW!J45 + SE!J45 + SW!J45 + TEN!J45 + TEX!J45</f>
        <v>157861.97959741001</v>
      </c>
      <c r="K45" s="7">
        <f xml:space="preserve"> 0 + CAL!K45 + CAR!K45 + CENT!K45 + FLA!K45 + MIDA!K45 + MIDW!K45 + NE!K45 + NY!K45 + NW!K45 + SE!K45 + SW!K45 + TEN!K45 + TEX!K45</f>
        <v>153916.22102878001</v>
      </c>
      <c r="L45" s="7">
        <f xml:space="preserve"> 0 + CAL!L45 + CAR!L45 + CENT!L45 + FLA!L45 + MIDA!L45 + MIDW!L45 + NE!L45 + NY!L45 + NW!L45 + SE!L45 + SW!L45 + TEN!L45 + TEX!L45</f>
        <v>150123.76976182</v>
      </c>
      <c r="M45" s="7">
        <f xml:space="preserve"> 0 + CAL!M45 + CAR!M45 + CENT!M45 + FLA!M45 + MIDA!M45 + MIDW!M45 + NE!M45 + NY!M45 + NW!M45 + SE!M45 + SW!M45 + TEN!M45 + TEX!M45</f>
        <v>146380.58741275</v>
      </c>
      <c r="N45" s="7">
        <f xml:space="preserve"> 0 + CAL!N45 + CAR!N45 + CENT!N45 + FLA!N45 + MIDA!N45 + MIDW!N45 + NE!N45 + NY!N45 + NW!N45 + SE!N45 + SW!N45 + TEN!N45 + TEX!N45</f>
        <v>142758.25327396003</v>
      </c>
      <c r="O45" s="7">
        <f xml:space="preserve"> 0 + CAL!O45 + CAR!O45 + CENT!O45 + FLA!O45 + MIDA!O45 + MIDW!O45 + NE!O45 + NY!O45 + NW!O45 + SE!O45 + SW!O45 + TEN!O45 + TEX!O45</f>
        <v>139189.47254973999</v>
      </c>
      <c r="P45" s="7">
        <f xml:space="preserve"> 0 + CAL!P45 + CAR!P45 + CENT!P45 + FLA!P45 + MIDA!P45 + MIDW!P45 + NE!P45 + NY!P45 + NW!P45 + SE!P45 + SW!P45 + TEN!P45 + TEX!P45</f>
        <v>135709.73635738</v>
      </c>
      <c r="Q45" s="7">
        <f xml:space="preserve"> 0 + CAL!Q45 + CAR!Q45 + CENT!Q45 + FLA!Q45 + MIDA!Q45 + MIDW!Q45 + NE!Q45 + NY!Q45 + NW!Q45 + SE!Q45 + SW!Q45 + TEN!Q45 + TEX!Q45</f>
        <v>132317.23175590998</v>
      </c>
      <c r="R45" s="7">
        <f xml:space="preserve"> 0 + CAL!R45 + CAR!R45 + CENT!R45 + FLA!R45 + MIDA!R45 + MIDW!R45 + NE!R45 + NY!R45 + NW!R45 + SE!R45 + SW!R45 + TEN!R45 + TEX!R45</f>
        <v>129009.30293939001</v>
      </c>
      <c r="S45" s="7">
        <f xml:space="preserve"> 0 + CAL!S45 + CAR!S45 + CENT!S45 + FLA!S45 + MIDA!S45 + MIDW!S45 + NE!S45 + NY!S45 + NW!S45 + SE!S45 + SW!S45 + TEN!S45 + TEX!S45</f>
        <v>125795.43680622999</v>
      </c>
      <c r="T45" s="7">
        <f xml:space="preserve"> 0 + CAL!T45 + CAR!T45 + CENT!T45 + FLA!T45 + MIDA!T45 + MIDW!T45 + NE!T45 + NY!T45 + NW!T45 + SE!T45 + SW!T45 + TEN!T45 + TEX!T45</f>
        <v>122651.55514697</v>
      </c>
      <c r="U45" s="7">
        <f xml:space="preserve"> 0 + CAL!U45 + CAR!U45 + CENT!U45 + FLA!U45 + MIDA!U45 + MIDW!U45 + NE!U45 + NY!U45 + NW!U45 + SE!U45 + SW!U45 + TEN!U45 + TEX!U45</f>
        <v>119585.57910144998</v>
      </c>
      <c r="V45" s="7">
        <f xml:space="preserve"> 0 + CAL!V45 + CAR!V45 + CENT!V45 + FLA!V45 + MIDA!V45 + MIDW!V45 + NE!V45 + NY!V45 + NW!V45 + SE!V45 + SW!V45 + TEN!V45 + TEX!V45</f>
        <v>116600.70013694001</v>
      </c>
      <c r="W45" s="7">
        <f xml:space="preserve"> 0 + CAL!W45 + CAR!W45 + CENT!W45 + FLA!W45 + MIDA!W45 + MIDW!W45 + NE!W45 + NY!W45 + NW!W45 + SE!W45 + SW!W45 + TEN!W45 + TEX!W45</f>
        <v>113686.03856416</v>
      </c>
      <c r="X45" s="7">
        <f xml:space="preserve"> 0 + CAL!X45 + CAR!X45 + CENT!X45 + FLA!X45 + MIDA!X45 + MIDW!X45 + NE!X45 + NY!X45 + NW!X45 + SE!X45 + SW!X45 + TEN!X45 + TEX!X45</f>
        <v>110887.70277920998</v>
      </c>
      <c r="Y45" s="7">
        <f xml:space="preserve"> 0 + CAL!Y45 + CAR!Y45 + CENT!Y45 + FLA!Y45 + MIDA!Y45 + MIDW!Y45 + NE!Y45 + NY!Y45 + NW!Y45 + SE!Y45 + SW!Y45 + TEN!Y45 + TEX!Y45</f>
        <v>108116.16409247002</v>
      </c>
      <c r="Z45" s="7">
        <f xml:space="preserve"> 0 + CAL!Z45 + CAR!Z45 + CENT!Z45 + FLA!Z45 + MIDA!Z45 + MIDW!Z45 + NE!Z45 + NY!Z45 + NW!Z45 + SE!Z45 + SW!Z45 + TEN!Z45 + TEX!Z45</f>
        <v>105413.38886484999</v>
      </c>
      <c r="AA45" s="7">
        <f xml:space="preserve"> 0 + CAL!AA45 + CAR!AA45 + CENT!AA45 + FLA!AA45 + MIDA!AA45 + MIDW!AA45 + NE!AA45 + NY!AA45 + NW!AA45 + SE!AA45 + SW!AA45 + TEN!AA45 + TEX!AA45</f>
        <v>102778.09069245</v>
      </c>
      <c r="AB45" s="7">
        <f xml:space="preserve"> 0 + CAL!AB45 + CAR!AB45 + CENT!AB45 + FLA!AB45 + MIDA!AB45 + MIDW!AB45 + NE!AB45 + NY!AB45 + NW!AB45 + SE!AB45 + SW!AB45 + TEN!AB45 + TEX!AB45</f>
        <v>100210.74313805001</v>
      </c>
      <c r="AC45" s="7">
        <f xml:space="preserve"> 0 + CAL!AC45 + CAR!AC45 + CENT!AC45 + FLA!AC45 + MIDA!AC45 + MIDW!AC45 + NE!AC45 + NY!AC45 + NW!AC45 + SE!AC45 + SW!AC45 + TEN!AC45 + TEX!AC45</f>
        <v>97705.475931069988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8198.2775715900007</v>
      </c>
      <c r="D46" s="7">
        <f xml:space="preserve"> 0 + CAL!D46 + CAR!D46 + CENT!D46 + FLA!D46 + MIDA!D46 + MIDW!D46 + NE!D46 + NY!D46 + NW!D46 + SE!D46 + SW!D46 + TEN!D46 + TEX!D46</f>
        <v>8509.3144426399995</v>
      </c>
      <c r="E46" s="7">
        <f xml:space="preserve"> 0 + CAL!E46 + CAR!E46 + CENT!E46 + FLA!E46 + MIDA!E46 + MIDW!E46 + NE!E46 + NY!E46 + NW!E46 + SE!E46 + SW!E46 + TEN!E46 + TEX!E46</f>
        <v>8731.1607754400011</v>
      </c>
      <c r="F46" s="7">
        <f xml:space="preserve"> 0 + CAL!F46 + CAR!F46 + CENT!F46 + FLA!F46 + MIDA!F46 + MIDW!F46 + NE!F46 + NY!F46 + NW!F46 + SE!F46 + SW!F46 + TEN!F46 + TEX!F46</f>
        <v>8982.4151221299981</v>
      </c>
      <c r="G46" s="7">
        <f xml:space="preserve"> 0 + CAL!G46 + CAR!G46 + CENT!G46 + FLA!G46 + MIDA!G46 + MIDW!G46 + NE!G46 + NY!G46 + NW!G46 + SE!G46 + SW!G46 + TEN!G46 + TEX!G46</f>
        <v>9628.23187254</v>
      </c>
      <c r="H46" s="7">
        <f xml:space="preserve"> 0 + CAL!H46 + CAR!H46 + CENT!H46 + FLA!H46 + MIDA!H46 + MIDW!H46 + NE!H46 + NY!H46 + NW!H46 + SE!H46 + SW!H46 + TEN!H46 + TEX!H46</f>
        <v>10315.57777528</v>
      </c>
      <c r="I46" s="7">
        <f xml:space="preserve"> 0 + CAL!I46 + CAR!I46 + CENT!I46 + FLA!I46 + MIDA!I46 + MIDW!I46 + NE!I46 + NY!I46 + NW!I46 + SE!I46 + SW!I46 + TEN!I46 + TEX!I46</f>
        <v>10377.46624365</v>
      </c>
      <c r="J46" s="7">
        <f xml:space="preserve"> 0 + CAL!J46 + CAR!J46 + CENT!J46 + FLA!J46 + MIDA!J46 + MIDW!J46 + NE!J46 + NY!J46 + NW!J46 + SE!J46 + SW!J46 + TEN!J46 + TEX!J46</f>
        <v>10336.47360109</v>
      </c>
      <c r="K46" s="7">
        <f xml:space="preserve"> 0 + CAL!K46 + CAR!K46 + CENT!K46 + FLA!K46 + MIDA!K46 + MIDW!K46 + NE!K46 + NY!K46 + NW!K46 + SE!K46 + SW!K46 + TEN!K46 + TEX!K46</f>
        <v>10078.10643819</v>
      </c>
      <c r="L46" s="7">
        <f xml:space="preserve"> 0 + CAL!L46 + CAR!L46 + CENT!L46 + FLA!L46 + MIDA!L46 + MIDW!L46 + NE!L46 + NY!L46 + NW!L46 + SE!L46 + SW!L46 + TEN!L46 + TEX!L46</f>
        <v>9830.2869947600011</v>
      </c>
      <c r="M46" s="7">
        <f xml:space="preserve"> 0 + CAL!M46 + CAR!M46 + CENT!M46 + FLA!M46 + MIDA!M46 + MIDW!M46 + NE!M46 + NY!M46 + NW!M46 + SE!M46 + SW!M46 + TEN!M46 + TEX!M46</f>
        <v>9585.2272438600012</v>
      </c>
      <c r="N46" s="7">
        <f xml:space="preserve"> 0 + CAL!N46 + CAR!N46 + CENT!N46 + FLA!N46 + MIDA!N46 + MIDW!N46 + NE!N46 + NY!N46 + NW!N46 + SE!N46 + SW!N46 + TEN!N46 + TEX!N46</f>
        <v>9348.3006292600003</v>
      </c>
      <c r="O46" s="7">
        <f xml:space="preserve"> 0 + CAL!O46 + CAR!O46 + CENT!O46 + FLA!O46 + MIDA!O46 + MIDW!O46 + NE!O46 + NY!O46 + NW!O46 + SE!O46 + SW!O46 + TEN!O46 + TEX!O46</f>
        <v>9114.6281937399981</v>
      </c>
      <c r="P46" s="7">
        <f xml:space="preserve"> 0 + CAL!P46 + CAR!P46 + CENT!P46 + FLA!P46 + MIDA!P46 + MIDW!P46 + NE!P46 + NY!P46 + NW!P46 + SE!P46 + SW!P46 + TEN!P46 + TEX!P46</f>
        <v>8886.7925514399994</v>
      </c>
      <c r="Q46" s="7">
        <f xml:space="preserve"> 0 + CAL!Q46 + CAR!Q46 + CENT!Q46 + FLA!Q46 + MIDA!Q46 + MIDW!Q46 + NE!Q46 + NY!Q46 + NW!Q46 + SE!Q46 + SW!Q46 + TEN!Q46 + TEX!Q46</f>
        <v>8664.6618829099989</v>
      </c>
      <c r="R46" s="7">
        <f xml:space="preserve"> 0 + CAL!R46 + CAR!R46 + CENT!R46 + FLA!R46 + MIDA!R46 + MIDW!R46 + NE!R46 + NY!R46 + NW!R46 + SE!R46 + SW!R46 + TEN!R46 + TEX!R46</f>
        <v>8448.0643248399992</v>
      </c>
      <c r="S46" s="7">
        <f xml:space="preserve"> 0 + CAL!S46 + CAR!S46 + CENT!S46 + FLA!S46 + MIDA!S46 + MIDW!S46 + NE!S46 + NY!S46 + NW!S46 + SE!S46 + SW!S46 + TEN!S46 + TEX!S46</f>
        <v>8237.6992588699977</v>
      </c>
      <c r="T46" s="7">
        <f xml:space="preserve"> 0 + CAL!T46 + CAR!T46 + CENT!T46 + FLA!T46 + MIDA!T46 + MIDW!T46 + NE!T46 + NY!T46 + NW!T46 + SE!T46 + SW!T46 + TEN!T46 + TEX!T46</f>
        <v>8031.8304004799984</v>
      </c>
      <c r="U46" s="7">
        <f xml:space="preserve"> 0 + CAL!U46 + CAR!U46 + CENT!U46 + FLA!U46 + MIDA!U46 + MIDW!U46 + NE!U46 + NY!U46 + NW!U46 + SE!U46 + SW!U46 + TEN!U46 + TEX!U46</f>
        <v>7831.0657926199992</v>
      </c>
      <c r="V46" s="7">
        <f xml:space="preserve"> 0 + CAL!V46 + CAR!V46 + CENT!V46 + FLA!V46 + MIDA!V46 + MIDW!V46 + NE!V46 + NY!V46 + NW!V46 + SE!V46 + SW!V46 + TEN!V46 + TEX!V46</f>
        <v>7635.6397233200005</v>
      </c>
      <c r="W46" s="7">
        <f xml:space="preserve"> 0 + CAL!W46 + CAR!W46 + CENT!W46 + FLA!W46 + MIDA!W46 + MIDW!W46 + NE!W46 + NY!W46 + NW!W46 + SE!W46 + SW!W46 + TEN!W46 + TEX!W46</f>
        <v>7444.77758378</v>
      </c>
      <c r="X46" s="7">
        <f xml:space="preserve"> 0 + CAL!X46 + CAR!X46 + CENT!X46 + FLA!X46 + MIDA!X46 + MIDW!X46 + NE!X46 + NY!X46 + NW!X46 + SE!X46 + SW!X46 + TEN!X46 + TEX!X46</f>
        <v>7261.9450816099998</v>
      </c>
      <c r="Y46" s="7">
        <f xml:space="preserve"> 0 + CAL!Y46 + CAR!Y46 + CENT!Y46 + FLA!Y46 + MIDA!Y46 + MIDW!Y46 + NE!Y46 + NY!Y46 + NW!Y46 + SE!Y46 + SW!Y46 + TEN!Y46 + TEX!Y46</f>
        <v>7080.4394409500001</v>
      </c>
      <c r="Z46" s="7">
        <f xml:space="preserve"> 0 + CAL!Z46 + CAR!Z46 + CENT!Z46 + FLA!Z46 + MIDA!Z46 + MIDW!Z46 + NE!Z46 + NY!Z46 + NW!Z46 + SE!Z46 + SW!Z46 + TEN!Z46 + TEX!Z46</f>
        <v>6903.4436845000009</v>
      </c>
      <c r="AA46" s="7">
        <f xml:space="preserve"> 0 + CAL!AA46 + CAR!AA46 + CENT!AA46 + FLA!AA46 + MIDA!AA46 + MIDW!AA46 + NE!AA46 + NY!AA46 + NW!AA46 + SE!AA46 + SW!AA46 + TEN!AA46 + TEX!AA46</f>
        <v>6730.8669036600004</v>
      </c>
      <c r="AB46" s="7">
        <f xml:space="preserve"> 0 + CAL!AB46 + CAR!AB46 + CENT!AB46 + FLA!AB46 + MIDA!AB46 + MIDW!AB46 + NE!AB46 + NY!AB46 + NW!AB46 + SE!AB46 + SW!AB46 + TEN!AB46 + TEX!AB46</f>
        <v>6562.7536252499995</v>
      </c>
      <c r="AC46" s="7">
        <f xml:space="preserve"> 0 + CAL!AC46 + CAR!AC46 + CENT!AC46 + FLA!AC46 + MIDA!AC46 + MIDW!AC46 + NE!AC46 + NY!AC46 + NW!AC46 + SE!AC46 + SW!AC46 + TEN!AC46 + TEX!AC46</f>
        <v>6398.6922343000006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14.57332549</v>
      </c>
      <c r="E47" s="7">
        <f xml:space="preserve"> 0 + CAL!E47 + CAR!E47 + CENT!E47 + FLA!E47 + MIDA!E47 + MIDW!E47 + NE!E47 + NY!E47 + NW!E47 + SE!E47 + SW!E47 + TEN!E47 + TEX!E47</f>
        <v>14.03515</v>
      </c>
      <c r="F47" s="7">
        <f xml:space="preserve"> 0 + CAL!F47 + CAR!F47 + CENT!F47 + FLA!F47 + MIDA!F47 + MIDW!F47 + NE!F47 + NY!F47 + NW!F47 + SE!F47 + SW!F47 + TEN!F47 + TEX!F47</f>
        <v>13.630490899999998</v>
      </c>
      <c r="G47" s="7">
        <f xml:space="preserve"> 0 + CAL!G47 + CAR!G47 + CENT!G47 + FLA!G47 + MIDA!G47 + MIDW!G47 + NE!G47 + NY!G47 + NW!G47 + SE!G47 + SW!G47 + TEN!G47 + TEX!G47</f>
        <v>13.531612790000001</v>
      </c>
      <c r="H47" s="7">
        <f xml:space="preserve"> 0 + CAL!H47 + CAR!H47 + CENT!H47 + FLA!H47 + MIDA!H47 + MIDW!H47 + NE!H47 + NY!H47 + NW!H47 + SE!H47 + SW!H47 + TEN!H47 + TEX!H47</f>
        <v>13.81106533</v>
      </c>
      <c r="I47" s="7">
        <f xml:space="preserve"> 0 + CAL!I47 + CAR!I47 + CENT!I47 + FLA!I47 + MIDA!I47 + MIDW!I47 + NE!I47 + NY!I47 + NW!I47 + SE!I47 + SW!I47 + TEN!I47 + TEX!I47</f>
        <v>13.69888897</v>
      </c>
      <c r="J47" s="7">
        <f xml:space="preserve"> 0 + CAL!J47 + CAR!J47 + CENT!J47 + FLA!J47 + MIDA!J47 + MIDW!J47 + NE!J47 + NY!J47 + NW!J47 + SE!J47 + SW!J47 + TEN!J47 + TEX!J47</f>
        <v>13.164574630000001</v>
      </c>
      <c r="K47" s="7">
        <f xml:space="preserve"> 0 + CAL!K47 + CAR!K47 + CENT!K47 + FLA!K47 + MIDA!K47 + MIDW!K47 + NE!K47 + NY!K47 + NW!K47 + SE!K47 + SW!K47 + TEN!K47 + TEX!K47</f>
        <v>13.099151290000002</v>
      </c>
      <c r="L47" s="7">
        <f xml:space="preserve"> 0 + CAL!L47 + CAR!L47 + CENT!L47 + FLA!L47 + MIDA!L47 + MIDW!L47 + NE!L47 + NY!L47 + NW!L47 + SE!L47 + SW!L47 + TEN!L47 + TEX!L47</f>
        <v>13.000046859999999</v>
      </c>
      <c r="M47" s="7">
        <f xml:space="preserve"> 0 + CAL!M47 + CAR!M47 + CENT!M47 + FLA!M47 + MIDA!M47 + MIDW!M47 + NE!M47 + NY!M47 + NW!M47 + SE!M47 + SW!M47 + TEN!M47 + TEX!M47</f>
        <v>13.002585809999999</v>
      </c>
      <c r="N47" s="7">
        <f xml:space="preserve"> 0 + CAL!N47 + CAR!N47 + CENT!N47 + FLA!N47 + MIDA!N47 + MIDW!N47 + NE!N47 + NY!N47 + NW!N47 + SE!N47 + SW!N47 + TEN!N47 + TEX!N47</f>
        <v>13.004082500000001</v>
      </c>
      <c r="O47" s="7">
        <f xml:space="preserve"> 0 + CAL!O47 + CAR!O47 + CENT!O47 + FLA!O47 + MIDA!O47 + MIDW!O47 + NE!O47 + NY!O47 + NW!O47 + SE!O47 + SW!O47 + TEN!O47 + TEX!O47</f>
        <v>13.005015229999998</v>
      </c>
      <c r="P47" s="7">
        <f xml:space="preserve"> 0 + CAL!P47 + CAR!P47 + CENT!P47 + FLA!P47 + MIDA!P47 + MIDW!P47 + NE!P47 + NY!P47 + NW!P47 + SE!P47 + SW!P47 + TEN!P47 + TEX!P47</f>
        <v>13.0000564</v>
      </c>
      <c r="Q47" s="7">
        <f xml:space="preserve"> 0 + CAL!Q47 + CAR!Q47 + CENT!Q47 + FLA!Q47 + MIDA!Q47 + MIDW!Q47 + NE!Q47 + NY!Q47 + NW!Q47 + SE!Q47 + SW!Q47 + TEN!Q47 + TEX!Q47</f>
        <v>12.999987019999999</v>
      </c>
      <c r="R47" s="7">
        <f xml:space="preserve"> 0 + CAL!R47 + CAR!R47 + CENT!R47 + FLA!R47 + MIDA!R47 + MIDW!R47 + NE!R47 + NY!R47 + NW!R47 + SE!R47 + SW!R47 + TEN!R47 + TEX!R47</f>
        <v>13.000011969999999</v>
      </c>
      <c r="S47" s="7">
        <f xml:space="preserve"> 0 + CAL!S47 + CAR!S47 + CENT!S47 + FLA!S47 + MIDA!S47 + MIDW!S47 + NE!S47 + NY!S47 + NW!S47 + SE!S47 + SW!S47 + TEN!S47 + TEX!S47</f>
        <v>13.000000350000002</v>
      </c>
      <c r="T47" s="7">
        <f xml:space="preserve"> 0 + CAL!T47 + CAR!T47 + CENT!T47 + FLA!T47 + MIDA!T47 + MIDW!T47 + NE!T47 + NY!T47 + NW!T47 + SE!T47 + SW!T47 + TEN!T47 + TEX!T47</f>
        <v>13.001726699999999</v>
      </c>
      <c r="U47" s="7">
        <f xml:space="preserve"> 0 + CAL!U47 + CAR!U47 + CENT!U47 + FLA!U47 + MIDA!U47 + MIDW!U47 + NE!U47 + NY!U47 + NW!U47 + SE!U47 + SW!U47 + TEN!U47 + TEX!U47</f>
        <v>13.00038556</v>
      </c>
      <c r="V47" s="7">
        <f xml:space="preserve"> 0 + CAL!V47 + CAR!V47 + CENT!V47 + FLA!V47 + MIDA!V47 + MIDW!V47 + NE!V47 + NY!V47 + NW!V47 + SE!V47 + SW!V47 + TEN!V47 + TEX!V47</f>
        <v>13.00004983</v>
      </c>
      <c r="W47" s="7">
        <f xml:space="preserve"> 0 + CAL!W47 + CAR!W47 + CENT!W47 + FLA!W47 + MIDA!W47 + MIDW!W47 + NE!W47 + NY!W47 + NW!W47 + SE!W47 + SW!W47 + TEN!W47 + TEX!W47</f>
        <v>13.001164939999999</v>
      </c>
      <c r="X47" s="7">
        <f xml:space="preserve"> 0 + CAL!X47 + CAR!X47 + CENT!X47 + FLA!X47 + MIDA!X47 + MIDW!X47 + NE!X47 + NY!X47 + NW!X47 + SE!X47 + SW!X47 + TEN!X47 + TEX!X47</f>
        <v>13.000020940000001</v>
      </c>
      <c r="Y47" s="7">
        <f xml:space="preserve"> 0 + CAL!Y47 + CAR!Y47 + CENT!Y47 + FLA!Y47 + MIDA!Y47 + MIDW!Y47 + NE!Y47 + NY!Y47 + NW!Y47 + SE!Y47 + SW!Y47 + TEN!Y47 + TEX!Y47</f>
        <v>13.001925099999999</v>
      </c>
      <c r="Z47" s="7">
        <f xml:space="preserve"> 0 + CAL!Z47 + CAR!Z47 + CENT!Z47 + FLA!Z47 + MIDA!Z47 + MIDW!Z47 + NE!Z47 + NY!Z47 + NW!Z47 + SE!Z47 + SW!Z47 + TEN!Z47 + TEX!Z47</f>
        <v>13.00038245</v>
      </c>
      <c r="AA47" s="7">
        <f xml:space="preserve"> 0 + CAL!AA47 + CAR!AA47 + CENT!AA47 + FLA!AA47 + MIDA!AA47 + MIDW!AA47 + NE!AA47 + NY!AA47 + NW!AA47 + SE!AA47 + SW!AA47 + TEN!AA47 + TEX!AA47</f>
        <v>13.00007617</v>
      </c>
      <c r="AB47" s="7">
        <f xml:space="preserve"> 0 + CAL!AB47 + CAR!AB47 + CENT!AB47 + FLA!AB47 + MIDA!AB47 + MIDW!AB47 + NE!AB47 + NY!AB47 + NW!AB47 + SE!AB47 + SW!AB47 + TEN!AB47 + TEX!AB47</f>
        <v>13.00001621</v>
      </c>
      <c r="AC47" s="7">
        <f xml:space="preserve"> 0 + CAL!AC47 + CAR!AC47 + CENT!AC47 + FLA!AC47 + MIDA!AC47 + MIDW!AC47 + NE!AC47 + NY!AC47 + NW!AC47 + SE!AC47 + SW!AC47 + TEN!AC47 + TEX!AC47</f>
        <v>13.000265590000001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15.438343669999998</v>
      </c>
      <c r="D48" s="7">
        <f xml:space="preserve"> 0 + CAL!D48 + CAR!D48 + CENT!D48 + FLA!D48 + MIDA!D48 + MIDW!D48 + NE!D48 + NY!D48 + NW!D48 + SE!D48 + SW!D48 + TEN!D48 + TEX!D48</f>
        <v>14.33793013</v>
      </c>
      <c r="E48" s="7">
        <f xml:space="preserve"> 0 + CAL!E48 + CAR!E48 + CENT!E48 + FLA!E48 + MIDA!E48 + MIDW!E48 + NE!E48 + NY!E48 + NW!E48 + SE!E48 + SW!E48 + TEN!E48 + TEX!E48</f>
        <v>13.77346799</v>
      </c>
      <c r="F48" s="7">
        <f xml:space="preserve"> 0 + CAL!F48 + CAR!F48 + CENT!F48 + FLA!F48 + MIDA!F48 + MIDW!F48 + NE!F48 + NY!F48 + NW!F48 + SE!F48 + SW!F48 + TEN!F48 + TEX!F48</f>
        <v>13.62096204</v>
      </c>
      <c r="G48" s="7">
        <f xml:space="preserve"> 0 + CAL!G48 + CAR!G48 + CENT!G48 + FLA!G48 + MIDA!G48 + MIDW!G48 + NE!G48 + NY!G48 + NW!G48 + SE!G48 + SW!G48 + TEN!G48 + TEX!G48</f>
        <v>13.9627417</v>
      </c>
      <c r="H48" s="7">
        <f xml:space="preserve"> 0 + CAL!H48 + CAR!H48 + CENT!H48 + FLA!H48 + MIDA!H48 + MIDW!H48 + NE!H48 + NY!H48 + NW!H48 + SE!H48 + SW!H48 + TEN!H48 + TEX!H48</f>
        <v>13.791063930000002</v>
      </c>
      <c r="I48" s="7">
        <f xml:space="preserve"> 0 + CAL!I48 + CAR!I48 + CENT!I48 + FLA!I48 + MIDA!I48 + MIDW!I48 + NE!I48 + NY!I48 + NW!I48 + SE!I48 + SW!I48 + TEN!I48 + TEX!I48</f>
        <v>13.164574630000001</v>
      </c>
      <c r="J48" s="7">
        <f xml:space="preserve"> 0 + CAL!J48 + CAR!J48 + CENT!J48 + FLA!J48 + MIDA!J48 + MIDW!J48 + NE!J48 + NY!J48 + NW!J48 + SE!J48 + SW!J48 + TEN!J48 + TEX!J48</f>
        <v>13.099151290000002</v>
      </c>
      <c r="K48" s="7">
        <f xml:space="preserve"> 0 + CAL!K48 + CAR!K48 + CENT!K48 + FLA!K48 + MIDA!K48 + MIDW!K48 + NE!K48 + NY!K48 + NW!K48 + SE!K48 + SW!K48 + TEN!K48 + TEX!K48</f>
        <v>13.000046859999999</v>
      </c>
      <c r="L48" s="7">
        <f xml:space="preserve"> 0 + CAL!L48 + CAR!L48 + CENT!L48 + FLA!L48 + MIDA!L48 + MIDW!L48 + NE!L48 + NY!L48 + NW!L48 + SE!L48 + SW!L48 + TEN!L48 + TEX!L48</f>
        <v>13.002585809999999</v>
      </c>
      <c r="M48" s="7">
        <f xml:space="preserve"> 0 + CAL!M48 + CAR!M48 + CENT!M48 + FLA!M48 + MIDA!M48 + MIDW!M48 + NE!M48 + NY!M48 + NW!M48 + SE!M48 + SW!M48 + TEN!M48 + TEX!M48</f>
        <v>13.004082500000001</v>
      </c>
      <c r="N48" s="7">
        <f xml:space="preserve"> 0 + CAL!N48 + CAR!N48 + CENT!N48 + FLA!N48 + MIDA!N48 + MIDW!N48 + NE!N48 + NY!N48 + NW!N48 + SE!N48 + SW!N48 + TEN!N48 + TEX!N48</f>
        <v>13.005015229999998</v>
      </c>
      <c r="O48" s="7">
        <f xml:space="preserve"> 0 + CAL!O48 + CAR!O48 + CENT!O48 + FLA!O48 + MIDA!O48 + MIDW!O48 + NE!O48 + NY!O48 + NW!O48 + SE!O48 + SW!O48 + TEN!O48 + TEX!O48</f>
        <v>13.0000564</v>
      </c>
      <c r="P48" s="7">
        <f xml:space="preserve"> 0 + CAL!P48 + CAR!P48 + CENT!P48 + FLA!P48 + MIDA!P48 + MIDW!P48 + NE!P48 + NY!P48 + NW!P48 + SE!P48 + SW!P48 + TEN!P48 + TEX!P48</f>
        <v>12.999987019999999</v>
      </c>
      <c r="Q48" s="7">
        <f xml:space="preserve"> 0 + CAL!Q48 + CAR!Q48 + CENT!Q48 + FLA!Q48 + MIDA!Q48 + MIDW!Q48 + NE!Q48 + NY!Q48 + NW!Q48 + SE!Q48 + SW!Q48 + TEN!Q48 + TEX!Q48</f>
        <v>13.000011969999999</v>
      </c>
      <c r="R48" s="7">
        <f xml:space="preserve"> 0 + CAL!R48 + CAR!R48 + CENT!R48 + FLA!R48 + MIDA!R48 + MIDW!R48 + NE!R48 + NY!R48 + NW!R48 + SE!R48 + SW!R48 + TEN!R48 + TEX!R48</f>
        <v>13.000000350000002</v>
      </c>
      <c r="S48" s="7">
        <f xml:space="preserve"> 0 + CAL!S48 + CAR!S48 + CENT!S48 + FLA!S48 + MIDA!S48 + MIDW!S48 + NE!S48 + NY!S48 + NW!S48 + SE!S48 + SW!S48 + TEN!S48 + TEX!S48</f>
        <v>13.001726699999999</v>
      </c>
      <c r="T48" s="7">
        <f xml:space="preserve"> 0 + CAL!T48 + CAR!T48 + CENT!T48 + FLA!T48 + MIDA!T48 + MIDW!T48 + NE!T48 + NY!T48 + NW!T48 + SE!T48 + SW!T48 + TEN!T48 + TEX!T48</f>
        <v>13.00038556</v>
      </c>
      <c r="U48" s="7">
        <f xml:space="preserve"> 0 + CAL!U48 + CAR!U48 + CENT!U48 + FLA!U48 + MIDA!U48 + MIDW!U48 + NE!U48 + NY!U48 + NW!U48 + SE!U48 + SW!U48 + TEN!U48 + TEX!U48</f>
        <v>13.00004983</v>
      </c>
      <c r="V48" s="7">
        <f xml:space="preserve"> 0 + CAL!V48 + CAR!V48 + CENT!V48 + FLA!V48 + MIDA!V48 + MIDW!V48 + NE!V48 + NY!V48 + NW!V48 + SE!V48 + SW!V48 + TEN!V48 + TEX!V48</f>
        <v>13.001164939999999</v>
      </c>
      <c r="W48" s="7">
        <f xml:space="preserve"> 0 + CAL!W48 + CAR!W48 + CENT!W48 + FLA!W48 + MIDA!W48 + MIDW!W48 + NE!W48 + NY!W48 + NW!W48 + SE!W48 + SW!W48 + TEN!W48 + TEX!W48</f>
        <v>13.000020940000001</v>
      </c>
      <c r="X48" s="7">
        <f xml:space="preserve"> 0 + CAL!X48 + CAR!X48 + CENT!X48 + FLA!X48 + MIDA!X48 + MIDW!X48 + NE!X48 + NY!X48 + NW!X48 + SE!X48 + SW!X48 + TEN!X48 + TEX!X48</f>
        <v>13.001925099999999</v>
      </c>
      <c r="Y48" s="7">
        <f xml:space="preserve"> 0 + CAL!Y48 + CAR!Y48 + CENT!Y48 + FLA!Y48 + MIDA!Y48 + MIDW!Y48 + NE!Y48 + NY!Y48 + NW!Y48 + SE!Y48 + SW!Y48 + TEN!Y48 + TEX!Y48</f>
        <v>13.00038245</v>
      </c>
      <c r="Z48" s="7">
        <f xml:space="preserve"> 0 + CAL!Z48 + CAR!Z48 + CENT!Z48 + FLA!Z48 + MIDA!Z48 + MIDW!Z48 + NE!Z48 + NY!Z48 + NW!Z48 + SE!Z48 + SW!Z48 + TEN!Z48 + TEX!Z48</f>
        <v>13.00007617</v>
      </c>
      <c r="AA48" s="7">
        <f xml:space="preserve"> 0 + CAL!AA48 + CAR!AA48 + CENT!AA48 + FLA!AA48 + MIDA!AA48 + MIDW!AA48 + NE!AA48 + NY!AA48 + NW!AA48 + SE!AA48 + SW!AA48 + TEN!AA48 + TEX!AA48</f>
        <v>13.00001621</v>
      </c>
      <c r="AB48" s="7">
        <f xml:space="preserve"> 0 + CAL!AB48 + CAR!AB48 + CENT!AB48 + FLA!AB48 + MIDA!AB48 + MIDW!AB48 + NE!AB48 + NY!AB48 + NW!AB48 + SE!AB48 + SW!AB48 + TEN!AB48 + TEX!AB48</f>
        <v>13.000265590000001</v>
      </c>
      <c r="AC48" s="7">
        <f xml:space="preserve"> 0 + CAL!AC48 + CAR!AC48 + CENT!AC48 + FLA!AC48 + MIDA!AC48 + MIDW!AC48 + NE!AC48 + NY!AC48 + NW!AC48 + SE!AC48 + SW!AC48 + TEN!AC48 + TEX!AC48</f>
        <v>13.000000399999998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17.635509429999999</v>
      </c>
      <c r="E49" s="7">
        <f xml:space="preserve"> 0 + CAL!E49 + CAR!E49 + CENT!E49 + FLA!E49 + MIDA!E49 + MIDW!E49 + NE!E49 + NY!E49 + NW!E49 + SE!E49 + SW!E49 + TEN!E49 + TEX!E49</f>
        <v>17.538201809999997</v>
      </c>
      <c r="F49" s="7">
        <f xml:space="preserve"> 0 + CAL!F49 + CAR!F49 + CENT!F49 + FLA!F49 + MIDA!F49 + MIDW!F49 + NE!F49 + NY!F49 + NW!F49 + SE!F49 + SW!F49 + TEN!F49 + TEX!F49</f>
        <v>17.633584199999998</v>
      </c>
      <c r="G49" s="7">
        <f xml:space="preserve"> 0 + CAL!G49 + CAR!G49 + CENT!G49 + FLA!G49 + MIDA!G49 + MIDW!G49 + NE!G49 + NY!G49 + NW!G49 + SE!G49 + SW!G49 + TEN!G49 + TEX!G49</f>
        <v>17.7990241</v>
      </c>
      <c r="H49" s="7">
        <f xml:space="preserve"> 0 + CAL!H49 + CAR!H49 + CENT!H49 + FLA!H49 + MIDA!H49 + MIDW!H49 + NE!H49 + NY!H49 + NW!H49 + SE!H49 + SW!H49 + TEN!H49 + TEX!H49</f>
        <v>17.873041629999999</v>
      </c>
      <c r="I49" s="7">
        <f xml:space="preserve"> 0 + CAL!I49 + CAR!I49 + CENT!I49 + FLA!I49 + MIDA!I49 + MIDW!I49 + NE!I49 + NY!I49 + NW!I49 + SE!I49 + SW!I49 + TEN!I49 + TEX!I49</f>
        <v>18.026107</v>
      </c>
      <c r="J49" s="7">
        <f xml:space="preserve"> 0 + CAL!J49 + CAR!J49 + CENT!J49 + FLA!J49 + MIDA!J49 + MIDW!J49 + NE!J49 + NY!J49 + NW!J49 + SE!J49 + SW!J49 + TEN!J49 + TEX!J49</f>
        <v>18.276357709999999</v>
      </c>
      <c r="K49" s="7">
        <f xml:space="preserve"> 0 + CAL!K49 + CAR!K49 + CENT!K49 + FLA!K49 + MIDA!K49 + MIDW!K49 + NE!K49 + NY!K49 + NW!K49 + SE!K49 + SW!K49 + TEN!K49 + TEX!K49</f>
        <v>18.541787639999999</v>
      </c>
      <c r="L49" s="7">
        <f xml:space="preserve"> 0 + CAL!L49 + CAR!L49 + CENT!L49 + FLA!L49 + MIDA!L49 + MIDW!L49 + NE!L49 + NY!L49 + NW!L49 + SE!L49 + SW!L49 + TEN!L49 + TEX!L49</f>
        <v>18.828365950000002</v>
      </c>
      <c r="M49" s="7">
        <f xml:space="preserve"> 0 + CAL!M49 + CAR!M49 + CENT!M49 + FLA!M49 + MIDA!M49 + MIDW!M49 + NE!M49 + NY!M49 + NW!M49 + SE!M49 + SW!M49 + TEN!M49 + TEX!M49</f>
        <v>19.135803539999998</v>
      </c>
      <c r="N49" s="7">
        <f xml:space="preserve"> 0 + CAL!N49 + CAR!N49 + CENT!N49 + FLA!N49 + MIDA!N49 + MIDW!N49 + NE!N49 + NY!N49 + NW!N49 + SE!N49 + SW!N49 + TEN!N49 + TEX!N49</f>
        <v>19.444056929999999</v>
      </c>
      <c r="O49" s="7">
        <f xml:space="preserve"> 0 + CAL!O49 + CAR!O49 + CENT!O49 + FLA!O49 + MIDA!O49 + MIDW!O49 + NE!O49 + NY!O49 + NW!O49 + SE!O49 + SW!O49 + TEN!O49 + TEX!O49</f>
        <v>19.759721650000003</v>
      </c>
      <c r="P49" s="7">
        <f xml:space="preserve"> 0 + CAL!P49 + CAR!P49 + CENT!P49 + FLA!P49 + MIDA!P49 + MIDW!P49 + NE!P49 + NY!P49 + NW!P49 + SE!P49 + SW!P49 + TEN!P49 + TEX!P49</f>
        <v>20.078505460000002</v>
      </c>
      <c r="Q49" s="7">
        <f xml:space="preserve"> 0 + CAL!Q49 + CAR!Q49 + CENT!Q49 + FLA!Q49 + MIDA!Q49 + MIDW!Q49 + NE!Q49 + NY!Q49 + NW!Q49 + SE!Q49 + SW!Q49 + TEN!Q49 + TEX!Q49</f>
        <v>20.421362640000002</v>
      </c>
      <c r="R49" s="7">
        <f xml:space="preserve"> 0 + CAL!R49 + CAR!R49 + CENT!R49 + FLA!R49 + MIDA!R49 + MIDW!R49 + NE!R49 + NY!R49 + NW!R49 + SE!R49 + SW!R49 + TEN!R49 + TEX!R49</f>
        <v>20.769966149999998</v>
      </c>
      <c r="S49" s="7">
        <f xml:space="preserve"> 0 + CAL!S49 + CAR!S49 + CENT!S49 + FLA!S49 + MIDA!S49 + MIDW!S49 + NE!S49 + NY!S49 + NW!S49 + SE!S49 + SW!S49 + TEN!S49 + TEX!S49</f>
        <v>21.140808140000001</v>
      </c>
      <c r="T49" s="7">
        <f xml:space="preserve"> 0 + CAL!T49 + CAR!T49 + CENT!T49 + FLA!T49 + MIDA!T49 + MIDW!T49 + NE!T49 + NY!T49 + NW!T49 + SE!T49 + SW!T49 + TEN!T49 + TEX!T49</f>
        <v>21.542446550000001</v>
      </c>
      <c r="U49" s="7">
        <f xml:space="preserve"> 0 + CAL!U49 + CAR!U49 + CENT!U49 + FLA!U49 + MIDA!U49 + MIDW!U49 + NE!U49 + NY!U49 + NW!U49 + SE!U49 + SW!U49 + TEN!U49 + TEX!U49</f>
        <v>21.939923019999998</v>
      </c>
      <c r="V49" s="7">
        <f xml:space="preserve"> 0 + CAL!V49 + CAR!V49 + CENT!V49 + FLA!V49 + MIDA!V49 + MIDW!V49 + NE!V49 + NY!V49 + NW!V49 + SE!V49 + SW!V49 + TEN!V49 + TEX!V49</f>
        <v>22.389291350000001</v>
      </c>
      <c r="W49" s="7">
        <f xml:space="preserve"> 0 + CAL!W49 + CAR!W49 + CENT!W49 + FLA!W49 + MIDA!W49 + MIDW!W49 + NE!W49 + NY!W49 + NW!W49 + SE!W49 + SW!W49 + TEN!W49 + TEX!W49</f>
        <v>22.852937970000003</v>
      </c>
      <c r="X49" s="7">
        <f xml:space="preserve"> 0 + CAL!X49 + CAR!X49 + CENT!X49 + FLA!X49 + MIDA!X49 + MIDW!X49 + NE!X49 + NY!X49 + NW!X49 + SE!X49 + SW!X49 + TEN!X49 + TEX!X49</f>
        <v>23.343123960000003</v>
      </c>
      <c r="Y49" s="7">
        <f xml:space="preserve"> 0 + CAL!Y49 + CAR!Y49 + CENT!Y49 + FLA!Y49 + MIDA!Y49 + MIDW!Y49 + NE!Y49 + NY!Y49 + NW!Y49 + SE!Y49 + SW!Y49 + TEN!Y49 + TEX!Y49</f>
        <v>23.861100409999999</v>
      </c>
      <c r="Z49" s="7">
        <f xml:space="preserve"> 0 + CAL!Z49 + CAR!Z49 + CENT!Z49 + FLA!Z49 + MIDA!Z49 + MIDW!Z49 + NE!Z49 + NY!Z49 + NW!Z49 + SE!Z49 + SW!Z49 + TEN!Z49 + TEX!Z49</f>
        <v>24.367845089999999</v>
      </c>
      <c r="AA49" s="7">
        <f xml:space="preserve"> 0 + CAL!AA49 + CAR!AA49 + CENT!AA49 + FLA!AA49 + MIDA!AA49 + MIDW!AA49 + NE!AA49 + NY!AA49 + NW!AA49 + SE!AA49 + SW!AA49 + TEN!AA49 + TEX!AA49</f>
        <v>24.863408559999996</v>
      </c>
      <c r="AB49" s="7">
        <f xml:space="preserve"> 0 + CAL!AB49 + CAR!AB49 + CENT!AB49 + FLA!AB49 + MIDA!AB49 + MIDW!AB49 + NE!AB49 + NY!AB49 + NW!AB49 + SE!AB49 + SW!AB49 + TEN!AB49 + TEX!AB49</f>
        <v>25.416714669999998</v>
      </c>
      <c r="AC49" s="7">
        <f xml:space="preserve"> 0 + CAL!AC49 + CAR!AC49 + CENT!AC49 + FLA!AC49 + MIDA!AC49 + MIDW!AC49 + NE!AC49 + NY!AC49 + NW!AC49 + SE!AC49 + SW!AC49 + TEN!AC49 + TEX!AC49</f>
        <v>26.003863509999995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432849.28524949995</v>
      </c>
      <c r="D50" s="7">
        <f xml:space="preserve"> 0 + CAL!D50 + CAR!D50 + CENT!D50 + FLA!D50 + MIDA!D50 + MIDW!D50 + NE!D50 + NY!D50 + NW!D50 + SE!D50 + SW!D50 + TEN!D50 + TEX!D50</f>
        <v>465993.14948754996</v>
      </c>
      <c r="E50" s="7">
        <f xml:space="preserve"> 0 + CAL!E50 + CAR!E50 + CENT!E50 + FLA!E50 + MIDA!E50 + MIDW!E50 + NE!E50 + NY!E50 + NW!E50 + SE!E50 + SW!E50 + TEN!E50 + TEX!E50</f>
        <v>493842.79821846995</v>
      </c>
      <c r="F50" s="7">
        <f xml:space="preserve"> 0 + CAL!F50 + CAR!F50 + CENT!F50 + FLA!F50 + MIDA!F50 + MIDW!F50 + NE!F50 + NY!F50 + NW!F50 + SE!F50 + SW!F50 + TEN!F50 + TEX!F50</f>
        <v>521581.78016292996</v>
      </c>
      <c r="G50" s="7">
        <f xml:space="preserve"> 0 + CAL!G50 + CAR!G50 + CENT!G50 + FLA!G50 + MIDA!G50 + MIDW!G50 + NE!G50 + NY!G50 + NW!G50 + SE!G50 + SW!G50 + TEN!G50 + TEX!G50</f>
        <v>550311.60938247992</v>
      </c>
      <c r="H50" s="7">
        <f xml:space="preserve"> 0 + CAL!H50 + CAR!H50 + CENT!H50 + FLA!H50 + MIDA!H50 + MIDW!H50 + NE!H50 + NY!H50 + NW!H50 + SE!H50 + SW!H50 + TEN!H50 + TEX!H50</f>
        <v>578713.48112601996</v>
      </c>
      <c r="I50" s="7">
        <f xml:space="preserve"> 0 + CAL!I50 + CAR!I50 + CENT!I50 + FLA!I50 + MIDA!I50 + MIDW!I50 + NE!I50 + NY!I50 + NW!I50 + SE!I50 + SW!I50 + TEN!I50 + TEX!I50</f>
        <v>602845.70688126003</v>
      </c>
      <c r="J50" s="7">
        <f xml:space="preserve"> 0 + CAL!J50 + CAR!J50 + CENT!J50 + FLA!J50 + MIDA!J50 + MIDW!J50 + NE!J50 + NY!J50 + NW!J50 + SE!J50 + SW!J50 + TEN!J50 + TEX!J50</f>
        <v>617277.19901287009</v>
      </c>
      <c r="K50" s="7">
        <f xml:space="preserve"> 0 + CAL!K50 + CAR!K50 + CENT!K50 + FLA!K50 + MIDA!K50 + MIDW!K50 + NE!K50 + NY!K50 + NW!K50 + SE!K50 + SW!K50 + TEN!K50 + TEX!K50</f>
        <v>635930.4269393899</v>
      </c>
      <c r="L50" s="7">
        <f xml:space="preserve"> 0 + CAL!L50 + CAR!L50 + CENT!L50 + FLA!L50 + MIDA!L50 + MIDW!L50 + NE!L50 + NY!L50 + NW!L50 + SE!L50 + SW!L50 + TEN!L50 + TEX!L50</f>
        <v>655451.76919273008</v>
      </c>
      <c r="M50" s="7">
        <f xml:space="preserve"> 0 + CAL!M50 + CAR!M50 + CENT!M50 + FLA!M50 + MIDA!M50 + MIDW!M50 + NE!M50 + NY!M50 + NW!M50 + SE!M50 + SW!M50 + TEN!M50 + TEX!M50</f>
        <v>674049.63221685006</v>
      </c>
      <c r="N50" s="7">
        <f xml:space="preserve"> 0 + CAL!N50 + CAR!N50 + CENT!N50 + FLA!N50 + MIDA!N50 + MIDW!N50 + NE!N50 + NY!N50 + NW!N50 + SE!N50 + SW!N50 + TEN!N50 + TEX!N50</f>
        <v>691712.62061148987</v>
      </c>
      <c r="O50" s="7">
        <f xml:space="preserve"> 0 + CAL!O50 + CAR!O50 + CENT!O50 + FLA!O50 + MIDA!O50 + MIDW!O50 + NE!O50 + NY!O50 + NW!O50 + SE!O50 + SW!O50 + TEN!O50 + TEX!O50</f>
        <v>709868.97664461005</v>
      </c>
      <c r="P50" s="7">
        <f xml:space="preserve"> 0 + CAL!P50 + CAR!P50 + CENT!P50 + FLA!P50 + MIDA!P50 + MIDW!P50 + NE!P50 + NY!P50 + NW!P50 + SE!P50 + SW!P50 + TEN!P50 + TEX!P50</f>
        <v>728777.35983003001</v>
      </c>
      <c r="Q50" s="7">
        <f xml:space="preserve"> 0 + CAL!Q50 + CAR!Q50 + CENT!Q50 + FLA!Q50 + MIDA!Q50 + MIDW!Q50 + NE!Q50 + NY!Q50 + NW!Q50 + SE!Q50 + SW!Q50 + TEN!Q50 + TEX!Q50</f>
        <v>747726.65870848007</v>
      </c>
      <c r="R50" s="7">
        <f xml:space="preserve"> 0 + CAL!R50 + CAR!R50 + CENT!R50 + FLA!R50 + MIDA!R50 + MIDW!R50 + NE!R50 + NY!R50 + NW!R50 + SE!R50 + SW!R50 + TEN!R50 + TEX!R50</f>
        <v>767711.33646029013</v>
      </c>
      <c r="S50" s="7">
        <f xml:space="preserve"> 0 + CAL!S50 + CAR!S50 + CENT!S50 + FLA!S50 + MIDA!S50 + MIDW!S50 + NE!S50 + NY!S50 + NW!S50 + SE!S50 + SW!S50 + TEN!S50 + TEX!S50</f>
        <v>787482.2383081601</v>
      </c>
      <c r="T50" s="7">
        <f xml:space="preserve"> 0 + CAL!T50 + CAR!T50 + CENT!T50 + FLA!T50 + MIDA!T50 + MIDW!T50 + NE!T50 + NY!T50 + NW!T50 + SE!T50 + SW!T50 + TEN!T50 + TEX!T50</f>
        <v>807643.58663805015</v>
      </c>
      <c r="U50" s="7">
        <f xml:space="preserve"> 0 + CAL!U50 + CAR!U50 + CENT!U50 + FLA!U50 + MIDA!U50 + MIDW!U50 + NE!U50 + NY!U50 + NW!U50 + SE!U50 + SW!U50 + TEN!U50 + TEX!U50</f>
        <v>828042.47643447993</v>
      </c>
      <c r="V50" s="7">
        <f xml:space="preserve"> 0 + CAL!V50 + CAR!V50 + CENT!V50 + FLA!V50 + MIDA!V50 + MIDW!V50 + NE!V50 + NY!V50 + NW!V50 + SE!V50 + SW!V50 + TEN!V50 + TEX!V50</f>
        <v>848823.27861376002</v>
      </c>
      <c r="W50" s="7">
        <f xml:space="preserve"> 0 + CAL!W50 + CAR!W50 + CENT!W50 + FLA!W50 + MIDA!W50 + MIDW!W50 + NE!W50 + NY!W50 + NW!W50 + SE!W50 + SW!W50 + TEN!W50 + TEX!W50</f>
        <v>869942.09408867999</v>
      </c>
      <c r="X50" s="7">
        <f xml:space="preserve"> 0 + CAL!X50 + CAR!X50 + CENT!X50 + FLA!X50 + MIDA!X50 + MIDW!X50 + NE!X50 + NY!X50 + NW!X50 + SE!X50 + SW!X50 + TEN!X50 + TEX!X50</f>
        <v>891543.14741172013</v>
      </c>
      <c r="Y50" s="7">
        <f xml:space="preserve"> 0 + CAL!Y50 + CAR!Y50 + CENT!Y50 + FLA!Y50 + MIDA!Y50 + MIDW!Y50 + NE!Y50 + NY!Y50 + NW!Y50 + SE!Y50 + SW!Y50 + TEN!Y50 + TEX!Y50</f>
        <v>914380.04541936994</v>
      </c>
      <c r="Z50" s="7">
        <f xml:space="preserve"> 0 + CAL!Z50 + CAR!Z50 + CENT!Z50 + FLA!Z50 + MIDA!Z50 + MIDW!Z50 + NE!Z50 + NY!Z50 + NW!Z50 + SE!Z50 + SW!Z50 + TEN!Z50 + TEX!Z50</f>
        <v>937475.38579507999</v>
      </c>
      <c r="AA50" s="7">
        <f xml:space="preserve"> 0 + CAL!AA50 + CAR!AA50 + CENT!AA50 + FLA!AA50 + MIDA!AA50 + MIDW!AA50 + NE!AA50 + NY!AA50 + NW!AA50 + SE!AA50 + SW!AA50 + TEN!AA50 + TEX!AA50</f>
        <v>960737.82971324993</v>
      </c>
      <c r="AB50" s="7">
        <f xml:space="preserve"> 0 + CAL!AB50 + CAR!AB50 + CENT!AB50 + FLA!AB50 + MIDA!AB50 + MIDW!AB50 + NE!AB50 + NY!AB50 + NW!AB50 + SE!AB50 + SW!AB50 + TEN!AB50 + TEX!AB50</f>
        <v>984335.64326490997</v>
      </c>
      <c r="AC50" s="7">
        <f xml:space="preserve"> 0 + CAL!AC50 + CAR!AC50 + CENT!AC50 + FLA!AC50 + MIDA!AC50 + MIDW!AC50 + NE!AC50 + NY!AC50 + NW!AC50 + SE!AC50 + SW!AC50 + TEN!AC50 + TEX!AC50</f>
        <v>1008383.9863787501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1679661237.8827958</v>
      </c>
      <c r="D51" s="7">
        <f xml:space="preserve"> 0 + CAL!D51 + CAR!D51 + CENT!D51 + FLA!D51 + MIDA!D51 + MIDW!D51 + NE!D51 + NY!D51 + NW!D51 + SE!D51 + SW!D51 + TEN!D51 + TEX!D51</f>
        <v>1818302503.7031136</v>
      </c>
      <c r="E51" s="7">
        <f xml:space="preserve"> 0 + CAL!E51 + CAR!E51 + CENT!E51 + FLA!E51 + MIDA!E51 + MIDW!E51 + NE!E51 + NY!E51 + NW!E51 + SE!E51 + SW!E51 + TEN!E51 + TEX!E51</f>
        <v>1916342420.9277031</v>
      </c>
      <c r="F51" s="7">
        <f xml:space="preserve"> 0 + CAL!F51 + CAR!F51 + CENT!F51 + FLA!F51 + MIDA!F51 + MIDW!F51 + NE!F51 + NY!F51 + NW!F51 + SE!F51 + SW!F51 + TEN!F51 + TEX!F51</f>
        <v>2002821503.9612629</v>
      </c>
      <c r="G51" s="7">
        <f xml:space="preserve"> 0 + CAL!G51 + CAR!G51 + CENT!G51 + FLA!G51 + MIDA!G51 + MIDW!G51 + NE!G51 + NY!G51 + NW!G51 + SE!G51 + SW!G51 + TEN!G51 + TEX!G51</f>
        <v>2074206776.9567289</v>
      </c>
      <c r="H51" s="7">
        <f xml:space="preserve"> 0 + CAL!H51 + CAR!H51 + CENT!H51 + FLA!H51 + MIDA!H51 + MIDW!H51 + NE!H51 + NY!H51 + NW!H51 + SE!H51 + SW!H51 + TEN!H51 + TEX!H51</f>
        <v>2127885042.6399071</v>
      </c>
      <c r="I51" s="7">
        <f xml:space="preserve"> 0 + CAL!I51 + CAR!I51 + CENT!I51 + FLA!I51 + MIDA!I51 + MIDW!I51 + NE!I51 + NY!I51 + NW!I51 + SE!I51 + SW!I51 + TEN!I51 + TEX!I51</f>
        <v>2196132990.6637449</v>
      </c>
      <c r="J51" s="7">
        <f xml:space="preserve"> 0 + CAL!J51 + CAR!J51 + CENT!J51 + FLA!J51 + MIDA!J51 + MIDW!J51 + NE!J51 + NY!J51 + NW!J51 + SE!J51 + SW!J51 + TEN!J51 + TEX!J51</f>
        <v>2236138000.9186077</v>
      </c>
      <c r="K51" s="7">
        <f xml:space="preserve"> 0 + CAL!K51 + CAR!K51 + CENT!K51 + FLA!K51 + MIDA!K51 + MIDW!K51 + NE!K51 + NY!K51 + NW!K51 + SE!K51 + SW!K51 + TEN!K51 + TEX!K51</f>
        <v>2294104525.1504397</v>
      </c>
      <c r="L51" s="7">
        <f xml:space="preserve"> 0 + CAL!L51 + CAR!L51 + CENT!L51 + FLA!L51 + MIDA!L51 + MIDW!L51 + NE!L51 + NY!L51 + NW!L51 + SE!L51 + SW!L51 + TEN!L51 + TEX!L51</f>
        <v>2348842186.4605436</v>
      </c>
      <c r="M51" s="7">
        <f xml:space="preserve"> 0 + CAL!M51 + CAR!M51 + CENT!M51 + FLA!M51 + MIDA!M51 + MIDW!M51 + NE!M51 + NY!M51 + NW!M51 + SE!M51 + SW!M51 + TEN!M51 + TEX!M51</f>
        <v>2400708341.3338432</v>
      </c>
      <c r="N51" s="7">
        <f xml:space="preserve"> 0 + CAL!N51 + CAR!N51 + CENT!N51 + FLA!N51 + MIDA!N51 + MIDW!N51 + NE!N51 + NY!N51 + NW!N51 + SE!N51 + SW!N51 + TEN!N51 + TEX!N51</f>
        <v>2449260726.6188326</v>
      </c>
      <c r="O51" s="7">
        <f xml:space="preserve"> 0 + CAL!O51 + CAR!O51 + CENT!O51 + FLA!O51 + MIDA!O51 + MIDW!O51 + NE!O51 + NY!O51 + NW!O51 + SE!O51 + SW!O51 + TEN!O51 + TEX!O51</f>
        <v>2498578218.7916203</v>
      </c>
      <c r="P51" s="7">
        <f xml:space="preserve"> 0 + CAL!P51 + CAR!P51 + CENT!P51 + FLA!P51 + MIDA!P51 + MIDW!P51 + NE!P51 + NY!P51 + NW!P51 + SE!P51 + SW!P51 + TEN!P51 + TEX!P51</f>
        <v>2550343389.1300058</v>
      </c>
      <c r="Q51" s="7">
        <f xml:space="preserve"> 0 + CAL!Q51 + CAR!Q51 + CENT!Q51 + FLA!Q51 + MIDA!Q51 + MIDW!Q51 + NE!Q51 + NY!Q51 + NW!Q51 + SE!Q51 + SW!Q51 + TEN!Q51 + TEX!Q51</f>
        <v>2607652898.0378737</v>
      </c>
      <c r="R51" s="7">
        <f xml:space="preserve"> 0 + CAL!R51 + CAR!R51 + CENT!R51 + FLA!R51 + MIDA!R51 + MIDW!R51 + NE!R51 + NY!R51 + NW!R51 + SE!R51 + SW!R51 + TEN!R51 + TEX!R51</f>
        <v>2664412027.8846712</v>
      </c>
      <c r="S51" s="7">
        <f xml:space="preserve"> 0 + CAL!S51 + CAR!S51 + CENT!S51 + FLA!S51 + MIDA!S51 + MIDW!S51 + NE!S51 + NY!S51 + NW!S51 + SE!S51 + SW!S51 + TEN!S51 + TEX!S51</f>
        <v>2717989040.7005911</v>
      </c>
      <c r="T51" s="7">
        <f xml:space="preserve"> 0 + CAL!T51 + CAR!T51 + CENT!T51 + FLA!T51 + MIDA!T51 + MIDW!T51 + NE!T51 + NY!T51 + NW!T51 + SE!T51 + SW!T51 + TEN!T51 + TEX!T51</f>
        <v>2774099665.7807651</v>
      </c>
      <c r="U51" s="7">
        <f xml:space="preserve"> 0 + CAL!U51 + CAR!U51 + CENT!U51 + FLA!U51 + MIDA!U51 + MIDW!U51 + NE!U51 + NY!U51 + NW!U51 + SE!U51 + SW!U51 + TEN!U51 + TEX!U51</f>
        <v>2828713875.8504844</v>
      </c>
      <c r="V51" s="7">
        <f xml:space="preserve"> 0 + CAL!V51 + CAR!V51 + CENT!V51 + FLA!V51 + MIDA!V51 + MIDW!V51 + NE!V51 + NY!V51 + NW!V51 + SE!V51 + SW!V51 + TEN!V51 + TEX!V51</f>
        <v>2885879945.5211163</v>
      </c>
      <c r="W51" s="7">
        <f xml:space="preserve"> 0 + CAL!W51 + CAR!W51 + CENT!W51 + FLA!W51 + MIDA!W51 + MIDW!W51 + NE!W51 + NY!W51 + NW!W51 + SE!W51 + SW!W51 + TEN!W51 + TEX!W51</f>
        <v>2942936890.4483752</v>
      </c>
      <c r="X51" s="7">
        <f xml:space="preserve"> 0 + CAL!X51 + CAR!X51 + CENT!X51 + FLA!X51 + MIDA!X51 + MIDW!X51 + NE!X51 + NY!X51 + NW!X51 + SE!X51 + SW!X51 + TEN!X51 + TEX!X51</f>
        <v>3001233733.4721227</v>
      </c>
      <c r="Y51" s="7">
        <f xml:space="preserve"> 0 + CAL!Y51 + CAR!Y51 + CENT!Y51 + FLA!Y51 + MIDA!Y51 + MIDW!Y51 + NE!Y51 + NY!Y51 + NW!Y51 + SE!Y51 + SW!Y51 + TEN!Y51 + TEX!Y51</f>
        <v>3067443154.8372707</v>
      </c>
      <c r="Z51" s="7">
        <f xml:space="preserve"> 0 + CAL!Z51 + CAR!Z51 + CENT!Z51 + FLA!Z51 + MIDA!Z51 + MIDW!Z51 + NE!Z51 + NY!Z51 + NW!Z51 + SE!Z51 + SW!Z51 + TEN!Z51 + TEX!Z51</f>
        <v>3136058039.4527879</v>
      </c>
      <c r="AA51" s="7">
        <f xml:space="preserve"> 0 + CAL!AA51 + CAR!AA51 + CENT!AA51 + FLA!AA51 + MIDA!AA51 + MIDW!AA51 + NE!AA51 + NY!AA51 + NW!AA51 + SE!AA51 + SW!AA51 + TEN!AA51 + TEX!AA51</f>
        <v>3202541288.8434916</v>
      </c>
      <c r="AB51" s="7">
        <f xml:space="preserve"> 0 + CAL!AB51 + CAR!AB51 + CENT!AB51 + FLA!AB51 + MIDA!AB51 + MIDW!AB51 + NE!AB51 + NY!AB51 + NW!AB51 + SE!AB51 + SW!AB51 + TEN!AB51 + TEX!AB51</f>
        <v>3268053599.3031797</v>
      </c>
      <c r="AC51" s="7">
        <f xml:space="preserve"> 0 + CAL!AC51 + CAR!AC51 + CENT!AC51 + FLA!AC51 + MIDA!AC51 + MIDW!AC51 + NE!AC51 + NY!AC51 + NW!AC51 + SE!AC51 + SW!AC51 + TEN!AC51 + TEX!AC51</f>
        <v>3335198493.8415537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1679661237.8827958</v>
      </c>
      <c r="D52" s="7">
        <f xml:space="preserve"> 0 + CAL!D52 + CAR!D52 + CENT!D52 + FLA!D52 + MIDA!D52 + MIDW!D52 + NE!D52 + NY!D52 + NW!D52 + SE!D52 + SW!D52 + TEN!D52 + TEX!D52</f>
        <v>1818302503.7031136</v>
      </c>
      <c r="E52" s="7">
        <f xml:space="preserve"> 0 + CAL!E52 + CAR!E52 + CENT!E52 + FLA!E52 + MIDA!E52 + MIDW!E52 + NE!E52 + NY!E52 + NW!E52 + SE!E52 + SW!E52 + TEN!E52 + TEX!E52</f>
        <v>1916342420.9277031</v>
      </c>
      <c r="F52" s="7">
        <f xml:space="preserve"> 0 + CAL!F52 + CAR!F52 + CENT!F52 + FLA!F52 + MIDA!F52 + MIDW!F52 + NE!F52 + NY!F52 + NW!F52 + SE!F52 + SW!F52 + TEN!F52 + TEX!F52</f>
        <v>2002821503.9612629</v>
      </c>
      <c r="G52" s="7">
        <f xml:space="preserve"> 0 + CAL!G52 + CAR!G52 + CENT!G52 + FLA!G52 + MIDA!G52 + MIDW!G52 + NE!G52 + NY!G52 + NW!G52 + SE!G52 + SW!G52 + TEN!G52 + TEX!G52</f>
        <v>2074206776.9567289</v>
      </c>
      <c r="H52" s="7">
        <f xml:space="preserve"> 0 + CAL!H52 + CAR!H52 + CENT!H52 + FLA!H52 + MIDA!H52 + MIDW!H52 + NE!H52 + NY!H52 + NW!H52 + SE!H52 + SW!H52 + TEN!H52 + TEX!H52</f>
        <v>2127885042.6399071</v>
      </c>
      <c r="I52" s="7">
        <f xml:space="preserve"> 0 + CAL!I52 + CAR!I52 + CENT!I52 + FLA!I52 + MIDA!I52 + MIDW!I52 + NE!I52 + NY!I52 + NW!I52 + SE!I52 + SW!I52 + TEN!I52 + TEX!I52</f>
        <v>2196132990.6637449</v>
      </c>
      <c r="J52" s="7">
        <f xml:space="preserve"> 0 + CAL!J52 + CAR!J52 + CENT!J52 + FLA!J52 + MIDA!J52 + MIDW!J52 + NE!J52 + NY!J52 + NW!J52 + SE!J52 + SW!J52 + TEN!J52 + TEX!J52</f>
        <v>2236138000.9186077</v>
      </c>
      <c r="K52" s="7">
        <f xml:space="preserve"> 0 + CAL!K52 + CAR!K52 + CENT!K52 + FLA!K52 + MIDA!K52 + MIDW!K52 + NE!K52 + NY!K52 + NW!K52 + SE!K52 + SW!K52 + TEN!K52 + TEX!K52</f>
        <v>2294104525.1504397</v>
      </c>
      <c r="L52" s="7">
        <f xml:space="preserve"> 0 + CAL!L52 + CAR!L52 + CENT!L52 + FLA!L52 + MIDA!L52 + MIDW!L52 + NE!L52 + NY!L52 + NW!L52 + SE!L52 + SW!L52 + TEN!L52 + TEX!L52</f>
        <v>2348842186.4605436</v>
      </c>
      <c r="M52" s="7">
        <f xml:space="preserve"> 0 + CAL!M52 + CAR!M52 + CENT!M52 + FLA!M52 + MIDA!M52 + MIDW!M52 + NE!M52 + NY!M52 + NW!M52 + SE!M52 + SW!M52 + TEN!M52 + TEX!M52</f>
        <v>2400708341.3338432</v>
      </c>
      <c r="N52" s="7">
        <f xml:space="preserve"> 0 + CAL!N52 + CAR!N52 + CENT!N52 + FLA!N52 + MIDA!N52 + MIDW!N52 + NE!N52 + NY!N52 + NW!N52 + SE!N52 + SW!N52 + TEN!N52 + TEX!N52</f>
        <v>2449260726.6188326</v>
      </c>
      <c r="O52" s="7">
        <f xml:space="preserve"> 0 + CAL!O52 + CAR!O52 + CENT!O52 + FLA!O52 + MIDA!O52 + MIDW!O52 + NE!O52 + NY!O52 + NW!O52 + SE!O52 + SW!O52 + TEN!O52 + TEX!O52</f>
        <v>2498578218.7916203</v>
      </c>
      <c r="P52" s="7">
        <f xml:space="preserve"> 0 + CAL!P52 + CAR!P52 + CENT!P52 + FLA!P52 + MIDA!P52 + MIDW!P52 + NE!P52 + NY!P52 + NW!P52 + SE!P52 + SW!P52 + TEN!P52 + TEX!P52</f>
        <v>2550343389.1300058</v>
      </c>
      <c r="Q52" s="7">
        <f xml:space="preserve"> 0 + CAL!Q52 + CAR!Q52 + CENT!Q52 + FLA!Q52 + MIDA!Q52 + MIDW!Q52 + NE!Q52 + NY!Q52 + NW!Q52 + SE!Q52 + SW!Q52 + TEN!Q52 + TEX!Q52</f>
        <v>2607652898.0378737</v>
      </c>
      <c r="R52" s="7">
        <f xml:space="preserve"> 0 + CAL!R52 + CAR!R52 + CENT!R52 + FLA!R52 + MIDA!R52 + MIDW!R52 + NE!R52 + NY!R52 + NW!R52 + SE!R52 + SW!R52 + TEN!R52 + TEX!R52</f>
        <v>2664412027.8846712</v>
      </c>
      <c r="S52" s="7">
        <f xml:space="preserve"> 0 + CAL!S52 + CAR!S52 + CENT!S52 + FLA!S52 + MIDA!S52 + MIDW!S52 + NE!S52 + NY!S52 + NW!S52 + SE!S52 + SW!S52 + TEN!S52 + TEX!S52</f>
        <v>2717989040.7005911</v>
      </c>
      <c r="T52" s="7">
        <f xml:space="preserve"> 0 + CAL!T52 + CAR!T52 + CENT!T52 + FLA!T52 + MIDA!T52 + MIDW!T52 + NE!T52 + NY!T52 + NW!T52 + SE!T52 + SW!T52 + TEN!T52 + TEX!T52</f>
        <v>2774099665.7807651</v>
      </c>
      <c r="U52" s="7">
        <f xml:space="preserve"> 0 + CAL!U52 + CAR!U52 + CENT!U52 + FLA!U52 + MIDA!U52 + MIDW!U52 + NE!U52 + NY!U52 + NW!U52 + SE!U52 + SW!U52 + TEN!U52 + TEX!U52</f>
        <v>2828713875.8504844</v>
      </c>
      <c r="V52" s="7">
        <f xml:space="preserve"> 0 + CAL!V52 + CAR!V52 + CENT!V52 + FLA!V52 + MIDA!V52 + MIDW!V52 + NE!V52 + NY!V52 + NW!V52 + SE!V52 + SW!V52 + TEN!V52 + TEX!V52</f>
        <v>2885879945.5211163</v>
      </c>
      <c r="W52" s="7">
        <f xml:space="preserve"> 0 + CAL!W52 + CAR!W52 + CENT!W52 + FLA!W52 + MIDA!W52 + MIDW!W52 + NE!W52 + NY!W52 + NW!W52 + SE!W52 + SW!W52 + TEN!W52 + TEX!W52</f>
        <v>2942936890.4483752</v>
      </c>
      <c r="X52" s="7">
        <f xml:space="preserve"> 0 + CAL!X52 + CAR!X52 + CENT!X52 + FLA!X52 + MIDA!X52 + MIDW!X52 + NE!X52 + NY!X52 + NW!X52 + SE!X52 + SW!X52 + TEN!X52 + TEX!X52</f>
        <v>3001233733.4721227</v>
      </c>
      <c r="Y52" s="7">
        <f xml:space="preserve"> 0 + CAL!Y52 + CAR!Y52 + CENT!Y52 + FLA!Y52 + MIDA!Y52 + MIDW!Y52 + NE!Y52 + NY!Y52 + NW!Y52 + SE!Y52 + SW!Y52 + TEN!Y52 + TEX!Y52</f>
        <v>3067443154.8372707</v>
      </c>
      <c r="Z52" s="7">
        <f xml:space="preserve"> 0 + CAL!Z52 + CAR!Z52 + CENT!Z52 + FLA!Z52 + MIDA!Z52 + MIDW!Z52 + NE!Z52 + NY!Z52 + NW!Z52 + SE!Z52 + SW!Z52 + TEN!Z52 + TEX!Z52</f>
        <v>3136058039.4527879</v>
      </c>
      <c r="AA52" s="7">
        <f xml:space="preserve"> 0 + CAL!AA52 + CAR!AA52 + CENT!AA52 + FLA!AA52 + MIDA!AA52 + MIDW!AA52 + NE!AA52 + NY!AA52 + NW!AA52 + SE!AA52 + SW!AA52 + TEN!AA52 + TEX!AA52</f>
        <v>3202541288.8434916</v>
      </c>
      <c r="AB52" s="7">
        <f xml:space="preserve"> 0 + CAL!AB52 + CAR!AB52 + CENT!AB52 + FLA!AB52 + MIDA!AB52 + MIDW!AB52 + NE!AB52 + NY!AB52 + NW!AB52 + SE!AB52 + SW!AB52 + TEN!AB52 + TEX!AB52</f>
        <v>3268053599.3031797</v>
      </c>
      <c r="AC52" s="7">
        <f xml:space="preserve"> 0 + CAL!AC52 + CAR!AC52 + CENT!AC52 + FLA!AC52 + MIDA!AC52 + MIDW!AC52 + NE!AC52 + NY!AC52 + NW!AC52 + SE!AC52 + SW!AC52 + TEN!AC52 + TEX!AC52</f>
        <v>3335198493.8415537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123068.39595744001</v>
      </c>
      <c r="D53" s="7">
        <f xml:space="preserve"> 0 + CAL!D53 + CAR!D53 + CENT!D53 + FLA!D53 + MIDA!D53 + MIDW!D53 + NE!D53 + NY!D53 + NW!D53 + SE!D53 + SW!D53 + TEN!D53 + TEX!D53</f>
        <v>132736.57812732999</v>
      </c>
      <c r="E53" s="7">
        <f xml:space="preserve"> 0 + CAL!E53 + CAR!E53 + CENT!E53 + FLA!E53 + MIDA!E53 + MIDW!E53 + NE!E53 + NY!E53 + NW!E53 + SE!E53 + SW!E53 + TEN!E53 + TEX!E53</f>
        <v>140410.10308567001</v>
      </c>
      <c r="F53" s="7">
        <f xml:space="preserve"> 0 + CAL!F53 + CAR!F53 + CENT!F53 + FLA!F53 + MIDA!F53 + MIDW!F53 + NE!F53 + NY!F53 + NW!F53 + SE!F53 + SW!F53 + TEN!F53 + TEX!F53</f>
        <v>147780.55706456001</v>
      </c>
      <c r="G53" s="7">
        <f xml:space="preserve"> 0 + CAL!G53 + CAR!G53 + CENT!G53 + FLA!G53 + MIDA!G53 + MIDW!G53 + NE!G53 + NY!G53 + NW!G53 + SE!G53 + SW!G53 + TEN!G53 + TEX!G53</f>
        <v>154970.62434889001</v>
      </c>
      <c r="H53" s="7">
        <f xml:space="preserve"> 0 + CAL!H53 + CAR!H53 + CENT!H53 + FLA!H53 + MIDA!H53 + MIDW!H53 + NE!H53 + NY!H53 + NW!H53 + SE!H53 + SW!H53 + TEN!H53 + TEX!H53</f>
        <v>161666.44746328003</v>
      </c>
      <c r="I53" s="7">
        <f xml:space="preserve"> 0 + CAL!I53 + CAR!I53 + CENT!I53 + FLA!I53 + MIDA!I53 + MIDW!I53 + NE!I53 + NY!I53 + NW!I53 + SE!I53 + SW!I53 + TEN!I53 + TEX!I53</f>
        <v>167908.08380937</v>
      </c>
      <c r="J53" s="7">
        <f xml:space="preserve"> 0 + CAL!J53 + CAR!J53 + CENT!J53 + FLA!J53 + MIDA!J53 + MIDW!J53 + NE!J53 + NY!J53 + NW!J53 + SE!J53 + SW!J53 + TEN!J53 + TEX!J53</f>
        <v>171620.96499760999</v>
      </c>
      <c r="K53" s="7">
        <f xml:space="preserve"> 0 + CAL!K53 + CAR!K53 + CENT!K53 + FLA!K53 + MIDA!K53 + MIDW!K53 + NE!K53 + NY!K53 + NW!K53 + SE!K53 + SW!K53 + TEN!K53 + TEX!K53</f>
        <v>176572.70855223999</v>
      </c>
      <c r="L53" s="7">
        <f xml:space="preserve"> 0 + CAL!L53 + CAR!L53 + CENT!L53 + FLA!L53 + MIDA!L53 + MIDW!L53 + NE!L53 + NY!L53 + NW!L53 + SE!L53 + SW!L53 + TEN!L53 + TEX!L53</f>
        <v>181610.29529419998</v>
      </c>
      <c r="M53" s="7">
        <f xml:space="preserve"> 0 + CAL!M53 + CAR!M53 + CENT!M53 + FLA!M53 + MIDA!M53 + MIDW!M53 + NE!M53 + NY!M53 + NW!M53 + SE!M53 + SW!M53 + TEN!M53 + TEX!M53</f>
        <v>186402.69054852999</v>
      </c>
      <c r="N53" s="7">
        <f xml:space="preserve"> 0 + CAL!N53 + CAR!N53 + CENT!N53 + FLA!N53 + MIDA!N53 + MIDW!N53 + NE!N53 + NY!N53 + NW!N53 + SE!N53 + SW!N53 + TEN!N53 + TEX!N53</f>
        <v>190936.94209366001</v>
      </c>
      <c r="O53" s="7">
        <f xml:space="preserve"> 0 + CAL!O53 + CAR!O53 + CENT!O53 + FLA!O53 + MIDA!O53 + MIDW!O53 + NE!O53 + NY!O53 + NW!O53 + SE!O53 + SW!O53 + TEN!O53 + TEX!O53</f>
        <v>195583.42348651995</v>
      </c>
      <c r="P53" s="7">
        <f xml:space="preserve"> 0 + CAL!P53 + CAR!P53 + CENT!P53 + FLA!P53 + MIDA!P53 + MIDW!P53 + NE!P53 + NY!P53 + NW!P53 + SE!P53 + SW!P53 + TEN!P53 + TEX!P53</f>
        <v>200432.24113268001</v>
      </c>
      <c r="Q53" s="7">
        <f xml:space="preserve"> 0 + CAL!Q53 + CAR!Q53 + CENT!Q53 + FLA!Q53 + MIDA!Q53 + MIDW!Q53 + NE!Q53 + NY!Q53 + NW!Q53 + SE!Q53 + SW!Q53 + TEN!Q53 + TEX!Q53</f>
        <v>205424.09980904</v>
      </c>
      <c r="R53" s="7">
        <f xml:space="preserve"> 0 + CAL!R53 + CAR!R53 + CENT!R53 + FLA!R53 + MIDA!R53 + MIDW!R53 + NE!R53 + NY!R53 + NW!R53 + SE!R53 + SW!R53 + TEN!R53 + TEX!R53</f>
        <v>210598.87638880001</v>
      </c>
      <c r="S53" s="7">
        <f xml:space="preserve"> 0 + CAL!S53 + CAR!S53 + CENT!S53 + FLA!S53 + MIDA!S53 + MIDW!S53 + NE!S53 + NY!S53 + NW!S53 + SE!S53 + SW!S53 + TEN!S53 + TEX!S53</f>
        <v>215655.46928356998</v>
      </c>
      <c r="T53" s="7">
        <f xml:space="preserve"> 0 + CAL!T53 + CAR!T53 + CENT!T53 + FLA!T53 + MIDA!T53 + MIDW!T53 + NE!T53 + NY!T53 + NW!T53 + SE!T53 + SW!T53 + TEN!T53 + TEX!T53</f>
        <v>220847.92579760004</v>
      </c>
      <c r="U53" s="7">
        <f xml:space="preserve"> 0 + CAL!U53 + CAR!U53 + CENT!U53 + FLA!U53 + MIDA!U53 + MIDW!U53 + NE!U53 + NY!U53 + NW!U53 + SE!U53 + SW!U53 + TEN!U53 + TEX!U53</f>
        <v>226048.91666795997</v>
      </c>
      <c r="V53" s="7">
        <f xml:space="preserve"> 0 + CAL!V53 + CAR!V53 + CENT!V53 + FLA!V53 + MIDA!V53 + MIDW!V53 + NE!V53 + NY!V53 + NW!V53 + SE!V53 + SW!V53 + TEN!V53 + TEX!V53</f>
        <v>231384.59800334001</v>
      </c>
      <c r="W53" s="7">
        <f xml:space="preserve"> 0 + CAL!W53 + CAR!W53 + CENT!W53 + FLA!W53 + MIDA!W53 + MIDW!W53 + NE!W53 + NY!W53 + NW!W53 + SE!W53 + SW!W53 + TEN!W53 + TEX!W53</f>
        <v>236781.71685175999</v>
      </c>
      <c r="X53" s="7">
        <f xml:space="preserve"> 0 + CAL!X53 + CAR!X53 + CENT!X53 + FLA!X53 + MIDA!X53 + MIDW!X53 + NE!X53 + NY!X53 + NW!X53 + SE!X53 + SW!X53 + TEN!X53 + TEX!X53</f>
        <v>242300.53982253</v>
      </c>
      <c r="Y53" s="7">
        <f xml:space="preserve"> 0 + CAL!Y53 + CAR!Y53 + CENT!Y53 + FLA!Y53 + MIDA!Y53 + MIDW!Y53 + NE!Y53 + NY!Y53 + NW!Y53 + SE!Y53 + SW!Y53 + TEN!Y53 + TEX!Y53</f>
        <v>248246.79278770005</v>
      </c>
      <c r="Z53" s="7">
        <f xml:space="preserve"> 0 + CAL!Z53 + CAR!Z53 + CENT!Z53 + FLA!Z53 + MIDA!Z53 + MIDW!Z53 + NE!Z53 + NY!Z53 + NW!Z53 + SE!Z53 + SW!Z53 + TEN!Z53 + TEX!Z53</f>
        <v>254300.74954340004</v>
      </c>
      <c r="AA53" s="7">
        <f xml:space="preserve"> 0 + CAL!AA53 + CAR!AA53 + CENT!AA53 + FLA!AA53 + MIDA!AA53 + MIDW!AA53 + NE!AA53 + NY!AA53 + NW!AA53 + SE!AA53 + SW!AA53 + TEN!AA53 + TEX!AA53</f>
        <v>260334.38357693999</v>
      </c>
      <c r="AB53" s="7">
        <f xml:space="preserve"> 0 + CAL!AB53 + CAR!AB53 + CENT!AB53 + FLA!AB53 + MIDA!AB53 + MIDW!AB53 + NE!AB53 + NY!AB53 + NW!AB53 + SE!AB53 + SW!AB53 + TEN!AB53 + TEX!AB53</f>
        <v>266407.92551863001</v>
      </c>
      <c r="AC53" s="7">
        <f xml:space="preserve"> 0 + CAL!AC53 + CAR!AC53 + CENT!AC53 + FLA!AC53 + MIDA!AC53 + MIDW!AC53 + NE!AC53 + NY!AC53 + NW!AC53 + SE!AC53 + SW!AC53 + TEN!AC53 + TEX!AC53</f>
        <v>272606.74002546002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164606.80131253001</v>
      </c>
      <c r="D54" s="7">
        <f xml:space="preserve"> 0 + CAL!D54 + CAR!D54 + CENT!D54 + FLA!D54 + MIDA!D54 + MIDW!D54 + NE!D54 + NY!D54 + NW!D54 + SE!D54 + SW!D54 + TEN!D54 + TEX!D54</f>
        <v>178193.64536289999</v>
      </c>
      <c r="E54" s="7">
        <f xml:space="preserve"> 0 + CAL!E54 + CAR!E54 + CENT!E54 + FLA!E54 + MIDA!E54 + MIDW!E54 + NE!E54 + NY!E54 + NW!E54 + SE!E54 + SW!E54 + TEN!E54 + TEX!E54</f>
        <v>187801.55725091003</v>
      </c>
      <c r="F54" s="7">
        <f xml:space="preserve"> 0 + CAL!F54 + CAR!F54 + CENT!F54 + FLA!F54 + MIDA!F54 + MIDW!F54 + NE!F54 + NY!F54 + NW!F54 + SE!F54 + SW!F54 + TEN!F54 + TEX!F54</f>
        <v>196276.50738820003</v>
      </c>
      <c r="G54" s="7">
        <f xml:space="preserve"> 0 + CAL!G54 + CAR!G54 + CENT!G54 + FLA!G54 + MIDA!G54 + MIDW!G54 + NE!G54 + NY!G54 + NW!G54 + SE!G54 + SW!G54 + TEN!G54 + TEX!G54</f>
        <v>203272.26414176996</v>
      </c>
      <c r="H54" s="7">
        <f xml:space="preserve"> 0 + CAL!H54 + CAR!H54 + CENT!H54 + FLA!H54 + MIDA!H54 + MIDW!H54 + NE!H54 + NY!H54 + NW!H54 + SE!H54 + SW!H54 + TEN!H54 + TEX!H54</f>
        <v>208532.73417869999</v>
      </c>
      <c r="I54" s="7">
        <f xml:space="preserve"> 0 + CAL!I54 + CAR!I54 + CENT!I54 + FLA!I54 + MIDA!I54 + MIDW!I54 + NE!I54 + NY!I54 + NW!I54 + SE!I54 + SW!I54 + TEN!I54 + TEX!I54</f>
        <v>215221.03308503999</v>
      </c>
      <c r="J54" s="7">
        <f xml:space="preserve"> 0 + CAL!J54 + CAR!J54 + CENT!J54 + FLA!J54 + MIDA!J54 + MIDW!J54 + NE!J54 + NY!J54 + NW!J54 + SE!J54 + SW!J54 + TEN!J54 + TEX!J54</f>
        <v>219141.52409001999</v>
      </c>
      <c r="K54" s="7">
        <f xml:space="preserve"> 0 + CAL!K54 + CAR!K54 + CENT!K54 + FLA!K54 + MIDA!K54 + MIDW!K54 + NE!K54 + NY!K54 + NW!K54 + SE!K54 + SW!K54 + TEN!K54 + TEX!K54</f>
        <v>224822.24346475999</v>
      </c>
      <c r="L54" s="7">
        <f xml:space="preserve"> 0 + CAL!L54 + CAR!L54 + CENT!L54 + FLA!L54 + MIDA!L54 + MIDW!L54 + NE!L54 + NY!L54 + NW!L54 + SE!L54 + SW!L54 + TEN!L54 + TEX!L54</f>
        <v>230186.53427311999</v>
      </c>
      <c r="M54" s="7">
        <f xml:space="preserve"> 0 + CAL!M54 + CAR!M54 + CENT!M54 + FLA!M54 + MIDA!M54 + MIDW!M54 + NE!M54 + NY!M54 + NW!M54 + SE!M54 + SW!M54 + TEN!M54 + TEX!M54</f>
        <v>235269.41745072999</v>
      </c>
      <c r="N54" s="7">
        <f xml:space="preserve"> 0 + CAL!N54 + CAR!N54 + CENT!N54 + FLA!N54 + MIDA!N54 + MIDW!N54 + NE!N54 + NY!N54 + NW!N54 + SE!N54 + SW!N54 + TEN!N54 + TEX!N54</f>
        <v>240027.55120864001</v>
      </c>
      <c r="O54" s="7">
        <f xml:space="preserve"> 0 + CAL!O54 + CAR!O54 + CENT!O54 + FLA!O54 + MIDA!O54 + MIDW!O54 + NE!O54 + NY!O54 + NW!O54 + SE!O54 + SW!O54 + TEN!O54 + TEX!O54</f>
        <v>244860.66544157997</v>
      </c>
      <c r="P54" s="7">
        <f xml:space="preserve"> 0 + CAL!P54 + CAR!P54 + CENT!P54 + FLA!P54 + MIDA!P54 + MIDW!P54 + NE!P54 + NY!P54 + NW!P54 + SE!P54 + SW!P54 + TEN!P54 + TEX!P54</f>
        <v>249933.65213475001</v>
      </c>
      <c r="Q54" s="7">
        <f xml:space="preserve"> 0 + CAL!Q54 + CAR!Q54 + CENT!Q54 + FLA!Q54 + MIDA!Q54 + MIDW!Q54 + NE!Q54 + NY!Q54 + NW!Q54 + SE!Q54 + SW!Q54 + TEN!Q54 + TEX!Q54</f>
        <v>255549.98400770995</v>
      </c>
      <c r="R54" s="7">
        <f xml:space="preserve"> 0 + CAL!R54 + CAR!R54 + CENT!R54 + FLA!R54 + MIDA!R54 + MIDW!R54 + NE!R54 + NY!R54 + NW!R54 + SE!R54 + SW!R54 + TEN!R54 + TEX!R54</f>
        <v>261112.37873269996</v>
      </c>
      <c r="S54" s="7">
        <f xml:space="preserve"> 0 + CAL!S54 + CAR!S54 + CENT!S54 + FLA!S54 + MIDA!S54 + MIDW!S54 + NE!S54 + NY!S54 + NW!S54 + SE!S54 + SW!S54 + TEN!S54 + TEX!S54</f>
        <v>266362.92598866002</v>
      </c>
      <c r="T54" s="7">
        <f xml:space="preserve"> 0 + CAL!T54 + CAR!T54 + CENT!T54 + FLA!T54 + MIDA!T54 + MIDW!T54 + NE!T54 + NY!T54 + NW!T54 + SE!T54 + SW!T54 + TEN!T54 + TEX!T54</f>
        <v>271861.76724652003</v>
      </c>
      <c r="U54" s="7">
        <f xml:space="preserve"> 0 + CAL!U54 + CAR!U54 + CENT!U54 + FLA!U54 + MIDA!U54 + MIDW!U54 + NE!U54 + NY!U54 + NW!U54 + SE!U54 + SW!U54 + TEN!U54 + TEX!U54</f>
        <v>277213.95983334002</v>
      </c>
      <c r="V54" s="7">
        <f xml:space="preserve"> 0 + CAL!V54 + CAR!V54 + CENT!V54 + FLA!V54 + MIDA!V54 + MIDW!V54 + NE!V54 + NY!V54 + NW!V54 + SE!V54 + SW!V54 + TEN!V54 + TEX!V54</f>
        <v>282816.23466105002</v>
      </c>
      <c r="W54" s="7">
        <f xml:space="preserve"> 0 + CAL!W54 + CAR!W54 + CENT!W54 + FLA!W54 + MIDA!W54 + MIDW!W54 + NE!W54 + NY!W54 + NW!W54 + SE!W54 + SW!W54 + TEN!W54 + TEX!W54</f>
        <v>288407.81526393001</v>
      </c>
      <c r="X54" s="7">
        <f xml:space="preserve"> 0 + CAL!X54 + CAR!X54 + CENT!X54 + FLA!X54 + MIDA!X54 + MIDW!X54 + NE!X54 + NY!X54 + NW!X54 + SE!X54 + SW!X54 + TEN!X54 + TEX!X54</f>
        <v>294120.90588027006</v>
      </c>
      <c r="Y54" s="7">
        <f xml:space="preserve"> 0 + CAL!Y54 + CAR!Y54 + CENT!Y54 + FLA!Y54 + MIDA!Y54 + MIDW!Y54 + NE!Y54 + NY!Y54 + NW!Y54 + SE!Y54 + SW!Y54 + TEN!Y54 + TEX!Y54</f>
        <v>300609.42917406996</v>
      </c>
      <c r="Z54" s="7">
        <f xml:space="preserve"> 0 + CAL!Z54 + CAR!Z54 + CENT!Z54 + FLA!Z54 + MIDA!Z54 + MIDW!Z54 + NE!Z54 + NY!Z54 + NW!Z54 + SE!Z54 + SW!Z54 + TEN!Z54 + TEX!Z54</f>
        <v>307333.68786636996</v>
      </c>
      <c r="AA54" s="7">
        <f xml:space="preserve"> 0 + CAL!AA54 + CAR!AA54 + CENT!AA54 + FLA!AA54 + MIDA!AA54 + MIDW!AA54 + NE!AA54 + NY!AA54 + NW!AA54 + SE!AA54 + SW!AA54 + TEN!AA54 + TEX!AA54</f>
        <v>313849.04630668001</v>
      </c>
      <c r="AB54" s="7">
        <f xml:space="preserve"> 0 + CAL!AB54 + CAR!AB54 + CENT!AB54 + FLA!AB54 + MIDA!AB54 + MIDW!AB54 + NE!AB54 + NY!AB54 + NW!AB54 + SE!AB54 + SW!AB54 + TEN!AB54 + TEX!AB54</f>
        <v>320269.25273172004</v>
      </c>
      <c r="AC54" s="7">
        <f xml:space="preserve"> 0 + CAL!AC54 + CAR!AC54 + CENT!AC54 + FLA!AC54 + MIDA!AC54 + MIDW!AC54 + NE!AC54 + NY!AC54 + NW!AC54 + SE!AC54 + SW!AC54 + TEN!AC54 + TEX!AC54</f>
        <v>326849.45239646005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823.03400654999984</v>
      </c>
      <c r="D55" s="7">
        <f xml:space="preserve"> 0 + CAL!D55 + CAR!D55 + CENT!D55 + FLA!D55 + MIDA!D55 + MIDW!D55 + NE!D55 + NY!D55 + NW!D55 + SE!D55 + SW!D55 + TEN!D55 + TEX!D55</f>
        <v>890.96822680999992</v>
      </c>
      <c r="E55" s="7">
        <f xml:space="preserve"> 0 + CAL!E55 + CAR!E55 + CENT!E55 + FLA!E55 + MIDA!E55 + MIDW!E55 + NE!E55 + NY!E55 + NW!E55 + SE!E55 + SW!E55 + TEN!E55 + TEX!E55</f>
        <v>939.00778627000011</v>
      </c>
      <c r="F55" s="7">
        <f xml:space="preserve"> 0 + CAL!F55 + CAR!F55 + CENT!F55 + FLA!F55 + MIDA!F55 + MIDW!F55 + NE!F55 + NY!F55 + NW!F55 + SE!F55 + SW!F55 + TEN!F55 + TEX!F55</f>
        <v>981.38253694999992</v>
      </c>
      <c r="G55" s="7">
        <f xml:space="preserve"> 0 + CAL!G55 + CAR!G55 + CENT!G55 + FLA!G55 + MIDA!G55 + MIDW!G55 + NE!G55 + NY!G55 + NW!G55 + SE!G55 + SW!G55 + TEN!G55 + TEX!G55</f>
        <v>1016.36132072</v>
      </c>
      <c r="H55" s="7">
        <f xml:space="preserve"> 0 + CAL!H55 + CAR!H55 + CENT!H55 + FLA!H55 + MIDA!H55 + MIDW!H55 + NE!H55 + NY!H55 + NW!H55 + SE!H55 + SW!H55 + TEN!H55 + TEX!H55</f>
        <v>1042.6636708800002</v>
      </c>
      <c r="I55" s="7">
        <f xml:space="preserve"> 0 + CAL!I55 + CAR!I55 + CENT!I55 + FLA!I55 + MIDA!I55 + MIDW!I55 + NE!I55 + NY!I55 + NW!I55 + SE!I55 + SW!I55 + TEN!I55 + TEX!I55</f>
        <v>1076.1051654399998</v>
      </c>
      <c r="J55" s="7">
        <f xml:space="preserve"> 0 + CAL!J55 + CAR!J55 + CENT!J55 + FLA!J55 + MIDA!J55 + MIDW!J55 + NE!J55 + NY!J55 + NW!J55 + SE!J55 + SW!J55 + TEN!J55 + TEX!J55</f>
        <v>1095.7076204699999</v>
      </c>
      <c r="K55" s="7">
        <f xml:space="preserve"> 0 + CAL!K55 + CAR!K55 + CENT!K55 + FLA!K55 + MIDA!K55 + MIDW!K55 + NE!K55 + NY!K55 + NW!K55 + SE!K55 + SW!K55 + TEN!K55 + TEX!K55</f>
        <v>1124.1112173199999</v>
      </c>
      <c r="L55" s="7">
        <f xml:space="preserve"> 0 + CAL!L55 + CAR!L55 + CENT!L55 + FLA!L55 + MIDA!L55 + MIDW!L55 + NE!L55 + NY!L55 + NW!L55 + SE!L55 + SW!L55 + TEN!L55 + TEX!L55</f>
        <v>1150.9326713600001</v>
      </c>
      <c r="M55" s="7">
        <f xml:space="preserve"> 0 + CAL!M55 + CAR!M55 + CENT!M55 + FLA!M55 + MIDA!M55 + MIDW!M55 + NE!M55 + NY!M55 + NW!M55 + SE!M55 + SW!M55 + TEN!M55 + TEX!M55</f>
        <v>1176.3470872299999</v>
      </c>
      <c r="N55" s="7">
        <f xml:space="preserve"> 0 + CAL!N55 + CAR!N55 + CENT!N55 + FLA!N55 + MIDA!N55 + MIDW!N55 + NE!N55 + NY!N55 + NW!N55 + SE!N55 + SW!N55 + TEN!N55 + TEX!N55</f>
        <v>1200.1377560399999</v>
      </c>
      <c r="O55" s="7">
        <f xml:space="preserve"> 0 + CAL!O55 + CAR!O55 + CENT!O55 + FLA!O55 + MIDA!O55 + MIDW!O55 + NE!O55 + NY!O55 + NW!O55 + SE!O55 + SW!O55 + TEN!O55 + TEX!O55</f>
        <v>1224.3033272099999</v>
      </c>
      <c r="P55" s="7">
        <f xml:space="preserve"> 0 + CAL!P55 + CAR!P55 + CENT!P55 + FLA!P55 + MIDA!P55 + MIDW!P55 + NE!P55 + NY!P55 + NW!P55 + SE!P55 + SW!P55 + TEN!P55 + TEX!P55</f>
        <v>1249.66826066</v>
      </c>
      <c r="Q55" s="7">
        <f xml:space="preserve"> 0 + CAL!Q55 + CAR!Q55 + CENT!Q55 + FLA!Q55 + MIDA!Q55 + MIDW!Q55 + NE!Q55 + NY!Q55 + NW!Q55 + SE!Q55 + SW!Q55 + TEN!Q55 + TEX!Q55</f>
        <v>1277.7499200300001</v>
      </c>
      <c r="R55" s="7">
        <f xml:space="preserve"> 0 + CAL!R55 + CAR!R55 + CENT!R55 + FLA!R55 + MIDA!R55 + MIDW!R55 + NE!R55 + NY!R55 + NW!R55 + SE!R55 + SW!R55 + TEN!R55 + TEX!R55</f>
        <v>1305.5618936599999</v>
      </c>
      <c r="S55" s="7">
        <f xml:space="preserve"> 0 + CAL!S55 + CAR!S55 + CENT!S55 + FLA!S55 + MIDA!S55 + MIDW!S55 + NE!S55 + NY!S55 + NW!S55 + SE!S55 + SW!S55 + TEN!S55 + TEX!S55</f>
        <v>1331.8146299499999</v>
      </c>
      <c r="T55" s="7">
        <f xml:space="preserve"> 0 + CAL!T55 + CAR!T55 + CENT!T55 + FLA!T55 + MIDA!T55 + MIDW!T55 + NE!T55 + NY!T55 + NW!T55 + SE!T55 + SW!T55 + TEN!T55 + TEX!T55</f>
        <v>1359.30883623</v>
      </c>
      <c r="U55" s="7">
        <f xml:space="preserve"> 0 + CAL!U55 + CAR!U55 + CENT!U55 + FLA!U55 + MIDA!U55 + MIDW!U55 + NE!U55 + NY!U55 + NW!U55 + SE!U55 + SW!U55 + TEN!U55 + TEX!U55</f>
        <v>1386.06979916</v>
      </c>
      <c r="V55" s="7">
        <f xml:space="preserve"> 0 + CAL!V55 + CAR!V55 + CENT!V55 + FLA!V55 + MIDA!V55 + MIDW!V55 + NE!V55 + NY!V55 + NW!V55 + SE!V55 + SW!V55 + TEN!V55 + TEX!V55</f>
        <v>1414.0811733100002</v>
      </c>
      <c r="W55" s="7">
        <f xml:space="preserve"> 0 + CAL!W55 + CAR!W55 + CENT!W55 + FLA!W55 + MIDA!W55 + MIDW!W55 + NE!W55 + NY!W55 + NW!W55 + SE!W55 + SW!W55 + TEN!W55 + TEX!W55</f>
        <v>1442.0390763099999</v>
      </c>
      <c r="X55" s="7">
        <f xml:space="preserve"> 0 + CAL!X55 + CAR!X55 + CENT!X55 + FLA!X55 + MIDA!X55 + MIDW!X55 + NE!X55 + NY!X55 + NW!X55 + SE!X55 + SW!X55 + TEN!X55 + TEX!X55</f>
        <v>1470.6045294000003</v>
      </c>
      <c r="Y55" s="7">
        <f xml:space="preserve"> 0 + CAL!Y55 + CAR!Y55 + CENT!Y55 + FLA!Y55 + MIDA!Y55 + MIDW!Y55 + NE!Y55 + NY!Y55 + NW!Y55 + SE!Y55 + SW!Y55 + TEN!Y55 + TEX!Y55</f>
        <v>1503.0471458699999</v>
      </c>
      <c r="Z55" s="7">
        <f xml:space="preserve"> 0 + CAL!Z55 + CAR!Z55 + CENT!Z55 + FLA!Z55 + MIDA!Z55 + MIDW!Z55 + NE!Z55 + NY!Z55 + NW!Z55 + SE!Z55 + SW!Z55 + TEN!Z55 + TEX!Z55</f>
        <v>1536.6684393400001</v>
      </c>
      <c r="AA55" s="7">
        <f xml:space="preserve"> 0 + CAL!AA55 + CAR!AA55 + CENT!AA55 + FLA!AA55 + MIDA!AA55 + MIDW!AA55 + NE!AA55 + NY!AA55 + NW!AA55 + SE!AA55 + SW!AA55 + TEN!AA55 + TEX!AA55</f>
        <v>1569.24523153</v>
      </c>
      <c r="AB55" s="7">
        <f xml:space="preserve"> 0 + CAL!AB55 + CAR!AB55 + CENT!AB55 + FLA!AB55 + MIDA!AB55 + MIDW!AB55 + NE!AB55 + NY!AB55 + NW!AB55 + SE!AB55 + SW!AB55 + TEN!AB55 + TEX!AB55</f>
        <v>1601.3462636499996</v>
      </c>
      <c r="AC55" s="7">
        <f xml:space="preserve"> 0 + CAL!AC55 + CAR!AC55 + CENT!AC55 + FLA!AC55 + MIDA!AC55 + MIDW!AC55 + NE!AC55 + NY!AC55 + NW!AC55 + SE!AC55 + SW!AC55 + TEN!AC55 + TEX!AC55</f>
        <v>1634.2472619800001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82084.661753090011</v>
      </c>
      <c r="D56" s="7">
        <f xml:space="preserve"> 0 + CAL!D56 + CAR!D56 + CENT!D56 + FLA!D56 + MIDA!D56 + MIDW!D56 + NE!D56 + NY!D56 + NW!D56 + SE!D56 + SW!D56 + TEN!D56 + TEX!D56</f>
        <v>88369.997036959991</v>
      </c>
      <c r="E56" s="7">
        <f xml:space="preserve"> 0 + CAL!E56 + CAR!E56 + CENT!E56 + FLA!E56 + MIDA!E56 + MIDW!E56 + NE!E56 + NY!E56 + NW!E56 + SE!E56 + SW!E56 + TEN!E56 + TEX!E56</f>
        <v>93651.348015039999</v>
      </c>
      <c r="F56" s="7">
        <f xml:space="preserve"> 0 + CAL!F56 + CAR!F56 + CENT!F56 + FLA!F56 + MIDA!F56 + MIDW!F56 + NE!F56 + NY!F56 + NW!F56 + SE!F56 + SW!F56 + TEN!F56 + TEX!F56</f>
        <v>98911.71236790999</v>
      </c>
      <c r="G56" s="7">
        <f xml:space="preserve"> 0 + CAL!G56 + CAR!G56 + CENT!G56 + FLA!G56 + MIDA!G56 + MIDW!G56 + NE!G56 + NY!G56 + NW!G56 + SE!G56 + SW!G56 + TEN!G56 + TEX!G56</f>
        <v>104359.97899112001</v>
      </c>
      <c r="H56" s="7">
        <f xml:space="preserve"> 0 + CAL!H56 + CAR!H56 + CENT!H56 + FLA!H56 + MIDA!H56 + MIDW!H56 + NE!H56 + NY!H56 + NW!H56 + SE!H56 + SW!H56 + TEN!H56 + TEX!H56</f>
        <v>109746.05242287001</v>
      </c>
      <c r="I56" s="7">
        <f xml:space="preserve"> 0 + CAL!I56 + CAR!I56 + CENT!I56 + FLA!I56 + MIDA!I56 + MIDW!I56 + NE!I56 + NY!I56 + NW!I56 + SE!I56 + SW!I56 + TEN!I56 + TEX!I56</f>
        <v>114322.43883719998</v>
      </c>
      <c r="J56" s="7">
        <f xml:space="preserve"> 0 + CAL!J56 + CAR!J56 + CENT!J56 + FLA!J56 + MIDA!J56 + MIDW!J56 + NE!J56 + NY!J56 + NW!J56 + SE!J56 + SW!J56 + TEN!J56 + TEX!J56</f>
        <v>117059.19777520999</v>
      </c>
      <c r="K56" s="7">
        <f xml:space="preserve"> 0 + CAL!K56 + CAR!K56 + CENT!K56 + FLA!K56 + MIDA!K56 + MIDW!K56 + NE!K56 + NY!K56 + NW!K56 + SE!K56 + SW!K56 + TEN!K56 + TEX!K56</f>
        <v>120596.55813855999</v>
      </c>
      <c r="L56" s="7">
        <f xml:space="preserve"> 0 + CAL!L56 + CAR!L56 + CENT!L56 + FLA!L56 + MIDA!L56 + MIDW!L56 + NE!L56 + NY!L56 + NW!L56 + SE!L56 + SW!L56 + TEN!L56 + TEX!L56</f>
        <v>124298.54594456001</v>
      </c>
      <c r="M56" s="7">
        <f xml:space="preserve"> 0 + CAL!M56 + CAR!M56 + CENT!M56 + FLA!M56 + MIDA!M56 + MIDW!M56 + NE!M56 + NY!M56 + NW!M56 + SE!M56 + SW!M56 + TEN!M56 + TEX!M56</f>
        <v>127825.40701996</v>
      </c>
      <c r="N56" s="7">
        <f xml:space="preserve"> 0 + CAL!N56 + CAR!N56 + CENT!N56 + FLA!N56 + MIDA!N56 + MIDW!N56 + NE!N56 + NY!N56 + NW!N56 + SE!N56 + SW!N56 + TEN!N56 + TEX!N56</f>
        <v>131174.98036416</v>
      </c>
      <c r="O56" s="7">
        <f xml:space="preserve"> 0 + CAL!O56 + CAR!O56 + CENT!O56 + FLA!O56 + MIDA!O56 + MIDW!O56 + NE!O56 + NY!O56 + NW!O56 + SE!O56 + SW!O56 + TEN!O56 + TEX!O56</f>
        <v>134618.11494803001</v>
      </c>
      <c r="P56" s="7">
        <f xml:space="preserve"> 0 + CAL!P56 + CAR!P56 + CENT!P56 + FLA!P56 + MIDA!P56 + MIDW!P56 + NE!P56 + NY!P56 + NW!P56 + SE!P56 + SW!P56 + TEN!P56 + TEX!P56</f>
        <v>138203.86243792</v>
      </c>
      <c r="Q56" s="7">
        <f xml:space="preserve"> 0 + CAL!Q56 + CAR!Q56 + CENT!Q56 + FLA!Q56 + MIDA!Q56 + MIDW!Q56 + NE!Q56 + NY!Q56 + NW!Q56 + SE!Q56 + SW!Q56 + TEN!Q56 + TEX!Q56</f>
        <v>141797.36909691</v>
      </c>
      <c r="R56" s="7">
        <f xml:space="preserve"> 0 + CAL!R56 + CAR!R56 + CENT!R56 + FLA!R56 + MIDA!R56 + MIDW!R56 + NE!R56 + NY!R56 + NW!R56 + SE!R56 + SW!R56 + TEN!R56 + TEX!R56</f>
        <v>145587.22290841001</v>
      </c>
      <c r="S56" s="7">
        <f xml:space="preserve"> 0 + CAL!S56 + CAR!S56 + CENT!S56 + FLA!S56 + MIDA!S56 + MIDW!S56 + NE!S56 + NY!S56 + NW!S56 + SE!S56 + SW!S56 + TEN!S56 + TEX!S56</f>
        <v>149336.53669045001</v>
      </c>
      <c r="T56" s="7">
        <f xml:space="preserve"> 0 + CAL!T56 + CAR!T56 + CENT!T56 + FLA!T56 + MIDA!T56 + MIDW!T56 + NE!T56 + NY!T56 + NW!T56 + SE!T56 + SW!T56 + TEN!T56 + TEX!T56</f>
        <v>153159.89395254001</v>
      </c>
      <c r="U56" s="7">
        <f xml:space="preserve"> 0 + CAL!U56 + CAR!U56 + CENT!U56 + FLA!U56 + MIDA!U56 + MIDW!U56 + NE!U56 + NY!U56 + NW!U56 + SE!U56 + SW!U56 + TEN!U56 + TEX!U56</f>
        <v>157028.29809721</v>
      </c>
      <c r="V56" s="7">
        <f xml:space="preserve"> 0 + CAL!V56 + CAR!V56 + CENT!V56 + FLA!V56 + MIDA!V56 + MIDW!V56 + NE!V56 + NY!V56 + NW!V56 + SE!V56 + SW!V56 + TEN!V56 + TEX!V56</f>
        <v>160969.12733262999</v>
      </c>
      <c r="W56" s="7">
        <f xml:space="preserve"> 0 + CAL!W56 + CAR!W56 + CENT!W56 + FLA!W56 + MIDA!W56 + MIDW!W56 + NE!W56 + NY!W56 + NW!W56 + SE!W56 + SW!W56 + TEN!W56 + TEX!W56</f>
        <v>164974.05672482002</v>
      </c>
      <c r="X56" s="7">
        <f xml:space="preserve"> 0 + CAL!X56 + CAR!X56 + CENT!X56 + FLA!X56 + MIDA!X56 + MIDW!X56 + NE!X56 + NY!X56 + NW!X56 + SE!X56 + SW!X56 + TEN!X56 + TEX!X56</f>
        <v>169070.43672581</v>
      </c>
      <c r="Y56" s="7">
        <f xml:space="preserve"> 0 + CAL!Y56 + CAR!Y56 + CENT!Y56 + FLA!Y56 + MIDA!Y56 + MIDW!Y56 + NE!Y56 + NY!Y56 + NW!Y56 + SE!Y56 + SW!Y56 + TEN!Y56 + TEX!Y56</f>
        <v>173401.17980967998</v>
      </c>
      <c r="Z56" s="7">
        <f xml:space="preserve"> 0 + CAL!Z56 + CAR!Z56 + CENT!Z56 + FLA!Z56 + MIDA!Z56 + MIDW!Z56 + NE!Z56 + NY!Z56 + NW!Z56 + SE!Z56 + SW!Z56 + TEN!Z56 + TEX!Z56</f>
        <v>177780.93338074998</v>
      </c>
      <c r="AA56" s="7">
        <f xml:space="preserve"> 0 + CAL!AA56 + CAR!AA56 + CENT!AA56 + FLA!AA56 + MIDA!AA56 + MIDW!AA56 + NE!AA56 + NY!AA56 + NW!AA56 + SE!AA56 + SW!AA56 + TEN!AA56 + TEX!AA56</f>
        <v>182192.37612915999</v>
      </c>
      <c r="AB56" s="7">
        <f xml:space="preserve"> 0 + CAL!AB56 + CAR!AB56 + CENT!AB56 + FLA!AB56 + MIDA!AB56 + MIDW!AB56 + NE!AB56 + NY!AB56 + NW!AB56 + SE!AB56 + SW!AB56 + TEN!AB56 + TEX!AB56</f>
        <v>186667.41769562004</v>
      </c>
      <c r="AC56" s="7">
        <f xml:space="preserve"> 0 + CAL!AC56 + CAR!AC56 + CENT!AC56 + FLA!AC56 + MIDA!AC56 + MIDW!AC56 + NE!AC56 + NY!AC56 + NW!AC56 + SE!AC56 + SW!AC56 + TEN!AC56 + TEX!AC56</f>
        <v>191227.89677572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40983.734204330001</v>
      </c>
      <c r="D57" s="7">
        <f xml:space="preserve"> 0 + CAL!D57 + CAR!D57 + CENT!D57 + FLA!D57 + MIDA!D57 + MIDW!D57 + NE!D57 + NY!D57 + NW!D57 + SE!D57 + SW!D57 + TEN!D57 + TEX!D57</f>
        <v>44366.58109035001</v>
      </c>
      <c r="E57" s="7">
        <f xml:space="preserve"> 0 + CAL!E57 + CAR!E57 + CENT!E57 + FLA!E57 + MIDA!E57 + MIDW!E57 + NE!E57 + NY!E57 + NW!E57 + SE!E57 + SW!E57 + TEN!E57 + TEX!E57</f>
        <v>46758.75507063001</v>
      </c>
      <c r="F57" s="7">
        <f xml:space="preserve"> 0 + CAL!F57 + CAR!F57 + CENT!F57 + FLA!F57 + MIDA!F57 + MIDW!F57 + NE!F57 + NY!F57 + NW!F57 + SE!F57 + SW!F57 + TEN!F57 + TEX!F57</f>
        <v>48868.844696660002</v>
      </c>
      <c r="G57" s="7">
        <f xml:space="preserve"> 0 + CAL!G57 + CAR!G57 + CENT!G57 + FLA!G57 + MIDA!G57 + MIDW!G57 + NE!G57 + NY!G57 + NW!G57 + SE!G57 + SW!G57 + TEN!G57 + TEX!G57</f>
        <v>50610.645357730005</v>
      </c>
      <c r="H57" s="7">
        <f xml:space="preserve"> 0 + CAL!H57 + CAR!H57 + CENT!H57 + FLA!H57 + MIDA!H57 + MIDW!H57 + NE!H57 + NY!H57 + NW!H57 + SE!H57 + SW!H57 + TEN!H57 + TEX!H57</f>
        <v>51920.395040420015</v>
      </c>
      <c r="I57" s="7">
        <f xml:space="preserve"> 0 + CAL!I57 + CAR!I57 + CENT!I57 + FLA!I57 + MIDA!I57 + MIDW!I57 + NE!I57 + NY!I57 + NW!I57 + SE!I57 + SW!I57 + TEN!I57 + TEX!I57</f>
        <v>53585.644972189999</v>
      </c>
      <c r="J57" s="7">
        <f xml:space="preserve"> 0 + CAL!J57 + CAR!J57 + CENT!J57 + FLA!J57 + MIDA!J57 + MIDW!J57 + NE!J57 + NY!J57 + NW!J57 + SE!J57 + SW!J57 + TEN!J57 + TEX!J57</f>
        <v>54561.76722241001</v>
      </c>
      <c r="K57" s="7">
        <f xml:space="preserve"> 0 + CAL!K57 + CAR!K57 + CENT!K57 + FLA!K57 + MIDA!K57 + MIDW!K57 + NE!K57 + NY!K57 + NW!K57 + SE!K57 + SW!K57 + TEN!K57 + TEX!K57</f>
        <v>55976.150413669995</v>
      </c>
      <c r="L57" s="7">
        <f xml:space="preserve"> 0 + CAL!L57 + CAR!L57 + CENT!L57 + FLA!L57 + MIDA!L57 + MIDW!L57 + NE!L57 + NY!L57 + NW!L57 + SE!L57 + SW!L57 + TEN!L57 + TEX!L57</f>
        <v>57311.749349639998</v>
      </c>
      <c r="M57" s="7">
        <f xml:space="preserve"> 0 + CAL!M57 + CAR!M57 + CENT!M57 + FLA!M57 + MIDA!M57 + MIDW!M57 + NE!M57 + NY!M57 + NW!M57 + SE!M57 + SW!M57 + TEN!M57 + TEX!M57</f>
        <v>58577.28352854</v>
      </c>
      <c r="N57" s="7">
        <f xml:space="preserve"> 0 + CAL!N57 + CAR!N57 + CENT!N57 + FLA!N57 + MIDA!N57 + MIDW!N57 + NE!N57 + NY!N57 + NW!N57 + SE!N57 + SW!N57 + TEN!N57 + TEX!N57</f>
        <v>59761.961729510011</v>
      </c>
      <c r="O57" s="7">
        <f xml:space="preserve"> 0 + CAL!O57 + CAR!O57 + CENT!O57 + FLA!O57 + MIDA!O57 + MIDW!O57 + NE!O57 + NY!O57 + NW!O57 + SE!O57 + SW!O57 + TEN!O57 + TEX!O57</f>
        <v>60965.308538510006</v>
      </c>
      <c r="P57" s="7">
        <f xml:space="preserve"> 0 + CAL!P57 + CAR!P57 + CENT!P57 + FLA!P57 + MIDA!P57 + MIDW!P57 + NE!P57 + NY!P57 + NW!P57 + SE!P57 + SW!P57 + TEN!P57 + TEX!P57</f>
        <v>62228.378694790001</v>
      </c>
      <c r="Q57" s="7">
        <f xml:space="preserve"> 0 + CAL!Q57 + CAR!Q57 + CENT!Q57 + FLA!Q57 + MIDA!Q57 + MIDW!Q57 + NE!Q57 + NY!Q57 + NW!Q57 + SE!Q57 + SW!Q57 + TEN!Q57 + TEX!Q57</f>
        <v>63626.730712120007</v>
      </c>
      <c r="R57" s="7">
        <f xml:space="preserve"> 0 + CAL!R57 + CAR!R57 + CENT!R57 + FLA!R57 + MIDA!R57 + MIDW!R57 + NE!R57 + NY!R57 + NW!R57 + SE!R57 + SW!R57 + TEN!R57 + TEX!R57</f>
        <v>65011.653480389999</v>
      </c>
      <c r="S57" s="7">
        <f xml:space="preserve"> 0 + CAL!S57 + CAR!S57 + CENT!S57 + FLA!S57 + MIDA!S57 + MIDW!S57 + NE!S57 + NY!S57 + NW!S57 + SE!S57 + SW!S57 + TEN!S57 + TEX!S57</f>
        <v>66318.932593110003</v>
      </c>
      <c r="T57" s="7">
        <f xml:space="preserve"> 0 + CAL!T57 + CAR!T57 + CENT!T57 + FLA!T57 + MIDA!T57 + MIDW!T57 + NE!T57 + NY!T57 + NW!T57 + SE!T57 + SW!T57 + TEN!T57 + TEX!T57</f>
        <v>67688.031845050005</v>
      </c>
      <c r="U57" s="7">
        <f xml:space="preserve"> 0 + CAL!U57 + CAR!U57 + CENT!U57 + FLA!U57 + MIDA!U57 + MIDW!U57 + NE!U57 + NY!U57 + NW!U57 + SE!U57 + SW!U57 + TEN!U57 + TEX!U57</f>
        <v>69020.618570759994</v>
      </c>
      <c r="V57" s="7">
        <f xml:space="preserve"> 0 + CAL!V57 + CAR!V57 + CENT!V57 + FLA!V57 + MIDA!V57 + MIDW!V57 + NE!V57 + NY!V57 + NW!V57 + SE!V57 + SW!V57 + TEN!V57 + TEX!V57</f>
        <v>70415.470670710012</v>
      </c>
      <c r="W57" s="7">
        <f xml:space="preserve"> 0 + CAL!W57 + CAR!W57 + CENT!W57 + FLA!W57 + MIDA!W57 + MIDW!W57 + NE!W57 + NY!W57 + NW!W57 + SE!W57 + SW!W57 + TEN!W57 + TEX!W57</f>
        <v>71807.66012695001</v>
      </c>
      <c r="X57" s="7">
        <f xml:space="preserve"> 0 + CAL!X57 + CAR!X57 + CENT!X57 + FLA!X57 + MIDA!X57 + MIDW!X57 + NE!X57 + NY!X57 + NW!X57 + SE!X57 + SW!X57 + TEN!X57 + TEX!X57</f>
        <v>73230.103096729988</v>
      </c>
      <c r="Y57" s="7">
        <f xml:space="preserve"> 0 + CAL!Y57 + CAR!Y57 + CENT!Y57 + FLA!Y57 + MIDA!Y57 + MIDW!Y57 + NE!Y57 + NY!Y57 + NW!Y57 + SE!Y57 + SW!Y57 + TEN!Y57 + TEX!Y57</f>
        <v>74845.612978020014</v>
      </c>
      <c r="Z57" s="7">
        <f xml:space="preserve"> 0 + CAL!Z57 + CAR!Z57 + CENT!Z57 + FLA!Z57 + MIDA!Z57 + MIDW!Z57 + NE!Z57 + NY!Z57 + NW!Z57 + SE!Z57 + SW!Z57 + TEN!Z57 + TEX!Z57</f>
        <v>76519.816162650008</v>
      </c>
      <c r="AA57" s="7">
        <f xml:space="preserve"> 0 + CAL!AA57 + CAR!AA57 + CENT!AA57 + FLA!AA57 + MIDA!AA57 + MIDW!AA57 + NE!AA57 + NY!AA57 + NW!AA57 + SE!AA57 + SW!AA57 + TEN!AA57 + TEX!AA57</f>
        <v>78142.007447759999</v>
      </c>
      <c r="AB57" s="7">
        <f xml:space="preserve"> 0 + CAL!AB57 + CAR!AB57 + CENT!AB57 + FLA!AB57 + MIDA!AB57 + MIDW!AB57 + NE!AB57 + NY!AB57 + NW!AB57 + SE!AB57 + SW!AB57 + TEN!AB57 + TEX!AB57</f>
        <v>79740.507822990025</v>
      </c>
      <c r="AC57" s="7">
        <f xml:space="preserve"> 0 + CAL!AC57 + CAR!AC57 + CENT!AC57 + FLA!AC57 + MIDA!AC57 + MIDW!AC57 + NE!AC57 + NY!AC57 + NW!AC57 + SE!AC57 + SW!AC57 + TEN!AC57 + TEX!AC57</f>
        <v>81378.843249739992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14.580990780000002</v>
      </c>
      <c r="E58" s="7">
        <f xml:space="preserve"> 0 + CAL!E58 + CAR!E58 + CENT!E58 + FLA!E58 + MIDA!E58 + MIDW!E58 + NE!E58 + NY!E58 + NW!E58 + SE!E58 + SW!E58 + TEN!E58 + TEX!E58</f>
        <v>14.514826829999999</v>
      </c>
      <c r="F58" s="7">
        <f xml:space="preserve"> 0 + CAL!F58 + CAR!F58 + CENT!F58 + FLA!F58 + MIDA!F58 + MIDW!F58 + NE!F58 + NY!F58 + NW!F58 + SE!F58 + SW!F58 + TEN!F58 + TEX!F58</f>
        <v>14.354728189999999</v>
      </c>
      <c r="G58" s="7">
        <f xml:space="preserve"> 0 + CAL!G58 + CAR!G58 + CENT!G58 + FLA!G58 + MIDA!G58 + MIDW!G58 + NE!G58 + NY!G58 + NW!G58 + SE!G58 + SW!G58 + TEN!G58 + TEX!G58</f>
        <v>14.273783680000001</v>
      </c>
      <c r="H58" s="7">
        <f xml:space="preserve"> 0 + CAL!H58 + CAR!H58 + CENT!H58 + FLA!H58 + MIDA!H58 + MIDW!H58 + NE!H58 + NY!H58 + NW!H58 + SE!H58 + SW!H58 + TEN!H58 + TEX!H58</f>
        <v>14.227776270000001</v>
      </c>
      <c r="I58" s="7">
        <f xml:space="preserve"> 0 + CAL!I58 + CAR!I58 + CENT!I58 + FLA!I58 + MIDA!I58 + MIDW!I58 + NE!I58 + NY!I58 + NW!I58 + SE!I58 + SW!I58 + TEN!I58 + TEX!I58</f>
        <v>14.13984233</v>
      </c>
      <c r="J58" s="7">
        <f xml:space="preserve"> 0 + CAL!J58 + CAR!J58 + CENT!J58 + FLA!J58 + MIDA!J58 + MIDW!J58 + NE!J58 + NY!J58 + NW!J58 + SE!J58 + SW!J58 + TEN!J58 + TEX!J58</f>
        <v>14.018531100000001</v>
      </c>
      <c r="K58" s="7">
        <f xml:space="preserve"> 0 + CAL!K58 + CAR!K58 + CENT!K58 + FLA!K58 + MIDA!K58 + MIDW!K58 + NE!K58 + NY!K58 + NW!K58 + SE!K58 + SW!K58 + TEN!K58 + TEX!K58</f>
        <v>13.911251450000002</v>
      </c>
      <c r="L58" s="7">
        <f xml:space="preserve"> 0 + CAL!L58 + CAR!L58 + CENT!L58 + FLA!L58 + MIDA!L58 + MIDW!L58 + NE!L58 + NY!L58 + NW!L58 + SE!L58 + SW!L58 + TEN!L58 + TEX!L58</f>
        <v>13.976834279999999</v>
      </c>
      <c r="M58" s="7">
        <f xml:space="preserve"> 0 + CAL!M58 + CAR!M58 + CENT!M58 + FLA!M58 + MIDA!M58 + MIDW!M58 + NE!M58 + NY!M58 + NW!M58 + SE!M58 + SW!M58 + TEN!M58 + TEX!M58</f>
        <v>13.982175830000003</v>
      </c>
      <c r="N58" s="7">
        <f xml:space="preserve"> 0 + CAL!N58 + CAR!N58 + CENT!N58 + FLA!N58 + MIDA!N58 + MIDW!N58 + NE!N58 + NY!N58 + NW!N58 + SE!N58 + SW!N58 + TEN!N58 + TEX!N58</f>
        <v>13.949417979999998</v>
      </c>
      <c r="O58" s="7">
        <f xml:space="preserve"> 0 + CAL!O58 + CAR!O58 + CENT!O58 + FLA!O58 + MIDA!O58 + MIDW!O58 + NE!O58 + NY!O58 + NW!O58 + SE!O58 + SW!O58 + TEN!O58 + TEX!O58</f>
        <v>13.905846409999997</v>
      </c>
      <c r="P58" s="7">
        <f xml:space="preserve"> 0 + CAL!P58 + CAR!P58 + CENT!P58 + FLA!P58 + MIDA!P58 + MIDW!P58 + NE!P58 + NY!P58 + NW!P58 + SE!P58 + SW!P58 + TEN!P58 + TEX!P58</f>
        <v>13.903440719999999</v>
      </c>
      <c r="Q58" s="7">
        <f xml:space="preserve"> 0 + CAL!Q58 + CAR!Q58 + CENT!Q58 + FLA!Q58 + MIDA!Q58 + MIDW!Q58 + NE!Q58 + NY!Q58 + NW!Q58 + SE!Q58 + SW!Q58 + TEN!Q58 + TEX!Q58</f>
        <v>13.908362440000001</v>
      </c>
      <c r="R58" s="7">
        <f xml:space="preserve"> 0 + CAL!R58 + CAR!R58 + CENT!R58 + FLA!R58 + MIDA!R58 + MIDW!R58 + NE!R58 + NY!R58 + NW!R58 + SE!R58 + SW!R58 + TEN!R58 + TEX!R58</f>
        <v>13.91219721</v>
      </c>
      <c r="S58" s="7">
        <f xml:space="preserve"> 0 + CAL!S58 + CAR!S58 + CENT!S58 + FLA!S58 + MIDA!S58 + MIDW!S58 + NE!S58 + NY!S58 + NW!S58 + SE!S58 + SW!S58 + TEN!S58 + TEX!S58</f>
        <v>13.909105659999998</v>
      </c>
      <c r="T58" s="7">
        <f xml:space="preserve"> 0 + CAL!T58 + CAR!T58 + CENT!T58 + FLA!T58 + MIDA!T58 + MIDW!T58 + NE!T58 + NY!T58 + NW!T58 + SE!T58 + SW!T58 + TEN!T58 + TEX!T58</f>
        <v>13.901248389999999</v>
      </c>
      <c r="U58" s="7">
        <f xml:space="preserve"> 0 + CAL!U58 + CAR!U58 + CENT!U58 + FLA!U58 + MIDA!U58 + MIDW!U58 + NE!U58 + NY!U58 + NW!U58 + SE!U58 + SW!U58 + TEN!U58 + TEX!U58</f>
        <v>13.900135140000001</v>
      </c>
      <c r="V58" s="7">
        <f xml:space="preserve"> 0 + CAL!V58 + CAR!V58 + CENT!V58 + FLA!V58 + MIDA!V58 + MIDW!V58 + NE!V58 + NY!V58 + NW!V58 + SE!V58 + SW!V58 + TEN!V58 + TEX!V58</f>
        <v>13.89221191</v>
      </c>
      <c r="W58" s="7">
        <f xml:space="preserve"> 0 + CAL!W58 + CAR!W58 + CENT!W58 + FLA!W58 + MIDA!W58 + MIDW!W58 + NE!W58 + NY!W58 + NW!W58 + SE!W58 + SW!W58 + TEN!W58 + TEX!W58</f>
        <v>13.890388579999998</v>
      </c>
      <c r="X58" s="7">
        <f xml:space="preserve"> 0 + CAL!X58 + CAR!X58 + CENT!X58 + FLA!X58 + MIDA!X58 + MIDW!X58 + NE!X58 + NY!X58 + NW!X58 + SE!X58 + SW!X58 + TEN!X58 + TEX!X58</f>
        <v>13.886579899999997</v>
      </c>
      <c r="Y58" s="7">
        <f xml:space="preserve"> 0 + CAL!Y58 + CAR!Y58 + CENT!Y58 + FLA!Y58 + MIDA!Y58 + MIDW!Y58 + NE!Y58 + NY!Y58 + NW!Y58 + SE!Y58 + SW!Y58 + TEN!Y58 + TEX!Y58</f>
        <v>13.885020219999998</v>
      </c>
      <c r="Z58" s="7">
        <f xml:space="preserve"> 0 + CAL!Z58 + CAR!Z58 + CENT!Z58 + FLA!Z58 + MIDA!Z58 + MIDW!Z58 + NE!Z58 + NY!Z58 + NW!Z58 + SE!Z58 + SW!Z58 + TEN!Z58 + TEX!Z58</f>
        <v>13.897103700000002</v>
      </c>
      <c r="AA58" s="7">
        <f xml:space="preserve"> 0 + CAL!AA58 + CAR!AA58 + CENT!AA58 + FLA!AA58 + MIDA!AA58 + MIDW!AA58 + NE!AA58 + NY!AA58 + NW!AA58 + SE!AA58 + SW!AA58 + TEN!AA58 + TEX!AA58</f>
        <v>13.893687480000001</v>
      </c>
      <c r="AB58" s="7">
        <f xml:space="preserve"> 0 + CAL!AB58 + CAR!AB58 + CENT!AB58 + FLA!AB58 + MIDA!AB58 + MIDW!AB58 + NE!AB58 + NY!AB58 + NW!AB58 + SE!AB58 + SW!AB58 + TEN!AB58 + TEX!AB58</f>
        <v>13.886547939999998</v>
      </c>
      <c r="AC58" s="7">
        <f xml:space="preserve"> 0 + CAL!AC58 + CAR!AC58 + CENT!AC58 + FLA!AC58 + MIDA!AC58 + MIDW!AC58 + NE!AC58 + NY!AC58 + NW!AC58 + SE!AC58 + SW!AC58 + TEN!AC58 + TEX!AC58</f>
        <v>13.883674529999999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14.622758770000001</v>
      </c>
      <c r="D59" s="7">
        <f xml:space="preserve"> 0 + CAL!D59 + CAR!D59 + CENT!D59 + FLA!D59 + MIDA!D59 + MIDW!D59 + NE!D59 + NY!D59 + NW!D59 + SE!D59 + SW!D59 + TEN!D59 + TEX!D59</f>
        <v>14.553052450000001</v>
      </c>
      <c r="E59" s="7">
        <f xml:space="preserve"> 0 + CAL!E59 + CAR!E59 + CENT!E59 + FLA!E59 + MIDA!E59 + MIDW!E59 + NE!E59 + NY!E59 + NW!E59 + SE!E59 + SW!E59 + TEN!E59 + TEX!E59</f>
        <v>14.381858089999998</v>
      </c>
      <c r="F59" s="7">
        <f xml:space="preserve"> 0 + CAL!F59 + CAR!F59 + CENT!F59 + FLA!F59 + MIDA!F59 + MIDW!F59 + NE!F59 + NY!F59 + NW!F59 + SE!F59 + SW!F59 + TEN!F59 + TEX!F59</f>
        <v>14.296821560000001</v>
      </c>
      <c r="G59" s="7">
        <f xml:space="preserve"> 0 + CAL!G59 + CAR!G59 + CENT!G59 + FLA!G59 + MIDA!G59 + MIDW!G59 + NE!G59 + NY!G59 + NW!G59 + SE!G59 + SW!G59 + TEN!G59 + TEX!G59</f>
        <v>14.245086579999999</v>
      </c>
      <c r="H59" s="7">
        <f xml:space="preserve"> 0 + CAL!H59 + CAR!H59 + CENT!H59 + FLA!H59 + MIDA!H59 + MIDW!H59 + NE!H59 + NY!H59 + NW!H59 + SE!H59 + SW!H59 + TEN!H59 + TEX!H59</f>
        <v>14.154758090000001</v>
      </c>
      <c r="I59" s="7">
        <f xml:space="preserve"> 0 + CAL!I59 + CAR!I59 + CENT!I59 + FLA!I59 + MIDA!I59 + MIDW!I59 + NE!I59 + NY!I59 + NW!I59 + SE!I59 + SW!I59 + TEN!I59 + TEX!I59</f>
        <v>14.026975970000002</v>
      </c>
      <c r="J59" s="7">
        <f xml:space="preserve"> 0 + CAL!J59 + CAR!J59 + CENT!J59 + FLA!J59 + MIDA!J59 + MIDW!J59 + NE!J59 + NY!J59 + NW!J59 + SE!J59 + SW!J59 + TEN!J59 + TEX!J59</f>
        <v>13.918733870000001</v>
      </c>
      <c r="K59" s="7">
        <f xml:space="preserve"> 0 + CAL!K59 + CAR!K59 + CENT!K59 + FLA!K59 + MIDA!K59 + MIDW!K59 + NE!K59 + NY!K59 + NW!K59 + SE!K59 + SW!K59 + TEN!K59 + TEX!K59</f>
        <v>13.982594109999999</v>
      </c>
      <c r="L59" s="7">
        <f xml:space="preserve"> 0 + CAL!L59 + CAR!L59 + CENT!L59 + FLA!L59 + MIDA!L59 + MIDW!L59 + NE!L59 + NY!L59 + NW!L59 + SE!L59 + SW!L59 + TEN!L59 + TEX!L59</f>
        <v>13.987210750000003</v>
      </c>
      <c r="M59" s="7">
        <f xml:space="preserve"> 0 + CAL!M59 + CAR!M59 + CENT!M59 + FLA!M59 + MIDA!M59 + MIDW!M59 + NE!M59 + NY!M59 + NW!M59 + SE!M59 + SW!M59 + TEN!M59 + TEX!M59</f>
        <v>13.949723299999999</v>
      </c>
      <c r="N59" s="7">
        <f xml:space="preserve"> 0 + CAL!N59 + CAR!N59 + CENT!N59 + FLA!N59 + MIDA!N59 + MIDW!N59 + NE!N59 + NY!N59 + NW!N59 + SE!N59 + SW!N59 + TEN!N59 + TEX!N59</f>
        <v>13.905846409999997</v>
      </c>
      <c r="O59" s="7">
        <f xml:space="preserve"> 0 + CAL!O59 + CAR!O59 + CENT!O59 + FLA!O59 + MIDA!O59 + MIDW!O59 + NE!O59 + NY!O59 + NW!O59 + SE!O59 + SW!O59 + TEN!O59 + TEX!O59</f>
        <v>13.903440719999999</v>
      </c>
      <c r="P59" s="7">
        <f xml:space="preserve"> 0 + CAL!P59 + CAR!P59 + CENT!P59 + FLA!P59 + MIDA!P59 + MIDW!P59 + NE!P59 + NY!P59 + NW!P59 + SE!P59 + SW!P59 + TEN!P59 + TEX!P59</f>
        <v>13.908362440000001</v>
      </c>
      <c r="Q59" s="7">
        <f xml:space="preserve"> 0 + CAL!Q59 + CAR!Q59 + CENT!Q59 + FLA!Q59 + MIDA!Q59 + MIDW!Q59 + NE!Q59 + NY!Q59 + NW!Q59 + SE!Q59 + SW!Q59 + TEN!Q59 + TEX!Q59</f>
        <v>13.91219721</v>
      </c>
      <c r="R59" s="7">
        <f xml:space="preserve"> 0 + CAL!R59 + CAR!R59 + CENT!R59 + FLA!R59 + MIDA!R59 + MIDW!R59 + NE!R59 + NY!R59 + NW!R59 + SE!R59 + SW!R59 + TEN!R59 + TEX!R59</f>
        <v>13.909105659999998</v>
      </c>
      <c r="S59" s="7">
        <f xml:space="preserve"> 0 + CAL!S59 + CAR!S59 + CENT!S59 + FLA!S59 + MIDA!S59 + MIDW!S59 + NE!S59 + NY!S59 + NW!S59 + SE!S59 + SW!S59 + TEN!S59 + TEX!S59</f>
        <v>13.901248389999999</v>
      </c>
      <c r="T59" s="7">
        <f xml:space="preserve"> 0 + CAL!T59 + CAR!T59 + CENT!T59 + FLA!T59 + MIDA!T59 + MIDW!T59 + NE!T59 + NY!T59 + NW!T59 + SE!T59 + SW!T59 + TEN!T59 + TEX!T59</f>
        <v>13.900135140000001</v>
      </c>
      <c r="U59" s="7">
        <f xml:space="preserve"> 0 + CAL!U59 + CAR!U59 + CENT!U59 + FLA!U59 + MIDA!U59 + MIDW!U59 + NE!U59 + NY!U59 + NW!U59 + SE!U59 + SW!U59 + TEN!U59 + TEX!U59</f>
        <v>13.89221191</v>
      </c>
      <c r="V59" s="7">
        <f xml:space="preserve"> 0 + CAL!V59 + CAR!V59 + CENT!V59 + FLA!V59 + MIDA!V59 + MIDW!V59 + NE!V59 + NY!V59 + NW!V59 + SE!V59 + SW!V59 + TEN!V59 + TEX!V59</f>
        <v>13.890388579999998</v>
      </c>
      <c r="W59" s="7">
        <f xml:space="preserve"> 0 + CAL!W59 + CAR!W59 + CENT!W59 + FLA!W59 + MIDA!W59 + MIDW!W59 + NE!W59 + NY!W59 + NW!W59 + SE!W59 + SW!W59 + TEN!W59 + TEX!W59</f>
        <v>13.886579899999997</v>
      </c>
      <c r="X59" s="7">
        <f xml:space="preserve"> 0 + CAL!X59 + CAR!X59 + CENT!X59 + FLA!X59 + MIDA!X59 + MIDW!X59 + NE!X59 + NY!X59 + NW!X59 + SE!X59 + SW!X59 + TEN!X59 + TEX!X59</f>
        <v>13.885020219999998</v>
      </c>
      <c r="Y59" s="7">
        <f xml:space="preserve"> 0 + CAL!Y59 + CAR!Y59 + CENT!Y59 + FLA!Y59 + MIDA!Y59 + MIDW!Y59 + NE!Y59 + NY!Y59 + NW!Y59 + SE!Y59 + SW!Y59 + TEN!Y59 + TEX!Y59</f>
        <v>13.897103700000002</v>
      </c>
      <c r="Z59" s="7">
        <f xml:space="preserve"> 0 + CAL!Z59 + CAR!Z59 + CENT!Z59 + FLA!Z59 + MIDA!Z59 + MIDW!Z59 + NE!Z59 + NY!Z59 + NW!Z59 + SE!Z59 + SW!Z59 + TEN!Z59 + TEX!Z59</f>
        <v>13.893687480000001</v>
      </c>
      <c r="AA59" s="7">
        <f xml:space="preserve"> 0 + CAL!AA59 + CAR!AA59 + CENT!AA59 + FLA!AA59 + MIDA!AA59 + MIDW!AA59 + NE!AA59 + NY!AA59 + NW!AA59 + SE!AA59 + SW!AA59 + TEN!AA59 + TEX!AA59</f>
        <v>13.886547939999998</v>
      </c>
      <c r="AB59" s="7">
        <f xml:space="preserve"> 0 + CAL!AB59 + CAR!AB59 + CENT!AB59 + FLA!AB59 + MIDA!AB59 + MIDW!AB59 + NE!AB59 + NY!AB59 + NW!AB59 + SE!AB59 + SW!AB59 + TEN!AB59 + TEX!AB59</f>
        <v>13.883674529999999</v>
      </c>
      <c r="AC59" s="7">
        <f xml:space="preserve"> 0 + CAL!AC59 + CAR!AC59 + CENT!AC59 + FLA!AC59 + MIDA!AC59 + MIDW!AC59 + NE!AC59 + NY!AC59 + NW!AC59 + SE!AC59 + SW!AC59 + TEN!AC59 + TEX!AC59</f>
        <v>13.881195120000001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14.660659680000002</v>
      </c>
      <c r="E60" s="7">
        <f xml:space="preserve"> 0 + CAL!E60 + CAR!E60 + CENT!E60 + FLA!E60 + MIDA!E60 + MIDW!E60 + NE!E60 + NY!E60 + NW!E60 + SE!E60 + SW!E60 + TEN!E60 + TEX!E60</f>
        <v>14.62800781</v>
      </c>
      <c r="F60" s="7">
        <f xml:space="preserve"> 0 + CAL!F60 + CAR!F60 + CENT!F60 + FLA!F60 + MIDA!F60 + MIDW!F60 + NE!F60 + NY!F60 + NW!F60 + SE!F60 + SW!F60 + TEN!F60 + TEX!F60</f>
        <v>14.604653670000001</v>
      </c>
      <c r="G60" s="7">
        <f xml:space="preserve"> 0 + CAL!G60 + CAR!G60 + CENT!G60 + FLA!G60 + MIDA!G60 + MIDW!G60 + NE!G60 + NY!G60 + NW!G60 + SE!G60 + SW!G60 + TEN!G60 + TEX!G60</f>
        <v>14.588778170000001</v>
      </c>
      <c r="H60" s="7">
        <f xml:space="preserve"> 0 + CAL!H60 + CAR!H60 + CENT!H60 + FLA!H60 + MIDA!H60 + MIDW!H60 + NE!H60 + NY!H60 + NW!H60 + SE!H60 + SW!H60 + TEN!H60 + TEX!H60</f>
        <v>14.579103790000001</v>
      </c>
      <c r="I60" s="7">
        <f xml:space="preserve"> 0 + CAL!I60 + CAR!I60 + CENT!I60 + FLA!I60 + MIDA!I60 + MIDW!I60 + NE!I60 + NY!I60 + NW!I60 + SE!I60 + SW!I60 + TEN!I60 + TEX!I60</f>
        <v>14.579556159999999</v>
      </c>
      <c r="J60" s="7">
        <f xml:space="preserve"> 0 + CAL!J60 + CAR!J60 + CENT!J60 + FLA!J60 + MIDA!J60 + MIDW!J60 + NE!J60 + NY!J60 + NW!J60 + SE!J60 + SW!J60 + TEN!J60 + TEX!J60</f>
        <v>14.579720320000002</v>
      </c>
      <c r="K60" s="7">
        <f xml:space="preserve"> 0 + CAL!K60 + CAR!K60 + CENT!K60 + FLA!K60 + MIDA!K60 + MIDW!K60 + NE!K60 + NY!K60 + NW!K60 + SE!K60 + SW!K60 + TEN!K60 + TEX!K60</f>
        <v>14.586297459999999</v>
      </c>
      <c r="L60" s="7">
        <f xml:space="preserve"> 0 + CAL!L60 + CAR!L60 + CENT!L60 + FLA!L60 + MIDA!L60 + MIDW!L60 + NE!L60 + NY!L60 + NW!L60 + SE!L60 + SW!L60 + TEN!L60 + TEX!L60</f>
        <v>14.57620782</v>
      </c>
      <c r="M60" s="7">
        <f xml:space="preserve"> 0 + CAL!M60 + CAR!M60 + CENT!M60 + FLA!M60 + MIDA!M60 + MIDW!M60 + NE!M60 + NY!M60 + NW!M60 + SE!M60 + SW!M60 + TEN!M60 + TEX!M60</f>
        <v>14.569440959999998</v>
      </c>
      <c r="N60" s="7">
        <f xml:space="preserve"> 0 + CAL!N60 + CAR!N60 + CENT!N60 + FLA!N60 + MIDA!N60 + MIDW!N60 + NE!N60 + NY!N60 + NW!N60 + SE!N60 + SW!N60 + TEN!N60 + TEX!N60</f>
        <v>14.565622530000002</v>
      </c>
      <c r="O60" s="7">
        <f xml:space="preserve"> 0 + CAL!O60 + CAR!O60 + CENT!O60 + FLA!O60 + MIDA!O60 + MIDW!O60 + NE!O60 + NY!O60 + NW!O60 + SE!O60 + SW!O60 + TEN!O60 + TEX!O60</f>
        <v>14.56432976</v>
      </c>
      <c r="P60" s="7">
        <f xml:space="preserve"> 0 + CAL!P60 + CAR!P60 + CENT!P60 + FLA!P60 + MIDA!P60 + MIDW!P60 + NE!P60 + NY!P60 + NW!P60 + SE!P60 + SW!P60 + TEN!P60 + TEX!P60</f>
        <v>14.563015429999998</v>
      </c>
      <c r="Q60" s="7">
        <f xml:space="preserve"> 0 + CAL!Q60 + CAR!Q60 + CENT!Q60 + FLA!Q60 + MIDA!Q60 + MIDW!Q60 + NE!Q60 + NY!Q60 + NW!Q60 + SE!Q60 + SW!Q60 + TEN!Q60 + TEX!Q60</f>
        <v>14.561176540000002</v>
      </c>
      <c r="R60" s="7">
        <f xml:space="preserve"> 0 + CAL!R60 + CAR!R60 + CENT!R60 + FLA!R60 + MIDA!R60 + MIDW!R60 + NE!R60 + NY!R60 + NW!R60 + SE!R60 + SW!R60 + TEN!R60 + TEX!R60</f>
        <v>14.554747640000002</v>
      </c>
      <c r="S60" s="7">
        <f xml:space="preserve"> 0 + CAL!S60 + CAR!S60 + CENT!S60 + FLA!S60 + MIDA!S60 + MIDW!S60 + NE!S60 + NY!S60 + NW!S60 + SE!S60 + SW!S60 + TEN!S60 + TEX!S60</f>
        <v>14.549835120000001</v>
      </c>
      <c r="T60" s="7">
        <f xml:space="preserve"> 0 + CAL!T60 + CAR!T60 + CENT!T60 + FLA!T60 + MIDA!T60 + MIDW!T60 + NE!T60 + NY!T60 + NW!T60 + SE!T60 + SW!T60 + TEN!T60 + TEX!T60</f>
        <v>14.54693479</v>
      </c>
      <c r="U60" s="7">
        <f xml:space="preserve"> 0 + CAL!U60 + CAR!U60 + CENT!U60 + FLA!U60 + MIDA!U60 + MIDW!U60 + NE!U60 + NY!U60 + NW!U60 + SE!U60 + SW!U60 + TEN!U60 + TEX!U60</f>
        <v>14.542685860000001</v>
      </c>
      <c r="V60" s="7">
        <f xml:space="preserve"> 0 + CAL!V60 + CAR!V60 + CENT!V60 + FLA!V60 + MIDA!V60 + MIDW!V60 + NE!V60 + NY!V60 + NW!V60 + SE!V60 + SW!V60 + TEN!V60 + TEX!V60</f>
        <v>14.541237150000001</v>
      </c>
      <c r="W60" s="7">
        <f xml:space="preserve"> 0 + CAL!W60 + CAR!W60 + CENT!W60 + FLA!W60 + MIDA!W60 + MIDW!W60 + NE!W60 + NY!W60 + NW!W60 + SE!W60 + SW!W60 + TEN!W60 + TEX!W60</f>
        <v>14.538868579999999</v>
      </c>
      <c r="X60" s="7">
        <f xml:space="preserve"> 0 + CAL!X60 + CAR!X60 + CENT!X60 + FLA!X60 + MIDA!X60 + MIDW!X60 + NE!X60 + NY!X60 + NW!X60 + SE!X60 + SW!X60 + TEN!X60 + TEX!X60</f>
        <v>14.537560559999999</v>
      </c>
      <c r="Y60" s="7">
        <f xml:space="preserve"> 0 + CAL!Y60 + CAR!Y60 + CENT!Y60 + FLA!Y60 + MIDA!Y60 + MIDW!Y60 + NE!Y60 + NY!Y60 + NW!Y60 + SE!Y60 + SW!Y60 + TEN!Y60 + TEX!Y60</f>
        <v>14.536917650000001</v>
      </c>
      <c r="Z60" s="7">
        <f xml:space="preserve"> 0 + CAL!Z60 + CAR!Z60 + CENT!Z60 + FLA!Z60 + MIDA!Z60 + MIDW!Z60 + NE!Z60 + NY!Z60 + NW!Z60 + SE!Z60 + SW!Z60 + TEN!Z60 + TEX!Z60</f>
        <v>14.532165169999999</v>
      </c>
      <c r="AA60" s="7">
        <f xml:space="preserve"> 0 + CAL!AA60 + CAR!AA60 + CENT!AA60 + FLA!AA60 + MIDA!AA60 + MIDW!AA60 + NE!AA60 + NY!AA60 + NW!AA60 + SE!AA60 + SW!AA60 + TEN!AA60 + TEX!AA60</f>
        <v>14.52730758</v>
      </c>
      <c r="AB60" s="7">
        <f xml:space="preserve"> 0 + CAL!AB60 + CAR!AB60 + CENT!AB60 + FLA!AB60 + MIDA!AB60 + MIDW!AB60 + NE!AB60 + NY!AB60 + NW!AB60 + SE!AB60 + SW!AB60 + TEN!AB60 + TEX!AB60</f>
        <v>14.524052470000001</v>
      </c>
      <c r="AC60" s="7">
        <f xml:space="preserve"> 0 + CAL!AC60 + CAR!AC60 + CENT!AC60 + FLA!AC60 + MIDA!AC60 + MIDW!AC60 + NE!AC60 + NY!AC60 + NW!AC60 + SE!AC60 + SW!AC60 + TEN!AC60 + TEX!AC60</f>
        <v>14.521699120000001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183924.97500000001</v>
      </c>
      <c r="D61" s="7">
        <f xml:space="preserve"> 0 + CAL!D61 + CAR!D61 + CENT!D61 + FLA!D61 + MIDA!D61 + MIDW!D61 + NE!D61 + NY!D61 + NW!D61 + SE!D61 + SW!D61 + TEN!D61 + TEX!D61</f>
        <v>179326.85062499999</v>
      </c>
      <c r="E61" s="7">
        <f xml:space="preserve"> 0 + CAL!E61 + CAR!E61 + CENT!E61 + FLA!E61 + MIDA!E61 + MIDW!E61 + NE!E61 + NY!E61 + NW!E61 + SE!E61 + SW!E61 + TEN!E61 + TEX!E61</f>
        <v>174843.67935937</v>
      </c>
      <c r="F61" s="7">
        <f xml:space="preserve"> 0 + CAL!F61 + CAR!F61 + CENT!F61 + FLA!F61 + MIDA!F61 + MIDW!F61 + NE!F61 + NY!F61 + NW!F61 + SE!F61 + SW!F61 + TEN!F61 + TEX!F61</f>
        <v>170472.58737540001</v>
      </c>
      <c r="G61" s="7">
        <f xml:space="preserve"> 0 + CAL!G61 + CAR!G61 + CENT!G61 + FLA!G61 + MIDA!G61 + MIDW!G61 + NE!G61 + NY!G61 + NW!G61 + SE!G61 + SW!G61 + TEN!G61 + TEX!G61</f>
        <v>166210.77270541003</v>
      </c>
      <c r="H61" s="7">
        <f xml:space="preserve"> 0 + CAL!H61 + CAR!H61 + CENT!H61 + FLA!H61 + MIDA!H61 + MIDW!H61 + NE!H61 + NY!H61 + NW!H61 + SE!H61 + SW!H61 + TEN!H61 + TEX!H61</f>
        <v>162055.50338776002</v>
      </c>
      <c r="I61" s="7">
        <f xml:space="preserve"> 0 + CAL!I61 + CAR!I61 + CENT!I61 + FLA!I61 + MIDA!I61 + MIDW!I61 + NE!I61 + NY!I61 + NW!I61 + SE!I61 + SW!I61 + TEN!I61 + TEX!I61</f>
        <v>158004.11580304996</v>
      </c>
      <c r="J61" s="7">
        <f xml:space="preserve"> 0 + CAL!J61 + CAR!J61 + CENT!J61 + FLA!J61 + MIDA!J61 + MIDW!J61 + NE!J61 + NY!J61 + NW!J61 + SE!J61 + SW!J61 + TEN!J61 + TEX!J61</f>
        <v>154054.01290798996</v>
      </c>
      <c r="K61" s="7">
        <f xml:space="preserve"> 0 + CAL!K61 + CAR!K61 + CENT!K61 + FLA!K61 + MIDA!K61 + MIDW!K61 + NE!K61 + NY!K61 + NW!K61 + SE!K61 + SW!K61 + TEN!K61 + TEX!K61</f>
        <v>150202.66258527999</v>
      </c>
      <c r="L61" s="7">
        <f xml:space="preserve"> 0 + CAL!L61 + CAR!L61 + CENT!L61 + FLA!L61 + MIDA!L61 + MIDW!L61 + NE!L61 + NY!L61 + NW!L61 + SE!L61 + SW!L61 + TEN!L61 + TEX!L61</f>
        <v>146447.59602065003</v>
      </c>
      <c r="M61" s="7">
        <f xml:space="preserve"> 0 + CAL!M61 + CAR!M61 + CENT!M61 + FLA!M61 + MIDA!M61 + MIDW!M61 + NE!M61 + NY!M61 + NW!M61 + SE!M61 + SW!M61 + TEN!M61 + TEX!M61</f>
        <v>142786.40612012998</v>
      </c>
      <c r="N61" s="7">
        <f xml:space="preserve"> 0 + CAL!N61 + CAR!N61 + CENT!N61 + FLA!N61 + MIDA!N61 + MIDW!N61 + NE!N61 + NY!N61 + NW!N61 + SE!N61 + SW!N61 + TEN!N61 + TEX!N61</f>
        <v>139216.74596713998</v>
      </c>
      <c r="O61" s="7">
        <f xml:space="preserve"> 0 + CAL!O61 + CAR!O61 + CENT!O61 + FLA!O61 + MIDA!O61 + MIDW!O61 + NE!O61 + NY!O61 + NW!O61 + SE!O61 + SW!O61 + TEN!O61 + TEX!O61</f>
        <v>135736.32731796999</v>
      </c>
      <c r="P61" s="7">
        <f xml:space="preserve"> 0 + CAL!P61 + CAR!P61 + CENT!P61 + FLA!P61 + MIDA!P61 + MIDW!P61 + NE!P61 + NY!P61 + NW!P61 + SE!P61 + SW!P61 + TEN!P61 + TEX!P61</f>
        <v>132342.91914760999</v>
      </c>
      <c r="Q61" s="7">
        <f xml:space="preserve"> 0 + CAL!Q61 + CAR!Q61 + CENT!Q61 + FLA!Q61 + MIDA!Q61 + MIDW!Q61 + NE!Q61 + NY!Q61 + NW!Q61 + SE!Q61 + SW!Q61 + TEN!Q61 + TEX!Q61</f>
        <v>129034.34616892002</v>
      </c>
      <c r="R61" s="7">
        <f xml:space="preserve"> 0 + CAL!R61 + CAR!R61 + CENT!R61 + FLA!R61 + MIDA!R61 + MIDW!R61 + NE!R61 + NY!R61 + NW!R61 + SE!R61 + SW!R61 + TEN!R61 + TEX!R61</f>
        <v>125808.48751469</v>
      </c>
      <c r="S61" s="7">
        <f xml:space="preserve"> 0 + CAL!S61 + CAR!S61 + CENT!S61 + FLA!S61 + MIDA!S61 + MIDW!S61 + NE!S61 + NY!S61 + NW!S61 + SE!S61 + SW!S61 + TEN!S61 + TEX!S61</f>
        <v>122663.27532680001</v>
      </c>
      <c r="T61" s="7">
        <f xml:space="preserve"> 0 + CAL!T61 + CAR!T61 + CENT!T61 + FLA!T61 + MIDA!T61 + MIDW!T61 + NE!T61 + NY!T61 + NW!T61 + SE!T61 + SW!T61 + TEN!T61 + TEX!T61</f>
        <v>119596.69344366</v>
      </c>
      <c r="U61" s="7">
        <f xml:space="preserve"> 0 + CAL!U61 + CAR!U61 + CENT!U61 + FLA!U61 + MIDA!U61 + MIDW!U61 + NE!U61 + NY!U61 + NW!U61 + SE!U61 + SW!U61 + TEN!U61 + TEX!U61</f>
        <v>116606.77610756001</v>
      </c>
      <c r="V61" s="7">
        <f xml:space="preserve"> 0 + CAL!V61 + CAR!V61 + CENT!V61 + FLA!V61 + MIDA!V61 + MIDW!V61 + NE!V61 + NY!V61 + NW!V61 + SE!V61 + SW!V61 + TEN!V61 + TEX!V61</f>
        <v>113691.60670487001</v>
      </c>
      <c r="W61" s="7">
        <f xml:space="preserve"> 0 + CAL!W61 + CAR!W61 + CENT!W61 + FLA!W61 + MIDA!W61 + MIDW!W61 + NE!W61 + NY!W61 + NW!W61 + SE!W61 + SW!W61 + TEN!W61 + TEX!W61</f>
        <v>110849.3175415</v>
      </c>
      <c r="X61" s="7">
        <f xml:space="preserve"> 0 + CAL!X61 + CAR!X61 + CENT!X61 + FLA!X61 + MIDA!X61 + MIDW!X61 + NE!X61 + NY!X61 + NW!X61 + SE!X61 + SW!X61 + TEN!X61 + TEX!X61</f>
        <v>108078.08462269</v>
      </c>
      <c r="Y61" s="7">
        <f xml:space="preserve"> 0 + CAL!Y61 + CAR!Y61 + CENT!Y61 + FLA!Y61 + MIDA!Y61 + MIDW!Y61 + NE!Y61 + NY!Y61 + NW!Y61 + SE!Y61 + SW!Y61 + TEN!Y61 + TEX!Y61</f>
        <v>105376.13250713999</v>
      </c>
      <c r="Z61" s="7">
        <f xml:space="preserve"> 0 + CAL!Z61 + CAR!Z61 + CENT!Z61 + FLA!Z61 + MIDA!Z61 + MIDW!Z61 + NE!Z61 + NY!Z61 + NW!Z61 + SE!Z61 + SW!Z61 + TEN!Z61 + TEX!Z61</f>
        <v>102741.72919444999</v>
      </c>
      <c r="AA61" s="7">
        <f xml:space="preserve"> 0 + CAL!AA61 + CAR!AA61 + CENT!AA61 + FLA!AA61 + MIDA!AA61 + MIDW!AA61 + NE!AA61 + NY!AA61 + NW!AA61 + SE!AA61 + SW!AA61 + TEN!AA61 + TEX!AA61</f>
        <v>100173.18596459003</v>
      </c>
      <c r="AB61" s="7">
        <f xml:space="preserve"> 0 + CAL!AB61 + CAR!AB61 + CENT!AB61 + FLA!AB61 + MIDA!AB61 + MIDW!AB61 + NE!AB61 + NY!AB61 + NW!AB61 + SE!AB61 + SW!AB61 + TEN!AB61 + TEX!AB61</f>
        <v>97668.856315480007</v>
      </c>
      <c r="AC61" s="7">
        <f xml:space="preserve"> 0 + CAL!AC61 + CAR!AC61 + CENT!AC61 + FLA!AC61 + MIDA!AC61 + MIDW!AC61 + NE!AC61 + NY!AC61 + NW!AC61 + SE!AC61 + SW!AC61 + TEN!AC61 + TEX!AC61</f>
        <v>95227.13491665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644673948.82812536</v>
      </c>
      <c r="D62" s="7">
        <f xml:space="preserve"> 0 + CAL!D62 + CAR!D62 + CENT!D62 + FLA!D62 + MIDA!D62 + MIDW!D62 + NE!D62 + NY!D62 + NW!D62 + SE!D62 + SW!D62 + TEN!D62 + TEX!D62</f>
        <v>490971998.00324458</v>
      </c>
      <c r="E62" s="7">
        <f xml:space="preserve"> 0 + CAL!E62 + CAR!E62 + CENT!E62 + FLA!E62 + MIDA!E62 + MIDW!E62 + NE!E62 + NY!E62 + NW!E62 + SE!E62 + SW!E62 + TEN!E62 + TEX!E62</f>
        <v>384311539.44793773</v>
      </c>
      <c r="F62" s="7">
        <f xml:space="preserve"> 0 + CAL!F62 + CAR!F62 + CENT!F62 + FLA!F62 + MIDA!F62 + MIDW!F62 + NE!F62 + NY!F62 + NW!F62 + SE!F62 + SW!F62 + TEN!F62 + TEX!F62</f>
        <v>287579313.25031275</v>
      </c>
      <c r="G62" s="7">
        <f xml:space="preserve"> 0 + CAL!G62 + CAR!G62 + CENT!G62 + FLA!G62 + MIDA!G62 + MIDW!G62 + NE!G62 + NY!G62 + NW!G62 + SE!G62 + SW!G62 + TEN!G62 + TEX!G62</f>
        <v>172959029.56541997</v>
      </c>
      <c r="H62" s="7">
        <f xml:space="preserve"> 0 + CAL!H62 + CAR!H62 + CENT!H62 + FLA!H62 + MIDA!H62 + MIDW!H62 + NE!H62 + NY!H62 + NW!H62 + SE!H62 + SW!H62 + TEN!H62 + TEX!H62</f>
        <v>71651486.099249259</v>
      </c>
      <c r="I62" s="7">
        <f xml:space="preserve"> 0 + CAL!I62 + CAR!I62 + CENT!I62 + FLA!I62 + MIDA!I62 + MIDW!I62 + NE!I62 + NY!I62 + NW!I62 + SE!I62 + SW!I62 + TEN!I62 + TEX!I62</f>
        <v>25727489.435769133</v>
      </c>
      <c r="J62" s="7">
        <f xml:space="preserve"> 0 + CAL!J62 + CAR!J62 + CENT!J62 + FLA!J62 + MIDA!J62 + MIDW!J62 + NE!J62 + NY!J62 + NW!J62 + SE!J62 + SW!J62 + TEN!J62 + TEX!J62</f>
        <v>15498393.883914882</v>
      </c>
      <c r="K62" s="7">
        <f xml:space="preserve"> 0 + CAL!K62 + CAR!K62 + CENT!K62 + FLA!K62 + MIDA!K62 + MIDW!K62 + NE!K62 + NY!K62 + NW!K62 + SE!K62 + SW!K62 + TEN!K62 + TEX!K62</f>
        <v>9852844.1503324807</v>
      </c>
      <c r="L62" s="7">
        <f xml:space="preserve"> 0 + CAL!L62 + CAR!L62 + CENT!L62 + FLA!L62 + MIDA!L62 + MIDW!L62 + NE!L62 + NY!L62 + NW!L62 + SE!L62 + SW!L62 + TEN!L62 + TEX!L62</f>
        <v>3950819.8532416895</v>
      </c>
      <c r="M62" s="7">
        <f xml:space="preserve"> 0 + CAL!M62 + CAR!M62 + CENT!M62 + FLA!M62 + MIDA!M62 + MIDW!M62 + NE!M62 + NY!M62 + NW!M62 + SE!M62 + SW!M62 + TEN!M62 + TEX!M62</f>
        <v>247498.93982001001</v>
      </c>
      <c r="N62" s="7">
        <f xml:space="preserve"> 0 + CAL!N62 + CAR!N62 + CENT!N62 + FLA!N62 + MIDA!N62 + MIDW!N62 + NE!N62 + NY!N62 + NW!N62 + SE!N62 + SW!N62 + TEN!N62 + TEX!N62</f>
        <v>217367.84700625998</v>
      </c>
      <c r="O62" s="7">
        <f xml:space="preserve"> 0 + CAL!O62 + CAR!O62 + CENT!O62 + FLA!O62 + MIDA!O62 + MIDW!O62 + NE!O62 + NY!O62 + NW!O62 + SE!O62 + SW!O62 + TEN!O62 + TEX!O62</f>
        <v>210034.61929525001</v>
      </c>
      <c r="P62" s="7">
        <f xml:space="preserve"> 0 + CAL!P62 + CAR!P62 + CENT!P62 + FLA!P62 + MIDA!P62 + MIDW!P62 + NE!P62 + NY!P62 + NW!P62 + SE!P62 + SW!P62 + TEN!P62 + TEX!P62</f>
        <v>204644.46366400999</v>
      </c>
      <c r="Q62" s="7">
        <f xml:space="preserve"> 0 + CAL!Q62 + CAR!Q62 + CENT!Q62 + FLA!Q62 + MIDA!Q62 + MIDW!Q62 + NE!Q62 + NY!Q62 + NW!Q62 + SE!Q62 + SW!Q62 + TEN!Q62 + TEX!Q62</f>
        <v>199016.74894237</v>
      </c>
      <c r="R62" s="7">
        <f xml:space="preserve"> 0 + CAL!R62 + CAR!R62 + CENT!R62 + FLA!R62 + MIDA!R62 + MIDW!R62 + NE!R62 + NY!R62 + NW!R62 + SE!R62 + SW!R62 + TEN!R62 + TEX!R62</f>
        <v>193840.15839023</v>
      </c>
      <c r="S62" s="7">
        <f xml:space="preserve"> 0 + CAL!S62 + CAR!S62 + CENT!S62 + FLA!S62 + MIDA!S62 + MIDW!S62 + NE!S62 + NY!S62 + NW!S62 + SE!S62 + SW!S62 + TEN!S62 + TEX!S62</f>
        <v>188769.12012209999</v>
      </c>
      <c r="T62" s="7">
        <f xml:space="preserve"> 0 + CAL!T62 + CAR!T62 + CENT!T62 + FLA!T62 + MIDA!T62 + MIDW!T62 + NE!T62 + NY!T62 + NW!T62 + SE!T62 + SW!T62 + TEN!T62 + TEX!T62</f>
        <v>183794.53697019999</v>
      </c>
      <c r="U62" s="7">
        <f xml:space="preserve"> 0 + CAL!U62 + CAR!U62 + CENT!U62 + FLA!U62 + MIDA!U62 + MIDW!U62 + NE!U62 + NY!U62 + NW!U62 + SE!U62 + SW!U62 + TEN!U62 + TEX!U62</f>
        <v>178915.63166126999</v>
      </c>
      <c r="V62" s="7">
        <f xml:space="preserve"> 0 + CAL!V62 + CAR!V62 + CENT!V62 + FLA!V62 + MIDA!V62 + MIDW!V62 + NE!V62 + NY!V62 + NW!V62 + SE!V62 + SW!V62 + TEN!V62 + TEX!V62</f>
        <v>174140.63110644001</v>
      </c>
      <c r="W62" s="7">
        <f xml:space="preserve"> 0 + CAL!W62 + CAR!W62 + CENT!W62 + FLA!W62 + MIDA!W62 + MIDW!W62 + NE!W62 + NY!W62 + NW!W62 + SE!W62 + SW!W62 + TEN!W62 + TEX!W62</f>
        <v>169462.05749558</v>
      </c>
      <c r="X62" s="7">
        <f xml:space="preserve"> 0 + CAL!X62 + CAR!X62 + CENT!X62 + FLA!X62 + MIDA!X62 + MIDW!X62 + NE!X62 + NY!X62 + NW!X62 + SE!X62 + SW!X62 + TEN!X62 + TEX!X62</f>
        <v>164882.84361613001</v>
      </c>
      <c r="Y62" s="7">
        <f xml:space="preserve"> 0 + CAL!Y62 + CAR!Y62 + CENT!Y62 + FLA!Y62 + MIDA!Y62 + MIDW!Y62 + NE!Y62 + NY!Y62 + NW!Y62 + SE!Y62 + SW!Y62 + TEN!Y62 + TEX!Y62</f>
        <v>160404.12935557999</v>
      </c>
      <c r="Z62" s="7">
        <f xml:space="preserve"> 0 + CAL!Z62 + CAR!Z62 + CENT!Z62 + FLA!Z62 + MIDA!Z62 + MIDW!Z62 + NE!Z62 + NY!Z62 + NW!Z62 + SE!Z62 + SW!Z62 + TEN!Z62 + TEX!Z62</f>
        <v>155994.06785038</v>
      </c>
      <c r="AA62" s="7">
        <f xml:space="preserve"> 0 + CAL!AA62 + CAR!AA62 + CENT!AA62 + FLA!AA62 + MIDA!AA62 + MIDW!AA62 + NE!AA62 + NY!AA62 + NW!AA62 + SE!AA62 + SW!AA62 + TEN!AA62 + TEX!AA62</f>
        <v>151714.41836007999</v>
      </c>
      <c r="AB62" s="7">
        <f xml:space="preserve"> 0 + CAL!AB62 + CAR!AB62 + CENT!AB62 + FLA!AB62 + MIDA!AB62 + MIDW!AB62 + NE!AB62 + NY!AB62 + NW!AB62 + SE!AB62 + SW!AB62 + TEN!AB62 + TEX!AB62</f>
        <v>147535.64796214999</v>
      </c>
      <c r="AC62" s="7">
        <f xml:space="preserve"> 0 + CAL!AC62 + CAR!AC62 + CENT!AC62 + FLA!AC62 + MIDA!AC62 + MIDW!AC62 + NE!AC62 + NY!AC62 + NW!AC62 + SE!AC62 + SW!AC62 + TEN!AC62 + TEX!AC62</f>
        <v>143460.10710438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644674682.60264289</v>
      </c>
      <c r="D63" s="7">
        <f xml:space="preserve"> 0 + CAL!D63 + CAR!D63 + CENT!D63 + FLA!D63 + MIDA!D63 + MIDW!D63 + NE!D63 + NY!D63 + NW!D63 + SE!D63 + SW!D63 + TEN!D63 + TEX!D63</f>
        <v>490971998.00397581</v>
      </c>
      <c r="E63" s="7">
        <f xml:space="preserve"> 0 + CAL!E63 + CAR!E63 + CENT!E63 + FLA!E63 + MIDA!E63 + MIDW!E63 + NE!E63 + NY!E63 + NW!E63 + SE!E63 + SW!E63 + TEN!E63 + TEX!E63</f>
        <v>384311764.48231333</v>
      </c>
      <c r="F63" s="7">
        <f xml:space="preserve"> 0 + CAL!F63 + CAR!F63 + CENT!F63 + FLA!F63 + MIDA!F63 + MIDW!F63 + NE!F63 + NY!F63 + NW!F63 + SE!F63 + SW!F63 + TEN!F63 + TEX!F63</f>
        <v>287581263.36524236</v>
      </c>
      <c r="G63" s="7">
        <f xml:space="preserve"> 0 + CAL!G63 + CAR!G63 + CENT!G63 + FLA!G63 + MIDA!G63 + MIDW!G63 + NE!G63 + NY!G63 + NW!G63 + SE!G63 + SW!G63 + TEN!G63 + TEX!G63</f>
        <v>172960280.09356269</v>
      </c>
      <c r="H63" s="7">
        <f xml:space="preserve"> 0 + CAL!H63 + CAR!H63 + CENT!H63 + FLA!H63 + MIDA!H63 + MIDW!H63 + NE!H63 + NY!H63 + NW!H63 + SE!H63 + SW!H63 + TEN!H63 + TEX!H63</f>
        <v>71651486.575405478</v>
      </c>
      <c r="I63" s="7">
        <f xml:space="preserve"> 0 + CAL!I63 + CAR!I63 + CENT!I63 + FLA!I63 + MIDA!I63 + MIDW!I63 + NE!I63 + NY!I63 + NW!I63 + SE!I63 + SW!I63 + TEN!I63 + TEX!I63</f>
        <v>25727492.116884552</v>
      </c>
      <c r="J63" s="7">
        <f xml:space="preserve"> 0 + CAL!J63 + CAR!J63 + CENT!J63 + FLA!J63 + MIDA!J63 + MIDW!J63 + NE!J63 + NY!J63 + NW!J63 + SE!J63 + SW!J63 + TEN!J63 + TEX!J63</f>
        <v>15498402.103695951</v>
      </c>
      <c r="K63" s="7">
        <f xml:space="preserve"> 0 + CAL!K63 + CAR!K63 + CENT!K63 + FLA!K63 + MIDA!K63 + MIDW!K63 + NE!K63 + NY!K63 + NW!K63 + SE!K63 + SW!K63 + TEN!K63 + TEX!K63</f>
        <v>9852868.9091477897</v>
      </c>
      <c r="L63" s="7">
        <f xml:space="preserve"> 0 + CAL!L63 + CAR!L63 + CENT!L63 + FLA!L63 + MIDA!L63 + MIDW!L63 + NE!L63 + NY!L63 + NW!L63 + SE!L63 + SW!L63 + TEN!L63 + TEX!L63</f>
        <v>3950881.8112682793</v>
      </c>
      <c r="M63" s="7">
        <f xml:space="preserve"> 0 + CAL!M63 + CAR!M63 + CENT!M63 + FLA!M63 + MIDA!M63 + MIDW!M63 + NE!M63 + NY!M63 + NW!M63 + SE!M63 + SW!M63 + TEN!M63 + TEX!M63</f>
        <v>247618.31525614002</v>
      </c>
      <c r="N63" s="7">
        <f xml:space="preserve"> 0 + CAL!N63 + CAR!N63 + CENT!N63 + FLA!N63 + MIDA!N63 + MIDW!N63 + NE!N63 + NY!N63 + NW!N63 + SE!N63 + SW!N63 + TEN!N63 + TEX!N63</f>
        <v>217564.30369678998</v>
      </c>
      <c r="O63" s="7">
        <f xml:space="preserve"> 0 + CAL!O63 + CAR!O63 + CENT!O63 + FLA!O63 + MIDA!O63 + MIDW!O63 + NE!O63 + NY!O63 + NW!O63 + SE!O63 + SW!O63 + TEN!O63 + TEX!O63</f>
        <v>210331.30205462003</v>
      </c>
      <c r="P63" s="7">
        <f xml:space="preserve"> 0 + CAL!P63 + CAR!P63 + CENT!P63 + FLA!P63 + MIDA!P63 + MIDW!P63 + NE!P63 + NY!P63 + NW!P63 + SE!P63 + SW!P63 + TEN!P63 + TEX!P63</f>
        <v>205073.01957904</v>
      </c>
      <c r="Q63" s="7">
        <f xml:space="preserve"> 0 + CAL!Q63 + CAR!Q63 + CENT!Q63 + FLA!Q63 + MIDA!Q63 + MIDW!Q63 + NE!Q63 + NY!Q63 + NW!Q63 + SE!Q63 + SW!Q63 + TEN!Q63 + TEX!Q63</f>
        <v>199601.66478994</v>
      </c>
      <c r="R63" s="7">
        <f xml:space="preserve"> 0 + CAL!R63 + CAR!R63 + CENT!R63 + FLA!R63 + MIDA!R63 + MIDW!R63 + NE!R63 + NY!R63 + NW!R63 + SE!R63 + SW!R63 + TEN!R63 + TEX!R63</f>
        <v>194607.89015016999</v>
      </c>
      <c r="S63" s="7">
        <f xml:space="preserve"> 0 + CAL!S63 + CAR!S63 + CENT!S63 + FLA!S63 + MIDA!S63 + MIDW!S63 + NE!S63 + NY!S63 + NW!S63 + SE!S63 + SW!S63 + TEN!S63 + TEX!S63</f>
        <v>189742.55519401</v>
      </c>
      <c r="T63" s="7">
        <f xml:space="preserve"> 0 + CAL!T63 + CAR!T63 + CENT!T63 + FLA!T63 + MIDA!T63 + MIDW!T63 + NE!T63 + NY!T63 + NW!T63 + SE!T63 + SW!T63 + TEN!T63 + TEX!T63</f>
        <v>184998.97628301999</v>
      </c>
      <c r="U63" s="7">
        <f xml:space="preserve"> 0 + CAL!U63 + CAR!U63 + CENT!U63 + FLA!U63 + MIDA!U63 + MIDW!U63 + NE!U63 + NY!U63 + NW!U63 + SE!U63 + SW!U63 + TEN!U63 + TEX!U63</f>
        <v>180369.1315821</v>
      </c>
      <c r="V63" s="7">
        <f xml:space="preserve"> 0 + CAL!V63 + CAR!V63 + CENT!V63 + FLA!V63 + MIDA!V63 + MIDW!V63 + NE!V63 + NY!V63 + NW!V63 + SE!V63 + SW!V63 + TEN!V63 + TEX!V63</f>
        <v>175859.72557305</v>
      </c>
      <c r="W63" s="7">
        <f xml:space="preserve"> 0 + CAL!W63 + CAR!W63 + CENT!W63 + FLA!W63 + MIDA!W63 + MIDW!W63 + NE!W63 + NY!W63 + NW!W63 + SE!W63 + SW!W63 + TEN!W63 + TEX!W63</f>
        <v>171463.60148504999</v>
      </c>
      <c r="X63" s="7">
        <f xml:space="preserve"> 0 + CAL!X63 + CAR!X63 + CENT!X63 + FLA!X63 + MIDA!X63 + MIDW!X63 + NE!X63 + NY!X63 + NW!X63 + SE!X63 + SW!X63 + TEN!X63 + TEX!X63</f>
        <v>167177.01870869001</v>
      </c>
      <c r="Y63" s="7">
        <f xml:space="preserve"> 0 + CAL!Y63 + CAR!Y63 + CENT!Y63 + FLA!Y63 + MIDA!Y63 + MIDW!Y63 + NE!Y63 + NY!Y63 + NW!Y63 + SE!Y63 + SW!Y63 + TEN!Y63 + TEX!Y63</f>
        <v>162997.55263707001</v>
      </c>
      <c r="Z63" s="7">
        <f xml:space="preserve"> 0 + CAL!Z63 + CAR!Z63 + CENT!Z63 + FLA!Z63 + MIDA!Z63 + MIDW!Z63 + NE!Z63 + NY!Z63 + NW!Z63 + SE!Z63 + SW!Z63 + TEN!Z63 + TEX!Z63</f>
        <v>158892.54797424001</v>
      </c>
      <c r="AA63" s="7">
        <f xml:space="preserve"> 0 + CAL!AA63 + CAR!AA63 + CENT!AA63 + FLA!AA63 + MIDA!AA63 + MIDW!AA63 + NE!AA63 + NY!AA63 + NW!AA63 + SE!AA63 + SW!AA63 + TEN!AA63 + TEX!AA63</f>
        <v>154920.19391387</v>
      </c>
      <c r="AB63" s="7">
        <f xml:space="preserve"> 0 + CAL!AB63 + CAR!AB63 + CENT!AB63 + FLA!AB63 + MIDA!AB63 + MIDW!AB63 + NE!AB63 + NY!AB63 + NW!AB63 + SE!AB63 + SW!AB63 + TEN!AB63 + TEX!AB63</f>
        <v>151047.14445739001</v>
      </c>
      <c r="AC63" s="7">
        <f xml:space="preserve"> 0 + CAL!AC63 + CAR!AC63 + CENT!AC63 + FLA!AC63 + MIDA!AC63 + MIDW!AC63 + NE!AC63 + NY!AC63 + NW!AC63 + SE!AC63 + SW!AC63 + TEN!AC63 + TEX!AC63</f>
        <v>147270.96917046999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125098.50993721999</v>
      </c>
      <c r="D64" s="7">
        <f xml:space="preserve"> 0 + CAL!D64 + CAR!D64 + CENT!D64 + FLA!D64 + MIDA!D64 + MIDW!D64 + NE!D64 + NY!D64 + NW!D64 + SE!D64 + SW!D64 + TEN!D64 + TEX!D64</f>
        <v>118768.04935659999</v>
      </c>
      <c r="E64" s="7">
        <f xml:space="preserve"> 0 + CAL!E64 + CAR!E64 + CENT!E64 + FLA!E64 + MIDA!E64 + MIDW!E64 + NE!E64 + NY!E64 + NW!E64 + SE!E64 + SW!E64 + TEN!E64 + TEX!E64</f>
        <v>113601.54358914</v>
      </c>
      <c r="F64" s="7">
        <f xml:space="preserve"> 0 + CAL!F64 + CAR!F64 + CENT!F64 + FLA!F64 + MIDA!F64 + MIDW!F64 + NE!F64 + NY!F64 + NW!F64 + SE!F64 + SW!F64 + TEN!F64 + TEX!F64</f>
        <v>108733.28838033002</v>
      </c>
      <c r="G64" s="7">
        <f xml:space="preserve"> 0 + CAL!G64 + CAR!G64 + CENT!G64 + FLA!G64 + MIDA!G64 + MIDW!G64 + NE!G64 + NY!G64 + NW!G64 + SE!G64 + SW!G64 + TEN!G64 + TEX!G64</f>
        <v>103513.95198416</v>
      </c>
      <c r="H64" s="7">
        <f xml:space="preserve"> 0 + CAL!H64 + CAR!H64 + CENT!H64 + FLA!H64 + MIDA!H64 + MIDW!H64 + NE!H64 + NY!H64 + NW!H64 + SE!H64 + SW!H64 + TEN!H64 + TEX!H64</f>
        <v>98668.297354469993</v>
      </c>
      <c r="I64" s="7">
        <f xml:space="preserve"> 0 + CAL!I64 + CAR!I64 + CENT!I64 + FLA!I64 + MIDA!I64 + MIDW!I64 + NE!I64 + NY!I64 + NW!I64 + SE!I64 + SW!I64 + TEN!I64 + TEX!I64</f>
        <v>95174.180494810003</v>
      </c>
      <c r="J64" s="7">
        <f xml:space="preserve"> 0 + CAL!J64 + CAR!J64 + CENT!J64 + FLA!J64 + MIDA!J64 + MIDW!J64 + NE!J64 + NY!J64 + NW!J64 + SE!J64 + SW!J64 + TEN!J64 + TEX!J64</f>
        <v>92571.666167329968</v>
      </c>
      <c r="K64" s="7">
        <f xml:space="preserve"> 0 + CAL!K64 + CAR!K64 + CENT!K64 + FLA!K64 + MIDA!K64 + MIDW!K64 + NE!K64 + NY!K64 + NW!K64 + SE!K64 + SW!K64 + TEN!K64 + TEX!K64</f>
        <v>90134.96657039001</v>
      </c>
      <c r="L64" s="7">
        <f xml:space="preserve"> 0 + CAL!L64 + CAR!L64 + CENT!L64 + FLA!L64 + MIDA!L64 + MIDW!L64 + NE!L64 + NY!L64 + NW!L64 + SE!L64 + SW!L64 + TEN!L64 + TEX!L64</f>
        <v>87749.928516200001</v>
      </c>
      <c r="M64" s="7">
        <f xml:space="preserve"> 0 + CAL!M64 + CAR!M64 + CENT!M64 + FLA!M64 + MIDA!M64 + MIDW!M64 + NE!M64 + NY!M64 + NW!M64 + SE!M64 + SW!M64 + TEN!M64 + TEX!M64</f>
        <v>85472.267742309981</v>
      </c>
      <c r="N64" s="7">
        <f xml:space="preserve"> 0 + CAL!N64 + CAR!N64 + CENT!N64 + FLA!N64 + MIDA!N64 + MIDW!N64 + NE!N64 + NY!N64 + NW!N64 + SE!N64 + SW!N64 + TEN!N64 + TEX!N64</f>
        <v>83334.905505250019</v>
      </c>
      <c r="O64" s="7">
        <f xml:space="preserve"> 0 + CAL!O64 + CAR!O64 + CENT!O64 + FLA!O64 + MIDA!O64 + MIDW!O64 + NE!O64 + NY!O64 + NW!O64 + SE!O64 + SW!O64 + TEN!O64 + TEX!O64</f>
        <v>81251.491105759997</v>
      </c>
      <c r="P64" s="7">
        <f xml:space="preserve"> 0 + CAL!P64 + CAR!P64 + CENT!P64 + FLA!P64 + MIDA!P64 + MIDW!P64 + NE!P64 + NY!P64 + NW!P64 + SE!P64 + SW!P64 + TEN!P64 + TEX!P64</f>
        <v>79220.203835630004</v>
      </c>
      <c r="Q64" s="7">
        <f xml:space="preserve"> 0 + CAL!Q64 + CAR!Q64 + CENT!Q64 + FLA!Q64 + MIDA!Q64 + MIDW!Q64 + NE!Q64 + NY!Q64 + NW!Q64 + SE!Q64 + SW!Q64 + TEN!Q64 + TEX!Q64</f>
        <v>77239.690719110018</v>
      </c>
      <c r="R64" s="7">
        <f xml:space="preserve"> 0 + CAL!R64 + CAR!R64 + CENT!R64 + FLA!R64 + MIDA!R64 + MIDW!R64 + NE!R64 + NY!R64 + NW!R64 + SE!R64 + SW!R64 + TEN!R64 + TEX!R64</f>
        <v>75308.698364230018</v>
      </c>
      <c r="S64" s="7">
        <f xml:space="preserve"> 0 + CAL!S64 + CAR!S64 + CENT!S64 + FLA!S64 + MIDA!S64 + MIDW!S64 + NE!S64 + NY!S64 + NW!S64 + SE!S64 + SW!S64 + TEN!S64 + TEX!S64</f>
        <v>73425.980901929986</v>
      </c>
      <c r="T64" s="7">
        <f xml:space="preserve"> 0 + CAL!T64 + CAR!T64 + CENT!T64 + FLA!T64 + MIDA!T64 + MIDW!T64 + NE!T64 + NY!T64 + NW!T64 + SE!T64 + SW!T64 + TEN!T64 + TEX!T64</f>
        <v>71590.331379020019</v>
      </c>
      <c r="U64" s="7">
        <f xml:space="preserve"> 0 + CAL!U64 + CAR!U64 + CENT!U64 + FLA!U64 + MIDA!U64 + MIDW!U64 + NE!U64 + NY!U64 + NW!U64 + SE!U64 + SW!U64 + TEN!U64 + TEX!U64</f>
        <v>69800.572981150006</v>
      </c>
      <c r="V64" s="7">
        <f xml:space="preserve"> 0 + CAL!V64 + CAR!V64 + CENT!V64 + FLA!V64 + MIDA!V64 + MIDW!V64 + NE!V64 + NY!V64 + NW!V64 + SE!V64 + SW!V64 + TEN!V64 + TEX!V64</f>
        <v>68055.558652489999</v>
      </c>
      <c r="W64" s="7">
        <f xml:space="preserve"> 0 + CAL!W64 + CAR!W64 + CENT!W64 + FLA!W64 + MIDA!W64 + MIDW!W64 + NE!W64 + NY!W64 + NW!W64 + SE!W64 + SW!W64 + TEN!W64 + TEX!W64</f>
        <v>66354.170295880002</v>
      </c>
      <c r="X64" s="7">
        <f xml:space="preserve"> 0 + CAL!X64 + CAR!X64 + CENT!X64 + FLA!X64 + MIDA!X64 + MIDW!X64 + NE!X64 + NY!X64 + NW!X64 + SE!X64 + SW!X64 + TEN!X64 + TEX!X64</f>
        <v>64695.316050470006</v>
      </c>
      <c r="Y64" s="7">
        <f xml:space="preserve"> 0 + CAL!Y64 + CAR!Y64 + CENT!Y64 + FLA!Y64 + MIDA!Y64 + MIDW!Y64 + NE!Y64 + NY!Y64 + NW!Y64 + SE!Y64 + SW!Y64 + TEN!Y64 + TEX!Y64</f>
        <v>63077.933148259996</v>
      </c>
      <c r="Z64" s="7">
        <f xml:space="preserve"> 0 + CAL!Z64 + CAR!Z64 + CENT!Z64 + FLA!Z64 + MIDA!Z64 + MIDW!Z64 + NE!Z64 + NY!Z64 + NW!Z64 + SE!Z64 + SW!Z64 + TEN!Z64 + TEX!Z64</f>
        <v>61500.984119629989</v>
      </c>
      <c r="AA64" s="7">
        <f xml:space="preserve"> 0 + CAL!AA64 + CAR!AA64 + CENT!AA64 + FLA!AA64 + MIDA!AA64 + MIDW!AA64 + NE!AA64 + NY!AA64 + NW!AA64 + SE!AA64 + SW!AA64 + TEN!AA64 + TEX!AA64</f>
        <v>59963.459515690003</v>
      </c>
      <c r="AB64" s="7">
        <f xml:space="preserve"> 0 + CAL!AB64 + CAR!AB64 + CENT!AB64 + FLA!AB64 + MIDA!AB64 + MIDW!AB64 + NE!AB64 + NY!AB64 + NW!AB64 + SE!AB64 + SW!AB64 + TEN!AB64 + TEX!AB64</f>
        <v>58464.373026759997</v>
      </c>
      <c r="AC64" s="7">
        <f xml:space="preserve"> 0 + CAL!AC64 + CAR!AC64 + CENT!AC64 + FLA!AC64 + MIDA!AC64 + MIDW!AC64 + NE!AC64 + NY!AC64 + NW!AC64 + SE!AC64 + SW!AC64 + TEN!AC64 + TEX!AC64</f>
        <v>57002.763706569996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105726.64794684001</v>
      </c>
      <c r="D65" s="7">
        <f xml:space="preserve"> 0 + CAL!D65 + CAR!D65 + CENT!D65 + FLA!D65 + MIDA!D65 + MIDW!D65 + NE!D65 + NY!D65 + NW!D65 + SE!D65 + SW!D65 + TEN!D65 + TEX!D65</f>
        <v>80519.407672649992</v>
      </c>
      <c r="E65" s="7">
        <f xml:space="preserve"> 0 + CAL!E65 + CAR!E65 + CENT!E65 + FLA!E65 + MIDA!E65 + MIDW!E65 + NE!E65 + NY!E65 + NW!E65 + SE!E65 + SW!E65 + TEN!E65 + TEX!E65</f>
        <v>63027.129375079989</v>
      </c>
      <c r="F65" s="7">
        <f xml:space="preserve"> 0 + CAL!F65 + CAR!F65 + CENT!F65 + FLA!F65 + MIDA!F65 + MIDW!F65 + NE!F65 + NY!F65 + NW!F65 + SE!F65 + SW!F65 + TEN!F65 + TEX!F65</f>
        <v>47163.327191900004</v>
      </c>
      <c r="G65" s="7">
        <f xml:space="preserve"> 0 + CAL!G65 + CAR!G65 + CENT!G65 + FLA!G65 + MIDA!G65 + MIDW!G65 + NE!G65 + NY!G65 + NW!G65 + SE!G65 + SW!G65 + TEN!G65 + TEX!G65</f>
        <v>28365.485935339999</v>
      </c>
      <c r="H65" s="7">
        <f xml:space="preserve"> 0 + CAL!H65 + CAR!H65 + CENT!H65 + FLA!H65 + MIDA!H65 + MIDW!H65 + NE!H65 + NY!H65 + NW!H65 + SE!H65 + SW!H65 + TEN!H65 + TEX!H65</f>
        <v>11750.843798360002</v>
      </c>
      <c r="I65" s="7">
        <f xml:space="preserve"> 0 + CAL!I65 + CAR!I65 + CENT!I65 + FLA!I65 + MIDA!I65 + MIDW!I65 + NE!I65 + NY!I65 + NW!I65 + SE!I65 + SW!I65 + TEN!I65 + TEX!I65</f>
        <v>4219.3087071600003</v>
      </c>
      <c r="J65" s="7">
        <f xml:space="preserve"> 0 + CAL!J65 + CAR!J65 + CENT!J65 + FLA!J65 + MIDA!J65 + MIDW!J65 + NE!J65 + NY!J65 + NW!J65 + SE!J65 + SW!J65 + TEN!J65 + TEX!J65</f>
        <v>2541.7379450099997</v>
      </c>
      <c r="K65" s="7">
        <f xml:space="preserve"> 0 + CAL!K65 + CAR!K65 + CENT!K65 + FLA!K65 + MIDA!K65 + MIDW!K65 + NE!K65 + NY!K65 + NW!K65 + SE!K65 + SW!K65 + TEN!K65 + TEX!K65</f>
        <v>1615.8705010900001</v>
      </c>
      <c r="L65" s="7">
        <f xml:space="preserve"> 0 + CAL!L65 + CAR!L65 + CENT!L65 + FLA!L65 + MIDA!L65 + MIDW!L65 + NE!L65 + NY!L65 + NW!L65 + SE!L65 + SW!L65 + TEN!L65 + TEX!L65</f>
        <v>647.94461706000004</v>
      </c>
      <c r="M65" s="7">
        <f xml:space="preserve"> 0 + CAL!M65 + CAR!M65 + CENT!M65 + FLA!M65 + MIDA!M65 + MIDW!M65 + NE!M65 + NY!M65 + NW!M65 + SE!M65 + SW!M65 + TEN!M65 + TEX!M65</f>
        <v>40.609403700000001</v>
      </c>
      <c r="N65" s="7">
        <f xml:space="preserve"> 0 + CAL!N65 + CAR!N65 + CENT!N65 + FLA!N65 + MIDA!N65 + MIDW!N65 + NE!N65 + NY!N65 + NW!N65 + SE!N65 + SW!N65 + TEN!N65 + TEX!N65</f>
        <v>35.680545810000005</v>
      </c>
      <c r="O65" s="7">
        <f xml:space="preserve"> 0 + CAL!O65 + CAR!O65 + CENT!O65 + FLA!O65 + MIDA!O65 + MIDW!O65 + NE!O65 + NY!O65 + NW!O65 + SE!O65 + SW!O65 + TEN!O65 + TEX!O65</f>
        <v>34.494333530000006</v>
      </c>
      <c r="P65" s="7">
        <f xml:space="preserve"> 0 + CAL!P65 + CAR!P65 + CENT!P65 + FLA!P65 + MIDA!P65 + MIDW!P65 + NE!P65 + NY!P65 + NW!P65 + SE!P65 + SW!P65 + TEN!P65 + TEX!P65</f>
        <v>33.63197521</v>
      </c>
      <c r="Q65" s="7">
        <f xml:space="preserve"> 0 + CAL!Q65 + CAR!Q65 + CENT!Q65 + FLA!Q65 + MIDA!Q65 + MIDW!Q65 + NE!Q65 + NY!Q65 + NW!Q65 + SE!Q65 + SW!Q65 + TEN!Q65 + TEX!Q65</f>
        <v>32.734673030000003</v>
      </c>
      <c r="R65" s="7">
        <f xml:space="preserve"> 0 + CAL!R65 + CAR!R65 + CENT!R65 + FLA!R65 + MIDA!R65 + MIDW!R65 + NE!R65 + NY!R65 + NW!R65 + SE!R65 + SW!R65 + TEN!R65 + TEX!R65</f>
        <v>31.91569398</v>
      </c>
      <c r="S65" s="7">
        <f xml:space="preserve"> 0 + CAL!S65 + CAR!S65 + CENT!S65 + FLA!S65 + MIDA!S65 + MIDW!S65 + NE!S65 + NY!S65 + NW!S65 + SE!S65 + SW!S65 + TEN!S65 + TEX!S65</f>
        <v>31.117779049999999</v>
      </c>
      <c r="T65" s="7">
        <f xml:space="preserve"> 0 + CAL!T65 + CAR!T65 + CENT!T65 + FLA!T65 + MIDA!T65 + MIDW!T65 + NE!T65 + NY!T65 + NW!T65 + SE!T65 + SW!T65 + TEN!T65 + TEX!T65</f>
        <v>30.33983211</v>
      </c>
      <c r="U65" s="7">
        <f xml:space="preserve"> 0 + CAL!U65 + CAR!U65 + CENT!U65 + FLA!U65 + MIDA!U65 + MIDW!U65 + NE!U65 + NY!U65 + NW!U65 + SE!U65 + SW!U65 + TEN!U65 + TEX!U65</f>
        <v>29.580537580000001</v>
      </c>
      <c r="V65" s="7">
        <f xml:space="preserve"> 0 + CAL!V65 + CAR!V65 + CENT!V65 + FLA!V65 + MIDA!V65 + MIDW!V65 + NE!V65 + NY!V65 + NW!V65 + SE!V65 + SW!V65 + TEN!V65 + TEX!V65</f>
        <v>28.840994989999999</v>
      </c>
      <c r="W65" s="7">
        <f xml:space="preserve"> 0 + CAL!W65 + CAR!W65 + CENT!W65 + FLA!W65 + MIDA!W65 + MIDW!W65 + NE!W65 + NY!W65 + NW!W65 + SE!W65 + SW!W65 + TEN!W65 + TEX!W65</f>
        <v>28.12003064</v>
      </c>
      <c r="X65" s="7">
        <f xml:space="preserve"> 0 + CAL!X65 + CAR!X65 + CENT!X65 + FLA!X65 + MIDA!X65 + MIDW!X65 + NE!X65 + NY!X65 + NW!X65 + SE!X65 + SW!X65 + TEN!X65 + TEX!X65</f>
        <v>27.41703107</v>
      </c>
      <c r="Y65" s="7">
        <f xml:space="preserve"> 0 + CAL!Y65 + CAR!Y65 + CENT!Y65 + FLA!Y65 + MIDA!Y65 + MIDW!Y65 + NE!Y65 + NY!Y65 + NW!Y65 + SE!Y65 + SW!Y65 + TEN!Y65 + TEX!Y65</f>
        <v>26.731598630000001</v>
      </c>
      <c r="Z65" s="7">
        <f xml:space="preserve"> 0 + CAL!Z65 + CAR!Z65 + CENT!Z65 + FLA!Z65 + MIDA!Z65 + MIDW!Z65 + NE!Z65 + NY!Z65 + NW!Z65 + SE!Z65 + SW!Z65 + TEN!Z65 + TEX!Z65</f>
        <v>26.058377870000001</v>
      </c>
      <c r="AA65" s="7">
        <f xml:space="preserve"> 0 + CAL!AA65 + CAR!AA65 + CENT!AA65 + FLA!AA65 + MIDA!AA65 + MIDW!AA65 + NE!AA65 + NY!AA65 + NW!AA65 + SE!AA65 + SW!AA65 + TEN!AA65 + TEX!AA65</f>
        <v>25.4069118</v>
      </c>
      <c r="AB65" s="7">
        <f xml:space="preserve"> 0 + CAL!AB65 + CAR!AB65 + CENT!AB65 + FLA!AB65 + MIDA!AB65 + MIDW!AB65 + NE!AB65 + NY!AB65 + NW!AB65 + SE!AB65 + SW!AB65 + TEN!AB65 + TEX!AB65</f>
        <v>24.771731689999999</v>
      </c>
      <c r="AC65" s="7">
        <f xml:space="preserve"> 0 + CAL!AC65 + CAR!AC65 + CENT!AC65 + FLA!AC65 + MIDA!AC65 + MIDW!AC65 + NE!AC65 + NY!AC65 + NW!AC65 + SE!AC65 + SW!AC65 + TEN!AC65 + TEX!AC65</f>
        <v>24.15243894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528.63323974000002</v>
      </c>
      <c r="D66" s="7">
        <f xml:space="preserve"> 0 + CAL!D66 + CAR!D66 + CENT!D66 + FLA!D66 + MIDA!D66 + MIDW!D66 + NE!D66 + NY!D66 + NW!D66 + SE!D66 + SW!D66 + TEN!D66 + TEX!D66</f>
        <v>402.59703837000006</v>
      </c>
      <c r="E66" s="7">
        <f xml:space="preserve"> 0 + CAL!E66 + CAR!E66 + CENT!E66 + FLA!E66 + MIDA!E66 + MIDW!E66 + NE!E66 + NY!E66 + NW!E66 + SE!E66 + SW!E66 + TEN!E66 + TEX!E66</f>
        <v>315.1356468699999</v>
      </c>
      <c r="F66" s="7">
        <f xml:space="preserve"> 0 + CAL!F66 + CAR!F66 + CENT!F66 + FLA!F66 + MIDA!F66 + MIDW!F66 + NE!F66 + NY!F66 + NW!F66 + SE!F66 + SW!F66 + TEN!F66 + TEX!F66</f>
        <v>235.81663593999997</v>
      </c>
      <c r="G66" s="7">
        <f xml:space="preserve"> 0 + CAL!G66 + CAR!G66 + CENT!G66 + FLA!G66 + MIDA!G66 + MIDW!G66 + NE!G66 + NY!G66 + NW!G66 + SE!G66 + SW!G66 + TEN!G66 + TEX!G66</f>
        <v>141.82742967000001</v>
      </c>
      <c r="H66" s="7">
        <f xml:space="preserve"> 0 + CAL!H66 + CAR!H66 + CENT!H66 + FLA!H66 + MIDA!H66 + MIDW!H66 + NE!H66 + NY!H66 + NW!H66 + SE!H66 + SW!H66 + TEN!H66 + TEX!H66</f>
        <v>58.754219000000006</v>
      </c>
      <c r="I66" s="7">
        <f xml:space="preserve"> 0 + CAL!I66 + CAR!I66 + CENT!I66 + FLA!I66 + MIDA!I66 + MIDW!I66 + NE!I66 + NY!I66 + NW!I66 + SE!I66 + SW!I66 + TEN!I66 + TEX!I66</f>
        <v>21.096543539999999</v>
      </c>
      <c r="J66" s="7">
        <f xml:space="preserve"> 0 + CAL!J66 + CAR!J66 + CENT!J66 + FLA!J66 + MIDA!J66 + MIDW!J66 + NE!J66 + NY!J66 + NW!J66 + SE!J66 + SW!J66 + TEN!J66 + TEX!J66</f>
        <v>12.708689719999999</v>
      </c>
      <c r="K66" s="7">
        <f xml:space="preserve"> 0 + CAL!K66 + CAR!K66 + CENT!K66 + FLA!K66 + MIDA!K66 + MIDW!K66 + NE!K66 + NY!K66 + NW!K66 + SE!K66 + SW!K66 + TEN!K66 + TEX!K66</f>
        <v>8.0793525099999997</v>
      </c>
      <c r="L66" s="7">
        <f xml:space="preserve"> 0 + CAL!L66 + CAR!L66 + CENT!L66 + FLA!L66 + MIDA!L66 + MIDW!L66 + NE!L66 + NY!L66 + NW!L66 + SE!L66 + SW!L66 + TEN!L66 + TEX!L66</f>
        <v>3.23972309</v>
      </c>
      <c r="M66" s="7">
        <f xml:space="preserve"> 0 + CAL!M66 + CAR!M66 + CENT!M66 + FLA!M66 + MIDA!M66 + MIDW!M66 + NE!M66 + NY!M66 + NW!M66 + SE!M66 + SW!M66 + TEN!M66 + TEX!M66</f>
        <v>0.20304701999999999</v>
      </c>
      <c r="N66" s="7">
        <f xml:space="preserve"> 0 + CAL!N66 + CAR!N66 + CENT!N66 + FLA!N66 + MIDA!N66 + MIDW!N66 + NE!N66 + NY!N66 + NW!N66 + SE!N66 + SW!N66 + TEN!N66 + TEX!N66</f>
        <v>0.17840272999999998</v>
      </c>
      <c r="O66" s="7">
        <f xml:space="preserve"> 0 + CAL!O66 + CAR!O66 + CENT!O66 + FLA!O66 + MIDA!O66 + MIDW!O66 + NE!O66 + NY!O66 + NW!O66 + SE!O66 + SW!O66 + TEN!O66 + TEX!O66</f>
        <v>0.17247166999999999</v>
      </c>
      <c r="P66" s="7">
        <f xml:space="preserve"> 0 + CAL!P66 + CAR!P66 + CENT!P66 + FLA!P66 + MIDA!P66 + MIDW!P66 + NE!P66 + NY!P66 + NW!P66 + SE!P66 + SW!P66 + TEN!P66 + TEX!P66</f>
        <v>0.16815988000000001</v>
      </c>
      <c r="Q66" s="7">
        <f xml:space="preserve"> 0 + CAL!Q66 + CAR!Q66 + CENT!Q66 + FLA!Q66 + MIDA!Q66 + MIDW!Q66 + NE!Q66 + NY!Q66 + NW!Q66 + SE!Q66 + SW!Q66 + TEN!Q66 + TEX!Q66</f>
        <v>0.16367337000000001</v>
      </c>
      <c r="R66" s="7">
        <f xml:space="preserve"> 0 + CAL!R66 + CAR!R66 + CENT!R66 + FLA!R66 + MIDA!R66 + MIDW!R66 + NE!R66 + NY!R66 + NW!R66 + SE!R66 + SW!R66 + TEN!R66 + TEX!R66</f>
        <v>0.15957847</v>
      </c>
      <c r="S66" s="7">
        <f xml:space="preserve"> 0 + CAL!S66 + CAR!S66 + CENT!S66 + FLA!S66 + MIDA!S66 + MIDW!S66 + NE!S66 + NY!S66 + NW!S66 + SE!S66 + SW!S66 + TEN!S66 + TEX!S66</f>
        <v>0.1555889</v>
      </c>
      <c r="T66" s="7">
        <f xml:space="preserve"> 0 + CAL!T66 + CAR!T66 + CENT!T66 + FLA!T66 + MIDA!T66 + MIDW!T66 + NE!T66 + NY!T66 + NW!T66 + SE!T66 + SW!T66 + TEN!T66 + TEX!T66</f>
        <v>0.15169916</v>
      </c>
      <c r="U66" s="7">
        <f xml:space="preserve"> 0 + CAL!U66 + CAR!U66 + CENT!U66 + FLA!U66 + MIDA!U66 + MIDW!U66 + NE!U66 + NY!U66 + NW!U66 + SE!U66 + SW!U66 + TEN!U66 + TEX!U66</f>
        <v>0.14790269</v>
      </c>
      <c r="V66" s="7">
        <f xml:space="preserve"> 0 + CAL!V66 + CAR!V66 + CENT!V66 + FLA!V66 + MIDA!V66 + MIDW!V66 + NE!V66 + NY!V66 + NW!V66 + SE!V66 + SW!V66 + TEN!V66 + TEX!V66</f>
        <v>0.14420496999999999</v>
      </c>
      <c r="W66" s="7">
        <f xml:space="preserve"> 0 + CAL!W66 + CAR!W66 + CENT!W66 + FLA!W66 + MIDA!W66 + MIDW!W66 + NE!W66 + NY!W66 + NW!W66 + SE!W66 + SW!W66 + TEN!W66 + TEX!W66</f>
        <v>0.14060015000000001</v>
      </c>
      <c r="X66" s="7">
        <f xml:space="preserve"> 0 + CAL!X66 + CAR!X66 + CENT!X66 + FLA!X66 + MIDA!X66 + MIDW!X66 + NE!X66 + NY!X66 + NW!X66 + SE!X66 + SW!X66 + TEN!X66 + TEX!X66</f>
        <v>0.13708516000000001</v>
      </c>
      <c r="Y66" s="7">
        <f xml:space="preserve"> 0 + CAL!Y66 + CAR!Y66 + CENT!Y66 + FLA!Y66 + MIDA!Y66 + MIDW!Y66 + NE!Y66 + NY!Y66 + NW!Y66 + SE!Y66 + SW!Y66 + TEN!Y66 + TEX!Y66</f>
        <v>0.13365799</v>
      </c>
      <c r="Z66" s="7">
        <f xml:space="preserve"> 0 + CAL!Z66 + CAR!Z66 + CENT!Z66 + FLA!Z66 + MIDA!Z66 + MIDW!Z66 + NE!Z66 + NY!Z66 + NW!Z66 + SE!Z66 + SW!Z66 + TEN!Z66 + TEX!Z66</f>
        <v>0.13029188999999999</v>
      </c>
      <c r="AA66" s="7">
        <f xml:space="preserve"> 0 + CAL!AA66 + CAR!AA66 + CENT!AA66 + FLA!AA66 + MIDA!AA66 + MIDW!AA66 + NE!AA66 + NY!AA66 + NW!AA66 + SE!AA66 + SW!AA66 + TEN!AA66 + TEX!AA66</f>
        <v>0.12703455999999999</v>
      </c>
      <c r="AB66" s="7">
        <f xml:space="preserve"> 0 + CAL!AB66 + CAR!AB66 + CENT!AB66 + FLA!AB66 + MIDA!AB66 + MIDW!AB66 + NE!AB66 + NY!AB66 + NW!AB66 + SE!AB66 + SW!AB66 + TEN!AB66 + TEX!AB66</f>
        <v>0.12385866</v>
      </c>
      <c r="AC66" s="7">
        <f xml:space="preserve"> 0 + CAL!AC66 + CAR!AC66 + CENT!AC66 + FLA!AC66 + MIDA!AC66 + MIDW!AC66 + NE!AC66 + NY!AC66 + NW!AC66 + SE!AC66 + SW!AC66 + TEN!AC66 + TEX!AC66</f>
        <v>0.12076219000000001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110090.48332622</v>
      </c>
      <c r="D67" s="7">
        <f xml:space="preserve"> 0 + CAL!D67 + CAR!D67 + CENT!D67 + FLA!D67 + MIDA!D67 + MIDW!D67 + NE!D67 + NY!D67 + NW!D67 + SE!D67 + SW!D67 + TEN!D67 + TEX!D67</f>
        <v>107338.22124307</v>
      </c>
      <c r="E67" s="7">
        <f xml:space="preserve"> 0 + CAL!E67 + CAR!E67 + CENT!E67 + FLA!E67 + MIDA!E67 + MIDW!E67 + NE!E67 + NY!E67 + NW!E67 + SE!E67 + SW!E67 + TEN!E67 + TEX!E67</f>
        <v>104654.76571199</v>
      </c>
      <c r="F67" s="7">
        <f xml:space="preserve"> 0 + CAL!F67 + CAR!F67 + CENT!F67 + FLA!F67 + MIDA!F67 + MIDW!F67 + NE!F67 + NY!F67 + NW!F67 + SE!F67 + SW!F67 + TEN!F67 + TEX!F67</f>
        <v>102038.39656918003</v>
      </c>
      <c r="G67" s="7">
        <f xml:space="preserve"> 0 + CAL!G67 + CAR!G67 + CENT!G67 + FLA!G67 + MIDA!G67 + MIDW!G67 + NE!G67 + NY!G67 + NW!G67 + SE!G67 + SW!G67 + TEN!G67 + TEX!G67</f>
        <v>99487.436663590008</v>
      </c>
      <c r="H67" s="7">
        <f xml:space="preserve"> 0 + CAL!H67 + CAR!H67 + CENT!H67 + FLA!H67 + MIDA!H67 + MIDW!H67 + NE!H67 + NY!H67 + NW!H67 + SE!H67 + SW!H67 + TEN!H67 + TEX!H67</f>
        <v>97000.250746990001</v>
      </c>
      <c r="I67" s="7">
        <f xml:space="preserve"> 0 + CAL!I67 + CAR!I67 + CENT!I67 + FLA!I67 + MIDA!I67 + MIDW!I67 + NE!I67 + NY!I67 + NW!I67 + SE!I67 + SW!I67 + TEN!I67 + TEX!I67</f>
        <v>94575.24447831999</v>
      </c>
      <c r="J67" s="7">
        <f xml:space="preserve"> 0 + CAL!J67 + CAR!J67 + CENT!J67 + FLA!J67 + MIDA!J67 + MIDW!J67 + NE!J67 + NY!J67 + NW!J67 + SE!J67 + SW!J67 + TEN!J67 + TEX!J67</f>
        <v>92210.863366349993</v>
      </c>
      <c r="K67" s="7">
        <f xml:space="preserve"> 0 + CAL!K67 + CAR!K67 + CENT!K67 + FLA!K67 + MIDA!K67 + MIDW!K67 + NE!K67 + NY!K67 + NW!K67 + SE!K67 + SW!K67 + TEN!K67 + TEX!K67</f>
        <v>89905.59178218001</v>
      </c>
      <c r="L67" s="7">
        <f xml:space="preserve"> 0 + CAL!L67 + CAR!L67 + CENT!L67 + FLA!L67 + MIDA!L67 + MIDW!L67 + NE!L67 + NY!L67 + NW!L67 + SE!L67 + SW!L67 + TEN!L67 + TEX!L67</f>
        <v>87657.951987639986</v>
      </c>
      <c r="M67" s="7">
        <f xml:space="preserve"> 0 + CAL!M67 + CAR!M67 + CENT!M67 + FLA!M67 + MIDA!M67 + MIDW!M67 + NE!M67 + NY!M67 + NW!M67 + SE!M67 + SW!M67 + TEN!M67 + TEX!M67</f>
        <v>85466.503187929993</v>
      </c>
      <c r="N67" s="7">
        <f xml:space="preserve"> 0 + CAL!N67 + CAR!N67 + CENT!N67 + FLA!N67 + MIDA!N67 + MIDW!N67 + NE!N67 + NY!N67 + NW!N67 + SE!N67 + SW!N67 + TEN!N67 + TEX!N67</f>
        <v>83329.84060825003</v>
      </c>
      <c r="O67" s="7">
        <f xml:space="preserve"> 0 + CAL!O67 + CAR!O67 + CENT!O67 + FLA!O67 + MIDA!O67 + MIDW!O67 + NE!O67 + NY!O67 + NW!O67 + SE!O67 + SW!O67 + TEN!O67 + TEX!O67</f>
        <v>81246.594593040005</v>
      </c>
      <c r="P67" s="7">
        <f xml:space="preserve"> 0 + CAL!P67 + CAR!P67 + CENT!P67 + FLA!P67 + MIDA!P67 + MIDW!P67 + NE!P67 + NY!P67 + NW!P67 + SE!P67 + SW!P67 + TEN!P67 + TEX!P67</f>
        <v>79215.429735740006</v>
      </c>
      <c r="Q67" s="7">
        <f xml:space="preserve"> 0 + CAL!Q67 + CAR!Q67 + CENT!Q67 + FLA!Q67 + MIDA!Q67 + MIDW!Q67 + NE!Q67 + NY!Q67 + NW!Q67 + SE!Q67 + SW!Q67 + TEN!Q67 + TEX!Q67</f>
        <v>77235.043992350009</v>
      </c>
      <c r="R67" s="7">
        <f xml:space="preserve"> 0 + CAL!R67 + CAR!R67 + CENT!R67 + FLA!R67 + MIDA!R67 + MIDW!R67 + NE!R67 + NY!R67 + NW!R67 + SE!R67 + SW!R67 + TEN!R67 + TEX!R67</f>
        <v>75304.167892550016</v>
      </c>
      <c r="S67" s="7">
        <f xml:space="preserve"> 0 + CAL!S67 + CAR!S67 + CENT!S67 + FLA!S67 + MIDA!S67 + MIDW!S67 + NE!S67 + NY!S67 + NW!S67 + SE!S67 + SW!S67 + TEN!S67 + TEX!S67</f>
        <v>73421.563695239995</v>
      </c>
      <c r="T67" s="7">
        <f xml:space="preserve"> 0 + CAL!T67 + CAR!T67 + CENT!T67 + FLA!T67 + MIDA!T67 + MIDW!T67 + NE!T67 + NY!T67 + NW!T67 + SE!T67 + SW!T67 + TEN!T67 + TEX!T67</f>
        <v>71586.024602860023</v>
      </c>
      <c r="U67" s="7">
        <f xml:space="preserve"> 0 + CAL!U67 + CAR!U67 + CENT!U67 + FLA!U67 + MIDA!U67 + MIDW!U67 + NE!U67 + NY!U67 + NW!U67 + SE!U67 + SW!U67 + TEN!U67 + TEX!U67</f>
        <v>69796.373987769999</v>
      </c>
      <c r="V67" s="7">
        <f xml:space="preserve"> 0 + CAL!V67 + CAR!V67 + CENT!V67 + FLA!V67 + MIDA!V67 + MIDW!V67 + NE!V67 + NY!V67 + NW!V67 + SE!V67 + SW!V67 + TEN!V67 + TEX!V67</f>
        <v>68051.464638079997</v>
      </c>
      <c r="W67" s="7">
        <f xml:space="preserve"> 0 + CAL!W67 + CAR!W67 + CENT!W67 + FLA!W67 + MIDA!W67 + MIDW!W67 + NE!W67 + NY!W67 + NW!W67 + SE!W67 + SW!W67 + TEN!W67 + TEX!W67</f>
        <v>66350.178623240005</v>
      </c>
      <c r="X67" s="7">
        <f xml:space="preserve"> 0 + CAL!X67 + CAR!X67 + CENT!X67 + FLA!X67 + MIDA!X67 + MIDW!X67 + NE!X67 + NY!X67 + NW!X67 + SE!X67 + SW!X67 + TEN!X67 + TEX!X67</f>
        <v>64691.424169470003</v>
      </c>
      <c r="Y67" s="7">
        <f xml:space="preserve"> 0 + CAL!Y67 + CAR!Y67 + CENT!Y67 + FLA!Y67 + MIDA!Y67 + MIDW!Y67 + NE!Y67 + NY!Y67 + NW!Y67 + SE!Y67 + SW!Y67 + TEN!Y67 + TEX!Y67</f>
        <v>63074.138565229994</v>
      </c>
      <c r="Z67" s="7">
        <f xml:space="preserve"> 0 + CAL!Z67 + CAR!Z67 + CENT!Z67 + FLA!Z67 + MIDA!Z67 + MIDW!Z67 + NE!Z67 + NY!Z67 + NW!Z67 + SE!Z67 + SW!Z67 + TEN!Z67 + TEX!Z67</f>
        <v>61497.285101109992</v>
      </c>
      <c r="AA67" s="7">
        <f xml:space="preserve"> 0 + CAL!AA67 + CAR!AA67 + CENT!AA67 + FLA!AA67 + MIDA!AA67 + MIDW!AA67 + NE!AA67 + NY!AA67 + NW!AA67 + SE!AA67 + SW!AA67 + TEN!AA67 + TEX!AA67</f>
        <v>59959.852973580004</v>
      </c>
      <c r="AB67" s="7">
        <f xml:space="preserve"> 0 + CAL!AB67 + CAR!AB67 + CENT!AB67 + FLA!AB67 + MIDA!AB67 + MIDW!AB67 + NE!AB67 + NY!AB67 + NW!AB67 + SE!AB67 + SW!AB67 + TEN!AB67 + TEX!AB67</f>
        <v>58460.856649239999</v>
      </c>
      <c r="AC67" s="7">
        <f xml:space="preserve"> 0 + CAL!AC67 + CAR!AC67 + CENT!AC67 + FLA!AC67 + MIDA!AC67 + MIDW!AC67 + NE!AC67 + NY!AC67 + NW!AC67 + SE!AC67 + SW!AC67 + TEN!AC67 + TEX!AC67</f>
        <v>56999.33523841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15008.02661101</v>
      </c>
      <c r="D68" s="7">
        <f xml:space="preserve"> 0 + CAL!D68 + CAR!D68 + CENT!D68 + FLA!D68 + MIDA!D68 + MIDW!D68 + NE!D68 + NY!D68 + NW!D68 + SE!D68 + SW!D68 + TEN!D68 + TEX!D68</f>
        <v>11429.828113539999</v>
      </c>
      <c r="E68" s="7">
        <f xml:space="preserve"> 0 + CAL!E68 + CAR!E68 + CENT!E68 + FLA!E68 + MIDA!E68 + MIDW!E68 + NE!E68 + NY!E68 + NW!E68 + SE!E68 + SW!E68 + TEN!E68 + TEX!E68</f>
        <v>8946.7778771400008</v>
      </c>
      <c r="F68" s="7">
        <f xml:space="preserve"> 0 + CAL!F68 + CAR!F68 + CENT!F68 + FLA!F68 + MIDA!F68 + MIDW!F68 + NE!F68 + NY!F68 + NW!F68 + SE!F68 + SW!F68 + TEN!F68 + TEX!F68</f>
        <v>6694.8918111400008</v>
      </c>
      <c r="G68" s="7">
        <f xml:space="preserve"> 0 + CAL!G68 + CAR!G68 + CENT!G68 + FLA!G68 + MIDA!G68 + MIDW!G68 + NE!G68 + NY!G68 + NW!G68 + SE!G68 + SW!G68 + TEN!G68 + TEX!G68</f>
        <v>4026.5153205800002</v>
      </c>
      <c r="H68" s="7">
        <f xml:space="preserve"> 0 + CAL!H68 + CAR!H68 + CENT!H68 + FLA!H68 + MIDA!H68 + MIDW!H68 + NE!H68 + NY!H68 + NW!H68 + SE!H68 + SW!H68 + TEN!H68 + TEX!H68</f>
        <v>1668.0466074700003</v>
      </c>
      <c r="I68" s="7">
        <f xml:space="preserve"> 0 + CAL!I68 + CAR!I68 + CENT!I68 + FLA!I68 + MIDA!I68 + MIDW!I68 + NE!I68 + NY!I68 + NW!I68 + SE!I68 + SW!I68 + TEN!I68 + TEX!I68</f>
        <v>598.93601647000003</v>
      </c>
      <c r="J68" s="7">
        <f xml:space="preserve"> 0 + CAL!J68 + CAR!J68 + CENT!J68 + FLA!J68 + MIDA!J68 + MIDW!J68 + NE!J68 + NY!J68 + NW!J68 + SE!J68 + SW!J68 + TEN!J68 + TEX!J68</f>
        <v>360.80280096999996</v>
      </c>
      <c r="K68" s="7">
        <f xml:space="preserve"> 0 + CAL!K68 + CAR!K68 + CENT!K68 + FLA!K68 + MIDA!K68 + MIDW!K68 + NE!K68 + NY!K68 + NW!K68 + SE!K68 + SW!K68 + TEN!K68 + TEX!K68</f>
        <v>229.37478821000002</v>
      </c>
      <c r="L68" s="7">
        <f xml:space="preserve"> 0 + CAL!L68 + CAR!L68 + CENT!L68 + FLA!L68 + MIDA!L68 + MIDW!L68 + NE!L68 + NY!L68 + NW!L68 + SE!L68 + SW!L68 + TEN!L68 + TEX!L68</f>
        <v>91.976528569999999</v>
      </c>
      <c r="M68" s="7">
        <f xml:space="preserve"> 0 + CAL!M68 + CAR!M68 + CENT!M68 + FLA!M68 + MIDA!M68 + MIDW!M68 + NE!M68 + NY!M68 + NW!M68 + SE!M68 + SW!M68 + TEN!M68 + TEX!M68</f>
        <v>5.7645543799999999</v>
      </c>
      <c r="N68" s="7">
        <f xml:space="preserve"> 0 + CAL!N68 + CAR!N68 + CENT!N68 + FLA!N68 + MIDA!N68 + MIDW!N68 + NE!N68 + NY!N68 + NW!N68 + SE!N68 + SW!N68 + TEN!N68 + TEX!N68</f>
        <v>5.0648969900000003</v>
      </c>
      <c r="O68" s="7">
        <f xml:space="preserve"> 0 + CAL!O68 + CAR!O68 + CENT!O68 + FLA!O68 + MIDA!O68 + MIDW!O68 + NE!O68 + NY!O68 + NW!O68 + SE!O68 + SW!O68 + TEN!O68 + TEX!O68</f>
        <v>4.8965127099999997</v>
      </c>
      <c r="P68" s="7">
        <f xml:space="preserve"> 0 + CAL!P68 + CAR!P68 + CENT!P68 + FLA!P68 + MIDA!P68 + MIDW!P68 + NE!P68 + NY!P68 + NW!P68 + SE!P68 + SW!P68 + TEN!P68 + TEX!P68</f>
        <v>4.7740999000000004</v>
      </c>
      <c r="Q68" s="7">
        <f xml:space="preserve"> 0 + CAL!Q68 + CAR!Q68 + CENT!Q68 + FLA!Q68 + MIDA!Q68 + MIDW!Q68 + NE!Q68 + NY!Q68 + NW!Q68 + SE!Q68 + SW!Q68 + TEN!Q68 + TEX!Q68</f>
        <v>4.64672676</v>
      </c>
      <c r="R68" s="7">
        <f xml:space="preserve"> 0 + CAL!R68 + CAR!R68 + CENT!R68 + FLA!R68 + MIDA!R68 + MIDW!R68 + NE!R68 + NY!R68 + NW!R68 + SE!R68 + SW!R68 + TEN!R68 + TEX!R68</f>
        <v>4.5304716799999998</v>
      </c>
      <c r="S68" s="7">
        <f xml:space="preserve"> 0 + CAL!S68 + CAR!S68 + CENT!S68 + FLA!S68 + MIDA!S68 + MIDW!S68 + NE!S68 + NY!S68 + NW!S68 + SE!S68 + SW!S68 + TEN!S68 + TEX!S68</f>
        <v>4.4172066799999996</v>
      </c>
      <c r="T68" s="7">
        <f xml:space="preserve"> 0 + CAL!T68 + CAR!T68 + CENT!T68 + FLA!T68 + MIDA!T68 + MIDW!T68 + NE!T68 + NY!T68 + NW!T68 + SE!T68 + SW!T68 + TEN!T68 + TEX!T68</f>
        <v>4.30677617</v>
      </c>
      <c r="U68" s="7">
        <f xml:space="preserve"> 0 + CAL!U68 + CAR!U68 + CENT!U68 + FLA!U68 + MIDA!U68 + MIDW!U68 + NE!U68 + NY!U68 + NW!U68 + SE!U68 + SW!U68 + TEN!U68 + TEX!U68</f>
        <v>4.1989933800000001</v>
      </c>
      <c r="V68" s="7">
        <f xml:space="preserve"> 0 + CAL!V68 + CAR!V68 + CENT!V68 + FLA!V68 + MIDA!V68 + MIDW!V68 + NE!V68 + NY!V68 + NW!V68 + SE!V68 + SW!V68 + TEN!V68 + TEX!V68</f>
        <v>4.0940144099999998</v>
      </c>
      <c r="W68" s="7">
        <f xml:space="preserve"> 0 + CAL!W68 + CAR!W68 + CENT!W68 + FLA!W68 + MIDA!W68 + MIDW!W68 + NE!W68 + NY!W68 + NW!W68 + SE!W68 + SW!W68 + TEN!W68 + TEX!W68</f>
        <v>3.99167264</v>
      </c>
      <c r="X68" s="7">
        <f xml:space="preserve"> 0 + CAL!X68 + CAR!X68 + CENT!X68 + FLA!X68 + MIDA!X68 + MIDW!X68 + NE!X68 + NY!X68 + NW!X68 + SE!X68 + SW!X68 + TEN!X68 + TEX!X68</f>
        <v>3.8918810000000001</v>
      </c>
      <c r="Y68" s="7">
        <f xml:space="preserve"> 0 + CAL!Y68 + CAR!Y68 + CENT!Y68 + FLA!Y68 + MIDA!Y68 + MIDW!Y68 + NE!Y68 + NY!Y68 + NW!Y68 + SE!Y68 + SW!Y68 + TEN!Y68 + TEX!Y68</f>
        <v>3.7945830300000001</v>
      </c>
      <c r="Z68" s="7">
        <f xml:space="preserve"> 0 + CAL!Z68 + CAR!Z68 + CENT!Z68 + FLA!Z68 + MIDA!Z68 + MIDW!Z68 + NE!Z68 + NY!Z68 + NW!Z68 + SE!Z68 + SW!Z68 + TEN!Z68 + TEX!Z68</f>
        <v>3.6990185200000001</v>
      </c>
      <c r="AA68" s="7">
        <f xml:space="preserve"> 0 + CAL!AA68 + CAR!AA68 + CENT!AA68 + FLA!AA68 + MIDA!AA68 + MIDW!AA68 + NE!AA68 + NY!AA68 + NW!AA68 + SE!AA68 + SW!AA68 + TEN!AA68 + TEX!AA68</f>
        <v>3.6065421099999999</v>
      </c>
      <c r="AB68" s="7">
        <f xml:space="preserve"> 0 + CAL!AB68 + CAR!AB68 + CENT!AB68 + FLA!AB68 + MIDA!AB68 + MIDW!AB68 + NE!AB68 + NY!AB68 + NW!AB68 + SE!AB68 + SW!AB68 + TEN!AB68 + TEX!AB68</f>
        <v>3.5163775199999998</v>
      </c>
      <c r="AC68" s="7">
        <f xml:space="preserve"> 0 + CAL!AC68 + CAR!AC68 + CENT!AC68 + FLA!AC68 + MIDA!AC68 + MIDW!AC68 + NE!AC68 + NY!AC68 + NW!AC68 + SE!AC68 + SW!AC68 + TEN!AC68 + TEX!AC68</f>
        <v>3.42846816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8.653381379999999</v>
      </c>
      <c r="E69" s="7">
        <f xml:space="preserve"> 0 + CAL!E69 + CAR!E69 + CENT!E69 + FLA!E69 + MIDA!E69 + MIDW!E69 + NE!E69 + NY!E69 + NW!E69 + SE!E69 + SW!E69 + TEN!E69 + TEX!E69</f>
        <v>7.5876178500000009</v>
      </c>
      <c r="F69" s="7">
        <f xml:space="preserve"> 0 + CAL!F69 + CAR!F69 + CENT!F69 + FLA!F69 + MIDA!F69 + MIDW!F69 + NE!F69 + NY!F69 + NW!F69 + SE!F69 + SW!F69 + TEN!F69 + TEX!F69</f>
        <v>6.7362971900000002</v>
      </c>
      <c r="G69" s="7">
        <f xml:space="preserve"> 0 + CAL!G69 + CAR!G69 + CENT!G69 + FLA!G69 + MIDA!G69 + MIDW!G69 + NE!G69 + NY!G69 + NW!G69 + SE!G69 + SW!G69 + TEN!G69 + TEX!G69</f>
        <v>6.2456791099999993</v>
      </c>
      <c r="H69" s="7">
        <f xml:space="preserve"> 0 + CAL!H69 + CAR!H69 + CENT!H69 + FLA!H69 + MIDA!H69 + MIDW!H69 + NE!H69 + NY!H69 + NW!H69 + SE!H69 + SW!H69 + TEN!H69 + TEX!H69</f>
        <v>6.2554712599999993</v>
      </c>
      <c r="I69" s="7">
        <f xml:space="preserve"> 0 + CAL!I69 + CAR!I69 + CENT!I69 + FLA!I69 + MIDA!I69 + MIDW!I69 + NE!I69 + NY!I69 + NW!I69 + SE!I69 + SW!I69 + TEN!I69 + TEX!I69</f>
        <v>5.1168161799999998</v>
      </c>
      <c r="J69" s="7">
        <f xml:space="preserve"> 0 + CAL!J69 + CAR!J69 + CENT!J69 + FLA!J69 + MIDA!J69 + MIDW!J69 + NE!J69 + NY!J69 + NW!J69 + SE!J69 + SW!J69 + TEN!J69 + TEX!J69</f>
        <v>4.1340984899999995</v>
      </c>
      <c r="K69" s="7">
        <f xml:space="preserve"> 0 + CAL!K69 + CAR!K69 + CENT!K69 + FLA!K69 + MIDA!K69 + MIDW!K69 + NE!K69 + NY!K69 + NW!K69 + SE!K69 + SW!K69 + TEN!K69 + TEX!K69</f>
        <v>3.5735764999999993</v>
      </c>
      <c r="L69" s="7">
        <f xml:space="preserve"> 0 + CAL!L69 + CAR!L69 + CENT!L69 + FLA!L69 + MIDA!L69 + MIDW!L69 + NE!L69 + NY!L69 + NW!L69 + SE!L69 + SW!L69 + TEN!L69 + TEX!L69</f>
        <v>4.3787321500000003</v>
      </c>
      <c r="M69" s="7">
        <f xml:space="preserve"> 0 + CAL!M69 + CAR!M69 + CENT!M69 + FLA!M69 + MIDA!M69 + MIDW!M69 + NE!M69 + NY!M69 + NW!M69 + SE!M69 + SW!M69 + TEN!M69 + TEX!M69</f>
        <v>4.3086123499999989</v>
      </c>
      <c r="N69" s="7">
        <f xml:space="preserve"> 0 + CAL!N69 + CAR!N69 + CENT!N69 + FLA!N69 + MIDA!N69 + MIDW!N69 + NE!N69 + NY!N69 + NW!N69 + SE!N69 + SW!N69 + TEN!N69 + TEX!N69</f>
        <v>3.4830284499999999</v>
      </c>
      <c r="O69" s="7">
        <f xml:space="preserve"> 0 + CAL!O69 + CAR!O69 + CENT!O69 + FLA!O69 + MIDA!O69 + MIDW!O69 + NE!O69 + NY!O69 + NW!O69 + SE!O69 + SW!O69 + TEN!O69 + TEX!O69</f>
        <v>4.0567028399999998</v>
      </c>
      <c r="P69" s="7">
        <f xml:space="preserve"> 0 + CAL!P69 + CAR!P69 + CENT!P69 + FLA!P69 + MIDA!P69 + MIDW!P69 + NE!P69 + NY!P69 + NW!P69 + SE!P69 + SW!P69 + TEN!P69 + TEX!P69</f>
        <v>4.0908502999999996</v>
      </c>
      <c r="Q69" s="7">
        <f xml:space="preserve"> 0 + CAL!Q69 + CAR!Q69 + CENT!Q69 + FLA!Q69 + MIDA!Q69 + MIDW!Q69 + NE!Q69 + NY!Q69 + NW!Q69 + SE!Q69 + SW!Q69 + TEN!Q69 + TEX!Q69</f>
        <v>4.10159333</v>
      </c>
      <c r="R69" s="7">
        <f xml:space="preserve"> 0 + CAL!R69 + CAR!R69 + CENT!R69 + FLA!R69 + MIDA!R69 + MIDW!R69 + NE!R69 + NY!R69 + NW!R69 + SE!R69 + SW!R69 + TEN!R69 + TEX!R69</f>
        <v>4.1000772799999998</v>
      </c>
      <c r="S69" s="7">
        <f xml:space="preserve"> 0 + CAL!S69 + CAR!S69 + CENT!S69 + FLA!S69 + MIDA!S69 + MIDW!S69 + NE!S69 + NY!S69 + NW!S69 + SE!S69 + SW!S69 + TEN!S69 + TEX!S69</f>
        <v>4.08498977</v>
      </c>
      <c r="T69" s="7">
        <f xml:space="preserve"> 0 + CAL!T69 + CAR!T69 + CENT!T69 + FLA!T69 + MIDA!T69 + MIDW!T69 + NE!T69 + NY!T69 + NW!T69 + SE!T69 + SW!T69 + TEN!T69 + TEX!T69</f>
        <v>4.0847629400000001</v>
      </c>
      <c r="U69" s="7">
        <f xml:space="preserve"> 0 + CAL!U69 + CAR!U69 + CENT!U69 + FLA!U69 + MIDA!U69 + MIDW!U69 + NE!U69 + NY!U69 + NW!U69 + SE!U69 + SW!U69 + TEN!U69 + TEX!U69</f>
        <v>3.9880166300000002</v>
      </c>
      <c r="V69" s="7">
        <f xml:space="preserve"> 0 + CAL!V69 + CAR!V69 + CENT!V69 + FLA!V69 + MIDA!V69 + MIDW!V69 + NE!V69 + NY!V69 + NW!V69 + SE!V69 + SW!V69 + TEN!V69 + TEX!V69</f>
        <v>3.9902563600000001</v>
      </c>
      <c r="W69" s="7">
        <f xml:space="preserve"> 0 + CAL!W69 + CAR!W69 + CENT!W69 + FLA!W69 + MIDA!W69 + MIDW!W69 + NE!W69 + NY!W69 + NW!W69 + SE!W69 + SW!W69 + TEN!W69 + TEX!W69</f>
        <v>3.9670593900000002</v>
      </c>
      <c r="X69" s="7">
        <f xml:space="preserve"> 0 + CAL!X69 + CAR!X69 + CENT!X69 + FLA!X69 + MIDA!X69 + MIDW!X69 + NE!X69 + NY!X69 + NW!X69 + SE!X69 + SW!X69 + TEN!X69 + TEX!X69</f>
        <v>3.9984705599999999</v>
      </c>
      <c r="Y69" s="7">
        <f xml:space="preserve"> 0 + CAL!Y69 + CAR!Y69 + CENT!Y69 + FLA!Y69 + MIDA!Y69 + MIDW!Y69 + NE!Y69 + NY!Y69 + NW!Y69 + SE!Y69 + SW!Y69 + TEN!Y69 + TEX!Y69</f>
        <v>3.9701307699999999</v>
      </c>
      <c r="Z69" s="7">
        <f xml:space="preserve"> 0 + CAL!Z69 + CAR!Z69 + CENT!Z69 + FLA!Z69 + MIDA!Z69 + MIDW!Z69 + NE!Z69 + NY!Z69 + NW!Z69 + SE!Z69 + SW!Z69 + TEN!Z69 + TEX!Z69</f>
        <v>3.96525251</v>
      </c>
      <c r="AA69" s="7">
        <f xml:space="preserve"> 0 + CAL!AA69 + CAR!AA69 + CENT!AA69 + FLA!AA69 + MIDA!AA69 + MIDW!AA69 + NE!AA69 + NY!AA69 + NW!AA69 + SE!AA69 + SW!AA69 + TEN!AA69 + TEX!AA69</f>
        <v>4.8149464300000009</v>
      </c>
      <c r="AB69" s="7">
        <f xml:space="preserve"> 0 + CAL!AB69 + CAR!AB69 + CENT!AB69 + FLA!AB69 + MIDA!AB69 + MIDW!AB69 + NE!AB69 + NY!AB69 + NW!AB69 + SE!AB69 + SW!AB69 + TEN!AB69 + TEX!AB69</f>
        <v>4.97734188</v>
      </c>
      <c r="AC69" s="7">
        <f xml:space="preserve"> 0 + CAL!AC69 + CAR!AC69 + CENT!AC69 + FLA!AC69 + MIDA!AC69 + MIDW!AC69 + NE!AC69 + NY!AC69 + NW!AC69 + SE!AC69 + SW!AC69 + TEN!AC69 + TEX!AC69</f>
        <v>4.9905148400000012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8.653381379999999</v>
      </c>
      <c r="D70" s="7">
        <f xml:space="preserve"> 0 + CAL!D70 + CAR!D70 + CENT!D70 + FLA!D70 + MIDA!D70 + MIDW!D70 + NE!D70 + NY!D70 + NW!D70 + SE!D70 + SW!D70 + TEN!D70 + TEX!D70</f>
        <v>7.5876178500000009</v>
      </c>
      <c r="E70" s="7">
        <f xml:space="preserve"> 0 + CAL!E70 + CAR!E70 + CENT!E70 + FLA!E70 + MIDA!E70 + MIDW!E70 + NE!E70 + NY!E70 + NW!E70 + SE!E70 + SW!E70 + TEN!E70 + TEX!E70</f>
        <v>6.7362971900000002</v>
      </c>
      <c r="F70" s="7">
        <f xml:space="preserve"> 0 + CAL!F70 + CAR!F70 + CENT!F70 + FLA!F70 + MIDA!F70 + MIDW!F70 + NE!F70 + NY!F70 + NW!F70 + SE!F70 + SW!F70 + TEN!F70 + TEX!F70</f>
        <v>6.2456791099999993</v>
      </c>
      <c r="G70" s="7">
        <f xml:space="preserve"> 0 + CAL!G70 + CAR!G70 + CENT!G70 + FLA!G70 + MIDA!G70 + MIDW!G70 + NE!G70 + NY!G70 + NW!G70 + SE!G70 + SW!G70 + TEN!G70 + TEX!G70</f>
        <v>6.2554712599999993</v>
      </c>
      <c r="H70" s="7">
        <f xml:space="preserve"> 0 + CAL!H70 + CAR!H70 + CENT!H70 + FLA!H70 + MIDA!H70 + MIDW!H70 + NE!H70 + NY!H70 + NW!H70 + SE!H70 + SW!H70 + TEN!H70 + TEX!H70</f>
        <v>5.1168161799999998</v>
      </c>
      <c r="I70" s="7">
        <f xml:space="preserve"> 0 + CAL!I70 + CAR!I70 + CENT!I70 + FLA!I70 + MIDA!I70 + MIDW!I70 + NE!I70 + NY!I70 + NW!I70 + SE!I70 + SW!I70 + TEN!I70 + TEX!I70</f>
        <v>4.1340984899999995</v>
      </c>
      <c r="J70" s="7">
        <f xml:space="preserve"> 0 + CAL!J70 + CAR!J70 + CENT!J70 + FLA!J70 + MIDA!J70 + MIDW!J70 + NE!J70 + NY!J70 + NW!J70 + SE!J70 + SW!J70 + TEN!J70 + TEX!J70</f>
        <v>3.5735764999999993</v>
      </c>
      <c r="K70" s="7">
        <f xml:space="preserve"> 0 + CAL!K70 + CAR!K70 + CENT!K70 + FLA!K70 + MIDA!K70 + MIDW!K70 + NE!K70 + NY!K70 + NW!K70 + SE!K70 + SW!K70 + TEN!K70 + TEX!K70</f>
        <v>4.3787321500000003</v>
      </c>
      <c r="L70" s="7">
        <f xml:space="preserve"> 0 + CAL!L70 + CAR!L70 + CENT!L70 + FLA!L70 + MIDA!L70 + MIDW!L70 + NE!L70 + NY!L70 + NW!L70 + SE!L70 + SW!L70 + TEN!L70 + TEX!L70</f>
        <v>4.3086123499999989</v>
      </c>
      <c r="M70" s="7">
        <f xml:space="preserve"> 0 + CAL!M70 + CAR!M70 + CENT!M70 + FLA!M70 + MIDA!M70 + MIDW!M70 + NE!M70 + NY!M70 + NW!M70 + SE!M70 + SW!M70 + TEN!M70 + TEX!M70</f>
        <v>3.4830284499999999</v>
      </c>
      <c r="N70" s="7">
        <f xml:space="preserve"> 0 + CAL!N70 + CAR!N70 + CENT!N70 + FLA!N70 + MIDA!N70 + MIDW!N70 + NE!N70 + NY!N70 + NW!N70 + SE!N70 + SW!N70 + TEN!N70 + TEX!N70</f>
        <v>4.0567028399999998</v>
      </c>
      <c r="O70" s="7">
        <f xml:space="preserve"> 0 + CAL!O70 + CAR!O70 + CENT!O70 + FLA!O70 + MIDA!O70 + MIDW!O70 + NE!O70 + NY!O70 + NW!O70 + SE!O70 + SW!O70 + TEN!O70 + TEX!O70</f>
        <v>4.0908502999999996</v>
      </c>
      <c r="P70" s="7">
        <f xml:space="preserve"> 0 + CAL!P70 + CAR!P70 + CENT!P70 + FLA!P70 + MIDA!P70 + MIDW!P70 + NE!P70 + NY!P70 + NW!P70 + SE!P70 + SW!P70 + TEN!P70 + TEX!P70</f>
        <v>4.10159333</v>
      </c>
      <c r="Q70" s="7">
        <f xml:space="preserve"> 0 + CAL!Q70 + CAR!Q70 + CENT!Q70 + FLA!Q70 + MIDA!Q70 + MIDW!Q70 + NE!Q70 + NY!Q70 + NW!Q70 + SE!Q70 + SW!Q70 + TEN!Q70 + TEX!Q70</f>
        <v>4.1000772799999998</v>
      </c>
      <c r="R70" s="7">
        <f xml:space="preserve"> 0 + CAL!R70 + CAR!R70 + CENT!R70 + FLA!R70 + MIDA!R70 + MIDW!R70 + NE!R70 + NY!R70 + NW!R70 + SE!R70 + SW!R70 + TEN!R70 + TEX!R70</f>
        <v>4.08498977</v>
      </c>
      <c r="S70" s="7">
        <f xml:space="preserve"> 0 + CAL!S70 + CAR!S70 + CENT!S70 + FLA!S70 + MIDA!S70 + MIDW!S70 + NE!S70 + NY!S70 + NW!S70 + SE!S70 + SW!S70 + TEN!S70 + TEX!S70</f>
        <v>4.0847629400000001</v>
      </c>
      <c r="T70" s="7">
        <f xml:space="preserve"> 0 + CAL!T70 + CAR!T70 + CENT!T70 + FLA!T70 + MIDA!T70 + MIDW!T70 + NE!T70 + NY!T70 + NW!T70 + SE!T70 + SW!T70 + TEN!T70 + TEX!T70</f>
        <v>3.9880166300000002</v>
      </c>
      <c r="U70" s="7">
        <f xml:space="preserve"> 0 + CAL!U70 + CAR!U70 + CENT!U70 + FLA!U70 + MIDA!U70 + MIDW!U70 + NE!U70 + NY!U70 + NW!U70 + SE!U70 + SW!U70 + TEN!U70 + TEX!U70</f>
        <v>3.9902563600000001</v>
      </c>
      <c r="V70" s="7">
        <f xml:space="preserve"> 0 + CAL!V70 + CAR!V70 + CENT!V70 + FLA!V70 + MIDA!V70 + MIDW!V70 + NE!V70 + NY!V70 + NW!V70 + SE!V70 + SW!V70 + TEN!V70 + TEX!V70</f>
        <v>3.9670593900000002</v>
      </c>
      <c r="W70" s="7">
        <f xml:space="preserve"> 0 + CAL!W70 + CAR!W70 + CENT!W70 + FLA!W70 + MIDA!W70 + MIDW!W70 + NE!W70 + NY!W70 + NW!W70 + SE!W70 + SW!W70 + TEN!W70 + TEX!W70</f>
        <v>3.9984705599999999</v>
      </c>
      <c r="X70" s="7">
        <f xml:space="preserve"> 0 + CAL!X70 + CAR!X70 + CENT!X70 + FLA!X70 + MIDA!X70 + MIDW!X70 + NE!X70 + NY!X70 + NW!X70 + SE!X70 + SW!X70 + TEN!X70 + TEX!X70</f>
        <v>3.9701307699999999</v>
      </c>
      <c r="Y70" s="7">
        <f xml:space="preserve"> 0 + CAL!Y70 + CAR!Y70 + CENT!Y70 + FLA!Y70 + MIDA!Y70 + MIDW!Y70 + NE!Y70 + NY!Y70 + NW!Y70 + SE!Y70 + SW!Y70 + TEN!Y70 + TEX!Y70</f>
        <v>3.96525251</v>
      </c>
      <c r="Z70" s="7">
        <f xml:space="preserve"> 0 + CAL!Z70 + CAR!Z70 + CENT!Z70 + FLA!Z70 + MIDA!Z70 + MIDW!Z70 + NE!Z70 + NY!Z70 + NW!Z70 + SE!Z70 + SW!Z70 + TEN!Z70 + TEX!Z70</f>
        <v>4.8149464300000009</v>
      </c>
      <c r="AA70" s="7">
        <f xml:space="preserve"> 0 + CAL!AA70 + CAR!AA70 + CENT!AA70 + FLA!AA70 + MIDA!AA70 + MIDW!AA70 + NE!AA70 + NY!AA70 + NW!AA70 + SE!AA70 + SW!AA70 + TEN!AA70 + TEX!AA70</f>
        <v>4.97734188</v>
      </c>
      <c r="AB70" s="7">
        <f xml:space="preserve"> 0 + CAL!AB70 + CAR!AB70 + CENT!AB70 + FLA!AB70 + MIDA!AB70 + MIDW!AB70 + NE!AB70 + NY!AB70 + NW!AB70 + SE!AB70 + SW!AB70 + TEN!AB70 + TEX!AB70</f>
        <v>4.9905148400000012</v>
      </c>
      <c r="AC70" s="7">
        <f xml:space="preserve"> 0 + CAL!AC70 + CAR!AC70 + CENT!AC70 + FLA!AC70 + MIDA!AC70 + MIDW!AC70 + NE!AC70 + NY!AC70 + NW!AC70 + SE!AC70 + SW!AC70 + TEN!AC70 + TEX!AC70</f>
        <v>4.9823768600000005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36.853954180000002</v>
      </c>
      <c r="E71" s="7">
        <f xml:space="preserve"> 0 + CAL!E71 + CAR!E71 + CENT!E71 + FLA!E71 + MIDA!E71 + MIDW!E71 + NE!E71 + NY!E71 + NW!E71 + SE!E71 + SW!E71 + TEN!E71 + TEX!E71</f>
        <v>37.941654840000005</v>
      </c>
      <c r="F71" s="7">
        <f xml:space="preserve"> 0 + CAL!F71 + CAR!F71 + CENT!F71 + FLA!F71 + MIDA!F71 + MIDW!F71 + NE!F71 + NY!F71 + NW!F71 + SE!F71 + SW!F71 + TEN!F71 + TEX!F71</f>
        <v>38.98792898</v>
      </c>
      <c r="G71" s="7">
        <f xml:space="preserve"> 0 + CAL!G71 + CAR!G71 + CENT!G71 + FLA!G71 + MIDA!G71 + MIDW!G71 + NE!G71 + NY!G71 + NW!G71 + SE!G71 + SW!G71 + TEN!G71 + TEX!G71</f>
        <v>40.07522771</v>
      </c>
      <c r="H71" s="7">
        <f xml:space="preserve"> 0 + CAL!H71 + CAR!H71 + CENT!H71 + FLA!H71 + MIDA!H71 + MIDW!H71 + NE!H71 + NY!H71 + NW!H71 + SE!H71 + SW!H71 + TEN!H71 + TEX!H71</f>
        <v>41.233524419999995</v>
      </c>
      <c r="I71" s="7">
        <f xml:space="preserve"> 0 + CAL!I71 + CAR!I71 + CENT!I71 + FLA!I71 + MIDA!I71 + MIDW!I71 + NE!I71 + NY!I71 + NW!I71 + SE!I71 + SW!I71 + TEN!I71 + TEX!I71</f>
        <v>42.463092370000005</v>
      </c>
      <c r="J71" s="7">
        <f xml:space="preserve"> 0 + CAL!J71 + CAR!J71 + CENT!J71 + FLA!J71 + MIDA!J71 + MIDW!J71 + NE!J71 + NY!J71 + NW!J71 + SE!J71 + SW!J71 + TEN!J71 + TEX!J71</f>
        <v>43.672961310000005</v>
      </c>
      <c r="K71" s="7">
        <f xml:space="preserve"> 0 + CAL!K71 + CAR!K71 + CENT!K71 + FLA!K71 + MIDA!K71 + MIDW!K71 + NE!K71 + NY!K71 + NW!K71 + SE!K71 + SW!K71 + TEN!K71 + TEX!K71</f>
        <v>44.916953510000013</v>
      </c>
      <c r="L71" s="7">
        <f xml:space="preserve"> 0 + CAL!L71 + CAR!L71 + CENT!L71 + FLA!L71 + MIDA!L71 + MIDW!L71 + NE!L71 + NY!L71 + NW!L71 + SE!L71 + SW!L71 + TEN!L71 + TEX!L71</f>
        <v>46.180979640000004</v>
      </c>
      <c r="M71" s="7">
        <f xml:space="preserve"> 0 + CAL!M71 + CAR!M71 + CENT!M71 + FLA!M71 + MIDA!M71 + MIDW!M71 + NE!M71 + NY!M71 + NW!M71 + SE!M71 + SW!M71 + TEN!M71 + TEX!M71</f>
        <v>47.55257641</v>
      </c>
      <c r="N71" s="7">
        <f xml:space="preserve"> 0 + CAL!N71 + CAR!N71 + CENT!N71 + FLA!N71 + MIDA!N71 + MIDW!N71 + NE!N71 + NY!N71 + NW!N71 + SE!N71 + SW!N71 + TEN!N71 + TEX!N71</f>
        <v>48.943693349999997</v>
      </c>
      <c r="O71" s="7">
        <f xml:space="preserve"> 0 + CAL!O71 + CAR!O71 + CENT!O71 + FLA!O71 + MIDA!O71 + MIDW!O71 + NE!O71 + NY!O71 + NW!O71 + SE!O71 + SW!O71 + TEN!O71 + TEX!O71</f>
        <v>50.292939299999993</v>
      </c>
      <c r="P71" s="7">
        <f xml:space="preserve"> 0 + CAL!P71 + CAR!P71 + CENT!P71 + FLA!P71 + MIDA!P71 + MIDW!P71 + NE!P71 + NY!P71 + NW!P71 + SE!P71 + SW!P71 + TEN!P71 + TEX!P71</f>
        <v>51.795430469999992</v>
      </c>
      <c r="Q71" s="7">
        <f xml:space="preserve"> 0 + CAL!Q71 + CAR!Q71 + CENT!Q71 + FLA!Q71 + MIDA!Q71 + MIDW!Q71 + NE!Q71 + NY!Q71 + NW!Q71 + SE!Q71 + SW!Q71 + TEN!Q71 + TEX!Q71</f>
        <v>53.374947389999996</v>
      </c>
      <c r="R71" s="7">
        <f xml:space="preserve"> 0 + CAL!R71 + CAR!R71 + CENT!R71 + FLA!R71 + MIDA!R71 + MIDW!R71 + NE!R71 + NY!R71 + NW!R71 + SE!R71 + SW!R71 + TEN!R71 + TEX!R71</f>
        <v>54.958109899999997</v>
      </c>
      <c r="S71" s="7">
        <f xml:space="preserve"> 0 + CAL!S71 + CAR!S71 + CENT!S71 + FLA!S71 + MIDA!S71 + MIDW!S71 + NE!S71 + NY!S71 + NW!S71 + SE!S71 + SW!S71 + TEN!S71 + TEX!S71</f>
        <v>56.655624960000004</v>
      </c>
      <c r="T71" s="7">
        <f xml:space="preserve"> 0 + CAL!T71 + CAR!T71 + CENT!T71 + FLA!T71 + MIDA!T71 + MIDW!T71 + NE!T71 + NY!T71 + NW!T71 + SE!T71 + SW!T71 + TEN!T71 + TEX!T71</f>
        <v>58.451450680000008</v>
      </c>
      <c r="U71" s="7">
        <f xml:space="preserve"> 0 + CAL!U71 + CAR!U71 + CENT!U71 + FLA!U71 + MIDA!U71 + MIDW!U71 + NE!U71 + NY!U71 + NW!U71 + SE!U71 + SW!U71 + TEN!U71 + TEX!U71</f>
        <v>60.32828507</v>
      </c>
      <c r="V71" s="7">
        <f xml:space="preserve"> 0 + CAL!V71 + CAR!V71 + CENT!V71 + FLA!V71 + MIDA!V71 + MIDW!V71 + NE!V71 + NY!V71 + NW!V71 + SE!V71 + SW!V71 + TEN!V71 + TEX!V71</f>
        <v>62.303408260000005</v>
      </c>
      <c r="W71" s="7">
        <f xml:space="preserve"> 0 + CAL!W71 + CAR!W71 + CENT!W71 + FLA!W71 + MIDA!W71 + MIDW!W71 + NE!W71 + NY!W71 + NW!W71 + SE!W71 + SW!W71 + TEN!W71 + TEX!W71</f>
        <v>64.353376770000011</v>
      </c>
      <c r="X71" s="7">
        <f xml:space="preserve"> 0 + CAL!X71 + CAR!X71 + CENT!X71 + FLA!X71 + MIDA!X71 + MIDW!X71 + NE!X71 + NY!X71 + NW!X71 + SE!X71 + SW!X71 + TEN!X71 + TEX!X71</f>
        <v>66.515054649999996</v>
      </c>
      <c r="Y71" s="7">
        <f xml:space="preserve"> 0 + CAL!Y71 + CAR!Y71 + CENT!Y71 + FLA!Y71 + MIDA!Y71 + MIDW!Y71 + NE!Y71 + NY!Y71 + NW!Y71 + SE!Y71 + SW!Y71 + TEN!Y71 + TEX!Y71</f>
        <v>68.792019429999996</v>
      </c>
      <c r="Z71" s="7">
        <f xml:space="preserve"> 0 + CAL!Z71 + CAR!Z71 + CENT!Z71 + FLA!Z71 + MIDA!Z71 + MIDW!Z71 + NE!Z71 + NY!Z71 + NW!Z71 + SE!Z71 + SW!Z71 + TEN!Z71 + TEX!Z71</f>
        <v>71.138694299999997</v>
      </c>
      <c r="AA71" s="7">
        <f xml:space="preserve"> 0 + CAL!AA71 + CAR!AA71 + CENT!AA71 + FLA!AA71 + MIDA!AA71 + MIDW!AA71 + NE!AA71 + NY!AA71 + NW!AA71 + SE!AA71 + SW!AA71 + TEN!AA71 + TEX!AA71</f>
        <v>73.614471600000002</v>
      </c>
      <c r="AB71" s="7">
        <f xml:space="preserve"> 0 + CAL!AB71 + CAR!AB71 + CENT!AB71 + FLA!AB71 + MIDA!AB71 + MIDW!AB71 + NE!AB71 + NY!AB71 + NW!AB71 + SE!AB71 + SW!AB71 + TEN!AB71 + TEX!AB71</f>
        <v>76.216522490000003</v>
      </c>
      <c r="AC71" s="7">
        <f xml:space="preserve"> 0 + CAL!AC71 + CAR!AC71 + CENT!AC71 + FLA!AC71 + MIDA!AC71 + MIDW!AC71 + NE!AC71 + NY!AC71 + NW!AC71 + SE!AC71 + SW!AC71 + TEN!AC71 + TEX!AC71</f>
        <v>78.970840150000001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788.70464073000005</v>
      </c>
      <c r="D72" s="7">
        <f xml:space="preserve"> 0 + CAL!D72 + CAR!D72 + CENT!D72 + FLA!D72 + MIDA!D72 + MIDW!D72 + NE!D72 + NY!D72 + NW!D72 + SE!D72 + SW!D72 + TEN!D72 + TEX!D72</f>
        <v>2063.2563044799999</v>
      </c>
      <c r="E72" s="7">
        <f xml:space="preserve"> 0 + CAL!E72 + CAR!E72 + CENT!E72 + FLA!E72 + MIDA!E72 + MIDW!E72 + NE!E72 + NY!E72 + NW!E72 + SE!E72 + SW!E72 + TEN!E72 + TEX!E72</f>
        <v>4383.9744936099996</v>
      </c>
      <c r="F72" s="7">
        <f xml:space="preserve"> 0 + CAL!F72 + CAR!F72 + CENT!F72 + FLA!F72 + MIDA!F72 + MIDW!F72 + NE!F72 + NY!F72 + NW!F72 + SE!F72 + SW!F72 + TEN!F72 + TEX!F72</f>
        <v>6992.338376390001</v>
      </c>
      <c r="G72" s="7">
        <f xml:space="preserve"> 0 + CAL!G72 + CAR!G72 + CENT!G72 + FLA!G72 + MIDA!G72 + MIDW!G72 + NE!G72 + NY!G72 + NW!G72 + SE!G72 + SW!G72 + TEN!G72 + TEX!G72</f>
        <v>9723.6725263699991</v>
      </c>
      <c r="H72" s="7">
        <f xml:space="preserve"> 0 + CAL!H72 + CAR!H72 + CENT!H72 + FLA!H72 + MIDA!H72 + MIDW!H72 + NE!H72 + NY!H72 + NW!H72 + SE!H72 + SW!H72 + TEN!H72 + TEX!H72</f>
        <v>9378.4888677699983</v>
      </c>
      <c r="I72" s="7">
        <f xml:space="preserve"> 0 + CAL!I72 + CAR!I72 + CENT!I72 + FLA!I72 + MIDA!I72 + MIDW!I72 + NE!I72 + NY!I72 + NW!I72 + SE!I72 + SW!I72 + TEN!I72 + TEX!I72</f>
        <v>8857.6148243599982</v>
      </c>
      <c r="J72" s="7">
        <f xml:space="preserve"> 0 + CAL!J72 + CAR!J72 + CENT!J72 + FLA!J72 + MIDA!J72 + MIDW!J72 + NE!J72 + NY!J72 + NW!J72 + SE!J72 + SW!J72 + TEN!J72 + TEX!J72</f>
        <v>10627.632917729999</v>
      </c>
      <c r="K72" s="7">
        <f xml:space="preserve"> 0 + CAL!K72 + CAR!K72 + CENT!K72 + FLA!K72 + MIDA!K72 + MIDW!K72 + NE!K72 + NY!K72 + NW!K72 + SE!K72 + SW!K72 + TEN!K72 + TEX!K72</f>
        <v>12330.35734807</v>
      </c>
      <c r="L72" s="7">
        <f xml:space="preserve"> 0 + CAL!L72 + CAR!L72 + CENT!L72 + FLA!L72 + MIDA!L72 + MIDW!L72 + NE!L72 + NY!L72 + NW!L72 + SE!L72 + SW!L72 + TEN!L72 + TEX!L72</f>
        <v>11118.67543168</v>
      </c>
      <c r="M72" s="7">
        <f xml:space="preserve"> 0 + CAL!M72 + CAR!M72 + CENT!M72 + FLA!M72 + MIDA!M72 + MIDW!M72 + NE!M72 + NY!M72 + NW!M72 + SE!M72 + SW!M72 + TEN!M72 + TEX!M72</f>
        <v>10021.21788471</v>
      </c>
      <c r="N72" s="7">
        <f xml:space="preserve"> 0 + CAL!N72 + CAR!N72 + CENT!N72 + FLA!N72 + MIDA!N72 + MIDW!N72 + NE!N72 + NY!N72 + NW!N72 + SE!N72 + SW!N72 + TEN!N72 + TEX!N72</f>
        <v>9033.74446455</v>
      </c>
      <c r="O72" s="7">
        <f xml:space="preserve"> 0 + CAL!O72 + CAR!O72 + CENT!O72 + FLA!O72 + MIDA!O72 + MIDW!O72 + NE!O72 + NY!O72 + NW!O72 + SE!O72 + SW!O72 + TEN!O72 + TEX!O72</f>
        <v>8157.7050802900003</v>
      </c>
      <c r="P72" s="7">
        <f xml:space="preserve"> 0 + CAL!P72 + CAR!P72 + CENT!P72 + FLA!P72 + MIDA!P72 + MIDW!P72 + NE!P72 + NY!P72 + NW!P72 + SE!P72 + SW!P72 + TEN!P72 + TEX!P72</f>
        <v>7359.8782448399998</v>
      </c>
      <c r="Q72" s="7">
        <f xml:space="preserve"> 0 + CAL!Q72 + CAR!Q72 + CENT!Q72 + FLA!Q72 + MIDA!Q72 + MIDW!Q72 + NE!Q72 + NY!Q72 + NW!Q72 + SE!Q72 + SW!Q72 + TEN!Q72 + TEX!Q72</f>
        <v>6641.6939112199998</v>
      </c>
      <c r="R72" s="7">
        <f xml:space="preserve"> 0 + CAL!R72 + CAR!R72 + CENT!R72 + FLA!R72 + MIDA!R72 + MIDW!R72 + NE!R72 + NY!R72 + NW!R72 + SE!R72 + SW!R72 + TEN!R72 + TEX!R72</f>
        <v>6003.2663961299995</v>
      </c>
      <c r="S72" s="7">
        <f xml:space="preserve"> 0 + CAL!S72 + CAR!S72 + CENT!S72 + FLA!S72 + MIDA!S72 + MIDW!S72 + NE!S72 + NY!S72 + NW!S72 + SE!S72 + SW!S72 + TEN!S72 + TEX!S72</f>
        <v>5446.3689828000006</v>
      </c>
      <c r="T72" s="7">
        <f xml:space="preserve"> 0 + CAL!T72 + CAR!T72 + CENT!T72 + FLA!T72 + MIDA!T72 + MIDW!T72 + NE!T72 + NY!T72 + NW!T72 + SE!T72 + SW!T72 + TEN!T72 + TEX!T72</f>
        <v>4916.4743063300002</v>
      </c>
      <c r="U72" s="7">
        <f xml:space="preserve"> 0 + CAL!U72 + CAR!U72 + CENT!U72 + FLA!U72 + MIDA!U72 + MIDW!U72 + NE!U72 + NY!U72 + NW!U72 + SE!U72 + SW!U72 + TEN!U72 + TEX!U72</f>
        <v>4428.4938319099992</v>
      </c>
      <c r="V72" s="7">
        <f xml:space="preserve"> 0 + CAL!V72 + CAR!V72 + CENT!V72 + FLA!V72 + MIDA!V72 + MIDW!V72 + NE!V72 + NY!V72 + NW!V72 + SE!V72 + SW!V72 + TEN!V72 + TEX!V72</f>
        <v>4035.1013143700002</v>
      </c>
      <c r="W72" s="7">
        <f xml:space="preserve"> 0 + CAL!W72 + CAR!W72 + CENT!W72 + FLA!W72 + MIDA!W72 + MIDW!W72 + NE!W72 + NY!W72 + NW!W72 + SE!W72 + SW!W72 + TEN!W72 + TEX!W72</f>
        <v>3637.8818601399998</v>
      </c>
      <c r="X72" s="7">
        <f xml:space="preserve"> 0 + CAL!X72 + CAR!X72 + CENT!X72 + FLA!X72 + MIDA!X72 + MIDW!X72 + NE!X72 + NY!X72 + NW!X72 + SE!X72 + SW!X72 + TEN!X72 + TEX!X72</f>
        <v>3292.9698970799996</v>
      </c>
      <c r="Y72" s="7">
        <f xml:space="preserve"> 0 + CAL!Y72 + CAR!Y72 + CENT!Y72 + FLA!Y72 + MIDA!Y72 + MIDW!Y72 + NE!Y72 + NY!Y72 + NW!Y72 + SE!Y72 + SW!Y72 + TEN!Y72 + TEX!Y72</f>
        <v>2971.1905084800001</v>
      </c>
      <c r="Z72" s="7">
        <f xml:space="preserve"> 0 + CAL!Z72 + CAR!Z72 + CENT!Z72 + FLA!Z72 + MIDA!Z72 + MIDW!Z72 + NE!Z72 + NY!Z72 + NW!Z72 + SE!Z72 + SW!Z72 + TEN!Z72 + TEX!Z72</f>
        <v>2734.15184864</v>
      </c>
      <c r="AA72" s="7">
        <f xml:space="preserve"> 0 + CAL!AA72 + CAR!AA72 + CENT!AA72 + FLA!AA72 + MIDA!AA72 + MIDW!AA72 + NE!AA72 + NY!AA72 + NW!AA72 + SE!AA72 + SW!AA72 + TEN!AA72 + TEX!AA72</f>
        <v>2540.2206057399999</v>
      </c>
      <c r="AB72" s="7">
        <f xml:space="preserve"> 0 + CAL!AB72 + CAR!AB72 + CENT!AB72 + FLA!AB72 + MIDA!AB72 + MIDW!AB72 + NE!AB72 + NY!AB72 + NW!AB72 + SE!AB72 + SW!AB72 + TEN!AB72 + TEX!AB72</f>
        <v>2297.2577944599998</v>
      </c>
      <c r="AC72" s="7">
        <f xml:space="preserve"> 0 + CAL!AC72 + CAR!AC72 + CENT!AC72 + FLA!AC72 + MIDA!AC72 + MIDW!AC72 + NE!AC72 + NY!AC72 + NW!AC72 + SE!AC72 + SW!AC72 + TEN!AC72 + TEX!AC72</f>
        <v>2074.6562886100005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197.17522998999999</v>
      </c>
      <c r="D73" s="7">
        <f xml:space="preserve"> 0 + CAL!D73 + CAR!D73 + CENT!D73 + FLA!D73 + MIDA!D73 + MIDW!D73 + NE!D73 + NY!D73 + NW!D73 + SE!D73 + SW!D73 + TEN!D73 + TEX!D73</f>
        <v>338.35643801000003</v>
      </c>
      <c r="E73" s="7">
        <f xml:space="preserve"> 0 + CAL!E73 + CAR!E73 + CENT!E73 + FLA!E73 + MIDA!E73 + MIDW!E73 + NE!E73 + NY!E73 + NW!E73 + SE!E73 + SW!E73 + TEN!E73 + TEX!E73</f>
        <v>667.50804145000006</v>
      </c>
      <c r="F73" s="7">
        <f xml:space="preserve"> 0 + CAL!F73 + CAR!F73 + CENT!F73 + FLA!F73 + MIDA!F73 + MIDW!F73 + NE!F73 + NY!F73 + NW!F73 + SE!F73 + SW!F73 + TEN!F73 + TEX!F73</f>
        <v>912.0003317799999</v>
      </c>
      <c r="G73" s="7">
        <f xml:space="preserve"> 0 + CAL!G73 + CAR!G73 + CENT!G73 + FLA!G73 + MIDA!G73 + MIDW!G73 + NE!G73 + NY!G73 + NW!G73 + SE!G73 + SW!G73 + TEN!G73 + TEX!G73</f>
        <v>1169.4333808599999</v>
      </c>
      <c r="H73" s="7">
        <f xml:space="preserve"> 0 + CAL!H73 + CAR!H73 + CENT!H73 + FLA!H73 + MIDA!H73 + MIDW!H73 + NE!H73 + NY!H73 + NW!H73 + SE!H73 + SW!H73 + TEN!H73 + TEX!H73</f>
        <v>469.98056782999998</v>
      </c>
      <c r="I73" s="7">
        <f xml:space="preserve"> 0 + CAL!I73 + CAR!I73 + CENT!I73 + FLA!I73 + MIDA!I73 + MIDW!I73 + NE!I73 + NY!I73 + NW!I73 + SE!I73 + SW!I73 + TEN!I73 + TEX!I73</f>
        <v>352.46964589999993</v>
      </c>
      <c r="J73" s="7">
        <f xml:space="preserve"> 0 + CAL!J73 + CAR!J73 + CENT!J73 + FLA!J73 + MIDA!J73 + MIDW!J73 + NE!J73 + NY!J73 + NW!J73 + SE!J73 + SW!J73 + TEN!J73 + TEX!J73</f>
        <v>1929.9794758600001</v>
      </c>
      <c r="K73" s="7">
        <f xml:space="preserve"> 0 + CAL!K73 + CAR!K73 + CENT!K73 + FLA!K73 + MIDA!K73 + MIDW!K73 + NE!K73 + NY!K73 + NW!K73 + SE!K73 + SW!K73 + TEN!K73 + TEX!K73</f>
        <v>2818.22827998</v>
      </c>
      <c r="L73" s="7">
        <f xml:space="preserve"> 0 + CAL!L73 + CAR!L73 + CENT!L73 + FLA!L73 + MIDA!L73 + MIDW!L73 + NE!L73 + NY!L73 + NW!L73 + SE!L73 + SW!L73 + TEN!L73 + TEX!L73</f>
        <v>2148.9764058699998</v>
      </c>
      <c r="M73" s="7">
        <f xml:space="preserve"> 0 + CAL!M73 + CAR!M73 + CENT!M73 + FLA!M73 + MIDA!M73 + MIDW!M73 + NE!M73 + NY!M73 + NW!M73 + SE!M73 + SW!M73 + TEN!M73 + TEX!M73</f>
        <v>2050.0717723799999</v>
      </c>
      <c r="N73" s="7">
        <f xml:space="preserve"> 0 + CAL!N73 + CAR!N73 + CENT!N73 + FLA!N73 + MIDA!N73 + MIDW!N73 + NE!N73 + NY!N73 + NW!N73 + SE!N73 + SW!N73 + TEN!N73 + TEX!N73</f>
        <v>2117.76928013</v>
      </c>
      <c r="O73" s="7">
        <f xml:space="preserve"> 0 + CAL!O73 + CAR!O73 + CENT!O73 + FLA!O73 + MIDA!O73 + MIDW!O73 + NE!O73 + NY!O73 + NW!O73 + SE!O73 + SW!O73 + TEN!O73 + TEX!O73</f>
        <v>1889.48286676</v>
      </c>
      <c r="P73" s="7">
        <f xml:space="preserve"> 0 + CAL!P73 + CAR!P73 + CENT!P73 + FLA!P73 + MIDA!P73 + MIDW!P73 + NE!P73 + NY!P73 + NW!P73 + SE!P73 + SW!P73 + TEN!P73 + TEX!P73</f>
        <v>1837.1651310799998</v>
      </c>
      <c r="Q73" s="7">
        <f xml:space="preserve"> 0 + CAL!Q73 + CAR!Q73 + CENT!Q73 + FLA!Q73 + MIDA!Q73 + MIDW!Q73 + NE!Q73 + NY!Q73 + NW!Q73 + SE!Q73 + SW!Q73 + TEN!Q73 + TEX!Q73</f>
        <v>2471.3411689199993</v>
      </c>
      <c r="R73" s="7">
        <f xml:space="preserve"> 0 + CAL!R73 + CAR!R73 + CENT!R73 + FLA!R73 + MIDA!R73 + MIDW!R73 + NE!R73 + NY!R73 + NW!R73 + SE!R73 + SW!R73 + TEN!R73 + TEX!R73</f>
        <v>2230.2687203300002</v>
      </c>
      <c r="S73" s="7">
        <f xml:space="preserve"> 0 + CAL!S73 + CAR!S73 + CENT!S73 + FLA!S73 + MIDA!S73 + MIDW!S73 + NE!S73 + NY!S73 + NW!S73 + SE!S73 + SW!S73 + TEN!S73 + TEX!S73</f>
        <v>1973.2283514800001</v>
      </c>
      <c r="T73" s="7">
        <f xml:space="preserve"> 0 + CAL!T73 + CAR!T73 + CENT!T73 + FLA!T73 + MIDA!T73 + MIDW!T73 + NE!T73 + NY!T73 + NW!T73 + SE!T73 + SW!T73 + TEN!T73 + TEX!T73</f>
        <v>1744.3102279700001</v>
      </c>
      <c r="U73" s="7">
        <f xml:space="preserve"> 0 + CAL!U73 + CAR!U73 + CENT!U73 + FLA!U73 + MIDA!U73 + MIDW!U73 + NE!U73 + NY!U73 + NW!U73 + SE!U73 + SW!U73 + TEN!U73 + TEX!U73</f>
        <v>1464.9289335100002</v>
      </c>
      <c r="V73" s="7">
        <f xml:space="preserve"> 0 + CAL!V73 + CAR!V73 + CENT!V73 + FLA!V73 + MIDA!V73 + MIDW!V73 + NE!V73 + NY!V73 + NW!V73 + SE!V73 + SW!V73 + TEN!V73 + TEX!V73</f>
        <v>1228.4096911600002</v>
      </c>
      <c r="W73" s="7">
        <f xml:space="preserve"> 0 + CAL!W73 + CAR!W73 + CENT!W73 + FLA!W73 + MIDA!W73 + MIDW!W73 + NE!W73 + NY!W73 + NW!W73 + SE!W73 + SW!W73 + TEN!W73 + TEX!W73</f>
        <v>1082.9007506999999</v>
      </c>
      <c r="X73" s="7">
        <f xml:space="preserve"> 0 + CAL!X73 + CAR!X73 + CENT!X73 + FLA!X73 + MIDA!X73 + MIDW!X73 + NE!X73 + NY!X73 + NW!X73 + SE!X73 + SW!X73 + TEN!X73 + TEX!X73</f>
        <v>985.08520250000015</v>
      </c>
      <c r="Y73" s="7">
        <f xml:space="preserve"> 0 + CAL!Y73 + CAR!Y73 + CENT!Y73 + FLA!Y73 + MIDA!Y73 + MIDW!Y73 + NE!Y73 + NY!Y73 + NW!Y73 + SE!Y73 + SW!Y73 + TEN!Y73 + TEX!Y73</f>
        <v>856.66761570000006</v>
      </c>
      <c r="Z73" s="7">
        <f xml:space="preserve"> 0 + CAL!Z73 + CAR!Z73 + CENT!Z73 + FLA!Z73 + MIDA!Z73 + MIDW!Z73 + NE!Z73 + NY!Z73 + NW!Z73 + SE!Z73 + SW!Z73 + TEN!Z73 + TEX!Z73</f>
        <v>763.43117000999996</v>
      </c>
      <c r="AA73" s="7">
        <f xml:space="preserve"> 0 + CAL!AA73 + CAR!AA73 + CENT!AA73 + FLA!AA73 + MIDA!AA73 + MIDW!AA73 + NE!AA73 + NY!AA73 + NW!AA73 + SE!AA73 + SW!AA73 + TEN!AA73 + TEX!AA73</f>
        <v>767.67237663999992</v>
      </c>
      <c r="AB73" s="7">
        <f xml:space="preserve"> 0 + CAL!AB73 + CAR!AB73 + CENT!AB73 + FLA!AB73 + MIDA!AB73 + MIDW!AB73 + NE!AB73 + NY!AB73 + NW!AB73 + SE!AB73 + SW!AB73 + TEN!AB73 + TEX!AB73</f>
        <v>694.76857767000001</v>
      </c>
      <c r="AC73" s="7">
        <f xml:space="preserve"> 0 + CAL!AC73 + CAR!AC73 + CENT!AC73 + FLA!AC73 + MIDA!AC73 + MIDW!AC73 + NE!AC73 + NY!AC73 + NW!AC73 + SE!AC73 + SW!AC73 + TEN!AC73 + TEX!AC73</f>
        <v>642.22947170999998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197.17522998999999</v>
      </c>
      <c r="D74" s="7">
        <f xml:space="preserve"> 0 + CAL!D74 + CAR!D74 + CENT!D74 + FLA!D74 + MIDA!D74 + MIDW!D74 + NE!D74 + NY!D74 + NW!D74 + SE!D74 + SW!D74 + TEN!D74 + TEX!D74</f>
        <v>338.35643801000003</v>
      </c>
      <c r="E74" s="7">
        <f xml:space="preserve"> 0 + CAL!E74 + CAR!E74 + CENT!E74 + FLA!E74 + MIDA!E74 + MIDW!E74 + NE!E74 + NY!E74 + NW!E74 + SE!E74 + SW!E74 + TEN!E74 + TEX!E74</f>
        <v>667.50804145000006</v>
      </c>
      <c r="F74" s="7">
        <f xml:space="preserve"> 0 + CAL!F74 + CAR!F74 + CENT!F74 + FLA!F74 + MIDA!F74 + MIDW!F74 + NE!F74 + NY!F74 + NW!F74 + SE!F74 + SW!F74 + TEN!F74 + TEX!F74</f>
        <v>912.0003317799999</v>
      </c>
      <c r="G74" s="7">
        <f xml:space="preserve"> 0 + CAL!G74 + CAR!G74 + CENT!G74 + FLA!G74 + MIDA!G74 + MIDW!G74 + NE!G74 + NY!G74 + NW!G74 + SE!G74 + SW!G74 + TEN!G74 + TEX!G74</f>
        <v>1169.4333808599999</v>
      </c>
      <c r="H74" s="7">
        <f xml:space="preserve"> 0 + CAL!H74 + CAR!H74 + CENT!H74 + FLA!H74 + MIDA!H74 + MIDW!H74 + NE!H74 + NY!H74 + NW!H74 + SE!H74 + SW!H74 + TEN!H74 + TEX!H74</f>
        <v>469.98056782999998</v>
      </c>
      <c r="I74" s="7">
        <f xml:space="preserve"> 0 + CAL!I74 + CAR!I74 + CENT!I74 + FLA!I74 + MIDA!I74 + MIDW!I74 + NE!I74 + NY!I74 + NW!I74 + SE!I74 + SW!I74 + TEN!I74 + TEX!I74</f>
        <v>352.46964589999993</v>
      </c>
      <c r="J74" s="7">
        <f xml:space="preserve"> 0 + CAL!J74 + CAR!J74 + CENT!J74 + FLA!J74 + MIDA!J74 + MIDW!J74 + NE!J74 + NY!J74 + NW!J74 + SE!J74 + SW!J74 + TEN!J74 + TEX!J74</f>
        <v>1929.9794758600001</v>
      </c>
      <c r="K74" s="7">
        <f xml:space="preserve"> 0 + CAL!K74 + CAR!K74 + CENT!K74 + FLA!K74 + MIDA!K74 + MIDW!K74 + NE!K74 + NY!K74 + NW!K74 + SE!K74 + SW!K74 + TEN!K74 + TEX!K74</f>
        <v>2818.22827998</v>
      </c>
      <c r="L74" s="7">
        <f xml:space="preserve"> 0 + CAL!L74 + CAR!L74 + CENT!L74 + FLA!L74 + MIDA!L74 + MIDW!L74 + NE!L74 + NY!L74 + NW!L74 + SE!L74 + SW!L74 + TEN!L74 + TEX!L74</f>
        <v>2148.9764058699998</v>
      </c>
      <c r="M74" s="7">
        <f xml:space="preserve"> 0 + CAL!M74 + CAR!M74 + CENT!M74 + FLA!M74 + MIDA!M74 + MIDW!M74 + NE!M74 + NY!M74 + NW!M74 + SE!M74 + SW!M74 + TEN!M74 + TEX!M74</f>
        <v>2050.0717723799999</v>
      </c>
      <c r="N74" s="7">
        <f xml:space="preserve"> 0 + CAL!N74 + CAR!N74 + CENT!N74 + FLA!N74 + MIDA!N74 + MIDW!N74 + NE!N74 + NY!N74 + NW!N74 + SE!N74 + SW!N74 + TEN!N74 + TEX!N74</f>
        <v>2117.76928013</v>
      </c>
      <c r="O74" s="7">
        <f xml:space="preserve"> 0 + CAL!O74 + CAR!O74 + CENT!O74 + FLA!O74 + MIDA!O74 + MIDW!O74 + NE!O74 + NY!O74 + NW!O74 + SE!O74 + SW!O74 + TEN!O74 + TEX!O74</f>
        <v>1889.48286676</v>
      </c>
      <c r="P74" s="7">
        <f xml:space="preserve"> 0 + CAL!P74 + CAR!P74 + CENT!P74 + FLA!P74 + MIDA!P74 + MIDW!P74 + NE!P74 + NY!P74 + NW!P74 + SE!P74 + SW!P74 + TEN!P74 + TEX!P74</f>
        <v>1837.1651310799998</v>
      </c>
      <c r="Q74" s="7">
        <f xml:space="preserve"> 0 + CAL!Q74 + CAR!Q74 + CENT!Q74 + FLA!Q74 + MIDA!Q74 + MIDW!Q74 + NE!Q74 + NY!Q74 + NW!Q74 + SE!Q74 + SW!Q74 + TEN!Q74 + TEX!Q74</f>
        <v>2471.3411689199993</v>
      </c>
      <c r="R74" s="7">
        <f xml:space="preserve"> 0 + CAL!R74 + CAR!R74 + CENT!R74 + FLA!R74 + MIDA!R74 + MIDW!R74 + NE!R74 + NY!R74 + NW!R74 + SE!R74 + SW!R74 + TEN!R74 + TEX!R74</f>
        <v>2230.2687203300002</v>
      </c>
      <c r="S74" s="7">
        <f xml:space="preserve"> 0 + CAL!S74 + CAR!S74 + CENT!S74 + FLA!S74 + MIDA!S74 + MIDW!S74 + NE!S74 + NY!S74 + NW!S74 + SE!S74 + SW!S74 + TEN!S74 + TEX!S74</f>
        <v>1973.2283514800001</v>
      </c>
      <c r="T74" s="7">
        <f xml:space="preserve"> 0 + CAL!T74 + CAR!T74 + CENT!T74 + FLA!T74 + MIDA!T74 + MIDW!T74 + NE!T74 + NY!T74 + NW!T74 + SE!T74 + SW!T74 + TEN!T74 + TEX!T74</f>
        <v>1744.3102279700001</v>
      </c>
      <c r="U74" s="7">
        <f xml:space="preserve"> 0 + CAL!U74 + CAR!U74 + CENT!U74 + FLA!U74 + MIDA!U74 + MIDW!U74 + NE!U74 + NY!U74 + NW!U74 + SE!U74 + SW!U74 + TEN!U74 + TEX!U74</f>
        <v>1464.9289335100002</v>
      </c>
      <c r="V74" s="7">
        <f xml:space="preserve"> 0 + CAL!V74 + CAR!V74 + CENT!V74 + FLA!V74 + MIDA!V74 + MIDW!V74 + NE!V74 + NY!V74 + NW!V74 + SE!V74 + SW!V74 + TEN!V74 + TEX!V74</f>
        <v>1228.4096911600002</v>
      </c>
      <c r="W74" s="7">
        <f xml:space="preserve"> 0 + CAL!W74 + CAR!W74 + CENT!W74 + FLA!W74 + MIDA!W74 + MIDW!W74 + NE!W74 + NY!W74 + NW!W74 + SE!W74 + SW!W74 + TEN!W74 + TEX!W74</f>
        <v>1082.9007506999999</v>
      </c>
      <c r="X74" s="7">
        <f xml:space="preserve"> 0 + CAL!X74 + CAR!X74 + CENT!X74 + FLA!X74 + MIDA!X74 + MIDW!X74 + NE!X74 + NY!X74 + NW!X74 + SE!X74 + SW!X74 + TEN!X74 + TEX!X74</f>
        <v>985.08520250000015</v>
      </c>
      <c r="Y74" s="7">
        <f xml:space="preserve"> 0 + CAL!Y74 + CAR!Y74 + CENT!Y74 + FLA!Y74 + MIDA!Y74 + MIDW!Y74 + NE!Y74 + NY!Y74 + NW!Y74 + SE!Y74 + SW!Y74 + TEN!Y74 + TEX!Y74</f>
        <v>856.66761570000006</v>
      </c>
      <c r="Z74" s="7">
        <f xml:space="preserve"> 0 + CAL!Z74 + CAR!Z74 + CENT!Z74 + FLA!Z74 + MIDA!Z74 + MIDW!Z74 + NE!Z74 + NY!Z74 + NW!Z74 + SE!Z74 + SW!Z74 + TEN!Z74 + TEX!Z74</f>
        <v>763.43117000999996</v>
      </c>
      <c r="AA74" s="7">
        <f xml:space="preserve"> 0 + CAL!AA74 + CAR!AA74 + CENT!AA74 + FLA!AA74 + MIDA!AA74 + MIDW!AA74 + NE!AA74 + NY!AA74 + NW!AA74 + SE!AA74 + SW!AA74 + TEN!AA74 + TEX!AA74</f>
        <v>767.67237663999992</v>
      </c>
      <c r="AB74" s="7">
        <f xml:space="preserve"> 0 + CAL!AB74 + CAR!AB74 + CENT!AB74 + FLA!AB74 + MIDA!AB74 + MIDW!AB74 + NE!AB74 + NY!AB74 + NW!AB74 + SE!AB74 + SW!AB74 + TEN!AB74 + TEX!AB74</f>
        <v>694.76857767000001</v>
      </c>
      <c r="AC74" s="7">
        <f xml:space="preserve"> 0 + CAL!AC74 + CAR!AC74 + CENT!AC74 + FLA!AC74 + MIDA!AC74 + MIDW!AC74 + NE!AC74 + NY!AC74 + NW!AC74 + SE!AC74 + SW!AC74 + TEN!AC74 + TEX!AC74</f>
        <v>642.22947170999998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209.45621742999998</v>
      </c>
      <c r="D75" s="7">
        <f xml:space="preserve"> 0 + CAL!D75 + CAR!D75 + CENT!D75 + FLA!D75 + MIDA!D75 + MIDW!D75 + NE!D75 + NY!D75 + NW!D75 + SE!D75 + SW!D75 + TEN!D75 + TEX!D75</f>
        <v>547.93633961000012</v>
      </c>
      <c r="E75" s="7">
        <f xml:space="preserve"> 0 + CAL!E75 + CAR!E75 + CENT!E75 + FLA!E75 + MIDA!E75 + MIDW!E75 + NE!E75 + NY!E75 + NW!E75 + SE!E75 + SW!E75 + TEN!E75 + TEX!E75</f>
        <v>1164.2457947600001</v>
      </c>
      <c r="F75" s="7">
        <f xml:space="preserve"> 0 + CAL!F75 + CAR!F75 + CENT!F75 + FLA!F75 + MIDA!F75 + MIDW!F75 + NE!F75 + NY!F75 + NW!F75 + SE!F75 + SW!F75 + TEN!F75 + TEX!F75</f>
        <v>1856.9431337400001</v>
      </c>
      <c r="G75" s="7">
        <f xml:space="preserve"> 0 + CAL!G75 + CAR!G75 + CENT!G75 + FLA!G75 + MIDA!G75 + MIDW!G75 + NE!G75 + NY!G75 + NW!G75 + SE!G75 + SW!G75 + TEN!G75 + TEX!G75</f>
        <v>2582.2974299399998</v>
      </c>
      <c r="H75" s="7">
        <f xml:space="preserve"> 0 + CAL!H75 + CAR!H75 + CENT!H75 + FLA!H75 + MIDA!H75 + MIDW!H75 + NE!H75 + NY!H75 + NW!H75 + SE!H75 + SW!H75 + TEN!H75 + TEX!H75</f>
        <v>2490.6185949400001</v>
      </c>
      <c r="I75" s="7">
        <f xml:space="preserve"> 0 + CAL!I75 + CAR!I75 + CENT!I75 + FLA!I75 + MIDA!I75 + MIDW!I75 + NE!I75 + NY!I75 + NW!I75 + SE!I75 + SW!I75 + TEN!I75 + TEX!I75</f>
        <v>2352.2902990900002</v>
      </c>
      <c r="J75" s="7">
        <f xml:space="preserve"> 0 + CAL!J75 + CAR!J75 + CENT!J75 + FLA!J75 + MIDA!J75 + MIDW!J75 + NE!J75 + NY!J75 + NW!J75 + SE!J75 + SW!J75 + TEN!J75 + TEX!J75</f>
        <v>2822.3694671099997</v>
      </c>
      <c r="K75" s="7">
        <f xml:space="preserve"> 0 + CAL!K75 + CAR!K75 + CENT!K75 + FLA!K75 + MIDA!K75 + MIDW!K75 + NE!K75 + NY!K75 + NW!K75 + SE!K75 + SW!K75 + TEN!K75 + TEX!K75</f>
        <v>3274.5682039100002</v>
      </c>
      <c r="L75" s="7">
        <f xml:space="preserve"> 0 + CAL!L75 + CAR!L75 + CENT!L75 + FLA!L75 + MIDA!L75 + MIDW!L75 + NE!L75 + NY!L75 + NW!L75 + SE!L75 + SW!L75 + TEN!L75 + TEX!L75</f>
        <v>2952.7769066299998</v>
      </c>
      <c r="M75" s="7">
        <f xml:space="preserve"> 0 + CAL!M75 + CAR!M75 + CENT!M75 + FLA!M75 + MIDA!M75 + MIDW!M75 + NE!M75 + NY!M75 + NW!M75 + SE!M75 + SW!M75 + TEN!M75 + TEX!M75</f>
        <v>2661.3276249499995</v>
      </c>
      <c r="N75" s="7">
        <f xml:space="preserve"> 0 + CAL!N75 + CAR!N75 + CENT!N75 + FLA!N75 + MIDA!N75 + MIDW!N75 + NE!N75 + NY!N75 + NW!N75 + SE!N75 + SW!N75 + TEN!N75 + TEX!N75</f>
        <v>2399.0887329699999</v>
      </c>
      <c r="O75" s="7">
        <f xml:space="preserve"> 0 + CAL!O75 + CAR!O75 + CENT!O75 + FLA!O75 + MIDA!O75 + MIDW!O75 + NE!O75 + NY!O75 + NW!O75 + SE!O75 + SW!O75 + TEN!O75 + TEX!O75</f>
        <v>2166.43890814</v>
      </c>
      <c r="P75" s="7">
        <f xml:space="preserve"> 0 + CAL!P75 + CAR!P75 + CENT!P75 + FLA!P75 + MIDA!P75 + MIDW!P75 + NE!P75 + NY!P75 + NW!P75 + SE!P75 + SW!P75 + TEN!P75 + TEX!P75</f>
        <v>1954.5621363800001</v>
      </c>
      <c r="Q75" s="7">
        <f xml:space="preserve"> 0 + CAL!Q75 + CAR!Q75 + CENT!Q75 + FLA!Q75 + MIDA!Q75 + MIDW!Q75 + NE!Q75 + NY!Q75 + NW!Q75 + SE!Q75 + SW!Q75 + TEN!Q75 + TEX!Q75</f>
        <v>1763.8451952400001</v>
      </c>
      <c r="R75" s="7">
        <f xml:space="preserve"> 0 + CAL!R75 + CAR!R75 + CENT!R75 + FLA!R75 + MIDA!R75 + MIDW!R75 + NE!R75 + NY!R75 + NW!R75 + SE!R75 + SW!R75 + TEN!R75 + TEX!R75</f>
        <v>1594.29693817</v>
      </c>
      <c r="S75" s="7">
        <f xml:space="preserve"> 0 + CAL!S75 + CAR!S75 + CENT!S75 + FLA!S75 + MIDA!S75 + MIDW!S75 + NE!S75 + NY!S75 + NW!S75 + SE!S75 + SW!S75 + TEN!S75 + TEX!S75</f>
        <v>1446.4001220300001</v>
      </c>
      <c r="T75" s="7">
        <f xml:space="preserve"> 0 + CAL!T75 + CAR!T75 + CENT!T75 + FLA!T75 + MIDA!T75 + MIDW!T75 + NE!T75 + NY!T75 + NW!T75 + SE!T75 + SW!T75 + TEN!T75 + TEX!T75</f>
        <v>1305.6747144699998</v>
      </c>
      <c r="U75" s="7">
        <f xml:space="preserve"> 0 + CAL!U75 + CAR!U75 + CENT!U75 + FLA!U75 + MIDA!U75 + MIDW!U75 + NE!U75 + NY!U75 + NW!U75 + SE!U75 + SW!U75 + TEN!U75 + TEX!U75</f>
        <v>1176.0796184599999</v>
      </c>
      <c r="V75" s="7">
        <f xml:space="preserve"> 0 + CAL!V75 + CAR!V75 + CENT!V75 + FLA!V75 + MIDA!V75 + MIDW!V75 + NE!V75 + NY!V75 + NW!V75 + SE!V75 + SW!V75 + TEN!V75 + TEX!V75</f>
        <v>1071.6045018599998</v>
      </c>
      <c r="W75" s="7">
        <f xml:space="preserve"> 0 + CAL!W75 + CAR!W75 + CENT!W75 + FLA!W75 + MIDA!W75 + MIDW!W75 + NE!W75 + NY!W75 + NW!W75 + SE!W75 + SW!W75 + TEN!W75 + TEX!W75</f>
        <v>966.11433244000011</v>
      </c>
      <c r="X75" s="7">
        <f xml:space="preserve"> 0 + CAL!X75 + CAR!X75 + CENT!X75 + FLA!X75 + MIDA!X75 + MIDW!X75 + NE!X75 + NY!X75 + NW!X75 + SE!X75 + SW!X75 + TEN!X75 + TEX!X75</f>
        <v>874.51593520999995</v>
      </c>
      <c r="Y75" s="7">
        <f xml:space="preserve"> 0 + CAL!Y75 + CAR!Y75 + CENT!Y75 + FLA!Y75 + MIDA!Y75 + MIDW!Y75 + NE!Y75 + NY!Y75 + NW!Y75 + SE!Y75 + SW!Y75 + TEN!Y75 + TEX!Y75</f>
        <v>789.06035256999996</v>
      </c>
      <c r="Z75" s="7">
        <f xml:space="preserve"> 0 + CAL!Z75 + CAR!Z75 + CENT!Z75 + FLA!Z75 + MIDA!Z75 + MIDW!Z75 + NE!Z75 + NY!Z75 + NW!Z75 + SE!Z75 + SW!Z75 + TEN!Z75 + TEX!Z75</f>
        <v>726.10955005999995</v>
      </c>
      <c r="AA75" s="7">
        <f xml:space="preserve"> 0 + CAL!AA75 + CAR!AA75 + CENT!AA75 + FLA!AA75 + MIDA!AA75 + MIDW!AA75 + NE!AA75 + NY!AA75 + NW!AA75 + SE!AA75 + SW!AA75 + TEN!AA75 + TEX!AA75</f>
        <v>674.60797409999998</v>
      </c>
      <c r="AB75" s="7">
        <f xml:space="preserve"> 0 + CAL!AB75 + CAR!AB75 + CENT!AB75 + FLA!AB75 + MIDA!AB75 + MIDW!AB75 + NE!AB75 + NY!AB75 + NW!AB75 + SE!AB75 + SW!AB75 + TEN!AB75 + TEX!AB75</f>
        <v>610.08419560000004</v>
      </c>
      <c r="AC75" s="7">
        <f xml:space="preserve"> 0 + CAL!AC75 + CAR!AC75 + CENT!AC75 + FLA!AC75 + MIDA!AC75 + MIDW!AC75 + NE!AC75 + NY!AC75 + NW!AC75 + SE!AC75 + SW!AC75 + TEN!AC75 + TEX!AC75</f>
        <v>550.96797743000002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4.3871500000000003E-3</v>
      </c>
      <c r="D76" s="7">
        <f xml:space="preserve"> 0 + CAL!D76 + CAR!D76 + CENT!D76 + FLA!D76 + MIDA!D76 + MIDW!D76 + NE!D76 + NY!D76 + NW!D76 + SE!D76 + SW!D76 + TEN!D76 + TEX!D76</f>
        <v>7.5284400000000008E-3</v>
      </c>
      <c r="E76" s="7">
        <f xml:space="preserve"> 0 + CAL!E76 + CAR!E76 + CENT!E76 + FLA!E76 + MIDA!E76 + MIDW!E76 + NE!E76 + NY!E76 + NW!E76 + SE!E76 + SW!E76 + TEN!E76 + TEX!E76</f>
        <v>1.4852059999999999E-2</v>
      </c>
      <c r="F76" s="7">
        <f xml:space="preserve"> 0 + CAL!F76 + CAR!F76 + CENT!F76 + FLA!F76 + MIDA!F76 + MIDW!F76 + NE!F76 + NY!F76 + NW!F76 + SE!F76 + SW!F76 + TEN!F76 + TEX!F76</f>
        <v>2.0292020000000001E-2</v>
      </c>
      <c r="G76" s="7">
        <f xml:space="preserve"> 0 + CAL!G76 + CAR!G76 + CENT!G76 + FLA!G76 + MIDA!G76 + MIDW!G76 + NE!G76 + NY!G76 + NW!G76 + SE!G76 + SW!G76 + TEN!G76 + TEX!G76</f>
        <v>2.6019890000000004E-2</v>
      </c>
      <c r="H76" s="7">
        <f xml:space="preserve"> 0 + CAL!H76 + CAR!H76 + CENT!H76 + FLA!H76 + MIDA!H76 + MIDW!H76 + NE!H76 + NY!H76 + NW!H76 + SE!H76 + SW!H76 + TEN!H76 + TEX!H76</f>
        <v>1.0457059999999999E-2</v>
      </c>
      <c r="I76" s="7">
        <f xml:space="preserve"> 0 + CAL!I76 + CAR!I76 + CENT!I76 + FLA!I76 + MIDA!I76 + MIDW!I76 + NE!I76 + NY!I76 + NW!I76 + SE!I76 + SW!I76 + TEN!I76 + TEX!I76</f>
        <v>7.842459999999999E-3</v>
      </c>
      <c r="J76" s="7">
        <f xml:space="preserve"> 0 + CAL!J76 + CAR!J76 + CENT!J76 + FLA!J76 + MIDA!J76 + MIDW!J76 + NE!J76 + NY!J76 + NW!J76 + SE!J76 + SW!J76 + TEN!J76 + TEX!J76</f>
        <v>4.2942040000000001E-2</v>
      </c>
      <c r="K76" s="7">
        <f xml:space="preserve"> 0 + CAL!K76 + CAR!K76 + CENT!K76 + FLA!K76 + MIDA!K76 + MIDW!K76 + NE!K76 + NY!K76 + NW!K76 + SE!K76 + SW!K76 + TEN!K76 + TEX!K76</f>
        <v>6.2705579999999997E-2</v>
      </c>
      <c r="L76" s="7">
        <f xml:space="preserve"> 0 + CAL!L76 + CAR!L76 + CENT!L76 + FLA!L76 + MIDA!L76 + MIDW!L76 + NE!L76 + NY!L76 + NW!L76 + SE!L76 + SW!L76 + TEN!L76 + TEX!L76</f>
        <v>4.7814740000000001E-2</v>
      </c>
      <c r="M76" s="7">
        <f xml:space="preserve"> 0 + CAL!M76 + CAR!M76 + CENT!M76 + FLA!M76 + MIDA!M76 + MIDW!M76 + NE!M76 + NY!M76 + NW!M76 + SE!M76 + SW!M76 + TEN!M76 + TEX!M76</f>
        <v>4.5614100000000005E-2</v>
      </c>
      <c r="N76" s="7">
        <f xml:space="preserve"> 0 + CAL!N76 + CAR!N76 + CENT!N76 + FLA!N76 + MIDA!N76 + MIDW!N76 + NE!N76 + NY!N76 + NW!N76 + SE!N76 + SW!N76 + TEN!N76 + TEX!N76</f>
        <v>4.7120380000000003E-2</v>
      </c>
      <c r="O76" s="7">
        <f xml:space="preserve"> 0 + CAL!O76 + CAR!O76 + CENT!O76 + FLA!O76 + MIDA!O76 + MIDW!O76 + NE!O76 + NY!O76 + NW!O76 + SE!O76 + SW!O76 + TEN!O76 + TEX!O76</f>
        <v>4.204099E-2</v>
      </c>
      <c r="P76" s="7">
        <f xml:space="preserve"> 0 + CAL!P76 + CAR!P76 + CENT!P76 + FLA!P76 + MIDA!P76 + MIDW!P76 + NE!P76 + NY!P76 + NW!P76 + SE!P76 + SW!P76 + TEN!P76 + TEX!P76</f>
        <v>4.0876910000000002E-2</v>
      </c>
      <c r="Q76" s="7">
        <f xml:space="preserve"> 0 + CAL!Q76 + CAR!Q76 + CENT!Q76 + FLA!Q76 + MIDA!Q76 + MIDW!Q76 + NE!Q76 + NY!Q76 + NW!Q76 + SE!Q76 + SW!Q76 + TEN!Q76 + TEX!Q76</f>
        <v>5.4987330000000001E-2</v>
      </c>
      <c r="R76" s="7">
        <f xml:space="preserve"> 0 + CAL!R76 + CAR!R76 + CENT!R76 + FLA!R76 + MIDA!R76 + MIDW!R76 + NE!R76 + NY!R76 + NW!R76 + SE!R76 + SW!R76 + TEN!R76 + TEX!R76</f>
        <v>4.9623489999999999E-2</v>
      </c>
      <c r="S76" s="7">
        <f xml:space="preserve"> 0 + CAL!S76 + CAR!S76 + CENT!S76 + FLA!S76 + MIDA!S76 + MIDW!S76 + NE!S76 + NY!S76 + NW!S76 + SE!S76 + SW!S76 + TEN!S76 + TEX!S76</f>
        <v>4.3904329999999998E-2</v>
      </c>
      <c r="T76" s="7">
        <f xml:space="preserve"> 0 + CAL!T76 + CAR!T76 + CENT!T76 + FLA!T76 + MIDA!T76 + MIDW!T76 + NE!T76 + NY!T76 + NW!T76 + SE!T76 + SW!T76 + TEN!T76 + TEX!T76</f>
        <v>3.8810909999999997E-2</v>
      </c>
      <c r="U76" s="7">
        <f xml:space="preserve"> 0 + CAL!U76 + CAR!U76 + CENT!U76 + FLA!U76 + MIDA!U76 + MIDW!U76 + NE!U76 + NY!U76 + NW!U76 + SE!U76 + SW!U76 + TEN!U76 + TEX!U76</f>
        <v>3.2594659999999998E-2</v>
      </c>
      <c r="V76" s="7">
        <f xml:space="preserve"> 0 + CAL!V76 + CAR!V76 + CENT!V76 + FLA!V76 + MIDA!V76 + MIDW!V76 + NE!V76 + NY!V76 + NW!V76 + SE!V76 + SW!V76 + TEN!V76 + TEX!V76</f>
        <v>2.7332119999999998E-2</v>
      </c>
      <c r="W76" s="7">
        <f xml:space="preserve"> 0 + CAL!W76 + CAR!W76 + CENT!W76 + FLA!W76 + MIDA!W76 + MIDW!W76 + NE!W76 + NY!W76 + NW!W76 + SE!W76 + SW!W76 + TEN!W76 + TEX!W76</f>
        <v>2.4094539999999998E-2</v>
      </c>
      <c r="X76" s="7">
        <f xml:space="preserve"> 0 + CAL!X76 + CAR!X76 + CENT!X76 + FLA!X76 + MIDA!X76 + MIDW!X76 + NE!X76 + NY!X76 + NW!X76 + SE!X76 + SW!X76 + TEN!X76 + TEX!X76</f>
        <v>2.1918139999999996E-2</v>
      </c>
      <c r="Y76" s="7">
        <f xml:space="preserve"> 0 + CAL!Y76 + CAR!Y76 + CENT!Y76 + FLA!Y76 + MIDA!Y76 + MIDW!Y76 + NE!Y76 + NY!Y76 + NW!Y76 + SE!Y76 + SW!Y76 + TEN!Y76 + TEX!Y76</f>
        <v>1.9060859999999999E-2</v>
      </c>
      <c r="Z76" s="7">
        <f xml:space="preserve"> 0 + CAL!Z76 + CAR!Z76 + CENT!Z76 + FLA!Z76 + MIDA!Z76 + MIDW!Z76 + NE!Z76 + NY!Z76 + NW!Z76 + SE!Z76 + SW!Z76 + TEN!Z76 + TEX!Z76</f>
        <v>1.6986329999999997E-2</v>
      </c>
      <c r="AA76" s="7">
        <f xml:space="preserve"> 0 + CAL!AA76 + CAR!AA76 + CENT!AA76 + FLA!AA76 + MIDA!AA76 + MIDW!AA76 + NE!AA76 + NY!AA76 + NW!AA76 + SE!AA76 + SW!AA76 + TEN!AA76 + TEX!AA76</f>
        <v>1.7080709999999999E-2</v>
      </c>
      <c r="AB76" s="7">
        <f xml:space="preserve"> 0 + CAL!AB76 + CAR!AB76 + CENT!AB76 + FLA!AB76 + MIDA!AB76 + MIDW!AB76 + NE!AB76 + NY!AB76 + NW!AB76 + SE!AB76 + SW!AB76 + TEN!AB76 + TEX!AB76</f>
        <v>1.5458589999999998E-2</v>
      </c>
      <c r="AC76" s="7">
        <f xml:space="preserve"> 0 + CAL!AC76 + CAR!AC76 + CENT!AC76 + FLA!AC76 + MIDA!AC76 + MIDW!AC76 + NE!AC76 + NY!AC76 + NW!AC76 + SE!AC76 + SW!AC76 + TEN!AC76 + TEX!AC76</f>
        <v>1.4289610000000001E-2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2.194E-5</v>
      </c>
      <c r="D77" s="7">
        <f xml:space="preserve"> 0 + CAL!D77 + CAR!D77 + CENT!D77 + FLA!D77 + MIDA!D77 + MIDW!D77 + NE!D77 + NY!D77 + NW!D77 + SE!D77 + SW!D77 + TEN!D77 + TEX!D77</f>
        <v>3.7629999999999997E-5</v>
      </c>
      <c r="E77" s="7">
        <f xml:space="preserve"> 0 + CAL!E77 + CAR!E77 + CENT!E77 + FLA!E77 + MIDA!E77 + MIDW!E77 + NE!E77 + NY!E77 + NW!E77 + SE!E77 + SW!E77 + TEN!E77 + TEX!E77</f>
        <v>7.4259999999999997E-5</v>
      </c>
      <c r="F77" s="7">
        <f xml:space="preserve"> 0 + CAL!F77 + CAR!F77 + CENT!F77 + FLA!F77 + MIDA!F77 + MIDW!F77 + NE!F77 + NY!F77 + NW!F77 + SE!F77 + SW!F77 + TEN!F77 + TEX!F77</f>
        <v>1.0147000000000002E-4</v>
      </c>
      <c r="G77" s="7">
        <f xml:space="preserve"> 0 + CAL!G77 + CAR!G77 + CENT!G77 + FLA!G77 + MIDA!G77 + MIDW!G77 + NE!G77 + NY!G77 + NW!G77 + SE!G77 + SW!G77 + TEN!G77 + TEX!G77</f>
        <v>1.3010000000000002E-4</v>
      </c>
      <c r="H77" s="7">
        <f xml:space="preserve"> 0 + CAL!H77 + CAR!H77 + CENT!H77 + FLA!H77 + MIDA!H77 + MIDW!H77 + NE!H77 + NY!H77 + NW!H77 + SE!H77 + SW!H77 + TEN!H77 + TEX!H77</f>
        <v>5.2280000000000001E-5</v>
      </c>
      <c r="I77" s="7">
        <f xml:space="preserve"> 0 + CAL!I77 + CAR!I77 + CENT!I77 + FLA!I77 + MIDA!I77 + MIDW!I77 + NE!I77 + NY!I77 + NW!I77 + SE!I77 + SW!I77 + TEN!I77 + TEX!I77</f>
        <v>3.9209999999999999E-5</v>
      </c>
      <c r="J77" s="7">
        <f xml:space="preserve"> 0 + CAL!J77 + CAR!J77 + CENT!J77 + FLA!J77 + MIDA!J77 + MIDW!J77 + NE!J77 + NY!J77 + NW!J77 + SE!J77 + SW!J77 + TEN!J77 + TEX!J77</f>
        <v>2.1471000000000001E-4</v>
      </c>
      <c r="K77" s="7">
        <f xml:space="preserve"> 0 + CAL!K77 + CAR!K77 + CENT!K77 + FLA!K77 + MIDA!K77 + MIDW!K77 + NE!K77 + NY!K77 + NW!K77 + SE!K77 + SW!K77 + TEN!K77 + TEX!K77</f>
        <v>3.1352000000000002E-4</v>
      </c>
      <c r="L77" s="7">
        <f xml:space="preserve"> 0 + CAL!L77 + CAR!L77 + CENT!L77 + FLA!L77 + MIDA!L77 + MIDW!L77 + NE!L77 + NY!L77 + NW!L77 + SE!L77 + SW!L77 + TEN!L77 + TEX!L77</f>
        <v>2.3908999999999999E-4</v>
      </c>
      <c r="M77" s="7">
        <f xml:space="preserve"> 0 + CAL!M77 + CAR!M77 + CENT!M77 + FLA!M77 + MIDA!M77 + MIDW!M77 + NE!M77 + NY!M77 + NW!M77 + SE!M77 + SW!M77 + TEN!M77 + TEX!M77</f>
        <v>2.2805999999999998E-4</v>
      </c>
      <c r="N77" s="7">
        <f xml:space="preserve"> 0 + CAL!N77 + CAR!N77 + CENT!N77 + FLA!N77 + MIDA!N77 + MIDW!N77 + NE!N77 + NY!N77 + NW!N77 + SE!N77 + SW!N77 + TEN!N77 + TEX!N77</f>
        <v>2.3560000000000001E-4</v>
      </c>
      <c r="O77" s="7">
        <f xml:space="preserve"> 0 + CAL!O77 + CAR!O77 + CENT!O77 + FLA!O77 + MIDA!O77 + MIDW!O77 + NE!O77 + NY!O77 + NW!O77 + SE!O77 + SW!O77 + TEN!O77 + TEX!O77</f>
        <v>2.1020000000000001E-4</v>
      </c>
      <c r="P77" s="7">
        <f xml:space="preserve"> 0 + CAL!P77 + CAR!P77 + CENT!P77 + FLA!P77 + MIDA!P77 + MIDW!P77 + NE!P77 + NY!P77 + NW!P77 + SE!P77 + SW!P77 + TEN!P77 + TEX!P77</f>
        <v>2.0438999999999999E-4</v>
      </c>
      <c r="Q77" s="7">
        <f xml:space="preserve"> 0 + CAL!Q77 + CAR!Q77 + CENT!Q77 + FLA!Q77 + MIDA!Q77 + MIDW!Q77 + NE!Q77 + NY!Q77 + NW!Q77 + SE!Q77 + SW!Q77 + TEN!Q77 + TEX!Q77</f>
        <v>2.7492999999999994E-4</v>
      </c>
      <c r="R77" s="7">
        <f xml:space="preserve"> 0 + CAL!R77 + CAR!R77 + CENT!R77 + FLA!R77 + MIDA!R77 + MIDW!R77 + NE!R77 + NY!R77 + NW!R77 + SE!R77 + SW!R77 + TEN!R77 + TEX!R77</f>
        <v>2.4811000000000001E-4</v>
      </c>
      <c r="S77" s="7">
        <f xml:space="preserve"> 0 + CAL!S77 + CAR!S77 + CENT!S77 + FLA!S77 + MIDA!S77 + MIDW!S77 + NE!S77 + NY!S77 + NW!S77 + SE!S77 + SW!S77 + TEN!S77 + TEX!S77</f>
        <v>2.1952000000000001E-4</v>
      </c>
      <c r="T77" s="7">
        <f xml:space="preserve"> 0 + CAL!T77 + CAR!T77 + CENT!T77 + FLA!T77 + MIDA!T77 + MIDW!T77 + NE!T77 + NY!T77 + NW!T77 + SE!T77 + SW!T77 + TEN!T77 + TEX!T77</f>
        <v>1.9405999999999997E-4</v>
      </c>
      <c r="U77" s="7">
        <f xml:space="preserve"> 0 + CAL!U77 + CAR!U77 + CENT!U77 + FLA!U77 + MIDA!U77 + MIDW!U77 + NE!U77 + NY!U77 + NW!U77 + SE!U77 + SW!U77 + TEN!U77 + TEX!U77</f>
        <v>1.6296000000000003E-4</v>
      </c>
      <c r="V77" s="7">
        <f xml:space="preserve"> 0 + CAL!V77 + CAR!V77 + CENT!V77 + FLA!V77 + MIDA!V77 + MIDW!V77 + NE!V77 + NY!V77 + NW!V77 + SE!V77 + SW!V77 + TEN!V77 + TEX!V77</f>
        <v>1.3665999999999998E-4</v>
      </c>
      <c r="W77" s="7">
        <f xml:space="preserve"> 0 + CAL!W77 + CAR!W77 + CENT!W77 + FLA!W77 + MIDA!W77 + MIDW!W77 + NE!W77 + NY!W77 + NW!W77 + SE!W77 + SW!W77 + TEN!W77 + TEX!W77</f>
        <v>1.2048000000000001E-4</v>
      </c>
      <c r="X77" s="7">
        <f xml:space="preserve"> 0 + CAL!X77 + CAR!X77 + CENT!X77 + FLA!X77 + MIDA!X77 + MIDW!X77 + NE!X77 + NY!X77 + NW!X77 + SE!X77 + SW!X77 + TEN!X77 + TEX!X77</f>
        <v>1.0958E-4</v>
      </c>
      <c r="Y77" s="7">
        <f xml:space="preserve"> 0 + CAL!Y77 + CAR!Y77 + CENT!Y77 + FLA!Y77 + MIDA!Y77 + MIDW!Y77 + NE!Y77 + NY!Y77 + NW!Y77 + SE!Y77 + SW!Y77 + TEN!Y77 + TEX!Y77</f>
        <v>9.5330000000000011E-5</v>
      </c>
      <c r="Z77" s="7">
        <f xml:space="preserve"> 0 + CAL!Z77 + CAR!Z77 + CENT!Z77 + FLA!Z77 + MIDA!Z77 + MIDW!Z77 + NE!Z77 + NY!Z77 + NW!Z77 + SE!Z77 + SW!Z77 + TEN!Z77 + TEX!Z77</f>
        <v>8.4920000000000007E-5</v>
      </c>
      <c r="AA77" s="7">
        <f xml:space="preserve"> 0 + CAL!AA77 + CAR!AA77 + CENT!AA77 + FLA!AA77 + MIDA!AA77 + MIDW!AA77 + NE!AA77 + NY!AA77 + NW!AA77 + SE!AA77 + SW!AA77 + TEN!AA77 + TEX!AA77</f>
        <v>8.5389999999999994E-5</v>
      </c>
      <c r="AB77" s="7">
        <f xml:space="preserve"> 0 + CAL!AB77 + CAR!AB77 + CENT!AB77 + FLA!AB77 + MIDA!AB77 + MIDW!AB77 + NE!AB77 + NY!AB77 + NW!AB77 + SE!AB77 + SW!AB77 + TEN!AB77 + TEX!AB77</f>
        <v>7.7300000000000009E-5</v>
      </c>
      <c r="AC77" s="7">
        <f xml:space="preserve"> 0 + CAL!AC77 + CAR!AC77 + CENT!AC77 + FLA!AC77 + MIDA!AC77 + MIDW!AC77 + NE!AC77 + NY!AC77 + NW!AC77 + SE!AC77 + SW!AC77 + TEN!AC77 + TEX!AC77</f>
        <v>7.1430000000000012E-5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209.45350232000001</v>
      </c>
      <c r="D78" s="7">
        <f xml:space="preserve"> 0 + CAL!D78 + CAR!D78 + CENT!D78 + FLA!D78 + MIDA!D78 + MIDW!D78 + NE!D78 + NY!D78 + NW!D78 + SE!D78 + SW!D78 + TEN!D78 + TEX!D78</f>
        <v>547.93168043000003</v>
      </c>
      <c r="E78" s="7">
        <f xml:space="preserve"> 0 + CAL!E78 + CAR!E78 + CENT!E78 + FLA!E78 + MIDA!E78 + MIDW!E78 + NE!E78 + NY!E78 + NW!E78 + SE!E78 + SW!E78 + TEN!E78 + TEX!E78</f>
        <v>1164.2366031800002</v>
      </c>
      <c r="F78" s="7">
        <f xml:space="preserve"> 0 + CAL!F78 + CAR!F78 + CENT!F78 + FLA!F78 + MIDA!F78 + MIDW!F78 + NE!F78 + NY!F78 + NW!F78 + SE!F78 + SW!F78 + TEN!F78 + TEX!F78</f>
        <v>1856.9305754900001</v>
      </c>
      <c r="G78" s="7">
        <f xml:space="preserve"> 0 + CAL!G78 + CAR!G78 + CENT!G78 + FLA!G78 + MIDA!G78 + MIDW!G78 + NE!G78 + NY!G78 + NW!G78 + SE!G78 + SW!G78 + TEN!G78 + TEX!G78</f>
        <v>2582.28132684</v>
      </c>
      <c r="H78" s="7">
        <f xml:space="preserve"> 0 + CAL!H78 + CAR!H78 + CENT!H78 + FLA!H78 + MIDA!H78 + MIDW!H78 + NE!H78 + NY!H78 + NW!H78 + SE!H78 + SW!H78 + TEN!H78 + TEX!H78</f>
        <v>2490.6121232999999</v>
      </c>
      <c r="I78" s="7">
        <f xml:space="preserve"> 0 + CAL!I78 + CAR!I78 + CENT!I78 + FLA!I78 + MIDA!I78 + MIDW!I78 + NE!I78 + NY!I78 + NW!I78 + SE!I78 + SW!I78 + TEN!I78 + TEX!I78</f>
        <v>2352.2854455900001</v>
      </c>
      <c r="J78" s="7">
        <f xml:space="preserve"> 0 + CAL!J78 + CAR!J78 + CENT!J78 + FLA!J78 + MIDA!J78 + MIDW!J78 + NE!J78 + NY!J78 + NW!J78 + SE!J78 + SW!J78 + TEN!J78 + TEX!J78</f>
        <v>2822.3428912700001</v>
      </c>
      <c r="K78" s="7">
        <f xml:space="preserve"> 0 + CAL!K78 + CAR!K78 + CENT!K78 + FLA!K78 + MIDA!K78 + MIDW!K78 + NE!K78 + NY!K78 + NW!K78 + SE!K78 + SW!K78 + TEN!K78 + TEX!K78</f>
        <v>3274.5293968899996</v>
      </c>
      <c r="L78" s="7">
        <f xml:space="preserve"> 0 + CAL!L78 + CAR!L78 + CENT!L78 + FLA!L78 + MIDA!L78 + MIDW!L78 + NE!L78 + NY!L78 + NW!L78 + SE!L78 + SW!L78 + TEN!L78 + TEX!L78</f>
        <v>2952.7473152399998</v>
      </c>
      <c r="M78" s="7">
        <f xml:space="preserve"> 0 + CAL!M78 + CAR!M78 + CENT!M78 + FLA!M78 + MIDA!M78 + MIDW!M78 + NE!M78 + NY!M78 + NW!M78 + SE!M78 + SW!M78 + TEN!M78 + TEX!M78</f>
        <v>2661.2993954399999</v>
      </c>
      <c r="N78" s="7">
        <f xml:space="preserve"> 0 + CAL!N78 + CAR!N78 + CENT!N78 + FLA!N78 + MIDA!N78 + MIDW!N78 + NE!N78 + NY!N78 + NW!N78 + SE!N78 + SW!N78 + TEN!N78 + TEX!N78</f>
        <v>2399.0595712800005</v>
      </c>
      <c r="O78" s="7">
        <f xml:space="preserve"> 0 + CAL!O78 + CAR!O78 + CENT!O78 + FLA!O78 + MIDA!O78 + MIDW!O78 + NE!O78 + NY!O78 + NW!O78 + SE!O78 + SW!O78 + TEN!O78 + TEX!O78</f>
        <v>2166.4128899399998</v>
      </c>
      <c r="P78" s="7">
        <f xml:space="preserve"> 0 + CAL!P78 + CAR!P78 + CENT!P78 + FLA!P78 + MIDA!P78 + MIDW!P78 + NE!P78 + NY!P78 + NW!P78 + SE!P78 + SW!P78 + TEN!P78 + TEX!P78</f>
        <v>1954.53683864</v>
      </c>
      <c r="Q78" s="7">
        <f xml:space="preserve"> 0 + CAL!Q78 + CAR!Q78 + CENT!Q78 + FLA!Q78 + MIDA!Q78 + MIDW!Q78 + NE!Q78 + NY!Q78 + NW!Q78 + SE!Q78 + SW!Q78 + TEN!Q78 + TEX!Q78</f>
        <v>1763.8111648700001</v>
      </c>
      <c r="R78" s="7">
        <f xml:space="preserve"> 0 + CAL!R78 + CAR!R78 + CENT!R78 + FLA!R78 + MIDA!R78 + MIDW!R78 + NE!R78 + NY!R78 + NW!R78 + SE!R78 + SW!R78 + TEN!R78 + TEX!R78</f>
        <v>1594.2662273599999</v>
      </c>
      <c r="S78" s="7">
        <f xml:space="preserve"> 0 + CAL!S78 + CAR!S78 + CENT!S78 + FLA!S78 + MIDA!S78 + MIDW!S78 + NE!S78 + NY!S78 + NW!S78 + SE!S78 + SW!S78 + TEN!S78 + TEX!S78</f>
        <v>1446.3729506999998</v>
      </c>
      <c r="T78" s="7">
        <f xml:space="preserve"> 0 + CAL!T78 + CAR!T78 + CENT!T78 + FLA!T78 + MIDA!T78 + MIDW!T78 + NE!T78 + NY!T78 + NW!T78 + SE!T78 + SW!T78 + TEN!T78 + TEX!T78</f>
        <v>1305.6506953099997</v>
      </c>
      <c r="U78" s="7">
        <f xml:space="preserve"> 0 + CAL!U78 + CAR!U78 + CENT!U78 + FLA!U78 + MIDA!U78 + MIDW!U78 + NE!U78 + NY!U78 + NW!U78 + SE!U78 + SW!U78 + TEN!U78 + TEX!U78</f>
        <v>1176.0594463899999</v>
      </c>
      <c r="V78" s="7">
        <f xml:space="preserve"> 0 + CAL!V78 + CAR!V78 + CENT!V78 + FLA!V78 + MIDA!V78 + MIDW!V78 + NE!V78 + NY!V78 + NW!V78 + SE!V78 + SW!V78 + TEN!V78 + TEX!V78</f>
        <v>1071.5875866599999</v>
      </c>
      <c r="W78" s="7">
        <f xml:space="preserve"> 0 + CAL!W78 + CAR!W78 + CENT!W78 + FLA!W78 + MIDA!W78 + MIDW!W78 + NE!W78 + NY!W78 + NW!W78 + SE!W78 + SW!W78 + TEN!W78 + TEX!W78</f>
        <v>966.09942090000004</v>
      </c>
      <c r="X78" s="7">
        <f xml:space="preserve"> 0 + CAL!X78 + CAR!X78 + CENT!X78 + FLA!X78 + MIDA!X78 + MIDW!X78 + NE!X78 + NY!X78 + NW!X78 + SE!X78 + SW!X78 + TEN!X78 + TEX!X78</f>
        <v>874.50237059000006</v>
      </c>
      <c r="Y78" s="7">
        <f xml:space="preserve"> 0 + CAL!Y78 + CAR!Y78 + CENT!Y78 + FLA!Y78 + MIDA!Y78 + MIDW!Y78 + NE!Y78 + NY!Y78 + NW!Y78 + SE!Y78 + SW!Y78 + TEN!Y78 + TEX!Y78</f>
        <v>789.04855629000008</v>
      </c>
      <c r="Z78" s="7">
        <f xml:space="preserve"> 0 + CAL!Z78 + CAR!Z78 + CENT!Z78 + FLA!Z78 + MIDA!Z78 + MIDW!Z78 + NE!Z78 + NY!Z78 + NW!Z78 + SE!Z78 + SW!Z78 + TEN!Z78 + TEX!Z78</f>
        <v>726.09903761999999</v>
      </c>
      <c r="AA78" s="7">
        <f xml:space="preserve"> 0 + CAL!AA78 + CAR!AA78 + CENT!AA78 + FLA!AA78 + MIDA!AA78 + MIDW!AA78 + NE!AA78 + NY!AA78 + NW!AA78 + SE!AA78 + SW!AA78 + TEN!AA78 + TEX!AA78</f>
        <v>674.59740321999993</v>
      </c>
      <c r="AB78" s="7">
        <f xml:space="preserve"> 0 + CAL!AB78 + CAR!AB78 + CENT!AB78 + FLA!AB78 + MIDA!AB78 + MIDW!AB78 + NE!AB78 + NY!AB78 + NW!AB78 + SE!AB78 + SW!AB78 + TEN!AB78 + TEX!AB78</f>
        <v>610.07462865000002</v>
      </c>
      <c r="AC78" s="7">
        <f xml:space="preserve"> 0 + CAL!AC78 + CAR!AC78 + CENT!AC78 + FLA!AC78 + MIDA!AC78 + MIDW!AC78 + NE!AC78 + NY!AC78 + NW!AC78 + SE!AC78 + SW!AC78 + TEN!AC78 + TEX!AC78</f>
        <v>550.95913390999999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2.7151099999999997E-3</v>
      </c>
      <c r="D79" s="7">
        <f xml:space="preserve"> 0 + CAL!D79 + CAR!D79 + CENT!D79 + FLA!D79 + MIDA!D79 + MIDW!D79 + NE!D79 + NY!D79 + NW!D79 + SE!D79 + SW!D79 + TEN!D79 + TEX!D79</f>
        <v>4.6591700000000007E-3</v>
      </c>
      <c r="E79" s="7">
        <f xml:space="preserve"> 0 + CAL!E79 + CAR!E79 + CENT!E79 + FLA!E79 + MIDA!E79 + MIDW!E79 + NE!E79 + NY!E79 + NW!E79 + SE!E79 + SW!E79 + TEN!E79 + TEX!E79</f>
        <v>9.1915799999999995E-3</v>
      </c>
      <c r="F79" s="7">
        <f xml:space="preserve"> 0 + CAL!F79 + CAR!F79 + CENT!F79 + FLA!F79 + MIDA!F79 + MIDW!F79 + NE!F79 + NY!F79 + NW!F79 + SE!F79 + SW!F79 + TEN!F79 + TEX!F79</f>
        <v>1.2558240000000002E-2</v>
      </c>
      <c r="G79" s="7">
        <f xml:space="preserve"> 0 + CAL!G79 + CAR!G79 + CENT!G79 + FLA!G79 + MIDA!G79 + MIDW!G79 + NE!G79 + NY!G79 + NW!G79 + SE!G79 + SW!G79 + TEN!G79 + TEX!G79</f>
        <v>1.6103100000000002E-2</v>
      </c>
      <c r="H79" s="7">
        <f xml:space="preserve"> 0 + CAL!H79 + CAR!H79 + CENT!H79 + FLA!H79 + MIDA!H79 + MIDW!H79 + NE!H79 + NY!H79 + NW!H79 + SE!H79 + SW!H79 + TEN!H79 + TEX!H79</f>
        <v>6.4716299999999999E-3</v>
      </c>
      <c r="I79" s="7">
        <f xml:space="preserve"> 0 + CAL!I79 + CAR!I79 + CENT!I79 + FLA!I79 + MIDA!I79 + MIDW!I79 + NE!I79 + NY!I79 + NW!I79 + SE!I79 + SW!I79 + TEN!I79 + TEX!I79</f>
        <v>4.8535100000000001E-3</v>
      </c>
      <c r="J79" s="7">
        <f xml:space="preserve"> 0 + CAL!J79 + CAR!J79 + CENT!J79 + FLA!J79 + MIDA!J79 + MIDW!J79 + NE!J79 + NY!J79 + NW!J79 + SE!J79 + SW!J79 + TEN!J79 + TEX!J79</f>
        <v>2.657582E-2</v>
      </c>
      <c r="K79" s="7">
        <f xml:space="preserve"> 0 + CAL!K79 + CAR!K79 + CENT!K79 + FLA!K79 + MIDA!K79 + MIDW!K79 + NE!K79 + NY!K79 + NW!K79 + SE!K79 + SW!K79 + TEN!K79 + TEX!K79</f>
        <v>3.8807000000000001E-2</v>
      </c>
      <c r="L79" s="7">
        <f xml:space="preserve"> 0 + CAL!L79 + CAR!L79 + CENT!L79 + FLA!L79 + MIDA!L79 + MIDW!L79 + NE!L79 + NY!L79 + NW!L79 + SE!L79 + SW!L79 + TEN!L79 + TEX!L79</f>
        <v>2.9591410000000002E-2</v>
      </c>
      <c r="M79" s="7">
        <f xml:space="preserve"> 0 + CAL!M79 + CAR!M79 + CENT!M79 + FLA!M79 + MIDA!M79 + MIDW!M79 + NE!M79 + NY!M79 + NW!M79 + SE!M79 + SW!M79 + TEN!M79 + TEX!M79</f>
        <v>2.8229499999999998E-2</v>
      </c>
      <c r="N79" s="7">
        <f xml:space="preserve"> 0 + CAL!N79 + CAR!N79 + CENT!N79 + FLA!N79 + MIDA!N79 + MIDW!N79 + NE!N79 + NY!N79 + NW!N79 + SE!N79 + SW!N79 + TEN!N79 + TEX!N79</f>
        <v>2.9161690000000001E-2</v>
      </c>
      <c r="O79" s="7">
        <f xml:space="preserve"> 0 + CAL!O79 + CAR!O79 + CENT!O79 + FLA!O79 + MIDA!O79 + MIDW!O79 + NE!O79 + NY!O79 + NW!O79 + SE!O79 + SW!O79 + TEN!O79 + TEX!O79</f>
        <v>2.6018180000000002E-2</v>
      </c>
      <c r="P79" s="7">
        <f xml:space="preserve"> 0 + CAL!P79 + CAR!P79 + CENT!P79 + FLA!P79 + MIDA!P79 + MIDW!P79 + NE!P79 + NY!P79 + NW!P79 + SE!P79 + SW!P79 + TEN!P79 + TEX!P79</f>
        <v>2.5297759999999999E-2</v>
      </c>
      <c r="Q79" s="7">
        <f xml:space="preserve"> 0 + CAL!Q79 + CAR!Q79 + CENT!Q79 + FLA!Q79 + MIDA!Q79 + MIDW!Q79 + NE!Q79 + NY!Q79 + NW!Q79 + SE!Q79 + SW!Q79 + TEN!Q79 + TEX!Q79</f>
        <v>3.4030370000000004E-2</v>
      </c>
      <c r="R79" s="7">
        <f xml:space="preserve"> 0 + CAL!R79 + CAR!R79 + CENT!R79 + FLA!R79 + MIDA!R79 + MIDW!R79 + NE!R79 + NY!R79 + NW!R79 + SE!R79 + SW!R79 + TEN!R79 + TEX!R79</f>
        <v>3.0710790000000002E-2</v>
      </c>
      <c r="S79" s="7">
        <f xml:space="preserve"> 0 + CAL!S79 + CAR!S79 + CENT!S79 + FLA!S79 + MIDA!S79 + MIDW!S79 + NE!S79 + NY!S79 + NW!S79 + SE!S79 + SW!S79 + TEN!S79 + TEX!S79</f>
        <v>2.7171340000000002E-2</v>
      </c>
      <c r="T79" s="7">
        <f xml:space="preserve"> 0 + CAL!T79 + CAR!T79 + CENT!T79 + FLA!T79 + MIDA!T79 + MIDW!T79 + NE!T79 + NY!T79 + NW!T79 + SE!T79 + SW!T79 + TEN!T79 + TEX!T79</f>
        <v>2.4019149999999996E-2</v>
      </c>
      <c r="U79" s="7">
        <f xml:space="preserve"> 0 + CAL!U79 + CAR!U79 + CENT!U79 + FLA!U79 + MIDA!U79 + MIDW!U79 + NE!U79 + NY!U79 + NW!U79 + SE!U79 + SW!U79 + TEN!U79 + TEX!U79</f>
        <v>2.0172069999999997E-2</v>
      </c>
      <c r="V79" s="7">
        <f xml:space="preserve"> 0 + CAL!V79 + CAR!V79 + CENT!V79 + FLA!V79 + MIDA!V79 + MIDW!V79 + NE!V79 + NY!V79 + NW!V79 + SE!V79 + SW!V79 + TEN!V79 + TEX!V79</f>
        <v>1.6915190000000004E-2</v>
      </c>
      <c r="W79" s="7">
        <f xml:space="preserve"> 0 + CAL!W79 + CAR!W79 + CENT!W79 + FLA!W79 + MIDA!W79 + MIDW!W79 + NE!W79 + NY!W79 + NW!W79 + SE!W79 + SW!W79 + TEN!W79 + TEX!W79</f>
        <v>1.4911539999999999E-2</v>
      </c>
      <c r="X79" s="7">
        <f xml:space="preserve"> 0 + CAL!X79 + CAR!X79 + CENT!X79 + FLA!X79 + MIDA!X79 + MIDW!X79 + NE!X79 + NY!X79 + NW!X79 + SE!X79 + SW!X79 + TEN!X79 + TEX!X79</f>
        <v>1.3564619999999999E-2</v>
      </c>
      <c r="Y79" s="7">
        <f xml:space="preserve"> 0 + CAL!Y79 + CAR!Y79 + CENT!Y79 + FLA!Y79 + MIDA!Y79 + MIDW!Y79 + NE!Y79 + NY!Y79 + NW!Y79 + SE!Y79 + SW!Y79 + TEN!Y79 + TEX!Y79</f>
        <v>1.1796310000000001E-2</v>
      </c>
      <c r="Z79" s="7">
        <f xml:space="preserve"> 0 + CAL!Z79 + CAR!Z79 + CENT!Z79 + FLA!Z79 + MIDA!Z79 + MIDW!Z79 + NE!Z79 + NY!Z79 + NW!Z79 + SE!Z79 + SW!Z79 + TEN!Z79 + TEX!Z79</f>
        <v>1.0512449999999998E-2</v>
      </c>
      <c r="AA79" s="7">
        <f xml:space="preserve"> 0 + CAL!AA79 + CAR!AA79 + CENT!AA79 + FLA!AA79 + MIDA!AA79 + MIDW!AA79 + NE!AA79 + NY!AA79 + NW!AA79 + SE!AA79 + SW!AA79 + TEN!AA79 + TEX!AA79</f>
        <v>1.057086E-2</v>
      </c>
      <c r="AB79" s="7">
        <f xml:space="preserve"> 0 + CAL!AB79 + CAR!AB79 + CENT!AB79 + FLA!AB79 + MIDA!AB79 + MIDW!AB79 + NE!AB79 + NY!AB79 + NW!AB79 + SE!AB79 + SW!AB79 + TEN!AB79 + TEX!AB79</f>
        <v>9.5669699999999993E-3</v>
      </c>
      <c r="AC79" s="7">
        <f xml:space="preserve"> 0 + CAL!AC79 + CAR!AC79 + CENT!AC79 + FLA!AC79 + MIDA!AC79 + MIDW!AC79 + NE!AC79 + NY!AC79 + NW!AC79 + SE!AC79 + SW!AC79 + TEN!AC79 + TEX!AC79</f>
        <v>8.8435000000000007E-3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13.944103110000002</v>
      </c>
      <c r="E80" s="7">
        <f xml:space="preserve"> 0 + CAL!E80 + CAR!E80 + CENT!E80 + FLA!E80 + MIDA!E80 + MIDW!E80 + NE!E80 + NY!E80 + NW!E80 + SE!E80 + SW!E80 + TEN!E80 + TEX!E80</f>
        <v>13.889865810000002</v>
      </c>
      <c r="F80" s="7">
        <f xml:space="preserve"> 0 + CAL!F80 + CAR!F80 + CENT!F80 + FLA!F80 + MIDA!F80 + MIDW!F80 + NE!F80 + NY!F80 + NW!F80 + SE!F80 + SW!F80 + TEN!F80 + TEX!F80</f>
        <v>14.214160870000001</v>
      </c>
      <c r="G80" s="7">
        <f xml:space="preserve"> 0 + CAL!G80 + CAR!G80 + CENT!G80 + FLA!G80 + MIDA!G80 + MIDW!G80 + NE!G80 + NY!G80 + NW!G80 + SE!G80 + SW!G80 + TEN!G80 + TEX!G80</f>
        <v>14.141290079999997</v>
      </c>
      <c r="H80" s="7">
        <f xml:space="preserve"> 0 + CAL!H80 + CAR!H80 + CENT!H80 + FLA!H80 + MIDA!H80 + MIDW!H80 + NE!H80 + NY!H80 + NW!H80 + SE!H80 + SW!H80 + TEN!H80 + TEX!H80</f>
        <v>14.30909213</v>
      </c>
      <c r="I80" s="7">
        <f xml:space="preserve"> 0 + CAL!I80 + CAR!I80 + CENT!I80 + FLA!I80 + MIDA!I80 + MIDW!I80 + NE!I80 + NY!I80 + NW!I80 + SE!I80 + SW!I80 + TEN!I80 + TEX!I80</f>
        <v>13.234306370000001</v>
      </c>
      <c r="J80" s="7">
        <f xml:space="preserve"> 0 + CAL!J80 + CAR!J80 + CENT!J80 + FLA!J80 + MIDA!J80 + MIDW!J80 + NE!J80 + NY!J80 + NW!J80 + SE!J80 + SW!J80 + TEN!J80 + TEX!J80</f>
        <v>13.207046349999999</v>
      </c>
      <c r="K80" s="7">
        <f xml:space="preserve"> 0 + CAL!K80 + CAR!K80 + CENT!K80 + FLA!K80 + MIDA!K80 + MIDW!K80 + NE!K80 + NY!K80 + NW!K80 + SE!K80 + SW!K80 + TEN!K80 + TEX!K80</f>
        <v>14.029532930000002</v>
      </c>
      <c r="L80" s="7">
        <f xml:space="preserve"> 0 + CAL!L80 + CAR!L80 + CENT!L80 + FLA!L80 + MIDA!L80 + MIDW!L80 + NE!L80 + NY!L80 + NW!L80 + SE!L80 + SW!L80 + TEN!L80 + TEX!L80</f>
        <v>14.066703500000003</v>
      </c>
      <c r="M80" s="7">
        <f xml:space="preserve"> 0 + CAL!M80 + CAR!M80 + CENT!M80 + FLA!M80 + MIDA!M80 + MIDW!M80 + NE!M80 + NY!M80 + NW!M80 + SE!M80 + SW!M80 + TEN!M80 + TEX!M80</f>
        <v>13.017146589999998</v>
      </c>
      <c r="N80" s="7">
        <f xml:space="preserve"> 0 + CAL!N80 + CAR!N80 + CENT!N80 + FLA!N80 + MIDA!N80 + MIDW!N80 + NE!N80 + NY!N80 + NW!N80 + SE!N80 + SW!N80 + TEN!N80 + TEX!N80</f>
        <v>13.01108732</v>
      </c>
      <c r="O80" s="7">
        <f xml:space="preserve"> 0 + CAL!O80 + CAR!O80 + CENT!O80 + FLA!O80 + MIDA!O80 + MIDW!O80 + NE!O80 + NY!O80 + NW!O80 + SE!O80 + SW!O80 + TEN!O80 + TEX!O80</f>
        <v>13.01071009</v>
      </c>
      <c r="P80" s="7">
        <f xml:space="preserve"> 0 + CAL!P80 + CAR!P80 + CENT!P80 + FLA!P80 + MIDA!P80 + MIDW!P80 + NE!P80 + NY!P80 + NW!P80 + SE!P80 + SW!P80 + TEN!P80 + TEX!P80</f>
        <v>13.019778810000004</v>
      </c>
      <c r="Q80" s="7">
        <f xml:space="preserve"> 0 + CAL!Q80 + CAR!Q80 + CENT!Q80 + FLA!Q80 + MIDA!Q80 + MIDW!Q80 + NE!Q80 + NY!Q80 + NW!Q80 + SE!Q80 + SW!Q80 + TEN!Q80 + TEX!Q80</f>
        <v>13.018631939999999</v>
      </c>
      <c r="R80" s="7">
        <f xml:space="preserve"> 0 + CAL!R80 + CAR!R80 + CENT!R80 + FLA!R80 + MIDA!R80 + MIDW!R80 + NE!R80 + NY!R80 + NW!R80 + SE!R80 + SW!R80 + TEN!R80 + TEX!R80</f>
        <v>13.0099546</v>
      </c>
      <c r="S80" s="7">
        <f xml:space="preserve"> 0 + CAL!S80 + CAR!S80 + CENT!S80 + FLA!S80 + MIDA!S80 + MIDW!S80 + NE!S80 + NY!S80 + NW!S80 + SE!S80 + SW!S80 + TEN!S80 + TEX!S80</f>
        <v>13.02952189</v>
      </c>
      <c r="T80" s="7">
        <f xml:space="preserve"> 0 + CAL!T80 + CAR!T80 + CENT!T80 + FLA!T80 + MIDA!T80 + MIDW!T80 + NE!T80 + NY!T80 + NW!T80 + SE!T80 + SW!T80 + TEN!T80 + TEX!T80</f>
        <v>13.017922779999999</v>
      </c>
      <c r="U80" s="7">
        <f xml:space="preserve"> 0 + CAL!U80 + CAR!U80 + CENT!U80 + FLA!U80 + MIDA!U80 + MIDW!U80 + NE!U80 + NY!U80 + NW!U80 + SE!U80 + SW!U80 + TEN!U80 + TEX!U80</f>
        <v>13.015200480000001</v>
      </c>
      <c r="V80" s="7">
        <f xml:space="preserve"> 0 + CAL!V80 + CAR!V80 + CENT!V80 + FLA!V80 + MIDA!V80 + MIDW!V80 + NE!V80 + NY!V80 + NW!V80 + SE!V80 + SW!V80 + TEN!V80 + TEX!V80</f>
        <v>13.003539339999998</v>
      </c>
      <c r="W80" s="7">
        <f xml:space="preserve"> 0 + CAL!W80 + CAR!W80 + CENT!W80 + FLA!W80 + MIDA!W80 + MIDW!W80 + NE!W80 + NY!W80 + NW!W80 + SE!W80 + SW!W80 + TEN!W80 + TEX!W80</f>
        <v>13.01216408</v>
      </c>
      <c r="X80" s="7">
        <f xml:space="preserve"> 0 + CAL!X80 + CAR!X80 + CENT!X80 + FLA!X80 + MIDA!X80 + MIDW!X80 + NE!X80 + NY!X80 + NW!X80 + SE!X80 + SW!X80 + TEN!X80 + TEX!X80</f>
        <v>13.004058010000001</v>
      </c>
      <c r="Y80" s="7">
        <f xml:space="preserve"> 0 + CAL!Y80 + CAR!Y80 + CENT!Y80 + FLA!Y80 + MIDA!Y80 + MIDW!Y80 + NE!Y80 + NY!Y80 + NW!Y80 + SE!Y80 + SW!Y80 + TEN!Y80 + TEX!Y80</f>
        <v>13.00542469</v>
      </c>
      <c r="Z80" s="7">
        <f xml:space="preserve"> 0 + CAL!Z80 + CAR!Z80 + CENT!Z80 + FLA!Z80 + MIDA!Z80 + MIDW!Z80 + NE!Z80 + NY!Z80 + NW!Z80 + SE!Z80 + SW!Z80 + TEN!Z80 + TEX!Z80</f>
        <v>13.00457025</v>
      </c>
      <c r="AA80" s="7">
        <f xml:space="preserve"> 0 + CAL!AA80 + CAR!AA80 + CENT!AA80 + FLA!AA80 + MIDA!AA80 + MIDW!AA80 + NE!AA80 + NY!AA80 + NW!AA80 + SE!AA80 + SW!AA80 + TEN!AA80 + TEX!AA80</f>
        <v>13.0235884</v>
      </c>
      <c r="AB80" s="7">
        <f xml:space="preserve"> 0 + CAL!AB80 + CAR!AB80 + CENT!AB80 + FLA!AB80 + MIDA!AB80 + MIDW!AB80 + NE!AB80 + NY!AB80 + NW!AB80 + SE!AB80 + SW!AB80 + TEN!AB80 + TEX!AB80</f>
        <v>13.032704579999999</v>
      </c>
      <c r="AC80" s="7">
        <f xml:space="preserve"> 0 + CAL!AC80 + CAR!AC80 + CENT!AC80 + FLA!AC80 + MIDA!AC80 + MIDW!AC80 + NE!AC80 + NY!AC80 + NW!AC80 + SE!AC80 + SW!AC80 + TEN!AC80 + TEX!AC80</f>
        <v>13.006077750000001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13.944103110000002</v>
      </c>
      <c r="D81" s="7">
        <f xml:space="preserve"> 0 + CAL!D81 + CAR!D81 + CENT!D81 + FLA!D81 + MIDA!D81 + MIDW!D81 + NE!D81 + NY!D81 + NW!D81 + SE!D81 + SW!D81 + TEN!D81 + TEX!D81</f>
        <v>13.889865810000002</v>
      </c>
      <c r="E81" s="7">
        <f xml:space="preserve"> 0 + CAL!E81 + CAR!E81 + CENT!E81 + FLA!E81 + MIDA!E81 + MIDW!E81 + NE!E81 + NY!E81 + NW!E81 + SE!E81 + SW!E81 + TEN!E81 + TEX!E81</f>
        <v>14.214160870000001</v>
      </c>
      <c r="F81" s="7">
        <f xml:space="preserve"> 0 + CAL!F81 + CAR!F81 + CENT!F81 + FLA!F81 + MIDA!F81 + MIDW!F81 + NE!F81 + NY!F81 + NW!F81 + SE!F81 + SW!F81 + TEN!F81 + TEX!F81</f>
        <v>14.141290079999997</v>
      </c>
      <c r="G81" s="7">
        <f xml:space="preserve"> 0 + CAL!G81 + CAR!G81 + CENT!G81 + FLA!G81 + MIDA!G81 + MIDW!G81 + NE!G81 + NY!G81 + NW!G81 + SE!G81 + SW!G81 + TEN!G81 + TEX!G81</f>
        <v>14.30909213</v>
      </c>
      <c r="H81" s="7">
        <f xml:space="preserve"> 0 + CAL!H81 + CAR!H81 + CENT!H81 + FLA!H81 + MIDA!H81 + MIDW!H81 + NE!H81 + NY!H81 + NW!H81 + SE!H81 + SW!H81 + TEN!H81 + TEX!H81</f>
        <v>13.234306370000001</v>
      </c>
      <c r="I81" s="7">
        <f xml:space="preserve"> 0 + CAL!I81 + CAR!I81 + CENT!I81 + FLA!I81 + MIDA!I81 + MIDW!I81 + NE!I81 + NY!I81 + NW!I81 + SE!I81 + SW!I81 + TEN!I81 + TEX!I81</f>
        <v>13.207046349999999</v>
      </c>
      <c r="J81" s="7">
        <f xml:space="preserve"> 0 + CAL!J81 + CAR!J81 + CENT!J81 + FLA!J81 + MIDA!J81 + MIDW!J81 + NE!J81 + NY!J81 + NW!J81 + SE!J81 + SW!J81 + TEN!J81 + TEX!J81</f>
        <v>14.029542930000002</v>
      </c>
      <c r="K81" s="7">
        <f xml:space="preserve"> 0 + CAL!K81 + CAR!K81 + CENT!K81 + FLA!K81 + MIDA!K81 + MIDW!K81 + NE!K81 + NY!K81 + NW!K81 + SE!K81 + SW!K81 + TEN!K81 + TEX!K81</f>
        <v>14.066707950000001</v>
      </c>
      <c r="L81" s="7">
        <f xml:space="preserve"> 0 + CAL!L81 + CAR!L81 + CENT!L81 + FLA!L81 + MIDA!L81 + MIDW!L81 + NE!L81 + NY!L81 + NW!L81 + SE!L81 + SW!L81 + TEN!L81 + TEX!L81</f>
        <v>13.017146589999998</v>
      </c>
      <c r="M81" s="7">
        <f xml:space="preserve"> 0 + CAL!M81 + CAR!M81 + CENT!M81 + FLA!M81 + MIDA!M81 + MIDW!M81 + NE!M81 + NY!M81 + NW!M81 + SE!M81 + SW!M81 + TEN!M81 + TEX!M81</f>
        <v>13.01108732</v>
      </c>
      <c r="N81" s="7">
        <f xml:space="preserve"> 0 + CAL!N81 + CAR!N81 + CENT!N81 + FLA!N81 + MIDA!N81 + MIDW!N81 + NE!N81 + NY!N81 + NW!N81 + SE!N81 + SW!N81 + TEN!N81 + TEX!N81</f>
        <v>13.01071009</v>
      </c>
      <c r="O81" s="7">
        <f xml:space="preserve"> 0 + CAL!O81 + CAR!O81 + CENT!O81 + FLA!O81 + MIDA!O81 + MIDW!O81 + NE!O81 + NY!O81 + NW!O81 + SE!O81 + SW!O81 + TEN!O81 + TEX!O81</f>
        <v>13.019778810000004</v>
      </c>
      <c r="P81" s="7">
        <f xml:space="preserve"> 0 + CAL!P81 + CAR!P81 + CENT!P81 + FLA!P81 + MIDA!P81 + MIDW!P81 + NE!P81 + NY!P81 + NW!P81 + SE!P81 + SW!P81 + TEN!P81 + TEX!P81</f>
        <v>13.018631939999999</v>
      </c>
      <c r="Q81" s="7">
        <f xml:space="preserve"> 0 + CAL!Q81 + CAR!Q81 + CENT!Q81 + FLA!Q81 + MIDA!Q81 + MIDW!Q81 + NE!Q81 + NY!Q81 + NW!Q81 + SE!Q81 + SW!Q81 + TEN!Q81 + TEX!Q81</f>
        <v>13.0099546</v>
      </c>
      <c r="R81" s="7">
        <f xml:space="preserve"> 0 + CAL!R81 + CAR!R81 + CENT!R81 + FLA!R81 + MIDA!R81 + MIDW!R81 + NE!R81 + NY!R81 + NW!R81 + SE!R81 + SW!R81 + TEN!R81 + TEX!R81</f>
        <v>13.02952189</v>
      </c>
      <c r="S81" s="7">
        <f xml:space="preserve"> 0 + CAL!S81 + CAR!S81 + CENT!S81 + FLA!S81 + MIDA!S81 + MIDW!S81 + NE!S81 + NY!S81 + NW!S81 + SE!S81 + SW!S81 + TEN!S81 + TEX!S81</f>
        <v>13.017922779999999</v>
      </c>
      <c r="T81" s="7">
        <f xml:space="preserve"> 0 + CAL!T81 + CAR!T81 + CENT!T81 + FLA!T81 + MIDA!T81 + MIDW!T81 + NE!T81 + NY!T81 + NW!T81 + SE!T81 + SW!T81 + TEN!T81 + TEX!T81</f>
        <v>13.015200480000001</v>
      </c>
      <c r="U81" s="7">
        <f xml:space="preserve"> 0 + CAL!U81 + CAR!U81 + CENT!U81 + FLA!U81 + MIDA!U81 + MIDW!U81 + NE!U81 + NY!U81 + NW!U81 + SE!U81 + SW!U81 + TEN!U81 + TEX!U81</f>
        <v>13.003539339999998</v>
      </c>
      <c r="V81" s="7">
        <f xml:space="preserve"> 0 + CAL!V81 + CAR!V81 + CENT!V81 + FLA!V81 + MIDA!V81 + MIDW!V81 + NE!V81 + NY!V81 + NW!V81 + SE!V81 + SW!V81 + TEN!V81 + TEX!V81</f>
        <v>13.01216408</v>
      </c>
      <c r="W81" s="7">
        <f xml:space="preserve"> 0 + CAL!W81 + CAR!W81 + CENT!W81 + FLA!W81 + MIDA!W81 + MIDW!W81 + NE!W81 + NY!W81 + NW!W81 + SE!W81 + SW!W81 + TEN!W81 + TEX!W81</f>
        <v>13.004058010000001</v>
      </c>
      <c r="X81" s="7">
        <f xml:space="preserve"> 0 + CAL!X81 + CAR!X81 + CENT!X81 + FLA!X81 + MIDA!X81 + MIDW!X81 + NE!X81 + NY!X81 + NW!X81 + SE!X81 + SW!X81 + TEN!X81 + TEX!X81</f>
        <v>13.00542469</v>
      </c>
      <c r="Y81" s="7">
        <f xml:space="preserve"> 0 + CAL!Y81 + CAR!Y81 + CENT!Y81 + FLA!Y81 + MIDA!Y81 + MIDW!Y81 + NE!Y81 + NY!Y81 + NW!Y81 + SE!Y81 + SW!Y81 + TEN!Y81 + TEX!Y81</f>
        <v>13.00457025</v>
      </c>
      <c r="Z81" s="7">
        <f xml:space="preserve"> 0 + CAL!Z81 + CAR!Z81 + CENT!Z81 + FLA!Z81 + MIDA!Z81 + MIDW!Z81 + NE!Z81 + NY!Z81 + NW!Z81 + SE!Z81 + SW!Z81 + TEN!Z81 + TEX!Z81</f>
        <v>13.0235884</v>
      </c>
      <c r="AA81" s="7">
        <f xml:space="preserve"> 0 + CAL!AA81 + CAR!AA81 + CENT!AA81 + FLA!AA81 + MIDA!AA81 + MIDW!AA81 + NE!AA81 + NY!AA81 + NW!AA81 + SE!AA81 + SW!AA81 + TEN!AA81 + TEX!AA81</f>
        <v>13.032704579999999</v>
      </c>
      <c r="AB81" s="7">
        <f xml:space="preserve"> 0 + CAL!AB81 + CAR!AB81 + CENT!AB81 + FLA!AB81 + MIDA!AB81 + MIDW!AB81 + NE!AB81 + NY!AB81 + NW!AB81 + SE!AB81 + SW!AB81 + TEN!AB81 + TEX!AB81</f>
        <v>13.006077750000001</v>
      </c>
      <c r="AC81" s="7">
        <f xml:space="preserve"> 0 + CAL!AC81 + CAR!AC81 + CENT!AC81 + FLA!AC81 + MIDA!AC81 + MIDW!AC81 + NE!AC81 + NY!AC81 + NW!AC81 + SE!AC81 + SW!AC81 + TEN!AC81 + TEX!AC81</f>
        <v>13.003855700000001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FF0-1052-458B-869E-5D07EBF13B7E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1.6999999999999999E-7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58706</v>
      </c>
      <c r="C5" s="7">
        <v>62331.553849199998</v>
      </c>
      <c r="D5" s="7">
        <v>65105.582621939997</v>
      </c>
      <c r="E5" s="7">
        <v>67917.912842589998</v>
      </c>
      <c r="F5" s="7">
        <v>70972.349418850004</v>
      </c>
      <c r="G5" s="7">
        <v>74153.203608009993</v>
      </c>
      <c r="H5" s="7">
        <v>77435.660501709994</v>
      </c>
      <c r="I5" s="7">
        <v>80822.646405909996</v>
      </c>
      <c r="J5" s="7">
        <v>84327.698787479996</v>
      </c>
      <c r="K5" s="7">
        <v>87948.888313870004</v>
      </c>
      <c r="L5" s="7">
        <v>91684.983025080001</v>
      </c>
      <c r="M5" s="7">
        <v>94852.177560540003</v>
      </c>
      <c r="N5" s="7">
        <v>96620.466595349993</v>
      </c>
      <c r="O5" s="7">
        <v>99192.668858849996</v>
      </c>
      <c r="P5" s="7">
        <v>101811.74564405</v>
      </c>
      <c r="Q5" s="7">
        <v>103971.80518233</v>
      </c>
      <c r="R5" s="7">
        <v>106426.70278473001</v>
      </c>
      <c r="S5" s="7">
        <v>108945.48332653999</v>
      </c>
      <c r="T5" s="7">
        <v>111532.4592478</v>
      </c>
      <c r="U5" s="7">
        <v>114050.5552155</v>
      </c>
      <c r="V5" s="7">
        <v>116622.81217614</v>
      </c>
      <c r="W5" s="7">
        <v>119367.72254582</v>
      </c>
      <c r="X5" s="7">
        <v>122158.21884045</v>
      </c>
      <c r="Y5" s="7">
        <v>124890.69016001</v>
      </c>
      <c r="Z5" s="7">
        <v>127660.80290526</v>
      </c>
      <c r="AA5" s="7">
        <v>130507.90784399</v>
      </c>
      <c r="AB5" s="7">
        <v>133498.00489303999</v>
      </c>
      <c r="AC5" s="7">
        <v>136584.20183588</v>
      </c>
    </row>
    <row r="6" spans="1:29" x14ac:dyDescent="0.85">
      <c r="A6" t="s">
        <v>106</v>
      </c>
      <c r="B6" s="7">
        <v>178291941.155</v>
      </c>
      <c r="C6" s="7">
        <v>182373018.90819201</v>
      </c>
      <c r="D6" s="7">
        <v>186535783.706415</v>
      </c>
      <c r="E6" s="7">
        <v>190783648.90236801</v>
      </c>
      <c r="F6" s="7">
        <v>195146061.74849999</v>
      </c>
      <c r="G6" s="7">
        <v>199686473.601524</v>
      </c>
      <c r="H6" s="7">
        <v>204470972.14771801</v>
      </c>
      <c r="I6" s="7">
        <v>209529112.982696</v>
      </c>
      <c r="J6" s="7">
        <v>214874482.68952101</v>
      </c>
      <c r="K6" s="7">
        <v>220504841.13630101</v>
      </c>
      <c r="L6" s="7">
        <v>226440305.76358601</v>
      </c>
      <c r="M6" s="7">
        <v>232250263.565658</v>
      </c>
      <c r="N6" s="7">
        <v>237000015.13180801</v>
      </c>
      <c r="O6" s="7">
        <v>242549348.966535</v>
      </c>
      <c r="P6" s="7">
        <v>248221266.158795</v>
      </c>
      <c r="Q6" s="7">
        <v>253602923.61889201</v>
      </c>
      <c r="R6" s="7">
        <v>259238940.369683</v>
      </c>
      <c r="S6" s="7">
        <v>265001118.209952</v>
      </c>
      <c r="T6" s="7">
        <v>270889853.753775</v>
      </c>
      <c r="U6" s="7">
        <v>276780712.68120003</v>
      </c>
      <c r="V6" s="7">
        <v>282794074.56905597</v>
      </c>
      <c r="W6" s="7">
        <v>289067897.150778</v>
      </c>
      <c r="X6" s="7">
        <v>295468447.200903</v>
      </c>
      <c r="Y6" s="7">
        <v>301857684.38837802</v>
      </c>
      <c r="Z6" s="7">
        <v>308369306.33062297</v>
      </c>
      <c r="AA6" s="7">
        <v>315023905.35931599</v>
      </c>
      <c r="AB6" s="7">
        <v>321935338.43138999</v>
      </c>
      <c r="AC6" s="7">
        <v>329008559.59887499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16026.49158476</v>
      </c>
      <c r="D8" s="7">
        <v>16691.67784384</v>
      </c>
      <c r="E8" s="7">
        <v>17315.152220799999</v>
      </c>
      <c r="F8" s="7">
        <v>17991.729315479999</v>
      </c>
      <c r="G8" s="7">
        <v>18700.015893100001</v>
      </c>
      <c r="H8" s="7">
        <v>19435.492547239999</v>
      </c>
      <c r="I8" s="7">
        <v>20198.830021909998</v>
      </c>
      <c r="J8" s="7">
        <v>20992.71560114</v>
      </c>
      <c r="K8" s="7">
        <v>21816.938424470001</v>
      </c>
      <c r="L8" s="7">
        <v>22671.345941629999</v>
      </c>
      <c r="M8" s="7">
        <v>23402.572282320001</v>
      </c>
      <c r="N8" s="7">
        <v>23653.578595679999</v>
      </c>
      <c r="O8" s="7">
        <v>24224.128208030001</v>
      </c>
      <c r="P8" s="7">
        <v>24805.934110589998</v>
      </c>
      <c r="Q8" s="7">
        <v>25244.586202030001</v>
      </c>
      <c r="R8" s="7">
        <v>25745.144800210001</v>
      </c>
      <c r="S8" s="7">
        <v>26262.571348320002</v>
      </c>
      <c r="T8" s="7">
        <v>26796.05305504</v>
      </c>
      <c r="U8" s="7">
        <v>27296.82542066</v>
      </c>
      <c r="V8" s="7">
        <v>27810.48526971</v>
      </c>
      <c r="W8" s="7">
        <v>28392.979044119998</v>
      </c>
      <c r="X8" s="7">
        <v>28989.217920430001</v>
      </c>
      <c r="Y8" s="7">
        <v>29542.792956199999</v>
      </c>
      <c r="Z8" s="7">
        <v>30107.024363659999</v>
      </c>
      <c r="AA8" s="7">
        <v>30687.91871224</v>
      </c>
      <c r="AB8" s="7">
        <v>31334.302051179999</v>
      </c>
      <c r="AC8" s="7">
        <v>32002.816859039998</v>
      </c>
    </row>
    <row r="9" spans="1:29" x14ac:dyDescent="0.85">
      <c r="A9" t="s">
        <v>109</v>
      </c>
      <c r="B9" s="7">
        <v>2740.84487941</v>
      </c>
      <c r="C9" s="7">
        <v>2664.3178369799998</v>
      </c>
      <c r="D9" s="7">
        <v>2619.9780014200001</v>
      </c>
      <c r="E9" s="7">
        <v>2579.2001520600002</v>
      </c>
      <c r="F9" s="7">
        <v>2536.1432094400002</v>
      </c>
      <c r="G9" s="7">
        <v>2491.7829914099998</v>
      </c>
      <c r="H9" s="7">
        <v>2447.4878853499999</v>
      </c>
      <c r="I9" s="7">
        <v>2403.8075717699999</v>
      </c>
      <c r="J9" s="7">
        <v>2360.8975059099998</v>
      </c>
      <c r="K9" s="7">
        <v>2318.5160224400001</v>
      </c>
      <c r="L9" s="7">
        <v>2276.9654252599998</v>
      </c>
      <c r="M9" s="7">
        <v>2267.9148439199998</v>
      </c>
      <c r="N9" s="7">
        <v>2356.67985529</v>
      </c>
      <c r="O9" s="7">
        <v>2385.4569269499998</v>
      </c>
      <c r="P9" s="7">
        <v>2415.54902115</v>
      </c>
      <c r="Q9" s="7">
        <v>2477.7262403099999</v>
      </c>
      <c r="R9" s="7">
        <v>2530.9702737600001</v>
      </c>
      <c r="S9" s="7">
        <v>2584.3047244499999</v>
      </c>
      <c r="T9" s="7">
        <v>2637.9481561900002</v>
      </c>
      <c r="U9" s="7">
        <v>2701.7408568599999</v>
      </c>
      <c r="V9" s="7">
        <v>2766.6332714700002</v>
      </c>
      <c r="W9" s="7">
        <v>2821.3934571899999</v>
      </c>
      <c r="X9" s="7">
        <v>2877.2064011299999</v>
      </c>
      <c r="Y9" s="7">
        <v>2945.4116730599999</v>
      </c>
      <c r="Z9" s="7">
        <v>3015.4200176999998</v>
      </c>
      <c r="AA9" s="7">
        <v>3086.0950699800001</v>
      </c>
      <c r="AB9" s="7">
        <v>3147.63841847</v>
      </c>
      <c r="AC9" s="7">
        <v>3208.8671763000002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8.4500000000000004E-6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9952.9479716700007</v>
      </c>
      <c r="D11" s="7">
        <v>9782.3030476999993</v>
      </c>
      <c r="E11" s="7">
        <v>9643.9496574999994</v>
      </c>
      <c r="F11" s="7">
        <v>9496.1192877100002</v>
      </c>
      <c r="G11" s="7">
        <v>9342.7628389500005</v>
      </c>
      <c r="H11" s="7">
        <v>9189.3971581099995</v>
      </c>
      <c r="I11" s="7">
        <v>9038.2478137300004</v>
      </c>
      <c r="J11" s="7">
        <v>8889.9582020199996</v>
      </c>
      <c r="K11" s="7">
        <v>8743.5752538399993</v>
      </c>
      <c r="L11" s="7">
        <v>8600.3314210799999</v>
      </c>
      <c r="M11" s="7">
        <v>8583.2091858299991</v>
      </c>
      <c r="N11" s="7">
        <v>8957.3189524699992</v>
      </c>
      <c r="O11" s="7">
        <v>9092.4006085500005</v>
      </c>
      <c r="P11" s="7">
        <v>9232.4318020200008</v>
      </c>
      <c r="Q11" s="7">
        <v>9499.6496427399998</v>
      </c>
      <c r="R11" s="7">
        <v>9731.2163412400005</v>
      </c>
      <c r="S11" s="7">
        <v>9962.8847421200007</v>
      </c>
      <c r="T11" s="7">
        <v>10195.54316198</v>
      </c>
      <c r="U11" s="7">
        <v>10468.321819700001</v>
      </c>
      <c r="V11" s="7">
        <v>10745.24898025</v>
      </c>
      <c r="W11" s="7">
        <v>10981.62575195</v>
      </c>
      <c r="X11" s="7">
        <v>11221.96874029</v>
      </c>
      <c r="Y11" s="7">
        <v>11511.44229379</v>
      </c>
      <c r="Z11" s="7">
        <v>11807.88507385</v>
      </c>
      <c r="AA11" s="7">
        <v>12106.819920510001</v>
      </c>
      <c r="AB11" s="7">
        <v>12369.20290337</v>
      </c>
      <c r="AC11" s="7">
        <v>12630.19696092</v>
      </c>
    </row>
    <row r="12" spans="1:29" x14ac:dyDescent="0.85">
      <c r="A12" t="s">
        <v>111</v>
      </c>
      <c r="B12" s="7">
        <v>17545.09239075</v>
      </c>
      <c r="C12" s="7">
        <v>18690.80942175</v>
      </c>
      <c r="D12" s="7">
        <v>19311.655845270001</v>
      </c>
      <c r="E12" s="7">
        <v>19894.35238131</v>
      </c>
      <c r="F12" s="7">
        <v>20527.87252492</v>
      </c>
      <c r="G12" s="7">
        <v>21191.798884510001</v>
      </c>
      <c r="H12" s="7">
        <v>21882.98043259</v>
      </c>
      <c r="I12" s="7">
        <v>22602.637593669999</v>
      </c>
      <c r="J12" s="7">
        <v>23353.613107059999</v>
      </c>
      <c r="K12" s="7">
        <v>24135.45444691</v>
      </c>
      <c r="L12" s="7">
        <v>24948.31136689</v>
      </c>
      <c r="M12" s="7">
        <v>25670.487126240001</v>
      </c>
      <c r="N12" s="7">
        <v>26010.258450969999</v>
      </c>
      <c r="O12" s="7">
        <v>26609.58513498</v>
      </c>
      <c r="P12" s="7">
        <v>27221.483131739998</v>
      </c>
      <c r="Q12" s="7">
        <v>27722.31244234</v>
      </c>
      <c r="R12" s="7">
        <v>28276.115073969999</v>
      </c>
      <c r="S12" s="7">
        <v>28846.87607278</v>
      </c>
      <c r="T12" s="7">
        <v>29434.001211229999</v>
      </c>
      <c r="U12" s="7">
        <v>29998.566277509999</v>
      </c>
      <c r="V12" s="7">
        <v>30577.11854118</v>
      </c>
      <c r="W12" s="7">
        <v>31214.372501310001</v>
      </c>
      <c r="X12" s="7">
        <v>31866.42432156</v>
      </c>
      <c r="Y12" s="7">
        <v>32488.204629250002</v>
      </c>
      <c r="Z12" s="7">
        <v>33122.444381360001</v>
      </c>
      <c r="AA12" s="7">
        <v>33774.013782219998</v>
      </c>
      <c r="AB12" s="7">
        <v>34481.940469649999</v>
      </c>
      <c r="AC12" s="7">
        <v>35211.684035339997</v>
      </c>
    </row>
    <row r="13" spans="1:29" x14ac:dyDescent="0.85">
      <c r="A13" t="s">
        <v>112</v>
      </c>
      <c r="B13" s="7">
        <v>17545.09239075</v>
      </c>
      <c r="C13" s="7">
        <v>28643.757393420001</v>
      </c>
      <c r="D13" s="7">
        <v>29093.95889297</v>
      </c>
      <c r="E13" s="7">
        <v>29538.302038810001</v>
      </c>
      <c r="F13" s="7">
        <v>30023.99181263</v>
      </c>
      <c r="G13" s="7">
        <v>30534.561723459999</v>
      </c>
      <c r="H13" s="7">
        <v>31072.377590700002</v>
      </c>
      <c r="I13" s="7">
        <v>31640.885407400001</v>
      </c>
      <c r="J13" s="7">
        <v>32243.571309070001</v>
      </c>
      <c r="K13" s="7">
        <v>32879.029700749998</v>
      </c>
      <c r="L13" s="7">
        <v>33548.642787969999</v>
      </c>
      <c r="M13" s="7">
        <v>34253.696312070002</v>
      </c>
      <c r="N13" s="7">
        <v>34967.577403440002</v>
      </c>
      <c r="O13" s="7">
        <v>35701.98574353</v>
      </c>
      <c r="P13" s="7">
        <v>36453.914933760003</v>
      </c>
      <c r="Q13" s="7">
        <v>37221.962085070001</v>
      </c>
      <c r="R13" s="7">
        <v>38007.331415200002</v>
      </c>
      <c r="S13" s="7">
        <v>38809.760814890004</v>
      </c>
      <c r="T13" s="7">
        <v>39629.544373210003</v>
      </c>
      <c r="U13" s="7">
        <v>40466.888097210001</v>
      </c>
      <c r="V13" s="7">
        <v>41322.367521430002</v>
      </c>
      <c r="W13" s="7">
        <v>42195.998253270001</v>
      </c>
      <c r="X13" s="7">
        <v>43088.393061850002</v>
      </c>
      <c r="Y13" s="7">
        <v>43999.646923050001</v>
      </c>
      <c r="Z13" s="7">
        <v>44930.329455200001</v>
      </c>
      <c r="AA13" s="7">
        <v>45880.83370273</v>
      </c>
      <c r="AB13" s="7">
        <v>46851.143373029998</v>
      </c>
      <c r="AC13" s="7">
        <v>47841.880996259999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17666.29592946</v>
      </c>
      <c r="D17" s="7">
        <v>18486.941049289999</v>
      </c>
      <c r="E17" s="7">
        <v>19343.626624569999</v>
      </c>
      <c r="F17" s="7">
        <v>20236.504393259998</v>
      </c>
      <c r="G17" s="7">
        <v>21169.215825980002</v>
      </c>
      <c r="H17" s="7">
        <v>22143.369259200001</v>
      </c>
      <c r="I17" s="7">
        <v>23160.12529783</v>
      </c>
      <c r="J17" s="7">
        <v>24220.67712995</v>
      </c>
      <c r="K17" s="7">
        <v>25326.041639480001</v>
      </c>
      <c r="L17" s="7">
        <v>26478.36940734</v>
      </c>
      <c r="M17" s="7">
        <v>27196.936420950002</v>
      </c>
      <c r="N17" s="7">
        <v>28240.50456537</v>
      </c>
      <c r="O17" s="7">
        <v>28659.75415312</v>
      </c>
      <c r="P17" s="7">
        <v>29071.090235600001</v>
      </c>
      <c r="Q17" s="7">
        <v>29460.589597490001</v>
      </c>
      <c r="R17" s="7">
        <v>30088.35887991</v>
      </c>
      <c r="S17" s="7">
        <v>30732.490544820001</v>
      </c>
      <c r="T17" s="7">
        <v>31411.318466649998</v>
      </c>
      <c r="U17" s="7">
        <v>32170.95546397</v>
      </c>
      <c r="V17" s="7">
        <v>32951.88208915</v>
      </c>
      <c r="W17" s="7">
        <v>33590.059015660001</v>
      </c>
      <c r="X17" s="7">
        <v>34215.442919349996</v>
      </c>
      <c r="Y17" s="7">
        <v>35036.78724166</v>
      </c>
      <c r="Z17" s="7">
        <v>35848.8150847</v>
      </c>
      <c r="AA17" s="7">
        <v>36708.036562419999</v>
      </c>
      <c r="AB17" s="7">
        <v>37372.089347059999</v>
      </c>
      <c r="AC17" s="7">
        <v>38079.450212160002</v>
      </c>
    </row>
    <row r="18" spans="1:29" x14ac:dyDescent="0.85">
      <c r="A18" t="s">
        <v>116</v>
      </c>
      <c r="B18" s="7">
        <v>38171545.5</v>
      </c>
      <c r="C18" s="7">
        <v>39909440.663296796</v>
      </c>
      <c r="D18" s="7">
        <v>41763337.362764798</v>
      </c>
      <c r="E18" s="7">
        <v>43697521.637147002</v>
      </c>
      <c r="F18" s="7">
        <v>45696644.2929544</v>
      </c>
      <c r="G18" s="7">
        <v>47736545.138150297</v>
      </c>
      <c r="H18" s="7">
        <v>49790890.476172604</v>
      </c>
      <c r="I18" s="7">
        <v>51854109.882098399</v>
      </c>
      <c r="J18" s="7">
        <v>53928834.809455298</v>
      </c>
      <c r="K18" s="7">
        <v>56024360.940390199</v>
      </c>
      <c r="L18" s="7">
        <v>58140389.030727103</v>
      </c>
      <c r="M18" s="7">
        <v>59407823.589667998</v>
      </c>
      <c r="N18" s="7">
        <v>61866767.452658899</v>
      </c>
      <c r="O18" s="7">
        <v>62673541.940052398</v>
      </c>
      <c r="P18" s="7">
        <v>63459274.758868501</v>
      </c>
      <c r="Q18" s="7">
        <v>64358727.632969797</v>
      </c>
      <c r="R18" s="7">
        <v>65719762.537015401</v>
      </c>
      <c r="S18" s="7">
        <v>67110907.059062093</v>
      </c>
      <c r="T18" s="7">
        <v>68572951.341468796</v>
      </c>
      <c r="U18" s="7">
        <v>70256447.997560501</v>
      </c>
      <c r="V18" s="7">
        <v>71984911.277066395</v>
      </c>
      <c r="W18" s="7">
        <v>73346883.742303595</v>
      </c>
      <c r="X18" s="7">
        <v>74680075.762395203</v>
      </c>
      <c r="Y18" s="7">
        <v>76494442.142585695</v>
      </c>
      <c r="Z18" s="7">
        <v>78290935.125836894</v>
      </c>
      <c r="AA18" s="7">
        <v>80185752.592415601</v>
      </c>
      <c r="AB18" s="7">
        <v>81606695.708521098</v>
      </c>
      <c r="AC18" s="7">
        <v>83112606.761094898</v>
      </c>
    </row>
    <row r="19" spans="1:29" x14ac:dyDescent="0.85">
      <c r="A19" t="s">
        <v>117</v>
      </c>
      <c r="B19" s="7">
        <v>38171545.5</v>
      </c>
      <c r="C19" s="7">
        <v>39909440.663296796</v>
      </c>
      <c r="D19" s="7">
        <v>41763337.362764798</v>
      </c>
      <c r="E19" s="7">
        <v>43698652.058647901</v>
      </c>
      <c r="F19" s="7">
        <v>45715727.537925698</v>
      </c>
      <c r="G19" s="7">
        <v>47822790.146214798</v>
      </c>
      <c r="H19" s="7">
        <v>50023473.231993496</v>
      </c>
      <c r="I19" s="7">
        <v>52320398.685680099</v>
      </c>
      <c r="J19" s="7">
        <v>54716262.005477101</v>
      </c>
      <c r="K19" s="7">
        <v>57213360.405767798</v>
      </c>
      <c r="L19" s="7">
        <v>59816552.204427898</v>
      </c>
      <c r="M19" s="7">
        <v>61439847.076585099</v>
      </c>
      <c r="N19" s="7">
        <v>63797343.017098397</v>
      </c>
      <c r="O19" s="7">
        <v>64744458.168585703</v>
      </c>
      <c r="P19" s="7">
        <v>65673696.139129899</v>
      </c>
      <c r="Q19" s="7">
        <v>66553603.377966098</v>
      </c>
      <c r="R19" s="7">
        <v>67971779.606128097</v>
      </c>
      <c r="S19" s="7">
        <v>69426919.640175298</v>
      </c>
      <c r="T19" s="7">
        <v>70960441.028858706</v>
      </c>
      <c r="U19" s="7">
        <v>72676515.965633497</v>
      </c>
      <c r="V19" s="7">
        <v>74440685.712060794</v>
      </c>
      <c r="W19" s="7">
        <v>75882373.561232001</v>
      </c>
      <c r="X19" s="7">
        <v>77295161.046257198</v>
      </c>
      <c r="Y19" s="7">
        <v>79150637.294709697</v>
      </c>
      <c r="Z19" s="7">
        <v>80985066.942456007</v>
      </c>
      <c r="AA19" s="7">
        <v>82926110.425401896</v>
      </c>
      <c r="AB19" s="7">
        <v>84426253.710210606</v>
      </c>
      <c r="AC19" s="7">
        <v>86024233.082110703</v>
      </c>
    </row>
    <row r="20" spans="1:29" x14ac:dyDescent="0.85">
      <c r="A20" t="s">
        <v>118</v>
      </c>
      <c r="B20" s="7">
        <v>3449.6552355099998</v>
      </c>
      <c r="C20" s="7">
        <v>3606.7130404899999</v>
      </c>
      <c r="D20" s="7">
        <v>3774.2541859100002</v>
      </c>
      <c r="E20" s="7">
        <v>3949.1532733200002</v>
      </c>
      <c r="F20" s="7">
        <v>4131.4412812099999</v>
      </c>
      <c r="G20" s="7">
        <v>4321.8616444199997</v>
      </c>
      <c r="H20" s="7">
        <v>4520.7427174599998</v>
      </c>
      <c r="I20" s="7">
        <v>4728.3214469300001</v>
      </c>
      <c r="J20" s="7">
        <v>4944.8414315500004</v>
      </c>
      <c r="K20" s="7">
        <v>5170.51027617</v>
      </c>
      <c r="L20" s="7">
        <v>5405.7670387600001</v>
      </c>
      <c r="M20" s="7">
        <v>5552.4681372100004</v>
      </c>
      <c r="N20" s="7">
        <v>5765.5207686200001</v>
      </c>
      <c r="O20" s="7">
        <v>5851.1138641699999</v>
      </c>
      <c r="P20" s="7">
        <v>5935.0913554700001</v>
      </c>
      <c r="Q20" s="7">
        <v>6014.6107087800001</v>
      </c>
      <c r="R20" s="7">
        <v>6142.7747374099999</v>
      </c>
      <c r="S20" s="7">
        <v>6274.2792749199998</v>
      </c>
      <c r="T20" s="7">
        <v>6412.8673257299997</v>
      </c>
      <c r="U20" s="7">
        <v>6567.9531838599996</v>
      </c>
      <c r="V20" s="7">
        <v>6727.3854867</v>
      </c>
      <c r="W20" s="7">
        <v>6857.6743176</v>
      </c>
      <c r="X20" s="7">
        <v>6985.3513524399996</v>
      </c>
      <c r="Y20" s="7">
        <v>7153.0352455299999</v>
      </c>
      <c r="Z20" s="7">
        <v>7318.8171062199999</v>
      </c>
      <c r="AA20" s="7">
        <v>7494.2339180299996</v>
      </c>
      <c r="AB20" s="7">
        <v>7629.8055085599999</v>
      </c>
      <c r="AC20" s="7">
        <v>7774.2187838</v>
      </c>
    </row>
    <row r="21" spans="1:29" x14ac:dyDescent="0.85">
      <c r="A21" t="s">
        <v>119</v>
      </c>
      <c r="B21" s="7">
        <v>0</v>
      </c>
      <c r="C21" s="7">
        <v>39.909440660000001</v>
      </c>
      <c r="D21" s="7">
        <v>41.763337360000001</v>
      </c>
      <c r="E21" s="7">
        <v>43.698652060000001</v>
      </c>
      <c r="F21" s="7">
        <v>45.715727540000003</v>
      </c>
      <c r="G21" s="7">
        <v>47.822790150000003</v>
      </c>
      <c r="H21" s="7">
        <v>50.02347323</v>
      </c>
      <c r="I21" s="7">
        <v>52.320398689999998</v>
      </c>
      <c r="J21" s="7">
        <v>54.716262010000001</v>
      </c>
      <c r="K21" s="7">
        <v>57.21336041</v>
      </c>
      <c r="L21" s="7">
        <v>59.816552199999997</v>
      </c>
      <c r="M21" s="7">
        <v>61.43984708</v>
      </c>
      <c r="N21" s="7">
        <v>63.79734302</v>
      </c>
      <c r="O21" s="7">
        <v>64.744458170000001</v>
      </c>
      <c r="P21" s="7">
        <v>65.673696140000004</v>
      </c>
      <c r="Q21" s="7">
        <v>66.553603379999998</v>
      </c>
      <c r="R21" s="7">
        <v>67.971779609999999</v>
      </c>
      <c r="S21" s="7">
        <v>69.426919639999994</v>
      </c>
      <c r="T21" s="7">
        <v>70.960441029999998</v>
      </c>
      <c r="U21" s="7">
        <v>72.676515969999997</v>
      </c>
      <c r="V21" s="7">
        <v>74.440685709999997</v>
      </c>
      <c r="W21" s="7">
        <v>75.882373560000005</v>
      </c>
      <c r="X21" s="7">
        <v>77.295161050000004</v>
      </c>
      <c r="Y21" s="7">
        <v>79.150637290000006</v>
      </c>
      <c r="Z21" s="7">
        <v>80.985066939999996</v>
      </c>
      <c r="AA21" s="7">
        <v>82.926110429999994</v>
      </c>
      <c r="AB21" s="7">
        <v>84.426253709999997</v>
      </c>
      <c r="AC21" s="7">
        <v>86.024233080000002</v>
      </c>
    </row>
    <row r="22" spans="1:29" x14ac:dyDescent="0.85">
      <c r="A22" t="s">
        <v>120</v>
      </c>
      <c r="B22" s="7">
        <v>0.19085773</v>
      </c>
      <c r="C22" s="7">
        <v>0.19954720000000001</v>
      </c>
      <c r="D22" s="7">
        <v>0.20881669</v>
      </c>
      <c r="E22" s="7">
        <v>0.21849325999999999</v>
      </c>
      <c r="F22" s="7">
        <v>0.22857864</v>
      </c>
      <c r="G22" s="7">
        <v>0.23911394999999999</v>
      </c>
      <c r="H22" s="7">
        <v>0.25011737000000001</v>
      </c>
      <c r="I22" s="7">
        <v>0.26160199000000001</v>
      </c>
      <c r="J22" s="7">
        <v>0.27358131000000002</v>
      </c>
      <c r="K22" s="7">
        <v>0.28606680000000001</v>
      </c>
      <c r="L22" s="7">
        <v>0.29908276</v>
      </c>
      <c r="M22" s="7">
        <v>0.30719923999999998</v>
      </c>
      <c r="N22" s="7">
        <v>0.31898672</v>
      </c>
      <c r="O22" s="7">
        <v>0.32372229000000002</v>
      </c>
      <c r="P22" s="7">
        <v>0.32836848000000002</v>
      </c>
      <c r="Q22" s="7">
        <v>0.33276802</v>
      </c>
      <c r="R22" s="7">
        <v>0.33985890000000002</v>
      </c>
      <c r="S22" s="7">
        <v>0.34713460000000002</v>
      </c>
      <c r="T22" s="7">
        <v>0.35480221000000001</v>
      </c>
      <c r="U22" s="7">
        <v>0.36338258000000001</v>
      </c>
      <c r="V22" s="7">
        <v>0.37220343</v>
      </c>
      <c r="W22" s="7">
        <v>0.37941186999999998</v>
      </c>
      <c r="X22" s="7">
        <v>0.38647580999999998</v>
      </c>
      <c r="Y22" s="7">
        <v>0.39575318999999998</v>
      </c>
      <c r="Z22" s="7">
        <v>0.40492533000000003</v>
      </c>
      <c r="AA22" s="7">
        <v>0.41463054999999999</v>
      </c>
      <c r="AB22" s="7">
        <v>0.42213127</v>
      </c>
      <c r="AC22" s="7">
        <v>0.43012117</v>
      </c>
    </row>
    <row r="23" spans="1:29" x14ac:dyDescent="0.85">
      <c r="A23" t="s">
        <v>121</v>
      </c>
      <c r="B23" s="7">
        <v>3449.6552355099998</v>
      </c>
      <c r="C23" s="7">
        <v>3606.7130404899999</v>
      </c>
      <c r="D23" s="7">
        <v>3774.2541859100002</v>
      </c>
      <c r="E23" s="7">
        <v>3949.1532733200002</v>
      </c>
      <c r="F23" s="7">
        <v>4131.4412812099999</v>
      </c>
      <c r="G23" s="7">
        <v>4321.8616444199997</v>
      </c>
      <c r="H23" s="7">
        <v>4520.7427174599998</v>
      </c>
      <c r="I23" s="7">
        <v>4728.3214469300001</v>
      </c>
      <c r="J23" s="7">
        <v>4944.8414315500004</v>
      </c>
      <c r="K23" s="7">
        <v>5170.51027617</v>
      </c>
      <c r="L23" s="7">
        <v>5405.7670387600001</v>
      </c>
      <c r="M23" s="7">
        <v>5552.4681372100004</v>
      </c>
      <c r="N23" s="7">
        <v>5765.5207686200001</v>
      </c>
      <c r="O23" s="7">
        <v>5851.1138641699999</v>
      </c>
      <c r="P23" s="7">
        <v>5935.0913554700001</v>
      </c>
      <c r="Q23" s="7">
        <v>6014.6107087800001</v>
      </c>
      <c r="R23" s="7">
        <v>6142.7747374099999</v>
      </c>
      <c r="S23" s="7">
        <v>6274.2792749199998</v>
      </c>
      <c r="T23" s="7">
        <v>6412.8673257299997</v>
      </c>
      <c r="U23" s="7">
        <v>6567.9531838599996</v>
      </c>
      <c r="V23" s="7">
        <v>6727.3854867</v>
      </c>
      <c r="W23" s="7">
        <v>6857.6743176</v>
      </c>
      <c r="X23" s="7">
        <v>6985.3513524399996</v>
      </c>
      <c r="Y23" s="7">
        <v>7153.0352455299999</v>
      </c>
      <c r="Z23" s="7">
        <v>7318.8171062199999</v>
      </c>
      <c r="AA23" s="7">
        <v>7494.2339180299996</v>
      </c>
      <c r="AB23" s="7">
        <v>7629.8055085599999</v>
      </c>
      <c r="AC23" s="7">
        <v>7774.2187838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1.0815812600000001</v>
      </c>
      <c r="E25" s="7">
        <v>1.0824107300000001</v>
      </c>
      <c r="F25" s="7">
        <v>1.0822232000000001</v>
      </c>
      <c r="G25" s="7">
        <v>1.0821526299999999</v>
      </c>
      <c r="H25" s="7">
        <v>1.0820770200000001</v>
      </c>
      <c r="I25" s="7">
        <v>1.0819730599999999</v>
      </c>
      <c r="J25" s="7">
        <v>1.08184401</v>
      </c>
      <c r="K25" s="7">
        <v>1.0817005799999999</v>
      </c>
      <c r="L25" s="7">
        <v>1.0815415100000001</v>
      </c>
      <c r="M25" s="7">
        <v>1.08136375</v>
      </c>
      <c r="N25" s="7">
        <v>1.06255644</v>
      </c>
      <c r="O25" s="7">
        <v>1.07417669</v>
      </c>
      <c r="P25" s="7">
        <v>1.0498403599999999</v>
      </c>
      <c r="Q25" s="7">
        <v>1.04933006</v>
      </c>
      <c r="R25" s="7">
        <v>1.04834293</v>
      </c>
      <c r="S25" s="7">
        <v>1.0565263300000001</v>
      </c>
      <c r="T25" s="7">
        <v>1.05662897</v>
      </c>
      <c r="U25" s="7">
        <v>1.0573327100000001</v>
      </c>
      <c r="V25" s="7">
        <v>1.0595002200000001</v>
      </c>
      <c r="W25" s="7">
        <v>1.0595940800000001</v>
      </c>
      <c r="X25" s="7">
        <v>1.0545175200000001</v>
      </c>
      <c r="Y25" s="7">
        <v>1.0537428900000001</v>
      </c>
      <c r="Z25" s="7">
        <v>1.0593155999999999</v>
      </c>
      <c r="AA25" s="7">
        <v>1.05845838</v>
      </c>
      <c r="AB25" s="7">
        <v>1.0592771599999999</v>
      </c>
      <c r="AC25" s="7">
        <v>1.0531966800000001</v>
      </c>
    </row>
    <row r="26" spans="1:29" x14ac:dyDescent="0.85">
      <c r="A26" t="s">
        <v>124</v>
      </c>
      <c r="B26" s="7">
        <v>1</v>
      </c>
      <c r="C26" s="7">
        <v>1.0815812600000001</v>
      </c>
      <c r="D26" s="7">
        <v>1.08253716</v>
      </c>
      <c r="E26" s="7">
        <v>1.0824207299999999</v>
      </c>
      <c r="F26" s="7">
        <v>1.0822331999999999</v>
      </c>
      <c r="G26" s="7">
        <v>1.08216263</v>
      </c>
      <c r="H26" s="7">
        <v>1.0820870199999999</v>
      </c>
      <c r="I26" s="7">
        <v>1.0819830500000001</v>
      </c>
      <c r="J26" s="7">
        <v>1.08185394</v>
      </c>
      <c r="K26" s="7">
        <v>1.0816936800000001</v>
      </c>
      <c r="L26" s="7">
        <v>1.08155143</v>
      </c>
      <c r="M26" s="7">
        <v>1.06255644</v>
      </c>
      <c r="N26" s="7">
        <v>1.07417669</v>
      </c>
      <c r="O26" s="7">
        <v>1.0498403599999999</v>
      </c>
      <c r="P26" s="7">
        <v>1.04933006</v>
      </c>
      <c r="Q26" s="7">
        <v>1.04834293</v>
      </c>
      <c r="R26" s="7">
        <v>1.0565263300000001</v>
      </c>
      <c r="S26" s="7">
        <v>1.05662897</v>
      </c>
      <c r="T26" s="7">
        <v>1.0573327100000001</v>
      </c>
      <c r="U26" s="7">
        <v>1.0595002200000001</v>
      </c>
      <c r="V26" s="7">
        <v>1.0595940800000001</v>
      </c>
      <c r="W26" s="7">
        <v>1.0545175200000001</v>
      </c>
      <c r="X26" s="7">
        <v>1.0537428900000001</v>
      </c>
      <c r="Y26" s="7">
        <v>1.0593155999999999</v>
      </c>
      <c r="Z26" s="7">
        <v>1.05845838</v>
      </c>
      <c r="AA26" s="7">
        <v>1.0592771599999999</v>
      </c>
      <c r="AB26" s="7">
        <v>1.0531966800000001</v>
      </c>
      <c r="AC26" s="7">
        <v>1.0540629500000001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1.08253716</v>
      </c>
      <c r="E27" s="7">
        <v>1.0824207299999999</v>
      </c>
      <c r="F27" s="7">
        <v>1.0822331999999999</v>
      </c>
      <c r="G27" s="7">
        <v>1.08216263</v>
      </c>
      <c r="H27" s="7">
        <v>1.0820870199999999</v>
      </c>
      <c r="I27" s="7">
        <v>1.08198306</v>
      </c>
      <c r="J27" s="7">
        <v>1.08185401</v>
      </c>
      <c r="K27" s="7">
        <v>1.08171058</v>
      </c>
      <c r="L27" s="7">
        <v>1.0815515099999999</v>
      </c>
      <c r="M27" s="7">
        <v>1.08137375</v>
      </c>
      <c r="N27" s="7">
        <v>1.0818163000000001</v>
      </c>
      <c r="O27" s="7">
        <v>1.08064184</v>
      </c>
      <c r="P27" s="7">
        <v>1.08134551</v>
      </c>
      <c r="Q27" s="7">
        <v>1.08207436</v>
      </c>
      <c r="R27" s="7">
        <v>1.08255324</v>
      </c>
      <c r="S27" s="7">
        <v>1.08269426</v>
      </c>
      <c r="T27" s="7">
        <v>1.08283291</v>
      </c>
      <c r="U27" s="7">
        <v>1.0829347899999999</v>
      </c>
      <c r="V27" s="7">
        <v>1.08283609</v>
      </c>
      <c r="W27" s="7">
        <v>1.0827305300000001</v>
      </c>
      <c r="X27" s="7">
        <v>1.08298713</v>
      </c>
      <c r="Y27" s="7">
        <v>1.0832814200000001</v>
      </c>
      <c r="Z27" s="7">
        <v>1.0831802699999999</v>
      </c>
      <c r="AA27" s="7">
        <v>1.0831187600000001</v>
      </c>
      <c r="AB27" s="7">
        <v>1.0830160799999999</v>
      </c>
      <c r="AC27" s="7">
        <v>1.08331449</v>
      </c>
    </row>
    <row r="28" spans="1:29" x14ac:dyDescent="0.85">
      <c r="A28" t="s">
        <v>126</v>
      </c>
      <c r="B28" s="7">
        <v>5754</v>
      </c>
      <c r="C28" s="7">
        <v>7050.5333562599999</v>
      </c>
      <c r="D28" s="7">
        <v>8415.4468772599994</v>
      </c>
      <c r="E28" s="7">
        <v>9819.2414821900002</v>
      </c>
      <c r="F28" s="7">
        <v>11262.03675182</v>
      </c>
      <c r="G28" s="7">
        <v>12748.89229374</v>
      </c>
      <c r="H28" s="7">
        <v>14281.959564180001</v>
      </c>
      <c r="I28" s="7">
        <v>15862.739927189999</v>
      </c>
      <c r="J28" s="7">
        <v>17492.7752922</v>
      </c>
      <c r="K28" s="7">
        <v>19173.879855259998</v>
      </c>
      <c r="L28" s="7">
        <v>20907.048971979999</v>
      </c>
      <c r="M28" s="7">
        <v>22469.011426270001</v>
      </c>
      <c r="N28" s="7">
        <v>22137.312231920001</v>
      </c>
      <c r="O28" s="7">
        <v>23335.69872529</v>
      </c>
      <c r="P28" s="7">
        <v>24560.671579009999</v>
      </c>
      <c r="Q28" s="7">
        <v>25273.210129800002</v>
      </c>
      <c r="R28" s="7">
        <v>26010.938611869999</v>
      </c>
      <c r="S28" s="7">
        <v>26774.981721619999</v>
      </c>
      <c r="T28" s="7">
        <v>27548.982164059998</v>
      </c>
      <c r="U28" s="7">
        <v>28125.60992563</v>
      </c>
      <c r="V28" s="7">
        <v>28710.251359149999</v>
      </c>
      <c r="W28" s="7">
        <v>29620.900472770001</v>
      </c>
      <c r="X28" s="7">
        <v>30566.928600409999</v>
      </c>
      <c r="Y28" s="7">
        <v>31195.796258369999</v>
      </c>
      <c r="Z28" s="7">
        <v>31846.024632889999</v>
      </c>
      <c r="AA28" s="7">
        <v>32497.797046070002</v>
      </c>
      <c r="AB28" s="7">
        <v>33499.979171849998</v>
      </c>
      <c r="AC28" s="7">
        <v>34526.027600219997</v>
      </c>
    </row>
    <row r="29" spans="1:29" x14ac:dyDescent="0.85">
      <c r="A29" t="s">
        <v>127</v>
      </c>
      <c r="B29" s="7">
        <v>17533437</v>
      </c>
      <c r="C29" s="7">
        <v>21484199.2385161</v>
      </c>
      <c r="D29" s="7">
        <v>25643327.7110461</v>
      </c>
      <c r="E29" s="7">
        <v>29920159.585083399</v>
      </c>
      <c r="F29" s="7">
        <v>34303056.0778969</v>
      </c>
      <c r="G29" s="7">
        <v>38778028.490552098</v>
      </c>
      <c r="H29" s="7">
        <v>43317267.176950701</v>
      </c>
      <c r="I29" s="7">
        <v>47905738.837387197</v>
      </c>
      <c r="J29" s="7">
        <v>52536427.048886903</v>
      </c>
      <c r="K29" s="7">
        <v>57211937.569793098</v>
      </c>
      <c r="L29" s="7">
        <v>61922216.3855372</v>
      </c>
      <c r="M29" s="7">
        <v>66202544.353424102</v>
      </c>
      <c r="N29" s="7">
        <v>65414936.316471703</v>
      </c>
      <c r="O29" s="7">
        <v>68833467.427256003</v>
      </c>
      <c r="P29" s="7">
        <v>72317113.429801494</v>
      </c>
      <c r="Q29" s="7">
        <v>74472079.895501301</v>
      </c>
      <c r="R29" s="7">
        <v>76633836.6187592</v>
      </c>
      <c r="S29" s="7">
        <v>78866323.280353203</v>
      </c>
      <c r="T29" s="7">
        <v>81122120.262143999</v>
      </c>
      <c r="U29" s="7">
        <v>82849756.904710695</v>
      </c>
      <c r="V29" s="7">
        <v>84599014.346818402</v>
      </c>
      <c r="W29" s="7">
        <v>87244130.060210094</v>
      </c>
      <c r="X29" s="7">
        <v>89991490.646490604</v>
      </c>
      <c r="Y29" s="7">
        <v>91868947.456589699</v>
      </c>
      <c r="Z29" s="7">
        <v>93812122.340561703</v>
      </c>
      <c r="AA29" s="7">
        <v>95754024.4006363</v>
      </c>
      <c r="AB29" s="7">
        <v>98671109.492017493</v>
      </c>
      <c r="AC29" s="7">
        <v>101645909.775668</v>
      </c>
    </row>
    <row r="30" spans="1:29" x14ac:dyDescent="0.85">
      <c r="A30" t="s">
        <v>128</v>
      </c>
      <c r="B30" s="7">
        <v>17533437</v>
      </c>
      <c r="C30" s="7">
        <v>21484199.2385161</v>
      </c>
      <c r="D30" s="7">
        <v>25643327.7110461</v>
      </c>
      <c r="E30" s="7">
        <v>29920933.596753601</v>
      </c>
      <c r="F30" s="7">
        <v>34317381.279069297</v>
      </c>
      <c r="G30" s="7">
        <v>38848088.260697097</v>
      </c>
      <c r="H30" s="7">
        <v>43519610.402353801</v>
      </c>
      <c r="I30" s="7">
        <v>48336522.6209286</v>
      </c>
      <c r="J30" s="7">
        <v>53303523.382161498</v>
      </c>
      <c r="K30" s="7">
        <v>58426140.856396899</v>
      </c>
      <c r="L30" s="7">
        <v>63707408.065017</v>
      </c>
      <c r="M30" s="7">
        <v>68466978.848600999</v>
      </c>
      <c r="N30" s="7">
        <v>67456233.814334005</v>
      </c>
      <c r="O30" s="7">
        <v>71107925.521513194</v>
      </c>
      <c r="P30" s="7">
        <v>74840630.484577894</v>
      </c>
      <c r="Q30" s="7">
        <v>77011859.158606693</v>
      </c>
      <c r="R30" s="7">
        <v>79259845.926687494</v>
      </c>
      <c r="S30" s="7">
        <v>81588017.933991194</v>
      </c>
      <c r="T30" s="7">
        <v>83946531.662794098</v>
      </c>
      <c r="U30" s="7">
        <v>85703616.565459296</v>
      </c>
      <c r="V30" s="7">
        <v>87485120.517860293</v>
      </c>
      <c r="W30" s="7">
        <v>90260026.472470894</v>
      </c>
      <c r="X30" s="7">
        <v>93142738.425231397</v>
      </c>
      <c r="Y30" s="7">
        <v>95059007.361988693</v>
      </c>
      <c r="Z30" s="7">
        <v>97040366.110751003</v>
      </c>
      <c r="AA30" s="7">
        <v>99026429.813353702</v>
      </c>
      <c r="AB30" s="7">
        <v>102080252.74782901</v>
      </c>
      <c r="AC30" s="7">
        <v>105206800.44989701</v>
      </c>
    </row>
    <row r="31" spans="1:29" x14ac:dyDescent="0.85">
      <c r="A31" t="s">
        <v>129</v>
      </c>
      <c r="B31" s="7">
        <v>1740.39021686</v>
      </c>
      <c r="C31" s="7">
        <v>2132.5476671699998</v>
      </c>
      <c r="D31" s="7">
        <v>2545.3878025200002</v>
      </c>
      <c r="E31" s="7">
        <v>2969.9881495599998</v>
      </c>
      <c r="F31" s="7">
        <v>3406.3848774399999</v>
      </c>
      <c r="G31" s="7">
        <v>3856.1083461600001</v>
      </c>
      <c r="H31" s="7">
        <v>4319.8092984100003</v>
      </c>
      <c r="I31" s="7">
        <v>4797.9418459999997</v>
      </c>
      <c r="J31" s="7">
        <v>5290.9723643099996</v>
      </c>
      <c r="K31" s="7">
        <v>5799.4495862499998</v>
      </c>
      <c r="L31" s="7">
        <v>6323.6745731999999</v>
      </c>
      <c r="M31" s="7">
        <v>6796.1153404200004</v>
      </c>
      <c r="N31" s="7">
        <v>6695.78756273</v>
      </c>
      <c r="O31" s="7">
        <v>7058.2589094599998</v>
      </c>
      <c r="P31" s="7">
        <v>7428.7717302000001</v>
      </c>
      <c r="Q31" s="7">
        <v>7644.2905211200004</v>
      </c>
      <c r="R31" s="7">
        <v>7867.4284135199996</v>
      </c>
      <c r="S31" s="7">
        <v>8098.5255900000002</v>
      </c>
      <c r="T31" s="7">
        <v>8332.6345225500008</v>
      </c>
      <c r="U31" s="7">
        <v>8507.0449005499995</v>
      </c>
      <c r="V31" s="7">
        <v>8683.8791430300007</v>
      </c>
      <c r="W31" s="7">
        <v>8959.3196728099992</v>
      </c>
      <c r="X31" s="7">
        <v>9245.4611566900003</v>
      </c>
      <c r="Y31" s="7">
        <v>9435.6723349299991</v>
      </c>
      <c r="Z31" s="7">
        <v>9632.3444068299996</v>
      </c>
      <c r="AA31" s="7">
        <v>9829.4834981599997</v>
      </c>
      <c r="AB31" s="7">
        <v>10132.609665559999</v>
      </c>
      <c r="AC31" s="7">
        <v>10442.954581579999</v>
      </c>
    </row>
    <row r="32" spans="1:29" x14ac:dyDescent="0.85">
      <c r="A32" t="s">
        <v>130</v>
      </c>
      <c r="B32" s="7">
        <v>0</v>
      </c>
      <c r="C32" s="7">
        <v>17.187359390000001</v>
      </c>
      <c r="D32" s="7">
        <v>20.514662170000001</v>
      </c>
      <c r="E32" s="7">
        <v>23.936746880000001</v>
      </c>
      <c r="F32" s="7">
        <v>27.453905020000001</v>
      </c>
      <c r="G32" s="7">
        <v>31.07847061</v>
      </c>
      <c r="H32" s="7">
        <v>34.81568832</v>
      </c>
      <c r="I32" s="7">
        <v>38.669218100000002</v>
      </c>
      <c r="J32" s="7">
        <v>42.64281871</v>
      </c>
      <c r="K32" s="7">
        <v>46.740912690000002</v>
      </c>
      <c r="L32" s="7">
        <v>50.965926449999998</v>
      </c>
      <c r="M32" s="7">
        <v>54.773583080000002</v>
      </c>
      <c r="N32" s="7">
        <v>53.964987049999998</v>
      </c>
      <c r="O32" s="7">
        <v>56.886340420000003</v>
      </c>
      <c r="P32" s="7">
        <v>59.872504390000003</v>
      </c>
      <c r="Q32" s="7">
        <v>61.60948733</v>
      </c>
      <c r="R32" s="7">
        <v>63.407876739999999</v>
      </c>
      <c r="S32" s="7">
        <v>65.270414349999996</v>
      </c>
      <c r="T32" s="7">
        <v>67.157225330000003</v>
      </c>
      <c r="U32" s="7">
        <v>68.562893250000002</v>
      </c>
      <c r="V32" s="7">
        <v>69.988096409999997</v>
      </c>
      <c r="W32" s="7">
        <v>72.208021180000003</v>
      </c>
      <c r="X32" s="7">
        <v>74.514190740000004</v>
      </c>
      <c r="Y32" s="7">
        <v>76.047205890000001</v>
      </c>
      <c r="Z32" s="7">
        <v>77.632292890000002</v>
      </c>
      <c r="AA32" s="7">
        <v>79.221143850000004</v>
      </c>
      <c r="AB32" s="7">
        <v>81.664202200000005</v>
      </c>
      <c r="AC32" s="7">
        <v>84.165440360000005</v>
      </c>
    </row>
    <row r="33" spans="1:29" x14ac:dyDescent="0.85">
      <c r="A33" t="s">
        <v>131</v>
      </c>
      <c r="B33" s="7">
        <v>7.0133749999999995E-2</v>
      </c>
      <c r="C33" s="7">
        <v>8.5936799999999994E-2</v>
      </c>
      <c r="D33" s="7">
        <v>0.10257331</v>
      </c>
      <c r="E33" s="7">
        <v>0.11968373</v>
      </c>
      <c r="F33" s="7">
        <v>0.13726953</v>
      </c>
      <c r="G33" s="7">
        <v>0.15539235000000001</v>
      </c>
      <c r="H33" s="7">
        <v>0.17407844</v>
      </c>
      <c r="I33" s="7">
        <v>0.19334609</v>
      </c>
      <c r="J33" s="7">
        <v>0.21321409</v>
      </c>
      <c r="K33" s="7">
        <v>0.23370456000000001</v>
      </c>
      <c r="L33" s="7">
        <v>0.25482962999999997</v>
      </c>
      <c r="M33" s="7">
        <v>0.27386791999999999</v>
      </c>
      <c r="N33" s="7">
        <v>0.26982494000000001</v>
      </c>
      <c r="O33" s="7">
        <v>0.28443170000000001</v>
      </c>
      <c r="P33" s="7">
        <v>0.29936252000000002</v>
      </c>
      <c r="Q33" s="7">
        <v>0.30804744000000001</v>
      </c>
      <c r="R33" s="7">
        <v>0.31703937999999998</v>
      </c>
      <c r="S33" s="7">
        <v>0.32635206999999999</v>
      </c>
      <c r="T33" s="7">
        <v>0.33578613000000002</v>
      </c>
      <c r="U33" s="7">
        <v>0.34281446999999998</v>
      </c>
      <c r="V33" s="7">
        <v>0.34994048</v>
      </c>
      <c r="W33" s="7">
        <v>0.36104011000000003</v>
      </c>
      <c r="X33" s="7">
        <v>0.37257095000000001</v>
      </c>
      <c r="Y33" s="7">
        <v>0.38023603</v>
      </c>
      <c r="Z33" s="7">
        <v>0.38816146000000001</v>
      </c>
      <c r="AA33" s="7">
        <v>0.39610571999999999</v>
      </c>
      <c r="AB33" s="7">
        <v>0.40832100999999998</v>
      </c>
      <c r="AC33" s="7">
        <v>0.42082720000000001</v>
      </c>
    </row>
    <row r="34" spans="1:29" x14ac:dyDescent="0.85">
      <c r="A34" t="s">
        <v>132</v>
      </c>
      <c r="B34" s="7">
        <v>1740.39021686</v>
      </c>
      <c r="C34" s="7">
        <v>2132.5476671699998</v>
      </c>
      <c r="D34" s="7">
        <v>2545.3878025200002</v>
      </c>
      <c r="E34" s="7">
        <v>2969.9881495599998</v>
      </c>
      <c r="F34" s="7">
        <v>3406.3848774399999</v>
      </c>
      <c r="G34" s="7">
        <v>3856.1083461600001</v>
      </c>
      <c r="H34" s="7">
        <v>4319.8092984100003</v>
      </c>
      <c r="I34" s="7">
        <v>4797.9418459999997</v>
      </c>
      <c r="J34" s="7">
        <v>5290.9723643099996</v>
      </c>
      <c r="K34" s="7">
        <v>5799.4495862499998</v>
      </c>
      <c r="L34" s="7">
        <v>6323.6745731999999</v>
      </c>
      <c r="M34" s="7">
        <v>6796.1153404200004</v>
      </c>
      <c r="N34" s="7">
        <v>6695.78756273</v>
      </c>
      <c r="O34" s="7">
        <v>7058.2589094599998</v>
      </c>
      <c r="P34" s="7">
        <v>7428.7717302000001</v>
      </c>
      <c r="Q34" s="7">
        <v>7644.2905211200004</v>
      </c>
      <c r="R34" s="7">
        <v>7867.4284135199996</v>
      </c>
      <c r="S34" s="7">
        <v>8098.5255900000002</v>
      </c>
      <c r="T34" s="7">
        <v>8332.6345225500008</v>
      </c>
      <c r="U34" s="7">
        <v>8507.0449005499995</v>
      </c>
      <c r="V34" s="7">
        <v>8683.8791430300007</v>
      </c>
      <c r="W34" s="7">
        <v>8959.3196728099992</v>
      </c>
      <c r="X34" s="7">
        <v>9245.4611566900003</v>
      </c>
      <c r="Y34" s="7">
        <v>9435.6723349299991</v>
      </c>
      <c r="Z34" s="7">
        <v>9632.3444068299996</v>
      </c>
      <c r="AA34" s="7">
        <v>9829.4834981599997</v>
      </c>
      <c r="AB34" s="7">
        <v>10132.609665559999</v>
      </c>
      <c r="AC34" s="7">
        <v>10442.954581579999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1.2433130299999999</v>
      </c>
      <c r="E36" s="7">
        <v>1.2154188100000001</v>
      </c>
      <c r="F36" s="7">
        <v>1.19471455</v>
      </c>
      <c r="G36" s="7">
        <v>1.1791814599999999</v>
      </c>
      <c r="H36" s="7">
        <v>1.1669181500000001</v>
      </c>
      <c r="I36" s="7">
        <v>1.1569522000000001</v>
      </c>
      <c r="J36" s="7">
        <v>1.1486970700000001</v>
      </c>
      <c r="K36" s="7">
        <v>1.1417652599999999</v>
      </c>
      <c r="L36" s="7">
        <v>1.13585917</v>
      </c>
      <c r="M36" s="7">
        <v>1.1307678699999999</v>
      </c>
      <c r="N36" s="7">
        <v>1.11948943</v>
      </c>
      <c r="O36" s="7">
        <v>1.02628904</v>
      </c>
      <c r="P36" s="7">
        <v>1.0980565</v>
      </c>
      <c r="Q36" s="7">
        <v>1.0963474099999999</v>
      </c>
      <c r="R36" s="7">
        <v>1.0718868399999999</v>
      </c>
      <c r="S36" s="7">
        <v>1.0720730599999999</v>
      </c>
      <c r="T36" s="7">
        <v>1.0722645</v>
      </c>
      <c r="U36" s="7">
        <v>1.07177875</v>
      </c>
      <c r="V36" s="7">
        <v>1.0634697900000001</v>
      </c>
      <c r="W36" s="7">
        <v>1.0633195799999999</v>
      </c>
      <c r="X36" s="7">
        <v>1.0747068799999999</v>
      </c>
      <c r="Y36" s="7">
        <v>1.0749352700000001</v>
      </c>
      <c r="Z36" s="7">
        <v>1.06309736</v>
      </c>
      <c r="AA36" s="7">
        <v>1.06337861</v>
      </c>
      <c r="AB36" s="7">
        <v>1.0629858000000001</v>
      </c>
      <c r="AC36" s="7">
        <v>1.07379007</v>
      </c>
    </row>
    <row r="37" spans="1:29" x14ac:dyDescent="0.85">
      <c r="A37" t="s">
        <v>135</v>
      </c>
      <c r="B37" s="7">
        <v>1</v>
      </c>
      <c r="C37" s="7">
        <v>1.2763826199999999</v>
      </c>
      <c r="D37" s="7">
        <v>1.24332303</v>
      </c>
      <c r="E37" s="7">
        <v>1.2154288099999999</v>
      </c>
      <c r="F37" s="7">
        <v>1.19472449</v>
      </c>
      <c r="G37" s="7">
        <v>1.1791913300000001</v>
      </c>
      <c r="H37" s="7">
        <v>1.16692814</v>
      </c>
      <c r="I37" s="7">
        <v>1.1569621999999999</v>
      </c>
      <c r="J37" s="7">
        <v>1.14870703</v>
      </c>
      <c r="K37" s="7">
        <v>1.1417737400000001</v>
      </c>
      <c r="L37" s="7">
        <v>1.1358252</v>
      </c>
      <c r="M37" s="7">
        <v>1.11948943</v>
      </c>
      <c r="N37" s="7">
        <v>1.02628904</v>
      </c>
      <c r="O37" s="7">
        <v>1.0980565</v>
      </c>
      <c r="P37" s="7">
        <v>1.0963474099999999</v>
      </c>
      <c r="Q37" s="7">
        <v>1.0718868399999999</v>
      </c>
      <c r="R37" s="7">
        <v>1.0720730599999999</v>
      </c>
      <c r="S37" s="7">
        <v>1.0722645</v>
      </c>
      <c r="T37" s="7">
        <v>1.07177875</v>
      </c>
      <c r="U37" s="7">
        <v>1.0634697900000001</v>
      </c>
      <c r="V37" s="7">
        <v>1.0633195799999999</v>
      </c>
      <c r="W37" s="7">
        <v>1.0747068799999999</v>
      </c>
      <c r="X37" s="7">
        <v>1.0749352700000001</v>
      </c>
      <c r="Y37" s="7">
        <v>1.06309736</v>
      </c>
      <c r="Z37" s="7">
        <v>1.06337861</v>
      </c>
      <c r="AA37" s="7">
        <v>1.0629858000000001</v>
      </c>
      <c r="AB37" s="7">
        <v>1.07379007</v>
      </c>
      <c r="AC37" s="7">
        <v>1.0735711800000001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1.24332303</v>
      </c>
      <c r="E38" s="7">
        <v>1.2154288099999999</v>
      </c>
      <c r="F38" s="7">
        <v>1.1947245500000001</v>
      </c>
      <c r="G38" s="7">
        <v>1.17919146</v>
      </c>
      <c r="H38" s="7">
        <v>1.1669281499999999</v>
      </c>
      <c r="I38" s="7">
        <v>1.1569621999999999</v>
      </c>
      <c r="J38" s="7">
        <v>1.1487070699999999</v>
      </c>
      <c r="K38" s="7">
        <v>1.14177526</v>
      </c>
      <c r="L38" s="7">
        <v>1.1358691700000001</v>
      </c>
      <c r="M38" s="7">
        <v>1.13077787</v>
      </c>
      <c r="N38" s="7">
        <v>1.12663772</v>
      </c>
      <c r="O38" s="7">
        <v>1.1302533400000001</v>
      </c>
      <c r="P38" s="7">
        <v>1.12737577</v>
      </c>
      <c r="Q38" s="7">
        <v>1.1247141</v>
      </c>
      <c r="R38" s="7">
        <v>1.12392085</v>
      </c>
      <c r="S38" s="7">
        <v>1.12335753</v>
      </c>
      <c r="T38" s="7">
        <v>1.1227844899999999</v>
      </c>
      <c r="U38" s="7">
        <v>1.1222688199999999</v>
      </c>
      <c r="V38" s="7">
        <v>1.12243373</v>
      </c>
      <c r="W38" s="7">
        <v>1.1226110300000001</v>
      </c>
      <c r="X38" s="7">
        <v>1.12179728</v>
      </c>
      <c r="Y38" s="7">
        <v>1.1209528099999999</v>
      </c>
      <c r="Z38" s="7">
        <v>1.1211303500000001</v>
      </c>
      <c r="AA38" s="7">
        <v>1.1212627900000001</v>
      </c>
      <c r="AB38" s="7">
        <v>1.1214449500000001</v>
      </c>
      <c r="AC38" s="7">
        <v>1.1206648299999999</v>
      </c>
    </row>
    <row r="39" spans="1:29" x14ac:dyDescent="0.85">
      <c r="A39" t="s">
        <v>137</v>
      </c>
      <c r="B39" s="7">
        <v>2286</v>
      </c>
      <c r="C39" s="7">
        <v>2691.6803044399999</v>
      </c>
      <c r="D39" s="7">
        <v>2684.1274062399998</v>
      </c>
      <c r="E39" s="7">
        <v>2617.0267100299998</v>
      </c>
      <c r="F39" s="7">
        <v>2551.60106215</v>
      </c>
      <c r="G39" s="7">
        <v>2487.8110355899998</v>
      </c>
      <c r="H39" s="7">
        <v>2425.6157597000001</v>
      </c>
      <c r="I39" s="7">
        <v>2364.9765960099999</v>
      </c>
      <c r="J39" s="7">
        <v>2305.8521811099999</v>
      </c>
      <c r="K39" s="7">
        <v>2248.2058765800002</v>
      </c>
      <c r="L39" s="7">
        <v>2192.0007298700002</v>
      </c>
      <c r="M39" s="7">
        <v>2145.87185318</v>
      </c>
      <c r="N39" s="7">
        <v>2092.2250568600002</v>
      </c>
      <c r="O39" s="7">
        <v>2039.9584186</v>
      </c>
      <c r="P39" s="7">
        <v>1988.9594582699999</v>
      </c>
      <c r="Q39" s="7">
        <v>1939.23547181</v>
      </c>
      <c r="R39" s="7">
        <v>1890.7545850199999</v>
      </c>
      <c r="S39" s="7">
        <v>1843.4857203900001</v>
      </c>
      <c r="T39" s="7">
        <v>1797.39857738</v>
      </c>
      <c r="U39" s="7">
        <v>1752.46361295</v>
      </c>
      <c r="V39" s="7">
        <v>1708.6520233000001</v>
      </c>
      <c r="W39" s="7">
        <v>1665.9357229</v>
      </c>
      <c r="X39" s="7">
        <v>1624.2873300199999</v>
      </c>
      <c r="Y39" s="7">
        <v>1583.6801467800001</v>
      </c>
      <c r="Z39" s="7">
        <v>1544.0881431099999</v>
      </c>
      <c r="AA39" s="7">
        <v>1505.48598885</v>
      </c>
      <c r="AB39" s="7">
        <v>1467.84883975</v>
      </c>
      <c r="AC39" s="7">
        <v>1431.1526188600001</v>
      </c>
    </row>
    <row r="40" spans="1:29" x14ac:dyDescent="0.85">
      <c r="A40" t="s">
        <v>138</v>
      </c>
      <c r="B40" s="7">
        <v>17091429.75</v>
      </c>
      <c r="C40" s="7">
        <v>20124525.298666801</v>
      </c>
      <c r="D40" s="7">
        <v>20068055.557201199</v>
      </c>
      <c r="E40" s="7">
        <v>19566372.7770622</v>
      </c>
      <c r="F40" s="7">
        <v>19077213.606159601</v>
      </c>
      <c r="G40" s="7">
        <v>18600283.2039873</v>
      </c>
      <c r="H40" s="7">
        <v>18135276.036611401</v>
      </c>
      <c r="I40" s="7">
        <v>17681903.33413</v>
      </c>
      <c r="J40" s="7">
        <v>17239855.207825001</v>
      </c>
      <c r="K40" s="7">
        <v>16808858.796085201</v>
      </c>
      <c r="L40" s="7">
        <v>16388637.3276945</v>
      </c>
      <c r="M40" s="7">
        <v>16043751.7534752</v>
      </c>
      <c r="N40" s="7">
        <v>15642657.9596761</v>
      </c>
      <c r="O40" s="7">
        <v>15251883.008233599</v>
      </c>
      <c r="P40" s="7">
        <v>14870585.9340606</v>
      </c>
      <c r="Q40" s="7">
        <v>14498821.2857092</v>
      </c>
      <c r="R40" s="7">
        <v>14136350.7535723</v>
      </c>
      <c r="S40" s="7">
        <v>13782941.9847349</v>
      </c>
      <c r="T40" s="7">
        <v>13438368.358222701</v>
      </c>
      <c r="U40" s="7">
        <v>13102409.146746799</v>
      </c>
      <c r="V40" s="7">
        <v>12774848.9231114</v>
      </c>
      <c r="W40" s="7">
        <v>12455477.701429101</v>
      </c>
      <c r="X40" s="7">
        <v>12144090.760346301</v>
      </c>
      <c r="Y40" s="7">
        <v>11840488.491404301</v>
      </c>
      <c r="Z40" s="7">
        <v>11544476.279128499</v>
      </c>
      <c r="AA40" s="7">
        <v>11255864.7408667</v>
      </c>
      <c r="AB40" s="7">
        <v>10974468.126989299</v>
      </c>
      <c r="AC40" s="7">
        <v>10700106.424593201</v>
      </c>
    </row>
    <row r="41" spans="1:29" x14ac:dyDescent="0.85">
      <c r="A41" t="s">
        <v>139</v>
      </c>
      <c r="B41" s="7">
        <v>17091429.75</v>
      </c>
      <c r="C41" s="7">
        <v>20124525.298666801</v>
      </c>
      <c r="D41" s="7">
        <v>20068055.557201199</v>
      </c>
      <c r="E41" s="7">
        <v>19566372.7770622</v>
      </c>
      <c r="F41" s="7">
        <v>19077213.606159601</v>
      </c>
      <c r="G41" s="7">
        <v>18600283.2039873</v>
      </c>
      <c r="H41" s="7">
        <v>18135276.036611401</v>
      </c>
      <c r="I41" s="7">
        <v>17681903.33413</v>
      </c>
      <c r="J41" s="7">
        <v>17239855.207825001</v>
      </c>
      <c r="K41" s="7">
        <v>16808858.796085201</v>
      </c>
      <c r="L41" s="7">
        <v>16388637.3276945</v>
      </c>
      <c r="M41" s="7">
        <v>16043751.7534752</v>
      </c>
      <c r="N41" s="7">
        <v>15642657.9596761</v>
      </c>
      <c r="O41" s="7">
        <v>15251883.008233599</v>
      </c>
      <c r="P41" s="7">
        <v>14870585.9340606</v>
      </c>
      <c r="Q41" s="7">
        <v>14498821.2857092</v>
      </c>
      <c r="R41" s="7">
        <v>14136350.7535723</v>
      </c>
      <c r="S41" s="7">
        <v>13782941.9847349</v>
      </c>
      <c r="T41" s="7">
        <v>13438368.358222701</v>
      </c>
      <c r="U41" s="7">
        <v>13102409.146746799</v>
      </c>
      <c r="V41" s="7">
        <v>12774848.9231114</v>
      </c>
      <c r="W41" s="7">
        <v>12455477.701429101</v>
      </c>
      <c r="X41" s="7">
        <v>12144090.760346301</v>
      </c>
      <c r="Y41" s="7">
        <v>11840488.491404301</v>
      </c>
      <c r="Z41" s="7">
        <v>11544476.279128499</v>
      </c>
      <c r="AA41" s="7">
        <v>11255864.7408667</v>
      </c>
      <c r="AB41" s="7">
        <v>10974468.126989299</v>
      </c>
      <c r="AC41" s="7">
        <v>10700106.424593201</v>
      </c>
    </row>
    <row r="42" spans="1:29" x14ac:dyDescent="0.85">
      <c r="A42" t="s">
        <v>140</v>
      </c>
      <c r="B42" s="7">
        <v>2638.4611737099999</v>
      </c>
      <c r="C42" s="7">
        <v>3106.6902779100001</v>
      </c>
      <c r="D42" s="7">
        <v>3097.9728550499999</v>
      </c>
      <c r="E42" s="7">
        <v>3020.52640638</v>
      </c>
      <c r="F42" s="7">
        <v>2945.0132691399999</v>
      </c>
      <c r="G42" s="7">
        <v>2871.3879367899999</v>
      </c>
      <c r="H42" s="7">
        <v>2799.6032374900001</v>
      </c>
      <c r="I42" s="7">
        <v>2729.6145765400001</v>
      </c>
      <c r="J42" s="7">
        <v>2661.37420664</v>
      </c>
      <c r="K42" s="7">
        <v>2594.83985115</v>
      </c>
      <c r="L42" s="7">
        <v>2529.9688551099998</v>
      </c>
      <c r="M42" s="7">
        <v>2476.7277134599999</v>
      </c>
      <c r="N42" s="7">
        <v>2414.80952063</v>
      </c>
      <c r="O42" s="7">
        <v>2354.4842820700001</v>
      </c>
      <c r="P42" s="7">
        <v>2295.6221751799999</v>
      </c>
      <c r="Q42" s="7">
        <v>2238.2316208000002</v>
      </c>
      <c r="R42" s="7">
        <v>2182.2758302799998</v>
      </c>
      <c r="S42" s="7">
        <v>2127.7189345199999</v>
      </c>
      <c r="T42" s="7">
        <v>2074.52596038</v>
      </c>
      <c r="U42" s="7">
        <v>2022.6628113500001</v>
      </c>
      <c r="V42" s="7">
        <v>1972.0962418399999</v>
      </c>
      <c r="W42" s="7">
        <v>1922.7938360099999</v>
      </c>
      <c r="X42" s="7">
        <v>1874.7239903300001</v>
      </c>
      <c r="Y42" s="7">
        <v>1827.8558905899999</v>
      </c>
      <c r="Z42" s="7">
        <v>1782.1594933199999</v>
      </c>
      <c r="AA42" s="7">
        <v>1737.6055629099999</v>
      </c>
      <c r="AB42" s="7">
        <v>1694.1654245499999</v>
      </c>
      <c r="AC42" s="7">
        <v>1651.81128906</v>
      </c>
    </row>
    <row r="43" spans="1:29" x14ac:dyDescent="0.85">
      <c r="A43" t="s">
        <v>141</v>
      </c>
      <c r="B43" s="7">
        <v>0</v>
      </c>
      <c r="C43" s="7">
        <v>12.07471518</v>
      </c>
      <c r="D43" s="7">
        <v>12.04083333</v>
      </c>
      <c r="E43" s="7">
        <v>11.73982367</v>
      </c>
      <c r="F43" s="7">
        <v>11.44632816</v>
      </c>
      <c r="G43" s="7">
        <v>11.16016992</v>
      </c>
      <c r="H43" s="7">
        <v>10.881165620000001</v>
      </c>
      <c r="I43" s="7">
        <v>10.609142</v>
      </c>
      <c r="J43" s="7">
        <v>10.34391312</v>
      </c>
      <c r="K43" s="7">
        <v>10.08531528</v>
      </c>
      <c r="L43" s="7">
        <v>9.8331824000000001</v>
      </c>
      <c r="M43" s="7">
        <v>9.6262510500000005</v>
      </c>
      <c r="N43" s="7">
        <v>9.3855947799999999</v>
      </c>
      <c r="O43" s="7">
        <v>9.1511297999999996</v>
      </c>
      <c r="P43" s="7">
        <v>8.9223515599999992</v>
      </c>
      <c r="Q43" s="7">
        <v>8.6992927699999996</v>
      </c>
      <c r="R43" s="7">
        <v>8.4818104499999993</v>
      </c>
      <c r="S43" s="7">
        <v>8.2697651899999993</v>
      </c>
      <c r="T43" s="7">
        <v>8.0630210099999999</v>
      </c>
      <c r="U43" s="7">
        <v>7.8614454900000004</v>
      </c>
      <c r="V43" s="7">
        <v>7.6649093500000003</v>
      </c>
      <c r="W43" s="7">
        <v>7.4732866199999997</v>
      </c>
      <c r="X43" s="7">
        <v>7.2864544599999999</v>
      </c>
      <c r="Y43" s="7">
        <v>7.1042930899999996</v>
      </c>
      <c r="Z43" s="7">
        <v>6.9266857699999997</v>
      </c>
      <c r="AA43" s="7">
        <v>6.7535188399999999</v>
      </c>
      <c r="AB43" s="7">
        <v>6.5846808799999996</v>
      </c>
      <c r="AC43" s="7">
        <v>6.42006385</v>
      </c>
    </row>
    <row r="44" spans="1:29" x14ac:dyDescent="0.85">
      <c r="A44" t="s">
        <v>142</v>
      </c>
      <c r="B44" s="7">
        <v>5.127429E-2</v>
      </c>
      <c r="C44" s="7">
        <v>6.0373580000000003E-2</v>
      </c>
      <c r="D44" s="7">
        <v>6.0204170000000001E-2</v>
      </c>
      <c r="E44" s="7">
        <v>5.869912E-2</v>
      </c>
      <c r="F44" s="7">
        <v>5.723164E-2</v>
      </c>
      <c r="G44" s="7">
        <v>5.5800849999999999E-2</v>
      </c>
      <c r="H44" s="7">
        <v>5.4405830000000002E-2</v>
      </c>
      <c r="I44" s="7">
        <v>5.3045710000000003E-2</v>
      </c>
      <c r="J44" s="7">
        <v>5.1719569999999999E-2</v>
      </c>
      <c r="K44" s="7">
        <v>5.0426579999999999E-2</v>
      </c>
      <c r="L44" s="7">
        <v>4.916591E-2</v>
      </c>
      <c r="M44" s="7">
        <v>4.8131260000000002E-2</v>
      </c>
      <c r="N44" s="7">
        <v>4.6927969999999999E-2</v>
      </c>
      <c r="O44" s="7">
        <v>4.5755650000000002E-2</v>
      </c>
      <c r="P44" s="7">
        <v>4.461176E-2</v>
      </c>
      <c r="Q44" s="7">
        <v>4.3496460000000001E-2</v>
      </c>
      <c r="R44" s="7">
        <v>4.2409049999999997E-2</v>
      </c>
      <c r="S44" s="7">
        <v>4.1348830000000003E-2</v>
      </c>
      <c r="T44" s="7">
        <v>4.0315110000000001E-2</v>
      </c>
      <c r="U44" s="7">
        <v>3.9307229999999999E-2</v>
      </c>
      <c r="V44" s="7">
        <v>3.8324549999999999E-2</v>
      </c>
      <c r="W44" s="7">
        <v>3.7366429999999999E-2</v>
      </c>
      <c r="X44" s="7">
        <v>3.6432270000000003E-2</v>
      </c>
      <c r="Y44" s="7">
        <v>3.5521469999999999E-2</v>
      </c>
      <c r="Z44" s="7">
        <v>3.463343E-2</v>
      </c>
      <c r="AA44" s="7">
        <v>3.376759E-2</v>
      </c>
      <c r="AB44" s="7">
        <v>3.2923399999999998E-2</v>
      </c>
      <c r="AC44" s="7">
        <v>3.2100320000000002E-2</v>
      </c>
    </row>
    <row r="45" spans="1:29" x14ac:dyDescent="0.85">
      <c r="A45" t="s">
        <v>143</v>
      </c>
      <c r="B45" s="7">
        <v>2465.6668189400002</v>
      </c>
      <c r="C45" s="7">
        <v>2903.2313271399998</v>
      </c>
      <c r="D45" s="7">
        <v>2895.0848133700001</v>
      </c>
      <c r="E45" s="7">
        <v>2822.7103775999999</v>
      </c>
      <c r="F45" s="7">
        <v>2752.1426395899998</v>
      </c>
      <c r="G45" s="7">
        <v>2683.3390736000001</v>
      </c>
      <c r="H45" s="7">
        <v>2616.2555967600001</v>
      </c>
      <c r="I45" s="7">
        <v>2550.8505338300001</v>
      </c>
      <c r="J45" s="7">
        <v>2487.07927049</v>
      </c>
      <c r="K45" s="7">
        <v>2424.9022887299998</v>
      </c>
      <c r="L45" s="7">
        <v>2364.2797317300001</v>
      </c>
      <c r="M45" s="7">
        <v>2314.5253832399999</v>
      </c>
      <c r="N45" s="7">
        <v>2256.6622486599999</v>
      </c>
      <c r="O45" s="7">
        <v>2200.2877448600002</v>
      </c>
      <c r="P45" s="7">
        <v>2145.2805513799999</v>
      </c>
      <c r="Q45" s="7">
        <v>2091.6485376000001</v>
      </c>
      <c r="R45" s="7">
        <v>2039.35732416</v>
      </c>
      <c r="S45" s="7">
        <v>1988.3733910599999</v>
      </c>
      <c r="T45" s="7">
        <v>1938.6640562800001</v>
      </c>
      <c r="U45" s="7">
        <v>1890.19745487</v>
      </c>
      <c r="V45" s="7">
        <v>1842.94251923</v>
      </c>
      <c r="W45" s="7">
        <v>1796.86895645</v>
      </c>
      <c r="X45" s="7">
        <v>1751.94723275</v>
      </c>
      <c r="Y45" s="7">
        <v>1708.1485519400001</v>
      </c>
      <c r="Z45" s="7">
        <v>1665.44483814</v>
      </c>
      <c r="AA45" s="7">
        <v>1623.8087703799999</v>
      </c>
      <c r="AB45" s="7">
        <v>1583.2135517900001</v>
      </c>
      <c r="AC45" s="7">
        <v>1543.63321311</v>
      </c>
    </row>
    <row r="46" spans="1:29" x14ac:dyDescent="0.85">
      <c r="A46" t="s">
        <v>144</v>
      </c>
      <c r="B46" s="7">
        <v>172.79435477000001</v>
      </c>
      <c r="C46" s="7">
        <v>203.45895077</v>
      </c>
      <c r="D46" s="7">
        <v>202.88804167999999</v>
      </c>
      <c r="E46" s="7">
        <v>197.81602878000001</v>
      </c>
      <c r="F46" s="7">
        <v>192.87062956</v>
      </c>
      <c r="G46" s="7">
        <v>188.04886318999999</v>
      </c>
      <c r="H46" s="7">
        <v>183.34764072999999</v>
      </c>
      <c r="I46" s="7">
        <v>178.76404271000001</v>
      </c>
      <c r="J46" s="7">
        <v>174.29493615000001</v>
      </c>
      <c r="K46" s="7">
        <v>169.93756243000001</v>
      </c>
      <c r="L46" s="7">
        <v>165.68912338000001</v>
      </c>
      <c r="M46" s="7">
        <v>162.20233023</v>
      </c>
      <c r="N46" s="7">
        <v>158.14727196999999</v>
      </c>
      <c r="O46" s="7">
        <v>154.19653721</v>
      </c>
      <c r="P46" s="7">
        <v>150.34162379</v>
      </c>
      <c r="Q46" s="7">
        <v>146.5830832</v>
      </c>
      <c r="R46" s="7">
        <v>142.91850611999999</v>
      </c>
      <c r="S46" s="7">
        <v>139.34554347</v>
      </c>
      <c r="T46" s="7">
        <v>135.8619041</v>
      </c>
      <c r="U46" s="7">
        <v>132.46535646999999</v>
      </c>
      <c r="V46" s="7">
        <v>129.15372260999999</v>
      </c>
      <c r="W46" s="7">
        <v>125.92487955999999</v>
      </c>
      <c r="X46" s="7">
        <v>122.77675759</v>
      </c>
      <c r="Y46" s="7">
        <v>119.70733865</v>
      </c>
      <c r="Z46" s="7">
        <v>116.71465517999999</v>
      </c>
      <c r="AA46" s="7">
        <v>113.79679253</v>
      </c>
      <c r="AB46" s="7">
        <v>110.95187276</v>
      </c>
      <c r="AC46" s="7">
        <v>108.17807594999999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1.2076543099999999</v>
      </c>
      <c r="E47" s="7">
        <v>1.0227630599999999</v>
      </c>
      <c r="F47" s="7">
        <v>1.00000095</v>
      </c>
      <c r="G47" s="7">
        <v>1.0000000099999999</v>
      </c>
      <c r="H47" s="7">
        <v>1</v>
      </c>
      <c r="I47" s="7">
        <v>1</v>
      </c>
      <c r="J47" s="7">
        <v>1.0000005199999999</v>
      </c>
      <c r="K47" s="7">
        <v>0.99999996999999996</v>
      </c>
      <c r="L47" s="7">
        <v>1</v>
      </c>
      <c r="M47" s="7">
        <v>1</v>
      </c>
      <c r="N47" s="7">
        <v>1.0040572400000001</v>
      </c>
      <c r="O47" s="7">
        <v>1</v>
      </c>
      <c r="P47" s="7">
        <v>1.00001911</v>
      </c>
      <c r="Q47" s="7">
        <v>1</v>
      </c>
      <c r="R47" s="7">
        <v>1</v>
      </c>
      <c r="S47" s="7">
        <v>1</v>
      </c>
      <c r="T47" s="7">
        <v>1</v>
      </c>
      <c r="U47" s="7">
        <v>0.99999998999999995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</v>
      </c>
      <c r="AB47" s="7">
        <v>1.00000003</v>
      </c>
      <c r="AC47" s="7">
        <v>1</v>
      </c>
    </row>
    <row r="48" spans="1:29" x14ac:dyDescent="0.85">
      <c r="A48" t="s">
        <v>146</v>
      </c>
      <c r="B48" s="7">
        <v>1</v>
      </c>
      <c r="C48" s="7">
        <v>1.2076543099999999</v>
      </c>
      <c r="D48" s="7">
        <v>1.0227630599999999</v>
      </c>
      <c r="E48" s="7">
        <v>1.00000095</v>
      </c>
      <c r="F48" s="7">
        <v>1.0000000099999999</v>
      </c>
      <c r="G48" s="7">
        <v>1</v>
      </c>
      <c r="H48" s="7">
        <v>1</v>
      </c>
      <c r="I48" s="7">
        <v>1.0000005199999999</v>
      </c>
      <c r="J48" s="7">
        <v>0.99999996999999996</v>
      </c>
      <c r="K48" s="7">
        <v>1</v>
      </c>
      <c r="L48" s="7">
        <v>1</v>
      </c>
      <c r="M48" s="7">
        <v>1.0040572400000001</v>
      </c>
      <c r="N48" s="7">
        <v>1</v>
      </c>
      <c r="O48" s="7">
        <v>1.00001911</v>
      </c>
      <c r="P48" s="7">
        <v>1</v>
      </c>
      <c r="Q48" s="7">
        <v>1</v>
      </c>
      <c r="R48" s="7">
        <v>1</v>
      </c>
      <c r="S48" s="7">
        <v>1</v>
      </c>
      <c r="T48" s="7">
        <v>0.99999998999999995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1.00000003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1.65858444</v>
      </c>
      <c r="E49" s="7">
        <v>1.6888811500000001</v>
      </c>
      <c r="F49" s="7">
        <v>1.73566541</v>
      </c>
      <c r="G49" s="7">
        <v>1.7870263099999999</v>
      </c>
      <c r="H49" s="7">
        <v>1.84195186</v>
      </c>
      <c r="I49" s="7">
        <v>1.9003448999999999</v>
      </c>
      <c r="J49" s="7">
        <v>1.9624104099999999</v>
      </c>
      <c r="K49" s="7">
        <v>2.0284924200000001</v>
      </c>
      <c r="L49" s="7">
        <v>2.09876818</v>
      </c>
      <c r="M49" s="7">
        <v>2.17343033</v>
      </c>
      <c r="N49" s="7">
        <v>2.2389261</v>
      </c>
      <c r="O49" s="7">
        <v>2.2934871999999999</v>
      </c>
      <c r="P49" s="7">
        <v>2.3608867899999999</v>
      </c>
      <c r="Q49" s="7">
        <v>2.4315810099999999</v>
      </c>
      <c r="R49" s="7">
        <v>2.4984917000000002</v>
      </c>
      <c r="S49" s="7">
        <v>2.5722057899999999</v>
      </c>
      <c r="T49" s="7">
        <v>2.6496836400000001</v>
      </c>
      <c r="U49" s="7">
        <v>2.7311604699999998</v>
      </c>
      <c r="V49" s="7">
        <v>2.8146602700000001</v>
      </c>
      <c r="W49" s="7">
        <v>2.9021911999999999</v>
      </c>
      <c r="X49" s="7">
        <v>2.9958888899999998</v>
      </c>
      <c r="Y49" s="7">
        <v>3.0939280600000001</v>
      </c>
      <c r="Z49" s="7">
        <v>3.1946854400000002</v>
      </c>
      <c r="AA49" s="7">
        <v>3.29991857</v>
      </c>
      <c r="AB49" s="7">
        <v>3.4105287</v>
      </c>
      <c r="AC49" s="7">
        <v>3.5279986299999999</v>
      </c>
    </row>
    <row r="50" spans="1:29" x14ac:dyDescent="0.85">
      <c r="A50" t="s">
        <v>148</v>
      </c>
      <c r="B50" s="7">
        <v>31948</v>
      </c>
      <c r="C50" s="7">
        <v>33147.569259049997</v>
      </c>
      <c r="D50" s="7">
        <v>33787.979164149998</v>
      </c>
      <c r="E50" s="7">
        <v>34450.207103920002</v>
      </c>
      <c r="F50" s="7">
        <v>35276.591562790003</v>
      </c>
      <c r="G50" s="7">
        <v>36142.809195100002</v>
      </c>
      <c r="H50" s="7">
        <v>37020.352542449997</v>
      </c>
      <c r="I50" s="7">
        <v>37909.550293109998</v>
      </c>
      <c r="J50" s="7">
        <v>38821.271249760001</v>
      </c>
      <c r="K50" s="7">
        <v>39750.816081440003</v>
      </c>
      <c r="L50" s="7">
        <v>40693.867676310001</v>
      </c>
      <c r="M50" s="7">
        <v>41662.004026540002</v>
      </c>
      <c r="N50" s="7">
        <v>42806.529753449999</v>
      </c>
      <c r="O50" s="7">
        <v>43846.959948800002</v>
      </c>
      <c r="P50" s="7">
        <v>44913.484198439997</v>
      </c>
      <c r="Q50" s="7">
        <v>46053.168314809998</v>
      </c>
      <c r="R50" s="7">
        <v>47222.18908122</v>
      </c>
      <c r="S50" s="7">
        <v>48410.425253670001</v>
      </c>
      <c r="T50" s="7">
        <v>49620.262455830001</v>
      </c>
      <c r="U50" s="7">
        <v>50875.891068659999</v>
      </c>
      <c r="V50" s="7">
        <v>52154.532438859998</v>
      </c>
      <c r="W50" s="7">
        <v>53420.770425449999</v>
      </c>
      <c r="X50" s="7">
        <v>54708.254504349999</v>
      </c>
      <c r="Y50" s="7">
        <v>56057.203664050001</v>
      </c>
      <c r="Z50" s="7">
        <v>57430.082766630003</v>
      </c>
      <c r="AA50" s="7">
        <v>58829.590775670003</v>
      </c>
      <c r="AB50" s="7">
        <v>60215.265000170002</v>
      </c>
      <c r="AC50" s="7">
        <v>61628.319433789999</v>
      </c>
    </row>
    <row r="51" spans="1:29" x14ac:dyDescent="0.85">
      <c r="A51" t="s">
        <v>149</v>
      </c>
      <c r="B51" s="7">
        <v>100102331.905</v>
      </c>
      <c r="C51" s="7">
        <v>100854852.871914</v>
      </c>
      <c r="D51" s="7">
        <v>99061063.075403199</v>
      </c>
      <c r="E51" s="7">
        <v>97597690.469904602</v>
      </c>
      <c r="F51" s="7">
        <v>96035739.325346202</v>
      </c>
      <c r="G51" s="7">
        <v>94415311.990624696</v>
      </c>
      <c r="H51" s="7">
        <v>92792612.476759195</v>
      </c>
      <c r="I51" s="7">
        <v>91190288.341957301</v>
      </c>
      <c r="J51" s="7">
        <v>89614842.094057798</v>
      </c>
      <c r="K51" s="7">
        <v>88056481.078050897</v>
      </c>
      <c r="L51" s="7">
        <v>86527708.166446701</v>
      </c>
      <c r="M51" s="7">
        <v>86299685.886997104</v>
      </c>
      <c r="N51" s="7">
        <v>90103780.340699404</v>
      </c>
      <c r="O51" s="7">
        <v>91445082.268202797</v>
      </c>
      <c r="P51" s="7">
        <v>92836353.601026893</v>
      </c>
      <c r="Q51" s="7">
        <v>95538639.796610698</v>
      </c>
      <c r="R51" s="7">
        <v>97870964.083294898</v>
      </c>
      <c r="S51" s="7">
        <v>100203238.651051</v>
      </c>
      <c r="T51" s="7">
        <v>102544512.70389999</v>
      </c>
      <c r="U51" s="7">
        <v>105298171.003361</v>
      </c>
      <c r="V51" s="7">
        <v>108093419.416024</v>
      </c>
      <c r="W51" s="7">
        <v>110470019.415646</v>
      </c>
      <c r="X51" s="7">
        <v>112886456.96906801</v>
      </c>
      <c r="Y51" s="7">
        <v>115807551.24027599</v>
      </c>
      <c r="Z51" s="7">
        <v>118799396.99828701</v>
      </c>
      <c r="AA51" s="7">
        <v>121815500.379694</v>
      </c>
      <c r="AB51" s="7">
        <v>124454363.846361</v>
      </c>
      <c r="AC51" s="7">
        <v>127077419.64227299</v>
      </c>
    </row>
    <row r="52" spans="1:29" x14ac:dyDescent="0.85">
      <c r="A52" t="s">
        <v>150</v>
      </c>
      <c r="B52" s="7">
        <v>100102331.905</v>
      </c>
      <c r="C52" s="7">
        <v>100854852.871914</v>
      </c>
      <c r="D52" s="7">
        <v>99061063.075403199</v>
      </c>
      <c r="E52" s="7">
        <v>97597690.469904602</v>
      </c>
      <c r="F52" s="7">
        <v>96035739.325346202</v>
      </c>
      <c r="G52" s="7">
        <v>94415311.990624696</v>
      </c>
      <c r="H52" s="7">
        <v>92792612.476759195</v>
      </c>
      <c r="I52" s="7">
        <v>91190288.341957301</v>
      </c>
      <c r="J52" s="7">
        <v>89614842.094057798</v>
      </c>
      <c r="K52" s="7">
        <v>88056481.078050897</v>
      </c>
      <c r="L52" s="7">
        <v>86527708.166446701</v>
      </c>
      <c r="M52" s="7">
        <v>86299685.886997104</v>
      </c>
      <c r="N52" s="7">
        <v>90103780.340699404</v>
      </c>
      <c r="O52" s="7">
        <v>91445082.268202797</v>
      </c>
      <c r="P52" s="7">
        <v>92836353.601026893</v>
      </c>
      <c r="Q52" s="7">
        <v>95538639.796610698</v>
      </c>
      <c r="R52" s="7">
        <v>97870964.083294898</v>
      </c>
      <c r="S52" s="7">
        <v>100203238.651051</v>
      </c>
      <c r="T52" s="7">
        <v>102544512.70389999</v>
      </c>
      <c r="U52" s="7">
        <v>105298171.003361</v>
      </c>
      <c r="V52" s="7">
        <v>108093419.416024</v>
      </c>
      <c r="W52" s="7">
        <v>110470019.415646</v>
      </c>
      <c r="X52" s="7">
        <v>112886456.96906801</v>
      </c>
      <c r="Y52" s="7">
        <v>115807551.24027599</v>
      </c>
      <c r="Z52" s="7">
        <v>118799396.99828701</v>
      </c>
      <c r="AA52" s="7">
        <v>121815500.379694</v>
      </c>
      <c r="AB52" s="7">
        <v>124454363.846361</v>
      </c>
      <c r="AC52" s="7">
        <v>127077419.64227299</v>
      </c>
    </row>
    <row r="53" spans="1:29" x14ac:dyDescent="0.85">
      <c r="A53" t="s">
        <v>151</v>
      </c>
      <c r="B53" s="7">
        <v>8501.0509103599998</v>
      </c>
      <c r="C53" s="7">
        <v>8746.8963066100005</v>
      </c>
      <c r="D53" s="7">
        <v>8824.5738728800006</v>
      </c>
      <c r="E53" s="7">
        <v>8914.4511465100004</v>
      </c>
      <c r="F53" s="7">
        <v>9033.0534135899998</v>
      </c>
      <c r="G53" s="7">
        <v>9157.7827439600005</v>
      </c>
      <c r="H53" s="7">
        <v>9284.6044188199994</v>
      </c>
      <c r="I53" s="7">
        <v>9414.1333703700002</v>
      </c>
      <c r="J53" s="7">
        <v>9548.5893975199997</v>
      </c>
      <c r="K53" s="7">
        <v>9686.8423878899994</v>
      </c>
      <c r="L53" s="7">
        <v>9828.3787232199993</v>
      </c>
      <c r="M53" s="7">
        <v>10006.410396179999</v>
      </c>
      <c r="N53" s="7">
        <v>10316.27584156</v>
      </c>
      <c r="O53" s="7">
        <v>10546.308683519999</v>
      </c>
      <c r="P53" s="7">
        <v>10782.509202589999</v>
      </c>
      <c r="Q53" s="7">
        <v>11064.572373249999</v>
      </c>
      <c r="R53" s="7">
        <v>11343.17181623</v>
      </c>
      <c r="S53" s="7">
        <v>11625.414016750001</v>
      </c>
      <c r="T53" s="7">
        <v>11911.97218022</v>
      </c>
      <c r="U53" s="7">
        <v>12217.27630969</v>
      </c>
      <c r="V53" s="7">
        <v>12527.95933062</v>
      </c>
      <c r="W53" s="7">
        <v>12826.07517772</v>
      </c>
      <c r="X53" s="7">
        <v>13129.19212706</v>
      </c>
      <c r="Y53" s="7">
        <v>13456.278813729999</v>
      </c>
      <c r="Z53" s="7">
        <v>13789.629862579999</v>
      </c>
      <c r="AA53" s="7">
        <v>14128.62264933</v>
      </c>
      <c r="AB53" s="7">
        <v>14455.787371279999</v>
      </c>
      <c r="AC53" s="7">
        <v>14787.75871346</v>
      </c>
    </row>
    <row r="54" spans="1:29" x14ac:dyDescent="0.85">
      <c r="A54" t="s">
        <v>152</v>
      </c>
      <c r="B54" s="7">
        <v>0</v>
      </c>
      <c r="C54" s="7">
        <v>9883.7755814499997</v>
      </c>
      <c r="D54" s="7">
        <v>9707.9841813900002</v>
      </c>
      <c r="E54" s="7">
        <v>9564.5736660500006</v>
      </c>
      <c r="F54" s="7">
        <v>9411.5024538800008</v>
      </c>
      <c r="G54" s="7">
        <v>9252.7005750799999</v>
      </c>
      <c r="H54" s="7">
        <v>9093.6760227199993</v>
      </c>
      <c r="I54" s="7">
        <v>8936.6482575099999</v>
      </c>
      <c r="J54" s="7">
        <v>8782.2545252199998</v>
      </c>
      <c r="K54" s="7">
        <v>8629.5351456499993</v>
      </c>
      <c r="L54" s="7">
        <v>8479.7154003100004</v>
      </c>
      <c r="M54" s="7">
        <v>8457.3692169299993</v>
      </c>
      <c r="N54" s="7">
        <v>8830.1704733900006</v>
      </c>
      <c r="O54" s="7">
        <v>8961.6180622800002</v>
      </c>
      <c r="P54" s="7">
        <v>9097.9626528999997</v>
      </c>
      <c r="Q54" s="7">
        <v>9362.7867000700007</v>
      </c>
      <c r="R54" s="7">
        <v>9591.3544801600001</v>
      </c>
      <c r="S54" s="7">
        <v>9819.9173878000001</v>
      </c>
      <c r="T54" s="7">
        <v>10049.36224498</v>
      </c>
      <c r="U54" s="7">
        <v>10319.220758330001</v>
      </c>
      <c r="V54" s="7">
        <v>10593.155102770001</v>
      </c>
      <c r="W54" s="7">
        <v>10826.06190273</v>
      </c>
      <c r="X54" s="7">
        <v>11062.87278297</v>
      </c>
      <c r="Y54" s="7">
        <v>11349.14002155</v>
      </c>
      <c r="Z54" s="7">
        <v>11642.34090583</v>
      </c>
      <c r="AA54" s="7">
        <v>11937.91903721</v>
      </c>
      <c r="AB54" s="7">
        <v>12196.527656939999</v>
      </c>
      <c r="AC54" s="7">
        <v>12453.587124940001</v>
      </c>
    </row>
    <row r="55" spans="1:29" x14ac:dyDescent="0.85">
      <c r="A55" t="s">
        <v>153</v>
      </c>
      <c r="B55" s="7">
        <v>49.050142630000003</v>
      </c>
      <c r="C55" s="7">
        <v>49.418877909999999</v>
      </c>
      <c r="D55" s="7">
        <v>48.539920909999999</v>
      </c>
      <c r="E55" s="7">
        <v>47.822868329999999</v>
      </c>
      <c r="F55" s="7">
        <v>47.057512269999997</v>
      </c>
      <c r="G55" s="7">
        <v>46.263502879999997</v>
      </c>
      <c r="H55" s="7">
        <v>45.468380109999998</v>
      </c>
      <c r="I55" s="7">
        <v>44.683241289999998</v>
      </c>
      <c r="J55" s="7">
        <v>43.911272629999999</v>
      </c>
      <c r="K55" s="7">
        <v>43.147675730000003</v>
      </c>
      <c r="L55" s="7">
        <v>42.398577000000003</v>
      </c>
      <c r="M55" s="7">
        <v>42.286846079999997</v>
      </c>
      <c r="N55" s="7">
        <v>44.150852370000003</v>
      </c>
      <c r="O55" s="7">
        <v>44.808090309999997</v>
      </c>
      <c r="P55" s="7">
        <v>45.489813259999998</v>
      </c>
      <c r="Q55" s="7">
        <v>46.813933499999997</v>
      </c>
      <c r="R55" s="7">
        <v>47.956772399999998</v>
      </c>
      <c r="S55" s="7">
        <v>49.099586940000002</v>
      </c>
      <c r="T55" s="7">
        <v>50.246811219999998</v>
      </c>
      <c r="U55" s="7">
        <v>51.596103790000001</v>
      </c>
      <c r="V55" s="7">
        <v>52.96577551</v>
      </c>
      <c r="W55" s="7">
        <v>54.130309509999996</v>
      </c>
      <c r="X55" s="7">
        <v>55.314363909999997</v>
      </c>
      <c r="Y55" s="7">
        <v>56.745700110000001</v>
      </c>
      <c r="Z55" s="7">
        <v>58.211704529999999</v>
      </c>
      <c r="AA55" s="7">
        <v>59.689595189999999</v>
      </c>
      <c r="AB55" s="7">
        <v>60.982638280000003</v>
      </c>
      <c r="AC55" s="7">
        <v>62.267935620000003</v>
      </c>
    </row>
    <row r="56" spans="1:29" x14ac:dyDescent="0.85">
      <c r="A56" t="s">
        <v>154</v>
      </c>
      <c r="B56" s="7">
        <v>6058.55401188</v>
      </c>
      <c r="C56" s="7">
        <v>6286.0378965299997</v>
      </c>
      <c r="D56" s="7">
        <v>6407.4839338399997</v>
      </c>
      <c r="E56" s="7">
        <v>6533.0674990500002</v>
      </c>
      <c r="F56" s="7">
        <v>6689.7813740499996</v>
      </c>
      <c r="G56" s="7">
        <v>6854.0491313900002</v>
      </c>
      <c r="H56" s="7">
        <v>7020.4646743900003</v>
      </c>
      <c r="I56" s="7">
        <v>7189.09033482</v>
      </c>
      <c r="J56" s="7">
        <v>7361.9872504200002</v>
      </c>
      <c r="K56" s="7">
        <v>7538.26424959</v>
      </c>
      <c r="L56" s="7">
        <v>7717.10264396</v>
      </c>
      <c r="M56" s="7">
        <v>7900.6980605400004</v>
      </c>
      <c r="N56" s="7">
        <v>8117.7436012400003</v>
      </c>
      <c r="O56" s="7">
        <v>8315.0486761800003</v>
      </c>
      <c r="P56" s="7">
        <v>8517.30217472</v>
      </c>
      <c r="Q56" s="7">
        <v>8733.4295622099999</v>
      </c>
      <c r="R56" s="7">
        <v>8955.1202926000005</v>
      </c>
      <c r="S56" s="7">
        <v>9180.4549936599997</v>
      </c>
      <c r="T56" s="7">
        <v>9409.8860702500006</v>
      </c>
      <c r="U56" s="7">
        <v>9648.0009372099994</v>
      </c>
      <c r="V56" s="7">
        <v>9890.4798968699997</v>
      </c>
      <c r="W56" s="7">
        <v>10130.60670398</v>
      </c>
      <c r="X56" s="7">
        <v>10374.76257701</v>
      </c>
      <c r="Y56" s="7">
        <v>10630.57456347</v>
      </c>
      <c r="Z56" s="7">
        <v>10890.92457582</v>
      </c>
      <c r="AA56" s="7">
        <v>11156.32444007</v>
      </c>
      <c r="AB56" s="7">
        <v>11419.100893430001</v>
      </c>
      <c r="AC56" s="7">
        <v>11687.069674189999</v>
      </c>
    </row>
    <row r="57" spans="1:29" x14ac:dyDescent="0.85">
      <c r="A57" t="s">
        <v>155</v>
      </c>
      <c r="B57" s="7">
        <v>2442.4968984799998</v>
      </c>
      <c r="C57" s="7">
        <v>2460.85841007</v>
      </c>
      <c r="D57" s="7">
        <v>2417.08993904</v>
      </c>
      <c r="E57" s="7">
        <v>2381.3836474700001</v>
      </c>
      <c r="F57" s="7">
        <v>2343.2720395400002</v>
      </c>
      <c r="G57" s="7">
        <v>2303.7336125699999</v>
      </c>
      <c r="H57" s="7">
        <v>2264.1397444300001</v>
      </c>
      <c r="I57" s="7">
        <v>2225.0430355399999</v>
      </c>
      <c r="J57" s="7">
        <v>2186.6021470999999</v>
      </c>
      <c r="K57" s="7">
        <v>2148.5781382999999</v>
      </c>
      <c r="L57" s="7">
        <v>2111.2760792600002</v>
      </c>
      <c r="M57" s="7">
        <v>2105.7123356400002</v>
      </c>
      <c r="N57" s="7">
        <v>2198.5322403099999</v>
      </c>
      <c r="O57" s="7">
        <v>2231.2600073399999</v>
      </c>
      <c r="P57" s="7">
        <v>2265.2070278699998</v>
      </c>
      <c r="Q57" s="7">
        <v>2331.1428110400002</v>
      </c>
      <c r="R57" s="7">
        <v>2388.0515236299998</v>
      </c>
      <c r="S57" s="7">
        <v>2444.9590230899998</v>
      </c>
      <c r="T57" s="7">
        <v>2502.0861099799999</v>
      </c>
      <c r="U57" s="7">
        <v>2569.27537248</v>
      </c>
      <c r="V57" s="7">
        <v>2637.4794337500002</v>
      </c>
      <c r="W57" s="7">
        <v>2695.4684737399998</v>
      </c>
      <c r="X57" s="7">
        <v>2754.4295500500002</v>
      </c>
      <c r="Y57" s="7">
        <v>2825.7042502600002</v>
      </c>
      <c r="Z57" s="7">
        <v>2898.70528676</v>
      </c>
      <c r="AA57" s="7">
        <v>2972.29820926</v>
      </c>
      <c r="AB57" s="7">
        <v>3036.6864778499998</v>
      </c>
      <c r="AC57" s="7">
        <v>3100.6890392700002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1.0807787</v>
      </c>
      <c r="E58" s="7">
        <v>1.0617916300000001</v>
      </c>
      <c r="F58" s="7">
        <v>1.06208283</v>
      </c>
      <c r="G58" s="7">
        <v>1.0666539500000001</v>
      </c>
      <c r="H58" s="7">
        <v>1.06724482</v>
      </c>
      <c r="I58" s="7">
        <v>1.0669582200000001</v>
      </c>
      <c r="J58" s="7">
        <v>1.06668662</v>
      </c>
      <c r="K58" s="7">
        <v>1.0667186500000001</v>
      </c>
      <c r="L58" s="7">
        <v>1.0666085599999999</v>
      </c>
      <c r="M58" s="7">
        <v>1.06637925</v>
      </c>
      <c r="N58" s="7">
        <v>1.06644867</v>
      </c>
      <c r="O58" s="7">
        <v>1.07028301</v>
      </c>
      <c r="P58" s="7">
        <v>1.0669848</v>
      </c>
      <c r="Q58" s="7">
        <v>1.0670039499999999</v>
      </c>
      <c r="R58" s="7">
        <v>1.06809906</v>
      </c>
      <c r="S58" s="7">
        <v>1.06810849</v>
      </c>
      <c r="T58" s="7">
        <v>1.0678777800000001</v>
      </c>
      <c r="U58" s="7">
        <v>1.0676992199999999</v>
      </c>
      <c r="V58" s="7">
        <v>1.0680257900000001</v>
      </c>
      <c r="W58" s="7">
        <v>1.06784642</v>
      </c>
      <c r="X58" s="7">
        <v>1.06695685</v>
      </c>
      <c r="Y58" s="7">
        <v>1.06677168</v>
      </c>
      <c r="Z58" s="7">
        <v>1.0673511899999999</v>
      </c>
      <c r="AA58" s="7">
        <v>1.0671777899999999</v>
      </c>
      <c r="AB58" s="7">
        <v>1.0670509399999999</v>
      </c>
      <c r="AC58" s="7">
        <v>1.06620212</v>
      </c>
    </row>
    <row r="59" spans="1:29" x14ac:dyDescent="0.85">
      <c r="A59" t="s">
        <v>157</v>
      </c>
      <c r="B59" s="7">
        <v>1</v>
      </c>
      <c r="C59" s="7">
        <v>1.0807787</v>
      </c>
      <c r="D59" s="7">
        <v>1.0617916300000001</v>
      </c>
      <c r="E59" s="7">
        <v>1.06208283</v>
      </c>
      <c r="F59" s="7">
        <v>1.0666539500000001</v>
      </c>
      <c r="G59" s="7">
        <v>1.06724482</v>
      </c>
      <c r="H59" s="7">
        <v>1.0669582200000001</v>
      </c>
      <c r="I59" s="7">
        <v>1.06668662</v>
      </c>
      <c r="J59" s="7">
        <v>1.0667186500000001</v>
      </c>
      <c r="K59" s="7">
        <v>1.0666085599999999</v>
      </c>
      <c r="L59" s="7">
        <v>1.06637925</v>
      </c>
      <c r="M59" s="7">
        <v>1.06644867</v>
      </c>
      <c r="N59" s="7">
        <v>1.07028301</v>
      </c>
      <c r="O59" s="7">
        <v>1.0669848</v>
      </c>
      <c r="P59" s="7">
        <v>1.0670039499999999</v>
      </c>
      <c r="Q59" s="7">
        <v>1.06809906</v>
      </c>
      <c r="R59" s="7">
        <v>1.06810849</v>
      </c>
      <c r="S59" s="7">
        <v>1.0678777800000001</v>
      </c>
      <c r="T59" s="7">
        <v>1.0676992199999999</v>
      </c>
      <c r="U59" s="7">
        <v>1.0680257900000001</v>
      </c>
      <c r="V59" s="7">
        <v>1.06784642</v>
      </c>
      <c r="W59" s="7">
        <v>1.06695685</v>
      </c>
      <c r="X59" s="7">
        <v>1.06677168</v>
      </c>
      <c r="Y59" s="7">
        <v>1.0673511899999999</v>
      </c>
      <c r="Z59" s="7">
        <v>1.0671777899999999</v>
      </c>
      <c r="AA59" s="7">
        <v>1.0670509399999999</v>
      </c>
      <c r="AB59" s="7">
        <v>1.06620212</v>
      </c>
      <c r="AC59" s="7">
        <v>1.0661111599999999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1.11183952</v>
      </c>
      <c r="E60" s="7">
        <v>1.1141086099999999</v>
      </c>
      <c r="F60" s="7">
        <v>1.1162866</v>
      </c>
      <c r="G60" s="7">
        <v>1.1182598100000001</v>
      </c>
      <c r="H60" s="7">
        <v>1.12020315</v>
      </c>
      <c r="I60" s="7">
        <v>1.1221583399999999</v>
      </c>
      <c r="J60" s="7">
        <v>1.12412566</v>
      </c>
      <c r="K60" s="7">
        <v>1.1260898500000001</v>
      </c>
      <c r="L60" s="7">
        <v>1.12805818</v>
      </c>
      <c r="M60" s="7">
        <v>1.13003798</v>
      </c>
      <c r="N60" s="7">
        <v>1.13119378</v>
      </c>
      <c r="O60" s="7">
        <v>1.1302382900000001</v>
      </c>
      <c r="P60" s="7">
        <v>1.1304875700000001</v>
      </c>
      <c r="Q60" s="7">
        <v>1.13071195</v>
      </c>
      <c r="R60" s="7">
        <v>1.1302629</v>
      </c>
      <c r="S60" s="7">
        <v>1.13007225</v>
      </c>
      <c r="T60" s="7">
        <v>1.12991164</v>
      </c>
      <c r="U60" s="7">
        <v>1.12977807</v>
      </c>
      <c r="V60" s="7">
        <v>1.12948603</v>
      </c>
      <c r="W60" s="7">
        <v>1.1292106</v>
      </c>
      <c r="X60" s="7">
        <v>1.1291315</v>
      </c>
      <c r="Y60" s="7">
        <v>1.1290544</v>
      </c>
      <c r="Z60" s="7">
        <v>1.1288107999999999</v>
      </c>
      <c r="AA60" s="7">
        <v>1.12856541</v>
      </c>
      <c r="AB60" s="7">
        <v>1.12834637</v>
      </c>
      <c r="AC60" s="7">
        <v>1.1282783199999999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1645.6156488300001</v>
      </c>
      <c r="G61" s="7">
        <v>1604.47525761</v>
      </c>
      <c r="H61" s="7">
        <v>1564.36337617</v>
      </c>
      <c r="I61" s="7">
        <v>1525.2542917599999</v>
      </c>
      <c r="J61" s="7">
        <v>1487.12293447</v>
      </c>
      <c r="K61" s="7">
        <v>1449.9448611099999</v>
      </c>
      <c r="L61" s="7">
        <v>1413.6962395800001</v>
      </c>
      <c r="M61" s="7">
        <v>1378.35383359</v>
      </c>
      <c r="N61" s="7">
        <v>1343.8949877499999</v>
      </c>
      <c r="O61" s="7">
        <v>1310.29761306</v>
      </c>
      <c r="P61" s="7">
        <v>1277.54017273</v>
      </c>
      <c r="Q61" s="7">
        <v>1245.60166841</v>
      </c>
      <c r="R61" s="7">
        <v>1214.4616266999999</v>
      </c>
      <c r="S61" s="7">
        <v>1184.1000860300001</v>
      </c>
      <c r="T61" s="7">
        <v>1154.4975838800001</v>
      </c>
      <c r="U61" s="7">
        <v>1125.63514429</v>
      </c>
      <c r="V61" s="7">
        <v>1097.4942656799999</v>
      </c>
      <c r="W61" s="7">
        <v>1070.0569090399999</v>
      </c>
      <c r="X61" s="7">
        <v>1043.3054863100001</v>
      </c>
      <c r="Y61" s="7">
        <v>1017.22284915</v>
      </c>
      <c r="Z61" s="7">
        <v>991.79227791999995</v>
      </c>
      <c r="AA61" s="7">
        <v>966.99747098</v>
      </c>
      <c r="AB61" s="7">
        <v>942.82253419999995</v>
      </c>
      <c r="AC61" s="7">
        <v>919.25197085000002</v>
      </c>
    </row>
    <row r="62" spans="1:29" x14ac:dyDescent="0.85">
      <c r="A62" t="s">
        <v>160</v>
      </c>
      <c r="B62" s="7">
        <v>5393197</v>
      </c>
      <c r="C62" s="7">
        <v>0.83579875999999997</v>
      </c>
      <c r="D62" s="7">
        <v>9.9999999999999995E-8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5393197</v>
      </c>
      <c r="C63" s="7">
        <v>0.83579875999999997</v>
      </c>
      <c r="D63" s="7">
        <v>9.9999999999999995E-8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1215.5348543099999</v>
      </c>
      <c r="C64" s="7">
        <v>1062.7317169</v>
      </c>
      <c r="D64" s="7">
        <v>1036.1634050099999</v>
      </c>
      <c r="E64" s="7">
        <v>1010.25931988</v>
      </c>
      <c r="F64" s="7">
        <v>985.00283688000002</v>
      </c>
      <c r="G64" s="7">
        <v>960.37776596000003</v>
      </c>
      <c r="H64" s="7">
        <v>936.36832181</v>
      </c>
      <c r="I64" s="7">
        <v>912.95911377000004</v>
      </c>
      <c r="J64" s="7">
        <v>890.13513592000004</v>
      </c>
      <c r="K64" s="7">
        <v>867.88175751999995</v>
      </c>
      <c r="L64" s="7">
        <v>846.18471359</v>
      </c>
      <c r="M64" s="7">
        <v>825.03009574999999</v>
      </c>
      <c r="N64" s="7">
        <v>804.40434334999998</v>
      </c>
      <c r="O64" s="7">
        <v>784.29423477</v>
      </c>
      <c r="P64" s="7">
        <v>764.68687890000001</v>
      </c>
      <c r="Q64" s="7">
        <v>745.56970693000005</v>
      </c>
      <c r="R64" s="7">
        <v>726.93046425</v>
      </c>
      <c r="S64" s="7">
        <v>708.75720264999995</v>
      </c>
      <c r="T64" s="7">
        <v>691.03827258000001</v>
      </c>
      <c r="U64" s="7">
        <v>673.76231576999999</v>
      </c>
      <c r="V64" s="7">
        <v>656.91825787000005</v>
      </c>
      <c r="W64" s="7">
        <v>640.49530143000004</v>
      </c>
      <c r="X64" s="7">
        <v>624.48291888999995</v>
      </c>
      <c r="Y64" s="7">
        <v>608.87084591999997</v>
      </c>
      <c r="Z64" s="7">
        <v>593.64907476999997</v>
      </c>
      <c r="AA64" s="7">
        <v>578.80784789999996</v>
      </c>
      <c r="AB64" s="7">
        <v>564.33765170000004</v>
      </c>
      <c r="AC64" s="7">
        <v>550.22921040999995</v>
      </c>
    </row>
    <row r="65" spans="1:29" x14ac:dyDescent="0.85">
      <c r="A65" t="s">
        <v>163</v>
      </c>
      <c r="B65" s="7">
        <v>0</v>
      </c>
      <c r="C65" s="7">
        <v>1.3706999999999999E-4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6.8999999999999996E-7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985.00283688000002</v>
      </c>
      <c r="G67" s="7">
        <v>960.37776596000003</v>
      </c>
      <c r="H67" s="7">
        <v>936.36832181</v>
      </c>
      <c r="I67" s="7">
        <v>912.95911377000004</v>
      </c>
      <c r="J67" s="7">
        <v>890.13513592000004</v>
      </c>
      <c r="K67" s="7">
        <v>867.88175751999995</v>
      </c>
      <c r="L67" s="7">
        <v>846.18471359</v>
      </c>
      <c r="M67" s="7">
        <v>825.03009574999999</v>
      </c>
      <c r="N67" s="7">
        <v>804.40434334999998</v>
      </c>
      <c r="O67" s="7">
        <v>784.29423477</v>
      </c>
      <c r="P67" s="7">
        <v>764.68687890000001</v>
      </c>
      <c r="Q67" s="7">
        <v>745.56970693000005</v>
      </c>
      <c r="R67" s="7">
        <v>726.93046425</v>
      </c>
      <c r="S67" s="7">
        <v>708.75720264999995</v>
      </c>
      <c r="T67" s="7">
        <v>691.03827258000001</v>
      </c>
      <c r="U67" s="7">
        <v>673.76231576999999</v>
      </c>
      <c r="V67" s="7">
        <v>656.91825787000005</v>
      </c>
      <c r="W67" s="7">
        <v>640.49530143000004</v>
      </c>
      <c r="X67" s="7">
        <v>624.48291888999995</v>
      </c>
      <c r="Y67" s="7">
        <v>608.87084591999997</v>
      </c>
      <c r="Z67" s="7">
        <v>593.64907476999997</v>
      </c>
      <c r="AA67" s="7">
        <v>578.80784789999996</v>
      </c>
      <c r="AB67" s="7">
        <v>564.33765170000004</v>
      </c>
      <c r="AC67" s="7">
        <v>550.22921040999995</v>
      </c>
    </row>
    <row r="68" spans="1:29" x14ac:dyDescent="0.85">
      <c r="A68" t="s">
        <v>166</v>
      </c>
      <c r="B68" s="7">
        <v>125.55362615999999</v>
      </c>
      <c r="C68" s="7">
        <v>1.946E-5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1.6E-7</v>
      </c>
      <c r="E69" s="7">
        <v>1.3E-7</v>
      </c>
      <c r="F69" s="7">
        <v>9.9999999999999995E-8</v>
      </c>
      <c r="G69" s="7">
        <v>8.9999999999999999E-8</v>
      </c>
      <c r="H69" s="7">
        <v>8.0000000000000002E-8</v>
      </c>
      <c r="I69" s="7">
        <v>8.0000000000000002E-8</v>
      </c>
      <c r="J69" s="7">
        <v>7.0000000000000005E-8</v>
      </c>
      <c r="K69" s="7">
        <v>7.0000000000000005E-8</v>
      </c>
      <c r="L69" s="7">
        <v>8.0000000000000002E-8</v>
      </c>
      <c r="M69" s="7">
        <v>8.9999999999999999E-8</v>
      </c>
      <c r="N69" s="7">
        <v>0</v>
      </c>
      <c r="O69" s="7">
        <v>0</v>
      </c>
      <c r="P69" s="7">
        <v>9.1091699999999998E-2</v>
      </c>
      <c r="Q69" s="7">
        <v>9.7127099999999994E-2</v>
      </c>
      <c r="R69" s="7">
        <v>6.4234639999999996E-2</v>
      </c>
      <c r="S69" s="7">
        <v>6.4424259999999997E-2</v>
      </c>
      <c r="T69" s="7">
        <v>6.7078189999999996E-2</v>
      </c>
      <c r="U69" s="7">
        <v>0</v>
      </c>
      <c r="V69" s="7">
        <v>5.0728999999999998E-4</v>
      </c>
      <c r="W69" s="7">
        <v>5.3280000000000005E-4</v>
      </c>
      <c r="X69" s="7">
        <v>1.3419700000000001E-3</v>
      </c>
      <c r="Y69" s="7">
        <v>4.9220499999999999E-3</v>
      </c>
      <c r="Z69" s="7">
        <v>5.7624E-3</v>
      </c>
      <c r="AA69" s="7">
        <v>5.9883000000000002E-3</v>
      </c>
      <c r="AB69" s="7">
        <v>6.9027000000000003E-3</v>
      </c>
      <c r="AC69" s="7">
        <v>3.8644329999999998E-2</v>
      </c>
    </row>
    <row r="70" spans="1:29" x14ac:dyDescent="0.85">
      <c r="A70" t="s">
        <v>168</v>
      </c>
      <c r="B70" s="7">
        <v>1</v>
      </c>
      <c r="C70" s="7">
        <v>1.6E-7</v>
      </c>
      <c r="D70" s="7">
        <v>1.3E-7</v>
      </c>
      <c r="E70" s="7">
        <v>9.9999999999999995E-8</v>
      </c>
      <c r="F70" s="7">
        <v>8.9999999999999999E-8</v>
      </c>
      <c r="G70" s="7">
        <v>8.0000000000000002E-8</v>
      </c>
      <c r="H70" s="7">
        <v>8.0000000000000002E-8</v>
      </c>
      <c r="I70" s="7">
        <v>7.0000000000000005E-8</v>
      </c>
      <c r="J70" s="7">
        <v>7.0000000000000005E-8</v>
      </c>
      <c r="K70" s="7">
        <v>8.0000000000000002E-8</v>
      </c>
      <c r="L70" s="7">
        <v>8.9999999999999999E-8</v>
      </c>
      <c r="M70" s="7">
        <v>0</v>
      </c>
      <c r="N70" s="7">
        <v>0</v>
      </c>
      <c r="O70" s="7">
        <v>9.1091699999999998E-2</v>
      </c>
      <c r="P70" s="7">
        <v>9.7127099999999994E-2</v>
      </c>
      <c r="Q70" s="7">
        <v>6.4234639999999996E-2</v>
      </c>
      <c r="R70" s="7">
        <v>6.4424259999999997E-2</v>
      </c>
      <c r="S70" s="7">
        <v>6.7078189999999996E-2</v>
      </c>
      <c r="T70" s="7">
        <v>0</v>
      </c>
      <c r="U70" s="7">
        <v>5.0728999999999998E-4</v>
      </c>
      <c r="V70" s="7">
        <v>5.3280000000000005E-4</v>
      </c>
      <c r="W70" s="7">
        <v>1.3419700000000001E-3</v>
      </c>
      <c r="X70" s="7">
        <v>4.9220499999999999E-3</v>
      </c>
      <c r="Y70" s="7">
        <v>5.7624E-3</v>
      </c>
      <c r="Z70" s="7">
        <v>5.9883000000000002E-3</v>
      </c>
      <c r="AA70" s="7">
        <v>6.9027000000000003E-3</v>
      </c>
      <c r="AB70" s="7">
        <v>3.8644329999999998E-2</v>
      </c>
      <c r="AC70" s="7">
        <v>3.2171379999999999E-2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5.13399641</v>
      </c>
      <c r="E71" s="7">
        <v>5.4272691000000002</v>
      </c>
      <c r="F71" s="7">
        <v>5.7355358900000004</v>
      </c>
      <c r="G71" s="7">
        <v>6.0739540500000002</v>
      </c>
      <c r="H71" s="7">
        <v>6.4358597599999996</v>
      </c>
      <c r="I71" s="7">
        <v>6.8206128899999996</v>
      </c>
      <c r="J71" s="7">
        <v>7.2295671400000003</v>
      </c>
      <c r="K71" s="7">
        <v>7.6649833000000003</v>
      </c>
      <c r="L71" s="7">
        <v>8.1280321499999992</v>
      </c>
      <c r="M71" s="7">
        <v>8.6199830199999994</v>
      </c>
      <c r="N71" s="7">
        <v>9.0841222500000001</v>
      </c>
      <c r="O71" s="7">
        <v>9.4450854100000008</v>
      </c>
      <c r="P71" s="7">
        <v>9.89115447</v>
      </c>
      <c r="Q71" s="7">
        <v>10.35885934</v>
      </c>
      <c r="R71" s="7">
        <v>10.80153288</v>
      </c>
      <c r="S71" s="7">
        <v>11.289216890000001</v>
      </c>
      <c r="T71" s="7">
        <v>11.801801530000001</v>
      </c>
      <c r="U71" s="7">
        <v>12.34084296</v>
      </c>
      <c r="V71" s="7">
        <v>12.89326814</v>
      </c>
      <c r="W71" s="7">
        <v>13.47236281</v>
      </c>
      <c r="X71" s="7">
        <v>14.092256130000001</v>
      </c>
      <c r="Y71" s="7">
        <v>14.740872120000001</v>
      </c>
      <c r="Z71" s="7">
        <v>15.407471449999999</v>
      </c>
      <c r="AA71" s="7">
        <v>16.103681900000002</v>
      </c>
      <c r="AB71" s="7">
        <v>16.835466449999998</v>
      </c>
      <c r="AC71" s="7">
        <v>17.612634140000001</v>
      </c>
    </row>
    <row r="72" spans="1:29" x14ac:dyDescent="0.85">
      <c r="A72" t="s">
        <v>170</v>
      </c>
      <c r="B72" s="7">
        <v>0</v>
      </c>
      <c r="C72" s="7">
        <v>132.65965704000001</v>
      </c>
      <c r="D72" s="7">
        <v>125.40628341</v>
      </c>
      <c r="E72" s="7">
        <v>112.86666612</v>
      </c>
      <c r="F72" s="7">
        <v>101.58024449</v>
      </c>
      <c r="G72" s="7">
        <v>91.426949160000007</v>
      </c>
      <c r="H72" s="7">
        <v>82.284254239999996</v>
      </c>
      <c r="I72" s="7">
        <v>74.055836279999994</v>
      </c>
      <c r="J72" s="7">
        <v>66.65054087</v>
      </c>
      <c r="K72" s="7">
        <v>59.985986130000001</v>
      </c>
      <c r="L72" s="7">
        <v>53.987390570000002</v>
      </c>
      <c r="M72" s="7">
        <v>51.720631359999999</v>
      </c>
      <c r="N72" s="7">
        <v>50.68437814</v>
      </c>
      <c r="O72" s="7">
        <v>56.952893779999997</v>
      </c>
      <c r="P72" s="7">
        <v>55.735275110000003</v>
      </c>
      <c r="Q72" s="7">
        <v>56.622983130000001</v>
      </c>
      <c r="R72" s="7">
        <v>50.961134459999997</v>
      </c>
      <c r="S72" s="7">
        <v>45.867598899999997</v>
      </c>
      <c r="T72" s="7">
        <v>41.280843599999997</v>
      </c>
      <c r="U72" s="7">
        <v>37.153141470000001</v>
      </c>
      <c r="V72" s="7">
        <v>33.437829000000001</v>
      </c>
      <c r="W72" s="7">
        <v>30.177348980000001</v>
      </c>
      <c r="X72" s="7">
        <v>27.159614080000001</v>
      </c>
      <c r="Y72" s="7">
        <v>24.44365273</v>
      </c>
      <c r="Z72" s="7">
        <v>22.007153259999999</v>
      </c>
      <c r="AA72" s="7">
        <v>19.807612859999999</v>
      </c>
      <c r="AB72" s="7">
        <v>19.711751490000001</v>
      </c>
      <c r="AC72" s="7">
        <v>17.74092967</v>
      </c>
    </row>
    <row r="73" spans="1:29" x14ac:dyDescent="0.85">
      <c r="A73" t="s">
        <v>171</v>
      </c>
      <c r="B73" s="7">
        <v>0</v>
      </c>
      <c r="C73" s="7">
        <v>33.164907360000001</v>
      </c>
      <c r="D73" s="7">
        <v>1.5031467300000001</v>
      </c>
      <c r="E73" s="7">
        <v>34.554922480000002</v>
      </c>
      <c r="F73" s="7">
        <v>39.240418290000001</v>
      </c>
      <c r="G73" s="7">
        <v>37.446893289999998</v>
      </c>
      <c r="H73" s="7">
        <v>36.324115810000002</v>
      </c>
      <c r="I73" s="7">
        <v>35.839848969999998</v>
      </c>
      <c r="J73" s="7">
        <v>30.69490622</v>
      </c>
      <c r="K73" s="7">
        <v>23.362915480000002</v>
      </c>
      <c r="L73" s="7">
        <v>16.166773039999999</v>
      </c>
      <c r="M73" s="7">
        <v>12.9301578</v>
      </c>
      <c r="N73" s="7">
        <v>24.909491169999999</v>
      </c>
      <c r="O73" s="7">
        <v>27.76983135</v>
      </c>
      <c r="P73" s="7">
        <v>26.833090640000002</v>
      </c>
      <c r="Q73" s="7">
        <v>25.132193730000001</v>
      </c>
      <c r="R73" s="7">
        <v>17.720202780000001</v>
      </c>
      <c r="S73" s="7">
        <v>11.46689973</v>
      </c>
      <c r="T73" s="7">
        <v>10.320208490000001</v>
      </c>
      <c r="U73" s="7">
        <v>9.2882850900000005</v>
      </c>
      <c r="V73" s="7">
        <v>8.3594571700000007</v>
      </c>
      <c r="W73" s="7">
        <v>7.5443365099999999</v>
      </c>
      <c r="X73" s="7">
        <v>6.7899035200000002</v>
      </c>
      <c r="Y73" s="7">
        <v>6.1109131799999998</v>
      </c>
      <c r="Z73" s="7">
        <v>5.5017883100000002</v>
      </c>
      <c r="AA73" s="7">
        <v>4.9519032100000002</v>
      </c>
      <c r="AB73" s="7">
        <v>4.9279375400000003</v>
      </c>
      <c r="AC73" s="7">
        <v>4.4352324100000002</v>
      </c>
    </row>
    <row r="74" spans="1:29" x14ac:dyDescent="0.85">
      <c r="A74" t="s">
        <v>172</v>
      </c>
      <c r="B74" s="7">
        <v>0</v>
      </c>
      <c r="C74" s="7">
        <v>33.164907360000001</v>
      </c>
      <c r="D74" s="7">
        <v>1.5031467300000001</v>
      </c>
      <c r="E74" s="7">
        <v>34.554922480000002</v>
      </c>
      <c r="F74" s="7">
        <v>39.240418290000001</v>
      </c>
      <c r="G74" s="7">
        <v>37.446893289999998</v>
      </c>
      <c r="H74" s="7">
        <v>36.324115810000002</v>
      </c>
      <c r="I74" s="7">
        <v>35.839848969999998</v>
      </c>
      <c r="J74" s="7">
        <v>30.69490622</v>
      </c>
      <c r="K74" s="7">
        <v>23.362915480000002</v>
      </c>
      <c r="L74" s="7">
        <v>16.166773039999999</v>
      </c>
      <c r="M74" s="7">
        <v>12.9301578</v>
      </c>
      <c r="N74" s="7">
        <v>24.909491169999999</v>
      </c>
      <c r="O74" s="7">
        <v>27.76983135</v>
      </c>
      <c r="P74" s="7">
        <v>26.833090640000002</v>
      </c>
      <c r="Q74" s="7">
        <v>25.132193730000001</v>
      </c>
      <c r="R74" s="7">
        <v>17.720202780000001</v>
      </c>
      <c r="S74" s="7">
        <v>11.46689973</v>
      </c>
      <c r="T74" s="7">
        <v>10.320208490000001</v>
      </c>
      <c r="U74" s="7">
        <v>9.2882850900000005</v>
      </c>
      <c r="V74" s="7">
        <v>8.3594571700000007</v>
      </c>
      <c r="W74" s="7">
        <v>7.5443365099999999</v>
      </c>
      <c r="X74" s="7">
        <v>6.7899035200000002</v>
      </c>
      <c r="Y74" s="7">
        <v>6.1109131799999998</v>
      </c>
      <c r="Z74" s="7">
        <v>5.5017883100000002</v>
      </c>
      <c r="AA74" s="7">
        <v>4.9519032100000002</v>
      </c>
      <c r="AB74" s="7">
        <v>4.9279375400000003</v>
      </c>
      <c r="AC74" s="7">
        <v>4.4352324100000002</v>
      </c>
    </row>
    <row r="75" spans="1:29" x14ac:dyDescent="0.85">
      <c r="A75" t="s">
        <v>173</v>
      </c>
      <c r="B75" s="7">
        <v>0</v>
      </c>
      <c r="C75" s="7">
        <v>35.230412680000001</v>
      </c>
      <c r="D75" s="7">
        <v>33.303723910000002</v>
      </c>
      <c r="E75" s="7">
        <v>29.974077210000001</v>
      </c>
      <c r="F75" s="7">
        <v>26.976846649999999</v>
      </c>
      <c r="G75" s="7">
        <v>24.280447219999999</v>
      </c>
      <c r="H75" s="7">
        <v>21.852438599999999</v>
      </c>
      <c r="I75" s="7">
        <v>19.667240069999998</v>
      </c>
      <c r="J75" s="7">
        <v>17.700571109999998</v>
      </c>
      <c r="K75" s="7">
        <v>15.930587920000001</v>
      </c>
      <c r="L75" s="7">
        <v>14.33746301</v>
      </c>
      <c r="M75" s="7">
        <v>13.735443220000001</v>
      </c>
      <c r="N75" s="7">
        <v>13.460414070000001</v>
      </c>
      <c r="O75" s="7">
        <v>15.125160989999999</v>
      </c>
      <c r="P75" s="7">
        <v>14.80178941</v>
      </c>
      <c r="Q75" s="7">
        <v>15.037511459999999</v>
      </c>
      <c r="R75" s="7">
        <v>13.53381227</v>
      </c>
      <c r="S75" s="7">
        <v>12.18105394</v>
      </c>
      <c r="T75" s="7">
        <v>10.962949760000001</v>
      </c>
      <c r="U75" s="7">
        <v>9.8667562899999997</v>
      </c>
      <c r="V75" s="7">
        <v>8.8800811100000008</v>
      </c>
      <c r="W75" s="7">
        <v>8.0141957399999999</v>
      </c>
      <c r="X75" s="7">
        <v>7.2127761599999998</v>
      </c>
      <c r="Y75" s="7">
        <v>6.4914985600000001</v>
      </c>
      <c r="Z75" s="7">
        <v>5.8444376299999998</v>
      </c>
      <c r="AA75" s="7">
        <v>5.2603058899999997</v>
      </c>
      <c r="AB75" s="7">
        <v>5.2348479899999996</v>
      </c>
      <c r="AC75" s="7">
        <v>4.71145703</v>
      </c>
    </row>
    <row r="76" spans="1:29" x14ac:dyDescent="0.85">
      <c r="A76" t="s">
        <v>174</v>
      </c>
      <c r="B76" s="7">
        <v>0</v>
      </c>
      <c r="C76" s="7">
        <v>7.3791999999999998E-4</v>
      </c>
      <c r="D76" s="7">
        <v>3.345E-5</v>
      </c>
      <c r="E76" s="7">
        <v>7.6884999999999996E-4</v>
      </c>
      <c r="F76" s="7">
        <v>8.7310000000000003E-4</v>
      </c>
      <c r="G76" s="7">
        <v>8.3319000000000004E-4</v>
      </c>
      <c r="H76" s="7">
        <v>8.0820999999999996E-4</v>
      </c>
      <c r="I76" s="7">
        <v>7.9743999999999995E-4</v>
      </c>
      <c r="J76" s="7">
        <v>6.8296000000000003E-4</v>
      </c>
      <c r="K76" s="7">
        <v>5.1982000000000005E-4</v>
      </c>
      <c r="L76" s="7">
        <v>3.5971000000000001E-4</v>
      </c>
      <c r="M76" s="7">
        <v>2.877E-4</v>
      </c>
      <c r="N76" s="7">
        <v>5.5424000000000001E-4</v>
      </c>
      <c r="O76" s="7">
        <v>6.1788000000000001E-4</v>
      </c>
      <c r="P76" s="7">
        <v>5.9703999999999996E-4</v>
      </c>
      <c r="Q76" s="7">
        <v>5.5918999999999999E-4</v>
      </c>
      <c r="R76" s="7">
        <v>3.9427E-4</v>
      </c>
      <c r="S76" s="7">
        <v>2.5514E-4</v>
      </c>
      <c r="T76" s="7">
        <v>2.2961999999999999E-4</v>
      </c>
      <c r="U76" s="7">
        <v>2.0666E-4</v>
      </c>
      <c r="V76" s="7">
        <v>1.8599999999999999E-4</v>
      </c>
      <c r="W76" s="7">
        <v>1.6786000000000001E-4</v>
      </c>
      <c r="X76" s="7">
        <v>1.5108E-4</v>
      </c>
      <c r="Y76" s="7">
        <v>1.3596999999999999E-4</v>
      </c>
      <c r="Z76" s="7">
        <v>1.2240999999999999E-4</v>
      </c>
      <c r="AA76" s="7">
        <v>1.1018000000000001E-4</v>
      </c>
      <c r="AB76" s="7">
        <v>1.0965E-4</v>
      </c>
      <c r="AC76" s="7">
        <v>9.8679999999999997E-5</v>
      </c>
    </row>
    <row r="77" spans="1:29" x14ac:dyDescent="0.85">
      <c r="A77" t="s">
        <v>175</v>
      </c>
      <c r="B77" s="7">
        <v>0</v>
      </c>
      <c r="C77" s="7">
        <v>3.6899999999999998E-6</v>
      </c>
      <c r="D77" s="7">
        <v>1.6999999999999999E-7</v>
      </c>
      <c r="E77" s="7">
        <v>3.8399999999999997E-6</v>
      </c>
      <c r="F77" s="7">
        <v>4.3699999999999997E-6</v>
      </c>
      <c r="G77" s="7">
        <v>4.1699999999999999E-6</v>
      </c>
      <c r="H77" s="7">
        <v>4.0400000000000003E-6</v>
      </c>
      <c r="I77" s="7">
        <v>3.9899999999999999E-6</v>
      </c>
      <c r="J77" s="7">
        <v>3.41E-6</v>
      </c>
      <c r="K77" s="7">
        <v>2.6000000000000001E-6</v>
      </c>
      <c r="L77" s="7">
        <v>1.7999999999999999E-6</v>
      </c>
      <c r="M77" s="7">
        <v>1.44E-6</v>
      </c>
      <c r="N77" s="7">
        <v>2.7700000000000002E-6</v>
      </c>
      <c r="O77" s="7">
        <v>3.0900000000000001E-6</v>
      </c>
      <c r="P77" s="7">
        <v>2.9900000000000002E-6</v>
      </c>
      <c r="Q77" s="7">
        <v>2.7999999999999999E-6</v>
      </c>
      <c r="R77" s="7">
        <v>1.9700000000000002E-6</v>
      </c>
      <c r="S77" s="7">
        <v>1.28E-6</v>
      </c>
      <c r="T77" s="7">
        <v>1.15E-6</v>
      </c>
      <c r="U77" s="7">
        <v>1.0300000000000001E-6</v>
      </c>
      <c r="V77" s="7">
        <v>9.2999999999999999E-7</v>
      </c>
      <c r="W77" s="7">
        <v>8.4E-7</v>
      </c>
      <c r="X77" s="7">
        <v>7.6000000000000003E-7</v>
      </c>
      <c r="Y77" s="7">
        <v>6.7999999999999995E-7</v>
      </c>
      <c r="Z77" s="7">
        <v>6.0999999999999998E-7</v>
      </c>
      <c r="AA77" s="7">
        <v>5.5000000000000003E-7</v>
      </c>
      <c r="AB77" s="7">
        <v>5.5000000000000003E-7</v>
      </c>
      <c r="AC77" s="7">
        <v>4.8999999999999997E-7</v>
      </c>
    </row>
    <row r="78" spans="1:29" x14ac:dyDescent="0.85">
      <c r="A78" t="s">
        <v>176</v>
      </c>
      <c r="B78" s="7">
        <v>0</v>
      </c>
      <c r="C78" s="7">
        <v>35.229955990000001</v>
      </c>
      <c r="D78" s="7">
        <v>33.303703210000002</v>
      </c>
      <c r="E78" s="7">
        <v>29.973601389999999</v>
      </c>
      <c r="F78" s="7">
        <v>26.976306309999998</v>
      </c>
      <c r="G78" s="7">
        <v>24.279931569999999</v>
      </c>
      <c r="H78" s="7">
        <v>21.85193842</v>
      </c>
      <c r="I78" s="7">
        <v>19.66674656</v>
      </c>
      <c r="J78" s="7">
        <v>17.70014844</v>
      </c>
      <c r="K78" s="7">
        <v>15.930266209999999</v>
      </c>
      <c r="L78" s="7">
        <v>14.337240400000001</v>
      </c>
      <c r="M78" s="7">
        <v>13.73526517</v>
      </c>
      <c r="N78" s="7">
        <v>13.46007107</v>
      </c>
      <c r="O78" s="7">
        <v>15.124778600000001</v>
      </c>
      <c r="P78" s="7">
        <v>14.80141991</v>
      </c>
      <c r="Q78" s="7">
        <v>15.03716539</v>
      </c>
      <c r="R78" s="7">
        <v>13.533568259999999</v>
      </c>
      <c r="S78" s="7">
        <v>12.18089604</v>
      </c>
      <c r="T78" s="7">
        <v>10.96280765</v>
      </c>
      <c r="U78" s="7">
        <v>9.8666283999999997</v>
      </c>
      <c r="V78" s="7">
        <v>8.8799659999999996</v>
      </c>
      <c r="W78" s="7">
        <v>8.0140918499999998</v>
      </c>
      <c r="X78" s="7">
        <v>7.2126826700000004</v>
      </c>
      <c r="Y78" s="7">
        <v>6.4914144199999999</v>
      </c>
      <c r="Z78" s="7">
        <v>5.8443618700000002</v>
      </c>
      <c r="AA78" s="7">
        <v>5.2602377000000002</v>
      </c>
      <c r="AB78" s="7">
        <v>5.2347801399999998</v>
      </c>
      <c r="AC78" s="7">
        <v>4.71139595</v>
      </c>
    </row>
    <row r="79" spans="1:29" x14ac:dyDescent="0.85">
      <c r="A79" t="s">
        <v>177</v>
      </c>
      <c r="B79" s="7">
        <v>0</v>
      </c>
      <c r="C79" s="7">
        <v>4.5668E-4</v>
      </c>
      <c r="D79" s="7">
        <v>2.0699999999999998E-5</v>
      </c>
      <c r="E79" s="7">
        <v>4.7582000000000001E-4</v>
      </c>
      <c r="F79" s="7">
        <v>5.4034000000000005E-4</v>
      </c>
      <c r="G79" s="7">
        <v>5.1564000000000004E-4</v>
      </c>
      <c r="H79" s="7">
        <v>5.0018000000000003E-4</v>
      </c>
      <c r="I79" s="7">
        <v>4.9350999999999996E-4</v>
      </c>
      <c r="J79" s="7">
        <v>4.2266999999999999E-4</v>
      </c>
      <c r="K79" s="7">
        <v>3.2171000000000001E-4</v>
      </c>
      <c r="L79" s="7">
        <v>2.2262000000000001E-4</v>
      </c>
      <c r="M79" s="7">
        <v>1.7804999999999999E-4</v>
      </c>
      <c r="N79" s="7">
        <v>3.4299999999999999E-4</v>
      </c>
      <c r="O79" s="7">
        <v>3.8238999999999998E-4</v>
      </c>
      <c r="P79" s="7">
        <v>3.6948999999999999E-4</v>
      </c>
      <c r="Q79" s="7">
        <v>3.4607000000000003E-4</v>
      </c>
      <c r="R79" s="7">
        <v>2.4400999999999999E-4</v>
      </c>
      <c r="S79" s="7">
        <v>1.5789999999999999E-4</v>
      </c>
      <c r="T79" s="7">
        <v>1.4211000000000001E-4</v>
      </c>
      <c r="U79" s="7">
        <v>1.2789999999999999E-4</v>
      </c>
      <c r="V79" s="7">
        <v>1.1511E-4</v>
      </c>
      <c r="W79" s="7">
        <v>1.0389E-4</v>
      </c>
      <c r="X79" s="7">
        <v>9.3499999999999996E-5</v>
      </c>
      <c r="Y79" s="7">
        <v>8.4149999999999999E-5</v>
      </c>
      <c r="Z79" s="7">
        <v>7.5760000000000006E-5</v>
      </c>
      <c r="AA79" s="7">
        <v>6.8189999999999996E-5</v>
      </c>
      <c r="AB79" s="7">
        <v>6.7860000000000004E-5</v>
      </c>
      <c r="AC79" s="7">
        <v>6.1069999999999996E-5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1.13473179</v>
      </c>
      <c r="E80" s="7">
        <v>1.0057399199999999</v>
      </c>
      <c r="F80" s="7">
        <v>1.00000092</v>
      </c>
      <c r="G80" s="7">
        <v>1.0000002100000001</v>
      </c>
      <c r="H80" s="7">
        <v>1.0000039700000001</v>
      </c>
      <c r="I80" s="7">
        <v>1</v>
      </c>
      <c r="J80" s="7">
        <v>1.0000000099999999</v>
      </c>
      <c r="K80" s="7">
        <v>1.0000002100000001</v>
      </c>
      <c r="L80" s="7">
        <v>1.0000003500000001</v>
      </c>
      <c r="M80" s="7">
        <v>1</v>
      </c>
      <c r="N80" s="7">
        <v>1.00203657</v>
      </c>
      <c r="O80" s="7">
        <v>1.0025997499999999</v>
      </c>
      <c r="P80" s="7">
        <v>1.00699596</v>
      </c>
      <c r="Q80" s="7">
        <v>1.0026915000000001</v>
      </c>
      <c r="R80" s="7">
        <v>1.00378418</v>
      </c>
      <c r="S80" s="7">
        <v>1.00000026</v>
      </c>
      <c r="T80" s="7">
        <v>1.0000014399999999</v>
      </c>
      <c r="U80" s="7">
        <v>1</v>
      </c>
      <c r="V80" s="7">
        <v>1.0000001999999999</v>
      </c>
      <c r="W80" s="7">
        <v>1</v>
      </c>
      <c r="X80" s="7">
        <v>1.0000426099999999</v>
      </c>
      <c r="Y80" s="7">
        <v>1</v>
      </c>
      <c r="Z80" s="7">
        <v>1</v>
      </c>
      <c r="AA80" s="7">
        <v>1.00000376</v>
      </c>
      <c r="AB80" s="7">
        <v>1.00000055</v>
      </c>
      <c r="AC80" s="7">
        <v>1.0008617200000001</v>
      </c>
    </row>
    <row r="81" spans="1:29" x14ac:dyDescent="0.85">
      <c r="A81" t="s">
        <v>179</v>
      </c>
      <c r="B81" s="7">
        <v>1</v>
      </c>
      <c r="C81" s="7">
        <v>1.13473179</v>
      </c>
      <c r="D81" s="7">
        <v>1.0057399199999999</v>
      </c>
      <c r="E81" s="7">
        <v>1.00000092</v>
      </c>
      <c r="F81" s="7">
        <v>1.0000002100000001</v>
      </c>
      <c r="G81" s="7">
        <v>1.0000039700000001</v>
      </c>
      <c r="H81" s="7">
        <v>1</v>
      </c>
      <c r="I81" s="7">
        <v>1.0000000099999999</v>
      </c>
      <c r="J81" s="7">
        <v>1.0000002100000001</v>
      </c>
      <c r="K81" s="7">
        <v>1.0000003500000001</v>
      </c>
      <c r="L81" s="7">
        <v>1</v>
      </c>
      <c r="M81" s="7">
        <v>1.00203657</v>
      </c>
      <c r="N81" s="7">
        <v>1.0025997499999999</v>
      </c>
      <c r="O81" s="7">
        <v>1.00699596</v>
      </c>
      <c r="P81" s="7">
        <v>1.0026915000000001</v>
      </c>
      <c r="Q81" s="7">
        <v>1.00378418</v>
      </c>
      <c r="R81" s="7">
        <v>1.00000026</v>
      </c>
      <c r="S81" s="7">
        <v>1.0000014399999999</v>
      </c>
      <c r="T81" s="7">
        <v>1</v>
      </c>
      <c r="U81" s="7">
        <v>1.0000001999999999</v>
      </c>
      <c r="V81" s="7">
        <v>1</v>
      </c>
      <c r="W81" s="7">
        <v>1.0000426099999999</v>
      </c>
      <c r="X81" s="7">
        <v>1</v>
      </c>
      <c r="Y81" s="7">
        <v>1</v>
      </c>
      <c r="Z81" s="7">
        <v>1.00000376</v>
      </c>
      <c r="AA81" s="7">
        <v>1.00000055</v>
      </c>
      <c r="AB81" s="7">
        <v>1.0008617200000001</v>
      </c>
      <c r="AC81" s="7">
        <v>1.0000001599999999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FE631-9D8B-47B7-AD22-C8B580A244EB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47035.227532719997</v>
      </c>
      <c r="D5" s="7">
        <v>49000.966894030003</v>
      </c>
      <c r="E5" s="7">
        <v>51059.260065030001</v>
      </c>
      <c r="F5" s="7">
        <v>53214.103191870003</v>
      </c>
      <c r="G5" s="7">
        <v>55470.062688370002</v>
      </c>
      <c r="H5" s="7">
        <v>57831.407463509997</v>
      </c>
      <c r="I5" s="7">
        <v>60302.594866730004</v>
      </c>
      <c r="J5" s="7">
        <v>62888.975990829997</v>
      </c>
      <c r="K5" s="7">
        <v>65595.445167629994</v>
      </c>
      <c r="L5" s="7">
        <v>68425.512253470006</v>
      </c>
      <c r="M5" s="7">
        <v>70797.727342409999</v>
      </c>
      <c r="N5" s="7">
        <v>72587.188739970006</v>
      </c>
      <c r="O5" s="7">
        <v>74414.049133060005</v>
      </c>
      <c r="P5" s="7">
        <v>76287.034416440001</v>
      </c>
      <c r="Q5" s="7">
        <v>78204.31739004</v>
      </c>
      <c r="R5" s="7">
        <v>80169.218697479999</v>
      </c>
      <c r="S5" s="7">
        <v>82180.62546245</v>
      </c>
      <c r="T5" s="7">
        <v>84240.998347290006</v>
      </c>
      <c r="U5" s="7">
        <v>86349.943258900006</v>
      </c>
      <c r="V5" s="7">
        <v>88508.838296849994</v>
      </c>
      <c r="W5" s="7">
        <v>90718.603425499998</v>
      </c>
      <c r="X5" s="7">
        <v>92980.144023760004</v>
      </c>
      <c r="Y5" s="7">
        <v>95288.253300380005</v>
      </c>
      <c r="Z5" s="7">
        <v>97654.930137329997</v>
      </c>
      <c r="AA5" s="7">
        <v>100078.1707937</v>
      </c>
      <c r="AB5" s="7">
        <v>102557.60996623999</v>
      </c>
      <c r="AC5" s="7">
        <v>105093.12485815999</v>
      </c>
    </row>
    <row r="6" spans="1:29" x14ac:dyDescent="0.85">
      <c r="A6" t="s">
        <v>106</v>
      </c>
      <c r="B6" s="7">
        <v>202990326.25</v>
      </c>
      <c r="C6" s="7">
        <v>207324354.03491199</v>
      </c>
      <c r="D6" s="7">
        <v>211745060.09946001</v>
      </c>
      <c r="E6" s="7">
        <v>216254184.882249</v>
      </c>
      <c r="F6" s="7">
        <v>220853488.542633</v>
      </c>
      <c r="G6" s="7">
        <v>225544780.89758599</v>
      </c>
      <c r="H6" s="7">
        <v>230329897.77513799</v>
      </c>
      <c r="I6" s="7">
        <v>235210716.98828599</v>
      </c>
      <c r="J6" s="7">
        <v>240189152.59062499</v>
      </c>
      <c r="K6" s="7">
        <v>245267156.89726999</v>
      </c>
      <c r="L6" s="7">
        <v>250446716.795632</v>
      </c>
      <c r="M6" s="7">
        <v>255729876.98685101</v>
      </c>
      <c r="N6" s="7">
        <v>261118695.78368801</v>
      </c>
      <c r="O6" s="7">
        <v>266615290.76740399</v>
      </c>
      <c r="P6" s="7">
        <v>272221818.04157603</v>
      </c>
      <c r="Q6" s="7">
        <v>277940475.50556201</v>
      </c>
      <c r="R6" s="7">
        <v>283773506.40410399</v>
      </c>
      <c r="S6" s="7">
        <v>289723197.70942801</v>
      </c>
      <c r="T6" s="7">
        <v>295791883.04068398</v>
      </c>
      <c r="U6" s="7">
        <v>301981941.95544302</v>
      </c>
      <c r="V6" s="7">
        <v>308295802.05263197</v>
      </c>
      <c r="W6" s="7">
        <v>314735939.35778201</v>
      </c>
      <c r="X6" s="7">
        <v>321304880.91967499</v>
      </c>
      <c r="Y6" s="7">
        <v>328005420.17779899</v>
      </c>
      <c r="Z6" s="7">
        <v>334840367.32033002</v>
      </c>
      <c r="AA6" s="7">
        <v>341812431.22507799</v>
      </c>
      <c r="AB6" s="7">
        <v>348924824.71341997</v>
      </c>
      <c r="AC6" s="7">
        <v>356180527.08244997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25603.974084310001</v>
      </c>
      <c r="D8" s="7">
        <v>25574.67670507</v>
      </c>
      <c r="E8" s="7">
        <v>25570.989877700002</v>
      </c>
      <c r="F8" s="7">
        <v>25597.49064081</v>
      </c>
      <c r="G8" s="7">
        <v>25651.924843149998</v>
      </c>
      <c r="H8" s="7">
        <v>25736.382943780001</v>
      </c>
      <c r="I8" s="7">
        <v>25851.499036069999</v>
      </c>
      <c r="J8" s="7">
        <v>25998.067475209999</v>
      </c>
      <c r="K8" s="7">
        <v>26176.815367800002</v>
      </c>
      <c r="L8" s="7">
        <v>26392.980609990002</v>
      </c>
      <c r="M8" s="7">
        <v>26526.01354263</v>
      </c>
      <c r="N8" s="7">
        <v>26557.30060744</v>
      </c>
      <c r="O8" s="7">
        <v>26604.24411562</v>
      </c>
      <c r="P8" s="7">
        <v>26667.851017569999</v>
      </c>
      <c r="Q8" s="7">
        <v>26747.985458160001</v>
      </c>
      <c r="R8" s="7">
        <v>26844.77185533</v>
      </c>
      <c r="S8" s="7">
        <v>26958.053023389999</v>
      </c>
      <c r="T8" s="7">
        <v>27087.89790005</v>
      </c>
      <c r="U8" s="7">
        <v>27234.200256119999</v>
      </c>
      <c r="V8" s="7">
        <v>27397.048821389999</v>
      </c>
      <c r="W8" s="7">
        <v>27576.447712969999</v>
      </c>
      <c r="X8" s="7">
        <v>27772.409351139999</v>
      </c>
      <c r="Y8" s="7">
        <v>27983.823387519999</v>
      </c>
      <c r="Z8" s="7">
        <v>28212.76247564</v>
      </c>
      <c r="AA8" s="7">
        <v>28458.723667869999</v>
      </c>
      <c r="AB8" s="7">
        <v>28721.511311130002</v>
      </c>
      <c r="AC8" s="7">
        <v>29000.94721061</v>
      </c>
    </row>
    <row r="9" spans="1:29" x14ac:dyDescent="0.85">
      <c r="A9" t="s">
        <v>109</v>
      </c>
      <c r="B9" s="7">
        <v>3305.6795891800002</v>
      </c>
      <c r="C9" s="7">
        <v>3420.08466206</v>
      </c>
      <c r="D9" s="7">
        <v>3535.03119272</v>
      </c>
      <c r="E9" s="7">
        <v>3650.4222160499999</v>
      </c>
      <c r="F9" s="7">
        <v>3766.4278940200002</v>
      </c>
      <c r="G9" s="7">
        <v>3882.9040568400001</v>
      </c>
      <c r="H9" s="7">
        <v>3999.38217506</v>
      </c>
      <c r="I9" s="7">
        <v>4116.2978765199996</v>
      </c>
      <c r="J9" s="7">
        <v>4233.8106491199997</v>
      </c>
      <c r="K9" s="7">
        <v>4351.93490122</v>
      </c>
      <c r="L9" s="7">
        <v>4470.75175932</v>
      </c>
      <c r="M9" s="7">
        <v>4587.7317941499996</v>
      </c>
      <c r="N9" s="7">
        <v>4702.7378245199998</v>
      </c>
      <c r="O9" s="7">
        <v>4818.9963566500001</v>
      </c>
      <c r="P9" s="7">
        <v>4936.58061679</v>
      </c>
      <c r="Q9" s="7">
        <v>5055.5395531499998</v>
      </c>
      <c r="R9" s="7">
        <v>5175.92182108</v>
      </c>
      <c r="S9" s="7">
        <v>5297.7745370499997</v>
      </c>
      <c r="T9" s="7">
        <v>5421.1468699300003</v>
      </c>
      <c r="U9" s="7">
        <v>5546.0872506100004</v>
      </c>
      <c r="V9" s="7">
        <v>5672.6454654500003</v>
      </c>
      <c r="W9" s="7">
        <v>5800.8714121700004</v>
      </c>
      <c r="X9" s="7">
        <v>5930.8157807400003</v>
      </c>
      <c r="Y9" s="7">
        <v>6062.5349423899997</v>
      </c>
      <c r="Z9" s="7">
        <v>6196.0894287499996</v>
      </c>
      <c r="AA9" s="7">
        <v>6331.5287373800002</v>
      </c>
      <c r="AB9" s="7">
        <v>6468.9161119999999</v>
      </c>
      <c r="AC9" s="7">
        <v>6608.3094217300004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12538.579944409999</v>
      </c>
      <c r="D11" s="7">
        <v>12855.694563180001</v>
      </c>
      <c r="E11" s="7">
        <v>13164.21142734</v>
      </c>
      <c r="F11" s="7">
        <v>13454.87304932</v>
      </c>
      <c r="G11" s="7">
        <v>13736.75087147</v>
      </c>
      <c r="H11" s="7">
        <v>14038.13280474</v>
      </c>
      <c r="I11" s="7">
        <v>14333.67148753</v>
      </c>
      <c r="J11" s="7">
        <v>14614.23641261</v>
      </c>
      <c r="K11" s="7">
        <v>14879.09299479</v>
      </c>
      <c r="L11" s="7">
        <v>15123.43232089</v>
      </c>
      <c r="M11" s="7">
        <v>15504.575170669999</v>
      </c>
      <c r="N11" s="7">
        <v>16040.24851824</v>
      </c>
      <c r="O11" s="7">
        <v>16580.728116390001</v>
      </c>
      <c r="P11" s="7">
        <v>17124.86457107</v>
      </c>
      <c r="Q11" s="7">
        <v>17672.80091889</v>
      </c>
      <c r="R11" s="7">
        <v>18224.777265929999</v>
      </c>
      <c r="S11" s="7">
        <v>18781.026465589999</v>
      </c>
      <c r="T11" s="7">
        <v>19341.78865662</v>
      </c>
      <c r="U11" s="7">
        <v>19907.30002748</v>
      </c>
      <c r="V11" s="7">
        <v>20477.800798550001</v>
      </c>
      <c r="W11" s="7">
        <v>21053.531088830001</v>
      </c>
      <c r="X11" s="7">
        <v>21634.733282360001</v>
      </c>
      <c r="Y11" s="7">
        <v>22221.67129264</v>
      </c>
      <c r="Z11" s="7">
        <v>22814.624827669999</v>
      </c>
      <c r="AA11" s="7">
        <v>23413.828900140001</v>
      </c>
      <c r="AB11" s="7">
        <v>24019.572545909999</v>
      </c>
      <c r="AC11" s="7">
        <v>24632.122288859999</v>
      </c>
    </row>
    <row r="12" spans="1:29" x14ac:dyDescent="0.85">
      <c r="A12" t="s">
        <v>111</v>
      </c>
      <c r="B12" s="7">
        <v>28969.119667570001</v>
      </c>
      <c r="C12" s="7">
        <v>29024.058746369999</v>
      </c>
      <c r="D12" s="7">
        <v>29109.707897789998</v>
      </c>
      <c r="E12" s="7">
        <v>29221.412093750001</v>
      </c>
      <c r="F12" s="7">
        <v>29363.918534830002</v>
      </c>
      <c r="G12" s="7">
        <v>29534.82889999</v>
      </c>
      <c r="H12" s="7">
        <v>29735.765118840001</v>
      </c>
      <c r="I12" s="7">
        <v>29967.796912599999</v>
      </c>
      <c r="J12" s="7">
        <v>30231.87812433</v>
      </c>
      <c r="K12" s="7">
        <v>30528.750269020002</v>
      </c>
      <c r="L12" s="7">
        <v>30863.732369310001</v>
      </c>
      <c r="M12" s="7">
        <v>31113.74533677</v>
      </c>
      <c r="N12" s="7">
        <v>31260.038431960002</v>
      </c>
      <c r="O12" s="7">
        <v>31423.240472270001</v>
      </c>
      <c r="P12" s="7">
        <v>31604.43163435</v>
      </c>
      <c r="Q12" s="7">
        <v>31803.525011310001</v>
      </c>
      <c r="R12" s="7">
        <v>32020.693676409999</v>
      </c>
      <c r="S12" s="7">
        <v>32255.827560440001</v>
      </c>
      <c r="T12" s="7">
        <v>32509.044769979999</v>
      </c>
      <c r="U12" s="7">
        <v>32780.28750672</v>
      </c>
      <c r="V12" s="7">
        <v>33069.69428684</v>
      </c>
      <c r="W12" s="7">
        <v>33377.319125139999</v>
      </c>
      <c r="X12" s="7">
        <v>33703.225131879997</v>
      </c>
      <c r="Y12" s="7">
        <v>34046.358329900002</v>
      </c>
      <c r="Z12" s="7">
        <v>34408.851904390001</v>
      </c>
      <c r="AA12" s="7">
        <v>34790.252405250001</v>
      </c>
      <c r="AB12" s="7">
        <v>35190.427423130001</v>
      </c>
      <c r="AC12" s="7">
        <v>35609.256632340002</v>
      </c>
    </row>
    <row r="13" spans="1:29" x14ac:dyDescent="0.85">
      <c r="A13" t="s">
        <v>112</v>
      </c>
      <c r="B13" s="7">
        <v>28969.119667570001</v>
      </c>
      <c r="C13" s="7">
        <v>41562.638690779997</v>
      </c>
      <c r="D13" s="7">
        <v>41965.402460980004</v>
      </c>
      <c r="E13" s="7">
        <v>42385.623521089998</v>
      </c>
      <c r="F13" s="7">
        <v>42818.791584159997</v>
      </c>
      <c r="G13" s="7">
        <v>43271.579771459998</v>
      </c>
      <c r="H13" s="7">
        <v>43773.89792358</v>
      </c>
      <c r="I13" s="7">
        <v>44301.46840012</v>
      </c>
      <c r="J13" s="7">
        <v>44846.114536929999</v>
      </c>
      <c r="K13" s="7">
        <v>45407.843263809998</v>
      </c>
      <c r="L13" s="7">
        <v>45987.164690190002</v>
      </c>
      <c r="M13" s="7">
        <v>46618.32050745</v>
      </c>
      <c r="N13" s="7">
        <v>47300.286950200003</v>
      </c>
      <c r="O13" s="7">
        <v>48003.968588670003</v>
      </c>
      <c r="P13" s="7">
        <v>48729.296205420003</v>
      </c>
      <c r="Q13" s="7">
        <v>49476.325930200001</v>
      </c>
      <c r="R13" s="7">
        <v>50245.470942339998</v>
      </c>
      <c r="S13" s="7">
        <v>51036.854026039997</v>
      </c>
      <c r="T13" s="7">
        <v>51850.833426600002</v>
      </c>
      <c r="U13" s="7">
        <v>52687.5875342</v>
      </c>
      <c r="V13" s="7">
        <v>53547.495085390001</v>
      </c>
      <c r="W13" s="7">
        <v>54430.850213969999</v>
      </c>
      <c r="X13" s="7">
        <v>55337.958414250003</v>
      </c>
      <c r="Y13" s="7">
        <v>56268.029622540002</v>
      </c>
      <c r="Z13" s="7">
        <v>57223.47673206</v>
      </c>
      <c r="AA13" s="7">
        <v>58204.081305389998</v>
      </c>
      <c r="AB13" s="7">
        <v>59209.99996904</v>
      </c>
      <c r="AC13" s="7">
        <v>60241.37892119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5710.6278840100003</v>
      </c>
      <c r="D17" s="7">
        <v>6436.5689249400002</v>
      </c>
      <c r="E17" s="7">
        <v>7186.0272781399999</v>
      </c>
      <c r="F17" s="7">
        <v>7960.2594614</v>
      </c>
      <c r="G17" s="7">
        <v>8760.5729712800003</v>
      </c>
      <c r="H17" s="7">
        <v>9588.3351381199991</v>
      </c>
      <c r="I17" s="7">
        <v>10444.96731973</v>
      </c>
      <c r="J17" s="7">
        <v>11331.946587480001</v>
      </c>
      <c r="K17" s="7">
        <v>12250.82332974</v>
      </c>
      <c r="L17" s="7">
        <v>13203.20776395</v>
      </c>
      <c r="M17" s="7">
        <v>14187.605952219999</v>
      </c>
      <c r="N17" s="7">
        <v>15202.01003211</v>
      </c>
      <c r="O17" s="7">
        <v>16232.82195164</v>
      </c>
      <c r="P17" s="7">
        <v>17280.55416113</v>
      </c>
      <c r="Q17" s="7">
        <v>18345.70938135</v>
      </c>
      <c r="R17" s="7">
        <v>19428.8017229</v>
      </c>
      <c r="S17" s="7">
        <v>20530.397852310001</v>
      </c>
      <c r="T17" s="7">
        <v>21651.034576639999</v>
      </c>
      <c r="U17" s="7">
        <v>22791.284300809999</v>
      </c>
      <c r="V17" s="7">
        <v>23951.703111899998</v>
      </c>
      <c r="W17" s="7">
        <v>25132.867579450001</v>
      </c>
      <c r="X17" s="7">
        <v>26335.357198049998</v>
      </c>
      <c r="Y17" s="7">
        <v>27559.760743039998</v>
      </c>
      <c r="Z17" s="7">
        <v>28806.569205799999</v>
      </c>
      <c r="AA17" s="7">
        <v>30076.472399419999</v>
      </c>
      <c r="AB17" s="7">
        <v>31370.116148000001</v>
      </c>
      <c r="AC17" s="7">
        <v>32688.130975100001</v>
      </c>
    </row>
    <row r="18" spans="1:29" x14ac:dyDescent="0.85">
      <c r="A18" t="s">
        <v>116</v>
      </c>
      <c r="B18" s="7">
        <v>8664657.5</v>
      </c>
      <c r="C18" s="7">
        <v>9882291.7365399208</v>
      </c>
      <c r="D18" s="7">
        <v>11138539.0872203</v>
      </c>
      <c r="E18" s="7">
        <v>12435483.353454299</v>
      </c>
      <c r="F18" s="7">
        <v>13775298.950301399</v>
      </c>
      <c r="G18" s="7">
        <v>15160248.5120578</v>
      </c>
      <c r="H18" s="7">
        <v>16592698.215894099</v>
      </c>
      <c r="I18" s="7">
        <v>18075107.734009098</v>
      </c>
      <c r="J18" s="7">
        <v>19610033.151351899</v>
      </c>
      <c r="K18" s="7">
        <v>21200157.428633898</v>
      </c>
      <c r="L18" s="7">
        <v>22848267.061302099</v>
      </c>
      <c r="M18" s="7">
        <v>24551776.776709601</v>
      </c>
      <c r="N18" s="7">
        <v>26307211.9512209</v>
      </c>
      <c r="O18" s="7">
        <v>28091041.036441099</v>
      </c>
      <c r="P18" s="7">
        <v>29904150.832118802</v>
      </c>
      <c r="Q18" s="7">
        <v>31747411.3009707</v>
      </c>
      <c r="R18" s="7">
        <v>33621712.115910597</v>
      </c>
      <c r="S18" s="7">
        <v>35528033.898347303</v>
      </c>
      <c r="T18" s="7">
        <v>37467305.597606704</v>
      </c>
      <c r="U18" s="7">
        <v>39440517.765448801</v>
      </c>
      <c r="V18" s="7">
        <v>41448632.715450801</v>
      </c>
      <c r="W18" s="7">
        <v>43492648.206266001</v>
      </c>
      <c r="X18" s="7">
        <v>45573567.058369003</v>
      </c>
      <c r="Y18" s="7">
        <v>47692184.697290003</v>
      </c>
      <c r="Z18" s="7">
        <v>49849175.490222096</v>
      </c>
      <c r="AA18" s="7">
        <v>52045702.133398801</v>
      </c>
      <c r="AB18" s="7">
        <v>54282402.786353499</v>
      </c>
      <c r="AC18" s="7">
        <v>56560177.3907713</v>
      </c>
    </row>
    <row r="19" spans="1:29" x14ac:dyDescent="0.85">
      <c r="A19" t="s">
        <v>117</v>
      </c>
      <c r="B19" s="7">
        <v>8664657.5</v>
      </c>
      <c r="C19" s="7">
        <v>9882291.7365399208</v>
      </c>
      <c r="D19" s="7">
        <v>11138539.0872203</v>
      </c>
      <c r="E19" s="7">
        <v>12435483.353454299</v>
      </c>
      <c r="F19" s="7">
        <v>13775298.950301399</v>
      </c>
      <c r="G19" s="7">
        <v>15160248.5120578</v>
      </c>
      <c r="H19" s="7">
        <v>16592698.215894099</v>
      </c>
      <c r="I19" s="7">
        <v>18075107.734009098</v>
      </c>
      <c r="J19" s="7">
        <v>19610033.151351899</v>
      </c>
      <c r="K19" s="7">
        <v>21200157.428633898</v>
      </c>
      <c r="L19" s="7">
        <v>22848267.061302099</v>
      </c>
      <c r="M19" s="7">
        <v>24551776.776709601</v>
      </c>
      <c r="N19" s="7">
        <v>26307211.9512209</v>
      </c>
      <c r="O19" s="7">
        <v>28091041.036441099</v>
      </c>
      <c r="P19" s="7">
        <v>29904150.832118802</v>
      </c>
      <c r="Q19" s="7">
        <v>31747411.3009707</v>
      </c>
      <c r="R19" s="7">
        <v>33621712.115910597</v>
      </c>
      <c r="S19" s="7">
        <v>35528033.898347303</v>
      </c>
      <c r="T19" s="7">
        <v>37467305.597606704</v>
      </c>
      <c r="U19" s="7">
        <v>39440517.765448801</v>
      </c>
      <c r="V19" s="7">
        <v>41448632.715450801</v>
      </c>
      <c r="W19" s="7">
        <v>43492648.206266001</v>
      </c>
      <c r="X19" s="7">
        <v>45573567.058369003</v>
      </c>
      <c r="Y19" s="7">
        <v>47692408.152668297</v>
      </c>
      <c r="Z19" s="7">
        <v>49850021.154048197</v>
      </c>
      <c r="AA19" s="7">
        <v>52047599.7901228</v>
      </c>
      <c r="AB19" s="7">
        <v>54286261.665191203</v>
      </c>
      <c r="AC19" s="7">
        <v>56567097.905812897</v>
      </c>
    </row>
    <row r="20" spans="1:29" x14ac:dyDescent="0.85">
      <c r="A20" t="s">
        <v>118</v>
      </c>
      <c r="B20" s="7">
        <v>1022.2183680099999</v>
      </c>
      <c r="C20" s="7">
        <v>1165.8695258400001</v>
      </c>
      <c r="D20" s="7">
        <v>1314.0760898799999</v>
      </c>
      <c r="E20" s="7">
        <v>1467.0838978899999</v>
      </c>
      <c r="F20" s="7">
        <v>1625.1494778399999</v>
      </c>
      <c r="G20" s="7">
        <v>1788.53976543</v>
      </c>
      <c r="H20" s="7">
        <v>1957.53391188</v>
      </c>
      <c r="I20" s="7">
        <v>2132.4220985500001</v>
      </c>
      <c r="J20" s="7">
        <v>2313.5058811700001</v>
      </c>
      <c r="K20" s="7">
        <v>2501.1017836800002</v>
      </c>
      <c r="L20" s="7">
        <v>2695.5385446199998</v>
      </c>
      <c r="M20" s="7">
        <v>2896.5111648500001</v>
      </c>
      <c r="N20" s="7">
        <v>3103.60972348</v>
      </c>
      <c r="O20" s="7">
        <v>3314.0580714100001</v>
      </c>
      <c r="P20" s="7">
        <v>3527.9608294099999</v>
      </c>
      <c r="Q20" s="7">
        <v>3745.42063186</v>
      </c>
      <c r="R20" s="7">
        <v>3966.5424384900002</v>
      </c>
      <c r="S20" s="7">
        <v>4191.4419387099997</v>
      </c>
      <c r="T20" s="7">
        <v>4420.2287259000004</v>
      </c>
      <c r="U20" s="7">
        <v>4653.0196610200001</v>
      </c>
      <c r="V20" s="7">
        <v>4889.9282736200003</v>
      </c>
      <c r="W20" s="7">
        <v>5131.0722748899998</v>
      </c>
      <c r="X20" s="7">
        <v>5376.5699732100002</v>
      </c>
      <c r="Y20" s="7">
        <v>5626.5415716799998</v>
      </c>
      <c r="Z20" s="7">
        <v>5881.0873100500003</v>
      </c>
      <c r="AA20" s="7">
        <v>6140.3480190800001</v>
      </c>
      <c r="AB20" s="7">
        <v>6404.4555488300002</v>
      </c>
      <c r="AC20" s="7">
        <v>6673.5386256399997</v>
      </c>
    </row>
    <row r="21" spans="1:29" x14ac:dyDescent="0.85">
      <c r="A21" t="s">
        <v>119</v>
      </c>
      <c r="B21" s="7">
        <v>0</v>
      </c>
      <c r="C21" s="7">
        <v>9.8822917399999994</v>
      </c>
      <c r="D21" s="7">
        <v>11.13853909</v>
      </c>
      <c r="E21" s="7">
        <v>12.43548335</v>
      </c>
      <c r="F21" s="7">
        <v>13.77529895</v>
      </c>
      <c r="G21" s="7">
        <v>15.160248510000001</v>
      </c>
      <c r="H21" s="7">
        <v>16.592698219999999</v>
      </c>
      <c r="I21" s="7">
        <v>18.075107729999999</v>
      </c>
      <c r="J21" s="7">
        <v>19.61003315</v>
      </c>
      <c r="K21" s="7">
        <v>21.200157430000001</v>
      </c>
      <c r="L21" s="7">
        <v>22.848267060000001</v>
      </c>
      <c r="M21" s="7">
        <v>24.551776780000001</v>
      </c>
      <c r="N21" s="7">
        <v>26.307211949999999</v>
      </c>
      <c r="O21" s="7">
        <v>28.09104104</v>
      </c>
      <c r="P21" s="7">
        <v>29.904150829999999</v>
      </c>
      <c r="Q21" s="7">
        <v>31.7474113</v>
      </c>
      <c r="R21" s="7">
        <v>33.621712119999998</v>
      </c>
      <c r="S21" s="7">
        <v>35.528033899999997</v>
      </c>
      <c r="T21" s="7">
        <v>37.467305600000003</v>
      </c>
      <c r="U21" s="7">
        <v>39.44051777</v>
      </c>
      <c r="V21" s="7">
        <v>41.448632719999999</v>
      </c>
      <c r="W21" s="7">
        <v>43.492648209999999</v>
      </c>
      <c r="X21" s="7">
        <v>45.573567060000002</v>
      </c>
      <c r="Y21" s="7">
        <v>47.692408149999999</v>
      </c>
      <c r="Z21" s="7">
        <v>49.850021150000003</v>
      </c>
      <c r="AA21" s="7">
        <v>52.04759979</v>
      </c>
      <c r="AB21" s="7">
        <v>54.286261670000002</v>
      </c>
      <c r="AC21" s="7">
        <v>56.567097910000001</v>
      </c>
    </row>
    <row r="22" spans="1:29" x14ac:dyDescent="0.85">
      <c r="A22" t="s">
        <v>120</v>
      </c>
      <c r="B22" s="7">
        <v>4.332329E-2</v>
      </c>
      <c r="C22" s="7">
        <v>4.9411459999999997E-2</v>
      </c>
      <c r="D22" s="7">
        <v>5.5692699999999998E-2</v>
      </c>
      <c r="E22" s="7">
        <v>6.2177419999999997E-2</v>
      </c>
      <c r="F22" s="7">
        <v>6.8876489999999999E-2</v>
      </c>
      <c r="G22" s="7">
        <v>7.5801240000000006E-2</v>
      </c>
      <c r="H22" s="7">
        <v>8.2963490000000001E-2</v>
      </c>
      <c r="I22" s="7">
        <v>9.0375540000000004E-2</v>
      </c>
      <c r="J22" s="7">
        <v>9.8050170000000006E-2</v>
      </c>
      <c r="K22" s="7">
        <v>0.10600079</v>
      </c>
      <c r="L22" s="7">
        <v>0.11424134</v>
      </c>
      <c r="M22" s="7">
        <v>0.12275888</v>
      </c>
      <c r="N22" s="7">
        <v>0.13153606000000001</v>
      </c>
      <c r="O22" s="7">
        <v>0.14045521</v>
      </c>
      <c r="P22" s="7">
        <v>0.14952075000000001</v>
      </c>
      <c r="Q22" s="7">
        <v>0.15873706000000001</v>
      </c>
      <c r="R22" s="7">
        <v>0.16810855999999999</v>
      </c>
      <c r="S22" s="7">
        <v>0.17764016999999999</v>
      </c>
      <c r="T22" s="7">
        <v>0.18733653</v>
      </c>
      <c r="U22" s="7">
        <v>0.19720259000000001</v>
      </c>
      <c r="V22" s="7">
        <v>0.20724316000000001</v>
      </c>
      <c r="W22" s="7">
        <v>0.21746324</v>
      </c>
      <c r="X22" s="7">
        <v>0.22786783999999999</v>
      </c>
      <c r="Y22" s="7">
        <v>0.23846203999999999</v>
      </c>
      <c r="Z22" s="7">
        <v>0.24925011</v>
      </c>
      <c r="AA22" s="7">
        <v>0.26023800000000002</v>
      </c>
      <c r="AB22" s="7">
        <v>0.27143130999999998</v>
      </c>
      <c r="AC22" s="7">
        <v>0.28283549000000002</v>
      </c>
    </row>
    <row r="23" spans="1:29" x14ac:dyDescent="0.85">
      <c r="A23" t="s">
        <v>121</v>
      </c>
      <c r="B23" s="7">
        <v>1022.2183680099999</v>
      </c>
      <c r="C23" s="7">
        <v>1165.8695258400001</v>
      </c>
      <c r="D23" s="7">
        <v>1314.0760898799999</v>
      </c>
      <c r="E23" s="7">
        <v>1467.0838978899999</v>
      </c>
      <c r="F23" s="7">
        <v>1625.1494778399999</v>
      </c>
      <c r="G23" s="7">
        <v>1788.53976543</v>
      </c>
      <c r="H23" s="7">
        <v>1957.53391188</v>
      </c>
      <c r="I23" s="7">
        <v>2132.4220985500001</v>
      </c>
      <c r="J23" s="7">
        <v>2313.5058811700001</v>
      </c>
      <c r="K23" s="7">
        <v>2501.1017836800002</v>
      </c>
      <c r="L23" s="7">
        <v>2695.5385446199998</v>
      </c>
      <c r="M23" s="7">
        <v>2896.5111648500001</v>
      </c>
      <c r="N23" s="7">
        <v>3103.60972348</v>
      </c>
      <c r="O23" s="7">
        <v>3314.0580714100001</v>
      </c>
      <c r="P23" s="7">
        <v>3527.9608294099999</v>
      </c>
      <c r="Q23" s="7">
        <v>3745.42063186</v>
      </c>
      <c r="R23" s="7">
        <v>3966.5424384900002</v>
      </c>
      <c r="S23" s="7">
        <v>4191.4419387099997</v>
      </c>
      <c r="T23" s="7">
        <v>4420.2287259000004</v>
      </c>
      <c r="U23" s="7">
        <v>4653.0196610200001</v>
      </c>
      <c r="V23" s="7">
        <v>4889.9282736200003</v>
      </c>
      <c r="W23" s="7">
        <v>5131.0722748899998</v>
      </c>
      <c r="X23" s="7">
        <v>5376.5699732100002</v>
      </c>
      <c r="Y23" s="7">
        <v>5626.5415716799998</v>
      </c>
      <c r="Z23" s="7">
        <v>5881.0873100500003</v>
      </c>
      <c r="AA23" s="7">
        <v>6140.3480190800001</v>
      </c>
      <c r="AB23" s="7">
        <v>6404.4555488300002</v>
      </c>
      <c r="AC23" s="7">
        <v>6673.5386256399997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1.1659773</v>
      </c>
      <c r="E25" s="7">
        <v>1.1549254</v>
      </c>
      <c r="F25" s="7">
        <v>1.14592932</v>
      </c>
      <c r="G25" s="7">
        <v>1.13847823</v>
      </c>
      <c r="H25" s="7">
        <v>1.1322181600000001</v>
      </c>
      <c r="I25" s="7">
        <v>1.12689456</v>
      </c>
      <c r="J25" s="7">
        <v>1.1223203799999999</v>
      </c>
      <c r="K25" s="7">
        <v>1.1183561500000001</v>
      </c>
      <c r="L25" s="7">
        <v>1.1148939099999999</v>
      </c>
      <c r="M25" s="7">
        <v>1.1118474300000001</v>
      </c>
      <c r="N25" s="7">
        <v>1.10843757</v>
      </c>
      <c r="O25" s="7">
        <v>1.1046220099999999</v>
      </c>
      <c r="P25" s="7">
        <v>1.1012424700000001</v>
      </c>
      <c r="Q25" s="7">
        <v>1.0982371900000001</v>
      </c>
      <c r="R25" s="7">
        <v>1.0955465099999999</v>
      </c>
      <c r="S25" s="7">
        <v>1.09312703</v>
      </c>
      <c r="T25" s="7">
        <v>1.09093924</v>
      </c>
      <c r="U25" s="7">
        <v>1.0889537</v>
      </c>
      <c r="V25" s="7">
        <v>1.08714354</v>
      </c>
      <c r="W25" s="7">
        <v>1.08548768</v>
      </c>
      <c r="X25" s="7">
        <v>1.0839679</v>
      </c>
      <c r="Y25" s="7">
        <v>1.08256872</v>
      </c>
      <c r="Z25" s="7">
        <v>1.0812729400000001</v>
      </c>
      <c r="AA25" s="7">
        <v>1.0800767</v>
      </c>
      <c r="AB25" s="7">
        <v>1.07896774</v>
      </c>
      <c r="AC25" s="7">
        <v>1.0779365299999999</v>
      </c>
    </row>
    <row r="26" spans="1:29" x14ac:dyDescent="0.85">
      <c r="A26" t="s">
        <v>124</v>
      </c>
      <c r="B26" s="7">
        <v>1</v>
      </c>
      <c r="C26" s="7">
        <v>1.17985742</v>
      </c>
      <c r="D26" s="7">
        <v>1.1659873000000001</v>
      </c>
      <c r="E26" s="7">
        <v>1.1549354000000001</v>
      </c>
      <c r="F26" s="7">
        <v>1.1459393099999999</v>
      </c>
      <c r="G26" s="7">
        <v>1.1384882300000001</v>
      </c>
      <c r="H26" s="7">
        <v>1.1322281599999999</v>
      </c>
      <c r="I26" s="7">
        <v>1.1269045600000001</v>
      </c>
      <c r="J26" s="7">
        <v>1.1223303099999999</v>
      </c>
      <c r="K26" s="7">
        <v>1.1183661499999999</v>
      </c>
      <c r="L26" s="7">
        <v>1.11490391</v>
      </c>
      <c r="M26" s="7">
        <v>1.11161121</v>
      </c>
      <c r="N26" s="7">
        <v>1.10844757</v>
      </c>
      <c r="O26" s="7">
        <v>1.1046285600000001</v>
      </c>
      <c r="P26" s="7">
        <v>1.1012524699999999</v>
      </c>
      <c r="Q26" s="7">
        <v>1.0982471899999999</v>
      </c>
      <c r="R26" s="7">
        <v>1.0955564600000001</v>
      </c>
      <c r="S26" s="7">
        <v>1.0931370300000001</v>
      </c>
      <c r="T26" s="7">
        <v>1.09094924</v>
      </c>
      <c r="U26" s="7">
        <v>1.0889637000000001</v>
      </c>
      <c r="V26" s="7">
        <v>1.0871534700000001</v>
      </c>
      <c r="W26" s="7">
        <v>1.08549768</v>
      </c>
      <c r="X26" s="7">
        <v>1.0839779</v>
      </c>
      <c r="Y26" s="7">
        <v>1.0825787200000001</v>
      </c>
      <c r="Z26" s="7">
        <v>1.0812829399999999</v>
      </c>
      <c r="AA26" s="7">
        <v>1.0800867000000001</v>
      </c>
      <c r="AB26" s="7">
        <v>1.07897774</v>
      </c>
      <c r="AC26" s="7">
        <v>1.07794653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1.1659873000000001</v>
      </c>
      <c r="E27" s="7">
        <v>1.1549354000000001</v>
      </c>
      <c r="F27" s="7">
        <v>1.1459393200000001</v>
      </c>
      <c r="G27" s="7">
        <v>1.1384882300000001</v>
      </c>
      <c r="H27" s="7">
        <v>1.1322281599999999</v>
      </c>
      <c r="I27" s="7">
        <v>1.1269045600000001</v>
      </c>
      <c r="J27" s="7">
        <v>1.12233038</v>
      </c>
      <c r="K27" s="7">
        <v>1.1183661499999999</v>
      </c>
      <c r="L27" s="7">
        <v>1.11490391</v>
      </c>
      <c r="M27" s="7">
        <v>1.1118574299999999</v>
      </c>
      <c r="N27" s="7">
        <v>1.10844757</v>
      </c>
      <c r="O27" s="7">
        <v>1.10463201</v>
      </c>
      <c r="P27" s="7">
        <v>1.1012524699999999</v>
      </c>
      <c r="Q27" s="7">
        <v>1.0982471899999999</v>
      </c>
      <c r="R27" s="7">
        <v>1.09555651</v>
      </c>
      <c r="S27" s="7">
        <v>1.0931370300000001</v>
      </c>
      <c r="T27" s="7">
        <v>1.09094924</v>
      </c>
      <c r="U27" s="7">
        <v>1.0889637000000001</v>
      </c>
      <c r="V27" s="7">
        <v>1.0871535400000001</v>
      </c>
      <c r="W27" s="7">
        <v>1.08549768</v>
      </c>
      <c r="X27" s="7">
        <v>1.0839779</v>
      </c>
      <c r="Y27" s="7">
        <v>1.0825787200000001</v>
      </c>
      <c r="Z27" s="7">
        <v>1.0812829399999999</v>
      </c>
      <c r="AA27" s="7">
        <v>1.0800867000000001</v>
      </c>
      <c r="AB27" s="7">
        <v>1.07897774</v>
      </c>
      <c r="AC27" s="7">
        <v>1.07794653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7.4099999999999999E-5</v>
      </c>
      <c r="O36" s="7">
        <v>0</v>
      </c>
      <c r="P36" s="7">
        <v>1.313E-5</v>
      </c>
      <c r="Q36" s="7">
        <v>1E-8</v>
      </c>
      <c r="R36" s="7">
        <v>1E-8</v>
      </c>
      <c r="S36" s="7">
        <v>1E-8</v>
      </c>
      <c r="T36" s="7">
        <v>1E-8</v>
      </c>
      <c r="U36" s="7">
        <v>1E-8</v>
      </c>
      <c r="V36" s="7">
        <v>1E-8</v>
      </c>
      <c r="W36" s="7">
        <v>1E-8</v>
      </c>
      <c r="X36" s="7">
        <v>1E-8</v>
      </c>
      <c r="Y36" s="7">
        <v>1E-8</v>
      </c>
      <c r="Z36" s="7">
        <v>1E-8</v>
      </c>
      <c r="AA36" s="7">
        <v>1E-8</v>
      </c>
      <c r="AB36" s="7">
        <v>1E-8</v>
      </c>
      <c r="AC36" s="7">
        <v>1E-8</v>
      </c>
    </row>
    <row r="37" spans="1:29" x14ac:dyDescent="0.85">
      <c r="A37" t="s">
        <v>135</v>
      </c>
      <c r="B37" s="7">
        <v>1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7.4099999999999999E-5</v>
      </c>
      <c r="N37" s="7">
        <v>0</v>
      </c>
      <c r="O37" s="7">
        <v>1.313E-5</v>
      </c>
      <c r="P37" s="7">
        <v>1E-8</v>
      </c>
      <c r="Q37" s="7">
        <v>1E-8</v>
      </c>
      <c r="R37" s="7">
        <v>1E-8</v>
      </c>
      <c r="S37" s="7">
        <v>1E-8</v>
      </c>
      <c r="T37" s="7">
        <v>1E-8</v>
      </c>
      <c r="U37" s="7">
        <v>1E-8</v>
      </c>
      <c r="V37" s="7">
        <v>1E-8</v>
      </c>
      <c r="W37" s="7">
        <v>1E-8</v>
      </c>
      <c r="X37" s="7">
        <v>1E-8</v>
      </c>
      <c r="Y37" s="7">
        <v>1E-8</v>
      </c>
      <c r="Z37" s="7">
        <v>1E-8</v>
      </c>
      <c r="AA37" s="7">
        <v>1E-8</v>
      </c>
      <c r="AB37" s="7">
        <v>1E-8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13118.625425599999</v>
      </c>
      <c r="D39" s="7">
        <v>12790.65982252</v>
      </c>
      <c r="E39" s="7">
        <v>12470.89363026</v>
      </c>
      <c r="F39" s="7">
        <v>12159.12130092</v>
      </c>
      <c r="G39" s="7">
        <v>11855.155402230001</v>
      </c>
      <c r="H39" s="7">
        <v>11558.777166219999</v>
      </c>
      <c r="I39" s="7">
        <v>11269.80773706</v>
      </c>
      <c r="J39" s="7">
        <v>10988.062994420001</v>
      </c>
      <c r="K39" s="7">
        <v>10713.36141956</v>
      </c>
      <c r="L39" s="7">
        <v>10445.52745663</v>
      </c>
      <c r="M39" s="7">
        <v>10184.389280339999</v>
      </c>
      <c r="N39" s="7">
        <v>9929.7795502000008</v>
      </c>
      <c r="O39" s="7">
        <v>9681.5448430399993</v>
      </c>
      <c r="P39" s="7">
        <v>9439.5062910699999</v>
      </c>
      <c r="Q39" s="7">
        <v>9203.5187697599995</v>
      </c>
      <c r="R39" s="7">
        <v>8973.4310401500006</v>
      </c>
      <c r="S39" s="7">
        <v>8749.0957528500003</v>
      </c>
      <c r="T39" s="7">
        <v>8530.3687913600006</v>
      </c>
      <c r="U39" s="7">
        <v>8317.1095766800008</v>
      </c>
      <c r="V39" s="7">
        <v>8109.1823621100002</v>
      </c>
      <c r="W39" s="7">
        <v>7906.4534042400001</v>
      </c>
      <c r="X39" s="7">
        <v>7708.7921444800004</v>
      </c>
      <c r="Y39" s="7">
        <v>7516.0723566200004</v>
      </c>
      <c r="Z39" s="7">
        <v>7328.1708861200004</v>
      </c>
      <c r="AA39" s="7">
        <v>7144.9666670400002</v>
      </c>
      <c r="AB39" s="7">
        <v>6966.3425186799996</v>
      </c>
      <c r="AC39" s="7">
        <v>6792.1843730600003</v>
      </c>
    </row>
    <row r="40" spans="1:29" x14ac:dyDescent="0.85">
      <c r="A40" t="s">
        <v>138</v>
      </c>
      <c r="B40" s="7">
        <v>97350652.75</v>
      </c>
      <c r="C40" s="7">
        <v>94916889.510609493</v>
      </c>
      <c r="D40" s="7">
        <v>92543967.508409396</v>
      </c>
      <c r="E40" s="7">
        <v>90230370.515139893</v>
      </c>
      <c r="F40" s="7">
        <v>87974611.334916696</v>
      </c>
      <c r="G40" s="7">
        <v>85775333.843176395</v>
      </c>
      <c r="H40" s="7">
        <v>83630955.193075702</v>
      </c>
      <c r="I40" s="7">
        <v>81540181.236071095</v>
      </c>
      <c r="J40" s="7">
        <v>79501679.966735899</v>
      </c>
      <c r="K40" s="7">
        <v>77514137.955832601</v>
      </c>
      <c r="L40" s="7">
        <v>75576285.031960607</v>
      </c>
      <c r="M40" s="7">
        <v>73686877.979419798</v>
      </c>
      <c r="N40" s="7">
        <v>71844706.043409601</v>
      </c>
      <c r="O40" s="7">
        <v>70048659.164904997</v>
      </c>
      <c r="P40" s="7">
        <v>68297443.185745105</v>
      </c>
      <c r="Q40" s="7">
        <v>66590008.089868702</v>
      </c>
      <c r="R40" s="7">
        <v>64925259.621425703</v>
      </c>
      <c r="S40" s="7">
        <v>63302131.666843504</v>
      </c>
      <c r="T40" s="7">
        <v>61719581.503166102</v>
      </c>
      <c r="U40" s="7">
        <v>60176592.002536803</v>
      </c>
      <c r="V40" s="7">
        <v>58672180.999907002</v>
      </c>
      <c r="W40" s="7">
        <v>57205380.824630201</v>
      </c>
      <c r="X40" s="7">
        <v>55775246.849157102</v>
      </c>
      <c r="Y40" s="7">
        <v>54380865.791915499</v>
      </c>
      <c r="Z40" s="7">
        <v>53021346.595640101</v>
      </c>
      <c r="AA40" s="7">
        <v>51695813.314738803</v>
      </c>
      <c r="AB40" s="7">
        <v>50403418.114366703</v>
      </c>
      <c r="AC40" s="7">
        <v>49143335.681133799</v>
      </c>
    </row>
    <row r="41" spans="1:29" x14ac:dyDescent="0.85">
      <c r="A41" t="s">
        <v>139</v>
      </c>
      <c r="B41" s="7">
        <v>97350652.75</v>
      </c>
      <c r="C41" s="7">
        <v>94916889.510609493</v>
      </c>
      <c r="D41" s="7">
        <v>92543967.508409396</v>
      </c>
      <c r="E41" s="7">
        <v>90230370.515139893</v>
      </c>
      <c r="F41" s="7">
        <v>87974611.334916696</v>
      </c>
      <c r="G41" s="7">
        <v>85775333.843176395</v>
      </c>
      <c r="H41" s="7">
        <v>83630955.193075702</v>
      </c>
      <c r="I41" s="7">
        <v>81540181.236071095</v>
      </c>
      <c r="J41" s="7">
        <v>79501679.966735899</v>
      </c>
      <c r="K41" s="7">
        <v>77514137.955832601</v>
      </c>
      <c r="L41" s="7">
        <v>75576285.031960607</v>
      </c>
      <c r="M41" s="7">
        <v>73686877.979419798</v>
      </c>
      <c r="N41" s="7">
        <v>71844706.043409601</v>
      </c>
      <c r="O41" s="7">
        <v>70048659.164904997</v>
      </c>
      <c r="P41" s="7">
        <v>68297443.185745105</v>
      </c>
      <c r="Q41" s="7">
        <v>66590008.089868702</v>
      </c>
      <c r="R41" s="7">
        <v>64925259.621425703</v>
      </c>
      <c r="S41" s="7">
        <v>63302131.666843504</v>
      </c>
      <c r="T41" s="7">
        <v>61719581.503166102</v>
      </c>
      <c r="U41" s="7">
        <v>60176592.002536803</v>
      </c>
      <c r="V41" s="7">
        <v>58672180.999907002</v>
      </c>
      <c r="W41" s="7">
        <v>57205380.824630201</v>
      </c>
      <c r="X41" s="7">
        <v>55775246.849157102</v>
      </c>
      <c r="Y41" s="7">
        <v>54380865.791915499</v>
      </c>
      <c r="Z41" s="7">
        <v>53021346.595640101</v>
      </c>
      <c r="AA41" s="7">
        <v>51695813.314738803</v>
      </c>
      <c r="AB41" s="7">
        <v>50403418.114366703</v>
      </c>
      <c r="AC41" s="7">
        <v>49143335.681133799</v>
      </c>
    </row>
    <row r="42" spans="1:29" x14ac:dyDescent="0.85">
      <c r="A42" t="s">
        <v>140</v>
      </c>
      <c r="B42" s="7">
        <v>15496.702872170001</v>
      </c>
      <c r="C42" s="7">
        <v>15109.285790559999</v>
      </c>
      <c r="D42" s="7">
        <v>14731.55368329</v>
      </c>
      <c r="E42" s="7">
        <v>14363.265190530001</v>
      </c>
      <c r="F42" s="7">
        <v>14004.18357392</v>
      </c>
      <c r="G42" s="7">
        <v>13654.092959629999</v>
      </c>
      <c r="H42" s="7">
        <v>13312.74138317</v>
      </c>
      <c r="I42" s="7">
        <v>12979.922847809999</v>
      </c>
      <c r="J42" s="7">
        <v>12655.4252958</v>
      </c>
      <c r="K42" s="7">
        <v>12339.039663289999</v>
      </c>
      <c r="L42" s="7">
        <v>12030.56375528</v>
      </c>
      <c r="M42" s="7">
        <v>11729.799673060001</v>
      </c>
      <c r="N42" s="7">
        <v>11436.55468338</v>
      </c>
      <c r="O42" s="7">
        <v>11150.65208218</v>
      </c>
      <c r="P42" s="7">
        <v>10871.88585972</v>
      </c>
      <c r="Q42" s="7">
        <v>10600.08886982</v>
      </c>
      <c r="R42" s="7">
        <v>10335.086924069999</v>
      </c>
      <c r="S42" s="7">
        <v>10076.71031384</v>
      </c>
      <c r="T42" s="7">
        <v>9824.7930539200006</v>
      </c>
      <c r="U42" s="7">
        <v>9579.1732334600001</v>
      </c>
      <c r="V42" s="7">
        <v>9339.6945071099999</v>
      </c>
      <c r="W42" s="7">
        <v>9106.2028368400006</v>
      </c>
      <c r="X42" s="7">
        <v>8878.5478526999996</v>
      </c>
      <c r="Y42" s="7">
        <v>8656.5841745300004</v>
      </c>
      <c r="Z42" s="7">
        <v>8440.1699599299991</v>
      </c>
      <c r="AA42" s="7">
        <v>8229.1657720599997</v>
      </c>
      <c r="AB42" s="7">
        <v>8023.43664885</v>
      </c>
      <c r="AC42" s="7">
        <v>7822.8512133000004</v>
      </c>
    </row>
    <row r="43" spans="1:29" x14ac:dyDescent="0.85">
      <c r="A43" t="s">
        <v>141</v>
      </c>
      <c r="B43" s="7">
        <v>0</v>
      </c>
      <c r="C43" s="7">
        <v>56.950133710000003</v>
      </c>
      <c r="D43" s="7">
        <v>55.526380510000003</v>
      </c>
      <c r="E43" s="7">
        <v>54.138222310000003</v>
      </c>
      <c r="F43" s="7">
        <v>52.7847668</v>
      </c>
      <c r="G43" s="7">
        <v>51.46520031</v>
      </c>
      <c r="H43" s="7">
        <v>50.178573120000003</v>
      </c>
      <c r="I43" s="7">
        <v>48.924108740000001</v>
      </c>
      <c r="J43" s="7">
        <v>47.70100798</v>
      </c>
      <c r="K43" s="7">
        <v>46.508482770000001</v>
      </c>
      <c r="L43" s="7">
        <v>45.345771020000001</v>
      </c>
      <c r="M43" s="7">
        <v>44.212126789999999</v>
      </c>
      <c r="N43" s="7">
        <v>43.106823630000001</v>
      </c>
      <c r="O43" s="7">
        <v>42.0291955</v>
      </c>
      <c r="P43" s="7">
        <v>40.978465909999997</v>
      </c>
      <c r="Q43" s="7">
        <v>39.954004849999997</v>
      </c>
      <c r="R43" s="7">
        <v>38.955155769999998</v>
      </c>
      <c r="S43" s="7">
        <v>37.981279000000001</v>
      </c>
      <c r="T43" s="7">
        <v>37.031748899999997</v>
      </c>
      <c r="U43" s="7">
        <v>36.105955199999997</v>
      </c>
      <c r="V43" s="7">
        <v>35.2033086</v>
      </c>
      <c r="W43" s="7">
        <v>34.323228489999998</v>
      </c>
      <c r="X43" s="7">
        <v>33.465148110000001</v>
      </c>
      <c r="Y43" s="7">
        <v>32.628519480000001</v>
      </c>
      <c r="Z43" s="7">
        <v>31.812807960000001</v>
      </c>
      <c r="AA43" s="7">
        <v>31.017487989999999</v>
      </c>
      <c r="AB43" s="7">
        <v>30.24205087</v>
      </c>
      <c r="AC43" s="7">
        <v>29.48600141</v>
      </c>
    </row>
    <row r="44" spans="1:29" x14ac:dyDescent="0.85">
      <c r="A44" t="s">
        <v>142</v>
      </c>
      <c r="B44" s="7">
        <v>0.29205196</v>
      </c>
      <c r="C44" s="7">
        <v>0.28475066999999998</v>
      </c>
      <c r="D44" s="7">
        <v>0.27763189999999999</v>
      </c>
      <c r="E44" s="7">
        <v>0.27069111000000001</v>
      </c>
      <c r="F44" s="7">
        <v>0.26392383000000003</v>
      </c>
      <c r="G44" s="7">
        <v>0.257326</v>
      </c>
      <c r="H44" s="7">
        <v>0.25089286999999999</v>
      </c>
      <c r="I44" s="7">
        <v>0.24462054</v>
      </c>
      <c r="J44" s="7">
        <v>0.23850504</v>
      </c>
      <c r="K44" s="7">
        <v>0.23254241</v>
      </c>
      <c r="L44" s="7">
        <v>0.22672886</v>
      </c>
      <c r="M44" s="7">
        <v>0.22106063000000001</v>
      </c>
      <c r="N44" s="7">
        <v>0.21553412</v>
      </c>
      <c r="O44" s="7">
        <v>0.21014598000000001</v>
      </c>
      <c r="P44" s="7">
        <v>0.20489233000000001</v>
      </c>
      <c r="Q44" s="7">
        <v>0.19977001999999999</v>
      </c>
      <c r="R44" s="7">
        <v>0.19477578000000001</v>
      </c>
      <c r="S44" s="7">
        <v>0.1899064</v>
      </c>
      <c r="T44" s="7">
        <v>0.18515873999999999</v>
      </c>
      <c r="U44" s="7">
        <v>0.18052978</v>
      </c>
      <c r="V44" s="7">
        <v>0.17601654</v>
      </c>
      <c r="W44" s="7">
        <v>0.17161614</v>
      </c>
      <c r="X44" s="7">
        <v>0.16732574</v>
      </c>
      <c r="Y44" s="7">
        <v>0.1631426</v>
      </c>
      <c r="Z44" s="7">
        <v>0.15906403999999999</v>
      </c>
      <c r="AA44" s="7">
        <v>0.15508743999999999</v>
      </c>
      <c r="AB44" s="7">
        <v>0.15121024999999999</v>
      </c>
      <c r="AC44" s="7">
        <v>0.14743001</v>
      </c>
    </row>
    <row r="45" spans="1:29" x14ac:dyDescent="0.85">
      <c r="A45" t="s">
        <v>143</v>
      </c>
      <c r="B45" s="7">
        <v>14512.487772869999</v>
      </c>
      <c r="C45" s="7">
        <v>14149.6760376</v>
      </c>
      <c r="D45" s="7">
        <v>13795.93417178</v>
      </c>
      <c r="E45" s="7">
        <v>13451.03614462</v>
      </c>
      <c r="F45" s="7">
        <v>13114.76025333</v>
      </c>
      <c r="G45" s="7">
        <v>12786.904334479999</v>
      </c>
      <c r="H45" s="7">
        <v>12467.232426160001</v>
      </c>
      <c r="I45" s="7">
        <v>12155.551615509999</v>
      </c>
      <c r="J45" s="7">
        <v>11851.66331134</v>
      </c>
      <c r="K45" s="7">
        <v>11555.37172856</v>
      </c>
      <c r="L45" s="7">
        <v>11266.48751361</v>
      </c>
      <c r="M45" s="7">
        <v>10984.825336690001</v>
      </c>
      <c r="N45" s="7">
        <v>10710.204705280001</v>
      </c>
      <c r="O45" s="7">
        <v>10442.460138029999</v>
      </c>
      <c r="P45" s="7">
        <v>10181.398709110001</v>
      </c>
      <c r="Q45" s="7">
        <v>9926.8638880399994</v>
      </c>
      <c r="R45" s="7">
        <v>9678.6925492999999</v>
      </c>
      <c r="S45" s="7">
        <v>9436.7257626899991</v>
      </c>
      <c r="T45" s="7">
        <v>9200.8080849199996</v>
      </c>
      <c r="U45" s="7">
        <v>8970.7878883100002</v>
      </c>
      <c r="V45" s="7">
        <v>8746.5187571999995</v>
      </c>
      <c r="W45" s="7">
        <v>8527.8564366999999</v>
      </c>
      <c r="X45" s="7">
        <v>8314.6601070500001</v>
      </c>
      <c r="Y45" s="7">
        <v>8106.7936213700004</v>
      </c>
      <c r="Z45" s="7">
        <v>7904.1241458499999</v>
      </c>
      <c r="AA45" s="7">
        <v>7706.5210994400004</v>
      </c>
      <c r="AB45" s="7">
        <v>7513.8580917099998</v>
      </c>
      <c r="AC45" s="7">
        <v>7326.0120895700002</v>
      </c>
    </row>
    <row r="46" spans="1:29" x14ac:dyDescent="0.85">
      <c r="A46" t="s">
        <v>144</v>
      </c>
      <c r="B46" s="7">
        <v>984.21509930000002</v>
      </c>
      <c r="C46" s="7">
        <v>959.60975295000003</v>
      </c>
      <c r="D46" s="7">
        <v>935.61951151000005</v>
      </c>
      <c r="E46" s="7">
        <v>912.22904590999997</v>
      </c>
      <c r="F46" s="7">
        <v>889.42332060000001</v>
      </c>
      <c r="G46" s="7">
        <v>867.18862515000001</v>
      </c>
      <c r="H46" s="7">
        <v>845.50895700000001</v>
      </c>
      <c r="I46" s="7">
        <v>824.37123229999997</v>
      </c>
      <c r="J46" s="7">
        <v>803.76198446000001</v>
      </c>
      <c r="K46" s="7">
        <v>783.66793472999996</v>
      </c>
      <c r="L46" s="7">
        <v>764.07624166999994</v>
      </c>
      <c r="M46" s="7">
        <v>744.97433636999995</v>
      </c>
      <c r="N46" s="7">
        <v>726.34997810000004</v>
      </c>
      <c r="O46" s="7">
        <v>708.19194416000005</v>
      </c>
      <c r="P46" s="7">
        <v>690.48715060999996</v>
      </c>
      <c r="Q46" s="7">
        <v>673.22498179000002</v>
      </c>
      <c r="R46" s="7">
        <v>656.39437477000001</v>
      </c>
      <c r="S46" s="7">
        <v>639.98455115000002</v>
      </c>
      <c r="T46" s="7">
        <v>623.98496899999998</v>
      </c>
      <c r="U46" s="7">
        <v>608.38534515000003</v>
      </c>
      <c r="V46" s="7">
        <v>593.17574991000004</v>
      </c>
      <c r="W46" s="7">
        <v>578.34640014000001</v>
      </c>
      <c r="X46" s="7">
        <v>563.88774564000005</v>
      </c>
      <c r="Y46" s="7">
        <v>549.79055315999994</v>
      </c>
      <c r="Z46" s="7">
        <v>536.04581408000001</v>
      </c>
      <c r="AA46" s="7">
        <v>522.64467261000004</v>
      </c>
      <c r="AB46" s="7">
        <v>509.57855713999999</v>
      </c>
      <c r="AC46" s="7">
        <v>496.83912373999999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1.00000003</v>
      </c>
      <c r="E47" s="7">
        <v>1</v>
      </c>
      <c r="F47" s="7">
        <v>1.0000000200000001</v>
      </c>
      <c r="G47" s="7">
        <v>1</v>
      </c>
      <c r="H47" s="7">
        <v>1.00000102</v>
      </c>
      <c r="I47" s="7">
        <v>1.0000000600000001</v>
      </c>
      <c r="J47" s="7">
        <v>1</v>
      </c>
      <c r="K47" s="7">
        <v>1.00000004</v>
      </c>
      <c r="L47" s="7">
        <v>1</v>
      </c>
      <c r="M47" s="7">
        <v>1.0000000099999999</v>
      </c>
      <c r="N47" s="7">
        <v>1</v>
      </c>
      <c r="O47" s="7">
        <v>1</v>
      </c>
      <c r="P47" s="7">
        <v>1.0000010100000001</v>
      </c>
      <c r="Q47" s="7">
        <v>1.0000000099999999</v>
      </c>
      <c r="R47" s="7">
        <v>1.0000000099999999</v>
      </c>
      <c r="S47" s="7">
        <v>1.00000003</v>
      </c>
      <c r="T47" s="7">
        <v>1.0000000600000001</v>
      </c>
      <c r="U47" s="7">
        <v>1.0000000499999999</v>
      </c>
      <c r="V47" s="7">
        <v>1</v>
      </c>
      <c r="W47" s="7">
        <v>1.0000000600000001</v>
      </c>
      <c r="X47" s="7">
        <v>1.00000008</v>
      </c>
      <c r="Y47" s="7">
        <v>1.0000000099999999</v>
      </c>
      <c r="Z47" s="7">
        <v>1</v>
      </c>
      <c r="AA47" s="7">
        <v>1.0000000499999999</v>
      </c>
      <c r="AB47" s="7">
        <v>1.0000000099999999</v>
      </c>
      <c r="AC47" s="7">
        <v>1</v>
      </c>
    </row>
    <row r="48" spans="1:29" x14ac:dyDescent="0.85">
      <c r="A48" t="s">
        <v>146</v>
      </c>
      <c r="B48" s="7">
        <v>1</v>
      </c>
      <c r="C48" s="7">
        <v>1.00000003</v>
      </c>
      <c r="D48" s="7">
        <v>1</v>
      </c>
      <c r="E48" s="7">
        <v>1.0000000200000001</v>
      </c>
      <c r="F48" s="7">
        <v>1</v>
      </c>
      <c r="G48" s="7">
        <v>1.00000102</v>
      </c>
      <c r="H48" s="7">
        <v>1.0000000600000001</v>
      </c>
      <c r="I48" s="7">
        <v>1</v>
      </c>
      <c r="J48" s="7">
        <v>1.00000004</v>
      </c>
      <c r="K48" s="7">
        <v>1</v>
      </c>
      <c r="L48" s="7">
        <v>1.0000000099999999</v>
      </c>
      <c r="M48" s="7">
        <v>1</v>
      </c>
      <c r="N48" s="7">
        <v>1</v>
      </c>
      <c r="O48" s="7">
        <v>1.0000010100000001</v>
      </c>
      <c r="P48" s="7">
        <v>1.0000000099999999</v>
      </c>
      <c r="Q48" s="7">
        <v>1.0000000099999999</v>
      </c>
      <c r="R48" s="7">
        <v>1.00000003</v>
      </c>
      <c r="S48" s="7">
        <v>1.0000000600000001</v>
      </c>
      <c r="T48" s="7">
        <v>1.0000000499999999</v>
      </c>
      <c r="U48" s="7">
        <v>1</v>
      </c>
      <c r="V48" s="7">
        <v>1.0000000600000001</v>
      </c>
      <c r="W48" s="7">
        <v>1.00000008</v>
      </c>
      <c r="X48" s="7">
        <v>1.0000000099999999</v>
      </c>
      <c r="Y48" s="7">
        <v>1</v>
      </c>
      <c r="Z48" s="7">
        <v>1.0000000499999999</v>
      </c>
      <c r="AA48" s="7">
        <v>1.0000000099999999</v>
      </c>
      <c r="AB48" s="7">
        <v>1</v>
      </c>
      <c r="AC48" s="7">
        <v>1.0000000600000001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1.11887096</v>
      </c>
      <c r="E49" s="7">
        <v>1.1256441699999999</v>
      </c>
      <c r="F49" s="7">
        <v>1.13290438</v>
      </c>
      <c r="G49" s="7">
        <v>1.14068642</v>
      </c>
      <c r="H49" s="7">
        <v>1.1490283800000001</v>
      </c>
      <c r="I49" s="7">
        <v>1.1579703400000001</v>
      </c>
      <c r="J49" s="7">
        <v>1.1675548</v>
      </c>
      <c r="K49" s="7">
        <v>1.1778291599999999</v>
      </c>
      <c r="L49" s="7">
        <v>1.1888425</v>
      </c>
      <c r="M49" s="7">
        <v>1.20064317</v>
      </c>
      <c r="N49" s="7">
        <v>1.2116982599999999</v>
      </c>
      <c r="O49" s="7">
        <v>1.2215831500000001</v>
      </c>
      <c r="P49" s="7">
        <v>1.2319552300000001</v>
      </c>
      <c r="Q49" s="7">
        <v>1.2428616299999999</v>
      </c>
      <c r="R49" s="7">
        <v>1.25432071</v>
      </c>
      <c r="S49" s="7">
        <v>1.2663672500000001</v>
      </c>
      <c r="T49" s="7">
        <v>1.27902407</v>
      </c>
      <c r="U49" s="7">
        <v>1.2923262799999999</v>
      </c>
      <c r="V49" s="7">
        <v>1.3063014100000001</v>
      </c>
      <c r="W49" s="7">
        <v>1.3209840100000001</v>
      </c>
      <c r="X49" s="7">
        <v>1.3364087600000001</v>
      </c>
      <c r="Y49" s="7">
        <v>1.3526118600000001</v>
      </c>
      <c r="Z49" s="7">
        <v>1.3696087299999999</v>
      </c>
      <c r="AA49" s="7">
        <v>1.3874789300000001</v>
      </c>
      <c r="AB49" s="7">
        <v>1.4062540100000001</v>
      </c>
      <c r="AC49" s="7">
        <v>1.4259727799999999</v>
      </c>
    </row>
    <row r="50" spans="1:29" x14ac:dyDescent="0.85">
      <c r="A50" t="s">
        <v>148</v>
      </c>
      <c r="B50" s="7">
        <v>14307</v>
      </c>
      <c r="C50" s="7">
        <v>16126.699223109999</v>
      </c>
      <c r="D50" s="7">
        <v>17996.445021570002</v>
      </c>
      <c r="E50" s="7">
        <v>19919.47835976</v>
      </c>
      <c r="F50" s="7">
        <v>21898.933152590002</v>
      </c>
      <c r="G50" s="7">
        <v>23938.439769830002</v>
      </c>
      <c r="H50" s="7">
        <v>26041.297977769998</v>
      </c>
      <c r="I50" s="7">
        <v>28210.897558069999</v>
      </c>
      <c r="J50" s="7">
        <v>30451.46721336</v>
      </c>
      <c r="K50" s="7">
        <v>32766.698702649999</v>
      </c>
      <c r="L50" s="7">
        <v>35158.829360099997</v>
      </c>
      <c r="M50" s="7">
        <v>37048.233128870001</v>
      </c>
      <c r="N50" s="7">
        <v>38312.337651219997</v>
      </c>
      <c r="O50" s="7">
        <v>39585.197369590001</v>
      </c>
      <c r="P50" s="7">
        <v>40875.351119680003</v>
      </c>
      <c r="Q50" s="7">
        <v>42180.756965480003</v>
      </c>
      <c r="R50" s="7">
        <v>43504.511967819999</v>
      </c>
      <c r="S50" s="7">
        <v>44845.219739840002</v>
      </c>
      <c r="T50" s="7">
        <v>46205.080664779998</v>
      </c>
      <c r="U50" s="7">
        <v>47583.397924769997</v>
      </c>
      <c r="V50" s="7">
        <v>48981.25515261</v>
      </c>
      <c r="W50" s="7">
        <v>50399.252213330001</v>
      </c>
      <c r="X50" s="7">
        <v>51837.965208460002</v>
      </c>
      <c r="Y50" s="7">
        <v>53291.841464769997</v>
      </c>
      <c r="Z50" s="7">
        <v>54772.625777859997</v>
      </c>
      <c r="AA50" s="7">
        <v>56277.856566379996</v>
      </c>
      <c r="AB50" s="7">
        <v>57806.748017730002</v>
      </c>
      <c r="AC50" s="7">
        <v>59358.766310200001</v>
      </c>
    </row>
    <row r="51" spans="1:29" x14ac:dyDescent="0.85">
      <c r="A51" t="s">
        <v>149</v>
      </c>
      <c r="B51" s="7">
        <v>57041176.25</v>
      </c>
      <c r="C51" s="7">
        <v>65793648.761004701</v>
      </c>
      <c r="D51" s="7">
        <v>74745896.692162901</v>
      </c>
      <c r="E51" s="7">
        <v>83800735.827053696</v>
      </c>
      <c r="F51" s="7">
        <v>93101119.386801094</v>
      </c>
      <c r="G51" s="7">
        <v>102511865.73172399</v>
      </c>
      <c r="H51" s="7">
        <v>111607008.22200499</v>
      </c>
      <c r="I51" s="7">
        <v>120772392.787884</v>
      </c>
      <c r="J51" s="7">
        <v>130148101.545883</v>
      </c>
      <c r="K51" s="7">
        <v>139746741.418758</v>
      </c>
      <c r="L51" s="7">
        <v>149642376.191291</v>
      </c>
      <c r="M51" s="7">
        <v>157465896.64746299</v>
      </c>
      <c r="N51" s="7">
        <v>162965410.22431901</v>
      </c>
      <c r="O51" s="7">
        <v>168475590.56536901</v>
      </c>
      <c r="P51" s="7">
        <v>174020224.02371201</v>
      </c>
      <c r="Q51" s="7">
        <v>179603056.114723</v>
      </c>
      <c r="R51" s="7">
        <v>185226534.66676801</v>
      </c>
      <c r="S51" s="7">
        <v>190893032.14423701</v>
      </c>
      <c r="T51" s="7">
        <v>196604995.93991101</v>
      </c>
      <c r="U51" s="7">
        <v>202364832.187457</v>
      </c>
      <c r="V51" s="7">
        <v>208174988.33727399</v>
      </c>
      <c r="W51" s="7">
        <v>214037910.326886</v>
      </c>
      <c r="X51" s="7">
        <v>219956067.01214799</v>
      </c>
      <c r="Y51" s="7">
        <v>225932146.23321599</v>
      </c>
      <c r="Z51" s="7">
        <v>231968999.57064199</v>
      </c>
      <c r="AA51" s="7">
        <v>238069018.12021601</v>
      </c>
      <c r="AB51" s="7">
        <v>244235144.933862</v>
      </c>
      <c r="AC51" s="7">
        <v>250470093.49550301</v>
      </c>
    </row>
    <row r="52" spans="1:29" x14ac:dyDescent="0.85">
      <c r="A52" t="s">
        <v>150</v>
      </c>
      <c r="B52" s="7">
        <v>57041176.25</v>
      </c>
      <c r="C52" s="7">
        <v>65793648.761004701</v>
      </c>
      <c r="D52" s="7">
        <v>74745896.692162901</v>
      </c>
      <c r="E52" s="7">
        <v>83800735.827053696</v>
      </c>
      <c r="F52" s="7">
        <v>93101119.386801094</v>
      </c>
      <c r="G52" s="7">
        <v>102511865.73172399</v>
      </c>
      <c r="H52" s="7">
        <v>111607008.22200499</v>
      </c>
      <c r="I52" s="7">
        <v>120772392.787884</v>
      </c>
      <c r="J52" s="7">
        <v>130148101.545883</v>
      </c>
      <c r="K52" s="7">
        <v>139746741.418758</v>
      </c>
      <c r="L52" s="7">
        <v>149642376.191291</v>
      </c>
      <c r="M52" s="7">
        <v>157465896.64746299</v>
      </c>
      <c r="N52" s="7">
        <v>162965410.22431901</v>
      </c>
      <c r="O52" s="7">
        <v>168475590.56536901</v>
      </c>
      <c r="P52" s="7">
        <v>174020224.02371201</v>
      </c>
      <c r="Q52" s="7">
        <v>179603056.114723</v>
      </c>
      <c r="R52" s="7">
        <v>185226534.66676801</v>
      </c>
      <c r="S52" s="7">
        <v>190893032.14423701</v>
      </c>
      <c r="T52" s="7">
        <v>196604995.93991101</v>
      </c>
      <c r="U52" s="7">
        <v>202364832.187457</v>
      </c>
      <c r="V52" s="7">
        <v>208174988.33727399</v>
      </c>
      <c r="W52" s="7">
        <v>214037910.326886</v>
      </c>
      <c r="X52" s="7">
        <v>219956067.01214799</v>
      </c>
      <c r="Y52" s="7">
        <v>225932146.23321599</v>
      </c>
      <c r="Z52" s="7">
        <v>231968999.57064199</v>
      </c>
      <c r="AA52" s="7">
        <v>238069018.12021601</v>
      </c>
      <c r="AB52" s="7">
        <v>244235144.933862</v>
      </c>
      <c r="AC52" s="7">
        <v>250470093.49550301</v>
      </c>
    </row>
    <row r="53" spans="1:29" x14ac:dyDescent="0.85">
      <c r="A53" t="s">
        <v>151</v>
      </c>
      <c r="B53" s="7">
        <v>4104.9552028199996</v>
      </c>
      <c r="C53" s="7">
        <v>4663.5996071</v>
      </c>
      <c r="D53" s="7">
        <v>5236.6092628200004</v>
      </c>
      <c r="E53" s="7">
        <v>5822.2274850100002</v>
      </c>
      <c r="F53" s="7">
        <v>6424.5366415600001</v>
      </c>
      <c r="G53" s="7">
        <v>7040.9267564100001</v>
      </c>
      <c r="H53" s="7">
        <v>7661.6300045500002</v>
      </c>
      <c r="I53" s="7">
        <v>8296.7038580200006</v>
      </c>
      <c r="J53" s="7">
        <v>8950.3682430499994</v>
      </c>
      <c r="K53" s="7">
        <v>9623.6308662600004</v>
      </c>
      <c r="L53" s="7">
        <v>10318.72316752</v>
      </c>
      <c r="M53" s="7">
        <v>10867.91977052</v>
      </c>
      <c r="N53" s="7">
        <v>11241.83012307</v>
      </c>
      <c r="O53" s="7">
        <v>11617.66106231</v>
      </c>
      <c r="P53" s="7">
        <v>11997.61226276</v>
      </c>
      <c r="Q53" s="7">
        <v>12381.38788638</v>
      </c>
      <c r="R53" s="7">
        <v>12769.63498054</v>
      </c>
      <c r="S53" s="7">
        <v>13162.146625380001</v>
      </c>
      <c r="T53" s="7">
        <v>13559.399813509999</v>
      </c>
      <c r="U53" s="7">
        <v>13961.32111146</v>
      </c>
      <c r="V53" s="7">
        <v>14368.17573495</v>
      </c>
      <c r="W53" s="7">
        <v>14780.137122059999</v>
      </c>
      <c r="X53" s="7">
        <v>15197.374763579999</v>
      </c>
      <c r="Y53" s="7">
        <v>15618.901245110001</v>
      </c>
      <c r="Z53" s="7">
        <v>16047.01340446</v>
      </c>
      <c r="AA53" s="7">
        <v>16481.302775079999</v>
      </c>
      <c r="AB53" s="7">
        <v>16921.69214752</v>
      </c>
      <c r="AC53" s="7">
        <v>17368.146497919999</v>
      </c>
    </row>
    <row r="54" spans="1:29" x14ac:dyDescent="0.85">
      <c r="A54" t="s">
        <v>152</v>
      </c>
      <c r="B54" s="7">
        <v>0</v>
      </c>
      <c r="C54" s="7">
        <v>6447.7775785800004</v>
      </c>
      <c r="D54" s="7">
        <v>7325.0978758299998</v>
      </c>
      <c r="E54" s="7">
        <v>8212.4721110499995</v>
      </c>
      <c r="F54" s="7">
        <v>9123.9096999100002</v>
      </c>
      <c r="G54" s="7">
        <v>10046.16284171</v>
      </c>
      <c r="H54" s="7">
        <v>10937.48680576</v>
      </c>
      <c r="I54" s="7">
        <v>11835.69449321</v>
      </c>
      <c r="J54" s="7">
        <v>12754.513951499999</v>
      </c>
      <c r="K54" s="7">
        <v>13695.180659039999</v>
      </c>
      <c r="L54" s="7">
        <v>14664.95286675</v>
      </c>
      <c r="M54" s="7">
        <v>15431.657871449999</v>
      </c>
      <c r="N54" s="7">
        <v>15970.61020198</v>
      </c>
      <c r="O54" s="7">
        <v>16510.607875410002</v>
      </c>
      <c r="P54" s="7">
        <v>17053.981954319999</v>
      </c>
      <c r="Q54" s="7">
        <v>17601.099499240001</v>
      </c>
      <c r="R54" s="7">
        <v>18152.200397339999</v>
      </c>
      <c r="S54" s="7">
        <v>18707.51715014</v>
      </c>
      <c r="T54" s="7">
        <v>19267.289602109999</v>
      </c>
      <c r="U54" s="7">
        <v>19831.75355437</v>
      </c>
      <c r="V54" s="7">
        <v>20401.148857050001</v>
      </c>
      <c r="W54" s="7">
        <v>20975.715212030002</v>
      </c>
      <c r="X54" s="7">
        <v>21555.694567189999</v>
      </c>
      <c r="Y54" s="7">
        <v>22141.350330860001</v>
      </c>
      <c r="Z54" s="7">
        <v>22732.961957920001</v>
      </c>
      <c r="AA54" s="7">
        <v>23330.76377578</v>
      </c>
      <c r="AB54" s="7">
        <v>23935.044203519999</v>
      </c>
      <c r="AC54" s="7">
        <v>24546.069162560001</v>
      </c>
    </row>
    <row r="55" spans="1:29" x14ac:dyDescent="0.85">
      <c r="A55" t="s">
        <v>153</v>
      </c>
      <c r="B55" s="7">
        <v>27.95017636</v>
      </c>
      <c r="C55" s="7">
        <v>32.238887890000001</v>
      </c>
      <c r="D55" s="7">
        <v>36.625489379999998</v>
      </c>
      <c r="E55" s="7">
        <v>41.062360560000002</v>
      </c>
      <c r="F55" s="7">
        <v>45.619548500000001</v>
      </c>
      <c r="G55" s="7">
        <v>50.230814209999998</v>
      </c>
      <c r="H55" s="7">
        <v>54.687434029999999</v>
      </c>
      <c r="I55" s="7">
        <v>59.178472470000003</v>
      </c>
      <c r="J55" s="7">
        <v>63.772569760000003</v>
      </c>
      <c r="K55" s="7">
        <v>68.475903299999999</v>
      </c>
      <c r="L55" s="7">
        <v>73.324764329999994</v>
      </c>
      <c r="M55" s="7">
        <v>77.158289359999998</v>
      </c>
      <c r="N55" s="7">
        <v>79.853051010000001</v>
      </c>
      <c r="O55" s="7">
        <v>82.553039380000001</v>
      </c>
      <c r="P55" s="7">
        <v>85.269909769999998</v>
      </c>
      <c r="Q55" s="7">
        <v>88.005497500000004</v>
      </c>
      <c r="R55" s="7">
        <v>90.761001989999997</v>
      </c>
      <c r="S55" s="7">
        <v>93.537585750000005</v>
      </c>
      <c r="T55" s="7">
        <v>96.336448009999998</v>
      </c>
      <c r="U55" s="7">
        <v>99.158767769999997</v>
      </c>
      <c r="V55" s="7">
        <v>102.00574429</v>
      </c>
      <c r="W55" s="7">
        <v>104.87857606</v>
      </c>
      <c r="X55" s="7">
        <v>107.77847284000001</v>
      </c>
      <c r="Y55" s="7">
        <v>110.70675165</v>
      </c>
      <c r="Z55" s="7">
        <v>113.66480979000001</v>
      </c>
      <c r="AA55" s="7">
        <v>116.65381888</v>
      </c>
      <c r="AB55" s="7">
        <v>119.67522102</v>
      </c>
      <c r="AC55" s="7">
        <v>122.73034581</v>
      </c>
    </row>
    <row r="56" spans="1:29" x14ac:dyDescent="0.85">
      <c r="A56" t="s">
        <v>154</v>
      </c>
      <c r="B56" s="7">
        <v>2713.1505023200002</v>
      </c>
      <c r="C56" s="7">
        <v>3058.2345773299999</v>
      </c>
      <c r="D56" s="7">
        <v>3412.8093835300001</v>
      </c>
      <c r="E56" s="7">
        <v>3777.4895308300001</v>
      </c>
      <c r="F56" s="7">
        <v>4152.8693285199997</v>
      </c>
      <c r="G56" s="7">
        <v>4539.6372325499997</v>
      </c>
      <c r="H56" s="7">
        <v>4938.41900394</v>
      </c>
      <c r="I56" s="7">
        <v>5349.8574740000004</v>
      </c>
      <c r="J56" s="7">
        <v>5774.7545653300003</v>
      </c>
      <c r="K56" s="7">
        <v>6213.8103756399996</v>
      </c>
      <c r="L56" s="7">
        <v>6667.4491884500003</v>
      </c>
      <c r="M56" s="7">
        <v>7025.7518923199996</v>
      </c>
      <c r="N56" s="7">
        <v>7265.4741136000002</v>
      </c>
      <c r="O56" s="7">
        <v>7506.8566525200004</v>
      </c>
      <c r="P56" s="7">
        <v>7751.5187965799996</v>
      </c>
      <c r="Q56" s="7">
        <v>7999.0733171800002</v>
      </c>
      <c r="R56" s="7">
        <v>8250.1075346699999</v>
      </c>
      <c r="S56" s="7">
        <v>8504.3566410599997</v>
      </c>
      <c r="T56" s="7">
        <v>8762.2379125700008</v>
      </c>
      <c r="U56" s="7">
        <v>9023.6192060899994</v>
      </c>
      <c r="V56" s="7">
        <v>9288.70601953</v>
      </c>
      <c r="W56" s="7">
        <v>9557.6121100799992</v>
      </c>
      <c r="X56" s="7">
        <v>9830.4467284799994</v>
      </c>
      <c r="Y56" s="7">
        <v>10106.156877019999</v>
      </c>
      <c r="Z56" s="7">
        <v>10386.969814939999</v>
      </c>
      <c r="AA56" s="7">
        <v>10672.41873295</v>
      </c>
      <c r="AB56" s="7">
        <v>10962.354611139999</v>
      </c>
      <c r="AC56" s="7">
        <v>11256.67621663</v>
      </c>
    </row>
    <row r="57" spans="1:29" x14ac:dyDescent="0.85">
      <c r="A57" t="s">
        <v>155</v>
      </c>
      <c r="B57" s="7">
        <v>1391.8047005000001</v>
      </c>
      <c r="C57" s="7">
        <v>1605.3650297700001</v>
      </c>
      <c r="D57" s="7">
        <v>1823.79987929</v>
      </c>
      <c r="E57" s="7">
        <v>2044.7379541800001</v>
      </c>
      <c r="F57" s="7">
        <v>2271.66731304</v>
      </c>
      <c r="G57" s="7">
        <v>2501.28952385</v>
      </c>
      <c r="H57" s="7">
        <v>2723.21100062</v>
      </c>
      <c r="I57" s="7">
        <v>2946.8463840200002</v>
      </c>
      <c r="J57" s="7">
        <v>3175.6136777199999</v>
      </c>
      <c r="K57" s="7">
        <v>3409.8204906199999</v>
      </c>
      <c r="L57" s="7">
        <v>3651.2739790700002</v>
      </c>
      <c r="M57" s="7">
        <v>3842.1678781999999</v>
      </c>
      <c r="N57" s="7">
        <v>3976.3560094700001</v>
      </c>
      <c r="O57" s="7">
        <v>4110.8044098</v>
      </c>
      <c r="P57" s="7">
        <v>4246.0934661800002</v>
      </c>
      <c r="Q57" s="7">
        <v>4382.3145691999998</v>
      </c>
      <c r="R57" s="7">
        <v>4519.5274458699996</v>
      </c>
      <c r="S57" s="7">
        <v>4657.7899843200003</v>
      </c>
      <c r="T57" s="7">
        <v>4797.1619009300002</v>
      </c>
      <c r="U57" s="7">
        <v>4937.7019053699996</v>
      </c>
      <c r="V57" s="7">
        <v>5079.4697154300002</v>
      </c>
      <c r="W57" s="7">
        <v>5222.5250119800003</v>
      </c>
      <c r="X57" s="7">
        <v>5366.9280350999998</v>
      </c>
      <c r="Y57" s="7">
        <v>5512.7443680899996</v>
      </c>
      <c r="Z57" s="7">
        <v>5660.0435895199998</v>
      </c>
      <c r="AA57" s="7">
        <v>5808.8840421300001</v>
      </c>
      <c r="AB57" s="7">
        <v>5959.3375363900004</v>
      </c>
      <c r="AC57" s="7">
        <v>6111.4702812899995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1.1624362800000001</v>
      </c>
      <c r="E58" s="7">
        <v>1.1529715199999999</v>
      </c>
      <c r="F58" s="7">
        <v>1.14518008</v>
      </c>
      <c r="G58" s="7">
        <v>1.1386698900000001</v>
      </c>
      <c r="H58" s="7">
        <v>1.1331612600000001</v>
      </c>
      <c r="I58" s="7">
        <v>1.1284512200000001</v>
      </c>
      <c r="J58" s="7">
        <v>1.12438806</v>
      </c>
      <c r="K58" s="7">
        <v>1.1208548</v>
      </c>
      <c r="L58" s="7">
        <v>1.1177619700000001</v>
      </c>
      <c r="M58" s="7">
        <v>1.11504107</v>
      </c>
      <c r="N58" s="7">
        <v>1.09764489</v>
      </c>
      <c r="O58" s="7">
        <v>1.07720886</v>
      </c>
      <c r="P58" s="7">
        <v>1.0762742000000001</v>
      </c>
      <c r="Q58" s="7">
        <v>1.0756164800000001</v>
      </c>
      <c r="R58" s="7">
        <v>1.0749336</v>
      </c>
      <c r="S58" s="7">
        <v>1.0743571999999999</v>
      </c>
      <c r="T58" s="7">
        <v>1.07376841</v>
      </c>
      <c r="U58" s="7">
        <v>1.0732535700000001</v>
      </c>
      <c r="V58" s="7">
        <v>1.0727400300000001</v>
      </c>
      <c r="W58" s="7">
        <v>1.0722677</v>
      </c>
      <c r="X58" s="7">
        <v>1.0718227</v>
      </c>
      <c r="Y58" s="7">
        <v>1.0714024099999999</v>
      </c>
      <c r="Z58" s="7">
        <v>1.07088183</v>
      </c>
      <c r="AA58" s="7">
        <v>1.0706107499999999</v>
      </c>
      <c r="AB58" s="7">
        <v>1.07029317</v>
      </c>
      <c r="AC58" s="7">
        <v>1.0699654599999999</v>
      </c>
    </row>
    <row r="59" spans="1:29" x14ac:dyDescent="0.85">
      <c r="A59" t="s">
        <v>157</v>
      </c>
      <c r="B59" s="7">
        <v>1</v>
      </c>
      <c r="C59" s="7">
        <v>1.17415566</v>
      </c>
      <c r="D59" s="7">
        <v>1.1624385500000001</v>
      </c>
      <c r="E59" s="7">
        <v>1.1529753</v>
      </c>
      <c r="F59" s="7">
        <v>1.14518002</v>
      </c>
      <c r="G59" s="7">
        <v>1.1386798899999999</v>
      </c>
      <c r="H59" s="7">
        <v>1.1331712599999999</v>
      </c>
      <c r="I59" s="7">
        <v>1.1284518800000001</v>
      </c>
      <c r="J59" s="7">
        <v>1.1243980600000001</v>
      </c>
      <c r="K59" s="7">
        <v>1.1208648000000001</v>
      </c>
      <c r="L59" s="7">
        <v>1.11771347</v>
      </c>
      <c r="M59" s="7">
        <v>1.09764489</v>
      </c>
      <c r="N59" s="7">
        <v>1.07720886</v>
      </c>
      <c r="O59" s="7">
        <v>1.0762742000000001</v>
      </c>
      <c r="P59" s="7">
        <v>1.0756164800000001</v>
      </c>
      <c r="Q59" s="7">
        <v>1.0749336</v>
      </c>
      <c r="R59" s="7">
        <v>1.0743571999999999</v>
      </c>
      <c r="S59" s="7">
        <v>1.07376841</v>
      </c>
      <c r="T59" s="7">
        <v>1.0732535700000001</v>
      </c>
      <c r="U59" s="7">
        <v>1.0727400300000001</v>
      </c>
      <c r="V59" s="7">
        <v>1.0722677</v>
      </c>
      <c r="W59" s="7">
        <v>1.0718227</v>
      </c>
      <c r="X59" s="7">
        <v>1.0714024099999999</v>
      </c>
      <c r="Y59" s="7">
        <v>1.07088183</v>
      </c>
      <c r="Z59" s="7">
        <v>1.0706107499999999</v>
      </c>
      <c r="AA59" s="7">
        <v>1.07029317</v>
      </c>
      <c r="AB59" s="7">
        <v>1.0699654599999999</v>
      </c>
      <c r="AC59" s="7">
        <v>1.06963374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1.1624462799999999</v>
      </c>
      <c r="E60" s="7">
        <v>1.15298152</v>
      </c>
      <c r="F60" s="7">
        <v>1.1451900800000001</v>
      </c>
      <c r="G60" s="7">
        <v>1.1386798899999999</v>
      </c>
      <c r="H60" s="7">
        <v>1.1331712599999999</v>
      </c>
      <c r="I60" s="7">
        <v>1.1284612199999999</v>
      </c>
      <c r="J60" s="7">
        <v>1.1243980600000001</v>
      </c>
      <c r="K60" s="7">
        <v>1.1208648000000001</v>
      </c>
      <c r="L60" s="7">
        <v>1.1177719699999999</v>
      </c>
      <c r="M60" s="7">
        <v>1.11505107</v>
      </c>
      <c r="N60" s="7">
        <v>1.1133308399999999</v>
      </c>
      <c r="O60" s="7">
        <v>1.1125325800000001</v>
      </c>
      <c r="P60" s="7">
        <v>1.11181116</v>
      </c>
      <c r="Q60" s="7">
        <v>1.1111512400000001</v>
      </c>
      <c r="R60" s="7">
        <v>1.1105502599999999</v>
      </c>
      <c r="S60" s="7">
        <v>1.1100008699999999</v>
      </c>
      <c r="T60" s="7">
        <v>1.1095007400000001</v>
      </c>
      <c r="U60" s="7">
        <v>1.1090445099999999</v>
      </c>
      <c r="V60" s="7">
        <v>1.1086298400000001</v>
      </c>
      <c r="W60" s="7">
        <v>1.1082531200000001</v>
      </c>
      <c r="X60" s="7">
        <v>1.1079114800000001</v>
      </c>
      <c r="Y60" s="7">
        <v>1.10760232</v>
      </c>
      <c r="Z60" s="7">
        <v>1.10732769</v>
      </c>
      <c r="AA60" s="7">
        <v>1.1070770999999999</v>
      </c>
      <c r="AB60" s="7">
        <v>1.10685107</v>
      </c>
      <c r="AC60" s="7">
        <v>1.1066488299999999</v>
      </c>
    </row>
    <row r="61" spans="1:29" x14ac:dyDescent="0.85">
      <c r="A61" t="s">
        <v>159</v>
      </c>
      <c r="B61" s="7">
        <v>12389</v>
      </c>
      <c r="C61" s="7">
        <v>12079.275</v>
      </c>
      <c r="D61" s="7">
        <v>11777.293125</v>
      </c>
      <c r="E61" s="7">
        <v>11482.860796880001</v>
      </c>
      <c r="F61" s="7">
        <v>11195.789276949999</v>
      </c>
      <c r="G61" s="7">
        <v>10915.89454503</v>
      </c>
      <c r="H61" s="7">
        <v>10642.9971814</v>
      </c>
      <c r="I61" s="7">
        <v>10376.922251870001</v>
      </c>
      <c r="J61" s="7">
        <v>10117.499195570001</v>
      </c>
      <c r="K61" s="7">
        <v>9864.5617156799999</v>
      </c>
      <c r="L61" s="7">
        <v>9617.9476727900001</v>
      </c>
      <c r="M61" s="7">
        <v>9377.49898097</v>
      </c>
      <c r="N61" s="7">
        <v>9143.0615064499998</v>
      </c>
      <c r="O61" s="7">
        <v>8914.4849687900005</v>
      </c>
      <c r="P61" s="7">
        <v>8691.6228445699999</v>
      </c>
      <c r="Q61" s="7">
        <v>8474.3322734499998</v>
      </c>
      <c r="R61" s="7">
        <v>8262.4739666200003</v>
      </c>
      <c r="S61" s="7">
        <v>8055.9121174499996</v>
      </c>
      <c r="T61" s="7">
        <v>7854.5143145100001</v>
      </c>
      <c r="U61" s="7">
        <v>7658.15145665</v>
      </c>
      <c r="V61" s="7">
        <v>7466.6976702299999</v>
      </c>
      <c r="W61" s="7">
        <v>7280.03022848</v>
      </c>
      <c r="X61" s="7">
        <v>7098.0294727700002</v>
      </c>
      <c r="Y61" s="7">
        <v>6920.57873595</v>
      </c>
      <c r="Z61" s="7">
        <v>6747.5642675500003</v>
      </c>
      <c r="AA61" s="7">
        <v>6578.8751608599996</v>
      </c>
      <c r="AB61" s="7">
        <v>6414.4032818400001</v>
      </c>
      <c r="AC61" s="7">
        <v>6254.0431997899996</v>
      </c>
    </row>
    <row r="62" spans="1:29" x14ac:dyDescent="0.85">
      <c r="A62" t="s">
        <v>160</v>
      </c>
      <c r="B62" s="7">
        <v>39933839.75</v>
      </c>
      <c r="C62" s="7">
        <v>36731524.026758298</v>
      </c>
      <c r="D62" s="7">
        <v>33316656.811668001</v>
      </c>
      <c r="E62" s="7">
        <v>29787595.1866013</v>
      </c>
      <c r="F62" s="7">
        <v>26002458.870614301</v>
      </c>
      <c r="G62" s="7">
        <v>22097332.8106286</v>
      </c>
      <c r="H62" s="7">
        <v>18499236.1441628</v>
      </c>
      <c r="I62" s="7">
        <v>14823035.2303215</v>
      </c>
      <c r="J62" s="7">
        <v>10929337.926654501</v>
      </c>
      <c r="K62" s="7">
        <v>6806120.0940449201</v>
      </c>
      <c r="L62" s="7">
        <v>2379788.5110779698</v>
      </c>
      <c r="M62" s="7">
        <v>25325.583258409999</v>
      </c>
      <c r="N62" s="7">
        <v>1367.56473848</v>
      </c>
      <c r="O62" s="7">
        <v>6.8897000000000001E-4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39933839.75</v>
      </c>
      <c r="C63" s="7">
        <v>36731524.026758298</v>
      </c>
      <c r="D63" s="7">
        <v>33316656.811668001</v>
      </c>
      <c r="E63" s="7">
        <v>29787595.1866013</v>
      </c>
      <c r="F63" s="7">
        <v>26002458.870614301</v>
      </c>
      <c r="G63" s="7">
        <v>22097332.8106286</v>
      </c>
      <c r="H63" s="7">
        <v>18499236.1441628</v>
      </c>
      <c r="I63" s="7">
        <v>14823035.2303215</v>
      </c>
      <c r="J63" s="7">
        <v>10929337.926654501</v>
      </c>
      <c r="K63" s="7">
        <v>6806120.0940449201</v>
      </c>
      <c r="L63" s="7">
        <v>2379788.5110779698</v>
      </c>
      <c r="M63" s="7">
        <v>25325.583258409999</v>
      </c>
      <c r="N63" s="7">
        <v>1367.56473848</v>
      </c>
      <c r="O63" s="7">
        <v>6.8897000000000001E-4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8345.2432245700002</v>
      </c>
      <c r="C64" s="7">
        <v>8085.3037286600002</v>
      </c>
      <c r="D64" s="7">
        <v>7825.0507736600002</v>
      </c>
      <c r="E64" s="7">
        <v>7566.6582439499998</v>
      </c>
      <c r="F64" s="7">
        <v>7306.7101948099998</v>
      </c>
      <c r="G64" s="7">
        <v>7048.2645363299998</v>
      </c>
      <c r="H64" s="7">
        <v>6801.1548802200005</v>
      </c>
      <c r="I64" s="7">
        <v>6556.3106063799996</v>
      </c>
      <c r="J64" s="7">
        <v>6310.38457449</v>
      </c>
      <c r="K64" s="7">
        <v>6062.9973236599999</v>
      </c>
      <c r="L64" s="7">
        <v>5812.3385532100001</v>
      </c>
      <c r="M64" s="7">
        <v>5613.6032293400003</v>
      </c>
      <c r="N64" s="7">
        <v>5472.7201454200003</v>
      </c>
      <c r="O64" s="7">
        <v>5335.8711008199998</v>
      </c>
      <c r="P64" s="7">
        <v>5202.4743232800001</v>
      </c>
      <c r="Q64" s="7">
        <v>5072.4124652</v>
      </c>
      <c r="R64" s="7">
        <v>4945.6021535700002</v>
      </c>
      <c r="S64" s="7">
        <v>4821.9620997299999</v>
      </c>
      <c r="T64" s="7">
        <v>4701.4130472400002</v>
      </c>
      <c r="U64" s="7">
        <v>4583.8777210500002</v>
      </c>
      <c r="V64" s="7">
        <v>4469.28077803</v>
      </c>
      <c r="W64" s="7">
        <v>4357.5487585800001</v>
      </c>
      <c r="X64" s="7">
        <v>4248.6100396100001</v>
      </c>
      <c r="Y64" s="7">
        <v>4142.3947886200003</v>
      </c>
      <c r="Z64" s="7">
        <v>4038.8349189099999</v>
      </c>
      <c r="AA64" s="7">
        <v>3937.86404593</v>
      </c>
      <c r="AB64" s="7">
        <v>3839.41744479</v>
      </c>
      <c r="AC64" s="7">
        <v>3743.43200867</v>
      </c>
    </row>
    <row r="65" spans="1:29" x14ac:dyDescent="0.85">
      <c r="A65" t="s">
        <v>163</v>
      </c>
      <c r="B65" s="7">
        <v>0</v>
      </c>
      <c r="C65" s="7">
        <v>6023.9699403900004</v>
      </c>
      <c r="D65" s="7">
        <v>5463.9317171100001</v>
      </c>
      <c r="E65" s="7">
        <v>4885.1656106</v>
      </c>
      <c r="F65" s="7">
        <v>4264.4032547799998</v>
      </c>
      <c r="G65" s="7">
        <v>3623.96258094</v>
      </c>
      <c r="H65" s="7">
        <v>3033.8747276399999</v>
      </c>
      <c r="I65" s="7">
        <v>2430.9777777700001</v>
      </c>
      <c r="J65" s="7">
        <v>1792.41141997</v>
      </c>
      <c r="K65" s="7">
        <v>1116.20369542</v>
      </c>
      <c r="L65" s="7">
        <v>390.28531581999999</v>
      </c>
      <c r="M65" s="7">
        <v>4.1533956500000002</v>
      </c>
      <c r="N65" s="7">
        <v>0.22428062000000001</v>
      </c>
      <c r="O65" s="7">
        <v>1.1000000000000001E-7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30.1198497</v>
      </c>
      <c r="D66" s="7">
        <v>27.31965859</v>
      </c>
      <c r="E66" s="7">
        <v>24.42582805</v>
      </c>
      <c r="F66" s="7">
        <v>21.322016269999999</v>
      </c>
      <c r="G66" s="7">
        <v>18.119812899999999</v>
      </c>
      <c r="H66" s="7">
        <v>15.16937364</v>
      </c>
      <c r="I66" s="7">
        <v>12.154888890000001</v>
      </c>
      <c r="J66" s="7">
        <v>8.9620571000000009</v>
      </c>
      <c r="K66" s="7">
        <v>5.58101848</v>
      </c>
      <c r="L66" s="7">
        <v>1.9514265799999999</v>
      </c>
      <c r="M66" s="7">
        <v>2.0766980000000001E-2</v>
      </c>
      <c r="N66" s="7">
        <v>1.1214E-3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7415.5834351900003</v>
      </c>
      <c r="C67" s="7">
        <v>7230.1938493099997</v>
      </c>
      <c r="D67" s="7">
        <v>7049.4390030799996</v>
      </c>
      <c r="E67" s="7">
        <v>6873.2030279999999</v>
      </c>
      <c r="F67" s="7">
        <v>6701.3729523000002</v>
      </c>
      <c r="G67" s="7">
        <v>6533.8386284999997</v>
      </c>
      <c r="H67" s="7">
        <v>6370.4926627799996</v>
      </c>
      <c r="I67" s="7">
        <v>6211.2303462099999</v>
      </c>
      <c r="J67" s="7">
        <v>6055.9495875599996</v>
      </c>
      <c r="K67" s="7">
        <v>5904.5508478700003</v>
      </c>
      <c r="L67" s="7">
        <v>5756.9370766700004</v>
      </c>
      <c r="M67" s="7">
        <v>5613.0136497599997</v>
      </c>
      <c r="N67" s="7">
        <v>5472.6883085099998</v>
      </c>
      <c r="O67" s="7">
        <v>5335.8711008</v>
      </c>
      <c r="P67" s="7">
        <v>5202.4743232800001</v>
      </c>
      <c r="Q67" s="7">
        <v>5072.4124652</v>
      </c>
      <c r="R67" s="7">
        <v>4945.6021535700002</v>
      </c>
      <c r="S67" s="7">
        <v>4821.9620997299999</v>
      </c>
      <c r="T67" s="7">
        <v>4701.4130472400002</v>
      </c>
      <c r="U67" s="7">
        <v>4583.8777210500002</v>
      </c>
      <c r="V67" s="7">
        <v>4469.28077803</v>
      </c>
      <c r="W67" s="7">
        <v>4357.5487585800001</v>
      </c>
      <c r="X67" s="7">
        <v>4248.6100396100001</v>
      </c>
      <c r="Y67" s="7">
        <v>4142.3947886200003</v>
      </c>
      <c r="Z67" s="7">
        <v>4038.8349189099999</v>
      </c>
      <c r="AA67" s="7">
        <v>3937.86404593</v>
      </c>
      <c r="AB67" s="7">
        <v>3839.41744479</v>
      </c>
      <c r="AC67" s="7">
        <v>3743.43200867</v>
      </c>
    </row>
    <row r="68" spans="1:29" x14ac:dyDescent="0.85">
      <c r="A68" t="s">
        <v>166</v>
      </c>
      <c r="B68" s="7">
        <v>929.65978938000001</v>
      </c>
      <c r="C68" s="7">
        <v>855.10987934000002</v>
      </c>
      <c r="D68" s="7">
        <v>775.61177057999998</v>
      </c>
      <c r="E68" s="7">
        <v>693.45521594000002</v>
      </c>
      <c r="F68" s="7">
        <v>605.33724251000001</v>
      </c>
      <c r="G68" s="7">
        <v>514.42590783000003</v>
      </c>
      <c r="H68" s="7">
        <v>430.66221744000001</v>
      </c>
      <c r="I68" s="7">
        <v>345.08026016000002</v>
      </c>
      <c r="J68" s="7">
        <v>254.43498693000001</v>
      </c>
      <c r="K68" s="7">
        <v>158.44647578999999</v>
      </c>
      <c r="L68" s="7">
        <v>55.401476539999997</v>
      </c>
      <c r="M68" s="7">
        <v>0.58957957999999999</v>
      </c>
      <c r="N68" s="7">
        <v>3.1836910000000003E-2</v>
      </c>
      <c r="O68" s="7">
        <v>2E-8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0.94339432999999995</v>
      </c>
      <c r="E69" s="7">
        <v>0.93028893000000001</v>
      </c>
      <c r="F69" s="7">
        <v>0.91700015999999995</v>
      </c>
      <c r="G69" s="7">
        <v>0.89531190000000005</v>
      </c>
      <c r="H69" s="7">
        <v>0.87160722999999996</v>
      </c>
      <c r="I69" s="7">
        <v>0.85863646000000005</v>
      </c>
      <c r="J69" s="7">
        <v>0.82182383000000003</v>
      </c>
      <c r="K69" s="7">
        <v>0.75622685999999995</v>
      </c>
      <c r="L69" s="7">
        <v>0.63870621000000005</v>
      </c>
      <c r="M69" s="7">
        <v>0.35861969999999999</v>
      </c>
      <c r="N69" s="7">
        <v>1.091482E-2</v>
      </c>
      <c r="O69" s="7">
        <v>5.538394E-2</v>
      </c>
      <c r="P69" s="7">
        <v>5.2E-7</v>
      </c>
      <c r="Q69" s="7">
        <v>5.2E-7</v>
      </c>
      <c r="R69" s="7">
        <v>5.0999999999999999E-7</v>
      </c>
      <c r="S69" s="7">
        <v>4.8999999999999997E-7</v>
      </c>
      <c r="T69" s="7">
        <v>4.7E-7</v>
      </c>
      <c r="U69" s="7">
        <v>4.8999999999999997E-7</v>
      </c>
      <c r="V69" s="7">
        <v>5.0999999999999999E-7</v>
      </c>
      <c r="W69" s="7">
        <v>5.2E-7</v>
      </c>
      <c r="X69" s="7">
        <v>5.4000000000000002E-7</v>
      </c>
      <c r="Y69" s="7">
        <v>6.6000000000000003E-7</v>
      </c>
      <c r="Z69" s="7">
        <v>6.9999999999999997E-7</v>
      </c>
      <c r="AA69" s="7">
        <v>7.1999999999999999E-7</v>
      </c>
      <c r="AB69" s="7">
        <v>7.1999999999999999E-7</v>
      </c>
      <c r="AC69" s="7">
        <v>7.1999999999999999E-7</v>
      </c>
    </row>
    <row r="70" spans="1:29" x14ac:dyDescent="0.85">
      <c r="A70" t="s">
        <v>168</v>
      </c>
      <c r="B70" s="7">
        <v>1</v>
      </c>
      <c r="C70" s="7">
        <v>0.94339432999999995</v>
      </c>
      <c r="D70" s="7">
        <v>0.93028893000000001</v>
      </c>
      <c r="E70" s="7">
        <v>0.91700015999999995</v>
      </c>
      <c r="F70" s="7">
        <v>0.89531190000000005</v>
      </c>
      <c r="G70" s="7">
        <v>0.87160722999999996</v>
      </c>
      <c r="H70" s="7">
        <v>0.85863646000000005</v>
      </c>
      <c r="I70" s="7">
        <v>0.82182383000000003</v>
      </c>
      <c r="J70" s="7">
        <v>0.75622685999999995</v>
      </c>
      <c r="K70" s="7">
        <v>0.63870621000000005</v>
      </c>
      <c r="L70" s="7">
        <v>0.35861969999999999</v>
      </c>
      <c r="M70" s="7">
        <v>1.091482E-2</v>
      </c>
      <c r="N70" s="7">
        <v>5.538394E-2</v>
      </c>
      <c r="O70" s="7">
        <v>5.2E-7</v>
      </c>
      <c r="P70" s="7">
        <v>5.2E-7</v>
      </c>
      <c r="Q70" s="7">
        <v>5.0999999999999999E-7</v>
      </c>
      <c r="R70" s="7">
        <v>4.8999999999999997E-7</v>
      </c>
      <c r="S70" s="7">
        <v>4.7E-7</v>
      </c>
      <c r="T70" s="7">
        <v>4.8999999999999997E-7</v>
      </c>
      <c r="U70" s="7">
        <v>5.0999999999999999E-7</v>
      </c>
      <c r="V70" s="7">
        <v>5.2E-7</v>
      </c>
      <c r="W70" s="7">
        <v>5.4000000000000002E-7</v>
      </c>
      <c r="X70" s="7">
        <v>6.6000000000000003E-7</v>
      </c>
      <c r="Y70" s="7">
        <v>6.9999999999999997E-7</v>
      </c>
      <c r="Z70" s="7">
        <v>7.1999999999999999E-7</v>
      </c>
      <c r="AA70" s="7">
        <v>7.1999999999999999E-7</v>
      </c>
      <c r="AB70" s="7">
        <v>7.1999999999999999E-7</v>
      </c>
      <c r="AC70" s="7">
        <v>7.1999999999999999E-7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1.47630255</v>
      </c>
      <c r="E71" s="7">
        <v>1.5075618099999999</v>
      </c>
      <c r="F71" s="7">
        <v>1.54106864</v>
      </c>
      <c r="G71" s="7">
        <v>1.5769837799999999</v>
      </c>
      <c r="H71" s="7">
        <v>1.61548365</v>
      </c>
      <c r="I71" s="7">
        <v>1.6567520200000001</v>
      </c>
      <c r="J71" s="7">
        <v>1.7009856400000001</v>
      </c>
      <c r="K71" s="7">
        <v>1.7484032300000001</v>
      </c>
      <c r="L71" s="7">
        <v>1.79923133</v>
      </c>
      <c r="M71" s="7">
        <v>1.8536930199999999</v>
      </c>
      <c r="N71" s="7">
        <v>1.9047138100000001</v>
      </c>
      <c r="O71" s="7">
        <v>1.9503339099999999</v>
      </c>
      <c r="P71" s="7">
        <v>1.99820346</v>
      </c>
      <c r="Q71" s="7">
        <v>2.0485380800000001</v>
      </c>
      <c r="R71" s="7">
        <v>2.1014233899999999</v>
      </c>
      <c r="S71" s="7">
        <v>2.1570198899999999</v>
      </c>
      <c r="T71" s="7">
        <v>2.21543299</v>
      </c>
      <c r="U71" s="7">
        <v>2.2768246400000001</v>
      </c>
      <c r="V71" s="7">
        <v>2.3413218599999999</v>
      </c>
      <c r="W71" s="7">
        <v>2.4090842600000002</v>
      </c>
      <c r="X71" s="7">
        <v>2.4802717699999999</v>
      </c>
      <c r="Y71" s="7">
        <v>2.5550514400000002</v>
      </c>
      <c r="Z71" s="7">
        <v>2.6334944199999999</v>
      </c>
      <c r="AA71" s="7">
        <v>2.71596802</v>
      </c>
      <c r="AB71" s="7">
        <v>2.80261776</v>
      </c>
      <c r="AC71" s="7">
        <v>2.8936227300000001</v>
      </c>
    </row>
    <row r="72" spans="1:29" x14ac:dyDescent="0.85">
      <c r="A72" t="s">
        <v>170</v>
      </c>
      <c r="B72" s="7">
        <v>0</v>
      </c>
      <c r="C72" s="7">
        <v>3.5478000000000002E-4</v>
      </c>
      <c r="D72" s="7">
        <v>9.1052792300000007</v>
      </c>
      <c r="E72" s="7">
        <v>8.1986118500000007</v>
      </c>
      <c r="F72" s="7">
        <v>12.57172602</v>
      </c>
      <c r="G72" s="7">
        <v>11.314991170000001</v>
      </c>
      <c r="H72" s="7">
        <v>10.185544419999999</v>
      </c>
      <c r="I72" s="7">
        <v>9.1785000399999994</v>
      </c>
      <c r="J72" s="7">
        <v>8.2620741399999993</v>
      </c>
      <c r="K72" s="7">
        <v>7.4581407300000002</v>
      </c>
      <c r="L72" s="7">
        <v>24.73311782</v>
      </c>
      <c r="M72" s="7">
        <v>22.259960549999999</v>
      </c>
      <c r="N72" s="7">
        <v>20.046795419999999</v>
      </c>
      <c r="O72" s="7">
        <v>18.820723050000002</v>
      </c>
      <c r="P72" s="7">
        <v>16.938732120000001</v>
      </c>
      <c r="Q72" s="7">
        <v>15.87231997</v>
      </c>
      <c r="R72" s="7">
        <v>14.411380319999999</v>
      </c>
      <c r="S72" s="7">
        <v>13.43008886</v>
      </c>
      <c r="T72" s="7">
        <v>12.08785692</v>
      </c>
      <c r="U72" s="7">
        <v>10.904161630000001</v>
      </c>
      <c r="V72" s="7">
        <v>9.8468495300000001</v>
      </c>
      <c r="W72" s="7">
        <v>8.8796329000000007</v>
      </c>
      <c r="X72" s="7">
        <v>7.9923600099999996</v>
      </c>
      <c r="Y72" s="7">
        <v>7.2920684400000004</v>
      </c>
      <c r="Z72" s="7">
        <v>6.5757018800000004</v>
      </c>
      <c r="AA72" s="7">
        <v>5.9185577900000004</v>
      </c>
      <c r="AB72" s="7">
        <v>5.3682029099999999</v>
      </c>
      <c r="AC72" s="7">
        <v>4.8510270899999997</v>
      </c>
    </row>
    <row r="73" spans="1:29" x14ac:dyDescent="0.85">
      <c r="A73" t="s">
        <v>171</v>
      </c>
      <c r="B73" s="7">
        <v>0</v>
      </c>
      <c r="C73" s="7">
        <v>8.7869999999999997E-5</v>
      </c>
      <c r="D73" s="7">
        <v>2.2762392500000002</v>
      </c>
      <c r="E73" s="7">
        <v>9.6489000000000004E-4</v>
      </c>
      <c r="F73" s="7">
        <v>1.2982452200000001</v>
      </c>
      <c r="G73" s="7">
        <v>1.0882000000000001E-4</v>
      </c>
      <c r="H73" s="7">
        <v>5.1139000000000002E-4</v>
      </c>
      <c r="I73" s="7">
        <v>2.8765000000000002E-3</v>
      </c>
      <c r="J73" s="7">
        <v>3.5948000000000002E-4</v>
      </c>
      <c r="K73" s="7">
        <v>5.5357100000000001E-3</v>
      </c>
      <c r="L73" s="7">
        <v>4.5052293299999997</v>
      </c>
      <c r="M73" s="7">
        <v>2.6550000000000002E-5</v>
      </c>
      <c r="N73" s="7">
        <v>2.9266800000000001E-3</v>
      </c>
      <c r="O73" s="7">
        <v>0.19494648000000001</v>
      </c>
      <c r="P73" s="7">
        <v>1.9789999999999999E-5</v>
      </c>
      <c r="Q73" s="7">
        <v>0.15686497999999999</v>
      </c>
      <c r="R73" s="7">
        <v>3.1572700000000002E-2</v>
      </c>
      <c r="S73" s="7">
        <v>0.11496273999999999</v>
      </c>
      <c r="T73" s="7">
        <v>1.9421999999999999E-4</v>
      </c>
      <c r="U73" s="7">
        <v>6.2518799999999996E-3</v>
      </c>
      <c r="V73" s="7">
        <v>8.2968099999999999E-3</v>
      </c>
      <c r="W73" s="7">
        <v>4.3670200000000001E-3</v>
      </c>
      <c r="X73" s="7">
        <v>1.7242000000000001E-4</v>
      </c>
      <c r="Y73" s="7">
        <v>1.53515644</v>
      </c>
      <c r="Z73" s="7">
        <v>1.8262268100000001</v>
      </c>
      <c r="AA73" s="7">
        <v>1.64403196</v>
      </c>
      <c r="AB73" s="7">
        <v>1.3420506999999999</v>
      </c>
      <c r="AC73" s="7">
        <v>1.2127561200000001</v>
      </c>
    </row>
    <row r="74" spans="1:29" x14ac:dyDescent="0.85">
      <c r="A74" t="s">
        <v>172</v>
      </c>
      <c r="B74" s="7">
        <v>0</v>
      </c>
      <c r="C74" s="7">
        <v>8.7869999999999997E-5</v>
      </c>
      <c r="D74" s="7">
        <v>2.2762392500000002</v>
      </c>
      <c r="E74" s="7">
        <v>9.6489000000000004E-4</v>
      </c>
      <c r="F74" s="7">
        <v>1.2982452200000001</v>
      </c>
      <c r="G74" s="7">
        <v>1.0882000000000001E-4</v>
      </c>
      <c r="H74" s="7">
        <v>5.1139000000000002E-4</v>
      </c>
      <c r="I74" s="7">
        <v>2.8765000000000002E-3</v>
      </c>
      <c r="J74" s="7">
        <v>3.5948000000000002E-4</v>
      </c>
      <c r="K74" s="7">
        <v>5.5357100000000001E-3</v>
      </c>
      <c r="L74" s="7">
        <v>4.5052293299999997</v>
      </c>
      <c r="M74" s="7">
        <v>2.6550000000000002E-5</v>
      </c>
      <c r="N74" s="7">
        <v>2.9266800000000001E-3</v>
      </c>
      <c r="O74" s="7">
        <v>0.19494648000000001</v>
      </c>
      <c r="P74" s="7">
        <v>1.9789999999999999E-5</v>
      </c>
      <c r="Q74" s="7">
        <v>0.15686497999999999</v>
      </c>
      <c r="R74" s="7">
        <v>3.1572700000000002E-2</v>
      </c>
      <c r="S74" s="7">
        <v>0.11496273999999999</v>
      </c>
      <c r="T74" s="7">
        <v>1.9421999999999999E-4</v>
      </c>
      <c r="U74" s="7">
        <v>6.2518799999999996E-3</v>
      </c>
      <c r="V74" s="7">
        <v>8.2968099999999999E-3</v>
      </c>
      <c r="W74" s="7">
        <v>4.3670200000000001E-3</v>
      </c>
      <c r="X74" s="7">
        <v>1.7242000000000001E-4</v>
      </c>
      <c r="Y74" s="7">
        <v>1.53515644</v>
      </c>
      <c r="Z74" s="7">
        <v>1.8262268100000001</v>
      </c>
      <c r="AA74" s="7">
        <v>1.64403196</v>
      </c>
      <c r="AB74" s="7">
        <v>1.3420506999999999</v>
      </c>
      <c r="AC74" s="7">
        <v>1.2127561200000001</v>
      </c>
    </row>
    <row r="75" spans="1:29" x14ac:dyDescent="0.85">
      <c r="A75" t="s">
        <v>173</v>
      </c>
      <c r="B75" s="7">
        <v>0</v>
      </c>
      <c r="C75" s="7">
        <v>9.4220000000000003E-5</v>
      </c>
      <c r="D75" s="7">
        <v>2.41808815</v>
      </c>
      <c r="E75" s="7">
        <v>2.17727637</v>
      </c>
      <c r="F75" s="7">
        <v>3.3386467</v>
      </c>
      <c r="G75" s="7">
        <v>3.00488219</v>
      </c>
      <c r="H75" s="7">
        <v>2.7049390199999999</v>
      </c>
      <c r="I75" s="7">
        <v>2.4375018399999999</v>
      </c>
      <c r="J75" s="7">
        <v>2.1941298200000001</v>
      </c>
      <c r="K75" s="7">
        <v>1.98063214</v>
      </c>
      <c r="L75" s="7">
        <v>6.5683486699999998</v>
      </c>
      <c r="M75" s="7">
        <v>5.9114990000000001</v>
      </c>
      <c r="N75" s="7">
        <v>5.3237566100000002</v>
      </c>
      <c r="O75" s="7">
        <v>4.9981555499999999</v>
      </c>
      <c r="P75" s="7">
        <v>4.4983591900000004</v>
      </c>
      <c r="Q75" s="7">
        <v>4.2151580400000004</v>
      </c>
      <c r="R75" s="7">
        <v>3.8271797400000001</v>
      </c>
      <c r="S75" s="7">
        <v>3.56658279</v>
      </c>
      <c r="T75" s="7">
        <v>3.2101294199999999</v>
      </c>
      <c r="U75" s="7">
        <v>2.8957797300000001</v>
      </c>
      <c r="V75" s="7">
        <v>2.6149931199999998</v>
      </c>
      <c r="W75" s="7">
        <v>2.3581327700000001</v>
      </c>
      <c r="X75" s="7">
        <v>2.12250279</v>
      </c>
      <c r="Y75" s="7">
        <v>1.93654997</v>
      </c>
      <c r="Z75" s="7">
        <v>1.7463110399999999</v>
      </c>
      <c r="AA75" s="7">
        <v>1.5717931000000001</v>
      </c>
      <c r="AB75" s="7">
        <v>1.42563314</v>
      </c>
      <c r="AC75" s="7">
        <v>1.28828681</v>
      </c>
    </row>
    <row r="76" spans="1:29" x14ac:dyDescent="0.85">
      <c r="A76" t="s">
        <v>174</v>
      </c>
      <c r="B76" s="7">
        <v>0</v>
      </c>
      <c r="C76" s="7">
        <v>0</v>
      </c>
      <c r="D76" s="7">
        <v>5.0649999999999998E-5</v>
      </c>
      <c r="E76" s="7">
        <v>2E-8</v>
      </c>
      <c r="F76" s="7">
        <v>2.889E-5</v>
      </c>
      <c r="G76" s="7">
        <v>0</v>
      </c>
      <c r="H76" s="7">
        <v>1E-8</v>
      </c>
      <c r="I76" s="7">
        <v>5.9999999999999995E-8</v>
      </c>
      <c r="J76" s="7">
        <v>1E-8</v>
      </c>
      <c r="K76" s="7">
        <v>1.1999999999999999E-7</v>
      </c>
      <c r="L76" s="7">
        <v>1.0024E-4</v>
      </c>
      <c r="M76" s="7">
        <v>0</v>
      </c>
      <c r="N76" s="7">
        <v>7.0000000000000005E-8</v>
      </c>
      <c r="O76" s="7">
        <v>4.34E-6</v>
      </c>
      <c r="P76" s="7">
        <v>0</v>
      </c>
      <c r="Q76" s="7">
        <v>3.49E-6</v>
      </c>
      <c r="R76" s="7">
        <v>6.9999999999999997E-7</v>
      </c>
      <c r="S76" s="7">
        <v>2.5600000000000001E-6</v>
      </c>
      <c r="T76" s="7">
        <v>0</v>
      </c>
      <c r="U76" s="7">
        <v>1.4000000000000001E-7</v>
      </c>
      <c r="V76" s="7">
        <v>1.8E-7</v>
      </c>
      <c r="W76" s="7">
        <v>9.9999999999999995E-8</v>
      </c>
      <c r="X76" s="7">
        <v>0</v>
      </c>
      <c r="Y76" s="7">
        <v>3.4159999999999998E-5</v>
      </c>
      <c r="Z76" s="7">
        <v>4.0630000000000002E-5</v>
      </c>
      <c r="AA76" s="7">
        <v>3.6579999999999999E-5</v>
      </c>
      <c r="AB76" s="7">
        <v>2.9859999999999999E-5</v>
      </c>
      <c r="AC76" s="7">
        <v>2.6979999999999999E-5</v>
      </c>
    </row>
    <row r="77" spans="1:29" x14ac:dyDescent="0.85">
      <c r="A77" t="s">
        <v>175</v>
      </c>
      <c r="B77" s="7">
        <v>0</v>
      </c>
      <c r="C77" s="7">
        <v>0</v>
      </c>
      <c r="D77" s="7">
        <v>2.4999999999999999E-7</v>
      </c>
      <c r="E77" s="7">
        <v>0</v>
      </c>
      <c r="F77" s="7">
        <v>1.4000000000000001E-7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4.9999999999999998E-7</v>
      </c>
      <c r="M77" s="7">
        <v>0</v>
      </c>
      <c r="N77" s="7">
        <v>0</v>
      </c>
      <c r="O77" s="7">
        <v>2E-8</v>
      </c>
      <c r="P77" s="7">
        <v>0</v>
      </c>
      <c r="Q77" s="7">
        <v>2E-8</v>
      </c>
      <c r="R77" s="7">
        <v>0</v>
      </c>
      <c r="S77" s="7">
        <v>1E-8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1.6999999999999999E-7</v>
      </c>
      <c r="Z77" s="7">
        <v>1.9999999999999999E-7</v>
      </c>
      <c r="AA77" s="7">
        <v>1.8E-7</v>
      </c>
      <c r="AB77" s="7">
        <v>1.4999999999999999E-7</v>
      </c>
      <c r="AC77" s="7">
        <v>1.3E-7</v>
      </c>
    </row>
    <row r="78" spans="1:29" x14ac:dyDescent="0.85">
      <c r="A78" t="s">
        <v>176</v>
      </c>
      <c r="B78" s="7">
        <v>0</v>
      </c>
      <c r="C78" s="7">
        <v>9.4220000000000003E-5</v>
      </c>
      <c r="D78" s="7">
        <v>2.4180568</v>
      </c>
      <c r="E78" s="7">
        <v>2.17727636</v>
      </c>
      <c r="F78" s="7">
        <v>3.3386288199999998</v>
      </c>
      <c r="G78" s="7">
        <v>3.00488219</v>
      </c>
      <c r="H78" s="7">
        <v>2.7049390099999999</v>
      </c>
      <c r="I78" s="7">
        <v>2.4375018000000002</v>
      </c>
      <c r="J78" s="7">
        <v>2.1941298100000002</v>
      </c>
      <c r="K78" s="7">
        <v>1.98063206</v>
      </c>
      <c r="L78" s="7">
        <v>6.5682866400000002</v>
      </c>
      <c r="M78" s="7">
        <v>5.9114990000000001</v>
      </c>
      <c r="N78" s="7">
        <v>5.3237565699999996</v>
      </c>
      <c r="O78" s="7">
        <v>4.9981528600000003</v>
      </c>
      <c r="P78" s="7">
        <v>4.4983591900000004</v>
      </c>
      <c r="Q78" s="7">
        <v>4.2151558800000002</v>
      </c>
      <c r="R78" s="7">
        <v>3.82717931</v>
      </c>
      <c r="S78" s="7">
        <v>3.5665812099999998</v>
      </c>
      <c r="T78" s="7">
        <v>3.21012941</v>
      </c>
      <c r="U78" s="7">
        <v>2.8957796400000002</v>
      </c>
      <c r="V78" s="7">
        <v>2.6149930100000001</v>
      </c>
      <c r="W78" s="7">
        <v>2.35813271</v>
      </c>
      <c r="X78" s="7">
        <v>2.12250278</v>
      </c>
      <c r="Y78" s="7">
        <v>1.9365288300000001</v>
      </c>
      <c r="Z78" s="7">
        <v>1.7462858999999999</v>
      </c>
      <c r="AA78" s="7">
        <v>1.57177046</v>
      </c>
      <c r="AB78" s="7">
        <v>1.4256146599999999</v>
      </c>
      <c r="AC78" s="7">
        <v>1.28827011</v>
      </c>
    </row>
    <row r="79" spans="1:29" x14ac:dyDescent="0.85">
      <c r="A79" t="s">
        <v>177</v>
      </c>
      <c r="B79" s="7">
        <v>0</v>
      </c>
      <c r="C79" s="7">
        <v>0</v>
      </c>
      <c r="D79" s="7">
        <v>3.1340000000000001E-5</v>
      </c>
      <c r="E79" s="7">
        <v>1E-8</v>
      </c>
      <c r="F79" s="7">
        <v>1.7880000000000002E-5</v>
      </c>
      <c r="G79" s="7">
        <v>0</v>
      </c>
      <c r="H79" s="7">
        <v>1E-8</v>
      </c>
      <c r="I79" s="7">
        <v>4.0000000000000001E-8</v>
      </c>
      <c r="J79" s="7">
        <v>0</v>
      </c>
      <c r="K79" s="7">
        <v>8.0000000000000002E-8</v>
      </c>
      <c r="L79" s="7">
        <v>6.2039999999999996E-5</v>
      </c>
      <c r="M79" s="7">
        <v>0</v>
      </c>
      <c r="N79" s="7">
        <v>4.0000000000000001E-8</v>
      </c>
      <c r="O79" s="7">
        <v>2.6800000000000002E-6</v>
      </c>
      <c r="P79" s="7">
        <v>0</v>
      </c>
      <c r="Q79" s="7">
        <v>2.1600000000000001E-6</v>
      </c>
      <c r="R79" s="7">
        <v>4.3000000000000001E-7</v>
      </c>
      <c r="S79" s="7">
        <v>1.5799999999999999E-6</v>
      </c>
      <c r="T79" s="7">
        <v>0</v>
      </c>
      <c r="U79" s="7">
        <v>8.9999999999999999E-8</v>
      </c>
      <c r="V79" s="7">
        <v>1.1000000000000001E-7</v>
      </c>
      <c r="W79" s="7">
        <v>5.9999999999999995E-8</v>
      </c>
      <c r="X79" s="7">
        <v>0</v>
      </c>
      <c r="Y79" s="7">
        <v>2.1140000000000001E-5</v>
      </c>
      <c r="Z79" s="7">
        <v>2.5150000000000001E-5</v>
      </c>
      <c r="AA79" s="7">
        <v>2.264E-5</v>
      </c>
      <c r="AB79" s="7">
        <v>1.8479999999999999E-5</v>
      </c>
      <c r="AC79" s="7">
        <v>1.6699999999999999E-5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1.00000047</v>
      </c>
      <c r="E80" s="7">
        <v>1.0114716500000001</v>
      </c>
      <c r="F80" s="7">
        <v>1.00000467</v>
      </c>
      <c r="G80" s="7">
        <v>1.00603168</v>
      </c>
      <c r="H80" s="7">
        <v>1.0000004899999999</v>
      </c>
      <c r="I80" s="7">
        <v>1.0000022</v>
      </c>
      <c r="J80" s="7">
        <v>1.0000118200000001</v>
      </c>
      <c r="K80" s="7">
        <v>1.0000013999999999</v>
      </c>
      <c r="L80" s="7">
        <v>1.00002104</v>
      </c>
      <c r="M80" s="7">
        <v>1.01632769</v>
      </c>
      <c r="N80" s="7">
        <v>1.0000001300000001</v>
      </c>
      <c r="O80" s="7">
        <v>1.00001077</v>
      </c>
      <c r="P80" s="7">
        <v>1.00063781</v>
      </c>
      <c r="Q80" s="7">
        <v>1.00000007</v>
      </c>
      <c r="R80" s="7">
        <v>1.0004892299999999</v>
      </c>
      <c r="S80" s="7">
        <v>1.0000960699999999</v>
      </c>
      <c r="T80" s="7">
        <v>1.0003412700000001</v>
      </c>
      <c r="U80" s="7">
        <v>1.0000005599999999</v>
      </c>
      <c r="V80" s="7">
        <v>1.0000177299999999</v>
      </c>
      <c r="W80" s="7">
        <v>1.0000228200000001</v>
      </c>
      <c r="X80" s="7">
        <v>1.0000117500000001</v>
      </c>
      <c r="Y80" s="7">
        <v>1.0000004499999999</v>
      </c>
      <c r="Z80" s="7">
        <v>1.00006336</v>
      </c>
      <c r="AA80" s="7">
        <v>1.0000080200000001</v>
      </c>
      <c r="AB80" s="7">
        <v>1.00000026</v>
      </c>
      <c r="AC80" s="7">
        <v>1.0000247</v>
      </c>
    </row>
    <row r="81" spans="1:29" x14ac:dyDescent="0.85">
      <c r="A81" t="s">
        <v>179</v>
      </c>
      <c r="B81" s="7">
        <v>1</v>
      </c>
      <c r="C81" s="7">
        <v>1.00000047</v>
      </c>
      <c r="D81" s="7">
        <v>1.0114716500000001</v>
      </c>
      <c r="E81" s="7">
        <v>1.00000467</v>
      </c>
      <c r="F81" s="7">
        <v>1.00603168</v>
      </c>
      <c r="G81" s="7">
        <v>1.0000004899999999</v>
      </c>
      <c r="H81" s="7">
        <v>1.0000022</v>
      </c>
      <c r="I81" s="7">
        <v>1.0000118200000001</v>
      </c>
      <c r="J81" s="7">
        <v>1.0000013999999999</v>
      </c>
      <c r="K81" s="7">
        <v>1.00002104</v>
      </c>
      <c r="L81" s="7">
        <v>1.01632769</v>
      </c>
      <c r="M81" s="7">
        <v>1.0000001300000001</v>
      </c>
      <c r="N81" s="7">
        <v>1.00001077</v>
      </c>
      <c r="O81" s="7">
        <v>1.00063781</v>
      </c>
      <c r="P81" s="7">
        <v>1.00000007</v>
      </c>
      <c r="Q81" s="7">
        <v>1.0004892299999999</v>
      </c>
      <c r="R81" s="7">
        <v>1.0000960699999999</v>
      </c>
      <c r="S81" s="7">
        <v>1.0003412700000001</v>
      </c>
      <c r="T81" s="7">
        <v>1.0000005599999999</v>
      </c>
      <c r="U81" s="7">
        <v>1.0000177299999999</v>
      </c>
      <c r="V81" s="7">
        <v>1.0000228200000001</v>
      </c>
      <c r="W81" s="7">
        <v>1.0000117500000001</v>
      </c>
      <c r="X81" s="7">
        <v>1.0000004499999999</v>
      </c>
      <c r="Y81" s="7">
        <v>1.00006336</v>
      </c>
      <c r="Z81" s="7">
        <v>1.0000080200000001</v>
      </c>
      <c r="AA81" s="7">
        <v>1.00000026</v>
      </c>
      <c r="AB81" s="7">
        <v>1.0000247</v>
      </c>
      <c r="AC81" s="7">
        <v>1.0000114099999999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300A-E104-4679-B5DC-1813B34F05E5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77120.51873476</v>
      </c>
      <c r="D5" s="7">
        <v>82233.007283910003</v>
      </c>
      <c r="E5" s="7">
        <v>87702.274588629996</v>
      </c>
      <c r="F5" s="7">
        <v>93552.339973459995</v>
      </c>
      <c r="G5" s="7">
        <v>99809.306849860004</v>
      </c>
      <c r="H5" s="7">
        <v>106501.13055678</v>
      </c>
      <c r="I5" s="7">
        <v>109925.54869722</v>
      </c>
      <c r="J5" s="7">
        <v>113501.12922646001</v>
      </c>
      <c r="K5" s="7">
        <v>117276.90292445</v>
      </c>
      <c r="L5" s="7">
        <v>121158.73799661</v>
      </c>
      <c r="M5" s="7">
        <v>125007.517933</v>
      </c>
      <c r="N5" s="7">
        <v>129272.07911716</v>
      </c>
      <c r="O5" s="7">
        <v>131160.55200741001</v>
      </c>
      <c r="P5" s="7">
        <v>133744.62456684001</v>
      </c>
      <c r="Q5" s="7">
        <v>136603.52428119001</v>
      </c>
      <c r="R5" s="7">
        <v>139517.24310215001</v>
      </c>
      <c r="S5" s="7">
        <v>143204.85170408999</v>
      </c>
      <c r="T5" s="7">
        <v>145396.08486899</v>
      </c>
      <c r="U5" s="7">
        <v>149767.16993298</v>
      </c>
      <c r="V5" s="7">
        <v>153981.67424135</v>
      </c>
      <c r="W5" s="7">
        <v>158294.69960560999</v>
      </c>
      <c r="X5" s="7">
        <v>162707.71469937</v>
      </c>
      <c r="Y5" s="7">
        <v>165388.63408118</v>
      </c>
      <c r="Z5" s="7">
        <v>165957.30700597001</v>
      </c>
      <c r="AA5" s="7">
        <v>168555.13014061999</v>
      </c>
      <c r="AB5" s="7">
        <v>171415.4044313</v>
      </c>
      <c r="AC5" s="7">
        <v>174378.95371077</v>
      </c>
    </row>
    <row r="6" spans="1:29" x14ac:dyDescent="0.85">
      <c r="A6" t="s">
        <v>106</v>
      </c>
      <c r="B6" s="7">
        <v>266857679.25</v>
      </c>
      <c r="C6" s="7">
        <v>272524070.47499901</v>
      </c>
      <c r="D6" s="7">
        <v>278303788.19953001</v>
      </c>
      <c r="E6" s="7">
        <v>284199917.26949</v>
      </c>
      <c r="F6" s="7">
        <v>290215696.611826</v>
      </c>
      <c r="G6" s="7">
        <v>296358849.334714</v>
      </c>
      <c r="H6" s="7">
        <v>302649632.34783298</v>
      </c>
      <c r="I6" s="7">
        <v>309204120.48602998</v>
      </c>
      <c r="J6" s="7">
        <v>316066223.07845902</v>
      </c>
      <c r="K6" s="7">
        <v>323314660.04743999</v>
      </c>
      <c r="L6" s="7">
        <v>331005392.493599</v>
      </c>
      <c r="M6" s="7">
        <v>339109723.56116802</v>
      </c>
      <c r="N6" s="7">
        <v>347740283.93932801</v>
      </c>
      <c r="O6" s="7">
        <v>355772217.14347899</v>
      </c>
      <c r="P6" s="7">
        <v>364383396.56351697</v>
      </c>
      <c r="Q6" s="7">
        <v>373338959.48097801</v>
      </c>
      <c r="R6" s="7">
        <v>382568358.01703101</v>
      </c>
      <c r="S6" s="7">
        <v>392470902.62540501</v>
      </c>
      <c r="T6" s="7">
        <v>401801134.12061203</v>
      </c>
      <c r="U6" s="7">
        <v>412567943.88260102</v>
      </c>
      <c r="V6" s="7">
        <v>423514967.53514498</v>
      </c>
      <c r="W6" s="7">
        <v>434824747.637182</v>
      </c>
      <c r="X6" s="7">
        <v>446503989.559448</v>
      </c>
      <c r="Y6" s="7">
        <v>457018843.645136</v>
      </c>
      <c r="Z6" s="7">
        <v>461724114.79260802</v>
      </c>
      <c r="AA6" s="7">
        <v>470869514.60758001</v>
      </c>
      <c r="AB6" s="7">
        <v>480555695.37297499</v>
      </c>
      <c r="AC6" s="7">
        <v>490512425.16077298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28509.188810629999</v>
      </c>
      <c r="D8" s="7">
        <v>29375.08800761</v>
      </c>
      <c r="E8" s="7">
        <v>30339.029558080001</v>
      </c>
      <c r="F8" s="7">
        <v>31388.038391450002</v>
      </c>
      <c r="G8" s="7">
        <v>32681.422015439999</v>
      </c>
      <c r="H8" s="7">
        <v>33907.068827759998</v>
      </c>
      <c r="I8" s="7">
        <v>34536.562297279997</v>
      </c>
      <c r="J8" s="7">
        <v>35207.796306359996</v>
      </c>
      <c r="K8" s="7">
        <v>35930.101551909996</v>
      </c>
      <c r="L8" s="7">
        <v>36685.818265900001</v>
      </c>
      <c r="M8" s="7">
        <v>37446.160339900001</v>
      </c>
      <c r="N8" s="7">
        <v>38300.43563711</v>
      </c>
      <c r="O8" s="7">
        <v>38682.234529310001</v>
      </c>
      <c r="P8" s="7">
        <v>39211.712115299997</v>
      </c>
      <c r="Q8" s="7">
        <v>39802.500927820001</v>
      </c>
      <c r="R8" s="7">
        <v>40414.006277400003</v>
      </c>
      <c r="S8" s="7">
        <v>41200.560508199997</v>
      </c>
      <c r="T8" s="7">
        <v>41676.03139643</v>
      </c>
      <c r="U8" s="7">
        <v>42606.362897489998</v>
      </c>
      <c r="V8" s="7">
        <v>43513.221867</v>
      </c>
      <c r="W8" s="7">
        <v>44450.502215269997</v>
      </c>
      <c r="X8" s="7">
        <v>45418.721084299999</v>
      </c>
      <c r="Y8" s="7">
        <v>46034.332564110002</v>
      </c>
      <c r="Z8" s="7">
        <v>45902.435464280003</v>
      </c>
      <c r="AA8" s="7">
        <v>46391.279699890001</v>
      </c>
      <c r="AB8" s="7">
        <v>46957.597089210001</v>
      </c>
      <c r="AC8" s="7">
        <v>47555.773683849999</v>
      </c>
    </row>
    <row r="9" spans="1:29" x14ac:dyDescent="0.85">
      <c r="A9" t="s">
        <v>109</v>
      </c>
      <c r="B9" s="7">
        <v>3815.8964680399999</v>
      </c>
      <c r="C9" s="7">
        <v>3789.6910269300001</v>
      </c>
      <c r="D9" s="7">
        <v>3755.1753339699999</v>
      </c>
      <c r="E9" s="7">
        <v>3708.94551176</v>
      </c>
      <c r="F9" s="7">
        <v>3651.9312875999999</v>
      </c>
      <c r="G9" s="7">
        <v>3585.75986754</v>
      </c>
      <c r="H9" s="7">
        <v>3504.9994520199998</v>
      </c>
      <c r="I9" s="7">
        <v>3397.2523390199999</v>
      </c>
      <c r="J9" s="7">
        <v>3290.8783412500002</v>
      </c>
      <c r="K9" s="7">
        <v>3187.4233280399999</v>
      </c>
      <c r="L9" s="7">
        <v>3087.7257056100002</v>
      </c>
      <c r="M9" s="7">
        <v>2998.50325918</v>
      </c>
      <c r="N9" s="7">
        <v>2907.3853128999999</v>
      </c>
      <c r="O9" s="7">
        <v>2914.93230623</v>
      </c>
      <c r="P9" s="7">
        <v>2899.4840467700001</v>
      </c>
      <c r="Q9" s="7">
        <v>2883.7391317199999</v>
      </c>
      <c r="R9" s="7">
        <v>2871.9576251799999</v>
      </c>
      <c r="S9" s="7">
        <v>2834.61951426</v>
      </c>
      <c r="T9" s="7">
        <v>2864.1532952100001</v>
      </c>
      <c r="U9" s="7">
        <v>2813.2768818700001</v>
      </c>
      <c r="V9" s="7">
        <v>2778.4597330299998</v>
      </c>
      <c r="W9" s="7">
        <v>2745.88438408</v>
      </c>
      <c r="X9" s="7">
        <v>2715.5566426599999</v>
      </c>
      <c r="Y9" s="7">
        <v>2760.0126039299998</v>
      </c>
      <c r="Z9" s="7">
        <v>2953.80747643</v>
      </c>
      <c r="AA9" s="7">
        <v>3032.45593388</v>
      </c>
      <c r="AB9" s="7">
        <v>3100.9992441300001</v>
      </c>
      <c r="AC9" s="7">
        <v>3168.6437088600001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19931.802807470001</v>
      </c>
      <c r="D11" s="7">
        <v>18739.459966530001</v>
      </c>
      <c r="E11" s="7">
        <v>17594.259490960001</v>
      </c>
      <c r="F11" s="7">
        <v>16389.030070299999</v>
      </c>
      <c r="G11" s="7">
        <v>14979.089093889999</v>
      </c>
      <c r="H11" s="7">
        <v>13649.617798499999</v>
      </c>
      <c r="I11" s="7">
        <v>13240.25315031</v>
      </c>
      <c r="J11" s="7">
        <v>12836.26813482</v>
      </c>
      <c r="K11" s="7">
        <v>12443.89412501</v>
      </c>
      <c r="L11" s="7">
        <v>12066.525394349999</v>
      </c>
      <c r="M11" s="7">
        <v>11730.846252920001</v>
      </c>
      <c r="N11" s="7">
        <v>11387.80048837</v>
      </c>
      <c r="O11" s="7">
        <v>11436.03570455</v>
      </c>
      <c r="P11" s="7">
        <v>11393.13634445</v>
      </c>
      <c r="Q11" s="7">
        <v>11349.089392420001</v>
      </c>
      <c r="R11" s="7">
        <v>11320.76744467</v>
      </c>
      <c r="S11" s="7">
        <v>11191.221929720001</v>
      </c>
      <c r="T11" s="7">
        <v>11326.639648369999</v>
      </c>
      <c r="U11" s="7">
        <v>11143.562404730001</v>
      </c>
      <c r="V11" s="7">
        <v>11024.20179021</v>
      </c>
      <c r="W11" s="7">
        <v>10913.82040298</v>
      </c>
      <c r="X11" s="7">
        <v>10812.453340440001</v>
      </c>
      <c r="Y11" s="7">
        <v>11006.811536249999</v>
      </c>
      <c r="Z11" s="7">
        <v>11791.71456445</v>
      </c>
      <c r="AA11" s="7">
        <v>12121.27981647</v>
      </c>
      <c r="AB11" s="7">
        <v>12410.827539829999</v>
      </c>
      <c r="AC11" s="7">
        <v>12696.797485360001</v>
      </c>
    </row>
    <row r="12" spans="1:29" x14ac:dyDescent="0.85">
      <c r="A12" t="s">
        <v>111</v>
      </c>
      <c r="B12" s="7">
        <v>31541.87237732</v>
      </c>
      <c r="C12" s="7">
        <v>32298.879837560002</v>
      </c>
      <c r="D12" s="7">
        <v>33130.263341580001</v>
      </c>
      <c r="E12" s="7">
        <v>34047.975069840002</v>
      </c>
      <c r="F12" s="7">
        <v>35039.969679050002</v>
      </c>
      <c r="G12" s="7">
        <v>36267.181882969999</v>
      </c>
      <c r="H12" s="7">
        <v>37412.068279779996</v>
      </c>
      <c r="I12" s="7">
        <v>37933.814636299998</v>
      </c>
      <c r="J12" s="7">
        <v>38498.674647610002</v>
      </c>
      <c r="K12" s="7">
        <v>39117.52487994</v>
      </c>
      <c r="L12" s="7">
        <v>39773.54397151</v>
      </c>
      <c r="M12" s="7">
        <v>40444.663599079999</v>
      </c>
      <c r="N12" s="7">
        <v>41207.820950000001</v>
      </c>
      <c r="O12" s="7">
        <v>41597.166835550001</v>
      </c>
      <c r="P12" s="7">
        <v>42111.196162079999</v>
      </c>
      <c r="Q12" s="7">
        <v>42686.240059540003</v>
      </c>
      <c r="R12" s="7">
        <v>43285.963902579999</v>
      </c>
      <c r="S12" s="7">
        <v>44035.180022469998</v>
      </c>
      <c r="T12" s="7">
        <v>44540.184691640003</v>
      </c>
      <c r="U12" s="7">
        <v>45419.639779359997</v>
      </c>
      <c r="V12" s="7">
        <v>46291.681600019998</v>
      </c>
      <c r="W12" s="7">
        <v>47196.38659935</v>
      </c>
      <c r="X12" s="7">
        <v>48134.277726959997</v>
      </c>
      <c r="Y12" s="7">
        <v>48794.345168040003</v>
      </c>
      <c r="Z12" s="7">
        <v>48856.242940709999</v>
      </c>
      <c r="AA12" s="7">
        <v>49423.735633759999</v>
      </c>
      <c r="AB12" s="7">
        <v>50058.59633334</v>
      </c>
      <c r="AC12" s="7">
        <v>50724.417392709998</v>
      </c>
    </row>
    <row r="13" spans="1:29" x14ac:dyDescent="0.85">
      <c r="A13" t="s">
        <v>112</v>
      </c>
      <c r="B13" s="7">
        <v>31541.87237732</v>
      </c>
      <c r="C13" s="7">
        <v>52230.68264503</v>
      </c>
      <c r="D13" s="7">
        <v>51869.723308109998</v>
      </c>
      <c r="E13" s="7">
        <v>51642.234560800003</v>
      </c>
      <c r="F13" s="7">
        <v>51428.999749360002</v>
      </c>
      <c r="G13" s="7">
        <v>51246.270976870001</v>
      </c>
      <c r="H13" s="7">
        <v>51061.686078279999</v>
      </c>
      <c r="I13" s="7">
        <v>51174.067786599997</v>
      </c>
      <c r="J13" s="7">
        <v>51334.94278243</v>
      </c>
      <c r="K13" s="7">
        <v>51561.419004950003</v>
      </c>
      <c r="L13" s="7">
        <v>51840.069365869997</v>
      </c>
      <c r="M13" s="7">
        <v>52175.509852000003</v>
      </c>
      <c r="N13" s="7">
        <v>52595.621438369999</v>
      </c>
      <c r="O13" s="7">
        <v>53033.202540099999</v>
      </c>
      <c r="P13" s="7">
        <v>53504.332506519997</v>
      </c>
      <c r="Q13" s="7">
        <v>54035.329451960002</v>
      </c>
      <c r="R13" s="7">
        <v>54606.731347250003</v>
      </c>
      <c r="S13" s="7">
        <v>55226.401952189997</v>
      </c>
      <c r="T13" s="7">
        <v>55866.824340009996</v>
      </c>
      <c r="U13" s="7">
        <v>56563.202184089998</v>
      </c>
      <c r="V13" s="7">
        <v>57315.883390230003</v>
      </c>
      <c r="W13" s="7">
        <v>58110.207002319999</v>
      </c>
      <c r="X13" s="7">
        <v>58946.731067399996</v>
      </c>
      <c r="Y13" s="7">
        <v>59801.156704289999</v>
      </c>
      <c r="Z13" s="7">
        <v>60647.957505159997</v>
      </c>
      <c r="AA13" s="7">
        <v>61545.015450239996</v>
      </c>
      <c r="AB13" s="7">
        <v>62469.423873170002</v>
      </c>
      <c r="AC13" s="7">
        <v>63421.214878070001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1525.4126111600001</v>
      </c>
      <c r="D17" s="7">
        <v>2825.4205141699999</v>
      </c>
      <c r="E17" s="7">
        <v>4194.8243281699997</v>
      </c>
      <c r="F17" s="7">
        <v>5638.7636914499999</v>
      </c>
      <c r="G17" s="7">
        <v>7162.7234079099999</v>
      </c>
      <c r="H17" s="7">
        <v>8772.5529947699997</v>
      </c>
      <c r="I17" s="7">
        <v>10474.49882146</v>
      </c>
      <c r="J17" s="7">
        <v>12211.292711620001</v>
      </c>
      <c r="K17" s="7">
        <v>13985.03459032</v>
      </c>
      <c r="L17" s="7">
        <v>15798.63724545</v>
      </c>
      <c r="M17" s="7">
        <v>17490.300185200002</v>
      </c>
      <c r="N17" s="7">
        <v>19387.283547160001</v>
      </c>
      <c r="O17" s="7">
        <v>18741.041496080001</v>
      </c>
      <c r="P17" s="7">
        <v>18879.365477169998</v>
      </c>
      <c r="Q17" s="7">
        <v>19165.243258300001</v>
      </c>
      <c r="R17" s="7">
        <v>19457.287034569999</v>
      </c>
      <c r="S17" s="7">
        <v>20592.94004619</v>
      </c>
      <c r="T17" s="7">
        <v>19907.655429400002</v>
      </c>
      <c r="U17" s="7">
        <v>21677.480301079999</v>
      </c>
      <c r="V17" s="7">
        <v>23071.316669790001</v>
      </c>
      <c r="W17" s="7">
        <v>24490.616848559999</v>
      </c>
      <c r="X17" s="7">
        <v>25937.018712680001</v>
      </c>
      <c r="Y17" s="7">
        <v>25088.43906832</v>
      </c>
      <c r="Z17" s="7">
        <v>25301.445851820001</v>
      </c>
      <c r="AA17" s="7">
        <v>25535.820880359999</v>
      </c>
      <c r="AB17" s="7">
        <v>25838.562559180002</v>
      </c>
      <c r="AC17" s="7">
        <v>26147.283403230002</v>
      </c>
    </row>
    <row r="18" spans="1:29" x14ac:dyDescent="0.85">
      <c r="A18" t="s">
        <v>116</v>
      </c>
      <c r="B18" s="7">
        <v>556058</v>
      </c>
      <c r="C18" s="7">
        <v>2924889.2611626498</v>
      </c>
      <c r="D18" s="7">
        <v>5417578.2078257399</v>
      </c>
      <c r="E18" s="7">
        <v>8043289.8000943903</v>
      </c>
      <c r="F18" s="7">
        <v>10811772.5935323</v>
      </c>
      <c r="G18" s="7">
        <v>13732924.730064301</v>
      </c>
      <c r="H18" s="7">
        <v>16815533.091942299</v>
      </c>
      <c r="I18" s="7">
        <v>20056864.809741002</v>
      </c>
      <c r="J18" s="7">
        <v>23336953.108121399</v>
      </c>
      <c r="K18" s="7">
        <v>26644109.862535499</v>
      </c>
      <c r="L18" s="7">
        <v>29969929.097148798</v>
      </c>
      <c r="M18" s="7">
        <v>33007447.1648806</v>
      </c>
      <c r="N18" s="7">
        <v>36354748.596602097</v>
      </c>
      <c r="O18" s="7">
        <v>35037793.599314101</v>
      </c>
      <c r="P18" s="7">
        <v>35137921.032092199</v>
      </c>
      <c r="Q18" s="7">
        <v>35493824.638473503</v>
      </c>
      <c r="R18" s="7">
        <v>35852012.6716922</v>
      </c>
      <c r="S18" s="7">
        <v>37700294.220504202</v>
      </c>
      <c r="T18" s="7">
        <v>36305634.370285802</v>
      </c>
      <c r="U18" s="7">
        <v>39242594.315461501</v>
      </c>
      <c r="V18" s="7">
        <v>41475863.555581197</v>
      </c>
      <c r="W18" s="7">
        <v>43717316.830474101</v>
      </c>
      <c r="X18" s="7">
        <v>45969132.1565606</v>
      </c>
      <c r="Y18" s="7">
        <v>44310780.810034104</v>
      </c>
      <c r="Z18" s="7">
        <v>45263161.263047799</v>
      </c>
      <c r="AA18" s="7">
        <v>45736065.3069489</v>
      </c>
      <c r="AB18" s="7">
        <v>46288477.747112297</v>
      </c>
      <c r="AC18" s="7">
        <v>46842323.586374603</v>
      </c>
    </row>
    <row r="19" spans="1:29" x14ac:dyDescent="0.85">
      <c r="A19" t="s">
        <v>117</v>
      </c>
      <c r="B19" s="7">
        <v>556058</v>
      </c>
      <c r="C19" s="7">
        <v>2924889.2611626498</v>
      </c>
      <c r="D19" s="7">
        <v>5417578.2078257399</v>
      </c>
      <c r="E19" s="7">
        <v>8043329.7457649</v>
      </c>
      <c r="F19" s="7">
        <v>10811998.8301425</v>
      </c>
      <c r="G19" s="7">
        <v>13734102.2508818</v>
      </c>
      <c r="H19" s="7">
        <v>16820856.114355601</v>
      </c>
      <c r="I19" s="7">
        <v>20084237.467811801</v>
      </c>
      <c r="J19" s="7">
        <v>23414437.940127701</v>
      </c>
      <c r="K19" s="7">
        <v>26815484.014571499</v>
      </c>
      <c r="L19" s="7">
        <v>30292960.791138001</v>
      </c>
      <c r="M19" s="7">
        <v>33536625.311664</v>
      </c>
      <c r="N19" s="7">
        <v>37173979.705746897</v>
      </c>
      <c r="O19" s="7">
        <v>35934848.4559495</v>
      </c>
      <c r="P19" s="7">
        <v>36200076.581039898</v>
      </c>
      <c r="Q19" s="7">
        <v>36748230.4680143</v>
      </c>
      <c r="R19" s="7">
        <v>37308207.2892095</v>
      </c>
      <c r="S19" s="7">
        <v>39485755.366229199</v>
      </c>
      <c r="T19" s="7">
        <v>38171762.285380602</v>
      </c>
      <c r="U19" s="7">
        <v>41565297.728479698</v>
      </c>
      <c r="V19" s="7">
        <v>44237897.257821202</v>
      </c>
      <c r="W19" s="7">
        <v>46959322.150257103</v>
      </c>
      <c r="X19" s="7">
        <v>49732712.935641304</v>
      </c>
      <c r="Y19" s="7">
        <v>48105611.211901203</v>
      </c>
      <c r="Z19" s="7">
        <v>48514039.232662499</v>
      </c>
      <c r="AA19" s="7">
        <v>48963439.610667497</v>
      </c>
      <c r="AB19" s="7">
        <v>49543929.032869399</v>
      </c>
      <c r="AC19" s="7">
        <v>50135883.153903201</v>
      </c>
    </row>
    <row r="20" spans="1:29" x14ac:dyDescent="0.85">
      <c r="A20" t="s">
        <v>118</v>
      </c>
      <c r="B20" s="7">
        <v>59.205777259999998</v>
      </c>
      <c r="C20" s="7">
        <v>311.42496304000002</v>
      </c>
      <c r="D20" s="7">
        <v>576.83178488999999</v>
      </c>
      <c r="E20" s="7">
        <v>856.40632690999996</v>
      </c>
      <c r="F20" s="7">
        <v>1151.1978866100001</v>
      </c>
      <c r="G20" s="7">
        <v>1462.3262297799999</v>
      </c>
      <c r="H20" s="7">
        <v>1790.9855812999999</v>
      </c>
      <c r="I20" s="7">
        <v>2138.4511865300001</v>
      </c>
      <c r="J20" s="7">
        <v>2493.0312975699999</v>
      </c>
      <c r="K20" s="7">
        <v>2855.1546306</v>
      </c>
      <c r="L20" s="7">
        <v>3225.41585416</v>
      </c>
      <c r="M20" s="7">
        <v>3570.7821272699998</v>
      </c>
      <c r="N20" s="7">
        <v>3958.0661768800001</v>
      </c>
      <c r="O20" s="7">
        <v>3826.1307874700001</v>
      </c>
      <c r="P20" s="7">
        <v>3854.3707144099999</v>
      </c>
      <c r="Q20" s="7">
        <v>3912.7349083200002</v>
      </c>
      <c r="R20" s="7">
        <v>3972.3579385500002</v>
      </c>
      <c r="S20" s="7">
        <v>4204.2104187100003</v>
      </c>
      <c r="T20" s="7">
        <v>4064.3041829200001</v>
      </c>
      <c r="U20" s="7">
        <v>4425.6278282100002</v>
      </c>
      <c r="V20" s="7">
        <v>4710.1904681400001</v>
      </c>
      <c r="W20" s="7">
        <v>4999.9517448400002</v>
      </c>
      <c r="X20" s="7">
        <v>5295.2460434300001</v>
      </c>
      <c r="Y20" s="7">
        <v>5122.0018454700003</v>
      </c>
      <c r="Z20" s="7">
        <v>5165.48885298</v>
      </c>
      <c r="AA20" s="7">
        <v>5213.3383555099999</v>
      </c>
      <c r="AB20" s="7">
        <v>5275.1454465500001</v>
      </c>
      <c r="AC20" s="7">
        <v>5338.1732311300002</v>
      </c>
    </row>
    <row r="21" spans="1:29" x14ac:dyDescent="0.85">
      <c r="A21" t="s">
        <v>119</v>
      </c>
      <c r="B21" s="7">
        <v>0</v>
      </c>
      <c r="C21" s="7">
        <v>2.92488926</v>
      </c>
      <c r="D21" s="7">
        <v>5.4175782100000003</v>
      </c>
      <c r="E21" s="7">
        <v>8.0433297499999998</v>
      </c>
      <c r="F21" s="7">
        <v>10.81199883</v>
      </c>
      <c r="G21" s="7">
        <v>13.734102249999999</v>
      </c>
      <c r="H21" s="7">
        <v>16.820856110000001</v>
      </c>
      <c r="I21" s="7">
        <v>20.084237470000001</v>
      </c>
      <c r="J21" s="7">
        <v>23.414437939999999</v>
      </c>
      <c r="K21" s="7">
        <v>26.815484009999999</v>
      </c>
      <c r="L21" s="7">
        <v>30.292960789999999</v>
      </c>
      <c r="M21" s="7">
        <v>33.536625309999998</v>
      </c>
      <c r="N21" s="7">
        <v>37.173979709999998</v>
      </c>
      <c r="O21" s="7">
        <v>35.934848459999998</v>
      </c>
      <c r="P21" s="7">
        <v>36.200076580000001</v>
      </c>
      <c r="Q21" s="7">
        <v>36.748230470000003</v>
      </c>
      <c r="R21" s="7">
        <v>37.308207289999999</v>
      </c>
      <c r="S21" s="7">
        <v>39.48575537</v>
      </c>
      <c r="T21" s="7">
        <v>38.171762289999997</v>
      </c>
      <c r="U21" s="7">
        <v>41.565297729999998</v>
      </c>
      <c r="V21" s="7">
        <v>44.237897259999997</v>
      </c>
      <c r="W21" s="7">
        <v>46.959322149999998</v>
      </c>
      <c r="X21" s="7">
        <v>49.732712939999999</v>
      </c>
      <c r="Y21" s="7">
        <v>48.105611209999999</v>
      </c>
      <c r="Z21" s="7">
        <v>48.514039230000002</v>
      </c>
      <c r="AA21" s="7">
        <v>48.963439610000002</v>
      </c>
      <c r="AB21" s="7">
        <v>49.543929030000001</v>
      </c>
      <c r="AC21" s="7">
        <v>50.135883149999998</v>
      </c>
    </row>
    <row r="22" spans="1:29" x14ac:dyDescent="0.85">
      <c r="A22" t="s">
        <v>120</v>
      </c>
      <c r="B22" s="7">
        <v>2.7802899999999999E-3</v>
      </c>
      <c r="C22" s="7">
        <v>1.4624450000000001E-2</v>
      </c>
      <c r="D22" s="7">
        <v>2.708789E-2</v>
      </c>
      <c r="E22" s="7">
        <v>4.021665E-2</v>
      </c>
      <c r="F22" s="7">
        <v>5.4059990000000002E-2</v>
      </c>
      <c r="G22" s="7">
        <v>6.8670510000000004E-2</v>
      </c>
      <c r="H22" s="7">
        <v>8.4104280000000003E-2</v>
      </c>
      <c r="I22" s="7">
        <v>0.10042118999999999</v>
      </c>
      <c r="J22" s="7">
        <v>0.11707219000000001</v>
      </c>
      <c r="K22" s="7">
        <v>0.13407742</v>
      </c>
      <c r="L22" s="7">
        <v>0.15146480000000001</v>
      </c>
      <c r="M22" s="7">
        <v>0.16768313000000001</v>
      </c>
      <c r="N22" s="7">
        <v>0.1858699</v>
      </c>
      <c r="O22" s="7">
        <v>0.17967424000000001</v>
      </c>
      <c r="P22" s="7">
        <v>0.18100037999999999</v>
      </c>
      <c r="Q22" s="7">
        <v>0.18374114999999999</v>
      </c>
      <c r="R22" s="7">
        <v>0.18654103999999999</v>
      </c>
      <c r="S22" s="7">
        <v>0.19742878</v>
      </c>
      <c r="T22" s="7">
        <v>0.19085880999999999</v>
      </c>
      <c r="U22" s="7">
        <v>0.20782649</v>
      </c>
      <c r="V22" s="7">
        <v>0.22118948999999999</v>
      </c>
      <c r="W22" s="7">
        <v>0.23479660999999999</v>
      </c>
      <c r="X22" s="7">
        <v>0.24866356000000001</v>
      </c>
      <c r="Y22" s="7">
        <v>0.24052805999999999</v>
      </c>
      <c r="Z22" s="7">
        <v>0.24257020000000001</v>
      </c>
      <c r="AA22" s="7">
        <v>0.24481720000000001</v>
      </c>
      <c r="AB22" s="7">
        <v>0.24771965000000001</v>
      </c>
      <c r="AC22" s="7">
        <v>0.25067941999999999</v>
      </c>
    </row>
    <row r="23" spans="1:29" x14ac:dyDescent="0.85">
      <c r="A23" t="s">
        <v>121</v>
      </c>
      <c r="B23" s="7">
        <v>59.205777259999998</v>
      </c>
      <c r="C23" s="7">
        <v>311.42496304000002</v>
      </c>
      <c r="D23" s="7">
        <v>576.83178488999999</v>
      </c>
      <c r="E23" s="7">
        <v>856.40632690999996</v>
      </c>
      <c r="F23" s="7">
        <v>1151.1978866100001</v>
      </c>
      <c r="G23" s="7">
        <v>1462.3262297799999</v>
      </c>
      <c r="H23" s="7">
        <v>1790.9855812999999</v>
      </c>
      <c r="I23" s="7">
        <v>2138.4511865300001</v>
      </c>
      <c r="J23" s="7">
        <v>2493.0312975699999</v>
      </c>
      <c r="K23" s="7">
        <v>2855.1546306</v>
      </c>
      <c r="L23" s="7">
        <v>3225.41585416</v>
      </c>
      <c r="M23" s="7">
        <v>3570.7821272699998</v>
      </c>
      <c r="N23" s="7">
        <v>3958.0661768800001</v>
      </c>
      <c r="O23" s="7">
        <v>3826.1307874700001</v>
      </c>
      <c r="P23" s="7">
        <v>3854.3707144099999</v>
      </c>
      <c r="Q23" s="7">
        <v>3912.7349083200002</v>
      </c>
      <c r="R23" s="7">
        <v>3972.3579385500002</v>
      </c>
      <c r="S23" s="7">
        <v>4204.2104187100003</v>
      </c>
      <c r="T23" s="7">
        <v>4064.3041829200001</v>
      </c>
      <c r="U23" s="7">
        <v>4425.6278282100002</v>
      </c>
      <c r="V23" s="7">
        <v>4710.1904681400001</v>
      </c>
      <c r="W23" s="7">
        <v>4999.9517448400002</v>
      </c>
      <c r="X23" s="7">
        <v>5295.2460434300001</v>
      </c>
      <c r="Y23" s="7">
        <v>5122.0018454700003</v>
      </c>
      <c r="Z23" s="7">
        <v>5165.48885298</v>
      </c>
      <c r="AA23" s="7">
        <v>5213.3383555099999</v>
      </c>
      <c r="AB23" s="7">
        <v>5275.1454465500001</v>
      </c>
      <c r="AC23" s="7">
        <v>5338.1732311300002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1.9160937499999999</v>
      </c>
      <c r="E25" s="7">
        <v>1.53585821</v>
      </c>
      <c r="F25" s="7">
        <v>1.3905621399999999</v>
      </c>
      <c r="G25" s="7">
        <v>1.3140571000000001</v>
      </c>
      <c r="H25" s="7">
        <v>1.2669738399999999</v>
      </c>
      <c r="I25" s="7">
        <v>1.2351709900000001</v>
      </c>
      <c r="J25" s="7">
        <v>1.2060020499999999</v>
      </c>
      <c r="K25" s="7">
        <v>1.18473575</v>
      </c>
      <c r="L25" s="7">
        <v>1.16862621</v>
      </c>
      <c r="M25" s="7">
        <v>1.15591859</v>
      </c>
      <c r="N25" s="7">
        <v>1.1452515599999999</v>
      </c>
      <c r="O25" s="7">
        <v>1.1381752999999999</v>
      </c>
      <c r="P25" s="7">
        <v>1.00000004</v>
      </c>
      <c r="Q25" s="7">
        <v>1.0421180699999999</v>
      </c>
      <c r="R25" s="7">
        <v>1.05014725</v>
      </c>
      <c r="S25" s="7">
        <v>1.05024641</v>
      </c>
      <c r="T25" s="7">
        <v>1.09486186</v>
      </c>
      <c r="U25" s="7">
        <v>1.00005761</v>
      </c>
      <c r="V25" s="7">
        <v>1.12645006</v>
      </c>
      <c r="W25" s="7">
        <v>1.1009987800000001</v>
      </c>
      <c r="X25" s="7">
        <v>1.0981220199999999</v>
      </c>
      <c r="Y25" s="7">
        <v>1.09557872</v>
      </c>
      <c r="Z25" s="7">
        <v>1.00063766</v>
      </c>
      <c r="AA25" s="7">
        <v>1.0432657599999999</v>
      </c>
      <c r="AB25" s="7">
        <v>1.0440654899999999</v>
      </c>
      <c r="AC25" s="7">
        <v>1.0467471399999999</v>
      </c>
    </row>
    <row r="26" spans="1:29" x14ac:dyDescent="0.85">
      <c r="A26" t="s">
        <v>124</v>
      </c>
      <c r="B26" s="7">
        <v>1</v>
      </c>
      <c r="C26" s="7">
        <v>5.4414243000000004</v>
      </c>
      <c r="D26" s="7">
        <v>1.9161037400000001</v>
      </c>
      <c r="E26" s="7">
        <v>1.5358681700000001</v>
      </c>
      <c r="F26" s="7">
        <v>1.39057166</v>
      </c>
      <c r="G26" s="7">
        <v>1.3140670999999999</v>
      </c>
      <c r="H26" s="7">
        <v>1.26698384</v>
      </c>
      <c r="I26" s="7">
        <v>1.2351807299999999</v>
      </c>
      <c r="J26" s="7">
        <v>1.20601205</v>
      </c>
      <c r="K26" s="7">
        <v>1.18474575</v>
      </c>
      <c r="L26" s="7">
        <v>1.1686362100000001</v>
      </c>
      <c r="M26" s="7">
        <v>1.1452515599999999</v>
      </c>
      <c r="N26" s="7">
        <v>1.1466818999999999</v>
      </c>
      <c r="O26" s="7">
        <v>1.00000004</v>
      </c>
      <c r="P26" s="7">
        <v>1.0421180699999999</v>
      </c>
      <c r="Q26" s="7">
        <v>1.05014725</v>
      </c>
      <c r="R26" s="7">
        <v>1.05024641</v>
      </c>
      <c r="S26" s="7">
        <v>1.09486186</v>
      </c>
      <c r="T26" s="7">
        <v>1.00005761</v>
      </c>
      <c r="U26" s="7">
        <v>1.12645006</v>
      </c>
      <c r="V26" s="7">
        <v>1.1009987800000001</v>
      </c>
      <c r="W26" s="7">
        <v>1.0981220199999999</v>
      </c>
      <c r="X26" s="7">
        <v>1.09557872</v>
      </c>
      <c r="Y26" s="7">
        <v>1.00063766</v>
      </c>
      <c r="Z26" s="7">
        <v>1.0432657599999999</v>
      </c>
      <c r="AA26" s="7">
        <v>1.0440654899999999</v>
      </c>
      <c r="AB26" s="7">
        <v>1.0467471399999999</v>
      </c>
      <c r="AC26" s="7">
        <v>1.0468428299999999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1.91610375</v>
      </c>
      <c r="E27" s="7">
        <v>1.5358682100000001</v>
      </c>
      <c r="F27" s="7">
        <v>1.39057214</v>
      </c>
      <c r="G27" s="7">
        <v>1.3140670999999999</v>
      </c>
      <c r="H27" s="7">
        <v>1.26698384</v>
      </c>
      <c r="I27" s="7">
        <v>1.2351809899999999</v>
      </c>
      <c r="J27" s="7">
        <v>1.20601205</v>
      </c>
      <c r="K27" s="7">
        <v>1.18474575</v>
      </c>
      <c r="L27" s="7">
        <v>1.1686362100000001</v>
      </c>
      <c r="M27" s="7">
        <v>1.15592859</v>
      </c>
      <c r="N27" s="7">
        <v>1.1466818999999999</v>
      </c>
      <c r="O27" s="7">
        <v>1.1381853</v>
      </c>
      <c r="P27" s="7">
        <v>1.1440466899999999</v>
      </c>
      <c r="Q27" s="7">
        <v>1.1455638500000001</v>
      </c>
      <c r="R27" s="7">
        <v>1.14633487</v>
      </c>
      <c r="S27" s="7">
        <v>1.1470929000000001</v>
      </c>
      <c r="T27" s="7">
        <v>1.14325798</v>
      </c>
      <c r="U27" s="7">
        <v>1.1494518600000001</v>
      </c>
      <c r="V27" s="7">
        <v>1.14245697</v>
      </c>
      <c r="W27" s="7">
        <v>1.13829662</v>
      </c>
      <c r="X27" s="7">
        <v>1.1345624599999999</v>
      </c>
      <c r="Y27" s="7">
        <v>1.1311895000000001</v>
      </c>
      <c r="Z27" s="7">
        <v>1.1368443500000001</v>
      </c>
      <c r="AA27" s="7">
        <v>1.1362590400000001</v>
      </c>
      <c r="AB27" s="7">
        <v>1.13699514</v>
      </c>
      <c r="AC27" s="7">
        <v>1.1375864200000001</v>
      </c>
    </row>
    <row r="28" spans="1:29" x14ac:dyDescent="0.85">
      <c r="A28" t="s">
        <v>126</v>
      </c>
      <c r="B28" s="7">
        <v>23280</v>
      </c>
      <c r="C28" s="7">
        <v>24550.073607670001</v>
      </c>
      <c r="D28" s="7">
        <v>25909.634887190001</v>
      </c>
      <c r="E28" s="7">
        <v>27364.897143509999</v>
      </c>
      <c r="F28" s="7">
        <v>28922.521767850001</v>
      </c>
      <c r="G28" s="7">
        <v>30589.61423195</v>
      </c>
      <c r="H28" s="7">
        <v>32373.765072279999</v>
      </c>
      <c r="I28" s="7">
        <v>34283.084920250003</v>
      </c>
      <c r="J28" s="7">
        <v>36235.73433924</v>
      </c>
      <c r="K28" s="7">
        <v>38234.47794117</v>
      </c>
      <c r="L28" s="7">
        <v>40283.211652749997</v>
      </c>
      <c r="M28" s="7">
        <v>42383.467741020002</v>
      </c>
      <c r="N28" s="7">
        <v>44533.372924830001</v>
      </c>
      <c r="O28" s="7">
        <v>46738.74443495</v>
      </c>
      <c r="P28" s="7">
        <v>48947.273351819997</v>
      </c>
      <c r="Q28" s="7">
        <v>51172.529639740002</v>
      </c>
      <c r="R28" s="7">
        <v>53420.830035630002</v>
      </c>
      <c r="S28" s="7">
        <v>55693.020678710003</v>
      </c>
      <c r="T28" s="7">
        <v>58007.379638719998</v>
      </c>
      <c r="U28" s="7">
        <v>60326.738195539998</v>
      </c>
      <c r="V28" s="7">
        <v>62703.854620680002</v>
      </c>
      <c r="W28" s="7">
        <v>65133.700679599999</v>
      </c>
      <c r="X28" s="7">
        <v>67617.102826379996</v>
      </c>
      <c r="Y28" s="7">
        <v>70140.524653949993</v>
      </c>
      <c r="Z28" s="7">
        <v>69292.069834649999</v>
      </c>
      <c r="AA28" s="7">
        <v>70644.177788910005</v>
      </c>
      <c r="AB28" s="7">
        <v>72194.39752441</v>
      </c>
      <c r="AC28" s="7">
        <v>73815.302849920001</v>
      </c>
    </row>
    <row r="29" spans="1:29" x14ac:dyDescent="0.85">
      <c r="A29" t="s">
        <v>127</v>
      </c>
      <c r="B29" s="7">
        <v>96432429.5</v>
      </c>
      <c r="C29" s="7">
        <v>101693438.247063</v>
      </c>
      <c r="D29" s="7">
        <v>107325130.56830101</v>
      </c>
      <c r="E29" s="7">
        <v>113352680.805492</v>
      </c>
      <c r="F29" s="7">
        <v>119802864.31367899</v>
      </c>
      <c r="G29" s="7">
        <v>126700081.966925</v>
      </c>
      <c r="H29" s="7">
        <v>134058972.81781401</v>
      </c>
      <c r="I29" s="7">
        <v>141816814.65529901</v>
      </c>
      <c r="J29" s="7">
        <v>149602074.531266</v>
      </c>
      <c r="K29" s="7">
        <v>157365987.91872999</v>
      </c>
      <c r="L29" s="7">
        <v>165085227.81764501</v>
      </c>
      <c r="M29" s="7">
        <v>172794214.58175701</v>
      </c>
      <c r="N29" s="7">
        <v>180404684.363594</v>
      </c>
      <c r="O29" s="7">
        <v>188772230.00778899</v>
      </c>
      <c r="P29" s="7">
        <v>196804583.94200099</v>
      </c>
      <c r="Q29" s="7">
        <v>204735609.89194801</v>
      </c>
      <c r="R29" s="7">
        <v>212647325.19757301</v>
      </c>
      <c r="S29" s="7">
        <v>220264848.76551899</v>
      </c>
      <c r="T29" s="7">
        <v>228536303.768071</v>
      </c>
      <c r="U29" s="7">
        <v>235926536.22339299</v>
      </c>
      <c r="V29" s="7">
        <v>243520391.40707099</v>
      </c>
      <c r="W29" s="7">
        <v>251175668.183671</v>
      </c>
      <c r="X29" s="7">
        <v>258893320.23122701</v>
      </c>
      <c r="Y29" s="7">
        <v>267622614.05903599</v>
      </c>
      <c r="Z29" s="7">
        <v>267794167.78143001</v>
      </c>
      <c r="AA29" s="7">
        <v>273340124.48321801</v>
      </c>
      <c r="AB29" s="7">
        <v>279399794.74522001</v>
      </c>
      <c r="AC29" s="7">
        <v>285677672.386801</v>
      </c>
    </row>
    <row r="30" spans="1:29" x14ac:dyDescent="0.85">
      <c r="A30" t="s">
        <v>128</v>
      </c>
      <c r="B30" s="7">
        <v>96432429.5</v>
      </c>
      <c r="C30" s="7">
        <v>101693438.247063</v>
      </c>
      <c r="D30" s="7">
        <v>107325130.56830101</v>
      </c>
      <c r="E30" s="7">
        <v>113353243.75286201</v>
      </c>
      <c r="F30" s="7">
        <v>119805371.19159099</v>
      </c>
      <c r="G30" s="7">
        <v>126710945.78414001</v>
      </c>
      <c r="H30" s="7">
        <v>134101409.70715301</v>
      </c>
      <c r="I30" s="7">
        <v>142010359.51951799</v>
      </c>
      <c r="J30" s="7">
        <v>150098792.828601</v>
      </c>
      <c r="K30" s="7">
        <v>158378161.44894001</v>
      </c>
      <c r="L30" s="7">
        <v>166864603.42516401</v>
      </c>
      <c r="M30" s="7">
        <v>175564465.84628201</v>
      </c>
      <c r="N30" s="7">
        <v>184469989.045138</v>
      </c>
      <c r="O30" s="7">
        <v>193605269.658142</v>
      </c>
      <c r="P30" s="7">
        <v>202753629.154477</v>
      </c>
      <c r="Q30" s="7">
        <v>211971278.213943</v>
      </c>
      <c r="R30" s="7">
        <v>221284382.57055199</v>
      </c>
      <c r="S30" s="7">
        <v>230696447.17532501</v>
      </c>
      <c r="T30" s="7">
        <v>240283185.02965301</v>
      </c>
      <c r="U30" s="7">
        <v>249890632.64633799</v>
      </c>
      <c r="V30" s="7">
        <v>259737329.90065101</v>
      </c>
      <c r="W30" s="7">
        <v>269802448.40463501</v>
      </c>
      <c r="X30" s="7">
        <v>280089411.56782597</v>
      </c>
      <c r="Y30" s="7">
        <v>290542147.71411401</v>
      </c>
      <c r="Z30" s="7">
        <v>287027604.77829897</v>
      </c>
      <c r="AA30" s="7">
        <v>292628423.29099298</v>
      </c>
      <c r="AB30" s="7">
        <v>299049877.55876303</v>
      </c>
      <c r="AC30" s="7">
        <v>305764131.79105997</v>
      </c>
    </row>
    <row r="31" spans="1:29" x14ac:dyDescent="0.85">
      <c r="A31" t="s">
        <v>129</v>
      </c>
      <c r="B31" s="7">
        <v>7041.4119305599997</v>
      </c>
      <c r="C31" s="7">
        <v>7425.5662026299997</v>
      </c>
      <c r="D31" s="7">
        <v>7836.7874661200003</v>
      </c>
      <c r="E31" s="7">
        <v>8276.9550354399998</v>
      </c>
      <c r="F31" s="7">
        <v>8748.0837559299998</v>
      </c>
      <c r="G31" s="7">
        <v>9252.3227922799997</v>
      </c>
      <c r="H31" s="7">
        <v>9791.9680248000004</v>
      </c>
      <c r="I31" s="7">
        <v>10369.47264493</v>
      </c>
      <c r="J31" s="7">
        <v>10960.08299352</v>
      </c>
      <c r="K31" s="7">
        <v>11564.63527207</v>
      </c>
      <c r="L31" s="7">
        <v>12184.307866540001</v>
      </c>
      <c r="M31" s="7">
        <v>12819.56423584</v>
      </c>
      <c r="N31" s="7">
        <v>13469.83777582</v>
      </c>
      <c r="O31" s="7">
        <v>14136.888001879999</v>
      </c>
      <c r="P31" s="7">
        <v>14804.893236600001</v>
      </c>
      <c r="Q31" s="7">
        <v>15477.95793481</v>
      </c>
      <c r="R31" s="7">
        <v>16157.9926956</v>
      </c>
      <c r="S31" s="7">
        <v>16845.253447430001</v>
      </c>
      <c r="T31" s="7">
        <v>17545.268687669999</v>
      </c>
      <c r="U31" s="7">
        <v>18246.796136690002</v>
      </c>
      <c r="V31" s="7">
        <v>18965.79338567</v>
      </c>
      <c r="W31" s="7">
        <v>19700.739563880001</v>
      </c>
      <c r="X31" s="7">
        <v>20451.8846457</v>
      </c>
      <c r="Y31" s="7">
        <v>21215.134326219999</v>
      </c>
      <c r="Z31" s="7">
        <v>20958.505465089998</v>
      </c>
      <c r="AA31" s="7">
        <v>21367.472349989999</v>
      </c>
      <c r="AB31" s="7">
        <v>21836.361342280001</v>
      </c>
      <c r="AC31" s="7">
        <v>22326.63033272</v>
      </c>
    </row>
    <row r="32" spans="1:29" x14ac:dyDescent="0.85">
      <c r="A32" t="s">
        <v>130</v>
      </c>
      <c r="B32" s="7">
        <v>0</v>
      </c>
      <c r="C32" s="7">
        <v>81.354750600000003</v>
      </c>
      <c r="D32" s="7">
        <v>85.860104449999994</v>
      </c>
      <c r="E32" s="7">
        <v>90.682595000000006</v>
      </c>
      <c r="F32" s="7">
        <v>95.84429695</v>
      </c>
      <c r="G32" s="7">
        <v>101.36875662999999</v>
      </c>
      <c r="H32" s="7">
        <v>107.28112777</v>
      </c>
      <c r="I32" s="7">
        <v>113.60828762</v>
      </c>
      <c r="J32" s="7">
        <v>120.07903426</v>
      </c>
      <c r="K32" s="7">
        <v>126.70252916</v>
      </c>
      <c r="L32" s="7">
        <v>133.49168273999999</v>
      </c>
      <c r="M32" s="7">
        <v>140.45157268</v>
      </c>
      <c r="N32" s="7">
        <v>147.57599124000001</v>
      </c>
      <c r="O32" s="7">
        <v>154.88421572999999</v>
      </c>
      <c r="P32" s="7">
        <v>162.20290331999999</v>
      </c>
      <c r="Q32" s="7">
        <v>169.57702257</v>
      </c>
      <c r="R32" s="7">
        <v>177.02750606000001</v>
      </c>
      <c r="S32" s="7">
        <v>184.55715774000001</v>
      </c>
      <c r="T32" s="7">
        <v>192.22654802</v>
      </c>
      <c r="U32" s="7">
        <v>199.91250611999999</v>
      </c>
      <c r="V32" s="7">
        <v>207.78986391999999</v>
      </c>
      <c r="W32" s="7">
        <v>215.84195872000001</v>
      </c>
      <c r="X32" s="7">
        <v>224.07152925</v>
      </c>
      <c r="Y32" s="7">
        <v>232.43371816999999</v>
      </c>
      <c r="Z32" s="7">
        <v>229.62208382</v>
      </c>
      <c r="AA32" s="7">
        <v>234.10273863</v>
      </c>
      <c r="AB32" s="7">
        <v>239.23990205000001</v>
      </c>
      <c r="AC32" s="7">
        <v>244.61130542999999</v>
      </c>
    </row>
    <row r="33" spans="1:29" x14ac:dyDescent="0.85">
      <c r="A33" t="s">
        <v>131</v>
      </c>
      <c r="B33" s="7">
        <v>0.38572972</v>
      </c>
      <c r="C33" s="7">
        <v>0.40677374999999999</v>
      </c>
      <c r="D33" s="7">
        <v>0.42930052000000002</v>
      </c>
      <c r="E33" s="7">
        <v>0.45341298000000002</v>
      </c>
      <c r="F33" s="7">
        <v>0.47922147999999998</v>
      </c>
      <c r="G33" s="7">
        <v>0.50684377999999997</v>
      </c>
      <c r="H33" s="7">
        <v>0.53640564000000002</v>
      </c>
      <c r="I33" s="7">
        <v>0.56804144000000001</v>
      </c>
      <c r="J33" s="7">
        <v>0.60039516999999998</v>
      </c>
      <c r="K33" s="7">
        <v>0.63351265000000001</v>
      </c>
      <c r="L33" s="7">
        <v>0.66745840999999995</v>
      </c>
      <c r="M33" s="7">
        <v>0.70225786000000001</v>
      </c>
      <c r="N33" s="7">
        <v>0.73787996</v>
      </c>
      <c r="O33" s="7">
        <v>0.77442107999999998</v>
      </c>
      <c r="P33" s="7">
        <v>0.81101451999999996</v>
      </c>
      <c r="Q33" s="7">
        <v>0.84788511</v>
      </c>
      <c r="R33" s="7">
        <v>0.88513752999999995</v>
      </c>
      <c r="S33" s="7">
        <v>0.92278579000000005</v>
      </c>
      <c r="T33" s="7">
        <v>0.96113274000000004</v>
      </c>
      <c r="U33" s="7">
        <v>0.99956252999999995</v>
      </c>
      <c r="V33" s="7">
        <v>1.03894932</v>
      </c>
      <c r="W33" s="7">
        <v>1.0792097899999999</v>
      </c>
      <c r="X33" s="7">
        <v>1.1203576500000001</v>
      </c>
      <c r="Y33" s="7">
        <v>1.1621685900000001</v>
      </c>
      <c r="Z33" s="7">
        <v>1.1481104200000001</v>
      </c>
      <c r="AA33" s="7">
        <v>1.1705136899999999</v>
      </c>
      <c r="AB33" s="7">
        <v>1.19619951</v>
      </c>
      <c r="AC33" s="7">
        <v>1.22305653</v>
      </c>
    </row>
    <row r="34" spans="1:29" x14ac:dyDescent="0.85">
      <c r="A34" t="s">
        <v>132</v>
      </c>
      <c r="B34" s="7">
        <v>7041.4119305599997</v>
      </c>
      <c r="C34" s="7">
        <v>7425.5662026299997</v>
      </c>
      <c r="D34" s="7">
        <v>7836.7874661200003</v>
      </c>
      <c r="E34" s="7">
        <v>8276.9550354399998</v>
      </c>
      <c r="F34" s="7">
        <v>8748.0837559299998</v>
      </c>
      <c r="G34" s="7">
        <v>9252.3227922799997</v>
      </c>
      <c r="H34" s="7">
        <v>9791.9680248000004</v>
      </c>
      <c r="I34" s="7">
        <v>10369.47264493</v>
      </c>
      <c r="J34" s="7">
        <v>10960.08299352</v>
      </c>
      <c r="K34" s="7">
        <v>11564.63527207</v>
      </c>
      <c r="L34" s="7">
        <v>12184.307866540001</v>
      </c>
      <c r="M34" s="7">
        <v>12819.56423584</v>
      </c>
      <c r="N34" s="7">
        <v>13469.83777582</v>
      </c>
      <c r="O34" s="7">
        <v>14136.888001879999</v>
      </c>
      <c r="P34" s="7">
        <v>14804.893236600001</v>
      </c>
      <c r="Q34" s="7">
        <v>15477.95793481</v>
      </c>
      <c r="R34" s="7">
        <v>16157.9926956</v>
      </c>
      <c r="S34" s="7">
        <v>16845.253447430001</v>
      </c>
      <c r="T34" s="7">
        <v>17545.268687669999</v>
      </c>
      <c r="U34" s="7">
        <v>18246.796136690002</v>
      </c>
      <c r="V34" s="7">
        <v>18965.79338567</v>
      </c>
      <c r="W34" s="7">
        <v>19700.739563880001</v>
      </c>
      <c r="X34" s="7">
        <v>20451.8846457</v>
      </c>
      <c r="Y34" s="7">
        <v>21215.134326219999</v>
      </c>
      <c r="Z34" s="7">
        <v>20958.505465089998</v>
      </c>
      <c r="AA34" s="7">
        <v>21367.472349989999</v>
      </c>
      <c r="AB34" s="7">
        <v>21836.361342280001</v>
      </c>
      <c r="AC34" s="7">
        <v>22326.63033272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1.09849628</v>
      </c>
      <c r="E36" s="7">
        <v>1.0993532399999999</v>
      </c>
      <c r="F36" s="7">
        <v>1.1001737899999999</v>
      </c>
      <c r="G36" s="7">
        <v>1.10095889</v>
      </c>
      <c r="H36" s="7">
        <v>1.10170827</v>
      </c>
      <c r="I36" s="7">
        <v>1.1024222699999999</v>
      </c>
      <c r="J36" s="7">
        <v>1.1009865000000001</v>
      </c>
      <c r="K36" s="7">
        <v>1.0991144399999999</v>
      </c>
      <c r="L36" s="7">
        <v>1.0974727200000001</v>
      </c>
      <c r="M36" s="7">
        <v>1.0959663100000001</v>
      </c>
      <c r="N36" s="7">
        <v>1.0944952999999999</v>
      </c>
      <c r="O36" s="7">
        <v>1.0933174699999999</v>
      </c>
      <c r="P36" s="7">
        <v>1.0908781599999999</v>
      </c>
      <c r="Q36" s="7">
        <v>1.0890132400000001</v>
      </c>
      <c r="R36" s="7">
        <v>1.08742301</v>
      </c>
      <c r="S36" s="7">
        <v>1.08596278</v>
      </c>
      <c r="T36" s="7">
        <v>1.0849437900000001</v>
      </c>
      <c r="U36" s="7">
        <v>1.0833065099999999</v>
      </c>
      <c r="V36" s="7">
        <v>1.0827025299999999</v>
      </c>
      <c r="W36" s="7">
        <v>1.0820229299999999</v>
      </c>
      <c r="X36" s="7">
        <v>1.0813814900000001</v>
      </c>
      <c r="Y36" s="7">
        <v>1.08077538</v>
      </c>
      <c r="Z36" s="7">
        <v>1.0795540400000001</v>
      </c>
      <c r="AA36" s="7">
        <v>1.02906615</v>
      </c>
      <c r="AB36" s="7">
        <v>1.06199289</v>
      </c>
      <c r="AC36" s="7">
        <v>1.06452506</v>
      </c>
    </row>
    <row r="37" spans="1:29" x14ac:dyDescent="0.85">
      <c r="A37" t="s">
        <v>135</v>
      </c>
      <c r="B37" s="7">
        <v>1</v>
      </c>
      <c r="C37" s="7">
        <v>1.09849628</v>
      </c>
      <c r="D37" s="7">
        <v>1.0993532399999999</v>
      </c>
      <c r="E37" s="7">
        <v>1.1001737899999999</v>
      </c>
      <c r="F37" s="7">
        <v>1.10095889</v>
      </c>
      <c r="G37" s="7">
        <v>1.10170827</v>
      </c>
      <c r="H37" s="7">
        <v>1.1024222699999999</v>
      </c>
      <c r="I37" s="7">
        <v>1.1031014400000001</v>
      </c>
      <c r="J37" s="7">
        <v>1.1009964999999999</v>
      </c>
      <c r="K37" s="7">
        <v>1.09912444</v>
      </c>
      <c r="L37" s="7">
        <v>1.0974827199999999</v>
      </c>
      <c r="M37" s="7">
        <v>1.09597631</v>
      </c>
      <c r="N37" s="7">
        <v>1.0945053</v>
      </c>
      <c r="O37" s="7">
        <v>1.0932518499999999</v>
      </c>
      <c r="P37" s="7">
        <v>1.09088816</v>
      </c>
      <c r="Q37" s="7">
        <v>1.0890232399999999</v>
      </c>
      <c r="R37" s="7">
        <v>1.08743301</v>
      </c>
      <c r="S37" s="7">
        <v>1.0859726999999999</v>
      </c>
      <c r="T37" s="7">
        <v>1.0849537899999999</v>
      </c>
      <c r="U37" s="7">
        <v>1.08331651</v>
      </c>
      <c r="V37" s="7">
        <v>1.08271253</v>
      </c>
      <c r="W37" s="7">
        <v>1.0820324400000001</v>
      </c>
      <c r="X37" s="7">
        <v>1.0813830799999999</v>
      </c>
      <c r="Y37" s="7">
        <v>1.08054092</v>
      </c>
      <c r="Z37" s="7">
        <v>1.02906615</v>
      </c>
      <c r="AA37" s="7">
        <v>1.06199289</v>
      </c>
      <c r="AB37" s="7">
        <v>1.06452506</v>
      </c>
      <c r="AC37" s="7">
        <v>1.0650541200000001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1.0993532399999999</v>
      </c>
      <c r="E38" s="7">
        <v>1.1001737899999999</v>
      </c>
      <c r="F38" s="7">
        <v>1.10095889</v>
      </c>
      <c r="G38" s="7">
        <v>1.10170827</v>
      </c>
      <c r="H38" s="7">
        <v>1.1024222699999999</v>
      </c>
      <c r="I38" s="7">
        <v>1.1031014400000001</v>
      </c>
      <c r="J38" s="7">
        <v>1.1009964999999999</v>
      </c>
      <c r="K38" s="7">
        <v>1.09912444</v>
      </c>
      <c r="L38" s="7">
        <v>1.0974827199999999</v>
      </c>
      <c r="M38" s="7">
        <v>1.09597631</v>
      </c>
      <c r="N38" s="7">
        <v>1.0945053</v>
      </c>
      <c r="O38" s="7">
        <v>1.09332747</v>
      </c>
      <c r="P38" s="7">
        <v>1.09088816</v>
      </c>
      <c r="Q38" s="7">
        <v>1.0890232399999999</v>
      </c>
      <c r="R38" s="7">
        <v>1.08743301</v>
      </c>
      <c r="S38" s="7">
        <v>1.0859727800000001</v>
      </c>
      <c r="T38" s="7">
        <v>1.0849537899999999</v>
      </c>
      <c r="U38" s="7">
        <v>1.08331651</v>
      </c>
      <c r="V38" s="7">
        <v>1.08271253</v>
      </c>
      <c r="W38" s="7">
        <v>1.08203293</v>
      </c>
      <c r="X38" s="7">
        <v>1.0813914899999999</v>
      </c>
      <c r="Y38" s="7">
        <v>1.08078538</v>
      </c>
      <c r="Z38" s="7">
        <v>1.0795640399999999</v>
      </c>
      <c r="AA38" s="7">
        <v>1.0805007</v>
      </c>
      <c r="AB38" s="7">
        <v>1.08027166</v>
      </c>
      <c r="AC38" s="7">
        <v>1.0799782600000001</v>
      </c>
    </row>
    <row r="39" spans="1:29" x14ac:dyDescent="0.85">
      <c r="A39" t="s">
        <v>137</v>
      </c>
      <c r="B39" s="7">
        <v>2741</v>
      </c>
      <c r="C39" s="7">
        <v>2672.4858403899998</v>
      </c>
      <c r="D39" s="7">
        <v>2605.6737023599999</v>
      </c>
      <c r="E39" s="7">
        <v>2540.5318643700002</v>
      </c>
      <c r="F39" s="7">
        <v>2477.0377996399998</v>
      </c>
      <c r="G39" s="7">
        <v>2415.1118546500002</v>
      </c>
      <c r="H39" s="7">
        <v>2354.7340582800002</v>
      </c>
      <c r="I39" s="7">
        <v>2295.86570682</v>
      </c>
      <c r="J39" s="7">
        <v>2238.4690657000001</v>
      </c>
      <c r="K39" s="7">
        <v>2182.50733906</v>
      </c>
      <c r="L39" s="7">
        <v>2127.94466603</v>
      </c>
      <c r="M39" s="7">
        <v>2074.7460493799999</v>
      </c>
      <c r="N39" s="7">
        <v>2022.87740317</v>
      </c>
      <c r="O39" s="7">
        <v>1972.30546809</v>
      </c>
      <c r="P39" s="7">
        <v>1922.9978313900001</v>
      </c>
      <c r="Q39" s="7">
        <v>1874.9228856100001</v>
      </c>
      <c r="R39" s="7">
        <v>1828.0498151199999</v>
      </c>
      <c r="S39" s="7">
        <v>1782.34856975</v>
      </c>
      <c r="T39" s="7">
        <v>1737.7898600000001</v>
      </c>
      <c r="U39" s="7">
        <v>1694.3451135</v>
      </c>
      <c r="V39" s="7">
        <v>1651.98648566</v>
      </c>
      <c r="W39" s="7">
        <v>1610.68682352</v>
      </c>
      <c r="X39" s="7">
        <v>1570.41965293</v>
      </c>
      <c r="Y39" s="7">
        <v>1531.7268731199999</v>
      </c>
      <c r="Z39" s="7">
        <v>1493.5426168500001</v>
      </c>
      <c r="AA39" s="7">
        <v>1456.2040539499999</v>
      </c>
      <c r="AB39" s="7">
        <v>1419.7989525999999</v>
      </c>
      <c r="AC39" s="7">
        <v>1384.3039787800001</v>
      </c>
    </row>
    <row r="40" spans="1:29" x14ac:dyDescent="0.85">
      <c r="A40" t="s">
        <v>138</v>
      </c>
      <c r="B40" s="7">
        <v>16059542</v>
      </c>
      <c r="C40" s="7">
        <v>15658116.9639578</v>
      </c>
      <c r="D40" s="7">
        <v>15266664.0865844</v>
      </c>
      <c r="E40" s="7">
        <v>14884997.5111735</v>
      </c>
      <c r="F40" s="7">
        <v>14512985.253137</v>
      </c>
      <c r="G40" s="7">
        <v>14150159.518441699</v>
      </c>
      <c r="H40" s="7">
        <v>13796405.450918499</v>
      </c>
      <c r="I40" s="7">
        <v>13451495.273480199</v>
      </c>
      <c r="J40" s="7">
        <v>13115207.900736099</v>
      </c>
      <c r="K40" s="7">
        <v>12787327.685889</v>
      </c>
      <c r="L40" s="7">
        <v>12467644.554936299</v>
      </c>
      <c r="M40" s="7">
        <v>12155953.435858101</v>
      </c>
      <c r="N40" s="7">
        <v>11852054.6294294</v>
      </c>
      <c r="O40" s="7">
        <v>11555753.2077724</v>
      </c>
      <c r="P40" s="7">
        <v>11266712.6757294</v>
      </c>
      <c r="Q40" s="7">
        <v>10985044.857659001</v>
      </c>
      <c r="R40" s="7">
        <v>10710418.745922601</v>
      </c>
      <c r="S40" s="7">
        <v>10442658.260572899</v>
      </c>
      <c r="T40" s="7">
        <v>10181591.8304154</v>
      </c>
      <c r="U40" s="7">
        <v>9927051.9951349199</v>
      </c>
      <c r="V40" s="7">
        <v>9678875.3806116097</v>
      </c>
      <c r="W40" s="7">
        <v>9436903.4897698499</v>
      </c>
      <c r="X40" s="7">
        <v>9200980.8944394793</v>
      </c>
      <c r="Y40" s="7">
        <v>8974282.55485126</v>
      </c>
      <c r="Z40" s="7">
        <v>8750563.6197430603</v>
      </c>
      <c r="AA40" s="7">
        <v>8531799.5439930204</v>
      </c>
      <c r="AB40" s="7">
        <v>8318504.5307512498</v>
      </c>
      <c r="AC40" s="7">
        <v>8110541.9171225</v>
      </c>
    </row>
    <row r="41" spans="1:29" x14ac:dyDescent="0.85">
      <c r="A41" t="s">
        <v>139</v>
      </c>
      <c r="B41" s="7">
        <v>16059542</v>
      </c>
      <c r="C41" s="7">
        <v>15658116.9639578</v>
      </c>
      <c r="D41" s="7">
        <v>15266664.0865844</v>
      </c>
      <c r="E41" s="7">
        <v>14884997.5111735</v>
      </c>
      <c r="F41" s="7">
        <v>14512985.253137</v>
      </c>
      <c r="G41" s="7">
        <v>14150159.518441699</v>
      </c>
      <c r="H41" s="7">
        <v>13796405.450918499</v>
      </c>
      <c r="I41" s="7">
        <v>13451495.273480199</v>
      </c>
      <c r="J41" s="7">
        <v>13115207.900736099</v>
      </c>
      <c r="K41" s="7">
        <v>12787327.685889</v>
      </c>
      <c r="L41" s="7">
        <v>12467644.554936299</v>
      </c>
      <c r="M41" s="7">
        <v>12155953.435858101</v>
      </c>
      <c r="N41" s="7">
        <v>11852054.6294294</v>
      </c>
      <c r="O41" s="7">
        <v>11555753.2077724</v>
      </c>
      <c r="P41" s="7">
        <v>11266712.6757294</v>
      </c>
      <c r="Q41" s="7">
        <v>10985044.857659001</v>
      </c>
      <c r="R41" s="7">
        <v>10710418.745922601</v>
      </c>
      <c r="S41" s="7">
        <v>10442658.260572899</v>
      </c>
      <c r="T41" s="7">
        <v>10181591.8304154</v>
      </c>
      <c r="U41" s="7">
        <v>9927051.9951349199</v>
      </c>
      <c r="V41" s="7">
        <v>9678875.3806116097</v>
      </c>
      <c r="W41" s="7">
        <v>9436903.4897698499</v>
      </c>
      <c r="X41" s="7">
        <v>9200980.8944394793</v>
      </c>
      <c r="Y41" s="7">
        <v>8974282.55485126</v>
      </c>
      <c r="Z41" s="7">
        <v>8750563.6197430603</v>
      </c>
      <c r="AA41" s="7">
        <v>8531799.5439930204</v>
      </c>
      <c r="AB41" s="7">
        <v>8318504.5307512498</v>
      </c>
      <c r="AC41" s="7">
        <v>8110541.9171225</v>
      </c>
    </row>
    <row r="42" spans="1:29" x14ac:dyDescent="0.85">
      <c r="A42" t="s">
        <v>140</v>
      </c>
      <c r="B42" s="7">
        <v>3118.7892446400001</v>
      </c>
      <c r="C42" s="7">
        <v>3040.8318480399998</v>
      </c>
      <c r="D42" s="7">
        <v>2964.8110609099999</v>
      </c>
      <c r="E42" s="7">
        <v>2890.6907895899999</v>
      </c>
      <c r="F42" s="7">
        <v>2818.4454024400002</v>
      </c>
      <c r="G42" s="7">
        <v>2747.9842562200001</v>
      </c>
      <c r="H42" s="7">
        <v>2679.2846490100001</v>
      </c>
      <c r="I42" s="7">
        <v>2612.3025323699999</v>
      </c>
      <c r="J42" s="7">
        <v>2546.9949708300001</v>
      </c>
      <c r="K42" s="7">
        <v>2483.32009638</v>
      </c>
      <c r="L42" s="7">
        <v>2421.2371058600002</v>
      </c>
      <c r="M42" s="7">
        <v>2360.70617816</v>
      </c>
      <c r="N42" s="7">
        <v>2301.68852943</v>
      </c>
      <c r="O42" s="7">
        <v>2244.1463156200002</v>
      </c>
      <c r="P42" s="7">
        <v>2188.0411745800002</v>
      </c>
      <c r="Q42" s="7">
        <v>2133.3401451999998</v>
      </c>
      <c r="R42" s="7">
        <v>2080.0066434599999</v>
      </c>
      <c r="S42" s="7">
        <v>2028.0064772000001</v>
      </c>
      <c r="T42" s="7">
        <v>1977.3063203900001</v>
      </c>
      <c r="U42" s="7">
        <v>1927.87366198</v>
      </c>
      <c r="V42" s="7">
        <v>1879.6768172500001</v>
      </c>
      <c r="W42" s="7">
        <v>1832.68489675</v>
      </c>
      <c r="X42" s="7">
        <v>1786.8677742499999</v>
      </c>
      <c r="Y42" s="7">
        <v>1742.8420380699999</v>
      </c>
      <c r="Z42" s="7">
        <v>1699.3949143100001</v>
      </c>
      <c r="AA42" s="7">
        <v>1656.91004432</v>
      </c>
      <c r="AB42" s="7">
        <v>1615.4872929600001</v>
      </c>
      <c r="AC42" s="7">
        <v>1575.10011063</v>
      </c>
    </row>
    <row r="43" spans="1:29" x14ac:dyDescent="0.85">
      <c r="A43" t="s">
        <v>141</v>
      </c>
      <c r="B43" s="7">
        <v>0</v>
      </c>
      <c r="C43" s="7">
        <v>9.3948701799999998</v>
      </c>
      <c r="D43" s="7">
        <v>9.1599984499999998</v>
      </c>
      <c r="E43" s="7">
        <v>8.9309985100000002</v>
      </c>
      <c r="F43" s="7">
        <v>8.7077911500000003</v>
      </c>
      <c r="G43" s="7">
        <v>8.4900957100000003</v>
      </c>
      <c r="H43" s="7">
        <v>8.27784327</v>
      </c>
      <c r="I43" s="7">
        <v>8.0708971599999995</v>
      </c>
      <c r="J43" s="7">
        <v>7.8691247400000002</v>
      </c>
      <c r="K43" s="7">
        <v>7.6723966099999998</v>
      </c>
      <c r="L43" s="7">
        <v>7.4805867299999997</v>
      </c>
      <c r="M43" s="7">
        <v>7.2935720599999998</v>
      </c>
      <c r="N43" s="7">
        <v>7.1112327799999999</v>
      </c>
      <c r="O43" s="7">
        <v>6.9334519200000004</v>
      </c>
      <c r="P43" s="7">
        <v>6.7600276099999999</v>
      </c>
      <c r="Q43" s="7">
        <v>6.5910269100000001</v>
      </c>
      <c r="R43" s="7">
        <v>6.42625125</v>
      </c>
      <c r="S43" s="7">
        <v>6.2655949599999996</v>
      </c>
      <c r="T43" s="7">
        <v>6.1089551000000002</v>
      </c>
      <c r="U43" s="7">
        <v>5.9562312000000004</v>
      </c>
      <c r="V43" s="7">
        <v>5.80732523</v>
      </c>
      <c r="W43" s="7">
        <v>5.6621420899999997</v>
      </c>
      <c r="X43" s="7">
        <v>5.5205885400000003</v>
      </c>
      <c r="Y43" s="7">
        <v>5.3845695300000003</v>
      </c>
      <c r="Z43" s="7">
        <v>5.25033817</v>
      </c>
      <c r="AA43" s="7">
        <v>5.1190797300000002</v>
      </c>
      <c r="AB43" s="7">
        <v>4.9911027199999998</v>
      </c>
      <c r="AC43" s="7">
        <v>4.8663251499999998</v>
      </c>
    </row>
    <row r="44" spans="1:29" x14ac:dyDescent="0.85">
      <c r="A44" t="s">
        <v>142</v>
      </c>
      <c r="B44" s="7">
        <v>4.817863E-2</v>
      </c>
      <c r="C44" s="7">
        <v>4.6974349999999998E-2</v>
      </c>
      <c r="D44" s="7">
        <v>4.5799989999999999E-2</v>
      </c>
      <c r="E44" s="7">
        <v>4.4654989999999999E-2</v>
      </c>
      <c r="F44" s="7">
        <v>4.3538960000000002E-2</v>
      </c>
      <c r="G44" s="7">
        <v>4.2450479999999999E-2</v>
      </c>
      <c r="H44" s="7">
        <v>4.1389219999999997E-2</v>
      </c>
      <c r="I44" s="7">
        <v>4.035449E-2</v>
      </c>
      <c r="J44" s="7">
        <v>3.9345619999999998E-2</v>
      </c>
      <c r="K44" s="7">
        <v>3.8361979999999997E-2</v>
      </c>
      <c r="L44" s="7">
        <v>3.7402930000000001E-2</v>
      </c>
      <c r="M44" s="7">
        <v>3.6467859999999998E-2</v>
      </c>
      <c r="N44" s="7">
        <v>3.5556160000000003E-2</v>
      </c>
      <c r="O44" s="7">
        <v>3.4667259999999998E-2</v>
      </c>
      <c r="P44" s="7">
        <v>3.3800139999999999E-2</v>
      </c>
      <c r="Q44" s="7">
        <v>3.2955129999999999E-2</v>
      </c>
      <c r="R44" s="7">
        <v>3.2131260000000002E-2</v>
      </c>
      <c r="S44" s="7">
        <v>3.1327969999999997E-2</v>
      </c>
      <c r="T44" s="7">
        <v>3.0544780000000001E-2</v>
      </c>
      <c r="U44" s="7">
        <v>2.9781160000000001E-2</v>
      </c>
      <c r="V44" s="7">
        <v>2.9036630000000001E-2</v>
      </c>
      <c r="W44" s="7">
        <v>2.8310709999999999E-2</v>
      </c>
      <c r="X44" s="7">
        <v>2.7602939999999999E-2</v>
      </c>
      <c r="Y44" s="7">
        <v>2.6922850000000002E-2</v>
      </c>
      <c r="Z44" s="7">
        <v>2.6251690000000001E-2</v>
      </c>
      <c r="AA44" s="7">
        <v>2.5595400000000001E-2</v>
      </c>
      <c r="AB44" s="7">
        <v>2.495551E-2</v>
      </c>
      <c r="AC44" s="7">
        <v>2.433163E-2</v>
      </c>
    </row>
    <row r="45" spans="1:29" x14ac:dyDescent="0.85">
      <c r="A45" t="s">
        <v>143</v>
      </c>
      <c r="B45" s="7">
        <v>2956.4272750199998</v>
      </c>
      <c r="C45" s="7">
        <v>2882.5282855400001</v>
      </c>
      <c r="D45" s="7">
        <v>2810.465087</v>
      </c>
      <c r="E45" s="7">
        <v>2740.20346475</v>
      </c>
      <c r="F45" s="7">
        <v>2671.7191215299999</v>
      </c>
      <c r="G45" s="7">
        <v>2604.92614349</v>
      </c>
      <c r="H45" s="7">
        <v>2539.8029898999998</v>
      </c>
      <c r="I45" s="7">
        <v>2476.30791516</v>
      </c>
      <c r="J45" s="7">
        <v>2414.4002189500002</v>
      </c>
      <c r="K45" s="7">
        <v>2354.0402134800001</v>
      </c>
      <c r="L45" s="7">
        <v>2295.1892194100001</v>
      </c>
      <c r="M45" s="7">
        <v>2237.8094889200001</v>
      </c>
      <c r="N45" s="7">
        <v>2181.8642571199998</v>
      </c>
      <c r="O45" s="7">
        <v>2127.3176506899999</v>
      </c>
      <c r="P45" s="7">
        <v>2074.1347094299999</v>
      </c>
      <c r="Q45" s="7">
        <v>2022.2813416900001</v>
      </c>
      <c r="R45" s="7">
        <v>1971.72430994</v>
      </c>
      <c r="S45" s="7">
        <v>1922.43120219</v>
      </c>
      <c r="T45" s="7">
        <v>1874.37042698</v>
      </c>
      <c r="U45" s="7">
        <v>1827.5111663099999</v>
      </c>
      <c r="V45" s="7">
        <v>1781.8233871499999</v>
      </c>
      <c r="W45" s="7">
        <v>1737.2778024700001</v>
      </c>
      <c r="X45" s="7">
        <v>1693.84585741</v>
      </c>
      <c r="Y45" s="7">
        <v>1652.11204144</v>
      </c>
      <c r="Z45" s="7">
        <v>1610.9267161099999</v>
      </c>
      <c r="AA45" s="7">
        <v>1570.6535509299999</v>
      </c>
      <c r="AB45" s="7">
        <v>1531.3872121500001</v>
      </c>
      <c r="AC45" s="7">
        <v>1493.1025318500001</v>
      </c>
    </row>
    <row r="46" spans="1:29" x14ac:dyDescent="0.85">
      <c r="A46" t="s">
        <v>144</v>
      </c>
      <c r="B46" s="7">
        <v>162.36196962</v>
      </c>
      <c r="C46" s="7">
        <v>158.30356251000001</v>
      </c>
      <c r="D46" s="7">
        <v>154.34597392000001</v>
      </c>
      <c r="E46" s="7">
        <v>150.48732484000001</v>
      </c>
      <c r="F46" s="7">
        <v>146.72628091000001</v>
      </c>
      <c r="G46" s="7">
        <v>143.05811273</v>
      </c>
      <c r="H46" s="7">
        <v>139.48165911000001</v>
      </c>
      <c r="I46" s="7">
        <v>135.99461721</v>
      </c>
      <c r="J46" s="7">
        <v>132.59475187999999</v>
      </c>
      <c r="K46" s="7">
        <v>129.27988289999999</v>
      </c>
      <c r="L46" s="7">
        <v>126.04788644999999</v>
      </c>
      <c r="M46" s="7">
        <v>122.89668924</v>
      </c>
      <c r="N46" s="7">
        <v>119.8242723</v>
      </c>
      <c r="O46" s="7">
        <v>116.82866493</v>
      </c>
      <c r="P46" s="7">
        <v>113.90646515</v>
      </c>
      <c r="Q46" s="7">
        <v>111.05880351</v>
      </c>
      <c r="R46" s="7">
        <v>108.28233351999999</v>
      </c>
      <c r="S46" s="7">
        <v>105.57527501</v>
      </c>
      <c r="T46" s="7">
        <v>102.93589341000001</v>
      </c>
      <c r="U46" s="7">
        <v>100.36249567</v>
      </c>
      <c r="V46" s="7">
        <v>97.853430099999997</v>
      </c>
      <c r="W46" s="7">
        <v>95.407094279999995</v>
      </c>
      <c r="X46" s="7">
        <v>93.021916840000003</v>
      </c>
      <c r="Y46" s="7">
        <v>90.729996630000002</v>
      </c>
      <c r="Z46" s="7">
        <v>88.468198200000003</v>
      </c>
      <c r="AA46" s="7">
        <v>86.256493390000003</v>
      </c>
      <c r="AB46" s="7">
        <v>84.100080809999994</v>
      </c>
      <c r="AC46" s="7">
        <v>81.997578779999998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1.00000406</v>
      </c>
      <c r="E47" s="7">
        <v>1</v>
      </c>
      <c r="F47" s="7">
        <v>1</v>
      </c>
      <c r="G47" s="7">
        <v>1.0000077599999999</v>
      </c>
      <c r="H47" s="7">
        <v>0.99999992000000004</v>
      </c>
      <c r="I47" s="7">
        <v>0.99999998999999995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0.99998697999999997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0.99999996999999996</v>
      </c>
      <c r="X47" s="7">
        <v>1</v>
      </c>
      <c r="Y47" s="7">
        <v>1</v>
      </c>
      <c r="Z47" s="7">
        <v>1.00037077</v>
      </c>
      <c r="AA47" s="7">
        <v>1.00007293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1.00000406</v>
      </c>
      <c r="D48" s="7">
        <v>1</v>
      </c>
      <c r="E48" s="7">
        <v>1</v>
      </c>
      <c r="F48" s="7">
        <v>1.0000077599999999</v>
      </c>
      <c r="G48" s="7">
        <v>0.99999992000000004</v>
      </c>
      <c r="H48" s="7">
        <v>0.99999998999999995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0.99998697999999997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0.99999996999999996</v>
      </c>
      <c r="W48" s="7">
        <v>1</v>
      </c>
      <c r="X48" s="7">
        <v>1</v>
      </c>
      <c r="Y48" s="7">
        <v>1.00037077</v>
      </c>
      <c r="Z48" s="7">
        <v>1.00007293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1.8157715000000001</v>
      </c>
      <c r="E49" s="7">
        <v>1.8902819900000001</v>
      </c>
      <c r="F49" s="7">
        <v>1.97196299</v>
      </c>
      <c r="G49" s="7">
        <v>2.0614918499999999</v>
      </c>
      <c r="H49" s="7">
        <v>2.1596398899999998</v>
      </c>
      <c r="I49" s="7">
        <v>2.2672290199999998</v>
      </c>
      <c r="J49" s="7">
        <v>2.34034071</v>
      </c>
      <c r="K49" s="7">
        <v>2.4182439200000001</v>
      </c>
      <c r="L49" s="7">
        <v>2.50180354</v>
      </c>
      <c r="M49" s="7">
        <v>2.5901034300000001</v>
      </c>
      <c r="N49" s="7">
        <v>2.6815179599999999</v>
      </c>
      <c r="O49" s="7">
        <v>2.7822561100000001</v>
      </c>
      <c r="P49" s="7">
        <v>2.8538462</v>
      </c>
      <c r="Q49" s="7">
        <v>2.9379240000000002</v>
      </c>
      <c r="R49" s="7">
        <v>3.02914993</v>
      </c>
      <c r="S49" s="7">
        <v>3.1246201</v>
      </c>
      <c r="T49" s="7">
        <v>3.2356387</v>
      </c>
      <c r="U49" s="7">
        <v>3.3272215900000002</v>
      </c>
      <c r="V49" s="7">
        <v>3.4575223199999998</v>
      </c>
      <c r="W49" s="7">
        <v>3.5903744799999999</v>
      </c>
      <c r="X49" s="7">
        <v>3.7301237399999998</v>
      </c>
      <c r="Y49" s="7">
        <v>3.8771054999999999</v>
      </c>
      <c r="Z49" s="7">
        <v>3.9975439599999998</v>
      </c>
      <c r="AA49" s="7">
        <v>4.0841682800000001</v>
      </c>
      <c r="AB49" s="7">
        <v>4.2119317199999999</v>
      </c>
      <c r="AC49" s="7">
        <v>4.3493300399999999</v>
      </c>
    </row>
    <row r="50" spans="1:29" x14ac:dyDescent="0.85">
      <c r="A50" t="s">
        <v>148</v>
      </c>
      <c r="B50" s="7">
        <v>24168</v>
      </c>
      <c r="C50" s="7">
        <v>27057.09667553</v>
      </c>
      <c r="D50" s="7">
        <v>30109.71443018</v>
      </c>
      <c r="E50" s="7">
        <v>33339.021596339997</v>
      </c>
      <c r="F50" s="7">
        <v>36757.592049680003</v>
      </c>
      <c r="G50" s="7">
        <v>40379.343307130002</v>
      </c>
      <c r="H50" s="7">
        <v>44219.127234439999</v>
      </c>
      <c r="I50" s="7">
        <v>44560.67183159</v>
      </c>
      <c r="J50" s="7">
        <v>44961.991378229999</v>
      </c>
      <c r="K50" s="7">
        <v>45467.58236552</v>
      </c>
      <c r="L50" s="7">
        <v>45976.826261210001</v>
      </c>
      <c r="M50" s="7">
        <v>46511.188740520003</v>
      </c>
      <c r="N50" s="7">
        <v>47194.425405529997</v>
      </c>
      <c r="O50" s="7">
        <v>47977.693767739998</v>
      </c>
      <c r="P50" s="7">
        <v>48657.490236930003</v>
      </c>
      <c r="Q50" s="7">
        <v>49436.768269749999</v>
      </c>
      <c r="R50" s="7">
        <v>50230.867494719998</v>
      </c>
      <c r="S50" s="7">
        <v>50920.838905390003</v>
      </c>
      <c r="T50" s="7">
        <v>51882.949024419999</v>
      </c>
      <c r="U50" s="7">
        <v>52554.803179310002</v>
      </c>
      <c r="V50" s="7">
        <v>53378.558400269998</v>
      </c>
      <c r="W50" s="7">
        <v>54213.1361406</v>
      </c>
      <c r="X50" s="7">
        <v>55057.778371890003</v>
      </c>
      <c r="Y50" s="7">
        <v>56415.683228690003</v>
      </c>
      <c r="Z50" s="7">
        <v>57963.294951969998</v>
      </c>
      <c r="AA50" s="7">
        <v>59309.647510490002</v>
      </c>
      <c r="AB50" s="7">
        <v>60643.597485869999</v>
      </c>
      <c r="AC50" s="7">
        <v>61995.991767339998</v>
      </c>
    </row>
    <row r="51" spans="1:29" x14ac:dyDescent="0.85">
      <c r="A51" t="s">
        <v>149</v>
      </c>
      <c r="B51" s="7">
        <v>65040939.5</v>
      </c>
      <c r="C51" s="7">
        <v>77734581.318654805</v>
      </c>
      <c r="D51" s="7">
        <v>91049422.110584095</v>
      </c>
      <c r="E51" s="7">
        <v>102606159.420775</v>
      </c>
      <c r="F51" s="7">
        <v>113944406.72622199</v>
      </c>
      <c r="G51" s="7">
        <v>127178013.14935</v>
      </c>
      <c r="H51" s="7">
        <v>137930961.06644201</v>
      </c>
      <c r="I51" s="7">
        <v>133658028.225219</v>
      </c>
      <c r="J51" s="7">
        <v>129437784.408994</v>
      </c>
      <c r="K51" s="7">
        <v>125333686.898039</v>
      </c>
      <c r="L51" s="7">
        <v>121380183.72236</v>
      </c>
      <c r="M51" s="7">
        <v>117852678.967363</v>
      </c>
      <c r="N51" s="7">
        <v>114244260.55901299</v>
      </c>
      <c r="O51" s="7">
        <v>114676345.821615</v>
      </c>
      <c r="P51" s="7">
        <v>114162978.15227</v>
      </c>
      <c r="Q51" s="7">
        <v>113634405.941361</v>
      </c>
      <c r="R51" s="7">
        <v>113265349.411346</v>
      </c>
      <c r="S51" s="7">
        <v>111846041.823277</v>
      </c>
      <c r="T51" s="7">
        <v>113164594.975162</v>
      </c>
      <c r="U51" s="7">
        <v>111184961.512648</v>
      </c>
      <c r="V51" s="7">
        <v>109860864.99606</v>
      </c>
      <c r="W51" s="7">
        <v>108626073.592519</v>
      </c>
      <c r="X51" s="7">
        <v>107480884.161541</v>
      </c>
      <c r="Y51" s="7">
        <v>109396802.164269</v>
      </c>
      <c r="Z51" s="7">
        <v>117431907.161902</v>
      </c>
      <c r="AA51" s="7">
        <v>120745852.161926</v>
      </c>
      <c r="AB51" s="7">
        <v>123643384.25059099</v>
      </c>
      <c r="AC51" s="7">
        <v>126501868.298687</v>
      </c>
    </row>
    <row r="52" spans="1:29" x14ac:dyDescent="0.85">
      <c r="A52" t="s">
        <v>150</v>
      </c>
      <c r="B52" s="7">
        <v>65040939.5</v>
      </c>
      <c r="C52" s="7">
        <v>77734581.318654805</v>
      </c>
      <c r="D52" s="7">
        <v>91049422.110584095</v>
      </c>
      <c r="E52" s="7">
        <v>102606159.420775</v>
      </c>
      <c r="F52" s="7">
        <v>113944406.72622199</v>
      </c>
      <c r="G52" s="7">
        <v>127178013.14935</v>
      </c>
      <c r="H52" s="7">
        <v>137930961.06644201</v>
      </c>
      <c r="I52" s="7">
        <v>133658028.225219</v>
      </c>
      <c r="J52" s="7">
        <v>129437784.408994</v>
      </c>
      <c r="K52" s="7">
        <v>125333686.898039</v>
      </c>
      <c r="L52" s="7">
        <v>121380183.72236</v>
      </c>
      <c r="M52" s="7">
        <v>117852678.967363</v>
      </c>
      <c r="N52" s="7">
        <v>114244260.55901299</v>
      </c>
      <c r="O52" s="7">
        <v>114676345.821615</v>
      </c>
      <c r="P52" s="7">
        <v>114162978.15227</v>
      </c>
      <c r="Q52" s="7">
        <v>113634405.941361</v>
      </c>
      <c r="R52" s="7">
        <v>113265349.411346</v>
      </c>
      <c r="S52" s="7">
        <v>111846041.823277</v>
      </c>
      <c r="T52" s="7">
        <v>113164594.975162</v>
      </c>
      <c r="U52" s="7">
        <v>111184961.512648</v>
      </c>
      <c r="V52" s="7">
        <v>109860864.99606</v>
      </c>
      <c r="W52" s="7">
        <v>108626073.592519</v>
      </c>
      <c r="X52" s="7">
        <v>107480884.161541</v>
      </c>
      <c r="Y52" s="7">
        <v>109396802.164269</v>
      </c>
      <c r="Z52" s="7">
        <v>117431907.161902</v>
      </c>
      <c r="AA52" s="7">
        <v>120745852.161926</v>
      </c>
      <c r="AB52" s="7">
        <v>123643384.25059099</v>
      </c>
      <c r="AC52" s="7">
        <v>126501868.298687</v>
      </c>
    </row>
    <row r="53" spans="1:29" x14ac:dyDescent="0.85">
      <c r="A53" t="s">
        <v>151</v>
      </c>
      <c r="B53" s="7">
        <v>6170.1694934500001</v>
      </c>
      <c r="C53" s="7">
        <v>7027.7767957400001</v>
      </c>
      <c r="D53" s="7">
        <v>7931.55115922</v>
      </c>
      <c r="E53" s="7">
        <v>8825.9348198700009</v>
      </c>
      <c r="F53" s="7">
        <v>9750.8788308599997</v>
      </c>
      <c r="G53" s="7">
        <v>10760.60040048</v>
      </c>
      <c r="H53" s="7">
        <v>11751.141176450001</v>
      </c>
      <c r="I53" s="7">
        <v>11711.651440760001</v>
      </c>
      <c r="J53" s="7">
        <v>11684.78291763</v>
      </c>
      <c r="K53" s="7">
        <v>11680.522189159999</v>
      </c>
      <c r="L53" s="7">
        <v>11680.628692619999</v>
      </c>
      <c r="M53" s="7">
        <v>11695.89299486</v>
      </c>
      <c r="N53" s="7">
        <v>11737.415203009999</v>
      </c>
      <c r="O53" s="7">
        <v>11896.49550918</v>
      </c>
      <c r="P53" s="7">
        <v>12012.88456359</v>
      </c>
      <c r="Q53" s="7">
        <v>12147.76810942</v>
      </c>
      <c r="R53" s="7">
        <v>12289.354498729999</v>
      </c>
      <c r="S53" s="7">
        <v>12385.568174419999</v>
      </c>
      <c r="T53" s="7">
        <v>12600.193485620001</v>
      </c>
      <c r="U53" s="7">
        <v>12679.29949028</v>
      </c>
      <c r="V53" s="7">
        <v>12803.20680693</v>
      </c>
      <c r="W53" s="7">
        <v>12931.345528989999</v>
      </c>
      <c r="X53" s="7">
        <v>13063.579148860001</v>
      </c>
      <c r="Y53" s="7">
        <v>13367.837874839999</v>
      </c>
      <c r="Z53" s="7">
        <v>13857.380389419999</v>
      </c>
      <c r="AA53" s="7">
        <v>14193.56021969</v>
      </c>
      <c r="AB53" s="7">
        <v>14517.22757418</v>
      </c>
      <c r="AC53" s="7">
        <v>14843.43989732</v>
      </c>
    </row>
    <row r="54" spans="1:29" x14ac:dyDescent="0.85">
      <c r="A54" t="s">
        <v>152</v>
      </c>
      <c r="B54" s="7">
        <v>0</v>
      </c>
      <c r="C54" s="7">
        <v>7617.9889692300003</v>
      </c>
      <c r="D54" s="7">
        <v>8922.8433668399994</v>
      </c>
      <c r="E54" s="7">
        <v>10055.403623239999</v>
      </c>
      <c r="F54" s="7">
        <v>11166.55185917</v>
      </c>
      <c r="G54" s="7">
        <v>12463.445288639999</v>
      </c>
      <c r="H54" s="7">
        <v>13517.23418451</v>
      </c>
      <c r="I54" s="7">
        <v>13098.48676607</v>
      </c>
      <c r="J54" s="7">
        <v>12684.90287208</v>
      </c>
      <c r="K54" s="7">
        <v>12282.70131601</v>
      </c>
      <c r="L54" s="7">
        <v>11895.258004789999</v>
      </c>
      <c r="M54" s="7">
        <v>11549.562538800001</v>
      </c>
      <c r="N54" s="7">
        <v>11195.93753478</v>
      </c>
      <c r="O54" s="7">
        <v>11238.28189052</v>
      </c>
      <c r="P54" s="7">
        <v>11187.97185892</v>
      </c>
      <c r="Q54" s="7">
        <v>11136.17178225</v>
      </c>
      <c r="R54" s="7">
        <v>11100.00424231</v>
      </c>
      <c r="S54" s="7">
        <v>10960.912098680001</v>
      </c>
      <c r="T54" s="7">
        <v>11090.13030757</v>
      </c>
      <c r="U54" s="7">
        <v>10896.12622824</v>
      </c>
      <c r="V54" s="7">
        <v>10766.36476961</v>
      </c>
      <c r="W54" s="7">
        <v>10645.355212070001</v>
      </c>
      <c r="X54" s="7">
        <v>10533.12664783</v>
      </c>
      <c r="Y54" s="7">
        <v>10720.886612099999</v>
      </c>
      <c r="Z54" s="7">
        <v>11508.326901869999</v>
      </c>
      <c r="AA54" s="7">
        <v>11833.09351187</v>
      </c>
      <c r="AB54" s="7">
        <v>12117.051656559999</v>
      </c>
      <c r="AC54" s="7">
        <v>12397.18309327</v>
      </c>
    </row>
    <row r="55" spans="1:29" x14ac:dyDescent="0.85">
      <c r="A55" t="s">
        <v>153</v>
      </c>
      <c r="B55" s="7">
        <v>31.870060349999999</v>
      </c>
      <c r="C55" s="7">
        <v>38.089944850000002</v>
      </c>
      <c r="D55" s="7">
        <v>44.614216829999997</v>
      </c>
      <c r="E55" s="7">
        <v>50.277018120000001</v>
      </c>
      <c r="F55" s="7">
        <v>55.832759299999999</v>
      </c>
      <c r="G55" s="7">
        <v>62.317226439999999</v>
      </c>
      <c r="H55" s="7">
        <v>67.586170920000001</v>
      </c>
      <c r="I55" s="7">
        <v>65.492433829999996</v>
      </c>
      <c r="J55" s="7">
        <v>63.424514360000003</v>
      </c>
      <c r="K55" s="7">
        <v>61.413506580000004</v>
      </c>
      <c r="L55" s="7">
        <v>59.47629002</v>
      </c>
      <c r="M55" s="7">
        <v>57.747812690000003</v>
      </c>
      <c r="N55" s="7">
        <v>55.979687669999997</v>
      </c>
      <c r="O55" s="7">
        <v>56.191409450000002</v>
      </c>
      <c r="P55" s="7">
        <v>55.939859290000001</v>
      </c>
      <c r="Q55" s="7">
        <v>55.680858909999998</v>
      </c>
      <c r="R55" s="7">
        <v>55.50002121</v>
      </c>
      <c r="S55" s="7">
        <v>54.80456049</v>
      </c>
      <c r="T55" s="7">
        <v>55.450651540000003</v>
      </c>
      <c r="U55" s="7">
        <v>54.48063114</v>
      </c>
      <c r="V55" s="7">
        <v>53.831823849999999</v>
      </c>
      <c r="W55" s="7">
        <v>53.226776059999999</v>
      </c>
      <c r="X55" s="7">
        <v>52.665633239999998</v>
      </c>
      <c r="Y55" s="7">
        <v>53.604433059999998</v>
      </c>
      <c r="Z55" s="7">
        <v>57.541634510000002</v>
      </c>
      <c r="AA55" s="7">
        <v>59.165467560000003</v>
      </c>
      <c r="AB55" s="7">
        <v>60.585258279999998</v>
      </c>
      <c r="AC55" s="7">
        <v>61.985915470000002</v>
      </c>
    </row>
    <row r="56" spans="1:29" x14ac:dyDescent="0.85">
      <c r="A56" t="s">
        <v>154</v>
      </c>
      <c r="B56" s="7">
        <v>4583.1705696500003</v>
      </c>
      <c r="C56" s="7">
        <v>5131.0530115600004</v>
      </c>
      <c r="D56" s="7">
        <v>5709.9452597199997</v>
      </c>
      <c r="E56" s="7">
        <v>6322.3445300100002</v>
      </c>
      <c r="F56" s="7">
        <v>6970.6353067399996</v>
      </c>
      <c r="G56" s="7">
        <v>7657.45687963</v>
      </c>
      <c r="H56" s="7">
        <v>8385.6257264300002</v>
      </c>
      <c r="I56" s="7">
        <v>8450.3955520700001</v>
      </c>
      <c r="J56" s="7">
        <v>8526.5009780500004</v>
      </c>
      <c r="K56" s="7">
        <v>8622.3802288400002</v>
      </c>
      <c r="L56" s="7">
        <v>8718.9522097900008</v>
      </c>
      <c r="M56" s="7">
        <v>8820.2876280599994</v>
      </c>
      <c r="N56" s="7">
        <v>8949.8552453699995</v>
      </c>
      <c r="O56" s="7">
        <v>9098.3926711299991</v>
      </c>
      <c r="P56" s="7">
        <v>9227.3078966800003</v>
      </c>
      <c r="Q56" s="7">
        <v>9375.0886044500003</v>
      </c>
      <c r="R56" s="7">
        <v>9525.6799730900002</v>
      </c>
      <c r="S56" s="7">
        <v>9656.5247539299999</v>
      </c>
      <c r="T56" s="7">
        <v>9838.9773682300001</v>
      </c>
      <c r="U56" s="7">
        <v>9966.3864293700008</v>
      </c>
      <c r="V56" s="7">
        <v>10122.601701019999</v>
      </c>
      <c r="W56" s="7">
        <v>10280.86933333</v>
      </c>
      <c r="X56" s="7">
        <v>10441.04557532</v>
      </c>
      <c r="Y56" s="7">
        <v>10698.555902030001</v>
      </c>
      <c r="Z56" s="7">
        <v>10992.04185467</v>
      </c>
      <c r="AA56" s="7">
        <v>11247.36142694</v>
      </c>
      <c r="AB56" s="7">
        <v>11500.32899846</v>
      </c>
      <c r="AC56" s="7">
        <v>11756.794310830001</v>
      </c>
    </row>
    <row r="57" spans="1:29" x14ac:dyDescent="0.85">
      <c r="A57" t="s">
        <v>155</v>
      </c>
      <c r="B57" s="7">
        <v>1586.9989238000001</v>
      </c>
      <c r="C57" s="7">
        <v>1896.7237841799999</v>
      </c>
      <c r="D57" s="7">
        <v>2221.6058994999999</v>
      </c>
      <c r="E57" s="7">
        <v>2503.5902898700001</v>
      </c>
      <c r="F57" s="7">
        <v>2780.2435241200001</v>
      </c>
      <c r="G57" s="7">
        <v>3103.1435208399998</v>
      </c>
      <c r="H57" s="7">
        <v>3365.5154500200001</v>
      </c>
      <c r="I57" s="7">
        <v>3261.2558887</v>
      </c>
      <c r="J57" s="7">
        <v>3158.2819395800002</v>
      </c>
      <c r="K57" s="7">
        <v>3058.1419603099998</v>
      </c>
      <c r="L57" s="7">
        <v>2961.6764828300002</v>
      </c>
      <c r="M57" s="7">
        <v>2875.6053668</v>
      </c>
      <c r="N57" s="7">
        <v>2787.55995764</v>
      </c>
      <c r="O57" s="7">
        <v>2798.1028380500002</v>
      </c>
      <c r="P57" s="7">
        <v>2785.5766669200002</v>
      </c>
      <c r="Q57" s="7">
        <v>2772.6795049699999</v>
      </c>
      <c r="R57" s="7">
        <v>2763.67452564</v>
      </c>
      <c r="S57" s="7">
        <v>2729.0434204899998</v>
      </c>
      <c r="T57" s="7">
        <v>2761.2161173899999</v>
      </c>
      <c r="U57" s="7">
        <v>2712.9130609099998</v>
      </c>
      <c r="V57" s="7">
        <v>2680.6051059000001</v>
      </c>
      <c r="W57" s="7">
        <v>2650.47619566</v>
      </c>
      <c r="X57" s="7">
        <v>2622.5335735399999</v>
      </c>
      <c r="Y57" s="7">
        <v>2669.2819728099998</v>
      </c>
      <c r="Z57" s="7">
        <v>2865.3385347499998</v>
      </c>
      <c r="AA57" s="7">
        <v>2946.1987927499999</v>
      </c>
      <c r="AB57" s="7">
        <v>3016.8985757099999</v>
      </c>
      <c r="AC57" s="7">
        <v>3086.6455864899999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1.15919733</v>
      </c>
      <c r="E58" s="7">
        <v>1.1533768099999999</v>
      </c>
      <c r="F58" s="7">
        <v>1.14846877</v>
      </c>
      <c r="G58" s="7">
        <v>1.14429281</v>
      </c>
      <c r="H58" s="7">
        <v>1.1407116399999999</v>
      </c>
      <c r="I58" s="7">
        <v>1.1376198099999999</v>
      </c>
      <c r="J58" s="7">
        <v>1.0497124099999999</v>
      </c>
      <c r="K58" s="7">
        <v>1.0510480600000001</v>
      </c>
      <c r="L58" s="7">
        <v>1.0533800600000001</v>
      </c>
      <c r="M58" s="7">
        <v>1.05333349</v>
      </c>
      <c r="N58" s="7">
        <v>1.05377337</v>
      </c>
      <c r="O58" s="7">
        <v>1.0569684699999999</v>
      </c>
      <c r="P58" s="7">
        <v>1.0589548200000001</v>
      </c>
      <c r="Q58" s="7">
        <v>1.05642605</v>
      </c>
      <c r="R58" s="7">
        <v>1.0583495599999999</v>
      </c>
      <c r="S58" s="7">
        <v>1.0583988799999999</v>
      </c>
      <c r="T58" s="7">
        <v>1.0559750000000001</v>
      </c>
      <c r="U58" s="7">
        <v>1.0613481600000001</v>
      </c>
      <c r="V58" s="7">
        <v>1.0551556499999999</v>
      </c>
      <c r="W58" s="7">
        <v>1.0579939700000001</v>
      </c>
      <c r="X58" s="7">
        <v>1.0579532</v>
      </c>
      <c r="Y58" s="7">
        <v>1.0578958599999999</v>
      </c>
      <c r="Z58" s="7">
        <v>1.06735757</v>
      </c>
      <c r="AA58" s="7">
        <v>1.07024198</v>
      </c>
      <c r="AB58" s="7">
        <v>1.06586216</v>
      </c>
      <c r="AC58" s="7">
        <v>1.0650950800000001</v>
      </c>
    </row>
    <row r="59" spans="1:29" x14ac:dyDescent="0.85">
      <c r="A59" t="s">
        <v>157</v>
      </c>
      <c r="B59" s="7">
        <v>1</v>
      </c>
      <c r="C59" s="7">
        <v>1.16618983</v>
      </c>
      <c r="D59" s="7">
        <v>1.15918889</v>
      </c>
      <c r="E59" s="7">
        <v>1.15338681</v>
      </c>
      <c r="F59" s="7">
        <v>1.1484787700000001</v>
      </c>
      <c r="G59" s="7">
        <v>1.1443028099999999</v>
      </c>
      <c r="H59" s="7">
        <v>1.14072164</v>
      </c>
      <c r="I59" s="7">
        <v>1.0497124099999999</v>
      </c>
      <c r="J59" s="7">
        <v>1.0510480600000001</v>
      </c>
      <c r="K59" s="7">
        <v>1.0533800600000001</v>
      </c>
      <c r="L59" s="7">
        <v>1.05333349</v>
      </c>
      <c r="M59" s="7">
        <v>1.05377337</v>
      </c>
      <c r="N59" s="7">
        <v>1.0569684699999999</v>
      </c>
      <c r="O59" s="7">
        <v>1.0589548200000001</v>
      </c>
      <c r="P59" s="7">
        <v>1.05642605</v>
      </c>
      <c r="Q59" s="7">
        <v>1.0583495599999999</v>
      </c>
      <c r="R59" s="7">
        <v>1.0583988799999999</v>
      </c>
      <c r="S59" s="7">
        <v>1.0559750000000001</v>
      </c>
      <c r="T59" s="7">
        <v>1.0613481600000001</v>
      </c>
      <c r="U59" s="7">
        <v>1.0551556499999999</v>
      </c>
      <c r="V59" s="7">
        <v>1.0579939700000001</v>
      </c>
      <c r="W59" s="7">
        <v>1.0579532</v>
      </c>
      <c r="X59" s="7">
        <v>1.0578958599999999</v>
      </c>
      <c r="Y59" s="7">
        <v>1.06735757</v>
      </c>
      <c r="Z59" s="7">
        <v>1.07024198</v>
      </c>
      <c r="AA59" s="7">
        <v>1.06586216</v>
      </c>
      <c r="AB59" s="7">
        <v>1.0650950800000001</v>
      </c>
      <c r="AC59" s="7">
        <v>1.06489656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1.1592073300000001</v>
      </c>
      <c r="E60" s="7">
        <v>1.15338681</v>
      </c>
      <c r="F60" s="7">
        <v>1.1484787700000001</v>
      </c>
      <c r="G60" s="7">
        <v>1.1443028099999999</v>
      </c>
      <c r="H60" s="7">
        <v>1.14072164</v>
      </c>
      <c r="I60" s="7">
        <v>1.13762981</v>
      </c>
      <c r="J60" s="7">
        <v>1.1404814700000001</v>
      </c>
      <c r="K60" s="7">
        <v>1.1432900399999999</v>
      </c>
      <c r="L60" s="7">
        <v>1.14597489</v>
      </c>
      <c r="M60" s="7">
        <v>1.1487031299999999</v>
      </c>
      <c r="N60" s="7">
        <v>1.15126594</v>
      </c>
      <c r="O60" s="7">
        <v>1.15377883</v>
      </c>
      <c r="P60" s="7">
        <v>1.1535172</v>
      </c>
      <c r="Q60" s="7">
        <v>1.15424558</v>
      </c>
      <c r="R60" s="7">
        <v>1.15495382</v>
      </c>
      <c r="S60" s="7">
        <v>1.1556533600000001</v>
      </c>
      <c r="T60" s="7">
        <v>1.15735217</v>
      </c>
      <c r="U60" s="7">
        <v>1.1568678400000001</v>
      </c>
      <c r="V60" s="7">
        <v>1.15918023</v>
      </c>
      <c r="W60" s="7">
        <v>1.1608885</v>
      </c>
      <c r="X60" s="7">
        <v>1.1626051399999999</v>
      </c>
      <c r="Y60" s="7">
        <v>1.16433206</v>
      </c>
      <c r="Z60" s="7">
        <v>1.16317895</v>
      </c>
      <c r="AA60" s="7">
        <v>1.15983525</v>
      </c>
      <c r="AB60" s="7">
        <v>1.1588001699999999</v>
      </c>
      <c r="AC60" s="7">
        <v>1.1580505800000001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20782.563750000001</v>
      </c>
      <c r="E61" s="7">
        <v>20262.999656249998</v>
      </c>
      <c r="F61" s="7">
        <v>19756.42466484</v>
      </c>
      <c r="G61" s="7">
        <v>19262.51404822</v>
      </c>
      <c r="H61" s="7">
        <v>18780.95119702</v>
      </c>
      <c r="I61" s="7">
        <v>18311.427417089999</v>
      </c>
      <c r="J61" s="7">
        <v>17853.641731659998</v>
      </c>
      <c r="K61" s="7">
        <v>17407.30068837</v>
      </c>
      <c r="L61" s="7">
        <v>16972.11817116</v>
      </c>
      <c r="M61" s="7">
        <v>16547.815216880001</v>
      </c>
      <c r="N61" s="7">
        <v>16134.11983646</v>
      </c>
      <c r="O61" s="7">
        <v>15730.766840550001</v>
      </c>
      <c r="P61" s="7">
        <v>15337.49766954</v>
      </c>
      <c r="Q61" s="7">
        <v>14954.060227800001</v>
      </c>
      <c r="R61" s="7">
        <v>14580.2087221</v>
      </c>
      <c r="S61" s="7">
        <v>14215.70350405</v>
      </c>
      <c r="T61" s="7">
        <v>13860.31091645</v>
      </c>
      <c r="U61" s="7">
        <v>13513.803143540001</v>
      </c>
      <c r="V61" s="7">
        <v>13175.95806495</v>
      </c>
      <c r="W61" s="7">
        <v>12846.55911333</v>
      </c>
      <c r="X61" s="7">
        <v>12525.39513549</v>
      </c>
      <c r="Y61" s="7">
        <v>12212.26025711</v>
      </c>
      <c r="Z61" s="7">
        <v>11906.953750680001</v>
      </c>
      <c r="AA61" s="7">
        <v>11609.27990691</v>
      </c>
      <c r="AB61" s="7">
        <v>11319.04790924</v>
      </c>
      <c r="AC61" s="7">
        <v>11036.07171151</v>
      </c>
    </row>
    <row r="62" spans="1:29" x14ac:dyDescent="0.85">
      <c r="A62" t="s">
        <v>160</v>
      </c>
      <c r="B62" s="7">
        <v>88768710.25</v>
      </c>
      <c r="C62" s="7">
        <v>74513044.684160799</v>
      </c>
      <c r="D62" s="7">
        <v>59244993.2262353</v>
      </c>
      <c r="E62" s="7">
        <v>45311961.804539002</v>
      </c>
      <c r="F62" s="7">
        <v>31140282.999536902</v>
      </c>
      <c r="G62" s="7">
        <v>14584378.1037593</v>
      </c>
      <c r="H62" s="7">
        <v>8.9604000000000003E-3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88768710.25</v>
      </c>
      <c r="C63" s="7">
        <v>74513044.684160799</v>
      </c>
      <c r="D63" s="7">
        <v>59244993.2262353</v>
      </c>
      <c r="E63" s="7">
        <v>45312186.838914402</v>
      </c>
      <c r="F63" s="7">
        <v>31140934.610732399</v>
      </c>
      <c r="G63" s="7">
        <v>14585628.631899901</v>
      </c>
      <c r="H63" s="7">
        <v>8.9632400000000008E-3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15152.295931410001</v>
      </c>
      <c r="C64" s="7">
        <v>14493.280028110001</v>
      </c>
      <c r="D64" s="7">
        <v>13818.87438148</v>
      </c>
      <c r="E64" s="7">
        <v>13183.5273753</v>
      </c>
      <c r="F64" s="7">
        <v>12550.404131789999</v>
      </c>
      <c r="G64" s="7">
        <v>11869.36052925</v>
      </c>
      <c r="H64" s="7">
        <v>11241.561917540001</v>
      </c>
      <c r="I64" s="7">
        <v>10960.5228694</v>
      </c>
      <c r="J64" s="7">
        <v>10686.509797659999</v>
      </c>
      <c r="K64" s="7">
        <v>10419.347052720001</v>
      </c>
      <c r="L64" s="7">
        <v>10158.863376400001</v>
      </c>
      <c r="M64" s="7">
        <v>9904.8917919899995</v>
      </c>
      <c r="N64" s="7">
        <v>9657.26949719</v>
      </c>
      <c r="O64" s="7">
        <v>9415.8377597599992</v>
      </c>
      <c r="P64" s="7">
        <v>9180.4418157700002</v>
      </c>
      <c r="Q64" s="7">
        <v>8950.9307703699997</v>
      </c>
      <c r="R64" s="7">
        <v>8727.1575011099994</v>
      </c>
      <c r="S64" s="7">
        <v>8508.9785635900007</v>
      </c>
      <c r="T64" s="7">
        <v>8296.2540994999999</v>
      </c>
      <c r="U64" s="7">
        <v>8088.8477470099997</v>
      </c>
      <c r="V64" s="7">
        <v>7886.6265533300002</v>
      </c>
      <c r="W64" s="7">
        <v>7689.4608895000001</v>
      </c>
      <c r="X64" s="7">
        <v>7497.2243672599998</v>
      </c>
      <c r="Y64" s="7">
        <v>7309.7937580799999</v>
      </c>
      <c r="Z64" s="7">
        <v>7127.0489141300004</v>
      </c>
      <c r="AA64" s="7">
        <v>6948.8726912800003</v>
      </c>
      <c r="AB64" s="7">
        <v>6775.15087399</v>
      </c>
      <c r="AC64" s="7">
        <v>6605.7721021400002</v>
      </c>
    </row>
    <row r="65" spans="1:29" x14ac:dyDescent="0.85">
      <c r="A65" t="s">
        <v>163</v>
      </c>
      <c r="B65" s="7">
        <v>0</v>
      </c>
      <c r="C65" s="7">
        <v>12220.139328200001</v>
      </c>
      <c r="D65" s="7">
        <v>9716.1788890999997</v>
      </c>
      <c r="E65" s="7">
        <v>7431.1986415800002</v>
      </c>
      <c r="F65" s="7">
        <v>5107.1132761600002</v>
      </c>
      <c r="G65" s="7">
        <v>2392.0430956300002</v>
      </c>
      <c r="H65" s="7">
        <v>1.4699999999999999E-6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61.100696640000002</v>
      </c>
      <c r="D66" s="7">
        <v>48.580894450000002</v>
      </c>
      <c r="E66" s="7">
        <v>37.155993209999998</v>
      </c>
      <c r="F66" s="7">
        <v>25.535566379999999</v>
      </c>
      <c r="G66" s="7">
        <v>11.96021548</v>
      </c>
      <c r="H66" s="7">
        <v>1E-8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12439.65093917</v>
      </c>
      <c r="E67" s="7">
        <v>12128.65966569</v>
      </c>
      <c r="F67" s="7">
        <v>11825.44317405</v>
      </c>
      <c r="G67" s="7">
        <v>11529.8070947</v>
      </c>
      <c r="H67" s="7">
        <v>11241.56191733</v>
      </c>
      <c r="I67" s="7">
        <v>10960.5228694</v>
      </c>
      <c r="J67" s="7">
        <v>10686.509797659999</v>
      </c>
      <c r="K67" s="7">
        <v>10419.347052720001</v>
      </c>
      <c r="L67" s="7">
        <v>10158.863376400001</v>
      </c>
      <c r="M67" s="7">
        <v>9904.8917919899995</v>
      </c>
      <c r="N67" s="7">
        <v>9657.26949719</v>
      </c>
      <c r="O67" s="7">
        <v>9415.8377597599992</v>
      </c>
      <c r="P67" s="7">
        <v>9180.4418157700002</v>
      </c>
      <c r="Q67" s="7">
        <v>8950.9307703699997</v>
      </c>
      <c r="R67" s="7">
        <v>8727.1575011099994</v>
      </c>
      <c r="S67" s="7">
        <v>8508.9785635900007</v>
      </c>
      <c r="T67" s="7">
        <v>8296.2540994999999</v>
      </c>
      <c r="U67" s="7">
        <v>8088.8477470099997</v>
      </c>
      <c r="V67" s="7">
        <v>7886.6265533300002</v>
      </c>
      <c r="W67" s="7">
        <v>7689.4608895000001</v>
      </c>
      <c r="X67" s="7">
        <v>7497.2243672599998</v>
      </c>
      <c r="Y67" s="7">
        <v>7309.7937580799999</v>
      </c>
      <c r="Z67" s="7">
        <v>7127.0489141300004</v>
      </c>
      <c r="AA67" s="7">
        <v>6948.8726912800003</v>
      </c>
      <c r="AB67" s="7">
        <v>6775.15087399</v>
      </c>
      <c r="AC67" s="7">
        <v>6605.7721021400002</v>
      </c>
    </row>
    <row r="68" spans="1:29" x14ac:dyDescent="0.85">
      <c r="A68" t="s">
        <v>166</v>
      </c>
      <c r="B68" s="7">
        <v>2066.5355746199998</v>
      </c>
      <c r="C68" s="7">
        <v>1734.66368025</v>
      </c>
      <c r="D68" s="7">
        <v>1379.2234423100001</v>
      </c>
      <c r="E68" s="7">
        <v>1054.86770961</v>
      </c>
      <c r="F68" s="7">
        <v>724.96095774000003</v>
      </c>
      <c r="G68" s="7">
        <v>339.55343455000002</v>
      </c>
      <c r="H68" s="7">
        <v>2.1E-7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0.86092988999999998</v>
      </c>
      <c r="E69" s="7">
        <v>0.81548266000000003</v>
      </c>
      <c r="F69" s="7">
        <v>0.78443823000000001</v>
      </c>
      <c r="G69" s="7">
        <v>0.70487482999999995</v>
      </c>
      <c r="H69" s="7">
        <v>0.48038439999999999</v>
      </c>
      <c r="I69" s="7">
        <v>0</v>
      </c>
      <c r="J69" s="7">
        <v>9.9999999999999995E-8</v>
      </c>
      <c r="K69" s="7">
        <v>8.9999999999999999E-8</v>
      </c>
      <c r="L69" s="7">
        <v>7.0000000000000005E-8</v>
      </c>
      <c r="M69" s="7">
        <v>4.9999999999999998E-8</v>
      </c>
      <c r="N69" s="7">
        <v>2.2999999999999999E-7</v>
      </c>
      <c r="O69" s="7">
        <v>2.2000000000000001E-7</v>
      </c>
      <c r="P69" s="7">
        <v>2.427E-5</v>
      </c>
      <c r="Q69" s="7">
        <v>0</v>
      </c>
      <c r="R69" s="7">
        <v>3.1260000000000002E-5</v>
      </c>
      <c r="S69" s="7">
        <v>3.048E-5</v>
      </c>
      <c r="T69" s="7">
        <v>3.1940000000000003E-5</v>
      </c>
      <c r="U69" s="7">
        <v>2.5069999999999999E-5</v>
      </c>
      <c r="V69" s="7">
        <v>3.2799999999999998E-5</v>
      </c>
      <c r="W69" s="7">
        <v>5.2849999999999997E-5</v>
      </c>
      <c r="X69" s="7">
        <v>4.3069999999999999E-5</v>
      </c>
      <c r="Y69" s="7">
        <v>2.9969999999999999E-5</v>
      </c>
      <c r="Z69" s="7">
        <v>0</v>
      </c>
      <c r="AA69" s="7">
        <v>0.83973540999999996</v>
      </c>
      <c r="AB69" s="7">
        <v>0.99874839999999998</v>
      </c>
      <c r="AC69" s="7">
        <v>0.99972435999999998</v>
      </c>
    </row>
    <row r="70" spans="1:29" x14ac:dyDescent="0.85">
      <c r="A70" t="s">
        <v>168</v>
      </c>
      <c r="B70" s="7">
        <v>1</v>
      </c>
      <c r="C70" s="7">
        <v>0.86092988999999998</v>
      </c>
      <c r="D70" s="7">
        <v>0.81548266000000003</v>
      </c>
      <c r="E70" s="7">
        <v>0.78443823000000001</v>
      </c>
      <c r="F70" s="7">
        <v>0.70487482999999995</v>
      </c>
      <c r="G70" s="7">
        <v>0.48038439999999999</v>
      </c>
      <c r="H70" s="7">
        <v>0</v>
      </c>
      <c r="I70" s="7">
        <v>9.9999999999999995E-8</v>
      </c>
      <c r="J70" s="7">
        <v>8.9999999999999999E-8</v>
      </c>
      <c r="K70" s="7">
        <v>7.0000000000000005E-8</v>
      </c>
      <c r="L70" s="7">
        <v>4.9999999999999998E-8</v>
      </c>
      <c r="M70" s="7">
        <v>2.2999999999999999E-7</v>
      </c>
      <c r="N70" s="7">
        <v>2.2000000000000001E-7</v>
      </c>
      <c r="O70" s="7">
        <v>2.427E-5</v>
      </c>
      <c r="P70" s="7">
        <v>0</v>
      </c>
      <c r="Q70" s="7">
        <v>3.1260000000000002E-5</v>
      </c>
      <c r="R70" s="7">
        <v>3.048E-5</v>
      </c>
      <c r="S70" s="7">
        <v>3.1940000000000003E-5</v>
      </c>
      <c r="T70" s="7">
        <v>2.5069999999999999E-5</v>
      </c>
      <c r="U70" s="7">
        <v>3.2799999999999998E-5</v>
      </c>
      <c r="V70" s="7">
        <v>5.2849999999999997E-5</v>
      </c>
      <c r="W70" s="7">
        <v>4.3069999999999999E-5</v>
      </c>
      <c r="X70" s="7">
        <v>2.9969999999999999E-5</v>
      </c>
      <c r="Y70" s="7">
        <v>0</v>
      </c>
      <c r="Z70" s="7">
        <v>0.83973540999999996</v>
      </c>
      <c r="AA70" s="7">
        <v>0.99874839999999998</v>
      </c>
      <c r="AB70" s="7">
        <v>0.99972435999999998</v>
      </c>
      <c r="AC70" s="7">
        <v>0.99984505999999995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1.4439805699999999</v>
      </c>
      <c r="E71" s="7">
        <v>1.4836791499999999</v>
      </c>
      <c r="F71" s="7">
        <v>1.52719812</v>
      </c>
      <c r="G71" s="7">
        <v>1.5749026699999999</v>
      </c>
      <c r="H71" s="7">
        <v>1.6271955600000001</v>
      </c>
      <c r="I71" s="7">
        <v>1.68451861</v>
      </c>
      <c r="J71" s="7">
        <v>1.72347223</v>
      </c>
      <c r="K71" s="7">
        <v>1.76497875</v>
      </c>
      <c r="L71" s="7">
        <v>1.8094989800000001</v>
      </c>
      <c r="M71" s="7">
        <v>1.8565448099999999</v>
      </c>
      <c r="N71" s="7">
        <v>1.9052500999999999</v>
      </c>
      <c r="O71" s="7">
        <v>1.95892299</v>
      </c>
      <c r="P71" s="7">
        <v>1.9970658999999999</v>
      </c>
      <c r="Q71" s="7">
        <v>2.0418622200000001</v>
      </c>
      <c r="R71" s="7">
        <v>2.0904670300000001</v>
      </c>
      <c r="S71" s="7">
        <v>2.1413331499999999</v>
      </c>
      <c r="T71" s="7">
        <v>2.2004834199999999</v>
      </c>
      <c r="U71" s="7">
        <v>2.2492784100000001</v>
      </c>
      <c r="V71" s="7">
        <v>2.3187021200000002</v>
      </c>
      <c r="W71" s="7">
        <v>2.3894852200000001</v>
      </c>
      <c r="X71" s="7">
        <v>2.46394307</v>
      </c>
      <c r="Y71" s="7">
        <v>2.5422543599999998</v>
      </c>
      <c r="Z71" s="7">
        <v>2.6070116900000002</v>
      </c>
      <c r="AA71" s="7">
        <v>2.6533009999999999</v>
      </c>
      <c r="AB71" s="7">
        <v>2.7214030600000001</v>
      </c>
      <c r="AC71" s="7">
        <v>2.7946408100000002</v>
      </c>
    </row>
    <row r="72" spans="1:29" x14ac:dyDescent="0.85">
      <c r="A72" t="s">
        <v>170</v>
      </c>
      <c r="B72" s="7">
        <v>0</v>
      </c>
      <c r="C72" s="7">
        <v>0</v>
      </c>
      <c r="D72" s="7">
        <v>5.2998812199999996</v>
      </c>
      <c r="E72" s="7">
        <v>54.451661889999997</v>
      </c>
      <c r="F72" s="7">
        <v>78.922414779999997</v>
      </c>
      <c r="G72" s="7">
        <v>657.3980507</v>
      </c>
      <c r="H72" s="7">
        <v>591.65824563000001</v>
      </c>
      <c r="I72" s="7">
        <v>532.49242106999998</v>
      </c>
      <c r="J72" s="7">
        <v>479.24357183000001</v>
      </c>
      <c r="K72" s="7">
        <v>431.32010193999997</v>
      </c>
      <c r="L72" s="7">
        <v>388.18809486999999</v>
      </c>
      <c r="M72" s="7">
        <v>349.53610681999999</v>
      </c>
      <c r="N72" s="7">
        <v>314.58296185</v>
      </c>
      <c r="O72" s="7">
        <v>292.46034041000001</v>
      </c>
      <c r="P72" s="7">
        <v>265.71029127000003</v>
      </c>
      <c r="Q72" s="7">
        <v>239.13926214</v>
      </c>
      <c r="R72" s="7">
        <v>222.52003617</v>
      </c>
      <c r="S72" s="7">
        <v>237.83922669</v>
      </c>
      <c r="T72" s="7">
        <v>214.09567437000001</v>
      </c>
      <c r="U72" s="7">
        <v>192.7712904</v>
      </c>
      <c r="V72" s="7">
        <v>173.91643145</v>
      </c>
      <c r="W72" s="7">
        <v>158.91645600999999</v>
      </c>
      <c r="X72" s="7">
        <v>148.64299743999999</v>
      </c>
      <c r="Y72" s="7">
        <v>138.32578993000001</v>
      </c>
      <c r="Z72" s="7">
        <v>182.34102539</v>
      </c>
      <c r="AA72" s="7">
        <v>164.10703609999999</v>
      </c>
      <c r="AB72" s="7">
        <v>147.69641927999999</v>
      </c>
      <c r="AC72" s="7">
        <v>132.92783541</v>
      </c>
    </row>
    <row r="73" spans="1:29" x14ac:dyDescent="0.85">
      <c r="A73" t="s">
        <v>171</v>
      </c>
      <c r="B73" s="7">
        <v>0</v>
      </c>
      <c r="C73" s="7">
        <v>0</v>
      </c>
      <c r="D73" s="7">
        <v>1.3249684399999999</v>
      </c>
      <c r="E73" s="7">
        <v>13.61291507</v>
      </c>
      <c r="F73" s="7">
        <v>38.114063129999998</v>
      </c>
      <c r="G73" s="7">
        <v>348.54101974999998</v>
      </c>
      <c r="H73" s="7">
        <v>170.12910529999999</v>
      </c>
      <c r="I73" s="7">
        <v>133.1231052</v>
      </c>
      <c r="J73" s="7">
        <v>119.81088977</v>
      </c>
      <c r="K73" s="7">
        <v>107.83001480999999</v>
      </c>
      <c r="L73" s="7">
        <v>97.047021060000006</v>
      </c>
      <c r="M73" s="7">
        <v>87.374035199999994</v>
      </c>
      <c r="N73" s="7">
        <v>78.64573317</v>
      </c>
      <c r="O73" s="7">
        <v>58.333768810000002</v>
      </c>
      <c r="P73" s="7">
        <v>66.427572019999999</v>
      </c>
      <c r="Q73" s="7">
        <v>59.784815430000002</v>
      </c>
      <c r="R73" s="7">
        <v>55.630008410000002</v>
      </c>
      <c r="S73" s="7">
        <v>59.459800739999999</v>
      </c>
      <c r="T73" s="7">
        <v>93.276332249999996</v>
      </c>
      <c r="U73" s="7">
        <v>96.24484013</v>
      </c>
      <c r="V73" s="7">
        <v>86.929842750000006</v>
      </c>
      <c r="W73" s="7">
        <v>79.458115649999996</v>
      </c>
      <c r="X73" s="7">
        <v>83.680097099999998</v>
      </c>
      <c r="Y73" s="7">
        <v>46.077962960000001</v>
      </c>
      <c r="Z73" s="7">
        <v>53.99335336</v>
      </c>
      <c r="AA73" s="7">
        <v>47.039780350000001</v>
      </c>
      <c r="AB73" s="7">
        <v>42.672908620000001</v>
      </c>
      <c r="AC73" s="7">
        <v>39.476529409999998</v>
      </c>
    </row>
    <row r="74" spans="1:29" x14ac:dyDescent="0.85">
      <c r="A74" t="s">
        <v>172</v>
      </c>
      <c r="B74" s="7">
        <v>0</v>
      </c>
      <c r="C74" s="7">
        <v>0</v>
      </c>
      <c r="D74" s="7">
        <v>1.3249684399999999</v>
      </c>
      <c r="E74" s="7">
        <v>13.61291507</v>
      </c>
      <c r="F74" s="7">
        <v>38.114063129999998</v>
      </c>
      <c r="G74" s="7">
        <v>348.54101974999998</v>
      </c>
      <c r="H74" s="7">
        <v>170.12910529999999</v>
      </c>
      <c r="I74" s="7">
        <v>133.1231052</v>
      </c>
      <c r="J74" s="7">
        <v>119.81088977</v>
      </c>
      <c r="K74" s="7">
        <v>107.83001480999999</v>
      </c>
      <c r="L74" s="7">
        <v>97.047021060000006</v>
      </c>
      <c r="M74" s="7">
        <v>87.374035199999994</v>
      </c>
      <c r="N74" s="7">
        <v>78.64573317</v>
      </c>
      <c r="O74" s="7">
        <v>58.333768810000002</v>
      </c>
      <c r="P74" s="7">
        <v>66.427572019999999</v>
      </c>
      <c r="Q74" s="7">
        <v>59.784815430000002</v>
      </c>
      <c r="R74" s="7">
        <v>55.630008410000002</v>
      </c>
      <c r="S74" s="7">
        <v>59.459800739999999</v>
      </c>
      <c r="T74" s="7">
        <v>93.276332249999996</v>
      </c>
      <c r="U74" s="7">
        <v>96.24484013</v>
      </c>
      <c r="V74" s="7">
        <v>86.929842750000006</v>
      </c>
      <c r="W74" s="7">
        <v>79.458115649999996</v>
      </c>
      <c r="X74" s="7">
        <v>83.680097099999998</v>
      </c>
      <c r="Y74" s="7">
        <v>46.077962960000001</v>
      </c>
      <c r="Z74" s="7">
        <v>53.99335336</v>
      </c>
      <c r="AA74" s="7">
        <v>47.039780350000001</v>
      </c>
      <c r="AB74" s="7">
        <v>42.672908620000001</v>
      </c>
      <c r="AC74" s="7">
        <v>39.476529409999998</v>
      </c>
    </row>
    <row r="75" spans="1:29" x14ac:dyDescent="0.85">
      <c r="A75" t="s">
        <v>173</v>
      </c>
      <c r="B75" s="7">
        <v>0</v>
      </c>
      <c r="C75" s="7">
        <v>0</v>
      </c>
      <c r="D75" s="7">
        <v>1.40748896</v>
      </c>
      <c r="E75" s="7">
        <v>14.46072274</v>
      </c>
      <c r="F75" s="7">
        <v>20.95967143</v>
      </c>
      <c r="G75" s="7">
        <v>174.58767496999999</v>
      </c>
      <c r="H75" s="7">
        <v>157.12693067999999</v>
      </c>
      <c r="I75" s="7">
        <v>141.41396230999999</v>
      </c>
      <c r="J75" s="7">
        <v>127.27267041</v>
      </c>
      <c r="K75" s="7">
        <v>114.54563901</v>
      </c>
      <c r="L75" s="7">
        <v>103.09107594</v>
      </c>
      <c r="M75" s="7">
        <v>92.826270960000002</v>
      </c>
      <c r="N75" s="7">
        <v>83.543767669999994</v>
      </c>
      <c r="O75" s="7">
        <v>77.668461629999996</v>
      </c>
      <c r="P75" s="7">
        <v>70.564657120000007</v>
      </c>
      <c r="Q75" s="7">
        <v>63.508191410000002</v>
      </c>
      <c r="R75" s="7">
        <v>59.094625129999997</v>
      </c>
      <c r="S75" s="7">
        <v>63.162941119999999</v>
      </c>
      <c r="T75" s="7">
        <v>56.857915550000001</v>
      </c>
      <c r="U75" s="7">
        <v>51.194915180000002</v>
      </c>
      <c r="V75" s="7">
        <v>46.1875687</v>
      </c>
      <c r="W75" s="7">
        <v>42.203975380000003</v>
      </c>
      <c r="X75" s="7">
        <v>39.475747460000001</v>
      </c>
      <c r="Y75" s="7">
        <v>36.735325359999997</v>
      </c>
      <c r="Z75" s="7">
        <v>48.424404780000003</v>
      </c>
      <c r="AA75" s="7">
        <v>43.581972980000003</v>
      </c>
      <c r="AB75" s="7">
        <v>39.223803369999999</v>
      </c>
      <c r="AC75" s="7">
        <v>35.301718770000001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2.9479999999999999E-5</v>
      </c>
      <c r="E76" s="7">
        <v>3.0289E-4</v>
      </c>
      <c r="F76" s="7">
        <v>8.4803999999999999E-4</v>
      </c>
      <c r="G76" s="7">
        <v>7.7550400000000004E-3</v>
      </c>
      <c r="H76" s="7">
        <v>3.7853700000000001E-3</v>
      </c>
      <c r="I76" s="7">
        <v>2.9619899999999998E-3</v>
      </c>
      <c r="J76" s="7">
        <v>2.6657899999999999E-3</v>
      </c>
      <c r="K76" s="7">
        <v>2.3992200000000001E-3</v>
      </c>
      <c r="L76" s="7">
        <v>2.1592999999999998E-3</v>
      </c>
      <c r="M76" s="7">
        <v>1.94407E-3</v>
      </c>
      <c r="N76" s="7">
        <v>1.7498699999999999E-3</v>
      </c>
      <c r="O76" s="7">
        <v>1.2979300000000001E-3</v>
      </c>
      <c r="P76" s="7">
        <v>1.4780100000000001E-3</v>
      </c>
      <c r="Q76" s="7">
        <v>1.3302100000000001E-3</v>
      </c>
      <c r="R76" s="7">
        <v>1.23777E-3</v>
      </c>
      <c r="S76" s="7">
        <v>1.3229800000000001E-3</v>
      </c>
      <c r="T76" s="7">
        <v>2.0753999999999998E-3</v>
      </c>
      <c r="U76" s="7">
        <v>2.14145E-3</v>
      </c>
      <c r="V76" s="7">
        <v>1.9341899999999999E-3</v>
      </c>
      <c r="W76" s="7">
        <v>1.76794E-3</v>
      </c>
      <c r="X76" s="7">
        <v>1.86188E-3</v>
      </c>
      <c r="Y76" s="7">
        <v>1.02523E-3</v>
      </c>
      <c r="Z76" s="7">
        <v>1.2013499999999999E-3</v>
      </c>
      <c r="AA76" s="7">
        <v>1.0466399999999999E-3</v>
      </c>
      <c r="AB76" s="7">
        <v>9.4947E-4</v>
      </c>
      <c r="AC76" s="7">
        <v>8.7834999999999996E-4</v>
      </c>
    </row>
    <row r="77" spans="1:29" x14ac:dyDescent="0.85">
      <c r="A77" t="s">
        <v>175</v>
      </c>
      <c r="B77" s="7">
        <v>0</v>
      </c>
      <c r="C77" s="7">
        <v>0</v>
      </c>
      <c r="D77" s="7">
        <v>1.4999999999999999E-7</v>
      </c>
      <c r="E77" s="7">
        <v>1.5099999999999999E-6</v>
      </c>
      <c r="F77" s="7">
        <v>4.2400000000000001E-6</v>
      </c>
      <c r="G77" s="7">
        <v>3.8779999999999998E-5</v>
      </c>
      <c r="H77" s="7">
        <v>1.893E-5</v>
      </c>
      <c r="I77" s="7">
        <v>1.4810000000000001E-5</v>
      </c>
      <c r="J77" s="7">
        <v>1.3329999999999999E-5</v>
      </c>
      <c r="K77" s="7">
        <v>1.2E-5</v>
      </c>
      <c r="L77" s="7">
        <v>1.08E-5</v>
      </c>
      <c r="M77" s="7">
        <v>9.7200000000000001E-6</v>
      </c>
      <c r="N77" s="7">
        <v>8.7499999999999992E-6</v>
      </c>
      <c r="O77" s="7">
        <v>6.4899999999999997E-6</v>
      </c>
      <c r="P77" s="7">
        <v>7.3900000000000004E-6</v>
      </c>
      <c r="Q77" s="7">
        <v>6.6499999999999999E-6</v>
      </c>
      <c r="R77" s="7">
        <v>6.19E-6</v>
      </c>
      <c r="S77" s="7">
        <v>6.6100000000000002E-6</v>
      </c>
      <c r="T77" s="7">
        <v>1.0380000000000001E-5</v>
      </c>
      <c r="U77" s="7">
        <v>1.0710000000000001E-5</v>
      </c>
      <c r="V77" s="7">
        <v>9.6700000000000006E-6</v>
      </c>
      <c r="W77" s="7">
        <v>8.8400000000000001E-6</v>
      </c>
      <c r="X77" s="7">
        <v>9.3100000000000006E-6</v>
      </c>
      <c r="Y77" s="7">
        <v>5.13E-6</v>
      </c>
      <c r="Z77" s="7">
        <v>6.0100000000000001E-6</v>
      </c>
      <c r="AA77" s="7">
        <v>5.2299999999999999E-6</v>
      </c>
      <c r="AB77" s="7">
        <v>4.7500000000000003E-6</v>
      </c>
      <c r="AC77" s="7">
        <v>4.3900000000000003E-6</v>
      </c>
    </row>
    <row r="78" spans="1:29" x14ac:dyDescent="0.85">
      <c r="A78" t="s">
        <v>176</v>
      </c>
      <c r="B78" s="7">
        <v>0</v>
      </c>
      <c r="C78" s="7">
        <v>0</v>
      </c>
      <c r="D78" s="7">
        <v>1.4074707099999999</v>
      </c>
      <c r="E78" s="7">
        <v>14.460535289999999</v>
      </c>
      <c r="F78" s="7">
        <v>20.9591466</v>
      </c>
      <c r="G78" s="7">
        <v>174.58287555999999</v>
      </c>
      <c r="H78" s="7">
        <v>157.12458799999999</v>
      </c>
      <c r="I78" s="7">
        <v>141.41212920000001</v>
      </c>
      <c r="J78" s="7">
        <v>127.27102060999999</v>
      </c>
      <c r="K78" s="7">
        <v>114.54415419</v>
      </c>
      <c r="L78" s="7">
        <v>103.0897396</v>
      </c>
      <c r="M78" s="7">
        <v>92.825067820000001</v>
      </c>
      <c r="N78" s="7">
        <v>83.542684710000003</v>
      </c>
      <c r="O78" s="7">
        <v>77.667658369999998</v>
      </c>
      <c r="P78" s="7">
        <v>70.563742419999997</v>
      </c>
      <c r="Q78" s="7">
        <v>63.507368169999999</v>
      </c>
      <c r="R78" s="7">
        <v>59.093859100000003</v>
      </c>
      <c r="S78" s="7">
        <v>63.162122359999998</v>
      </c>
      <c r="T78" s="7">
        <v>56.856631129999997</v>
      </c>
      <c r="U78" s="7">
        <v>51.193589889999998</v>
      </c>
      <c r="V78" s="7">
        <v>46.186371680000001</v>
      </c>
      <c r="W78" s="7">
        <v>42.202881240000004</v>
      </c>
      <c r="X78" s="7">
        <v>39.474595180000001</v>
      </c>
      <c r="Y78" s="7">
        <v>36.734690870000001</v>
      </c>
      <c r="Z78" s="7">
        <v>48.423661299999999</v>
      </c>
      <c r="AA78" s="7">
        <v>43.581325239999998</v>
      </c>
      <c r="AB78" s="7">
        <v>39.223215770000003</v>
      </c>
      <c r="AC78" s="7">
        <v>35.30117517</v>
      </c>
    </row>
    <row r="79" spans="1:29" x14ac:dyDescent="0.85">
      <c r="A79" t="s">
        <v>177</v>
      </c>
      <c r="B79" s="7">
        <v>0</v>
      </c>
      <c r="C79" s="7">
        <v>0</v>
      </c>
      <c r="D79" s="7">
        <v>1.8240000000000002E-5</v>
      </c>
      <c r="E79" s="7">
        <v>1.8745E-4</v>
      </c>
      <c r="F79" s="7">
        <v>5.2483E-4</v>
      </c>
      <c r="G79" s="7">
        <v>4.7994099999999996E-3</v>
      </c>
      <c r="H79" s="7">
        <v>2.3426800000000002E-3</v>
      </c>
      <c r="I79" s="7">
        <v>1.83311E-3</v>
      </c>
      <c r="J79" s="7">
        <v>1.6498000000000001E-3</v>
      </c>
      <c r="K79" s="7">
        <v>1.48482E-3</v>
      </c>
      <c r="L79" s="7">
        <v>1.3363400000000001E-3</v>
      </c>
      <c r="M79" s="7">
        <v>1.2031399999999999E-3</v>
      </c>
      <c r="N79" s="7">
        <v>1.0829500000000001E-3</v>
      </c>
      <c r="O79" s="7">
        <v>8.0325999999999998E-4</v>
      </c>
      <c r="P79" s="7">
        <v>9.1471E-4</v>
      </c>
      <c r="Q79" s="7">
        <v>8.2324000000000004E-4</v>
      </c>
      <c r="R79" s="7">
        <v>7.6603000000000001E-4</v>
      </c>
      <c r="S79" s="7">
        <v>8.1875999999999997E-4</v>
      </c>
      <c r="T79" s="7">
        <v>1.2844200000000001E-3</v>
      </c>
      <c r="U79" s="7">
        <v>1.32529E-3</v>
      </c>
      <c r="V79" s="7">
        <v>1.19702E-3</v>
      </c>
      <c r="W79" s="7">
        <v>1.09414E-3</v>
      </c>
      <c r="X79" s="7">
        <v>1.1522699999999999E-3</v>
      </c>
      <c r="Y79" s="7">
        <v>6.3449000000000003E-4</v>
      </c>
      <c r="Z79" s="7">
        <v>7.4348999999999997E-4</v>
      </c>
      <c r="AA79" s="7">
        <v>6.4773999999999995E-4</v>
      </c>
      <c r="AB79" s="7">
        <v>5.8761000000000002E-4</v>
      </c>
      <c r="AC79" s="7">
        <v>5.4359000000000005E-4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1.0040896500000001</v>
      </c>
      <c r="F80" s="7">
        <v>1.0359625400000001</v>
      </c>
      <c r="G80" s="7">
        <v>1.02029971</v>
      </c>
      <c r="H80" s="7">
        <v>1.37302437</v>
      </c>
      <c r="I80" s="7">
        <v>1</v>
      </c>
      <c r="J80" s="7">
        <v>1</v>
      </c>
      <c r="K80" s="7">
        <v>1.0000002100000001</v>
      </c>
      <c r="L80" s="7">
        <v>1.0000004600000001</v>
      </c>
      <c r="M80" s="7">
        <v>1</v>
      </c>
      <c r="N80" s="7">
        <v>1.0000818300000001</v>
      </c>
      <c r="O80" s="7">
        <v>1.00000022</v>
      </c>
      <c r="P80" s="7">
        <v>1.00429542</v>
      </c>
      <c r="Q80" s="7">
        <v>1.0011322600000001</v>
      </c>
      <c r="R80" s="7">
        <v>1</v>
      </c>
      <c r="S80" s="7">
        <v>1.0031793099999999</v>
      </c>
      <c r="T80" s="7">
        <v>1.01603679</v>
      </c>
      <c r="U80" s="7">
        <v>1.0000167900000001</v>
      </c>
      <c r="V80" s="7">
        <v>1.0000348999999999</v>
      </c>
      <c r="W80" s="7">
        <v>1.00016799</v>
      </c>
      <c r="X80" s="7">
        <v>1.0009256</v>
      </c>
      <c r="Y80" s="7">
        <v>1.0021154000000001</v>
      </c>
      <c r="Z80" s="7">
        <v>1.0016658700000001</v>
      </c>
      <c r="AA80" s="7">
        <v>1.0208533500000001</v>
      </c>
      <c r="AB80" s="7">
        <v>1.00000004</v>
      </c>
      <c r="AC80" s="7">
        <v>1.00000003</v>
      </c>
    </row>
    <row r="81" spans="1:29" x14ac:dyDescent="0.85">
      <c r="A81" t="s">
        <v>179</v>
      </c>
      <c r="B81" s="7">
        <v>1</v>
      </c>
      <c r="C81" s="7">
        <v>1</v>
      </c>
      <c r="D81" s="7">
        <v>1.0040896500000001</v>
      </c>
      <c r="E81" s="7">
        <v>1.0359625400000001</v>
      </c>
      <c r="F81" s="7">
        <v>1.02029971</v>
      </c>
      <c r="G81" s="7">
        <v>1.37302437</v>
      </c>
      <c r="H81" s="7">
        <v>1</v>
      </c>
      <c r="I81" s="7">
        <v>1</v>
      </c>
      <c r="J81" s="7">
        <v>1.0000002100000001</v>
      </c>
      <c r="K81" s="7">
        <v>1.0000004600000001</v>
      </c>
      <c r="L81" s="7">
        <v>1</v>
      </c>
      <c r="M81" s="7">
        <v>1.0000818300000001</v>
      </c>
      <c r="N81" s="7">
        <v>1.00000022</v>
      </c>
      <c r="O81" s="7">
        <v>1.00429542</v>
      </c>
      <c r="P81" s="7">
        <v>1.0011322600000001</v>
      </c>
      <c r="Q81" s="7">
        <v>1</v>
      </c>
      <c r="R81" s="7">
        <v>1.0031793099999999</v>
      </c>
      <c r="S81" s="7">
        <v>1.01603679</v>
      </c>
      <c r="T81" s="7">
        <v>1.0000167900000001</v>
      </c>
      <c r="U81" s="7">
        <v>1.0000348999999999</v>
      </c>
      <c r="V81" s="7">
        <v>1.00016799</v>
      </c>
      <c r="W81" s="7">
        <v>1.0009256</v>
      </c>
      <c r="X81" s="7">
        <v>1.0021154000000001</v>
      </c>
      <c r="Y81" s="7">
        <v>1.0016658700000001</v>
      </c>
      <c r="Z81" s="7">
        <v>1.0208533500000001</v>
      </c>
      <c r="AA81" s="7">
        <v>1.00000004</v>
      </c>
      <c r="AB81" s="7">
        <v>1.00000003</v>
      </c>
      <c r="AC81" s="7">
        <v>1.00000037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74299-CC95-441F-B2B8-801819FEE66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78540.752336000005</v>
      </c>
      <c r="D5" s="7">
        <v>80183.574360779996</v>
      </c>
      <c r="E5" s="7">
        <v>81561.816409580002</v>
      </c>
      <c r="F5" s="7">
        <v>81548.060854669995</v>
      </c>
      <c r="G5" s="7">
        <v>81688.753392479994</v>
      </c>
      <c r="H5" s="7">
        <v>81829.496820650005</v>
      </c>
      <c r="I5" s="7">
        <v>82024.402443950006</v>
      </c>
      <c r="J5" s="7">
        <v>82269.923059020002</v>
      </c>
      <c r="K5" s="7">
        <v>82566.195753769993</v>
      </c>
      <c r="L5" s="7">
        <v>82912.715316119997</v>
      </c>
      <c r="M5" s="7">
        <v>83309.646908159993</v>
      </c>
      <c r="N5" s="7">
        <v>84159.384283649997</v>
      </c>
      <c r="O5" s="7">
        <v>86032.574645839995</v>
      </c>
      <c r="P5" s="7">
        <v>87947.824504880002</v>
      </c>
      <c r="Q5" s="7">
        <v>89911.269568500007</v>
      </c>
      <c r="R5" s="7">
        <v>91918.302392359998</v>
      </c>
      <c r="S5" s="7">
        <v>93971.512927090007</v>
      </c>
      <c r="T5" s="7">
        <v>96071.326883000002</v>
      </c>
      <c r="U5" s="7">
        <v>98219.123444919998</v>
      </c>
      <c r="V5" s="7">
        <v>100415.29606812001</v>
      </c>
      <c r="W5" s="7">
        <v>102661.63800363</v>
      </c>
      <c r="X5" s="7">
        <v>104956.37490464</v>
      </c>
      <c r="Y5" s="7">
        <v>107303.14190848</v>
      </c>
      <c r="Z5" s="7">
        <v>109701.75274715001</v>
      </c>
      <c r="AA5" s="7">
        <v>112153.25171403</v>
      </c>
      <c r="AB5" s="7">
        <v>114658.48952022</v>
      </c>
      <c r="AC5" s="7">
        <v>117218.50864679</v>
      </c>
    </row>
    <row r="6" spans="1:29" x14ac:dyDescent="0.85">
      <c r="A6" t="s">
        <v>106</v>
      </c>
      <c r="B6" s="7">
        <v>223763071.5</v>
      </c>
      <c r="C6" s="7">
        <v>228664151.38448</v>
      </c>
      <c r="D6" s="7">
        <v>233663339.46531701</v>
      </c>
      <c r="E6" s="7">
        <v>238762471.471342</v>
      </c>
      <c r="F6" s="7">
        <v>243963571.08579999</v>
      </c>
      <c r="G6" s="7">
        <v>249268718.18858701</v>
      </c>
      <c r="H6" s="7">
        <v>254679954.93144801</v>
      </c>
      <c r="I6" s="7">
        <v>260199416.96570799</v>
      </c>
      <c r="J6" s="7">
        <v>265829268.03473201</v>
      </c>
      <c r="K6" s="7">
        <v>271571716.08280301</v>
      </c>
      <c r="L6" s="7">
        <v>277429013.03937298</v>
      </c>
      <c r="M6" s="7">
        <v>283403456.03062999</v>
      </c>
      <c r="N6" s="7">
        <v>289497387.82775402</v>
      </c>
      <c r="O6" s="7">
        <v>295713198.22744799</v>
      </c>
      <c r="P6" s="7">
        <v>302053324.45619601</v>
      </c>
      <c r="Q6" s="7">
        <v>308520254.08863401</v>
      </c>
      <c r="R6" s="7">
        <v>315116521.853791</v>
      </c>
      <c r="S6" s="7">
        <v>321844714.97122699</v>
      </c>
      <c r="T6" s="7">
        <v>328707471.92154002</v>
      </c>
      <c r="U6" s="7">
        <v>335707484.06901002</v>
      </c>
      <c r="V6" s="7">
        <v>342847496.43106002</v>
      </c>
      <c r="W6" s="7">
        <v>350130309.03967702</v>
      </c>
      <c r="X6" s="7">
        <v>357558777.88310999</v>
      </c>
      <c r="Y6" s="7">
        <v>365135816.13848501</v>
      </c>
      <c r="Z6" s="7">
        <v>372864395.13625598</v>
      </c>
      <c r="AA6" s="7">
        <v>380747545.72408497</v>
      </c>
      <c r="AB6" s="7">
        <v>388788359.31328398</v>
      </c>
      <c r="AC6" s="7">
        <v>396989989.18491298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21183.222994520002</v>
      </c>
      <c r="D8" s="7">
        <v>21333.394185630001</v>
      </c>
      <c r="E8" s="7">
        <v>21435.510900829999</v>
      </c>
      <c r="F8" s="7">
        <v>21290.873227640001</v>
      </c>
      <c r="G8" s="7">
        <v>21165.869507259998</v>
      </c>
      <c r="H8" s="7">
        <v>21044.537859529999</v>
      </c>
      <c r="I8" s="7">
        <v>20937.331373720001</v>
      </c>
      <c r="J8" s="7">
        <v>20843.679631499999</v>
      </c>
      <c r="K8" s="7">
        <v>20763.52326853</v>
      </c>
      <c r="L8" s="7">
        <v>20696.695165329998</v>
      </c>
      <c r="M8" s="7">
        <v>20642.999418029998</v>
      </c>
      <c r="N8" s="7">
        <v>20684.963781980001</v>
      </c>
      <c r="O8" s="7">
        <v>20939.686652550001</v>
      </c>
      <c r="P8" s="7">
        <v>21205.92461695</v>
      </c>
      <c r="Q8" s="7">
        <v>21483.96049714</v>
      </c>
      <c r="R8" s="7">
        <v>21773.284262419998</v>
      </c>
      <c r="S8" s="7">
        <v>22074.346426579999</v>
      </c>
      <c r="T8" s="7">
        <v>22387.171341919999</v>
      </c>
      <c r="U8" s="7">
        <v>22711.817338910001</v>
      </c>
      <c r="V8" s="7">
        <v>23048.444506700002</v>
      </c>
      <c r="W8" s="7">
        <v>23397.43058317</v>
      </c>
      <c r="X8" s="7">
        <v>23758.107419839998</v>
      </c>
      <c r="Y8" s="7">
        <v>24131.217763060002</v>
      </c>
      <c r="Z8" s="7">
        <v>24516.676166220001</v>
      </c>
      <c r="AA8" s="7">
        <v>24914.616138910002</v>
      </c>
      <c r="AB8" s="7">
        <v>25325.155273370001</v>
      </c>
      <c r="AC8" s="7">
        <v>25748.413533999999</v>
      </c>
    </row>
    <row r="9" spans="1:29" x14ac:dyDescent="0.85">
      <c r="A9" t="s">
        <v>109</v>
      </c>
      <c r="B9" s="7">
        <v>4766.0564919099997</v>
      </c>
      <c r="C9" s="7">
        <v>4913.6379091600002</v>
      </c>
      <c r="D9" s="7">
        <v>5061.3978233400003</v>
      </c>
      <c r="E9" s="7">
        <v>5210.3106691399998</v>
      </c>
      <c r="F9" s="7">
        <v>5354.3900685299996</v>
      </c>
      <c r="G9" s="7">
        <v>5500.4079079000003</v>
      </c>
      <c r="H9" s="7">
        <v>5648.6538906699998</v>
      </c>
      <c r="I9" s="7">
        <v>5799.0796647300003</v>
      </c>
      <c r="J9" s="7">
        <v>5951.7513780400004</v>
      </c>
      <c r="K9" s="7">
        <v>6106.7359478799999</v>
      </c>
      <c r="L9" s="7">
        <v>6264.1008872299999</v>
      </c>
      <c r="M9" s="7">
        <v>6423.9144628000004</v>
      </c>
      <c r="N9" s="7">
        <v>6582.8536188099997</v>
      </c>
      <c r="O9" s="7">
        <v>6736.1778062599997</v>
      </c>
      <c r="P9" s="7">
        <v>6892.23059784</v>
      </c>
      <c r="Q9" s="7">
        <v>7051.0166486199996</v>
      </c>
      <c r="R9" s="7">
        <v>7212.6467416200003</v>
      </c>
      <c r="S9" s="7">
        <v>7377.1673315600001</v>
      </c>
      <c r="T9" s="7">
        <v>7544.6514532600004</v>
      </c>
      <c r="U9" s="7">
        <v>7715.2027634699998</v>
      </c>
      <c r="V9" s="7">
        <v>7888.8241785500004</v>
      </c>
      <c r="W9" s="7">
        <v>8065.52998587</v>
      </c>
      <c r="X9" s="7">
        <v>8245.5461082099991</v>
      </c>
      <c r="Y9" s="7">
        <v>8428.8622872199994</v>
      </c>
      <c r="Z9" s="7">
        <v>8615.5616937300001</v>
      </c>
      <c r="AA9" s="7">
        <v>8805.7179555799994</v>
      </c>
      <c r="AB9" s="7">
        <v>8999.4077373</v>
      </c>
      <c r="AC9" s="7">
        <v>9196.7170147600009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19467.130107739998</v>
      </c>
      <c r="D11" s="7">
        <v>19612.431968069999</v>
      </c>
      <c r="E11" s="7">
        <v>19812.025310659999</v>
      </c>
      <c r="F11" s="7">
        <v>20418.49696525</v>
      </c>
      <c r="G11" s="7">
        <v>21031.751423000002</v>
      </c>
      <c r="H11" s="7">
        <v>21653.59851444</v>
      </c>
      <c r="I11" s="7">
        <v>22283.54197731</v>
      </c>
      <c r="J11" s="7">
        <v>22921.863757560001</v>
      </c>
      <c r="K11" s="7">
        <v>23568.848789610001</v>
      </c>
      <c r="L11" s="7">
        <v>24224.78373997</v>
      </c>
      <c r="M11" s="7">
        <v>24889.9579772</v>
      </c>
      <c r="N11" s="7">
        <v>25551.17836727</v>
      </c>
      <c r="O11" s="7">
        <v>26189.5891562</v>
      </c>
      <c r="P11" s="7">
        <v>26838.43284723</v>
      </c>
      <c r="Q11" s="7">
        <v>27497.71596397</v>
      </c>
      <c r="R11" s="7">
        <v>28167.895223610001</v>
      </c>
      <c r="S11" s="7">
        <v>28849.171390209998</v>
      </c>
      <c r="T11" s="7">
        <v>29541.85059274</v>
      </c>
      <c r="U11" s="7">
        <v>30246.360422959999</v>
      </c>
      <c r="V11" s="7">
        <v>30962.72771436</v>
      </c>
      <c r="W11" s="7">
        <v>31691.02414537</v>
      </c>
      <c r="X11" s="7">
        <v>32432.16278576</v>
      </c>
      <c r="Y11" s="7">
        <v>33186.117288889996</v>
      </c>
      <c r="Z11" s="7">
        <v>33953.232530280002</v>
      </c>
      <c r="AA11" s="7">
        <v>34733.815264060002</v>
      </c>
      <c r="AB11" s="7">
        <v>35528.184084970002</v>
      </c>
      <c r="AC11" s="7">
        <v>36336.694227890002</v>
      </c>
    </row>
    <row r="12" spans="1:29" x14ac:dyDescent="0.85">
      <c r="A12" t="s">
        <v>111</v>
      </c>
      <c r="B12" s="7">
        <v>25764.999497180001</v>
      </c>
      <c r="C12" s="7">
        <v>26096.860903680001</v>
      </c>
      <c r="D12" s="7">
        <v>26394.792008969998</v>
      </c>
      <c r="E12" s="7">
        <v>26645.821569970001</v>
      </c>
      <c r="F12" s="7">
        <v>26645.26329617</v>
      </c>
      <c r="G12" s="7">
        <v>26666.27741517</v>
      </c>
      <c r="H12" s="7">
        <v>26693.1917502</v>
      </c>
      <c r="I12" s="7">
        <v>26736.411038440001</v>
      </c>
      <c r="J12" s="7">
        <v>26795.43100954</v>
      </c>
      <c r="K12" s="7">
        <v>26870.259216409999</v>
      </c>
      <c r="L12" s="7">
        <v>26960.796052559999</v>
      </c>
      <c r="M12" s="7">
        <v>27066.913880830001</v>
      </c>
      <c r="N12" s="7">
        <v>27267.817400790002</v>
      </c>
      <c r="O12" s="7">
        <v>27675.86445881</v>
      </c>
      <c r="P12" s="7">
        <v>28098.15521479</v>
      </c>
      <c r="Q12" s="7">
        <v>28534.977145770001</v>
      </c>
      <c r="R12" s="7">
        <v>28985.931004040001</v>
      </c>
      <c r="S12" s="7">
        <v>29451.51375813</v>
      </c>
      <c r="T12" s="7">
        <v>29931.822795190001</v>
      </c>
      <c r="U12" s="7">
        <v>30427.020102390001</v>
      </c>
      <c r="V12" s="7">
        <v>30937.268685250001</v>
      </c>
      <c r="W12" s="7">
        <v>31462.960569049999</v>
      </c>
      <c r="X12" s="7">
        <v>32003.653528049999</v>
      </c>
      <c r="Y12" s="7">
        <v>32560.080050280001</v>
      </c>
      <c r="Z12" s="7">
        <v>33132.237859959998</v>
      </c>
      <c r="AA12" s="7">
        <v>33720.334094489997</v>
      </c>
      <c r="AB12" s="7">
        <v>34324.563010669997</v>
      </c>
      <c r="AC12" s="7">
        <v>34945.130548759997</v>
      </c>
    </row>
    <row r="13" spans="1:29" x14ac:dyDescent="0.85">
      <c r="A13" t="s">
        <v>112</v>
      </c>
      <c r="B13" s="7">
        <v>25764.999497180001</v>
      </c>
      <c r="C13" s="7">
        <v>45563.991011420003</v>
      </c>
      <c r="D13" s="7">
        <v>46007.223977039997</v>
      </c>
      <c r="E13" s="7">
        <v>46457.846880630001</v>
      </c>
      <c r="F13" s="7">
        <v>47063.76026142</v>
      </c>
      <c r="G13" s="7">
        <v>47698.028838170001</v>
      </c>
      <c r="H13" s="7">
        <v>48346.790264640003</v>
      </c>
      <c r="I13" s="7">
        <v>49019.953015760002</v>
      </c>
      <c r="J13" s="7">
        <v>49717.2947671</v>
      </c>
      <c r="K13" s="7">
        <v>50439.108006009999</v>
      </c>
      <c r="L13" s="7">
        <v>51185.579792529999</v>
      </c>
      <c r="M13" s="7">
        <v>51956.871858029997</v>
      </c>
      <c r="N13" s="7">
        <v>52818.995768059998</v>
      </c>
      <c r="O13" s="7">
        <v>53865.453615010003</v>
      </c>
      <c r="P13" s="7">
        <v>54936.588062019997</v>
      </c>
      <c r="Q13" s="7">
        <v>56032.693109729997</v>
      </c>
      <c r="R13" s="7">
        <v>57153.826227650003</v>
      </c>
      <c r="S13" s="7">
        <v>58300.685148340002</v>
      </c>
      <c r="T13" s="7">
        <v>59473.673387930001</v>
      </c>
      <c r="U13" s="7">
        <v>60673.380525339999</v>
      </c>
      <c r="V13" s="7">
        <v>61899.996399609998</v>
      </c>
      <c r="W13" s="7">
        <v>63153.984714409999</v>
      </c>
      <c r="X13" s="7">
        <v>64435.816313809999</v>
      </c>
      <c r="Y13" s="7">
        <v>65746.197339170001</v>
      </c>
      <c r="Z13" s="7">
        <v>67085.470390240007</v>
      </c>
      <c r="AA13" s="7">
        <v>68454.149358549999</v>
      </c>
      <c r="AB13" s="7">
        <v>69852.747095640007</v>
      </c>
      <c r="AC13" s="7">
        <v>71281.824776649999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27279.548148149999</v>
      </c>
      <c r="F17" s="7">
        <v>26370.22987956</v>
      </c>
      <c r="G17" s="7">
        <v>25491.222216900002</v>
      </c>
      <c r="H17" s="7">
        <v>24641.51480967</v>
      </c>
      <c r="I17" s="7">
        <v>23820.130982679999</v>
      </c>
      <c r="J17" s="7">
        <v>23026.126616590002</v>
      </c>
      <c r="K17" s="7">
        <v>22258.589062710002</v>
      </c>
      <c r="L17" s="7">
        <v>21516.636113650002</v>
      </c>
      <c r="M17" s="7">
        <v>20799.414909859999</v>
      </c>
      <c r="N17" s="7">
        <v>20538.06430269</v>
      </c>
      <c r="O17" s="7">
        <v>21343.148758110001</v>
      </c>
      <c r="P17" s="7">
        <v>22162.885023020001</v>
      </c>
      <c r="Q17" s="7">
        <v>23003.75718022</v>
      </c>
      <c r="R17" s="7">
        <v>23860.155160760001</v>
      </c>
      <c r="S17" s="7">
        <v>24734.806103399998</v>
      </c>
      <c r="T17" s="7">
        <v>25627.197194439999</v>
      </c>
      <c r="U17" s="7">
        <v>26533.065383789999</v>
      </c>
      <c r="V17" s="7">
        <v>27461.129296769999</v>
      </c>
      <c r="W17" s="7">
        <v>28418.81147434</v>
      </c>
      <c r="X17" s="7">
        <v>29386.757027570002</v>
      </c>
      <c r="Y17" s="7">
        <v>30375.84079043</v>
      </c>
      <c r="Z17" s="7">
        <v>31385.20917505</v>
      </c>
      <c r="AA17" s="7">
        <v>32415.397613919999</v>
      </c>
      <c r="AB17" s="7">
        <v>33466.730073519997</v>
      </c>
      <c r="AC17" s="7">
        <v>34538.517226340002</v>
      </c>
    </row>
    <row r="18" spans="1:29" x14ac:dyDescent="0.85">
      <c r="A18" t="s">
        <v>116</v>
      </c>
      <c r="B18" s="7">
        <v>9723220</v>
      </c>
      <c r="C18" s="7">
        <v>9399112.6591589395</v>
      </c>
      <c r="D18" s="7">
        <v>9085808.8783004191</v>
      </c>
      <c r="E18" s="7">
        <v>8779198.6084940508</v>
      </c>
      <c r="F18" s="7">
        <v>8486558.6558469292</v>
      </c>
      <c r="G18" s="7">
        <v>8203673.3407321703</v>
      </c>
      <c r="H18" s="7">
        <v>7930217.5261882497</v>
      </c>
      <c r="I18" s="7">
        <v>7665876.8921767799</v>
      </c>
      <c r="J18" s="7">
        <v>7410347.6134621901</v>
      </c>
      <c r="K18" s="7">
        <v>7163335.9471484805</v>
      </c>
      <c r="L18" s="7">
        <v>6924558.08858258</v>
      </c>
      <c r="M18" s="7">
        <v>6693739.4745749095</v>
      </c>
      <c r="N18" s="7">
        <v>6609630.72038492</v>
      </c>
      <c r="O18" s="7">
        <v>6868725.7777692396</v>
      </c>
      <c r="P18" s="7">
        <v>7132536.1310395496</v>
      </c>
      <c r="Q18" s="7">
        <v>7403148.51009533</v>
      </c>
      <c r="R18" s="7">
        <v>7678757.4631897397</v>
      </c>
      <c r="S18" s="7">
        <v>7960240.6475299699</v>
      </c>
      <c r="T18" s="7">
        <v>8247433.0276390901</v>
      </c>
      <c r="U18" s="7">
        <v>8538962.6540299598</v>
      </c>
      <c r="V18" s="7">
        <v>8837635.3847840298</v>
      </c>
      <c r="W18" s="7">
        <v>9145839.9676465001</v>
      </c>
      <c r="X18" s="7">
        <v>9457347.5454809703</v>
      </c>
      <c r="Y18" s="7">
        <v>9775657.8948716801</v>
      </c>
      <c r="Z18" s="7">
        <v>10100496.311233001</v>
      </c>
      <c r="AA18" s="7">
        <v>10432035.109288201</v>
      </c>
      <c r="AB18" s="7">
        <v>10770378.549054399</v>
      </c>
      <c r="AC18" s="7">
        <v>11115304.788772199</v>
      </c>
    </row>
    <row r="19" spans="1:29" x14ac:dyDescent="0.85">
      <c r="A19" t="s">
        <v>117</v>
      </c>
      <c r="B19" s="7">
        <v>9723220</v>
      </c>
      <c r="C19" s="7">
        <v>9399112.6591589395</v>
      </c>
      <c r="D19" s="7">
        <v>9085808.8783004191</v>
      </c>
      <c r="E19" s="7">
        <v>8779198.6084940508</v>
      </c>
      <c r="F19" s="7">
        <v>8486558.6558469292</v>
      </c>
      <c r="G19" s="7">
        <v>8203673.3407321703</v>
      </c>
      <c r="H19" s="7">
        <v>7930217.5261882497</v>
      </c>
      <c r="I19" s="7">
        <v>7665876.8921767799</v>
      </c>
      <c r="J19" s="7">
        <v>7410347.6134621901</v>
      </c>
      <c r="K19" s="7">
        <v>7163335.9471484805</v>
      </c>
      <c r="L19" s="7">
        <v>6924558.08858258</v>
      </c>
      <c r="M19" s="7">
        <v>6693739.4745749095</v>
      </c>
      <c r="N19" s="7">
        <v>6609630.72038492</v>
      </c>
      <c r="O19" s="7">
        <v>6868725.7777692396</v>
      </c>
      <c r="P19" s="7">
        <v>7132536.1310395496</v>
      </c>
      <c r="Q19" s="7">
        <v>7403148.51009533</v>
      </c>
      <c r="R19" s="7">
        <v>7678757.4631897397</v>
      </c>
      <c r="S19" s="7">
        <v>7960240.6475299699</v>
      </c>
      <c r="T19" s="7">
        <v>8247433.0276390901</v>
      </c>
      <c r="U19" s="7">
        <v>8538962.6540299598</v>
      </c>
      <c r="V19" s="7">
        <v>8837635.3847840298</v>
      </c>
      <c r="W19" s="7">
        <v>9145839.9676465001</v>
      </c>
      <c r="X19" s="7">
        <v>9457347.5454809703</v>
      </c>
      <c r="Y19" s="7">
        <v>9775657.8948716801</v>
      </c>
      <c r="Z19" s="7">
        <v>10100496.311233001</v>
      </c>
      <c r="AA19" s="7">
        <v>10432035.109288201</v>
      </c>
      <c r="AB19" s="7">
        <v>10770378.549054399</v>
      </c>
      <c r="AC19" s="7">
        <v>11115304.788772199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5569.3339700300003</v>
      </c>
      <c r="F20" s="7">
        <v>5383.6895049799996</v>
      </c>
      <c r="G20" s="7">
        <v>5204.2331881500004</v>
      </c>
      <c r="H20" s="7">
        <v>5030.7587485399999</v>
      </c>
      <c r="I20" s="7">
        <v>4863.0667902599998</v>
      </c>
      <c r="J20" s="7">
        <v>4700.9645639199998</v>
      </c>
      <c r="K20" s="7">
        <v>4544.2657451200002</v>
      </c>
      <c r="L20" s="7">
        <v>4392.7902242999999</v>
      </c>
      <c r="M20" s="7">
        <v>4246.3638834900003</v>
      </c>
      <c r="N20" s="7">
        <v>4193.0071047600004</v>
      </c>
      <c r="O20" s="7">
        <v>4357.3714183399998</v>
      </c>
      <c r="P20" s="7">
        <v>4524.7270138900003</v>
      </c>
      <c r="Q20" s="7">
        <v>4696.3976678199997</v>
      </c>
      <c r="R20" s="7">
        <v>4871.2380405100002</v>
      </c>
      <c r="S20" s="7">
        <v>5049.8048987399998</v>
      </c>
      <c r="T20" s="7">
        <v>5231.9935475700004</v>
      </c>
      <c r="U20" s="7">
        <v>5416.9336518500004</v>
      </c>
      <c r="V20" s="7">
        <v>5606.4051874099996</v>
      </c>
      <c r="W20" s="7">
        <v>5801.9235242599998</v>
      </c>
      <c r="X20" s="7">
        <v>5999.5372098500002</v>
      </c>
      <c r="Y20" s="7">
        <v>6201.4664269300001</v>
      </c>
      <c r="Z20" s="7">
        <v>6407.5369088199996</v>
      </c>
      <c r="AA20" s="7">
        <v>6617.85796828</v>
      </c>
      <c r="AB20" s="7">
        <v>6832.4957456100001</v>
      </c>
      <c r="AC20" s="7">
        <v>7051.3095091799996</v>
      </c>
    </row>
    <row r="21" spans="1:29" x14ac:dyDescent="0.85">
      <c r="A21" t="s">
        <v>119</v>
      </c>
      <c r="B21" s="7">
        <v>0</v>
      </c>
      <c r="C21" s="7">
        <v>9.3991126600000001</v>
      </c>
      <c r="D21" s="7">
        <v>9.0858088800000001</v>
      </c>
      <c r="E21" s="7">
        <v>8.7791986099999999</v>
      </c>
      <c r="F21" s="7">
        <v>8.48655866</v>
      </c>
      <c r="G21" s="7">
        <v>8.2036733399999999</v>
      </c>
      <c r="H21" s="7">
        <v>7.9302175300000002</v>
      </c>
      <c r="I21" s="7">
        <v>7.6658768899999998</v>
      </c>
      <c r="J21" s="7">
        <v>7.4103476099999996</v>
      </c>
      <c r="K21" s="7">
        <v>7.1633359499999996</v>
      </c>
      <c r="L21" s="7">
        <v>6.9245580899999997</v>
      </c>
      <c r="M21" s="7">
        <v>6.6937394699999997</v>
      </c>
      <c r="N21" s="7">
        <v>6.6096307200000002</v>
      </c>
      <c r="O21" s="7">
        <v>6.8687257800000001</v>
      </c>
      <c r="P21" s="7">
        <v>7.1325361300000001</v>
      </c>
      <c r="Q21" s="7">
        <v>7.4031485100000003</v>
      </c>
      <c r="R21" s="7">
        <v>7.6787574599999999</v>
      </c>
      <c r="S21" s="7">
        <v>7.9602406500000003</v>
      </c>
      <c r="T21" s="7">
        <v>8.2474330299999998</v>
      </c>
      <c r="U21" s="7">
        <v>8.5389626500000002</v>
      </c>
      <c r="V21" s="7">
        <v>8.83763538</v>
      </c>
      <c r="W21" s="7">
        <v>9.1458399700000008</v>
      </c>
      <c r="X21" s="7">
        <v>9.4573475499999997</v>
      </c>
      <c r="Y21" s="7">
        <v>9.7756578899999997</v>
      </c>
      <c r="Z21" s="7">
        <v>10.10049631</v>
      </c>
      <c r="AA21" s="7">
        <v>10.432035109999999</v>
      </c>
      <c r="AB21" s="7">
        <v>10.77037855</v>
      </c>
      <c r="AC21" s="7">
        <v>11.11530479</v>
      </c>
    </row>
    <row r="22" spans="1:29" x14ac:dyDescent="0.85">
      <c r="A22" t="s">
        <v>120</v>
      </c>
      <c r="B22" s="7">
        <v>4.8616100000000002E-2</v>
      </c>
      <c r="C22" s="7">
        <v>4.6995559999999999E-2</v>
      </c>
      <c r="D22" s="7">
        <v>4.5429039999999997E-2</v>
      </c>
      <c r="E22" s="7">
        <v>4.3895990000000003E-2</v>
      </c>
      <c r="F22" s="7">
        <v>4.2432789999999998E-2</v>
      </c>
      <c r="G22" s="7">
        <v>4.1018369999999998E-2</v>
      </c>
      <c r="H22" s="7">
        <v>3.965109E-2</v>
      </c>
      <c r="I22" s="7">
        <v>3.8329380000000003E-2</v>
      </c>
      <c r="J22" s="7">
        <v>3.705174E-2</v>
      </c>
      <c r="K22" s="7">
        <v>3.5816679999999997E-2</v>
      </c>
      <c r="L22" s="7">
        <v>3.4622790000000001E-2</v>
      </c>
      <c r="M22" s="7">
        <v>3.3468699999999997E-2</v>
      </c>
      <c r="N22" s="7">
        <v>3.3048149999999998E-2</v>
      </c>
      <c r="O22" s="7">
        <v>3.434363E-2</v>
      </c>
      <c r="P22" s="7">
        <v>3.5662680000000002E-2</v>
      </c>
      <c r="Q22" s="7">
        <v>3.7015739999999998E-2</v>
      </c>
      <c r="R22" s="7">
        <v>3.8393789999999997E-2</v>
      </c>
      <c r="S22" s="7">
        <v>3.9801200000000002E-2</v>
      </c>
      <c r="T22" s="7">
        <v>4.1237169999999997E-2</v>
      </c>
      <c r="U22" s="7">
        <v>4.269481E-2</v>
      </c>
      <c r="V22" s="7">
        <v>4.4188180000000001E-2</v>
      </c>
      <c r="W22" s="7">
        <v>4.5729199999999998E-2</v>
      </c>
      <c r="X22" s="7">
        <v>4.7286740000000001E-2</v>
      </c>
      <c r="Y22" s="7">
        <v>4.8878289999999998E-2</v>
      </c>
      <c r="Z22" s="7">
        <v>5.0502480000000002E-2</v>
      </c>
      <c r="AA22" s="7">
        <v>5.216018E-2</v>
      </c>
      <c r="AB22" s="7">
        <v>5.3851889999999999E-2</v>
      </c>
      <c r="AC22" s="7">
        <v>5.5576519999999997E-2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5569.3339700300003</v>
      </c>
      <c r="F23" s="7">
        <v>5383.6895049799996</v>
      </c>
      <c r="G23" s="7">
        <v>5204.2331881500004</v>
      </c>
      <c r="H23" s="7">
        <v>5030.7587485399999</v>
      </c>
      <c r="I23" s="7">
        <v>4863.0667902599998</v>
      </c>
      <c r="J23" s="7">
        <v>4700.9645639199998</v>
      </c>
      <c r="K23" s="7">
        <v>4544.2657451200002</v>
      </c>
      <c r="L23" s="7">
        <v>4392.7902242999999</v>
      </c>
      <c r="M23" s="7">
        <v>4246.3638834900003</v>
      </c>
      <c r="N23" s="7">
        <v>4193.0071047600004</v>
      </c>
      <c r="O23" s="7">
        <v>4357.3714183399998</v>
      </c>
      <c r="P23" s="7">
        <v>4524.7270138900003</v>
      </c>
      <c r="Q23" s="7">
        <v>4696.3976678199997</v>
      </c>
      <c r="R23" s="7">
        <v>4871.2380405100002</v>
      </c>
      <c r="S23" s="7">
        <v>5049.8048987399998</v>
      </c>
      <c r="T23" s="7">
        <v>5231.9935475700004</v>
      </c>
      <c r="U23" s="7">
        <v>5416.9336518500004</v>
      </c>
      <c r="V23" s="7">
        <v>5606.4051874099996</v>
      </c>
      <c r="W23" s="7">
        <v>5801.9235242599998</v>
      </c>
      <c r="X23" s="7">
        <v>5999.5372098500002</v>
      </c>
      <c r="Y23" s="7">
        <v>6201.4664269300001</v>
      </c>
      <c r="Z23" s="7">
        <v>6407.5369088199996</v>
      </c>
      <c r="AA23" s="7">
        <v>6617.85796828</v>
      </c>
      <c r="AB23" s="7">
        <v>6832.4957456100001</v>
      </c>
      <c r="AC23" s="7">
        <v>7051.3095091799996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</v>
      </c>
      <c r="F25" s="7">
        <v>0.99957304000000002</v>
      </c>
      <c r="G25" s="7">
        <v>1</v>
      </c>
      <c r="H25" s="7">
        <v>1</v>
      </c>
      <c r="I25" s="7">
        <v>1</v>
      </c>
      <c r="J25" s="7">
        <v>0.99999998999999995</v>
      </c>
      <c r="K25" s="7">
        <v>0.99999998999999995</v>
      </c>
      <c r="L25" s="7">
        <v>0.99999998999999995</v>
      </c>
      <c r="M25" s="7">
        <v>1</v>
      </c>
      <c r="N25" s="7">
        <v>1</v>
      </c>
      <c r="O25" s="7">
        <v>1.02148419</v>
      </c>
      <c r="P25" s="7">
        <v>1.0750341000000001</v>
      </c>
      <c r="Q25" s="7">
        <v>1.07421462</v>
      </c>
      <c r="R25" s="7">
        <v>1.0737316100000001</v>
      </c>
      <c r="S25" s="7">
        <v>1.0729951200000001</v>
      </c>
      <c r="T25" s="7">
        <v>1.0724041900000001</v>
      </c>
      <c r="U25" s="7">
        <v>1.0718051900000001</v>
      </c>
      <c r="V25" s="7">
        <v>1.0710495799999999</v>
      </c>
      <c r="W25" s="7">
        <v>1.0706665200000001</v>
      </c>
      <c r="X25" s="7">
        <v>1.07055941</v>
      </c>
      <c r="Y25" s="7">
        <v>1.0697172699999999</v>
      </c>
      <c r="Z25" s="7">
        <v>1.06930083</v>
      </c>
      <c r="AA25" s="7">
        <v>1.06885791</v>
      </c>
      <c r="AB25" s="7">
        <v>1.0684386299999999</v>
      </c>
      <c r="AC25" s="7">
        <v>1.0680342599999999</v>
      </c>
    </row>
    <row r="26" spans="1:29" x14ac:dyDescent="0.85">
      <c r="A26" t="s">
        <v>124</v>
      </c>
      <c r="B26" s="7">
        <v>1</v>
      </c>
      <c r="C26" s="7">
        <v>1</v>
      </c>
      <c r="D26" s="7">
        <v>1</v>
      </c>
      <c r="E26" s="7">
        <v>0.99957304000000002</v>
      </c>
      <c r="F26" s="7">
        <v>1</v>
      </c>
      <c r="G26" s="7">
        <v>1</v>
      </c>
      <c r="H26" s="7">
        <v>1</v>
      </c>
      <c r="I26" s="7">
        <v>0.99999998999999995</v>
      </c>
      <c r="J26" s="7">
        <v>0.99999998999999995</v>
      </c>
      <c r="K26" s="7">
        <v>0.99999998999999995</v>
      </c>
      <c r="L26" s="7">
        <v>1</v>
      </c>
      <c r="M26" s="7">
        <v>1</v>
      </c>
      <c r="N26" s="7">
        <v>1.02148419</v>
      </c>
      <c r="O26" s="7">
        <v>1.0750341000000001</v>
      </c>
      <c r="P26" s="7">
        <v>1.07421462</v>
      </c>
      <c r="Q26" s="7">
        <v>1.0737316100000001</v>
      </c>
      <c r="R26" s="7">
        <v>1.0729951200000001</v>
      </c>
      <c r="S26" s="7">
        <v>1.0724041900000001</v>
      </c>
      <c r="T26" s="7">
        <v>1.0718051900000001</v>
      </c>
      <c r="U26" s="7">
        <v>1.0710495799999999</v>
      </c>
      <c r="V26" s="7">
        <v>1.0706665200000001</v>
      </c>
      <c r="W26" s="7">
        <v>1.07055941</v>
      </c>
      <c r="X26" s="7">
        <v>1.0697172699999999</v>
      </c>
      <c r="Y26" s="7">
        <v>1.06930083</v>
      </c>
      <c r="Z26" s="7">
        <v>1.06885791</v>
      </c>
      <c r="AA26" s="7">
        <v>1.0684386299999999</v>
      </c>
      <c r="AB26" s="7">
        <v>1.0680342599999999</v>
      </c>
      <c r="AC26" s="7">
        <v>1.0676125400000001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1.06768558</v>
      </c>
      <c r="E27" s="7">
        <v>1.0703617299999999</v>
      </c>
      <c r="F27" s="7">
        <v>1.0729938400000001</v>
      </c>
      <c r="G27" s="7">
        <v>1.0748119700000001</v>
      </c>
      <c r="H27" s="7">
        <v>1.0767998599999999</v>
      </c>
      <c r="I27" s="7">
        <v>1.0788597200000001</v>
      </c>
      <c r="J27" s="7">
        <v>1.0810343899999999</v>
      </c>
      <c r="K27" s="7">
        <v>1.0833280199999999</v>
      </c>
      <c r="L27" s="7">
        <v>1.08574766</v>
      </c>
      <c r="M27" s="7">
        <v>1.08830027</v>
      </c>
      <c r="N27" s="7">
        <v>1.09099371</v>
      </c>
      <c r="O27" s="7">
        <v>1.0926304499999999</v>
      </c>
      <c r="P27" s="7">
        <v>1.0914463599999999</v>
      </c>
      <c r="Q27" s="7">
        <v>1.09033549</v>
      </c>
      <c r="R27" s="7">
        <v>1.0892773099999999</v>
      </c>
      <c r="S27" s="7">
        <v>1.08828171</v>
      </c>
      <c r="T27" s="7">
        <v>1.08733849</v>
      </c>
      <c r="U27" s="7">
        <v>1.08644593</v>
      </c>
      <c r="V27" s="7">
        <v>1.0856121599999999</v>
      </c>
      <c r="W27" s="7">
        <v>1.0848122600000001</v>
      </c>
      <c r="X27" s="7">
        <v>1.0840291799999999</v>
      </c>
      <c r="Y27" s="7">
        <v>1.0833042500000001</v>
      </c>
      <c r="Z27" s="7">
        <v>1.08261232</v>
      </c>
      <c r="AA27" s="7">
        <v>1.0819532700000001</v>
      </c>
      <c r="AB27" s="7">
        <v>1.0813248099999999</v>
      </c>
      <c r="AC27" s="7">
        <v>1.0807251499999999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2.9461000000000001E-3</v>
      </c>
      <c r="E36" s="7">
        <v>0</v>
      </c>
      <c r="F36" s="7">
        <v>4.0550100000000004E-3</v>
      </c>
      <c r="G36" s="7">
        <v>0</v>
      </c>
      <c r="H36" s="7">
        <v>0</v>
      </c>
      <c r="I36" s="7">
        <v>1.5232000000000001E-4</v>
      </c>
      <c r="J36" s="7">
        <v>0</v>
      </c>
      <c r="K36" s="7">
        <v>1E-8</v>
      </c>
      <c r="L36" s="7">
        <v>1E-8</v>
      </c>
      <c r="M36" s="7">
        <v>1E-8</v>
      </c>
      <c r="N36" s="7">
        <v>1E-8</v>
      </c>
      <c r="O36" s="7">
        <v>1E-8</v>
      </c>
      <c r="P36" s="7">
        <v>1E-8</v>
      </c>
      <c r="Q36" s="7">
        <v>1E-8</v>
      </c>
      <c r="R36" s="7">
        <v>1E-8</v>
      </c>
      <c r="S36" s="7">
        <v>1E-8</v>
      </c>
      <c r="T36" s="7">
        <v>0</v>
      </c>
      <c r="U36" s="7">
        <v>0</v>
      </c>
      <c r="V36" s="7">
        <v>1E-8</v>
      </c>
      <c r="W36" s="7">
        <v>1E-8</v>
      </c>
      <c r="X36" s="7">
        <v>0</v>
      </c>
      <c r="Y36" s="7">
        <v>2E-8</v>
      </c>
      <c r="Z36" s="7">
        <v>2.9999999999999997E-8</v>
      </c>
      <c r="AA36" s="7">
        <v>2.9999999999999997E-8</v>
      </c>
      <c r="AB36" s="7">
        <v>1E-8</v>
      </c>
      <c r="AC36" s="7">
        <v>1E-8</v>
      </c>
    </row>
    <row r="37" spans="1:29" x14ac:dyDescent="0.85">
      <c r="A37" t="s">
        <v>135</v>
      </c>
      <c r="B37" s="7">
        <v>1</v>
      </c>
      <c r="C37" s="7">
        <v>2.9461000000000001E-3</v>
      </c>
      <c r="D37" s="7">
        <v>0</v>
      </c>
      <c r="E37" s="7">
        <v>4.0550100000000004E-3</v>
      </c>
      <c r="F37" s="7">
        <v>0</v>
      </c>
      <c r="G37" s="7">
        <v>0</v>
      </c>
      <c r="H37" s="7">
        <v>1.5232000000000001E-4</v>
      </c>
      <c r="I37" s="7">
        <v>0</v>
      </c>
      <c r="J37" s="7">
        <v>1E-8</v>
      </c>
      <c r="K37" s="7">
        <v>1E-8</v>
      </c>
      <c r="L37" s="7">
        <v>1E-8</v>
      </c>
      <c r="M37" s="7">
        <v>1E-8</v>
      </c>
      <c r="N37" s="7">
        <v>1E-8</v>
      </c>
      <c r="O37" s="7">
        <v>1E-8</v>
      </c>
      <c r="P37" s="7">
        <v>1E-8</v>
      </c>
      <c r="Q37" s="7">
        <v>1E-8</v>
      </c>
      <c r="R37" s="7">
        <v>1E-8</v>
      </c>
      <c r="S37" s="7">
        <v>0</v>
      </c>
      <c r="T37" s="7">
        <v>0</v>
      </c>
      <c r="U37" s="7">
        <v>1E-8</v>
      </c>
      <c r="V37" s="7">
        <v>1E-8</v>
      </c>
      <c r="W37" s="7">
        <v>0</v>
      </c>
      <c r="X37" s="7">
        <v>2E-8</v>
      </c>
      <c r="Y37" s="7">
        <v>2.9999999999999997E-8</v>
      </c>
      <c r="Z37" s="7">
        <v>2.9999999999999997E-8</v>
      </c>
      <c r="AA37" s="7">
        <v>1E-8</v>
      </c>
      <c r="AB37" s="7">
        <v>1E-8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3983.8500632999999</v>
      </c>
      <c r="D39" s="7">
        <v>3884.25505273</v>
      </c>
      <c r="E39" s="7">
        <v>3787.67881425</v>
      </c>
      <c r="F39" s="7">
        <v>3692.98729675</v>
      </c>
      <c r="G39" s="7">
        <v>3601.71228733</v>
      </c>
      <c r="H39" s="7">
        <v>3511.6694801399999</v>
      </c>
      <c r="I39" s="7">
        <v>3423.87774567</v>
      </c>
      <c r="J39" s="7">
        <v>3338.2811263200001</v>
      </c>
      <c r="K39" s="7">
        <v>3254.8241368399999</v>
      </c>
      <c r="L39" s="7">
        <v>3173.45353342</v>
      </c>
      <c r="M39" s="7">
        <v>3094.1172165200001</v>
      </c>
      <c r="N39" s="7">
        <v>3016.7652207400001</v>
      </c>
      <c r="O39" s="7">
        <v>2941.4391468899998</v>
      </c>
      <c r="P39" s="7">
        <v>2867.9032113600001</v>
      </c>
      <c r="Q39" s="7">
        <v>2796.20563141</v>
      </c>
      <c r="R39" s="7">
        <v>2726.3004921500001</v>
      </c>
      <c r="S39" s="7">
        <v>2658.1429813999998</v>
      </c>
      <c r="T39" s="7">
        <v>2591.68940926</v>
      </c>
      <c r="U39" s="7">
        <v>2526.8971770200001</v>
      </c>
      <c r="V39" s="7">
        <v>2463.72475609</v>
      </c>
      <c r="W39" s="7">
        <v>2402.1320079000002</v>
      </c>
      <c r="X39" s="7">
        <v>2342.07879521</v>
      </c>
      <c r="Y39" s="7">
        <v>2283.52683918</v>
      </c>
      <c r="Z39" s="7">
        <v>2226.4386973199998</v>
      </c>
      <c r="AA39" s="7">
        <v>2170.77774593</v>
      </c>
      <c r="AB39" s="7">
        <v>2116.5083266199999</v>
      </c>
      <c r="AC39" s="7">
        <v>2063.59624072</v>
      </c>
    </row>
    <row r="40" spans="1:29" x14ac:dyDescent="0.85">
      <c r="A40" t="s">
        <v>138</v>
      </c>
      <c r="B40" s="7">
        <v>30292965.75</v>
      </c>
      <c r="C40" s="7">
        <v>29535642.075560801</v>
      </c>
      <c r="D40" s="7">
        <v>28797260.224321201</v>
      </c>
      <c r="E40" s="7">
        <v>28081259.077826701</v>
      </c>
      <c r="F40" s="7">
        <v>27379230.958333101</v>
      </c>
      <c r="G40" s="7">
        <v>26702532.295978699</v>
      </c>
      <c r="H40" s="7">
        <v>26034968.949715398</v>
      </c>
      <c r="I40" s="7">
        <v>25384094.744715001</v>
      </c>
      <c r="J40" s="7">
        <v>24749494.7803455</v>
      </c>
      <c r="K40" s="7">
        <v>24130757.6975866</v>
      </c>
      <c r="L40" s="7">
        <v>23527488.751661699</v>
      </c>
      <c r="M40" s="7">
        <v>22939301.6918245</v>
      </c>
      <c r="N40" s="7">
        <v>22365826.0787629</v>
      </c>
      <c r="O40" s="7">
        <v>21807370.3343651</v>
      </c>
      <c r="P40" s="7">
        <v>21262186.3958303</v>
      </c>
      <c r="Q40" s="7">
        <v>20730631.738421898</v>
      </c>
      <c r="R40" s="7">
        <v>20212365.956263602</v>
      </c>
      <c r="S40" s="7">
        <v>19707056.8189312</v>
      </c>
      <c r="T40" s="7">
        <v>19214380.4161838</v>
      </c>
      <c r="U40" s="7">
        <v>18734020.927932899</v>
      </c>
      <c r="V40" s="7">
        <v>18265670.467742801</v>
      </c>
      <c r="W40" s="7">
        <v>17809031.4544206</v>
      </c>
      <c r="X40" s="7">
        <v>17363806.316879399</v>
      </c>
      <c r="Y40" s="7">
        <v>16929711.2615899</v>
      </c>
      <c r="Z40" s="7">
        <v>16506468.6960003</v>
      </c>
      <c r="AA40" s="7">
        <v>16093807.097506201</v>
      </c>
      <c r="AB40" s="7">
        <v>15691462.1005469</v>
      </c>
      <c r="AC40" s="7">
        <v>15299180.161400599</v>
      </c>
    </row>
    <row r="41" spans="1:29" x14ac:dyDescent="0.85">
      <c r="A41" t="s">
        <v>139</v>
      </c>
      <c r="B41" s="7">
        <v>30292965.75</v>
      </c>
      <c r="C41" s="7">
        <v>29535642.075560801</v>
      </c>
      <c r="D41" s="7">
        <v>28797260.224321201</v>
      </c>
      <c r="E41" s="7">
        <v>28081259.077826701</v>
      </c>
      <c r="F41" s="7">
        <v>27379230.958333101</v>
      </c>
      <c r="G41" s="7">
        <v>26702532.295978699</v>
      </c>
      <c r="H41" s="7">
        <v>26034968.949715398</v>
      </c>
      <c r="I41" s="7">
        <v>25384094.744715001</v>
      </c>
      <c r="J41" s="7">
        <v>24749494.7803455</v>
      </c>
      <c r="K41" s="7">
        <v>24130757.6975866</v>
      </c>
      <c r="L41" s="7">
        <v>23527488.751661699</v>
      </c>
      <c r="M41" s="7">
        <v>22939301.6918245</v>
      </c>
      <c r="N41" s="7">
        <v>22365826.0787629</v>
      </c>
      <c r="O41" s="7">
        <v>21807370.3343651</v>
      </c>
      <c r="P41" s="7">
        <v>21262186.3958303</v>
      </c>
      <c r="Q41" s="7">
        <v>20730631.738421898</v>
      </c>
      <c r="R41" s="7">
        <v>20212365.956263602</v>
      </c>
      <c r="S41" s="7">
        <v>19707056.8189312</v>
      </c>
      <c r="T41" s="7">
        <v>19214380.4161838</v>
      </c>
      <c r="U41" s="7">
        <v>18734020.927932899</v>
      </c>
      <c r="V41" s="7">
        <v>18265670.467742801</v>
      </c>
      <c r="W41" s="7">
        <v>17809031.4544206</v>
      </c>
      <c r="X41" s="7">
        <v>17363806.316879399</v>
      </c>
      <c r="Y41" s="7">
        <v>16929711.2615899</v>
      </c>
      <c r="Z41" s="7">
        <v>16506468.6960003</v>
      </c>
      <c r="AA41" s="7">
        <v>16093807.097506201</v>
      </c>
      <c r="AB41" s="7">
        <v>15691462.1005469</v>
      </c>
      <c r="AC41" s="7">
        <v>15299180.161400599</v>
      </c>
    </row>
    <row r="42" spans="1:29" x14ac:dyDescent="0.85">
      <c r="A42" t="s">
        <v>140</v>
      </c>
      <c r="B42" s="7">
        <v>4713.3986388399999</v>
      </c>
      <c r="C42" s="7">
        <v>4595.5637458900001</v>
      </c>
      <c r="D42" s="7">
        <v>4480.6760838099999</v>
      </c>
      <c r="E42" s="7">
        <v>4369.2707213499998</v>
      </c>
      <c r="F42" s="7">
        <v>4260.0394757100003</v>
      </c>
      <c r="G42" s="7">
        <v>4154.7493373899997</v>
      </c>
      <c r="H42" s="7">
        <v>4050.8806035600001</v>
      </c>
      <c r="I42" s="7">
        <v>3949.6085913900001</v>
      </c>
      <c r="J42" s="7">
        <v>3850.8687506900001</v>
      </c>
      <c r="K42" s="7">
        <v>3754.5970765400002</v>
      </c>
      <c r="L42" s="7">
        <v>3660.7321495900001</v>
      </c>
      <c r="M42" s="7">
        <v>3569.2138705799998</v>
      </c>
      <c r="N42" s="7">
        <v>3479.9846019699999</v>
      </c>
      <c r="O42" s="7">
        <v>3393.0923322799999</v>
      </c>
      <c r="P42" s="7">
        <v>3308.2650737399999</v>
      </c>
      <c r="Q42" s="7">
        <v>3225.5584472800001</v>
      </c>
      <c r="R42" s="7">
        <v>3144.9194878600001</v>
      </c>
      <c r="S42" s="7">
        <v>3066.2965024599998</v>
      </c>
      <c r="T42" s="7">
        <v>2989.6390926600002</v>
      </c>
      <c r="U42" s="7">
        <v>2914.8981187899999</v>
      </c>
      <c r="V42" s="7">
        <v>2842.0256756200001</v>
      </c>
      <c r="W42" s="7">
        <v>2770.9754613599998</v>
      </c>
      <c r="X42" s="7">
        <v>2701.7011757800001</v>
      </c>
      <c r="Y42" s="7">
        <v>2634.1586623500002</v>
      </c>
      <c r="Z42" s="7">
        <v>2568.3047293999998</v>
      </c>
      <c r="AA42" s="7">
        <v>2504.0971296600001</v>
      </c>
      <c r="AB42" s="7">
        <v>2441.4947295000002</v>
      </c>
      <c r="AC42" s="7">
        <v>2380.4580790800001</v>
      </c>
    </row>
    <row r="43" spans="1:29" x14ac:dyDescent="0.85">
      <c r="A43" t="s">
        <v>141</v>
      </c>
      <c r="B43" s="7">
        <v>0</v>
      </c>
      <c r="C43" s="7">
        <v>17.721385250000001</v>
      </c>
      <c r="D43" s="7">
        <v>17.278356129999999</v>
      </c>
      <c r="E43" s="7">
        <v>16.848755449999999</v>
      </c>
      <c r="F43" s="7">
        <v>16.427538569999999</v>
      </c>
      <c r="G43" s="7">
        <v>16.021519380000001</v>
      </c>
      <c r="H43" s="7">
        <v>15.620981370000001</v>
      </c>
      <c r="I43" s="7">
        <v>15.230456849999999</v>
      </c>
      <c r="J43" s="7">
        <v>14.849696870000001</v>
      </c>
      <c r="K43" s="7">
        <v>14.478454620000001</v>
      </c>
      <c r="L43" s="7">
        <v>14.11649325</v>
      </c>
      <c r="M43" s="7">
        <v>13.76358102</v>
      </c>
      <c r="N43" s="7">
        <v>13.41949565</v>
      </c>
      <c r="O43" s="7">
        <v>13.084422200000001</v>
      </c>
      <c r="P43" s="7">
        <v>12.75731184</v>
      </c>
      <c r="Q43" s="7">
        <v>12.438379039999999</v>
      </c>
      <c r="R43" s="7">
        <v>12.127419570000001</v>
      </c>
      <c r="S43" s="7">
        <v>11.824234089999999</v>
      </c>
      <c r="T43" s="7">
        <v>11.528628250000001</v>
      </c>
      <c r="U43" s="7">
        <v>11.240412559999999</v>
      </c>
      <c r="V43" s="7">
        <v>10.959402280000001</v>
      </c>
      <c r="W43" s="7">
        <v>10.685418869999999</v>
      </c>
      <c r="X43" s="7">
        <v>10.41828379</v>
      </c>
      <c r="Y43" s="7">
        <v>10.157826760000001</v>
      </c>
      <c r="Z43" s="7">
        <v>9.9038812200000006</v>
      </c>
      <c r="AA43" s="7">
        <v>9.6562842599999996</v>
      </c>
      <c r="AB43" s="7">
        <v>9.4148772600000008</v>
      </c>
      <c r="AC43" s="7">
        <v>9.1795080999999996</v>
      </c>
    </row>
    <row r="44" spans="1:29" x14ac:dyDescent="0.85">
      <c r="A44" t="s">
        <v>142</v>
      </c>
      <c r="B44" s="7">
        <v>9.0878899999999999E-2</v>
      </c>
      <c r="C44" s="7">
        <v>8.860693E-2</v>
      </c>
      <c r="D44" s="7">
        <v>8.6391780000000001E-2</v>
      </c>
      <c r="E44" s="7">
        <v>8.4243780000000004E-2</v>
      </c>
      <c r="F44" s="7">
        <v>8.2137689999999999E-2</v>
      </c>
      <c r="G44" s="7">
        <v>8.0107600000000001E-2</v>
      </c>
      <c r="H44" s="7">
        <v>7.810491E-2</v>
      </c>
      <c r="I44" s="7">
        <v>7.6152280000000003E-2</v>
      </c>
      <c r="J44" s="7">
        <v>7.4248480000000006E-2</v>
      </c>
      <c r="K44" s="7">
        <v>7.2392269999999995E-2</v>
      </c>
      <c r="L44" s="7">
        <v>7.0582469999999994E-2</v>
      </c>
      <c r="M44" s="7">
        <v>6.8817909999999996E-2</v>
      </c>
      <c r="N44" s="7">
        <v>6.7097480000000001E-2</v>
      </c>
      <c r="O44" s="7">
        <v>6.5422110000000006E-2</v>
      </c>
      <c r="P44" s="7">
        <v>6.3786560000000006E-2</v>
      </c>
      <c r="Q44" s="7">
        <v>6.2191900000000001E-2</v>
      </c>
      <c r="R44" s="7">
        <v>6.0637099999999999E-2</v>
      </c>
      <c r="S44" s="7">
        <v>5.9121170000000001E-2</v>
      </c>
      <c r="T44" s="7">
        <v>5.7643140000000002E-2</v>
      </c>
      <c r="U44" s="7">
        <v>5.6202059999999998E-2</v>
      </c>
      <c r="V44" s="7">
        <v>5.479701E-2</v>
      </c>
      <c r="W44" s="7">
        <v>5.3427090000000003E-2</v>
      </c>
      <c r="X44" s="7">
        <v>5.2091419999999999E-2</v>
      </c>
      <c r="Y44" s="7">
        <v>5.0789130000000002E-2</v>
      </c>
      <c r="Z44" s="7">
        <v>4.951941E-2</v>
      </c>
      <c r="AA44" s="7">
        <v>4.8281419999999999E-2</v>
      </c>
      <c r="AB44" s="7">
        <v>4.7074390000000001E-2</v>
      </c>
      <c r="AC44" s="7">
        <v>4.5897540000000001E-2</v>
      </c>
    </row>
    <row r="45" spans="1:29" x14ac:dyDescent="0.85">
      <c r="A45" t="s">
        <v>143</v>
      </c>
      <c r="B45" s="7">
        <v>4407.1367551100002</v>
      </c>
      <c r="C45" s="7">
        <v>4296.95840451</v>
      </c>
      <c r="D45" s="7">
        <v>4189.53578294</v>
      </c>
      <c r="E45" s="7">
        <v>4085.3691920699998</v>
      </c>
      <c r="F45" s="7">
        <v>3983.2354507300001</v>
      </c>
      <c r="G45" s="7">
        <v>3884.7867358799999</v>
      </c>
      <c r="H45" s="7">
        <v>3787.6670674799998</v>
      </c>
      <c r="I45" s="7">
        <v>3692.9753935200001</v>
      </c>
      <c r="J45" s="7">
        <v>3600.6513584600002</v>
      </c>
      <c r="K45" s="7">
        <v>3510.6351162199999</v>
      </c>
      <c r="L45" s="7">
        <v>3422.8692383100001</v>
      </c>
      <c r="M45" s="7">
        <v>3337.2975304800002</v>
      </c>
      <c r="N45" s="7">
        <v>3253.8661003100001</v>
      </c>
      <c r="O45" s="7">
        <v>3172.6198181999998</v>
      </c>
      <c r="P45" s="7">
        <v>3093.3043692699998</v>
      </c>
      <c r="Q45" s="7">
        <v>3015.9717604000002</v>
      </c>
      <c r="R45" s="7">
        <v>2940.5724680399999</v>
      </c>
      <c r="S45" s="7">
        <v>2867.0581580200001</v>
      </c>
      <c r="T45" s="7">
        <v>2795.3817066500001</v>
      </c>
      <c r="U45" s="7">
        <v>2725.49716721</v>
      </c>
      <c r="V45" s="7">
        <v>2657.3597471899998</v>
      </c>
      <c r="W45" s="7">
        <v>2590.9261533600002</v>
      </c>
      <c r="X45" s="7">
        <v>2526.1530939200002</v>
      </c>
      <c r="Y45" s="7">
        <v>2462.9992815000001</v>
      </c>
      <c r="Z45" s="7">
        <v>2401.4243308800001</v>
      </c>
      <c r="AA45" s="7">
        <v>2341.3887399099999</v>
      </c>
      <c r="AB45" s="7">
        <v>2282.8540476600001</v>
      </c>
      <c r="AC45" s="7">
        <v>2225.7833676400001</v>
      </c>
    </row>
    <row r="46" spans="1:29" x14ac:dyDescent="0.85">
      <c r="A46" t="s">
        <v>144</v>
      </c>
      <c r="B46" s="7">
        <v>306.26188373000002</v>
      </c>
      <c r="C46" s="7">
        <v>298.60534138000003</v>
      </c>
      <c r="D46" s="7">
        <v>291.14030086999998</v>
      </c>
      <c r="E46" s="7">
        <v>283.90152927999998</v>
      </c>
      <c r="F46" s="7">
        <v>276.80402499000002</v>
      </c>
      <c r="G46" s="7">
        <v>269.96260151000001</v>
      </c>
      <c r="H46" s="7">
        <v>263.21353607999998</v>
      </c>
      <c r="I46" s="7">
        <v>256.63319787</v>
      </c>
      <c r="J46" s="7">
        <v>250.21739223</v>
      </c>
      <c r="K46" s="7">
        <v>243.96196032</v>
      </c>
      <c r="L46" s="7">
        <v>237.86291127999999</v>
      </c>
      <c r="M46" s="7">
        <v>231.91634010000001</v>
      </c>
      <c r="N46" s="7">
        <v>226.11850165999999</v>
      </c>
      <c r="O46" s="7">
        <v>220.47251408</v>
      </c>
      <c r="P46" s="7">
        <v>214.96070445999999</v>
      </c>
      <c r="Q46" s="7">
        <v>209.58668688</v>
      </c>
      <c r="R46" s="7">
        <v>204.34701982000001</v>
      </c>
      <c r="S46" s="7">
        <v>199.23834443999999</v>
      </c>
      <c r="T46" s="7">
        <v>194.25738601</v>
      </c>
      <c r="U46" s="7">
        <v>189.40095158</v>
      </c>
      <c r="V46" s="7">
        <v>184.66592843000001</v>
      </c>
      <c r="W46" s="7">
        <v>180.049308</v>
      </c>
      <c r="X46" s="7">
        <v>175.54808186</v>
      </c>
      <c r="Y46" s="7">
        <v>171.15938084999999</v>
      </c>
      <c r="Z46" s="7">
        <v>166.88039852</v>
      </c>
      <c r="AA46" s="7">
        <v>162.70838975999999</v>
      </c>
      <c r="AB46" s="7">
        <v>158.64068184000001</v>
      </c>
      <c r="AC46" s="7">
        <v>154.67471143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1.0000000200000001</v>
      </c>
      <c r="E47" s="7">
        <v>1.0000003200000001</v>
      </c>
      <c r="F47" s="7">
        <v>1.0001399799999999</v>
      </c>
      <c r="G47" s="7">
        <v>1.0000001199999999</v>
      </c>
      <c r="H47" s="7">
        <v>1.00029152</v>
      </c>
      <c r="I47" s="7">
        <v>1</v>
      </c>
      <c r="J47" s="7">
        <v>1</v>
      </c>
      <c r="K47" s="7">
        <v>1.0000001000000001</v>
      </c>
      <c r="L47" s="7">
        <v>1.0000000099999999</v>
      </c>
      <c r="M47" s="7">
        <v>1</v>
      </c>
      <c r="N47" s="7">
        <v>1.0000000099999999</v>
      </c>
      <c r="O47" s="7">
        <v>1.0000003099999999</v>
      </c>
      <c r="P47" s="7">
        <v>1.00003164</v>
      </c>
      <c r="Q47" s="7">
        <v>1.0000000200000001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1.00000015</v>
      </c>
      <c r="Y47" s="7">
        <v>1.00000004</v>
      </c>
      <c r="Z47" s="7">
        <v>1.0000000099999999</v>
      </c>
      <c r="AA47" s="7">
        <v>1.0000000099999999</v>
      </c>
      <c r="AB47" s="7">
        <v>1.0000000099999999</v>
      </c>
      <c r="AC47" s="7">
        <v>1.0000000099999999</v>
      </c>
    </row>
    <row r="48" spans="1:29" x14ac:dyDescent="0.85">
      <c r="A48" t="s">
        <v>146</v>
      </c>
      <c r="B48" s="7">
        <v>1</v>
      </c>
      <c r="C48" s="7">
        <v>1.0000000200000001</v>
      </c>
      <c r="D48" s="7">
        <v>1.0000003200000001</v>
      </c>
      <c r="E48" s="7">
        <v>1.0001399799999999</v>
      </c>
      <c r="F48" s="7">
        <v>1.0000001199999999</v>
      </c>
      <c r="G48" s="7">
        <v>1.00029152</v>
      </c>
      <c r="H48" s="7">
        <v>1</v>
      </c>
      <c r="I48" s="7">
        <v>1</v>
      </c>
      <c r="J48" s="7">
        <v>1.0000001000000001</v>
      </c>
      <c r="K48" s="7">
        <v>1.0000000099999999</v>
      </c>
      <c r="L48" s="7">
        <v>1</v>
      </c>
      <c r="M48" s="7">
        <v>1.0000000099999999</v>
      </c>
      <c r="N48" s="7">
        <v>1.0000003099999999</v>
      </c>
      <c r="O48" s="7">
        <v>1.00003164</v>
      </c>
      <c r="P48" s="7">
        <v>1.0000000200000001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1.00000015</v>
      </c>
      <c r="X48" s="7">
        <v>1.00000004</v>
      </c>
      <c r="Y48" s="7">
        <v>1.0000000099999999</v>
      </c>
      <c r="Z48" s="7">
        <v>1.0000000099999999</v>
      </c>
      <c r="AA48" s="7">
        <v>1.0000000099999999</v>
      </c>
      <c r="AB48" s="7">
        <v>1.0000000099999999</v>
      </c>
      <c r="AC48" s="7">
        <v>1.0000003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1.56365818</v>
      </c>
      <c r="E49" s="7">
        <v>1.58926112</v>
      </c>
      <c r="F49" s="7">
        <v>1.6138101199999999</v>
      </c>
      <c r="G49" s="7">
        <v>1.6289332299999999</v>
      </c>
      <c r="H49" s="7">
        <v>1.64544209</v>
      </c>
      <c r="I49" s="7">
        <v>1.6625842900000001</v>
      </c>
      <c r="J49" s="7">
        <v>1.68063059</v>
      </c>
      <c r="K49" s="7">
        <v>1.69959791</v>
      </c>
      <c r="L49" s="7">
        <v>1.7195336299999999</v>
      </c>
      <c r="M49" s="7">
        <v>1.7404815199999999</v>
      </c>
      <c r="N49" s="7">
        <v>1.7624930400000001</v>
      </c>
      <c r="O49" s="7">
        <v>1.7892985100000001</v>
      </c>
      <c r="P49" s="7">
        <v>1.8265604200000001</v>
      </c>
      <c r="Q49" s="7">
        <v>1.86565742</v>
      </c>
      <c r="R49" s="7">
        <v>1.90670443</v>
      </c>
      <c r="S49" s="7">
        <v>1.9497413100000001</v>
      </c>
      <c r="T49" s="7">
        <v>1.9948812899999999</v>
      </c>
      <c r="U49" s="7">
        <v>2.0422207399999999</v>
      </c>
      <c r="V49" s="7">
        <v>2.0918705499999999</v>
      </c>
      <c r="W49" s="7">
        <v>2.1439358899999998</v>
      </c>
      <c r="X49" s="7">
        <v>2.1985422899999998</v>
      </c>
      <c r="Y49" s="7">
        <v>2.2557800299999999</v>
      </c>
      <c r="Z49" s="7">
        <v>2.31580655</v>
      </c>
      <c r="AA49" s="7">
        <v>2.3787409899999998</v>
      </c>
      <c r="AB49" s="7">
        <v>2.4447227599999999</v>
      </c>
      <c r="AC49" s="7">
        <v>2.5138950499999999</v>
      </c>
    </row>
    <row r="50" spans="1:29" x14ac:dyDescent="0.85">
      <c r="A50" t="s">
        <v>148</v>
      </c>
      <c r="B50" s="7">
        <v>36957</v>
      </c>
      <c r="C50" s="7">
        <v>39796.318939359997</v>
      </c>
      <c r="D50" s="7">
        <v>42651.02833583</v>
      </c>
      <c r="E50" s="7">
        <v>45202.222415939999</v>
      </c>
      <c r="F50" s="7">
        <v>46324.78582289</v>
      </c>
      <c r="G50" s="7">
        <v>47564.76247917</v>
      </c>
      <c r="H50" s="7">
        <v>48771.032531980003</v>
      </c>
      <c r="I50" s="7">
        <v>49997.74571671</v>
      </c>
      <c r="J50" s="7">
        <v>51242.433517190002</v>
      </c>
      <c r="K50" s="7">
        <v>52506.277800290001</v>
      </c>
      <c r="L50" s="7">
        <v>53789.783533959999</v>
      </c>
      <c r="M50" s="7">
        <v>55094.093700060002</v>
      </c>
      <c r="N50" s="7">
        <v>56390.584205550003</v>
      </c>
      <c r="O50" s="7">
        <v>57639.365450040001</v>
      </c>
      <c r="P50" s="7">
        <v>58911.13050177</v>
      </c>
      <c r="Q50" s="7">
        <v>60205.548632359998</v>
      </c>
      <c r="R50" s="7">
        <v>61523.73256805</v>
      </c>
      <c r="S50" s="7">
        <v>62865.65252517</v>
      </c>
      <c r="T50" s="7">
        <v>64232.351745109998</v>
      </c>
      <c r="U50" s="7">
        <v>65629.574563279995</v>
      </c>
      <c r="V50" s="7">
        <v>67049.095352449993</v>
      </c>
      <c r="W50" s="7">
        <v>68485.381525160003</v>
      </c>
      <c r="X50" s="7">
        <v>69956.108910530005</v>
      </c>
      <c r="Y50" s="7">
        <v>71454.129861819994</v>
      </c>
      <c r="Z50" s="7">
        <v>72980.201568150005</v>
      </c>
      <c r="AA50" s="7">
        <v>74534.920630230001</v>
      </c>
      <c r="AB50" s="7">
        <v>76118.899289220004</v>
      </c>
      <c r="AC50" s="7">
        <v>77733.952144640003</v>
      </c>
    </row>
    <row r="51" spans="1:29" x14ac:dyDescent="0.85">
      <c r="A51" t="s">
        <v>149</v>
      </c>
      <c r="B51" s="7">
        <v>162649203.5</v>
      </c>
      <c r="C51" s="7">
        <v>176903218.55668101</v>
      </c>
      <c r="D51" s="7">
        <v>189725706.02003601</v>
      </c>
      <c r="E51" s="7">
        <v>201902013.78502101</v>
      </c>
      <c r="F51" s="7">
        <v>208097781.47161901</v>
      </c>
      <c r="G51" s="7">
        <v>214362512.55187601</v>
      </c>
      <c r="H51" s="7">
        <v>220714768.45554399</v>
      </c>
      <c r="I51" s="7">
        <v>227149445.328816</v>
      </c>
      <c r="J51" s="7">
        <v>233669425.64092499</v>
      </c>
      <c r="K51" s="7">
        <v>240277622.438068</v>
      </c>
      <c r="L51" s="7">
        <v>246976966.19912899</v>
      </c>
      <c r="M51" s="7">
        <v>253770414.86423001</v>
      </c>
      <c r="N51" s="7">
        <v>260521931.028606</v>
      </c>
      <c r="O51" s="7">
        <v>267037102.11531299</v>
      </c>
      <c r="P51" s="7">
        <v>273658601.929326</v>
      </c>
      <c r="Q51" s="7">
        <v>280386473.84011698</v>
      </c>
      <c r="R51" s="7">
        <v>287225398.43433797</v>
      </c>
      <c r="S51" s="7">
        <v>294177417.50476599</v>
      </c>
      <c r="T51" s="7">
        <v>301245658.47771698</v>
      </c>
      <c r="U51" s="7">
        <v>308434500.48704702</v>
      </c>
      <c r="V51" s="7">
        <v>315744190.57853299</v>
      </c>
      <c r="W51" s="7">
        <v>323175437.61760998</v>
      </c>
      <c r="X51" s="7">
        <v>330737624.02074999</v>
      </c>
      <c r="Y51" s="7">
        <v>338430446.982023</v>
      </c>
      <c r="Z51" s="7">
        <v>346257430.129022</v>
      </c>
      <c r="AA51" s="7">
        <v>354221703.51729</v>
      </c>
      <c r="AB51" s="7">
        <v>362326518.66368198</v>
      </c>
      <c r="AC51" s="7">
        <v>370575504.23474002</v>
      </c>
    </row>
    <row r="52" spans="1:29" x14ac:dyDescent="0.85">
      <c r="A52" t="s">
        <v>150</v>
      </c>
      <c r="B52" s="7">
        <v>162649203.5</v>
      </c>
      <c r="C52" s="7">
        <v>176903218.55668101</v>
      </c>
      <c r="D52" s="7">
        <v>189725706.02003601</v>
      </c>
      <c r="E52" s="7">
        <v>201902013.78502101</v>
      </c>
      <c r="F52" s="7">
        <v>208097781.47161901</v>
      </c>
      <c r="G52" s="7">
        <v>214362512.55187601</v>
      </c>
      <c r="H52" s="7">
        <v>220714768.45554399</v>
      </c>
      <c r="I52" s="7">
        <v>227149445.328816</v>
      </c>
      <c r="J52" s="7">
        <v>233669425.64092499</v>
      </c>
      <c r="K52" s="7">
        <v>240277622.438068</v>
      </c>
      <c r="L52" s="7">
        <v>246976966.19912899</v>
      </c>
      <c r="M52" s="7">
        <v>253770414.86423001</v>
      </c>
      <c r="N52" s="7">
        <v>260521931.028606</v>
      </c>
      <c r="O52" s="7">
        <v>267037102.11531299</v>
      </c>
      <c r="P52" s="7">
        <v>273658601.929326</v>
      </c>
      <c r="Q52" s="7">
        <v>280386473.84011698</v>
      </c>
      <c r="R52" s="7">
        <v>287225398.43433797</v>
      </c>
      <c r="S52" s="7">
        <v>294177417.50476599</v>
      </c>
      <c r="T52" s="7">
        <v>301245658.47771698</v>
      </c>
      <c r="U52" s="7">
        <v>308434500.48704702</v>
      </c>
      <c r="V52" s="7">
        <v>315744190.57853299</v>
      </c>
      <c r="W52" s="7">
        <v>323175437.61760998</v>
      </c>
      <c r="X52" s="7">
        <v>330737624.02074999</v>
      </c>
      <c r="Y52" s="7">
        <v>338430446.982023</v>
      </c>
      <c r="Z52" s="7">
        <v>346257430.129022</v>
      </c>
      <c r="AA52" s="7">
        <v>354221703.51729</v>
      </c>
      <c r="AB52" s="7">
        <v>362326518.66368198</v>
      </c>
      <c r="AC52" s="7">
        <v>370575504.23474002</v>
      </c>
    </row>
    <row r="53" spans="1:29" x14ac:dyDescent="0.85">
      <c r="A53" t="s">
        <v>151</v>
      </c>
      <c r="B53" s="7">
        <v>10977.091191949999</v>
      </c>
      <c r="C53" s="7">
        <v>11863.331852179999</v>
      </c>
      <c r="D53" s="7">
        <v>12717.56185425</v>
      </c>
      <c r="E53" s="7">
        <v>13498.467041829999</v>
      </c>
      <c r="F53" s="7">
        <v>13862.52442421</v>
      </c>
      <c r="G53" s="7">
        <v>14250.530524190001</v>
      </c>
      <c r="H53" s="7">
        <v>14634.28017785</v>
      </c>
      <c r="I53" s="7">
        <v>15023.917697299999</v>
      </c>
      <c r="J53" s="7">
        <v>15419.04529039</v>
      </c>
      <c r="K53" s="7">
        <v>15819.958162270001</v>
      </c>
      <c r="L53" s="7">
        <v>16226.82357773</v>
      </c>
      <c r="M53" s="7">
        <v>16639.930463289998</v>
      </c>
      <c r="N53" s="7">
        <v>17050.531291219999</v>
      </c>
      <c r="O53" s="7">
        <v>17446.317811630001</v>
      </c>
      <c r="P53" s="7">
        <v>17849.057355649998</v>
      </c>
      <c r="Q53" s="7">
        <v>18258.68826282</v>
      </c>
      <c r="R53" s="7">
        <v>18675.535754600001</v>
      </c>
      <c r="S53" s="7">
        <v>19099.644002640001</v>
      </c>
      <c r="T53" s="7">
        <v>19531.287154310001</v>
      </c>
      <c r="U53" s="7">
        <v>19971.66140461</v>
      </c>
      <c r="V53" s="7">
        <v>20419.212890170002</v>
      </c>
      <c r="W53" s="7">
        <v>20872.909718639999</v>
      </c>
      <c r="X53" s="7">
        <v>21336.332829390001</v>
      </c>
      <c r="Y53" s="7">
        <v>21808.11936873</v>
      </c>
      <c r="Z53" s="7">
        <v>22288.498904970002</v>
      </c>
      <c r="AA53" s="7">
        <v>22777.66094962</v>
      </c>
      <c r="AB53" s="7">
        <v>23275.800943859998</v>
      </c>
      <c r="AC53" s="7">
        <v>23783.351544130001</v>
      </c>
    </row>
    <row r="54" spans="1:29" x14ac:dyDescent="0.85">
      <c r="A54" t="s">
        <v>152</v>
      </c>
      <c r="B54" s="7">
        <v>0</v>
      </c>
      <c r="C54" s="7">
        <v>17336.51541855</v>
      </c>
      <c r="D54" s="7">
        <v>18593.119189960002</v>
      </c>
      <c r="E54" s="7">
        <v>19786.397350930001</v>
      </c>
      <c r="F54" s="7">
        <v>20393.582584219999</v>
      </c>
      <c r="G54" s="7">
        <v>21007.526230079999</v>
      </c>
      <c r="H54" s="7">
        <v>21630.047308640002</v>
      </c>
      <c r="I54" s="7">
        <v>22260.645642219999</v>
      </c>
      <c r="J54" s="7">
        <v>22899.60371281</v>
      </c>
      <c r="K54" s="7">
        <v>23547.20699893</v>
      </c>
      <c r="L54" s="7">
        <v>24203.742687509999</v>
      </c>
      <c r="M54" s="7">
        <v>24869.500656690001</v>
      </c>
      <c r="N54" s="7">
        <v>25531.149240800001</v>
      </c>
      <c r="O54" s="7">
        <v>26169.6360073</v>
      </c>
      <c r="P54" s="7">
        <v>26818.54298907</v>
      </c>
      <c r="Q54" s="7">
        <v>27477.874436329999</v>
      </c>
      <c r="R54" s="7">
        <v>28148.089046569999</v>
      </c>
      <c r="S54" s="7">
        <v>28829.386915470001</v>
      </c>
      <c r="T54" s="7">
        <v>29522.074530819998</v>
      </c>
      <c r="U54" s="7">
        <v>30226.58104773</v>
      </c>
      <c r="V54" s="7">
        <v>30942.930676700002</v>
      </c>
      <c r="W54" s="7">
        <v>31671.19288653</v>
      </c>
      <c r="X54" s="7">
        <v>32412.28715403</v>
      </c>
      <c r="Y54" s="7">
        <v>33166.183804239998</v>
      </c>
      <c r="Z54" s="7">
        <v>33933.228152639997</v>
      </c>
      <c r="AA54" s="7">
        <v>34713.726944690003</v>
      </c>
      <c r="AB54" s="7">
        <v>35507.99882904</v>
      </c>
      <c r="AC54" s="7">
        <v>36316.399415</v>
      </c>
    </row>
    <row r="55" spans="1:29" x14ac:dyDescent="0.85">
      <c r="A55" t="s">
        <v>153</v>
      </c>
      <c r="B55" s="7">
        <v>79.698109720000005</v>
      </c>
      <c r="C55" s="7">
        <v>86.682577089999995</v>
      </c>
      <c r="D55" s="7">
        <v>92.965595949999994</v>
      </c>
      <c r="E55" s="7">
        <v>98.931986749999993</v>
      </c>
      <c r="F55" s="7">
        <v>101.96791292</v>
      </c>
      <c r="G55" s="7">
        <v>105.03763115</v>
      </c>
      <c r="H55" s="7">
        <v>108.15023653999999</v>
      </c>
      <c r="I55" s="7">
        <v>111.30322821</v>
      </c>
      <c r="J55" s="7">
        <v>114.49801856000001</v>
      </c>
      <c r="K55" s="7">
        <v>117.73603498999999</v>
      </c>
      <c r="L55" s="7">
        <v>121.01871344</v>
      </c>
      <c r="M55" s="7">
        <v>124.34750328</v>
      </c>
      <c r="N55" s="7">
        <v>127.6557462</v>
      </c>
      <c r="O55" s="7">
        <v>130.84818003999999</v>
      </c>
      <c r="P55" s="7">
        <v>134.09271494999999</v>
      </c>
      <c r="Q55" s="7">
        <v>137.38937218000001</v>
      </c>
      <c r="R55" s="7">
        <v>140.74044523000001</v>
      </c>
      <c r="S55" s="7">
        <v>144.14693457999999</v>
      </c>
      <c r="T55" s="7">
        <v>147.61037264999999</v>
      </c>
      <c r="U55" s="7">
        <v>151.13290524000001</v>
      </c>
      <c r="V55" s="7">
        <v>154.71465337999999</v>
      </c>
      <c r="W55" s="7">
        <v>158.35596443</v>
      </c>
      <c r="X55" s="7">
        <v>162.06143577</v>
      </c>
      <c r="Y55" s="7">
        <v>165.83091902000001</v>
      </c>
      <c r="Z55" s="7">
        <v>169.66614075999999</v>
      </c>
      <c r="AA55" s="7">
        <v>173.56863472000001</v>
      </c>
      <c r="AB55" s="7">
        <v>177.53999415000001</v>
      </c>
      <c r="AC55" s="7">
        <v>181.58199708000001</v>
      </c>
    </row>
    <row r="56" spans="1:29" x14ac:dyDescent="0.85">
      <c r="A56" t="s">
        <v>154</v>
      </c>
      <c r="B56" s="7">
        <v>7008.4506265500004</v>
      </c>
      <c r="C56" s="7">
        <v>7546.8933194000001</v>
      </c>
      <c r="D56" s="7">
        <v>8088.2546273600001</v>
      </c>
      <c r="E56" s="7">
        <v>8572.0579054699992</v>
      </c>
      <c r="F56" s="7">
        <v>8784.9385562999996</v>
      </c>
      <c r="G56" s="7">
        <v>9020.08521793</v>
      </c>
      <c r="H56" s="7">
        <v>9248.8398275399995</v>
      </c>
      <c r="I56" s="7">
        <v>9481.4712312800002</v>
      </c>
      <c r="J56" s="7">
        <v>9717.5113047499999</v>
      </c>
      <c r="K56" s="7">
        <v>9957.1841747800008</v>
      </c>
      <c r="L56" s="7">
        <v>10200.58560248</v>
      </c>
      <c r="M56" s="7">
        <v>10447.9323406</v>
      </c>
      <c r="N56" s="7">
        <v>10693.79617412</v>
      </c>
      <c r="O56" s="7">
        <v>10930.61252002</v>
      </c>
      <c r="P56" s="7">
        <v>11171.787468570001</v>
      </c>
      <c r="Q56" s="7">
        <v>11417.25830112</v>
      </c>
      <c r="R56" s="7">
        <v>11667.2360328</v>
      </c>
      <c r="S56" s="7">
        <v>11921.71501552</v>
      </c>
      <c r="T56" s="7">
        <v>12180.89308745</v>
      </c>
      <c r="U56" s="7">
        <v>12445.85959272</v>
      </c>
      <c r="V56" s="7">
        <v>12715.05464006</v>
      </c>
      <c r="W56" s="7">
        <v>12987.429040769999</v>
      </c>
      <c r="X56" s="7">
        <v>13266.334803289999</v>
      </c>
      <c r="Y56" s="7">
        <v>13550.41646237</v>
      </c>
      <c r="Z56" s="7">
        <v>13839.81760982</v>
      </c>
      <c r="AA56" s="7">
        <v>14134.65138379</v>
      </c>
      <c r="AB56" s="7">
        <v>14435.033888460001</v>
      </c>
      <c r="AC56" s="7">
        <v>14741.309240799999</v>
      </c>
    </row>
    <row r="57" spans="1:29" x14ac:dyDescent="0.85">
      <c r="A57" t="s">
        <v>155</v>
      </c>
      <c r="B57" s="7">
        <v>3968.6405654</v>
      </c>
      <c r="C57" s="7">
        <v>4316.4385327800001</v>
      </c>
      <c r="D57" s="7">
        <v>4629.3072268899996</v>
      </c>
      <c r="E57" s="7">
        <v>4926.4091363500002</v>
      </c>
      <c r="F57" s="7">
        <v>5077.5858679100002</v>
      </c>
      <c r="G57" s="7">
        <v>5230.4453062700004</v>
      </c>
      <c r="H57" s="7">
        <v>5385.4403503200001</v>
      </c>
      <c r="I57" s="7">
        <v>5542.4464660200001</v>
      </c>
      <c r="J57" s="7">
        <v>5701.5339856399996</v>
      </c>
      <c r="K57" s="7">
        <v>5862.7739874899999</v>
      </c>
      <c r="L57" s="7">
        <v>6026.23797526</v>
      </c>
      <c r="M57" s="7">
        <v>6191.9981226899999</v>
      </c>
      <c r="N57" s="7">
        <v>6356.7351171</v>
      </c>
      <c r="O57" s="7">
        <v>6515.7052916100001</v>
      </c>
      <c r="P57" s="7">
        <v>6677.2698870800004</v>
      </c>
      <c r="Q57" s="7">
        <v>6841.4299616999997</v>
      </c>
      <c r="R57" s="7">
        <v>7008.2997218</v>
      </c>
      <c r="S57" s="7">
        <v>7177.9289871199999</v>
      </c>
      <c r="T57" s="7">
        <v>7350.3940668599998</v>
      </c>
      <c r="U57" s="7">
        <v>7525.8018118800001</v>
      </c>
      <c r="V57" s="7">
        <v>7704.15825012</v>
      </c>
      <c r="W57" s="7">
        <v>7885.4806778700004</v>
      </c>
      <c r="X57" s="7">
        <v>8069.99802611</v>
      </c>
      <c r="Y57" s="7">
        <v>8257.7029063600003</v>
      </c>
      <c r="Z57" s="7">
        <v>8448.6812951499996</v>
      </c>
      <c r="AA57" s="7">
        <v>8643.0095658200007</v>
      </c>
      <c r="AB57" s="7">
        <v>8840.7670553900007</v>
      </c>
      <c r="AC57" s="7">
        <v>9042.0423033299994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1.11637856</v>
      </c>
      <c r="E58" s="7">
        <v>1.1118083000000001</v>
      </c>
      <c r="F58" s="7">
        <v>1.10397452</v>
      </c>
      <c r="G58" s="7">
        <v>1.06753568</v>
      </c>
      <c r="H58" s="7">
        <v>1.06954898</v>
      </c>
      <c r="I58" s="7">
        <v>1.06808394</v>
      </c>
      <c r="J58" s="7">
        <v>1.0678671799999999</v>
      </c>
      <c r="K58" s="7">
        <v>1.0675988300000001</v>
      </c>
      <c r="L58" s="7">
        <v>1.0673583499999999</v>
      </c>
      <c r="M58" s="7">
        <v>1.0671300100000001</v>
      </c>
      <c r="N58" s="7">
        <v>1.0669253000000001</v>
      </c>
      <c r="O58" s="7">
        <v>1.06617947</v>
      </c>
      <c r="P58" s="7">
        <v>1.06473459</v>
      </c>
      <c r="Q58" s="7">
        <v>1.0646501799999999</v>
      </c>
      <c r="R58" s="7">
        <v>1.0645545700000001</v>
      </c>
      <c r="S58" s="7">
        <v>1.0644736699999999</v>
      </c>
      <c r="T58" s="7">
        <v>1.0643868999999999</v>
      </c>
      <c r="U58" s="7">
        <v>1.0643125</v>
      </c>
      <c r="V58" s="7">
        <v>1.06432566</v>
      </c>
      <c r="W58" s="7">
        <v>1.0641971699999999</v>
      </c>
      <c r="X58" s="7">
        <v>1.06398064</v>
      </c>
      <c r="Y58" s="7">
        <v>1.0640365199999999</v>
      </c>
      <c r="Z58" s="7">
        <v>1.0639726300000001</v>
      </c>
      <c r="AA58" s="7">
        <v>1.0639139200000001</v>
      </c>
      <c r="AB58" s="7">
        <v>1.0638576</v>
      </c>
      <c r="AC58" s="7">
        <v>1.0638036399999999</v>
      </c>
    </row>
    <row r="59" spans="1:29" x14ac:dyDescent="0.85">
      <c r="A59" t="s">
        <v>157</v>
      </c>
      <c r="B59" s="7">
        <v>1</v>
      </c>
      <c r="C59" s="7">
        <v>1.12169545</v>
      </c>
      <c r="D59" s="7">
        <v>1.11638854</v>
      </c>
      <c r="E59" s="7">
        <v>1.10397452</v>
      </c>
      <c r="F59" s="7">
        <v>1.06753568</v>
      </c>
      <c r="G59" s="7">
        <v>1.06954898</v>
      </c>
      <c r="H59" s="7">
        <v>1.06808394</v>
      </c>
      <c r="I59" s="7">
        <v>1.0678671799999999</v>
      </c>
      <c r="J59" s="7">
        <v>1.0675988300000001</v>
      </c>
      <c r="K59" s="7">
        <v>1.0673583499999999</v>
      </c>
      <c r="L59" s="7">
        <v>1.0671300100000001</v>
      </c>
      <c r="M59" s="7">
        <v>1.0669253000000001</v>
      </c>
      <c r="N59" s="7">
        <v>1.06617947</v>
      </c>
      <c r="O59" s="7">
        <v>1.06473459</v>
      </c>
      <c r="P59" s="7">
        <v>1.0646501799999999</v>
      </c>
      <c r="Q59" s="7">
        <v>1.0645545700000001</v>
      </c>
      <c r="R59" s="7">
        <v>1.0644736699999999</v>
      </c>
      <c r="S59" s="7">
        <v>1.0643868999999999</v>
      </c>
      <c r="T59" s="7">
        <v>1.0643125</v>
      </c>
      <c r="U59" s="7">
        <v>1.06432566</v>
      </c>
      <c r="V59" s="7">
        <v>1.0641971699999999</v>
      </c>
      <c r="W59" s="7">
        <v>1.06398064</v>
      </c>
      <c r="X59" s="7">
        <v>1.0640365199999999</v>
      </c>
      <c r="Y59" s="7">
        <v>1.0639726300000001</v>
      </c>
      <c r="Z59" s="7">
        <v>1.0639139200000001</v>
      </c>
      <c r="AA59" s="7">
        <v>1.0638576</v>
      </c>
      <c r="AB59" s="7">
        <v>1.0638036399999999</v>
      </c>
      <c r="AC59" s="7">
        <v>1.06376823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1.1163885600000001</v>
      </c>
      <c r="E60" s="7">
        <v>1.1118182999999999</v>
      </c>
      <c r="F60" s="7">
        <v>1.1081252699999999</v>
      </c>
      <c r="G60" s="7">
        <v>1.1059752700000001</v>
      </c>
      <c r="H60" s="7">
        <v>1.10387843</v>
      </c>
      <c r="I60" s="7">
        <v>1.10194478</v>
      </c>
      <c r="J60" s="7">
        <v>1.1001246200000001</v>
      </c>
      <c r="K60" s="7">
        <v>1.09841239</v>
      </c>
      <c r="L60" s="7">
        <v>1.0968005599999999</v>
      </c>
      <c r="M60" s="7">
        <v>1.0952826099999999</v>
      </c>
      <c r="N60" s="7">
        <v>1.09385223</v>
      </c>
      <c r="O60" s="7">
        <v>1.0928902300000001</v>
      </c>
      <c r="P60" s="7">
        <v>1.09289825</v>
      </c>
      <c r="Q60" s="7">
        <v>1.09291235</v>
      </c>
      <c r="R60" s="7">
        <v>1.09293752</v>
      </c>
      <c r="S60" s="7">
        <v>1.0929680399999999</v>
      </c>
      <c r="T60" s="7">
        <v>1.09300559</v>
      </c>
      <c r="U60" s="7">
        <v>1.09304884</v>
      </c>
      <c r="V60" s="7">
        <v>1.093092</v>
      </c>
      <c r="W60" s="7">
        <v>1.09314427</v>
      </c>
      <c r="X60" s="7">
        <v>1.09321223</v>
      </c>
      <c r="Y60" s="7">
        <v>1.0932751199999999</v>
      </c>
      <c r="Z60" s="7">
        <v>1.09334296</v>
      </c>
      <c r="AA60" s="7">
        <v>1.0934145</v>
      </c>
      <c r="AB60" s="7">
        <v>1.0934895200000001</v>
      </c>
      <c r="AC60" s="7">
        <v>1.09356768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4546.5047539400002</v>
      </c>
      <c r="L61" s="7">
        <v>4432.8421350899998</v>
      </c>
      <c r="M61" s="7">
        <v>4322.0210817099996</v>
      </c>
      <c r="N61" s="7">
        <v>4213.9705546699997</v>
      </c>
      <c r="O61" s="7">
        <v>4108.6212907999998</v>
      </c>
      <c r="P61" s="7">
        <v>4005.9057687300001</v>
      </c>
      <c r="Q61" s="7">
        <v>3905.75812451</v>
      </c>
      <c r="R61" s="7">
        <v>3808.1141714</v>
      </c>
      <c r="S61" s="7">
        <v>3712.9113171099998</v>
      </c>
      <c r="T61" s="7">
        <v>3620.0885341799999</v>
      </c>
      <c r="U61" s="7">
        <v>3529.5863208300002</v>
      </c>
      <c r="V61" s="7">
        <v>3441.34666281</v>
      </c>
      <c r="W61" s="7">
        <v>3355.3129962399998</v>
      </c>
      <c r="X61" s="7">
        <v>3271.4301713300001</v>
      </c>
      <c r="Y61" s="7">
        <v>3189.6444170499999</v>
      </c>
      <c r="Z61" s="7">
        <v>3109.90330662</v>
      </c>
      <c r="AA61" s="7">
        <v>3032.1557239600002</v>
      </c>
      <c r="AB61" s="7">
        <v>2956.3518308600001</v>
      </c>
      <c r="AC61" s="7">
        <v>2882.4430350900002</v>
      </c>
    </row>
    <row r="62" spans="1:29" x14ac:dyDescent="0.85">
      <c r="A62" t="s">
        <v>160</v>
      </c>
      <c r="B62" s="7">
        <v>21097682.25</v>
      </c>
      <c r="C62" s="7">
        <v>12826178.093079099</v>
      </c>
      <c r="D62" s="7">
        <v>6054564.3426592797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21097682.25</v>
      </c>
      <c r="C63" s="7">
        <v>12826178.093079099</v>
      </c>
      <c r="D63" s="7">
        <v>6054564.3426592797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3908.9425176300001</v>
      </c>
      <c r="C64" s="7">
        <v>3630.9371889899999</v>
      </c>
      <c r="D64" s="7">
        <v>3389.9854267999999</v>
      </c>
      <c r="E64" s="7">
        <v>3167.8092896799999</v>
      </c>
      <c r="F64" s="7">
        <v>3088.6140574400001</v>
      </c>
      <c r="G64" s="7">
        <v>3011.3987060099998</v>
      </c>
      <c r="H64" s="7">
        <v>2936.1137383599998</v>
      </c>
      <c r="I64" s="7">
        <v>2862.7108948999999</v>
      </c>
      <c r="J64" s="7">
        <v>2791.1431225299998</v>
      </c>
      <c r="K64" s="7">
        <v>2721.3645444600002</v>
      </c>
      <c r="L64" s="7">
        <v>2653.3304308500001</v>
      </c>
      <c r="M64" s="7">
        <v>2586.9971700800002</v>
      </c>
      <c r="N64" s="7">
        <v>2522.3222408299998</v>
      </c>
      <c r="O64" s="7">
        <v>2459.2641848100002</v>
      </c>
      <c r="P64" s="7">
        <v>2397.7825862899999</v>
      </c>
      <c r="Q64" s="7">
        <v>2337.8380216300002</v>
      </c>
      <c r="R64" s="7">
        <v>2279.3920710900002</v>
      </c>
      <c r="S64" s="7">
        <v>2222.4072693100002</v>
      </c>
      <c r="T64" s="7">
        <v>2166.8470875799999</v>
      </c>
      <c r="U64" s="7">
        <v>2112.6759103899999</v>
      </c>
      <c r="V64" s="7">
        <v>2059.8590126300001</v>
      </c>
      <c r="W64" s="7">
        <v>2008.36253732</v>
      </c>
      <c r="X64" s="7">
        <v>1958.1534738800001</v>
      </c>
      <c r="Y64" s="7">
        <v>1909.19963704</v>
      </c>
      <c r="Z64" s="7">
        <v>1861.46964611</v>
      </c>
      <c r="AA64" s="7">
        <v>1814.9329049600001</v>
      </c>
      <c r="AB64" s="7">
        <v>1769.55958233</v>
      </c>
      <c r="AC64" s="7">
        <v>1725.3205927700001</v>
      </c>
    </row>
    <row r="65" spans="1:29" x14ac:dyDescent="0.85">
      <c r="A65" t="s">
        <v>163</v>
      </c>
      <c r="B65" s="7">
        <v>0</v>
      </c>
      <c r="C65" s="7">
        <v>2103.49320726</v>
      </c>
      <c r="D65" s="7">
        <v>992.94855219999999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10.51746604</v>
      </c>
      <c r="D66" s="7">
        <v>4.96474276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2721.3645444600002</v>
      </c>
      <c r="L67" s="7">
        <v>2653.3304308500001</v>
      </c>
      <c r="M67" s="7">
        <v>2586.9971700800002</v>
      </c>
      <c r="N67" s="7">
        <v>2522.3222408299998</v>
      </c>
      <c r="O67" s="7">
        <v>2459.2641848100002</v>
      </c>
      <c r="P67" s="7">
        <v>2397.7825862899999</v>
      </c>
      <c r="Q67" s="7">
        <v>2337.8380216300002</v>
      </c>
      <c r="R67" s="7">
        <v>2279.3920710900002</v>
      </c>
      <c r="S67" s="7">
        <v>2222.4072693100002</v>
      </c>
      <c r="T67" s="7">
        <v>2166.8470875799999</v>
      </c>
      <c r="U67" s="7">
        <v>2112.6759103899999</v>
      </c>
      <c r="V67" s="7">
        <v>2059.8590126300001</v>
      </c>
      <c r="W67" s="7">
        <v>2008.36253732</v>
      </c>
      <c r="X67" s="7">
        <v>1958.1534738800001</v>
      </c>
      <c r="Y67" s="7">
        <v>1909.19963704</v>
      </c>
      <c r="Z67" s="7">
        <v>1861.46964611</v>
      </c>
      <c r="AA67" s="7">
        <v>1814.9329049600001</v>
      </c>
      <c r="AB67" s="7">
        <v>1769.55958233</v>
      </c>
      <c r="AC67" s="7">
        <v>1725.3205927700001</v>
      </c>
    </row>
    <row r="68" spans="1:29" x14ac:dyDescent="0.85">
      <c r="A68" t="s">
        <v>166</v>
      </c>
      <c r="B68" s="7">
        <v>491.15404278</v>
      </c>
      <c r="C68" s="7">
        <v>298.59342600999997</v>
      </c>
      <c r="D68" s="7">
        <v>140.9502579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0.62353079</v>
      </c>
      <c r="E69" s="7">
        <v>0.48415121</v>
      </c>
      <c r="F69" s="7">
        <v>0</v>
      </c>
      <c r="G69" s="7">
        <v>1.41956E-3</v>
      </c>
      <c r="H69" s="7">
        <v>0.99999948000000005</v>
      </c>
      <c r="I69" s="7">
        <v>0.99799663999999999</v>
      </c>
      <c r="J69" s="7">
        <v>0.99998635000000002</v>
      </c>
      <c r="K69" s="7">
        <v>0.99954915</v>
      </c>
      <c r="L69" s="7">
        <v>0.99936113000000004</v>
      </c>
      <c r="M69" s="7">
        <v>0.99985752999999999</v>
      </c>
      <c r="N69" s="7">
        <v>0.99998492000000005</v>
      </c>
      <c r="O69" s="7">
        <v>0.99986686999999996</v>
      </c>
      <c r="P69" s="7">
        <v>0.99995663999999995</v>
      </c>
      <c r="Q69" s="7">
        <v>1</v>
      </c>
      <c r="R69" s="7">
        <v>0.99889804000000004</v>
      </c>
      <c r="S69" s="7">
        <v>0.99764072000000004</v>
      </c>
      <c r="T69" s="7">
        <v>0.99865026000000001</v>
      </c>
      <c r="U69" s="7">
        <v>0.99976770999999998</v>
      </c>
      <c r="V69" s="7">
        <v>0.99927443000000005</v>
      </c>
      <c r="W69" s="7">
        <v>0.99999711999999996</v>
      </c>
      <c r="X69" s="7">
        <v>0.99680595000000005</v>
      </c>
      <c r="Y69" s="7">
        <v>0.97030631000000001</v>
      </c>
      <c r="Z69" s="7">
        <v>0.97458971999999999</v>
      </c>
      <c r="AA69" s="7">
        <v>0.97829133999999995</v>
      </c>
      <c r="AB69" s="7">
        <v>0.98317979</v>
      </c>
      <c r="AC69" s="7">
        <v>0.98755117000000003</v>
      </c>
    </row>
    <row r="70" spans="1:29" x14ac:dyDescent="0.85">
      <c r="A70" t="s">
        <v>168</v>
      </c>
      <c r="B70" s="7">
        <v>1</v>
      </c>
      <c r="C70" s="7">
        <v>0.62353079</v>
      </c>
      <c r="D70" s="7">
        <v>0.48415121</v>
      </c>
      <c r="E70" s="7">
        <v>0</v>
      </c>
      <c r="F70" s="7">
        <v>1.41956E-3</v>
      </c>
      <c r="G70" s="7">
        <v>0.99999948000000005</v>
      </c>
      <c r="H70" s="7">
        <v>0.99799663999999999</v>
      </c>
      <c r="I70" s="7">
        <v>0.99998635000000002</v>
      </c>
      <c r="J70" s="7">
        <v>0.99954915</v>
      </c>
      <c r="K70" s="7">
        <v>0.99936113000000004</v>
      </c>
      <c r="L70" s="7">
        <v>0.99985752999999999</v>
      </c>
      <c r="M70" s="7">
        <v>0.99998492000000005</v>
      </c>
      <c r="N70" s="7">
        <v>0.99986686999999996</v>
      </c>
      <c r="O70" s="7">
        <v>0.99995663999999995</v>
      </c>
      <c r="P70" s="7">
        <v>1</v>
      </c>
      <c r="Q70" s="7">
        <v>0.99889804000000004</v>
      </c>
      <c r="R70" s="7">
        <v>0.99764072000000004</v>
      </c>
      <c r="S70" s="7">
        <v>0.99865026000000001</v>
      </c>
      <c r="T70" s="7">
        <v>0.99976770999999998</v>
      </c>
      <c r="U70" s="7">
        <v>0.99927443000000005</v>
      </c>
      <c r="V70" s="7">
        <v>0.99999711999999996</v>
      </c>
      <c r="W70" s="7">
        <v>0.99680595000000005</v>
      </c>
      <c r="X70" s="7">
        <v>0.97030631000000001</v>
      </c>
      <c r="Y70" s="7">
        <v>0.97458971999999999</v>
      </c>
      <c r="Z70" s="7">
        <v>0.97829133999999995</v>
      </c>
      <c r="AA70" s="7">
        <v>0.98317979</v>
      </c>
      <c r="AB70" s="7">
        <v>0.98755117000000003</v>
      </c>
      <c r="AC70" s="7">
        <v>0.98809497999999996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2.6731979199999998</v>
      </c>
      <c r="E71" s="7">
        <v>2.7510538900000001</v>
      </c>
      <c r="F71" s="7">
        <v>2.8259571800000001</v>
      </c>
      <c r="G71" s="7">
        <v>2.87195139</v>
      </c>
      <c r="H71" s="7">
        <v>2.92271437</v>
      </c>
      <c r="I71" s="7">
        <v>2.9748641999999998</v>
      </c>
      <c r="J71" s="7">
        <v>3.0297645100000001</v>
      </c>
      <c r="K71" s="7">
        <v>3.0874669400000001</v>
      </c>
      <c r="L71" s="7">
        <v>3.1481152400000001</v>
      </c>
      <c r="M71" s="7">
        <v>3.2118427299999999</v>
      </c>
      <c r="N71" s="7">
        <v>3.27880598</v>
      </c>
      <c r="O71" s="7">
        <v>3.36035408</v>
      </c>
      <c r="P71" s="7">
        <v>3.4737896099999999</v>
      </c>
      <c r="Q71" s="7">
        <v>3.59273401</v>
      </c>
      <c r="R71" s="7">
        <v>3.7176108600000002</v>
      </c>
      <c r="S71" s="7">
        <v>3.8485414699999998</v>
      </c>
      <c r="T71" s="7">
        <v>3.98587033</v>
      </c>
      <c r="U71" s="7">
        <v>4.1298906100000004</v>
      </c>
      <c r="V71" s="7">
        <v>4.2809396599999996</v>
      </c>
      <c r="W71" s="7">
        <v>4.4393374699999999</v>
      </c>
      <c r="X71" s="7">
        <v>4.6054664799999996</v>
      </c>
      <c r="Y71" s="7">
        <v>4.7796003699999998</v>
      </c>
      <c r="Z71" s="7">
        <v>4.9622184300000001</v>
      </c>
      <c r="AA71" s="7">
        <v>5.1536832600000002</v>
      </c>
      <c r="AB71" s="7">
        <v>5.3544189299999996</v>
      </c>
      <c r="AC71" s="7">
        <v>5.5648610999999999</v>
      </c>
    </row>
    <row r="72" spans="1:29" x14ac:dyDescent="0.85">
      <c r="A72" t="s">
        <v>170</v>
      </c>
      <c r="B72" s="7">
        <v>0</v>
      </c>
      <c r="C72" s="7">
        <v>176.90209519000001</v>
      </c>
      <c r="D72" s="7">
        <v>170.15942751</v>
      </c>
      <c r="E72" s="7">
        <v>154.16307842000001</v>
      </c>
      <c r="F72" s="7">
        <v>189.76665007</v>
      </c>
      <c r="G72" s="7">
        <v>170.82600970999999</v>
      </c>
      <c r="H72" s="7">
        <v>154.98371685000001</v>
      </c>
      <c r="I72" s="7">
        <v>139.72797334000001</v>
      </c>
      <c r="J72" s="7">
        <v>125.80384355</v>
      </c>
      <c r="K72" s="7">
        <v>113.24354562000001</v>
      </c>
      <c r="L72" s="7">
        <v>102.12008329</v>
      </c>
      <c r="M72" s="7">
        <v>91.911053219999999</v>
      </c>
      <c r="N72" s="7">
        <v>82.736960310000001</v>
      </c>
      <c r="O72" s="7">
        <v>74.62806449</v>
      </c>
      <c r="P72" s="7">
        <v>68.996584389999995</v>
      </c>
      <c r="Q72" s="7">
        <v>62.111555580000001</v>
      </c>
      <c r="R72" s="7">
        <v>55.901825010000003</v>
      </c>
      <c r="S72" s="7">
        <v>50.311642509999999</v>
      </c>
      <c r="T72" s="7">
        <v>45.396969570000003</v>
      </c>
      <c r="U72" s="7">
        <v>40.859890919999998</v>
      </c>
      <c r="V72" s="7">
        <v>36.773918190000003</v>
      </c>
      <c r="W72" s="7">
        <v>33.096526369999999</v>
      </c>
      <c r="X72" s="7">
        <v>29.856325959999999</v>
      </c>
      <c r="Y72" s="7">
        <v>26.870694189999998</v>
      </c>
      <c r="Z72" s="7">
        <v>24.20362308</v>
      </c>
      <c r="AA72" s="7">
        <v>21.78415863</v>
      </c>
      <c r="AB72" s="7">
        <v>19.626007080000001</v>
      </c>
      <c r="AC72" s="7">
        <v>17.663463709999998</v>
      </c>
    </row>
    <row r="73" spans="1:29" x14ac:dyDescent="0.85">
      <c r="A73" t="s">
        <v>171</v>
      </c>
      <c r="B73" s="7">
        <v>0</v>
      </c>
      <c r="C73" s="7">
        <v>44.225521620000002</v>
      </c>
      <c r="D73" s="7">
        <v>2.73688456</v>
      </c>
      <c r="E73" s="7">
        <v>0.25490137000000002</v>
      </c>
      <c r="F73" s="7">
        <v>12.754969989999999</v>
      </c>
      <c r="G73" s="7">
        <v>8.9961699999999995E-3</v>
      </c>
      <c r="H73" s="7">
        <v>0.31008644000000002</v>
      </c>
      <c r="I73" s="7">
        <v>6.0656450000000001E-2</v>
      </c>
      <c r="J73" s="7">
        <v>1.216094E-2</v>
      </c>
      <c r="K73" s="7">
        <v>5.0278800000000002E-3</v>
      </c>
      <c r="L73" s="7">
        <v>5.0213420000000002E-2</v>
      </c>
      <c r="M73" s="7">
        <v>7.5038000000000004E-4</v>
      </c>
      <c r="N73" s="7">
        <v>4.2548799999999999E-3</v>
      </c>
      <c r="O73" s="7">
        <v>4.119979E-2</v>
      </c>
      <c r="P73" s="7">
        <v>0.45782331999999998</v>
      </c>
      <c r="Q73" s="7">
        <v>3.6660400000000002E-3</v>
      </c>
      <c r="R73" s="7">
        <v>3.5547999999999998E-4</v>
      </c>
      <c r="S73" s="7">
        <v>1.3200000000000001E-6</v>
      </c>
      <c r="T73" s="7">
        <v>2.911538E-2</v>
      </c>
      <c r="U73" s="7">
        <v>6.5877999999999998E-4</v>
      </c>
      <c r="V73" s="7">
        <v>0</v>
      </c>
      <c r="W73" s="7">
        <v>5.7899999999999996E-6</v>
      </c>
      <c r="X73" s="7">
        <v>1.736447E-2</v>
      </c>
      <c r="Y73" s="7">
        <v>1.2300000000000001E-6</v>
      </c>
      <c r="Z73" s="7">
        <v>4.9996700000000003E-3</v>
      </c>
      <c r="AA73" s="7">
        <v>0</v>
      </c>
      <c r="AB73" s="7">
        <v>5.2832799999999996E-3</v>
      </c>
      <c r="AC73" s="7">
        <v>2.1359999999999999E-5</v>
      </c>
    </row>
    <row r="74" spans="1:29" x14ac:dyDescent="0.85">
      <c r="A74" t="s">
        <v>172</v>
      </c>
      <c r="B74" s="7">
        <v>0</v>
      </c>
      <c r="C74" s="7">
        <v>44.225521620000002</v>
      </c>
      <c r="D74" s="7">
        <v>2.73688456</v>
      </c>
      <c r="E74" s="7">
        <v>0.25490137000000002</v>
      </c>
      <c r="F74" s="7">
        <v>12.754969989999999</v>
      </c>
      <c r="G74" s="7">
        <v>8.9961699999999995E-3</v>
      </c>
      <c r="H74" s="7">
        <v>0.31008644000000002</v>
      </c>
      <c r="I74" s="7">
        <v>6.0656450000000001E-2</v>
      </c>
      <c r="J74" s="7">
        <v>1.216094E-2</v>
      </c>
      <c r="K74" s="7">
        <v>5.0278800000000002E-3</v>
      </c>
      <c r="L74" s="7">
        <v>5.0213420000000002E-2</v>
      </c>
      <c r="M74" s="7">
        <v>7.5038000000000004E-4</v>
      </c>
      <c r="N74" s="7">
        <v>4.2548799999999999E-3</v>
      </c>
      <c r="O74" s="7">
        <v>4.119979E-2</v>
      </c>
      <c r="P74" s="7">
        <v>0.45782331999999998</v>
      </c>
      <c r="Q74" s="7">
        <v>3.6660400000000002E-3</v>
      </c>
      <c r="R74" s="7">
        <v>3.5547999999999998E-4</v>
      </c>
      <c r="S74" s="7">
        <v>1.3200000000000001E-6</v>
      </c>
      <c r="T74" s="7">
        <v>2.911538E-2</v>
      </c>
      <c r="U74" s="7">
        <v>6.5877999999999998E-4</v>
      </c>
      <c r="V74" s="7">
        <v>0</v>
      </c>
      <c r="W74" s="7">
        <v>5.7899999999999996E-6</v>
      </c>
      <c r="X74" s="7">
        <v>1.736447E-2</v>
      </c>
      <c r="Y74" s="7">
        <v>1.2300000000000001E-6</v>
      </c>
      <c r="Z74" s="7">
        <v>4.9996700000000003E-3</v>
      </c>
      <c r="AA74" s="7">
        <v>0</v>
      </c>
      <c r="AB74" s="7">
        <v>5.2832799999999996E-3</v>
      </c>
      <c r="AC74" s="7">
        <v>2.1359999999999999E-5</v>
      </c>
    </row>
    <row r="75" spans="1:29" x14ac:dyDescent="0.85">
      <c r="A75" t="s">
        <v>173</v>
      </c>
      <c r="B75" s="7">
        <v>0</v>
      </c>
      <c r="C75" s="7">
        <v>46.979872819999997</v>
      </c>
      <c r="D75" s="7">
        <v>45.188675109999998</v>
      </c>
      <c r="E75" s="7">
        <v>40.940547080000002</v>
      </c>
      <c r="F75" s="7">
        <v>50.39583382</v>
      </c>
      <c r="G75" s="7">
        <v>45.365659430000001</v>
      </c>
      <c r="H75" s="7">
        <v>41.158481879999997</v>
      </c>
      <c r="I75" s="7">
        <v>37.10706459</v>
      </c>
      <c r="J75" s="7">
        <v>33.409282019999999</v>
      </c>
      <c r="K75" s="7">
        <v>30.073688019999999</v>
      </c>
      <c r="L75" s="7">
        <v>27.119670079999999</v>
      </c>
      <c r="M75" s="7">
        <v>24.40849339</v>
      </c>
      <c r="N75" s="7">
        <v>21.97216203</v>
      </c>
      <c r="O75" s="7">
        <v>19.818711749999999</v>
      </c>
      <c r="P75" s="7">
        <v>18.32318523</v>
      </c>
      <c r="Q75" s="7">
        <v>16.49474622</v>
      </c>
      <c r="R75" s="7">
        <v>14.84564999</v>
      </c>
      <c r="S75" s="7">
        <v>13.361084979999999</v>
      </c>
      <c r="T75" s="7">
        <v>12.055913070000001</v>
      </c>
      <c r="U75" s="7">
        <v>10.851016749999999</v>
      </c>
      <c r="V75" s="7">
        <v>9.7659194100000004</v>
      </c>
      <c r="W75" s="7">
        <v>8.7893274699999999</v>
      </c>
      <c r="X75" s="7">
        <v>7.92883914</v>
      </c>
      <c r="Y75" s="7">
        <v>7.1359552300000004</v>
      </c>
      <c r="Z75" s="7">
        <v>6.4276706600000004</v>
      </c>
      <c r="AA75" s="7">
        <v>5.7851419699999997</v>
      </c>
      <c r="AB75" s="7">
        <v>5.2120093699999996</v>
      </c>
      <c r="AC75" s="7">
        <v>4.6908235899999999</v>
      </c>
    </row>
    <row r="76" spans="1:29" x14ac:dyDescent="0.85">
      <c r="A76" t="s">
        <v>174</v>
      </c>
      <c r="B76" s="7">
        <v>0</v>
      </c>
      <c r="C76" s="7">
        <v>9.8401999999999995E-4</v>
      </c>
      <c r="D76" s="7">
        <v>6.0900000000000003E-5</v>
      </c>
      <c r="E76" s="7">
        <v>5.6699999999999999E-6</v>
      </c>
      <c r="F76" s="7">
        <v>2.8380000000000001E-4</v>
      </c>
      <c r="G76" s="7">
        <v>1.9999999999999999E-7</v>
      </c>
      <c r="H76" s="7">
        <v>6.9E-6</v>
      </c>
      <c r="I76" s="7">
        <v>1.35E-6</v>
      </c>
      <c r="J76" s="7">
        <v>2.7000000000000001E-7</v>
      </c>
      <c r="K76" s="7">
        <v>1.1000000000000001E-7</v>
      </c>
      <c r="L76" s="7">
        <v>1.1200000000000001E-6</v>
      </c>
      <c r="M76" s="7">
        <v>2E-8</v>
      </c>
      <c r="N76" s="7">
        <v>8.9999999999999999E-8</v>
      </c>
      <c r="O76" s="7">
        <v>9.1999999999999998E-7</v>
      </c>
      <c r="P76" s="7">
        <v>1.0190000000000001E-5</v>
      </c>
      <c r="Q76" s="7">
        <v>8.0000000000000002E-8</v>
      </c>
      <c r="R76" s="7">
        <v>1E-8</v>
      </c>
      <c r="S76" s="7">
        <v>0</v>
      </c>
      <c r="T76" s="7">
        <v>6.5000000000000002E-7</v>
      </c>
      <c r="U76" s="7">
        <v>1E-8</v>
      </c>
      <c r="V76" s="7">
        <v>0</v>
      </c>
      <c r="W76" s="7">
        <v>0</v>
      </c>
      <c r="X76" s="7">
        <v>3.9000000000000002E-7</v>
      </c>
      <c r="Y76" s="7">
        <v>0</v>
      </c>
      <c r="Z76" s="7">
        <v>1.1000000000000001E-7</v>
      </c>
      <c r="AA76" s="7">
        <v>0</v>
      </c>
      <c r="AB76" s="7">
        <v>1.1999999999999999E-7</v>
      </c>
      <c r="AC76" s="7">
        <v>0</v>
      </c>
    </row>
    <row r="77" spans="1:29" x14ac:dyDescent="0.85">
      <c r="A77" t="s">
        <v>175</v>
      </c>
      <c r="B77" s="7">
        <v>0</v>
      </c>
      <c r="C77" s="7">
        <v>4.9200000000000003E-6</v>
      </c>
      <c r="D77" s="7">
        <v>2.9999999999999999E-7</v>
      </c>
      <c r="E77" s="7">
        <v>2.9999999999999997E-8</v>
      </c>
      <c r="F77" s="7">
        <v>1.42E-6</v>
      </c>
      <c r="G77" s="7">
        <v>0</v>
      </c>
      <c r="H77" s="7">
        <v>2.9999999999999997E-8</v>
      </c>
      <c r="I77" s="7">
        <v>1E-8</v>
      </c>
      <c r="J77" s="7">
        <v>0</v>
      </c>
      <c r="K77" s="7">
        <v>0</v>
      </c>
      <c r="L77" s="7">
        <v>1E-8</v>
      </c>
      <c r="M77" s="7">
        <v>0</v>
      </c>
      <c r="N77" s="7">
        <v>0</v>
      </c>
      <c r="O77" s="7">
        <v>0</v>
      </c>
      <c r="P77" s="7">
        <v>4.9999999999999998E-8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</row>
    <row r="78" spans="1:29" x14ac:dyDescent="0.85">
      <c r="A78" t="s">
        <v>176</v>
      </c>
      <c r="B78" s="7">
        <v>0</v>
      </c>
      <c r="C78" s="7">
        <v>46.979263840000002</v>
      </c>
      <c r="D78" s="7">
        <v>45.18863743</v>
      </c>
      <c r="E78" s="7">
        <v>40.940543570000003</v>
      </c>
      <c r="F78" s="7">
        <v>50.395658179999998</v>
      </c>
      <c r="G78" s="7">
        <v>45.365659299999997</v>
      </c>
      <c r="H78" s="7">
        <v>41.158477609999998</v>
      </c>
      <c r="I78" s="7">
        <v>37.107063760000003</v>
      </c>
      <c r="J78" s="7">
        <v>33.409281849999999</v>
      </c>
      <c r="K78" s="7">
        <v>30.07368795</v>
      </c>
      <c r="L78" s="7">
        <v>27.119669389999999</v>
      </c>
      <c r="M78" s="7">
        <v>24.408493379999999</v>
      </c>
      <c r="N78" s="7">
        <v>21.972161969999998</v>
      </c>
      <c r="O78" s="7">
        <v>19.818711180000001</v>
      </c>
      <c r="P78" s="7">
        <v>18.32317892</v>
      </c>
      <c r="Q78" s="7">
        <v>16.494746169999999</v>
      </c>
      <c r="R78" s="7">
        <v>14.845649979999999</v>
      </c>
      <c r="S78" s="7">
        <v>13.361084979999999</v>
      </c>
      <c r="T78" s="7">
        <v>12.05591267</v>
      </c>
      <c r="U78" s="7">
        <v>10.85101674</v>
      </c>
      <c r="V78" s="7">
        <v>9.7659194100000004</v>
      </c>
      <c r="W78" s="7">
        <v>8.7893274699999999</v>
      </c>
      <c r="X78" s="7">
        <v>7.9288388999999997</v>
      </c>
      <c r="Y78" s="7">
        <v>7.1359552300000004</v>
      </c>
      <c r="Z78" s="7">
        <v>6.42767059</v>
      </c>
      <c r="AA78" s="7">
        <v>5.7851419699999997</v>
      </c>
      <c r="AB78" s="7">
        <v>5.2120093000000001</v>
      </c>
      <c r="AC78" s="7">
        <v>4.6908235899999999</v>
      </c>
    </row>
    <row r="79" spans="1:29" x14ac:dyDescent="0.85">
      <c r="A79" t="s">
        <v>177</v>
      </c>
      <c r="B79" s="7">
        <v>0</v>
      </c>
      <c r="C79" s="7">
        <v>6.0899000000000001E-4</v>
      </c>
      <c r="D79" s="7">
        <v>3.769E-5</v>
      </c>
      <c r="E79" s="7">
        <v>3.5099999999999999E-6</v>
      </c>
      <c r="F79" s="7">
        <v>1.7563999999999999E-4</v>
      </c>
      <c r="G79" s="7">
        <v>1.1999999999999999E-7</v>
      </c>
      <c r="H79" s="7">
        <v>4.2699999999999998E-6</v>
      </c>
      <c r="I79" s="7">
        <v>8.4E-7</v>
      </c>
      <c r="J79" s="7">
        <v>1.6999999999999999E-7</v>
      </c>
      <c r="K79" s="7">
        <v>7.0000000000000005E-8</v>
      </c>
      <c r="L79" s="7">
        <v>6.8999999999999996E-7</v>
      </c>
      <c r="M79" s="7">
        <v>1E-8</v>
      </c>
      <c r="N79" s="7">
        <v>5.9999999999999995E-8</v>
      </c>
      <c r="O79" s="7">
        <v>5.7000000000000005E-7</v>
      </c>
      <c r="P79" s="7">
        <v>6.2999999999999998E-6</v>
      </c>
      <c r="Q79" s="7">
        <v>4.9999999999999998E-8</v>
      </c>
      <c r="R79" s="7">
        <v>0</v>
      </c>
      <c r="S79" s="7">
        <v>0</v>
      </c>
      <c r="T79" s="7">
        <v>3.9999999999999998E-7</v>
      </c>
      <c r="U79" s="7">
        <v>1E-8</v>
      </c>
      <c r="V79" s="7">
        <v>0</v>
      </c>
      <c r="W79" s="7">
        <v>0</v>
      </c>
      <c r="X79" s="7">
        <v>2.3999999999999998E-7</v>
      </c>
      <c r="Y79" s="7">
        <v>0</v>
      </c>
      <c r="Z79" s="7">
        <v>7.0000000000000005E-8</v>
      </c>
      <c r="AA79" s="7">
        <v>0</v>
      </c>
      <c r="AB79" s="7">
        <v>7.0000000000000005E-8</v>
      </c>
      <c r="AC79" s="7">
        <v>0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1.1368419400000001</v>
      </c>
      <c r="E80" s="7">
        <v>1.0082817500000001</v>
      </c>
      <c r="F80" s="7">
        <v>1.00075577</v>
      </c>
      <c r="G80" s="7">
        <v>1.0371946599999999</v>
      </c>
      <c r="H80" s="7">
        <v>1.0000262600000001</v>
      </c>
      <c r="I80" s="7">
        <v>1.0009028600000001</v>
      </c>
      <c r="J80" s="7">
        <v>1.0001763699999999</v>
      </c>
      <c r="K80" s="7">
        <v>1.0000353</v>
      </c>
      <c r="L80" s="7">
        <v>1.0000145300000001</v>
      </c>
      <c r="M80" s="7">
        <v>1.0001448500000001</v>
      </c>
      <c r="N80" s="7">
        <v>1.0000021400000001</v>
      </c>
      <c r="O80" s="7">
        <v>1.00001216</v>
      </c>
      <c r="P80" s="7">
        <v>1.0001166500000001</v>
      </c>
      <c r="Q80" s="7">
        <v>1.0012682399999999</v>
      </c>
      <c r="R80" s="7">
        <v>1.0000099099999999</v>
      </c>
      <c r="S80" s="7">
        <v>1.0000009400000001</v>
      </c>
      <c r="T80" s="7">
        <v>1</v>
      </c>
      <c r="U80" s="7">
        <v>1.0000738899999999</v>
      </c>
      <c r="V80" s="7">
        <v>1.0000016199999999</v>
      </c>
      <c r="W80" s="7">
        <v>1.0000000099999999</v>
      </c>
      <c r="X80" s="7">
        <v>1</v>
      </c>
      <c r="Y80" s="7">
        <v>1.00004034</v>
      </c>
      <c r="Z80" s="7">
        <v>1</v>
      </c>
      <c r="AA80" s="7">
        <v>1.00001111</v>
      </c>
      <c r="AB80" s="7">
        <v>1.0000004899999999</v>
      </c>
      <c r="AC80" s="7">
        <v>1.00001077</v>
      </c>
    </row>
    <row r="81" spans="1:29" x14ac:dyDescent="0.85">
      <c r="A81" t="s">
        <v>179</v>
      </c>
      <c r="B81" s="7">
        <v>1</v>
      </c>
      <c r="C81" s="7">
        <v>1.1368419400000001</v>
      </c>
      <c r="D81" s="7">
        <v>1.0082817500000001</v>
      </c>
      <c r="E81" s="7">
        <v>1.00075577</v>
      </c>
      <c r="F81" s="7">
        <v>1.0371946599999999</v>
      </c>
      <c r="G81" s="7">
        <v>1.0000262600000001</v>
      </c>
      <c r="H81" s="7">
        <v>1.0009028600000001</v>
      </c>
      <c r="I81" s="7">
        <v>1.0001763699999999</v>
      </c>
      <c r="J81" s="7">
        <v>1.0000353</v>
      </c>
      <c r="K81" s="7">
        <v>1.0000145300000001</v>
      </c>
      <c r="L81" s="7">
        <v>1.0001448500000001</v>
      </c>
      <c r="M81" s="7">
        <v>1.0000021400000001</v>
      </c>
      <c r="N81" s="7">
        <v>1.00001216</v>
      </c>
      <c r="O81" s="7">
        <v>1.0001166500000001</v>
      </c>
      <c r="P81" s="7">
        <v>1.0012682399999999</v>
      </c>
      <c r="Q81" s="7">
        <v>1.0000099099999999</v>
      </c>
      <c r="R81" s="7">
        <v>1.0000009400000001</v>
      </c>
      <c r="S81" s="7">
        <v>1</v>
      </c>
      <c r="T81" s="7">
        <v>1.0000738899999999</v>
      </c>
      <c r="U81" s="7">
        <v>1.0000016199999999</v>
      </c>
      <c r="V81" s="7">
        <v>1.0000000099999999</v>
      </c>
      <c r="W81" s="7">
        <v>1</v>
      </c>
      <c r="X81" s="7">
        <v>1.00004034</v>
      </c>
      <c r="Y81" s="7">
        <v>1</v>
      </c>
      <c r="Z81" s="7">
        <v>1.00001111</v>
      </c>
      <c r="AA81" s="7">
        <v>1.0000004899999999</v>
      </c>
      <c r="AB81" s="7">
        <v>1.00001077</v>
      </c>
      <c r="AC81" s="7">
        <v>1.00000003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B008C-B6FE-402F-B02B-49BBCD3B2552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187286.26690436999</v>
      </c>
      <c r="D5" s="7">
        <v>197082.85593384999</v>
      </c>
      <c r="E5" s="7">
        <v>210042.08394189001</v>
      </c>
      <c r="F5" s="7">
        <v>223923.64036553999</v>
      </c>
      <c r="G5" s="7">
        <v>238771.78442002001</v>
      </c>
      <c r="H5" s="7">
        <v>254661.10495625</v>
      </c>
      <c r="I5" s="7">
        <v>266447.37403732998</v>
      </c>
      <c r="J5" s="7">
        <v>273248.08709787001</v>
      </c>
      <c r="K5" s="7">
        <v>280331.41298713</v>
      </c>
      <c r="L5" s="7">
        <v>288697.34801259998</v>
      </c>
      <c r="M5" s="7">
        <v>297322.42266357999</v>
      </c>
      <c r="N5" s="7">
        <v>306347.49669684999</v>
      </c>
      <c r="O5" s="7">
        <v>316057.88508516998</v>
      </c>
      <c r="P5" s="7">
        <v>323908.28047181998</v>
      </c>
      <c r="Q5" s="7">
        <v>331189.88768417999</v>
      </c>
      <c r="R5" s="7">
        <v>339605.40606127999</v>
      </c>
      <c r="S5" s="7">
        <v>350253.49269382999</v>
      </c>
      <c r="T5" s="7">
        <v>361669.59825739003</v>
      </c>
      <c r="U5" s="7">
        <v>372981.76085582998</v>
      </c>
      <c r="V5" s="7">
        <v>384523.59198912</v>
      </c>
      <c r="W5" s="7">
        <v>396247.67556464003</v>
      </c>
      <c r="X5" s="7">
        <v>408177.15399392002</v>
      </c>
      <c r="Y5" s="7">
        <v>420321.63883347</v>
      </c>
      <c r="Z5" s="7">
        <v>432691.64389875002</v>
      </c>
      <c r="AA5" s="7">
        <v>445243.27948108001</v>
      </c>
      <c r="AB5" s="7">
        <v>458130.02154932998</v>
      </c>
      <c r="AC5" s="7">
        <v>471222.41273670999</v>
      </c>
    </row>
    <row r="6" spans="1:29" x14ac:dyDescent="0.85">
      <c r="A6" t="s">
        <v>106</v>
      </c>
      <c r="B6" s="7">
        <v>791631557.5</v>
      </c>
      <c r="C6" s="7">
        <v>808051131.28297997</v>
      </c>
      <c r="D6" s="7">
        <v>824798948.89313996</v>
      </c>
      <c r="E6" s="7">
        <v>841881658.30115199</v>
      </c>
      <c r="F6" s="7">
        <v>859306071.57033801</v>
      </c>
      <c r="G6" s="7">
        <v>877079428.49161005</v>
      </c>
      <c r="H6" s="7">
        <v>895208316.24706399</v>
      </c>
      <c r="I6" s="7">
        <v>913699563.30078804</v>
      </c>
      <c r="J6" s="7">
        <v>932560519.679793</v>
      </c>
      <c r="K6" s="7">
        <v>951798725.40369105</v>
      </c>
      <c r="L6" s="7">
        <v>971421675.24319804</v>
      </c>
      <c r="M6" s="7">
        <v>991437084.55499995</v>
      </c>
      <c r="N6" s="7">
        <v>1011852803.43972</v>
      </c>
      <c r="O6" s="7">
        <v>1032676990.38228</v>
      </c>
      <c r="P6" s="7">
        <v>1053919988.41036</v>
      </c>
      <c r="Q6" s="7">
        <v>1075592359.26773</v>
      </c>
      <c r="R6" s="7">
        <v>1097710053.6401701</v>
      </c>
      <c r="S6" s="7">
        <v>1120306332.57149</v>
      </c>
      <c r="T6" s="7">
        <v>1143411748.0266199</v>
      </c>
      <c r="U6" s="7">
        <v>1167064645.17379</v>
      </c>
      <c r="V6" s="7">
        <v>1191283673.5493701</v>
      </c>
      <c r="W6" s="7">
        <v>1216108923.8854301</v>
      </c>
      <c r="X6" s="7">
        <v>1241555711.5953</v>
      </c>
      <c r="Y6" s="7">
        <v>1267639357.8796</v>
      </c>
      <c r="Z6" s="7">
        <v>1294390196.3238101</v>
      </c>
      <c r="AA6" s="7">
        <v>1321816914.95066</v>
      </c>
      <c r="AB6" s="7">
        <v>1349972570.7318799</v>
      </c>
      <c r="AC6" s="7">
        <v>1378845732.71243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94092.127342170003</v>
      </c>
      <c r="D8" s="7">
        <v>95241.553039909995</v>
      </c>
      <c r="E8" s="7">
        <v>97324.636064890001</v>
      </c>
      <c r="F8" s="7">
        <v>99816.573167940005</v>
      </c>
      <c r="G8" s="7">
        <v>102230.17163975</v>
      </c>
      <c r="H8" s="7">
        <v>104540.85262475999</v>
      </c>
      <c r="I8" s="7">
        <v>105986.12794508001</v>
      </c>
      <c r="J8" s="7">
        <v>106525.75439514</v>
      </c>
      <c r="K8" s="7">
        <v>107169.17354446001</v>
      </c>
      <c r="L8" s="7">
        <v>108125.35260196999</v>
      </c>
      <c r="M8" s="7">
        <v>109182.99317962999</v>
      </c>
      <c r="N8" s="7">
        <v>110368.13382632</v>
      </c>
      <c r="O8" s="7">
        <v>111739.81619943</v>
      </c>
      <c r="P8" s="7">
        <v>112773.08755787001</v>
      </c>
      <c r="Q8" s="7">
        <v>113740.20957791001</v>
      </c>
      <c r="R8" s="7">
        <v>114960.42315278</v>
      </c>
      <c r="S8" s="7">
        <v>116681.13390724</v>
      </c>
      <c r="T8" s="7">
        <v>118601.36031159</v>
      </c>
      <c r="U8" s="7">
        <v>120539.66586496</v>
      </c>
      <c r="V8" s="7">
        <v>122565.05342806</v>
      </c>
      <c r="W8" s="7">
        <v>124666.55514976</v>
      </c>
      <c r="X8" s="7">
        <v>126848.23423579001</v>
      </c>
      <c r="Y8" s="7">
        <v>129111.32308935</v>
      </c>
      <c r="Z8" s="7">
        <v>131457.30249494</v>
      </c>
      <c r="AA8" s="7">
        <v>133876.69520115</v>
      </c>
      <c r="AB8" s="7">
        <v>136400.26043848001</v>
      </c>
      <c r="AC8" s="7">
        <v>139000.68633470999</v>
      </c>
    </row>
    <row r="9" spans="1:29" x14ac:dyDescent="0.85">
      <c r="A9" t="s">
        <v>109</v>
      </c>
      <c r="B9" s="7">
        <v>14413.389289520001</v>
      </c>
      <c r="C9" s="7">
        <v>14650.638299509999</v>
      </c>
      <c r="D9" s="7">
        <v>14865.48646889</v>
      </c>
      <c r="E9" s="7">
        <v>14998.250991770001</v>
      </c>
      <c r="F9" s="7">
        <v>15117.06949632</v>
      </c>
      <c r="G9" s="7">
        <v>15212.52162978</v>
      </c>
      <c r="H9" s="7">
        <v>15291.435948419999</v>
      </c>
      <c r="I9" s="7">
        <v>15497.07526105</v>
      </c>
      <c r="J9" s="7">
        <v>15674.02338522</v>
      </c>
      <c r="K9" s="7">
        <v>15854.042821569999</v>
      </c>
      <c r="L9" s="7">
        <v>15995.09344678</v>
      </c>
      <c r="M9" s="7">
        <v>16135.110152789999</v>
      </c>
      <c r="N9" s="7">
        <v>16269.166406480001</v>
      </c>
      <c r="O9" s="7">
        <v>16387.212307540001</v>
      </c>
      <c r="P9" s="7">
        <v>16578.797536760001</v>
      </c>
      <c r="Q9" s="7">
        <v>16774.366015290001</v>
      </c>
      <c r="R9" s="7">
        <v>16976.106722429999</v>
      </c>
      <c r="S9" s="7">
        <v>17102.68108962</v>
      </c>
      <c r="T9" s="7">
        <v>17211.288781520001</v>
      </c>
      <c r="U9" s="7">
        <v>17337.74326431</v>
      </c>
      <c r="V9" s="7">
        <v>17466.8616669</v>
      </c>
      <c r="W9" s="7">
        <v>17601.86772301</v>
      </c>
      <c r="X9" s="7">
        <v>17742.17543182</v>
      </c>
      <c r="Y9" s="7">
        <v>17887.824276259998</v>
      </c>
      <c r="Z9" s="7">
        <v>18039.17710334</v>
      </c>
      <c r="AA9" s="7">
        <v>18198.496213869999</v>
      </c>
      <c r="AB9" s="7">
        <v>18360.21244186</v>
      </c>
      <c r="AC9" s="7">
        <v>18530.041486319999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58049.248607850001</v>
      </c>
      <c r="D11" s="7">
        <v>57662.059354149998</v>
      </c>
      <c r="E11" s="7">
        <v>56627.081564499997</v>
      </c>
      <c r="F11" s="7">
        <v>55433.915422650003</v>
      </c>
      <c r="G11" s="7">
        <v>54602.578175720002</v>
      </c>
      <c r="H11" s="7">
        <v>53612.574045050002</v>
      </c>
      <c r="I11" s="7">
        <v>53237.685946500002</v>
      </c>
      <c r="J11" s="7">
        <v>54188.313596799999</v>
      </c>
      <c r="K11" s="7">
        <v>55145.56013351</v>
      </c>
      <c r="L11" s="7">
        <v>55942.76200142</v>
      </c>
      <c r="M11" s="7">
        <v>56730.694123840003</v>
      </c>
      <c r="N11" s="7">
        <v>57489.916532640003</v>
      </c>
      <c r="O11" s="7">
        <v>58180.615552670002</v>
      </c>
      <c r="P11" s="7">
        <v>59158.914650649996</v>
      </c>
      <c r="Q11" s="7">
        <v>60148.447121019999</v>
      </c>
      <c r="R11" s="7">
        <v>61158.114334680002</v>
      </c>
      <c r="S11" s="7">
        <v>61864.677677660002</v>
      </c>
      <c r="T11" s="7">
        <v>62495.646863180002</v>
      </c>
      <c r="U11" s="7">
        <v>63193.538858450003</v>
      </c>
      <c r="V11" s="7">
        <v>63898.127997329997</v>
      </c>
      <c r="W11" s="7">
        <v>64622.376214160002</v>
      </c>
      <c r="X11" s="7">
        <v>65364.075931829997</v>
      </c>
      <c r="Y11" s="7">
        <v>66123.503467140006</v>
      </c>
      <c r="Z11" s="7">
        <v>66902.232090210004</v>
      </c>
      <c r="AA11" s="7">
        <v>67709.361682210001</v>
      </c>
      <c r="AB11" s="7">
        <v>68522.901307570006</v>
      </c>
      <c r="AC11" s="7">
        <v>69365.653792669997</v>
      </c>
    </row>
    <row r="12" spans="1:29" x14ac:dyDescent="0.85">
      <c r="A12" t="s">
        <v>111</v>
      </c>
      <c r="B12" s="7">
        <v>107843.71058868</v>
      </c>
      <c r="C12" s="7">
        <v>108742.76564168</v>
      </c>
      <c r="D12" s="7">
        <v>110107.03950879999</v>
      </c>
      <c r="E12" s="7">
        <v>112322.88705665999</v>
      </c>
      <c r="F12" s="7">
        <v>114933.64266425</v>
      </c>
      <c r="G12" s="7">
        <v>117442.69326953001</v>
      </c>
      <c r="H12" s="7">
        <v>119832.28857318001</v>
      </c>
      <c r="I12" s="7">
        <v>121483.20320613</v>
      </c>
      <c r="J12" s="7">
        <v>122199.77778036</v>
      </c>
      <c r="K12" s="7">
        <v>123023.21636603</v>
      </c>
      <c r="L12" s="7">
        <v>124120.44604875</v>
      </c>
      <c r="M12" s="7">
        <v>125318.10333242</v>
      </c>
      <c r="N12" s="7">
        <v>126637.3002328</v>
      </c>
      <c r="O12" s="7">
        <v>128127.02850698</v>
      </c>
      <c r="P12" s="7">
        <v>129351.88509462999</v>
      </c>
      <c r="Q12" s="7">
        <v>130514.5755932</v>
      </c>
      <c r="R12" s="7">
        <v>131936.52987520999</v>
      </c>
      <c r="S12" s="7">
        <v>133783.81499685999</v>
      </c>
      <c r="T12" s="7">
        <v>135812.64909311</v>
      </c>
      <c r="U12" s="7">
        <v>137877.40912927</v>
      </c>
      <c r="V12" s="7">
        <v>140031.91509497</v>
      </c>
      <c r="W12" s="7">
        <v>142268.42287277</v>
      </c>
      <c r="X12" s="7">
        <v>144590.40966760999</v>
      </c>
      <c r="Y12" s="7">
        <v>146999.14736559999</v>
      </c>
      <c r="Z12" s="7">
        <v>149496.47959828001</v>
      </c>
      <c r="AA12" s="7">
        <v>152075.19141502</v>
      </c>
      <c r="AB12" s="7">
        <v>154760.47288034001</v>
      </c>
      <c r="AC12" s="7">
        <v>157530.72782103001</v>
      </c>
    </row>
    <row r="13" spans="1:29" x14ac:dyDescent="0.85">
      <c r="A13" t="s">
        <v>112</v>
      </c>
      <c r="B13" s="7">
        <v>107843.71058868</v>
      </c>
      <c r="C13" s="7">
        <v>166792.01424953001</v>
      </c>
      <c r="D13" s="7">
        <v>167769.09886294001</v>
      </c>
      <c r="E13" s="7">
        <v>168949.96862115999</v>
      </c>
      <c r="F13" s="7">
        <v>170367.55808690001</v>
      </c>
      <c r="G13" s="7">
        <v>172045.27144526</v>
      </c>
      <c r="H13" s="7">
        <v>173444.86261822999</v>
      </c>
      <c r="I13" s="7">
        <v>174720.88915263</v>
      </c>
      <c r="J13" s="7">
        <v>176388.09137715999</v>
      </c>
      <c r="K13" s="7">
        <v>178168.77649953001</v>
      </c>
      <c r="L13" s="7">
        <v>180063.20805017001</v>
      </c>
      <c r="M13" s="7">
        <v>182048.79745626001</v>
      </c>
      <c r="N13" s="7">
        <v>184127.21676544999</v>
      </c>
      <c r="O13" s="7">
        <v>186307.64405964999</v>
      </c>
      <c r="P13" s="7">
        <v>188510.79974526999</v>
      </c>
      <c r="Q13" s="7">
        <v>190663.02271421999</v>
      </c>
      <c r="R13" s="7">
        <v>193094.64420988999</v>
      </c>
      <c r="S13" s="7">
        <v>195648.49267452999</v>
      </c>
      <c r="T13" s="7">
        <v>198308.29595629001</v>
      </c>
      <c r="U13" s="7">
        <v>201070.94798773</v>
      </c>
      <c r="V13" s="7">
        <v>203930.04309230001</v>
      </c>
      <c r="W13" s="7">
        <v>206890.79908693</v>
      </c>
      <c r="X13" s="7">
        <v>209954.48559944</v>
      </c>
      <c r="Y13" s="7">
        <v>213122.65083274001</v>
      </c>
      <c r="Z13" s="7">
        <v>216398.71168849</v>
      </c>
      <c r="AA13" s="7">
        <v>219784.55309723</v>
      </c>
      <c r="AB13" s="7">
        <v>223283.37418791</v>
      </c>
      <c r="AC13" s="7">
        <v>226896.38161370001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4766.6336160499995</v>
      </c>
      <c r="D17" s="7">
        <v>5400.3331410700002</v>
      </c>
      <c r="E17" s="7">
        <v>8680.8385744400002</v>
      </c>
      <c r="F17" s="7">
        <v>12158.10178261</v>
      </c>
      <c r="G17" s="7">
        <v>15818.566314109999</v>
      </c>
      <c r="H17" s="7">
        <v>19688.146212250002</v>
      </c>
      <c r="I17" s="7">
        <v>19031.874745680001</v>
      </c>
      <c r="J17" s="7">
        <v>18397.478920820002</v>
      </c>
      <c r="K17" s="7">
        <v>17784.22962346</v>
      </c>
      <c r="L17" s="7">
        <v>18538.65538665</v>
      </c>
      <c r="M17" s="7">
        <v>19383.621997909999</v>
      </c>
      <c r="N17" s="7">
        <v>20474.84449616</v>
      </c>
      <c r="O17" s="7">
        <v>22125.191323840001</v>
      </c>
      <c r="P17" s="7">
        <v>21440.0522509</v>
      </c>
      <c r="Q17" s="7">
        <v>20765.053277340001</v>
      </c>
      <c r="R17" s="7">
        <v>20076.66176694</v>
      </c>
      <c r="S17" s="7">
        <v>21952.62437026</v>
      </c>
      <c r="T17" s="7">
        <v>24467.451591370002</v>
      </c>
      <c r="U17" s="7">
        <v>26468.585325020002</v>
      </c>
      <c r="V17" s="7">
        <v>28471.068577400001</v>
      </c>
      <c r="W17" s="7">
        <v>30398.165375339999</v>
      </c>
      <c r="X17" s="7">
        <v>32278.59755753</v>
      </c>
      <c r="Y17" s="7">
        <v>34119.796617630003</v>
      </c>
      <c r="Z17" s="7">
        <v>35930.137975780002</v>
      </c>
      <c r="AA17" s="7">
        <v>37639.649973090003</v>
      </c>
      <c r="AB17" s="7">
        <v>39466.681298490003</v>
      </c>
      <c r="AC17" s="7">
        <v>41211.653964520003</v>
      </c>
    </row>
    <row r="18" spans="1:29" x14ac:dyDescent="0.85">
      <c r="A18" t="s">
        <v>116</v>
      </c>
      <c r="B18" s="7">
        <v>6301391.75</v>
      </c>
      <c r="C18" s="7">
        <v>6091345.7196210604</v>
      </c>
      <c r="D18" s="7">
        <v>6901158.9337578099</v>
      </c>
      <c r="E18" s="7">
        <v>11093361.301165</v>
      </c>
      <c r="F18" s="7">
        <v>15537003.0964485</v>
      </c>
      <c r="G18" s="7">
        <v>20214760.346498799</v>
      </c>
      <c r="H18" s="7">
        <v>25159748.9585598</v>
      </c>
      <c r="I18" s="7">
        <v>24321090.754298501</v>
      </c>
      <c r="J18" s="7">
        <v>23510279.327618498</v>
      </c>
      <c r="K18" s="7">
        <v>22726603.333828598</v>
      </c>
      <c r="L18" s="7">
        <v>23690689.798512202</v>
      </c>
      <c r="M18" s="7">
        <v>24770479.106853701</v>
      </c>
      <c r="N18" s="7">
        <v>26164960.700475901</v>
      </c>
      <c r="O18" s="7">
        <v>28273951.559792198</v>
      </c>
      <c r="P18" s="7">
        <v>27398178.707375601</v>
      </c>
      <c r="Q18" s="7">
        <v>26534847.007318102</v>
      </c>
      <c r="R18" s="7">
        <v>25653585.8415071</v>
      </c>
      <c r="S18" s="7">
        <v>28045887.106871601</v>
      </c>
      <c r="T18" s="7">
        <v>31248677.753732</v>
      </c>
      <c r="U18" s="7">
        <v>33786566.750593498</v>
      </c>
      <c r="V18" s="7">
        <v>36316312.016438201</v>
      </c>
      <c r="W18" s="7">
        <v>38736987.564978197</v>
      </c>
      <c r="X18" s="7">
        <v>41084674.430228204</v>
      </c>
      <c r="Y18" s="7">
        <v>43368472.465645701</v>
      </c>
      <c r="Z18" s="7">
        <v>45597281.445798598</v>
      </c>
      <c r="AA18" s="7">
        <v>47682840.144761197</v>
      </c>
      <c r="AB18" s="7">
        <v>49898202.121130899</v>
      </c>
      <c r="AC18" s="7">
        <v>51992868.965262704</v>
      </c>
    </row>
    <row r="19" spans="1:29" x14ac:dyDescent="0.85">
      <c r="A19" t="s">
        <v>117</v>
      </c>
      <c r="B19" s="7">
        <v>6301391.75</v>
      </c>
      <c r="C19" s="7">
        <v>6091345.7196210604</v>
      </c>
      <c r="D19" s="7">
        <v>6901158.9337578099</v>
      </c>
      <c r="E19" s="7">
        <v>11093361.301165</v>
      </c>
      <c r="F19" s="7">
        <v>15537003.0964485</v>
      </c>
      <c r="G19" s="7">
        <v>20214760.346498799</v>
      </c>
      <c r="H19" s="7">
        <v>25159748.9585598</v>
      </c>
      <c r="I19" s="7">
        <v>24321090.754298501</v>
      </c>
      <c r="J19" s="7">
        <v>23510279.327618498</v>
      </c>
      <c r="K19" s="7">
        <v>22726603.333828598</v>
      </c>
      <c r="L19" s="7">
        <v>23690689.798512202</v>
      </c>
      <c r="M19" s="7">
        <v>24770479.106853701</v>
      </c>
      <c r="N19" s="7">
        <v>26164960.700475901</v>
      </c>
      <c r="O19" s="7">
        <v>28273951.559792198</v>
      </c>
      <c r="P19" s="7">
        <v>27398407.0875859</v>
      </c>
      <c r="Q19" s="7">
        <v>26535820.726102799</v>
      </c>
      <c r="R19" s="7">
        <v>25656119.9391426</v>
      </c>
      <c r="S19" s="7">
        <v>28053426.927264102</v>
      </c>
      <c r="T19" s="7">
        <v>31267143.9067076</v>
      </c>
      <c r="U19" s="7">
        <v>33824408.041590199</v>
      </c>
      <c r="V19" s="7">
        <v>36383396.7368057</v>
      </c>
      <c r="W19" s="7">
        <v>38846048.504126303</v>
      </c>
      <c r="X19" s="7">
        <v>41249067.201345101</v>
      </c>
      <c r="Y19" s="7">
        <v>43601949.591162898</v>
      </c>
      <c r="Z19" s="7">
        <v>45915398.687170103</v>
      </c>
      <c r="AA19" s="7">
        <v>48099997.170190401</v>
      </c>
      <c r="AB19" s="7">
        <v>50434774.503259003</v>
      </c>
      <c r="AC19" s="7">
        <v>52664688.446616299</v>
      </c>
    </row>
    <row r="20" spans="1:29" x14ac:dyDescent="0.85">
      <c r="A20" t="s">
        <v>118</v>
      </c>
      <c r="B20" s="7">
        <v>1006.70237121</v>
      </c>
      <c r="C20" s="7">
        <v>973.14568322000002</v>
      </c>
      <c r="D20" s="7">
        <v>1102.52041745</v>
      </c>
      <c r="E20" s="7">
        <v>1772.26136219</v>
      </c>
      <c r="F20" s="7">
        <v>2482.1719517199999</v>
      </c>
      <c r="G20" s="7">
        <v>3229.48453002</v>
      </c>
      <c r="H20" s="7">
        <v>4019.4896525200002</v>
      </c>
      <c r="I20" s="7">
        <v>3885.50667918</v>
      </c>
      <c r="J20" s="7">
        <v>3755.9897898700001</v>
      </c>
      <c r="K20" s="7">
        <v>3630.7901302099999</v>
      </c>
      <c r="L20" s="7">
        <v>3784.8120739699998</v>
      </c>
      <c r="M20" s="7">
        <v>3957.3186428499998</v>
      </c>
      <c r="N20" s="7">
        <v>4180.1002848099997</v>
      </c>
      <c r="O20" s="7">
        <v>4517.0315492099999</v>
      </c>
      <c r="P20" s="7">
        <v>4377.1550273399998</v>
      </c>
      <c r="Q20" s="7">
        <v>4239.3486863899998</v>
      </c>
      <c r="R20" s="7">
        <v>4098.8081538699998</v>
      </c>
      <c r="S20" s="7">
        <v>4481.8006505399999</v>
      </c>
      <c r="T20" s="7">
        <v>4995.2223756800004</v>
      </c>
      <c r="U20" s="7">
        <v>5403.7695415199996</v>
      </c>
      <c r="V20" s="7">
        <v>5812.5922222099998</v>
      </c>
      <c r="W20" s="7">
        <v>6206.0241662400003</v>
      </c>
      <c r="X20" s="7">
        <v>6589.9291625300002</v>
      </c>
      <c r="Y20" s="7">
        <v>6965.8244088700003</v>
      </c>
      <c r="Z20" s="7">
        <v>7335.4198130300001</v>
      </c>
      <c r="AA20" s="7">
        <v>7684.4301114099999</v>
      </c>
      <c r="AB20" s="7">
        <v>8057.4329034499997</v>
      </c>
      <c r="AC20" s="7">
        <v>8413.6827758100007</v>
      </c>
    </row>
    <row r="21" spans="1:29" x14ac:dyDescent="0.85">
      <c r="A21" t="s">
        <v>119</v>
      </c>
      <c r="B21" s="7">
        <v>0</v>
      </c>
      <c r="C21" s="7">
        <v>6.0913457199999996</v>
      </c>
      <c r="D21" s="7">
        <v>6.9011589300000002</v>
      </c>
      <c r="E21" s="7">
        <v>11.0933613</v>
      </c>
      <c r="F21" s="7">
        <v>15.5370031</v>
      </c>
      <c r="G21" s="7">
        <v>20.214760349999999</v>
      </c>
      <c r="H21" s="7">
        <v>25.159748960000002</v>
      </c>
      <c r="I21" s="7">
        <v>24.32109075</v>
      </c>
      <c r="J21" s="7">
        <v>23.510279329999999</v>
      </c>
      <c r="K21" s="7">
        <v>22.72660333</v>
      </c>
      <c r="L21" s="7">
        <v>23.690689800000001</v>
      </c>
      <c r="M21" s="7">
        <v>24.77047911</v>
      </c>
      <c r="N21" s="7">
        <v>26.164960700000002</v>
      </c>
      <c r="O21" s="7">
        <v>28.27395156</v>
      </c>
      <c r="P21" s="7">
        <v>27.398407089999999</v>
      </c>
      <c r="Q21" s="7">
        <v>26.535820730000001</v>
      </c>
      <c r="R21" s="7">
        <v>25.65611994</v>
      </c>
      <c r="S21" s="7">
        <v>28.053426930000001</v>
      </c>
      <c r="T21" s="7">
        <v>31.267143910000001</v>
      </c>
      <c r="U21" s="7">
        <v>33.824408040000002</v>
      </c>
      <c r="V21" s="7">
        <v>36.383396740000002</v>
      </c>
      <c r="W21" s="7">
        <v>38.846048500000002</v>
      </c>
      <c r="X21" s="7">
        <v>41.249067199999999</v>
      </c>
      <c r="Y21" s="7">
        <v>43.601949589999997</v>
      </c>
      <c r="Z21" s="7">
        <v>45.915398690000004</v>
      </c>
      <c r="AA21" s="7">
        <v>48.099997170000002</v>
      </c>
      <c r="AB21" s="7">
        <v>50.434774500000003</v>
      </c>
      <c r="AC21" s="7">
        <v>52.66468845</v>
      </c>
    </row>
    <row r="22" spans="1:29" x14ac:dyDescent="0.85">
      <c r="A22" t="s">
        <v>120</v>
      </c>
      <c r="B22" s="7">
        <v>3.1506960000000001E-2</v>
      </c>
      <c r="C22" s="7">
        <v>3.0456730000000001E-2</v>
      </c>
      <c r="D22" s="7">
        <v>3.4505790000000001E-2</v>
      </c>
      <c r="E22" s="7">
        <v>5.5466809999999998E-2</v>
      </c>
      <c r="F22" s="7">
        <v>7.7685019999999994E-2</v>
      </c>
      <c r="G22" s="7">
        <v>0.10107380000000001</v>
      </c>
      <c r="H22" s="7">
        <v>0.12579873999999999</v>
      </c>
      <c r="I22" s="7">
        <v>0.12160545</v>
      </c>
      <c r="J22" s="7">
        <v>0.1175514</v>
      </c>
      <c r="K22" s="7">
        <v>0.11363302</v>
      </c>
      <c r="L22" s="7">
        <v>0.11845345</v>
      </c>
      <c r="M22" s="7">
        <v>0.1238524</v>
      </c>
      <c r="N22" s="7">
        <v>0.13082479999999999</v>
      </c>
      <c r="O22" s="7">
        <v>0.14136976000000001</v>
      </c>
      <c r="P22" s="7">
        <v>0.13699204000000001</v>
      </c>
      <c r="Q22" s="7">
        <v>0.13267909999999999</v>
      </c>
      <c r="R22" s="7">
        <v>0.12828059999999999</v>
      </c>
      <c r="S22" s="7">
        <v>0.14026712999999999</v>
      </c>
      <c r="T22" s="7">
        <v>0.15633572000000001</v>
      </c>
      <c r="U22" s="7">
        <v>0.16912204</v>
      </c>
      <c r="V22" s="7">
        <v>0.18191698000000001</v>
      </c>
      <c r="W22" s="7">
        <v>0.19423024</v>
      </c>
      <c r="X22" s="7">
        <v>0.20624534</v>
      </c>
      <c r="Y22" s="7">
        <v>0.21800975</v>
      </c>
      <c r="Z22" s="7">
        <v>0.22957699000000001</v>
      </c>
      <c r="AA22" s="7">
        <v>0.24049999</v>
      </c>
      <c r="AB22" s="7">
        <v>0.25217387000000002</v>
      </c>
      <c r="AC22" s="7">
        <v>0.26332344000000002</v>
      </c>
    </row>
    <row r="23" spans="1:29" x14ac:dyDescent="0.85">
      <c r="A23" t="s">
        <v>121</v>
      </c>
      <c r="B23" s="7">
        <v>1006.70237121</v>
      </c>
      <c r="C23" s="7">
        <v>973.14568322000002</v>
      </c>
      <c r="D23" s="7">
        <v>1102.52041745</v>
      </c>
      <c r="E23" s="7">
        <v>1772.26136219</v>
      </c>
      <c r="F23" s="7">
        <v>2482.1719517199999</v>
      </c>
      <c r="G23" s="7">
        <v>3229.48453002</v>
      </c>
      <c r="H23" s="7">
        <v>4019.4896525200002</v>
      </c>
      <c r="I23" s="7">
        <v>3885.50667918</v>
      </c>
      <c r="J23" s="7">
        <v>3755.9897898700001</v>
      </c>
      <c r="K23" s="7">
        <v>3630.7901302099999</v>
      </c>
      <c r="L23" s="7">
        <v>3784.8120739699998</v>
      </c>
      <c r="M23" s="7">
        <v>3957.3186428499998</v>
      </c>
      <c r="N23" s="7">
        <v>4180.1002848099997</v>
      </c>
      <c r="O23" s="7">
        <v>4517.0315492099999</v>
      </c>
      <c r="P23" s="7">
        <v>4377.1550273399998</v>
      </c>
      <c r="Q23" s="7">
        <v>4239.3486863899998</v>
      </c>
      <c r="R23" s="7">
        <v>4098.8081538699998</v>
      </c>
      <c r="S23" s="7">
        <v>4481.8006505399999</v>
      </c>
      <c r="T23" s="7">
        <v>4995.2223756800004</v>
      </c>
      <c r="U23" s="7">
        <v>5403.7695415199996</v>
      </c>
      <c r="V23" s="7">
        <v>5812.5922222099998</v>
      </c>
      <c r="W23" s="7">
        <v>6206.0241662400003</v>
      </c>
      <c r="X23" s="7">
        <v>6589.9291625300002</v>
      </c>
      <c r="Y23" s="7">
        <v>6965.8244088700003</v>
      </c>
      <c r="Z23" s="7">
        <v>7335.4198130300001</v>
      </c>
      <c r="AA23" s="7">
        <v>7684.4301114099999</v>
      </c>
      <c r="AB23" s="7">
        <v>8057.4329034499997</v>
      </c>
      <c r="AC23" s="7">
        <v>8413.6827758100007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1.0000000600000001</v>
      </c>
      <c r="E25" s="7">
        <v>1.17201194</v>
      </c>
      <c r="F25" s="7">
        <v>1.4488547199999999</v>
      </c>
      <c r="G25" s="7">
        <v>1.34643487</v>
      </c>
      <c r="H25" s="7">
        <v>1.2875317500000001</v>
      </c>
      <c r="I25" s="7">
        <v>1.24925274</v>
      </c>
      <c r="J25" s="7">
        <v>1</v>
      </c>
      <c r="K25" s="7">
        <v>0.99999539000000004</v>
      </c>
      <c r="L25" s="7">
        <v>1</v>
      </c>
      <c r="M25" s="7">
        <v>1.07836661</v>
      </c>
      <c r="N25" s="7">
        <v>1.0816330700000001</v>
      </c>
      <c r="O25" s="7">
        <v>1.0927201099999999</v>
      </c>
      <c r="P25" s="7">
        <v>1.1178658299999999</v>
      </c>
      <c r="Q25" s="7">
        <v>1.00244848</v>
      </c>
      <c r="R25" s="7">
        <v>1.0019140499999999</v>
      </c>
      <c r="S25" s="7">
        <v>1.00018816</v>
      </c>
      <c r="T25" s="7">
        <v>1.13114479</v>
      </c>
      <c r="U25" s="7">
        <v>1.1529900200000001</v>
      </c>
      <c r="V25" s="7">
        <v>1.1190906</v>
      </c>
      <c r="W25" s="7">
        <v>1.1127466500000001</v>
      </c>
      <c r="X25" s="7">
        <v>1.1045029099999999</v>
      </c>
      <c r="Y25" s="7">
        <v>1.0984759200000001</v>
      </c>
      <c r="Z25" s="7">
        <v>1.0934905500000001</v>
      </c>
      <c r="AA25" s="7">
        <v>1.0893707399999999</v>
      </c>
      <c r="AB25" s="7">
        <v>1.08370218</v>
      </c>
      <c r="AC25" s="7">
        <v>1.0846966300000001</v>
      </c>
    </row>
    <row r="26" spans="1:29" x14ac:dyDescent="0.85">
      <c r="A26" t="s">
        <v>124</v>
      </c>
      <c r="B26" s="7">
        <v>1</v>
      </c>
      <c r="C26" s="7">
        <v>1.0000000600000001</v>
      </c>
      <c r="D26" s="7">
        <v>1.17201194</v>
      </c>
      <c r="E26" s="7">
        <v>1.6628933100000001</v>
      </c>
      <c r="F26" s="7">
        <v>1.4488631000000001</v>
      </c>
      <c r="G26" s="7">
        <v>1.3459365999999999</v>
      </c>
      <c r="H26" s="7">
        <v>1.2875406899999999</v>
      </c>
      <c r="I26" s="7">
        <v>1</v>
      </c>
      <c r="J26" s="7">
        <v>0.99999539000000004</v>
      </c>
      <c r="K26" s="7">
        <v>1</v>
      </c>
      <c r="L26" s="7">
        <v>1.07836661</v>
      </c>
      <c r="M26" s="7">
        <v>1.0816330700000001</v>
      </c>
      <c r="N26" s="7">
        <v>1.0927201099999999</v>
      </c>
      <c r="O26" s="7">
        <v>1.1178658299999999</v>
      </c>
      <c r="P26" s="7">
        <v>1.00244848</v>
      </c>
      <c r="Q26" s="7">
        <v>1.0019140499999999</v>
      </c>
      <c r="R26" s="7">
        <v>1.00018816</v>
      </c>
      <c r="S26" s="7">
        <v>1.13114479</v>
      </c>
      <c r="T26" s="7">
        <v>1.1529900200000001</v>
      </c>
      <c r="U26" s="7">
        <v>1.1190906</v>
      </c>
      <c r="V26" s="7">
        <v>1.1127466500000001</v>
      </c>
      <c r="W26" s="7">
        <v>1.1045029099999999</v>
      </c>
      <c r="X26" s="7">
        <v>1.0984759200000001</v>
      </c>
      <c r="Y26" s="7">
        <v>1.0934905500000001</v>
      </c>
      <c r="Z26" s="7">
        <v>1.0893707399999999</v>
      </c>
      <c r="AA26" s="7">
        <v>1.08370218</v>
      </c>
      <c r="AB26" s="7">
        <v>1.0846966300000001</v>
      </c>
      <c r="AC26" s="7">
        <v>1.0802211900000001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1.7164177700000001</v>
      </c>
      <c r="E27" s="7">
        <v>1.6668505899999999</v>
      </c>
      <c r="F27" s="7">
        <v>1.44886472</v>
      </c>
      <c r="G27" s="7">
        <v>1.34644487</v>
      </c>
      <c r="H27" s="7">
        <v>1.2875417499999999</v>
      </c>
      <c r="I27" s="7">
        <v>1.24926274</v>
      </c>
      <c r="J27" s="7">
        <v>1.26814502</v>
      </c>
      <c r="K27" s="7">
        <v>1.2832537100000001</v>
      </c>
      <c r="L27" s="7">
        <v>1.29939099</v>
      </c>
      <c r="M27" s="7">
        <v>1.29601981</v>
      </c>
      <c r="N27" s="7">
        <v>1.2918744600000001</v>
      </c>
      <c r="O27" s="7">
        <v>1.2851974900000001</v>
      </c>
      <c r="P27" s="7">
        <v>1.27319509</v>
      </c>
      <c r="Q27" s="7">
        <v>1.28777615</v>
      </c>
      <c r="R27" s="7">
        <v>1.30269602</v>
      </c>
      <c r="S27" s="7">
        <v>1.3198187400000001</v>
      </c>
      <c r="T27" s="7">
        <v>1.30279499</v>
      </c>
      <c r="U27" s="7">
        <v>1.2819985899999999</v>
      </c>
      <c r="V27" s="7">
        <v>1.26976556</v>
      </c>
      <c r="W27" s="7">
        <v>1.2593838799999999</v>
      </c>
      <c r="X27" s="7">
        <v>1.2510441800000001</v>
      </c>
      <c r="Y27" s="7">
        <v>1.2441350200000001</v>
      </c>
      <c r="Z27" s="7">
        <v>1.2383489000000001</v>
      </c>
      <c r="AA27" s="7">
        <v>1.23344958</v>
      </c>
      <c r="AB27" s="7">
        <v>1.22966574</v>
      </c>
      <c r="AC27" s="7">
        <v>1.2257471499999999</v>
      </c>
    </row>
    <row r="28" spans="1:29" x14ac:dyDescent="0.85">
      <c r="A28" t="s">
        <v>126</v>
      </c>
      <c r="B28" s="7">
        <v>9891</v>
      </c>
      <c r="C28" s="7">
        <v>14019.685264510001</v>
      </c>
      <c r="D28" s="7">
        <v>18269.530414479999</v>
      </c>
      <c r="E28" s="7">
        <v>22668.86069473</v>
      </c>
      <c r="F28" s="7">
        <v>27290.95126437</v>
      </c>
      <c r="G28" s="7">
        <v>32153.37212462</v>
      </c>
      <c r="H28" s="7">
        <v>37274.89132078</v>
      </c>
      <c r="I28" s="7">
        <v>42675.205203650003</v>
      </c>
      <c r="J28" s="7">
        <v>48249.014203190003</v>
      </c>
      <c r="K28" s="7">
        <v>53871.80793314</v>
      </c>
      <c r="L28" s="7">
        <v>59549.420982980002</v>
      </c>
      <c r="M28" s="7">
        <v>65311.81677107</v>
      </c>
      <c r="N28" s="7">
        <v>71163.516282220007</v>
      </c>
      <c r="O28" s="7">
        <v>77112.361996139996</v>
      </c>
      <c r="P28" s="7">
        <v>83172.952474630001</v>
      </c>
      <c r="Q28" s="7">
        <v>89297.856212619998</v>
      </c>
      <c r="R28" s="7">
        <v>95471.945406169994</v>
      </c>
      <c r="S28" s="7">
        <v>101721.69296035</v>
      </c>
      <c r="T28" s="7">
        <v>108099.66624397</v>
      </c>
      <c r="U28" s="7">
        <v>114621.82234937001</v>
      </c>
      <c r="V28" s="7">
        <v>121282.63315199</v>
      </c>
      <c r="W28" s="7">
        <v>128084.80222141001</v>
      </c>
      <c r="X28" s="7">
        <v>135029.79979451999</v>
      </c>
      <c r="Y28" s="7">
        <v>142119.63594859</v>
      </c>
      <c r="Z28" s="7">
        <v>149356.51202866001</v>
      </c>
      <c r="AA28" s="7">
        <v>156742.83851530001</v>
      </c>
      <c r="AB28" s="7">
        <v>164279.91153697</v>
      </c>
      <c r="AC28" s="7">
        <v>171971.52153450999</v>
      </c>
    </row>
    <row r="29" spans="1:29" x14ac:dyDescent="0.85">
      <c r="A29" t="s">
        <v>127</v>
      </c>
      <c r="B29" s="7">
        <v>27966153.5</v>
      </c>
      <c r="C29" s="7">
        <v>39639740.180874497</v>
      </c>
      <c r="D29" s="7">
        <v>51655898.487935603</v>
      </c>
      <c r="E29" s="7">
        <v>64094716.1923934</v>
      </c>
      <c r="F29" s="7">
        <v>77163373.998619094</v>
      </c>
      <c r="G29" s="7">
        <v>90911549.932231903</v>
      </c>
      <c r="H29" s="7">
        <v>105392309.409844</v>
      </c>
      <c r="I29" s="7">
        <v>120661342.570952</v>
      </c>
      <c r="J29" s="7">
        <v>136420921.79052699</v>
      </c>
      <c r="K29" s="7">
        <v>152319002.121185</v>
      </c>
      <c r="L29" s="7">
        <v>168372080.48186699</v>
      </c>
      <c r="M29" s="7">
        <v>184664876.47191799</v>
      </c>
      <c r="N29" s="7">
        <v>201210172.879208</v>
      </c>
      <c r="O29" s="7">
        <v>218030143.800587</v>
      </c>
      <c r="P29" s="7">
        <v>235164105.47811201</v>
      </c>
      <c r="Q29" s="7">
        <v>252474564.375043</v>
      </c>
      <c r="R29" s="7">
        <v>269913998.73655999</v>
      </c>
      <c r="S29" s="7">
        <v>287534112.05292797</v>
      </c>
      <c r="T29" s="7">
        <v>305464201.72751701</v>
      </c>
      <c r="U29" s="7">
        <v>323723108.655065</v>
      </c>
      <c r="V29" s="7">
        <v>342286404.22472501</v>
      </c>
      <c r="W29" s="7">
        <v>361134627.85386801</v>
      </c>
      <c r="X29" s="7">
        <v>380266333.092848</v>
      </c>
      <c r="Y29" s="7">
        <v>399682228.93210101</v>
      </c>
      <c r="Z29" s="7">
        <v>419369931.56882799</v>
      </c>
      <c r="AA29" s="7">
        <v>439336521.55336499</v>
      </c>
      <c r="AB29" s="7">
        <v>459548983.68800098</v>
      </c>
      <c r="AC29" s="7">
        <v>480035473.67733002</v>
      </c>
    </row>
    <row r="30" spans="1:29" x14ac:dyDescent="0.85">
      <c r="A30" t="s">
        <v>128</v>
      </c>
      <c r="B30" s="7">
        <v>27966153.5</v>
      </c>
      <c r="C30" s="7">
        <v>39639740.180874497</v>
      </c>
      <c r="D30" s="7">
        <v>51655898.487935603</v>
      </c>
      <c r="E30" s="7">
        <v>64094716.1923934</v>
      </c>
      <c r="F30" s="7">
        <v>77163373.998619094</v>
      </c>
      <c r="G30" s="7">
        <v>90911549.932231903</v>
      </c>
      <c r="H30" s="7">
        <v>105392309.409844</v>
      </c>
      <c r="I30" s="7">
        <v>120661342.570952</v>
      </c>
      <c r="J30" s="7">
        <v>136420921.79052699</v>
      </c>
      <c r="K30" s="7">
        <v>152319002.121185</v>
      </c>
      <c r="L30" s="7">
        <v>168372080.48186699</v>
      </c>
      <c r="M30" s="7">
        <v>184664876.47191799</v>
      </c>
      <c r="N30" s="7">
        <v>201210172.879208</v>
      </c>
      <c r="O30" s="7">
        <v>218030143.800587</v>
      </c>
      <c r="P30" s="7">
        <v>235166065.71161699</v>
      </c>
      <c r="Q30" s="7">
        <v>252483829.14396799</v>
      </c>
      <c r="R30" s="7">
        <v>269940661.224612</v>
      </c>
      <c r="S30" s="7">
        <v>287611412.35558301</v>
      </c>
      <c r="T30" s="7">
        <v>305644713.32298702</v>
      </c>
      <c r="U30" s="7">
        <v>324085681.75837499</v>
      </c>
      <c r="V30" s="7">
        <v>342918687.25232399</v>
      </c>
      <c r="W30" s="7">
        <v>362151373.97039402</v>
      </c>
      <c r="X30" s="7">
        <v>381787898.91091901</v>
      </c>
      <c r="Y30" s="7">
        <v>401833945.43549597</v>
      </c>
      <c r="Z30" s="7">
        <v>422295737.70276201</v>
      </c>
      <c r="AA30" s="7">
        <v>443180091.18842101</v>
      </c>
      <c r="AB30" s="7">
        <v>464490670.61057699</v>
      </c>
      <c r="AC30" s="7">
        <v>486238193.19205201</v>
      </c>
    </row>
    <row r="31" spans="1:29" x14ac:dyDescent="0.85">
      <c r="A31" t="s">
        <v>129</v>
      </c>
      <c r="B31" s="7">
        <v>2991.6926720500001</v>
      </c>
      <c r="C31" s="7">
        <v>4240.4802012199998</v>
      </c>
      <c r="D31" s="7">
        <v>5525.9144942599996</v>
      </c>
      <c r="E31" s="7">
        <v>6856.5629788699998</v>
      </c>
      <c r="F31" s="7">
        <v>8254.5889102000001</v>
      </c>
      <c r="G31" s="7">
        <v>9725.3066188199991</v>
      </c>
      <c r="H31" s="7">
        <v>11274.392803119999</v>
      </c>
      <c r="I31" s="7">
        <v>12907.80494245</v>
      </c>
      <c r="J31" s="7">
        <v>14593.693481460001</v>
      </c>
      <c r="K31" s="7">
        <v>16294.39824319</v>
      </c>
      <c r="L31" s="7">
        <v>18011.683993459999</v>
      </c>
      <c r="M31" s="7">
        <v>19754.613652010001</v>
      </c>
      <c r="N31" s="7">
        <v>21524.554663679999</v>
      </c>
      <c r="O31" s="7">
        <v>23323.879113129999</v>
      </c>
      <c r="P31" s="7">
        <v>25157.002571100002</v>
      </c>
      <c r="Q31" s="7">
        <v>27009.57861294</v>
      </c>
      <c r="R31" s="7">
        <v>28877.031590089999</v>
      </c>
      <c r="S31" s="7">
        <v>30767.368660150001</v>
      </c>
      <c r="T31" s="7">
        <v>32696.489672690001</v>
      </c>
      <c r="U31" s="7">
        <v>34669.221107980004</v>
      </c>
      <c r="V31" s="7">
        <v>36683.890895479999</v>
      </c>
      <c r="W31" s="7">
        <v>38741.316773450002</v>
      </c>
      <c r="X31" s="7">
        <v>40841.943438779999</v>
      </c>
      <c r="Y31" s="7">
        <v>42986.378871820001</v>
      </c>
      <c r="Z31" s="7">
        <v>45175.2889049</v>
      </c>
      <c r="AA31" s="7">
        <v>47409.402626809999</v>
      </c>
      <c r="AB31" s="7">
        <v>49689.112072529999</v>
      </c>
      <c r="AC31" s="7">
        <v>52015.5637221</v>
      </c>
    </row>
    <row r="32" spans="1:29" x14ac:dyDescent="0.85">
      <c r="A32" t="s">
        <v>130</v>
      </c>
      <c r="B32" s="7">
        <v>0</v>
      </c>
      <c r="C32" s="7">
        <v>31.71179214</v>
      </c>
      <c r="D32" s="7">
        <v>41.324718789999999</v>
      </c>
      <c r="E32" s="7">
        <v>51.275772949999997</v>
      </c>
      <c r="F32" s="7">
        <v>61.730699199999997</v>
      </c>
      <c r="G32" s="7">
        <v>72.729239949999993</v>
      </c>
      <c r="H32" s="7">
        <v>84.313847530000004</v>
      </c>
      <c r="I32" s="7">
        <v>96.529074059999999</v>
      </c>
      <c r="J32" s="7">
        <v>109.13673743</v>
      </c>
      <c r="K32" s="7">
        <v>121.85520169999999</v>
      </c>
      <c r="L32" s="7">
        <v>134.69766439</v>
      </c>
      <c r="M32" s="7">
        <v>147.73190117999999</v>
      </c>
      <c r="N32" s="7">
        <v>160.96813829999999</v>
      </c>
      <c r="O32" s="7">
        <v>174.42411504</v>
      </c>
      <c r="P32" s="7">
        <v>188.13285257000001</v>
      </c>
      <c r="Q32" s="7">
        <v>201.98706332</v>
      </c>
      <c r="R32" s="7">
        <v>215.95252898000001</v>
      </c>
      <c r="S32" s="7">
        <v>230.08912988</v>
      </c>
      <c r="T32" s="7">
        <v>244.51577065999999</v>
      </c>
      <c r="U32" s="7">
        <v>259.26854541</v>
      </c>
      <c r="V32" s="7">
        <v>274.3349498</v>
      </c>
      <c r="W32" s="7">
        <v>289.72109918000001</v>
      </c>
      <c r="X32" s="7">
        <v>305.43031912999999</v>
      </c>
      <c r="Y32" s="7">
        <v>321.46715634999998</v>
      </c>
      <c r="Z32" s="7">
        <v>337.83659016000001</v>
      </c>
      <c r="AA32" s="7">
        <v>354.54407294999999</v>
      </c>
      <c r="AB32" s="7">
        <v>371.59253648999999</v>
      </c>
      <c r="AC32" s="7">
        <v>388.99055455000001</v>
      </c>
    </row>
    <row r="33" spans="1:29" x14ac:dyDescent="0.85">
      <c r="A33" t="s">
        <v>131</v>
      </c>
      <c r="B33" s="7">
        <v>0.11186461</v>
      </c>
      <c r="C33" s="7">
        <v>0.15855896</v>
      </c>
      <c r="D33" s="7">
        <v>0.20662359</v>
      </c>
      <c r="E33" s="7">
        <v>0.25637885999999999</v>
      </c>
      <c r="F33" s="7">
        <v>0.30865350000000003</v>
      </c>
      <c r="G33" s="7">
        <v>0.36364619999999998</v>
      </c>
      <c r="H33" s="7">
        <v>0.42156924000000001</v>
      </c>
      <c r="I33" s="7">
        <v>0.48264537000000002</v>
      </c>
      <c r="J33" s="7">
        <v>0.54568369000000005</v>
      </c>
      <c r="K33" s="7">
        <v>0.60927600999999998</v>
      </c>
      <c r="L33" s="7">
        <v>0.67348832000000003</v>
      </c>
      <c r="M33" s="7">
        <v>0.73865950999999996</v>
      </c>
      <c r="N33" s="7">
        <v>0.80484069000000003</v>
      </c>
      <c r="O33" s="7">
        <v>0.87212058000000003</v>
      </c>
      <c r="P33" s="7">
        <v>0.94066426000000003</v>
      </c>
      <c r="Q33" s="7">
        <v>1.0099353200000001</v>
      </c>
      <c r="R33" s="7">
        <v>1.07976264</v>
      </c>
      <c r="S33" s="7">
        <v>1.15044565</v>
      </c>
      <c r="T33" s="7">
        <v>1.2225788500000001</v>
      </c>
      <c r="U33" s="7">
        <v>1.2963427300000001</v>
      </c>
      <c r="V33" s="7">
        <v>1.3716747499999999</v>
      </c>
      <c r="W33" s="7">
        <v>1.4486055</v>
      </c>
      <c r="X33" s="7">
        <v>1.5271516000000001</v>
      </c>
      <c r="Y33" s="7">
        <v>1.6073357800000001</v>
      </c>
      <c r="Z33" s="7">
        <v>1.68918295</v>
      </c>
      <c r="AA33" s="7">
        <v>1.7727203600000001</v>
      </c>
      <c r="AB33" s="7">
        <v>1.85796268</v>
      </c>
      <c r="AC33" s="7">
        <v>1.94495277</v>
      </c>
    </row>
    <row r="34" spans="1:29" x14ac:dyDescent="0.85">
      <c r="A34" t="s">
        <v>132</v>
      </c>
      <c r="B34" s="7">
        <v>2991.6926720500001</v>
      </c>
      <c r="C34" s="7">
        <v>4240.4802012199998</v>
      </c>
      <c r="D34" s="7">
        <v>5525.9144942599996</v>
      </c>
      <c r="E34" s="7">
        <v>6856.5629788699998</v>
      </c>
      <c r="F34" s="7">
        <v>8254.5889102000001</v>
      </c>
      <c r="G34" s="7">
        <v>9725.3066188199991</v>
      </c>
      <c r="H34" s="7">
        <v>11274.392803119999</v>
      </c>
      <c r="I34" s="7">
        <v>12907.80494245</v>
      </c>
      <c r="J34" s="7">
        <v>14593.693481460001</v>
      </c>
      <c r="K34" s="7">
        <v>16294.39824319</v>
      </c>
      <c r="L34" s="7">
        <v>18011.683993459999</v>
      </c>
      <c r="M34" s="7">
        <v>19754.613652010001</v>
      </c>
      <c r="N34" s="7">
        <v>21524.554663679999</v>
      </c>
      <c r="O34" s="7">
        <v>23323.879113129999</v>
      </c>
      <c r="P34" s="7">
        <v>25157.002571100002</v>
      </c>
      <c r="Q34" s="7">
        <v>27009.57861294</v>
      </c>
      <c r="R34" s="7">
        <v>28877.031590089999</v>
      </c>
      <c r="S34" s="7">
        <v>30767.368660150001</v>
      </c>
      <c r="T34" s="7">
        <v>32696.489672690001</v>
      </c>
      <c r="U34" s="7">
        <v>34669.221107980004</v>
      </c>
      <c r="V34" s="7">
        <v>36683.890895479999</v>
      </c>
      <c r="W34" s="7">
        <v>38741.316773450002</v>
      </c>
      <c r="X34" s="7">
        <v>40841.943438779999</v>
      </c>
      <c r="Y34" s="7">
        <v>42986.378871820001</v>
      </c>
      <c r="Z34" s="7">
        <v>45175.2889049</v>
      </c>
      <c r="AA34" s="7">
        <v>47409.402626809999</v>
      </c>
      <c r="AB34" s="7">
        <v>49689.112072529999</v>
      </c>
      <c r="AC34" s="7">
        <v>52015.5637221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1.3574444800000001</v>
      </c>
      <c r="E36" s="7">
        <v>1.29249156</v>
      </c>
      <c r="F36" s="7">
        <v>1.2540483600000001</v>
      </c>
      <c r="G36" s="7">
        <v>1.22725635</v>
      </c>
      <c r="H36" s="7">
        <v>1.2075775500000001</v>
      </c>
      <c r="I36" s="7">
        <v>1.1925713099999999</v>
      </c>
      <c r="J36" s="7">
        <v>1.17770876</v>
      </c>
      <c r="K36" s="7">
        <v>1.1630493399999999</v>
      </c>
      <c r="L36" s="7">
        <v>1.1514391399999999</v>
      </c>
      <c r="M36" s="7">
        <v>1.14245522</v>
      </c>
      <c r="N36" s="7">
        <v>1.1349861800000001</v>
      </c>
      <c r="O36" s="7">
        <v>1.1287337900000001</v>
      </c>
      <c r="P36" s="7">
        <v>1.12352571</v>
      </c>
      <c r="Q36" s="7">
        <v>1.1183656200000001</v>
      </c>
      <c r="R36" s="7">
        <v>1.11367791</v>
      </c>
      <c r="S36" s="7">
        <v>1.1098458499999999</v>
      </c>
      <c r="T36" s="7">
        <v>1.1069694000000001</v>
      </c>
      <c r="U36" s="7">
        <v>1.10450527</v>
      </c>
      <c r="V36" s="7">
        <v>1.10218924</v>
      </c>
      <c r="W36" s="7">
        <v>1.10007882</v>
      </c>
      <c r="X36" s="7">
        <v>1.0981377800000001</v>
      </c>
      <c r="Y36" s="7">
        <v>1.0963501200000001</v>
      </c>
      <c r="Z36" s="7">
        <v>1.0946993899999999</v>
      </c>
      <c r="AA36" s="7">
        <v>1.0931716</v>
      </c>
      <c r="AB36" s="7">
        <v>1.09174583</v>
      </c>
      <c r="AC36" s="7">
        <v>1.09043527</v>
      </c>
    </row>
    <row r="37" spans="1:29" x14ac:dyDescent="0.85">
      <c r="A37" t="s">
        <v>135</v>
      </c>
      <c r="B37" s="7">
        <v>1</v>
      </c>
      <c r="C37" s="7">
        <v>1.4764774899999999</v>
      </c>
      <c r="D37" s="7">
        <v>1.3574313899999999</v>
      </c>
      <c r="E37" s="7">
        <v>1.29250156</v>
      </c>
      <c r="F37" s="7">
        <v>1.2540583599999999</v>
      </c>
      <c r="G37" s="7">
        <v>1.22726011</v>
      </c>
      <c r="H37" s="7">
        <v>1.20758755</v>
      </c>
      <c r="I37" s="7">
        <v>1.19258131</v>
      </c>
      <c r="J37" s="7">
        <v>1.1777187600000001</v>
      </c>
      <c r="K37" s="7">
        <v>1.16305934</v>
      </c>
      <c r="L37" s="7">
        <v>1.15144914</v>
      </c>
      <c r="M37" s="7">
        <v>1.1424652200000001</v>
      </c>
      <c r="N37" s="7">
        <v>1.1349961799999999</v>
      </c>
      <c r="O37" s="7">
        <v>1.1287437899999999</v>
      </c>
      <c r="P37" s="7">
        <v>1.1235357100000001</v>
      </c>
      <c r="Q37" s="7">
        <v>1.1183756</v>
      </c>
      <c r="R37" s="7">
        <v>1.1136879099999999</v>
      </c>
      <c r="S37" s="7">
        <v>1.10985585</v>
      </c>
      <c r="T37" s="7">
        <v>1.1069793999999999</v>
      </c>
      <c r="U37" s="7">
        <v>1.10451527</v>
      </c>
      <c r="V37" s="7">
        <v>1.1021991600000001</v>
      </c>
      <c r="W37" s="7">
        <v>1.1000888200000001</v>
      </c>
      <c r="X37" s="7">
        <v>1.0981477799999999</v>
      </c>
      <c r="Y37" s="7">
        <v>1.0963601199999999</v>
      </c>
      <c r="Z37" s="7">
        <v>1.09470939</v>
      </c>
      <c r="AA37" s="7">
        <v>1.0931816000000001</v>
      </c>
      <c r="AB37" s="7">
        <v>1.0917558300000001</v>
      </c>
      <c r="AC37" s="7">
        <v>1.0904376600000001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1.3574544799999999</v>
      </c>
      <c r="E38" s="7">
        <v>1.29250156</v>
      </c>
      <c r="F38" s="7">
        <v>1.2540583599999999</v>
      </c>
      <c r="G38" s="7">
        <v>1.2272663500000001</v>
      </c>
      <c r="H38" s="7">
        <v>1.20758755</v>
      </c>
      <c r="I38" s="7">
        <v>1.19258131</v>
      </c>
      <c r="J38" s="7">
        <v>1.1777187600000001</v>
      </c>
      <c r="K38" s="7">
        <v>1.16305934</v>
      </c>
      <c r="L38" s="7">
        <v>1.15144914</v>
      </c>
      <c r="M38" s="7">
        <v>1.1424652200000001</v>
      </c>
      <c r="N38" s="7">
        <v>1.1349961799999999</v>
      </c>
      <c r="O38" s="7">
        <v>1.1287437899999999</v>
      </c>
      <c r="P38" s="7">
        <v>1.1235357100000001</v>
      </c>
      <c r="Q38" s="7">
        <v>1.1183756199999999</v>
      </c>
      <c r="R38" s="7">
        <v>1.1136879099999999</v>
      </c>
      <c r="S38" s="7">
        <v>1.10985585</v>
      </c>
      <c r="T38" s="7">
        <v>1.1069793999999999</v>
      </c>
      <c r="U38" s="7">
        <v>1.10451527</v>
      </c>
      <c r="V38" s="7">
        <v>1.10219924</v>
      </c>
      <c r="W38" s="7">
        <v>1.1000888200000001</v>
      </c>
      <c r="X38" s="7">
        <v>1.0981477799999999</v>
      </c>
      <c r="Y38" s="7">
        <v>1.0963601199999999</v>
      </c>
      <c r="Z38" s="7">
        <v>1.09470939</v>
      </c>
      <c r="AA38" s="7">
        <v>1.0931816000000001</v>
      </c>
      <c r="AB38" s="7">
        <v>1.0917558300000001</v>
      </c>
      <c r="AC38" s="7">
        <v>1.09044527</v>
      </c>
    </row>
    <row r="39" spans="1:29" x14ac:dyDescent="0.85">
      <c r="A39" t="s">
        <v>137</v>
      </c>
      <c r="B39" s="7">
        <v>46004</v>
      </c>
      <c r="C39" s="7">
        <v>44853.926288379997</v>
      </c>
      <c r="D39" s="7">
        <v>43732.578131169998</v>
      </c>
      <c r="E39" s="7">
        <v>42639.263677900002</v>
      </c>
      <c r="F39" s="7">
        <v>41573.282085949999</v>
      </c>
      <c r="G39" s="7">
        <v>40533.95408779</v>
      </c>
      <c r="H39" s="7">
        <v>39520.605235590003</v>
      </c>
      <c r="I39" s="7">
        <v>38532.590116560001</v>
      </c>
      <c r="J39" s="7">
        <v>37569.275380250001</v>
      </c>
      <c r="K39" s="7">
        <v>36630.68614641</v>
      </c>
      <c r="L39" s="7">
        <v>35714.918992749997</v>
      </c>
      <c r="M39" s="7">
        <v>34822.046017929999</v>
      </c>
      <c r="N39" s="7">
        <v>33951.494867480003</v>
      </c>
      <c r="O39" s="7">
        <v>33102.707495789997</v>
      </c>
      <c r="P39" s="7">
        <v>32275.139826300001</v>
      </c>
      <c r="Q39" s="7">
        <v>31468.261336070002</v>
      </c>
      <c r="R39" s="7">
        <v>30681.554807730001</v>
      </c>
      <c r="S39" s="7">
        <v>29914.516009409999</v>
      </c>
      <c r="T39" s="7">
        <v>29166.653109170002</v>
      </c>
      <c r="U39" s="7">
        <v>28437.486781439999</v>
      </c>
      <c r="V39" s="7">
        <v>27726.549614240001</v>
      </c>
      <c r="W39" s="7">
        <v>27033.385873880001</v>
      </c>
      <c r="X39" s="7">
        <v>26357.551227029999</v>
      </c>
      <c r="Y39" s="7">
        <v>25698.612448920001</v>
      </c>
      <c r="Z39" s="7">
        <v>25056.147137700002</v>
      </c>
      <c r="AA39" s="7">
        <v>24429.74346184</v>
      </c>
      <c r="AB39" s="7">
        <v>23818.999875289999</v>
      </c>
      <c r="AC39" s="7">
        <v>23223.52487926</v>
      </c>
    </row>
    <row r="40" spans="1:29" x14ac:dyDescent="0.85">
      <c r="A40" t="s">
        <v>138</v>
      </c>
      <c r="B40" s="7">
        <v>272337749.25</v>
      </c>
      <c r="C40" s="7">
        <v>265529461.14259499</v>
      </c>
      <c r="D40" s="7">
        <v>258888047.666834</v>
      </c>
      <c r="E40" s="7">
        <v>252415846.22479299</v>
      </c>
      <c r="F40" s="7">
        <v>246105449.94124499</v>
      </c>
      <c r="G40" s="7">
        <v>239952837.691497</v>
      </c>
      <c r="H40" s="7">
        <v>233954015.898559</v>
      </c>
      <c r="I40" s="7">
        <v>228105165.571275</v>
      </c>
      <c r="J40" s="7">
        <v>222402536.530325</v>
      </c>
      <c r="K40" s="7">
        <v>216846277.47942001</v>
      </c>
      <c r="L40" s="7">
        <v>211425041.649551</v>
      </c>
      <c r="M40" s="7">
        <v>206139401.65275699</v>
      </c>
      <c r="N40" s="7">
        <v>200985915.95601901</v>
      </c>
      <c r="O40" s="7">
        <v>195961254.91731501</v>
      </c>
      <c r="P40" s="7">
        <v>191062223.65035501</v>
      </c>
      <c r="Q40" s="7">
        <v>186285668.09125301</v>
      </c>
      <c r="R40" s="7">
        <v>181628526.41891599</v>
      </c>
      <c r="S40" s="7">
        <v>177087813.683889</v>
      </c>
      <c r="T40" s="7">
        <v>172660618.334025</v>
      </c>
      <c r="U40" s="7">
        <v>168344102.85829601</v>
      </c>
      <c r="V40" s="7">
        <v>164135500.30063999</v>
      </c>
      <c r="W40" s="7">
        <v>160032112.10751301</v>
      </c>
      <c r="X40" s="7">
        <v>156031306.546864</v>
      </c>
      <c r="Y40" s="7">
        <v>152130523.89837801</v>
      </c>
      <c r="Z40" s="7">
        <v>148327260.79316899</v>
      </c>
      <c r="AA40" s="7">
        <v>144619079.288614</v>
      </c>
      <c r="AB40" s="7">
        <v>141003602.299876</v>
      </c>
      <c r="AC40" s="7">
        <v>137478512.24741799</v>
      </c>
    </row>
    <row r="41" spans="1:29" x14ac:dyDescent="0.85">
      <c r="A41" t="s">
        <v>139</v>
      </c>
      <c r="B41" s="7">
        <v>272337749.25</v>
      </c>
      <c r="C41" s="7">
        <v>265529461.14259499</v>
      </c>
      <c r="D41" s="7">
        <v>258888047.666834</v>
      </c>
      <c r="E41" s="7">
        <v>252415846.22479299</v>
      </c>
      <c r="F41" s="7">
        <v>246105449.94124499</v>
      </c>
      <c r="G41" s="7">
        <v>239952837.691497</v>
      </c>
      <c r="H41" s="7">
        <v>233954015.898559</v>
      </c>
      <c r="I41" s="7">
        <v>228105165.571275</v>
      </c>
      <c r="J41" s="7">
        <v>222402536.530325</v>
      </c>
      <c r="K41" s="7">
        <v>216846277.47942001</v>
      </c>
      <c r="L41" s="7">
        <v>211425041.649551</v>
      </c>
      <c r="M41" s="7">
        <v>206139401.65275699</v>
      </c>
      <c r="N41" s="7">
        <v>200985915.95601901</v>
      </c>
      <c r="O41" s="7">
        <v>195961254.91731501</v>
      </c>
      <c r="P41" s="7">
        <v>191062223.65035501</v>
      </c>
      <c r="Q41" s="7">
        <v>186285668.09125301</v>
      </c>
      <c r="R41" s="7">
        <v>181628526.41891599</v>
      </c>
      <c r="S41" s="7">
        <v>177087813.683889</v>
      </c>
      <c r="T41" s="7">
        <v>172660618.334025</v>
      </c>
      <c r="U41" s="7">
        <v>168344102.85829601</v>
      </c>
      <c r="V41" s="7">
        <v>164135500.30063999</v>
      </c>
      <c r="W41" s="7">
        <v>160032112.10751301</v>
      </c>
      <c r="X41" s="7">
        <v>156031306.546864</v>
      </c>
      <c r="Y41" s="7">
        <v>152130523.89837801</v>
      </c>
      <c r="Z41" s="7">
        <v>148327260.79316899</v>
      </c>
      <c r="AA41" s="7">
        <v>144619079.288614</v>
      </c>
      <c r="AB41" s="7">
        <v>141003602.299876</v>
      </c>
      <c r="AC41" s="7">
        <v>137478512.24741799</v>
      </c>
    </row>
    <row r="42" spans="1:29" x14ac:dyDescent="0.85">
      <c r="A42" t="s">
        <v>140</v>
      </c>
      <c r="B42" s="7">
        <v>52372.991835790002</v>
      </c>
      <c r="C42" s="7">
        <v>51063.696967759999</v>
      </c>
      <c r="D42" s="7">
        <v>49787.072424630001</v>
      </c>
      <c r="E42" s="7">
        <v>48542.395611480002</v>
      </c>
      <c r="F42" s="7">
        <v>47328.835719900002</v>
      </c>
      <c r="G42" s="7">
        <v>46145.61944214</v>
      </c>
      <c r="H42" s="7">
        <v>44991.978947479998</v>
      </c>
      <c r="I42" s="7">
        <v>43867.179487289999</v>
      </c>
      <c r="J42" s="7">
        <v>42770.500019020001</v>
      </c>
      <c r="K42" s="7">
        <v>41701.969140059999</v>
      </c>
      <c r="L42" s="7">
        <v>40659.419113950004</v>
      </c>
      <c r="M42" s="7">
        <v>39642.933495010002</v>
      </c>
      <c r="N42" s="7">
        <v>38651.860151009998</v>
      </c>
      <c r="O42" s="7">
        <v>37685.56351439</v>
      </c>
      <c r="P42" s="7">
        <v>36743.424446910001</v>
      </c>
      <c r="Q42" s="7">
        <v>35824.838841919998</v>
      </c>
      <c r="R42" s="7">
        <v>34929.217876629998</v>
      </c>
      <c r="S42" s="7">
        <v>34055.987511530002</v>
      </c>
      <c r="T42" s="7">
        <v>33204.587823670001</v>
      </c>
      <c r="U42" s="7">
        <v>32374.473127900001</v>
      </c>
      <c r="V42" s="7">
        <v>31565.111302360001</v>
      </c>
      <c r="W42" s="7">
        <v>30775.98351287</v>
      </c>
      <c r="X42" s="7">
        <v>30006.583897159999</v>
      </c>
      <c r="Y42" s="7">
        <v>29256.41930265</v>
      </c>
      <c r="Z42" s="7">
        <v>28525.00882001</v>
      </c>
      <c r="AA42" s="7">
        <v>27811.883602450001</v>
      </c>
      <c r="AB42" s="7">
        <v>27116.586512319998</v>
      </c>
      <c r="AC42" s="7">
        <v>26438.671850480001</v>
      </c>
    </row>
    <row r="43" spans="1:29" x14ac:dyDescent="0.85">
      <c r="A43" t="s">
        <v>141</v>
      </c>
      <c r="B43" s="7">
        <v>0</v>
      </c>
      <c r="C43" s="7">
        <v>159.31767669000001</v>
      </c>
      <c r="D43" s="7">
        <v>155.3328286</v>
      </c>
      <c r="E43" s="7">
        <v>151.44950772999999</v>
      </c>
      <c r="F43" s="7">
        <v>147.66326996000001</v>
      </c>
      <c r="G43" s="7">
        <v>143.97170260999999</v>
      </c>
      <c r="H43" s="7">
        <v>140.37240954000001</v>
      </c>
      <c r="I43" s="7">
        <v>136.86309933999999</v>
      </c>
      <c r="J43" s="7">
        <v>133.44152192000001</v>
      </c>
      <c r="K43" s="7">
        <v>130.10776648999999</v>
      </c>
      <c r="L43" s="7">
        <v>126.85502499</v>
      </c>
      <c r="M43" s="7">
        <v>123.68364099</v>
      </c>
      <c r="N43" s="7">
        <v>120.59154957</v>
      </c>
      <c r="O43" s="7">
        <v>117.57675295</v>
      </c>
      <c r="P43" s="7">
        <v>114.63733419</v>
      </c>
      <c r="Q43" s="7">
        <v>111.77140085000001</v>
      </c>
      <c r="R43" s="7">
        <v>108.97711585</v>
      </c>
      <c r="S43" s="7">
        <v>106.25268821</v>
      </c>
      <c r="T43" s="7">
        <v>103.596371</v>
      </c>
      <c r="U43" s="7">
        <v>101.00646171</v>
      </c>
      <c r="V43" s="7">
        <v>98.481300180000005</v>
      </c>
      <c r="W43" s="7">
        <v>96.019267260000007</v>
      </c>
      <c r="X43" s="7">
        <v>93.618783930000006</v>
      </c>
      <c r="Y43" s="7">
        <v>91.278314339999994</v>
      </c>
      <c r="Z43" s="7">
        <v>88.996356480000003</v>
      </c>
      <c r="AA43" s="7">
        <v>86.771447570000007</v>
      </c>
      <c r="AB43" s="7">
        <v>84.602161379999998</v>
      </c>
      <c r="AC43" s="7">
        <v>82.487107350000002</v>
      </c>
    </row>
    <row r="44" spans="1:29" x14ac:dyDescent="0.85">
      <c r="A44" t="s">
        <v>142</v>
      </c>
      <c r="B44" s="7">
        <v>0.81701325000000002</v>
      </c>
      <c r="C44" s="7">
        <v>0.79658837999999998</v>
      </c>
      <c r="D44" s="7">
        <v>0.77666413999999995</v>
      </c>
      <c r="E44" s="7">
        <v>0.75724754000000005</v>
      </c>
      <c r="F44" s="7">
        <v>0.73831634999999995</v>
      </c>
      <c r="G44" s="7">
        <v>0.71985851000000001</v>
      </c>
      <c r="H44" s="7">
        <v>0.70186205000000002</v>
      </c>
      <c r="I44" s="7">
        <v>0.68431549999999997</v>
      </c>
      <c r="J44" s="7">
        <v>0.66720760999999995</v>
      </c>
      <c r="K44" s="7">
        <v>0.65053883000000001</v>
      </c>
      <c r="L44" s="7">
        <v>0.63427511999999997</v>
      </c>
      <c r="M44" s="7">
        <v>0.61841820000000003</v>
      </c>
      <c r="N44" s="7">
        <v>0.60295774999999996</v>
      </c>
      <c r="O44" s="7">
        <v>0.58788375999999998</v>
      </c>
      <c r="P44" s="7">
        <v>0.57318667000000001</v>
      </c>
      <c r="Q44" s="7">
        <v>0.55885700000000005</v>
      </c>
      <c r="R44" s="7">
        <v>0.54488557999999998</v>
      </c>
      <c r="S44" s="7">
        <v>0.53126344000000003</v>
      </c>
      <c r="T44" s="7">
        <v>0.51798186000000002</v>
      </c>
      <c r="U44" s="7">
        <v>0.50503231000000004</v>
      </c>
      <c r="V44" s="7">
        <v>0.49240650000000002</v>
      </c>
      <c r="W44" s="7">
        <v>0.48009634000000001</v>
      </c>
      <c r="X44" s="7">
        <v>0.46809392</v>
      </c>
      <c r="Y44" s="7">
        <v>0.45639157000000002</v>
      </c>
      <c r="Z44" s="7">
        <v>0.44498177999999999</v>
      </c>
      <c r="AA44" s="7">
        <v>0.43385723999999998</v>
      </c>
      <c r="AB44" s="7">
        <v>0.42301081000000001</v>
      </c>
      <c r="AC44" s="7">
        <v>0.41243553999999999</v>
      </c>
    </row>
    <row r="45" spans="1:29" x14ac:dyDescent="0.85">
      <c r="A45" t="s">
        <v>143</v>
      </c>
      <c r="B45" s="7">
        <v>49619.657190869999</v>
      </c>
      <c r="C45" s="7">
        <v>48379.19411561</v>
      </c>
      <c r="D45" s="7">
        <v>47169.714262720001</v>
      </c>
      <c r="E45" s="7">
        <v>45990.471406149998</v>
      </c>
      <c r="F45" s="7">
        <v>44840.709620989997</v>
      </c>
      <c r="G45" s="7">
        <v>43719.696253080001</v>
      </c>
      <c r="H45" s="7">
        <v>42626.703846750002</v>
      </c>
      <c r="I45" s="7">
        <v>41561.036263369999</v>
      </c>
      <c r="J45" s="7">
        <v>40522.010374700003</v>
      </c>
      <c r="K45" s="7">
        <v>39509.653274739998</v>
      </c>
      <c r="L45" s="7">
        <v>38521.91194287</v>
      </c>
      <c r="M45" s="7">
        <v>37558.864144300001</v>
      </c>
      <c r="N45" s="7">
        <v>36619.892540690002</v>
      </c>
      <c r="O45" s="7">
        <v>35704.395227180001</v>
      </c>
      <c r="P45" s="7">
        <v>34811.785365800002</v>
      </c>
      <c r="Q45" s="7">
        <v>33941.490737519998</v>
      </c>
      <c r="R45" s="7">
        <v>33092.953474540001</v>
      </c>
      <c r="S45" s="7">
        <v>32265.62971519</v>
      </c>
      <c r="T45" s="7">
        <v>31458.988972309999</v>
      </c>
      <c r="U45" s="7">
        <v>30672.514247999999</v>
      </c>
      <c r="V45" s="7">
        <v>29905.70139432</v>
      </c>
      <c r="W45" s="7">
        <v>29158.058859460001</v>
      </c>
      <c r="X45" s="7">
        <v>28429.107387970002</v>
      </c>
      <c r="Y45" s="7">
        <v>27718.379706039999</v>
      </c>
      <c r="Z45" s="7">
        <v>27025.42021339</v>
      </c>
      <c r="AA45" s="7">
        <v>26349.784710839998</v>
      </c>
      <c r="AB45" s="7">
        <v>25691.040093070002</v>
      </c>
      <c r="AC45" s="7">
        <v>25048.764091659999</v>
      </c>
    </row>
    <row r="46" spans="1:29" x14ac:dyDescent="0.85">
      <c r="A46" t="s">
        <v>144</v>
      </c>
      <c r="B46" s="7">
        <v>2753.3346449199998</v>
      </c>
      <c r="C46" s="7">
        <v>2684.5028521499999</v>
      </c>
      <c r="D46" s="7">
        <v>2617.35816191</v>
      </c>
      <c r="E46" s="7">
        <v>2551.9242053299999</v>
      </c>
      <c r="F46" s="7">
        <v>2488.1260989100001</v>
      </c>
      <c r="G46" s="7">
        <v>2425.9231890599999</v>
      </c>
      <c r="H46" s="7">
        <v>2365.2751007299998</v>
      </c>
      <c r="I46" s="7">
        <v>2306.1432239300002</v>
      </c>
      <c r="J46" s="7">
        <v>2248.48964432</v>
      </c>
      <c r="K46" s="7">
        <v>2192.3158653199998</v>
      </c>
      <c r="L46" s="7">
        <v>2137.5071710799998</v>
      </c>
      <c r="M46" s="7">
        <v>2084.06935071</v>
      </c>
      <c r="N46" s="7">
        <v>2031.9676103199999</v>
      </c>
      <c r="O46" s="7">
        <v>1981.16828721</v>
      </c>
      <c r="P46" s="7">
        <v>1931.63908111</v>
      </c>
      <c r="Q46" s="7">
        <v>1883.3481044</v>
      </c>
      <c r="R46" s="7">
        <v>1836.2644021000001</v>
      </c>
      <c r="S46" s="7">
        <v>1790.35779634</v>
      </c>
      <c r="T46" s="7">
        <v>1745.59885136</v>
      </c>
      <c r="U46" s="7">
        <v>1701.9588799000001</v>
      </c>
      <c r="V46" s="7">
        <v>1659.4099080399999</v>
      </c>
      <c r="W46" s="7">
        <v>1617.92465341</v>
      </c>
      <c r="X46" s="7">
        <v>1577.4765091899999</v>
      </c>
      <c r="Y46" s="7">
        <v>1538.03959661</v>
      </c>
      <c r="Z46" s="7">
        <v>1499.5886066200001</v>
      </c>
      <c r="AA46" s="7">
        <v>1462.09889161</v>
      </c>
      <c r="AB46" s="7">
        <v>1425.5464192500001</v>
      </c>
      <c r="AC46" s="7">
        <v>1389.90775882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1.00000059</v>
      </c>
      <c r="E47" s="7">
        <v>0.99998772999999996</v>
      </c>
      <c r="F47" s="7">
        <v>1</v>
      </c>
      <c r="G47" s="7">
        <v>1</v>
      </c>
      <c r="H47" s="7">
        <v>1.0000001000000001</v>
      </c>
      <c r="I47" s="7">
        <v>1</v>
      </c>
      <c r="J47" s="7">
        <v>1</v>
      </c>
      <c r="K47" s="7">
        <v>1</v>
      </c>
      <c r="L47" s="7">
        <v>1.00001754</v>
      </c>
      <c r="M47" s="7">
        <v>0.99999963000000003</v>
      </c>
      <c r="N47" s="7">
        <v>0.99999992999999998</v>
      </c>
      <c r="O47" s="7">
        <v>1</v>
      </c>
      <c r="P47" s="7">
        <v>0.99999992999999998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0.99999998000000001</v>
      </c>
      <c r="Z47" s="7">
        <v>1</v>
      </c>
      <c r="AA47" s="7">
        <v>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1.00000059</v>
      </c>
      <c r="D48" s="7">
        <v>0.99998772999999996</v>
      </c>
      <c r="E48" s="7">
        <v>1</v>
      </c>
      <c r="F48" s="7">
        <v>1</v>
      </c>
      <c r="G48" s="7">
        <v>1.0000001000000001</v>
      </c>
      <c r="H48" s="7">
        <v>1</v>
      </c>
      <c r="I48" s="7">
        <v>1</v>
      </c>
      <c r="J48" s="7">
        <v>1</v>
      </c>
      <c r="K48" s="7">
        <v>1.00001754</v>
      </c>
      <c r="L48" s="7">
        <v>0.99999963000000003</v>
      </c>
      <c r="M48" s="7">
        <v>0.99999992999999998</v>
      </c>
      <c r="N48" s="7">
        <v>1</v>
      </c>
      <c r="O48" s="7">
        <v>0.99999992999999998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0.99999998000000001</v>
      </c>
      <c r="Y48" s="7">
        <v>1</v>
      </c>
      <c r="Z48" s="7">
        <v>1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1.13514347</v>
      </c>
      <c r="E49" s="7">
        <v>1.14427324</v>
      </c>
      <c r="F49" s="7">
        <v>1.15584088</v>
      </c>
      <c r="G49" s="7">
        <v>1.1685318099999999</v>
      </c>
      <c r="H49" s="7">
        <v>1.1824418400000001</v>
      </c>
      <c r="I49" s="7">
        <v>1.19769405</v>
      </c>
      <c r="J49" s="7">
        <v>1.21068525</v>
      </c>
      <c r="K49" s="7">
        <v>1.2205663899999999</v>
      </c>
      <c r="L49" s="7">
        <v>1.2310379499999999</v>
      </c>
      <c r="M49" s="7">
        <v>1.24290868</v>
      </c>
      <c r="N49" s="7">
        <v>1.25545463</v>
      </c>
      <c r="O49" s="7">
        <v>1.2688222899999999</v>
      </c>
      <c r="P49" s="7">
        <v>1.28329158</v>
      </c>
      <c r="Q49" s="7">
        <v>1.29675009</v>
      </c>
      <c r="R49" s="7">
        <v>1.3102272399999999</v>
      </c>
      <c r="S49" s="7">
        <v>1.32523272</v>
      </c>
      <c r="T49" s="7">
        <v>1.3428749499999999</v>
      </c>
      <c r="U49" s="7">
        <v>1.3619473600000001</v>
      </c>
      <c r="V49" s="7">
        <v>1.3816847800000001</v>
      </c>
      <c r="W49" s="7">
        <v>1.40243798</v>
      </c>
      <c r="X49" s="7">
        <v>1.42420356</v>
      </c>
      <c r="Y49" s="7">
        <v>1.44704878</v>
      </c>
      <c r="Z49" s="7">
        <v>1.47103052</v>
      </c>
      <c r="AA49" s="7">
        <v>1.4962095200000001</v>
      </c>
      <c r="AB49" s="7">
        <v>1.5225882399999999</v>
      </c>
      <c r="AC49" s="7">
        <v>1.55039459</v>
      </c>
    </row>
    <row r="50" spans="1:29" x14ac:dyDescent="0.85">
      <c r="A50" t="s">
        <v>148</v>
      </c>
      <c r="B50" s="7">
        <v>75232</v>
      </c>
      <c r="C50" s="7">
        <v>82034.971735419997</v>
      </c>
      <c r="D50" s="7">
        <v>89109.640497140004</v>
      </c>
      <c r="E50" s="7">
        <v>96496.616588570003</v>
      </c>
      <c r="F50" s="7">
        <v>104333.71343653</v>
      </c>
      <c r="G50" s="7">
        <v>112662.48989231</v>
      </c>
      <c r="H50" s="7">
        <v>121514.14523646999</v>
      </c>
      <c r="I50" s="7">
        <v>130460.96994405999</v>
      </c>
      <c r="J50" s="7">
        <v>134179.25291690999</v>
      </c>
      <c r="K50" s="7">
        <v>138062.95024934001</v>
      </c>
      <c r="L50" s="7">
        <v>141762.15709130999</v>
      </c>
      <c r="M50" s="7">
        <v>145501.04720673</v>
      </c>
      <c r="N50" s="7">
        <v>149261.34764779999</v>
      </c>
      <c r="O50" s="7">
        <v>153008.73820128999</v>
      </c>
      <c r="P50" s="7">
        <v>157078.97200359</v>
      </c>
      <c r="Q50" s="7">
        <v>160466.08203965001</v>
      </c>
      <c r="R50" s="7">
        <v>164912.42513240001</v>
      </c>
      <c r="S50" s="7">
        <v>168913.41087948001</v>
      </c>
      <c r="T50" s="7">
        <v>172878.36005039999</v>
      </c>
      <c r="U50" s="7">
        <v>177072.83581908999</v>
      </c>
      <c r="V50" s="7">
        <v>181321.83582909999</v>
      </c>
      <c r="W50" s="7">
        <v>185652.85489802001</v>
      </c>
      <c r="X50" s="7">
        <v>190059.69989875</v>
      </c>
      <c r="Y50" s="7">
        <v>194543.37594013999</v>
      </c>
      <c r="Z50" s="7">
        <v>199104.63432539001</v>
      </c>
      <c r="AA50" s="7">
        <v>203767.94041040001</v>
      </c>
      <c r="AB50" s="7">
        <v>208467.89939614999</v>
      </c>
      <c r="AC50" s="7">
        <v>213271.59615205001</v>
      </c>
    </row>
    <row r="51" spans="1:29" x14ac:dyDescent="0.85">
      <c r="A51" t="s">
        <v>149</v>
      </c>
      <c r="B51" s="7">
        <v>329145751.75</v>
      </c>
      <c r="C51" s="7">
        <v>357901951.01711297</v>
      </c>
      <c r="D51" s="7">
        <v>390114159.49072403</v>
      </c>
      <c r="E51" s="7">
        <v>423155998.51095903</v>
      </c>
      <c r="F51" s="7">
        <v>456864705.67087501</v>
      </c>
      <c r="G51" s="7">
        <v>483308984.56387597</v>
      </c>
      <c r="H51" s="7">
        <v>510188516.59096402</v>
      </c>
      <c r="I51" s="7">
        <v>540611964.40426195</v>
      </c>
      <c r="J51" s="7">
        <v>550226782.03132105</v>
      </c>
      <c r="K51" s="7">
        <v>559906842.469257</v>
      </c>
      <c r="L51" s="7">
        <v>567933863.31326699</v>
      </c>
      <c r="M51" s="7">
        <v>575862327.32346904</v>
      </c>
      <c r="N51" s="7">
        <v>583491753.90402305</v>
      </c>
      <c r="O51" s="7">
        <v>590411640.10459197</v>
      </c>
      <c r="P51" s="7">
        <v>600293291.96080697</v>
      </c>
      <c r="Q51" s="7">
        <v>610287041.30641401</v>
      </c>
      <c r="R51" s="7">
        <v>620484746.05750501</v>
      </c>
      <c r="S51" s="7">
        <v>627553679.60476005</v>
      </c>
      <c r="T51" s="7">
        <v>633839272.46290898</v>
      </c>
      <c r="U51" s="7">
        <v>640810452.515535</v>
      </c>
      <c r="V51" s="7">
        <v>647846089.25960505</v>
      </c>
      <c r="W51" s="7">
        <v>655079389.30339897</v>
      </c>
      <c r="X51" s="7">
        <v>662487438.93617105</v>
      </c>
      <c r="Y51" s="7">
        <v>670072938.95457101</v>
      </c>
      <c r="Z51" s="7">
        <v>677851799.14070797</v>
      </c>
      <c r="AA51" s="7">
        <v>685917747.30343699</v>
      </c>
      <c r="AB51" s="7">
        <v>694043523.31817102</v>
      </c>
      <c r="AC51" s="7">
        <v>702464338.82634306</v>
      </c>
    </row>
    <row r="52" spans="1:29" x14ac:dyDescent="0.85">
      <c r="A52" t="s">
        <v>150</v>
      </c>
      <c r="B52" s="7">
        <v>329145751.75</v>
      </c>
      <c r="C52" s="7">
        <v>357901951.01711297</v>
      </c>
      <c r="D52" s="7">
        <v>390114159.49072403</v>
      </c>
      <c r="E52" s="7">
        <v>423155998.51095903</v>
      </c>
      <c r="F52" s="7">
        <v>456864705.67087501</v>
      </c>
      <c r="G52" s="7">
        <v>483308984.56387597</v>
      </c>
      <c r="H52" s="7">
        <v>510188516.59096402</v>
      </c>
      <c r="I52" s="7">
        <v>540611964.40426195</v>
      </c>
      <c r="J52" s="7">
        <v>550226782.03132105</v>
      </c>
      <c r="K52" s="7">
        <v>559906842.469257</v>
      </c>
      <c r="L52" s="7">
        <v>567933863.31326699</v>
      </c>
      <c r="M52" s="7">
        <v>575862327.32346904</v>
      </c>
      <c r="N52" s="7">
        <v>583491753.90402305</v>
      </c>
      <c r="O52" s="7">
        <v>590411640.10459197</v>
      </c>
      <c r="P52" s="7">
        <v>600293291.96080697</v>
      </c>
      <c r="Q52" s="7">
        <v>610287041.30641401</v>
      </c>
      <c r="R52" s="7">
        <v>620484746.05750501</v>
      </c>
      <c r="S52" s="7">
        <v>627553679.60476005</v>
      </c>
      <c r="T52" s="7">
        <v>633839272.46290898</v>
      </c>
      <c r="U52" s="7">
        <v>640810452.515535</v>
      </c>
      <c r="V52" s="7">
        <v>647846089.25960505</v>
      </c>
      <c r="W52" s="7">
        <v>655079389.30339897</v>
      </c>
      <c r="X52" s="7">
        <v>662487438.93617105</v>
      </c>
      <c r="Y52" s="7">
        <v>670072938.95457101</v>
      </c>
      <c r="Z52" s="7">
        <v>677851799.14070797</v>
      </c>
      <c r="AA52" s="7">
        <v>685917747.30343699</v>
      </c>
      <c r="AB52" s="7">
        <v>694043523.31817102</v>
      </c>
      <c r="AC52" s="7">
        <v>702464338.82634306</v>
      </c>
    </row>
    <row r="53" spans="1:29" x14ac:dyDescent="0.85">
      <c r="A53" t="s">
        <v>151</v>
      </c>
      <c r="B53" s="7">
        <v>22298.0004463</v>
      </c>
      <c r="C53" s="7">
        <v>24289.753489449999</v>
      </c>
      <c r="D53" s="7">
        <v>26417.357231000002</v>
      </c>
      <c r="E53" s="7">
        <v>28624.429287340001</v>
      </c>
      <c r="F53" s="7">
        <v>30933.13291488</v>
      </c>
      <c r="G53" s="7">
        <v>33157.825617670002</v>
      </c>
      <c r="H53" s="7">
        <v>35492.296190280002</v>
      </c>
      <c r="I53" s="7">
        <v>37931.286033390003</v>
      </c>
      <c r="J53" s="7">
        <v>38871.01523538</v>
      </c>
      <c r="K53" s="7">
        <v>39843.705206070001</v>
      </c>
      <c r="L53" s="7">
        <v>40741.074607729999</v>
      </c>
      <c r="M53" s="7">
        <v>41643.56467824</v>
      </c>
      <c r="N53" s="7">
        <v>42542.818446259997</v>
      </c>
      <c r="O53" s="7">
        <v>43422.311224079996</v>
      </c>
      <c r="P53" s="7">
        <v>44435.294423710002</v>
      </c>
      <c r="Q53" s="7">
        <v>45321.46659466</v>
      </c>
      <c r="R53" s="7">
        <v>46413.486088979997</v>
      </c>
      <c r="S53" s="7">
        <v>47344.706900930003</v>
      </c>
      <c r="T53" s="7">
        <v>48249.980296759997</v>
      </c>
      <c r="U53" s="7">
        <v>49215.508979240003</v>
      </c>
      <c r="V53" s="7">
        <v>50192.950271690002</v>
      </c>
      <c r="W53" s="7">
        <v>51190.768476849997</v>
      </c>
      <c r="X53" s="7">
        <v>52207.23004812</v>
      </c>
      <c r="Y53" s="7">
        <v>53242.591491730003</v>
      </c>
      <c r="Z53" s="7">
        <v>54297.383481980003</v>
      </c>
      <c r="AA53" s="7">
        <v>55378.532537960004</v>
      </c>
      <c r="AB53" s="7">
        <v>56468.092175389997</v>
      </c>
      <c r="AC53" s="7">
        <v>57584.523397069999</v>
      </c>
    </row>
    <row r="54" spans="1:29" x14ac:dyDescent="0.85">
      <c r="A54" t="s">
        <v>152</v>
      </c>
      <c r="B54" s="7">
        <v>0</v>
      </c>
      <c r="C54" s="7">
        <v>35074.391199680002</v>
      </c>
      <c r="D54" s="7">
        <v>38231.187630089997</v>
      </c>
      <c r="E54" s="7">
        <v>41469.287854069997</v>
      </c>
      <c r="F54" s="7">
        <v>44772.741155750002</v>
      </c>
      <c r="G54" s="7">
        <v>47364.280487260003</v>
      </c>
      <c r="H54" s="7">
        <v>49998.474625909999</v>
      </c>
      <c r="I54" s="7">
        <v>52979.972511619999</v>
      </c>
      <c r="J54" s="7">
        <v>53922.224639070002</v>
      </c>
      <c r="K54" s="7">
        <v>54870.870561989999</v>
      </c>
      <c r="L54" s="7">
        <v>55657.518604700002</v>
      </c>
      <c r="M54" s="7">
        <v>56434.508077699997</v>
      </c>
      <c r="N54" s="7">
        <v>57182.191882589999</v>
      </c>
      <c r="O54" s="7">
        <v>57860.340730249998</v>
      </c>
      <c r="P54" s="7">
        <v>58828.74261216</v>
      </c>
      <c r="Q54" s="7">
        <v>59808.130048029998</v>
      </c>
      <c r="R54" s="7">
        <v>60807.50511364</v>
      </c>
      <c r="S54" s="7">
        <v>61500.260601269998</v>
      </c>
      <c r="T54" s="7">
        <v>62116.248701370001</v>
      </c>
      <c r="U54" s="7">
        <v>62799.424346519998</v>
      </c>
      <c r="V54" s="7">
        <v>63488.916747440002</v>
      </c>
      <c r="W54" s="7">
        <v>64197.780151730003</v>
      </c>
      <c r="X54" s="7">
        <v>64923.769015739999</v>
      </c>
      <c r="Y54" s="7">
        <v>65667.148017550004</v>
      </c>
      <c r="Z54" s="7">
        <v>66429.476315790002</v>
      </c>
      <c r="AA54" s="7">
        <v>67219.939235740007</v>
      </c>
      <c r="AB54" s="7">
        <v>68016.265285179994</v>
      </c>
      <c r="AC54" s="7">
        <v>68841.50520498</v>
      </c>
    </row>
    <row r="55" spans="1:29" x14ac:dyDescent="0.85">
      <c r="A55" t="s">
        <v>153</v>
      </c>
      <c r="B55" s="7">
        <v>161.28141836</v>
      </c>
      <c r="C55" s="7">
        <v>175.37195600000001</v>
      </c>
      <c r="D55" s="7">
        <v>191.15593815</v>
      </c>
      <c r="E55" s="7">
        <v>207.34643926999999</v>
      </c>
      <c r="F55" s="7">
        <v>223.86370578</v>
      </c>
      <c r="G55" s="7">
        <v>236.82140244000001</v>
      </c>
      <c r="H55" s="7">
        <v>249.99237313</v>
      </c>
      <c r="I55" s="7">
        <v>264.89986255999997</v>
      </c>
      <c r="J55" s="7">
        <v>269.61112320000001</v>
      </c>
      <c r="K55" s="7">
        <v>274.35435281000002</v>
      </c>
      <c r="L55" s="7">
        <v>278.28759301999997</v>
      </c>
      <c r="M55" s="7">
        <v>282.17254038999999</v>
      </c>
      <c r="N55" s="7">
        <v>285.91095940999998</v>
      </c>
      <c r="O55" s="7">
        <v>289.30170364999998</v>
      </c>
      <c r="P55" s="7">
        <v>294.14371305999998</v>
      </c>
      <c r="Q55" s="7">
        <v>299.04065023999999</v>
      </c>
      <c r="R55" s="7">
        <v>304.03752557000001</v>
      </c>
      <c r="S55" s="7">
        <v>307.50130301000002</v>
      </c>
      <c r="T55" s="7">
        <v>310.58124350999998</v>
      </c>
      <c r="U55" s="7">
        <v>313.99712173</v>
      </c>
      <c r="V55" s="7">
        <v>317.44458373999998</v>
      </c>
      <c r="W55" s="7">
        <v>320.98890075999998</v>
      </c>
      <c r="X55" s="7">
        <v>324.61884508000003</v>
      </c>
      <c r="Y55" s="7">
        <v>328.33574009</v>
      </c>
      <c r="Z55" s="7">
        <v>332.14738158</v>
      </c>
      <c r="AA55" s="7">
        <v>336.09969618000002</v>
      </c>
      <c r="AB55" s="7">
        <v>340.08132642999999</v>
      </c>
      <c r="AC55" s="7">
        <v>344.20752601999999</v>
      </c>
    </row>
    <row r="56" spans="1:29" x14ac:dyDescent="0.85">
      <c r="A56" t="s">
        <v>154</v>
      </c>
      <c r="B56" s="7">
        <v>14266.8441036</v>
      </c>
      <c r="C56" s="7">
        <v>15556.94588463</v>
      </c>
      <c r="D56" s="7">
        <v>16898.571739430001</v>
      </c>
      <c r="E56" s="7">
        <v>18299.422923679998</v>
      </c>
      <c r="F56" s="7">
        <v>19785.634096509999</v>
      </c>
      <c r="G56" s="7">
        <v>21365.086394310001</v>
      </c>
      <c r="H56" s="7">
        <v>23043.69638546</v>
      </c>
      <c r="I56" s="7">
        <v>24740.354101929999</v>
      </c>
      <c r="J56" s="7">
        <v>25445.48175382</v>
      </c>
      <c r="K56" s="7">
        <v>26181.97824982</v>
      </c>
      <c r="L56" s="7">
        <v>26883.488342879999</v>
      </c>
      <c r="M56" s="7">
        <v>27592.523891550001</v>
      </c>
      <c r="N56" s="7">
        <v>28305.619651000001</v>
      </c>
      <c r="O56" s="7">
        <v>29016.267205529999</v>
      </c>
      <c r="P56" s="7">
        <v>29788.13809986</v>
      </c>
      <c r="Q56" s="7">
        <v>30430.462786780001</v>
      </c>
      <c r="R56" s="7">
        <v>31273.658285180001</v>
      </c>
      <c r="S56" s="7">
        <v>32032.39711858</v>
      </c>
      <c r="T56" s="7">
        <v>32784.30204866</v>
      </c>
      <c r="U56" s="7">
        <v>33579.733937860001</v>
      </c>
      <c r="V56" s="7">
        <v>34385.505693749998</v>
      </c>
      <c r="W56" s="7">
        <v>35206.831377850001</v>
      </c>
      <c r="X56" s="7">
        <v>36042.536538070002</v>
      </c>
      <c r="Y56" s="7">
        <v>36892.811781240001</v>
      </c>
      <c r="Z56" s="7">
        <v>37757.79958295</v>
      </c>
      <c r="AA56" s="7">
        <v>38642.139503760001</v>
      </c>
      <c r="AB56" s="7">
        <v>39533.430206420002</v>
      </c>
      <c r="AC56" s="7">
        <v>40444.393529710003</v>
      </c>
    </row>
    <row r="57" spans="1:29" x14ac:dyDescent="0.85">
      <c r="A57" t="s">
        <v>155</v>
      </c>
      <c r="B57" s="7">
        <v>8031.1563427000001</v>
      </c>
      <c r="C57" s="7">
        <v>8732.8076048200001</v>
      </c>
      <c r="D57" s="7">
        <v>9518.7854915700009</v>
      </c>
      <c r="E57" s="7">
        <v>10325.00636367</v>
      </c>
      <c r="F57" s="7">
        <v>11147.498818370001</v>
      </c>
      <c r="G57" s="7">
        <v>11792.73922336</v>
      </c>
      <c r="H57" s="7">
        <v>12448.59980482</v>
      </c>
      <c r="I57" s="7">
        <v>13190.93193146</v>
      </c>
      <c r="J57" s="7">
        <v>13425.53348156</v>
      </c>
      <c r="K57" s="7">
        <v>13661.726956250001</v>
      </c>
      <c r="L57" s="7">
        <v>13857.58626484</v>
      </c>
      <c r="M57" s="7">
        <v>14051.04078669</v>
      </c>
      <c r="N57" s="7">
        <v>14237.198795259999</v>
      </c>
      <c r="O57" s="7">
        <v>14406.044018549999</v>
      </c>
      <c r="P57" s="7">
        <v>14647.156323839999</v>
      </c>
      <c r="Q57" s="7">
        <v>14891.003807880001</v>
      </c>
      <c r="R57" s="7">
        <v>15139.827803800001</v>
      </c>
      <c r="S57" s="7">
        <v>15312.30978236</v>
      </c>
      <c r="T57" s="7">
        <v>15465.67824809</v>
      </c>
      <c r="U57" s="7">
        <v>15635.77504138</v>
      </c>
      <c r="V57" s="7">
        <v>15807.44457793</v>
      </c>
      <c r="W57" s="7">
        <v>15983.937099000001</v>
      </c>
      <c r="X57" s="7">
        <v>16164.693510040001</v>
      </c>
      <c r="Y57" s="7">
        <v>16349.77971049</v>
      </c>
      <c r="Z57" s="7">
        <v>16539.58389903</v>
      </c>
      <c r="AA57" s="7">
        <v>16736.393034199999</v>
      </c>
      <c r="AB57" s="7">
        <v>16934.661968960001</v>
      </c>
      <c r="AC57" s="7">
        <v>17140.129867359999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1.1314913799999999</v>
      </c>
      <c r="E58" s="7">
        <v>1.1280083400000001</v>
      </c>
      <c r="F58" s="7">
        <v>1.1262984</v>
      </c>
      <c r="G58" s="7">
        <v>1.12481108</v>
      </c>
      <c r="H58" s="7">
        <v>1.1234987400000001</v>
      </c>
      <c r="I58" s="7">
        <v>1.12234502</v>
      </c>
      <c r="J58" s="7">
        <v>1.11836234</v>
      </c>
      <c r="K58" s="7">
        <v>1.0713553300000001</v>
      </c>
      <c r="L58" s="7">
        <v>1.0718167700000001</v>
      </c>
      <c r="M58" s="7">
        <v>1.0695766900000001</v>
      </c>
      <c r="N58" s="7">
        <v>1.06913999</v>
      </c>
      <c r="O58" s="7">
        <v>1.0685872999999999</v>
      </c>
      <c r="P58" s="7">
        <v>1.0678190000000001</v>
      </c>
      <c r="Q58" s="7">
        <v>1.0693763700000001</v>
      </c>
      <c r="R58" s="7">
        <v>1.0641282299999999</v>
      </c>
      <c r="S58" s="7">
        <v>1.0705301300000001</v>
      </c>
      <c r="T58" s="7">
        <v>1.06693883</v>
      </c>
      <c r="U58" s="7">
        <v>1.06611798</v>
      </c>
      <c r="V58" s="7">
        <v>1.06694019</v>
      </c>
      <c r="W58" s="7">
        <v>1.0666622699999999</v>
      </c>
      <c r="X58" s="7">
        <v>1.06654772</v>
      </c>
      <c r="Y58" s="7">
        <v>1.06639273</v>
      </c>
      <c r="Z58" s="7">
        <v>1.0662404999999999</v>
      </c>
      <c r="AA58" s="7">
        <v>1.0660895500000001</v>
      </c>
      <c r="AB58" s="7">
        <v>1.06606394</v>
      </c>
      <c r="AC58" s="7">
        <v>1.06569297</v>
      </c>
    </row>
    <row r="59" spans="1:29" x14ac:dyDescent="0.85">
      <c r="A59" t="s">
        <v>157</v>
      </c>
      <c r="B59" s="7">
        <v>1</v>
      </c>
      <c r="C59" s="7">
        <v>1.1358610099999999</v>
      </c>
      <c r="D59" s="7">
        <v>1.1314996500000001</v>
      </c>
      <c r="E59" s="7">
        <v>1.1280183399999999</v>
      </c>
      <c r="F59" s="7">
        <v>1.1262669599999999</v>
      </c>
      <c r="G59" s="7">
        <v>1.12482108</v>
      </c>
      <c r="H59" s="7">
        <v>1.1235082300000001</v>
      </c>
      <c r="I59" s="7">
        <v>1.11836234</v>
      </c>
      <c r="J59" s="7">
        <v>1.0713553300000001</v>
      </c>
      <c r="K59" s="7">
        <v>1.0718167700000001</v>
      </c>
      <c r="L59" s="7">
        <v>1.0695766900000001</v>
      </c>
      <c r="M59" s="7">
        <v>1.06913999</v>
      </c>
      <c r="N59" s="7">
        <v>1.0685872999999999</v>
      </c>
      <c r="O59" s="7">
        <v>1.0678190000000001</v>
      </c>
      <c r="P59" s="7">
        <v>1.0693763700000001</v>
      </c>
      <c r="Q59" s="7">
        <v>1.0641282299999999</v>
      </c>
      <c r="R59" s="7">
        <v>1.0705301300000001</v>
      </c>
      <c r="S59" s="7">
        <v>1.06693883</v>
      </c>
      <c r="T59" s="7">
        <v>1.06611798</v>
      </c>
      <c r="U59" s="7">
        <v>1.06694019</v>
      </c>
      <c r="V59" s="7">
        <v>1.0666622699999999</v>
      </c>
      <c r="W59" s="7">
        <v>1.06654772</v>
      </c>
      <c r="X59" s="7">
        <v>1.06639273</v>
      </c>
      <c r="Y59" s="7">
        <v>1.0662404999999999</v>
      </c>
      <c r="Z59" s="7">
        <v>1.0660895500000001</v>
      </c>
      <c r="AA59" s="7">
        <v>1.06606394</v>
      </c>
      <c r="AB59" s="7">
        <v>1.06569297</v>
      </c>
      <c r="AC59" s="7">
        <v>1.06566965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1.13150138</v>
      </c>
      <c r="E60" s="7">
        <v>1.1280183399999999</v>
      </c>
      <c r="F60" s="7">
        <v>1.1263084000000001</v>
      </c>
      <c r="G60" s="7">
        <v>1.12482108</v>
      </c>
      <c r="H60" s="7">
        <v>1.1235087399999999</v>
      </c>
      <c r="I60" s="7">
        <v>1.1223550200000001</v>
      </c>
      <c r="J60" s="7">
        <v>1.119748</v>
      </c>
      <c r="K60" s="7">
        <v>1.1194592299999999</v>
      </c>
      <c r="L60" s="7">
        <v>1.11916718</v>
      </c>
      <c r="M60" s="7">
        <v>1.1194616900000001</v>
      </c>
      <c r="N60" s="7">
        <v>1.119801</v>
      </c>
      <c r="O60" s="7">
        <v>1.12023983</v>
      </c>
      <c r="P60" s="7">
        <v>1.1208843399999999</v>
      </c>
      <c r="Q60" s="7">
        <v>1.1207111000000001</v>
      </c>
      <c r="R60" s="7">
        <v>1.12080154</v>
      </c>
      <c r="S60" s="7">
        <v>1.1205760499999999</v>
      </c>
      <c r="T60" s="7">
        <v>1.1212725400000001</v>
      </c>
      <c r="U60" s="7">
        <v>1.12217502</v>
      </c>
      <c r="V60" s="7">
        <v>1.1228748</v>
      </c>
      <c r="W60" s="7">
        <v>1.12357292</v>
      </c>
      <c r="X60" s="7">
        <v>1.12424097</v>
      </c>
      <c r="Y60" s="7">
        <v>1.1248895000000001</v>
      </c>
      <c r="Z60" s="7">
        <v>1.1255209399999999</v>
      </c>
      <c r="AA60" s="7">
        <v>1.1261379</v>
      </c>
      <c r="AB60" s="7">
        <v>1.1267173100000001</v>
      </c>
      <c r="AC60" s="7">
        <v>1.1273304399999999</v>
      </c>
    </row>
    <row r="61" spans="1:29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39556.504406250002</v>
      </c>
      <c r="F61" s="7">
        <v>38567.591796089997</v>
      </c>
      <c r="G61" s="7">
        <v>37603.402001189999</v>
      </c>
      <c r="H61" s="7">
        <v>36663.316951159999</v>
      </c>
      <c r="I61" s="7">
        <v>35746.73402738</v>
      </c>
      <c r="J61" s="7">
        <v>34853.065676699996</v>
      </c>
      <c r="K61" s="7">
        <v>33981.739034780003</v>
      </c>
      <c r="L61" s="7">
        <v>33132.195558910003</v>
      </c>
      <c r="M61" s="7">
        <v>32303.890669939999</v>
      </c>
      <c r="N61" s="7">
        <v>31496.29340319</v>
      </c>
      <c r="O61" s="7">
        <v>30708.886068110001</v>
      </c>
      <c r="P61" s="7">
        <v>29941.163916410002</v>
      </c>
      <c r="Q61" s="7">
        <v>29192.634818499999</v>
      </c>
      <c r="R61" s="7">
        <v>28462.818948029999</v>
      </c>
      <c r="S61" s="7">
        <v>27751.248474330001</v>
      </c>
      <c r="T61" s="7">
        <v>27057.46726248</v>
      </c>
      <c r="U61" s="7">
        <v>26381.030580909999</v>
      </c>
      <c r="V61" s="7">
        <v>25721.504816389999</v>
      </c>
      <c r="W61" s="7">
        <v>25078.46719598</v>
      </c>
      <c r="X61" s="7">
        <v>24451.50551608</v>
      </c>
      <c r="Y61" s="7">
        <v>23840.217878179999</v>
      </c>
      <c r="Z61" s="7">
        <v>23244.212431219999</v>
      </c>
      <c r="AA61" s="7">
        <v>22663.10712044</v>
      </c>
      <c r="AB61" s="7">
        <v>22096.529442430001</v>
      </c>
      <c r="AC61" s="7">
        <v>21544.116206369999</v>
      </c>
    </row>
    <row r="62" spans="1:29" x14ac:dyDescent="0.85">
      <c r="A62" t="s">
        <v>160</v>
      </c>
      <c r="B62" s="7">
        <v>155880511.25</v>
      </c>
      <c r="C62" s="7">
        <v>138888633.222776</v>
      </c>
      <c r="D62" s="7">
        <v>117239684.313889</v>
      </c>
      <c r="E62" s="7">
        <v>91121736.071840897</v>
      </c>
      <c r="F62" s="7">
        <v>63635538.863150202</v>
      </c>
      <c r="G62" s="7">
        <v>42691295.957505502</v>
      </c>
      <c r="H62" s="7">
        <v>20513725.389135901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155880511.25</v>
      </c>
      <c r="C63" s="7">
        <v>138888633.222776</v>
      </c>
      <c r="D63" s="7">
        <v>117239684.313889</v>
      </c>
      <c r="E63" s="7">
        <v>91121736.071840897</v>
      </c>
      <c r="F63" s="7">
        <v>63635538.863150202</v>
      </c>
      <c r="G63" s="7">
        <v>42691295.957505502</v>
      </c>
      <c r="H63" s="7">
        <v>20513725.389135901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29174.32326334</v>
      </c>
      <c r="C64" s="7">
        <v>28140.116718829999</v>
      </c>
      <c r="D64" s="7">
        <v>27013.459454790001</v>
      </c>
      <c r="E64" s="7">
        <v>25798.330629619999</v>
      </c>
      <c r="F64" s="7">
        <v>24566.526543249998</v>
      </c>
      <c r="G64" s="7">
        <v>23501.817288450002</v>
      </c>
      <c r="H64" s="7">
        <v>22422.824347649999</v>
      </c>
      <c r="I64" s="7">
        <v>21396.633200079999</v>
      </c>
      <c r="J64" s="7">
        <v>20861.717370080001</v>
      </c>
      <c r="K64" s="7">
        <v>20340.174435820001</v>
      </c>
      <c r="L64" s="7">
        <v>19831.67007493</v>
      </c>
      <c r="M64" s="7">
        <v>19335.878323050001</v>
      </c>
      <c r="N64" s="7">
        <v>18852.481364980002</v>
      </c>
      <c r="O64" s="7">
        <v>18381.16933085</v>
      </c>
      <c r="P64" s="7">
        <v>17921.640097579999</v>
      </c>
      <c r="Q64" s="7">
        <v>17473.599095140002</v>
      </c>
      <c r="R64" s="7">
        <v>17036.759117760001</v>
      </c>
      <c r="S64" s="7">
        <v>16610.84013982</v>
      </c>
      <c r="T64" s="7">
        <v>16195.56913632</v>
      </c>
      <c r="U64" s="7">
        <v>15790.679907919999</v>
      </c>
      <c r="V64" s="7">
        <v>15395.91291022</v>
      </c>
      <c r="W64" s="7">
        <v>15011.01508746</v>
      </c>
      <c r="X64" s="7">
        <v>14635.739710280001</v>
      </c>
      <c r="Y64" s="7">
        <v>14269.84621752</v>
      </c>
      <c r="Z64" s="7">
        <v>13913.10006208</v>
      </c>
      <c r="AA64" s="7">
        <v>13565.27256053</v>
      </c>
      <c r="AB64" s="7">
        <v>13226.140746520001</v>
      </c>
      <c r="AC64" s="7">
        <v>12895.487227850001</v>
      </c>
    </row>
    <row r="65" spans="1:29" x14ac:dyDescent="0.85">
      <c r="A65" t="s">
        <v>163</v>
      </c>
      <c r="B65" s="7">
        <v>0</v>
      </c>
      <c r="C65" s="7">
        <v>22777.73584854</v>
      </c>
      <c r="D65" s="7">
        <v>19227.30822748</v>
      </c>
      <c r="E65" s="7">
        <v>14943.964715779999</v>
      </c>
      <c r="F65" s="7">
        <v>10436.228373559999</v>
      </c>
      <c r="G65" s="7">
        <v>7001.3725370299999</v>
      </c>
      <c r="H65" s="7">
        <v>3364.2509638199999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113.88867924</v>
      </c>
      <c r="D66" s="7">
        <v>96.136541140000006</v>
      </c>
      <c r="E66" s="7">
        <v>74.719823579999996</v>
      </c>
      <c r="F66" s="7">
        <v>52.181141869999998</v>
      </c>
      <c r="G66" s="7">
        <v>35.006862689999998</v>
      </c>
      <c r="H66" s="7">
        <v>16.82125482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23677.016613870001</v>
      </c>
      <c r="F67" s="7">
        <v>23085.09119852</v>
      </c>
      <c r="G67" s="7">
        <v>22507.963918559999</v>
      </c>
      <c r="H67" s="7">
        <v>21945.26482059</v>
      </c>
      <c r="I67" s="7">
        <v>21396.633200079999</v>
      </c>
      <c r="J67" s="7">
        <v>20861.717370080001</v>
      </c>
      <c r="K67" s="7">
        <v>20340.174435820001</v>
      </c>
      <c r="L67" s="7">
        <v>19831.67007493</v>
      </c>
      <c r="M67" s="7">
        <v>19335.878323050001</v>
      </c>
      <c r="N67" s="7">
        <v>18852.481364980002</v>
      </c>
      <c r="O67" s="7">
        <v>18381.16933085</v>
      </c>
      <c r="P67" s="7">
        <v>17921.640097579999</v>
      </c>
      <c r="Q67" s="7">
        <v>17473.599095140002</v>
      </c>
      <c r="R67" s="7">
        <v>17036.759117760001</v>
      </c>
      <c r="S67" s="7">
        <v>16610.84013982</v>
      </c>
      <c r="T67" s="7">
        <v>16195.56913632</v>
      </c>
      <c r="U67" s="7">
        <v>15790.679907919999</v>
      </c>
      <c r="V67" s="7">
        <v>15395.91291022</v>
      </c>
      <c r="W67" s="7">
        <v>15011.01508746</v>
      </c>
      <c r="X67" s="7">
        <v>14635.739710280001</v>
      </c>
      <c r="Y67" s="7">
        <v>14269.84621752</v>
      </c>
      <c r="Z67" s="7">
        <v>13913.10006208</v>
      </c>
      <c r="AA67" s="7">
        <v>13565.27256053</v>
      </c>
      <c r="AB67" s="7">
        <v>13226.140746520001</v>
      </c>
      <c r="AC67" s="7">
        <v>12895.487227850001</v>
      </c>
    </row>
    <row r="68" spans="1:29" x14ac:dyDescent="0.85">
      <c r="A68" t="s">
        <v>166</v>
      </c>
      <c r="B68" s="7">
        <v>3628.8983019000002</v>
      </c>
      <c r="C68" s="7">
        <v>3233.3273814300001</v>
      </c>
      <c r="D68" s="7">
        <v>2729.3398508300002</v>
      </c>
      <c r="E68" s="7">
        <v>2121.3140157500002</v>
      </c>
      <c r="F68" s="7">
        <v>1481.43534473</v>
      </c>
      <c r="G68" s="7">
        <v>993.85336988999995</v>
      </c>
      <c r="H68" s="7">
        <v>477.55952705999999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0.91384021999999998</v>
      </c>
      <c r="E69" s="7">
        <v>0.86577157000000005</v>
      </c>
      <c r="F69" s="7">
        <v>0.79715491999999999</v>
      </c>
      <c r="G69" s="7">
        <v>0.71626400000000001</v>
      </c>
      <c r="H69" s="7">
        <v>0.68807375999999998</v>
      </c>
      <c r="I69" s="7">
        <v>0.49283390999999999</v>
      </c>
      <c r="J69" s="7">
        <v>0</v>
      </c>
      <c r="K69" s="7">
        <v>0</v>
      </c>
      <c r="L69" s="7">
        <v>0</v>
      </c>
      <c r="M69" s="7">
        <v>1.1999999999999999E-7</v>
      </c>
      <c r="N69" s="7">
        <v>1.1999999999999999E-7</v>
      </c>
      <c r="O69" s="7">
        <v>3.1E-7</v>
      </c>
      <c r="P69" s="7">
        <v>3.3999999999999997E-7</v>
      </c>
      <c r="Q69" s="7">
        <v>3.2000000000000001E-7</v>
      </c>
      <c r="R69" s="7">
        <v>3.5999999999999999E-7</v>
      </c>
      <c r="S69" s="7">
        <v>0</v>
      </c>
      <c r="T69" s="7">
        <v>1.2494000000000001E-4</v>
      </c>
      <c r="U69" s="7">
        <v>1.2069E-4</v>
      </c>
      <c r="V69" s="7">
        <v>1.2296E-4</v>
      </c>
      <c r="W69" s="7">
        <v>1.1828E-4</v>
      </c>
      <c r="X69" s="7">
        <v>1.1566E-4</v>
      </c>
      <c r="Y69" s="7">
        <v>1.1537E-4</v>
      </c>
      <c r="Z69" s="7">
        <v>1.2268000000000001E-4</v>
      </c>
      <c r="AA69" s="7">
        <v>1.2485E-4</v>
      </c>
      <c r="AB69" s="7">
        <v>1.2595E-4</v>
      </c>
      <c r="AC69" s="7">
        <v>1.2375999999999999E-4</v>
      </c>
    </row>
    <row r="70" spans="1:29" x14ac:dyDescent="0.85">
      <c r="A70" t="s">
        <v>168</v>
      </c>
      <c r="B70" s="7">
        <v>1</v>
      </c>
      <c r="C70" s="7">
        <v>0.91384021999999998</v>
      </c>
      <c r="D70" s="7">
        <v>0.86577157000000005</v>
      </c>
      <c r="E70" s="7">
        <v>0.79715491999999999</v>
      </c>
      <c r="F70" s="7">
        <v>0.71626400000000001</v>
      </c>
      <c r="G70" s="7">
        <v>0.68807375999999998</v>
      </c>
      <c r="H70" s="7">
        <v>0.49283390999999999</v>
      </c>
      <c r="I70" s="7">
        <v>0</v>
      </c>
      <c r="J70" s="7">
        <v>0</v>
      </c>
      <c r="K70" s="7">
        <v>0</v>
      </c>
      <c r="L70" s="7">
        <v>1.1999999999999999E-7</v>
      </c>
      <c r="M70" s="7">
        <v>1.1999999999999999E-7</v>
      </c>
      <c r="N70" s="7">
        <v>3.1E-7</v>
      </c>
      <c r="O70" s="7">
        <v>3.3999999999999997E-7</v>
      </c>
      <c r="P70" s="7">
        <v>3.2000000000000001E-7</v>
      </c>
      <c r="Q70" s="7">
        <v>3.5999999999999999E-7</v>
      </c>
      <c r="R70" s="7">
        <v>0</v>
      </c>
      <c r="S70" s="7">
        <v>1.2494000000000001E-4</v>
      </c>
      <c r="T70" s="7">
        <v>1.2069E-4</v>
      </c>
      <c r="U70" s="7">
        <v>1.2296E-4</v>
      </c>
      <c r="V70" s="7">
        <v>1.1828E-4</v>
      </c>
      <c r="W70" s="7">
        <v>1.1566E-4</v>
      </c>
      <c r="X70" s="7">
        <v>1.1537E-4</v>
      </c>
      <c r="Y70" s="7">
        <v>1.2268000000000001E-4</v>
      </c>
      <c r="Z70" s="7">
        <v>1.2485E-4</v>
      </c>
      <c r="AA70" s="7">
        <v>1.2595E-4</v>
      </c>
      <c r="AB70" s="7">
        <v>1.2375999999999999E-4</v>
      </c>
      <c r="AC70" s="7">
        <v>1.2860000000000001E-4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1.5474335800000001</v>
      </c>
      <c r="E71" s="7">
        <v>1.5892539800000001</v>
      </c>
      <c r="F71" s="7">
        <v>1.6422414400000001</v>
      </c>
      <c r="G71" s="7">
        <v>1.7003743600000001</v>
      </c>
      <c r="H71" s="7">
        <v>1.7640915699999999</v>
      </c>
      <c r="I71" s="7">
        <v>1.8339568500000001</v>
      </c>
      <c r="J71" s="7">
        <v>1.89346517</v>
      </c>
      <c r="K71" s="7">
        <v>1.93872738</v>
      </c>
      <c r="L71" s="7">
        <v>1.98671105</v>
      </c>
      <c r="M71" s="7">
        <v>2.04108782</v>
      </c>
      <c r="N71" s="7">
        <v>2.0985576099999999</v>
      </c>
      <c r="O71" s="7">
        <v>2.15979148</v>
      </c>
      <c r="P71" s="7">
        <v>2.2260715800000002</v>
      </c>
      <c r="Q71" s="7">
        <v>2.2877215899999999</v>
      </c>
      <c r="R71" s="7">
        <v>2.3494569799999998</v>
      </c>
      <c r="S71" s="7">
        <v>2.4181932499999998</v>
      </c>
      <c r="T71" s="7">
        <v>2.4990077999999998</v>
      </c>
      <c r="U71" s="7">
        <v>2.5863736799999999</v>
      </c>
      <c r="V71" s="7">
        <v>2.67678576</v>
      </c>
      <c r="W71" s="7">
        <v>2.7718508700000002</v>
      </c>
      <c r="X71" s="7">
        <v>2.8715534599999999</v>
      </c>
      <c r="Y71" s="7">
        <v>2.9762015800000001</v>
      </c>
      <c r="Z71" s="7">
        <v>3.0860557900000001</v>
      </c>
      <c r="AA71" s="7">
        <v>3.20139437</v>
      </c>
      <c r="AB71" s="7">
        <v>3.3222285600000001</v>
      </c>
      <c r="AC71" s="7">
        <v>3.4496023600000001</v>
      </c>
    </row>
    <row r="72" spans="1:29" x14ac:dyDescent="0.85">
      <c r="A72" t="s">
        <v>170</v>
      </c>
      <c r="B72" s="7">
        <v>0</v>
      </c>
      <c r="C72" s="7">
        <v>133.9480882</v>
      </c>
      <c r="D72" s="7">
        <v>981.72230966999996</v>
      </c>
      <c r="E72" s="7">
        <v>2744.7019101300002</v>
      </c>
      <c r="F72" s="7">
        <v>5152.6739145299998</v>
      </c>
      <c r="G72" s="7">
        <v>6336.0181162299996</v>
      </c>
      <c r="H72" s="7">
        <v>6142.7376548100001</v>
      </c>
      <c r="I72" s="7">
        <v>5628.6954962099999</v>
      </c>
      <c r="J72" s="7">
        <v>5071.65553413</v>
      </c>
      <c r="K72" s="7">
        <v>4564.5040938599996</v>
      </c>
      <c r="L72" s="7">
        <v>4111.1598155700003</v>
      </c>
      <c r="M72" s="7">
        <v>3704.51340966</v>
      </c>
      <c r="N72" s="7">
        <v>3334.32658954</v>
      </c>
      <c r="O72" s="7">
        <v>3001.40975063</v>
      </c>
      <c r="P72" s="7">
        <v>2701.26877556</v>
      </c>
      <c r="Q72" s="7">
        <v>2431.5180847000001</v>
      </c>
      <c r="R72" s="7">
        <v>2188.57653669</v>
      </c>
      <c r="S72" s="7">
        <v>1969.7427744300001</v>
      </c>
      <c r="T72" s="7">
        <v>1772.7694204700001</v>
      </c>
      <c r="U72" s="7">
        <v>1595.63491488</v>
      </c>
      <c r="V72" s="7">
        <v>1436.36476836</v>
      </c>
      <c r="W72" s="7">
        <v>1292.74186407</v>
      </c>
      <c r="X72" s="7">
        <v>1163.46768286</v>
      </c>
      <c r="Y72" s="7">
        <v>1047.12808993</v>
      </c>
      <c r="Z72" s="7">
        <v>942.41537546999996</v>
      </c>
      <c r="AA72" s="7">
        <v>849.75220391000005</v>
      </c>
      <c r="AB72" s="7">
        <v>764.79693132</v>
      </c>
      <c r="AC72" s="7">
        <v>688.32105171000001</v>
      </c>
    </row>
    <row r="73" spans="1:29" x14ac:dyDescent="0.85">
      <c r="A73" t="s">
        <v>171</v>
      </c>
      <c r="B73" s="7">
        <v>0</v>
      </c>
      <c r="C73" s="7">
        <v>33.487019879999998</v>
      </c>
      <c r="D73" s="7">
        <v>215.29225668999999</v>
      </c>
      <c r="E73" s="7">
        <v>465.28795625999999</v>
      </c>
      <c r="F73" s="7">
        <v>670.61055327999998</v>
      </c>
      <c r="G73" s="7">
        <v>424.65289819999998</v>
      </c>
      <c r="H73" s="7">
        <v>110.08033181</v>
      </c>
      <c r="I73" s="7">
        <v>7.6731562100000001</v>
      </c>
      <c r="J73" s="7">
        <v>18.83363477</v>
      </c>
      <c r="K73" s="7">
        <v>0</v>
      </c>
      <c r="L73" s="7">
        <v>0.78856819</v>
      </c>
      <c r="M73" s="7">
        <v>1.1173998700000001</v>
      </c>
      <c r="N73" s="7">
        <v>6.6126909999999997E-2</v>
      </c>
      <c r="O73" s="7">
        <v>0.12895794999999999</v>
      </c>
      <c r="P73" s="7">
        <v>154.81526843</v>
      </c>
      <c r="Q73" s="7">
        <v>1024.1840376299999</v>
      </c>
      <c r="R73" s="7">
        <v>1054.2143984100001</v>
      </c>
      <c r="S73" s="7">
        <v>981.18532770000002</v>
      </c>
      <c r="T73" s="7">
        <v>848.37084989000004</v>
      </c>
      <c r="U73" s="7">
        <v>678.50645139000005</v>
      </c>
      <c r="V73" s="7">
        <v>521.49077405000003</v>
      </c>
      <c r="W73" s="7">
        <v>433.5948482</v>
      </c>
      <c r="X73" s="7">
        <v>393.07108115</v>
      </c>
      <c r="Y73" s="7">
        <v>360.86803491000001</v>
      </c>
      <c r="Z73" s="7">
        <v>333.89183910999998</v>
      </c>
      <c r="AA73" s="7">
        <v>311.40575075999999</v>
      </c>
      <c r="AB73" s="7">
        <v>294.38266793000003</v>
      </c>
      <c r="AC73" s="7">
        <v>280.32969350000002</v>
      </c>
    </row>
    <row r="74" spans="1:29" x14ac:dyDescent="0.85">
      <c r="A74" t="s">
        <v>172</v>
      </c>
      <c r="B74" s="7">
        <v>0</v>
      </c>
      <c r="C74" s="7">
        <v>33.487019879999998</v>
      </c>
      <c r="D74" s="7">
        <v>215.29225668999999</v>
      </c>
      <c r="E74" s="7">
        <v>465.28795625999999</v>
      </c>
      <c r="F74" s="7">
        <v>670.61055327999998</v>
      </c>
      <c r="G74" s="7">
        <v>424.65289819999998</v>
      </c>
      <c r="H74" s="7">
        <v>110.08033181</v>
      </c>
      <c r="I74" s="7">
        <v>7.6731562100000001</v>
      </c>
      <c r="J74" s="7">
        <v>18.83363477</v>
      </c>
      <c r="K74" s="7">
        <v>0</v>
      </c>
      <c r="L74" s="7">
        <v>0.78856819</v>
      </c>
      <c r="M74" s="7">
        <v>1.1173998700000001</v>
      </c>
      <c r="N74" s="7">
        <v>6.6126909999999997E-2</v>
      </c>
      <c r="O74" s="7">
        <v>0.12895794999999999</v>
      </c>
      <c r="P74" s="7">
        <v>154.81526843</v>
      </c>
      <c r="Q74" s="7">
        <v>1024.1840376299999</v>
      </c>
      <c r="R74" s="7">
        <v>1054.2143984100001</v>
      </c>
      <c r="S74" s="7">
        <v>981.18532770000002</v>
      </c>
      <c r="T74" s="7">
        <v>848.37084989000004</v>
      </c>
      <c r="U74" s="7">
        <v>678.50645139000005</v>
      </c>
      <c r="V74" s="7">
        <v>521.49077405000003</v>
      </c>
      <c r="W74" s="7">
        <v>433.5948482</v>
      </c>
      <c r="X74" s="7">
        <v>393.07108115</v>
      </c>
      <c r="Y74" s="7">
        <v>360.86803491000001</v>
      </c>
      <c r="Z74" s="7">
        <v>333.89183910999998</v>
      </c>
      <c r="AA74" s="7">
        <v>311.40575075999999</v>
      </c>
      <c r="AB74" s="7">
        <v>294.38266793000003</v>
      </c>
      <c r="AC74" s="7">
        <v>280.32969350000002</v>
      </c>
    </row>
    <row r="75" spans="1:29" x14ac:dyDescent="0.85">
      <c r="A75" t="s">
        <v>173</v>
      </c>
      <c r="B75" s="7">
        <v>0</v>
      </c>
      <c r="C75" s="7">
        <v>35.572581219999996</v>
      </c>
      <c r="D75" s="7">
        <v>260.71548667000002</v>
      </c>
      <c r="E75" s="7">
        <v>728.90718716000003</v>
      </c>
      <c r="F75" s="7">
        <v>1368.3866243</v>
      </c>
      <c r="G75" s="7">
        <v>1682.63977243</v>
      </c>
      <c r="H75" s="7">
        <v>1631.30663213</v>
      </c>
      <c r="I75" s="7">
        <v>1494.79286374</v>
      </c>
      <c r="J75" s="7">
        <v>1346.8618845599999</v>
      </c>
      <c r="K75" s="7">
        <v>1212.1792106800001</v>
      </c>
      <c r="L75" s="7">
        <v>1091.7861847199999</v>
      </c>
      <c r="M75" s="7">
        <v>983.79454125999996</v>
      </c>
      <c r="N75" s="7">
        <v>885.48532206000004</v>
      </c>
      <c r="O75" s="7">
        <v>797.07377530999997</v>
      </c>
      <c r="P75" s="7">
        <v>717.36852798999996</v>
      </c>
      <c r="Q75" s="7">
        <v>645.74376214999995</v>
      </c>
      <c r="R75" s="7">
        <v>581.22704787999999</v>
      </c>
      <c r="S75" s="7">
        <v>523.11113389000002</v>
      </c>
      <c r="T75" s="7">
        <v>470.79978799000003</v>
      </c>
      <c r="U75" s="7">
        <v>423.75646470999999</v>
      </c>
      <c r="V75" s="7">
        <v>381.45749302000002</v>
      </c>
      <c r="W75" s="7">
        <v>343.3148559</v>
      </c>
      <c r="X75" s="7">
        <v>308.98341073</v>
      </c>
      <c r="Y75" s="7">
        <v>278.08707301999999</v>
      </c>
      <c r="Z75" s="7">
        <v>250.27851627000001</v>
      </c>
      <c r="AA75" s="7">
        <v>225.66997585999999</v>
      </c>
      <c r="AB75" s="7">
        <v>203.10847014000001</v>
      </c>
      <c r="AC75" s="7">
        <v>182.79884772</v>
      </c>
    </row>
    <row r="76" spans="1:29" x14ac:dyDescent="0.85">
      <c r="A76" t="s">
        <v>174</v>
      </c>
      <c r="B76" s="7">
        <v>0</v>
      </c>
      <c r="C76" s="7">
        <v>7.4509000000000001E-4</v>
      </c>
      <c r="D76" s="7">
        <v>4.7902500000000002E-3</v>
      </c>
      <c r="E76" s="7">
        <v>1.035266E-2</v>
      </c>
      <c r="F76" s="7">
        <v>1.492108E-2</v>
      </c>
      <c r="G76" s="7">
        <v>9.4485300000000001E-3</v>
      </c>
      <c r="H76" s="7">
        <v>2.4492899999999998E-3</v>
      </c>
      <c r="I76" s="7">
        <v>1.7072999999999999E-4</v>
      </c>
      <c r="J76" s="7">
        <v>4.1905000000000002E-4</v>
      </c>
      <c r="K76" s="7">
        <v>0</v>
      </c>
      <c r="L76" s="7">
        <v>1.755E-5</v>
      </c>
      <c r="M76" s="7">
        <v>2.4859999999999999E-5</v>
      </c>
      <c r="N76" s="7">
        <v>1.4699999999999999E-6</v>
      </c>
      <c r="O76" s="7">
        <v>2.8700000000000001E-6</v>
      </c>
      <c r="P76" s="7">
        <v>3.4446400000000001E-3</v>
      </c>
      <c r="Q76" s="7">
        <v>2.278809E-2</v>
      </c>
      <c r="R76" s="7">
        <v>2.3456270000000001E-2</v>
      </c>
      <c r="S76" s="7">
        <v>2.1831369999999999E-2</v>
      </c>
      <c r="T76" s="7">
        <v>1.8876250000000001E-2</v>
      </c>
      <c r="U76" s="7">
        <v>1.5096770000000001E-2</v>
      </c>
      <c r="V76" s="7">
        <v>1.1603169999999999E-2</v>
      </c>
      <c r="W76" s="7">
        <v>9.6474899999999999E-3</v>
      </c>
      <c r="X76" s="7">
        <v>8.7458299999999996E-3</v>
      </c>
      <c r="Y76" s="7">
        <v>8.0293099999999996E-3</v>
      </c>
      <c r="Z76" s="7">
        <v>7.4290900000000002E-3</v>
      </c>
      <c r="AA76" s="7">
        <v>6.9287799999999998E-3</v>
      </c>
      <c r="AB76" s="7">
        <v>6.5500100000000002E-3</v>
      </c>
      <c r="AC76" s="7">
        <v>6.2373400000000001E-3</v>
      </c>
    </row>
    <row r="77" spans="1:29" x14ac:dyDescent="0.85">
      <c r="A77" t="s">
        <v>175</v>
      </c>
      <c r="B77" s="7">
        <v>0</v>
      </c>
      <c r="C77" s="7">
        <v>3.7299999999999999E-6</v>
      </c>
      <c r="D77" s="7">
        <v>2.3949999999999999E-5</v>
      </c>
      <c r="E77" s="7">
        <v>5.1759999999999999E-5</v>
      </c>
      <c r="F77" s="7">
        <v>7.4610000000000006E-5</v>
      </c>
      <c r="G77" s="7">
        <v>4.7240000000000002E-5</v>
      </c>
      <c r="H77" s="7">
        <v>1.225E-5</v>
      </c>
      <c r="I77" s="7">
        <v>8.5000000000000001E-7</v>
      </c>
      <c r="J77" s="7">
        <v>2.0999999999999998E-6</v>
      </c>
      <c r="K77" s="7">
        <v>0</v>
      </c>
      <c r="L77" s="7">
        <v>8.9999999999999999E-8</v>
      </c>
      <c r="M77" s="7">
        <v>1.1999999999999999E-7</v>
      </c>
      <c r="N77" s="7">
        <v>1E-8</v>
      </c>
      <c r="O77" s="7">
        <v>1E-8</v>
      </c>
      <c r="P77" s="7">
        <v>1.7220000000000001E-5</v>
      </c>
      <c r="Q77" s="7">
        <v>1.1394E-4</v>
      </c>
      <c r="R77" s="7">
        <v>1.1728E-4</v>
      </c>
      <c r="S77" s="7">
        <v>1.0916000000000001E-4</v>
      </c>
      <c r="T77" s="7">
        <v>9.4380000000000001E-5</v>
      </c>
      <c r="U77" s="7">
        <v>7.5480000000000002E-5</v>
      </c>
      <c r="V77" s="7">
        <v>5.8019999999999997E-5</v>
      </c>
      <c r="W77" s="7">
        <v>4.8239999999999999E-5</v>
      </c>
      <c r="X77" s="7">
        <v>4.3730000000000003E-5</v>
      </c>
      <c r="Y77" s="7">
        <v>4.015E-5</v>
      </c>
      <c r="Z77" s="7">
        <v>3.7150000000000002E-5</v>
      </c>
      <c r="AA77" s="7">
        <v>3.464E-5</v>
      </c>
      <c r="AB77" s="7">
        <v>3.2750000000000003E-5</v>
      </c>
      <c r="AC77" s="7">
        <v>3.1189999999999998E-5</v>
      </c>
    </row>
    <row r="78" spans="1:29" x14ac:dyDescent="0.85">
      <c r="A78" t="s">
        <v>176</v>
      </c>
      <c r="B78" s="7">
        <v>0</v>
      </c>
      <c r="C78" s="7">
        <v>35.572120099999999</v>
      </c>
      <c r="D78" s="7">
        <v>260.7125221</v>
      </c>
      <c r="E78" s="7">
        <v>728.90078014000005</v>
      </c>
      <c r="F78" s="7">
        <v>1368.3773900000001</v>
      </c>
      <c r="G78" s="7">
        <v>1682.6339249600001</v>
      </c>
      <c r="H78" s="7">
        <v>1631.30511632</v>
      </c>
      <c r="I78" s="7">
        <v>1494.7927580800001</v>
      </c>
      <c r="J78" s="7">
        <v>1346.86162522</v>
      </c>
      <c r="K78" s="7">
        <v>1212.1792106800001</v>
      </c>
      <c r="L78" s="7">
        <v>1091.78617386</v>
      </c>
      <c r="M78" s="7">
        <v>983.79452587000003</v>
      </c>
      <c r="N78" s="7">
        <v>885.48532115</v>
      </c>
      <c r="O78" s="7">
        <v>797.07377354000005</v>
      </c>
      <c r="P78" s="7">
        <v>717.36639619000005</v>
      </c>
      <c r="Q78" s="7">
        <v>645.72965913999997</v>
      </c>
      <c r="R78" s="7">
        <v>581.21253134999995</v>
      </c>
      <c r="S78" s="7">
        <v>523.09762296999997</v>
      </c>
      <c r="T78" s="7">
        <v>470.78810592000002</v>
      </c>
      <c r="U78" s="7">
        <v>423.74712168000002</v>
      </c>
      <c r="V78" s="7">
        <v>381.45031209000001</v>
      </c>
      <c r="W78" s="7">
        <v>343.30888529999999</v>
      </c>
      <c r="X78" s="7">
        <v>308.97799815000002</v>
      </c>
      <c r="Y78" s="7">
        <v>278.08210387000003</v>
      </c>
      <c r="Z78" s="7">
        <v>250.27391857999999</v>
      </c>
      <c r="AA78" s="7">
        <v>225.6656878</v>
      </c>
      <c r="AB78" s="7">
        <v>203.10441649000001</v>
      </c>
      <c r="AC78" s="7">
        <v>182.79498758</v>
      </c>
    </row>
    <row r="79" spans="1:29" x14ac:dyDescent="0.85">
      <c r="A79" t="s">
        <v>177</v>
      </c>
      <c r="B79" s="7">
        <v>0</v>
      </c>
      <c r="C79" s="7">
        <v>4.6111999999999998E-4</v>
      </c>
      <c r="D79" s="7">
        <v>2.9645700000000001E-3</v>
      </c>
      <c r="E79" s="7">
        <v>6.4070200000000002E-3</v>
      </c>
      <c r="F79" s="7">
        <v>9.2343100000000008E-3</v>
      </c>
      <c r="G79" s="7">
        <v>5.8474699999999996E-3</v>
      </c>
      <c r="H79" s="7">
        <v>1.51581E-3</v>
      </c>
      <c r="I79" s="7">
        <v>1.0566E-4</v>
      </c>
      <c r="J79" s="7">
        <v>2.5933999999999999E-4</v>
      </c>
      <c r="K79" s="7">
        <v>0</v>
      </c>
      <c r="L79" s="7">
        <v>1.0859999999999999E-5</v>
      </c>
      <c r="M79" s="7">
        <v>1.539E-5</v>
      </c>
      <c r="N79" s="7">
        <v>9.0999999999999997E-7</v>
      </c>
      <c r="O79" s="7">
        <v>1.7799999999999999E-6</v>
      </c>
      <c r="P79" s="7">
        <v>2.13181E-3</v>
      </c>
      <c r="Q79" s="7">
        <v>1.4103009999999999E-2</v>
      </c>
      <c r="R79" s="7">
        <v>1.451653E-2</v>
      </c>
      <c r="S79" s="7">
        <v>1.3510919999999999E-2</v>
      </c>
      <c r="T79" s="7">
        <v>1.1682069999999999E-2</v>
      </c>
      <c r="U79" s="7">
        <v>9.3430300000000004E-3</v>
      </c>
      <c r="V79" s="7">
        <v>7.1809300000000003E-3</v>
      </c>
      <c r="W79" s="7">
        <v>5.9706000000000004E-3</v>
      </c>
      <c r="X79" s="7">
        <v>5.4125900000000001E-3</v>
      </c>
      <c r="Y79" s="7">
        <v>4.9691500000000003E-3</v>
      </c>
      <c r="Z79" s="7">
        <v>4.5976899999999998E-3</v>
      </c>
      <c r="AA79" s="7">
        <v>4.2880599999999998E-3</v>
      </c>
      <c r="AB79" s="7">
        <v>4.0536499999999998E-3</v>
      </c>
      <c r="AC79" s="7">
        <v>3.8601400000000002E-3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1.0444674700000001</v>
      </c>
      <c r="E80" s="7">
        <v>1.2728036199999999</v>
      </c>
      <c r="F80" s="7">
        <v>1.5583450000000001</v>
      </c>
      <c r="G80" s="7">
        <v>1.7498122599999999</v>
      </c>
      <c r="H80" s="7">
        <v>1.4415186499999999</v>
      </c>
      <c r="I80" s="7">
        <v>1.10703207</v>
      </c>
      <c r="J80" s="7">
        <v>1.02290221</v>
      </c>
      <c r="K80" s="7">
        <v>1.00127703</v>
      </c>
      <c r="L80" s="7">
        <v>1.0000030200000001</v>
      </c>
      <c r="M80" s="7">
        <v>1.0006499099999999</v>
      </c>
      <c r="N80" s="7">
        <v>1.0009099800000001</v>
      </c>
      <c r="O80" s="7">
        <v>1.00005239</v>
      </c>
      <c r="P80" s="7">
        <v>1.00009931</v>
      </c>
      <c r="Q80" s="7">
        <v>1</v>
      </c>
      <c r="R80" s="7">
        <v>1.00006869</v>
      </c>
      <c r="S80" s="7">
        <v>1.00003759</v>
      </c>
      <c r="T80" s="7">
        <v>1.00000417</v>
      </c>
      <c r="U80" s="7">
        <v>1.0000001599999999</v>
      </c>
      <c r="V80" s="7">
        <v>1.00002338</v>
      </c>
      <c r="W80" s="7">
        <v>1.0000467200000001</v>
      </c>
      <c r="X80" s="7">
        <v>1.0000020999999999</v>
      </c>
      <c r="Y80" s="7">
        <v>1</v>
      </c>
      <c r="Z80" s="7">
        <v>1.0000010500000001</v>
      </c>
      <c r="AA80" s="7">
        <v>1.0000000099999999</v>
      </c>
      <c r="AB80" s="7">
        <v>1.0002172199999999</v>
      </c>
      <c r="AC80" s="7">
        <v>1.00000267</v>
      </c>
    </row>
    <row r="81" spans="1:29" x14ac:dyDescent="0.85">
      <c r="A81" t="s">
        <v>179</v>
      </c>
      <c r="B81" s="7">
        <v>1</v>
      </c>
      <c r="C81" s="7">
        <v>1.0444674700000001</v>
      </c>
      <c r="D81" s="7">
        <v>1.2728036199999999</v>
      </c>
      <c r="E81" s="7">
        <v>1.5583450000000001</v>
      </c>
      <c r="F81" s="7">
        <v>1.7498122599999999</v>
      </c>
      <c r="G81" s="7">
        <v>1.4415186499999999</v>
      </c>
      <c r="H81" s="7">
        <v>1.10703207</v>
      </c>
      <c r="I81" s="7">
        <v>1.02290221</v>
      </c>
      <c r="J81" s="7">
        <v>1.00127703</v>
      </c>
      <c r="K81" s="7">
        <v>1.0000030200000001</v>
      </c>
      <c r="L81" s="7">
        <v>1.0006499099999999</v>
      </c>
      <c r="M81" s="7">
        <v>1.0009099800000001</v>
      </c>
      <c r="N81" s="7">
        <v>1.00005239</v>
      </c>
      <c r="O81" s="7">
        <v>1.00009931</v>
      </c>
      <c r="P81" s="7">
        <v>1</v>
      </c>
      <c r="Q81" s="7">
        <v>1.00006869</v>
      </c>
      <c r="R81" s="7">
        <v>1.00003759</v>
      </c>
      <c r="S81" s="7">
        <v>1.00000417</v>
      </c>
      <c r="T81" s="7">
        <v>1.0000001599999999</v>
      </c>
      <c r="U81" s="7">
        <v>1.00002338</v>
      </c>
      <c r="V81" s="7">
        <v>1.0000467200000001</v>
      </c>
      <c r="W81" s="7">
        <v>1.0000020999999999</v>
      </c>
      <c r="X81" s="7">
        <v>1</v>
      </c>
      <c r="Y81" s="7">
        <v>1.0000010500000001</v>
      </c>
      <c r="Z81" s="7">
        <v>1.0000000099999999</v>
      </c>
      <c r="AA81" s="7">
        <v>1.0002172199999999</v>
      </c>
      <c r="AB81" s="7">
        <v>1.00000267</v>
      </c>
      <c r="AC81" s="7">
        <v>1.0000005000000001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7463C-8526-4BE0-A5D7-287F0DF6EAE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161734.82727591001</v>
      </c>
      <c r="D5" s="7">
        <v>172815.05526808999</v>
      </c>
      <c r="E5" s="7">
        <v>184273.49702218999</v>
      </c>
      <c r="F5" s="7">
        <v>196528.42175380001</v>
      </c>
      <c r="G5" s="7">
        <v>211479.7988551</v>
      </c>
      <c r="H5" s="7">
        <v>227719.42534459001</v>
      </c>
      <c r="I5" s="7">
        <v>237232.26308296001</v>
      </c>
      <c r="J5" s="7">
        <v>241820.46157332999</v>
      </c>
      <c r="K5" s="7">
        <v>247525.20908937001</v>
      </c>
      <c r="L5" s="7">
        <v>253467.48966604</v>
      </c>
      <c r="M5" s="7">
        <v>259237.24971393001</v>
      </c>
      <c r="N5" s="7">
        <v>265054.06959418999</v>
      </c>
      <c r="O5" s="7">
        <v>271347.47325179999</v>
      </c>
      <c r="P5" s="7">
        <v>277742.84185092</v>
      </c>
      <c r="Q5" s="7">
        <v>284279.85534389003</v>
      </c>
      <c r="R5" s="7">
        <v>290961.09953200002</v>
      </c>
      <c r="S5" s="7">
        <v>297787.00068215001</v>
      </c>
      <c r="T5" s="7">
        <v>304763.60064197</v>
      </c>
      <c r="U5" s="7">
        <v>311917.02182083001</v>
      </c>
      <c r="V5" s="7">
        <v>319190.43239789002</v>
      </c>
      <c r="W5" s="7">
        <v>326669.75916874001</v>
      </c>
      <c r="X5" s="7">
        <v>334300.08430564997</v>
      </c>
      <c r="Y5" s="7">
        <v>342105.49914020998</v>
      </c>
      <c r="Z5" s="7">
        <v>350077.39872065</v>
      </c>
      <c r="AA5" s="7">
        <v>358220.45247369999</v>
      </c>
      <c r="AB5" s="7">
        <v>366537.26391237002</v>
      </c>
      <c r="AC5" s="7">
        <v>375031.89947509998</v>
      </c>
    </row>
    <row r="6" spans="1:29" x14ac:dyDescent="0.85">
      <c r="A6" t="s">
        <v>106</v>
      </c>
      <c r="B6" s="7">
        <v>652731210.88752496</v>
      </c>
      <c r="C6" s="7">
        <v>666136451.09527695</v>
      </c>
      <c r="D6" s="7">
        <v>679809783.63475096</v>
      </c>
      <c r="E6" s="7">
        <v>693756579.83993304</v>
      </c>
      <c r="F6" s="7">
        <v>707982333.96850204</v>
      </c>
      <c r="G6" s="7">
        <v>722492415.264727</v>
      </c>
      <c r="H6" s="7">
        <v>737293070.52061903</v>
      </c>
      <c r="I6" s="7">
        <v>752389565.40194201</v>
      </c>
      <c r="J6" s="7">
        <v>767787945.55261695</v>
      </c>
      <c r="K6" s="7">
        <v>783494320.68486094</v>
      </c>
      <c r="L6" s="7">
        <v>799514904.76005006</v>
      </c>
      <c r="M6" s="7">
        <v>815859760.009884</v>
      </c>
      <c r="N6" s="7">
        <v>832544989.66359901</v>
      </c>
      <c r="O6" s="7">
        <v>849591376.93314898</v>
      </c>
      <c r="P6" s="7">
        <v>867016681.07718205</v>
      </c>
      <c r="Q6" s="7">
        <v>884836817.55244994</v>
      </c>
      <c r="R6" s="7">
        <v>903072918.98317695</v>
      </c>
      <c r="S6" s="7">
        <v>921748522.94909</v>
      </c>
      <c r="T6" s="7">
        <v>940890736.70017695</v>
      </c>
      <c r="U6" s="7">
        <v>960512698.56663704</v>
      </c>
      <c r="V6" s="7">
        <v>980623207.98222101</v>
      </c>
      <c r="W6" s="7">
        <v>1001240596.98589</v>
      </c>
      <c r="X6" s="7">
        <v>1022373340.85307</v>
      </c>
      <c r="Y6" s="7">
        <v>1044030881.44477</v>
      </c>
      <c r="Z6" s="7">
        <v>1066218554.21287</v>
      </c>
      <c r="AA6" s="7">
        <v>1088954198.4119501</v>
      </c>
      <c r="AB6" s="7">
        <v>1112248226.55948</v>
      </c>
      <c r="AC6" s="7">
        <v>1136106072.2067399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65856.755485150003</v>
      </c>
      <c r="D8" s="7">
        <v>67936.746327100002</v>
      </c>
      <c r="E8" s="7">
        <v>69791.642914220007</v>
      </c>
      <c r="F8" s="7">
        <v>71833.372700399996</v>
      </c>
      <c r="G8" s="7">
        <v>79446.695411950001</v>
      </c>
      <c r="H8" s="7">
        <v>87498.936494209993</v>
      </c>
      <c r="I8" s="7">
        <v>88822.640984509999</v>
      </c>
      <c r="J8" s="7">
        <v>89279.91783079</v>
      </c>
      <c r="K8" s="7">
        <v>89973.982232380004</v>
      </c>
      <c r="L8" s="7">
        <v>90711.128628990002</v>
      </c>
      <c r="M8" s="7">
        <v>91446.170261909996</v>
      </c>
      <c r="N8" s="7">
        <v>92219.993734260002</v>
      </c>
      <c r="O8" s="7">
        <v>93110.556138529995</v>
      </c>
      <c r="P8" s="7">
        <v>94048.96716149</v>
      </c>
      <c r="Q8" s="7">
        <v>95042.291484729998</v>
      </c>
      <c r="R8" s="7">
        <v>96090.368027999997</v>
      </c>
      <c r="S8" s="7">
        <v>97194.303289489995</v>
      </c>
      <c r="T8" s="7">
        <v>98353.170945079997</v>
      </c>
      <c r="U8" s="7">
        <v>99570.993914349994</v>
      </c>
      <c r="V8" s="7">
        <v>100849.76024597</v>
      </c>
      <c r="W8" s="7">
        <v>102180.6801707</v>
      </c>
      <c r="X8" s="7">
        <v>103568.4900754</v>
      </c>
      <c r="Y8" s="7">
        <v>105012.23178045001</v>
      </c>
      <c r="Z8" s="7">
        <v>106513.05041651</v>
      </c>
      <c r="AA8" s="7">
        <v>108071.56322701</v>
      </c>
      <c r="AB8" s="7">
        <v>109688.11617469</v>
      </c>
      <c r="AC8" s="7">
        <v>111363.31903386999</v>
      </c>
    </row>
    <row r="9" spans="1:29" x14ac:dyDescent="0.85">
      <c r="A9" t="s">
        <v>109</v>
      </c>
      <c r="B9" s="7">
        <v>12076.74519249</v>
      </c>
      <c r="C9" s="7">
        <v>12134.07253704</v>
      </c>
      <c r="D9" s="7">
        <v>12143.95011039</v>
      </c>
      <c r="E9" s="7">
        <v>12174.653906990001</v>
      </c>
      <c r="F9" s="7">
        <v>12184.231058699999</v>
      </c>
      <c r="G9" s="7">
        <v>11756.930802119999</v>
      </c>
      <c r="H9" s="7">
        <v>11271.822870460001</v>
      </c>
      <c r="I9" s="7">
        <v>11326.156649570001</v>
      </c>
      <c r="J9" s="7">
        <v>11364.91724705</v>
      </c>
      <c r="K9" s="7">
        <v>11407.45653743</v>
      </c>
      <c r="L9" s="7">
        <v>11452.37144596</v>
      </c>
      <c r="M9" s="7">
        <v>11499.51627423</v>
      </c>
      <c r="N9" s="7">
        <v>11549.893194939999</v>
      </c>
      <c r="O9" s="7">
        <v>11603.965309790001</v>
      </c>
      <c r="P9" s="7">
        <v>11661.283797669999</v>
      </c>
      <c r="Q9" s="7">
        <v>11722.13504304</v>
      </c>
      <c r="R9" s="7">
        <v>11786.91478481</v>
      </c>
      <c r="S9" s="7">
        <v>11856.015368869999</v>
      </c>
      <c r="T9" s="7">
        <v>11929.93402748</v>
      </c>
      <c r="U9" s="7">
        <v>12008.819577329999</v>
      </c>
      <c r="V9" s="7">
        <v>12092.66490295</v>
      </c>
      <c r="W9" s="7">
        <v>12181.784628769999</v>
      </c>
      <c r="X9" s="7">
        <v>12276.173914839999</v>
      </c>
      <c r="Y9" s="7">
        <v>12375.8729595</v>
      </c>
      <c r="Z9" s="7">
        <v>12480.80765081</v>
      </c>
      <c r="AA9" s="7">
        <v>12591.23097889</v>
      </c>
      <c r="AB9" s="7">
        <v>12707.208584329999</v>
      </c>
      <c r="AC9" s="7">
        <v>12828.68287389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60482.434108820002</v>
      </c>
      <c r="D11" s="7">
        <v>58065.355497780001</v>
      </c>
      <c r="E11" s="7">
        <v>56070.286812949998</v>
      </c>
      <c r="F11" s="7">
        <v>54334.846120410002</v>
      </c>
      <c r="G11" s="7">
        <v>47412.556763220004</v>
      </c>
      <c r="H11" s="7">
        <v>40082.018776249999</v>
      </c>
      <c r="I11" s="7">
        <v>39428.47073393</v>
      </c>
      <c r="J11" s="7">
        <v>39698.099642360001</v>
      </c>
      <c r="K11" s="7">
        <v>40031.708661600002</v>
      </c>
      <c r="L11" s="7">
        <v>40374.170902830003</v>
      </c>
      <c r="M11" s="7">
        <v>40722.065520360004</v>
      </c>
      <c r="N11" s="7">
        <v>41079.573403230002</v>
      </c>
      <c r="O11" s="7">
        <v>41448.511819730003</v>
      </c>
      <c r="P11" s="7">
        <v>41827.187919310003</v>
      </c>
      <c r="Q11" s="7">
        <v>42216.781844489997</v>
      </c>
      <c r="R11" s="7">
        <v>42619.097250370003</v>
      </c>
      <c r="S11" s="7">
        <v>43035.73555333</v>
      </c>
      <c r="T11" s="7">
        <v>43468.78027892</v>
      </c>
      <c r="U11" s="7">
        <v>43918.912856520001</v>
      </c>
      <c r="V11" s="7">
        <v>44386.190497290001</v>
      </c>
      <c r="W11" s="7">
        <v>44871.864228530001</v>
      </c>
      <c r="X11" s="7">
        <v>45376.180296879997</v>
      </c>
      <c r="Y11" s="7">
        <v>45899.28373209</v>
      </c>
      <c r="Z11" s="7">
        <v>46440.953122619998</v>
      </c>
      <c r="AA11" s="7">
        <v>47002.278322110004</v>
      </c>
      <c r="AB11" s="7">
        <v>47583.595351999997</v>
      </c>
      <c r="AC11" s="7">
        <v>48184.743648620002</v>
      </c>
    </row>
    <row r="12" spans="1:29" x14ac:dyDescent="0.85">
      <c r="A12" t="s">
        <v>111</v>
      </c>
      <c r="B12" s="7">
        <v>76463.935653430002</v>
      </c>
      <c r="C12" s="7">
        <v>77990.828022190006</v>
      </c>
      <c r="D12" s="7">
        <v>80080.696437489998</v>
      </c>
      <c r="E12" s="7">
        <v>81966.296821220007</v>
      </c>
      <c r="F12" s="7">
        <v>84017.603759100006</v>
      </c>
      <c r="G12" s="7">
        <v>91203.626214069998</v>
      </c>
      <c r="H12" s="7">
        <v>98770.759364669997</v>
      </c>
      <c r="I12" s="7">
        <v>100148.79763407999</v>
      </c>
      <c r="J12" s="7">
        <v>100644.83507784001</v>
      </c>
      <c r="K12" s="7">
        <v>101381.43876981</v>
      </c>
      <c r="L12" s="7">
        <v>102163.50007495</v>
      </c>
      <c r="M12" s="7">
        <v>102945.68653614</v>
      </c>
      <c r="N12" s="7">
        <v>103769.88692921</v>
      </c>
      <c r="O12" s="7">
        <v>104714.52144832</v>
      </c>
      <c r="P12" s="7">
        <v>105710.25095916</v>
      </c>
      <c r="Q12" s="7">
        <v>106764.42652777</v>
      </c>
      <c r="R12" s="7">
        <v>107877.28281280999</v>
      </c>
      <c r="S12" s="7">
        <v>109050.31865836</v>
      </c>
      <c r="T12" s="7">
        <v>110283.10497256</v>
      </c>
      <c r="U12" s="7">
        <v>111579.81349168</v>
      </c>
      <c r="V12" s="7">
        <v>112942.42514892</v>
      </c>
      <c r="W12" s="7">
        <v>114362.46479948</v>
      </c>
      <c r="X12" s="7">
        <v>115844.66399024001</v>
      </c>
      <c r="Y12" s="7">
        <v>117388.10473994</v>
      </c>
      <c r="Z12" s="7">
        <v>118993.85806732</v>
      </c>
      <c r="AA12" s="7">
        <v>120662.79420590001</v>
      </c>
      <c r="AB12" s="7">
        <v>122395.32475902</v>
      </c>
      <c r="AC12" s="7">
        <v>124192.00190776</v>
      </c>
    </row>
    <row r="13" spans="1:29" x14ac:dyDescent="0.85">
      <c r="A13" t="s">
        <v>112</v>
      </c>
      <c r="B13" s="7">
        <v>76463.935653430002</v>
      </c>
      <c r="C13" s="7">
        <v>138473.26213101001</v>
      </c>
      <c r="D13" s="7">
        <v>138146.05193528</v>
      </c>
      <c r="E13" s="7">
        <v>138036.58363417001</v>
      </c>
      <c r="F13" s="7">
        <v>138352.44987951001</v>
      </c>
      <c r="G13" s="7">
        <v>138616.18297728</v>
      </c>
      <c r="H13" s="7">
        <v>138852.77814092001</v>
      </c>
      <c r="I13" s="7">
        <v>139577.26836802001</v>
      </c>
      <c r="J13" s="7">
        <v>140342.93472019999</v>
      </c>
      <c r="K13" s="7">
        <v>141413.14743141001</v>
      </c>
      <c r="L13" s="7">
        <v>142537.67097779</v>
      </c>
      <c r="M13" s="7">
        <v>143667.7520565</v>
      </c>
      <c r="N13" s="7">
        <v>144849.46033244001</v>
      </c>
      <c r="O13" s="7">
        <v>146163.03326805</v>
      </c>
      <c r="P13" s="7">
        <v>147537.43887847001</v>
      </c>
      <c r="Q13" s="7">
        <v>148981.20837226001</v>
      </c>
      <c r="R13" s="7">
        <v>150496.38006318</v>
      </c>
      <c r="S13" s="7">
        <v>152086.05421169999</v>
      </c>
      <c r="T13" s="7">
        <v>153751.88525148001</v>
      </c>
      <c r="U13" s="7">
        <v>155498.72634818999</v>
      </c>
      <c r="V13" s="7">
        <v>157328.61564619999</v>
      </c>
      <c r="W13" s="7">
        <v>159234.32902800001</v>
      </c>
      <c r="X13" s="7">
        <v>161220.84428712001</v>
      </c>
      <c r="Y13" s="7">
        <v>163287.38847204001</v>
      </c>
      <c r="Z13" s="7">
        <v>165434.81118993001</v>
      </c>
      <c r="AA13" s="7">
        <v>167665.07252801</v>
      </c>
      <c r="AB13" s="7">
        <v>169978.92011102001</v>
      </c>
      <c r="AC13" s="7">
        <v>172376.74555637999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5821.8076453100002</v>
      </c>
      <c r="D17" s="7">
        <v>8511.4261772000009</v>
      </c>
      <c r="E17" s="7">
        <v>11353.049967790001</v>
      </c>
      <c r="F17" s="7">
        <v>14351.39091471</v>
      </c>
      <c r="G17" s="7">
        <v>13873.011664690001</v>
      </c>
      <c r="H17" s="7">
        <v>13410.578594979999</v>
      </c>
      <c r="I17" s="7">
        <v>13211.03758049</v>
      </c>
      <c r="J17" s="7">
        <v>12773.51124226</v>
      </c>
      <c r="K17" s="7">
        <v>12347.72754588</v>
      </c>
      <c r="L17" s="7">
        <v>11936.13663834</v>
      </c>
      <c r="M17" s="7">
        <v>11538.542259899999</v>
      </c>
      <c r="N17" s="7">
        <v>11153.92418457</v>
      </c>
      <c r="O17" s="7">
        <v>10782.126711749999</v>
      </c>
      <c r="P17" s="7">
        <v>10422.72248803</v>
      </c>
      <c r="Q17" s="7">
        <v>10075.29840844</v>
      </c>
      <c r="R17" s="7">
        <v>9739.5434399500009</v>
      </c>
      <c r="S17" s="7">
        <v>9414.8919919500004</v>
      </c>
      <c r="T17" s="7">
        <v>9101.0622588900005</v>
      </c>
      <c r="U17" s="7">
        <v>8797.6938962599997</v>
      </c>
      <c r="V17" s="7">
        <v>8504.4375230599999</v>
      </c>
      <c r="W17" s="7">
        <v>8220.9563279899994</v>
      </c>
      <c r="X17" s="7">
        <v>7946.9244503899999</v>
      </c>
      <c r="Y17" s="7">
        <v>7682.0269687099999</v>
      </c>
      <c r="Z17" s="7">
        <v>7425.9595834700003</v>
      </c>
      <c r="AA17" s="7">
        <v>7178.4277314800001</v>
      </c>
      <c r="AB17" s="7">
        <v>6939.14680709</v>
      </c>
      <c r="AC17" s="7">
        <v>6707.8419874700003</v>
      </c>
    </row>
    <row r="18" spans="1:29" x14ac:dyDescent="0.85">
      <c r="A18" t="s">
        <v>116</v>
      </c>
      <c r="B18" s="7">
        <v>3374158.2</v>
      </c>
      <c r="C18" s="7">
        <v>6011659.9354998199</v>
      </c>
      <c r="D18" s="7">
        <v>8788988.3796928097</v>
      </c>
      <c r="E18" s="7">
        <v>11723279.056138299</v>
      </c>
      <c r="F18" s="7">
        <v>14819397.5199722</v>
      </c>
      <c r="G18" s="7">
        <v>14325418.064362301</v>
      </c>
      <c r="H18" s="7">
        <v>13847904.8026064</v>
      </c>
      <c r="I18" s="7">
        <v>13641856.647911301</v>
      </c>
      <c r="J18" s="7">
        <v>13190062.339592</v>
      </c>
      <c r="K18" s="7">
        <v>12750393.607015699</v>
      </c>
      <c r="L18" s="7">
        <v>12325380.497784499</v>
      </c>
      <c r="M18" s="7">
        <v>11914640.360216901</v>
      </c>
      <c r="N18" s="7">
        <v>11516763.7320913</v>
      </c>
      <c r="O18" s="7">
        <v>11131211.1049756</v>
      </c>
      <c r="P18" s="7">
        <v>10757401.0026055</v>
      </c>
      <c r="Q18" s="7">
        <v>10394912.129935401</v>
      </c>
      <c r="R18" s="7">
        <v>10043303.174608899</v>
      </c>
      <c r="S18" s="7">
        <v>9701889.3340876605</v>
      </c>
      <c r="T18" s="7">
        <v>9370264.8270666096</v>
      </c>
      <c r="U18" s="7">
        <v>9048333.4764217194</v>
      </c>
      <c r="V18" s="7">
        <v>8736065.7067507003</v>
      </c>
      <c r="W18" s="7">
        <v>8433201.4231389295</v>
      </c>
      <c r="X18" s="7">
        <v>8139674.8894173196</v>
      </c>
      <c r="Y18" s="7">
        <v>7855366.7118016696</v>
      </c>
      <c r="Z18" s="7">
        <v>7580196.4956643898</v>
      </c>
      <c r="AA18" s="7">
        <v>7313865.7105123401</v>
      </c>
      <c r="AB18" s="7">
        <v>7056196.3023669804</v>
      </c>
      <c r="AC18" s="7">
        <v>6807062.5215015998</v>
      </c>
    </row>
    <row r="19" spans="1:29" x14ac:dyDescent="0.85">
      <c r="A19" t="s">
        <v>117</v>
      </c>
      <c r="B19" s="7">
        <v>3374158.2</v>
      </c>
      <c r="C19" s="7">
        <v>6011659.9354998199</v>
      </c>
      <c r="D19" s="7">
        <v>8788988.3796928097</v>
      </c>
      <c r="E19" s="7">
        <v>11723279.056138299</v>
      </c>
      <c r="F19" s="7">
        <v>14819397.5199722</v>
      </c>
      <c r="G19" s="7">
        <v>14325418.064362301</v>
      </c>
      <c r="H19" s="7">
        <v>13847904.8026064</v>
      </c>
      <c r="I19" s="7">
        <v>13641856.647911301</v>
      </c>
      <c r="J19" s="7">
        <v>13190062.339592</v>
      </c>
      <c r="K19" s="7">
        <v>12750393.607015699</v>
      </c>
      <c r="L19" s="7">
        <v>12325380.497784499</v>
      </c>
      <c r="M19" s="7">
        <v>11914820.352028999</v>
      </c>
      <c r="N19" s="7">
        <v>11517659.636975201</v>
      </c>
      <c r="O19" s="7">
        <v>11133737.636408599</v>
      </c>
      <c r="P19" s="7">
        <v>10762613.019058701</v>
      </c>
      <c r="Q19" s="7">
        <v>10403859.2552121</v>
      </c>
      <c r="R19" s="7">
        <v>10057155.138393899</v>
      </c>
      <c r="S19" s="7">
        <v>9721916.5849455409</v>
      </c>
      <c r="T19" s="7">
        <v>9397852.5017126705</v>
      </c>
      <c r="U19" s="7">
        <v>9084591.1433598306</v>
      </c>
      <c r="V19" s="7">
        <v>8781771.5315214898</v>
      </c>
      <c r="W19" s="7">
        <v>8489045.8713280205</v>
      </c>
      <c r="X19" s="7">
        <v>8206077.64923409</v>
      </c>
      <c r="Y19" s="7">
        <v>7932541.67314965</v>
      </c>
      <c r="Z19" s="7">
        <v>7668123.8036384499</v>
      </c>
      <c r="AA19" s="7">
        <v>7412519.81534776</v>
      </c>
      <c r="AB19" s="7">
        <v>7165435.8188320398</v>
      </c>
      <c r="AC19" s="7">
        <v>6926588.0345604001</v>
      </c>
    </row>
    <row r="20" spans="1:29" x14ac:dyDescent="0.85">
      <c r="A20" t="s">
        <v>118</v>
      </c>
      <c r="B20" s="7">
        <v>667.10619917999998</v>
      </c>
      <c r="C20" s="7">
        <v>1188.56774716</v>
      </c>
      <c r="D20" s="7">
        <v>1737.6744909700001</v>
      </c>
      <c r="E20" s="7">
        <v>2317.8143019700001</v>
      </c>
      <c r="F20" s="7">
        <v>2929.9491510799999</v>
      </c>
      <c r="G20" s="7">
        <v>2832.2842706599999</v>
      </c>
      <c r="H20" s="7">
        <v>2737.8749281800001</v>
      </c>
      <c r="I20" s="7">
        <v>2697.1370631499999</v>
      </c>
      <c r="J20" s="7">
        <v>2607.81262548</v>
      </c>
      <c r="K20" s="7">
        <v>2520.8855403500002</v>
      </c>
      <c r="L20" s="7">
        <v>2436.8560245100002</v>
      </c>
      <c r="M20" s="7">
        <v>2355.6840099999999</v>
      </c>
      <c r="N20" s="7">
        <v>2277.1612096700001</v>
      </c>
      <c r="O20" s="7">
        <v>2201.2558360200001</v>
      </c>
      <c r="P20" s="7">
        <v>2127.8806414800001</v>
      </c>
      <c r="Q20" s="7">
        <v>2056.9512874500001</v>
      </c>
      <c r="R20" s="7">
        <v>1988.4042740800001</v>
      </c>
      <c r="S20" s="7">
        <v>1922.1241316099999</v>
      </c>
      <c r="T20" s="7">
        <v>1858.05332722</v>
      </c>
      <c r="U20" s="7">
        <v>1796.1182937599999</v>
      </c>
      <c r="V20" s="7">
        <v>1736.2477023399999</v>
      </c>
      <c r="W20" s="7">
        <v>1678.37279031</v>
      </c>
      <c r="X20" s="7">
        <v>1622.42703063</v>
      </c>
      <c r="Y20" s="7">
        <v>1568.3461296099999</v>
      </c>
      <c r="Z20" s="7">
        <v>1516.0679621100001</v>
      </c>
      <c r="AA20" s="7">
        <v>1465.53239076</v>
      </c>
      <c r="AB20" s="7">
        <v>1416.68131107</v>
      </c>
      <c r="AC20" s="7">
        <v>1369.4586157900001</v>
      </c>
    </row>
    <row r="21" spans="1:29" x14ac:dyDescent="0.85">
      <c r="A21" t="s">
        <v>119</v>
      </c>
      <c r="B21" s="7">
        <v>0</v>
      </c>
      <c r="C21" s="7">
        <v>6.0116599400000004</v>
      </c>
      <c r="D21" s="7">
        <v>8.7889883799999993</v>
      </c>
      <c r="E21" s="7">
        <v>11.723279059999999</v>
      </c>
      <c r="F21" s="7">
        <v>14.819397520000001</v>
      </c>
      <c r="G21" s="7">
        <v>14.325418060000001</v>
      </c>
      <c r="H21" s="7">
        <v>13.8479048</v>
      </c>
      <c r="I21" s="7">
        <v>13.641856649999999</v>
      </c>
      <c r="J21" s="7">
        <v>13.190062340000001</v>
      </c>
      <c r="K21" s="7">
        <v>12.75039361</v>
      </c>
      <c r="L21" s="7">
        <v>12.3253805</v>
      </c>
      <c r="M21" s="7">
        <v>11.914820349999999</v>
      </c>
      <c r="N21" s="7">
        <v>11.51765964</v>
      </c>
      <c r="O21" s="7">
        <v>11.13373764</v>
      </c>
      <c r="P21" s="7">
        <v>10.76261302</v>
      </c>
      <c r="Q21" s="7">
        <v>10.403859260000001</v>
      </c>
      <c r="R21" s="7">
        <v>10.057155140000001</v>
      </c>
      <c r="S21" s="7">
        <v>9.7219165800000003</v>
      </c>
      <c r="T21" s="7">
        <v>9.3978525000000008</v>
      </c>
      <c r="U21" s="7">
        <v>9.0845911400000006</v>
      </c>
      <c r="V21" s="7">
        <v>8.7817715300000003</v>
      </c>
      <c r="W21" s="7">
        <v>8.48904587</v>
      </c>
      <c r="X21" s="7">
        <v>8.2060776499999992</v>
      </c>
      <c r="Y21" s="7">
        <v>7.93254167</v>
      </c>
      <c r="Z21" s="7">
        <v>7.6681238</v>
      </c>
      <c r="AA21" s="7">
        <v>7.41251982</v>
      </c>
      <c r="AB21" s="7">
        <v>7.1654358199999999</v>
      </c>
      <c r="AC21" s="7">
        <v>6.9265880299999996</v>
      </c>
    </row>
    <row r="22" spans="1:29" x14ac:dyDescent="0.85">
      <c r="A22" t="s">
        <v>120</v>
      </c>
      <c r="B22" s="7">
        <v>1.687079E-2</v>
      </c>
      <c r="C22" s="7">
        <v>3.00583E-2</v>
      </c>
      <c r="D22" s="7">
        <v>4.3944940000000002E-2</v>
      </c>
      <c r="E22" s="7">
        <v>5.8616399999999999E-2</v>
      </c>
      <c r="F22" s="7">
        <v>7.4096990000000001E-2</v>
      </c>
      <c r="G22" s="7">
        <v>7.1627090000000004E-2</v>
      </c>
      <c r="H22" s="7">
        <v>6.9239519999999999E-2</v>
      </c>
      <c r="I22" s="7">
        <v>6.8209279999999997E-2</v>
      </c>
      <c r="J22" s="7">
        <v>6.5950309999999998E-2</v>
      </c>
      <c r="K22" s="7">
        <v>6.3751970000000005E-2</v>
      </c>
      <c r="L22" s="7">
        <v>6.1626899999999998E-2</v>
      </c>
      <c r="M22" s="7">
        <v>5.9574099999999998E-2</v>
      </c>
      <c r="N22" s="7">
        <v>5.7588300000000002E-2</v>
      </c>
      <c r="O22" s="7">
        <v>5.566869E-2</v>
      </c>
      <c r="P22" s="7">
        <v>5.3813069999999998E-2</v>
      </c>
      <c r="Q22" s="7">
        <v>5.2019299999999997E-2</v>
      </c>
      <c r="R22" s="7">
        <v>5.0285780000000002E-2</v>
      </c>
      <c r="S22" s="7">
        <v>4.8609579999999999E-2</v>
      </c>
      <c r="T22" s="7">
        <v>4.6989259999999998E-2</v>
      </c>
      <c r="U22" s="7">
        <v>4.5422959999999998E-2</v>
      </c>
      <c r="V22" s="7">
        <v>4.3908860000000001E-2</v>
      </c>
      <c r="W22" s="7">
        <v>4.244523E-2</v>
      </c>
      <c r="X22" s="7">
        <v>4.103039E-2</v>
      </c>
      <c r="Y22" s="7">
        <v>3.9662709999999997E-2</v>
      </c>
      <c r="Z22" s="7">
        <v>3.8340619999999999E-2</v>
      </c>
      <c r="AA22" s="7">
        <v>3.7062600000000001E-2</v>
      </c>
      <c r="AB22" s="7">
        <v>3.582718E-2</v>
      </c>
      <c r="AC22" s="7">
        <v>3.4632940000000001E-2</v>
      </c>
    </row>
    <row r="23" spans="1:29" x14ac:dyDescent="0.85">
      <c r="A23" t="s">
        <v>121</v>
      </c>
      <c r="B23" s="7">
        <v>667.10619917999998</v>
      </c>
      <c r="C23" s="7">
        <v>1188.56774716</v>
      </c>
      <c r="D23" s="7">
        <v>1737.6744909700001</v>
      </c>
      <c r="E23" s="7">
        <v>2317.8143019700001</v>
      </c>
      <c r="F23" s="7">
        <v>2929.9491510799999</v>
      </c>
      <c r="G23" s="7">
        <v>2832.2842706599999</v>
      </c>
      <c r="H23" s="7">
        <v>2737.8749281800001</v>
      </c>
      <c r="I23" s="7">
        <v>2697.1370631499999</v>
      </c>
      <c r="J23" s="7">
        <v>2607.81262548</v>
      </c>
      <c r="K23" s="7">
        <v>2520.8855403500002</v>
      </c>
      <c r="L23" s="7">
        <v>2436.8560245100002</v>
      </c>
      <c r="M23" s="7">
        <v>2355.6840099999999</v>
      </c>
      <c r="N23" s="7">
        <v>2277.1612096700001</v>
      </c>
      <c r="O23" s="7">
        <v>2201.2558360200001</v>
      </c>
      <c r="P23" s="7">
        <v>2127.8806414800001</v>
      </c>
      <c r="Q23" s="7">
        <v>2056.9512874500001</v>
      </c>
      <c r="R23" s="7">
        <v>1988.4042740800001</v>
      </c>
      <c r="S23" s="7">
        <v>1922.1241316099999</v>
      </c>
      <c r="T23" s="7">
        <v>1858.05332722</v>
      </c>
      <c r="U23" s="7">
        <v>1796.1182937599999</v>
      </c>
      <c r="V23" s="7">
        <v>1736.2477023399999</v>
      </c>
      <c r="W23" s="7">
        <v>1678.37279031</v>
      </c>
      <c r="X23" s="7">
        <v>1622.42703063</v>
      </c>
      <c r="Y23" s="7">
        <v>1568.3461296099999</v>
      </c>
      <c r="Z23" s="7">
        <v>1516.0679621100001</v>
      </c>
      <c r="AA23" s="7">
        <v>1465.53239076</v>
      </c>
      <c r="AB23" s="7">
        <v>1416.68131107</v>
      </c>
      <c r="AC23" s="7">
        <v>1369.4586157900001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1.51239378</v>
      </c>
      <c r="E25" s="7">
        <v>1.37986769</v>
      </c>
      <c r="F25" s="7">
        <v>1.30768083</v>
      </c>
      <c r="G25" s="7">
        <v>1.2627108300000001</v>
      </c>
      <c r="H25" s="7">
        <v>1.00000003</v>
      </c>
      <c r="I25" s="7">
        <v>1.0000000499999999</v>
      </c>
      <c r="J25" s="7">
        <v>1.0190903</v>
      </c>
      <c r="K25" s="7">
        <v>1.00022251</v>
      </c>
      <c r="L25" s="7">
        <v>1</v>
      </c>
      <c r="M25" s="7">
        <v>1</v>
      </c>
      <c r="N25" s="7">
        <v>1.0000239900000001</v>
      </c>
      <c r="O25" s="7">
        <v>1</v>
      </c>
      <c r="P25" s="7">
        <v>1</v>
      </c>
      <c r="Q25" s="7">
        <v>1</v>
      </c>
      <c r="R25" s="7">
        <v>1</v>
      </c>
      <c r="S25" s="7">
        <v>1.0000090699999999</v>
      </c>
      <c r="T25" s="7">
        <v>0.99999998999999995</v>
      </c>
      <c r="U25" s="7">
        <v>0.99999998000000001</v>
      </c>
      <c r="V25" s="7">
        <v>1.00000004</v>
      </c>
      <c r="W25" s="7">
        <v>1.0000000099999999</v>
      </c>
      <c r="X25" s="7">
        <v>1.0000000099999999</v>
      </c>
      <c r="Y25" s="7">
        <v>1</v>
      </c>
      <c r="Z25" s="7">
        <v>0.99999998999999995</v>
      </c>
      <c r="AA25" s="7">
        <v>1.0000000200000001</v>
      </c>
      <c r="AB25" s="7">
        <v>1.0000000200000001</v>
      </c>
      <c r="AC25" s="7">
        <v>1</v>
      </c>
    </row>
    <row r="26" spans="1:29" x14ac:dyDescent="0.85">
      <c r="A26" t="s">
        <v>124</v>
      </c>
      <c r="B26" s="7">
        <v>1</v>
      </c>
      <c r="C26" s="7">
        <v>1.8431141</v>
      </c>
      <c r="D26" s="7">
        <v>1.5124037400000001</v>
      </c>
      <c r="E26" s="7">
        <v>1.3798550599999999</v>
      </c>
      <c r="F26" s="7">
        <v>1.3076897000000001</v>
      </c>
      <c r="G26" s="7">
        <v>1.00000003</v>
      </c>
      <c r="H26" s="7">
        <v>1.0000000499999999</v>
      </c>
      <c r="I26" s="7">
        <v>1.0190903</v>
      </c>
      <c r="J26" s="7">
        <v>1.00022251</v>
      </c>
      <c r="K26" s="7">
        <v>1</v>
      </c>
      <c r="L26" s="7">
        <v>1</v>
      </c>
      <c r="M26" s="7">
        <v>1.0000239900000001</v>
      </c>
      <c r="N26" s="7">
        <v>1</v>
      </c>
      <c r="O26" s="7">
        <v>1</v>
      </c>
      <c r="P26" s="7">
        <v>1</v>
      </c>
      <c r="Q26" s="7">
        <v>1</v>
      </c>
      <c r="R26" s="7">
        <v>1.0000090699999999</v>
      </c>
      <c r="S26" s="7">
        <v>0.99999998999999995</v>
      </c>
      <c r="T26" s="7">
        <v>0.99999998000000001</v>
      </c>
      <c r="U26" s="7">
        <v>1.00000004</v>
      </c>
      <c r="V26" s="7">
        <v>1.0000000099999999</v>
      </c>
      <c r="W26" s="7">
        <v>1.0000000099999999</v>
      </c>
      <c r="X26" s="7">
        <v>1</v>
      </c>
      <c r="Y26" s="7">
        <v>0.99999998999999995</v>
      </c>
      <c r="Z26" s="7">
        <v>1.0000000200000001</v>
      </c>
      <c r="AA26" s="7">
        <v>1.0000000200000001</v>
      </c>
      <c r="AB26" s="7">
        <v>1</v>
      </c>
      <c r="AC26" s="7">
        <v>1.0000000099999999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1.5124037800000001</v>
      </c>
      <c r="E27" s="7">
        <v>1.37987769</v>
      </c>
      <c r="F27" s="7">
        <v>1.3076908300000001</v>
      </c>
      <c r="G27" s="7">
        <v>1.2627208299999999</v>
      </c>
      <c r="H27" s="7">
        <v>1.2901928300000001</v>
      </c>
      <c r="I27" s="7">
        <v>1.3209734900000001</v>
      </c>
      <c r="J27" s="7">
        <v>1.3382823100000001</v>
      </c>
      <c r="K27" s="7">
        <v>1.35555092</v>
      </c>
      <c r="L27" s="7">
        <v>1.3753105299999999</v>
      </c>
      <c r="M27" s="7">
        <v>1.39638661</v>
      </c>
      <c r="N27" s="7">
        <v>1.4182191500000001</v>
      </c>
      <c r="O27" s="7">
        <v>1.4411942900000001</v>
      </c>
      <c r="P27" s="7">
        <v>1.46606386</v>
      </c>
      <c r="Q27" s="7">
        <v>1.49232114</v>
      </c>
      <c r="R27" s="7">
        <v>1.5201080600000001</v>
      </c>
      <c r="S27" s="7">
        <v>1.5495073800000001</v>
      </c>
      <c r="T27" s="7">
        <v>1.5806167600000001</v>
      </c>
      <c r="U27" s="7">
        <v>1.6135354900000001</v>
      </c>
      <c r="V27" s="7">
        <v>1.6484140899999999</v>
      </c>
      <c r="W27" s="7">
        <v>1.6852424500000001</v>
      </c>
      <c r="X27" s="7">
        <v>1.72430744</v>
      </c>
      <c r="Y27" s="7">
        <v>1.7656123399999999</v>
      </c>
      <c r="Z27" s="7">
        <v>1.8093323699999999</v>
      </c>
      <c r="AA27" s="7">
        <v>1.8555783400000001</v>
      </c>
      <c r="AB27" s="7">
        <v>1.9044977400000001</v>
      </c>
      <c r="AC27" s="7">
        <v>1.9562411799999999</v>
      </c>
    </row>
    <row r="28" spans="1:29" x14ac:dyDescent="0.85">
      <c r="A28" t="s">
        <v>126</v>
      </c>
      <c r="B28" s="7">
        <v>24984</v>
      </c>
      <c r="C28" s="7">
        <v>28144.19883388</v>
      </c>
      <c r="D28" s="7">
        <v>31480.932459629999</v>
      </c>
      <c r="E28" s="7">
        <v>35016.961898219997</v>
      </c>
      <c r="F28" s="7">
        <v>38757.313628739998</v>
      </c>
      <c r="G28" s="7">
        <v>42716.632056590002</v>
      </c>
      <c r="H28" s="7">
        <v>46956.590248560002</v>
      </c>
      <c r="I28" s="7">
        <v>51502.178501820003</v>
      </c>
      <c r="J28" s="7">
        <v>56183.908563789999</v>
      </c>
      <c r="K28" s="7">
        <v>60879.524247339999</v>
      </c>
      <c r="L28" s="7">
        <v>65615.813493289999</v>
      </c>
      <c r="M28" s="7">
        <v>70397.690556290006</v>
      </c>
      <c r="N28" s="7">
        <v>75220.023519220005</v>
      </c>
      <c r="O28" s="7">
        <v>80083.112118079996</v>
      </c>
      <c r="P28" s="7">
        <v>84997.665980589998</v>
      </c>
      <c r="Q28" s="7">
        <v>89965.087318270002</v>
      </c>
      <c r="R28" s="7">
        <v>94987.711431849995</v>
      </c>
      <c r="S28" s="7">
        <v>100067.88775446</v>
      </c>
      <c r="T28" s="7">
        <v>105207.92714669</v>
      </c>
      <c r="U28" s="7">
        <v>110410.23904493</v>
      </c>
      <c r="V28" s="7">
        <v>115677.81402925</v>
      </c>
      <c r="W28" s="7">
        <v>121012.20821998001</v>
      </c>
      <c r="X28" s="7">
        <v>126417.02398381</v>
      </c>
      <c r="Y28" s="7">
        <v>131894.45797254</v>
      </c>
      <c r="Z28" s="7">
        <v>137447.24569248999</v>
      </c>
      <c r="AA28" s="7">
        <v>143077.8571314</v>
      </c>
      <c r="AB28" s="7">
        <v>148788.82407961</v>
      </c>
      <c r="AC28" s="7">
        <v>154582.68867644001</v>
      </c>
    </row>
    <row r="29" spans="1:29" x14ac:dyDescent="0.85">
      <c r="A29" t="s">
        <v>127</v>
      </c>
      <c r="B29" s="7">
        <v>88568191.25</v>
      </c>
      <c r="C29" s="7">
        <v>99771084.8902255</v>
      </c>
      <c r="D29" s="7">
        <v>111599793.740512</v>
      </c>
      <c r="E29" s="7">
        <v>124135005.539379</v>
      </c>
      <c r="F29" s="7">
        <v>137394539.137306</v>
      </c>
      <c r="G29" s="7">
        <v>151430308.89945999</v>
      </c>
      <c r="H29" s="7">
        <v>166460945.62849301</v>
      </c>
      <c r="I29" s="7">
        <v>182575039.83914199</v>
      </c>
      <c r="J29" s="7">
        <v>199171756.27804399</v>
      </c>
      <c r="K29" s="7">
        <v>215817697.196087</v>
      </c>
      <c r="L29" s="7">
        <v>232607825.74840099</v>
      </c>
      <c r="M29" s="7">
        <v>249555792.96653599</v>
      </c>
      <c r="N29" s="7">
        <v>266633974.35009301</v>
      </c>
      <c r="O29" s="7">
        <v>283829925.05207002</v>
      </c>
      <c r="P29" s="7">
        <v>301170505.29792303</v>
      </c>
      <c r="Q29" s="7">
        <v>318651644.61307901</v>
      </c>
      <c r="R29" s="7">
        <v>336267311.69010401</v>
      </c>
      <c r="S29" s="7">
        <v>354009537.84230298</v>
      </c>
      <c r="T29" s="7">
        <v>371866887.79755002</v>
      </c>
      <c r="U29" s="7">
        <v>389841766.39305103</v>
      </c>
      <c r="V29" s="7">
        <v>407943140.65403998</v>
      </c>
      <c r="W29" s="7">
        <v>426165789.11071497</v>
      </c>
      <c r="X29" s="7">
        <v>444521532.95028597</v>
      </c>
      <c r="Y29" s="7">
        <v>463016484.77355099</v>
      </c>
      <c r="Z29" s="7">
        <v>481662896.93320602</v>
      </c>
      <c r="AA29" s="7">
        <v>500459970.67733997</v>
      </c>
      <c r="AB29" s="7">
        <v>519414608.19091398</v>
      </c>
      <c r="AC29" s="7">
        <v>538538854.57852101</v>
      </c>
    </row>
    <row r="30" spans="1:29" x14ac:dyDescent="0.85">
      <c r="A30" t="s">
        <v>128</v>
      </c>
      <c r="B30" s="7">
        <v>88568191.25</v>
      </c>
      <c r="C30" s="7">
        <v>99771084.8902255</v>
      </c>
      <c r="D30" s="7">
        <v>111599793.740512</v>
      </c>
      <c r="E30" s="7">
        <v>124135005.539379</v>
      </c>
      <c r="F30" s="7">
        <v>137394539.137306</v>
      </c>
      <c r="G30" s="7">
        <v>151430308.89945999</v>
      </c>
      <c r="H30" s="7">
        <v>166460945.62849301</v>
      </c>
      <c r="I30" s="7">
        <v>182575039.83914199</v>
      </c>
      <c r="J30" s="7">
        <v>199171756.27804399</v>
      </c>
      <c r="K30" s="7">
        <v>215817697.196087</v>
      </c>
      <c r="L30" s="7">
        <v>232607825.74840099</v>
      </c>
      <c r="M30" s="7">
        <v>249559562.95019099</v>
      </c>
      <c r="N30" s="7">
        <v>266654716.17352599</v>
      </c>
      <c r="O30" s="7">
        <v>283894347.98148102</v>
      </c>
      <c r="P30" s="7">
        <v>301316423.96623802</v>
      </c>
      <c r="Q30" s="7">
        <v>318925914.96268398</v>
      </c>
      <c r="R30" s="7">
        <v>336731099.60356402</v>
      </c>
      <c r="S30" s="7">
        <v>354740306.62107497</v>
      </c>
      <c r="T30" s="7">
        <v>372961728.00767499</v>
      </c>
      <c r="U30" s="7">
        <v>391403905.20693099</v>
      </c>
      <c r="V30" s="7">
        <v>410077439.81444699</v>
      </c>
      <c r="W30" s="7">
        <v>428987848.27138603</v>
      </c>
      <c r="X30" s="7">
        <v>448147900.95477003</v>
      </c>
      <c r="Y30" s="7">
        <v>467565384.98748899</v>
      </c>
      <c r="Z30" s="7">
        <v>487249997.72967601</v>
      </c>
      <c r="AA30" s="7">
        <v>507210495.27914798</v>
      </c>
      <c r="AB30" s="7">
        <v>527455852.82361102</v>
      </c>
      <c r="AC30" s="7">
        <v>547995082.23799503</v>
      </c>
    </row>
    <row r="31" spans="1:29" x14ac:dyDescent="0.85">
      <c r="A31" t="s">
        <v>129</v>
      </c>
      <c r="B31" s="7">
        <v>7556.8142471299998</v>
      </c>
      <c r="C31" s="7">
        <v>8512.6674160300008</v>
      </c>
      <c r="D31" s="7">
        <v>9521.9163834400006</v>
      </c>
      <c r="E31" s="7">
        <v>10591.445587730001</v>
      </c>
      <c r="F31" s="7">
        <v>11722.775368639999</v>
      </c>
      <c r="G31" s="7">
        <v>12920.33516309</v>
      </c>
      <c r="H31" s="7">
        <v>14202.77898603</v>
      </c>
      <c r="I31" s="7">
        <v>15577.66555639</v>
      </c>
      <c r="J31" s="7">
        <v>16993.730415239999</v>
      </c>
      <c r="K31" s="7">
        <v>18413.995204570001</v>
      </c>
      <c r="L31" s="7">
        <v>19846.562369650001</v>
      </c>
      <c r="M31" s="7">
        <v>21292.918306150001</v>
      </c>
      <c r="N31" s="7">
        <v>22751.510782879999</v>
      </c>
      <c r="O31" s="7">
        <v>24222.430459840001</v>
      </c>
      <c r="P31" s="7">
        <v>25708.916636850001</v>
      </c>
      <c r="Q31" s="7">
        <v>27211.393435440001</v>
      </c>
      <c r="R31" s="7">
        <v>28730.567205030002</v>
      </c>
      <c r="S31" s="7">
        <v>30267.14856962</v>
      </c>
      <c r="T31" s="7">
        <v>31821.836486280001</v>
      </c>
      <c r="U31" s="7">
        <v>33395.359727980001</v>
      </c>
      <c r="V31" s="7">
        <v>34988.622843949997</v>
      </c>
      <c r="W31" s="7">
        <v>36602.096507909999</v>
      </c>
      <c r="X31" s="7">
        <v>38236.870313829997</v>
      </c>
      <c r="Y31" s="7">
        <v>39893.608674540003</v>
      </c>
      <c r="Z31" s="7">
        <v>41573.138988070001</v>
      </c>
      <c r="AA31" s="7">
        <v>43276.20834212</v>
      </c>
      <c r="AB31" s="7">
        <v>45003.582517559997</v>
      </c>
      <c r="AC31" s="7">
        <v>46756.030425470002</v>
      </c>
    </row>
    <row r="32" spans="1:29" x14ac:dyDescent="0.85">
      <c r="A32" t="s">
        <v>130</v>
      </c>
      <c r="B32" s="7">
        <v>0</v>
      </c>
      <c r="C32" s="7">
        <v>79.816867909999999</v>
      </c>
      <c r="D32" s="7">
        <v>89.279834989999998</v>
      </c>
      <c r="E32" s="7">
        <v>99.308004429999997</v>
      </c>
      <c r="F32" s="7">
        <v>109.91563130999999</v>
      </c>
      <c r="G32" s="7">
        <v>121.14424712</v>
      </c>
      <c r="H32" s="7">
        <v>133.1687565</v>
      </c>
      <c r="I32" s="7">
        <v>146.06003186999999</v>
      </c>
      <c r="J32" s="7">
        <v>159.33740502000001</v>
      </c>
      <c r="K32" s="7">
        <v>172.65415776</v>
      </c>
      <c r="L32" s="7">
        <v>186.0862606</v>
      </c>
      <c r="M32" s="7">
        <v>199.64765036</v>
      </c>
      <c r="N32" s="7">
        <v>213.32377294</v>
      </c>
      <c r="O32" s="7">
        <v>227.11547838999999</v>
      </c>
      <c r="P32" s="7">
        <v>241.05313917000001</v>
      </c>
      <c r="Q32" s="7">
        <v>255.14073196999999</v>
      </c>
      <c r="R32" s="7">
        <v>269.38487967999998</v>
      </c>
      <c r="S32" s="7">
        <v>283.79224529999999</v>
      </c>
      <c r="T32" s="7">
        <v>298.36938241000001</v>
      </c>
      <c r="U32" s="7">
        <v>313.12312416999998</v>
      </c>
      <c r="V32" s="7">
        <v>328.06195185000001</v>
      </c>
      <c r="W32" s="7">
        <v>343.19027862000002</v>
      </c>
      <c r="X32" s="7">
        <v>358.51832075999999</v>
      </c>
      <c r="Y32" s="7">
        <v>374.05230798999997</v>
      </c>
      <c r="Z32" s="7">
        <v>389.79999817999999</v>
      </c>
      <c r="AA32" s="7">
        <v>405.76839622</v>
      </c>
      <c r="AB32" s="7">
        <v>421.96468226000002</v>
      </c>
      <c r="AC32" s="7">
        <v>438.39606579000002</v>
      </c>
    </row>
    <row r="33" spans="1:29" x14ac:dyDescent="0.85">
      <c r="A33" t="s">
        <v>131</v>
      </c>
      <c r="B33" s="7">
        <v>0.35427277000000001</v>
      </c>
      <c r="C33" s="7">
        <v>0.39908433999999998</v>
      </c>
      <c r="D33" s="7">
        <v>0.44639917000000001</v>
      </c>
      <c r="E33" s="7">
        <v>0.49654002000000003</v>
      </c>
      <c r="F33" s="7">
        <v>0.54957816000000004</v>
      </c>
      <c r="G33" s="7">
        <v>0.60572124000000005</v>
      </c>
      <c r="H33" s="7">
        <v>0.66584378</v>
      </c>
      <c r="I33" s="7">
        <v>0.73030015999999998</v>
      </c>
      <c r="J33" s="7">
        <v>0.79668702999999996</v>
      </c>
      <c r="K33" s="7">
        <v>0.86327078999999995</v>
      </c>
      <c r="L33" s="7">
        <v>0.93043129999999996</v>
      </c>
      <c r="M33" s="7">
        <v>0.99823824999999999</v>
      </c>
      <c r="N33" s="7">
        <v>1.0666188599999999</v>
      </c>
      <c r="O33" s="7">
        <v>1.1355773899999999</v>
      </c>
      <c r="P33" s="7">
        <v>1.2052657</v>
      </c>
      <c r="Q33" s="7">
        <v>1.27570366</v>
      </c>
      <c r="R33" s="7">
        <v>1.3469244</v>
      </c>
      <c r="S33" s="7">
        <v>1.4189612300000001</v>
      </c>
      <c r="T33" s="7">
        <v>1.49184691</v>
      </c>
      <c r="U33" s="7">
        <v>1.56561562</v>
      </c>
      <c r="V33" s="7">
        <v>1.6403097600000001</v>
      </c>
      <c r="W33" s="7">
        <v>1.7159513900000001</v>
      </c>
      <c r="X33" s="7">
        <v>1.7925916</v>
      </c>
      <c r="Y33" s="7">
        <v>1.87026154</v>
      </c>
      <c r="Z33" s="7">
        <v>1.9489999899999999</v>
      </c>
      <c r="AA33" s="7">
        <v>2.0288419800000002</v>
      </c>
      <c r="AB33" s="7">
        <v>2.1098234100000002</v>
      </c>
      <c r="AC33" s="7">
        <v>2.1919803299999998</v>
      </c>
    </row>
    <row r="34" spans="1:29" x14ac:dyDescent="0.85">
      <c r="A34" t="s">
        <v>132</v>
      </c>
      <c r="B34" s="7">
        <v>7556.8142471299998</v>
      </c>
      <c r="C34" s="7">
        <v>8512.6674160300008</v>
      </c>
      <c r="D34" s="7">
        <v>9521.9163834400006</v>
      </c>
      <c r="E34" s="7">
        <v>10591.445587730001</v>
      </c>
      <c r="F34" s="7">
        <v>11722.775368639999</v>
      </c>
      <c r="G34" s="7">
        <v>12920.33516309</v>
      </c>
      <c r="H34" s="7">
        <v>14202.77898603</v>
      </c>
      <c r="I34" s="7">
        <v>15577.66555639</v>
      </c>
      <c r="J34" s="7">
        <v>16993.730415239999</v>
      </c>
      <c r="K34" s="7">
        <v>18413.995204570001</v>
      </c>
      <c r="L34" s="7">
        <v>19846.562369650001</v>
      </c>
      <c r="M34" s="7">
        <v>21292.918306150001</v>
      </c>
      <c r="N34" s="7">
        <v>22751.510782879999</v>
      </c>
      <c r="O34" s="7">
        <v>24222.430459840001</v>
      </c>
      <c r="P34" s="7">
        <v>25708.916636850001</v>
      </c>
      <c r="Q34" s="7">
        <v>27211.393435440001</v>
      </c>
      <c r="R34" s="7">
        <v>28730.567205030002</v>
      </c>
      <c r="S34" s="7">
        <v>30267.14856962</v>
      </c>
      <c r="T34" s="7">
        <v>31821.836486280001</v>
      </c>
      <c r="U34" s="7">
        <v>33395.359727980001</v>
      </c>
      <c r="V34" s="7">
        <v>34988.622843949997</v>
      </c>
      <c r="W34" s="7">
        <v>36602.096507909999</v>
      </c>
      <c r="X34" s="7">
        <v>38236.870313829997</v>
      </c>
      <c r="Y34" s="7">
        <v>39893.608674540003</v>
      </c>
      <c r="Z34" s="7">
        <v>41573.138988070001</v>
      </c>
      <c r="AA34" s="7">
        <v>43276.20834212</v>
      </c>
      <c r="AB34" s="7">
        <v>45003.582517559997</v>
      </c>
      <c r="AC34" s="7">
        <v>46756.030425470002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1.1651550900000001</v>
      </c>
      <c r="E36" s="7">
        <v>1.15865968</v>
      </c>
      <c r="F36" s="7">
        <v>1.1529227399999999</v>
      </c>
      <c r="G36" s="7">
        <v>1.1480811799999999</v>
      </c>
      <c r="H36" s="7">
        <v>1.1450502899999999</v>
      </c>
      <c r="I36" s="7">
        <v>1.1424942199999999</v>
      </c>
      <c r="J36" s="7">
        <v>1.1363478499999999</v>
      </c>
      <c r="K36" s="7">
        <v>1.1287148</v>
      </c>
      <c r="L36" s="7">
        <v>1.12269598</v>
      </c>
      <c r="M36" s="7">
        <v>1.1175701</v>
      </c>
      <c r="N36" s="7">
        <v>1.1130121799999999</v>
      </c>
      <c r="O36" s="7">
        <v>1.109002</v>
      </c>
      <c r="P36" s="7">
        <v>1.1055818399999999</v>
      </c>
      <c r="Q36" s="7">
        <v>1.1025335999999999</v>
      </c>
      <c r="R36" s="7">
        <v>1.09981145</v>
      </c>
      <c r="S36" s="7">
        <v>1.0973675599999999</v>
      </c>
      <c r="T36" s="7">
        <v>1.0951624200000001</v>
      </c>
      <c r="U36" s="7">
        <v>1.0931649000000001</v>
      </c>
      <c r="V36" s="7">
        <v>1.0913536800000001</v>
      </c>
      <c r="W36" s="7">
        <v>1.0896923300000001</v>
      </c>
      <c r="X36" s="7">
        <v>1.0881810300000001</v>
      </c>
      <c r="Y36" s="7">
        <v>1.08679031</v>
      </c>
      <c r="Z36" s="7">
        <v>1.0855110800000001</v>
      </c>
      <c r="AA36" s="7">
        <v>1.0843291900000001</v>
      </c>
      <c r="AB36" s="7">
        <v>1.0832348999999999</v>
      </c>
      <c r="AC36" s="7">
        <v>1.0822193600000001</v>
      </c>
    </row>
    <row r="37" spans="1:29" x14ac:dyDescent="0.85">
      <c r="A37" t="s">
        <v>135</v>
      </c>
      <c r="B37" s="7">
        <v>1</v>
      </c>
      <c r="C37" s="7">
        <v>1.17342594</v>
      </c>
      <c r="D37" s="7">
        <v>1.1651650899999999</v>
      </c>
      <c r="E37" s="7">
        <v>1.15866968</v>
      </c>
      <c r="F37" s="7">
        <v>1.15293274</v>
      </c>
      <c r="G37" s="7">
        <v>1.1480798699999999</v>
      </c>
      <c r="H37" s="7">
        <v>1.1450601899999999</v>
      </c>
      <c r="I37" s="7">
        <v>1.14250422</v>
      </c>
      <c r="J37" s="7">
        <v>1.13635785</v>
      </c>
      <c r="K37" s="7">
        <v>1.1287248000000001</v>
      </c>
      <c r="L37" s="7">
        <v>1.1227059800000001</v>
      </c>
      <c r="M37" s="7">
        <v>1.1175801000000001</v>
      </c>
      <c r="N37" s="7">
        <v>1.11302218</v>
      </c>
      <c r="O37" s="7">
        <v>1.1090120000000001</v>
      </c>
      <c r="P37" s="7">
        <v>1.10559184</v>
      </c>
      <c r="Q37" s="7">
        <v>1.1025436</v>
      </c>
      <c r="R37" s="7">
        <v>1.0998214500000001</v>
      </c>
      <c r="S37" s="7">
        <v>1.09737756</v>
      </c>
      <c r="T37" s="7">
        <v>1.0951724199999999</v>
      </c>
      <c r="U37" s="7">
        <v>1.0931748999999999</v>
      </c>
      <c r="V37" s="7">
        <v>1.0913636600000001</v>
      </c>
      <c r="W37" s="7">
        <v>1.0897023299999999</v>
      </c>
      <c r="X37" s="7">
        <v>1.0881910299999999</v>
      </c>
      <c r="Y37" s="7">
        <v>1.0868003100000001</v>
      </c>
      <c r="Z37" s="7">
        <v>1.0855210799999999</v>
      </c>
      <c r="AA37" s="7">
        <v>1.0843391899999999</v>
      </c>
      <c r="AB37" s="7">
        <v>1.0832449</v>
      </c>
      <c r="AC37" s="7">
        <v>1.0822293599999999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1.1651650899999999</v>
      </c>
      <c r="E38" s="7">
        <v>1.15866968</v>
      </c>
      <c r="F38" s="7">
        <v>1.15293274</v>
      </c>
      <c r="G38" s="7">
        <v>1.14809118</v>
      </c>
      <c r="H38" s="7">
        <v>1.14506029</v>
      </c>
      <c r="I38" s="7">
        <v>1.14250422</v>
      </c>
      <c r="J38" s="7">
        <v>1.13635785</v>
      </c>
      <c r="K38" s="7">
        <v>1.1287248000000001</v>
      </c>
      <c r="L38" s="7">
        <v>1.1227059800000001</v>
      </c>
      <c r="M38" s="7">
        <v>1.1175801000000001</v>
      </c>
      <c r="N38" s="7">
        <v>1.11302218</v>
      </c>
      <c r="O38" s="7">
        <v>1.1090120000000001</v>
      </c>
      <c r="P38" s="7">
        <v>1.10559184</v>
      </c>
      <c r="Q38" s="7">
        <v>1.1025436</v>
      </c>
      <c r="R38" s="7">
        <v>1.0998214500000001</v>
      </c>
      <c r="S38" s="7">
        <v>1.09737756</v>
      </c>
      <c r="T38" s="7">
        <v>1.0951724199999999</v>
      </c>
      <c r="U38" s="7">
        <v>1.0931748999999999</v>
      </c>
      <c r="V38" s="7">
        <v>1.0913636799999999</v>
      </c>
      <c r="W38" s="7">
        <v>1.0897023299999999</v>
      </c>
      <c r="X38" s="7">
        <v>1.0881910299999999</v>
      </c>
      <c r="Y38" s="7">
        <v>1.0868003100000001</v>
      </c>
      <c r="Z38" s="7">
        <v>1.0855210799999999</v>
      </c>
      <c r="AA38" s="7">
        <v>1.0843391899999999</v>
      </c>
      <c r="AB38" s="7">
        <v>1.0832449</v>
      </c>
      <c r="AC38" s="7">
        <v>1.0822293599999999</v>
      </c>
    </row>
    <row r="39" spans="1:29" x14ac:dyDescent="0.85">
      <c r="A39" t="s">
        <v>137</v>
      </c>
      <c r="B39" s="7">
        <v>13447</v>
      </c>
      <c r="C39" s="7">
        <v>13110.82500255</v>
      </c>
      <c r="D39" s="7">
        <v>13174.661664630001</v>
      </c>
      <c r="E39" s="7">
        <v>12845.29512302</v>
      </c>
      <c r="F39" s="7">
        <v>12524.16274494</v>
      </c>
      <c r="G39" s="7">
        <v>17695.737131279999</v>
      </c>
      <c r="H39" s="7">
        <v>23284.154536670001</v>
      </c>
      <c r="I39" s="7">
        <v>22702.050673260001</v>
      </c>
      <c r="J39" s="7">
        <v>22134.499406430001</v>
      </c>
      <c r="K39" s="7">
        <v>21581.13702595</v>
      </c>
      <c r="L39" s="7">
        <v>21041.608600299998</v>
      </c>
      <c r="M39" s="7">
        <v>20516.08656521</v>
      </c>
      <c r="N39" s="7">
        <v>20003.19178116</v>
      </c>
      <c r="O39" s="7">
        <v>19503.11198663</v>
      </c>
      <c r="P39" s="7">
        <v>19015.534561619999</v>
      </c>
      <c r="Q39" s="7">
        <v>18540.367006119999</v>
      </c>
      <c r="R39" s="7">
        <v>18076.857837650001</v>
      </c>
      <c r="S39" s="7">
        <v>17624.936391710002</v>
      </c>
      <c r="T39" s="7">
        <v>17184.313023980001</v>
      </c>
      <c r="U39" s="7">
        <v>16754.708562250002</v>
      </c>
      <c r="V39" s="7">
        <v>16335.840848190001</v>
      </c>
      <c r="W39" s="7">
        <v>15927.773008730001</v>
      </c>
      <c r="X39" s="7">
        <v>15529.57868672</v>
      </c>
      <c r="Y39" s="7">
        <v>15141.339221959999</v>
      </c>
      <c r="Z39" s="7">
        <v>14762.80574141</v>
      </c>
      <c r="AA39" s="7">
        <v>14393.735597880001</v>
      </c>
      <c r="AB39" s="7">
        <v>14033.892207929999</v>
      </c>
      <c r="AC39" s="7">
        <v>13683.04490273</v>
      </c>
    </row>
    <row r="40" spans="1:29" x14ac:dyDescent="0.85">
      <c r="A40" t="s">
        <v>138</v>
      </c>
      <c r="B40" s="7">
        <v>92994416.5</v>
      </c>
      <c r="C40" s="7">
        <v>90669556.105159298</v>
      </c>
      <c r="D40" s="7">
        <v>91111026.555177703</v>
      </c>
      <c r="E40" s="7">
        <v>88833250.783417001</v>
      </c>
      <c r="F40" s="7">
        <v>86612419.316427693</v>
      </c>
      <c r="G40" s="7">
        <v>122377091.047167</v>
      </c>
      <c r="H40" s="7">
        <v>161024492.992423</v>
      </c>
      <c r="I40" s="7">
        <v>156998880.64386299</v>
      </c>
      <c r="J40" s="7">
        <v>153073908.61626199</v>
      </c>
      <c r="K40" s="7">
        <v>149247061.624841</v>
      </c>
      <c r="L40" s="7">
        <v>145515885.06391701</v>
      </c>
      <c r="M40" s="7">
        <v>141881571.47553501</v>
      </c>
      <c r="N40" s="7">
        <v>138334583.22650999</v>
      </c>
      <c r="O40" s="7">
        <v>134876215.270794</v>
      </c>
      <c r="P40" s="7">
        <v>131504312.479994</v>
      </c>
      <c r="Q40" s="7">
        <v>128218231.697135</v>
      </c>
      <c r="R40" s="7">
        <v>125012775.950919</v>
      </c>
      <c r="S40" s="7">
        <v>121887456.448956</v>
      </c>
      <c r="T40" s="7">
        <v>118840270.32863601</v>
      </c>
      <c r="U40" s="7">
        <v>115869286.83368701</v>
      </c>
      <c r="V40" s="7">
        <v>112972554.62235799</v>
      </c>
      <c r="W40" s="7">
        <v>110150510.338744</v>
      </c>
      <c r="X40" s="7">
        <v>107396747.602478</v>
      </c>
      <c r="Y40" s="7">
        <v>104711828.929094</v>
      </c>
      <c r="Z40" s="7">
        <v>102094031.934542</v>
      </c>
      <c r="AA40" s="7">
        <v>99541681.068076596</v>
      </c>
      <c r="AB40" s="7">
        <v>97053139.033277795</v>
      </c>
      <c r="AC40" s="7">
        <v>94626810.545302495</v>
      </c>
    </row>
    <row r="41" spans="1:29" x14ac:dyDescent="0.85">
      <c r="A41" t="s">
        <v>139</v>
      </c>
      <c r="B41" s="7">
        <v>92994416.5</v>
      </c>
      <c r="C41" s="7">
        <v>90669556.105159298</v>
      </c>
      <c r="D41" s="7">
        <v>91111026.555177703</v>
      </c>
      <c r="E41" s="7">
        <v>88833250.783417001</v>
      </c>
      <c r="F41" s="7">
        <v>86612419.316427693</v>
      </c>
      <c r="G41" s="7">
        <v>122377091.047167</v>
      </c>
      <c r="H41" s="7">
        <v>161024492.992423</v>
      </c>
      <c r="I41" s="7">
        <v>156998880.64386299</v>
      </c>
      <c r="J41" s="7">
        <v>153073908.61626199</v>
      </c>
      <c r="K41" s="7">
        <v>149247061.624841</v>
      </c>
      <c r="L41" s="7">
        <v>145515885.06391701</v>
      </c>
      <c r="M41" s="7">
        <v>141881571.47553501</v>
      </c>
      <c r="N41" s="7">
        <v>138334583.22650999</v>
      </c>
      <c r="O41" s="7">
        <v>134876215.270794</v>
      </c>
      <c r="P41" s="7">
        <v>131504312.479994</v>
      </c>
      <c r="Q41" s="7">
        <v>128218231.697135</v>
      </c>
      <c r="R41" s="7">
        <v>125012775.950919</v>
      </c>
      <c r="S41" s="7">
        <v>121887456.448956</v>
      </c>
      <c r="T41" s="7">
        <v>118840270.32863601</v>
      </c>
      <c r="U41" s="7">
        <v>115869286.83368701</v>
      </c>
      <c r="V41" s="7">
        <v>112972554.62235799</v>
      </c>
      <c r="W41" s="7">
        <v>110150510.338744</v>
      </c>
      <c r="X41" s="7">
        <v>107396747.602478</v>
      </c>
      <c r="Y41" s="7">
        <v>104711828.929094</v>
      </c>
      <c r="Z41" s="7">
        <v>102094031.934542</v>
      </c>
      <c r="AA41" s="7">
        <v>99541681.068076596</v>
      </c>
      <c r="AB41" s="7">
        <v>97053139.033277795</v>
      </c>
      <c r="AC41" s="7">
        <v>94626810.545302495</v>
      </c>
    </row>
    <row r="42" spans="1:29" x14ac:dyDescent="0.85">
      <c r="A42" t="s">
        <v>140</v>
      </c>
      <c r="B42" s="7">
        <v>15444.03256842</v>
      </c>
      <c r="C42" s="7">
        <v>15057.931757140001</v>
      </c>
      <c r="D42" s="7">
        <v>15131.24889019</v>
      </c>
      <c r="E42" s="7">
        <v>14752.96766685</v>
      </c>
      <c r="F42" s="7">
        <v>14384.14347318</v>
      </c>
      <c r="G42" s="7">
        <v>20323.755523119999</v>
      </c>
      <c r="H42" s="7">
        <v>26742.116525320002</v>
      </c>
      <c r="I42" s="7">
        <v>26073.563611940001</v>
      </c>
      <c r="J42" s="7">
        <v>25421.724521529999</v>
      </c>
      <c r="K42" s="7">
        <v>24786.181528730001</v>
      </c>
      <c r="L42" s="7">
        <v>24166.526990300001</v>
      </c>
      <c r="M42" s="7">
        <v>23562.958951069999</v>
      </c>
      <c r="N42" s="7">
        <v>22973.8934534</v>
      </c>
      <c r="O42" s="7">
        <v>22399.54608294</v>
      </c>
      <c r="P42" s="7">
        <v>21839.557861159999</v>
      </c>
      <c r="Q42" s="7">
        <v>21293.822515759999</v>
      </c>
      <c r="R42" s="7">
        <v>20761.47696054</v>
      </c>
      <c r="S42" s="7">
        <v>20242.440035479998</v>
      </c>
      <c r="T42" s="7">
        <v>19736.37908291</v>
      </c>
      <c r="U42" s="7">
        <v>19242.973469280001</v>
      </c>
      <c r="V42" s="7">
        <v>18761.899132139999</v>
      </c>
      <c r="W42" s="7">
        <v>18293.228574299999</v>
      </c>
      <c r="X42" s="7">
        <v>17835.897863630002</v>
      </c>
      <c r="Y42" s="7">
        <v>17390.000419799999</v>
      </c>
      <c r="Z42" s="7">
        <v>16955.25039646</v>
      </c>
      <c r="AA42" s="7">
        <v>16531.369135860001</v>
      </c>
      <c r="AB42" s="7">
        <v>16118.08490738</v>
      </c>
      <c r="AC42" s="7">
        <v>15715.13278457</v>
      </c>
    </row>
    <row r="43" spans="1:29" x14ac:dyDescent="0.85">
      <c r="A43" t="s">
        <v>141</v>
      </c>
      <c r="B43" s="7">
        <v>0</v>
      </c>
      <c r="C43" s="7">
        <v>54.401733659999998</v>
      </c>
      <c r="D43" s="7">
        <v>54.666615929999999</v>
      </c>
      <c r="E43" s="7">
        <v>53.299950469999999</v>
      </c>
      <c r="F43" s="7">
        <v>51.967451590000003</v>
      </c>
      <c r="G43" s="7">
        <v>73.426254630000003</v>
      </c>
      <c r="H43" s="7">
        <v>96.614695800000007</v>
      </c>
      <c r="I43" s="7">
        <v>94.199328390000005</v>
      </c>
      <c r="J43" s="7">
        <v>91.844345169999997</v>
      </c>
      <c r="K43" s="7">
        <v>89.548236970000005</v>
      </c>
      <c r="L43" s="7">
        <v>87.309531039999996</v>
      </c>
      <c r="M43" s="7">
        <v>85.128942890000005</v>
      </c>
      <c r="N43" s="7">
        <v>83.000749940000006</v>
      </c>
      <c r="O43" s="7">
        <v>80.925729160000003</v>
      </c>
      <c r="P43" s="7">
        <v>78.902587490000002</v>
      </c>
      <c r="Q43" s="7">
        <v>76.930939019999997</v>
      </c>
      <c r="R43" s="7">
        <v>75.00766557</v>
      </c>
      <c r="S43" s="7">
        <v>73.132473869999998</v>
      </c>
      <c r="T43" s="7">
        <v>71.304162199999993</v>
      </c>
      <c r="U43" s="7">
        <v>69.5215721</v>
      </c>
      <c r="V43" s="7">
        <v>67.783532769999994</v>
      </c>
      <c r="W43" s="7">
        <v>66.090306200000001</v>
      </c>
      <c r="X43" s="7">
        <v>64.438048559999999</v>
      </c>
      <c r="Y43" s="7">
        <v>62.827097360000003</v>
      </c>
      <c r="Z43" s="7">
        <v>61.25641916</v>
      </c>
      <c r="AA43" s="7">
        <v>59.725008639999999</v>
      </c>
      <c r="AB43" s="7">
        <v>58.231883420000003</v>
      </c>
      <c r="AC43" s="7">
        <v>56.776086329999998</v>
      </c>
    </row>
    <row r="44" spans="1:29" x14ac:dyDescent="0.85">
      <c r="A44" t="s">
        <v>142</v>
      </c>
      <c r="B44" s="7">
        <v>0.27898325000000002</v>
      </c>
      <c r="C44" s="7">
        <v>0.27200867000000001</v>
      </c>
      <c r="D44" s="7">
        <v>0.27333308000000001</v>
      </c>
      <c r="E44" s="7">
        <v>0.26649974999999998</v>
      </c>
      <c r="F44" s="7">
        <v>0.25983726000000001</v>
      </c>
      <c r="G44" s="7">
        <v>0.36713127000000001</v>
      </c>
      <c r="H44" s="7">
        <v>0.48307348</v>
      </c>
      <c r="I44" s="7">
        <v>0.47099664000000002</v>
      </c>
      <c r="J44" s="7">
        <v>0.45922172999999999</v>
      </c>
      <c r="K44" s="7">
        <v>0.44774118000000002</v>
      </c>
      <c r="L44" s="7">
        <v>0.43654766</v>
      </c>
      <c r="M44" s="7">
        <v>0.42564470999999998</v>
      </c>
      <c r="N44" s="7">
        <v>0.41500375</v>
      </c>
      <c r="O44" s="7">
        <v>0.40462864999999998</v>
      </c>
      <c r="P44" s="7">
        <v>0.39451293999999998</v>
      </c>
      <c r="Q44" s="7">
        <v>0.38465470000000002</v>
      </c>
      <c r="R44" s="7">
        <v>0.37503832999999998</v>
      </c>
      <c r="S44" s="7">
        <v>0.36566237000000001</v>
      </c>
      <c r="T44" s="7">
        <v>0.35652081000000002</v>
      </c>
      <c r="U44" s="7">
        <v>0.34760785999999999</v>
      </c>
      <c r="V44" s="7">
        <v>0.33891766000000001</v>
      </c>
      <c r="W44" s="7">
        <v>0.33045152999999999</v>
      </c>
      <c r="X44" s="7">
        <v>0.32219024000000002</v>
      </c>
      <c r="Y44" s="7">
        <v>0.31413549000000002</v>
      </c>
      <c r="Z44" s="7">
        <v>0.3062821</v>
      </c>
      <c r="AA44" s="7">
        <v>0.29862504000000001</v>
      </c>
      <c r="AB44" s="7">
        <v>0.29115942</v>
      </c>
      <c r="AC44" s="7">
        <v>0.28388043000000002</v>
      </c>
    </row>
    <row r="45" spans="1:29" x14ac:dyDescent="0.85">
      <c r="A45" t="s">
        <v>143</v>
      </c>
      <c r="B45" s="7">
        <v>14503.8590176</v>
      </c>
      <c r="C45" s="7">
        <v>14141.26254491</v>
      </c>
      <c r="D45" s="7">
        <v>14210.116411720001</v>
      </c>
      <c r="E45" s="7">
        <v>13854.86350143</v>
      </c>
      <c r="F45" s="7">
        <v>13508.49191389</v>
      </c>
      <c r="G45" s="7">
        <v>19086.523132630002</v>
      </c>
      <c r="H45" s="7">
        <v>25114.158901160001</v>
      </c>
      <c r="I45" s="7">
        <v>24486.304928630001</v>
      </c>
      <c r="J45" s="7">
        <v>23874.14730542</v>
      </c>
      <c r="K45" s="7">
        <v>23277.293735700001</v>
      </c>
      <c r="L45" s="7">
        <v>22695.361392309998</v>
      </c>
      <c r="M45" s="7">
        <v>22128.536263450002</v>
      </c>
      <c r="N45" s="7">
        <v>21575.33081698</v>
      </c>
      <c r="O45" s="7">
        <v>21035.947546560001</v>
      </c>
      <c r="P45" s="7">
        <v>20510.04926199</v>
      </c>
      <c r="Q45" s="7">
        <v>19997.536193299999</v>
      </c>
      <c r="R45" s="7">
        <v>19497.597795670001</v>
      </c>
      <c r="S45" s="7">
        <v>19010.15785078</v>
      </c>
      <c r="T45" s="7">
        <v>18534.903949880001</v>
      </c>
      <c r="U45" s="7">
        <v>18071.534979389999</v>
      </c>
      <c r="V45" s="7">
        <v>17619.7466049</v>
      </c>
      <c r="W45" s="7">
        <v>17179.60691477</v>
      </c>
      <c r="X45" s="7">
        <v>16750.116745359999</v>
      </c>
      <c r="Y45" s="7">
        <v>16331.363829329999</v>
      </c>
      <c r="Z45" s="7">
        <v>15923.0797336</v>
      </c>
      <c r="AA45" s="7">
        <v>15525.002740260001</v>
      </c>
      <c r="AB45" s="7">
        <v>15136.87767175</v>
      </c>
      <c r="AC45" s="7">
        <v>14758.45572996</v>
      </c>
    </row>
    <row r="46" spans="1:29" x14ac:dyDescent="0.85">
      <c r="A46" t="s">
        <v>144</v>
      </c>
      <c r="B46" s="7">
        <v>940.17355081999995</v>
      </c>
      <c r="C46" s="7">
        <v>916.66921221999996</v>
      </c>
      <c r="D46" s="7">
        <v>921.13247847000002</v>
      </c>
      <c r="E46" s="7">
        <v>898.10416541999996</v>
      </c>
      <c r="F46" s="7">
        <v>875.65155929000002</v>
      </c>
      <c r="G46" s="7">
        <v>1237.2323904899999</v>
      </c>
      <c r="H46" s="7">
        <v>1627.9576241499999</v>
      </c>
      <c r="I46" s="7">
        <v>1587.2586833099999</v>
      </c>
      <c r="J46" s="7">
        <v>1547.5772161100001</v>
      </c>
      <c r="K46" s="7">
        <v>1508.88779303</v>
      </c>
      <c r="L46" s="7">
        <v>1471.165598</v>
      </c>
      <c r="M46" s="7">
        <v>1434.42268762</v>
      </c>
      <c r="N46" s="7">
        <v>1398.56263642</v>
      </c>
      <c r="O46" s="7">
        <v>1363.5985363899999</v>
      </c>
      <c r="P46" s="7">
        <v>1329.50859917</v>
      </c>
      <c r="Q46" s="7">
        <v>1296.2863224600001</v>
      </c>
      <c r="R46" s="7">
        <v>1263.8791648599999</v>
      </c>
      <c r="S46" s="7">
        <v>1232.2821847</v>
      </c>
      <c r="T46" s="7">
        <v>1201.4751330199999</v>
      </c>
      <c r="U46" s="7">
        <v>1171.43848989</v>
      </c>
      <c r="V46" s="7">
        <v>1142.15252723</v>
      </c>
      <c r="W46" s="7">
        <v>1113.6216595200001</v>
      </c>
      <c r="X46" s="7">
        <v>1085.7811182600001</v>
      </c>
      <c r="Y46" s="7">
        <v>1058.6365904700001</v>
      </c>
      <c r="Z46" s="7">
        <v>1032.17066286</v>
      </c>
      <c r="AA46" s="7">
        <v>1006.3663956</v>
      </c>
      <c r="AB46" s="7">
        <v>981.20723563000001</v>
      </c>
      <c r="AC46" s="7">
        <v>956.67705461000003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1.03063488</v>
      </c>
      <c r="F47" s="7">
        <v>1</v>
      </c>
      <c r="G47" s="7">
        <v>1</v>
      </c>
      <c r="H47" s="7">
        <v>1.3495496899999999</v>
      </c>
      <c r="I47" s="7">
        <v>1.2896853500000001</v>
      </c>
      <c r="J47" s="7">
        <v>1</v>
      </c>
      <c r="K47" s="7">
        <v>1</v>
      </c>
      <c r="L47" s="7">
        <v>1</v>
      </c>
      <c r="M47" s="7">
        <v>1</v>
      </c>
      <c r="N47" s="7">
        <v>1.0000252599999999</v>
      </c>
      <c r="O47" s="7">
        <v>1.00000037</v>
      </c>
      <c r="P47" s="7">
        <v>0.99999996999999996</v>
      </c>
      <c r="Q47" s="7">
        <v>1.0000000200000001</v>
      </c>
      <c r="R47" s="7">
        <v>1.00001191</v>
      </c>
      <c r="S47" s="7">
        <v>1</v>
      </c>
      <c r="T47" s="7">
        <v>1</v>
      </c>
      <c r="U47" s="7">
        <v>1</v>
      </c>
      <c r="V47" s="7">
        <v>1.0000001999999999</v>
      </c>
      <c r="W47" s="7">
        <v>1</v>
      </c>
      <c r="X47" s="7">
        <v>1.0000206</v>
      </c>
      <c r="Y47" s="7">
        <v>1</v>
      </c>
      <c r="Z47" s="7">
        <v>1</v>
      </c>
      <c r="AA47" s="7">
        <v>0.99999998999999995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</v>
      </c>
      <c r="D48" s="7">
        <v>1.03063488</v>
      </c>
      <c r="E48" s="7">
        <v>1</v>
      </c>
      <c r="F48" s="7">
        <v>1</v>
      </c>
      <c r="G48" s="7">
        <v>1.44915667</v>
      </c>
      <c r="H48" s="7">
        <v>1.3495444700000001</v>
      </c>
      <c r="I48" s="7">
        <v>1</v>
      </c>
      <c r="J48" s="7">
        <v>1</v>
      </c>
      <c r="K48" s="7">
        <v>1</v>
      </c>
      <c r="L48" s="7">
        <v>1</v>
      </c>
      <c r="M48" s="7">
        <v>1.0000252599999999</v>
      </c>
      <c r="N48" s="7">
        <v>1.00000037</v>
      </c>
      <c r="O48" s="7">
        <v>0.99999996999999996</v>
      </c>
      <c r="P48" s="7">
        <v>1.0000000200000001</v>
      </c>
      <c r="Q48" s="7">
        <v>1.00001191</v>
      </c>
      <c r="R48" s="7">
        <v>1</v>
      </c>
      <c r="S48" s="7">
        <v>1</v>
      </c>
      <c r="T48" s="7">
        <v>1</v>
      </c>
      <c r="U48" s="7">
        <v>1.0000001999999999</v>
      </c>
      <c r="V48" s="7">
        <v>1</v>
      </c>
      <c r="W48" s="7">
        <v>1.0000206</v>
      </c>
      <c r="X48" s="7">
        <v>1</v>
      </c>
      <c r="Y48" s="7">
        <v>1</v>
      </c>
      <c r="Z48" s="7">
        <v>0.99999998999999995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1.3601789099999999</v>
      </c>
      <c r="E49" s="7">
        <v>1.38172286</v>
      </c>
      <c r="F49" s="7">
        <v>1.4155966900000001</v>
      </c>
      <c r="G49" s="7">
        <v>1.45272354</v>
      </c>
      <c r="H49" s="7">
        <v>1.34955969</v>
      </c>
      <c r="I49" s="7">
        <v>1.2896953499999999</v>
      </c>
      <c r="J49" s="7">
        <v>1.30816585</v>
      </c>
      <c r="K49" s="7">
        <v>1.32127091</v>
      </c>
      <c r="L49" s="7">
        <v>1.3362852700000001</v>
      </c>
      <c r="M49" s="7">
        <v>1.3521828300000001</v>
      </c>
      <c r="N49" s="7">
        <v>1.368447</v>
      </c>
      <c r="O49" s="7">
        <v>1.3854004099999999</v>
      </c>
      <c r="P49" s="7">
        <v>1.40366813</v>
      </c>
      <c r="Q49" s="7">
        <v>1.4227802700000001</v>
      </c>
      <c r="R49" s="7">
        <v>1.4428259299999999</v>
      </c>
      <c r="S49" s="7">
        <v>1.4638598300000001</v>
      </c>
      <c r="T49" s="7">
        <v>1.4859207299999999</v>
      </c>
      <c r="U49" s="7">
        <v>1.5090629600000001</v>
      </c>
      <c r="V49" s="7">
        <v>1.5333765800000001</v>
      </c>
      <c r="W49" s="7">
        <v>1.55881816</v>
      </c>
      <c r="X49" s="7">
        <v>1.58557178</v>
      </c>
      <c r="Y49" s="7">
        <v>1.61362293</v>
      </c>
      <c r="Z49" s="7">
        <v>1.6430596399999999</v>
      </c>
      <c r="AA49" s="7">
        <v>1.67392663</v>
      </c>
      <c r="AB49" s="7">
        <v>1.7062948</v>
      </c>
      <c r="AC49" s="7">
        <v>1.74023438</v>
      </c>
    </row>
    <row r="50" spans="1:29" x14ac:dyDescent="0.85">
      <c r="A50" t="s">
        <v>148</v>
      </c>
      <c r="B50" s="7">
        <v>59204</v>
      </c>
      <c r="C50" s="7">
        <v>65087.045794160003</v>
      </c>
      <c r="D50" s="7">
        <v>71316.358716629999</v>
      </c>
      <c r="E50" s="7">
        <v>77934.805689410001</v>
      </c>
      <c r="F50" s="7">
        <v>84950.25473026</v>
      </c>
      <c r="G50" s="7">
        <v>92397.750760759998</v>
      </c>
      <c r="H50" s="7">
        <v>100391.35140364</v>
      </c>
      <c r="I50" s="7">
        <v>107232.16453066999</v>
      </c>
      <c r="J50" s="7">
        <v>109208.33135906</v>
      </c>
      <c r="K50" s="7">
        <v>112234.61454345001</v>
      </c>
      <c r="L50" s="7">
        <v>115403.78035053</v>
      </c>
      <c r="M50" s="7">
        <v>118301.53351353999</v>
      </c>
      <c r="N50" s="7">
        <v>121155.61821073</v>
      </c>
      <c r="O50" s="7">
        <v>124395.84333428</v>
      </c>
      <c r="P50" s="7">
        <v>127638.22169716</v>
      </c>
      <c r="Q50" s="7">
        <v>130922.12291562</v>
      </c>
      <c r="R50" s="7">
        <v>134249.43161950001</v>
      </c>
      <c r="S50" s="7">
        <v>137619.41822105</v>
      </c>
      <c r="T50" s="7">
        <v>141036.92854751</v>
      </c>
      <c r="U50" s="7">
        <v>144526.84489410999</v>
      </c>
      <c r="V50" s="7">
        <v>148030.4929597</v>
      </c>
      <c r="W50" s="7">
        <v>151633.02075028</v>
      </c>
      <c r="X50" s="7">
        <v>155277.65134451</v>
      </c>
      <c r="Y50" s="7">
        <v>158986.99178278001</v>
      </c>
      <c r="Z50" s="7">
        <v>162750.72158893</v>
      </c>
      <c r="AA50" s="7">
        <v>166572.03255144999</v>
      </c>
      <c r="AB50" s="7">
        <v>170451.96134278001</v>
      </c>
      <c r="AC50" s="7">
        <v>174392.97042036999</v>
      </c>
    </row>
    <row r="51" spans="1:29" x14ac:dyDescent="0.85">
      <c r="A51" t="s">
        <v>149</v>
      </c>
      <c r="B51" s="7">
        <v>219925860.29367399</v>
      </c>
      <c r="C51" s="7">
        <v>252818133.024966</v>
      </c>
      <c r="D51" s="7">
        <v>286215395.64197201</v>
      </c>
      <c r="E51" s="7">
        <v>318495641.50906098</v>
      </c>
      <c r="F51" s="7">
        <v>345203594.62322003</v>
      </c>
      <c r="G51" s="7">
        <v>364110873.41846001</v>
      </c>
      <c r="H51" s="7">
        <v>380288003.12276298</v>
      </c>
      <c r="I51" s="7">
        <v>398332299.38516301</v>
      </c>
      <c r="J51" s="7">
        <v>402303584.522277</v>
      </c>
      <c r="K51" s="7">
        <v>405676186.846012</v>
      </c>
      <c r="L51" s="7">
        <v>409065813.25899702</v>
      </c>
      <c r="M51" s="7">
        <v>412503805.23211497</v>
      </c>
      <c r="N51" s="7">
        <v>416038030.62658602</v>
      </c>
      <c r="O51" s="7">
        <v>419687076.04446399</v>
      </c>
      <c r="P51" s="7">
        <v>423433331.61189002</v>
      </c>
      <c r="Q51" s="7">
        <v>427288811.63741797</v>
      </c>
      <c r="R51" s="7">
        <v>431271888.290299</v>
      </c>
      <c r="S51" s="7">
        <v>435398843.29411203</v>
      </c>
      <c r="T51" s="7">
        <v>439690885.86215198</v>
      </c>
      <c r="U51" s="7">
        <v>444154915.38265902</v>
      </c>
      <c r="V51" s="7">
        <v>448791442.01389402</v>
      </c>
      <c r="W51" s="7">
        <v>453613192.50443202</v>
      </c>
      <c r="X51" s="7">
        <v>458622614.64659101</v>
      </c>
      <c r="Y51" s="7">
        <v>463821125.85504502</v>
      </c>
      <c r="Z51" s="7">
        <v>469206400.74501699</v>
      </c>
      <c r="AA51" s="7">
        <v>474789502.24938101</v>
      </c>
      <c r="AB51" s="7">
        <v>480573798.88376498</v>
      </c>
      <c r="AC51" s="7">
        <v>486557591.38889003</v>
      </c>
    </row>
    <row r="52" spans="1:29" x14ac:dyDescent="0.85">
      <c r="A52" t="s">
        <v>150</v>
      </c>
      <c r="B52" s="7">
        <v>219925860.29367399</v>
      </c>
      <c r="C52" s="7">
        <v>252818133.024966</v>
      </c>
      <c r="D52" s="7">
        <v>286215395.64197201</v>
      </c>
      <c r="E52" s="7">
        <v>318495641.50906098</v>
      </c>
      <c r="F52" s="7">
        <v>345203594.62322003</v>
      </c>
      <c r="G52" s="7">
        <v>364110873.41846001</v>
      </c>
      <c r="H52" s="7">
        <v>380288003.12276298</v>
      </c>
      <c r="I52" s="7">
        <v>398332299.38516301</v>
      </c>
      <c r="J52" s="7">
        <v>402303584.522277</v>
      </c>
      <c r="K52" s="7">
        <v>405676186.846012</v>
      </c>
      <c r="L52" s="7">
        <v>409065813.25899702</v>
      </c>
      <c r="M52" s="7">
        <v>412503805.23211497</v>
      </c>
      <c r="N52" s="7">
        <v>416038030.62658602</v>
      </c>
      <c r="O52" s="7">
        <v>419687076.04446399</v>
      </c>
      <c r="P52" s="7">
        <v>423433331.61189002</v>
      </c>
      <c r="Q52" s="7">
        <v>427288811.63741797</v>
      </c>
      <c r="R52" s="7">
        <v>431271888.290299</v>
      </c>
      <c r="S52" s="7">
        <v>435398843.29411203</v>
      </c>
      <c r="T52" s="7">
        <v>439690885.86215198</v>
      </c>
      <c r="U52" s="7">
        <v>444154915.38265902</v>
      </c>
      <c r="V52" s="7">
        <v>448791442.01389402</v>
      </c>
      <c r="W52" s="7">
        <v>453613192.50443202</v>
      </c>
      <c r="X52" s="7">
        <v>458622614.64659101</v>
      </c>
      <c r="Y52" s="7">
        <v>463821125.85504502</v>
      </c>
      <c r="Z52" s="7">
        <v>469206400.74501699</v>
      </c>
      <c r="AA52" s="7">
        <v>474789502.24938101</v>
      </c>
      <c r="AB52" s="7">
        <v>480573798.88376498</v>
      </c>
      <c r="AC52" s="7">
        <v>486557591.38889003</v>
      </c>
    </row>
    <row r="53" spans="1:29" x14ac:dyDescent="0.85">
      <c r="A53" t="s">
        <v>151</v>
      </c>
      <c r="B53" s="7">
        <v>16593.517638199999</v>
      </c>
      <c r="C53" s="7">
        <v>18511.73798161</v>
      </c>
      <c r="D53" s="7">
        <v>20507.945475100001</v>
      </c>
      <c r="E53" s="7">
        <v>22550.692353040002</v>
      </c>
      <c r="F53" s="7">
        <v>24532.761955900001</v>
      </c>
      <c r="G53" s="7">
        <v>26406.427621430001</v>
      </c>
      <c r="H53" s="7">
        <v>28317.039821729999</v>
      </c>
      <c r="I53" s="7">
        <v>30054.598596420001</v>
      </c>
      <c r="J53" s="7">
        <v>30526.254228530001</v>
      </c>
      <c r="K53" s="7">
        <v>31182.443938830002</v>
      </c>
      <c r="L53" s="7">
        <v>31866.145008070001</v>
      </c>
      <c r="M53" s="7">
        <v>32499.556052880002</v>
      </c>
      <c r="N53" s="7">
        <v>33127.033993750003</v>
      </c>
      <c r="O53" s="7">
        <v>33830.540431560003</v>
      </c>
      <c r="P53" s="7">
        <v>34536.82713297</v>
      </c>
      <c r="Q53" s="7">
        <v>35253.653221380002</v>
      </c>
      <c r="R53" s="7">
        <v>35981.824375119999</v>
      </c>
      <c r="S53" s="7">
        <v>36721.599510690001</v>
      </c>
      <c r="T53" s="7">
        <v>37474.415085770001</v>
      </c>
      <c r="U53" s="7">
        <v>38245.158073489998</v>
      </c>
      <c r="V53" s="7">
        <v>39022.714046089997</v>
      </c>
      <c r="W53" s="7">
        <v>39823.540831630002</v>
      </c>
      <c r="X53" s="7">
        <v>40636.931095879998</v>
      </c>
      <c r="Y53" s="7">
        <v>41467.206577110002</v>
      </c>
      <c r="Z53" s="7">
        <v>42312.353381729998</v>
      </c>
      <c r="AA53" s="7">
        <v>43173.24672961</v>
      </c>
      <c r="AB53" s="7">
        <v>44050.165404990003</v>
      </c>
      <c r="AC53" s="7">
        <v>44943.534921389997</v>
      </c>
    </row>
    <row r="54" spans="1:29" x14ac:dyDescent="0.85">
      <c r="A54" t="s">
        <v>152</v>
      </c>
      <c r="B54" s="7">
        <v>0</v>
      </c>
      <c r="C54" s="7">
        <v>24776.177036450001</v>
      </c>
      <c r="D54" s="7">
        <v>28049.10877291</v>
      </c>
      <c r="E54" s="7">
        <v>31212.572867890001</v>
      </c>
      <c r="F54" s="7">
        <v>33829.952273080002</v>
      </c>
      <c r="G54" s="7">
        <v>35682.86559501</v>
      </c>
      <c r="H54" s="7">
        <v>37268.224306030002</v>
      </c>
      <c r="I54" s="7">
        <v>39036.565339749999</v>
      </c>
      <c r="J54" s="7">
        <v>39425.751283179998</v>
      </c>
      <c r="K54" s="7">
        <v>39756.266310910003</v>
      </c>
      <c r="L54" s="7">
        <v>40088.449699379998</v>
      </c>
      <c r="M54" s="7">
        <v>40425.372912749997</v>
      </c>
      <c r="N54" s="7">
        <v>40771.72700141</v>
      </c>
      <c r="O54" s="7">
        <v>41129.333452359999</v>
      </c>
      <c r="P54" s="7">
        <v>41496.466497970003</v>
      </c>
      <c r="Q54" s="7">
        <v>41874.303540469999</v>
      </c>
      <c r="R54" s="7">
        <v>42264.645052450003</v>
      </c>
      <c r="S54" s="7">
        <v>42669.086642820002</v>
      </c>
      <c r="T54" s="7">
        <v>43089.706814489997</v>
      </c>
      <c r="U54" s="7">
        <v>43527.1817075</v>
      </c>
      <c r="V54" s="7">
        <v>43981.56131736</v>
      </c>
      <c r="W54" s="7">
        <v>44454.092865430001</v>
      </c>
      <c r="X54" s="7">
        <v>44945.01623537</v>
      </c>
      <c r="Y54" s="7">
        <v>45454.470333789999</v>
      </c>
      <c r="Z54" s="7">
        <v>45982.227273010001</v>
      </c>
      <c r="AA54" s="7">
        <v>46529.37122044</v>
      </c>
      <c r="AB54" s="7">
        <v>47096.232290610002</v>
      </c>
      <c r="AC54" s="7">
        <v>47682.643956109998</v>
      </c>
    </row>
    <row r="55" spans="1:29" x14ac:dyDescent="0.85">
      <c r="A55" t="s">
        <v>153</v>
      </c>
      <c r="B55" s="7">
        <v>107.76367154</v>
      </c>
      <c r="C55" s="7">
        <v>123.88088518000001</v>
      </c>
      <c r="D55" s="7">
        <v>140.24554386</v>
      </c>
      <c r="E55" s="7">
        <v>156.06286434</v>
      </c>
      <c r="F55" s="7">
        <v>169.14976136999999</v>
      </c>
      <c r="G55" s="7">
        <v>178.41432798</v>
      </c>
      <c r="H55" s="7">
        <v>186.34112153000001</v>
      </c>
      <c r="I55" s="7">
        <v>195.18282669999999</v>
      </c>
      <c r="J55" s="7">
        <v>197.12875642</v>
      </c>
      <c r="K55" s="7">
        <v>198.78133155</v>
      </c>
      <c r="L55" s="7">
        <v>200.44224850000001</v>
      </c>
      <c r="M55" s="7">
        <v>202.12686456</v>
      </c>
      <c r="N55" s="7">
        <v>203.85863501</v>
      </c>
      <c r="O55" s="7">
        <v>205.64666725999999</v>
      </c>
      <c r="P55" s="7">
        <v>207.48233249</v>
      </c>
      <c r="Q55" s="7">
        <v>209.3715177</v>
      </c>
      <c r="R55" s="7">
        <v>211.32322525999999</v>
      </c>
      <c r="S55" s="7">
        <v>213.34543321000001</v>
      </c>
      <c r="T55" s="7">
        <v>215.44853406999999</v>
      </c>
      <c r="U55" s="7">
        <v>217.63590854</v>
      </c>
      <c r="V55" s="7">
        <v>219.90780659000001</v>
      </c>
      <c r="W55" s="7">
        <v>222.27046433000001</v>
      </c>
      <c r="X55" s="7">
        <v>224.72508117999999</v>
      </c>
      <c r="Y55" s="7">
        <v>227.27235167000001</v>
      </c>
      <c r="Z55" s="7">
        <v>229.91113637000001</v>
      </c>
      <c r="AA55" s="7">
        <v>232.64685610000001</v>
      </c>
      <c r="AB55" s="7">
        <v>235.48116145</v>
      </c>
      <c r="AC55" s="7">
        <v>238.41321977999999</v>
      </c>
    </row>
    <row r="56" spans="1:29" x14ac:dyDescent="0.85">
      <c r="A56" t="s">
        <v>154</v>
      </c>
      <c r="B56" s="7">
        <v>11227.32664703</v>
      </c>
      <c r="C56" s="7">
        <v>12342.9755358</v>
      </c>
      <c r="D56" s="7">
        <v>13524.289821439999</v>
      </c>
      <c r="E56" s="7">
        <v>14779.398700219999</v>
      </c>
      <c r="F56" s="7">
        <v>16109.794247100001</v>
      </c>
      <c r="G56" s="7">
        <v>17522.12231001</v>
      </c>
      <c r="H56" s="7">
        <v>19038.01254553</v>
      </c>
      <c r="I56" s="7">
        <v>20335.290491420001</v>
      </c>
      <c r="J56" s="7">
        <v>20710.04676619</v>
      </c>
      <c r="K56" s="7">
        <v>21283.944979780001</v>
      </c>
      <c r="L56" s="7">
        <v>21884.93916455</v>
      </c>
      <c r="M56" s="7">
        <v>22434.463205209999</v>
      </c>
      <c r="N56" s="7">
        <v>22975.706046470001</v>
      </c>
      <c r="O56" s="7">
        <v>23590.175776079999</v>
      </c>
      <c r="P56" s="7">
        <v>24205.053841640001</v>
      </c>
      <c r="Q56" s="7">
        <v>24827.806217429999</v>
      </c>
      <c r="R56" s="7">
        <v>25458.790300830002</v>
      </c>
      <c r="S56" s="7">
        <v>26097.867734309999</v>
      </c>
      <c r="T56" s="7">
        <v>26745.957470730002</v>
      </c>
      <c r="U56" s="7">
        <v>27407.778138149999</v>
      </c>
      <c r="V56" s="7">
        <v>28072.202860950001</v>
      </c>
      <c r="W56" s="7">
        <v>28755.378934519998</v>
      </c>
      <c r="X56" s="7">
        <v>29446.539298510001</v>
      </c>
      <c r="Y56" s="7">
        <v>30149.971106249999</v>
      </c>
      <c r="Z56" s="7">
        <v>30863.717203550001</v>
      </c>
      <c r="AA56" s="7">
        <v>31588.382874719999</v>
      </c>
      <c r="AB56" s="7">
        <v>32324.164712229998</v>
      </c>
      <c r="AC56" s="7">
        <v>33071.5296915</v>
      </c>
    </row>
    <row r="57" spans="1:29" x14ac:dyDescent="0.85">
      <c r="A57" t="s">
        <v>155</v>
      </c>
      <c r="B57" s="7">
        <v>5366.1909911700004</v>
      </c>
      <c r="C57" s="7">
        <v>6168.7624458099999</v>
      </c>
      <c r="D57" s="7">
        <v>6983.6556536600001</v>
      </c>
      <c r="E57" s="7">
        <v>7771.2936528199998</v>
      </c>
      <c r="F57" s="7">
        <v>8422.9677088099997</v>
      </c>
      <c r="G57" s="7">
        <v>8884.3053114100003</v>
      </c>
      <c r="H57" s="7">
        <v>9279.0272762000004</v>
      </c>
      <c r="I57" s="7">
        <v>9719.3081050000001</v>
      </c>
      <c r="J57" s="7">
        <v>9816.2074623400003</v>
      </c>
      <c r="K57" s="7">
        <v>9898.49895904</v>
      </c>
      <c r="L57" s="7">
        <v>9981.2058435199997</v>
      </c>
      <c r="M57" s="7">
        <v>10065.09284766</v>
      </c>
      <c r="N57" s="7">
        <v>10151.327947289999</v>
      </c>
      <c r="O57" s="7">
        <v>10240.36465548</v>
      </c>
      <c r="P57" s="7">
        <v>10331.773291330001</v>
      </c>
      <c r="Q57" s="7">
        <v>10425.847003950001</v>
      </c>
      <c r="R57" s="7">
        <v>10523.03407428</v>
      </c>
      <c r="S57" s="7">
        <v>10623.73177638</v>
      </c>
      <c r="T57" s="7">
        <v>10728.457615040001</v>
      </c>
      <c r="U57" s="7">
        <v>10837.379935340001</v>
      </c>
      <c r="V57" s="7">
        <v>10950.51118514</v>
      </c>
      <c r="W57" s="7">
        <v>11068.16189711</v>
      </c>
      <c r="X57" s="7">
        <v>11190.39179738</v>
      </c>
      <c r="Y57" s="7">
        <v>11317.23547086</v>
      </c>
      <c r="Z57" s="7">
        <v>11448.636178180001</v>
      </c>
      <c r="AA57" s="7">
        <v>11584.863854880001</v>
      </c>
      <c r="AB57" s="7">
        <v>11726.000692760001</v>
      </c>
      <c r="AC57" s="7">
        <v>11872.005229889999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1.1413518899999999</v>
      </c>
      <c r="E58" s="7">
        <v>1.13833932</v>
      </c>
      <c r="F58" s="7">
        <v>1.1354694700000001</v>
      </c>
      <c r="G58" s="7">
        <v>1.13297845</v>
      </c>
      <c r="H58" s="7">
        <v>1.13177431</v>
      </c>
      <c r="I58" s="7">
        <v>1.13077402</v>
      </c>
      <c r="J58" s="7">
        <v>1.11264735</v>
      </c>
      <c r="K58" s="7">
        <v>1.0608633999999999</v>
      </c>
      <c r="L58" s="7">
        <v>1.0705324000000001</v>
      </c>
      <c r="M58" s="7">
        <v>1.07108018</v>
      </c>
      <c r="N58" s="7">
        <v>1.06782259</v>
      </c>
      <c r="O58" s="7">
        <v>1.0667974099999999</v>
      </c>
      <c r="P58" s="7">
        <v>1.06952534</v>
      </c>
      <c r="Q58" s="7">
        <v>1.06881771</v>
      </c>
      <c r="R58" s="7">
        <v>1.06846687</v>
      </c>
      <c r="S58" s="7">
        <v>1.06814001</v>
      </c>
      <c r="T58" s="7">
        <v>1.06781503</v>
      </c>
      <c r="U58" s="7">
        <v>1.06753443</v>
      </c>
      <c r="V58" s="7">
        <v>1.0674423900000001</v>
      </c>
      <c r="W58" s="7">
        <v>1.06691895</v>
      </c>
      <c r="X58" s="7">
        <v>1.0670170699999999</v>
      </c>
      <c r="Y58" s="7">
        <v>1.06670402</v>
      </c>
      <c r="Z58" s="7">
        <v>1.06655046</v>
      </c>
      <c r="AA58" s="7">
        <v>1.06632624</v>
      </c>
      <c r="AB58" s="7">
        <v>1.0661245100000001</v>
      </c>
      <c r="AC58" s="7">
        <v>1.06593</v>
      </c>
    </row>
    <row r="59" spans="1:29" x14ac:dyDescent="0.85">
      <c r="A59" t="s">
        <v>157</v>
      </c>
      <c r="B59" s="7">
        <v>1</v>
      </c>
      <c r="C59" s="7">
        <v>1.1451761</v>
      </c>
      <c r="D59" s="7">
        <v>1.14136189</v>
      </c>
      <c r="E59" s="7">
        <v>1.1383375499999999</v>
      </c>
      <c r="F59" s="7">
        <v>1.13543426</v>
      </c>
      <c r="G59" s="7">
        <v>1.13298845</v>
      </c>
      <c r="H59" s="7">
        <v>1.13178431</v>
      </c>
      <c r="I59" s="7">
        <v>1.11264735</v>
      </c>
      <c r="J59" s="7">
        <v>1.0608633999999999</v>
      </c>
      <c r="K59" s="7">
        <v>1.0705324000000001</v>
      </c>
      <c r="L59" s="7">
        <v>1.07108018</v>
      </c>
      <c r="M59" s="7">
        <v>1.06782259</v>
      </c>
      <c r="N59" s="7">
        <v>1.0667974099999999</v>
      </c>
      <c r="O59" s="7">
        <v>1.06952534</v>
      </c>
      <c r="P59" s="7">
        <v>1.06881771</v>
      </c>
      <c r="Q59" s="7">
        <v>1.06846687</v>
      </c>
      <c r="R59" s="7">
        <v>1.06814001</v>
      </c>
      <c r="S59" s="7">
        <v>1.06781503</v>
      </c>
      <c r="T59" s="7">
        <v>1.06753443</v>
      </c>
      <c r="U59" s="7">
        <v>1.0674423900000001</v>
      </c>
      <c r="V59" s="7">
        <v>1.06691895</v>
      </c>
      <c r="W59" s="7">
        <v>1.0670170699999999</v>
      </c>
      <c r="X59" s="7">
        <v>1.06670402</v>
      </c>
      <c r="Y59" s="7">
        <v>1.06655046</v>
      </c>
      <c r="Z59" s="7">
        <v>1.06632624</v>
      </c>
      <c r="AA59" s="7">
        <v>1.0661245100000001</v>
      </c>
      <c r="AB59" s="7">
        <v>1.06593</v>
      </c>
      <c r="AC59" s="7">
        <v>1.06575098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1.14136189</v>
      </c>
      <c r="E60" s="7">
        <v>1.1383493200000001</v>
      </c>
      <c r="F60" s="7">
        <v>1.1354794699999999</v>
      </c>
      <c r="G60" s="7">
        <v>1.13298845</v>
      </c>
      <c r="H60" s="7">
        <v>1.13178431</v>
      </c>
      <c r="I60" s="7">
        <v>1.1307840199999999</v>
      </c>
      <c r="J60" s="7">
        <v>1.1280493199999999</v>
      </c>
      <c r="K60" s="7">
        <v>1.1281460400000001</v>
      </c>
      <c r="L60" s="7">
        <v>1.1277124700000001</v>
      </c>
      <c r="M60" s="7">
        <v>1.1272693300000001</v>
      </c>
      <c r="N60" s="7">
        <v>1.1270237999999999</v>
      </c>
      <c r="O60" s="7">
        <v>1.1268474799999999</v>
      </c>
      <c r="P60" s="7">
        <v>1.12653523</v>
      </c>
      <c r="Q60" s="7">
        <v>1.1262760700000001</v>
      </c>
      <c r="R60" s="7">
        <v>1.1260489600000001</v>
      </c>
      <c r="S60" s="7">
        <v>1.12585121</v>
      </c>
      <c r="T60" s="7">
        <v>1.1256816000000001</v>
      </c>
      <c r="U60" s="7">
        <v>1.1255367199999999</v>
      </c>
      <c r="V60" s="7">
        <v>1.12540565</v>
      </c>
      <c r="W60" s="7">
        <v>1.12531059</v>
      </c>
      <c r="X60" s="7">
        <v>1.1252176300000001</v>
      </c>
      <c r="Y60" s="7">
        <v>1.12514797</v>
      </c>
      <c r="Z60" s="7">
        <v>1.1250925199999999</v>
      </c>
      <c r="AA60" s="7">
        <v>1.1250544600000001</v>
      </c>
      <c r="AB60" s="7">
        <v>1.125032</v>
      </c>
      <c r="AC60" s="7">
        <v>1.12502422</v>
      </c>
    </row>
    <row r="61" spans="1:29" x14ac:dyDescent="0.85">
      <c r="A61" t="s">
        <v>159</v>
      </c>
      <c r="B61" s="7">
        <v>50842</v>
      </c>
      <c r="C61" s="7">
        <v>49570.95</v>
      </c>
      <c r="D61" s="7">
        <v>48331.676249999997</v>
      </c>
      <c r="E61" s="7">
        <v>47123.384343750004</v>
      </c>
      <c r="F61" s="7">
        <v>45945.299735159999</v>
      </c>
      <c r="G61" s="7">
        <v>44796.66724178</v>
      </c>
      <c r="H61" s="7">
        <v>43676.750560729997</v>
      </c>
      <c r="I61" s="7">
        <v>42584.831796710001</v>
      </c>
      <c r="J61" s="7">
        <v>41520.211001800002</v>
      </c>
      <c r="K61" s="7">
        <v>40482.205726749999</v>
      </c>
      <c r="L61" s="7">
        <v>39470.150583579998</v>
      </c>
      <c r="M61" s="7">
        <v>38483.396818989997</v>
      </c>
      <c r="N61" s="7">
        <v>37521.311898519998</v>
      </c>
      <c r="O61" s="7">
        <v>36583.279101059998</v>
      </c>
      <c r="P61" s="7">
        <v>35668.697123530001</v>
      </c>
      <c r="Q61" s="7">
        <v>34776.979695440001</v>
      </c>
      <c r="R61" s="7">
        <v>33907.555203049997</v>
      </c>
      <c r="S61" s="7">
        <v>33059.86632298</v>
      </c>
      <c r="T61" s="7">
        <v>32233.369664900001</v>
      </c>
      <c r="U61" s="7">
        <v>31427.535423279998</v>
      </c>
      <c r="V61" s="7">
        <v>30641.847037700001</v>
      </c>
      <c r="W61" s="7">
        <v>29875.800861759999</v>
      </c>
      <c r="X61" s="7">
        <v>29128.905840210002</v>
      </c>
      <c r="Y61" s="7">
        <v>28400.68319421</v>
      </c>
      <c r="Z61" s="7">
        <v>27690.666114349999</v>
      </c>
      <c r="AA61" s="7">
        <v>26998.39946149</v>
      </c>
      <c r="AB61" s="7">
        <v>26323.43947496</v>
      </c>
      <c r="AC61" s="7">
        <v>25665.35348808</v>
      </c>
    </row>
    <row r="62" spans="1:29" x14ac:dyDescent="0.85">
      <c r="A62" t="s">
        <v>160</v>
      </c>
      <c r="B62" s="7">
        <v>247868584.64385</v>
      </c>
      <c r="C62" s="7">
        <v>216866017.13942599</v>
      </c>
      <c r="D62" s="7">
        <v>182094579.317395</v>
      </c>
      <c r="E62" s="7">
        <v>150569402.95193699</v>
      </c>
      <c r="F62" s="7">
        <v>123952383.371575</v>
      </c>
      <c r="G62" s="7">
        <v>70248723.835276097</v>
      </c>
      <c r="H62" s="7">
        <v>15671723.9743334</v>
      </c>
      <c r="I62" s="7">
        <v>841488.88586133998</v>
      </c>
      <c r="J62" s="7">
        <v>48633.796441339997</v>
      </c>
      <c r="K62" s="7">
        <v>2981.4109051199998</v>
      </c>
      <c r="L62" s="7">
        <v>0.19094950999999999</v>
      </c>
      <c r="M62" s="7">
        <v>1.341E-5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247868584.64385</v>
      </c>
      <c r="C63" s="7">
        <v>216866017.13942599</v>
      </c>
      <c r="D63" s="7">
        <v>182094579.317395</v>
      </c>
      <c r="E63" s="7">
        <v>150569402.95193699</v>
      </c>
      <c r="F63" s="7">
        <v>123952383.371575</v>
      </c>
      <c r="G63" s="7">
        <v>70248723.835276097</v>
      </c>
      <c r="H63" s="7">
        <v>15671723.9743334</v>
      </c>
      <c r="I63" s="7">
        <v>841488.88586133998</v>
      </c>
      <c r="J63" s="7">
        <v>48633.796441339997</v>
      </c>
      <c r="K63" s="7">
        <v>2981.4109051199998</v>
      </c>
      <c r="L63" s="7">
        <v>0.19094950999999999</v>
      </c>
      <c r="M63" s="7">
        <v>1.341E-5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36202.465000509997</v>
      </c>
      <c r="C64" s="7">
        <v>34719.923120259999</v>
      </c>
      <c r="D64" s="7">
        <v>33168.661991729998</v>
      </c>
      <c r="E64" s="7">
        <v>31711.518381310001</v>
      </c>
      <c r="F64" s="7">
        <v>30386.71759846</v>
      </c>
      <c r="G64" s="7">
        <v>28448.968751619999</v>
      </c>
      <c r="H64" s="7">
        <v>26508.07673334</v>
      </c>
      <c r="I64" s="7">
        <v>25509.247885500001</v>
      </c>
      <c r="J64" s="7">
        <v>24853.548768410001</v>
      </c>
      <c r="K64" s="7">
        <v>24231.175566530001</v>
      </c>
      <c r="L64" s="7">
        <v>23625.328509750001</v>
      </c>
      <c r="M64" s="7">
        <v>23034.69529267</v>
      </c>
      <c r="N64" s="7">
        <v>22458.82791036</v>
      </c>
      <c r="O64" s="7">
        <v>21897.3572126</v>
      </c>
      <c r="P64" s="7">
        <v>21349.92328228</v>
      </c>
      <c r="Q64" s="7">
        <v>20816.175200230002</v>
      </c>
      <c r="R64" s="7">
        <v>20295.770820220001</v>
      </c>
      <c r="S64" s="7">
        <v>19788.376549709999</v>
      </c>
      <c r="T64" s="7">
        <v>19293.667135970001</v>
      </c>
      <c r="U64" s="7">
        <v>18811.325457570001</v>
      </c>
      <c r="V64" s="7">
        <v>18341.04232113</v>
      </c>
      <c r="W64" s="7">
        <v>17882.516263109999</v>
      </c>
      <c r="X64" s="7">
        <v>17435.453356530001</v>
      </c>
      <c r="Y64" s="7">
        <v>16999.567022610001</v>
      </c>
      <c r="Z64" s="7">
        <v>16574.577847050001</v>
      </c>
      <c r="AA64" s="7">
        <v>16160.21340087</v>
      </c>
      <c r="AB64" s="7">
        <v>15756.20806585</v>
      </c>
      <c r="AC64" s="7">
        <v>15362.302864200001</v>
      </c>
    </row>
    <row r="65" spans="1:29" x14ac:dyDescent="0.85">
      <c r="A65" t="s">
        <v>163</v>
      </c>
      <c r="B65" s="7">
        <v>0</v>
      </c>
      <c r="C65" s="7">
        <v>35566.026810869997</v>
      </c>
      <c r="D65" s="7">
        <v>29863.511008050002</v>
      </c>
      <c r="E65" s="7">
        <v>24693.382084119999</v>
      </c>
      <c r="F65" s="7">
        <v>20328.190872939998</v>
      </c>
      <c r="G65" s="7">
        <v>11520.79070899</v>
      </c>
      <c r="H65" s="7">
        <v>2570.1627317900002</v>
      </c>
      <c r="I65" s="7">
        <v>138.00417727999999</v>
      </c>
      <c r="J65" s="7">
        <v>7.9759426199999996</v>
      </c>
      <c r="K65" s="7">
        <v>0.48895138999999999</v>
      </c>
      <c r="L65" s="7">
        <v>3.1319999999999998E-5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177.83013405</v>
      </c>
      <c r="D66" s="7">
        <v>149.31755504</v>
      </c>
      <c r="E66" s="7">
        <v>123.46691042</v>
      </c>
      <c r="F66" s="7">
        <v>101.64095435999999</v>
      </c>
      <c r="G66" s="7">
        <v>57.603953539999999</v>
      </c>
      <c r="H66" s="7">
        <v>12.85081366</v>
      </c>
      <c r="I66" s="7">
        <v>0.69002089</v>
      </c>
      <c r="J66" s="7">
        <v>3.9879709999999999E-2</v>
      </c>
      <c r="K66" s="7">
        <v>2.4447599999999998E-3</v>
      </c>
      <c r="L66" s="7">
        <v>1.6E-7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30432.084350000001</v>
      </c>
      <c r="C67" s="7">
        <v>29671.282241249999</v>
      </c>
      <c r="D67" s="7">
        <v>28929.50018522</v>
      </c>
      <c r="E67" s="7">
        <v>28206.26268059</v>
      </c>
      <c r="F67" s="7">
        <v>27501.10611357</v>
      </c>
      <c r="G67" s="7">
        <v>26813.578460730001</v>
      </c>
      <c r="H67" s="7">
        <v>26143.238999220001</v>
      </c>
      <c r="I67" s="7">
        <v>25489.658024240001</v>
      </c>
      <c r="J67" s="7">
        <v>24852.416573629998</v>
      </c>
      <c r="K67" s="7">
        <v>24231.106159290001</v>
      </c>
      <c r="L67" s="7">
        <v>23625.328505310001</v>
      </c>
      <c r="M67" s="7">
        <v>23034.69529267</v>
      </c>
      <c r="N67" s="7">
        <v>22458.82791036</v>
      </c>
      <c r="O67" s="7">
        <v>21897.3572126</v>
      </c>
      <c r="P67" s="7">
        <v>21349.92328228</v>
      </c>
      <c r="Q67" s="7">
        <v>20816.175200230002</v>
      </c>
      <c r="R67" s="7">
        <v>20295.770820220001</v>
      </c>
      <c r="S67" s="7">
        <v>19788.376549709999</v>
      </c>
      <c r="T67" s="7">
        <v>19293.667135970001</v>
      </c>
      <c r="U67" s="7">
        <v>18811.325457570001</v>
      </c>
      <c r="V67" s="7">
        <v>18341.04232113</v>
      </c>
      <c r="W67" s="7">
        <v>17882.516263109999</v>
      </c>
      <c r="X67" s="7">
        <v>17435.453356530001</v>
      </c>
      <c r="Y67" s="7">
        <v>16999.567022610001</v>
      </c>
      <c r="Z67" s="7">
        <v>16574.577847050001</v>
      </c>
      <c r="AA67" s="7">
        <v>16160.21340087</v>
      </c>
      <c r="AB67" s="7">
        <v>15756.20806585</v>
      </c>
      <c r="AC67" s="7">
        <v>15362.302864200001</v>
      </c>
    </row>
    <row r="68" spans="1:29" x14ac:dyDescent="0.85">
      <c r="A68" t="s">
        <v>166</v>
      </c>
      <c r="B68" s="7">
        <v>5770.3806505100001</v>
      </c>
      <c r="C68" s="7">
        <v>5048.6408790100004</v>
      </c>
      <c r="D68" s="7">
        <v>4239.1618065100001</v>
      </c>
      <c r="E68" s="7">
        <v>3505.2557007199998</v>
      </c>
      <c r="F68" s="7">
        <v>2885.6114848900002</v>
      </c>
      <c r="G68" s="7">
        <v>1635.39029089</v>
      </c>
      <c r="H68" s="7">
        <v>364.83773411999999</v>
      </c>
      <c r="I68" s="7">
        <v>19.589861259999999</v>
      </c>
      <c r="J68" s="7">
        <v>1.1321947800000001</v>
      </c>
      <c r="K68" s="7">
        <v>6.9407250000000004E-2</v>
      </c>
      <c r="L68" s="7">
        <v>4.4499999999999997E-6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0.89735730000000002</v>
      </c>
      <c r="E69" s="7">
        <v>0.86119380999999995</v>
      </c>
      <c r="F69" s="7">
        <v>0.84807663</v>
      </c>
      <c r="G69" s="7">
        <v>0.84433256000000001</v>
      </c>
      <c r="H69" s="7">
        <v>0.58127138</v>
      </c>
      <c r="I69" s="7">
        <v>0.22880932000000001</v>
      </c>
      <c r="J69" s="7">
        <v>5.5071509999999997E-2</v>
      </c>
      <c r="K69" s="7">
        <v>5.9276860000000001E-2</v>
      </c>
      <c r="L69" s="7">
        <v>6.2875150000000005E-2</v>
      </c>
      <c r="M69" s="7">
        <v>6.5690000000000003E-5</v>
      </c>
      <c r="N69" s="7">
        <v>7.2020000000000005E-5</v>
      </c>
      <c r="O69" s="7">
        <v>2.0290000000000001E-5</v>
      </c>
      <c r="P69" s="7">
        <v>2.073E-5</v>
      </c>
      <c r="Q69" s="7">
        <v>1.9279999999999998E-5</v>
      </c>
      <c r="R69" s="7">
        <v>8.9999999999999996E-7</v>
      </c>
      <c r="S69" s="7">
        <v>1E-8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</row>
    <row r="70" spans="1:29" x14ac:dyDescent="0.85">
      <c r="A70" t="s">
        <v>168</v>
      </c>
      <c r="B70" s="7">
        <v>1</v>
      </c>
      <c r="C70" s="7">
        <v>0.89735730000000002</v>
      </c>
      <c r="D70" s="7">
        <v>0.86119380999999995</v>
      </c>
      <c r="E70" s="7">
        <v>0.84807663</v>
      </c>
      <c r="F70" s="7">
        <v>0.84433256000000001</v>
      </c>
      <c r="G70" s="7">
        <v>0.58127138</v>
      </c>
      <c r="H70" s="7">
        <v>0.22880932000000001</v>
      </c>
      <c r="I70" s="7">
        <v>5.5071509999999997E-2</v>
      </c>
      <c r="J70" s="7">
        <v>5.9276860000000001E-2</v>
      </c>
      <c r="K70" s="7">
        <v>6.2875150000000005E-2</v>
      </c>
      <c r="L70" s="7">
        <v>6.5690000000000003E-5</v>
      </c>
      <c r="M70" s="7">
        <v>7.2020000000000005E-5</v>
      </c>
      <c r="N70" s="7">
        <v>2.0290000000000001E-5</v>
      </c>
      <c r="O70" s="7">
        <v>2.073E-5</v>
      </c>
      <c r="P70" s="7">
        <v>1.9279999999999998E-5</v>
      </c>
      <c r="Q70" s="7">
        <v>8.9999999999999996E-7</v>
      </c>
      <c r="R70" s="7">
        <v>1E-8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1.4023374399999999</v>
      </c>
      <c r="E71" s="7">
        <v>1.4390059900000001</v>
      </c>
      <c r="F71" s="7">
        <v>1.4782441399999999</v>
      </c>
      <c r="G71" s="7">
        <v>1.52125047</v>
      </c>
      <c r="H71" s="7">
        <v>1.57321468</v>
      </c>
      <c r="I71" s="7">
        <v>1.63097055</v>
      </c>
      <c r="J71" s="7">
        <v>1.6728138100000001</v>
      </c>
      <c r="K71" s="7">
        <v>1.7025021300000001</v>
      </c>
      <c r="L71" s="7">
        <v>1.7365158199999999</v>
      </c>
      <c r="M71" s="7">
        <v>1.7725303100000001</v>
      </c>
      <c r="N71" s="7">
        <v>1.80939527</v>
      </c>
      <c r="O71" s="7">
        <v>1.84780297</v>
      </c>
      <c r="P71" s="7">
        <v>1.8891878900000001</v>
      </c>
      <c r="Q71" s="7">
        <v>1.9324858600000001</v>
      </c>
      <c r="R71" s="7">
        <v>1.9779100700000001</v>
      </c>
      <c r="S71" s="7">
        <v>2.02556227</v>
      </c>
      <c r="T71" s="7">
        <v>2.07554112</v>
      </c>
      <c r="U71" s="7">
        <v>2.1279697500000001</v>
      </c>
      <c r="V71" s="7">
        <v>2.18305236</v>
      </c>
      <c r="W71" s="7">
        <v>2.2406901499999998</v>
      </c>
      <c r="X71" s="7">
        <v>2.3013267499999999</v>
      </c>
      <c r="Y71" s="7">
        <v>2.3648778199999998</v>
      </c>
      <c r="Z71" s="7">
        <v>2.4315679299999999</v>
      </c>
      <c r="AA71" s="7">
        <v>2.5014984</v>
      </c>
      <c r="AB71" s="7">
        <v>2.5748298699999999</v>
      </c>
      <c r="AC71" s="7">
        <v>2.6517214199999999</v>
      </c>
    </row>
    <row r="72" spans="1:29" x14ac:dyDescent="0.85">
      <c r="A72" t="s">
        <v>170</v>
      </c>
      <c r="B72" s="7">
        <v>0</v>
      </c>
      <c r="C72" s="7">
        <v>0</v>
      </c>
      <c r="D72" s="7">
        <v>49.889711720000001</v>
      </c>
      <c r="E72" s="7">
        <v>157.61832916</v>
      </c>
      <c r="F72" s="7">
        <v>230.66130136000001</v>
      </c>
      <c r="G72" s="7">
        <v>1023.6686931</v>
      </c>
      <c r="H72" s="7">
        <v>989.85440571000004</v>
      </c>
      <c r="I72" s="7">
        <v>890.86896514</v>
      </c>
      <c r="J72" s="7">
        <v>910.37151859999994</v>
      </c>
      <c r="K72" s="7">
        <v>929.17083457000001</v>
      </c>
      <c r="L72" s="7">
        <v>836.25458422999998</v>
      </c>
      <c r="M72" s="7">
        <v>752.62961159999998</v>
      </c>
      <c r="N72" s="7">
        <v>683.28269086</v>
      </c>
      <c r="O72" s="7">
        <v>615.24827037</v>
      </c>
      <c r="P72" s="7">
        <v>554.07409204999999</v>
      </c>
      <c r="Q72" s="7">
        <v>498.6666955</v>
      </c>
      <c r="R72" s="7">
        <v>448.99356080000001</v>
      </c>
      <c r="S72" s="7">
        <v>409.04431964000003</v>
      </c>
      <c r="T72" s="7">
        <v>371.85634669000001</v>
      </c>
      <c r="U72" s="7">
        <v>334.67071202</v>
      </c>
      <c r="V72" s="7">
        <v>346.04487108000001</v>
      </c>
      <c r="W72" s="7">
        <v>311.44278889999998</v>
      </c>
      <c r="X72" s="7">
        <v>290.26003308999998</v>
      </c>
      <c r="Y72" s="7">
        <v>261.23410745000001</v>
      </c>
      <c r="Z72" s="7">
        <v>235.22805274000001</v>
      </c>
      <c r="AA72" s="7">
        <v>211.71151467999999</v>
      </c>
      <c r="AB72" s="7">
        <v>190.54324682000001</v>
      </c>
      <c r="AC72" s="7">
        <v>171.48892336</v>
      </c>
    </row>
    <row r="73" spans="1:29" x14ac:dyDescent="0.85">
      <c r="A73" t="s">
        <v>171</v>
      </c>
      <c r="B73" s="7">
        <v>0</v>
      </c>
      <c r="C73" s="7">
        <v>0</v>
      </c>
      <c r="D73" s="7">
        <v>12.472427209999999</v>
      </c>
      <c r="E73" s="7">
        <v>28.179389910000001</v>
      </c>
      <c r="F73" s="7">
        <v>22.20120885</v>
      </c>
      <c r="G73" s="7">
        <v>204.01837853999999</v>
      </c>
      <c r="H73" s="7">
        <v>17.138147490000001</v>
      </c>
      <c r="I73" s="7">
        <v>0</v>
      </c>
      <c r="J73" s="7">
        <v>27.147361780000001</v>
      </c>
      <c r="K73" s="7">
        <v>27.459117979999998</v>
      </c>
      <c r="L73" s="7">
        <v>0</v>
      </c>
      <c r="M73" s="7">
        <v>53.663515400000001</v>
      </c>
      <c r="N73" s="7">
        <v>189.6321987</v>
      </c>
      <c r="O73" s="7">
        <v>153.80628974999999</v>
      </c>
      <c r="P73" s="7">
        <v>138.50174944</v>
      </c>
      <c r="Q73" s="7">
        <v>124.66438841</v>
      </c>
      <c r="R73" s="7">
        <v>112.24838939</v>
      </c>
      <c r="S73" s="7">
        <v>102.23633691000001</v>
      </c>
      <c r="T73" s="7">
        <v>92.913507120000006</v>
      </c>
      <c r="U73" s="7">
        <v>83.667672049999993</v>
      </c>
      <c r="V73" s="7">
        <v>86.461516529999997</v>
      </c>
      <c r="W73" s="7">
        <v>77.860696849999997</v>
      </c>
      <c r="X73" s="7">
        <v>72.563710400000005</v>
      </c>
      <c r="Y73" s="7">
        <v>65.226046249999996</v>
      </c>
      <c r="Z73" s="7">
        <v>58.807012700000001</v>
      </c>
      <c r="AA73" s="7">
        <v>52.898445039999999</v>
      </c>
      <c r="AB73" s="7">
        <v>47.635509679999998</v>
      </c>
      <c r="AC73" s="7">
        <v>42.802526030000003</v>
      </c>
    </row>
    <row r="74" spans="1:29" x14ac:dyDescent="0.85">
      <c r="A74" t="s">
        <v>172</v>
      </c>
      <c r="B74" s="7">
        <v>0</v>
      </c>
      <c r="C74" s="7">
        <v>0</v>
      </c>
      <c r="D74" s="7">
        <v>12.472427209999999</v>
      </c>
      <c r="E74" s="7">
        <v>28.179389910000001</v>
      </c>
      <c r="F74" s="7">
        <v>22.20120885</v>
      </c>
      <c r="G74" s="7">
        <v>204.01837853999999</v>
      </c>
      <c r="H74" s="7">
        <v>17.138147490000001</v>
      </c>
      <c r="I74" s="7">
        <v>0</v>
      </c>
      <c r="J74" s="7">
        <v>27.147361780000001</v>
      </c>
      <c r="K74" s="7">
        <v>27.459117979999998</v>
      </c>
      <c r="L74" s="7">
        <v>0</v>
      </c>
      <c r="M74" s="7">
        <v>53.663515400000001</v>
      </c>
      <c r="N74" s="7">
        <v>189.6321987</v>
      </c>
      <c r="O74" s="7">
        <v>153.80628974999999</v>
      </c>
      <c r="P74" s="7">
        <v>138.50174944</v>
      </c>
      <c r="Q74" s="7">
        <v>124.66438841</v>
      </c>
      <c r="R74" s="7">
        <v>112.24838939</v>
      </c>
      <c r="S74" s="7">
        <v>102.23633691000001</v>
      </c>
      <c r="T74" s="7">
        <v>92.913507120000006</v>
      </c>
      <c r="U74" s="7">
        <v>83.667672049999993</v>
      </c>
      <c r="V74" s="7">
        <v>86.461516529999997</v>
      </c>
      <c r="W74" s="7">
        <v>77.860696849999997</v>
      </c>
      <c r="X74" s="7">
        <v>72.563710400000005</v>
      </c>
      <c r="Y74" s="7">
        <v>65.226046249999996</v>
      </c>
      <c r="Z74" s="7">
        <v>58.807012700000001</v>
      </c>
      <c r="AA74" s="7">
        <v>52.898445039999999</v>
      </c>
      <c r="AB74" s="7">
        <v>47.635509679999998</v>
      </c>
      <c r="AC74" s="7">
        <v>42.802526030000003</v>
      </c>
    </row>
    <row r="75" spans="1:29" x14ac:dyDescent="0.85">
      <c r="A75" t="s">
        <v>173</v>
      </c>
      <c r="B75" s="7">
        <v>0</v>
      </c>
      <c r="C75" s="7">
        <v>0</v>
      </c>
      <c r="D75" s="7">
        <v>13.249206060000001</v>
      </c>
      <c r="E75" s="7">
        <v>41.85853032</v>
      </c>
      <c r="F75" s="7">
        <v>61.256211819999997</v>
      </c>
      <c r="G75" s="7">
        <v>271.85488414000002</v>
      </c>
      <c r="H75" s="7">
        <v>262.87237008</v>
      </c>
      <c r="I75" s="7">
        <v>236.58492068000001</v>
      </c>
      <c r="J75" s="7">
        <v>241.76451865000001</v>
      </c>
      <c r="K75" s="7">
        <v>246.75699080999999</v>
      </c>
      <c r="L75" s="7">
        <v>222.08117267</v>
      </c>
      <c r="M75" s="7">
        <v>199.87392335999999</v>
      </c>
      <c r="N75" s="7">
        <v>181.45957913999999</v>
      </c>
      <c r="O75" s="7">
        <v>163.39142536</v>
      </c>
      <c r="P75" s="7">
        <v>147.14540441</v>
      </c>
      <c r="Q75" s="7">
        <v>132.43086751000001</v>
      </c>
      <c r="R75" s="7">
        <v>119.23917781999999</v>
      </c>
      <c r="S75" s="7">
        <v>108.62986125</v>
      </c>
      <c r="T75" s="7">
        <v>98.753854410000002</v>
      </c>
      <c r="U75" s="7">
        <v>88.878469589999995</v>
      </c>
      <c r="V75" s="7">
        <v>91.899103260000004</v>
      </c>
      <c r="W75" s="7">
        <v>82.709832230000004</v>
      </c>
      <c r="X75" s="7">
        <v>77.084329740000001</v>
      </c>
      <c r="Y75" s="7">
        <v>69.375916270000005</v>
      </c>
      <c r="Z75" s="7">
        <v>62.469491900000001</v>
      </c>
      <c r="AA75" s="7">
        <v>56.224206690000003</v>
      </c>
      <c r="AB75" s="7">
        <v>50.602552180000004</v>
      </c>
      <c r="AC75" s="7">
        <v>45.542296329999999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2.7751000000000002E-4</v>
      </c>
      <c r="E76" s="7">
        <v>6.2699000000000001E-4</v>
      </c>
      <c r="F76" s="7">
        <v>4.9397999999999998E-4</v>
      </c>
      <c r="G76" s="7">
        <v>4.5394099999999998E-3</v>
      </c>
      <c r="H76" s="7">
        <v>3.8131999999999999E-4</v>
      </c>
      <c r="I76" s="7">
        <v>0</v>
      </c>
      <c r="J76" s="7">
        <v>6.0402999999999997E-4</v>
      </c>
      <c r="K76" s="7">
        <v>6.1096999999999996E-4</v>
      </c>
      <c r="L76" s="7">
        <v>0</v>
      </c>
      <c r="M76" s="7">
        <v>1.1940099999999999E-3</v>
      </c>
      <c r="N76" s="7">
        <v>4.2193200000000004E-3</v>
      </c>
      <c r="O76" s="7">
        <v>3.4221899999999999E-3</v>
      </c>
      <c r="P76" s="7">
        <v>3.08166E-3</v>
      </c>
      <c r="Q76" s="7">
        <v>2.77378E-3</v>
      </c>
      <c r="R76" s="7">
        <v>2.49753E-3</v>
      </c>
      <c r="S76" s="7">
        <v>2.2747599999999998E-3</v>
      </c>
      <c r="T76" s="7">
        <v>2.06733E-3</v>
      </c>
      <c r="U76" s="7">
        <v>1.8616100000000001E-3</v>
      </c>
      <c r="V76" s="7">
        <v>1.92377E-3</v>
      </c>
      <c r="W76" s="7">
        <v>1.7324E-3</v>
      </c>
      <c r="X76" s="7">
        <v>1.61454E-3</v>
      </c>
      <c r="Y76" s="7">
        <v>1.4512800000000001E-3</v>
      </c>
      <c r="Z76" s="7">
        <v>1.30846E-3</v>
      </c>
      <c r="AA76" s="7">
        <v>1.1769899999999999E-3</v>
      </c>
      <c r="AB76" s="7">
        <v>1.05989E-3</v>
      </c>
      <c r="AC76" s="7">
        <v>9.5235999999999997E-4</v>
      </c>
    </row>
    <row r="77" spans="1:29" x14ac:dyDescent="0.85">
      <c r="A77" t="s">
        <v>175</v>
      </c>
      <c r="B77" s="7">
        <v>0</v>
      </c>
      <c r="C77" s="7">
        <v>0</v>
      </c>
      <c r="D77" s="7">
        <v>1.39E-6</v>
      </c>
      <c r="E77" s="7">
        <v>3.1300000000000001E-6</v>
      </c>
      <c r="F77" s="7">
        <v>2.4700000000000001E-6</v>
      </c>
      <c r="G77" s="7">
        <v>2.27E-5</v>
      </c>
      <c r="H77" s="7">
        <v>1.9099999999999999E-6</v>
      </c>
      <c r="I77" s="7">
        <v>0</v>
      </c>
      <c r="J77" s="7">
        <v>3.0199999999999999E-6</v>
      </c>
      <c r="K77" s="7">
        <v>3.05E-6</v>
      </c>
      <c r="L77" s="7">
        <v>0</v>
      </c>
      <c r="M77" s="7">
        <v>5.9699999999999996E-6</v>
      </c>
      <c r="N77" s="7">
        <v>2.1100000000000001E-5</v>
      </c>
      <c r="O77" s="7">
        <v>1.7110000000000001E-5</v>
      </c>
      <c r="P77" s="7">
        <v>1.541E-5</v>
      </c>
      <c r="Q77" s="7">
        <v>1.3869999999999999E-5</v>
      </c>
      <c r="R77" s="7">
        <v>1.2490000000000001E-5</v>
      </c>
      <c r="S77" s="7">
        <v>1.137E-5</v>
      </c>
      <c r="T77" s="7">
        <v>1.0339999999999999E-5</v>
      </c>
      <c r="U77" s="7">
        <v>9.3100000000000006E-6</v>
      </c>
      <c r="V77" s="7">
        <v>9.6199999999999994E-6</v>
      </c>
      <c r="W77" s="7">
        <v>8.6600000000000001E-6</v>
      </c>
      <c r="X77" s="7">
        <v>8.0700000000000007E-6</v>
      </c>
      <c r="Y77" s="7">
        <v>7.2599999999999999E-6</v>
      </c>
      <c r="Z77" s="7">
        <v>6.5400000000000001E-6</v>
      </c>
      <c r="AA77" s="7">
        <v>5.8799999999999996E-6</v>
      </c>
      <c r="AB77" s="7">
        <v>5.3000000000000001E-6</v>
      </c>
      <c r="AC77" s="7">
        <v>4.7600000000000002E-6</v>
      </c>
    </row>
    <row r="78" spans="1:29" x14ac:dyDescent="0.85">
      <c r="A78" t="s">
        <v>176</v>
      </c>
      <c r="B78" s="7">
        <v>0</v>
      </c>
      <c r="C78" s="7">
        <v>0</v>
      </c>
      <c r="D78" s="7">
        <v>13.249034310000001</v>
      </c>
      <c r="E78" s="7">
        <v>41.858142290000004</v>
      </c>
      <c r="F78" s="7">
        <v>61.255906109999998</v>
      </c>
      <c r="G78" s="7">
        <v>271.85207480999998</v>
      </c>
      <c r="H78" s="7">
        <v>262.87213408999997</v>
      </c>
      <c r="I78" s="7">
        <v>236.58492068000001</v>
      </c>
      <c r="J78" s="7">
        <v>241.76414482999999</v>
      </c>
      <c r="K78" s="7">
        <v>246.75661269</v>
      </c>
      <c r="L78" s="7">
        <v>222.08117267</v>
      </c>
      <c r="M78" s="7">
        <v>199.87318442</v>
      </c>
      <c r="N78" s="7">
        <v>181.45696791</v>
      </c>
      <c r="O78" s="7">
        <v>163.38930744999999</v>
      </c>
      <c r="P78" s="7">
        <v>147.14349725</v>
      </c>
      <c r="Q78" s="7">
        <v>132.42915088000001</v>
      </c>
      <c r="R78" s="7">
        <v>119.23763216</v>
      </c>
      <c r="S78" s="7">
        <v>108.62845346</v>
      </c>
      <c r="T78" s="7">
        <v>98.752574989999999</v>
      </c>
      <c r="U78" s="7">
        <v>88.877317489999996</v>
      </c>
      <c r="V78" s="7">
        <v>91.897912689999998</v>
      </c>
      <c r="W78" s="7">
        <v>82.708760089999998</v>
      </c>
      <c r="X78" s="7">
        <v>77.083330540000006</v>
      </c>
      <c r="Y78" s="7">
        <v>69.375018109999999</v>
      </c>
      <c r="Z78" s="7">
        <v>62.468682129999998</v>
      </c>
      <c r="AA78" s="7">
        <v>56.223478270000001</v>
      </c>
      <c r="AB78" s="7">
        <v>50.601896240000002</v>
      </c>
      <c r="AC78" s="7">
        <v>45.541706939999997</v>
      </c>
    </row>
    <row r="79" spans="1:29" x14ac:dyDescent="0.85">
      <c r="A79" t="s">
        <v>177</v>
      </c>
      <c r="B79" s="7">
        <v>0</v>
      </c>
      <c r="C79" s="7">
        <v>0</v>
      </c>
      <c r="D79" s="7">
        <v>1.7175E-4</v>
      </c>
      <c r="E79" s="7">
        <v>3.8802999999999998E-4</v>
      </c>
      <c r="F79" s="7">
        <v>3.0571E-4</v>
      </c>
      <c r="G79" s="7">
        <v>2.8093300000000001E-3</v>
      </c>
      <c r="H79" s="7">
        <v>2.3599E-4</v>
      </c>
      <c r="I79" s="7">
        <v>0</v>
      </c>
      <c r="J79" s="7">
        <v>3.7382000000000002E-4</v>
      </c>
      <c r="K79" s="7">
        <v>3.7811000000000002E-4</v>
      </c>
      <c r="L79" s="7">
        <v>0</v>
      </c>
      <c r="M79" s="7">
        <v>7.3895000000000005E-4</v>
      </c>
      <c r="N79" s="7">
        <v>2.6112399999999999E-3</v>
      </c>
      <c r="O79" s="7">
        <v>2.1179100000000002E-3</v>
      </c>
      <c r="P79" s="7">
        <v>1.9071699999999999E-3</v>
      </c>
      <c r="Q79" s="7">
        <v>1.71663E-3</v>
      </c>
      <c r="R79" s="7">
        <v>1.5456599999999999E-3</v>
      </c>
      <c r="S79" s="7">
        <v>1.4077899999999999E-3</v>
      </c>
      <c r="T79" s="7">
        <v>1.2794200000000001E-3</v>
      </c>
      <c r="U79" s="7">
        <v>1.1521000000000001E-3</v>
      </c>
      <c r="V79" s="7">
        <v>1.1905799999999999E-3</v>
      </c>
      <c r="W79" s="7">
        <v>1.0721400000000001E-3</v>
      </c>
      <c r="X79" s="7">
        <v>9.992E-4</v>
      </c>
      <c r="Y79" s="7">
        <v>8.9815999999999995E-4</v>
      </c>
      <c r="Z79" s="7">
        <v>8.0977000000000002E-4</v>
      </c>
      <c r="AA79" s="7">
        <v>7.2840999999999997E-4</v>
      </c>
      <c r="AB79" s="7">
        <v>6.5594000000000004E-4</v>
      </c>
      <c r="AC79" s="7">
        <v>5.8938999999999997E-4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1.0183329299999999</v>
      </c>
      <c r="F80" s="7">
        <v>1.0387696200000001</v>
      </c>
      <c r="G80" s="7">
        <v>1.0286413999999999</v>
      </c>
      <c r="H80" s="7">
        <v>1.24680266</v>
      </c>
      <c r="I80" s="7">
        <v>1.01920239</v>
      </c>
      <c r="J80" s="7">
        <v>1</v>
      </c>
      <c r="K80" s="7">
        <v>1.02715304</v>
      </c>
      <c r="L80" s="7">
        <v>1.02694905</v>
      </c>
      <c r="M80" s="7">
        <v>1.0000001999999999</v>
      </c>
      <c r="N80" s="7">
        <v>1.00000011</v>
      </c>
      <c r="O80" s="7">
        <v>1.0013559299999999</v>
      </c>
      <c r="P80" s="7">
        <v>1.0000659000000001</v>
      </c>
      <c r="Q80" s="7">
        <v>1.0000768499999999</v>
      </c>
      <c r="R80" s="7">
        <v>1</v>
      </c>
      <c r="S80" s="7">
        <v>1.00004052</v>
      </c>
      <c r="T80" s="7">
        <v>1.0010129699999999</v>
      </c>
      <c r="U80" s="7">
        <v>1.0007433100000001</v>
      </c>
      <c r="V80" s="7">
        <v>1</v>
      </c>
      <c r="W80" s="7">
        <v>1.0085669399999999</v>
      </c>
      <c r="X80" s="7">
        <v>1.0000004499999999</v>
      </c>
      <c r="Y80" s="7">
        <v>1.0018178499999999</v>
      </c>
      <c r="Z80" s="7">
        <v>1.0000000099999999</v>
      </c>
      <c r="AA80" s="7">
        <v>1.00002046</v>
      </c>
      <c r="AB80" s="7">
        <v>1.0000010699999999</v>
      </c>
      <c r="AC80" s="7">
        <v>1.00000048</v>
      </c>
    </row>
    <row r="81" spans="1:29" x14ac:dyDescent="0.85">
      <c r="A81" t="s">
        <v>179</v>
      </c>
      <c r="B81" s="7">
        <v>1</v>
      </c>
      <c r="C81" s="7">
        <v>1</v>
      </c>
      <c r="D81" s="7">
        <v>1.0183329299999999</v>
      </c>
      <c r="E81" s="7">
        <v>1.0387696200000001</v>
      </c>
      <c r="F81" s="7">
        <v>1.0286413999999999</v>
      </c>
      <c r="G81" s="7">
        <v>1.24680266</v>
      </c>
      <c r="H81" s="7">
        <v>1.01920239</v>
      </c>
      <c r="I81" s="7">
        <v>1</v>
      </c>
      <c r="J81" s="7">
        <v>1.02715304</v>
      </c>
      <c r="K81" s="7">
        <v>1.02694905</v>
      </c>
      <c r="L81" s="7">
        <v>1.0000001999999999</v>
      </c>
      <c r="M81" s="7">
        <v>1.00000011</v>
      </c>
      <c r="N81" s="7">
        <v>1.0013559299999999</v>
      </c>
      <c r="O81" s="7">
        <v>1.0000659000000001</v>
      </c>
      <c r="P81" s="7">
        <v>1.0000768499999999</v>
      </c>
      <c r="Q81" s="7">
        <v>1</v>
      </c>
      <c r="R81" s="7">
        <v>1.00004052</v>
      </c>
      <c r="S81" s="7">
        <v>1.0010129699999999</v>
      </c>
      <c r="T81" s="7">
        <v>1.0007433100000001</v>
      </c>
      <c r="U81" s="7">
        <v>1</v>
      </c>
      <c r="V81" s="7">
        <v>1.0085669399999999</v>
      </c>
      <c r="W81" s="7">
        <v>1.0000004499999999</v>
      </c>
      <c r="X81" s="7">
        <v>1.0018178499999999</v>
      </c>
      <c r="Y81" s="7">
        <v>1.0000000099999999</v>
      </c>
      <c r="Z81" s="7">
        <v>1.00002046</v>
      </c>
      <c r="AA81" s="7">
        <v>1.0000010699999999</v>
      </c>
      <c r="AB81" s="7">
        <v>1.00000048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0479A-7C3A-45E0-BF95-512D5B1F7879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22965.220604760001</v>
      </c>
      <c r="D5" s="7">
        <v>23797.4677261</v>
      </c>
      <c r="E5" s="7">
        <v>24646.72239481</v>
      </c>
      <c r="F5" s="7">
        <v>25510.999900809999</v>
      </c>
      <c r="G5" s="7">
        <v>26429.881723800001</v>
      </c>
      <c r="H5" s="7">
        <v>27373.899872260001</v>
      </c>
      <c r="I5" s="7">
        <v>28344.958108080002</v>
      </c>
      <c r="J5" s="7">
        <v>29339.801018999999</v>
      </c>
      <c r="K5" s="7">
        <v>30353.733562149999</v>
      </c>
      <c r="L5" s="7">
        <v>31390.634695969999</v>
      </c>
      <c r="M5" s="7">
        <v>32450.881766809998</v>
      </c>
      <c r="N5" s="7">
        <v>33532.832123959997</v>
      </c>
      <c r="O5" s="7">
        <v>34638.164562459999</v>
      </c>
      <c r="P5" s="7">
        <v>35767.718326150003</v>
      </c>
      <c r="Q5" s="7">
        <v>36922.071964150004</v>
      </c>
      <c r="R5" s="7">
        <v>38101.038429170003</v>
      </c>
      <c r="S5" s="7">
        <v>39305.381127859997</v>
      </c>
      <c r="T5" s="7">
        <v>40535.829947129998</v>
      </c>
      <c r="U5" s="7">
        <v>41792.629833309999</v>
      </c>
      <c r="V5" s="7">
        <v>43076.525600649999</v>
      </c>
      <c r="W5" s="7">
        <v>44387.814661470002</v>
      </c>
      <c r="X5" s="7">
        <v>45727.805022389999</v>
      </c>
      <c r="Y5" s="7">
        <v>47125.382717760003</v>
      </c>
      <c r="Z5" s="7">
        <v>48553.460322049999</v>
      </c>
      <c r="AA5" s="7">
        <v>50012.496858190003</v>
      </c>
      <c r="AB5" s="7">
        <v>51502.889711199998</v>
      </c>
      <c r="AC5" s="7">
        <v>53025.675980350003</v>
      </c>
    </row>
    <row r="6" spans="1:29" x14ac:dyDescent="0.85">
      <c r="A6" t="s">
        <v>106</v>
      </c>
      <c r="B6" s="7">
        <v>83647954.25</v>
      </c>
      <c r="C6" s="7">
        <v>85587749.974999994</v>
      </c>
      <c r="D6" s="7">
        <v>87566341.614499301</v>
      </c>
      <c r="E6" s="7">
        <v>89584505.029662907</v>
      </c>
      <c r="F6" s="7">
        <v>91643030.738831893</v>
      </c>
      <c r="G6" s="7">
        <v>93742727.9971499</v>
      </c>
      <c r="H6" s="7">
        <v>95884443.069659203</v>
      </c>
      <c r="I6" s="7">
        <v>98069105.677610904</v>
      </c>
      <c r="J6" s="7">
        <v>100297731.889281</v>
      </c>
      <c r="K6" s="7">
        <v>102571886.350067</v>
      </c>
      <c r="L6" s="7">
        <v>104893652.263298</v>
      </c>
      <c r="M6" s="7">
        <v>107264608.569929</v>
      </c>
      <c r="N6" s="7">
        <v>109686267.67674001</v>
      </c>
      <c r="O6" s="7">
        <v>112160909.080779</v>
      </c>
      <c r="P6" s="7">
        <v>114691538.432225</v>
      </c>
      <c r="Q6" s="7">
        <v>117279746.59128299</v>
      </c>
      <c r="R6" s="7">
        <v>119927960.68557499</v>
      </c>
      <c r="S6" s="7">
        <v>122638240.59273601</v>
      </c>
      <c r="T6" s="7">
        <v>125413663.61909799</v>
      </c>
      <c r="U6" s="7">
        <v>128255646.640894</v>
      </c>
      <c r="V6" s="7">
        <v>131166582.892116</v>
      </c>
      <c r="W6" s="7">
        <v>134149399.158619</v>
      </c>
      <c r="X6" s="7">
        <v>137205390.73787799</v>
      </c>
      <c r="Y6" s="7">
        <v>140336384.515986</v>
      </c>
      <c r="Z6" s="7">
        <v>143545105.01812801</v>
      </c>
      <c r="AA6" s="7">
        <v>146832959.778218</v>
      </c>
      <c r="AB6" s="7">
        <v>150201500.52017599</v>
      </c>
      <c r="AC6" s="7">
        <v>153651559.89646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8177.2275512099995</v>
      </c>
      <c r="D8" s="7">
        <v>8304.1104113199999</v>
      </c>
      <c r="E8" s="7">
        <v>8436.5504852400009</v>
      </c>
      <c r="F8" s="7">
        <v>8576.2295370100001</v>
      </c>
      <c r="G8" s="7">
        <v>8729.4203613299997</v>
      </c>
      <c r="H8" s="7">
        <v>8889.8664566000007</v>
      </c>
      <c r="I8" s="7">
        <v>9058.4107135400009</v>
      </c>
      <c r="J8" s="7">
        <v>9234.7867758499997</v>
      </c>
      <c r="K8" s="7">
        <v>9418.09410441</v>
      </c>
      <c r="L8" s="7">
        <v>9608.95712671</v>
      </c>
      <c r="M8" s="7">
        <v>9807.5335591599996</v>
      </c>
      <c r="N8" s="7">
        <v>10013.558429279999</v>
      </c>
      <c r="O8" s="7">
        <v>10227.384054579999</v>
      </c>
      <c r="P8" s="7">
        <v>10448.854876040001</v>
      </c>
      <c r="Q8" s="7">
        <v>10678.275671720001</v>
      </c>
      <c r="R8" s="7">
        <v>10915.58425109</v>
      </c>
      <c r="S8" s="7">
        <v>11160.94426142</v>
      </c>
      <c r="T8" s="7">
        <v>11415.28660981</v>
      </c>
      <c r="U8" s="7">
        <v>11676.99076472</v>
      </c>
      <c r="V8" s="7">
        <v>11947.02240562</v>
      </c>
      <c r="W8" s="7">
        <v>12225.465075</v>
      </c>
      <c r="X8" s="7">
        <v>12512.606680139999</v>
      </c>
      <c r="Y8" s="7">
        <v>12813.822020809999</v>
      </c>
      <c r="Z8" s="7">
        <v>13124.130308129999</v>
      </c>
      <c r="AA8" s="7">
        <v>13443.673060769999</v>
      </c>
      <c r="AB8" s="7">
        <v>13772.44513799</v>
      </c>
      <c r="AC8" s="7">
        <v>14110.735432850001</v>
      </c>
    </row>
    <row r="9" spans="1:29" x14ac:dyDescent="0.85">
      <c r="A9" t="s">
        <v>109</v>
      </c>
      <c r="B9" s="7">
        <v>1569.21746136</v>
      </c>
      <c r="C9" s="7">
        <v>1590.49288615</v>
      </c>
      <c r="D9" s="7">
        <v>1611.7326269099999</v>
      </c>
      <c r="E9" s="7">
        <v>1633.1806994200001</v>
      </c>
      <c r="F9" s="7">
        <v>1654.7083160100001</v>
      </c>
      <c r="G9" s="7">
        <v>1676.32801958</v>
      </c>
      <c r="H9" s="7">
        <v>1697.9888462199999</v>
      </c>
      <c r="I9" s="7">
        <v>1719.69830976</v>
      </c>
      <c r="J9" s="7">
        <v>1741.44824999</v>
      </c>
      <c r="K9" s="7">
        <v>1763.25023674</v>
      </c>
      <c r="L9" s="7">
        <v>1785.1665009999999</v>
      </c>
      <c r="M9" s="7">
        <v>1807.2109398299999</v>
      </c>
      <c r="N9" s="7">
        <v>1829.3954707</v>
      </c>
      <c r="O9" s="7">
        <v>1851.7774917500001</v>
      </c>
      <c r="P9" s="7">
        <v>1874.4068120699999</v>
      </c>
      <c r="Q9" s="7">
        <v>1897.3061444699999</v>
      </c>
      <c r="R9" s="7">
        <v>1920.5163655900001</v>
      </c>
      <c r="S9" s="7">
        <v>1944.0711726100001</v>
      </c>
      <c r="T9" s="7">
        <v>1967.9376528</v>
      </c>
      <c r="U9" s="7">
        <v>1992.313958</v>
      </c>
      <c r="V9" s="7">
        <v>2017.14811846</v>
      </c>
      <c r="W9" s="7">
        <v>2042.49003698</v>
      </c>
      <c r="X9" s="7">
        <v>2068.3523643200001</v>
      </c>
      <c r="Y9" s="7">
        <v>2094.75796498</v>
      </c>
      <c r="Z9" s="7">
        <v>2121.7027893300001</v>
      </c>
      <c r="AA9" s="7">
        <v>2149.1956855600001</v>
      </c>
      <c r="AB9" s="7">
        <v>2177.2762942200002</v>
      </c>
      <c r="AC9" s="7">
        <v>2205.9078907799999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5407.92911843</v>
      </c>
      <c r="D11" s="7">
        <v>5518.6537661299999</v>
      </c>
      <c r="E11" s="7">
        <v>5630.0047352800002</v>
      </c>
      <c r="F11" s="7">
        <v>5741.01236126</v>
      </c>
      <c r="G11" s="7">
        <v>5851.9156397300003</v>
      </c>
      <c r="H11" s="7">
        <v>5962.4389824500004</v>
      </c>
      <c r="I11" s="7">
        <v>6072.5760911400002</v>
      </c>
      <c r="J11" s="7">
        <v>6182.2137101999997</v>
      </c>
      <c r="K11" s="7">
        <v>6291.7406349499997</v>
      </c>
      <c r="L11" s="7">
        <v>6401.2181987499998</v>
      </c>
      <c r="M11" s="7">
        <v>6510.6917868299997</v>
      </c>
      <c r="N11" s="7">
        <v>6620.3430216400002</v>
      </c>
      <c r="O11" s="7">
        <v>6730.3256605500001</v>
      </c>
      <c r="P11" s="7">
        <v>6840.8996495199999</v>
      </c>
      <c r="Q11" s="7">
        <v>6952.11099543</v>
      </c>
      <c r="R11" s="7">
        <v>7064.1848697200003</v>
      </c>
      <c r="S11" s="7">
        <v>7177.2439910399999</v>
      </c>
      <c r="T11" s="7">
        <v>7290.9153018400002</v>
      </c>
      <c r="U11" s="7">
        <v>7406.5161678599998</v>
      </c>
      <c r="V11" s="7">
        <v>7523.5909229500003</v>
      </c>
      <c r="W11" s="7">
        <v>7642.3505225899999</v>
      </c>
      <c r="X11" s="7">
        <v>7762.8562191299998</v>
      </c>
      <c r="Y11" s="7">
        <v>7885.2102726700004</v>
      </c>
      <c r="Z11" s="7">
        <v>8009.4050340900003</v>
      </c>
      <c r="AA11" s="7">
        <v>8135.4829723700004</v>
      </c>
      <c r="AB11" s="7">
        <v>8263.6277511900007</v>
      </c>
      <c r="AC11" s="7">
        <v>8393.6929802600007</v>
      </c>
    </row>
    <row r="12" spans="1:29" x14ac:dyDescent="0.85">
      <c r="A12" t="s">
        <v>111</v>
      </c>
      <c r="B12" s="7">
        <v>9626.9999023</v>
      </c>
      <c r="C12" s="7">
        <v>9767.7204373700006</v>
      </c>
      <c r="D12" s="7">
        <v>9915.8430382400002</v>
      </c>
      <c r="E12" s="7">
        <v>10069.731184660001</v>
      </c>
      <c r="F12" s="7">
        <v>10230.937853019999</v>
      </c>
      <c r="G12" s="7">
        <v>10405.7483809</v>
      </c>
      <c r="H12" s="7">
        <v>10587.85530282</v>
      </c>
      <c r="I12" s="7">
        <v>10778.109023290001</v>
      </c>
      <c r="J12" s="7">
        <v>10976.23502584</v>
      </c>
      <c r="K12" s="7">
        <v>11181.344341149999</v>
      </c>
      <c r="L12" s="7">
        <v>11394.12362771</v>
      </c>
      <c r="M12" s="7">
        <v>11614.744499</v>
      </c>
      <c r="N12" s="7">
        <v>11842.953899980001</v>
      </c>
      <c r="O12" s="7">
        <v>12079.16154633</v>
      </c>
      <c r="P12" s="7">
        <v>12323.26168811</v>
      </c>
      <c r="Q12" s="7">
        <v>12575.5818162</v>
      </c>
      <c r="R12" s="7">
        <v>12836.100616670001</v>
      </c>
      <c r="S12" s="7">
        <v>13105.01543403</v>
      </c>
      <c r="T12" s="7">
        <v>13383.22426261</v>
      </c>
      <c r="U12" s="7">
        <v>13669.30472272</v>
      </c>
      <c r="V12" s="7">
        <v>13964.170524069999</v>
      </c>
      <c r="W12" s="7">
        <v>14267.955111970001</v>
      </c>
      <c r="X12" s="7">
        <v>14580.95904446</v>
      </c>
      <c r="Y12" s="7">
        <v>14908.57998579</v>
      </c>
      <c r="Z12" s="7">
        <v>15245.833097459999</v>
      </c>
      <c r="AA12" s="7">
        <v>15592.868746329999</v>
      </c>
      <c r="AB12" s="7">
        <v>15949.721432210001</v>
      </c>
      <c r="AC12" s="7">
        <v>16316.64332363</v>
      </c>
    </row>
    <row r="13" spans="1:29" x14ac:dyDescent="0.85">
      <c r="A13" t="s">
        <v>112</v>
      </c>
      <c r="B13" s="7">
        <v>9626.9999023</v>
      </c>
      <c r="C13" s="7">
        <v>15175.649555800001</v>
      </c>
      <c r="D13" s="7">
        <v>15434.496804369999</v>
      </c>
      <c r="E13" s="7">
        <v>15699.73591994</v>
      </c>
      <c r="F13" s="7">
        <v>15971.950214279999</v>
      </c>
      <c r="G13" s="7">
        <v>16257.66402063</v>
      </c>
      <c r="H13" s="7">
        <v>16550.29428527</v>
      </c>
      <c r="I13" s="7">
        <v>16850.685114439999</v>
      </c>
      <c r="J13" s="7">
        <v>17158.448736040002</v>
      </c>
      <c r="K13" s="7">
        <v>17473.084976099999</v>
      </c>
      <c r="L13" s="7">
        <v>17795.341826470001</v>
      </c>
      <c r="M13" s="7">
        <v>18125.436285830001</v>
      </c>
      <c r="N13" s="7">
        <v>18463.29692162</v>
      </c>
      <c r="O13" s="7">
        <v>18809.48720689</v>
      </c>
      <c r="P13" s="7">
        <v>19164.161337630001</v>
      </c>
      <c r="Q13" s="7">
        <v>19527.69281162</v>
      </c>
      <c r="R13" s="7">
        <v>19900.285486389999</v>
      </c>
      <c r="S13" s="7">
        <v>20282.259425069999</v>
      </c>
      <c r="T13" s="7">
        <v>20674.139564450001</v>
      </c>
      <c r="U13" s="7">
        <v>21075.820890579998</v>
      </c>
      <c r="V13" s="7">
        <v>21487.761447019999</v>
      </c>
      <c r="W13" s="7">
        <v>21910.305634560002</v>
      </c>
      <c r="X13" s="7">
        <v>22343.815263590001</v>
      </c>
      <c r="Y13" s="7">
        <v>22793.790258460001</v>
      </c>
      <c r="Z13" s="7">
        <v>23255.238131549999</v>
      </c>
      <c r="AA13" s="7">
        <v>23728.3517187</v>
      </c>
      <c r="AB13" s="7">
        <v>24213.349183400001</v>
      </c>
      <c r="AC13" s="7">
        <v>24710.336303889999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683.43333349</v>
      </c>
      <c r="D17" s="7">
        <v>661.80947242000002</v>
      </c>
      <c r="E17" s="7">
        <v>639.74915667000005</v>
      </c>
      <c r="F17" s="7">
        <v>618.42418478000002</v>
      </c>
      <c r="G17" s="7">
        <v>597.81017783000004</v>
      </c>
      <c r="H17" s="7">
        <v>577.88330144999998</v>
      </c>
      <c r="I17" s="7">
        <v>558.62055887999998</v>
      </c>
      <c r="J17" s="7">
        <v>539.99987358999999</v>
      </c>
      <c r="K17" s="7">
        <v>521.99989228000004</v>
      </c>
      <c r="L17" s="7">
        <v>504.59990155000003</v>
      </c>
      <c r="M17" s="7">
        <v>487.77990483000002</v>
      </c>
      <c r="N17" s="7">
        <v>471.52057466999997</v>
      </c>
      <c r="O17" s="7">
        <v>455.80324193000001</v>
      </c>
      <c r="P17" s="7">
        <v>440.60980337000001</v>
      </c>
      <c r="Q17" s="7">
        <v>425.92288657</v>
      </c>
      <c r="R17" s="7">
        <v>411.72548659</v>
      </c>
      <c r="S17" s="7">
        <v>398.00130371</v>
      </c>
      <c r="T17" s="7">
        <v>384.73461481999999</v>
      </c>
      <c r="U17" s="7">
        <v>371.91017326000002</v>
      </c>
      <c r="V17" s="7">
        <v>359.51316749</v>
      </c>
      <c r="W17" s="7">
        <v>347.52942788000001</v>
      </c>
      <c r="X17" s="7">
        <v>335.94514499000002</v>
      </c>
      <c r="Y17" s="7">
        <v>324.74782292999998</v>
      </c>
      <c r="Z17" s="7">
        <v>313.92295928999999</v>
      </c>
      <c r="AA17" s="7">
        <v>303.45886065000002</v>
      </c>
      <c r="AB17" s="7">
        <v>293.34360373999999</v>
      </c>
      <c r="AC17" s="7">
        <v>283.56553430000002</v>
      </c>
    </row>
    <row r="18" spans="1:29" x14ac:dyDescent="0.85">
      <c r="A18" t="s">
        <v>116</v>
      </c>
      <c r="B18" s="7">
        <v>675460</v>
      </c>
      <c r="C18" s="7">
        <v>652944.66681373003</v>
      </c>
      <c r="D18" s="7">
        <v>632285.46851131995</v>
      </c>
      <c r="E18" s="7">
        <v>611209.26470359997</v>
      </c>
      <c r="F18" s="7">
        <v>590835.61287597998</v>
      </c>
      <c r="G18" s="7">
        <v>571141.21908087004</v>
      </c>
      <c r="H18" s="7">
        <v>552102.28157186997</v>
      </c>
      <c r="I18" s="7">
        <v>533694.17696135002</v>
      </c>
      <c r="J18" s="7">
        <v>515892.31598195003</v>
      </c>
      <c r="K18" s="7">
        <v>498660.42598417</v>
      </c>
      <c r="L18" s="7">
        <v>481958.57511159999</v>
      </c>
      <c r="M18" s="7">
        <v>465768.62043804</v>
      </c>
      <c r="N18" s="7">
        <v>450076.16439537</v>
      </c>
      <c r="O18" s="7">
        <v>434855.10214929999</v>
      </c>
      <c r="P18" s="7">
        <v>420074.01351811999</v>
      </c>
      <c r="Q18" s="7">
        <v>405729.54319828999</v>
      </c>
      <c r="R18" s="7">
        <v>391806.15110517002</v>
      </c>
      <c r="S18" s="7">
        <v>378295.20434999</v>
      </c>
      <c r="T18" s="7">
        <v>365178.05356328998</v>
      </c>
      <c r="U18" s="7">
        <v>352455.47753859998</v>
      </c>
      <c r="V18" s="7">
        <v>340117.24288971</v>
      </c>
      <c r="W18" s="7">
        <v>328149.87589160999</v>
      </c>
      <c r="X18" s="7">
        <v>316553.69505728001</v>
      </c>
      <c r="Y18" s="7">
        <v>305323.92344692</v>
      </c>
      <c r="Z18" s="7">
        <v>294447.42396401003</v>
      </c>
      <c r="AA18" s="7">
        <v>283920.04155902</v>
      </c>
      <c r="AB18" s="7">
        <v>273740.13338130002</v>
      </c>
      <c r="AC18" s="7">
        <v>263903.31898868998</v>
      </c>
    </row>
    <row r="19" spans="1:29" x14ac:dyDescent="0.85">
      <c r="A19" t="s">
        <v>117</v>
      </c>
      <c r="B19" s="7">
        <v>675460</v>
      </c>
      <c r="C19" s="7">
        <v>652944.66681373003</v>
      </c>
      <c r="D19" s="7">
        <v>632285.46851131995</v>
      </c>
      <c r="E19" s="7">
        <v>611209.26470359997</v>
      </c>
      <c r="F19" s="7">
        <v>590835.61287597998</v>
      </c>
      <c r="G19" s="7">
        <v>571141.21908087004</v>
      </c>
      <c r="H19" s="7">
        <v>552103.30221124005</v>
      </c>
      <c r="I19" s="7">
        <v>533699.89142690005</v>
      </c>
      <c r="J19" s="7">
        <v>515909.88961143</v>
      </c>
      <c r="K19" s="7">
        <v>498712.90712255001</v>
      </c>
      <c r="L19" s="7">
        <v>482089.14898038999</v>
      </c>
      <c r="M19" s="7">
        <v>466019.50457415002</v>
      </c>
      <c r="N19" s="7">
        <v>450485.51840494998</v>
      </c>
      <c r="O19" s="7">
        <v>435469.35332641</v>
      </c>
      <c r="P19" s="7">
        <v>420953.71092123003</v>
      </c>
      <c r="Q19" s="7">
        <v>406921.99378803</v>
      </c>
      <c r="R19" s="7">
        <v>393357.95558387</v>
      </c>
      <c r="S19" s="7">
        <v>380245.97796808998</v>
      </c>
      <c r="T19" s="7">
        <v>367571.13233017002</v>
      </c>
      <c r="U19" s="7">
        <v>355318.80481717997</v>
      </c>
      <c r="V19" s="7">
        <v>343474.83764824999</v>
      </c>
      <c r="W19" s="7">
        <v>332025.70757596003</v>
      </c>
      <c r="X19" s="7">
        <v>320958.21396738</v>
      </c>
      <c r="Y19" s="7">
        <v>310260.41837783001</v>
      </c>
      <c r="Z19" s="7">
        <v>299918.46538014</v>
      </c>
      <c r="AA19" s="7">
        <v>289919.36540904001</v>
      </c>
      <c r="AB19" s="7">
        <v>280255.42329429003</v>
      </c>
      <c r="AC19" s="7">
        <v>270913.62427669001</v>
      </c>
    </row>
    <row r="20" spans="1:29" x14ac:dyDescent="0.85">
      <c r="A20" t="s">
        <v>118</v>
      </c>
      <c r="B20" s="7">
        <v>144.33960178999999</v>
      </c>
      <c r="C20" s="7">
        <v>139.52828177000001</v>
      </c>
      <c r="D20" s="7">
        <v>135.11360071999999</v>
      </c>
      <c r="E20" s="7">
        <v>130.60981403</v>
      </c>
      <c r="F20" s="7">
        <v>126.25615357</v>
      </c>
      <c r="G20" s="7">
        <v>122.04764217</v>
      </c>
      <c r="H20" s="7">
        <v>117.97941388</v>
      </c>
      <c r="I20" s="7">
        <v>114.04677372</v>
      </c>
      <c r="J20" s="7">
        <v>110.2452146</v>
      </c>
      <c r="K20" s="7">
        <v>106.57037707000001</v>
      </c>
      <c r="L20" s="7">
        <v>103.01803233</v>
      </c>
      <c r="M20" s="7">
        <v>99.584097920000005</v>
      </c>
      <c r="N20" s="7">
        <v>96.264627989999994</v>
      </c>
      <c r="O20" s="7">
        <v>93.055811079999998</v>
      </c>
      <c r="P20" s="7">
        <v>89.953951290000006</v>
      </c>
      <c r="Q20" s="7">
        <v>86.955501900000002</v>
      </c>
      <c r="R20" s="7">
        <v>84.056991210000007</v>
      </c>
      <c r="S20" s="7">
        <v>81.255091500000006</v>
      </c>
      <c r="T20" s="7">
        <v>78.546592790000005</v>
      </c>
      <c r="U20" s="7">
        <v>75.928382339999999</v>
      </c>
      <c r="V20" s="7">
        <v>73.397436260000006</v>
      </c>
      <c r="W20" s="7">
        <v>70.950861709999998</v>
      </c>
      <c r="X20" s="7">
        <v>68.585839399999998</v>
      </c>
      <c r="Y20" s="7">
        <v>66.299818169999995</v>
      </c>
      <c r="Z20" s="7">
        <v>64.089837250000002</v>
      </c>
      <c r="AA20" s="7">
        <v>61.953509339999997</v>
      </c>
      <c r="AB20" s="7">
        <v>59.888400220000001</v>
      </c>
      <c r="AC20" s="7">
        <v>57.892130559999998</v>
      </c>
    </row>
    <row r="21" spans="1:29" x14ac:dyDescent="0.85">
      <c r="A21" t="s">
        <v>119</v>
      </c>
      <c r="B21" s="7">
        <v>0</v>
      </c>
      <c r="C21" s="7">
        <v>0.65294467</v>
      </c>
      <c r="D21" s="7">
        <v>0.63228547000000002</v>
      </c>
      <c r="E21" s="7">
        <v>0.61120925999999998</v>
      </c>
      <c r="F21" s="7">
        <v>0.59083560999999996</v>
      </c>
      <c r="G21" s="7">
        <v>0.57114122000000001</v>
      </c>
      <c r="H21" s="7">
        <v>0.55210329999999996</v>
      </c>
      <c r="I21" s="7">
        <v>0.53369988999999995</v>
      </c>
      <c r="J21" s="7">
        <v>0.51590988999999998</v>
      </c>
      <c r="K21" s="7">
        <v>0.49871291000000001</v>
      </c>
      <c r="L21" s="7">
        <v>0.48208915000000002</v>
      </c>
      <c r="M21" s="7">
        <v>0.46601949999999998</v>
      </c>
      <c r="N21" s="7">
        <v>0.45048551999999997</v>
      </c>
      <c r="O21" s="7">
        <v>0.43546934999999998</v>
      </c>
      <c r="P21" s="7">
        <v>0.42095370999999998</v>
      </c>
      <c r="Q21" s="7">
        <v>0.40692199000000001</v>
      </c>
      <c r="R21" s="7">
        <v>0.39335796000000001</v>
      </c>
      <c r="S21" s="7">
        <v>0.38024597999999998</v>
      </c>
      <c r="T21" s="7">
        <v>0.36757113000000002</v>
      </c>
      <c r="U21" s="7">
        <v>0.35531879999999999</v>
      </c>
      <c r="V21" s="7">
        <v>0.34347484</v>
      </c>
      <c r="W21" s="7">
        <v>0.33202570999999997</v>
      </c>
      <c r="X21" s="7">
        <v>0.32095821000000002</v>
      </c>
      <c r="Y21" s="7">
        <v>0.31026041999999998</v>
      </c>
      <c r="Z21" s="7">
        <v>0.29991846999999999</v>
      </c>
      <c r="AA21" s="7">
        <v>0.28991937000000001</v>
      </c>
      <c r="AB21" s="7">
        <v>0.28025541999999998</v>
      </c>
      <c r="AC21" s="7">
        <v>0.27091362000000002</v>
      </c>
    </row>
    <row r="22" spans="1:29" x14ac:dyDescent="0.85">
      <c r="A22" t="s">
        <v>120</v>
      </c>
      <c r="B22" s="7">
        <v>3.3773000000000002E-3</v>
      </c>
      <c r="C22" s="7">
        <v>3.26472E-3</v>
      </c>
      <c r="D22" s="7">
        <v>3.1614299999999998E-3</v>
      </c>
      <c r="E22" s="7">
        <v>3.0560499999999998E-3</v>
      </c>
      <c r="F22" s="7">
        <v>2.9541799999999998E-3</v>
      </c>
      <c r="G22" s="7">
        <v>2.85571E-3</v>
      </c>
      <c r="H22" s="7">
        <v>2.7605199999999998E-3</v>
      </c>
      <c r="I22" s="7">
        <v>2.6684999999999999E-3</v>
      </c>
      <c r="J22" s="7">
        <v>2.5795499999999999E-3</v>
      </c>
      <c r="K22" s="7">
        <v>2.4935600000000001E-3</v>
      </c>
      <c r="L22" s="7">
        <v>2.4104500000000002E-3</v>
      </c>
      <c r="M22" s="7">
        <v>2.3300999999999999E-3</v>
      </c>
      <c r="N22" s="7">
        <v>2.2524300000000001E-3</v>
      </c>
      <c r="O22" s="7">
        <v>2.1773500000000002E-3</v>
      </c>
      <c r="P22" s="7">
        <v>2.1047700000000002E-3</v>
      </c>
      <c r="Q22" s="7">
        <v>2.0346100000000001E-3</v>
      </c>
      <c r="R22" s="7">
        <v>1.9667899999999999E-3</v>
      </c>
      <c r="S22" s="7">
        <v>1.9012300000000001E-3</v>
      </c>
      <c r="T22" s="7">
        <v>1.83786E-3</v>
      </c>
      <c r="U22" s="7">
        <v>1.77659E-3</v>
      </c>
      <c r="V22" s="7">
        <v>1.71737E-3</v>
      </c>
      <c r="W22" s="7">
        <v>1.6601299999999999E-3</v>
      </c>
      <c r="X22" s="7">
        <v>1.60479E-3</v>
      </c>
      <c r="Y22" s="7">
        <v>1.5513E-3</v>
      </c>
      <c r="Z22" s="7">
        <v>1.4995900000000001E-3</v>
      </c>
      <c r="AA22" s="7">
        <v>1.4496000000000001E-3</v>
      </c>
      <c r="AB22" s="7">
        <v>1.40128E-3</v>
      </c>
      <c r="AC22" s="7">
        <v>1.35457E-3</v>
      </c>
    </row>
    <row r="23" spans="1:29" x14ac:dyDescent="0.85">
      <c r="A23" t="s">
        <v>121</v>
      </c>
      <c r="B23" s="7">
        <v>144.33960178999999</v>
      </c>
      <c r="C23" s="7">
        <v>139.52828177000001</v>
      </c>
      <c r="D23" s="7">
        <v>135.11360071999999</v>
      </c>
      <c r="E23" s="7">
        <v>130.60981403</v>
      </c>
      <c r="F23" s="7">
        <v>126.25615357</v>
      </c>
      <c r="G23" s="7">
        <v>122.04764217</v>
      </c>
      <c r="H23" s="7">
        <v>117.97941388</v>
      </c>
      <c r="I23" s="7">
        <v>114.04677372</v>
      </c>
      <c r="J23" s="7">
        <v>110.2452146</v>
      </c>
      <c r="K23" s="7">
        <v>106.57037707000001</v>
      </c>
      <c r="L23" s="7">
        <v>103.01803233</v>
      </c>
      <c r="M23" s="7">
        <v>99.584097920000005</v>
      </c>
      <c r="N23" s="7">
        <v>96.264627989999994</v>
      </c>
      <c r="O23" s="7">
        <v>93.055811079999998</v>
      </c>
      <c r="P23" s="7">
        <v>89.953951290000006</v>
      </c>
      <c r="Q23" s="7">
        <v>86.955501900000002</v>
      </c>
      <c r="R23" s="7">
        <v>84.056991210000007</v>
      </c>
      <c r="S23" s="7">
        <v>81.255091500000006</v>
      </c>
      <c r="T23" s="7">
        <v>78.546592790000005</v>
      </c>
      <c r="U23" s="7">
        <v>75.928382339999999</v>
      </c>
      <c r="V23" s="7">
        <v>73.397436260000006</v>
      </c>
      <c r="W23" s="7">
        <v>70.950861709999998</v>
      </c>
      <c r="X23" s="7">
        <v>68.585839399999998</v>
      </c>
      <c r="Y23" s="7">
        <v>66.299818169999995</v>
      </c>
      <c r="Z23" s="7">
        <v>64.089837250000002</v>
      </c>
      <c r="AA23" s="7">
        <v>61.953509339999997</v>
      </c>
      <c r="AB23" s="7">
        <v>59.888400220000001</v>
      </c>
      <c r="AC23" s="7">
        <v>57.892130559999998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1.0017516799999999</v>
      </c>
      <c r="F25" s="7">
        <v>0.99999996000000002</v>
      </c>
      <c r="G25" s="7">
        <v>0.99999998000000001</v>
      </c>
      <c r="H25" s="7">
        <v>1.00000022</v>
      </c>
      <c r="I25" s="7">
        <v>1.00000022</v>
      </c>
      <c r="J25" s="7">
        <v>1.0000000600000001</v>
      </c>
      <c r="K25" s="7">
        <v>0.99999998999999995</v>
      </c>
      <c r="L25" s="7">
        <v>1.00000003</v>
      </c>
      <c r="M25" s="7">
        <v>1.0000000099999999</v>
      </c>
      <c r="N25" s="7">
        <v>0.99999998999999995</v>
      </c>
      <c r="O25" s="7">
        <v>0.99999998999999995</v>
      </c>
      <c r="P25" s="7">
        <v>1.00000004</v>
      </c>
      <c r="Q25" s="7">
        <v>1.0000000099999999</v>
      </c>
      <c r="R25" s="7">
        <v>1.00000018</v>
      </c>
      <c r="S25" s="7">
        <v>1.00000007</v>
      </c>
      <c r="T25" s="7">
        <v>0.99999987999999995</v>
      </c>
      <c r="U25" s="7">
        <v>1.0000000600000001</v>
      </c>
      <c r="V25" s="7">
        <v>1.0000001199999999</v>
      </c>
      <c r="W25" s="7">
        <v>0.99999998000000001</v>
      </c>
      <c r="X25" s="7">
        <v>1.0000000899999999</v>
      </c>
      <c r="Y25" s="7">
        <v>1.0000000899999999</v>
      </c>
      <c r="Z25" s="7">
        <v>1.0000026200000001</v>
      </c>
      <c r="AA25" s="7">
        <v>1.0000001999999999</v>
      </c>
      <c r="AB25" s="7">
        <v>0.99999373000000003</v>
      </c>
      <c r="AC25" s="7">
        <v>1.0000001300000001</v>
      </c>
    </row>
    <row r="26" spans="1:29" x14ac:dyDescent="0.85">
      <c r="A26" t="s">
        <v>124</v>
      </c>
      <c r="B26" s="7">
        <v>1</v>
      </c>
      <c r="C26" s="7">
        <v>1</v>
      </c>
      <c r="D26" s="7">
        <v>1.0017516799999999</v>
      </c>
      <c r="E26" s="7">
        <v>0.99999996000000002</v>
      </c>
      <c r="F26" s="7">
        <v>0.99999998000000001</v>
      </c>
      <c r="G26" s="7">
        <v>1.00000022</v>
      </c>
      <c r="H26" s="7">
        <v>1.00000022</v>
      </c>
      <c r="I26" s="7">
        <v>1.0000000600000001</v>
      </c>
      <c r="J26" s="7">
        <v>0.99999998999999995</v>
      </c>
      <c r="K26" s="7">
        <v>1.00000003</v>
      </c>
      <c r="L26" s="7">
        <v>1.0000000099999999</v>
      </c>
      <c r="M26" s="7">
        <v>0.99999998999999995</v>
      </c>
      <c r="N26" s="7">
        <v>0.99999998999999995</v>
      </c>
      <c r="O26" s="7">
        <v>1.00000004</v>
      </c>
      <c r="P26" s="7">
        <v>1.0000000099999999</v>
      </c>
      <c r="Q26" s="7">
        <v>1.00000018</v>
      </c>
      <c r="R26" s="7">
        <v>1.00000007</v>
      </c>
      <c r="S26" s="7">
        <v>0.99999987999999995</v>
      </c>
      <c r="T26" s="7">
        <v>1.0000000600000001</v>
      </c>
      <c r="U26" s="7">
        <v>1.0000001199999999</v>
      </c>
      <c r="V26" s="7">
        <v>0.99999998000000001</v>
      </c>
      <c r="W26" s="7">
        <v>1.0000000899999999</v>
      </c>
      <c r="X26" s="7">
        <v>1.0000000899999999</v>
      </c>
      <c r="Y26" s="7">
        <v>1.0000026200000001</v>
      </c>
      <c r="Z26" s="7">
        <v>1.0000001999999999</v>
      </c>
      <c r="AA26" s="7">
        <v>0.99999373000000003</v>
      </c>
      <c r="AB26" s="7">
        <v>1.0000001300000001</v>
      </c>
      <c r="AC26" s="7">
        <v>1.00000018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1.61559377</v>
      </c>
      <c r="E27" s="7">
        <v>1.6573433399999999</v>
      </c>
      <c r="F27" s="7">
        <v>1.7028497199999999</v>
      </c>
      <c r="G27" s="7">
        <v>1.7511672</v>
      </c>
      <c r="H27" s="7">
        <v>1.80362376</v>
      </c>
      <c r="I27" s="7">
        <v>1.85959958</v>
      </c>
      <c r="J27" s="7">
        <v>1.91936211</v>
      </c>
      <c r="K27" s="7">
        <v>1.9830286100000001</v>
      </c>
      <c r="L27" s="7">
        <v>2.0506646700000002</v>
      </c>
      <c r="M27" s="7">
        <v>2.1226269900000001</v>
      </c>
      <c r="N27" s="7">
        <v>2.19917505</v>
      </c>
      <c r="O27" s="7">
        <v>2.2805070199999999</v>
      </c>
      <c r="P27" s="7">
        <v>2.3669551800000002</v>
      </c>
      <c r="Q27" s="7">
        <v>2.45884087</v>
      </c>
      <c r="R27" s="7">
        <v>2.5564936500000002</v>
      </c>
      <c r="S27" s="7">
        <v>2.66022998</v>
      </c>
      <c r="T27" s="7">
        <v>2.7704237599999999</v>
      </c>
      <c r="U27" s="7">
        <v>2.8874693900000001</v>
      </c>
      <c r="V27" s="7">
        <v>3.0117614599999998</v>
      </c>
      <c r="W27" s="7">
        <v>3.14374099</v>
      </c>
      <c r="X27" s="7">
        <v>3.28385112</v>
      </c>
      <c r="Y27" s="7">
        <v>3.4326130300000002</v>
      </c>
      <c r="Z27" s="7">
        <v>3.5920791300000001</v>
      </c>
      <c r="AA27" s="7">
        <v>3.7614024100000001</v>
      </c>
      <c r="AB27" s="7">
        <v>3.9411536300000001</v>
      </c>
      <c r="AC27" s="7">
        <v>4.1319360100000004</v>
      </c>
    </row>
    <row r="28" spans="1:29" x14ac:dyDescent="0.85">
      <c r="A28" t="s">
        <v>126</v>
      </c>
      <c r="B28" s="7">
        <v>1238</v>
      </c>
      <c r="C28" s="7">
        <v>1749.4200331899999</v>
      </c>
      <c r="D28" s="7">
        <v>2269.9476985299998</v>
      </c>
      <c r="E28" s="7">
        <v>2799.8307073699998</v>
      </c>
      <c r="F28" s="7">
        <v>3339.2863564999998</v>
      </c>
      <c r="G28" s="7">
        <v>3888.4809139899999</v>
      </c>
      <c r="H28" s="7">
        <v>4448.5350139000002</v>
      </c>
      <c r="I28" s="7">
        <v>5019.7581044099998</v>
      </c>
      <c r="J28" s="7">
        <v>5602.7231111499996</v>
      </c>
      <c r="K28" s="7">
        <v>6197.6881463500004</v>
      </c>
      <c r="L28" s="7">
        <v>6804.8661658199999</v>
      </c>
      <c r="M28" s="7">
        <v>7424.5599646500004</v>
      </c>
      <c r="N28" s="7">
        <v>8057.07569943</v>
      </c>
      <c r="O28" s="7">
        <v>8702.6719643300003</v>
      </c>
      <c r="P28" s="7">
        <v>9361.6446280599994</v>
      </c>
      <c r="Q28" s="7">
        <v>10034.303563670001</v>
      </c>
      <c r="R28" s="7">
        <v>10720.96476748</v>
      </c>
      <c r="S28" s="7">
        <v>11421.933733690001</v>
      </c>
      <c r="T28" s="7">
        <v>12137.528401220001</v>
      </c>
      <c r="U28" s="7">
        <v>12868.077576739999</v>
      </c>
      <c r="V28" s="7">
        <v>13613.89675281</v>
      </c>
      <c r="W28" s="7">
        <v>14375.350332169999</v>
      </c>
      <c r="X28" s="7">
        <v>15152.764950819999</v>
      </c>
      <c r="Y28" s="7">
        <v>15946.504446139999</v>
      </c>
      <c r="Z28" s="7">
        <v>16757.626157719998</v>
      </c>
      <c r="AA28" s="7">
        <v>17586.507979409998</v>
      </c>
      <c r="AB28" s="7">
        <v>18433.263250839998</v>
      </c>
      <c r="AC28" s="7">
        <v>19298.708831110001</v>
      </c>
    </row>
    <row r="29" spans="1:29" x14ac:dyDescent="0.85">
      <c r="A29" t="s">
        <v>127</v>
      </c>
      <c r="B29" s="7">
        <v>3550049.5</v>
      </c>
      <c r="C29" s="7">
        <v>5016581.3522804901</v>
      </c>
      <c r="D29" s="7">
        <v>6509229.9613932502</v>
      </c>
      <c r="E29" s="7">
        <v>8028705.6565272296</v>
      </c>
      <c r="F29" s="7">
        <v>9575631.5511001498</v>
      </c>
      <c r="G29" s="7">
        <v>11150484.430092299</v>
      </c>
      <c r="H29" s="7">
        <v>12756454.2061108</v>
      </c>
      <c r="I29" s="7">
        <v>14394344.863537399</v>
      </c>
      <c r="J29" s="7">
        <v>16065643.667872099</v>
      </c>
      <c r="K29" s="7">
        <v>17770423.549655098</v>
      </c>
      <c r="L29" s="7">
        <v>19508132.988102298</v>
      </c>
      <c r="M29" s="7">
        <v>21278970.643656999</v>
      </c>
      <c r="N29" s="7">
        <v>23083219.817959402</v>
      </c>
      <c r="O29" s="7">
        <v>24920304.878809899</v>
      </c>
      <c r="P29" s="7">
        <v>26789054.691263001</v>
      </c>
      <c r="Q29" s="7">
        <v>28689730.434450999</v>
      </c>
      <c r="R29" s="7">
        <v>30621816.136388</v>
      </c>
      <c r="S29" s="7">
        <v>32585141.176771998</v>
      </c>
      <c r="T29" s="7">
        <v>34578591.289328903</v>
      </c>
      <c r="U29" s="7">
        <v>36602732.3505776</v>
      </c>
      <c r="V29" s="7">
        <v>38657159.528789297</v>
      </c>
      <c r="W29" s="7">
        <v>40741098.513821498</v>
      </c>
      <c r="X29" s="7">
        <v>42855300.349092498</v>
      </c>
      <c r="Y29" s="7">
        <v>45000125.292138301</v>
      </c>
      <c r="Z29" s="7">
        <v>47177053.773195803</v>
      </c>
      <c r="AA29" s="7">
        <v>49386949.517417803</v>
      </c>
      <c r="AB29" s="7">
        <v>51629799.492760003</v>
      </c>
      <c r="AC29" s="7">
        <v>53908348.045513697</v>
      </c>
    </row>
    <row r="30" spans="1:29" x14ac:dyDescent="0.85">
      <c r="A30" t="s">
        <v>128</v>
      </c>
      <c r="B30" s="7">
        <v>3550049.5</v>
      </c>
      <c r="C30" s="7">
        <v>5016581.3522804901</v>
      </c>
      <c r="D30" s="7">
        <v>6509229.9613932502</v>
      </c>
      <c r="E30" s="7">
        <v>8028705.6565272296</v>
      </c>
      <c r="F30" s="7">
        <v>9575631.5511001498</v>
      </c>
      <c r="G30" s="7">
        <v>11150484.430092299</v>
      </c>
      <c r="H30" s="7">
        <v>12756477.7882255</v>
      </c>
      <c r="I30" s="7">
        <v>14394498.989236001</v>
      </c>
      <c r="J30" s="7">
        <v>16066190.936479401</v>
      </c>
      <c r="K30" s="7">
        <v>17772293.7844056</v>
      </c>
      <c r="L30" s="7">
        <v>19513418.198343601</v>
      </c>
      <c r="M30" s="7">
        <v>21290432.463824701</v>
      </c>
      <c r="N30" s="7">
        <v>23104214.505823601</v>
      </c>
      <c r="O30" s="7">
        <v>24955505.8607696</v>
      </c>
      <c r="P30" s="7">
        <v>26845154.952371899</v>
      </c>
      <c r="Q30" s="7">
        <v>28774050.362712901</v>
      </c>
      <c r="R30" s="7">
        <v>30743098.2328851</v>
      </c>
      <c r="S30" s="7">
        <v>32753174.5882954</v>
      </c>
      <c r="T30" s="7">
        <v>34805191.140540302</v>
      </c>
      <c r="U30" s="7">
        <v>36900090.765154503</v>
      </c>
      <c r="V30" s="7">
        <v>39038778.158621699</v>
      </c>
      <c r="W30" s="7">
        <v>41222298.270627901</v>
      </c>
      <c r="X30" s="7">
        <v>43451587.752250098</v>
      </c>
      <c r="Y30" s="7">
        <v>45727689.931971498</v>
      </c>
      <c r="Z30" s="7">
        <v>48053636.803230703</v>
      </c>
      <c r="AA30" s="7">
        <v>50430512.002450503</v>
      </c>
      <c r="AB30" s="7">
        <v>52858640.538789503</v>
      </c>
      <c r="AC30" s="7">
        <v>55340364.811420999</v>
      </c>
    </row>
    <row r="31" spans="1:29" x14ac:dyDescent="0.85">
      <c r="A31" t="s">
        <v>129</v>
      </c>
      <c r="B31" s="7">
        <v>374.45309150000003</v>
      </c>
      <c r="C31" s="7">
        <v>529.14033905999997</v>
      </c>
      <c r="D31" s="7">
        <v>686.58233703999997</v>
      </c>
      <c r="E31" s="7">
        <v>846.85400973000003</v>
      </c>
      <c r="F31" s="7">
        <v>1010.02108206</v>
      </c>
      <c r="G31" s="7">
        <v>1176.1338444800001</v>
      </c>
      <c r="H31" s="7">
        <v>1345.53125088</v>
      </c>
      <c r="I31" s="7">
        <v>1518.30689884</v>
      </c>
      <c r="J31" s="7">
        <v>1694.63407897</v>
      </c>
      <c r="K31" s="7">
        <v>1874.59086149</v>
      </c>
      <c r="L31" s="7">
        <v>2058.2416583300001</v>
      </c>
      <c r="M31" s="7">
        <v>2245.6780547399999</v>
      </c>
      <c r="N31" s="7">
        <v>2436.99265272</v>
      </c>
      <c r="O31" s="7">
        <v>2632.2636682699999</v>
      </c>
      <c r="P31" s="7">
        <v>2831.5805916600002</v>
      </c>
      <c r="Q31" s="7">
        <v>3035.0371489700001</v>
      </c>
      <c r="R31" s="7">
        <v>3242.7289184199999</v>
      </c>
      <c r="S31" s="7">
        <v>3454.74830165</v>
      </c>
      <c r="T31" s="7">
        <v>3671.19146443</v>
      </c>
      <c r="U31" s="7">
        <v>3892.1578596300001</v>
      </c>
      <c r="V31" s="7">
        <v>4117.74291309</v>
      </c>
      <c r="W31" s="7">
        <v>4348.0568442900003</v>
      </c>
      <c r="X31" s="7">
        <v>4583.19844956</v>
      </c>
      <c r="Y31" s="7">
        <v>4823.2777773999996</v>
      </c>
      <c r="Z31" s="7">
        <v>5068.6146372399999</v>
      </c>
      <c r="AA31" s="7">
        <v>5319.3233291699999</v>
      </c>
      <c r="AB31" s="7">
        <v>5575.4381346099999</v>
      </c>
      <c r="AC31" s="7">
        <v>5837.2061257699997</v>
      </c>
    </row>
    <row r="32" spans="1:29" x14ac:dyDescent="0.85">
      <c r="A32" t="s">
        <v>130</v>
      </c>
      <c r="B32" s="7">
        <v>0</v>
      </c>
      <c r="C32" s="7">
        <v>4.01326508</v>
      </c>
      <c r="D32" s="7">
        <v>5.2073839700000004</v>
      </c>
      <c r="E32" s="7">
        <v>6.4229645299999998</v>
      </c>
      <c r="F32" s="7">
        <v>7.66050524</v>
      </c>
      <c r="G32" s="7">
        <v>8.9203875400000001</v>
      </c>
      <c r="H32" s="7">
        <v>10.20518223</v>
      </c>
      <c r="I32" s="7">
        <v>11.51559919</v>
      </c>
      <c r="J32" s="7">
        <v>12.85295275</v>
      </c>
      <c r="K32" s="7">
        <v>14.21783503</v>
      </c>
      <c r="L32" s="7">
        <v>15.610734559999999</v>
      </c>
      <c r="M32" s="7">
        <v>17.032345970000002</v>
      </c>
      <c r="N32" s="7">
        <v>18.483371600000002</v>
      </c>
      <c r="O32" s="7">
        <v>19.964404689999999</v>
      </c>
      <c r="P32" s="7">
        <v>21.476123959999999</v>
      </c>
      <c r="Q32" s="7">
        <v>23.019240289999999</v>
      </c>
      <c r="R32" s="7">
        <v>24.594478590000001</v>
      </c>
      <c r="S32" s="7">
        <v>26.20253967</v>
      </c>
      <c r="T32" s="7">
        <v>27.844152909999998</v>
      </c>
      <c r="U32" s="7">
        <v>29.52007261</v>
      </c>
      <c r="V32" s="7">
        <v>31.231022530000001</v>
      </c>
      <c r="W32" s="7">
        <v>32.97783862</v>
      </c>
      <c r="X32" s="7">
        <v>34.761270199999998</v>
      </c>
      <c r="Y32" s="7">
        <v>36.582151949999997</v>
      </c>
      <c r="Z32" s="7">
        <v>38.442909440000001</v>
      </c>
      <c r="AA32" s="7">
        <v>40.344409599999999</v>
      </c>
      <c r="AB32" s="7">
        <v>42.286912430000001</v>
      </c>
      <c r="AC32" s="7">
        <v>44.272291850000002</v>
      </c>
    </row>
    <row r="33" spans="1:29" x14ac:dyDescent="0.85">
      <c r="A33" t="s">
        <v>131</v>
      </c>
      <c r="B33" s="7">
        <v>1.42002E-2</v>
      </c>
      <c r="C33" s="7">
        <v>2.006633E-2</v>
      </c>
      <c r="D33" s="7">
        <v>2.6036920000000002E-2</v>
      </c>
      <c r="E33" s="7">
        <v>3.2114820000000002E-2</v>
      </c>
      <c r="F33" s="7">
        <v>3.8302530000000001E-2</v>
      </c>
      <c r="G33" s="7">
        <v>4.460194E-2</v>
      </c>
      <c r="H33" s="7">
        <v>5.1025910000000001E-2</v>
      </c>
      <c r="I33" s="7">
        <v>5.7577999999999997E-2</v>
      </c>
      <c r="J33" s="7">
        <v>6.4264760000000004E-2</v>
      </c>
      <c r="K33" s="7">
        <v>7.1089180000000002E-2</v>
      </c>
      <c r="L33" s="7">
        <v>7.8053670000000006E-2</v>
      </c>
      <c r="M33" s="7">
        <v>8.5161730000000005E-2</v>
      </c>
      <c r="N33" s="7">
        <v>9.2416860000000003E-2</v>
      </c>
      <c r="O33" s="7">
        <v>9.9822019999999997E-2</v>
      </c>
      <c r="P33" s="7">
        <v>0.10738062</v>
      </c>
      <c r="Q33" s="7">
        <v>0.1150962</v>
      </c>
      <c r="R33" s="7">
        <v>0.12297239</v>
      </c>
      <c r="S33" s="7">
        <v>0.13101270000000001</v>
      </c>
      <c r="T33" s="7">
        <v>0.13922076</v>
      </c>
      <c r="U33" s="7">
        <v>0.14760036000000001</v>
      </c>
      <c r="V33" s="7">
        <v>0.15615511000000001</v>
      </c>
      <c r="W33" s="7">
        <v>0.16488918999999999</v>
      </c>
      <c r="X33" s="7">
        <v>0.17380635</v>
      </c>
      <c r="Y33" s="7">
        <v>0.18291076000000001</v>
      </c>
      <c r="Z33" s="7">
        <v>0.19221455000000001</v>
      </c>
      <c r="AA33" s="7">
        <v>0.20172205000000001</v>
      </c>
      <c r="AB33" s="7">
        <v>0.21143455999999999</v>
      </c>
      <c r="AC33" s="7">
        <v>0.22136146000000001</v>
      </c>
    </row>
    <row r="34" spans="1:29" x14ac:dyDescent="0.85">
      <c r="A34" t="s">
        <v>132</v>
      </c>
      <c r="B34" s="7">
        <v>374.45309150000003</v>
      </c>
      <c r="C34" s="7">
        <v>529.14033905999997</v>
      </c>
      <c r="D34" s="7">
        <v>686.58233703999997</v>
      </c>
      <c r="E34" s="7">
        <v>846.85400973000003</v>
      </c>
      <c r="F34" s="7">
        <v>1010.02108206</v>
      </c>
      <c r="G34" s="7">
        <v>1176.1338444800001</v>
      </c>
      <c r="H34" s="7">
        <v>1345.53125088</v>
      </c>
      <c r="I34" s="7">
        <v>1518.30689884</v>
      </c>
      <c r="J34" s="7">
        <v>1694.63407897</v>
      </c>
      <c r="K34" s="7">
        <v>1874.59086149</v>
      </c>
      <c r="L34" s="7">
        <v>2058.2416583300001</v>
      </c>
      <c r="M34" s="7">
        <v>2245.6780547399999</v>
      </c>
      <c r="N34" s="7">
        <v>2436.99265272</v>
      </c>
      <c r="O34" s="7">
        <v>2632.2636682699999</v>
      </c>
      <c r="P34" s="7">
        <v>2831.5805916600002</v>
      </c>
      <c r="Q34" s="7">
        <v>3035.0371489700001</v>
      </c>
      <c r="R34" s="7">
        <v>3242.7289184199999</v>
      </c>
      <c r="S34" s="7">
        <v>3454.74830165</v>
      </c>
      <c r="T34" s="7">
        <v>3671.19146443</v>
      </c>
      <c r="U34" s="7">
        <v>3892.1578596300001</v>
      </c>
      <c r="V34" s="7">
        <v>4117.74291309</v>
      </c>
      <c r="W34" s="7">
        <v>4348.0568442900003</v>
      </c>
      <c r="X34" s="7">
        <v>4583.19844956</v>
      </c>
      <c r="Y34" s="7">
        <v>4823.2777773999996</v>
      </c>
      <c r="Z34" s="7">
        <v>5068.6146372399999</v>
      </c>
      <c r="AA34" s="7">
        <v>5319.3233291699999</v>
      </c>
      <c r="AB34" s="7">
        <v>5575.4381346099999</v>
      </c>
      <c r="AC34" s="7">
        <v>5837.2061257699997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1.35159728</v>
      </c>
      <c r="E36" s="7">
        <v>1.2848170999999999</v>
      </c>
      <c r="F36" s="7">
        <v>1.2423593500000001</v>
      </c>
      <c r="G36" s="7">
        <v>1.2129740200000001</v>
      </c>
      <c r="H36" s="7">
        <v>1.19168703</v>
      </c>
      <c r="I36" s="7">
        <v>1.1754315799999999</v>
      </c>
      <c r="J36" s="7">
        <v>1.16262975</v>
      </c>
      <c r="K36" s="7">
        <v>1.15227346</v>
      </c>
      <c r="L36" s="7">
        <v>1.1437071599999999</v>
      </c>
      <c r="M36" s="7">
        <v>1.1365174</v>
      </c>
      <c r="N36" s="7">
        <v>1.1303987</v>
      </c>
      <c r="O36" s="7">
        <v>1.12512331</v>
      </c>
      <c r="P36" s="7">
        <v>1.12053252</v>
      </c>
      <c r="Q36" s="7">
        <v>1.11650318</v>
      </c>
      <c r="R36" s="7">
        <v>1.11293935</v>
      </c>
      <c r="S36" s="7">
        <v>1.1097639800000001</v>
      </c>
      <c r="T36" s="7">
        <v>1.10691804</v>
      </c>
      <c r="U36" s="7">
        <v>1.1043538399999999</v>
      </c>
      <c r="V36" s="7">
        <v>1.1020314899999999</v>
      </c>
      <c r="W36" s="7">
        <v>1.0999192499999999</v>
      </c>
      <c r="X36" s="7">
        <v>1.0979896899999999</v>
      </c>
      <c r="Y36" s="7">
        <v>1.0962217700000001</v>
      </c>
      <c r="Z36" s="7">
        <v>1.09464122</v>
      </c>
      <c r="AA36" s="7">
        <v>1.09318059</v>
      </c>
      <c r="AB36" s="7">
        <v>1.0918267100000001</v>
      </c>
      <c r="AC36" s="7">
        <v>1.0905692300000001</v>
      </c>
    </row>
    <row r="37" spans="1:29" x14ac:dyDescent="0.85">
      <c r="A37" t="s">
        <v>135</v>
      </c>
      <c r="B37" s="7">
        <v>1</v>
      </c>
      <c r="C37" s="7">
        <v>1.4719810499999999</v>
      </c>
      <c r="D37" s="7">
        <v>1.3516072800000001</v>
      </c>
      <c r="E37" s="7">
        <v>1.2848271</v>
      </c>
      <c r="F37" s="7">
        <v>1.24236915</v>
      </c>
      <c r="G37" s="7">
        <v>1.21298401</v>
      </c>
      <c r="H37" s="7">
        <v>1.1916968999999999</v>
      </c>
      <c r="I37" s="7">
        <v>1.17542397</v>
      </c>
      <c r="J37" s="7">
        <v>1.1626396699999999</v>
      </c>
      <c r="K37" s="7">
        <v>1.15228346</v>
      </c>
      <c r="L37" s="7">
        <v>1.14371716</v>
      </c>
      <c r="M37" s="7">
        <v>1.13652737</v>
      </c>
      <c r="N37" s="7">
        <v>1.1304087</v>
      </c>
      <c r="O37" s="7">
        <v>1.1251331899999999</v>
      </c>
      <c r="P37" s="7">
        <v>1.12054243</v>
      </c>
      <c r="Q37" s="7">
        <v>1.1165131699999999</v>
      </c>
      <c r="R37" s="7">
        <v>1.1129493500000001</v>
      </c>
      <c r="S37" s="7">
        <v>1.10977397</v>
      </c>
      <c r="T37" s="7">
        <v>1.1069280399999999</v>
      </c>
      <c r="U37" s="7">
        <v>1.10436384</v>
      </c>
      <c r="V37" s="7">
        <v>1.1020404800000001</v>
      </c>
      <c r="W37" s="7">
        <v>1.09992925</v>
      </c>
      <c r="X37" s="7">
        <v>1.09799969</v>
      </c>
      <c r="Y37" s="7">
        <v>1.09623176</v>
      </c>
      <c r="Z37" s="7">
        <v>1.09465122</v>
      </c>
      <c r="AA37" s="7">
        <v>1.0931905900000001</v>
      </c>
      <c r="AB37" s="7">
        <v>1.09182084</v>
      </c>
      <c r="AC37" s="7">
        <v>1.0905731400000001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1.3516072800000001</v>
      </c>
      <c r="E38" s="7">
        <v>1.2848271</v>
      </c>
      <c r="F38" s="7">
        <v>1.2423693499999999</v>
      </c>
      <c r="G38" s="7">
        <v>1.2129840199999999</v>
      </c>
      <c r="H38" s="7">
        <v>1.19169703</v>
      </c>
      <c r="I38" s="7">
        <v>1.17544158</v>
      </c>
      <c r="J38" s="7">
        <v>1.1626397500000001</v>
      </c>
      <c r="K38" s="7">
        <v>1.15228346</v>
      </c>
      <c r="L38" s="7">
        <v>1.14371716</v>
      </c>
      <c r="M38" s="7">
        <v>1.1365274000000001</v>
      </c>
      <c r="N38" s="7">
        <v>1.1304087</v>
      </c>
      <c r="O38" s="7">
        <v>1.1251333100000001</v>
      </c>
      <c r="P38" s="7">
        <v>1.1205425200000001</v>
      </c>
      <c r="Q38" s="7">
        <v>1.1165131800000001</v>
      </c>
      <c r="R38" s="7">
        <v>1.1129493500000001</v>
      </c>
      <c r="S38" s="7">
        <v>1.1097739799999999</v>
      </c>
      <c r="T38" s="7">
        <v>1.1069280399999999</v>
      </c>
      <c r="U38" s="7">
        <v>1.10436384</v>
      </c>
      <c r="V38" s="7">
        <v>1.10204149</v>
      </c>
      <c r="W38" s="7">
        <v>1.09992925</v>
      </c>
      <c r="X38" s="7">
        <v>1.09799969</v>
      </c>
      <c r="Y38" s="7">
        <v>1.0962317699999999</v>
      </c>
      <c r="Z38" s="7">
        <v>1.09465122</v>
      </c>
      <c r="AA38" s="7">
        <v>1.0931905900000001</v>
      </c>
      <c r="AB38" s="7">
        <v>1.0918367099999999</v>
      </c>
      <c r="AC38" s="7">
        <v>1.0905792299999999</v>
      </c>
    </row>
    <row r="39" spans="1:29" x14ac:dyDescent="0.85">
      <c r="A39" t="s">
        <v>137</v>
      </c>
      <c r="B39" s="7">
        <v>3805</v>
      </c>
      <c r="C39" s="7">
        <v>3710.2762362799999</v>
      </c>
      <c r="D39" s="7">
        <v>3618.6578000099998</v>
      </c>
      <c r="E39" s="7">
        <v>3528.1914581000001</v>
      </c>
      <c r="F39" s="7">
        <v>3439.9925997700002</v>
      </c>
      <c r="G39" s="7">
        <v>3353.99318765</v>
      </c>
      <c r="H39" s="7">
        <v>3270.1433579599998</v>
      </c>
      <c r="I39" s="7">
        <v>3188.3897770899998</v>
      </c>
      <c r="J39" s="7">
        <v>3108.6800326600001</v>
      </c>
      <c r="K39" s="7">
        <v>3031.0498621400002</v>
      </c>
      <c r="L39" s="7">
        <v>2955.2736509400002</v>
      </c>
      <c r="M39" s="7">
        <v>2881.3918096699999</v>
      </c>
      <c r="N39" s="7">
        <v>2809.4231279800001</v>
      </c>
      <c r="O39" s="7">
        <v>2739.1875537699998</v>
      </c>
      <c r="P39" s="7">
        <v>2670.70787114</v>
      </c>
      <c r="Q39" s="7">
        <v>2603.9401743600001</v>
      </c>
      <c r="R39" s="7">
        <v>2538.8416699999998</v>
      </c>
      <c r="S39" s="7">
        <v>2475.3706282500002</v>
      </c>
      <c r="T39" s="7">
        <v>2414.4167079700001</v>
      </c>
      <c r="U39" s="7">
        <v>2354.0562902699999</v>
      </c>
      <c r="V39" s="7">
        <v>2295.2048830099998</v>
      </c>
      <c r="W39" s="7">
        <v>2237.82480115</v>
      </c>
      <c r="X39" s="7">
        <v>2181.8792065399998</v>
      </c>
      <c r="Y39" s="7">
        <v>2127.3322263700002</v>
      </c>
      <c r="Z39" s="7">
        <v>2074.15227499</v>
      </c>
      <c r="AA39" s="7">
        <v>2022.3321285699999</v>
      </c>
      <c r="AB39" s="7">
        <v>1971.77382536</v>
      </c>
      <c r="AC39" s="7">
        <v>1922.47949905</v>
      </c>
    </row>
    <row r="40" spans="1:29" x14ac:dyDescent="0.85">
      <c r="A40" t="s">
        <v>138</v>
      </c>
      <c r="B40" s="7">
        <v>25776890.75</v>
      </c>
      <c r="C40" s="7">
        <v>25135186.647814099</v>
      </c>
      <c r="D40" s="7">
        <v>24514519.5196831</v>
      </c>
      <c r="E40" s="7">
        <v>23901657.2300741</v>
      </c>
      <c r="F40" s="7">
        <v>23304155.9592833</v>
      </c>
      <c r="G40" s="7">
        <v>22721554.7895738</v>
      </c>
      <c r="H40" s="7">
        <v>22153515.751917101</v>
      </c>
      <c r="I40" s="7">
        <v>21599677.878956798</v>
      </c>
      <c r="J40" s="7">
        <v>21059685.881804101</v>
      </c>
      <c r="K40" s="7">
        <v>20533781.9647251</v>
      </c>
      <c r="L40" s="7">
        <v>20020437.655136298</v>
      </c>
      <c r="M40" s="7">
        <v>19519926.7072156</v>
      </c>
      <c r="N40" s="7">
        <v>19032376.4243486</v>
      </c>
      <c r="O40" s="7">
        <v>18556567.040814999</v>
      </c>
      <c r="P40" s="7">
        <v>18092652.906847902</v>
      </c>
      <c r="Q40" s="7">
        <v>17640336.524762101</v>
      </c>
      <c r="R40" s="7">
        <v>17199328.045949999</v>
      </c>
      <c r="S40" s="7">
        <v>16769344.8408754</v>
      </c>
      <c r="T40" s="7">
        <v>16356413.824817101</v>
      </c>
      <c r="U40" s="7">
        <v>15947503.466956601</v>
      </c>
      <c r="V40" s="7">
        <v>15548815.837778199</v>
      </c>
      <c r="W40" s="7">
        <v>15160095.7143021</v>
      </c>
      <c r="X40" s="7">
        <v>14781093.4935837</v>
      </c>
      <c r="Y40" s="7">
        <v>14411566.1196754</v>
      </c>
      <c r="Z40" s="7">
        <v>14051299.6901586</v>
      </c>
      <c r="AA40" s="7">
        <v>13700245.229954001</v>
      </c>
      <c r="AB40" s="7">
        <v>13357739.0830654</v>
      </c>
      <c r="AC40" s="7">
        <v>13023795.7369266</v>
      </c>
    </row>
    <row r="41" spans="1:29" x14ac:dyDescent="0.85">
      <c r="A41" t="s">
        <v>139</v>
      </c>
      <c r="B41" s="7">
        <v>25776890.75</v>
      </c>
      <c r="C41" s="7">
        <v>25135186.647814099</v>
      </c>
      <c r="D41" s="7">
        <v>24514519.5196831</v>
      </c>
      <c r="E41" s="7">
        <v>23901657.2300741</v>
      </c>
      <c r="F41" s="7">
        <v>23304155.9592833</v>
      </c>
      <c r="G41" s="7">
        <v>22721554.7895738</v>
      </c>
      <c r="H41" s="7">
        <v>22153515.751917101</v>
      </c>
      <c r="I41" s="7">
        <v>21599677.878956798</v>
      </c>
      <c r="J41" s="7">
        <v>21059685.881804101</v>
      </c>
      <c r="K41" s="7">
        <v>20533781.9647251</v>
      </c>
      <c r="L41" s="7">
        <v>20020437.655136298</v>
      </c>
      <c r="M41" s="7">
        <v>19519926.7072156</v>
      </c>
      <c r="N41" s="7">
        <v>19032376.4243486</v>
      </c>
      <c r="O41" s="7">
        <v>18556567.040814999</v>
      </c>
      <c r="P41" s="7">
        <v>18092652.906847902</v>
      </c>
      <c r="Q41" s="7">
        <v>17640336.524762101</v>
      </c>
      <c r="R41" s="7">
        <v>17199328.045949999</v>
      </c>
      <c r="S41" s="7">
        <v>16769344.8408754</v>
      </c>
      <c r="T41" s="7">
        <v>16356413.824817101</v>
      </c>
      <c r="U41" s="7">
        <v>15947503.466956601</v>
      </c>
      <c r="V41" s="7">
        <v>15548815.837778199</v>
      </c>
      <c r="W41" s="7">
        <v>15160095.7143021</v>
      </c>
      <c r="X41" s="7">
        <v>14781093.4935837</v>
      </c>
      <c r="Y41" s="7">
        <v>14411566.1196754</v>
      </c>
      <c r="Z41" s="7">
        <v>14051299.6901586</v>
      </c>
      <c r="AA41" s="7">
        <v>13700245.229954001</v>
      </c>
      <c r="AB41" s="7">
        <v>13357739.0830654</v>
      </c>
      <c r="AC41" s="7">
        <v>13023795.7369266</v>
      </c>
    </row>
    <row r="42" spans="1:29" x14ac:dyDescent="0.85">
      <c r="A42" t="s">
        <v>140</v>
      </c>
      <c r="B42" s="7">
        <v>4364.6560916600001</v>
      </c>
      <c r="C42" s="7">
        <v>4255.9999412500001</v>
      </c>
      <c r="D42" s="7">
        <v>4150.9058634499997</v>
      </c>
      <c r="E42" s="7">
        <v>4047.1333351200001</v>
      </c>
      <c r="F42" s="7">
        <v>3945.9618018000001</v>
      </c>
      <c r="G42" s="7">
        <v>3847.3132188899999</v>
      </c>
      <c r="H42" s="7">
        <v>3751.1303867199999</v>
      </c>
      <c r="I42" s="7">
        <v>3657.35213058</v>
      </c>
      <c r="J42" s="7">
        <v>3565.9183268100001</v>
      </c>
      <c r="K42" s="7">
        <v>3476.86997032</v>
      </c>
      <c r="L42" s="7">
        <v>3389.9482616199998</v>
      </c>
      <c r="M42" s="7">
        <v>3305.19955501</v>
      </c>
      <c r="N42" s="7">
        <v>3222.6454039499999</v>
      </c>
      <c r="O42" s="7">
        <v>3142.0792734400002</v>
      </c>
      <c r="P42" s="7">
        <v>3063.5272987200001</v>
      </c>
      <c r="Q42" s="7">
        <v>2986.93911566</v>
      </c>
      <c r="R42" s="7">
        <v>2912.2656370999998</v>
      </c>
      <c r="S42" s="7">
        <v>2839.4589961299998</v>
      </c>
      <c r="T42" s="7">
        <v>2769.5397059400002</v>
      </c>
      <c r="U42" s="7">
        <v>2700.3012131599999</v>
      </c>
      <c r="V42" s="7">
        <v>2632.7936824100002</v>
      </c>
      <c r="W42" s="7">
        <v>2566.9738864800001</v>
      </c>
      <c r="X42" s="7">
        <v>2502.7995684699999</v>
      </c>
      <c r="Y42" s="7">
        <v>2440.2295788900001</v>
      </c>
      <c r="Z42" s="7">
        <v>2379.22768705</v>
      </c>
      <c r="AA42" s="7">
        <v>2319.7856062599999</v>
      </c>
      <c r="AB42" s="7">
        <v>2261.7909659400002</v>
      </c>
      <c r="AC42" s="7">
        <v>2205.2462139600002</v>
      </c>
    </row>
    <row r="43" spans="1:29" x14ac:dyDescent="0.85">
      <c r="A43" t="s">
        <v>141</v>
      </c>
      <c r="B43" s="7">
        <v>0</v>
      </c>
      <c r="C43" s="7">
        <v>15.08111199</v>
      </c>
      <c r="D43" s="7">
        <v>14.708711709999999</v>
      </c>
      <c r="E43" s="7">
        <v>14.34099434</v>
      </c>
      <c r="F43" s="7">
        <v>13.98249358</v>
      </c>
      <c r="G43" s="7">
        <v>13.632932869999999</v>
      </c>
      <c r="H43" s="7">
        <v>13.29210945</v>
      </c>
      <c r="I43" s="7">
        <v>12.95980673</v>
      </c>
      <c r="J43" s="7">
        <v>12.63581153</v>
      </c>
      <c r="K43" s="7">
        <v>12.32026918</v>
      </c>
      <c r="L43" s="7">
        <v>12.012262590000001</v>
      </c>
      <c r="M43" s="7">
        <v>11.711956020000001</v>
      </c>
      <c r="N43" s="7">
        <v>11.41942585</v>
      </c>
      <c r="O43" s="7">
        <v>11.133940219999999</v>
      </c>
      <c r="P43" s="7">
        <v>10.855591739999999</v>
      </c>
      <c r="Q43" s="7">
        <v>10.584201910000001</v>
      </c>
      <c r="R43" s="7">
        <v>10.31959683</v>
      </c>
      <c r="S43" s="7">
        <v>10.061606899999999</v>
      </c>
      <c r="T43" s="7">
        <v>9.8138482899999993</v>
      </c>
      <c r="U43" s="7">
        <v>9.56850208</v>
      </c>
      <c r="V43" s="7">
        <v>9.3292894999999998</v>
      </c>
      <c r="W43" s="7">
        <v>9.0960574300000001</v>
      </c>
      <c r="X43" s="7">
        <v>8.8686561000000008</v>
      </c>
      <c r="Y43" s="7">
        <v>8.6469396700000001</v>
      </c>
      <c r="Z43" s="7">
        <v>8.4307798100000007</v>
      </c>
      <c r="AA43" s="7">
        <v>8.2201471399999999</v>
      </c>
      <c r="AB43" s="7">
        <v>8.0146434499999994</v>
      </c>
      <c r="AC43" s="7">
        <v>7.8142774399999997</v>
      </c>
    </row>
    <row r="44" spans="1:29" x14ac:dyDescent="0.85">
      <c r="A44" t="s">
        <v>142</v>
      </c>
      <c r="B44" s="7">
        <v>7.7330670000000004E-2</v>
      </c>
      <c r="C44" s="7">
        <v>7.5405559999999996E-2</v>
      </c>
      <c r="D44" s="7">
        <v>7.3543559999999994E-2</v>
      </c>
      <c r="E44" s="7">
        <v>7.1704970000000007E-2</v>
      </c>
      <c r="F44" s="7">
        <v>6.9912470000000004E-2</v>
      </c>
      <c r="G44" s="7">
        <v>6.8164660000000002E-2</v>
      </c>
      <c r="H44" s="7">
        <v>6.6460549999999993E-2</v>
      </c>
      <c r="I44" s="7">
        <v>6.4799029999999994E-2</v>
      </c>
      <c r="J44" s="7">
        <v>6.3179059999999995E-2</v>
      </c>
      <c r="K44" s="7">
        <v>6.1601349999999999E-2</v>
      </c>
      <c r="L44" s="7">
        <v>6.006131E-2</v>
      </c>
      <c r="M44" s="7">
        <v>5.8559779999999999E-2</v>
      </c>
      <c r="N44" s="7">
        <v>5.7097130000000003E-2</v>
      </c>
      <c r="O44" s="7">
        <v>5.5669700000000003E-2</v>
      </c>
      <c r="P44" s="7">
        <v>5.427796E-2</v>
      </c>
      <c r="Q44" s="7">
        <v>5.2921009999999997E-2</v>
      </c>
      <c r="R44" s="7">
        <v>5.1597980000000002E-2</v>
      </c>
      <c r="S44" s="7">
        <v>5.0308029999999997E-2</v>
      </c>
      <c r="T44" s="7">
        <v>4.906924E-2</v>
      </c>
      <c r="U44" s="7">
        <v>4.7842509999999998E-2</v>
      </c>
      <c r="V44" s="7">
        <v>4.6646449999999999E-2</v>
      </c>
      <c r="W44" s="7">
        <v>4.548029E-2</v>
      </c>
      <c r="X44" s="7">
        <v>4.4343279999999999E-2</v>
      </c>
      <c r="Y44" s="7">
        <v>4.3234700000000001E-2</v>
      </c>
      <c r="Z44" s="7">
        <v>4.2153900000000001E-2</v>
      </c>
      <c r="AA44" s="7">
        <v>4.1100739999999997E-2</v>
      </c>
      <c r="AB44" s="7">
        <v>4.007322E-2</v>
      </c>
      <c r="AC44" s="7">
        <v>3.9071389999999998E-2</v>
      </c>
    </row>
    <row r="45" spans="1:29" x14ac:dyDescent="0.85">
      <c r="A45" t="s">
        <v>143</v>
      </c>
      <c r="B45" s="7">
        <v>4104.0517261799996</v>
      </c>
      <c r="C45" s="7">
        <v>4001.8832042399999</v>
      </c>
      <c r="D45" s="7">
        <v>3903.06407111</v>
      </c>
      <c r="E45" s="7">
        <v>3805.4875805299998</v>
      </c>
      <c r="F45" s="7">
        <v>3710.3567850600002</v>
      </c>
      <c r="G45" s="7">
        <v>3617.59829997</v>
      </c>
      <c r="H45" s="7">
        <v>3527.1583424700002</v>
      </c>
      <c r="I45" s="7">
        <v>3438.9793872300002</v>
      </c>
      <c r="J45" s="7">
        <v>3353.0049025500002</v>
      </c>
      <c r="K45" s="7">
        <v>3269.2734346500001</v>
      </c>
      <c r="L45" s="7">
        <v>3187.5416369200002</v>
      </c>
      <c r="M45" s="7">
        <v>3107.8530959999998</v>
      </c>
      <c r="N45" s="7">
        <v>3030.2280783000001</v>
      </c>
      <c r="O45" s="7">
        <v>2954.47238066</v>
      </c>
      <c r="P45" s="7">
        <v>2880.6105778400001</v>
      </c>
      <c r="Q45" s="7">
        <v>2808.5953133899998</v>
      </c>
      <c r="R45" s="7">
        <v>2738.3804305600001</v>
      </c>
      <c r="S45" s="7">
        <v>2669.92091979</v>
      </c>
      <c r="T45" s="7">
        <v>2604.1763621700002</v>
      </c>
      <c r="U45" s="7">
        <v>2539.0719531099999</v>
      </c>
      <c r="V45" s="7">
        <v>2475.5951542900002</v>
      </c>
      <c r="W45" s="7">
        <v>2413.7053188099999</v>
      </c>
      <c r="X45" s="7">
        <v>2353.3627132500001</v>
      </c>
      <c r="Y45" s="7">
        <v>2294.52864542</v>
      </c>
      <c r="Z45" s="7">
        <v>2237.1690471799998</v>
      </c>
      <c r="AA45" s="7">
        <v>2181.2761269900002</v>
      </c>
      <c r="AB45" s="7">
        <v>2126.7442238100002</v>
      </c>
      <c r="AC45" s="7">
        <v>2073.57563906</v>
      </c>
    </row>
    <row r="46" spans="1:29" x14ac:dyDescent="0.85">
      <c r="A46" t="s">
        <v>144</v>
      </c>
      <c r="B46" s="7">
        <v>260.60436548000001</v>
      </c>
      <c r="C46" s="7">
        <v>254.11673701000001</v>
      </c>
      <c r="D46" s="7">
        <v>247.84179234000001</v>
      </c>
      <c r="E46" s="7">
        <v>241.6457546</v>
      </c>
      <c r="F46" s="7">
        <v>235.60501675</v>
      </c>
      <c r="G46" s="7">
        <v>229.71491892</v>
      </c>
      <c r="H46" s="7">
        <v>223.97204425000001</v>
      </c>
      <c r="I46" s="7">
        <v>218.37274335999999</v>
      </c>
      <c r="J46" s="7">
        <v>212.91342427000001</v>
      </c>
      <c r="K46" s="7">
        <v>207.59653566</v>
      </c>
      <c r="L46" s="7">
        <v>202.40662469</v>
      </c>
      <c r="M46" s="7">
        <v>197.34645900999999</v>
      </c>
      <c r="N46" s="7">
        <v>192.41732565000001</v>
      </c>
      <c r="O46" s="7">
        <v>187.60689278000001</v>
      </c>
      <c r="P46" s="7">
        <v>182.91672088999999</v>
      </c>
      <c r="Q46" s="7">
        <v>178.34380227</v>
      </c>
      <c r="R46" s="7">
        <v>173.88520654000001</v>
      </c>
      <c r="S46" s="7">
        <v>169.53807634</v>
      </c>
      <c r="T46" s="7">
        <v>165.36334377</v>
      </c>
      <c r="U46" s="7">
        <v>161.22926004999999</v>
      </c>
      <c r="V46" s="7">
        <v>157.19852811999999</v>
      </c>
      <c r="W46" s="7">
        <v>153.26856767000001</v>
      </c>
      <c r="X46" s="7">
        <v>149.43685522000001</v>
      </c>
      <c r="Y46" s="7">
        <v>145.70093347</v>
      </c>
      <c r="Z46" s="7">
        <v>142.05863987000001</v>
      </c>
      <c r="AA46" s="7">
        <v>138.50947927000001</v>
      </c>
      <c r="AB46" s="7">
        <v>135.04674213000001</v>
      </c>
      <c r="AC46" s="7">
        <v>131.67057489999999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1.00010815</v>
      </c>
      <c r="E47" s="7">
        <v>1.0003147100000001</v>
      </c>
      <c r="F47" s="7">
        <v>1.00000003</v>
      </c>
      <c r="G47" s="7">
        <v>1.00000172</v>
      </c>
      <c r="H47" s="7">
        <v>1.0000001199999999</v>
      </c>
      <c r="I47" s="7">
        <v>0.99999998999999995</v>
      </c>
      <c r="J47" s="7">
        <v>1</v>
      </c>
      <c r="K47" s="7">
        <v>1</v>
      </c>
      <c r="L47" s="7">
        <v>1.00002865</v>
      </c>
      <c r="M47" s="7">
        <v>1.0000000099999999</v>
      </c>
      <c r="N47" s="7">
        <v>1</v>
      </c>
      <c r="O47" s="7">
        <v>1.00002353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1.00038548</v>
      </c>
      <c r="V47" s="7">
        <v>1</v>
      </c>
      <c r="W47" s="7">
        <v>1</v>
      </c>
      <c r="X47" s="7">
        <v>1.0000000200000001</v>
      </c>
      <c r="Y47" s="7">
        <v>1.0000000099999999</v>
      </c>
      <c r="Z47" s="7">
        <v>1</v>
      </c>
      <c r="AA47" s="7">
        <v>1.0000016199999999</v>
      </c>
      <c r="AB47" s="7">
        <v>1.0000166399999999</v>
      </c>
      <c r="AC47" s="7">
        <v>1</v>
      </c>
    </row>
    <row r="48" spans="1:29" x14ac:dyDescent="0.85">
      <c r="A48" t="s">
        <v>146</v>
      </c>
      <c r="B48" s="7">
        <v>1</v>
      </c>
      <c r="C48" s="7">
        <v>1.00010815</v>
      </c>
      <c r="D48" s="7">
        <v>1.0003147100000001</v>
      </c>
      <c r="E48" s="7">
        <v>1.00000003</v>
      </c>
      <c r="F48" s="7">
        <v>1.00000172</v>
      </c>
      <c r="G48" s="7">
        <v>1.0000001199999999</v>
      </c>
      <c r="H48" s="7">
        <v>0.99999998999999995</v>
      </c>
      <c r="I48" s="7">
        <v>1</v>
      </c>
      <c r="J48" s="7">
        <v>1</v>
      </c>
      <c r="K48" s="7">
        <v>1.00002865</v>
      </c>
      <c r="L48" s="7">
        <v>1.0000000099999999</v>
      </c>
      <c r="M48" s="7">
        <v>1</v>
      </c>
      <c r="N48" s="7">
        <v>1.00002353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1.00038548</v>
      </c>
      <c r="U48" s="7">
        <v>1</v>
      </c>
      <c r="V48" s="7">
        <v>1</v>
      </c>
      <c r="W48" s="7">
        <v>1.0000000200000001</v>
      </c>
      <c r="X48" s="7">
        <v>1.0000000099999999</v>
      </c>
      <c r="Y48" s="7">
        <v>1</v>
      </c>
      <c r="Z48" s="7">
        <v>1.0000016199999999</v>
      </c>
      <c r="AA48" s="7">
        <v>1.0000166399999999</v>
      </c>
      <c r="AB48" s="7">
        <v>1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1.19068613</v>
      </c>
      <c r="E49" s="7">
        <v>1.2013498</v>
      </c>
      <c r="F49" s="7">
        <v>1.2126375199999999</v>
      </c>
      <c r="G49" s="7">
        <v>1.22450495</v>
      </c>
      <c r="H49" s="7">
        <v>1.23730359</v>
      </c>
      <c r="I49" s="7">
        <v>1.2508360999999999</v>
      </c>
      <c r="J49" s="7">
        <v>1.2651535899999999</v>
      </c>
      <c r="K49" s="7">
        <v>1.2802645399999999</v>
      </c>
      <c r="L49" s="7">
        <v>1.29615499</v>
      </c>
      <c r="M49" s="7">
        <v>1.3129113800000001</v>
      </c>
      <c r="N49" s="7">
        <v>1.33056895</v>
      </c>
      <c r="O49" s="7">
        <v>1.34914475</v>
      </c>
      <c r="P49" s="7">
        <v>1.3687120500000001</v>
      </c>
      <c r="Q49" s="7">
        <v>1.3893164899999999</v>
      </c>
      <c r="R49" s="7">
        <v>1.4110109500000001</v>
      </c>
      <c r="S49" s="7">
        <v>1.4338424599999999</v>
      </c>
      <c r="T49" s="7">
        <v>1.45787044</v>
      </c>
      <c r="U49" s="7">
        <v>1.4829783599999999</v>
      </c>
      <c r="V49" s="7">
        <v>1.5095721600000001</v>
      </c>
      <c r="W49" s="7">
        <v>1.5375508899999999</v>
      </c>
      <c r="X49" s="7">
        <v>1.56698011</v>
      </c>
      <c r="Y49" s="7">
        <v>1.5979410000000001</v>
      </c>
      <c r="Z49" s="7">
        <v>1.63087651</v>
      </c>
      <c r="AA49" s="7">
        <v>1.6655255</v>
      </c>
      <c r="AB49" s="7">
        <v>1.7019615800000001</v>
      </c>
      <c r="AC49" s="7">
        <v>1.7402915999999999</v>
      </c>
    </row>
    <row r="50" spans="1:29" x14ac:dyDescent="0.85">
      <c r="A50" t="s">
        <v>148</v>
      </c>
      <c r="B50" s="7">
        <v>15607</v>
      </c>
      <c r="C50" s="7">
        <v>16047.9410018</v>
      </c>
      <c r="D50" s="7">
        <v>16492.256505140002</v>
      </c>
      <c r="E50" s="7">
        <v>16943.024728929999</v>
      </c>
      <c r="F50" s="7">
        <v>17395.768574599999</v>
      </c>
      <c r="G50" s="7">
        <v>17890.007449410001</v>
      </c>
      <c r="H50" s="7">
        <v>18395.237953899999</v>
      </c>
      <c r="I50" s="7">
        <v>18913.141928780002</v>
      </c>
      <c r="J50" s="7">
        <v>19439.976456159999</v>
      </c>
      <c r="K50" s="7">
        <v>19970.784654570001</v>
      </c>
      <c r="L50" s="7">
        <v>20509.489246010002</v>
      </c>
      <c r="M50" s="7">
        <v>21056.15449931</v>
      </c>
      <c r="N50" s="7">
        <v>21608.842023239999</v>
      </c>
      <c r="O50" s="7">
        <v>22169.18037125</v>
      </c>
      <c r="P50" s="7">
        <v>22737.717625789999</v>
      </c>
      <c r="Q50" s="7">
        <v>23314.79290171</v>
      </c>
      <c r="R50" s="7">
        <v>23899.971878190001</v>
      </c>
      <c r="S50" s="7">
        <v>24493.77920099</v>
      </c>
      <c r="T50" s="7">
        <v>25095.761368420001</v>
      </c>
      <c r="U50" s="7">
        <v>25707.781659709999</v>
      </c>
      <c r="V50" s="7">
        <v>26329.376767350001</v>
      </c>
      <c r="W50" s="7">
        <v>26960.538416790001</v>
      </c>
      <c r="X50" s="7">
        <v>27602.308308889998</v>
      </c>
      <c r="Y50" s="7">
        <v>28283.263496439999</v>
      </c>
      <c r="Z50" s="7">
        <v>28975.31257233</v>
      </c>
      <c r="AA50" s="7">
        <v>29678.56269078</v>
      </c>
      <c r="AB50" s="7">
        <v>30393.414712440001</v>
      </c>
      <c r="AC50" s="7">
        <v>31120.105145990001</v>
      </c>
    </row>
    <row r="51" spans="1:29" x14ac:dyDescent="0.85">
      <c r="A51" t="s">
        <v>149</v>
      </c>
      <c r="B51" s="7">
        <v>53343391.75</v>
      </c>
      <c r="C51" s="7">
        <v>54488429.118646599</v>
      </c>
      <c r="D51" s="7">
        <v>55624013.758508697</v>
      </c>
      <c r="E51" s="7">
        <v>56763809.4874883</v>
      </c>
      <c r="F51" s="7">
        <v>57901459.793416299</v>
      </c>
      <c r="G51" s="7">
        <v>59035373.426364698</v>
      </c>
      <c r="H51" s="7">
        <v>60164776.451424599</v>
      </c>
      <c r="I51" s="7">
        <v>61290827.372048303</v>
      </c>
      <c r="J51" s="7">
        <v>62414636.671273001</v>
      </c>
      <c r="K51" s="7">
        <v>63531821.913972497</v>
      </c>
      <c r="L51" s="7">
        <v>64648953.279742397</v>
      </c>
      <c r="M51" s="7">
        <v>65766488.964557901</v>
      </c>
      <c r="N51" s="7">
        <v>66882994.752724797</v>
      </c>
      <c r="O51" s="7">
        <v>68003035.5246391</v>
      </c>
      <c r="P51" s="7">
        <v>69127703.842505097</v>
      </c>
      <c r="Q51" s="7">
        <v>70258836.045230493</v>
      </c>
      <c r="R51" s="7">
        <v>71397568.561005697</v>
      </c>
      <c r="S51" s="7">
        <v>72545732.630403802</v>
      </c>
      <c r="T51" s="7">
        <v>73699488.5451276</v>
      </c>
      <c r="U51" s="7">
        <v>74872364.472384393</v>
      </c>
      <c r="V51" s="7">
        <v>76059654.332495004</v>
      </c>
      <c r="W51" s="7">
        <v>77263515.864628196</v>
      </c>
      <c r="X51" s="7">
        <v>78484574.259368598</v>
      </c>
      <c r="Y51" s="7">
        <v>79723870.493324503</v>
      </c>
      <c r="Z51" s="7">
        <v>80981357.511384696</v>
      </c>
      <c r="AA51" s="7">
        <v>82257362.986490801</v>
      </c>
      <c r="AB51" s="7">
        <v>83553818.330569401</v>
      </c>
      <c r="AC51" s="7">
        <v>84869214.754665703</v>
      </c>
    </row>
    <row r="52" spans="1:29" x14ac:dyDescent="0.85">
      <c r="A52" t="s">
        <v>150</v>
      </c>
      <c r="B52" s="7">
        <v>53343391.75</v>
      </c>
      <c r="C52" s="7">
        <v>54488429.118646599</v>
      </c>
      <c r="D52" s="7">
        <v>55624013.758508697</v>
      </c>
      <c r="E52" s="7">
        <v>56763809.4874883</v>
      </c>
      <c r="F52" s="7">
        <v>57901459.793416299</v>
      </c>
      <c r="G52" s="7">
        <v>59035373.426364698</v>
      </c>
      <c r="H52" s="7">
        <v>60164776.451424599</v>
      </c>
      <c r="I52" s="7">
        <v>61290827.372048303</v>
      </c>
      <c r="J52" s="7">
        <v>62414636.671273001</v>
      </c>
      <c r="K52" s="7">
        <v>63531821.913972497</v>
      </c>
      <c r="L52" s="7">
        <v>64648953.279742397</v>
      </c>
      <c r="M52" s="7">
        <v>65766488.964557901</v>
      </c>
      <c r="N52" s="7">
        <v>66882994.752724797</v>
      </c>
      <c r="O52" s="7">
        <v>68003035.5246391</v>
      </c>
      <c r="P52" s="7">
        <v>69127703.842505097</v>
      </c>
      <c r="Q52" s="7">
        <v>70258836.045230493</v>
      </c>
      <c r="R52" s="7">
        <v>71397568.561005697</v>
      </c>
      <c r="S52" s="7">
        <v>72545732.630403802</v>
      </c>
      <c r="T52" s="7">
        <v>73699488.5451276</v>
      </c>
      <c r="U52" s="7">
        <v>74872364.472384393</v>
      </c>
      <c r="V52" s="7">
        <v>76059654.332495004</v>
      </c>
      <c r="W52" s="7">
        <v>77263515.864628196</v>
      </c>
      <c r="X52" s="7">
        <v>78484574.259368598</v>
      </c>
      <c r="Y52" s="7">
        <v>79723870.493324503</v>
      </c>
      <c r="Z52" s="7">
        <v>80981357.511384696</v>
      </c>
      <c r="AA52" s="7">
        <v>82257362.986490801</v>
      </c>
      <c r="AB52" s="7">
        <v>83553818.330569401</v>
      </c>
      <c r="AC52" s="7">
        <v>84869214.754665703</v>
      </c>
    </row>
    <row r="53" spans="1:29" x14ac:dyDescent="0.85">
      <c r="A53" t="s">
        <v>151</v>
      </c>
      <c r="B53" s="7">
        <v>4261.2586279699999</v>
      </c>
      <c r="C53" s="7">
        <v>4372.8166982499997</v>
      </c>
      <c r="D53" s="7">
        <v>4484.7840556000001</v>
      </c>
      <c r="E53" s="7">
        <v>4598.0778443500003</v>
      </c>
      <c r="F53" s="7">
        <v>4711.6939377099998</v>
      </c>
      <c r="G53" s="7">
        <v>4833.0878895300002</v>
      </c>
      <c r="H53" s="7">
        <v>4956.4562129100004</v>
      </c>
      <c r="I53" s="7">
        <v>5082.1461161899997</v>
      </c>
      <c r="J53" s="7">
        <v>5209.4748958099999</v>
      </c>
      <c r="K53" s="7">
        <v>5337.3956073700001</v>
      </c>
      <c r="L53" s="7">
        <v>5466.8124603099996</v>
      </c>
      <c r="M53" s="7">
        <v>5597.7488224299996</v>
      </c>
      <c r="N53" s="7">
        <v>5729.80210627</v>
      </c>
      <c r="O53" s="7">
        <v>5863.3925305000002</v>
      </c>
      <c r="P53" s="7">
        <v>5998.6506908800002</v>
      </c>
      <c r="Q53" s="7">
        <v>6135.6857031400004</v>
      </c>
      <c r="R53" s="7">
        <v>6274.4429323900004</v>
      </c>
      <c r="S53" s="7">
        <v>6415.0665536699998</v>
      </c>
      <c r="T53" s="7">
        <v>6557.3768769500002</v>
      </c>
      <c r="U53" s="7">
        <v>6702.0573380200003</v>
      </c>
      <c r="V53" s="7">
        <v>6848.90524783</v>
      </c>
      <c r="W53" s="7">
        <v>6997.9716860400003</v>
      </c>
      <c r="X53" s="7">
        <v>7149.4694533600004</v>
      </c>
      <c r="Y53" s="7">
        <v>7308.8432440099996</v>
      </c>
      <c r="Z53" s="7">
        <v>7470.7647123200004</v>
      </c>
      <c r="AA53" s="7">
        <v>7635.2621739899996</v>
      </c>
      <c r="AB53" s="7">
        <v>7802.4587738999999</v>
      </c>
      <c r="AC53" s="7">
        <v>7972.3625486199999</v>
      </c>
    </row>
    <row r="54" spans="1:29" x14ac:dyDescent="0.85">
      <c r="A54" t="s">
        <v>152</v>
      </c>
      <c r="B54" s="7">
        <v>0</v>
      </c>
      <c r="C54" s="7">
        <v>5339.8660536300004</v>
      </c>
      <c r="D54" s="7">
        <v>5451.15334833</v>
      </c>
      <c r="E54" s="7">
        <v>5562.8533297699996</v>
      </c>
      <c r="F54" s="7">
        <v>5674.3430597500001</v>
      </c>
      <c r="G54" s="7">
        <v>5785.4665957799998</v>
      </c>
      <c r="H54" s="7">
        <v>5896.1480922399996</v>
      </c>
      <c r="I54" s="7">
        <v>6006.5010824600004</v>
      </c>
      <c r="J54" s="7">
        <v>6116.6343937800002</v>
      </c>
      <c r="K54" s="7">
        <v>6226.1185475700004</v>
      </c>
      <c r="L54" s="7">
        <v>6335.5974214099997</v>
      </c>
      <c r="M54" s="7">
        <v>6445.1159185300003</v>
      </c>
      <c r="N54" s="7">
        <v>6554.53348577</v>
      </c>
      <c r="O54" s="7">
        <v>6664.2974814099998</v>
      </c>
      <c r="P54" s="7">
        <v>6774.5149765699998</v>
      </c>
      <c r="Q54" s="7">
        <v>6885.3659324299997</v>
      </c>
      <c r="R54" s="7">
        <v>6996.9617189800001</v>
      </c>
      <c r="S54" s="7">
        <v>7109.4817977800003</v>
      </c>
      <c r="T54" s="7">
        <v>7222.5498774199996</v>
      </c>
      <c r="U54" s="7">
        <v>7337.4917182899999</v>
      </c>
      <c r="V54" s="7">
        <v>7453.8461245799999</v>
      </c>
      <c r="W54" s="7">
        <v>7571.8245547300003</v>
      </c>
      <c r="X54" s="7">
        <v>7691.4882774199996</v>
      </c>
      <c r="Y54" s="7">
        <v>7812.9393083499999</v>
      </c>
      <c r="Z54" s="7">
        <v>7936.1730361199998</v>
      </c>
      <c r="AA54" s="7">
        <v>8061.2215726799996</v>
      </c>
      <c r="AB54" s="7">
        <v>8188.2741963999997</v>
      </c>
      <c r="AC54" s="7">
        <v>8317.1830459600005</v>
      </c>
    </row>
    <row r="55" spans="1:29" x14ac:dyDescent="0.85">
      <c r="A55" t="s">
        <v>153</v>
      </c>
      <c r="B55" s="7">
        <v>26.138261960000001</v>
      </c>
      <c r="C55" s="7">
        <v>26.699330270000001</v>
      </c>
      <c r="D55" s="7">
        <v>27.255766739999999</v>
      </c>
      <c r="E55" s="7">
        <v>27.81426665</v>
      </c>
      <c r="F55" s="7">
        <v>28.371715300000002</v>
      </c>
      <c r="G55" s="7">
        <v>28.927332979999999</v>
      </c>
      <c r="H55" s="7">
        <v>29.48074046</v>
      </c>
      <c r="I55" s="7">
        <v>30.032505409999999</v>
      </c>
      <c r="J55" s="7">
        <v>30.583171969999999</v>
      </c>
      <c r="K55" s="7">
        <v>31.130592740000001</v>
      </c>
      <c r="L55" s="7">
        <v>31.67798711</v>
      </c>
      <c r="M55" s="7">
        <v>32.225579590000002</v>
      </c>
      <c r="N55" s="7">
        <v>32.772667429999998</v>
      </c>
      <c r="O55" s="7">
        <v>33.321487410000003</v>
      </c>
      <c r="P55" s="7">
        <v>33.872574880000002</v>
      </c>
      <c r="Q55" s="7">
        <v>34.426829660000003</v>
      </c>
      <c r="R55" s="7">
        <v>34.98480859</v>
      </c>
      <c r="S55" s="7">
        <v>35.547408990000001</v>
      </c>
      <c r="T55" s="7">
        <v>36.112749389999998</v>
      </c>
      <c r="U55" s="7">
        <v>36.687458589999999</v>
      </c>
      <c r="V55" s="7">
        <v>37.269230620000002</v>
      </c>
      <c r="W55" s="7">
        <v>37.859122769999999</v>
      </c>
      <c r="X55" s="7">
        <v>38.45744139</v>
      </c>
      <c r="Y55" s="7">
        <v>39.06469654</v>
      </c>
      <c r="Z55" s="7">
        <v>39.680865179999998</v>
      </c>
      <c r="AA55" s="7">
        <v>40.306107859999997</v>
      </c>
      <c r="AB55" s="7">
        <v>40.941370980000002</v>
      </c>
      <c r="AC55" s="7">
        <v>41.585915229999998</v>
      </c>
    </row>
    <row r="56" spans="1:29" x14ac:dyDescent="0.85">
      <c r="A56" t="s">
        <v>154</v>
      </c>
      <c r="B56" s="7">
        <v>2959.6798692699999</v>
      </c>
      <c r="C56" s="7">
        <v>3043.2990277600002</v>
      </c>
      <c r="D56" s="7">
        <v>3127.5581198899999</v>
      </c>
      <c r="E56" s="7">
        <v>3213.0408928500001</v>
      </c>
      <c r="F56" s="7">
        <v>3298.8983187499998</v>
      </c>
      <c r="G56" s="7">
        <v>3392.6247779300002</v>
      </c>
      <c r="H56" s="7">
        <v>3488.43566749</v>
      </c>
      <c r="I56" s="7">
        <v>3586.6499283200001</v>
      </c>
      <c r="J56" s="7">
        <v>3686.5577610300002</v>
      </c>
      <c r="K56" s="7">
        <v>3787.2191526699999</v>
      </c>
      <c r="L56" s="7">
        <v>3889.3780002799999</v>
      </c>
      <c r="M56" s="7">
        <v>3993.04649169</v>
      </c>
      <c r="N56" s="7">
        <v>4097.85703431</v>
      </c>
      <c r="O56" s="7">
        <v>4204.1184636999997</v>
      </c>
      <c r="P56" s="7">
        <v>4311.9347171299996</v>
      </c>
      <c r="Q56" s="7">
        <v>4421.3701036299999</v>
      </c>
      <c r="R56" s="7">
        <v>4532.3422595000002</v>
      </c>
      <c r="S56" s="7">
        <v>4644.9506774800002</v>
      </c>
      <c r="T56" s="7">
        <v>4759.1093564499997</v>
      </c>
      <c r="U56" s="7">
        <v>4875.1716448899997</v>
      </c>
      <c r="V56" s="7">
        <v>4993.0496821099996</v>
      </c>
      <c r="W56" s="7">
        <v>5112.7418989500002</v>
      </c>
      <c r="X56" s="7">
        <v>5234.4458414299997</v>
      </c>
      <c r="Y56" s="7">
        <v>5363.5808039800004</v>
      </c>
      <c r="Z56" s="7">
        <v>5494.8195890400002</v>
      </c>
      <c r="AA56" s="7">
        <v>5628.1825171199998</v>
      </c>
      <c r="AB56" s="7">
        <v>5763.74560664</v>
      </c>
      <c r="AC56" s="7">
        <v>5901.5537086000004</v>
      </c>
    </row>
    <row r="57" spans="1:29" x14ac:dyDescent="0.85">
      <c r="A57" t="s">
        <v>155</v>
      </c>
      <c r="B57" s="7">
        <v>1301.5787587</v>
      </c>
      <c r="C57" s="7">
        <v>1329.51767049</v>
      </c>
      <c r="D57" s="7">
        <v>1357.2259357099999</v>
      </c>
      <c r="E57" s="7">
        <v>1385.0369514900001</v>
      </c>
      <c r="F57" s="7">
        <v>1412.79561896</v>
      </c>
      <c r="G57" s="7">
        <v>1440.4631116</v>
      </c>
      <c r="H57" s="7">
        <v>1468.0205454100001</v>
      </c>
      <c r="I57" s="7">
        <v>1495.49618788</v>
      </c>
      <c r="J57" s="7">
        <v>1522.91713478</v>
      </c>
      <c r="K57" s="7">
        <v>1550.1764547</v>
      </c>
      <c r="L57" s="7">
        <v>1577.4344600300001</v>
      </c>
      <c r="M57" s="7">
        <v>1604.70233074</v>
      </c>
      <c r="N57" s="7">
        <v>1631.9450719700001</v>
      </c>
      <c r="O57" s="7">
        <v>1659.2740667999999</v>
      </c>
      <c r="P57" s="7">
        <v>1686.71597376</v>
      </c>
      <c r="Q57" s="7">
        <v>1714.3155995</v>
      </c>
      <c r="R57" s="7">
        <v>1742.1006728899999</v>
      </c>
      <c r="S57" s="7">
        <v>1770.11587618</v>
      </c>
      <c r="T57" s="7">
        <v>1798.2675205</v>
      </c>
      <c r="U57" s="7">
        <v>1826.8856931299999</v>
      </c>
      <c r="V57" s="7">
        <v>1855.8555657100001</v>
      </c>
      <c r="W57" s="7">
        <v>1885.2297871000001</v>
      </c>
      <c r="X57" s="7">
        <v>1915.02361193</v>
      </c>
      <c r="Y57" s="7">
        <v>1945.26244004</v>
      </c>
      <c r="Z57" s="7">
        <v>1975.94512328</v>
      </c>
      <c r="AA57" s="7">
        <v>2007.07965687</v>
      </c>
      <c r="AB57" s="7">
        <v>2038.71316727</v>
      </c>
      <c r="AC57" s="7">
        <v>2070.80884001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1.0710966399999999</v>
      </c>
      <c r="E58" s="7">
        <v>1.0705070400000001</v>
      </c>
      <c r="F58" s="7">
        <v>1.0701376199999999</v>
      </c>
      <c r="G58" s="7">
        <v>1.0695016100000001</v>
      </c>
      <c r="H58" s="7">
        <v>1.07126192</v>
      </c>
      <c r="I58" s="7">
        <v>1.07108431</v>
      </c>
      <c r="J58" s="7">
        <v>1.070994</v>
      </c>
      <c r="K58" s="7">
        <v>1.07068279</v>
      </c>
      <c r="L58" s="7">
        <v>1.07010936</v>
      </c>
      <c r="M58" s="7">
        <v>1.06976524</v>
      </c>
      <c r="N58" s="7">
        <v>1.06943152</v>
      </c>
      <c r="O58" s="7">
        <v>1.06900861</v>
      </c>
      <c r="P58" s="7">
        <v>1.0686781000000001</v>
      </c>
      <c r="Q58" s="7">
        <v>1.06838061</v>
      </c>
      <c r="R58" s="7">
        <v>1.0681038</v>
      </c>
      <c r="S58" s="7">
        <v>1.0678114999999999</v>
      </c>
      <c r="T58" s="7">
        <v>1.0675474199999999</v>
      </c>
      <c r="U58" s="7">
        <v>1.06726765</v>
      </c>
      <c r="V58" s="7">
        <v>1.06707021</v>
      </c>
      <c r="W58" s="7">
        <v>1.0668533899999999</v>
      </c>
      <c r="X58" s="7">
        <v>1.06663726</v>
      </c>
      <c r="Y58" s="7">
        <v>1.06646255</v>
      </c>
      <c r="Z58" s="7">
        <v>1.0673648200000001</v>
      </c>
      <c r="AA58" s="7">
        <v>1.06715469</v>
      </c>
      <c r="AB58" s="7">
        <v>1.0669486100000001</v>
      </c>
      <c r="AC58" s="7">
        <v>1.0667567499999999</v>
      </c>
    </row>
    <row r="59" spans="1:29" x14ac:dyDescent="0.85">
      <c r="A59" t="s">
        <v>157</v>
      </c>
      <c r="B59" s="7">
        <v>1</v>
      </c>
      <c r="C59" s="7">
        <v>1.0710966399999999</v>
      </c>
      <c r="D59" s="7">
        <v>1.0705070400000001</v>
      </c>
      <c r="E59" s="7">
        <v>1.0701376199999999</v>
      </c>
      <c r="F59" s="7">
        <v>1.0695016100000001</v>
      </c>
      <c r="G59" s="7">
        <v>1.07126192</v>
      </c>
      <c r="H59" s="7">
        <v>1.07108431</v>
      </c>
      <c r="I59" s="7">
        <v>1.070994</v>
      </c>
      <c r="J59" s="7">
        <v>1.07068279</v>
      </c>
      <c r="K59" s="7">
        <v>1.07010936</v>
      </c>
      <c r="L59" s="7">
        <v>1.06976524</v>
      </c>
      <c r="M59" s="7">
        <v>1.06943152</v>
      </c>
      <c r="N59" s="7">
        <v>1.06900861</v>
      </c>
      <c r="O59" s="7">
        <v>1.0686781000000001</v>
      </c>
      <c r="P59" s="7">
        <v>1.06838061</v>
      </c>
      <c r="Q59" s="7">
        <v>1.0681038</v>
      </c>
      <c r="R59" s="7">
        <v>1.0678114999999999</v>
      </c>
      <c r="S59" s="7">
        <v>1.0675474199999999</v>
      </c>
      <c r="T59" s="7">
        <v>1.06726765</v>
      </c>
      <c r="U59" s="7">
        <v>1.06707021</v>
      </c>
      <c r="V59" s="7">
        <v>1.0668533899999999</v>
      </c>
      <c r="W59" s="7">
        <v>1.06663726</v>
      </c>
      <c r="X59" s="7">
        <v>1.06646255</v>
      </c>
      <c r="Y59" s="7">
        <v>1.0673648200000001</v>
      </c>
      <c r="Z59" s="7">
        <v>1.06715469</v>
      </c>
      <c r="AA59" s="7">
        <v>1.0669486100000001</v>
      </c>
      <c r="AB59" s="7">
        <v>1.0667567499999999</v>
      </c>
      <c r="AC59" s="7">
        <v>1.0665723600000001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1.0898915499999999</v>
      </c>
      <c r="E60" s="7">
        <v>1.0904731999999999</v>
      </c>
      <c r="F60" s="7">
        <v>1.09104632</v>
      </c>
      <c r="G60" s="7">
        <v>1.0916237799999999</v>
      </c>
      <c r="H60" s="7">
        <v>1.09215361</v>
      </c>
      <c r="I60" s="7">
        <v>1.0926782799999999</v>
      </c>
      <c r="J60" s="7">
        <v>1.0931956899999999</v>
      </c>
      <c r="K60" s="7">
        <v>1.09371142</v>
      </c>
      <c r="L60" s="7">
        <v>1.0942318600000001</v>
      </c>
      <c r="M60" s="7">
        <v>1.0947512699999999</v>
      </c>
      <c r="N60" s="7">
        <v>1.09526981</v>
      </c>
      <c r="O60" s="7">
        <v>1.0957900300000001</v>
      </c>
      <c r="P60" s="7">
        <v>1.0963095</v>
      </c>
      <c r="Q60" s="7">
        <v>1.0968276800000001</v>
      </c>
      <c r="R60" s="7">
        <v>1.0973442200000001</v>
      </c>
      <c r="S60" s="7">
        <v>1.09785971</v>
      </c>
      <c r="T60" s="7">
        <v>1.09837356</v>
      </c>
      <c r="U60" s="7">
        <v>1.0988882</v>
      </c>
      <c r="V60" s="7">
        <v>1.0993978</v>
      </c>
      <c r="W60" s="7">
        <v>1.09990491</v>
      </c>
      <c r="X60" s="7">
        <v>1.10040972</v>
      </c>
      <c r="Y60" s="7">
        <v>1.10091114</v>
      </c>
      <c r="Z60" s="7">
        <v>1.1013764500000001</v>
      </c>
      <c r="AA60" s="7">
        <v>1.10183996</v>
      </c>
      <c r="AB60" s="7">
        <v>1.1023017399999999</v>
      </c>
      <c r="AC60" s="7">
        <v>1.10276095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699.58999491999998</v>
      </c>
      <c r="H61" s="7">
        <v>682.10024505000001</v>
      </c>
      <c r="I61" s="7">
        <v>665.04773892000003</v>
      </c>
      <c r="J61" s="7">
        <v>648.42154545000005</v>
      </c>
      <c r="K61" s="7">
        <v>632.21100680999996</v>
      </c>
      <c r="L61" s="7">
        <v>616.40573164</v>
      </c>
      <c r="M61" s="7">
        <v>600.99558835000005</v>
      </c>
      <c r="N61" s="7">
        <v>585.97069864000002</v>
      </c>
      <c r="O61" s="7">
        <v>571.32143117999999</v>
      </c>
      <c r="P61" s="7">
        <v>557.03839778999998</v>
      </c>
      <c r="Q61" s="7">
        <v>543.11243784999999</v>
      </c>
      <c r="R61" s="7">
        <v>529.53462690000003</v>
      </c>
      <c r="S61" s="7">
        <v>516.29626123000003</v>
      </c>
      <c r="T61" s="7">
        <v>503.38885470000002</v>
      </c>
      <c r="U61" s="7">
        <v>490.80413333000001</v>
      </c>
      <c r="V61" s="7">
        <v>478.53402999999997</v>
      </c>
      <c r="W61" s="7">
        <v>466.57168347999999</v>
      </c>
      <c r="X61" s="7">
        <v>454.90741114999997</v>
      </c>
      <c r="Y61" s="7">
        <v>443.53472586999999</v>
      </c>
      <c r="Z61" s="7">
        <v>432.44635771999998</v>
      </c>
      <c r="AA61" s="7">
        <v>421.63519878</v>
      </c>
      <c r="AB61" s="7">
        <v>411.09431881</v>
      </c>
      <c r="AC61" s="7">
        <v>400.81696989</v>
      </c>
    </row>
    <row r="62" spans="1:29" x14ac:dyDescent="0.85">
      <c r="A62" t="s">
        <v>160</v>
      </c>
      <c r="B62" s="7">
        <v>302162.25</v>
      </c>
      <c r="C62" s="7">
        <v>294608.18944496999</v>
      </c>
      <c r="D62" s="7">
        <v>286292.90640286001</v>
      </c>
      <c r="E62" s="7">
        <v>279123.39086963999</v>
      </c>
      <c r="F62" s="7">
        <v>270947.82215617999</v>
      </c>
      <c r="G62" s="7">
        <v>264174.13203820999</v>
      </c>
      <c r="H62" s="7">
        <v>257569.29972725999</v>
      </c>
      <c r="I62" s="7">
        <v>250398.86482732999</v>
      </c>
      <c r="J62" s="7">
        <v>241300.29033284</v>
      </c>
      <c r="K62" s="7">
        <v>235251.02102633999</v>
      </c>
      <c r="L62" s="7">
        <v>228692.02306876</v>
      </c>
      <c r="M62" s="7">
        <v>221621.55432138999</v>
      </c>
      <c r="N62" s="7">
        <v>216000.01874735</v>
      </c>
      <c r="O62" s="7">
        <v>210034.61846944</v>
      </c>
      <c r="P62" s="7">
        <v>204644.46366394</v>
      </c>
      <c r="Q62" s="7">
        <v>199016.74894237</v>
      </c>
      <c r="R62" s="7">
        <v>193840.15839023</v>
      </c>
      <c r="S62" s="7">
        <v>188769.12012209999</v>
      </c>
      <c r="T62" s="7">
        <v>183794.53697019999</v>
      </c>
      <c r="U62" s="7">
        <v>178915.63166126999</v>
      </c>
      <c r="V62" s="7">
        <v>174140.63110644001</v>
      </c>
      <c r="W62" s="7">
        <v>169462.05749558</v>
      </c>
      <c r="X62" s="7">
        <v>164882.84361613001</v>
      </c>
      <c r="Y62" s="7">
        <v>160404.12935557999</v>
      </c>
      <c r="Z62" s="7">
        <v>155994.06785038</v>
      </c>
      <c r="AA62" s="7">
        <v>151714.41836007999</v>
      </c>
      <c r="AB62" s="7">
        <v>147535.64796214999</v>
      </c>
      <c r="AC62" s="7">
        <v>143460.10710438</v>
      </c>
    </row>
    <row r="63" spans="1:29" x14ac:dyDescent="0.85">
      <c r="A63" t="s">
        <v>161</v>
      </c>
      <c r="B63" s="7">
        <v>302162.25</v>
      </c>
      <c r="C63" s="7">
        <v>294608.18944496999</v>
      </c>
      <c r="D63" s="7">
        <v>286292.90640286001</v>
      </c>
      <c r="E63" s="7">
        <v>279123.39086963999</v>
      </c>
      <c r="F63" s="7">
        <v>270947.82215617999</v>
      </c>
      <c r="G63" s="7">
        <v>264174.13203820999</v>
      </c>
      <c r="H63" s="7">
        <v>257569.77588063999</v>
      </c>
      <c r="I63" s="7">
        <v>250401.54594275</v>
      </c>
      <c r="J63" s="7">
        <v>241308.51011390999</v>
      </c>
      <c r="K63" s="7">
        <v>235275.77984164999</v>
      </c>
      <c r="L63" s="7">
        <v>228753.98109535</v>
      </c>
      <c r="M63" s="7">
        <v>221740.92975752</v>
      </c>
      <c r="N63" s="7">
        <v>216196.47543788</v>
      </c>
      <c r="O63" s="7">
        <v>210331.30122881001</v>
      </c>
      <c r="P63" s="7">
        <v>205073.01957897001</v>
      </c>
      <c r="Q63" s="7">
        <v>199601.66478994</v>
      </c>
      <c r="R63" s="7">
        <v>194607.89015016999</v>
      </c>
      <c r="S63" s="7">
        <v>189742.55519401</v>
      </c>
      <c r="T63" s="7">
        <v>184998.97628301999</v>
      </c>
      <c r="U63" s="7">
        <v>180369.1315821</v>
      </c>
      <c r="V63" s="7">
        <v>175859.72557305</v>
      </c>
      <c r="W63" s="7">
        <v>171463.60148504999</v>
      </c>
      <c r="X63" s="7">
        <v>167177.01870869001</v>
      </c>
      <c r="Y63" s="7">
        <v>162997.55263707001</v>
      </c>
      <c r="Z63" s="7">
        <v>158892.54797424001</v>
      </c>
      <c r="AA63" s="7">
        <v>154920.19391387</v>
      </c>
      <c r="AB63" s="7">
        <v>151047.14445739001</v>
      </c>
      <c r="AC63" s="7">
        <v>147270.96917046999</v>
      </c>
    </row>
    <row r="64" spans="1:29" x14ac:dyDescent="0.85">
      <c r="A64" t="s">
        <v>162</v>
      </c>
      <c r="B64" s="7">
        <v>482.29248938000001</v>
      </c>
      <c r="C64" s="7">
        <v>470.23517704</v>
      </c>
      <c r="D64" s="7">
        <v>458.45717979</v>
      </c>
      <c r="E64" s="7">
        <v>446.99546644999998</v>
      </c>
      <c r="F64" s="7">
        <v>435.79270236000002</v>
      </c>
      <c r="G64" s="7">
        <v>424.89789353999998</v>
      </c>
      <c r="H64" s="7">
        <v>414.27544613999999</v>
      </c>
      <c r="I64" s="7">
        <v>403.90158919999999</v>
      </c>
      <c r="J64" s="7">
        <v>393.73809729999999</v>
      </c>
      <c r="K64" s="7">
        <v>383.89464445999999</v>
      </c>
      <c r="L64" s="7">
        <v>374.28238137</v>
      </c>
      <c r="M64" s="7">
        <v>364.89519281999998</v>
      </c>
      <c r="N64" s="7">
        <v>355.77279133000002</v>
      </c>
      <c r="O64" s="7">
        <v>346.86775663999998</v>
      </c>
      <c r="P64" s="7">
        <v>338.19606417</v>
      </c>
      <c r="Q64" s="7">
        <v>329.73314192999999</v>
      </c>
      <c r="R64" s="7">
        <v>321.48972646999999</v>
      </c>
      <c r="S64" s="7">
        <v>313.45248011000001</v>
      </c>
      <c r="T64" s="7">
        <v>305.61616774999999</v>
      </c>
      <c r="U64" s="7">
        <v>297.97565018</v>
      </c>
      <c r="V64" s="7">
        <v>290.52625479</v>
      </c>
      <c r="W64" s="7">
        <v>283.26370809999997</v>
      </c>
      <c r="X64" s="7">
        <v>276.18212740000001</v>
      </c>
      <c r="Y64" s="7">
        <v>269.27757327</v>
      </c>
      <c r="Z64" s="7">
        <v>262.54493400000001</v>
      </c>
      <c r="AA64" s="7">
        <v>255.98130971</v>
      </c>
      <c r="AB64" s="7">
        <v>249.58177592999999</v>
      </c>
      <c r="AC64" s="7">
        <v>243.34223702</v>
      </c>
    </row>
    <row r="65" spans="1:29" x14ac:dyDescent="0.85">
      <c r="A65" t="s">
        <v>163</v>
      </c>
      <c r="B65" s="7">
        <v>0</v>
      </c>
      <c r="C65" s="7">
        <v>48.315743070000003</v>
      </c>
      <c r="D65" s="7">
        <v>46.952036649999997</v>
      </c>
      <c r="E65" s="7">
        <v>45.776236099999998</v>
      </c>
      <c r="F65" s="7">
        <v>44.43544283</v>
      </c>
      <c r="G65" s="7">
        <v>43.324557650000003</v>
      </c>
      <c r="H65" s="7">
        <v>42.241443240000002</v>
      </c>
      <c r="I65" s="7">
        <v>41.065853529999998</v>
      </c>
      <c r="J65" s="7">
        <v>39.57459566</v>
      </c>
      <c r="K65" s="7">
        <v>38.585227889999999</v>
      </c>
      <c r="L65" s="7">
        <v>37.515652899999999</v>
      </c>
      <c r="M65" s="7">
        <v>36.36551248</v>
      </c>
      <c r="N65" s="7">
        <v>35.456221970000001</v>
      </c>
      <c r="O65" s="7">
        <v>34.494333400000002</v>
      </c>
      <c r="P65" s="7">
        <v>33.63197521</v>
      </c>
      <c r="Q65" s="7">
        <v>32.734673030000003</v>
      </c>
      <c r="R65" s="7">
        <v>31.91569398</v>
      </c>
      <c r="S65" s="7">
        <v>31.117779049999999</v>
      </c>
      <c r="T65" s="7">
        <v>30.33983211</v>
      </c>
      <c r="U65" s="7">
        <v>29.580537580000001</v>
      </c>
      <c r="V65" s="7">
        <v>28.840994989999999</v>
      </c>
      <c r="W65" s="7">
        <v>28.12003064</v>
      </c>
      <c r="X65" s="7">
        <v>27.41703107</v>
      </c>
      <c r="Y65" s="7">
        <v>26.731598630000001</v>
      </c>
      <c r="Z65" s="7">
        <v>26.058377870000001</v>
      </c>
      <c r="AA65" s="7">
        <v>25.4069118</v>
      </c>
      <c r="AB65" s="7">
        <v>24.771731689999999</v>
      </c>
      <c r="AC65" s="7">
        <v>24.15243894</v>
      </c>
    </row>
    <row r="66" spans="1:29" x14ac:dyDescent="0.85">
      <c r="A66" t="s">
        <v>164</v>
      </c>
      <c r="B66" s="7">
        <v>0.24777304</v>
      </c>
      <c r="C66" s="7">
        <v>0.24157872</v>
      </c>
      <c r="D66" s="7">
        <v>0.23476018000000001</v>
      </c>
      <c r="E66" s="7">
        <v>0.22888117999999999</v>
      </c>
      <c r="F66" s="7">
        <v>0.22217721000000001</v>
      </c>
      <c r="G66" s="7">
        <v>0.21662279000000001</v>
      </c>
      <c r="H66" s="7">
        <v>0.21120722</v>
      </c>
      <c r="I66" s="7">
        <v>0.20532927000000001</v>
      </c>
      <c r="J66" s="7">
        <v>0.19787298</v>
      </c>
      <c r="K66" s="7">
        <v>0.19292614</v>
      </c>
      <c r="L66" s="7">
        <v>0.18757826</v>
      </c>
      <c r="M66" s="7">
        <v>0.18182756</v>
      </c>
      <c r="N66" s="7">
        <v>0.17728110999999999</v>
      </c>
      <c r="O66" s="7">
        <v>0.17247166999999999</v>
      </c>
      <c r="P66" s="7">
        <v>0.16815988000000001</v>
      </c>
      <c r="Q66" s="7">
        <v>0.16367337000000001</v>
      </c>
      <c r="R66" s="7">
        <v>0.15957847</v>
      </c>
      <c r="S66" s="7">
        <v>0.1555889</v>
      </c>
      <c r="T66" s="7">
        <v>0.15169916</v>
      </c>
      <c r="U66" s="7">
        <v>0.14790269</v>
      </c>
      <c r="V66" s="7">
        <v>0.14420496999999999</v>
      </c>
      <c r="W66" s="7">
        <v>0.14060015000000001</v>
      </c>
      <c r="X66" s="7">
        <v>0.13708516000000001</v>
      </c>
      <c r="Y66" s="7">
        <v>0.13365799</v>
      </c>
      <c r="Z66" s="7">
        <v>0.13029188999999999</v>
      </c>
      <c r="AA66" s="7">
        <v>0.12703455999999999</v>
      </c>
      <c r="AB66" s="7">
        <v>0.12385866</v>
      </c>
      <c r="AC66" s="7">
        <v>0.12076219000000001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418.74791974999999</v>
      </c>
      <c r="H67" s="7">
        <v>408.27922175999998</v>
      </c>
      <c r="I67" s="7">
        <v>398.07224121000002</v>
      </c>
      <c r="J67" s="7">
        <v>388.12043518000002</v>
      </c>
      <c r="K67" s="7">
        <v>378.41742429999999</v>
      </c>
      <c r="L67" s="7">
        <v>368.95698869</v>
      </c>
      <c r="M67" s="7">
        <v>359.73306398</v>
      </c>
      <c r="N67" s="7">
        <v>350.73973738000001</v>
      </c>
      <c r="O67" s="7">
        <v>341.97124394000002</v>
      </c>
      <c r="P67" s="7">
        <v>333.42196428</v>
      </c>
      <c r="Q67" s="7">
        <v>325.08641517000001</v>
      </c>
      <c r="R67" s="7">
        <v>316.95925478999999</v>
      </c>
      <c r="S67" s="7">
        <v>309.03527342000001</v>
      </c>
      <c r="T67" s="7">
        <v>301.30939159000002</v>
      </c>
      <c r="U67" s="7">
        <v>293.77665680000001</v>
      </c>
      <c r="V67" s="7">
        <v>286.43224038</v>
      </c>
      <c r="W67" s="7">
        <v>279.27203545999998</v>
      </c>
      <c r="X67" s="7">
        <v>272.2902464</v>
      </c>
      <c r="Y67" s="7">
        <v>265.48299023999999</v>
      </c>
      <c r="Z67" s="7">
        <v>258.84591547999997</v>
      </c>
      <c r="AA67" s="7">
        <v>252.37476760000001</v>
      </c>
      <c r="AB67" s="7">
        <v>246.06539841</v>
      </c>
      <c r="AC67" s="7">
        <v>239.91376886</v>
      </c>
    </row>
    <row r="68" spans="1:29" x14ac:dyDescent="0.85">
      <c r="A68" t="s">
        <v>166</v>
      </c>
      <c r="B68" s="7">
        <v>7.0343371799999996</v>
      </c>
      <c r="C68" s="7">
        <v>6.8584786500000003</v>
      </c>
      <c r="D68" s="7">
        <v>6.6648988600000001</v>
      </c>
      <c r="E68" s="7">
        <v>6.4979925400000003</v>
      </c>
      <c r="F68" s="7">
        <v>6.3076653</v>
      </c>
      <c r="G68" s="7">
        <v>6.1499737899999998</v>
      </c>
      <c r="H68" s="7">
        <v>5.9962243800000001</v>
      </c>
      <c r="I68" s="7">
        <v>5.8293479899999996</v>
      </c>
      <c r="J68" s="7">
        <v>5.6176621200000003</v>
      </c>
      <c r="K68" s="7">
        <v>5.47722015</v>
      </c>
      <c r="L68" s="7">
        <v>5.3253926800000002</v>
      </c>
      <c r="M68" s="7">
        <v>5.1621288400000003</v>
      </c>
      <c r="N68" s="7">
        <v>5.0330539500000002</v>
      </c>
      <c r="O68" s="7">
        <v>4.8965126899999998</v>
      </c>
      <c r="P68" s="7">
        <v>4.7740999000000004</v>
      </c>
      <c r="Q68" s="7">
        <v>4.64672676</v>
      </c>
      <c r="R68" s="7">
        <v>4.5304716799999998</v>
      </c>
      <c r="S68" s="7">
        <v>4.4172066799999996</v>
      </c>
      <c r="T68" s="7">
        <v>4.30677617</v>
      </c>
      <c r="U68" s="7">
        <v>4.1989933800000001</v>
      </c>
      <c r="V68" s="7">
        <v>4.0940144099999998</v>
      </c>
      <c r="W68" s="7">
        <v>3.99167264</v>
      </c>
      <c r="X68" s="7">
        <v>3.8918810000000001</v>
      </c>
      <c r="Y68" s="7">
        <v>3.7945830300000001</v>
      </c>
      <c r="Z68" s="7">
        <v>3.6990185200000001</v>
      </c>
      <c r="AA68" s="7">
        <v>3.6065421099999999</v>
      </c>
      <c r="AB68" s="7">
        <v>3.5163775199999998</v>
      </c>
      <c r="AC68" s="7">
        <v>3.42846816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0.99999998999999995</v>
      </c>
      <c r="E69" s="7">
        <v>0.99669242000000002</v>
      </c>
      <c r="F69" s="7">
        <v>0.99995632000000001</v>
      </c>
      <c r="G69" s="7">
        <v>0.99559984000000001</v>
      </c>
      <c r="H69" s="7">
        <v>1.0000000200000001</v>
      </c>
      <c r="I69" s="7">
        <v>0.99999998999999995</v>
      </c>
      <c r="J69" s="7">
        <v>0.99709718000000003</v>
      </c>
      <c r="K69" s="7">
        <v>0.98839608999999995</v>
      </c>
      <c r="L69" s="7">
        <v>0.99999992999999998</v>
      </c>
      <c r="M69" s="7">
        <v>0.99721046000000002</v>
      </c>
      <c r="N69" s="7">
        <v>0.99419732000000005</v>
      </c>
      <c r="O69" s="7">
        <v>0.99999568999999999</v>
      </c>
      <c r="P69" s="7">
        <v>0.99781651000000005</v>
      </c>
      <c r="Q69" s="7">
        <v>1</v>
      </c>
      <c r="R69" s="7">
        <v>0.99827688999999997</v>
      </c>
      <c r="S69" s="7">
        <v>0.99998081999999999</v>
      </c>
      <c r="T69" s="7">
        <v>0.99999927</v>
      </c>
      <c r="U69" s="7">
        <v>0.99999992000000004</v>
      </c>
      <c r="V69" s="7">
        <v>0.999973</v>
      </c>
      <c r="W69" s="7">
        <v>0.99999899000000003</v>
      </c>
      <c r="X69" s="7">
        <v>1.00000215</v>
      </c>
      <c r="Y69" s="7">
        <v>1.00000004</v>
      </c>
      <c r="Z69" s="7">
        <v>0.99999974999999997</v>
      </c>
      <c r="AA69" s="7">
        <v>0.99981081000000005</v>
      </c>
      <c r="AB69" s="7">
        <v>0.99999974000000003</v>
      </c>
      <c r="AC69" s="7">
        <v>0.99999970000000005</v>
      </c>
    </row>
    <row r="70" spans="1:29" x14ac:dyDescent="0.85">
      <c r="A70" t="s">
        <v>168</v>
      </c>
      <c r="B70" s="7">
        <v>1</v>
      </c>
      <c r="C70" s="7">
        <v>0.99999998999999995</v>
      </c>
      <c r="D70" s="7">
        <v>0.99669242000000002</v>
      </c>
      <c r="E70" s="7">
        <v>0.99995632000000001</v>
      </c>
      <c r="F70" s="7">
        <v>0.99559984000000001</v>
      </c>
      <c r="G70" s="7">
        <v>1.0000000200000001</v>
      </c>
      <c r="H70" s="7">
        <v>0.99999998999999995</v>
      </c>
      <c r="I70" s="7">
        <v>0.99709718000000003</v>
      </c>
      <c r="J70" s="7">
        <v>0.98839608999999995</v>
      </c>
      <c r="K70" s="7">
        <v>0.99999992999999998</v>
      </c>
      <c r="L70" s="7">
        <v>0.99721046000000002</v>
      </c>
      <c r="M70" s="7">
        <v>0.99419732000000005</v>
      </c>
      <c r="N70" s="7">
        <v>0.99999568999999999</v>
      </c>
      <c r="O70" s="7">
        <v>0.99781651000000005</v>
      </c>
      <c r="P70" s="7">
        <v>1</v>
      </c>
      <c r="Q70" s="7">
        <v>0.99827688999999997</v>
      </c>
      <c r="R70" s="7">
        <v>0.99998081999999999</v>
      </c>
      <c r="S70" s="7">
        <v>0.99999927</v>
      </c>
      <c r="T70" s="7">
        <v>0.99999992000000004</v>
      </c>
      <c r="U70" s="7">
        <v>0.999973</v>
      </c>
      <c r="V70" s="7">
        <v>0.99999899000000003</v>
      </c>
      <c r="W70" s="7">
        <v>1.00000215</v>
      </c>
      <c r="X70" s="7">
        <v>1.00000004</v>
      </c>
      <c r="Y70" s="7">
        <v>0.99999974999999997</v>
      </c>
      <c r="Z70" s="7">
        <v>0.99981081000000005</v>
      </c>
      <c r="AA70" s="7">
        <v>0.99999974000000003</v>
      </c>
      <c r="AB70" s="7">
        <v>0.99999970000000005</v>
      </c>
      <c r="AC70" s="7">
        <v>1.0000000200000001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4.49629016</v>
      </c>
      <c r="E71" s="7">
        <v>4.7146349000000001</v>
      </c>
      <c r="F71" s="7">
        <v>4.9445994600000001</v>
      </c>
      <c r="G71" s="7">
        <v>5.1863814799999997</v>
      </c>
      <c r="H71" s="7">
        <v>5.4471286799999996</v>
      </c>
      <c r="I71" s="7">
        <v>5.7228268</v>
      </c>
      <c r="J71" s="7">
        <v>6.0145172100000002</v>
      </c>
      <c r="K71" s="7">
        <v>6.3223726100000004</v>
      </c>
      <c r="L71" s="7">
        <v>6.6462701500000003</v>
      </c>
      <c r="M71" s="7">
        <v>6.98765825</v>
      </c>
      <c r="N71" s="7">
        <v>7.3474064700000001</v>
      </c>
      <c r="O71" s="7">
        <v>7.7260201000000004</v>
      </c>
      <c r="P71" s="7">
        <v>8.1246857299999995</v>
      </c>
      <c r="Q71" s="7">
        <v>8.54448221</v>
      </c>
      <c r="R71" s="7">
        <v>8.9864866299999999</v>
      </c>
      <c r="S71" s="7">
        <v>9.4516576400000005</v>
      </c>
      <c r="T71" s="7">
        <v>9.9412055899999991</v>
      </c>
      <c r="U71" s="7">
        <v>10.456392340000001</v>
      </c>
      <c r="V71" s="7">
        <v>10.998425170000001</v>
      </c>
      <c r="W71" s="7">
        <v>11.56868579</v>
      </c>
      <c r="X71" s="7">
        <v>12.16848624</v>
      </c>
      <c r="Y71" s="7">
        <v>12.799527189999999</v>
      </c>
      <c r="Z71" s="7">
        <v>13.470814949999999</v>
      </c>
      <c r="AA71" s="7">
        <v>14.177047999999999</v>
      </c>
      <c r="AB71" s="7">
        <v>14.919916580000001</v>
      </c>
      <c r="AC71" s="7">
        <v>15.701169</v>
      </c>
    </row>
    <row r="72" spans="1:29" x14ac:dyDescent="0.85">
      <c r="A72" t="s">
        <v>170</v>
      </c>
      <c r="B72" s="7">
        <v>0</v>
      </c>
      <c r="C72" s="7">
        <v>0</v>
      </c>
      <c r="D72" s="7">
        <v>6.1500000000000004E-6</v>
      </c>
      <c r="E72" s="7">
        <v>0.22862147999999999</v>
      </c>
      <c r="F72" s="7">
        <v>4.5644337200000002</v>
      </c>
      <c r="G72" s="7">
        <v>8.5397719199999997</v>
      </c>
      <c r="H72" s="7">
        <v>9.3481687600000001</v>
      </c>
      <c r="I72" s="7">
        <v>8.8696599299999992</v>
      </c>
      <c r="J72" s="7">
        <v>8.3759955599999998</v>
      </c>
      <c r="K72" s="7">
        <v>7.6171298199999997</v>
      </c>
      <c r="L72" s="7">
        <v>6.8563256299999997</v>
      </c>
      <c r="M72" s="7">
        <v>6.1707898700000001</v>
      </c>
      <c r="N72" s="7">
        <v>5.5590550099999998</v>
      </c>
      <c r="O72" s="7">
        <v>5.6576681400000002</v>
      </c>
      <c r="P72" s="7">
        <v>5.0950479</v>
      </c>
      <c r="Q72" s="7">
        <v>4.6360848499999996</v>
      </c>
      <c r="R72" s="7">
        <v>4.2038312900000001</v>
      </c>
      <c r="S72" s="7">
        <v>3.8935547599999998</v>
      </c>
      <c r="T72" s="7">
        <v>3.5902213600000001</v>
      </c>
      <c r="U72" s="7">
        <v>3.3297425199999999</v>
      </c>
      <c r="V72" s="7">
        <v>3.0311790200000002</v>
      </c>
      <c r="W72" s="7">
        <v>2.7794013199999998</v>
      </c>
      <c r="X72" s="7">
        <v>2.72470437</v>
      </c>
      <c r="Y72" s="7">
        <v>2.4550750899999998</v>
      </c>
      <c r="Z72" s="7">
        <v>2.22649323</v>
      </c>
      <c r="AA72" s="7">
        <v>2.1192831999999999</v>
      </c>
      <c r="AB72" s="7">
        <v>2.12140606</v>
      </c>
      <c r="AC72" s="7">
        <v>2.2369541399999999</v>
      </c>
    </row>
    <row r="73" spans="1:29" x14ac:dyDescent="0.85">
      <c r="A73" t="s">
        <v>171</v>
      </c>
      <c r="B73" s="7">
        <v>0</v>
      </c>
      <c r="C73" s="7">
        <v>0</v>
      </c>
      <c r="D73" s="7">
        <v>3.9999999999999998E-7</v>
      </c>
      <c r="E73" s="7">
        <v>5.7127369999999997E-2</v>
      </c>
      <c r="F73" s="7">
        <v>1.0896936500000001</v>
      </c>
      <c r="G73" s="7">
        <v>1.1079463000000001</v>
      </c>
      <c r="H73" s="7">
        <v>2.3364463199999999</v>
      </c>
      <c r="I73" s="7">
        <v>2.2174104799999999</v>
      </c>
      <c r="J73" s="7">
        <v>2.0939521499999998</v>
      </c>
      <c r="K73" s="7">
        <v>1.9042774</v>
      </c>
      <c r="L73" s="7">
        <v>1.7140725400000001</v>
      </c>
      <c r="M73" s="7">
        <v>1.54266992</v>
      </c>
      <c r="N73" s="7">
        <v>1.38976159</v>
      </c>
      <c r="O73" s="7">
        <v>1.4144132899999999</v>
      </c>
      <c r="P73" s="7">
        <v>1.2730842600000001</v>
      </c>
      <c r="Q73" s="7">
        <v>1.1581157900000001</v>
      </c>
      <c r="R73" s="7">
        <v>1.0509545899999999</v>
      </c>
      <c r="S73" s="7">
        <v>0.97334725</v>
      </c>
      <c r="T73" s="7">
        <v>0.89755468000000005</v>
      </c>
      <c r="U73" s="7">
        <v>0.83096433999999997</v>
      </c>
      <c r="V73" s="7">
        <v>0.74162570000000005</v>
      </c>
      <c r="W73" s="7">
        <v>0.69483921000000004</v>
      </c>
      <c r="X73" s="7">
        <v>1.1746799699999999</v>
      </c>
      <c r="Y73" s="7">
        <v>0.61376600999999997</v>
      </c>
      <c r="Z73" s="7">
        <v>0.55658640000000004</v>
      </c>
      <c r="AA73" s="7">
        <v>0.52982066999999999</v>
      </c>
      <c r="AB73" s="7">
        <v>0.53033682000000004</v>
      </c>
      <c r="AC73" s="7">
        <v>0.55923701000000003</v>
      </c>
    </row>
    <row r="74" spans="1:29" x14ac:dyDescent="0.85">
      <c r="A74" t="s">
        <v>172</v>
      </c>
      <c r="B74" s="7">
        <v>0</v>
      </c>
      <c r="C74" s="7">
        <v>0</v>
      </c>
      <c r="D74" s="7">
        <v>3.9999999999999998E-7</v>
      </c>
      <c r="E74" s="7">
        <v>5.7127369999999997E-2</v>
      </c>
      <c r="F74" s="7">
        <v>1.0896936500000001</v>
      </c>
      <c r="G74" s="7">
        <v>1.1079463000000001</v>
      </c>
      <c r="H74" s="7">
        <v>2.3364463199999999</v>
      </c>
      <c r="I74" s="7">
        <v>2.2174104799999999</v>
      </c>
      <c r="J74" s="7">
        <v>2.0939521499999998</v>
      </c>
      <c r="K74" s="7">
        <v>1.9042774</v>
      </c>
      <c r="L74" s="7">
        <v>1.7140725400000001</v>
      </c>
      <c r="M74" s="7">
        <v>1.54266992</v>
      </c>
      <c r="N74" s="7">
        <v>1.38976159</v>
      </c>
      <c r="O74" s="7">
        <v>1.4144132899999999</v>
      </c>
      <c r="P74" s="7">
        <v>1.2730842600000001</v>
      </c>
      <c r="Q74" s="7">
        <v>1.1581157900000001</v>
      </c>
      <c r="R74" s="7">
        <v>1.0509545899999999</v>
      </c>
      <c r="S74" s="7">
        <v>0.97334725</v>
      </c>
      <c r="T74" s="7">
        <v>0.89755468000000005</v>
      </c>
      <c r="U74" s="7">
        <v>0.83096433999999997</v>
      </c>
      <c r="V74" s="7">
        <v>0.74162570000000005</v>
      </c>
      <c r="W74" s="7">
        <v>0.69483921000000004</v>
      </c>
      <c r="X74" s="7">
        <v>1.1746799699999999</v>
      </c>
      <c r="Y74" s="7">
        <v>0.61376600999999997</v>
      </c>
      <c r="Z74" s="7">
        <v>0.55658640000000004</v>
      </c>
      <c r="AA74" s="7">
        <v>0.52982066999999999</v>
      </c>
      <c r="AB74" s="7">
        <v>0.53033682000000004</v>
      </c>
      <c r="AC74" s="7">
        <v>0.55923701000000003</v>
      </c>
    </row>
    <row r="75" spans="1:29" x14ac:dyDescent="0.85">
      <c r="A75" t="s">
        <v>173</v>
      </c>
      <c r="B75" s="7">
        <v>0</v>
      </c>
      <c r="C75" s="7">
        <v>0</v>
      </c>
      <c r="D75" s="7">
        <v>1.6300000000000001E-6</v>
      </c>
      <c r="E75" s="7">
        <v>6.0714990000000003E-2</v>
      </c>
      <c r="F75" s="7">
        <v>1.2121755299999999</v>
      </c>
      <c r="G75" s="7">
        <v>2.2678922899999998</v>
      </c>
      <c r="H75" s="7">
        <v>2.4825922899999999</v>
      </c>
      <c r="I75" s="7">
        <v>2.3555147500000002</v>
      </c>
      <c r="J75" s="7">
        <v>2.2244123500000001</v>
      </c>
      <c r="K75" s="7">
        <v>2.0228804500000002</v>
      </c>
      <c r="L75" s="7">
        <v>1.82083375</v>
      </c>
      <c r="M75" s="7">
        <v>1.6387760899999999</v>
      </c>
      <c r="N75" s="7">
        <v>1.4763177199999999</v>
      </c>
      <c r="O75" s="7">
        <v>1.5025063999999999</v>
      </c>
      <c r="P75" s="7">
        <v>1.35309138</v>
      </c>
      <c r="Q75" s="7">
        <v>1.23120461</v>
      </c>
      <c r="R75" s="7">
        <v>1.11641108</v>
      </c>
      <c r="S75" s="7">
        <v>1.03401097</v>
      </c>
      <c r="T75" s="7">
        <v>0.95345475000000002</v>
      </c>
      <c r="U75" s="7">
        <v>0.88427939</v>
      </c>
      <c r="V75" s="7">
        <v>0.80498970000000003</v>
      </c>
      <c r="W75" s="7">
        <v>0.73812535000000001</v>
      </c>
      <c r="X75" s="7">
        <v>0.72360628000000005</v>
      </c>
      <c r="Y75" s="7">
        <v>0.65199406000000004</v>
      </c>
      <c r="Z75" s="7">
        <v>0.59128959999999997</v>
      </c>
      <c r="AA75" s="7">
        <v>0.56281784000000001</v>
      </c>
      <c r="AB75" s="7">
        <v>0.56338160999999998</v>
      </c>
      <c r="AC75" s="7">
        <v>0.59406769999999998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1.2699999999999999E-6</v>
      </c>
      <c r="F76" s="7">
        <v>2.425E-5</v>
      </c>
      <c r="G76" s="7">
        <v>2.4649999999999999E-5</v>
      </c>
      <c r="H76" s="7">
        <v>5.1990000000000002E-5</v>
      </c>
      <c r="I76" s="7">
        <v>4.9339999999999999E-5</v>
      </c>
      <c r="J76" s="7">
        <v>4.6589999999999999E-5</v>
      </c>
      <c r="K76" s="7">
        <v>4.2370000000000003E-5</v>
      </c>
      <c r="L76" s="7">
        <v>3.8139999999999997E-5</v>
      </c>
      <c r="M76" s="7">
        <v>3.4319999999999997E-5</v>
      </c>
      <c r="N76" s="7">
        <v>3.0920000000000002E-5</v>
      </c>
      <c r="O76" s="7">
        <v>3.1470000000000002E-5</v>
      </c>
      <c r="P76" s="7">
        <v>2.8330000000000002E-5</v>
      </c>
      <c r="Q76" s="7">
        <v>2.5769999999999999E-5</v>
      </c>
      <c r="R76" s="7">
        <v>2.338E-5</v>
      </c>
      <c r="S76" s="7">
        <v>2.1659999999999999E-5</v>
      </c>
      <c r="T76" s="7">
        <v>1.997E-5</v>
      </c>
      <c r="U76" s="7">
        <v>1.8490000000000001E-5</v>
      </c>
      <c r="V76" s="7">
        <v>1.6500000000000001E-5</v>
      </c>
      <c r="W76" s="7">
        <v>1.5460000000000001E-5</v>
      </c>
      <c r="X76" s="7">
        <v>2.614E-5</v>
      </c>
      <c r="Y76" s="7">
        <v>1.366E-5</v>
      </c>
      <c r="Z76" s="7">
        <v>1.238E-5</v>
      </c>
      <c r="AA76" s="7">
        <v>1.1790000000000001E-5</v>
      </c>
      <c r="AB76" s="7">
        <v>1.1800000000000001E-5</v>
      </c>
      <c r="AC76" s="7">
        <v>1.2439999999999999E-5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1E-8</v>
      </c>
      <c r="F77" s="7">
        <v>1.1999999999999999E-7</v>
      </c>
      <c r="G77" s="7">
        <v>1.1999999999999999E-7</v>
      </c>
      <c r="H77" s="7">
        <v>2.6E-7</v>
      </c>
      <c r="I77" s="7">
        <v>2.4999999999999999E-7</v>
      </c>
      <c r="J77" s="7">
        <v>2.2999999999999999E-7</v>
      </c>
      <c r="K77" s="7">
        <v>2.1E-7</v>
      </c>
      <c r="L77" s="7">
        <v>1.9000000000000001E-7</v>
      </c>
      <c r="M77" s="7">
        <v>1.6999999999999999E-7</v>
      </c>
      <c r="N77" s="7">
        <v>1.4999999999999999E-7</v>
      </c>
      <c r="O77" s="7">
        <v>1.6E-7</v>
      </c>
      <c r="P77" s="7">
        <v>1.4000000000000001E-7</v>
      </c>
      <c r="Q77" s="7">
        <v>1.3E-7</v>
      </c>
      <c r="R77" s="7">
        <v>1.1999999999999999E-7</v>
      </c>
      <c r="S77" s="7">
        <v>1.1000000000000001E-7</v>
      </c>
      <c r="T77" s="7">
        <v>9.9999999999999995E-8</v>
      </c>
      <c r="U77" s="7">
        <v>8.9999999999999999E-8</v>
      </c>
      <c r="V77" s="7">
        <v>8.0000000000000002E-8</v>
      </c>
      <c r="W77" s="7">
        <v>8.0000000000000002E-8</v>
      </c>
      <c r="X77" s="7">
        <v>1.3E-7</v>
      </c>
      <c r="Y77" s="7">
        <v>7.0000000000000005E-8</v>
      </c>
      <c r="Z77" s="7">
        <v>5.9999999999999995E-8</v>
      </c>
      <c r="AA77" s="7">
        <v>5.9999999999999995E-8</v>
      </c>
      <c r="AB77" s="7">
        <v>5.9999999999999995E-8</v>
      </c>
      <c r="AC77" s="7">
        <v>5.9999999999999995E-8</v>
      </c>
    </row>
    <row r="78" spans="1:29" x14ac:dyDescent="0.85">
      <c r="A78" t="s">
        <v>176</v>
      </c>
      <c r="B78" s="7">
        <v>0</v>
      </c>
      <c r="C78" s="7">
        <v>0</v>
      </c>
      <c r="D78" s="7">
        <v>1.6300000000000001E-6</v>
      </c>
      <c r="E78" s="7">
        <v>6.0714200000000003E-2</v>
      </c>
      <c r="F78" s="7">
        <v>1.2121605200000001</v>
      </c>
      <c r="G78" s="7">
        <v>2.2678770300000002</v>
      </c>
      <c r="H78" s="7">
        <v>2.48256012</v>
      </c>
      <c r="I78" s="7">
        <v>2.3554842200000001</v>
      </c>
      <c r="J78" s="7">
        <v>2.2243835199999999</v>
      </c>
      <c r="K78" s="7">
        <v>2.0228542300000001</v>
      </c>
      <c r="L78" s="7">
        <v>1.82081015</v>
      </c>
      <c r="M78" s="7">
        <v>1.63875484</v>
      </c>
      <c r="N78" s="7">
        <v>1.4762985799999999</v>
      </c>
      <c r="O78" s="7">
        <v>1.5024869199999999</v>
      </c>
      <c r="P78" s="7">
        <v>1.3530738499999999</v>
      </c>
      <c r="Q78" s="7">
        <v>1.2311886599999999</v>
      </c>
      <c r="R78" s="7">
        <v>1.11639661</v>
      </c>
      <c r="S78" s="7">
        <v>1.0339975699999999</v>
      </c>
      <c r="T78" s="7">
        <v>0.95344238999999997</v>
      </c>
      <c r="U78" s="7">
        <v>0.88426793999999997</v>
      </c>
      <c r="V78" s="7">
        <v>0.80497949000000002</v>
      </c>
      <c r="W78" s="7">
        <v>0.73811578</v>
      </c>
      <c r="X78" s="7">
        <v>0.72359010000000001</v>
      </c>
      <c r="Y78" s="7">
        <v>0.65198560999999999</v>
      </c>
      <c r="Z78" s="7">
        <v>0.59128192999999996</v>
      </c>
      <c r="AA78" s="7">
        <v>0.56281053999999997</v>
      </c>
      <c r="AB78" s="7">
        <v>0.56337429999999999</v>
      </c>
      <c r="AC78" s="7">
        <v>0.59406000000000003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7.8999999999999995E-7</v>
      </c>
      <c r="F79" s="7">
        <v>1.501E-5</v>
      </c>
      <c r="G79" s="7">
        <v>1.526E-5</v>
      </c>
      <c r="H79" s="7">
        <v>3.2169999999999999E-5</v>
      </c>
      <c r="I79" s="7">
        <v>3.0530000000000001E-5</v>
      </c>
      <c r="J79" s="7">
        <v>2.883E-5</v>
      </c>
      <c r="K79" s="7">
        <v>2.622E-5</v>
      </c>
      <c r="L79" s="7">
        <v>2.3600000000000001E-5</v>
      </c>
      <c r="M79" s="7">
        <v>2.124E-5</v>
      </c>
      <c r="N79" s="7">
        <v>1.914E-5</v>
      </c>
      <c r="O79" s="7">
        <v>1.948E-5</v>
      </c>
      <c r="P79" s="7">
        <v>1.753E-5</v>
      </c>
      <c r="Q79" s="7">
        <v>1.5950000000000001E-5</v>
      </c>
      <c r="R79" s="7">
        <v>1.447E-5</v>
      </c>
      <c r="S79" s="7">
        <v>1.34E-5</v>
      </c>
      <c r="T79" s="7">
        <v>1.236E-5</v>
      </c>
      <c r="U79" s="7">
        <v>1.1440000000000001E-5</v>
      </c>
      <c r="V79" s="7">
        <v>1.0210000000000001E-5</v>
      </c>
      <c r="W79" s="7">
        <v>9.5699999999999999E-6</v>
      </c>
      <c r="X79" s="7">
        <v>1.6180000000000001E-5</v>
      </c>
      <c r="Y79" s="7">
        <v>8.4500000000000004E-6</v>
      </c>
      <c r="Z79" s="7">
        <v>7.6599999999999995E-6</v>
      </c>
      <c r="AA79" s="7">
        <v>7.3000000000000004E-6</v>
      </c>
      <c r="AB79" s="7">
        <v>7.3000000000000004E-6</v>
      </c>
      <c r="AC79" s="7">
        <v>7.7000000000000008E-6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1.0000000200000001</v>
      </c>
      <c r="F80" s="7">
        <v>1.0005728</v>
      </c>
      <c r="G80" s="7">
        <v>1.0105461899999999</v>
      </c>
      <c r="H80" s="7">
        <v>1.0103598899999999</v>
      </c>
      <c r="I80" s="7">
        <v>1.0037510199999999</v>
      </c>
      <c r="J80" s="7">
        <v>1.00099425</v>
      </c>
      <c r="K80" s="7">
        <v>1.0008277400000001</v>
      </c>
      <c r="L80" s="7">
        <v>1.0001601099999999</v>
      </c>
      <c r="M80" s="7">
        <v>1.00000179</v>
      </c>
      <c r="N80" s="7">
        <v>1.00000018</v>
      </c>
      <c r="O80" s="7">
        <v>1.00000983</v>
      </c>
      <c r="P80" s="7">
        <v>1.00116523</v>
      </c>
      <c r="Q80" s="7">
        <v>1.0000054199999999</v>
      </c>
      <c r="R80" s="7">
        <v>1.0000843699999999</v>
      </c>
      <c r="S80" s="7">
        <v>1.00005071</v>
      </c>
      <c r="T80" s="7">
        <v>1.00017259</v>
      </c>
      <c r="U80" s="7">
        <v>1.0001307100000001</v>
      </c>
      <c r="V80" s="7">
        <v>1.0001452099999999</v>
      </c>
      <c r="W80" s="7">
        <v>1.00004918</v>
      </c>
      <c r="X80" s="7">
        <v>1.0000712</v>
      </c>
      <c r="Y80" s="7">
        <v>1.00030047</v>
      </c>
      <c r="Z80" s="7">
        <v>1.0000037100000001</v>
      </c>
      <c r="AA80" s="7">
        <v>1.0000214599999999</v>
      </c>
      <c r="AB80" s="7">
        <v>1.0001420700000001</v>
      </c>
      <c r="AC80" s="7">
        <v>1.0002557599999999</v>
      </c>
    </row>
    <row r="81" spans="1:29" x14ac:dyDescent="0.85">
      <c r="A81" t="s">
        <v>179</v>
      </c>
      <c r="B81" s="7">
        <v>1</v>
      </c>
      <c r="C81" s="7">
        <v>1</v>
      </c>
      <c r="D81" s="7">
        <v>1.0000000200000001</v>
      </c>
      <c r="E81" s="7">
        <v>1.0005728</v>
      </c>
      <c r="F81" s="7">
        <v>1.0105461899999999</v>
      </c>
      <c r="G81" s="7">
        <v>1.0103598899999999</v>
      </c>
      <c r="H81" s="7">
        <v>1.0037510199999999</v>
      </c>
      <c r="I81" s="7">
        <v>1.00099425</v>
      </c>
      <c r="J81" s="7">
        <v>1.0008277400000001</v>
      </c>
      <c r="K81" s="7">
        <v>1.0001601099999999</v>
      </c>
      <c r="L81" s="7">
        <v>1.00000179</v>
      </c>
      <c r="M81" s="7">
        <v>1.00000018</v>
      </c>
      <c r="N81" s="7">
        <v>1.00000983</v>
      </c>
      <c r="O81" s="7">
        <v>1.00116523</v>
      </c>
      <c r="P81" s="7">
        <v>1.0000054199999999</v>
      </c>
      <c r="Q81" s="7">
        <v>1.0000843699999999</v>
      </c>
      <c r="R81" s="7">
        <v>1.00005071</v>
      </c>
      <c r="S81" s="7">
        <v>1.00017259</v>
      </c>
      <c r="T81" s="7">
        <v>1.0001307100000001</v>
      </c>
      <c r="U81" s="7">
        <v>1.0001452099999999</v>
      </c>
      <c r="V81" s="7">
        <v>1.00004918</v>
      </c>
      <c r="W81" s="7">
        <v>1.0000712</v>
      </c>
      <c r="X81" s="7">
        <v>1.00030047</v>
      </c>
      <c r="Y81" s="7">
        <v>1.0000037100000001</v>
      </c>
      <c r="Z81" s="7">
        <v>1.0000214599999999</v>
      </c>
      <c r="AA81" s="7">
        <v>1.0001420700000001</v>
      </c>
      <c r="AB81" s="7">
        <v>1.0002557599999999</v>
      </c>
      <c r="AC81" s="7">
        <v>1.00038022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4A672-9945-49E6-9BD9-5E7BC438F240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26522.35725207</v>
      </c>
      <c r="D5" s="7">
        <v>27352.43080323</v>
      </c>
      <c r="E5" s="7">
        <v>27984.163486149999</v>
      </c>
      <c r="F5" s="7">
        <v>28512.869167739998</v>
      </c>
      <c r="G5" s="7">
        <v>29062.714578759998</v>
      </c>
      <c r="H5" s="7">
        <v>29626.803750390001</v>
      </c>
      <c r="I5" s="7">
        <v>30204.146718709999</v>
      </c>
      <c r="J5" s="7">
        <v>30795.738213699999</v>
      </c>
      <c r="K5" s="7">
        <v>31401.090304590001</v>
      </c>
      <c r="L5" s="7">
        <v>32037.51670199</v>
      </c>
      <c r="M5" s="7">
        <v>32690.20826915</v>
      </c>
      <c r="N5" s="7">
        <v>33362.20483214</v>
      </c>
      <c r="O5" s="7">
        <v>34049.576652030002</v>
      </c>
      <c r="P5" s="7">
        <v>34751.985378090001</v>
      </c>
      <c r="Q5" s="7">
        <v>35470.83810506</v>
      </c>
      <c r="R5" s="7">
        <v>36205.399159929999</v>
      </c>
      <c r="S5" s="7">
        <v>36956.712370900001</v>
      </c>
      <c r="T5" s="7">
        <v>37725.186687180001</v>
      </c>
      <c r="U5" s="7">
        <v>38509.628484649998</v>
      </c>
      <c r="V5" s="7">
        <v>39312.310490190001</v>
      </c>
      <c r="W5" s="7">
        <v>40183.078537410001</v>
      </c>
      <c r="X5" s="7">
        <v>41190.21501729</v>
      </c>
      <c r="Y5" s="7">
        <v>42216.935928979998</v>
      </c>
      <c r="Z5" s="7">
        <v>43263.600570349998</v>
      </c>
      <c r="AA5" s="7">
        <v>44330.527727519999</v>
      </c>
      <c r="AB5" s="7">
        <v>45418.509727960001</v>
      </c>
      <c r="AC5" s="7">
        <v>46527.591357429999</v>
      </c>
    </row>
    <row r="6" spans="1:29" x14ac:dyDescent="0.85">
      <c r="A6" t="s">
        <v>106</v>
      </c>
      <c r="B6" s="7">
        <v>90406301.25</v>
      </c>
      <c r="C6" s="7">
        <v>92909042.834849298</v>
      </c>
      <c r="D6" s="7">
        <v>95461839.033615604</v>
      </c>
      <c r="E6" s="7">
        <v>98065689.653767496</v>
      </c>
      <c r="F6" s="7">
        <v>100721620.98848701</v>
      </c>
      <c r="G6" s="7">
        <v>103430668.935212</v>
      </c>
      <c r="H6" s="7">
        <v>106193897.899671</v>
      </c>
      <c r="I6" s="7">
        <v>109012391.399473</v>
      </c>
      <c r="J6" s="7">
        <v>111887254.81423999</v>
      </c>
      <c r="K6" s="7">
        <v>114819615.462338</v>
      </c>
      <c r="L6" s="7">
        <v>117810623.339348</v>
      </c>
      <c r="M6" s="7">
        <v>120861451.36699399</v>
      </c>
      <c r="N6" s="7">
        <v>123973295.90804499</v>
      </c>
      <c r="O6" s="7">
        <v>127147377.36000399</v>
      </c>
      <c r="P6" s="7">
        <v>130384940.541049</v>
      </c>
      <c r="Q6" s="7">
        <v>133687254.875504</v>
      </c>
      <c r="R6" s="7">
        <v>137055615.55927801</v>
      </c>
      <c r="S6" s="7">
        <v>140491343.438173</v>
      </c>
      <c r="T6" s="7">
        <v>143995785.76750001</v>
      </c>
      <c r="U6" s="7">
        <v>147570317.14472899</v>
      </c>
      <c r="V6" s="7">
        <v>151216338.96948299</v>
      </c>
      <c r="W6" s="7">
        <v>154935281.39279601</v>
      </c>
      <c r="X6" s="7">
        <v>158728602.57809201</v>
      </c>
      <c r="Y6" s="7">
        <v>162597790.190323</v>
      </c>
      <c r="Z6" s="7">
        <v>166544361.55371001</v>
      </c>
      <c r="AA6" s="7">
        <v>170569864.33816499</v>
      </c>
      <c r="AB6" s="7">
        <v>174675877.177926</v>
      </c>
      <c r="AC6" s="7">
        <v>178864010.28994501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10085.13215084</v>
      </c>
      <c r="D8" s="7">
        <v>10185.91207187</v>
      </c>
      <c r="E8" s="7">
        <v>10218.43544454</v>
      </c>
      <c r="F8" s="7">
        <v>10205.56079279</v>
      </c>
      <c r="G8" s="7">
        <v>10201.028209640001</v>
      </c>
      <c r="H8" s="7">
        <v>10202.10128273</v>
      </c>
      <c r="I8" s="7">
        <v>10208.442847009999</v>
      </c>
      <c r="J8" s="7">
        <v>10220.19716946</v>
      </c>
      <c r="K8" s="7">
        <v>10237.16847368</v>
      </c>
      <c r="L8" s="7">
        <v>10264.710746799999</v>
      </c>
      <c r="M8" s="7">
        <v>10298.066250149999</v>
      </c>
      <c r="N8" s="7">
        <v>10338.173679920001</v>
      </c>
      <c r="O8" s="7">
        <v>10383.64677164</v>
      </c>
      <c r="P8" s="7">
        <v>10434.133850480001</v>
      </c>
      <c r="Q8" s="7">
        <v>10490.22275606</v>
      </c>
      <c r="R8" s="7">
        <v>10551.43278478</v>
      </c>
      <c r="S8" s="7">
        <v>10618.08065272</v>
      </c>
      <c r="T8" s="7">
        <v>10690.35677921</v>
      </c>
      <c r="U8" s="7">
        <v>10767.423862739999</v>
      </c>
      <c r="V8" s="7">
        <v>10850.30697679</v>
      </c>
      <c r="W8" s="7">
        <v>10954.339704530001</v>
      </c>
      <c r="X8" s="7">
        <v>11101.25996607</v>
      </c>
      <c r="Y8" s="7">
        <v>11254.024362730001</v>
      </c>
      <c r="Z8" s="7">
        <v>11412.60218933</v>
      </c>
      <c r="AA8" s="7">
        <v>11577.04537419</v>
      </c>
      <c r="AB8" s="7">
        <v>11747.5274097</v>
      </c>
      <c r="AC8" s="7">
        <v>11923.948102890001</v>
      </c>
    </row>
    <row r="9" spans="1:29" x14ac:dyDescent="0.85">
      <c r="A9" t="s">
        <v>109</v>
      </c>
      <c r="B9" s="7">
        <v>1681.7490151500001</v>
      </c>
      <c r="C9" s="7">
        <v>1723.3889549999999</v>
      </c>
      <c r="D9" s="7">
        <v>1768.04239102</v>
      </c>
      <c r="E9" s="7">
        <v>1832.01798205</v>
      </c>
      <c r="F9" s="7">
        <v>1906.3667545599999</v>
      </c>
      <c r="G9" s="7">
        <v>1981.11096916</v>
      </c>
      <c r="H9" s="7">
        <v>2056.8707310899999</v>
      </c>
      <c r="I9" s="7">
        <v>2133.7365260800002</v>
      </c>
      <c r="J9" s="7">
        <v>2211.7073006800001</v>
      </c>
      <c r="K9" s="7">
        <v>2290.8506555700001</v>
      </c>
      <c r="L9" s="7">
        <v>2370.2187162999999</v>
      </c>
      <c r="M9" s="7">
        <v>2450.7083584400002</v>
      </c>
      <c r="N9" s="7">
        <v>2532.1834261499998</v>
      </c>
      <c r="O9" s="7">
        <v>2614.9318773599998</v>
      </c>
      <c r="P9" s="7">
        <v>2699.0439387800002</v>
      </c>
      <c r="Q9" s="7">
        <v>2784.4395474299999</v>
      </c>
      <c r="R9" s="7">
        <v>2871.25345978</v>
      </c>
      <c r="S9" s="7">
        <v>2959.4533996099999</v>
      </c>
      <c r="T9" s="7">
        <v>3049.05343597</v>
      </c>
      <c r="U9" s="7">
        <v>3140.2450711299998</v>
      </c>
      <c r="V9" s="7">
        <v>3232.8646108500002</v>
      </c>
      <c r="W9" s="7">
        <v>3324.1675307800001</v>
      </c>
      <c r="X9" s="7">
        <v>3410.214571</v>
      </c>
      <c r="Y9" s="7">
        <v>3497.81744716</v>
      </c>
      <c r="Z9" s="7">
        <v>3587.0215964700001</v>
      </c>
      <c r="AA9" s="7">
        <v>3677.8666954400001</v>
      </c>
      <c r="AB9" s="7">
        <v>3770.3646366500002</v>
      </c>
      <c r="AC9" s="7">
        <v>3864.58090748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5792.40854588</v>
      </c>
      <c r="D11" s="7">
        <v>6000.7169869999998</v>
      </c>
      <c r="E11" s="7">
        <v>6283.8943697499999</v>
      </c>
      <c r="F11" s="7">
        <v>6609.5107748099999</v>
      </c>
      <c r="G11" s="7">
        <v>6936.0615839499997</v>
      </c>
      <c r="H11" s="7">
        <v>7266.03554403</v>
      </c>
      <c r="I11" s="7">
        <v>7599.8104804499999</v>
      </c>
      <c r="J11" s="7">
        <v>7937.3994383299996</v>
      </c>
      <c r="K11" s="7">
        <v>8279.08836299</v>
      </c>
      <c r="L11" s="7">
        <v>8621.1176843199992</v>
      </c>
      <c r="M11" s="7">
        <v>8967.0761270300009</v>
      </c>
      <c r="N11" s="7">
        <v>9316.4369858299997</v>
      </c>
      <c r="O11" s="7">
        <v>9670.3626087100001</v>
      </c>
      <c r="P11" s="7">
        <v>10029.227405199999</v>
      </c>
      <c r="Q11" s="7">
        <v>10392.72700995</v>
      </c>
      <c r="R11" s="7">
        <v>10761.412416380001</v>
      </c>
      <c r="S11" s="7">
        <v>11135.16924345</v>
      </c>
      <c r="T11" s="7">
        <v>11514.067129470001</v>
      </c>
      <c r="U11" s="7">
        <v>11898.882341349999</v>
      </c>
      <c r="V11" s="7">
        <v>12288.975842399999</v>
      </c>
      <c r="W11" s="7">
        <v>12673.427347409999</v>
      </c>
      <c r="X11" s="7">
        <v>13036.56360146</v>
      </c>
      <c r="Y11" s="7">
        <v>13405.51133854</v>
      </c>
      <c r="Z11" s="7">
        <v>13780.485214140001</v>
      </c>
      <c r="AA11" s="7">
        <v>14161.647580090001</v>
      </c>
      <c r="AB11" s="7">
        <v>14549.057348800001</v>
      </c>
      <c r="AC11" s="7">
        <v>14942.986725639999</v>
      </c>
    </row>
    <row r="12" spans="1:29" x14ac:dyDescent="0.85">
      <c r="A12" t="s">
        <v>111</v>
      </c>
      <c r="B12" s="7">
        <v>11672.835223759999</v>
      </c>
      <c r="C12" s="7">
        <v>11808.52110584</v>
      </c>
      <c r="D12" s="7">
        <v>11953.95446289</v>
      </c>
      <c r="E12" s="7">
        <v>12050.45342659</v>
      </c>
      <c r="F12" s="7">
        <v>12111.92754735</v>
      </c>
      <c r="G12" s="7">
        <v>12182.139178810001</v>
      </c>
      <c r="H12" s="7">
        <v>12258.972013819999</v>
      </c>
      <c r="I12" s="7">
        <v>12342.179373090001</v>
      </c>
      <c r="J12" s="7">
        <v>12431.904470130001</v>
      </c>
      <c r="K12" s="7">
        <v>12528.01912925</v>
      </c>
      <c r="L12" s="7">
        <v>12634.929463099999</v>
      </c>
      <c r="M12" s="7">
        <v>12748.774608600001</v>
      </c>
      <c r="N12" s="7">
        <v>12870.357106060001</v>
      </c>
      <c r="O12" s="7">
        <v>12998.578648999999</v>
      </c>
      <c r="P12" s="7">
        <v>13133.17778926</v>
      </c>
      <c r="Q12" s="7">
        <v>13274.66230349</v>
      </c>
      <c r="R12" s="7">
        <v>13422.68624456</v>
      </c>
      <c r="S12" s="7">
        <v>13577.534052339999</v>
      </c>
      <c r="T12" s="7">
        <v>13739.41021518</v>
      </c>
      <c r="U12" s="7">
        <v>13907.668933880001</v>
      </c>
      <c r="V12" s="7">
        <v>14083.171587639999</v>
      </c>
      <c r="W12" s="7">
        <v>14278.50723531</v>
      </c>
      <c r="X12" s="7">
        <v>14511.47453707</v>
      </c>
      <c r="Y12" s="7">
        <v>14751.841809899999</v>
      </c>
      <c r="Z12" s="7">
        <v>14999.62378579</v>
      </c>
      <c r="AA12" s="7">
        <v>15254.91206963</v>
      </c>
      <c r="AB12" s="7">
        <v>15517.892046340001</v>
      </c>
      <c r="AC12" s="7">
        <v>15788.529010370001</v>
      </c>
    </row>
    <row r="13" spans="1:29" x14ac:dyDescent="0.85">
      <c r="A13" t="s">
        <v>112</v>
      </c>
      <c r="B13" s="7">
        <v>11672.835223759999</v>
      </c>
      <c r="C13" s="7">
        <v>17600.929651719998</v>
      </c>
      <c r="D13" s="7">
        <v>17954.67144989</v>
      </c>
      <c r="E13" s="7">
        <v>18334.34779634</v>
      </c>
      <c r="F13" s="7">
        <v>18721.43832216</v>
      </c>
      <c r="G13" s="7">
        <v>19118.20076276</v>
      </c>
      <c r="H13" s="7">
        <v>19525.00755785</v>
      </c>
      <c r="I13" s="7">
        <v>19941.989853539999</v>
      </c>
      <c r="J13" s="7">
        <v>20369.303908469999</v>
      </c>
      <c r="K13" s="7">
        <v>20807.107492229999</v>
      </c>
      <c r="L13" s="7">
        <v>21256.047147419999</v>
      </c>
      <c r="M13" s="7">
        <v>21715.85073563</v>
      </c>
      <c r="N13" s="7">
        <v>22186.794091899999</v>
      </c>
      <c r="O13" s="7">
        <v>22668.941257710001</v>
      </c>
      <c r="P13" s="7">
        <v>23162.40519447</v>
      </c>
      <c r="Q13" s="7">
        <v>23667.389313439999</v>
      </c>
      <c r="R13" s="7">
        <v>24184.098660930002</v>
      </c>
      <c r="S13" s="7">
        <v>24712.703295790001</v>
      </c>
      <c r="T13" s="7">
        <v>25253.47734465</v>
      </c>
      <c r="U13" s="7">
        <v>25806.551275229998</v>
      </c>
      <c r="V13" s="7">
        <v>26372.14743004</v>
      </c>
      <c r="W13" s="7">
        <v>26951.934582710001</v>
      </c>
      <c r="X13" s="7">
        <v>27548.038138529999</v>
      </c>
      <c r="Y13" s="7">
        <v>28157.35314843</v>
      </c>
      <c r="Z13" s="7">
        <v>28780.108999929998</v>
      </c>
      <c r="AA13" s="7">
        <v>29416.559649719999</v>
      </c>
      <c r="AB13" s="7">
        <v>30066.949395150001</v>
      </c>
      <c r="AC13" s="7">
        <v>30731.515736009998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</v>
      </c>
      <c r="E25" s="7">
        <v>4.8449999999999999E-5</v>
      </c>
      <c r="F25" s="7">
        <v>1.102E-4</v>
      </c>
      <c r="G25" s="7">
        <v>0</v>
      </c>
      <c r="H25" s="7">
        <v>2E-8</v>
      </c>
      <c r="I25" s="7">
        <v>2E-8</v>
      </c>
      <c r="J25" s="7">
        <v>2E-8</v>
      </c>
      <c r="K25" s="7">
        <v>2E-8</v>
      </c>
      <c r="L25" s="7">
        <v>2.9999999999999997E-8</v>
      </c>
      <c r="M25" s="7">
        <v>4.0000000000000001E-8</v>
      </c>
      <c r="N25" s="7">
        <v>4.0000000000000001E-8</v>
      </c>
      <c r="O25" s="7">
        <v>4.0000000000000001E-8</v>
      </c>
      <c r="P25" s="7">
        <v>4.0000000000000001E-8</v>
      </c>
      <c r="Q25" s="7">
        <v>4.0000000000000001E-8</v>
      </c>
      <c r="R25" s="7">
        <v>4.0000000000000001E-8</v>
      </c>
      <c r="S25" s="7">
        <v>4.9999999999999998E-8</v>
      </c>
      <c r="T25" s="7">
        <v>4.9999999999999998E-8</v>
      </c>
      <c r="U25" s="7">
        <v>4.0000000000000001E-8</v>
      </c>
      <c r="V25" s="7">
        <v>4.0000000000000001E-8</v>
      </c>
      <c r="W25" s="7">
        <v>4.0000000000000001E-8</v>
      </c>
      <c r="X25" s="7">
        <v>4.0000000000000001E-8</v>
      </c>
      <c r="Y25" s="7">
        <v>4.0000000000000001E-8</v>
      </c>
      <c r="Z25" s="7">
        <v>4.0000000000000001E-8</v>
      </c>
      <c r="AA25" s="7">
        <v>4.0000000000000001E-8</v>
      </c>
      <c r="AB25" s="7">
        <v>4.0000000000000001E-8</v>
      </c>
      <c r="AC25" s="7">
        <v>4.0000000000000001E-8</v>
      </c>
    </row>
    <row r="26" spans="1:29" x14ac:dyDescent="0.85">
      <c r="A26" t="s">
        <v>124</v>
      </c>
      <c r="B26" s="7">
        <v>1</v>
      </c>
      <c r="C26" s="7">
        <v>0</v>
      </c>
      <c r="D26" s="7">
        <v>4.8449999999999999E-5</v>
      </c>
      <c r="E26" s="7">
        <v>1.102E-4</v>
      </c>
      <c r="F26" s="7">
        <v>0</v>
      </c>
      <c r="G26" s="7">
        <v>2E-8</v>
      </c>
      <c r="H26" s="7">
        <v>2E-8</v>
      </c>
      <c r="I26" s="7">
        <v>2E-8</v>
      </c>
      <c r="J26" s="7">
        <v>2E-8</v>
      </c>
      <c r="K26" s="7">
        <v>2.9999999999999997E-8</v>
      </c>
      <c r="L26" s="7">
        <v>4.0000000000000001E-8</v>
      </c>
      <c r="M26" s="7">
        <v>4.0000000000000001E-8</v>
      </c>
      <c r="N26" s="7">
        <v>4.0000000000000001E-8</v>
      </c>
      <c r="O26" s="7">
        <v>4.0000000000000001E-8</v>
      </c>
      <c r="P26" s="7">
        <v>4.0000000000000001E-8</v>
      </c>
      <c r="Q26" s="7">
        <v>4.0000000000000001E-8</v>
      </c>
      <c r="R26" s="7">
        <v>4.9999999999999998E-8</v>
      </c>
      <c r="S26" s="7">
        <v>4.9999999999999998E-8</v>
      </c>
      <c r="T26" s="7">
        <v>4.0000000000000001E-8</v>
      </c>
      <c r="U26" s="7">
        <v>4.0000000000000001E-8</v>
      </c>
      <c r="V26" s="7">
        <v>4.0000000000000001E-8</v>
      </c>
      <c r="W26" s="7">
        <v>4.0000000000000001E-8</v>
      </c>
      <c r="X26" s="7">
        <v>4.0000000000000001E-8</v>
      </c>
      <c r="Y26" s="7">
        <v>4.0000000000000001E-8</v>
      </c>
      <c r="Z26" s="7">
        <v>4.0000000000000001E-8</v>
      </c>
      <c r="AA26" s="7">
        <v>4.0000000000000001E-8</v>
      </c>
      <c r="AB26" s="7">
        <v>4.0000000000000001E-8</v>
      </c>
      <c r="AC26" s="7">
        <v>4.9999999999999998E-8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2694.8780447600002</v>
      </c>
      <c r="D28" s="7">
        <v>3232.81382669</v>
      </c>
      <c r="E28" s="7">
        <v>3404.4287109100001</v>
      </c>
      <c r="F28" s="7">
        <v>3406.3734881800001</v>
      </c>
      <c r="G28" s="7">
        <v>3421.14365056</v>
      </c>
      <c r="H28" s="7">
        <v>3437.3030053799998</v>
      </c>
      <c r="I28" s="7">
        <v>3453.7191289100001</v>
      </c>
      <c r="J28" s="7">
        <v>3471.04941027</v>
      </c>
      <c r="K28" s="7">
        <v>3488.6221824099998</v>
      </c>
      <c r="L28" s="7">
        <v>3525.5262828300001</v>
      </c>
      <c r="M28" s="7">
        <v>3564.97642683</v>
      </c>
      <c r="N28" s="7">
        <v>3610.2899050599999</v>
      </c>
      <c r="O28" s="7">
        <v>3656.5428229200002</v>
      </c>
      <c r="P28" s="7">
        <v>3702.6670007600001</v>
      </c>
      <c r="Q28" s="7">
        <v>3750.9154014000001</v>
      </c>
      <c r="R28" s="7">
        <v>3799.3717663100001</v>
      </c>
      <c r="S28" s="7">
        <v>3849.3810254300001</v>
      </c>
      <c r="T28" s="7">
        <v>3901.39491804</v>
      </c>
      <c r="U28" s="7">
        <v>3952.4252667199999</v>
      </c>
      <c r="V28" s="7">
        <v>4006.4032971400002</v>
      </c>
      <c r="W28" s="7">
        <v>4117.4707657999998</v>
      </c>
      <c r="X28" s="7">
        <v>4363.0651927999997</v>
      </c>
      <c r="Y28" s="7">
        <v>4611.33347581</v>
      </c>
      <c r="Z28" s="7">
        <v>4862.3347093800003</v>
      </c>
      <c r="AA28" s="7">
        <v>5116.0526805999998</v>
      </c>
      <c r="AB28" s="7">
        <v>5373.0758399799997</v>
      </c>
      <c r="AC28" s="7">
        <v>5632.9635638099999</v>
      </c>
    </row>
    <row r="29" spans="1:29" x14ac:dyDescent="0.85">
      <c r="A29" t="s">
        <v>127</v>
      </c>
      <c r="B29" s="7">
        <v>4456405.5</v>
      </c>
      <c r="C29" s="7">
        <v>5678236.0947985305</v>
      </c>
      <c r="D29" s="7">
        <v>6811692.3488115398</v>
      </c>
      <c r="E29" s="7">
        <v>7173293.0646095201</v>
      </c>
      <c r="F29" s="7">
        <v>7177390.8027342204</v>
      </c>
      <c r="G29" s="7">
        <v>7208512.2367174504</v>
      </c>
      <c r="H29" s="7">
        <v>7242560.7651674198</v>
      </c>
      <c r="I29" s="7">
        <v>7277150.3175090495</v>
      </c>
      <c r="J29" s="7">
        <v>7313666.0438349601</v>
      </c>
      <c r="K29" s="7">
        <v>7350692.7097388096</v>
      </c>
      <c r="L29" s="7">
        <v>7428451.4029223397</v>
      </c>
      <c r="M29" s="7">
        <v>7511574.7309247199</v>
      </c>
      <c r="N29" s="7">
        <v>7607052.3827363905</v>
      </c>
      <c r="O29" s="7">
        <v>7704509.4785088701</v>
      </c>
      <c r="P29" s="7">
        <v>7801695.3129336797</v>
      </c>
      <c r="Q29" s="7">
        <v>7903356.9857303202</v>
      </c>
      <c r="R29" s="7">
        <v>8005456.8491339702</v>
      </c>
      <c r="S29" s="7">
        <v>8110828.7344379798</v>
      </c>
      <c r="T29" s="7">
        <v>8220424.4777376801</v>
      </c>
      <c r="U29" s="7">
        <v>8327947.8472471498</v>
      </c>
      <c r="V29" s="7">
        <v>8441682.1222607307</v>
      </c>
      <c r="W29" s="7">
        <v>8675706.5564083606</v>
      </c>
      <c r="X29" s="7">
        <v>9193185.6841793694</v>
      </c>
      <c r="Y29" s="7">
        <v>9716298.7536381893</v>
      </c>
      <c r="Z29" s="7">
        <v>10245170.279784</v>
      </c>
      <c r="AA29" s="7">
        <v>10779766.1012465</v>
      </c>
      <c r="AB29" s="7">
        <v>11321326.1112135</v>
      </c>
      <c r="AC29" s="7">
        <v>11868921.894590599</v>
      </c>
    </row>
    <row r="30" spans="1:29" x14ac:dyDescent="0.85">
      <c r="A30" t="s">
        <v>128</v>
      </c>
      <c r="B30" s="7">
        <v>4456405.5</v>
      </c>
      <c r="C30" s="7">
        <v>5678236.0947985305</v>
      </c>
      <c r="D30" s="7">
        <v>6811692.3488115398</v>
      </c>
      <c r="E30" s="7">
        <v>7173293.0646095201</v>
      </c>
      <c r="F30" s="7">
        <v>7177390.8027342204</v>
      </c>
      <c r="G30" s="7">
        <v>7208512.2367174504</v>
      </c>
      <c r="H30" s="7">
        <v>7242560.7651674198</v>
      </c>
      <c r="I30" s="7">
        <v>7277150.3175090495</v>
      </c>
      <c r="J30" s="7">
        <v>7313666.0438349601</v>
      </c>
      <c r="K30" s="7">
        <v>7350692.7097388096</v>
      </c>
      <c r="L30" s="7">
        <v>7428451.4029223397</v>
      </c>
      <c r="M30" s="7">
        <v>7511574.7309247199</v>
      </c>
      <c r="N30" s="7">
        <v>7607052.3827363905</v>
      </c>
      <c r="O30" s="7">
        <v>7704509.4785088701</v>
      </c>
      <c r="P30" s="7">
        <v>7801695.3129336797</v>
      </c>
      <c r="Q30" s="7">
        <v>7903356.9857303202</v>
      </c>
      <c r="R30" s="7">
        <v>8005456.8491339702</v>
      </c>
      <c r="S30" s="7">
        <v>8110828.7344379798</v>
      </c>
      <c r="T30" s="7">
        <v>8220424.4777376801</v>
      </c>
      <c r="U30" s="7">
        <v>8327947.8472471498</v>
      </c>
      <c r="V30" s="7">
        <v>8441682.1222607307</v>
      </c>
      <c r="W30" s="7">
        <v>8675706.5564083606</v>
      </c>
      <c r="X30" s="7">
        <v>9193185.6841793694</v>
      </c>
      <c r="Y30" s="7">
        <v>9716298.7536381893</v>
      </c>
      <c r="Z30" s="7">
        <v>10245170.279784</v>
      </c>
      <c r="AA30" s="7">
        <v>10779766.1012465</v>
      </c>
      <c r="AB30" s="7">
        <v>11321326.1112135</v>
      </c>
      <c r="AC30" s="7">
        <v>11868921.894590599</v>
      </c>
    </row>
    <row r="31" spans="1:29" x14ac:dyDescent="0.85">
      <c r="A31" t="s">
        <v>129</v>
      </c>
      <c r="B31" s="7">
        <v>639.71590348999996</v>
      </c>
      <c r="C31" s="7">
        <v>815.10938211999996</v>
      </c>
      <c r="D31" s="7">
        <v>977.81674607000002</v>
      </c>
      <c r="E31" s="7">
        <v>1029.7244390799999</v>
      </c>
      <c r="F31" s="7">
        <v>1030.31266837</v>
      </c>
      <c r="G31" s="7">
        <v>1034.7801424899999</v>
      </c>
      <c r="H31" s="7">
        <v>1039.6678003</v>
      </c>
      <c r="I31" s="7">
        <v>1044.6331219599999</v>
      </c>
      <c r="J31" s="7">
        <v>1049.87494541</v>
      </c>
      <c r="K31" s="7">
        <v>1055.19011411</v>
      </c>
      <c r="L31" s="7">
        <v>1066.3523552199999</v>
      </c>
      <c r="M31" s="7">
        <v>1078.28468832</v>
      </c>
      <c r="N31" s="7">
        <v>1091.99048154</v>
      </c>
      <c r="O31" s="7">
        <v>1105.98042345</v>
      </c>
      <c r="P31" s="7">
        <v>1119.93142586</v>
      </c>
      <c r="Q31" s="7">
        <v>1134.5249337600001</v>
      </c>
      <c r="R31" s="7">
        <v>1149.18134381</v>
      </c>
      <c r="S31" s="7">
        <v>1164.30745179</v>
      </c>
      <c r="T31" s="7">
        <v>1180.0398935400001</v>
      </c>
      <c r="U31" s="7">
        <v>1195.4748465499999</v>
      </c>
      <c r="V31" s="7">
        <v>1211.8013735</v>
      </c>
      <c r="W31" s="7">
        <v>1245.3955229400001</v>
      </c>
      <c r="X31" s="7">
        <v>1319.6795233</v>
      </c>
      <c r="Y31" s="7">
        <v>1394.7722745900001</v>
      </c>
      <c r="Z31" s="7">
        <v>1470.6916509</v>
      </c>
      <c r="AA31" s="7">
        <v>1547.4327483899999</v>
      </c>
      <c r="AB31" s="7">
        <v>1625.1735534100001</v>
      </c>
      <c r="AC31" s="7">
        <v>1703.7807922100001</v>
      </c>
    </row>
    <row r="32" spans="1:29" x14ac:dyDescent="0.85">
      <c r="A32" t="s">
        <v>130</v>
      </c>
      <c r="B32" s="7">
        <v>0</v>
      </c>
      <c r="C32" s="7">
        <v>4.5425888800000003</v>
      </c>
      <c r="D32" s="7">
        <v>5.4493538800000003</v>
      </c>
      <c r="E32" s="7">
        <v>5.7386344500000002</v>
      </c>
      <c r="F32" s="7">
        <v>5.7419126399999998</v>
      </c>
      <c r="G32" s="7">
        <v>5.7668097899999999</v>
      </c>
      <c r="H32" s="7">
        <v>5.7940486099999999</v>
      </c>
      <c r="I32" s="7">
        <v>5.8217202500000003</v>
      </c>
      <c r="J32" s="7">
        <v>5.8509328399999996</v>
      </c>
      <c r="K32" s="7">
        <v>5.8805541699999999</v>
      </c>
      <c r="L32" s="7">
        <v>5.9427611200000001</v>
      </c>
      <c r="M32" s="7">
        <v>6.0092597799999998</v>
      </c>
      <c r="N32" s="7">
        <v>6.0856419099999997</v>
      </c>
      <c r="O32" s="7">
        <v>6.1636075799999999</v>
      </c>
      <c r="P32" s="7">
        <v>6.2413562499999999</v>
      </c>
      <c r="Q32" s="7">
        <v>6.3226855899999999</v>
      </c>
      <c r="R32" s="7">
        <v>6.4043654800000001</v>
      </c>
      <c r="S32" s="7">
        <v>6.4886629899999999</v>
      </c>
      <c r="T32" s="7">
        <v>6.57633958</v>
      </c>
      <c r="U32" s="7">
        <v>6.6623582800000003</v>
      </c>
      <c r="V32" s="7">
        <v>6.7533456999999997</v>
      </c>
      <c r="W32" s="7">
        <v>6.9405652499999997</v>
      </c>
      <c r="X32" s="7">
        <v>7.3545485499999996</v>
      </c>
      <c r="Y32" s="7">
        <v>7.7730389999999998</v>
      </c>
      <c r="Z32" s="7">
        <v>8.1961362199999996</v>
      </c>
      <c r="AA32" s="7">
        <v>8.6238128799999991</v>
      </c>
      <c r="AB32" s="7">
        <v>9.0570608900000007</v>
      </c>
      <c r="AC32" s="7">
        <v>9.4951375200000001</v>
      </c>
    </row>
    <row r="33" spans="1:29" x14ac:dyDescent="0.85">
      <c r="A33" t="s">
        <v>131</v>
      </c>
      <c r="B33" s="7">
        <v>1.782562E-2</v>
      </c>
      <c r="C33" s="7">
        <v>2.2712940000000001E-2</v>
      </c>
      <c r="D33" s="7">
        <v>2.724677E-2</v>
      </c>
      <c r="E33" s="7">
        <v>2.869317E-2</v>
      </c>
      <c r="F33" s="7">
        <v>2.8709559999999999E-2</v>
      </c>
      <c r="G33" s="7">
        <v>2.883405E-2</v>
      </c>
      <c r="H33" s="7">
        <v>2.8970240000000001E-2</v>
      </c>
      <c r="I33" s="7">
        <v>2.9108599999999998E-2</v>
      </c>
      <c r="J33" s="7">
        <v>2.9254659999999998E-2</v>
      </c>
      <c r="K33" s="7">
        <v>2.9402770000000002E-2</v>
      </c>
      <c r="L33" s="7">
        <v>2.971381E-2</v>
      </c>
      <c r="M33" s="7">
        <v>3.0046300000000001E-2</v>
      </c>
      <c r="N33" s="7">
        <v>3.0428210000000001E-2</v>
      </c>
      <c r="O33" s="7">
        <v>3.0818040000000001E-2</v>
      </c>
      <c r="P33" s="7">
        <v>3.120678E-2</v>
      </c>
      <c r="Q33" s="7">
        <v>3.1613429999999998E-2</v>
      </c>
      <c r="R33" s="7">
        <v>3.2021830000000001E-2</v>
      </c>
      <c r="S33" s="7">
        <v>3.2443310000000003E-2</v>
      </c>
      <c r="T33" s="7">
        <v>3.28817E-2</v>
      </c>
      <c r="U33" s="7">
        <v>3.3311790000000001E-2</v>
      </c>
      <c r="V33" s="7">
        <v>3.3766730000000002E-2</v>
      </c>
      <c r="W33" s="7">
        <v>3.4702829999999997E-2</v>
      </c>
      <c r="X33" s="7">
        <v>3.6772739999999998E-2</v>
      </c>
      <c r="Y33" s="7">
        <v>3.8865200000000003E-2</v>
      </c>
      <c r="Z33" s="7">
        <v>4.0980679999999998E-2</v>
      </c>
      <c r="AA33" s="7">
        <v>4.3119060000000001E-2</v>
      </c>
      <c r="AB33" s="7">
        <v>4.5285300000000001E-2</v>
      </c>
      <c r="AC33" s="7">
        <v>4.7475690000000001E-2</v>
      </c>
    </row>
    <row r="34" spans="1:29" x14ac:dyDescent="0.85">
      <c r="A34" t="s">
        <v>132</v>
      </c>
      <c r="B34" s="7">
        <v>639.71590348999996</v>
      </c>
      <c r="C34" s="7">
        <v>815.10938211999996</v>
      </c>
      <c r="D34" s="7">
        <v>977.81674607000002</v>
      </c>
      <c r="E34" s="7">
        <v>1029.7244390799999</v>
      </c>
      <c r="F34" s="7">
        <v>1030.31266837</v>
      </c>
      <c r="G34" s="7">
        <v>1034.7801424899999</v>
      </c>
      <c r="H34" s="7">
        <v>1039.6678003</v>
      </c>
      <c r="I34" s="7">
        <v>1044.6331219599999</v>
      </c>
      <c r="J34" s="7">
        <v>1049.87494541</v>
      </c>
      <c r="K34" s="7">
        <v>1055.19011411</v>
      </c>
      <c r="L34" s="7">
        <v>1066.3523552199999</v>
      </c>
      <c r="M34" s="7">
        <v>1078.28468832</v>
      </c>
      <c r="N34" s="7">
        <v>1091.99048154</v>
      </c>
      <c r="O34" s="7">
        <v>1105.98042345</v>
      </c>
      <c r="P34" s="7">
        <v>1119.93142586</v>
      </c>
      <c r="Q34" s="7">
        <v>1134.5249337600001</v>
      </c>
      <c r="R34" s="7">
        <v>1149.18134381</v>
      </c>
      <c r="S34" s="7">
        <v>1164.30745179</v>
      </c>
      <c r="T34" s="7">
        <v>1180.0398935400001</v>
      </c>
      <c r="U34" s="7">
        <v>1195.4748465499999</v>
      </c>
      <c r="V34" s="7">
        <v>1211.8013735</v>
      </c>
      <c r="W34" s="7">
        <v>1245.3955229400001</v>
      </c>
      <c r="X34" s="7">
        <v>1319.6795233</v>
      </c>
      <c r="Y34" s="7">
        <v>1394.7722745900001</v>
      </c>
      <c r="Z34" s="7">
        <v>1470.6916509</v>
      </c>
      <c r="AA34" s="7">
        <v>1547.4327483899999</v>
      </c>
      <c r="AB34" s="7">
        <v>1625.1735534100001</v>
      </c>
      <c r="AC34" s="7">
        <v>1703.7807922100001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1.2686011100000001</v>
      </c>
      <c r="E36" s="7">
        <v>1.2337186600000001</v>
      </c>
      <c r="F36" s="7">
        <v>1.0969638500000001</v>
      </c>
      <c r="G36" s="7">
        <v>1.0422617199999999</v>
      </c>
      <c r="H36" s="7">
        <v>1.0461833700000001</v>
      </c>
      <c r="I36" s="7">
        <v>1.04658685</v>
      </c>
      <c r="J36" s="7">
        <v>1.04664153</v>
      </c>
      <c r="K36" s="7">
        <v>1.0468936</v>
      </c>
      <c r="L36" s="7">
        <v>1.0469402800000001</v>
      </c>
      <c r="M36" s="7">
        <v>1.05268585</v>
      </c>
      <c r="N36" s="7">
        <v>1.0533227700000001</v>
      </c>
      <c r="O36" s="7">
        <v>1.0549070199999999</v>
      </c>
      <c r="P36" s="7">
        <v>1.0550118900000001</v>
      </c>
      <c r="Q36" s="7">
        <v>1.0548064100000001</v>
      </c>
      <c r="R36" s="7">
        <v>1.0552403299999999</v>
      </c>
      <c r="S36" s="7">
        <v>1.05512348</v>
      </c>
      <c r="T36" s="7">
        <v>1.0553776100000001</v>
      </c>
      <c r="U36" s="7">
        <v>1.05574195</v>
      </c>
      <c r="V36" s="7">
        <v>1.05529169</v>
      </c>
      <c r="W36" s="7">
        <v>1.0558926399999999</v>
      </c>
      <c r="X36" s="7">
        <v>1.0705442599999999</v>
      </c>
      <c r="Y36" s="7">
        <v>1.1037988700000001</v>
      </c>
      <c r="Z36" s="7">
        <v>1.10093986</v>
      </c>
      <c r="AA36" s="7">
        <v>1.0983660200000001</v>
      </c>
      <c r="AB36" s="7">
        <v>1.0960211200000001</v>
      </c>
      <c r="AC36" s="7">
        <v>1.09399851</v>
      </c>
    </row>
    <row r="37" spans="1:29" x14ac:dyDescent="0.85">
      <c r="A37" t="s">
        <v>135</v>
      </c>
      <c r="B37" s="7">
        <v>1</v>
      </c>
      <c r="C37" s="7">
        <v>1.3272645999999999</v>
      </c>
      <c r="D37" s="7">
        <v>1.24959807</v>
      </c>
      <c r="E37" s="7">
        <v>1.0969638500000001</v>
      </c>
      <c r="F37" s="7">
        <v>1.0422617199999999</v>
      </c>
      <c r="G37" s="7">
        <v>1.0461833700000001</v>
      </c>
      <c r="H37" s="7">
        <v>1.04658685</v>
      </c>
      <c r="I37" s="7">
        <v>1.04664153</v>
      </c>
      <c r="J37" s="7">
        <v>1.0468936</v>
      </c>
      <c r="K37" s="7">
        <v>1.0469402800000001</v>
      </c>
      <c r="L37" s="7">
        <v>1.05268585</v>
      </c>
      <c r="M37" s="7">
        <v>1.0533227700000001</v>
      </c>
      <c r="N37" s="7">
        <v>1.0549070199999999</v>
      </c>
      <c r="O37" s="7">
        <v>1.0550118900000001</v>
      </c>
      <c r="P37" s="7">
        <v>1.0548064100000001</v>
      </c>
      <c r="Q37" s="7">
        <v>1.0552403299999999</v>
      </c>
      <c r="R37" s="7">
        <v>1.05512348</v>
      </c>
      <c r="S37" s="7">
        <v>1.0553776100000001</v>
      </c>
      <c r="T37" s="7">
        <v>1.05574195</v>
      </c>
      <c r="U37" s="7">
        <v>1.05529169</v>
      </c>
      <c r="V37" s="7">
        <v>1.0558926399999999</v>
      </c>
      <c r="W37" s="7">
        <v>1.0705442599999999</v>
      </c>
      <c r="X37" s="7">
        <v>1.1037988700000001</v>
      </c>
      <c r="Y37" s="7">
        <v>1.10093986</v>
      </c>
      <c r="Z37" s="7">
        <v>1.0983660200000001</v>
      </c>
      <c r="AA37" s="7">
        <v>1.0960211200000001</v>
      </c>
      <c r="AB37" s="7">
        <v>1.09399851</v>
      </c>
      <c r="AC37" s="7">
        <v>1.09205054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1.2686111099999999</v>
      </c>
      <c r="E38" s="7">
        <v>1.2337286599999999</v>
      </c>
      <c r="F38" s="7">
        <v>1.2276422</v>
      </c>
      <c r="G38" s="7">
        <v>1.2314444</v>
      </c>
      <c r="H38" s="7">
        <v>1.23459144</v>
      </c>
      <c r="I38" s="7">
        <v>1.2377281200000001</v>
      </c>
      <c r="J38" s="7">
        <v>1.2409159599999999</v>
      </c>
      <c r="K38" s="7">
        <v>1.2441183200000001</v>
      </c>
      <c r="L38" s="7">
        <v>1.2473726999999999</v>
      </c>
      <c r="M38" s="7">
        <v>1.2495527099999999</v>
      </c>
      <c r="N38" s="7">
        <v>1.2516373300000001</v>
      </c>
      <c r="O38" s="7">
        <v>1.2534319</v>
      </c>
      <c r="P38" s="7">
        <v>1.2552277700000001</v>
      </c>
      <c r="Q38" s="7">
        <v>1.2570896</v>
      </c>
      <c r="R38" s="7">
        <v>1.25888106</v>
      </c>
      <c r="S38" s="7">
        <v>1.2607182800000001</v>
      </c>
      <c r="T38" s="7">
        <v>1.2625213399999999</v>
      </c>
      <c r="U38" s="7">
        <v>1.26426375</v>
      </c>
      <c r="V38" s="7">
        <v>1.26612356</v>
      </c>
      <c r="W38" s="7">
        <v>1.26786855</v>
      </c>
      <c r="X38" s="7">
        <v>1.2665245700000001</v>
      </c>
      <c r="Y38" s="7">
        <v>1.2584788600000001</v>
      </c>
      <c r="Z38" s="7">
        <v>1.2512638300000001</v>
      </c>
      <c r="AA38" s="7">
        <v>1.24476327</v>
      </c>
      <c r="AB38" s="7">
        <v>1.23888471</v>
      </c>
      <c r="AC38" s="7">
        <v>1.23352928</v>
      </c>
    </row>
    <row r="39" spans="1:29" x14ac:dyDescent="0.85">
      <c r="A39" t="s">
        <v>137</v>
      </c>
      <c r="B39" s="7">
        <v>5482</v>
      </c>
      <c r="C39" s="7">
        <v>5344.95</v>
      </c>
      <c r="D39" s="7">
        <v>5212.7056277399997</v>
      </c>
      <c r="E39" s="7">
        <v>5090.448907</v>
      </c>
      <c r="F39" s="7">
        <v>4963.1876843199998</v>
      </c>
      <c r="G39" s="7">
        <v>4839.1080491100001</v>
      </c>
      <c r="H39" s="7">
        <v>4718.13034788</v>
      </c>
      <c r="I39" s="7">
        <v>4600.1772074199998</v>
      </c>
      <c r="J39" s="7">
        <v>4485.17277724</v>
      </c>
      <c r="K39" s="7">
        <v>4373.0434713000004</v>
      </c>
      <c r="L39" s="7">
        <v>4263.7173845099996</v>
      </c>
      <c r="M39" s="7">
        <v>4157.1245750799999</v>
      </c>
      <c r="N39" s="7">
        <v>4053.1964714999999</v>
      </c>
      <c r="O39" s="7">
        <v>3951.8666436899998</v>
      </c>
      <c r="P39" s="7">
        <v>3853.0699775899998</v>
      </c>
      <c r="Q39" s="7">
        <v>3756.74322815</v>
      </c>
      <c r="R39" s="7">
        <v>3662.8251799300001</v>
      </c>
      <c r="S39" s="7">
        <v>3571.2546379599999</v>
      </c>
      <c r="T39" s="7">
        <v>3481.9732811899999</v>
      </c>
      <c r="U39" s="7">
        <v>3394.9239491600001</v>
      </c>
      <c r="V39" s="7">
        <v>3310.0508504300001</v>
      </c>
      <c r="W39" s="7">
        <v>3227.2996228400002</v>
      </c>
      <c r="X39" s="7">
        <v>3146.6171322700002</v>
      </c>
      <c r="Y39" s="7">
        <v>3067.9857857699999</v>
      </c>
      <c r="Z39" s="7">
        <v>2991.2861454200001</v>
      </c>
      <c r="AA39" s="7">
        <v>2916.50399178</v>
      </c>
      <c r="AB39" s="7">
        <v>2843.5913983400001</v>
      </c>
      <c r="AC39" s="7">
        <v>2772.5016148099999</v>
      </c>
    </row>
    <row r="40" spans="1:29" x14ac:dyDescent="0.85">
      <c r="A40" t="s">
        <v>138</v>
      </c>
      <c r="B40" s="7">
        <v>29071269.5</v>
      </c>
      <c r="C40" s="7">
        <v>28344487.715854298</v>
      </c>
      <c r="D40" s="7">
        <v>27643190.4193388</v>
      </c>
      <c r="E40" s="7">
        <v>26994858.045922</v>
      </c>
      <c r="F40" s="7">
        <v>26319976.345417999</v>
      </c>
      <c r="G40" s="7">
        <v>25661977.238483801</v>
      </c>
      <c r="H40" s="7">
        <v>25020426.529231001</v>
      </c>
      <c r="I40" s="7">
        <v>24394916.493045699</v>
      </c>
      <c r="J40" s="7">
        <v>23785043.059635401</v>
      </c>
      <c r="K40" s="7">
        <v>23190417.054674201</v>
      </c>
      <c r="L40" s="7">
        <v>22610656.3305135</v>
      </c>
      <c r="M40" s="7">
        <v>22045390.5860922</v>
      </c>
      <c r="N40" s="7">
        <v>21494255.878667802</v>
      </c>
      <c r="O40" s="7">
        <v>20956899.927032001</v>
      </c>
      <c r="P40" s="7">
        <v>20432977.242544699</v>
      </c>
      <c r="Q40" s="7">
        <v>19922152.666029699</v>
      </c>
      <c r="R40" s="7">
        <v>19424101.673129901</v>
      </c>
      <c r="S40" s="7">
        <v>18938499.5954629</v>
      </c>
      <c r="T40" s="7">
        <v>18465037.154266201</v>
      </c>
      <c r="U40" s="7">
        <v>18003410.761531699</v>
      </c>
      <c r="V40" s="7">
        <v>17553325.217188399</v>
      </c>
      <c r="W40" s="7">
        <v>17114492.318344802</v>
      </c>
      <c r="X40" s="7">
        <v>16686466.147359099</v>
      </c>
      <c r="Y40" s="7">
        <v>16269485.2290421</v>
      </c>
      <c r="Z40" s="7">
        <v>15862748.121040501</v>
      </c>
      <c r="AA40" s="7">
        <v>15466179.262969</v>
      </c>
      <c r="AB40" s="7">
        <v>15079524.815087499</v>
      </c>
      <c r="AC40" s="7">
        <v>14702536.7022721</v>
      </c>
    </row>
    <row r="41" spans="1:29" x14ac:dyDescent="0.85">
      <c r="A41" t="s">
        <v>139</v>
      </c>
      <c r="B41" s="7">
        <v>29071269.5</v>
      </c>
      <c r="C41" s="7">
        <v>28344487.715854298</v>
      </c>
      <c r="D41" s="7">
        <v>27643190.4193388</v>
      </c>
      <c r="E41" s="7">
        <v>26994858.045922</v>
      </c>
      <c r="F41" s="7">
        <v>26319976.345417999</v>
      </c>
      <c r="G41" s="7">
        <v>25661977.238483801</v>
      </c>
      <c r="H41" s="7">
        <v>25020426.529231001</v>
      </c>
      <c r="I41" s="7">
        <v>24394916.493045699</v>
      </c>
      <c r="J41" s="7">
        <v>23785043.059635401</v>
      </c>
      <c r="K41" s="7">
        <v>23190417.054674201</v>
      </c>
      <c r="L41" s="7">
        <v>22610656.3305135</v>
      </c>
      <c r="M41" s="7">
        <v>22045390.5860922</v>
      </c>
      <c r="N41" s="7">
        <v>21494255.878667802</v>
      </c>
      <c r="O41" s="7">
        <v>20956899.927032001</v>
      </c>
      <c r="P41" s="7">
        <v>20432977.242544699</v>
      </c>
      <c r="Q41" s="7">
        <v>19922152.666029699</v>
      </c>
      <c r="R41" s="7">
        <v>19424101.673129901</v>
      </c>
      <c r="S41" s="7">
        <v>18938499.5954629</v>
      </c>
      <c r="T41" s="7">
        <v>18465037.154266201</v>
      </c>
      <c r="U41" s="7">
        <v>18003410.761531699</v>
      </c>
      <c r="V41" s="7">
        <v>17553325.217188399</v>
      </c>
      <c r="W41" s="7">
        <v>17114492.318344802</v>
      </c>
      <c r="X41" s="7">
        <v>16686466.147359099</v>
      </c>
      <c r="Y41" s="7">
        <v>16269485.2290421</v>
      </c>
      <c r="Z41" s="7">
        <v>15862748.121040501</v>
      </c>
      <c r="AA41" s="7">
        <v>15466179.262969</v>
      </c>
      <c r="AB41" s="7">
        <v>15079524.815087499</v>
      </c>
      <c r="AC41" s="7">
        <v>14702536.7022721</v>
      </c>
    </row>
    <row r="42" spans="1:29" x14ac:dyDescent="0.85">
      <c r="A42" t="s">
        <v>140</v>
      </c>
      <c r="B42" s="7">
        <v>6206.7650846899996</v>
      </c>
      <c r="C42" s="7">
        <v>6051.5959571000003</v>
      </c>
      <c r="D42" s="7">
        <v>5901.8678008999996</v>
      </c>
      <c r="E42" s="7">
        <v>5763.4477451499997</v>
      </c>
      <c r="F42" s="7">
        <v>5619.3614478999998</v>
      </c>
      <c r="G42" s="7">
        <v>5478.8774761100003</v>
      </c>
      <c r="H42" s="7">
        <v>5341.9055262900001</v>
      </c>
      <c r="I42" s="7">
        <v>5208.3580220100002</v>
      </c>
      <c r="J42" s="7">
        <v>5078.1490661899998</v>
      </c>
      <c r="K42" s="7">
        <v>4951.1953548000001</v>
      </c>
      <c r="L42" s="7">
        <v>4827.4154679200001</v>
      </c>
      <c r="M42" s="7">
        <v>4706.73022296</v>
      </c>
      <c r="N42" s="7">
        <v>4589.0619796000001</v>
      </c>
      <c r="O42" s="7">
        <v>4474.3355251900002</v>
      </c>
      <c r="P42" s="7">
        <v>4362.47713518</v>
      </c>
      <c r="Q42" s="7">
        <v>4253.4152053300004</v>
      </c>
      <c r="R42" s="7">
        <v>4147.0804280700004</v>
      </c>
      <c r="S42" s="7">
        <v>4043.4035164699999</v>
      </c>
      <c r="T42" s="7">
        <v>3942.3184389500002</v>
      </c>
      <c r="U42" s="7">
        <v>3843.7604732899999</v>
      </c>
      <c r="V42" s="7">
        <v>3747.6664586699999</v>
      </c>
      <c r="W42" s="7">
        <v>3653.97484665</v>
      </c>
      <c r="X42" s="7">
        <v>3562.6238188299999</v>
      </c>
      <c r="Y42" s="7">
        <v>3473.5968110399999</v>
      </c>
      <c r="Z42" s="7">
        <v>3386.7568956199998</v>
      </c>
      <c r="AA42" s="7">
        <v>3302.0879716600002</v>
      </c>
      <c r="AB42" s="7">
        <v>3219.5357795599998</v>
      </c>
      <c r="AC42" s="7">
        <v>3139.0473866900002</v>
      </c>
    </row>
    <row r="43" spans="1:29" x14ac:dyDescent="0.85">
      <c r="A43" t="s">
        <v>141</v>
      </c>
      <c r="B43" s="7">
        <v>0</v>
      </c>
      <c r="C43" s="7">
        <v>17.00669263</v>
      </c>
      <c r="D43" s="7">
        <v>16.585914249999998</v>
      </c>
      <c r="E43" s="7">
        <v>16.196914830000001</v>
      </c>
      <c r="F43" s="7">
        <v>15.79198581</v>
      </c>
      <c r="G43" s="7">
        <v>15.397186339999999</v>
      </c>
      <c r="H43" s="7">
        <v>15.012255919999999</v>
      </c>
      <c r="I43" s="7">
        <v>14.636949899999999</v>
      </c>
      <c r="J43" s="7">
        <v>14.27102584</v>
      </c>
      <c r="K43" s="7">
        <v>13.91425023</v>
      </c>
      <c r="L43" s="7">
        <v>13.5663938</v>
      </c>
      <c r="M43" s="7">
        <v>13.22723435</v>
      </c>
      <c r="N43" s="7">
        <v>12.89655353</v>
      </c>
      <c r="O43" s="7">
        <v>12.57413996</v>
      </c>
      <c r="P43" s="7">
        <v>12.259786350000001</v>
      </c>
      <c r="Q43" s="7">
        <v>11.9532916</v>
      </c>
      <c r="R43" s="7">
        <v>11.654461</v>
      </c>
      <c r="S43" s="7">
        <v>11.363099760000001</v>
      </c>
      <c r="T43" s="7">
        <v>11.079022289999999</v>
      </c>
      <c r="U43" s="7">
        <v>10.80204646</v>
      </c>
      <c r="V43" s="7">
        <v>10.53199513</v>
      </c>
      <c r="W43" s="7">
        <v>10.26869539</v>
      </c>
      <c r="X43" s="7">
        <v>10.011879690000001</v>
      </c>
      <c r="Y43" s="7">
        <v>9.7616911399999999</v>
      </c>
      <c r="Z43" s="7">
        <v>9.5176488700000004</v>
      </c>
      <c r="AA43" s="7">
        <v>9.2797075600000003</v>
      </c>
      <c r="AB43" s="7">
        <v>9.04771489</v>
      </c>
      <c r="AC43" s="7">
        <v>8.8215220199999997</v>
      </c>
    </row>
    <row r="44" spans="1:29" x14ac:dyDescent="0.85">
      <c r="A44" t="s">
        <v>142</v>
      </c>
      <c r="B44" s="7">
        <v>8.7213810000000003E-2</v>
      </c>
      <c r="C44" s="7">
        <v>8.5033460000000005E-2</v>
      </c>
      <c r="D44" s="7">
        <v>8.2929569999999994E-2</v>
      </c>
      <c r="E44" s="7">
        <v>8.0984570000000006E-2</v>
      </c>
      <c r="F44" s="7">
        <v>7.8959929999999998E-2</v>
      </c>
      <c r="G44" s="7">
        <v>7.6985929999999994E-2</v>
      </c>
      <c r="H44" s="7">
        <v>7.5061279999999994E-2</v>
      </c>
      <c r="I44" s="7">
        <v>7.3184750000000007E-2</v>
      </c>
      <c r="J44" s="7">
        <v>7.1355130000000003E-2</v>
      </c>
      <c r="K44" s="7">
        <v>6.9571250000000001E-2</v>
      </c>
      <c r="L44" s="7">
        <v>6.7831970000000005E-2</v>
      </c>
      <c r="M44" s="7">
        <v>6.6136169999999994E-2</v>
      </c>
      <c r="N44" s="7">
        <v>6.4482769999999995E-2</v>
      </c>
      <c r="O44" s="7">
        <v>6.2870700000000002E-2</v>
      </c>
      <c r="P44" s="7">
        <v>6.1298930000000001E-2</v>
      </c>
      <c r="Q44" s="7">
        <v>5.976646E-2</v>
      </c>
      <c r="R44" s="7">
        <v>5.8272310000000001E-2</v>
      </c>
      <c r="S44" s="7">
        <v>5.6815499999999998E-2</v>
      </c>
      <c r="T44" s="7">
        <v>5.5395109999999997E-2</v>
      </c>
      <c r="U44" s="7">
        <v>5.4010229999999999E-2</v>
      </c>
      <c r="V44" s="7">
        <v>5.2659980000000002E-2</v>
      </c>
      <c r="W44" s="7">
        <v>5.1343479999999997E-2</v>
      </c>
      <c r="X44" s="7">
        <v>5.0059399999999997E-2</v>
      </c>
      <c r="Y44" s="7">
        <v>4.8808459999999998E-2</v>
      </c>
      <c r="Z44" s="7">
        <v>4.7588239999999997E-2</v>
      </c>
      <c r="AA44" s="7">
        <v>4.6398540000000002E-2</v>
      </c>
      <c r="AB44" s="7">
        <v>4.5238569999999999E-2</v>
      </c>
      <c r="AC44" s="7">
        <v>4.4107609999999998E-2</v>
      </c>
    </row>
    <row r="45" spans="1:29" x14ac:dyDescent="0.85">
      <c r="A45" t="s">
        <v>143</v>
      </c>
      <c r="B45" s="7">
        <v>5912.8545500500004</v>
      </c>
      <c r="C45" s="7">
        <v>5765.0331863000001</v>
      </c>
      <c r="D45" s="7">
        <v>5622.3951457599997</v>
      </c>
      <c r="E45" s="7">
        <v>5490.5297302999998</v>
      </c>
      <c r="F45" s="7">
        <v>5353.2664870400004</v>
      </c>
      <c r="G45" s="7">
        <v>5219.4348862300003</v>
      </c>
      <c r="H45" s="7">
        <v>5088.9490140799999</v>
      </c>
      <c r="I45" s="7">
        <v>4961.7254162600002</v>
      </c>
      <c r="J45" s="7">
        <v>4837.6822808500001</v>
      </c>
      <c r="K45" s="7">
        <v>4716.7402383799999</v>
      </c>
      <c r="L45" s="7">
        <v>4598.8217324200004</v>
      </c>
      <c r="M45" s="7">
        <v>4483.8513241299997</v>
      </c>
      <c r="N45" s="7">
        <v>4371.7550526699997</v>
      </c>
      <c r="O45" s="7">
        <v>4262.4612669300004</v>
      </c>
      <c r="P45" s="7">
        <v>4155.89973525</v>
      </c>
      <c r="Q45" s="7">
        <v>4052.00224187</v>
      </c>
      <c r="R45" s="7">
        <v>3950.7027601499999</v>
      </c>
      <c r="S45" s="7">
        <v>3851.93528556</v>
      </c>
      <c r="T45" s="7">
        <v>3755.6369133200001</v>
      </c>
      <c r="U45" s="7">
        <v>3661.7459904900002</v>
      </c>
      <c r="V45" s="7">
        <v>3570.2023407299998</v>
      </c>
      <c r="W45" s="7">
        <v>3480.94732931</v>
      </c>
      <c r="X45" s="7">
        <v>3393.9236460799998</v>
      </c>
      <c r="Y45" s="7">
        <v>3309.1123153799999</v>
      </c>
      <c r="Z45" s="7">
        <v>3226.3845121099998</v>
      </c>
      <c r="AA45" s="7">
        <v>3145.7248993100002</v>
      </c>
      <c r="AB45" s="7">
        <v>3067.0817836800002</v>
      </c>
      <c r="AC45" s="7">
        <v>2990.4047406300001</v>
      </c>
    </row>
    <row r="46" spans="1:29" x14ac:dyDescent="0.85">
      <c r="A46" t="s">
        <v>144</v>
      </c>
      <c r="B46" s="7">
        <v>293.91053463999998</v>
      </c>
      <c r="C46" s="7">
        <v>286.56277081000002</v>
      </c>
      <c r="D46" s="7">
        <v>279.47265513999997</v>
      </c>
      <c r="E46" s="7">
        <v>272.91801484000001</v>
      </c>
      <c r="F46" s="7">
        <v>266.09496085000001</v>
      </c>
      <c r="G46" s="7">
        <v>259.44258988000001</v>
      </c>
      <c r="H46" s="7">
        <v>252.95651221</v>
      </c>
      <c r="I46" s="7">
        <v>246.63260574</v>
      </c>
      <c r="J46" s="7">
        <v>240.46678532999999</v>
      </c>
      <c r="K46" s="7">
        <v>234.45511642</v>
      </c>
      <c r="L46" s="7">
        <v>228.59373550000001</v>
      </c>
      <c r="M46" s="7">
        <v>222.87889883</v>
      </c>
      <c r="N46" s="7">
        <v>217.30692693</v>
      </c>
      <c r="O46" s="7">
        <v>211.87425826</v>
      </c>
      <c r="P46" s="7">
        <v>206.57739992</v>
      </c>
      <c r="Q46" s="7">
        <v>201.41296345000001</v>
      </c>
      <c r="R46" s="7">
        <v>196.37766791999999</v>
      </c>
      <c r="S46" s="7">
        <v>191.46823090999999</v>
      </c>
      <c r="T46" s="7">
        <v>186.68152563000001</v>
      </c>
      <c r="U46" s="7">
        <v>182.0144828</v>
      </c>
      <c r="V46" s="7">
        <v>177.46411795</v>
      </c>
      <c r="W46" s="7">
        <v>173.02751734</v>
      </c>
      <c r="X46" s="7">
        <v>168.70017275000001</v>
      </c>
      <c r="Y46" s="7">
        <v>164.48449567</v>
      </c>
      <c r="Z46" s="7">
        <v>160.37238350000001</v>
      </c>
      <c r="AA46" s="7">
        <v>156.36307235000001</v>
      </c>
      <c r="AB46" s="7">
        <v>152.45399588000001</v>
      </c>
      <c r="AC46" s="7">
        <v>148.64264606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1.0002646900000001</v>
      </c>
      <c r="F47" s="7">
        <v>1.00158605</v>
      </c>
      <c r="G47" s="7">
        <v>0.99999961000000004</v>
      </c>
      <c r="H47" s="7">
        <v>1.0000000099999999</v>
      </c>
      <c r="I47" s="7">
        <v>0.99999994999999997</v>
      </c>
      <c r="J47" s="7">
        <v>1.00000003</v>
      </c>
      <c r="K47" s="7">
        <v>0.99999998000000001</v>
      </c>
      <c r="L47" s="7">
        <v>1</v>
      </c>
      <c r="M47" s="7">
        <v>0.99999998999999995</v>
      </c>
      <c r="N47" s="7">
        <v>1.00000003</v>
      </c>
      <c r="O47" s="7">
        <v>1</v>
      </c>
      <c r="P47" s="7">
        <v>1.0000000200000001</v>
      </c>
      <c r="Q47" s="7">
        <v>0.99999998999999995</v>
      </c>
      <c r="R47" s="7">
        <v>0.99999998999999995</v>
      </c>
      <c r="S47" s="7">
        <v>1.00000015</v>
      </c>
      <c r="T47" s="7">
        <v>1.0000000200000001</v>
      </c>
      <c r="U47" s="7">
        <v>1</v>
      </c>
      <c r="V47" s="7">
        <v>0.99999996999999996</v>
      </c>
      <c r="W47" s="7">
        <v>0.99999998000000001</v>
      </c>
      <c r="X47" s="7">
        <v>1.0000000099999999</v>
      </c>
      <c r="Y47" s="7">
        <v>0.99999017999999995</v>
      </c>
      <c r="Z47" s="7">
        <v>1.00001111</v>
      </c>
      <c r="AA47" s="7">
        <v>1</v>
      </c>
      <c r="AB47" s="7">
        <v>0.99999998999999995</v>
      </c>
      <c r="AC47" s="7">
        <v>1</v>
      </c>
    </row>
    <row r="48" spans="1:29" x14ac:dyDescent="0.85">
      <c r="A48" t="s">
        <v>146</v>
      </c>
      <c r="B48" s="7">
        <v>1</v>
      </c>
      <c r="C48" s="7">
        <v>1</v>
      </c>
      <c r="D48" s="7">
        <v>1.0002646900000001</v>
      </c>
      <c r="E48" s="7">
        <v>1.00158605</v>
      </c>
      <c r="F48" s="7">
        <v>0.99999961000000004</v>
      </c>
      <c r="G48" s="7">
        <v>1.0000000099999999</v>
      </c>
      <c r="H48" s="7">
        <v>0.99999994999999997</v>
      </c>
      <c r="I48" s="7">
        <v>1.00000003</v>
      </c>
      <c r="J48" s="7">
        <v>0.99999998000000001</v>
      </c>
      <c r="K48" s="7">
        <v>1</v>
      </c>
      <c r="L48" s="7">
        <v>0.99999998999999995</v>
      </c>
      <c r="M48" s="7">
        <v>1.00000003</v>
      </c>
      <c r="N48" s="7">
        <v>1</v>
      </c>
      <c r="O48" s="7">
        <v>1.0000000200000001</v>
      </c>
      <c r="P48" s="7">
        <v>0.99999998999999995</v>
      </c>
      <c r="Q48" s="7">
        <v>0.99999998999999995</v>
      </c>
      <c r="R48" s="7">
        <v>1.00000015</v>
      </c>
      <c r="S48" s="7">
        <v>1.0000000200000001</v>
      </c>
      <c r="T48" s="7">
        <v>1</v>
      </c>
      <c r="U48" s="7">
        <v>0.99999996999999996</v>
      </c>
      <c r="V48" s="7">
        <v>0.99999998000000001</v>
      </c>
      <c r="W48" s="7">
        <v>1.0000000099999999</v>
      </c>
      <c r="X48" s="7">
        <v>0.99999017999999995</v>
      </c>
      <c r="Y48" s="7">
        <v>1.00001111</v>
      </c>
      <c r="Z48" s="7">
        <v>1</v>
      </c>
      <c r="AA48" s="7">
        <v>0.99999998999999995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1.15683662</v>
      </c>
      <c r="E49" s="7">
        <v>1.16469935</v>
      </c>
      <c r="F49" s="7">
        <v>1.17159682</v>
      </c>
      <c r="G49" s="7">
        <v>1.1784214799999999</v>
      </c>
      <c r="H49" s="7">
        <v>1.18561692</v>
      </c>
      <c r="I49" s="7">
        <v>1.1931604600000001</v>
      </c>
      <c r="J49" s="7">
        <v>1.2010613999999999</v>
      </c>
      <c r="K49" s="7">
        <v>1.2093412699999999</v>
      </c>
      <c r="L49" s="7">
        <v>1.2180134899999999</v>
      </c>
      <c r="M49" s="7">
        <v>1.2272069400000001</v>
      </c>
      <c r="N49" s="7">
        <v>1.2368495399999999</v>
      </c>
      <c r="O49" s="7">
        <v>1.24698175</v>
      </c>
      <c r="P49" s="7">
        <v>1.2575982800000001</v>
      </c>
      <c r="Q49" s="7">
        <v>1.26871763</v>
      </c>
      <c r="R49" s="7">
        <v>1.2803717100000001</v>
      </c>
      <c r="S49" s="7">
        <v>1.2925781300000001</v>
      </c>
      <c r="T49" s="7">
        <v>1.3053687199999999</v>
      </c>
      <c r="U49" s="7">
        <v>1.3187719499999999</v>
      </c>
      <c r="V49" s="7">
        <v>1.3328046</v>
      </c>
      <c r="W49" s="7">
        <v>1.34751241</v>
      </c>
      <c r="X49" s="7">
        <v>1.3633505699999999</v>
      </c>
      <c r="Y49" s="7">
        <v>1.3809807199999999</v>
      </c>
      <c r="Z49" s="7">
        <v>1.3994610599999999</v>
      </c>
      <c r="AA49" s="7">
        <v>1.4188398600000001</v>
      </c>
      <c r="AB49" s="7">
        <v>1.4391545400000001</v>
      </c>
      <c r="AC49" s="7">
        <v>1.46045297</v>
      </c>
    </row>
    <row r="50" spans="1:29" x14ac:dyDescent="0.85">
      <c r="A50" t="s">
        <v>148</v>
      </c>
      <c r="B50" s="7">
        <v>18132</v>
      </c>
      <c r="C50" s="7">
        <v>18482.529207309999</v>
      </c>
      <c r="D50" s="7">
        <v>18906.9113488</v>
      </c>
      <c r="E50" s="7">
        <v>19489.285868250001</v>
      </c>
      <c r="F50" s="7">
        <v>20143.30799524</v>
      </c>
      <c r="G50" s="7">
        <v>20802.462879089999</v>
      </c>
      <c r="H50" s="7">
        <v>21471.370397129998</v>
      </c>
      <c r="I50" s="7">
        <v>22150.250382369999</v>
      </c>
      <c r="J50" s="7">
        <v>22839.516026189998</v>
      </c>
      <c r="K50" s="7">
        <v>23539.424650879999</v>
      </c>
      <c r="L50" s="7">
        <v>24248.273034649999</v>
      </c>
      <c r="M50" s="7">
        <v>24968.107267240001</v>
      </c>
      <c r="N50" s="7">
        <v>25698.718455580001</v>
      </c>
      <c r="O50" s="7">
        <v>26441.16718543</v>
      </c>
      <c r="P50" s="7">
        <v>27196.248399740001</v>
      </c>
      <c r="Q50" s="7">
        <v>27963.179475510002</v>
      </c>
      <c r="R50" s="7">
        <v>28743.202213699999</v>
      </c>
      <c r="S50" s="7">
        <v>29536.076707510001</v>
      </c>
      <c r="T50" s="7">
        <v>30341.81848795</v>
      </c>
      <c r="U50" s="7">
        <v>31162.279268779999</v>
      </c>
      <c r="V50" s="7">
        <v>31995.856342629999</v>
      </c>
      <c r="W50" s="7">
        <v>32838.308148769996</v>
      </c>
      <c r="X50" s="7">
        <v>33680.532692219997</v>
      </c>
      <c r="Y50" s="7">
        <v>34537.616667399998</v>
      </c>
      <c r="Z50" s="7">
        <v>35409.979715549998</v>
      </c>
      <c r="AA50" s="7">
        <v>36297.971055130001</v>
      </c>
      <c r="AB50" s="7">
        <v>37201.842489640003</v>
      </c>
      <c r="AC50" s="7">
        <v>38122.126178819999</v>
      </c>
    </row>
    <row r="51" spans="1:29" x14ac:dyDescent="0.85">
      <c r="A51" t="s">
        <v>149</v>
      </c>
      <c r="B51" s="7">
        <v>56878626.25</v>
      </c>
      <c r="C51" s="7">
        <v>58886319.024196401</v>
      </c>
      <c r="D51" s="7">
        <v>61006956.265465297</v>
      </c>
      <c r="E51" s="7">
        <v>63897538.543235898</v>
      </c>
      <c r="F51" s="7">
        <v>67224253.840335101</v>
      </c>
      <c r="G51" s="7">
        <v>70560179.460011199</v>
      </c>
      <c r="H51" s="7">
        <v>73930910.605273098</v>
      </c>
      <c r="I51" s="7">
        <v>77340324.588918507</v>
      </c>
      <c r="J51" s="7">
        <v>80788545.7107701</v>
      </c>
      <c r="K51" s="7">
        <v>84278505.697925702</v>
      </c>
      <c r="L51" s="7">
        <v>87771515.605912298</v>
      </c>
      <c r="M51" s="7">
        <v>91304486.049977601</v>
      </c>
      <c r="N51" s="7">
        <v>94871987.646641299</v>
      </c>
      <c r="O51" s="7">
        <v>98485967.954463199</v>
      </c>
      <c r="P51" s="7">
        <v>102150267.985571</v>
      </c>
      <c r="Q51" s="7">
        <v>105861745.223744</v>
      </c>
      <c r="R51" s="7">
        <v>109626057.03701399</v>
      </c>
      <c r="S51" s="7">
        <v>113442015.108272</v>
      </c>
      <c r="T51" s="7">
        <v>117310324.13549601</v>
      </c>
      <c r="U51" s="7">
        <v>121238958.53595001</v>
      </c>
      <c r="V51" s="7">
        <v>125221331.630034</v>
      </c>
      <c r="W51" s="7">
        <v>129145082.518043</v>
      </c>
      <c r="X51" s="7">
        <v>132848950.746554</v>
      </c>
      <c r="Y51" s="7">
        <v>136612006.207643</v>
      </c>
      <c r="Z51" s="7">
        <v>140436443.15288499</v>
      </c>
      <c r="AA51" s="7">
        <v>144323918.97395</v>
      </c>
      <c r="AB51" s="7">
        <v>148275026.251625</v>
      </c>
      <c r="AC51" s="7">
        <v>152292551.693082</v>
      </c>
    </row>
    <row r="52" spans="1:29" x14ac:dyDescent="0.85">
      <c r="A52" t="s">
        <v>150</v>
      </c>
      <c r="B52" s="7">
        <v>56878626.25</v>
      </c>
      <c r="C52" s="7">
        <v>58886319.024196401</v>
      </c>
      <c r="D52" s="7">
        <v>61006956.265465297</v>
      </c>
      <c r="E52" s="7">
        <v>63897538.543235898</v>
      </c>
      <c r="F52" s="7">
        <v>67224253.840335101</v>
      </c>
      <c r="G52" s="7">
        <v>70560179.460011199</v>
      </c>
      <c r="H52" s="7">
        <v>73930910.605273098</v>
      </c>
      <c r="I52" s="7">
        <v>77340324.588918507</v>
      </c>
      <c r="J52" s="7">
        <v>80788545.7107701</v>
      </c>
      <c r="K52" s="7">
        <v>84278505.697925702</v>
      </c>
      <c r="L52" s="7">
        <v>87771515.605912298</v>
      </c>
      <c r="M52" s="7">
        <v>91304486.049977601</v>
      </c>
      <c r="N52" s="7">
        <v>94871987.646641299</v>
      </c>
      <c r="O52" s="7">
        <v>98485967.954463199</v>
      </c>
      <c r="P52" s="7">
        <v>102150267.985571</v>
      </c>
      <c r="Q52" s="7">
        <v>105861745.223744</v>
      </c>
      <c r="R52" s="7">
        <v>109626057.03701399</v>
      </c>
      <c r="S52" s="7">
        <v>113442015.108272</v>
      </c>
      <c r="T52" s="7">
        <v>117310324.13549601</v>
      </c>
      <c r="U52" s="7">
        <v>121238958.53595001</v>
      </c>
      <c r="V52" s="7">
        <v>125221331.630034</v>
      </c>
      <c r="W52" s="7">
        <v>129145082.518043</v>
      </c>
      <c r="X52" s="7">
        <v>132848950.746554</v>
      </c>
      <c r="Y52" s="7">
        <v>136612006.207643</v>
      </c>
      <c r="Z52" s="7">
        <v>140436443.15288499</v>
      </c>
      <c r="AA52" s="7">
        <v>144323918.97395</v>
      </c>
      <c r="AB52" s="7">
        <v>148275026.251625</v>
      </c>
      <c r="AC52" s="7">
        <v>152292551.693082</v>
      </c>
    </row>
    <row r="53" spans="1:29" x14ac:dyDescent="0.85">
      <c r="A53" t="s">
        <v>151</v>
      </c>
      <c r="B53" s="7">
        <v>4826.35423558</v>
      </c>
      <c r="C53" s="7">
        <v>4941.8155881800003</v>
      </c>
      <c r="D53" s="7">
        <v>5074.0381066299997</v>
      </c>
      <c r="E53" s="7">
        <v>5255.0086385200002</v>
      </c>
      <c r="F53" s="7">
        <v>5460.2079232599999</v>
      </c>
      <c r="G53" s="7">
        <v>5666.6053054900003</v>
      </c>
      <c r="H53" s="7">
        <v>5875.7014123400004</v>
      </c>
      <c r="I53" s="7">
        <v>6087.6325389200001</v>
      </c>
      <c r="J53" s="7">
        <v>6302.4800749400001</v>
      </c>
      <c r="K53" s="7">
        <v>6520.3643525999996</v>
      </c>
      <c r="L53" s="7">
        <v>6740.0183661399997</v>
      </c>
      <c r="M53" s="7">
        <v>6962.7307508699996</v>
      </c>
      <c r="N53" s="7">
        <v>7188.3294157999999</v>
      </c>
      <c r="O53" s="7">
        <v>7417.3070086600001</v>
      </c>
      <c r="P53" s="7">
        <v>7649.9080015500003</v>
      </c>
      <c r="Q53" s="7">
        <v>7885.9073020100004</v>
      </c>
      <c r="R53" s="7">
        <v>8125.6784424500001</v>
      </c>
      <c r="S53" s="7">
        <v>8369.1469324900008</v>
      </c>
      <c r="T53" s="7">
        <v>8616.3329120300004</v>
      </c>
      <c r="U53" s="7">
        <v>8867.7821120999997</v>
      </c>
      <c r="V53" s="7">
        <v>9123.0298835400008</v>
      </c>
      <c r="W53" s="7">
        <v>9378.5302594000004</v>
      </c>
      <c r="X53" s="7">
        <v>9628.6224007399996</v>
      </c>
      <c r="Y53" s="7">
        <v>9882.9766230900004</v>
      </c>
      <c r="Z53" s="7">
        <v>10141.72604611</v>
      </c>
      <c r="AA53" s="7">
        <v>10404.977335220001</v>
      </c>
      <c r="AB53" s="7">
        <v>10672.792700919999</v>
      </c>
      <c r="AC53" s="7">
        <v>10945.341056540001</v>
      </c>
    </row>
    <row r="54" spans="1:29" x14ac:dyDescent="0.85">
      <c r="A54" t="s">
        <v>152</v>
      </c>
      <c r="B54" s="7">
        <v>0</v>
      </c>
      <c r="C54" s="7">
        <v>5770.8592643700003</v>
      </c>
      <c r="D54" s="7">
        <v>5978.6817140200001</v>
      </c>
      <c r="E54" s="7">
        <v>6261.95877724</v>
      </c>
      <c r="F54" s="7">
        <v>6587.9768763499997</v>
      </c>
      <c r="G54" s="7">
        <v>6914.8975870800004</v>
      </c>
      <c r="H54" s="7">
        <v>7245.2292393199996</v>
      </c>
      <c r="I54" s="7">
        <v>7579.3518097100005</v>
      </c>
      <c r="J54" s="7">
        <v>7917.2774796599997</v>
      </c>
      <c r="K54" s="7">
        <v>8259.2935584000006</v>
      </c>
      <c r="L54" s="7">
        <v>8601.6085293800006</v>
      </c>
      <c r="M54" s="7">
        <v>8947.8396329000007</v>
      </c>
      <c r="N54" s="7">
        <v>9297.4547893700001</v>
      </c>
      <c r="O54" s="7">
        <v>9651.6248595399993</v>
      </c>
      <c r="P54" s="7">
        <v>10010.72626259</v>
      </c>
      <c r="Q54" s="7">
        <v>10374.451031930001</v>
      </c>
      <c r="R54" s="7">
        <v>10743.35358963</v>
      </c>
      <c r="S54" s="7">
        <v>11117.31748061</v>
      </c>
      <c r="T54" s="7">
        <v>11496.41176528</v>
      </c>
      <c r="U54" s="7">
        <v>11881.41793652</v>
      </c>
      <c r="V54" s="7">
        <v>12271.69049974</v>
      </c>
      <c r="W54" s="7">
        <v>12656.218086770001</v>
      </c>
      <c r="X54" s="7">
        <v>13019.197173160001</v>
      </c>
      <c r="Y54" s="7">
        <v>13387.97660835</v>
      </c>
      <c r="Z54" s="7">
        <v>13762.771428980001</v>
      </c>
      <c r="AA54" s="7">
        <v>14143.74405945</v>
      </c>
      <c r="AB54" s="7">
        <v>14530.95257266</v>
      </c>
      <c r="AC54" s="7">
        <v>14924.67006592</v>
      </c>
    </row>
    <row r="55" spans="1:29" x14ac:dyDescent="0.85">
      <c r="A55" t="s">
        <v>153</v>
      </c>
      <c r="B55" s="7">
        <v>27.870526859999998</v>
      </c>
      <c r="C55" s="7">
        <v>28.85429632</v>
      </c>
      <c r="D55" s="7">
        <v>29.893408569999998</v>
      </c>
      <c r="E55" s="7">
        <v>31.309793890000002</v>
      </c>
      <c r="F55" s="7">
        <v>32.939884380000002</v>
      </c>
      <c r="G55" s="7">
        <v>34.574487939999997</v>
      </c>
      <c r="H55" s="7">
        <v>36.226146200000002</v>
      </c>
      <c r="I55" s="7">
        <v>37.89675905</v>
      </c>
      <c r="J55" s="7">
        <v>39.5863874</v>
      </c>
      <c r="K55" s="7">
        <v>41.296467790000001</v>
      </c>
      <c r="L55" s="7">
        <v>43.00804265</v>
      </c>
      <c r="M55" s="7">
        <v>44.739198160000001</v>
      </c>
      <c r="N55" s="7">
        <v>46.487273950000002</v>
      </c>
      <c r="O55" s="7">
        <v>48.258124299999999</v>
      </c>
      <c r="P55" s="7">
        <v>50.05363131</v>
      </c>
      <c r="Q55" s="7">
        <v>51.872255160000002</v>
      </c>
      <c r="R55" s="7">
        <v>53.716767949999998</v>
      </c>
      <c r="S55" s="7">
        <v>55.586587399999999</v>
      </c>
      <c r="T55" s="7">
        <v>57.48205883</v>
      </c>
      <c r="U55" s="7">
        <v>59.407089679999999</v>
      </c>
      <c r="V55" s="7">
        <v>61.358452499999999</v>
      </c>
      <c r="W55" s="7">
        <v>63.281090429999999</v>
      </c>
      <c r="X55" s="7">
        <v>65.095985870000007</v>
      </c>
      <c r="Y55" s="7">
        <v>66.939883039999998</v>
      </c>
      <c r="Z55" s="7">
        <v>68.813857139999996</v>
      </c>
      <c r="AA55" s="7">
        <v>70.718720300000001</v>
      </c>
      <c r="AB55" s="7">
        <v>72.654762860000005</v>
      </c>
      <c r="AC55" s="7">
        <v>74.623350329999994</v>
      </c>
    </row>
    <row r="56" spans="1:29" x14ac:dyDescent="0.85">
      <c r="A56" t="s">
        <v>154</v>
      </c>
      <c r="B56" s="7">
        <v>3438.51575508</v>
      </c>
      <c r="C56" s="7">
        <v>3504.98940399</v>
      </c>
      <c r="D56" s="7">
        <v>3585.46837375</v>
      </c>
      <c r="E56" s="7">
        <v>3695.90869806</v>
      </c>
      <c r="F56" s="7">
        <v>3819.9361295600002</v>
      </c>
      <c r="G56" s="7">
        <v>3944.9369266600002</v>
      </c>
      <c r="H56" s="7">
        <v>4071.78719357</v>
      </c>
      <c r="I56" s="7">
        <v>4200.5286189500002</v>
      </c>
      <c r="J56" s="7">
        <v>4331.2395595899998</v>
      </c>
      <c r="K56" s="7">
        <v>4463.9688135699998</v>
      </c>
      <c r="L56" s="7">
        <v>4598.3933853500002</v>
      </c>
      <c r="M56" s="7">
        <v>4734.9012912500002</v>
      </c>
      <c r="N56" s="7">
        <v>4873.45291722</v>
      </c>
      <c r="O56" s="7">
        <v>5014.2493905700003</v>
      </c>
      <c r="P56" s="7">
        <v>5157.4414626999996</v>
      </c>
      <c r="Q56" s="7">
        <v>5302.88071855</v>
      </c>
      <c r="R56" s="7">
        <v>5450.8026507499999</v>
      </c>
      <c r="S56" s="7">
        <v>5601.1617638500002</v>
      </c>
      <c r="T56" s="7">
        <v>5753.9610031299999</v>
      </c>
      <c r="U56" s="7">
        <v>5909.5515238300004</v>
      </c>
      <c r="V56" s="7">
        <v>6067.6293917700004</v>
      </c>
      <c r="W56" s="7">
        <v>6227.3902459600004</v>
      </c>
      <c r="X56" s="7">
        <v>6387.1080025299998</v>
      </c>
      <c r="Y56" s="7">
        <v>6549.6436716199996</v>
      </c>
      <c r="Z56" s="7">
        <v>6715.07683318</v>
      </c>
      <c r="AA56" s="7">
        <v>6883.47371226</v>
      </c>
      <c r="AB56" s="7">
        <v>7054.8820603800004</v>
      </c>
      <c r="AC56" s="7">
        <v>7229.4027952300003</v>
      </c>
    </row>
    <row r="57" spans="1:29" x14ac:dyDescent="0.85">
      <c r="A57" t="s">
        <v>155</v>
      </c>
      <c r="B57" s="7">
        <v>1387.8384805000001</v>
      </c>
      <c r="C57" s="7">
        <v>1436.82618419</v>
      </c>
      <c r="D57" s="7">
        <v>1488.5697328799999</v>
      </c>
      <c r="E57" s="7">
        <v>1559.0999404500001</v>
      </c>
      <c r="F57" s="7">
        <v>1640.2717937</v>
      </c>
      <c r="G57" s="7">
        <v>1721.66837882</v>
      </c>
      <c r="H57" s="7">
        <v>1803.9142187699999</v>
      </c>
      <c r="I57" s="7">
        <v>1887.1039199700001</v>
      </c>
      <c r="J57" s="7">
        <v>1971.24051534</v>
      </c>
      <c r="K57" s="7">
        <v>2056.3955390299998</v>
      </c>
      <c r="L57" s="7">
        <v>2141.62498078</v>
      </c>
      <c r="M57" s="7">
        <v>2227.8294596199999</v>
      </c>
      <c r="N57" s="7">
        <v>2314.8764985799999</v>
      </c>
      <c r="O57" s="7">
        <v>2403.0576180899998</v>
      </c>
      <c r="P57" s="7">
        <v>2492.4665388499998</v>
      </c>
      <c r="Q57" s="7">
        <v>2583.02658346</v>
      </c>
      <c r="R57" s="7">
        <v>2674.8757916999998</v>
      </c>
      <c r="S57" s="7">
        <v>2767.9851686400002</v>
      </c>
      <c r="T57" s="7">
        <v>2862.37190891</v>
      </c>
      <c r="U57" s="7">
        <v>2958.2305882800001</v>
      </c>
      <c r="V57" s="7">
        <v>3055.4004917699999</v>
      </c>
      <c r="W57" s="7">
        <v>3151.1400134400001</v>
      </c>
      <c r="X57" s="7">
        <v>3241.5143982200002</v>
      </c>
      <c r="Y57" s="7">
        <v>3333.3329514699999</v>
      </c>
      <c r="Z57" s="7">
        <v>3426.64921293</v>
      </c>
      <c r="AA57" s="7">
        <v>3521.50362296</v>
      </c>
      <c r="AB57" s="7">
        <v>3617.9106405399998</v>
      </c>
      <c r="AC57" s="7">
        <v>3715.9382613100001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1.06180425</v>
      </c>
      <c r="E58" s="7">
        <v>1.06558464</v>
      </c>
      <c r="F58" s="7">
        <v>1.0737522900000001</v>
      </c>
      <c r="G58" s="7">
        <v>1.07662295</v>
      </c>
      <c r="H58" s="7">
        <v>1.0757534099999999</v>
      </c>
      <c r="I58" s="7">
        <v>1.07516167</v>
      </c>
      <c r="J58" s="7">
        <v>1.0746020000000001</v>
      </c>
      <c r="K58" s="7">
        <v>1.07408098</v>
      </c>
      <c r="L58" s="7">
        <v>1.0735881599999999</v>
      </c>
      <c r="M58" s="7">
        <v>1.07303463</v>
      </c>
      <c r="N58" s="7">
        <v>1.07258958</v>
      </c>
      <c r="O58" s="7">
        <v>1.07214768</v>
      </c>
      <c r="P58" s="7">
        <v>1.0717609299999999</v>
      </c>
      <c r="Q58" s="7">
        <v>1.07141357</v>
      </c>
      <c r="R58" s="7">
        <v>1.0710415499999999</v>
      </c>
      <c r="S58" s="7">
        <v>1.0707235799999999</v>
      </c>
      <c r="T58" s="7">
        <v>1.0704008</v>
      </c>
      <c r="U58" s="7">
        <v>1.0700832499999999</v>
      </c>
      <c r="V58" s="7">
        <v>1.06983395</v>
      </c>
      <c r="W58" s="7">
        <v>1.06953079</v>
      </c>
      <c r="X58" s="7">
        <v>1.06909378</v>
      </c>
      <c r="Y58" s="7">
        <v>1.06838294</v>
      </c>
      <c r="Z58" s="7">
        <v>1.0681744399999999</v>
      </c>
      <c r="AA58" s="7">
        <v>1.0679774399999999</v>
      </c>
      <c r="AB58" s="7">
        <v>1.0677889899999999</v>
      </c>
      <c r="AC58" s="7">
        <v>1.0676056599999999</v>
      </c>
    </row>
    <row r="59" spans="1:29" x14ac:dyDescent="0.85">
      <c r="A59" t="s">
        <v>157</v>
      </c>
      <c r="B59" s="7">
        <v>1</v>
      </c>
      <c r="C59" s="7">
        <v>1.06180425</v>
      </c>
      <c r="D59" s="7">
        <v>1.06558464</v>
      </c>
      <c r="E59" s="7">
        <v>1.0737522900000001</v>
      </c>
      <c r="F59" s="7">
        <v>1.07662295</v>
      </c>
      <c r="G59" s="7">
        <v>1.0757534099999999</v>
      </c>
      <c r="H59" s="7">
        <v>1.07516167</v>
      </c>
      <c r="I59" s="7">
        <v>1.0746020000000001</v>
      </c>
      <c r="J59" s="7">
        <v>1.07408098</v>
      </c>
      <c r="K59" s="7">
        <v>1.0735881599999999</v>
      </c>
      <c r="L59" s="7">
        <v>1.07303463</v>
      </c>
      <c r="M59" s="7">
        <v>1.07258958</v>
      </c>
      <c r="N59" s="7">
        <v>1.07214768</v>
      </c>
      <c r="O59" s="7">
        <v>1.0717609299999999</v>
      </c>
      <c r="P59" s="7">
        <v>1.07141357</v>
      </c>
      <c r="Q59" s="7">
        <v>1.0710415499999999</v>
      </c>
      <c r="R59" s="7">
        <v>1.0707235799999999</v>
      </c>
      <c r="S59" s="7">
        <v>1.0704008</v>
      </c>
      <c r="T59" s="7">
        <v>1.0700832499999999</v>
      </c>
      <c r="U59" s="7">
        <v>1.06983395</v>
      </c>
      <c r="V59" s="7">
        <v>1.06953079</v>
      </c>
      <c r="W59" s="7">
        <v>1.06909378</v>
      </c>
      <c r="X59" s="7">
        <v>1.06838294</v>
      </c>
      <c r="Y59" s="7">
        <v>1.0681744399999999</v>
      </c>
      <c r="Z59" s="7">
        <v>1.0679774399999999</v>
      </c>
      <c r="AA59" s="7">
        <v>1.0677889899999999</v>
      </c>
      <c r="AB59" s="7">
        <v>1.0676056599999999</v>
      </c>
      <c r="AC59" s="7">
        <v>1.06743498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1.0900848400000001</v>
      </c>
      <c r="E60" s="7">
        <v>1.09065594</v>
      </c>
      <c r="F60" s="7">
        <v>1.0901277300000001</v>
      </c>
      <c r="G60" s="7">
        <v>1.08913269</v>
      </c>
      <c r="H60" s="7">
        <v>1.0882330499999999</v>
      </c>
      <c r="I60" s="7">
        <v>1.0873904599999999</v>
      </c>
      <c r="J60" s="7">
        <v>1.0865980099999999</v>
      </c>
      <c r="K60" s="7">
        <v>1.0858532299999999</v>
      </c>
      <c r="L60" s="7">
        <v>1.0851511700000001</v>
      </c>
      <c r="M60" s="7">
        <v>1.08452847</v>
      </c>
      <c r="N60" s="7">
        <v>1.0839448300000001</v>
      </c>
      <c r="O60" s="7">
        <v>1.083404</v>
      </c>
      <c r="P60" s="7">
        <v>1.08289331</v>
      </c>
      <c r="Q60" s="7">
        <v>1.0824085299999999</v>
      </c>
      <c r="R60" s="7">
        <v>1.0819524199999999</v>
      </c>
      <c r="S60" s="7">
        <v>1.08151932</v>
      </c>
      <c r="T60" s="7">
        <v>1.08111022</v>
      </c>
      <c r="U60" s="7">
        <v>1.0807243900000001</v>
      </c>
      <c r="V60" s="7">
        <v>1.08035503</v>
      </c>
      <c r="W60" s="7">
        <v>1.08000787</v>
      </c>
      <c r="X60" s="7">
        <v>1.0797634700000001</v>
      </c>
      <c r="Y60" s="7">
        <v>1.0797294399999999</v>
      </c>
      <c r="Z60" s="7">
        <v>1.0796990900000001</v>
      </c>
      <c r="AA60" s="7">
        <v>1.07967196</v>
      </c>
      <c r="AB60" s="7">
        <v>1.07964773</v>
      </c>
      <c r="AC60" s="7">
        <v>1.07962684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</v>
      </c>
      <c r="E69" s="7">
        <v>8.7777800000000007E-3</v>
      </c>
      <c r="F69" s="7">
        <v>0</v>
      </c>
      <c r="G69" s="7">
        <v>0</v>
      </c>
      <c r="H69" s="7">
        <v>7.0000000000000005E-8</v>
      </c>
      <c r="I69" s="7">
        <v>7.0000000000000005E-8</v>
      </c>
      <c r="J69" s="7">
        <v>8.9999999999999999E-8</v>
      </c>
      <c r="K69" s="7">
        <v>8.9999999999999999E-8</v>
      </c>
      <c r="L69" s="7">
        <v>8.9999999999999999E-8</v>
      </c>
      <c r="M69" s="7">
        <v>8.0000000000000002E-8</v>
      </c>
      <c r="N69" s="7">
        <v>8.0000000000000002E-8</v>
      </c>
      <c r="O69" s="7">
        <v>8.0000000000000002E-8</v>
      </c>
      <c r="P69" s="7">
        <v>8.0000000000000002E-8</v>
      </c>
      <c r="Q69" s="7">
        <v>8.0000000000000002E-8</v>
      </c>
      <c r="R69" s="7">
        <v>8.0000000000000002E-8</v>
      </c>
      <c r="S69" s="7">
        <v>7.0000000000000005E-8</v>
      </c>
      <c r="T69" s="7">
        <v>8.0000000000000002E-8</v>
      </c>
      <c r="U69" s="7">
        <v>8.0000000000000002E-8</v>
      </c>
      <c r="V69" s="7">
        <v>8.9999999999999999E-8</v>
      </c>
      <c r="W69" s="7">
        <v>8.0000000000000002E-8</v>
      </c>
      <c r="X69" s="7">
        <v>8.9999999999999999E-8</v>
      </c>
      <c r="Y69" s="7">
        <v>8.9999999999999999E-8</v>
      </c>
      <c r="Z69" s="7">
        <v>1.1000000000000001E-7</v>
      </c>
      <c r="AA69" s="7">
        <v>1.1999999999999999E-7</v>
      </c>
      <c r="AB69" s="7">
        <v>1.1999999999999999E-7</v>
      </c>
      <c r="AC69" s="7">
        <v>1.1999999999999999E-7</v>
      </c>
    </row>
    <row r="70" spans="1:29" x14ac:dyDescent="0.85">
      <c r="A70" t="s">
        <v>168</v>
      </c>
      <c r="B70" s="7">
        <v>1</v>
      </c>
      <c r="C70" s="7">
        <v>0</v>
      </c>
      <c r="D70" s="7">
        <v>8.7777800000000007E-3</v>
      </c>
      <c r="E70" s="7">
        <v>0</v>
      </c>
      <c r="F70" s="7">
        <v>0</v>
      </c>
      <c r="G70" s="7">
        <v>7.0000000000000005E-8</v>
      </c>
      <c r="H70" s="7">
        <v>7.0000000000000005E-8</v>
      </c>
      <c r="I70" s="7">
        <v>8.9999999999999999E-8</v>
      </c>
      <c r="J70" s="7">
        <v>8.9999999999999999E-8</v>
      </c>
      <c r="K70" s="7">
        <v>8.9999999999999999E-8</v>
      </c>
      <c r="L70" s="7">
        <v>8.0000000000000002E-8</v>
      </c>
      <c r="M70" s="7">
        <v>8.0000000000000002E-8</v>
      </c>
      <c r="N70" s="7">
        <v>8.0000000000000002E-8</v>
      </c>
      <c r="O70" s="7">
        <v>8.0000000000000002E-8</v>
      </c>
      <c r="P70" s="7">
        <v>8.0000000000000002E-8</v>
      </c>
      <c r="Q70" s="7">
        <v>8.0000000000000002E-8</v>
      </c>
      <c r="R70" s="7">
        <v>7.0000000000000005E-8</v>
      </c>
      <c r="S70" s="7">
        <v>8.0000000000000002E-8</v>
      </c>
      <c r="T70" s="7">
        <v>8.0000000000000002E-8</v>
      </c>
      <c r="U70" s="7">
        <v>8.9999999999999999E-8</v>
      </c>
      <c r="V70" s="7">
        <v>8.0000000000000002E-8</v>
      </c>
      <c r="W70" s="7">
        <v>8.9999999999999999E-8</v>
      </c>
      <c r="X70" s="7">
        <v>8.9999999999999999E-8</v>
      </c>
      <c r="Y70" s="7">
        <v>1.1000000000000001E-7</v>
      </c>
      <c r="Z70" s="7">
        <v>1.1999999999999999E-7</v>
      </c>
      <c r="AA70" s="7">
        <v>1.1999999999999999E-7</v>
      </c>
      <c r="AB70" s="7">
        <v>1.1999999999999999E-7</v>
      </c>
      <c r="AC70" s="7">
        <v>9.9999999999999995E-8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6.7190000000000001E-4</v>
      </c>
      <c r="D72" s="7">
        <v>0.87287486999999997</v>
      </c>
      <c r="E72" s="7">
        <v>8.5574701700000002</v>
      </c>
      <c r="F72" s="7">
        <v>7.7024327399999999</v>
      </c>
      <c r="G72" s="7">
        <v>7.06510237</v>
      </c>
      <c r="H72" s="7">
        <v>6.3911487899999999</v>
      </c>
      <c r="I72" s="7">
        <v>5.8580056300000001</v>
      </c>
      <c r="J72" s="7">
        <v>5.2731944500000001</v>
      </c>
      <c r="K72" s="7">
        <v>4.7796231499999999</v>
      </c>
      <c r="L72" s="7">
        <v>4.3050383600000002</v>
      </c>
      <c r="M72" s="7">
        <v>3.8745345900000001</v>
      </c>
      <c r="N72" s="7">
        <v>3.6722576999999998</v>
      </c>
      <c r="O72" s="7">
        <v>3.5986873899999998</v>
      </c>
      <c r="P72" s="7">
        <v>3.24297974</v>
      </c>
      <c r="Q72" s="7">
        <v>3.0683915000000002</v>
      </c>
      <c r="R72" s="7">
        <v>2.8092028299999998</v>
      </c>
      <c r="S72" s="7">
        <v>2.5460726899999999</v>
      </c>
      <c r="T72" s="7">
        <v>2.7073042599999999</v>
      </c>
      <c r="U72" s="7">
        <v>2.4532535800000002</v>
      </c>
      <c r="V72" s="7">
        <v>2.53748452</v>
      </c>
      <c r="W72" s="7">
        <v>2.2841977199999999</v>
      </c>
      <c r="X72" s="7">
        <v>2.0665040399999999</v>
      </c>
      <c r="Y72" s="7">
        <v>1.8680865799999999</v>
      </c>
      <c r="Z72" s="7">
        <v>1.6914527699999999</v>
      </c>
      <c r="AA72" s="7">
        <v>1.55898534</v>
      </c>
      <c r="AB72" s="7">
        <v>1.46860496</v>
      </c>
      <c r="AC72" s="7">
        <v>1.3547449199999999</v>
      </c>
    </row>
    <row r="73" spans="1:29" x14ac:dyDescent="0.85">
      <c r="A73" t="s">
        <v>171</v>
      </c>
      <c r="B73" s="7">
        <v>0</v>
      </c>
      <c r="C73" s="7">
        <v>1.5069000000000001E-4</v>
      </c>
      <c r="D73" s="7">
        <v>0.21808437999999999</v>
      </c>
      <c r="E73" s="7">
        <v>1.9429663500000001</v>
      </c>
      <c r="F73" s="7">
        <v>1.8097999999999999E-4</v>
      </c>
      <c r="G73" s="7">
        <v>3.3229130000000003E-2</v>
      </c>
      <c r="H73" s="7">
        <v>8.1389700000000006E-3</v>
      </c>
      <c r="I73" s="7">
        <v>2.6493429999999998E-2</v>
      </c>
      <c r="J73" s="7">
        <v>2.4662000000000002E-4</v>
      </c>
      <c r="K73" s="7">
        <v>8.4374099999999994E-3</v>
      </c>
      <c r="L73" s="7">
        <v>8.4433000000000002E-4</v>
      </c>
      <c r="M73" s="7">
        <v>1.4999999999999999E-7</v>
      </c>
      <c r="N73" s="7">
        <v>4.6289740000000003E-2</v>
      </c>
      <c r="O73" s="7">
        <v>7.3418289999999997E-2</v>
      </c>
      <c r="P73" s="7">
        <v>1.04054E-3</v>
      </c>
      <c r="Q73" s="7">
        <v>3.7427299999999997E-2</v>
      </c>
      <c r="R73" s="7">
        <v>1.191214E-2</v>
      </c>
      <c r="S73" s="7">
        <v>4.44167E-3</v>
      </c>
      <c r="T73" s="7">
        <v>0.10396585</v>
      </c>
      <c r="U73" s="7">
        <v>4.1681699999999997E-3</v>
      </c>
      <c r="V73" s="7">
        <v>8.2390969999999994E-2</v>
      </c>
      <c r="W73" s="7">
        <v>1.1561999999999999E-4</v>
      </c>
      <c r="X73" s="7">
        <v>2.6770700000000001E-3</v>
      </c>
      <c r="Y73" s="7">
        <v>2.0621900000000002E-3</v>
      </c>
      <c r="Z73" s="7">
        <v>2.5228999999999998E-3</v>
      </c>
      <c r="AA73" s="7">
        <v>9.1906699999999997E-3</v>
      </c>
      <c r="AB73" s="7">
        <v>1.6379029999999999E-2</v>
      </c>
      <c r="AC73" s="7">
        <v>8.2459000000000005E-3</v>
      </c>
    </row>
    <row r="74" spans="1:29" x14ac:dyDescent="0.85">
      <c r="A74" t="s">
        <v>172</v>
      </c>
      <c r="B74" s="7">
        <v>0</v>
      </c>
      <c r="C74" s="7">
        <v>1.5069000000000001E-4</v>
      </c>
      <c r="D74" s="7">
        <v>0.21808437999999999</v>
      </c>
      <c r="E74" s="7">
        <v>1.9429663500000001</v>
      </c>
      <c r="F74" s="7">
        <v>1.8097999999999999E-4</v>
      </c>
      <c r="G74" s="7">
        <v>3.3229130000000003E-2</v>
      </c>
      <c r="H74" s="7">
        <v>8.1389700000000006E-3</v>
      </c>
      <c r="I74" s="7">
        <v>2.6493429999999998E-2</v>
      </c>
      <c r="J74" s="7">
        <v>2.4662000000000002E-4</v>
      </c>
      <c r="K74" s="7">
        <v>8.4374099999999994E-3</v>
      </c>
      <c r="L74" s="7">
        <v>8.4433000000000002E-4</v>
      </c>
      <c r="M74" s="7">
        <v>1.4999999999999999E-7</v>
      </c>
      <c r="N74" s="7">
        <v>4.6289740000000003E-2</v>
      </c>
      <c r="O74" s="7">
        <v>7.3418289999999997E-2</v>
      </c>
      <c r="P74" s="7">
        <v>1.04054E-3</v>
      </c>
      <c r="Q74" s="7">
        <v>3.7427299999999997E-2</v>
      </c>
      <c r="R74" s="7">
        <v>1.191214E-2</v>
      </c>
      <c r="S74" s="7">
        <v>4.44167E-3</v>
      </c>
      <c r="T74" s="7">
        <v>0.10396585</v>
      </c>
      <c r="U74" s="7">
        <v>4.1681699999999997E-3</v>
      </c>
      <c r="V74" s="7">
        <v>8.2390969999999994E-2</v>
      </c>
      <c r="W74" s="7">
        <v>1.1561999999999999E-4</v>
      </c>
      <c r="X74" s="7">
        <v>2.6770700000000001E-3</v>
      </c>
      <c r="Y74" s="7">
        <v>2.0621900000000002E-3</v>
      </c>
      <c r="Z74" s="7">
        <v>2.5228999999999998E-3</v>
      </c>
      <c r="AA74" s="7">
        <v>9.1906699999999997E-3</v>
      </c>
      <c r="AB74" s="7">
        <v>1.6379029999999999E-2</v>
      </c>
      <c r="AC74" s="7">
        <v>8.2459000000000005E-3</v>
      </c>
    </row>
    <row r="75" spans="1:29" x14ac:dyDescent="0.85">
      <c r="A75" t="s">
        <v>173</v>
      </c>
      <c r="B75" s="7">
        <v>0</v>
      </c>
      <c r="C75" s="7">
        <v>1.7844000000000001E-4</v>
      </c>
      <c r="D75" s="7">
        <v>0.2318093</v>
      </c>
      <c r="E75" s="7">
        <v>2.2726038499999999</v>
      </c>
      <c r="F75" s="7">
        <v>2.04550783</v>
      </c>
      <c r="G75" s="7">
        <v>1.87625471</v>
      </c>
      <c r="H75" s="7">
        <v>1.6972748900000001</v>
      </c>
      <c r="I75" s="7">
        <v>1.5556901999999999</v>
      </c>
      <c r="J75" s="7">
        <v>1.40038361</v>
      </c>
      <c r="K75" s="7">
        <v>1.26930773</v>
      </c>
      <c r="L75" s="7">
        <v>1.1432738200000001</v>
      </c>
      <c r="M75" s="7">
        <v>1.0289464500000001</v>
      </c>
      <c r="N75" s="7">
        <v>0.97522913</v>
      </c>
      <c r="O75" s="7">
        <v>0.95569170000000003</v>
      </c>
      <c r="P75" s="7">
        <v>0.86122666999999997</v>
      </c>
      <c r="Q75" s="7">
        <v>0.81486239999999999</v>
      </c>
      <c r="R75" s="7">
        <v>0.74603023000000002</v>
      </c>
      <c r="S75" s="7">
        <v>0.67615157999999997</v>
      </c>
      <c r="T75" s="7">
        <v>0.71897065000000004</v>
      </c>
      <c r="U75" s="7">
        <v>0.65150193999999995</v>
      </c>
      <c r="V75" s="7">
        <v>0.67387193000000001</v>
      </c>
      <c r="W75" s="7">
        <v>0.60660630999999998</v>
      </c>
      <c r="X75" s="7">
        <v>0.54879420999999995</v>
      </c>
      <c r="Y75" s="7">
        <v>0.49610116999999998</v>
      </c>
      <c r="Z75" s="7">
        <v>0.44919316999999997</v>
      </c>
      <c r="AA75" s="7">
        <v>0.41401434999999998</v>
      </c>
      <c r="AB75" s="7">
        <v>0.39001245000000001</v>
      </c>
      <c r="AC75" s="7">
        <v>0.35977492999999999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4.8500000000000002E-6</v>
      </c>
      <c r="E76" s="7">
        <v>4.3229999999999998E-5</v>
      </c>
      <c r="F76" s="7">
        <v>0</v>
      </c>
      <c r="G76" s="7">
        <v>7.4000000000000001E-7</v>
      </c>
      <c r="H76" s="7">
        <v>1.8E-7</v>
      </c>
      <c r="I76" s="7">
        <v>5.8999999999999996E-7</v>
      </c>
      <c r="J76" s="7">
        <v>1E-8</v>
      </c>
      <c r="K76" s="7">
        <v>1.9000000000000001E-7</v>
      </c>
      <c r="L76" s="7">
        <v>2E-8</v>
      </c>
      <c r="M76" s="7">
        <v>0</v>
      </c>
      <c r="N76" s="7">
        <v>1.0300000000000001E-6</v>
      </c>
      <c r="O76" s="7">
        <v>1.6300000000000001E-6</v>
      </c>
      <c r="P76" s="7">
        <v>2E-8</v>
      </c>
      <c r="Q76" s="7">
        <v>8.2999999999999999E-7</v>
      </c>
      <c r="R76" s="7">
        <v>2.7000000000000001E-7</v>
      </c>
      <c r="S76" s="7">
        <v>9.9999999999999995E-8</v>
      </c>
      <c r="T76" s="7">
        <v>2.3099999999999999E-6</v>
      </c>
      <c r="U76" s="7">
        <v>8.9999999999999999E-8</v>
      </c>
      <c r="V76" s="7">
        <v>1.8300000000000001E-6</v>
      </c>
      <c r="W76" s="7">
        <v>0</v>
      </c>
      <c r="X76" s="7">
        <v>5.9999999999999995E-8</v>
      </c>
      <c r="Y76" s="7">
        <v>4.9999999999999998E-8</v>
      </c>
      <c r="Z76" s="7">
        <v>5.9999999999999995E-8</v>
      </c>
      <c r="AA76" s="7">
        <v>1.9999999999999999E-7</v>
      </c>
      <c r="AB76" s="7">
        <v>3.5999999999999999E-7</v>
      </c>
      <c r="AC76" s="7">
        <v>1.8E-7</v>
      </c>
    </row>
    <row r="77" spans="1:29" x14ac:dyDescent="0.85">
      <c r="A77" t="s">
        <v>175</v>
      </c>
      <c r="B77" s="7">
        <v>0</v>
      </c>
      <c r="C77" s="7">
        <v>0</v>
      </c>
      <c r="D77" s="7">
        <v>2E-8</v>
      </c>
      <c r="E77" s="7">
        <v>2.2000000000000001E-7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1E-8</v>
      </c>
      <c r="O77" s="7">
        <v>1E-8</v>
      </c>
      <c r="P77" s="7">
        <v>0</v>
      </c>
      <c r="Q77" s="7">
        <v>0</v>
      </c>
      <c r="R77" s="7">
        <v>0</v>
      </c>
      <c r="S77" s="7">
        <v>0</v>
      </c>
      <c r="T77" s="7">
        <v>1E-8</v>
      </c>
      <c r="U77" s="7">
        <v>0</v>
      </c>
      <c r="V77" s="7">
        <v>1E-8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</row>
    <row r="78" spans="1:29" x14ac:dyDescent="0.85">
      <c r="A78" t="s">
        <v>176</v>
      </c>
      <c r="B78" s="7">
        <v>0</v>
      </c>
      <c r="C78" s="7">
        <v>1.7843000000000001E-4</v>
      </c>
      <c r="D78" s="7">
        <v>0.23180629</v>
      </c>
      <c r="E78" s="7">
        <v>2.27257709</v>
      </c>
      <c r="F78" s="7">
        <v>2.0455078200000001</v>
      </c>
      <c r="G78" s="7">
        <v>1.8762542499999999</v>
      </c>
      <c r="H78" s="7">
        <v>1.6972747800000001</v>
      </c>
      <c r="I78" s="7">
        <v>1.5556898400000001</v>
      </c>
      <c r="J78" s="7">
        <v>1.4003836000000001</v>
      </c>
      <c r="K78" s="7">
        <v>1.26930762</v>
      </c>
      <c r="L78" s="7">
        <v>1.1432738099999999</v>
      </c>
      <c r="M78" s="7">
        <v>1.0289464500000001</v>
      </c>
      <c r="N78" s="7">
        <v>0.97522849</v>
      </c>
      <c r="O78" s="7">
        <v>0.95569068999999995</v>
      </c>
      <c r="P78" s="7">
        <v>0.86122666000000003</v>
      </c>
      <c r="Q78" s="7">
        <v>0.81486188000000004</v>
      </c>
      <c r="R78" s="7">
        <v>0.74603006000000005</v>
      </c>
      <c r="S78" s="7">
        <v>0.67615152000000001</v>
      </c>
      <c r="T78" s="7">
        <v>0.71896921999999996</v>
      </c>
      <c r="U78" s="7">
        <v>0.65150187999999998</v>
      </c>
      <c r="V78" s="7">
        <v>0.67387079000000005</v>
      </c>
      <c r="W78" s="7">
        <v>0.60660630999999998</v>
      </c>
      <c r="X78" s="7">
        <v>0.54879416999999997</v>
      </c>
      <c r="Y78" s="7">
        <v>0.49610114999999999</v>
      </c>
      <c r="Z78" s="7">
        <v>0.44919313</v>
      </c>
      <c r="AA78" s="7">
        <v>0.41401421999999999</v>
      </c>
      <c r="AB78" s="7">
        <v>0.39001223000000002</v>
      </c>
      <c r="AC78" s="7">
        <v>0.35977482</v>
      </c>
    </row>
    <row r="79" spans="1:29" x14ac:dyDescent="0.85">
      <c r="A79" t="s">
        <v>177</v>
      </c>
      <c r="B79" s="7">
        <v>0</v>
      </c>
      <c r="C79" s="7">
        <v>0</v>
      </c>
      <c r="D79" s="7">
        <v>3.0000000000000001E-6</v>
      </c>
      <c r="E79" s="7">
        <v>2.675E-5</v>
      </c>
      <c r="F79" s="7">
        <v>0</v>
      </c>
      <c r="G79" s="7">
        <v>4.5999999999999999E-7</v>
      </c>
      <c r="H79" s="7">
        <v>1.1000000000000001E-7</v>
      </c>
      <c r="I79" s="7">
        <v>3.5999999999999999E-7</v>
      </c>
      <c r="J79" s="7">
        <v>0</v>
      </c>
      <c r="K79" s="7">
        <v>1.1999999999999999E-7</v>
      </c>
      <c r="L79" s="7">
        <v>1E-8</v>
      </c>
      <c r="M79" s="7">
        <v>0</v>
      </c>
      <c r="N79" s="7">
        <v>6.4000000000000001E-7</v>
      </c>
      <c r="O79" s="7">
        <v>1.0100000000000001E-6</v>
      </c>
      <c r="P79" s="7">
        <v>1E-8</v>
      </c>
      <c r="Q79" s="7">
        <v>5.2E-7</v>
      </c>
      <c r="R79" s="7">
        <v>1.6E-7</v>
      </c>
      <c r="S79" s="7">
        <v>5.9999999999999995E-8</v>
      </c>
      <c r="T79" s="7">
        <v>1.4300000000000001E-6</v>
      </c>
      <c r="U79" s="7">
        <v>5.9999999999999995E-8</v>
      </c>
      <c r="V79" s="7">
        <v>1.13E-6</v>
      </c>
      <c r="W79" s="7">
        <v>0</v>
      </c>
      <c r="X79" s="7">
        <v>4.0000000000000001E-8</v>
      </c>
      <c r="Y79" s="7">
        <v>2.9999999999999997E-8</v>
      </c>
      <c r="Z79" s="7">
        <v>2.9999999999999997E-8</v>
      </c>
      <c r="AA79" s="7">
        <v>1.3E-7</v>
      </c>
      <c r="AB79" s="7">
        <v>2.2999999999999999E-7</v>
      </c>
      <c r="AC79" s="7">
        <v>1.1000000000000001E-7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1.0000015600000001</v>
      </c>
      <c r="E80" s="7">
        <v>1.0019607800000001</v>
      </c>
      <c r="F80" s="7">
        <v>1.01694262</v>
      </c>
      <c r="G80" s="7">
        <v>1.0000015099999999</v>
      </c>
      <c r="H80" s="7">
        <v>1.00027797</v>
      </c>
      <c r="I80" s="7">
        <v>1.0000668100000001</v>
      </c>
      <c r="J80" s="7">
        <v>1.0002133499999999</v>
      </c>
      <c r="K80" s="7">
        <v>1.0000019499999999</v>
      </c>
      <c r="L80" s="7">
        <v>1.0000653799999999</v>
      </c>
      <c r="M80" s="7">
        <v>1.0000064200000001</v>
      </c>
      <c r="N80" s="7">
        <v>1</v>
      </c>
      <c r="O80" s="7">
        <v>1.00033807</v>
      </c>
      <c r="P80" s="7">
        <v>1.0005253700000001</v>
      </c>
      <c r="Q80" s="7">
        <v>1.0000072900000001</v>
      </c>
      <c r="R80" s="7">
        <v>1.00025718</v>
      </c>
      <c r="S80" s="7">
        <v>1.0000802</v>
      </c>
      <c r="T80" s="7">
        <v>1.00002934</v>
      </c>
      <c r="U80" s="7">
        <v>1.0006718999999999</v>
      </c>
      <c r="V80" s="7">
        <v>1.0000264000000001</v>
      </c>
      <c r="W80" s="7">
        <v>1.0005110800000001</v>
      </c>
      <c r="X80" s="7">
        <v>1.0000007</v>
      </c>
      <c r="Y80" s="7">
        <v>1.0000159399999999</v>
      </c>
      <c r="Z80" s="7">
        <v>1.00001194</v>
      </c>
      <c r="AA80" s="7">
        <v>1.0000144</v>
      </c>
      <c r="AB80" s="7">
        <v>1.0000506499999999</v>
      </c>
      <c r="AC80" s="7">
        <v>1.0000883</v>
      </c>
    </row>
    <row r="81" spans="1:29" x14ac:dyDescent="0.85">
      <c r="A81" t="s">
        <v>179</v>
      </c>
      <c r="B81" s="7">
        <v>1</v>
      </c>
      <c r="C81" s="7">
        <v>1.0000015600000001</v>
      </c>
      <c r="D81" s="7">
        <v>1.0019607800000001</v>
      </c>
      <c r="E81" s="7">
        <v>1.01694262</v>
      </c>
      <c r="F81" s="7">
        <v>1.0000015099999999</v>
      </c>
      <c r="G81" s="7">
        <v>1.00027797</v>
      </c>
      <c r="H81" s="7">
        <v>1.0000668100000001</v>
      </c>
      <c r="I81" s="7">
        <v>1.0002133499999999</v>
      </c>
      <c r="J81" s="7">
        <v>1.0000019499999999</v>
      </c>
      <c r="K81" s="7">
        <v>1.0000653799999999</v>
      </c>
      <c r="L81" s="7">
        <v>1.0000064200000001</v>
      </c>
      <c r="M81" s="7">
        <v>1</v>
      </c>
      <c r="N81" s="7">
        <v>1.00033807</v>
      </c>
      <c r="O81" s="7">
        <v>1.0005253700000001</v>
      </c>
      <c r="P81" s="7">
        <v>1.0000072900000001</v>
      </c>
      <c r="Q81" s="7">
        <v>1.00025718</v>
      </c>
      <c r="R81" s="7">
        <v>1.0000802</v>
      </c>
      <c r="S81" s="7">
        <v>1.00002934</v>
      </c>
      <c r="T81" s="7">
        <v>1.0006718999999999</v>
      </c>
      <c r="U81" s="7">
        <v>1.0000264000000001</v>
      </c>
      <c r="V81" s="7">
        <v>1.0005110800000001</v>
      </c>
      <c r="W81" s="7">
        <v>1.0000007</v>
      </c>
      <c r="X81" s="7">
        <v>1.0000159399999999</v>
      </c>
      <c r="Y81" s="7">
        <v>1.00001194</v>
      </c>
      <c r="Z81" s="7">
        <v>1.0000144</v>
      </c>
      <c r="AA81" s="7">
        <v>1.0000506499999999</v>
      </c>
      <c r="AB81" s="7">
        <v>1.0000883</v>
      </c>
      <c r="AC81" s="7">
        <v>1.00004341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E5638-4615-4A40-AE49-32E18005BCB1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59819.964072319999</v>
      </c>
      <c r="D5" s="7">
        <v>65497.680712120004</v>
      </c>
      <c r="E5" s="7">
        <v>71744.876827130007</v>
      </c>
      <c r="F5" s="7">
        <v>78616.376713349993</v>
      </c>
      <c r="G5" s="7">
        <v>85333.511392820001</v>
      </c>
      <c r="H5" s="7">
        <v>90597.066386770006</v>
      </c>
      <c r="I5" s="7">
        <v>93466.415126680004</v>
      </c>
      <c r="J5" s="7">
        <v>96479.094506359994</v>
      </c>
      <c r="K5" s="7">
        <v>99585.607887110004</v>
      </c>
      <c r="L5" s="7">
        <v>102795.86470021</v>
      </c>
      <c r="M5" s="7">
        <v>106168.79059146</v>
      </c>
      <c r="N5" s="7">
        <v>109639.71227196</v>
      </c>
      <c r="O5" s="7">
        <v>113261.9008488</v>
      </c>
      <c r="P5" s="7">
        <v>117319.53871391001</v>
      </c>
      <c r="Q5" s="7">
        <v>119234.1519507</v>
      </c>
      <c r="R5" s="7">
        <v>121273.46461785999</v>
      </c>
      <c r="S5" s="7">
        <v>123384.80909121</v>
      </c>
      <c r="T5" s="7">
        <v>125564.45869763001</v>
      </c>
      <c r="U5" s="7">
        <v>127813.72432182</v>
      </c>
      <c r="V5" s="7">
        <v>130134.03812241</v>
      </c>
      <c r="W5" s="7">
        <v>133410.94823101</v>
      </c>
      <c r="X5" s="7">
        <v>137249.24420148</v>
      </c>
      <c r="Y5" s="7">
        <v>141181.95459310999</v>
      </c>
      <c r="Z5" s="7">
        <v>145238.14428730001</v>
      </c>
      <c r="AA5" s="7">
        <v>148873.81001774</v>
      </c>
      <c r="AB5" s="7">
        <v>152685.05409958001</v>
      </c>
      <c r="AC5" s="7">
        <v>156579.99597744</v>
      </c>
    </row>
    <row r="6" spans="1:29" x14ac:dyDescent="0.85">
      <c r="A6" t="s">
        <v>106</v>
      </c>
      <c r="B6" s="7">
        <v>234195297.75</v>
      </c>
      <c r="C6" s="7">
        <v>241589558.094556</v>
      </c>
      <c r="D6" s="7">
        <v>249131682.87902901</v>
      </c>
      <c r="E6" s="7">
        <v>256824645.46658301</v>
      </c>
      <c r="F6" s="7">
        <v>264681108.13162601</v>
      </c>
      <c r="G6" s="7">
        <v>272755415.49267101</v>
      </c>
      <c r="H6" s="7">
        <v>281390410.83036798</v>
      </c>
      <c r="I6" s="7">
        <v>289912151.91949397</v>
      </c>
      <c r="J6" s="7">
        <v>298642301.19584399</v>
      </c>
      <c r="K6" s="7">
        <v>307592024.14108098</v>
      </c>
      <c r="L6" s="7">
        <v>316768164.18856299</v>
      </c>
      <c r="M6" s="7">
        <v>326184022.48654503</v>
      </c>
      <c r="N6" s="7">
        <v>335846275.15604001</v>
      </c>
      <c r="O6" s="7">
        <v>345758914.09752899</v>
      </c>
      <c r="P6" s="7">
        <v>355925828.05389398</v>
      </c>
      <c r="Q6" s="7">
        <v>365279999.98764598</v>
      </c>
      <c r="R6" s="7">
        <v>374920047.70393699</v>
      </c>
      <c r="S6" s="7">
        <v>384817422.665923</v>
      </c>
      <c r="T6" s="7">
        <v>394964613.60105002</v>
      </c>
      <c r="U6" s="7">
        <v>405356537.58481801</v>
      </c>
      <c r="V6" s="7">
        <v>415995157.65644699</v>
      </c>
      <c r="W6" s="7">
        <v>427063062.29297101</v>
      </c>
      <c r="X6" s="7">
        <v>438466453.63588202</v>
      </c>
      <c r="Y6" s="7">
        <v>450110591.89894402</v>
      </c>
      <c r="Z6" s="7">
        <v>462006007.39258403</v>
      </c>
      <c r="AA6" s="7">
        <v>474013288.25059098</v>
      </c>
      <c r="AB6" s="7">
        <v>486266727.78009802</v>
      </c>
      <c r="AC6" s="7">
        <v>498771392.73111802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21315.65434637</v>
      </c>
      <c r="D8" s="7">
        <v>23827.418009599998</v>
      </c>
      <c r="E8" s="7">
        <v>26638.520436639999</v>
      </c>
      <c r="F8" s="7">
        <v>29651.163233949999</v>
      </c>
      <c r="G8" s="7">
        <v>32810.9286441</v>
      </c>
      <c r="H8" s="7">
        <v>35865.911591390002</v>
      </c>
      <c r="I8" s="7">
        <v>36220.621508600001</v>
      </c>
      <c r="J8" s="7">
        <v>36617.46178292</v>
      </c>
      <c r="K8" s="7">
        <v>37046.856072249997</v>
      </c>
      <c r="L8" s="7">
        <v>37510.687131760002</v>
      </c>
      <c r="M8" s="7">
        <v>38020.050636749998</v>
      </c>
      <c r="N8" s="7">
        <v>38562.771344230001</v>
      </c>
      <c r="O8" s="7">
        <v>39148.909048510002</v>
      </c>
      <c r="P8" s="7">
        <v>39832.414510959999</v>
      </c>
      <c r="Q8" s="7">
        <v>40084.553246750002</v>
      </c>
      <c r="R8" s="7">
        <v>40373.833074620001</v>
      </c>
      <c r="S8" s="7">
        <v>40686.091095850003</v>
      </c>
      <c r="T8" s="7">
        <v>41020.778078770003</v>
      </c>
      <c r="U8" s="7">
        <v>41378.026988220001</v>
      </c>
      <c r="V8" s="7">
        <v>41757.792297610002</v>
      </c>
      <c r="W8" s="7">
        <v>42340.623924369997</v>
      </c>
      <c r="X8" s="7">
        <v>43048.28419744</v>
      </c>
      <c r="Y8" s="7">
        <v>43786.283490280002</v>
      </c>
      <c r="Z8" s="7">
        <v>44560.610483719996</v>
      </c>
      <c r="AA8" s="7">
        <v>45279.965615540001</v>
      </c>
      <c r="AB8" s="7">
        <v>46024.626066620003</v>
      </c>
      <c r="AC8" s="7">
        <v>46794.253090489998</v>
      </c>
    </row>
    <row r="9" spans="1:29" x14ac:dyDescent="0.85">
      <c r="A9" t="s">
        <v>109</v>
      </c>
      <c r="B9" s="7">
        <v>4015.3697614799999</v>
      </c>
      <c r="C9" s="7">
        <v>3963.4112734700002</v>
      </c>
      <c r="D9" s="7">
        <v>3858.3259280000002</v>
      </c>
      <c r="E9" s="7">
        <v>3723.5097185499999</v>
      </c>
      <c r="F9" s="7">
        <v>3561.6073831200001</v>
      </c>
      <c r="G9" s="7">
        <v>3365.2497746700001</v>
      </c>
      <c r="H9" s="7">
        <v>3134.1633898099999</v>
      </c>
      <c r="I9" s="7">
        <v>3168.0633759799998</v>
      </c>
      <c r="J9" s="7">
        <v>3202.1089851699999</v>
      </c>
      <c r="K9" s="7">
        <v>3236.2838092699999</v>
      </c>
      <c r="L9" s="7">
        <v>3270.5786058399999</v>
      </c>
      <c r="M9" s="7">
        <v>3305.1264427999999</v>
      </c>
      <c r="N9" s="7">
        <v>3339.8264428500001</v>
      </c>
      <c r="O9" s="7">
        <v>3374.4385057999998</v>
      </c>
      <c r="P9" s="7">
        <v>3408.8296954799998</v>
      </c>
      <c r="Q9" s="7">
        <v>3528.8391450099998</v>
      </c>
      <c r="R9" s="7">
        <v>3648.4409365699998</v>
      </c>
      <c r="S9" s="7">
        <v>3771.9848559000002</v>
      </c>
      <c r="T9" s="7">
        <v>3899.2050279499999</v>
      </c>
      <c r="U9" s="7">
        <v>4029.8951213</v>
      </c>
      <c r="V9" s="7">
        <v>4164.0403063399999</v>
      </c>
      <c r="W9" s="7">
        <v>4267.9174138400003</v>
      </c>
      <c r="X9" s="7">
        <v>4355.2281657699996</v>
      </c>
      <c r="Y9" s="7">
        <v>4443.2048250799999</v>
      </c>
      <c r="Z9" s="7">
        <v>4530.8751360099996</v>
      </c>
      <c r="AA9" s="7">
        <v>4640.4848260500003</v>
      </c>
      <c r="AB9" s="7">
        <v>4752.0100491599997</v>
      </c>
      <c r="AC9" s="7">
        <v>4865.4952267600002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19821.706529319999</v>
      </c>
      <c r="D11" s="7">
        <v>17510.156833730001</v>
      </c>
      <c r="E11" s="7">
        <v>15297.55720632</v>
      </c>
      <c r="F11" s="7">
        <v>12870.679014789999</v>
      </c>
      <c r="G11" s="7">
        <v>10540.24943009</v>
      </c>
      <c r="H11" s="7">
        <v>8932.0904134499997</v>
      </c>
      <c r="I11" s="7">
        <v>9169.0106605100009</v>
      </c>
      <c r="J11" s="7">
        <v>9404.3239083900007</v>
      </c>
      <c r="K11" s="7">
        <v>9638.0334416400001</v>
      </c>
      <c r="L11" s="7">
        <v>9870.1630689400008</v>
      </c>
      <c r="M11" s="7">
        <v>10101.29276423</v>
      </c>
      <c r="N11" s="7">
        <v>10331.064857339999</v>
      </c>
      <c r="O11" s="7">
        <v>10558.587985390001</v>
      </c>
      <c r="P11" s="7">
        <v>10783.38587593</v>
      </c>
      <c r="Q11" s="7">
        <v>11345.790053430001</v>
      </c>
      <c r="R11" s="7">
        <v>11904.89940654</v>
      </c>
      <c r="S11" s="7">
        <v>12478.06552242</v>
      </c>
      <c r="T11" s="7">
        <v>13064.268862819999</v>
      </c>
      <c r="U11" s="7">
        <v>13662.71599456</v>
      </c>
      <c r="V11" s="7">
        <v>14273.40131408</v>
      </c>
      <c r="W11" s="7">
        <v>14762.47092204</v>
      </c>
      <c r="X11" s="7">
        <v>15184.25644771</v>
      </c>
      <c r="Y11" s="7">
        <v>15607.344374329999</v>
      </c>
      <c r="Z11" s="7">
        <v>16027.84835321</v>
      </c>
      <c r="AA11" s="7">
        <v>16534.10775345</v>
      </c>
      <c r="AB11" s="7">
        <v>17046.091794979999</v>
      </c>
      <c r="AC11" s="7">
        <v>17565.244107999999</v>
      </c>
    </row>
    <row r="12" spans="1:29" x14ac:dyDescent="0.85">
      <c r="A12" t="s">
        <v>111</v>
      </c>
      <c r="B12" s="7">
        <v>23177.918606039999</v>
      </c>
      <c r="C12" s="7">
        <v>25279.065619839999</v>
      </c>
      <c r="D12" s="7">
        <v>27685.7439376</v>
      </c>
      <c r="E12" s="7">
        <v>30362.030155190001</v>
      </c>
      <c r="F12" s="7">
        <v>33212.770617069997</v>
      </c>
      <c r="G12" s="7">
        <v>36176.178418770003</v>
      </c>
      <c r="H12" s="7">
        <v>39000.074981209997</v>
      </c>
      <c r="I12" s="7">
        <v>39388.684884579998</v>
      </c>
      <c r="J12" s="7">
        <v>39819.570768090001</v>
      </c>
      <c r="K12" s="7">
        <v>40283.139881520001</v>
      </c>
      <c r="L12" s="7">
        <v>40781.265737599999</v>
      </c>
      <c r="M12" s="7">
        <v>41325.177079549998</v>
      </c>
      <c r="N12" s="7">
        <v>41902.597787090002</v>
      </c>
      <c r="O12" s="7">
        <v>42523.347554309999</v>
      </c>
      <c r="P12" s="7">
        <v>43241.244206440002</v>
      </c>
      <c r="Q12" s="7">
        <v>43613.392391759997</v>
      </c>
      <c r="R12" s="7">
        <v>44022.274011189998</v>
      </c>
      <c r="S12" s="7">
        <v>44458.075951749997</v>
      </c>
      <c r="T12" s="7">
        <v>44919.983106729997</v>
      </c>
      <c r="U12" s="7">
        <v>45407.922109519997</v>
      </c>
      <c r="V12" s="7">
        <v>45921.832603950003</v>
      </c>
      <c r="W12" s="7">
        <v>46608.541338210001</v>
      </c>
      <c r="X12" s="7">
        <v>47403.51236321</v>
      </c>
      <c r="Y12" s="7">
        <v>48229.488315349998</v>
      </c>
      <c r="Z12" s="7">
        <v>49091.485619719999</v>
      </c>
      <c r="AA12" s="7">
        <v>49920.450441590001</v>
      </c>
      <c r="AB12" s="7">
        <v>50776.636115779998</v>
      </c>
      <c r="AC12" s="7">
        <v>51659.74831725</v>
      </c>
    </row>
    <row r="13" spans="1:29" x14ac:dyDescent="0.85">
      <c r="A13" t="s">
        <v>112</v>
      </c>
      <c r="B13" s="7">
        <v>23177.918606039999</v>
      </c>
      <c r="C13" s="7">
        <v>45100.772149160002</v>
      </c>
      <c r="D13" s="7">
        <v>45195.900771319997</v>
      </c>
      <c r="E13" s="7">
        <v>45659.587361509999</v>
      </c>
      <c r="F13" s="7">
        <v>46083.449631859999</v>
      </c>
      <c r="G13" s="7">
        <v>46716.427848860003</v>
      </c>
      <c r="H13" s="7">
        <v>47932.165394650001</v>
      </c>
      <c r="I13" s="7">
        <v>48557.695545089999</v>
      </c>
      <c r="J13" s="7">
        <v>49223.894676470001</v>
      </c>
      <c r="K13" s="7">
        <v>49921.173323160001</v>
      </c>
      <c r="L13" s="7">
        <v>50651.428806540003</v>
      </c>
      <c r="M13" s="7">
        <v>51426.469843769999</v>
      </c>
      <c r="N13" s="7">
        <v>52233.662644420001</v>
      </c>
      <c r="O13" s="7">
        <v>53081.935539700004</v>
      </c>
      <c r="P13" s="7">
        <v>54024.630082360003</v>
      </c>
      <c r="Q13" s="7">
        <v>54959.182445190003</v>
      </c>
      <c r="R13" s="7">
        <v>55927.173417730002</v>
      </c>
      <c r="S13" s="7">
        <v>56936.141474169999</v>
      </c>
      <c r="T13" s="7">
        <v>57984.251969539997</v>
      </c>
      <c r="U13" s="7">
        <v>59070.638104079997</v>
      </c>
      <c r="V13" s="7">
        <v>60195.233918029997</v>
      </c>
      <c r="W13" s="7">
        <v>61371.012260249998</v>
      </c>
      <c r="X13" s="7">
        <v>62587.768810920003</v>
      </c>
      <c r="Y13" s="7">
        <v>63836.832689679999</v>
      </c>
      <c r="Z13" s="7">
        <v>65119.333972929999</v>
      </c>
      <c r="AA13" s="7">
        <v>66454.558195050005</v>
      </c>
      <c r="AB13" s="7">
        <v>67822.727910760004</v>
      </c>
      <c r="AC13" s="7">
        <v>69224.992425250006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8033.3791132599999</v>
      </c>
      <c r="D17" s="7">
        <v>8945.8521170900003</v>
      </c>
      <c r="E17" s="7">
        <v>9942.8296839199993</v>
      </c>
      <c r="F17" s="7">
        <v>11032.888854070001</v>
      </c>
      <c r="G17" s="7">
        <v>12225.42175725</v>
      </c>
      <c r="H17" s="7">
        <v>13516.34890632</v>
      </c>
      <c r="I17" s="7">
        <v>14879.38750884</v>
      </c>
      <c r="J17" s="7">
        <v>16272.44106191</v>
      </c>
      <c r="K17" s="7">
        <v>17697.20976854</v>
      </c>
      <c r="L17" s="7">
        <v>19155.22119299</v>
      </c>
      <c r="M17" s="7">
        <v>20647.827629240001</v>
      </c>
      <c r="N17" s="7">
        <v>22175.28399942</v>
      </c>
      <c r="O17" s="7">
        <v>23742.97706592</v>
      </c>
      <c r="P17" s="7">
        <v>25351.176484439999</v>
      </c>
      <c r="Q17" s="7">
        <v>24506.13726829</v>
      </c>
      <c r="R17" s="7">
        <v>23689.272048120001</v>
      </c>
      <c r="S17" s="7">
        <v>22899.629646649999</v>
      </c>
      <c r="T17" s="7">
        <v>22136.30952753</v>
      </c>
      <c r="U17" s="7">
        <v>21398.540775180001</v>
      </c>
      <c r="V17" s="7">
        <v>20685.256157020001</v>
      </c>
      <c r="W17" s="7">
        <v>20879.259521259999</v>
      </c>
      <c r="X17" s="7">
        <v>21564.25492268</v>
      </c>
      <c r="Y17" s="7">
        <v>22263.105413249999</v>
      </c>
      <c r="Z17" s="7">
        <v>23001.525520499999</v>
      </c>
      <c r="AA17" s="7">
        <v>23181.155663879999</v>
      </c>
      <c r="AB17" s="7">
        <v>23359.875602640001</v>
      </c>
      <c r="AC17" s="7">
        <v>23543.148493799999</v>
      </c>
    </row>
    <row r="18" spans="1:29" x14ac:dyDescent="0.85">
      <c r="A18" t="s">
        <v>116</v>
      </c>
      <c r="B18" s="7">
        <v>12723958.25</v>
      </c>
      <c r="C18" s="7">
        <v>14194748.0132674</v>
      </c>
      <c r="D18" s="7">
        <v>15807061.3593328</v>
      </c>
      <c r="E18" s="7">
        <v>17568691.8185063</v>
      </c>
      <c r="F18" s="7">
        <v>19492840.368445098</v>
      </c>
      <c r="G18" s="7">
        <v>21582758.766999699</v>
      </c>
      <c r="H18" s="7">
        <v>23748921.368902098</v>
      </c>
      <c r="I18" s="7">
        <v>26107673.3158447</v>
      </c>
      <c r="J18" s="7">
        <v>28508110.597036801</v>
      </c>
      <c r="K18" s="7">
        <v>30951132.592194799</v>
      </c>
      <c r="L18" s="7">
        <v>33438365.595975701</v>
      </c>
      <c r="M18" s="7">
        <v>35969590.526545003</v>
      </c>
      <c r="N18" s="7">
        <v>38544369.576044999</v>
      </c>
      <c r="O18" s="7">
        <v>41171858.203279398</v>
      </c>
      <c r="P18" s="7">
        <v>43852336.563501798</v>
      </c>
      <c r="Q18" s="7">
        <v>42518142.337765403</v>
      </c>
      <c r="R18" s="7">
        <v>41196741.207816102</v>
      </c>
      <c r="S18" s="7">
        <v>39898057.6260425</v>
      </c>
      <c r="T18" s="7">
        <v>38626501.5558099</v>
      </c>
      <c r="U18" s="7">
        <v>37385245.523979098</v>
      </c>
      <c r="V18" s="7">
        <v>36174855.328638896</v>
      </c>
      <c r="W18" s="7">
        <v>36514061.342305101</v>
      </c>
      <c r="X18" s="7">
        <v>37693942.555918299</v>
      </c>
      <c r="Y18" s="7">
        <v>38895848.977347098</v>
      </c>
      <c r="Z18" s="7">
        <v>40163798.0959296</v>
      </c>
      <c r="AA18" s="7">
        <v>40475015.475110397</v>
      </c>
      <c r="AB18" s="7">
        <v>40783700.652925096</v>
      </c>
      <c r="AC18" s="7">
        <v>41099457.236886002</v>
      </c>
    </row>
    <row r="19" spans="1:29" x14ac:dyDescent="0.85">
      <c r="A19" t="s">
        <v>117</v>
      </c>
      <c r="B19" s="7">
        <v>12723958.25</v>
      </c>
      <c r="C19" s="7">
        <v>14194748.0132674</v>
      </c>
      <c r="D19" s="7">
        <v>15807061.3593328</v>
      </c>
      <c r="E19" s="7">
        <v>17568691.8185063</v>
      </c>
      <c r="F19" s="7">
        <v>19494794.7724103</v>
      </c>
      <c r="G19" s="7">
        <v>21601965.8419508</v>
      </c>
      <c r="H19" s="7">
        <v>23882996.691631999</v>
      </c>
      <c r="I19" s="7">
        <v>26291446.389127798</v>
      </c>
      <c r="J19" s="7">
        <v>28752931.634115599</v>
      </c>
      <c r="K19" s="7">
        <v>31270456.636076499</v>
      </c>
      <c r="L19" s="7">
        <v>33846720.556745999</v>
      </c>
      <c r="M19" s="7">
        <v>36484112.860391997</v>
      </c>
      <c r="N19" s="7">
        <v>39183083.987016402</v>
      </c>
      <c r="O19" s="7">
        <v>41953152.189625099</v>
      </c>
      <c r="P19" s="7">
        <v>44794793.942010999</v>
      </c>
      <c r="Q19" s="7">
        <v>43301634.108365901</v>
      </c>
      <c r="R19" s="7">
        <v>41858256.945640199</v>
      </c>
      <c r="S19" s="7">
        <v>40462981.7143557</v>
      </c>
      <c r="T19" s="7">
        <v>39114217.192884997</v>
      </c>
      <c r="U19" s="7">
        <v>37810601.195755303</v>
      </c>
      <c r="V19" s="7">
        <v>36550247.953919701</v>
      </c>
      <c r="W19" s="7">
        <v>36893046.274291798</v>
      </c>
      <c r="X19" s="7">
        <v>38103413.290251903</v>
      </c>
      <c r="Y19" s="7">
        <v>39338261.847080603</v>
      </c>
      <c r="Z19" s="7">
        <v>40643028.769431502</v>
      </c>
      <c r="AA19" s="7">
        <v>40960430.025223203</v>
      </c>
      <c r="AB19" s="7">
        <v>41276222.975835398</v>
      </c>
      <c r="AC19" s="7">
        <v>41600060.861345001</v>
      </c>
    </row>
    <row r="20" spans="1:29" x14ac:dyDescent="0.85">
      <c r="A20" t="s">
        <v>118</v>
      </c>
      <c r="B20" s="7">
        <v>1470.1406966300001</v>
      </c>
      <c r="C20" s="7">
        <v>1640.07742895</v>
      </c>
      <c r="D20" s="7">
        <v>1826.36595797</v>
      </c>
      <c r="E20" s="7">
        <v>2029.9067571099999</v>
      </c>
      <c r="F20" s="7">
        <v>2252.4508965099999</v>
      </c>
      <c r="G20" s="7">
        <v>2495.9158531799999</v>
      </c>
      <c r="H20" s="7">
        <v>2759.4687678099999</v>
      </c>
      <c r="I20" s="7">
        <v>3037.7438019199999</v>
      </c>
      <c r="J20" s="7">
        <v>3322.1466238799999</v>
      </c>
      <c r="K20" s="7">
        <v>3613.0243434899999</v>
      </c>
      <c r="L20" s="7">
        <v>3910.6888249899998</v>
      </c>
      <c r="M20" s="7">
        <v>4215.4161498000003</v>
      </c>
      <c r="N20" s="7">
        <v>4527.2583622900002</v>
      </c>
      <c r="O20" s="7">
        <v>4847.3152122900001</v>
      </c>
      <c r="P20" s="7">
        <v>5175.6417521399999</v>
      </c>
      <c r="Q20" s="7">
        <v>5003.1203604000002</v>
      </c>
      <c r="R20" s="7">
        <v>4836.3509111800004</v>
      </c>
      <c r="S20" s="7">
        <v>4675.1392141699998</v>
      </c>
      <c r="T20" s="7">
        <v>4519.3014178000003</v>
      </c>
      <c r="U20" s="7">
        <v>4368.6801335999999</v>
      </c>
      <c r="V20" s="7">
        <v>4223.0574776599997</v>
      </c>
      <c r="W20" s="7">
        <v>4262.6647879000002</v>
      </c>
      <c r="X20" s="7">
        <v>4402.5119781000003</v>
      </c>
      <c r="Y20" s="7">
        <v>4545.1877935499997</v>
      </c>
      <c r="Z20" s="7">
        <v>4695.9420569699996</v>
      </c>
      <c r="AA20" s="7">
        <v>4732.6149612999998</v>
      </c>
      <c r="AB20" s="7">
        <v>4769.1020402200002</v>
      </c>
      <c r="AC20" s="7">
        <v>4806.5186401199999</v>
      </c>
    </row>
    <row r="21" spans="1:29" x14ac:dyDescent="0.85">
      <c r="A21" t="s">
        <v>119</v>
      </c>
      <c r="B21" s="7">
        <v>0</v>
      </c>
      <c r="C21" s="7">
        <v>14.19474801</v>
      </c>
      <c r="D21" s="7">
        <v>15.807061360000001</v>
      </c>
      <c r="E21" s="7">
        <v>17.568691820000002</v>
      </c>
      <c r="F21" s="7">
        <v>19.494794769999999</v>
      </c>
      <c r="G21" s="7">
        <v>21.601965839999998</v>
      </c>
      <c r="H21" s="7">
        <v>23.882996689999999</v>
      </c>
      <c r="I21" s="7">
        <v>26.291446390000001</v>
      </c>
      <c r="J21" s="7">
        <v>28.752931629999999</v>
      </c>
      <c r="K21" s="7">
        <v>31.270456639999999</v>
      </c>
      <c r="L21" s="7">
        <v>33.846720560000001</v>
      </c>
      <c r="M21" s="7">
        <v>36.484112860000003</v>
      </c>
      <c r="N21" s="7">
        <v>39.18308399</v>
      </c>
      <c r="O21" s="7">
        <v>41.953152189999997</v>
      </c>
      <c r="P21" s="7">
        <v>44.794793939999998</v>
      </c>
      <c r="Q21" s="7">
        <v>43.301634110000002</v>
      </c>
      <c r="R21" s="7">
        <v>41.858256949999998</v>
      </c>
      <c r="S21" s="7">
        <v>40.462981710000001</v>
      </c>
      <c r="T21" s="7">
        <v>39.114217189999998</v>
      </c>
      <c r="U21" s="7">
        <v>37.810601200000001</v>
      </c>
      <c r="V21" s="7">
        <v>36.550247949999999</v>
      </c>
      <c r="W21" s="7">
        <v>36.893046269999999</v>
      </c>
      <c r="X21" s="7">
        <v>38.103413289999999</v>
      </c>
      <c r="Y21" s="7">
        <v>39.338261850000002</v>
      </c>
      <c r="Z21" s="7">
        <v>40.643028770000001</v>
      </c>
      <c r="AA21" s="7">
        <v>40.960430029999998</v>
      </c>
      <c r="AB21" s="7">
        <v>41.27622298</v>
      </c>
      <c r="AC21" s="7">
        <v>41.600060859999999</v>
      </c>
    </row>
    <row r="22" spans="1:29" x14ac:dyDescent="0.85">
      <c r="A22" t="s">
        <v>120</v>
      </c>
      <c r="B22" s="7">
        <v>6.3619789999999996E-2</v>
      </c>
      <c r="C22" s="7">
        <v>7.0973739999999993E-2</v>
      </c>
      <c r="D22" s="7">
        <v>7.9035309999999998E-2</v>
      </c>
      <c r="E22" s="7">
        <v>8.7843459999999998E-2</v>
      </c>
      <c r="F22" s="7">
        <v>9.7473969999999993E-2</v>
      </c>
      <c r="G22" s="7">
        <v>0.10800983</v>
      </c>
      <c r="H22" s="7">
        <v>0.11941498</v>
      </c>
      <c r="I22" s="7">
        <v>0.13145723000000001</v>
      </c>
      <c r="J22" s="7">
        <v>0.14376465999999999</v>
      </c>
      <c r="K22" s="7">
        <v>0.15635228000000001</v>
      </c>
      <c r="L22" s="7">
        <v>0.16923360000000001</v>
      </c>
      <c r="M22" s="7">
        <v>0.18242056000000001</v>
      </c>
      <c r="N22" s="7">
        <v>0.19591542000000001</v>
      </c>
      <c r="O22" s="7">
        <v>0.20976576</v>
      </c>
      <c r="P22" s="7">
        <v>0.22397396999999999</v>
      </c>
      <c r="Q22" s="7">
        <v>0.21650817</v>
      </c>
      <c r="R22" s="7">
        <v>0.20929128</v>
      </c>
      <c r="S22" s="7">
        <v>0.20231490999999999</v>
      </c>
      <c r="T22" s="7">
        <v>0.19557109</v>
      </c>
      <c r="U22" s="7">
        <v>0.18905300999999999</v>
      </c>
      <c r="V22" s="7">
        <v>0.18275124000000001</v>
      </c>
      <c r="W22" s="7">
        <v>0.18446523000000001</v>
      </c>
      <c r="X22" s="7">
        <v>0.19051707000000001</v>
      </c>
      <c r="Y22" s="7">
        <v>0.19669131000000001</v>
      </c>
      <c r="Z22" s="7">
        <v>0.20321513999999999</v>
      </c>
      <c r="AA22" s="7">
        <v>0.20480214999999999</v>
      </c>
      <c r="AB22" s="7">
        <v>0.20638111000000001</v>
      </c>
      <c r="AC22" s="7">
        <v>0.2080003</v>
      </c>
    </row>
    <row r="23" spans="1:29" x14ac:dyDescent="0.85">
      <c r="A23" t="s">
        <v>121</v>
      </c>
      <c r="B23" s="7">
        <v>1470.1406966300001</v>
      </c>
      <c r="C23" s="7">
        <v>1640.07742895</v>
      </c>
      <c r="D23" s="7">
        <v>1826.36595797</v>
      </c>
      <c r="E23" s="7">
        <v>2029.9067571099999</v>
      </c>
      <c r="F23" s="7">
        <v>2252.4508965099999</v>
      </c>
      <c r="G23" s="7">
        <v>2495.9158531799999</v>
      </c>
      <c r="H23" s="7">
        <v>2759.4687678099999</v>
      </c>
      <c r="I23" s="7">
        <v>3037.7438019199999</v>
      </c>
      <c r="J23" s="7">
        <v>3322.1466238799999</v>
      </c>
      <c r="K23" s="7">
        <v>3613.0243434899999</v>
      </c>
      <c r="L23" s="7">
        <v>3910.6888249899998</v>
      </c>
      <c r="M23" s="7">
        <v>4215.4161498000003</v>
      </c>
      <c r="N23" s="7">
        <v>4527.2583622900002</v>
      </c>
      <c r="O23" s="7">
        <v>4847.3152122900001</v>
      </c>
      <c r="P23" s="7">
        <v>5175.6417521399999</v>
      </c>
      <c r="Q23" s="7">
        <v>5003.1203604000002</v>
      </c>
      <c r="R23" s="7">
        <v>4836.3509111800004</v>
      </c>
      <c r="S23" s="7">
        <v>4675.1392141699998</v>
      </c>
      <c r="T23" s="7">
        <v>4519.3014178000003</v>
      </c>
      <c r="U23" s="7">
        <v>4368.6801335999999</v>
      </c>
      <c r="V23" s="7">
        <v>4223.0574776599997</v>
      </c>
      <c r="W23" s="7">
        <v>4262.6647879000002</v>
      </c>
      <c r="X23" s="7">
        <v>4402.5119781000003</v>
      </c>
      <c r="Y23" s="7">
        <v>4545.1877935499997</v>
      </c>
      <c r="Z23" s="7">
        <v>4695.9420569699996</v>
      </c>
      <c r="AA23" s="7">
        <v>4732.6149612999998</v>
      </c>
      <c r="AB23" s="7">
        <v>4769.1020402200002</v>
      </c>
      <c r="AC23" s="7">
        <v>4806.5186401199999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1.1519746900000001</v>
      </c>
      <c r="E25" s="7">
        <v>1.14976167</v>
      </c>
      <c r="F25" s="7">
        <v>1.14788589</v>
      </c>
      <c r="G25" s="7">
        <v>1.14628887</v>
      </c>
      <c r="H25" s="7">
        <v>1.14370759</v>
      </c>
      <c r="I25" s="7">
        <v>1.13879383</v>
      </c>
      <c r="J25" s="7">
        <v>1.13132872</v>
      </c>
      <c r="K25" s="7">
        <v>1.12507874</v>
      </c>
      <c r="L25" s="7">
        <v>1.1197295599999999</v>
      </c>
      <c r="M25" s="7">
        <v>1.11510832</v>
      </c>
      <c r="N25" s="7">
        <v>1.11112773</v>
      </c>
      <c r="O25" s="7">
        <v>1.10762435</v>
      </c>
      <c r="P25" s="7">
        <v>1.10454209</v>
      </c>
      <c r="Q25" s="7">
        <v>1.10201532</v>
      </c>
      <c r="R25" s="7">
        <v>1</v>
      </c>
      <c r="S25" s="7">
        <v>1.00000025</v>
      </c>
      <c r="T25" s="7">
        <v>1</v>
      </c>
      <c r="U25" s="7">
        <v>1.00000004</v>
      </c>
      <c r="V25" s="7">
        <v>1.0000050599999999</v>
      </c>
      <c r="W25" s="7">
        <v>1</v>
      </c>
      <c r="X25" s="7">
        <v>1.04418499</v>
      </c>
      <c r="Y25" s="7">
        <v>1.0684215100000001</v>
      </c>
      <c r="Z25" s="7">
        <v>1.06800809</v>
      </c>
      <c r="AA25" s="7">
        <v>1.0687943600000001</v>
      </c>
      <c r="AB25" s="7">
        <v>1.0425615399999999</v>
      </c>
      <c r="AC25" s="7">
        <v>1.0424583199999999</v>
      </c>
    </row>
    <row r="26" spans="1:29" x14ac:dyDescent="0.85">
      <c r="A26" t="s">
        <v>124</v>
      </c>
      <c r="B26" s="7">
        <v>1</v>
      </c>
      <c r="C26" s="7">
        <v>1.15406085</v>
      </c>
      <c r="D26" s="7">
        <v>1.1519846899999999</v>
      </c>
      <c r="E26" s="7">
        <v>1.1497715100000001</v>
      </c>
      <c r="F26" s="7">
        <v>1.14789589</v>
      </c>
      <c r="G26" s="7">
        <v>1.1462988700000001</v>
      </c>
      <c r="H26" s="7">
        <v>1.1437175900000001</v>
      </c>
      <c r="I26" s="7">
        <v>1.1388038300000001</v>
      </c>
      <c r="J26" s="7">
        <v>1.1313341800000001</v>
      </c>
      <c r="K26" s="7">
        <v>1.1250591299999999</v>
      </c>
      <c r="L26" s="7">
        <v>1.1197101899999999</v>
      </c>
      <c r="M26" s="7">
        <v>1.1150913600000001</v>
      </c>
      <c r="N26" s="7">
        <v>1.1110102900000001</v>
      </c>
      <c r="O26" s="7">
        <v>1.1076160500000001</v>
      </c>
      <c r="P26" s="7">
        <v>1.1045520900000001</v>
      </c>
      <c r="Q26" s="7">
        <v>1</v>
      </c>
      <c r="R26" s="7">
        <v>1.00000025</v>
      </c>
      <c r="S26" s="7">
        <v>1</v>
      </c>
      <c r="T26" s="7">
        <v>1.00000004</v>
      </c>
      <c r="U26" s="7">
        <v>1.0000050599999999</v>
      </c>
      <c r="V26" s="7">
        <v>1</v>
      </c>
      <c r="W26" s="7">
        <v>1.04418499</v>
      </c>
      <c r="X26" s="7">
        <v>1.0684215100000001</v>
      </c>
      <c r="Y26" s="7">
        <v>1.06800809</v>
      </c>
      <c r="Z26" s="7">
        <v>1.0687943600000001</v>
      </c>
      <c r="AA26" s="7">
        <v>1.0425615399999999</v>
      </c>
      <c r="AB26" s="7">
        <v>1.0424583199999999</v>
      </c>
      <c r="AC26" s="7">
        <v>1.04259893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1.1519846899999999</v>
      </c>
      <c r="E27" s="7">
        <v>1.14977167</v>
      </c>
      <c r="F27" s="7">
        <v>1.14789589</v>
      </c>
      <c r="G27" s="7">
        <v>1.1462988700000001</v>
      </c>
      <c r="H27" s="7">
        <v>1.1437175900000001</v>
      </c>
      <c r="I27" s="7">
        <v>1.1388038300000001</v>
      </c>
      <c r="J27" s="7">
        <v>1.13133872</v>
      </c>
      <c r="K27" s="7">
        <v>1.12508874</v>
      </c>
      <c r="L27" s="7">
        <v>1.11973956</v>
      </c>
      <c r="M27" s="7">
        <v>1.1151183200000001</v>
      </c>
      <c r="N27" s="7">
        <v>1.11113773</v>
      </c>
      <c r="O27" s="7">
        <v>1.1076343500000001</v>
      </c>
      <c r="P27" s="7">
        <v>1.1045520900000001</v>
      </c>
      <c r="Q27" s="7">
        <v>1.1020253200000001</v>
      </c>
      <c r="R27" s="7">
        <v>1.10623856</v>
      </c>
      <c r="S27" s="7">
        <v>1.1107381199999999</v>
      </c>
      <c r="T27" s="7">
        <v>1.1155012200000001</v>
      </c>
      <c r="U27" s="7">
        <v>1.12053961</v>
      </c>
      <c r="V27" s="7">
        <v>1.1258690499999999</v>
      </c>
      <c r="W27" s="7">
        <v>1.1315079100000001</v>
      </c>
      <c r="X27" s="7">
        <v>1.1332536099999999</v>
      </c>
      <c r="Y27" s="7">
        <v>1.13281093</v>
      </c>
      <c r="Z27" s="7">
        <v>1.1324007300000001</v>
      </c>
      <c r="AA27" s="7">
        <v>1.1319179500000001</v>
      </c>
      <c r="AB27" s="7">
        <v>1.13383057</v>
      </c>
      <c r="AC27" s="7">
        <v>1.13585151</v>
      </c>
    </row>
    <row r="28" spans="1:29" x14ac:dyDescent="0.85">
      <c r="A28" t="s">
        <v>126</v>
      </c>
      <c r="B28" s="7">
        <v>13708</v>
      </c>
      <c r="C28" s="7">
        <v>14381.595699519999</v>
      </c>
      <c r="D28" s="7">
        <v>15533.114890160001</v>
      </c>
      <c r="E28" s="7">
        <v>16798.37053281</v>
      </c>
      <c r="F28" s="7">
        <v>18188.80581278</v>
      </c>
      <c r="G28" s="7">
        <v>19716.956583679999</v>
      </c>
      <c r="H28" s="7">
        <v>21376.214988750002</v>
      </c>
      <c r="I28" s="7">
        <v>23128.604090910001</v>
      </c>
      <c r="J28" s="7">
        <v>24914.126245610001</v>
      </c>
      <c r="K28" s="7">
        <v>26735.568281280001</v>
      </c>
      <c r="L28" s="7">
        <v>28594.45848985</v>
      </c>
      <c r="M28" s="7">
        <v>30492.528117040001</v>
      </c>
      <c r="N28" s="7">
        <v>32432.918322220001</v>
      </c>
      <c r="O28" s="7">
        <v>34417.119622480001</v>
      </c>
      <c r="P28" s="7">
        <v>36447.889028580001</v>
      </c>
      <c r="Q28" s="7">
        <v>38474.331748730001</v>
      </c>
      <c r="R28" s="7">
        <v>40565.540572949998</v>
      </c>
      <c r="S28" s="7">
        <v>42662.706382709999</v>
      </c>
      <c r="T28" s="7">
        <v>44767.452077260001</v>
      </c>
      <c r="U28" s="7">
        <v>46881.276418740003</v>
      </c>
      <c r="V28" s="7">
        <v>49005.678787010002</v>
      </c>
      <c r="W28" s="7">
        <v>51142.162105249998</v>
      </c>
      <c r="X28" s="7">
        <v>53313.672925159997</v>
      </c>
      <c r="Y28" s="7">
        <v>55533.0965019</v>
      </c>
      <c r="Z28" s="7">
        <v>57801.725836869999</v>
      </c>
      <c r="AA28" s="7">
        <v>60121.531871619998</v>
      </c>
      <c r="AB28" s="7">
        <v>62481.252260150002</v>
      </c>
      <c r="AC28" s="7">
        <v>64884.31462736</v>
      </c>
    </row>
    <row r="29" spans="1:29" x14ac:dyDescent="0.85">
      <c r="A29" t="s">
        <v>127</v>
      </c>
      <c r="B29" s="7">
        <v>47657998</v>
      </c>
      <c r="C29" s="7">
        <v>49999858.410021201</v>
      </c>
      <c r="D29" s="7">
        <v>54003294.307644203</v>
      </c>
      <c r="E29" s="7">
        <v>58402152.703226</v>
      </c>
      <c r="F29" s="7">
        <v>63229878.018065803</v>
      </c>
      <c r="G29" s="7">
        <v>68488122.473181397</v>
      </c>
      <c r="H29" s="7">
        <v>73900534.364378899</v>
      </c>
      <c r="I29" s="7">
        <v>79848141.436123401</v>
      </c>
      <c r="J29" s="7">
        <v>85880321.776725695</v>
      </c>
      <c r="K29" s="7">
        <v>92001189.241133302</v>
      </c>
      <c r="L29" s="7">
        <v>98213688.439917594</v>
      </c>
      <c r="M29" s="7">
        <v>104516975.887089</v>
      </c>
      <c r="N29" s="7">
        <v>110920050.613276</v>
      </c>
      <c r="O29" s="7">
        <v>117428115.44275901</v>
      </c>
      <c r="P29" s="7">
        <v>124050715.786088</v>
      </c>
      <c r="Q29" s="7">
        <v>131341744.35362899</v>
      </c>
      <c r="R29" s="7">
        <v>138803587.325762</v>
      </c>
      <c r="S29" s="7">
        <v>146252726.688519</v>
      </c>
      <c r="T29" s="7">
        <v>153700333.11830801</v>
      </c>
      <c r="U29" s="7">
        <v>161156482.96233401</v>
      </c>
      <c r="V29" s="7">
        <v>168626017.578145</v>
      </c>
      <c r="W29" s="7">
        <v>175977201.77056</v>
      </c>
      <c r="X29" s="7">
        <v>183361429.144548</v>
      </c>
      <c r="Y29" s="7">
        <v>190898131.52668601</v>
      </c>
      <c r="Z29" s="7">
        <v>198587182.969255</v>
      </c>
      <c r="AA29" s="7">
        <v>206544793.85180199</v>
      </c>
      <c r="AB29" s="7">
        <v>214633795.09883001</v>
      </c>
      <c r="AC29" s="7">
        <v>222865857.674261</v>
      </c>
    </row>
    <row r="30" spans="1:29" x14ac:dyDescent="0.85">
      <c r="A30" t="s">
        <v>128</v>
      </c>
      <c r="B30" s="7">
        <v>47657998</v>
      </c>
      <c r="C30" s="7">
        <v>49999858.410021201</v>
      </c>
      <c r="D30" s="7">
        <v>54003294.307644203</v>
      </c>
      <c r="E30" s="7">
        <v>58402152.703226</v>
      </c>
      <c r="F30" s="7">
        <v>63236217.613629401</v>
      </c>
      <c r="G30" s="7">
        <v>68549071.887285605</v>
      </c>
      <c r="H30" s="7">
        <v>74317742.280515894</v>
      </c>
      <c r="I30" s="7">
        <v>80410196.053941593</v>
      </c>
      <c r="J30" s="7">
        <v>86617842.047333404</v>
      </c>
      <c r="K30" s="7">
        <v>92950369.104031503</v>
      </c>
      <c r="L30" s="7">
        <v>99413090.569033995</v>
      </c>
      <c r="M30" s="7">
        <v>106012025.387872</v>
      </c>
      <c r="N30" s="7">
        <v>112758094.29051401</v>
      </c>
      <c r="O30" s="7">
        <v>119656479.29192799</v>
      </c>
      <c r="P30" s="7">
        <v>126716765.569607</v>
      </c>
      <c r="Q30" s="7">
        <v>133762009.449407</v>
      </c>
      <c r="R30" s="7">
        <v>141032422.78192601</v>
      </c>
      <c r="S30" s="7">
        <v>148323546.50291201</v>
      </c>
      <c r="T30" s="7">
        <v>155641022.87446299</v>
      </c>
      <c r="U30" s="7">
        <v>162990062.57671899</v>
      </c>
      <c r="V30" s="7">
        <v>170375878.43741399</v>
      </c>
      <c r="W30" s="7">
        <v>177803695.60314101</v>
      </c>
      <c r="X30" s="7">
        <v>185353291.33643499</v>
      </c>
      <c r="Y30" s="7">
        <v>193069463.23472199</v>
      </c>
      <c r="Z30" s="7">
        <v>200956706.61878401</v>
      </c>
      <c r="AA30" s="7">
        <v>209021873.774041</v>
      </c>
      <c r="AB30" s="7">
        <v>217225809.399757</v>
      </c>
      <c r="AC30" s="7">
        <v>225580430.16792801</v>
      </c>
    </row>
    <row r="31" spans="1:29" x14ac:dyDescent="0.85">
      <c r="A31" t="s">
        <v>129</v>
      </c>
      <c r="B31" s="7">
        <v>4146.2059597999996</v>
      </c>
      <c r="C31" s="7">
        <v>4349.9458564899996</v>
      </c>
      <c r="D31" s="7">
        <v>4698.24143069</v>
      </c>
      <c r="E31" s="7">
        <v>5080.9384314299996</v>
      </c>
      <c r="F31" s="7">
        <v>5501.4980349099997</v>
      </c>
      <c r="G31" s="7">
        <v>5963.71191249</v>
      </c>
      <c r="H31" s="7">
        <v>6465.5814111700001</v>
      </c>
      <c r="I31" s="7">
        <v>6995.6197930899998</v>
      </c>
      <c r="J31" s="7">
        <v>7535.6798017800002</v>
      </c>
      <c r="K31" s="7">
        <v>8086.6043585099997</v>
      </c>
      <c r="L31" s="7">
        <v>8648.8557198599992</v>
      </c>
      <c r="M31" s="7">
        <v>9222.9575290600005</v>
      </c>
      <c r="N31" s="7">
        <v>9809.8598804600006</v>
      </c>
      <c r="O31" s="7">
        <v>10410.01360504</v>
      </c>
      <c r="P31" s="7">
        <v>11024.25260523</v>
      </c>
      <c r="Q31" s="7">
        <v>11637.18292938</v>
      </c>
      <c r="R31" s="7">
        <v>12269.70280757</v>
      </c>
      <c r="S31" s="7">
        <v>12904.024472229999</v>
      </c>
      <c r="T31" s="7">
        <v>13540.63879544</v>
      </c>
      <c r="U31" s="7">
        <v>14179.99910202</v>
      </c>
      <c r="V31" s="7">
        <v>14822.55890362</v>
      </c>
      <c r="W31" s="7">
        <v>15468.77278363</v>
      </c>
      <c r="X31" s="7">
        <v>16125.581297139999</v>
      </c>
      <c r="Y31" s="7">
        <v>16796.881797670001</v>
      </c>
      <c r="Z31" s="7">
        <v>17483.065374350001</v>
      </c>
      <c r="AA31" s="7">
        <v>18184.728170300001</v>
      </c>
      <c r="AB31" s="7">
        <v>18898.4637071</v>
      </c>
      <c r="AC31" s="7">
        <v>19625.30872524</v>
      </c>
    </row>
    <row r="32" spans="1:29" x14ac:dyDescent="0.85">
      <c r="A32" t="s">
        <v>130</v>
      </c>
      <c r="B32" s="7">
        <v>0</v>
      </c>
      <c r="C32" s="7">
        <v>39.99988673</v>
      </c>
      <c r="D32" s="7">
        <v>43.202635450000002</v>
      </c>
      <c r="E32" s="7">
        <v>46.721722159999999</v>
      </c>
      <c r="F32" s="7">
        <v>50.588974090000001</v>
      </c>
      <c r="G32" s="7">
        <v>54.839257510000003</v>
      </c>
      <c r="H32" s="7">
        <v>59.45419382</v>
      </c>
      <c r="I32" s="7">
        <v>64.328156840000005</v>
      </c>
      <c r="J32" s="7">
        <v>69.29427364</v>
      </c>
      <c r="K32" s="7">
        <v>74.360295280000003</v>
      </c>
      <c r="L32" s="7">
        <v>79.530472459999999</v>
      </c>
      <c r="M32" s="7">
        <v>84.80962031</v>
      </c>
      <c r="N32" s="7">
        <v>90.206475429999998</v>
      </c>
      <c r="O32" s="7">
        <v>95.725183430000001</v>
      </c>
      <c r="P32" s="7">
        <v>101.37341246</v>
      </c>
      <c r="Q32" s="7">
        <v>107.00960756000001</v>
      </c>
      <c r="R32" s="7">
        <v>112.82593823000001</v>
      </c>
      <c r="S32" s="7">
        <v>118.65883719999999</v>
      </c>
      <c r="T32" s="7">
        <v>124.51281830000001</v>
      </c>
      <c r="U32" s="7">
        <v>130.39205006</v>
      </c>
      <c r="V32" s="7">
        <v>136.30070275</v>
      </c>
      <c r="W32" s="7">
        <v>142.24295648</v>
      </c>
      <c r="X32" s="7">
        <v>148.28263307</v>
      </c>
      <c r="Y32" s="7">
        <v>154.45557059000001</v>
      </c>
      <c r="Z32" s="7">
        <v>160.76536530000001</v>
      </c>
      <c r="AA32" s="7">
        <v>167.21749901999999</v>
      </c>
      <c r="AB32" s="7">
        <v>173.78064752</v>
      </c>
      <c r="AC32" s="7">
        <v>180.46434413</v>
      </c>
    </row>
    <row r="33" spans="1:29" x14ac:dyDescent="0.85">
      <c r="A33" t="s">
        <v>131</v>
      </c>
      <c r="B33" s="7">
        <v>0.19063199</v>
      </c>
      <c r="C33" s="7">
        <v>0.19999943000000001</v>
      </c>
      <c r="D33" s="7">
        <v>0.21601318</v>
      </c>
      <c r="E33" s="7">
        <v>0.23360860999999999</v>
      </c>
      <c r="F33" s="7">
        <v>0.25294486999999999</v>
      </c>
      <c r="G33" s="7">
        <v>0.27419629000000001</v>
      </c>
      <c r="H33" s="7">
        <v>0.29727097000000002</v>
      </c>
      <c r="I33" s="7">
        <v>0.32164078000000002</v>
      </c>
      <c r="J33" s="7">
        <v>0.34647137</v>
      </c>
      <c r="K33" s="7">
        <v>0.37180148000000002</v>
      </c>
      <c r="L33" s="7">
        <v>0.39765235999999998</v>
      </c>
      <c r="M33" s="7">
        <v>0.42404809999999998</v>
      </c>
      <c r="N33" s="7">
        <v>0.45103238000000001</v>
      </c>
      <c r="O33" s="7">
        <v>0.47862591999999998</v>
      </c>
      <c r="P33" s="7">
        <v>0.50686706000000004</v>
      </c>
      <c r="Q33" s="7">
        <v>0.53504803999999995</v>
      </c>
      <c r="R33" s="7">
        <v>0.56412969000000002</v>
      </c>
      <c r="S33" s="7">
        <v>0.59329419000000005</v>
      </c>
      <c r="T33" s="7">
        <v>0.62256409000000001</v>
      </c>
      <c r="U33" s="7">
        <v>0.65196025000000002</v>
      </c>
      <c r="V33" s="7">
        <v>0.68150350999999998</v>
      </c>
      <c r="W33" s="7">
        <v>0.71121478000000005</v>
      </c>
      <c r="X33" s="7">
        <v>0.74141316999999995</v>
      </c>
      <c r="Y33" s="7">
        <v>0.77227785000000004</v>
      </c>
      <c r="Z33" s="7">
        <v>0.80382682999999999</v>
      </c>
      <c r="AA33" s="7">
        <v>0.83608749999999998</v>
      </c>
      <c r="AB33" s="7">
        <v>0.86890323999999997</v>
      </c>
      <c r="AC33" s="7">
        <v>0.90232171999999999</v>
      </c>
    </row>
    <row r="34" spans="1:29" x14ac:dyDescent="0.85">
      <c r="A34" t="s">
        <v>132</v>
      </c>
      <c r="B34" s="7">
        <v>4146.2059597999996</v>
      </c>
      <c r="C34" s="7">
        <v>4349.9458564899996</v>
      </c>
      <c r="D34" s="7">
        <v>4698.24143069</v>
      </c>
      <c r="E34" s="7">
        <v>5080.9384314299996</v>
      </c>
      <c r="F34" s="7">
        <v>5501.4980349099997</v>
      </c>
      <c r="G34" s="7">
        <v>5963.71191249</v>
      </c>
      <c r="H34" s="7">
        <v>6465.5814111700001</v>
      </c>
      <c r="I34" s="7">
        <v>6995.6197930899998</v>
      </c>
      <c r="J34" s="7">
        <v>7535.6798017800002</v>
      </c>
      <c r="K34" s="7">
        <v>8086.6043585099997</v>
      </c>
      <c r="L34" s="7">
        <v>8648.8557198599992</v>
      </c>
      <c r="M34" s="7">
        <v>9222.9575290600005</v>
      </c>
      <c r="N34" s="7">
        <v>9809.8598804600006</v>
      </c>
      <c r="O34" s="7">
        <v>10410.01360504</v>
      </c>
      <c r="P34" s="7">
        <v>11024.25260523</v>
      </c>
      <c r="Q34" s="7">
        <v>11637.18292938</v>
      </c>
      <c r="R34" s="7">
        <v>12269.70280757</v>
      </c>
      <c r="S34" s="7">
        <v>12904.024472229999</v>
      </c>
      <c r="T34" s="7">
        <v>13540.63879544</v>
      </c>
      <c r="U34" s="7">
        <v>14179.99910202</v>
      </c>
      <c r="V34" s="7">
        <v>14822.55890362</v>
      </c>
      <c r="W34" s="7">
        <v>15468.77278363</v>
      </c>
      <c r="X34" s="7">
        <v>16125.581297139999</v>
      </c>
      <c r="Y34" s="7">
        <v>16796.881797670001</v>
      </c>
      <c r="Z34" s="7">
        <v>17483.065374350001</v>
      </c>
      <c r="AA34" s="7">
        <v>18184.728170300001</v>
      </c>
      <c r="AB34" s="7">
        <v>18898.4637071</v>
      </c>
      <c r="AC34" s="7">
        <v>19625.30872524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1.0928529899999999</v>
      </c>
      <c r="E36" s="7">
        <v>1.1250718200000001</v>
      </c>
      <c r="F36" s="7">
        <v>1.12651601</v>
      </c>
      <c r="G36" s="7">
        <v>1.12788753</v>
      </c>
      <c r="H36" s="7">
        <v>1.12918334</v>
      </c>
      <c r="I36" s="7">
        <v>1.12705089</v>
      </c>
      <c r="J36" s="7">
        <v>1.12207306</v>
      </c>
      <c r="K36" s="7">
        <v>1.11781167</v>
      </c>
      <c r="L36" s="7">
        <v>1.1140824300000001</v>
      </c>
      <c r="M36" s="7">
        <v>1.1108015899999999</v>
      </c>
      <c r="N36" s="7">
        <v>1.10794306</v>
      </c>
      <c r="O36" s="7">
        <v>1.1053843999999999</v>
      </c>
      <c r="P36" s="7">
        <v>1.1031198200000001</v>
      </c>
      <c r="Q36" s="7">
        <v>1.10130029</v>
      </c>
      <c r="R36" s="7">
        <v>1.0982747399999999</v>
      </c>
      <c r="S36" s="7">
        <v>1.09550897</v>
      </c>
      <c r="T36" s="7">
        <v>1.09304683</v>
      </c>
      <c r="U36" s="7">
        <v>1.0908419600000001</v>
      </c>
      <c r="V36" s="7">
        <v>1.08885929</v>
      </c>
      <c r="W36" s="7">
        <v>1.0870698400000001</v>
      </c>
      <c r="X36" s="7">
        <v>1.08588613</v>
      </c>
      <c r="Y36" s="7">
        <v>1.0850207700000001</v>
      </c>
      <c r="Z36" s="7">
        <v>1.08421067</v>
      </c>
      <c r="AA36" s="7">
        <v>1.08346276</v>
      </c>
      <c r="AB36" s="7">
        <v>1.08254122</v>
      </c>
      <c r="AC36" s="7">
        <v>1.0817197199999999</v>
      </c>
    </row>
    <row r="37" spans="1:29" x14ac:dyDescent="0.85">
      <c r="A37" t="s">
        <v>135</v>
      </c>
      <c r="B37" s="7">
        <v>1</v>
      </c>
      <c r="C37" s="7">
        <v>1.0928529899999999</v>
      </c>
      <c r="D37" s="7">
        <v>1.1250718200000001</v>
      </c>
      <c r="E37" s="7">
        <v>1.12651601</v>
      </c>
      <c r="F37" s="7">
        <v>1.12788753</v>
      </c>
      <c r="G37" s="7">
        <v>1.12918334</v>
      </c>
      <c r="H37" s="7">
        <v>1.12932696</v>
      </c>
      <c r="I37" s="7">
        <v>1.1270608900000001</v>
      </c>
      <c r="J37" s="7">
        <v>1.12208306</v>
      </c>
      <c r="K37" s="7">
        <v>1.1178216700000001</v>
      </c>
      <c r="L37" s="7">
        <v>1.1140924299999999</v>
      </c>
      <c r="M37" s="7">
        <v>1.1108113900000001</v>
      </c>
      <c r="N37" s="7">
        <v>1.10795306</v>
      </c>
      <c r="O37" s="7">
        <v>1.1053944</v>
      </c>
      <c r="P37" s="7">
        <v>1.1031298199999999</v>
      </c>
      <c r="Q37" s="7">
        <v>1.0995816199999999</v>
      </c>
      <c r="R37" s="7">
        <v>1.09828474</v>
      </c>
      <c r="S37" s="7">
        <v>1.0955189700000001</v>
      </c>
      <c r="T37" s="7">
        <v>1.0930568300000001</v>
      </c>
      <c r="U37" s="7">
        <v>1.09085196</v>
      </c>
      <c r="V37" s="7">
        <v>1.0888692900000001</v>
      </c>
      <c r="W37" s="7">
        <v>1.0870798399999999</v>
      </c>
      <c r="X37" s="7">
        <v>1.0858961300000001</v>
      </c>
      <c r="Y37" s="7">
        <v>1.0850307699999999</v>
      </c>
      <c r="Z37" s="7">
        <v>1.0842206700000001</v>
      </c>
      <c r="AA37" s="7">
        <v>1.08347276</v>
      </c>
      <c r="AB37" s="7">
        <v>1.08255122</v>
      </c>
      <c r="AC37" s="7">
        <v>1.08172972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1.1250719</v>
      </c>
      <c r="E38" s="7">
        <v>1.12651601</v>
      </c>
      <c r="F38" s="7">
        <v>1.12788753</v>
      </c>
      <c r="G38" s="7">
        <v>1.12918334</v>
      </c>
      <c r="H38" s="7">
        <v>1.12932696</v>
      </c>
      <c r="I38" s="7">
        <v>1.1270608900000001</v>
      </c>
      <c r="J38" s="7">
        <v>1.12208306</v>
      </c>
      <c r="K38" s="7">
        <v>1.1178216700000001</v>
      </c>
      <c r="L38" s="7">
        <v>1.1140924299999999</v>
      </c>
      <c r="M38" s="7">
        <v>1.11081159</v>
      </c>
      <c r="N38" s="7">
        <v>1.10795306</v>
      </c>
      <c r="O38" s="7">
        <v>1.1053944</v>
      </c>
      <c r="P38" s="7">
        <v>1.1031298199999999</v>
      </c>
      <c r="Q38" s="7">
        <v>1.10131029</v>
      </c>
      <c r="R38" s="7">
        <v>1.09828474</v>
      </c>
      <c r="S38" s="7">
        <v>1.0955189700000001</v>
      </c>
      <c r="T38" s="7">
        <v>1.0930568300000001</v>
      </c>
      <c r="U38" s="7">
        <v>1.09085196</v>
      </c>
      <c r="V38" s="7">
        <v>1.0888692900000001</v>
      </c>
      <c r="W38" s="7">
        <v>1.0870798399999999</v>
      </c>
      <c r="X38" s="7">
        <v>1.0858961300000001</v>
      </c>
      <c r="Y38" s="7">
        <v>1.0850307699999999</v>
      </c>
      <c r="Z38" s="7">
        <v>1.0842206700000001</v>
      </c>
      <c r="AA38" s="7">
        <v>1.08347276</v>
      </c>
      <c r="AB38" s="7">
        <v>1.08255122</v>
      </c>
      <c r="AC38" s="7">
        <v>1.08172972</v>
      </c>
    </row>
    <row r="39" spans="1:29" x14ac:dyDescent="0.85">
      <c r="A39" t="s">
        <v>137</v>
      </c>
      <c r="B39" s="7">
        <v>1182</v>
      </c>
      <c r="C39" s="7">
        <v>2655.56135898</v>
      </c>
      <c r="D39" s="7">
        <v>4247.64488979</v>
      </c>
      <c r="E39" s="7">
        <v>5985.3032582100004</v>
      </c>
      <c r="F39" s="7">
        <v>7881.3713648000003</v>
      </c>
      <c r="G39" s="7">
        <v>9951.7634672000004</v>
      </c>
      <c r="H39" s="7">
        <v>12191.37040037</v>
      </c>
      <c r="I39" s="7">
        <v>11886.58615752</v>
      </c>
      <c r="J39" s="7">
        <v>11589.421505419999</v>
      </c>
      <c r="K39" s="7">
        <v>11299.685967789999</v>
      </c>
      <c r="L39" s="7">
        <v>11017.19381877</v>
      </c>
      <c r="M39" s="7">
        <v>10741.7639733</v>
      </c>
      <c r="N39" s="7">
        <v>10473.219873960001</v>
      </c>
      <c r="O39" s="7">
        <v>10211.389509959999</v>
      </c>
      <c r="P39" s="7">
        <v>9956.1047722900003</v>
      </c>
      <c r="Q39" s="7">
        <v>9707.2021529800004</v>
      </c>
      <c r="R39" s="7">
        <v>9464.5222251600007</v>
      </c>
      <c r="S39" s="7">
        <v>9227.9091695400002</v>
      </c>
      <c r="T39" s="7">
        <v>8997.2114402999996</v>
      </c>
      <c r="U39" s="7">
        <v>8772.2811542899999</v>
      </c>
      <c r="V39" s="7">
        <v>8552.9741254300006</v>
      </c>
      <c r="W39" s="7">
        <v>8339.1497722999993</v>
      </c>
      <c r="X39" s="7">
        <v>8130.8981478899996</v>
      </c>
      <c r="Y39" s="7">
        <v>7927.6300437399996</v>
      </c>
      <c r="Z39" s="7">
        <v>7729.4398660899997</v>
      </c>
      <c r="AA39" s="7">
        <v>7536.2038694399998</v>
      </c>
      <c r="AB39" s="7">
        <v>7349.7499493699997</v>
      </c>
      <c r="AC39" s="7">
        <v>7166.0063616199996</v>
      </c>
    </row>
    <row r="40" spans="1:29" x14ac:dyDescent="0.85">
      <c r="A40" t="s">
        <v>138</v>
      </c>
      <c r="B40" s="7">
        <v>9062132.75</v>
      </c>
      <c r="C40" s="7">
        <v>20359601.997295801</v>
      </c>
      <c r="D40" s="7">
        <v>32565754.539849799</v>
      </c>
      <c r="E40" s="7">
        <v>45887997.186862603</v>
      </c>
      <c r="F40" s="7">
        <v>60424732.284184404</v>
      </c>
      <c r="G40" s="7">
        <v>76297970.927535102</v>
      </c>
      <c r="H40" s="7">
        <v>93468542.277987704</v>
      </c>
      <c r="I40" s="7">
        <v>91131828.852570996</v>
      </c>
      <c r="J40" s="7">
        <v>88853533.145391107</v>
      </c>
      <c r="K40" s="7">
        <v>86632194.816477299</v>
      </c>
      <c r="L40" s="7">
        <v>84466464.513844594</v>
      </c>
      <c r="M40" s="7">
        <v>82355384.515132099</v>
      </c>
      <c r="N40" s="7">
        <v>80297997.3422288</v>
      </c>
      <c r="O40" s="7">
        <v>78292820.504523307</v>
      </c>
      <c r="P40" s="7">
        <v>76338616.539730996</v>
      </c>
      <c r="Q40" s="7">
        <v>74432491.694913298</v>
      </c>
      <c r="R40" s="7">
        <v>72573546.048637897</v>
      </c>
      <c r="S40" s="7">
        <v>70760620.469840094</v>
      </c>
      <c r="T40" s="7">
        <v>68992579.226665899</v>
      </c>
      <c r="U40" s="7">
        <v>67268610.801259503</v>
      </c>
      <c r="V40" s="7">
        <v>65587423.711612999</v>
      </c>
      <c r="W40" s="7">
        <v>63948309.5833131</v>
      </c>
      <c r="X40" s="7">
        <v>62352010.756589197</v>
      </c>
      <c r="Y40" s="7">
        <v>60793954.780317597</v>
      </c>
      <c r="Z40" s="7">
        <v>59274901.562359102</v>
      </c>
      <c r="AA40" s="7">
        <v>57793720.584707603</v>
      </c>
      <c r="AB40" s="7">
        <v>56364543.415251702</v>
      </c>
      <c r="AC40" s="7">
        <v>54956158.577414103</v>
      </c>
    </row>
    <row r="41" spans="1:29" x14ac:dyDescent="0.85">
      <c r="A41" t="s">
        <v>139</v>
      </c>
      <c r="B41" s="7">
        <v>9062132.75</v>
      </c>
      <c r="C41" s="7">
        <v>20359601.997295801</v>
      </c>
      <c r="D41" s="7">
        <v>32565754.539849799</v>
      </c>
      <c r="E41" s="7">
        <v>45887997.186862603</v>
      </c>
      <c r="F41" s="7">
        <v>60424732.284184404</v>
      </c>
      <c r="G41" s="7">
        <v>76297970.927535102</v>
      </c>
      <c r="H41" s="7">
        <v>93468542.277987704</v>
      </c>
      <c r="I41" s="7">
        <v>91131828.852570996</v>
      </c>
      <c r="J41" s="7">
        <v>88853533.145391107</v>
      </c>
      <c r="K41" s="7">
        <v>86632194.816477299</v>
      </c>
      <c r="L41" s="7">
        <v>84466464.513844594</v>
      </c>
      <c r="M41" s="7">
        <v>82355384.515132099</v>
      </c>
      <c r="N41" s="7">
        <v>80297997.3422288</v>
      </c>
      <c r="O41" s="7">
        <v>78292820.504523307</v>
      </c>
      <c r="P41" s="7">
        <v>76338616.539730996</v>
      </c>
      <c r="Q41" s="7">
        <v>74432491.694913298</v>
      </c>
      <c r="R41" s="7">
        <v>72573546.048637897</v>
      </c>
      <c r="S41" s="7">
        <v>70760620.469840094</v>
      </c>
      <c r="T41" s="7">
        <v>68992579.226665899</v>
      </c>
      <c r="U41" s="7">
        <v>67268610.801259503</v>
      </c>
      <c r="V41" s="7">
        <v>65587423.711612999</v>
      </c>
      <c r="W41" s="7">
        <v>63948309.5833131</v>
      </c>
      <c r="X41" s="7">
        <v>62352010.756589197</v>
      </c>
      <c r="Y41" s="7">
        <v>60793954.780317597</v>
      </c>
      <c r="Z41" s="7">
        <v>59274901.562359102</v>
      </c>
      <c r="AA41" s="7">
        <v>57793720.584707603</v>
      </c>
      <c r="AB41" s="7">
        <v>56364543.415251702</v>
      </c>
      <c r="AC41" s="7">
        <v>54956158.577414103</v>
      </c>
    </row>
    <row r="42" spans="1:29" x14ac:dyDescent="0.85">
      <c r="A42" t="s">
        <v>140</v>
      </c>
      <c r="B42" s="7">
        <v>1366.5167535200001</v>
      </c>
      <c r="C42" s="7">
        <v>3070.1092106999999</v>
      </c>
      <c r="D42" s="7">
        <v>4910.7258078699997</v>
      </c>
      <c r="E42" s="7">
        <v>6919.6422819299996</v>
      </c>
      <c r="F42" s="7">
        <v>9111.6971325899995</v>
      </c>
      <c r="G42" s="7">
        <v>11505.28892132</v>
      </c>
      <c r="H42" s="7">
        <v>14094.510914119999</v>
      </c>
      <c r="I42" s="7">
        <v>13742.1481611</v>
      </c>
      <c r="J42" s="7">
        <v>13398.5944592</v>
      </c>
      <c r="K42" s="7">
        <v>13063.629597720001</v>
      </c>
      <c r="L42" s="7">
        <v>12737.03961184</v>
      </c>
      <c r="M42" s="7">
        <v>12418.61950167</v>
      </c>
      <c r="N42" s="7">
        <v>12108.16915324</v>
      </c>
      <c r="O42" s="7">
        <v>11805.48804869</v>
      </c>
      <c r="P42" s="7">
        <v>11510.38235586</v>
      </c>
      <c r="Q42" s="7">
        <v>11222.64646012</v>
      </c>
      <c r="R42" s="7">
        <v>10942.09930631</v>
      </c>
      <c r="S42" s="7">
        <v>10668.561109820001</v>
      </c>
      <c r="T42" s="7">
        <v>10401.85693193</v>
      </c>
      <c r="U42" s="7">
        <v>10141.819062250001</v>
      </c>
      <c r="V42" s="7">
        <v>9888.2789255999996</v>
      </c>
      <c r="W42" s="7">
        <v>9641.0777299599995</v>
      </c>
      <c r="X42" s="7">
        <v>9400.3201110800001</v>
      </c>
      <c r="Y42" s="7">
        <v>9165.3243244900004</v>
      </c>
      <c r="Z42" s="7">
        <v>8936.1998789400004</v>
      </c>
      <c r="AA42" s="7">
        <v>8712.8018736499998</v>
      </c>
      <c r="AB42" s="7">
        <v>8497.2447367500008</v>
      </c>
      <c r="AC42" s="7">
        <v>8284.8211596000001</v>
      </c>
    </row>
    <row r="43" spans="1:29" x14ac:dyDescent="0.85">
      <c r="A43" t="s">
        <v>141</v>
      </c>
      <c r="B43" s="7">
        <v>0</v>
      </c>
      <c r="C43" s="7">
        <v>12.215761199999999</v>
      </c>
      <c r="D43" s="7">
        <v>19.53945272</v>
      </c>
      <c r="E43" s="7">
        <v>27.53279831</v>
      </c>
      <c r="F43" s="7">
        <v>36.254839369999999</v>
      </c>
      <c r="G43" s="7">
        <v>45.778782560000003</v>
      </c>
      <c r="H43" s="7">
        <v>56.081125370000002</v>
      </c>
      <c r="I43" s="7">
        <v>54.679097310000003</v>
      </c>
      <c r="J43" s="7">
        <v>53.312119889999998</v>
      </c>
      <c r="K43" s="7">
        <v>51.97931689</v>
      </c>
      <c r="L43" s="7">
        <v>50.679878709999997</v>
      </c>
      <c r="M43" s="7">
        <v>49.413230710000001</v>
      </c>
      <c r="N43" s="7">
        <v>48.178798409999999</v>
      </c>
      <c r="O43" s="7">
        <v>46.975692299999999</v>
      </c>
      <c r="P43" s="7">
        <v>45.803169920000002</v>
      </c>
      <c r="Q43" s="7">
        <v>44.659495020000001</v>
      </c>
      <c r="R43" s="7">
        <v>43.544127629999998</v>
      </c>
      <c r="S43" s="7">
        <v>42.456372279999997</v>
      </c>
      <c r="T43" s="7">
        <v>41.395547540000003</v>
      </c>
      <c r="U43" s="7">
        <v>40.361166480000001</v>
      </c>
      <c r="V43" s="7">
        <v>39.352454229999999</v>
      </c>
      <c r="W43" s="7">
        <v>38.36898575</v>
      </c>
      <c r="X43" s="7">
        <v>37.411206450000002</v>
      </c>
      <c r="Y43" s="7">
        <v>36.476372869999999</v>
      </c>
      <c r="Z43" s="7">
        <v>35.56494094</v>
      </c>
      <c r="AA43" s="7">
        <v>34.676232349999999</v>
      </c>
      <c r="AB43" s="7">
        <v>33.818726050000002</v>
      </c>
      <c r="AC43" s="7">
        <v>32.973695149999998</v>
      </c>
    </row>
    <row r="44" spans="1:29" x14ac:dyDescent="0.85">
      <c r="A44" t="s">
        <v>142</v>
      </c>
      <c r="B44" s="7">
        <v>2.7186399999999999E-2</v>
      </c>
      <c r="C44" s="7">
        <v>6.1078809999999997E-2</v>
      </c>
      <c r="D44" s="7">
        <v>9.7697259999999994E-2</v>
      </c>
      <c r="E44" s="7">
        <v>0.13766399000000001</v>
      </c>
      <c r="F44" s="7">
        <v>0.1812742</v>
      </c>
      <c r="G44" s="7">
        <v>0.22889391000000001</v>
      </c>
      <c r="H44" s="7">
        <v>0.28040563000000002</v>
      </c>
      <c r="I44" s="7">
        <v>0.27339549000000002</v>
      </c>
      <c r="J44" s="7">
        <v>0.26656059999999998</v>
      </c>
      <c r="K44" s="7">
        <v>0.25989657999999999</v>
      </c>
      <c r="L44" s="7">
        <v>0.25339939</v>
      </c>
      <c r="M44" s="7">
        <v>0.24706615000000001</v>
      </c>
      <c r="N44" s="7">
        <v>0.24089399</v>
      </c>
      <c r="O44" s="7">
        <v>0.23487846000000001</v>
      </c>
      <c r="P44" s="7">
        <v>0.22901584999999999</v>
      </c>
      <c r="Q44" s="7">
        <v>0.22329747999999999</v>
      </c>
      <c r="R44" s="7">
        <v>0.21772063999999999</v>
      </c>
      <c r="S44" s="7">
        <v>0.21228185999999999</v>
      </c>
      <c r="T44" s="7">
        <v>0.20697773999999999</v>
      </c>
      <c r="U44" s="7">
        <v>0.20180582999999999</v>
      </c>
      <c r="V44" s="7">
        <v>0.19676226999999999</v>
      </c>
      <c r="W44" s="7">
        <v>0.19184493</v>
      </c>
      <c r="X44" s="7">
        <v>0.18705603000000001</v>
      </c>
      <c r="Y44" s="7">
        <v>0.18238186000000001</v>
      </c>
      <c r="Z44" s="7">
        <v>0.1778247</v>
      </c>
      <c r="AA44" s="7">
        <v>0.17338116000000001</v>
      </c>
      <c r="AB44" s="7">
        <v>0.16909362999999999</v>
      </c>
      <c r="AC44" s="7">
        <v>0.16486848000000001</v>
      </c>
    </row>
    <row r="45" spans="1:29" x14ac:dyDescent="0.85">
      <c r="A45" t="s">
        <v>143</v>
      </c>
      <c r="B45" s="7">
        <v>1274.89859142</v>
      </c>
      <c r="C45" s="7">
        <v>2864.2736344999998</v>
      </c>
      <c r="D45" s="7">
        <v>4581.4860294700002</v>
      </c>
      <c r="E45" s="7">
        <v>6455.7146303700001</v>
      </c>
      <c r="F45" s="7">
        <v>8500.8030892000006</v>
      </c>
      <c r="G45" s="7">
        <v>10733.916435249999</v>
      </c>
      <c r="H45" s="7">
        <v>13149.543951690001</v>
      </c>
      <c r="I45" s="7">
        <v>12820.8053714</v>
      </c>
      <c r="J45" s="7">
        <v>12500.2852391</v>
      </c>
      <c r="K45" s="7">
        <v>12187.778108119999</v>
      </c>
      <c r="L45" s="7">
        <v>11883.08365561</v>
      </c>
      <c r="M45" s="7">
        <v>11586.006564220001</v>
      </c>
      <c r="N45" s="7">
        <v>11296.35640011</v>
      </c>
      <c r="O45" s="7">
        <v>11013.94763339</v>
      </c>
      <c r="P45" s="7">
        <v>10738.59894265</v>
      </c>
      <c r="Q45" s="7">
        <v>10470.13396908</v>
      </c>
      <c r="R45" s="7">
        <v>10208.380755759999</v>
      </c>
      <c r="S45" s="7">
        <v>9953.1712368699991</v>
      </c>
      <c r="T45" s="7">
        <v>9704.3419559499998</v>
      </c>
      <c r="U45" s="7">
        <v>9461.7334070500001</v>
      </c>
      <c r="V45" s="7">
        <v>9225.1900718699999</v>
      </c>
      <c r="W45" s="7">
        <v>8994.5603200799997</v>
      </c>
      <c r="X45" s="7">
        <v>8769.9412823300008</v>
      </c>
      <c r="Y45" s="7">
        <v>8550.6974416600005</v>
      </c>
      <c r="Z45" s="7">
        <v>8336.9306241400009</v>
      </c>
      <c r="AA45" s="7">
        <v>8128.5073585399996</v>
      </c>
      <c r="AB45" s="7">
        <v>7927.39920282</v>
      </c>
      <c r="AC45" s="7">
        <v>7729.2143963899998</v>
      </c>
    </row>
    <row r="46" spans="1:29" x14ac:dyDescent="0.85">
      <c r="A46" t="s">
        <v>144</v>
      </c>
      <c r="B46" s="7">
        <v>91.618162100000006</v>
      </c>
      <c r="C46" s="7">
        <v>205.83557619000001</v>
      </c>
      <c r="D46" s="7">
        <v>329.23977839999998</v>
      </c>
      <c r="E46" s="7">
        <v>463.92765156000002</v>
      </c>
      <c r="F46" s="7">
        <v>610.89404338999998</v>
      </c>
      <c r="G46" s="7">
        <v>771.37248608000004</v>
      </c>
      <c r="H46" s="7">
        <v>944.96696242999997</v>
      </c>
      <c r="I46" s="7">
        <v>921.34278970000003</v>
      </c>
      <c r="J46" s="7">
        <v>898.30922009999995</v>
      </c>
      <c r="K46" s="7">
        <v>875.85148959000003</v>
      </c>
      <c r="L46" s="7">
        <v>853.95595622999997</v>
      </c>
      <c r="M46" s="7">
        <v>832.61293745</v>
      </c>
      <c r="N46" s="7">
        <v>811.81275313000003</v>
      </c>
      <c r="O46" s="7">
        <v>791.54041529999995</v>
      </c>
      <c r="P46" s="7">
        <v>771.78341322000006</v>
      </c>
      <c r="Q46" s="7">
        <v>752.51249103999999</v>
      </c>
      <c r="R46" s="7">
        <v>733.71855055000003</v>
      </c>
      <c r="S46" s="7">
        <v>715.38987295000004</v>
      </c>
      <c r="T46" s="7">
        <v>697.51497598000003</v>
      </c>
      <c r="U46" s="7">
        <v>680.08565520000002</v>
      </c>
      <c r="V46" s="7">
        <v>663.08885371999997</v>
      </c>
      <c r="W46" s="7">
        <v>646.51740988999995</v>
      </c>
      <c r="X46" s="7">
        <v>630.37882875000003</v>
      </c>
      <c r="Y46" s="7">
        <v>614.62688283</v>
      </c>
      <c r="Z46" s="7">
        <v>599.2692548</v>
      </c>
      <c r="AA46" s="7">
        <v>584.29451511000002</v>
      </c>
      <c r="AB46" s="7">
        <v>569.84553392999999</v>
      </c>
      <c r="AC46" s="7">
        <v>555.60676321999995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1.6411788599999999</v>
      </c>
      <c r="E47" s="7">
        <v>1.44520793</v>
      </c>
      <c r="F47" s="7">
        <v>1.3505410900000001</v>
      </c>
      <c r="G47" s="7">
        <v>1.29506118</v>
      </c>
      <c r="H47" s="7">
        <v>1.25644768</v>
      </c>
      <c r="I47" s="7">
        <v>1.2249152400000001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1.0000000099999999</v>
      </c>
      <c r="Q47" s="7">
        <v>1</v>
      </c>
      <c r="R47" s="7">
        <v>1</v>
      </c>
      <c r="S47" s="7">
        <v>1.0000000099999999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1.0000279299999999</v>
      </c>
      <c r="Z47" s="7">
        <v>1.00000055</v>
      </c>
      <c r="AA47" s="7">
        <v>1.00000007</v>
      </c>
      <c r="AB47" s="7">
        <v>0.99999950000000004</v>
      </c>
      <c r="AC47" s="7">
        <v>1.0002655499999999</v>
      </c>
    </row>
    <row r="48" spans="1:29" x14ac:dyDescent="0.85">
      <c r="A48" t="s">
        <v>146</v>
      </c>
      <c r="B48" s="7">
        <v>1</v>
      </c>
      <c r="C48" s="7">
        <v>2.3042746799999998</v>
      </c>
      <c r="D48" s="7">
        <v>1.64054159</v>
      </c>
      <c r="E48" s="7">
        <v>1.4452179300000001</v>
      </c>
      <c r="F48" s="7">
        <v>1.35055109</v>
      </c>
      <c r="G48" s="7">
        <v>1.2950711800000001</v>
      </c>
      <c r="H48" s="7">
        <v>1.25645768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1.0000000099999999</v>
      </c>
      <c r="P48" s="7">
        <v>1</v>
      </c>
      <c r="Q48" s="7">
        <v>1</v>
      </c>
      <c r="R48" s="7">
        <v>1.0000000099999999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1.0000279299999999</v>
      </c>
      <c r="Y48" s="7">
        <v>1.00000055</v>
      </c>
      <c r="Z48" s="7">
        <v>1.00000007</v>
      </c>
      <c r="AA48" s="7">
        <v>0.99999950000000004</v>
      </c>
      <c r="AB48" s="7">
        <v>1.0002655499999999</v>
      </c>
      <c r="AC48" s="7">
        <v>1.0000000200000001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1.64118886</v>
      </c>
      <c r="E49" s="7">
        <v>1.4452179300000001</v>
      </c>
      <c r="F49" s="7">
        <v>1.35055109</v>
      </c>
      <c r="G49" s="7">
        <v>1.2950711800000001</v>
      </c>
      <c r="H49" s="7">
        <v>1.25645768</v>
      </c>
      <c r="I49" s="7">
        <v>1.2249252399999999</v>
      </c>
      <c r="J49" s="7">
        <v>1.23683645</v>
      </c>
      <c r="K49" s="7">
        <v>1.2495648100000001</v>
      </c>
      <c r="L49" s="7">
        <v>1.2630323299999999</v>
      </c>
      <c r="M49" s="7">
        <v>1.2772992400000001</v>
      </c>
      <c r="N49" s="7">
        <v>1.29255561</v>
      </c>
      <c r="O49" s="7">
        <v>1.3086832100000001</v>
      </c>
      <c r="P49" s="7">
        <v>1.32586716</v>
      </c>
      <c r="Q49" s="7">
        <v>1.3449486500000001</v>
      </c>
      <c r="R49" s="7">
        <v>1.35871969</v>
      </c>
      <c r="S49" s="7">
        <v>1.37334662</v>
      </c>
      <c r="T49" s="7">
        <v>1.3887162099999999</v>
      </c>
      <c r="U49" s="7">
        <v>1.4048510299999999</v>
      </c>
      <c r="V49" s="7">
        <v>1.4217896999999999</v>
      </c>
      <c r="W49" s="7">
        <v>1.43957307</v>
      </c>
      <c r="X49" s="7">
        <v>1.4611675399999999</v>
      </c>
      <c r="Y49" s="7">
        <v>1.4854845699999999</v>
      </c>
      <c r="Z49" s="7">
        <v>1.5110996999999999</v>
      </c>
      <c r="AA49" s="7">
        <v>1.5381631499999999</v>
      </c>
      <c r="AB49" s="7">
        <v>1.56475286</v>
      </c>
      <c r="AC49" s="7">
        <v>1.5928722900000001</v>
      </c>
    </row>
    <row r="50" spans="1:29" x14ac:dyDescent="0.85">
      <c r="A50" t="s">
        <v>148</v>
      </c>
      <c r="B50" s="7">
        <v>18232</v>
      </c>
      <c r="C50" s="7">
        <v>20392.552900570001</v>
      </c>
      <c r="D50" s="7">
        <v>22773.115690080002</v>
      </c>
      <c r="E50" s="7">
        <v>25370.369055319999</v>
      </c>
      <c r="F50" s="7">
        <v>28206.506492240002</v>
      </c>
      <c r="G50" s="7">
        <v>30465.235499980001</v>
      </c>
      <c r="H50" s="7">
        <v>30863.35135873</v>
      </c>
      <c r="I50" s="7">
        <v>31238.30115512</v>
      </c>
      <c r="J50" s="7">
        <v>31677.9078845</v>
      </c>
      <c r="K50" s="7">
        <v>32128.576005800001</v>
      </c>
      <c r="L50" s="7">
        <v>32597.537531499998</v>
      </c>
      <c r="M50" s="7">
        <v>33141.003546439999</v>
      </c>
      <c r="N50" s="7">
        <v>33691.264434060002</v>
      </c>
      <c r="O50" s="7">
        <v>34295.064649209999</v>
      </c>
      <c r="P50" s="7">
        <v>35233.902177390002</v>
      </c>
      <c r="Q50" s="7">
        <v>36474.276185759998</v>
      </c>
      <c r="R50" s="7">
        <v>37733.730291560001</v>
      </c>
      <c r="S50" s="7">
        <v>39019.674399249998</v>
      </c>
      <c r="T50" s="7">
        <v>40327.96839681</v>
      </c>
      <c r="U50" s="7">
        <v>41659.496649269997</v>
      </c>
      <c r="V50" s="7">
        <v>43015.552961720001</v>
      </c>
      <c r="W50" s="7">
        <v>44397.66514325</v>
      </c>
      <c r="X50" s="7">
        <v>45804.024309020002</v>
      </c>
      <c r="Y50" s="7">
        <v>47232.638584909997</v>
      </c>
      <c r="Z50" s="7">
        <v>48685.606115759998</v>
      </c>
      <c r="AA50" s="7">
        <v>50215.567838429997</v>
      </c>
      <c r="AB50" s="7">
        <v>51870.309282399998</v>
      </c>
      <c r="AC50" s="7">
        <v>53553.256164769999</v>
      </c>
    </row>
    <row r="51" spans="1:29" x14ac:dyDescent="0.85">
      <c r="A51" t="s">
        <v>149</v>
      </c>
      <c r="B51" s="7">
        <v>78878089</v>
      </c>
      <c r="C51" s="7">
        <v>90886382.232210398</v>
      </c>
      <c r="D51" s="7">
        <v>100550101.889893</v>
      </c>
      <c r="E51" s="7">
        <v>104979686.17894401</v>
      </c>
      <c r="F51" s="7">
        <v>108573044.36208101</v>
      </c>
      <c r="G51" s="7">
        <v>106306406.83353999</v>
      </c>
      <c r="H51" s="7">
        <v>89721129.580232203</v>
      </c>
      <c r="I51" s="7">
        <v>92078680.623854294</v>
      </c>
      <c r="J51" s="7">
        <v>94417994.369004607</v>
      </c>
      <c r="K51" s="7">
        <v>96739003.584496006</v>
      </c>
      <c r="L51" s="7">
        <v>99041888.548938304</v>
      </c>
      <c r="M51" s="7">
        <v>101332499.723149</v>
      </c>
      <c r="N51" s="7">
        <v>103607099.53628001</v>
      </c>
      <c r="O51" s="7">
        <v>105856462.111452</v>
      </c>
      <c r="P51" s="7">
        <v>108075652.002544</v>
      </c>
      <c r="Q51" s="7">
        <v>113783864.73496</v>
      </c>
      <c r="R51" s="7">
        <v>119455821.92773201</v>
      </c>
      <c r="S51" s="7">
        <v>125270273.978815</v>
      </c>
      <c r="T51" s="7">
        <v>131216794.307036</v>
      </c>
      <c r="U51" s="7">
        <v>137287263.01108399</v>
      </c>
      <c r="V51" s="7">
        <v>143481607.5535</v>
      </c>
      <c r="W51" s="7">
        <v>148418010.83222401</v>
      </c>
      <c r="X51" s="7">
        <v>152657738.25260499</v>
      </c>
      <c r="Y51" s="7">
        <v>156908912.03682399</v>
      </c>
      <c r="Z51" s="7">
        <v>161131370.442009</v>
      </c>
      <c r="AA51" s="7">
        <v>166237263.86661801</v>
      </c>
      <c r="AB51" s="7">
        <v>171400151.989254</v>
      </c>
      <c r="AC51" s="7">
        <v>176634743.12443</v>
      </c>
    </row>
    <row r="52" spans="1:29" x14ac:dyDescent="0.85">
      <c r="A52" t="s">
        <v>150</v>
      </c>
      <c r="B52" s="7">
        <v>78878089</v>
      </c>
      <c r="C52" s="7">
        <v>90886382.232210398</v>
      </c>
      <c r="D52" s="7">
        <v>100550101.889893</v>
      </c>
      <c r="E52" s="7">
        <v>104979686.17894401</v>
      </c>
      <c r="F52" s="7">
        <v>108573044.36208101</v>
      </c>
      <c r="G52" s="7">
        <v>106306406.83353999</v>
      </c>
      <c r="H52" s="7">
        <v>89721129.580232203</v>
      </c>
      <c r="I52" s="7">
        <v>92078680.623854294</v>
      </c>
      <c r="J52" s="7">
        <v>94417994.369004607</v>
      </c>
      <c r="K52" s="7">
        <v>96739003.584496006</v>
      </c>
      <c r="L52" s="7">
        <v>99041888.548938304</v>
      </c>
      <c r="M52" s="7">
        <v>101332499.723149</v>
      </c>
      <c r="N52" s="7">
        <v>103607099.53628001</v>
      </c>
      <c r="O52" s="7">
        <v>105856462.111452</v>
      </c>
      <c r="P52" s="7">
        <v>108075652.002544</v>
      </c>
      <c r="Q52" s="7">
        <v>113783864.73496</v>
      </c>
      <c r="R52" s="7">
        <v>119455821.92773201</v>
      </c>
      <c r="S52" s="7">
        <v>125270273.978815</v>
      </c>
      <c r="T52" s="7">
        <v>131216794.307036</v>
      </c>
      <c r="U52" s="7">
        <v>137287263.01108399</v>
      </c>
      <c r="V52" s="7">
        <v>143481607.5535</v>
      </c>
      <c r="W52" s="7">
        <v>148418010.83222401</v>
      </c>
      <c r="X52" s="7">
        <v>152657738.25260499</v>
      </c>
      <c r="Y52" s="7">
        <v>156908912.03682399</v>
      </c>
      <c r="Z52" s="7">
        <v>161131370.442009</v>
      </c>
      <c r="AA52" s="7">
        <v>166237263.86661801</v>
      </c>
      <c r="AB52" s="7">
        <v>171400151.989254</v>
      </c>
      <c r="AC52" s="7">
        <v>176634743.12443</v>
      </c>
    </row>
    <row r="53" spans="1:29" x14ac:dyDescent="0.85">
      <c r="A53" t="s">
        <v>151</v>
      </c>
      <c r="B53" s="7">
        <v>5382.1049241399996</v>
      </c>
      <c r="C53" s="7">
        <v>6084.8301550400001</v>
      </c>
      <c r="D53" s="7">
        <v>6772.0700204599998</v>
      </c>
      <c r="E53" s="7">
        <v>7372.6897447600004</v>
      </c>
      <c r="F53" s="7">
        <v>7998.2070436000004</v>
      </c>
      <c r="G53" s="7">
        <v>8371.2418820599996</v>
      </c>
      <c r="H53" s="7">
        <v>8042.0590021799999</v>
      </c>
      <c r="I53" s="7">
        <v>8170.6879675999999</v>
      </c>
      <c r="J53" s="7">
        <v>8311.1333527499992</v>
      </c>
      <c r="K53" s="7">
        <v>8453.2297673400008</v>
      </c>
      <c r="L53" s="7">
        <v>8598.3530743600004</v>
      </c>
      <c r="M53" s="7">
        <v>8757.3057813399992</v>
      </c>
      <c r="N53" s="7">
        <v>8917.1563769999993</v>
      </c>
      <c r="O53" s="7">
        <v>9086.5442736799996</v>
      </c>
      <c r="P53" s="7">
        <v>9318.7317543299996</v>
      </c>
      <c r="Q53" s="7">
        <v>9693.2341596700007</v>
      </c>
      <c r="R53" s="7">
        <v>10070.47024088</v>
      </c>
      <c r="S53" s="7">
        <v>10456.206706929999</v>
      </c>
      <c r="T53" s="7">
        <v>10849.40402679</v>
      </c>
      <c r="U53" s="7">
        <v>11250.03178406</v>
      </c>
      <c r="V53" s="7">
        <v>11658.3335634</v>
      </c>
      <c r="W53" s="7">
        <v>12040.882758150001</v>
      </c>
      <c r="X53" s="7">
        <v>12411.03121094</v>
      </c>
      <c r="Y53" s="7">
        <v>12785.67936901</v>
      </c>
      <c r="Z53" s="7">
        <v>13164.24517378</v>
      </c>
      <c r="AA53" s="7">
        <v>13578.96781561</v>
      </c>
      <c r="AB53" s="7">
        <v>14018.744101689999</v>
      </c>
      <c r="AC53" s="7">
        <v>14465.61876349</v>
      </c>
    </row>
    <row r="54" spans="1:29" x14ac:dyDescent="0.85">
      <c r="A54" t="s">
        <v>152</v>
      </c>
      <c r="B54" s="7">
        <v>0</v>
      </c>
      <c r="C54" s="7">
        <v>8906.8654587599995</v>
      </c>
      <c r="D54" s="7">
        <v>9853.9099852100007</v>
      </c>
      <c r="E54" s="7">
        <v>10288.009245540001</v>
      </c>
      <c r="F54" s="7">
        <v>10640.158347480001</v>
      </c>
      <c r="G54" s="7">
        <v>10418.02786969</v>
      </c>
      <c r="H54" s="7">
        <v>8792.6706988599999</v>
      </c>
      <c r="I54" s="7">
        <v>9023.7107011400003</v>
      </c>
      <c r="J54" s="7">
        <v>9252.9634481600006</v>
      </c>
      <c r="K54" s="7">
        <v>9480.4223512799999</v>
      </c>
      <c r="L54" s="7">
        <v>9706.1050778000008</v>
      </c>
      <c r="M54" s="7">
        <v>9930.5849728699995</v>
      </c>
      <c r="N54" s="7">
        <v>10153.495754559999</v>
      </c>
      <c r="O54" s="7">
        <v>10373.933286920001</v>
      </c>
      <c r="P54" s="7">
        <v>10591.41389625</v>
      </c>
      <c r="Q54" s="7">
        <v>11150.818744030001</v>
      </c>
      <c r="R54" s="7">
        <v>11706.670548919999</v>
      </c>
      <c r="S54" s="7">
        <v>12276.48684992</v>
      </c>
      <c r="T54" s="7">
        <v>12859.24584209</v>
      </c>
      <c r="U54" s="7">
        <v>13454.15177509</v>
      </c>
      <c r="V54" s="7">
        <v>14061.19754024</v>
      </c>
      <c r="W54" s="7">
        <v>14544.96506156</v>
      </c>
      <c r="X54" s="7">
        <v>14960.458348759999</v>
      </c>
      <c r="Y54" s="7">
        <v>15377.073379609999</v>
      </c>
      <c r="Z54" s="7">
        <v>15790.874303320001</v>
      </c>
      <c r="AA54" s="7">
        <v>16291.25185893</v>
      </c>
      <c r="AB54" s="7">
        <v>16797.214894950001</v>
      </c>
      <c r="AC54" s="7">
        <v>17310.204826190002</v>
      </c>
    </row>
    <row r="55" spans="1:29" x14ac:dyDescent="0.85">
      <c r="A55" t="s">
        <v>153</v>
      </c>
      <c r="B55" s="7">
        <v>38.650263610000003</v>
      </c>
      <c r="C55" s="7">
        <v>44.53432729</v>
      </c>
      <c r="D55" s="7">
        <v>49.269549929999997</v>
      </c>
      <c r="E55" s="7">
        <v>51.44004623</v>
      </c>
      <c r="F55" s="7">
        <v>53.20079174</v>
      </c>
      <c r="G55" s="7">
        <v>52.090139350000001</v>
      </c>
      <c r="H55" s="7">
        <v>43.963353490000003</v>
      </c>
      <c r="I55" s="7">
        <v>45.118553509999998</v>
      </c>
      <c r="J55" s="7">
        <v>46.264817239999999</v>
      </c>
      <c r="K55" s="7">
        <v>47.402111759999997</v>
      </c>
      <c r="L55" s="7">
        <v>48.530525390000001</v>
      </c>
      <c r="M55" s="7">
        <v>49.652924859999999</v>
      </c>
      <c r="N55" s="7">
        <v>50.767478769999997</v>
      </c>
      <c r="O55" s="7">
        <v>51.869666430000002</v>
      </c>
      <c r="P55" s="7">
        <v>52.957069480000001</v>
      </c>
      <c r="Q55" s="7">
        <v>55.75409372</v>
      </c>
      <c r="R55" s="7">
        <v>58.533352739999998</v>
      </c>
      <c r="S55" s="7">
        <v>61.382434250000003</v>
      </c>
      <c r="T55" s="7">
        <v>64.296229210000007</v>
      </c>
      <c r="U55" s="7">
        <v>67.270758880000002</v>
      </c>
      <c r="V55" s="7">
        <v>70.305987700000003</v>
      </c>
      <c r="W55" s="7">
        <v>72.72482531</v>
      </c>
      <c r="X55" s="7">
        <v>74.802291740000001</v>
      </c>
      <c r="Y55" s="7">
        <v>76.885366899999994</v>
      </c>
      <c r="Z55" s="7">
        <v>78.954371519999995</v>
      </c>
      <c r="AA55" s="7">
        <v>81.456259290000006</v>
      </c>
      <c r="AB55" s="7">
        <v>83.986074470000005</v>
      </c>
      <c r="AC55" s="7">
        <v>86.551024130000002</v>
      </c>
    </row>
    <row r="56" spans="1:29" x14ac:dyDescent="0.85">
      <c r="A56" t="s">
        <v>154</v>
      </c>
      <c r="B56" s="7">
        <v>3457.47955254</v>
      </c>
      <c r="C56" s="7">
        <v>3867.2024285799998</v>
      </c>
      <c r="D56" s="7">
        <v>4318.6475343399998</v>
      </c>
      <c r="E56" s="7">
        <v>4811.1854020000001</v>
      </c>
      <c r="F56" s="7">
        <v>5349.0247611699997</v>
      </c>
      <c r="G56" s="7">
        <v>5777.3655553199997</v>
      </c>
      <c r="H56" s="7">
        <v>5852.8634404200002</v>
      </c>
      <c r="I56" s="7">
        <v>5923.96816038</v>
      </c>
      <c r="J56" s="7">
        <v>6007.33429015</v>
      </c>
      <c r="K56" s="7">
        <v>6092.7980798799999</v>
      </c>
      <c r="L56" s="7">
        <v>6181.7309937700002</v>
      </c>
      <c r="M56" s="7">
        <v>6284.7927880899997</v>
      </c>
      <c r="N56" s="7">
        <v>6389.1431483099996</v>
      </c>
      <c r="O56" s="7">
        <v>6503.6465981600004</v>
      </c>
      <c r="P56" s="7">
        <v>6681.6858454699995</v>
      </c>
      <c r="Q56" s="7">
        <v>6916.9078601399997</v>
      </c>
      <c r="R56" s="7">
        <v>7155.7481858399997</v>
      </c>
      <c r="S56" s="7">
        <v>7399.6120218400001</v>
      </c>
      <c r="T56" s="7">
        <v>7647.7142457</v>
      </c>
      <c r="U56" s="7">
        <v>7900.2225665899996</v>
      </c>
      <c r="V56" s="7">
        <v>8157.3823390999996</v>
      </c>
      <c r="W56" s="7">
        <v>8419.4832938399995</v>
      </c>
      <c r="X56" s="7">
        <v>8686.1823975700008</v>
      </c>
      <c r="Y56" s="7">
        <v>8957.1019153100005</v>
      </c>
      <c r="Z56" s="7">
        <v>9232.6397349899999</v>
      </c>
      <c r="AA56" s="7">
        <v>9522.77857726</v>
      </c>
      <c r="AB56" s="7">
        <v>9836.5803931499995</v>
      </c>
      <c r="AC56" s="7">
        <v>10155.731031249999</v>
      </c>
    </row>
    <row r="57" spans="1:29" x14ac:dyDescent="0.85">
      <c r="A57" t="s">
        <v>155</v>
      </c>
      <c r="B57" s="7">
        <v>1924.6253716000001</v>
      </c>
      <c r="C57" s="7">
        <v>2217.6277264700002</v>
      </c>
      <c r="D57" s="7">
        <v>2453.4224861100001</v>
      </c>
      <c r="E57" s="7">
        <v>2561.5043427700002</v>
      </c>
      <c r="F57" s="7">
        <v>2649.1822824300002</v>
      </c>
      <c r="G57" s="7">
        <v>2593.87632674</v>
      </c>
      <c r="H57" s="7">
        <v>2189.1955617600001</v>
      </c>
      <c r="I57" s="7">
        <v>2246.7198072199999</v>
      </c>
      <c r="J57" s="7">
        <v>2303.7990626000001</v>
      </c>
      <c r="K57" s="7">
        <v>2360.4316874599999</v>
      </c>
      <c r="L57" s="7">
        <v>2416.6220805900002</v>
      </c>
      <c r="M57" s="7">
        <v>2472.51299324</v>
      </c>
      <c r="N57" s="7">
        <v>2528.0132286899998</v>
      </c>
      <c r="O57" s="7">
        <v>2582.8976755200001</v>
      </c>
      <c r="P57" s="7">
        <v>2637.0459088600001</v>
      </c>
      <c r="Q57" s="7">
        <v>2776.3262995300001</v>
      </c>
      <c r="R57" s="7">
        <v>2914.7220550400002</v>
      </c>
      <c r="S57" s="7">
        <v>3056.5946850800001</v>
      </c>
      <c r="T57" s="7">
        <v>3201.68978109</v>
      </c>
      <c r="U57" s="7">
        <v>3349.80921747</v>
      </c>
      <c r="V57" s="7">
        <v>3500.9512243099998</v>
      </c>
      <c r="W57" s="7">
        <v>3621.39946431</v>
      </c>
      <c r="X57" s="7">
        <v>3724.8488133599999</v>
      </c>
      <c r="Y57" s="7">
        <v>3828.5774537000002</v>
      </c>
      <c r="Z57" s="7">
        <v>3931.6054387899999</v>
      </c>
      <c r="AA57" s="7">
        <v>4056.1892383499999</v>
      </c>
      <c r="AB57" s="7">
        <v>4182.1637085399998</v>
      </c>
      <c r="AC57" s="7">
        <v>4309.8877322400003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1.1632575700000001</v>
      </c>
      <c r="E58" s="7">
        <v>1.16045781</v>
      </c>
      <c r="F58" s="7">
        <v>1.1581039200000001</v>
      </c>
      <c r="G58" s="7">
        <v>1.15611474</v>
      </c>
      <c r="H58" s="7">
        <v>1.1250815599999999</v>
      </c>
      <c r="I58" s="7">
        <v>1.0552790400000001</v>
      </c>
      <c r="J58" s="7">
        <v>1.0543215699999999</v>
      </c>
      <c r="K58" s="7">
        <v>1.0563257100000001</v>
      </c>
      <c r="L58" s="7">
        <v>1.0564860199999999</v>
      </c>
      <c r="M58" s="7">
        <v>1.0568712499999999</v>
      </c>
      <c r="N58" s="7">
        <v>1.0590333300000001</v>
      </c>
      <c r="O58" s="7">
        <v>1.05896211</v>
      </c>
      <c r="P58" s="7">
        <v>1.06033496</v>
      </c>
      <c r="Q58" s="7">
        <v>1.0701826000000001</v>
      </c>
      <c r="R58" s="7">
        <v>1.07833749</v>
      </c>
      <c r="S58" s="7">
        <v>1.0776353400000001</v>
      </c>
      <c r="T58" s="7">
        <v>1.07716608</v>
      </c>
      <c r="U58" s="7">
        <v>1.0765928</v>
      </c>
      <c r="V58" s="7">
        <v>1.0760598800000001</v>
      </c>
      <c r="W58" s="7">
        <v>1.0755739099999999</v>
      </c>
      <c r="X58" s="7">
        <v>1.0751359599999999</v>
      </c>
      <c r="Y58" s="7">
        <v>1.0746629400000001</v>
      </c>
      <c r="Z58" s="7">
        <v>1.07415595</v>
      </c>
      <c r="AA58" s="7">
        <v>1.07371035</v>
      </c>
      <c r="AB58" s="7">
        <v>1.0744014</v>
      </c>
      <c r="AC58" s="7">
        <v>1.0759924599999999</v>
      </c>
    </row>
    <row r="59" spans="1:29" x14ac:dyDescent="0.85">
      <c r="A59" t="s">
        <v>157</v>
      </c>
      <c r="B59" s="7">
        <v>1</v>
      </c>
      <c r="C59" s="7">
        <v>1.1651076499999999</v>
      </c>
      <c r="D59" s="7">
        <v>1.1632675699999999</v>
      </c>
      <c r="E59" s="7">
        <v>1.1604678100000001</v>
      </c>
      <c r="F59" s="7">
        <v>1.1581139199999999</v>
      </c>
      <c r="G59" s="7">
        <v>1.1250815599999999</v>
      </c>
      <c r="H59" s="7">
        <v>1.0552790400000001</v>
      </c>
      <c r="I59" s="7">
        <v>1.0543215699999999</v>
      </c>
      <c r="J59" s="7">
        <v>1.0563257100000001</v>
      </c>
      <c r="K59" s="7">
        <v>1.0564860199999999</v>
      </c>
      <c r="L59" s="7">
        <v>1.0568712499999999</v>
      </c>
      <c r="M59" s="7">
        <v>1.0590333300000001</v>
      </c>
      <c r="N59" s="7">
        <v>1.05896211</v>
      </c>
      <c r="O59" s="7">
        <v>1.06033496</v>
      </c>
      <c r="P59" s="7">
        <v>1.0701826000000001</v>
      </c>
      <c r="Q59" s="7">
        <v>1.07833749</v>
      </c>
      <c r="R59" s="7">
        <v>1.0776353400000001</v>
      </c>
      <c r="S59" s="7">
        <v>1.07716608</v>
      </c>
      <c r="T59" s="7">
        <v>1.0765928</v>
      </c>
      <c r="U59" s="7">
        <v>1.0760598800000001</v>
      </c>
      <c r="V59" s="7">
        <v>1.0755739099999999</v>
      </c>
      <c r="W59" s="7">
        <v>1.0751359599999999</v>
      </c>
      <c r="X59" s="7">
        <v>1.0746629400000001</v>
      </c>
      <c r="Y59" s="7">
        <v>1.07415595</v>
      </c>
      <c r="Z59" s="7">
        <v>1.07371035</v>
      </c>
      <c r="AA59" s="7">
        <v>1.0744014</v>
      </c>
      <c r="AB59" s="7">
        <v>1.0759924599999999</v>
      </c>
      <c r="AC59" s="7">
        <v>1.0754638400000001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1.1632675699999999</v>
      </c>
      <c r="E60" s="7">
        <v>1.1604678100000001</v>
      </c>
      <c r="F60" s="7">
        <v>1.1581139199999999</v>
      </c>
      <c r="G60" s="7">
        <v>1.1561247400000001</v>
      </c>
      <c r="H60" s="7">
        <v>1.1568007300000001</v>
      </c>
      <c r="I60" s="7">
        <v>1.1633654200000001</v>
      </c>
      <c r="J60" s="7">
        <v>1.16613072</v>
      </c>
      <c r="K60" s="7">
        <v>1.1687476400000001</v>
      </c>
      <c r="L60" s="7">
        <v>1.1713834700000001</v>
      </c>
      <c r="M60" s="7">
        <v>1.1740154199999999</v>
      </c>
      <c r="N60" s="7">
        <v>1.17646045</v>
      </c>
      <c r="O60" s="7">
        <v>1.1789365999999999</v>
      </c>
      <c r="P60" s="7">
        <v>1.1812967299999999</v>
      </c>
      <c r="Q60" s="7">
        <v>1.18262337</v>
      </c>
      <c r="R60" s="7">
        <v>1.17965677</v>
      </c>
      <c r="S60" s="7">
        <v>1.17696738</v>
      </c>
      <c r="T60" s="7">
        <v>1.1744370200000001</v>
      </c>
      <c r="U60" s="7">
        <v>1.1720665699999999</v>
      </c>
      <c r="V60" s="7">
        <v>1.1698431300000001</v>
      </c>
      <c r="W60" s="7">
        <v>1.1677538300000001</v>
      </c>
      <c r="X60" s="7">
        <v>1.16675898</v>
      </c>
      <c r="Y60" s="7">
        <v>1.1663456000000001</v>
      </c>
      <c r="Z60" s="7">
        <v>1.16598571</v>
      </c>
      <c r="AA60" s="7">
        <v>1.1656979599999999</v>
      </c>
      <c r="AB60" s="7">
        <v>1.1647949</v>
      </c>
      <c r="AC60" s="7">
        <v>1.1637643</v>
      </c>
    </row>
    <row r="61" spans="1:29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</row>
    <row r="62" spans="1:29" x14ac:dyDescent="0.85">
      <c r="A62" t="s">
        <v>160</v>
      </c>
      <c r="B62" s="7">
        <v>85873119.75</v>
      </c>
      <c r="C62" s="7">
        <v>66148967.441761799</v>
      </c>
      <c r="D62" s="7">
        <v>46205470.7823084</v>
      </c>
      <c r="E62" s="7">
        <v>29986117.579043198</v>
      </c>
      <c r="F62" s="7">
        <v>12951020.5955869</v>
      </c>
      <c r="G62" s="7">
        <v>2.3575200000000001E-3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85873119.75</v>
      </c>
      <c r="C63" s="7">
        <v>66148967.441761799</v>
      </c>
      <c r="D63" s="7">
        <v>46205470.7823084</v>
      </c>
      <c r="E63" s="7">
        <v>29986117.579043198</v>
      </c>
      <c r="F63" s="7">
        <v>12952319.099321</v>
      </c>
      <c r="G63" s="7">
        <v>2.3596200000000002E-3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10812.95027195</v>
      </c>
      <c r="C64" s="7">
        <v>10133.42640511</v>
      </c>
      <c r="D64" s="7">
        <v>9454.3048417999998</v>
      </c>
      <c r="E64" s="7">
        <v>8867.2522621799999</v>
      </c>
      <c r="F64" s="7">
        <v>8266.4760474499999</v>
      </c>
      <c r="G64" s="7">
        <v>7765.8224074</v>
      </c>
      <c r="H64" s="7">
        <v>7571.6768471599999</v>
      </c>
      <c r="I64" s="7">
        <v>7382.3849259799999</v>
      </c>
      <c r="J64" s="7">
        <v>7197.8253028299996</v>
      </c>
      <c r="K64" s="7">
        <v>7017.8796702600002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</row>
    <row r="65" spans="1:29" x14ac:dyDescent="0.85">
      <c r="A65" t="s">
        <v>163</v>
      </c>
      <c r="B65" s="7">
        <v>0</v>
      </c>
      <c r="C65" s="7">
        <v>10848.43066045</v>
      </c>
      <c r="D65" s="7">
        <v>7577.6972083000001</v>
      </c>
      <c r="E65" s="7">
        <v>4917.7232829599998</v>
      </c>
      <c r="F65" s="7">
        <v>2124.18033229</v>
      </c>
      <c r="G65" s="7">
        <v>3.9000000000000002E-7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54.242153299999998</v>
      </c>
      <c r="D66" s="7">
        <v>37.888486039999997</v>
      </c>
      <c r="E66" s="7">
        <v>24.58861641</v>
      </c>
      <c r="F66" s="7">
        <v>10.620901659999999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</row>
    <row r="68" spans="1:29" x14ac:dyDescent="0.85">
      <c r="A68" t="s">
        <v>166</v>
      </c>
      <c r="B68" s="7">
        <v>1999.1262277799999</v>
      </c>
      <c r="C68" s="7">
        <v>1539.94796204</v>
      </c>
      <c r="D68" s="7">
        <v>1075.66335981</v>
      </c>
      <c r="E68" s="7">
        <v>698.07681723999997</v>
      </c>
      <c r="F68" s="7">
        <v>301.52998862999999</v>
      </c>
      <c r="G68" s="7">
        <v>4.9999999999999998E-8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0.79006206999999995</v>
      </c>
      <c r="E69" s="7">
        <v>0.71641672000000001</v>
      </c>
      <c r="F69" s="7">
        <v>0.66561366</v>
      </c>
      <c r="G69" s="7">
        <v>0.44301932999999999</v>
      </c>
      <c r="H69" s="7">
        <v>0</v>
      </c>
      <c r="I69" s="7">
        <v>0</v>
      </c>
      <c r="J69" s="7">
        <v>6.5976999999999995E-4</v>
      </c>
      <c r="K69" s="7">
        <v>6.3845999999999998E-4</v>
      </c>
      <c r="L69" s="7">
        <v>4.3510399999999996E-3</v>
      </c>
      <c r="M69" s="7">
        <v>8.8311199999999996E-3</v>
      </c>
      <c r="N69" s="7">
        <v>9.2331400000000008E-3</v>
      </c>
      <c r="O69" s="7">
        <v>1.035753E-2</v>
      </c>
      <c r="P69" s="7">
        <v>1.061074E-2</v>
      </c>
      <c r="Q69" s="7">
        <v>1.0150330000000001E-2</v>
      </c>
      <c r="R69" s="7">
        <v>4.038278E-2</v>
      </c>
      <c r="S69" s="7">
        <v>2.4027940000000001E-2</v>
      </c>
      <c r="T69" s="7">
        <v>3.4127499999999998E-2</v>
      </c>
      <c r="U69" s="7">
        <v>1.10677E-3</v>
      </c>
      <c r="V69" s="7">
        <v>0</v>
      </c>
      <c r="W69" s="7">
        <v>0</v>
      </c>
      <c r="X69" s="7">
        <v>5.5199999999999997E-6</v>
      </c>
      <c r="Y69" s="7">
        <v>5.3000000000000001E-6</v>
      </c>
      <c r="Z69" s="7">
        <v>5.1900000000000003E-6</v>
      </c>
      <c r="AA69" s="7">
        <v>0</v>
      </c>
      <c r="AB69" s="7">
        <v>0</v>
      </c>
      <c r="AC69" s="7">
        <v>1.36E-5</v>
      </c>
    </row>
    <row r="70" spans="1:29" x14ac:dyDescent="0.85">
      <c r="A70" t="s">
        <v>168</v>
      </c>
      <c r="B70" s="7">
        <v>1</v>
      </c>
      <c r="C70" s="7">
        <v>0.79006206999999995</v>
      </c>
      <c r="D70" s="7">
        <v>0.71641672000000001</v>
      </c>
      <c r="E70" s="7">
        <v>0.66561366</v>
      </c>
      <c r="F70" s="7">
        <v>0.44301932999999999</v>
      </c>
      <c r="G70" s="7">
        <v>0</v>
      </c>
      <c r="H70" s="7">
        <v>0</v>
      </c>
      <c r="I70" s="7">
        <v>6.5976999999999995E-4</v>
      </c>
      <c r="J70" s="7">
        <v>6.3845999999999998E-4</v>
      </c>
      <c r="K70" s="7">
        <v>4.3510399999999996E-3</v>
      </c>
      <c r="L70" s="7">
        <v>8.8311199999999996E-3</v>
      </c>
      <c r="M70" s="7">
        <v>9.2331400000000008E-3</v>
      </c>
      <c r="N70" s="7">
        <v>1.035753E-2</v>
      </c>
      <c r="O70" s="7">
        <v>1.061074E-2</v>
      </c>
      <c r="P70" s="7">
        <v>1.0150330000000001E-2</v>
      </c>
      <c r="Q70" s="7">
        <v>4.038278E-2</v>
      </c>
      <c r="R70" s="7">
        <v>2.4027940000000001E-2</v>
      </c>
      <c r="S70" s="7">
        <v>3.4127499999999998E-2</v>
      </c>
      <c r="T70" s="7">
        <v>1.10677E-3</v>
      </c>
      <c r="U70" s="7">
        <v>0</v>
      </c>
      <c r="V70" s="7">
        <v>0</v>
      </c>
      <c r="W70" s="7">
        <v>5.5199999999999997E-6</v>
      </c>
      <c r="X70" s="7">
        <v>5.3000000000000001E-6</v>
      </c>
      <c r="Y70" s="7">
        <v>5.1900000000000003E-6</v>
      </c>
      <c r="Z70" s="7">
        <v>0</v>
      </c>
      <c r="AA70" s="7">
        <v>0</v>
      </c>
      <c r="AB70" s="7">
        <v>1.36E-5</v>
      </c>
      <c r="AC70" s="7">
        <v>1.277E-5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1.5082662899999999</v>
      </c>
      <c r="E71" s="7">
        <v>1.5683172400000001</v>
      </c>
      <c r="F71" s="7">
        <v>1.63601638</v>
      </c>
      <c r="G71" s="7">
        <v>1.71232462</v>
      </c>
      <c r="H71" s="7">
        <v>1.79074684</v>
      </c>
      <c r="I71" s="7">
        <v>1.8592699100000001</v>
      </c>
      <c r="J71" s="7">
        <v>1.90805219</v>
      </c>
      <c r="K71" s="7">
        <v>1.9601810799999999</v>
      </c>
      <c r="L71" s="7">
        <v>2.0153372300000001</v>
      </c>
      <c r="M71" s="7">
        <v>2.0737672599999999</v>
      </c>
      <c r="N71" s="7">
        <v>2.1362495799999999</v>
      </c>
      <c r="O71" s="7">
        <v>2.2023000599999998</v>
      </c>
      <c r="P71" s="7">
        <v>2.2726768599999998</v>
      </c>
      <c r="Q71" s="7">
        <v>2.3508249700000001</v>
      </c>
      <c r="R71" s="7">
        <v>2.4072241600000002</v>
      </c>
      <c r="S71" s="7">
        <v>2.4671286700000001</v>
      </c>
      <c r="T71" s="7">
        <v>2.5300747299999999</v>
      </c>
      <c r="U71" s="7">
        <v>2.5961547600000001</v>
      </c>
      <c r="V71" s="7">
        <v>2.6655269700000002</v>
      </c>
      <c r="W71" s="7">
        <v>2.7383586200000001</v>
      </c>
      <c r="X71" s="7">
        <v>2.8267986399999998</v>
      </c>
      <c r="Y71" s="7">
        <v>2.9264421399999998</v>
      </c>
      <c r="Z71" s="7">
        <v>3.03135274</v>
      </c>
      <c r="AA71" s="7">
        <v>3.1421942199999999</v>
      </c>
      <c r="AB71" s="7">
        <v>3.2510953100000002</v>
      </c>
      <c r="AC71" s="7">
        <v>3.3668845799999998</v>
      </c>
    </row>
    <row r="72" spans="1:29" x14ac:dyDescent="0.85">
      <c r="A72" t="s">
        <v>170</v>
      </c>
      <c r="B72" s="7">
        <v>0</v>
      </c>
      <c r="C72" s="7">
        <v>2.5475911899999999</v>
      </c>
      <c r="D72" s="7">
        <v>90.506816259999994</v>
      </c>
      <c r="E72" s="7">
        <v>344.92220709999998</v>
      </c>
      <c r="F72" s="7">
        <v>310.43224436000003</v>
      </c>
      <c r="G72" s="7">
        <v>279.38949630000002</v>
      </c>
      <c r="H72" s="7">
        <v>251.45182947999999</v>
      </c>
      <c r="I72" s="7">
        <v>226.30664654</v>
      </c>
      <c r="J72" s="7">
        <v>204.05635720000001</v>
      </c>
      <c r="K72" s="7">
        <v>183.65086951999999</v>
      </c>
      <c r="L72" s="7">
        <v>165.28916498000001</v>
      </c>
      <c r="M72" s="7">
        <v>148.76028955000001</v>
      </c>
      <c r="N72" s="7">
        <v>133.92499777</v>
      </c>
      <c r="O72" s="7">
        <v>120.54656036</v>
      </c>
      <c r="P72" s="7">
        <v>108.49190477</v>
      </c>
      <c r="Q72" s="7">
        <v>106.82886017</v>
      </c>
      <c r="R72" s="7">
        <v>96.146922720000006</v>
      </c>
      <c r="S72" s="7">
        <v>86.532236850000004</v>
      </c>
      <c r="T72" s="7">
        <v>78.687177820000002</v>
      </c>
      <c r="U72" s="7">
        <v>72.313028790000004</v>
      </c>
      <c r="V72" s="7">
        <v>66.350013009999998</v>
      </c>
      <c r="W72" s="7">
        <v>60.094753070000003</v>
      </c>
      <c r="X72" s="7">
        <v>54.085308550000001</v>
      </c>
      <c r="Y72" s="7">
        <v>48.775525690000002</v>
      </c>
      <c r="Z72" s="7">
        <v>43.897975080000002</v>
      </c>
      <c r="AA72" s="7">
        <v>116.6226188</v>
      </c>
      <c r="AB72" s="7">
        <v>111.92817245000001</v>
      </c>
      <c r="AC72" s="7">
        <v>106.21767364999999</v>
      </c>
    </row>
    <row r="73" spans="1:29" x14ac:dyDescent="0.85">
      <c r="A73" t="s">
        <v>171</v>
      </c>
      <c r="B73" s="7">
        <v>0</v>
      </c>
      <c r="C73" s="7">
        <v>0.63689331000000005</v>
      </c>
      <c r="D73" s="7">
        <v>22.053499550000002</v>
      </c>
      <c r="E73" s="7">
        <v>65.866517950000002</v>
      </c>
      <c r="F73" s="7">
        <v>77.60805526</v>
      </c>
      <c r="G73" s="7">
        <v>69.847372120000003</v>
      </c>
      <c r="H73" s="7">
        <v>62.862955450000001</v>
      </c>
      <c r="I73" s="7">
        <v>56.57666029</v>
      </c>
      <c r="J73" s="7">
        <v>51.014087859999997</v>
      </c>
      <c r="K73" s="7">
        <v>45.912438590000001</v>
      </c>
      <c r="L73" s="7">
        <v>41.322291139999997</v>
      </c>
      <c r="M73" s="7">
        <v>37.190071619999998</v>
      </c>
      <c r="N73" s="7">
        <v>33.481249339999998</v>
      </c>
      <c r="O73" s="7">
        <v>30.13664009</v>
      </c>
      <c r="P73" s="7">
        <v>27.117046949999999</v>
      </c>
      <c r="Q73" s="7">
        <v>25.740045479999999</v>
      </c>
      <c r="R73" s="7">
        <v>24.036730680000002</v>
      </c>
      <c r="S73" s="7">
        <v>21.631225409999999</v>
      </c>
      <c r="T73" s="7">
        <v>19.671793210000001</v>
      </c>
      <c r="U73" s="7">
        <v>18.055676760000001</v>
      </c>
      <c r="V73" s="7">
        <v>16.580077939999999</v>
      </c>
      <c r="W73" s="7">
        <v>39.189835070000001</v>
      </c>
      <c r="X73" s="7">
        <v>38.028850009999999</v>
      </c>
      <c r="Y73" s="7">
        <v>35.479372239999996</v>
      </c>
      <c r="Z73" s="7">
        <v>32.129891489999999</v>
      </c>
      <c r="AA73" s="7">
        <v>77.893523540000004</v>
      </c>
      <c r="AB73" s="7">
        <v>58.583779300000003</v>
      </c>
      <c r="AC73" s="7">
        <v>53.108621999999997</v>
      </c>
    </row>
    <row r="74" spans="1:29" x14ac:dyDescent="0.85">
      <c r="A74" t="s">
        <v>172</v>
      </c>
      <c r="B74" s="7">
        <v>0</v>
      </c>
      <c r="C74" s="7">
        <v>0.63689331000000005</v>
      </c>
      <c r="D74" s="7">
        <v>22.053499550000002</v>
      </c>
      <c r="E74" s="7">
        <v>65.866517950000002</v>
      </c>
      <c r="F74" s="7">
        <v>77.60805526</v>
      </c>
      <c r="G74" s="7">
        <v>69.847372120000003</v>
      </c>
      <c r="H74" s="7">
        <v>62.862955450000001</v>
      </c>
      <c r="I74" s="7">
        <v>56.57666029</v>
      </c>
      <c r="J74" s="7">
        <v>51.014087859999997</v>
      </c>
      <c r="K74" s="7">
        <v>45.912438590000001</v>
      </c>
      <c r="L74" s="7">
        <v>41.322291139999997</v>
      </c>
      <c r="M74" s="7">
        <v>37.190071619999998</v>
      </c>
      <c r="N74" s="7">
        <v>33.481249339999998</v>
      </c>
      <c r="O74" s="7">
        <v>30.13664009</v>
      </c>
      <c r="P74" s="7">
        <v>27.117046949999999</v>
      </c>
      <c r="Q74" s="7">
        <v>25.740045479999999</v>
      </c>
      <c r="R74" s="7">
        <v>24.036730680000002</v>
      </c>
      <c r="S74" s="7">
        <v>21.631225409999999</v>
      </c>
      <c r="T74" s="7">
        <v>19.671793210000001</v>
      </c>
      <c r="U74" s="7">
        <v>18.055676760000001</v>
      </c>
      <c r="V74" s="7">
        <v>16.580077939999999</v>
      </c>
      <c r="W74" s="7">
        <v>39.189835070000001</v>
      </c>
      <c r="X74" s="7">
        <v>38.028850009999999</v>
      </c>
      <c r="Y74" s="7">
        <v>35.479372239999996</v>
      </c>
      <c r="Z74" s="7">
        <v>32.129891489999999</v>
      </c>
      <c r="AA74" s="7">
        <v>77.893523540000004</v>
      </c>
      <c r="AB74" s="7">
        <v>58.583779300000003</v>
      </c>
      <c r="AC74" s="7">
        <v>53.108621999999997</v>
      </c>
    </row>
    <row r="75" spans="1:29" x14ac:dyDescent="0.85">
      <c r="A75" t="s">
        <v>173</v>
      </c>
      <c r="B75" s="7">
        <v>0</v>
      </c>
      <c r="C75" s="7">
        <v>0.67656355000000001</v>
      </c>
      <c r="D75" s="7">
        <v>24.03587881</v>
      </c>
      <c r="E75" s="7">
        <v>91.600677770000004</v>
      </c>
      <c r="F75" s="7">
        <v>82.441462009999995</v>
      </c>
      <c r="G75" s="7">
        <v>74.197442319999993</v>
      </c>
      <c r="H75" s="7">
        <v>66.778038769999995</v>
      </c>
      <c r="I75" s="7">
        <v>60.100234890000003</v>
      </c>
      <c r="J75" s="7">
        <v>54.191227640000001</v>
      </c>
      <c r="K75" s="7">
        <v>48.772144189999999</v>
      </c>
      <c r="L75" s="7">
        <v>43.895828039999998</v>
      </c>
      <c r="M75" s="7">
        <v>39.506256139999998</v>
      </c>
      <c r="N75" s="7">
        <v>35.566449089999999</v>
      </c>
      <c r="O75" s="7">
        <v>32.01353873</v>
      </c>
      <c r="P75" s="7">
        <v>28.812184890000001</v>
      </c>
      <c r="Q75" s="7">
        <v>28.370517060000001</v>
      </c>
      <c r="R75" s="7">
        <v>25.53372925</v>
      </c>
      <c r="S75" s="7">
        <v>22.980357999999999</v>
      </c>
      <c r="T75" s="7">
        <v>20.89694643</v>
      </c>
      <c r="U75" s="7">
        <v>19.204163959999999</v>
      </c>
      <c r="V75" s="7">
        <v>17.620566629999999</v>
      </c>
      <c r="W75" s="7">
        <v>15.959690699999999</v>
      </c>
      <c r="X75" s="7">
        <v>14.363767790000001</v>
      </c>
      <c r="Y75" s="7">
        <v>12.95363242</v>
      </c>
      <c r="Z75" s="7">
        <v>11.65827243</v>
      </c>
      <c r="AA75" s="7">
        <v>30.972129049999999</v>
      </c>
      <c r="AB75" s="7">
        <v>29.72517564</v>
      </c>
      <c r="AC75" s="7">
        <v>28.208583279999999</v>
      </c>
    </row>
    <row r="76" spans="1:29" x14ac:dyDescent="0.85">
      <c r="A76" t="s">
        <v>174</v>
      </c>
      <c r="B76" s="7">
        <v>0</v>
      </c>
      <c r="C76" s="7">
        <v>1.417E-5</v>
      </c>
      <c r="D76" s="7">
        <v>4.9069000000000001E-4</v>
      </c>
      <c r="E76" s="7">
        <v>1.46553E-3</v>
      </c>
      <c r="F76" s="7">
        <v>1.72678E-3</v>
      </c>
      <c r="G76" s="7">
        <v>1.5541000000000001E-3</v>
      </c>
      <c r="H76" s="7">
        <v>1.3986999999999999E-3</v>
      </c>
      <c r="I76" s="7">
        <v>1.2588300000000001E-3</v>
      </c>
      <c r="J76" s="7">
        <v>1.13506E-3</v>
      </c>
      <c r="K76" s="7">
        <v>1.02155E-3</v>
      </c>
      <c r="L76" s="7">
        <v>9.1942E-4</v>
      </c>
      <c r="M76" s="7">
        <v>8.2748000000000001E-4</v>
      </c>
      <c r="N76" s="7">
        <v>7.4496000000000002E-4</v>
      </c>
      <c r="O76" s="7">
        <v>6.7053999999999996E-4</v>
      </c>
      <c r="P76" s="7">
        <v>6.0335E-4</v>
      </c>
      <c r="Q76" s="7">
        <v>5.7271999999999998E-4</v>
      </c>
      <c r="R76" s="7">
        <v>5.3481999999999998E-4</v>
      </c>
      <c r="S76" s="7">
        <v>4.8128999999999999E-4</v>
      </c>
      <c r="T76" s="7">
        <v>4.3770000000000001E-4</v>
      </c>
      <c r="U76" s="7">
        <v>4.0173999999999999E-4</v>
      </c>
      <c r="V76" s="7">
        <v>3.6891000000000002E-4</v>
      </c>
      <c r="W76" s="7">
        <v>8.7197000000000002E-4</v>
      </c>
      <c r="X76" s="7">
        <v>8.4614E-4</v>
      </c>
      <c r="Y76" s="7">
        <v>7.8941999999999999E-4</v>
      </c>
      <c r="Z76" s="7">
        <v>7.1489000000000003E-4</v>
      </c>
      <c r="AA76" s="7">
        <v>1.73313E-3</v>
      </c>
      <c r="AB76" s="7">
        <v>1.30349E-3</v>
      </c>
      <c r="AC76" s="7">
        <v>1.1816699999999999E-3</v>
      </c>
    </row>
    <row r="77" spans="1:29" x14ac:dyDescent="0.85">
      <c r="A77" t="s">
        <v>175</v>
      </c>
      <c r="B77" s="7">
        <v>0</v>
      </c>
      <c r="C77" s="7">
        <v>7.0000000000000005E-8</v>
      </c>
      <c r="D77" s="7">
        <v>2.4499999999999998E-6</v>
      </c>
      <c r="E77" s="7">
        <v>7.3300000000000001E-6</v>
      </c>
      <c r="F77" s="7">
        <v>8.6300000000000004E-6</v>
      </c>
      <c r="G77" s="7">
        <v>7.7700000000000001E-6</v>
      </c>
      <c r="H77" s="7">
        <v>6.99E-6</v>
      </c>
      <c r="I77" s="7">
        <v>6.2899999999999999E-6</v>
      </c>
      <c r="J77" s="7">
        <v>5.6799999999999998E-6</v>
      </c>
      <c r="K77" s="7">
        <v>5.1100000000000002E-6</v>
      </c>
      <c r="L77" s="7">
        <v>4.6E-6</v>
      </c>
      <c r="M77" s="7">
        <v>4.1400000000000002E-6</v>
      </c>
      <c r="N77" s="7">
        <v>3.72E-6</v>
      </c>
      <c r="O77" s="7">
        <v>3.3500000000000001E-6</v>
      </c>
      <c r="P77" s="7">
        <v>3.0199999999999999E-6</v>
      </c>
      <c r="Q77" s="7">
        <v>2.8600000000000001E-6</v>
      </c>
      <c r="R77" s="7">
        <v>2.6699999999999998E-6</v>
      </c>
      <c r="S77" s="7">
        <v>2.4099999999999998E-6</v>
      </c>
      <c r="T77" s="7">
        <v>2.1900000000000002E-6</v>
      </c>
      <c r="U77" s="7">
        <v>2.0099999999999998E-6</v>
      </c>
      <c r="V77" s="7">
        <v>1.84E-6</v>
      </c>
      <c r="W77" s="7">
        <v>4.3599999999999998E-6</v>
      </c>
      <c r="X77" s="7">
        <v>4.2300000000000002E-6</v>
      </c>
      <c r="Y77" s="7">
        <v>3.9500000000000003E-6</v>
      </c>
      <c r="Z77" s="7">
        <v>3.5700000000000001E-6</v>
      </c>
      <c r="AA77" s="7">
        <v>8.67E-6</v>
      </c>
      <c r="AB77" s="7">
        <v>6.5200000000000003E-6</v>
      </c>
      <c r="AC77" s="7">
        <v>5.9100000000000002E-6</v>
      </c>
    </row>
    <row r="78" spans="1:29" x14ac:dyDescent="0.85">
      <c r="A78" t="s">
        <v>176</v>
      </c>
      <c r="B78" s="7">
        <v>0</v>
      </c>
      <c r="C78" s="7">
        <v>0.67655478000000002</v>
      </c>
      <c r="D78" s="7">
        <v>24.035575130000002</v>
      </c>
      <c r="E78" s="7">
        <v>91.599770789999994</v>
      </c>
      <c r="F78" s="7">
        <v>82.440393349999994</v>
      </c>
      <c r="G78" s="7">
        <v>74.196480519999994</v>
      </c>
      <c r="H78" s="7">
        <v>66.777173140000002</v>
      </c>
      <c r="I78" s="7">
        <v>60.099455829999997</v>
      </c>
      <c r="J78" s="7">
        <v>54.190525170000001</v>
      </c>
      <c r="K78" s="7">
        <v>48.771511969999999</v>
      </c>
      <c r="L78" s="7">
        <v>43.895259029999998</v>
      </c>
      <c r="M78" s="7">
        <v>39.505744030000002</v>
      </c>
      <c r="N78" s="7">
        <v>35.565988060000002</v>
      </c>
      <c r="O78" s="7">
        <v>32.013123739999997</v>
      </c>
      <c r="P78" s="7">
        <v>28.81181149</v>
      </c>
      <c r="Q78" s="7">
        <v>28.370162619999999</v>
      </c>
      <c r="R78" s="7">
        <v>25.533398259999998</v>
      </c>
      <c r="S78" s="7">
        <v>22.980060139999999</v>
      </c>
      <c r="T78" s="7">
        <v>20.896675550000001</v>
      </c>
      <c r="U78" s="7">
        <v>19.203915330000001</v>
      </c>
      <c r="V78" s="7">
        <v>17.620338319999998</v>
      </c>
      <c r="W78" s="7">
        <v>15.95915106</v>
      </c>
      <c r="X78" s="7">
        <v>14.36324413</v>
      </c>
      <c r="Y78" s="7">
        <v>12.95314387</v>
      </c>
      <c r="Z78" s="7">
        <v>11.657830000000001</v>
      </c>
      <c r="AA78" s="7">
        <v>30.97105646</v>
      </c>
      <c r="AB78" s="7">
        <v>29.724368940000002</v>
      </c>
      <c r="AC78" s="7">
        <v>28.20785197</v>
      </c>
    </row>
    <row r="79" spans="1:29" x14ac:dyDescent="0.85">
      <c r="A79" t="s">
        <v>177</v>
      </c>
      <c r="B79" s="7">
        <v>0</v>
      </c>
      <c r="C79" s="7">
        <v>8.7700000000000007E-6</v>
      </c>
      <c r="D79" s="7">
        <v>3.0368000000000002E-4</v>
      </c>
      <c r="E79" s="7">
        <v>9.0698000000000005E-4</v>
      </c>
      <c r="F79" s="7">
        <v>1.0686599999999999E-3</v>
      </c>
      <c r="G79" s="7">
        <v>9.6179999999999996E-4</v>
      </c>
      <c r="H79" s="7">
        <v>8.6562E-4</v>
      </c>
      <c r="I79" s="7">
        <v>7.7906000000000004E-4</v>
      </c>
      <c r="J79" s="7">
        <v>7.0246000000000002E-4</v>
      </c>
      <c r="K79" s="7">
        <v>6.3221000000000002E-4</v>
      </c>
      <c r="L79" s="7">
        <v>5.6901E-4</v>
      </c>
      <c r="M79" s="7">
        <v>5.1210999999999997E-4</v>
      </c>
      <c r="N79" s="7">
        <v>4.6104000000000002E-4</v>
      </c>
      <c r="O79" s="7">
        <v>4.1498000000000001E-4</v>
      </c>
      <c r="P79" s="7">
        <v>3.7340000000000002E-4</v>
      </c>
      <c r="Q79" s="7">
        <v>3.5443999999999997E-4</v>
      </c>
      <c r="R79" s="7">
        <v>3.3098999999999997E-4</v>
      </c>
      <c r="S79" s="7">
        <v>2.9786E-4</v>
      </c>
      <c r="T79" s="7">
        <v>2.7087999999999998E-4</v>
      </c>
      <c r="U79" s="7">
        <v>2.4863000000000001E-4</v>
      </c>
      <c r="V79" s="7">
        <v>2.2830999999999999E-4</v>
      </c>
      <c r="W79" s="7">
        <v>5.3963999999999998E-4</v>
      </c>
      <c r="X79" s="7">
        <v>5.2366000000000001E-4</v>
      </c>
      <c r="Y79" s="7">
        <v>4.8855000000000003E-4</v>
      </c>
      <c r="Z79" s="7">
        <v>4.4243E-4</v>
      </c>
      <c r="AA79" s="7">
        <v>1.07259E-3</v>
      </c>
      <c r="AB79" s="7">
        <v>8.0670000000000004E-4</v>
      </c>
      <c r="AC79" s="7">
        <v>7.3130999999999999E-4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1.00275292</v>
      </c>
      <c r="E80" s="7">
        <v>1.0877202500000001</v>
      </c>
      <c r="F80" s="7">
        <v>1.23899991</v>
      </c>
      <c r="G80" s="7">
        <v>1.00000186</v>
      </c>
      <c r="H80" s="7">
        <v>1.00000036</v>
      </c>
      <c r="I80" s="7">
        <v>1.0000008899999999</v>
      </c>
      <c r="J80" s="7">
        <v>1</v>
      </c>
      <c r="K80" s="7">
        <v>1.0002416000000001</v>
      </c>
      <c r="L80" s="7">
        <v>1.0000000899999999</v>
      </c>
      <c r="M80" s="7">
        <v>1.0000020199999999</v>
      </c>
      <c r="N80" s="7">
        <v>1.0000000200000001</v>
      </c>
      <c r="O80" s="7">
        <v>1.0000228099999999</v>
      </c>
      <c r="P80" s="7">
        <v>1.00000763</v>
      </c>
      <c r="Q80" s="7">
        <v>1</v>
      </c>
      <c r="R80" s="7">
        <v>1.0046593100000001</v>
      </c>
      <c r="S80" s="7">
        <v>1.00000047</v>
      </c>
      <c r="T80" s="7">
        <v>1</v>
      </c>
      <c r="U80" s="7">
        <v>1.00039005</v>
      </c>
      <c r="V80" s="7">
        <v>1.00070897</v>
      </c>
      <c r="W80" s="7">
        <v>1.0005911700000001</v>
      </c>
      <c r="X80" s="7">
        <v>1.00017388</v>
      </c>
      <c r="Y80" s="7">
        <v>1.0000000099999999</v>
      </c>
      <c r="Z80" s="7">
        <v>1.00004289</v>
      </c>
      <c r="AA80" s="7">
        <v>1</v>
      </c>
      <c r="AB80" s="7">
        <v>1.03165738</v>
      </c>
      <c r="AC80" s="7">
        <v>1.0027896300000001</v>
      </c>
    </row>
    <row r="81" spans="1:29" x14ac:dyDescent="0.85">
      <c r="A81" t="s">
        <v>179</v>
      </c>
      <c r="B81" s="7">
        <v>1</v>
      </c>
      <c r="C81" s="7">
        <v>1.00275292</v>
      </c>
      <c r="D81" s="7">
        <v>1.0877202500000001</v>
      </c>
      <c r="E81" s="7">
        <v>1.23899991</v>
      </c>
      <c r="F81" s="7">
        <v>1.00000186</v>
      </c>
      <c r="G81" s="7">
        <v>1.00000036</v>
      </c>
      <c r="H81" s="7">
        <v>1.0000008899999999</v>
      </c>
      <c r="I81" s="7">
        <v>1</v>
      </c>
      <c r="J81" s="7">
        <v>1.0002416000000001</v>
      </c>
      <c r="K81" s="7">
        <v>1.0000000899999999</v>
      </c>
      <c r="L81" s="7">
        <v>1.0000020199999999</v>
      </c>
      <c r="M81" s="7">
        <v>1.0000000200000001</v>
      </c>
      <c r="N81" s="7">
        <v>1.0000228099999999</v>
      </c>
      <c r="O81" s="7">
        <v>1.00000763</v>
      </c>
      <c r="P81" s="7">
        <v>1</v>
      </c>
      <c r="Q81" s="7">
        <v>1.0046593100000001</v>
      </c>
      <c r="R81" s="7">
        <v>1.00000047</v>
      </c>
      <c r="S81" s="7">
        <v>1</v>
      </c>
      <c r="T81" s="7">
        <v>1.00039005</v>
      </c>
      <c r="U81" s="7">
        <v>1.00070897</v>
      </c>
      <c r="V81" s="7">
        <v>1.0005911700000001</v>
      </c>
      <c r="W81" s="7">
        <v>1.00017388</v>
      </c>
      <c r="X81" s="7">
        <v>1.0000000099999999</v>
      </c>
      <c r="Y81" s="7">
        <v>1.00004289</v>
      </c>
      <c r="Z81" s="7">
        <v>1</v>
      </c>
      <c r="AA81" s="7">
        <v>1.03165738</v>
      </c>
      <c r="AB81" s="7">
        <v>1.0027896300000001</v>
      </c>
      <c r="AC81" s="7">
        <v>1.0021404199999999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2EF4B-FE42-40B8-A63E-7AF7BEFAF9B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55706.696787740002</v>
      </c>
      <c r="D5" s="7">
        <v>58061.543948309998</v>
      </c>
      <c r="E5" s="7">
        <v>60525.982190870003</v>
      </c>
      <c r="F5" s="7">
        <v>63105.50232241</v>
      </c>
      <c r="G5" s="7">
        <v>65804.872305779994</v>
      </c>
      <c r="H5" s="7">
        <v>68627.13511155</v>
      </c>
      <c r="I5" s="7">
        <v>71582.489849260004</v>
      </c>
      <c r="J5" s="7">
        <v>74674.682755960006</v>
      </c>
      <c r="K5" s="7">
        <v>76260.401519100007</v>
      </c>
      <c r="L5" s="7">
        <v>78165.964138440002</v>
      </c>
      <c r="M5" s="7">
        <v>80101.356066880006</v>
      </c>
      <c r="N5" s="7">
        <v>82085.030052579998</v>
      </c>
      <c r="O5" s="7">
        <v>84114.188441539998</v>
      </c>
      <c r="P5" s="7">
        <v>86191.009516830003</v>
      </c>
      <c r="Q5" s="7">
        <v>88316.016736909995</v>
      </c>
      <c r="R5" s="7">
        <v>90490.580155300006</v>
      </c>
      <c r="S5" s="7">
        <v>92715.069131159995</v>
      </c>
      <c r="T5" s="7">
        <v>94992.273937999998</v>
      </c>
      <c r="U5" s="7">
        <v>97326.203568249999</v>
      </c>
      <c r="V5" s="7">
        <v>99712.577341669996</v>
      </c>
      <c r="W5" s="7">
        <v>102152.4427207</v>
      </c>
      <c r="X5" s="7">
        <v>104649.47987424</v>
      </c>
      <c r="Y5" s="7">
        <v>107201.14702146999</v>
      </c>
      <c r="Z5" s="7">
        <v>109817.59579294</v>
      </c>
      <c r="AA5" s="7">
        <v>112408.55936242</v>
      </c>
      <c r="AB5" s="7">
        <v>115134.66471272</v>
      </c>
      <c r="AC5" s="7">
        <v>117920.57487130001</v>
      </c>
    </row>
    <row r="6" spans="1:29" x14ac:dyDescent="0.85">
      <c r="A6" t="s">
        <v>106</v>
      </c>
      <c r="B6" s="7">
        <v>228249709.75</v>
      </c>
      <c r="C6" s="7">
        <v>233109946.809517</v>
      </c>
      <c r="D6" s="7">
        <v>238067386.06779999</v>
      </c>
      <c r="E6" s="7">
        <v>243124001.76442799</v>
      </c>
      <c r="F6" s="7">
        <v>248281753.98499101</v>
      </c>
      <c r="G6" s="7">
        <v>253542635.2773</v>
      </c>
      <c r="H6" s="7">
        <v>258908750.42139</v>
      </c>
      <c r="I6" s="7">
        <v>264382184.12050101</v>
      </c>
      <c r="J6" s="7">
        <v>269965118.24898797</v>
      </c>
      <c r="K6" s="7">
        <v>275659676.68178898</v>
      </c>
      <c r="L6" s="7">
        <v>281468133.55531198</v>
      </c>
      <c r="M6" s="7">
        <v>287392755.602606</v>
      </c>
      <c r="N6" s="7">
        <v>293435870.68885899</v>
      </c>
      <c r="O6" s="7">
        <v>299599847.75490099</v>
      </c>
      <c r="P6" s="7">
        <v>305887104.39206898</v>
      </c>
      <c r="Q6" s="7">
        <v>312300106.11259598</v>
      </c>
      <c r="R6" s="7">
        <v>318841367.94843602</v>
      </c>
      <c r="S6" s="7">
        <v>325513454.97233999</v>
      </c>
      <c r="T6" s="7">
        <v>332318983.673334</v>
      </c>
      <c r="U6" s="7">
        <v>339260623.087722</v>
      </c>
      <c r="V6" s="7">
        <v>346341095.12798101</v>
      </c>
      <c r="W6" s="7">
        <v>353563176.47344601</v>
      </c>
      <c r="X6" s="7">
        <v>360929699.988702</v>
      </c>
      <c r="Y6" s="7">
        <v>368443553.60968798</v>
      </c>
      <c r="Z6" s="7">
        <v>376107684.41859603</v>
      </c>
      <c r="AA6" s="7">
        <v>383925442.28105903</v>
      </c>
      <c r="AB6" s="7">
        <v>391900455.96307099</v>
      </c>
      <c r="AC6" s="7">
        <v>400036251.616202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22213.7749869</v>
      </c>
      <c r="D8" s="7">
        <v>22421.173263950001</v>
      </c>
      <c r="E8" s="7">
        <v>22645.194781220001</v>
      </c>
      <c r="F8" s="7">
        <v>22883.310363240002</v>
      </c>
      <c r="G8" s="7">
        <v>23165.127328459999</v>
      </c>
      <c r="H8" s="7">
        <v>23472.766331160001</v>
      </c>
      <c r="I8" s="7">
        <v>23812.418409850001</v>
      </c>
      <c r="J8" s="7">
        <v>24150.98286937</v>
      </c>
      <c r="K8" s="7">
        <v>24215.966285160001</v>
      </c>
      <c r="L8" s="7">
        <v>24344.98202752</v>
      </c>
      <c r="M8" s="7">
        <v>24487.3792068</v>
      </c>
      <c r="N8" s="7">
        <v>24645.73333666</v>
      </c>
      <c r="O8" s="7">
        <v>24819.62192976</v>
      </c>
      <c r="P8" s="7">
        <v>25009.197249249999</v>
      </c>
      <c r="Q8" s="7">
        <v>25214.38696625</v>
      </c>
      <c r="R8" s="7">
        <v>25435.157038199999</v>
      </c>
      <c r="S8" s="7">
        <v>25671.43634765</v>
      </c>
      <c r="T8" s="7">
        <v>25923.639802599999</v>
      </c>
      <c r="U8" s="7">
        <v>26192.181916130001</v>
      </c>
      <c r="V8" s="7">
        <v>26476.281521190002</v>
      </c>
      <c r="W8" s="7">
        <v>26776.127150749999</v>
      </c>
      <c r="X8" s="7">
        <v>27091.669769609998</v>
      </c>
      <c r="Y8" s="7">
        <v>27422.600623279999</v>
      </c>
      <c r="Z8" s="7">
        <v>27770.741501379998</v>
      </c>
      <c r="AA8" s="7">
        <v>28118.825625599999</v>
      </c>
      <c r="AB8" s="7">
        <v>28497.193607239999</v>
      </c>
      <c r="AC8" s="7">
        <v>28891.46021863</v>
      </c>
    </row>
    <row r="9" spans="1:29" x14ac:dyDescent="0.85">
      <c r="A9" t="s">
        <v>109</v>
      </c>
      <c r="B9" s="7">
        <v>4656.30500407</v>
      </c>
      <c r="C9" s="7">
        <v>4762.9089043399999</v>
      </c>
      <c r="D9" s="7">
        <v>4869.3297117399998</v>
      </c>
      <c r="E9" s="7">
        <v>4976.0375733299998</v>
      </c>
      <c r="F9" s="7">
        <v>5083.3514956400004</v>
      </c>
      <c r="G9" s="7">
        <v>5191.0667735699999</v>
      </c>
      <c r="H9" s="7">
        <v>5299.5454305100002</v>
      </c>
      <c r="I9" s="7">
        <v>5409.2055576100001</v>
      </c>
      <c r="J9" s="7">
        <v>5518.1074368999998</v>
      </c>
      <c r="K9" s="7">
        <v>5623.1336260500002</v>
      </c>
      <c r="L9" s="7">
        <v>5730.08498186</v>
      </c>
      <c r="M9" s="7">
        <v>5838.7961863700002</v>
      </c>
      <c r="N9" s="7">
        <v>5949.3200984100004</v>
      </c>
      <c r="O9" s="7">
        <v>6061.6991698499996</v>
      </c>
      <c r="P9" s="7">
        <v>6175.9769844000002</v>
      </c>
      <c r="Q9" s="7">
        <v>6292.1975746099997</v>
      </c>
      <c r="R9" s="7">
        <v>6410.4058928699997</v>
      </c>
      <c r="S9" s="7">
        <v>6530.6473021000002</v>
      </c>
      <c r="T9" s="7">
        <v>6652.9682653299997</v>
      </c>
      <c r="U9" s="7">
        <v>6777.4146475699999</v>
      </c>
      <c r="V9" s="7">
        <v>6904.0307899999998</v>
      </c>
      <c r="W9" s="7">
        <v>7032.8658105100003</v>
      </c>
      <c r="X9" s="7">
        <v>7163.9695734300003</v>
      </c>
      <c r="Y9" s="7">
        <v>7297.3908022599999</v>
      </c>
      <c r="Z9" s="7">
        <v>7433.18174731</v>
      </c>
      <c r="AA9" s="7">
        <v>7571.3974884099998</v>
      </c>
      <c r="AB9" s="7">
        <v>7712.1659809599996</v>
      </c>
      <c r="AC9" s="7">
        <v>7855.4943467499997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19812.058941340001</v>
      </c>
      <c r="D11" s="7">
        <v>19864.544125410001</v>
      </c>
      <c r="E11" s="7">
        <v>19949.008162099999</v>
      </c>
      <c r="F11" s="7">
        <v>20046.007633919999</v>
      </c>
      <c r="G11" s="7">
        <v>20167.135399710001</v>
      </c>
      <c r="H11" s="7">
        <v>20290.528520849999</v>
      </c>
      <c r="I11" s="7">
        <v>20390.946719169999</v>
      </c>
      <c r="J11" s="7">
        <v>20581.761380529999</v>
      </c>
      <c r="K11" s="7">
        <v>21045.60064348</v>
      </c>
      <c r="L11" s="7">
        <v>21516.192663049998</v>
      </c>
      <c r="M11" s="7">
        <v>21992.906619730002</v>
      </c>
      <c r="N11" s="7">
        <v>22475.9778324</v>
      </c>
      <c r="O11" s="7">
        <v>22965.60576713</v>
      </c>
      <c r="P11" s="7">
        <v>23461.987485940001</v>
      </c>
      <c r="Q11" s="7">
        <v>23965.323443270001</v>
      </c>
      <c r="R11" s="7">
        <v>24475.81720361</v>
      </c>
      <c r="S11" s="7">
        <v>24993.673538520001</v>
      </c>
      <c r="T11" s="7">
        <v>25519.101011890001</v>
      </c>
      <c r="U11" s="7">
        <v>26052.305358670001</v>
      </c>
      <c r="V11" s="7">
        <v>26593.485790909999</v>
      </c>
      <c r="W11" s="7">
        <v>27142.860052330001</v>
      </c>
      <c r="X11" s="7">
        <v>27700.648444580002</v>
      </c>
      <c r="Y11" s="7">
        <v>28267.066267329999</v>
      </c>
      <c r="Z11" s="7">
        <v>28842.342470560001</v>
      </c>
      <c r="AA11" s="7">
        <v>29426.71644063</v>
      </c>
      <c r="AB11" s="7">
        <v>30020.719383470001</v>
      </c>
      <c r="AC11" s="7">
        <v>30624.399261859999</v>
      </c>
    </row>
    <row r="12" spans="1:29" x14ac:dyDescent="0.85">
      <c r="A12" t="s">
        <v>111</v>
      </c>
      <c r="B12" s="7">
        <v>26707.16398773</v>
      </c>
      <c r="C12" s="7">
        <v>26976.683891230001</v>
      </c>
      <c r="D12" s="7">
        <v>27290.50297569</v>
      </c>
      <c r="E12" s="7">
        <v>27621.23235455</v>
      </c>
      <c r="F12" s="7">
        <v>27966.661858880001</v>
      </c>
      <c r="G12" s="7">
        <v>28356.19410203</v>
      </c>
      <c r="H12" s="7">
        <v>28772.31176167</v>
      </c>
      <c r="I12" s="7">
        <v>29221.62396746</v>
      </c>
      <c r="J12" s="7">
        <v>29669.090306270002</v>
      </c>
      <c r="K12" s="7">
        <v>29839.09991121</v>
      </c>
      <c r="L12" s="7">
        <v>30075.067009369999</v>
      </c>
      <c r="M12" s="7">
        <v>30326.17539317</v>
      </c>
      <c r="N12" s="7">
        <v>30595.05343507</v>
      </c>
      <c r="O12" s="7">
        <v>30881.321099609999</v>
      </c>
      <c r="P12" s="7">
        <v>31185.17423366</v>
      </c>
      <c r="Q12" s="7">
        <v>31506.58454086</v>
      </c>
      <c r="R12" s="7">
        <v>31845.562931069999</v>
      </c>
      <c r="S12" s="7">
        <v>32202.083649749999</v>
      </c>
      <c r="T12" s="7">
        <v>32576.60806794</v>
      </c>
      <c r="U12" s="7">
        <v>32969.596563699997</v>
      </c>
      <c r="V12" s="7">
        <v>33380.312311189999</v>
      </c>
      <c r="W12" s="7">
        <v>33808.992961260003</v>
      </c>
      <c r="X12" s="7">
        <v>34255.639343039998</v>
      </c>
      <c r="Y12" s="7">
        <v>34719.99142554</v>
      </c>
      <c r="Z12" s="7">
        <v>35203.92324869</v>
      </c>
      <c r="AA12" s="7">
        <v>35690.223114009998</v>
      </c>
      <c r="AB12" s="7">
        <v>36209.359588200001</v>
      </c>
      <c r="AC12" s="7">
        <v>36746.954565389999</v>
      </c>
    </row>
    <row r="13" spans="1:29" x14ac:dyDescent="0.85">
      <c r="A13" t="s">
        <v>112</v>
      </c>
      <c r="B13" s="7">
        <v>26707.16398773</v>
      </c>
      <c r="C13" s="7">
        <v>46788.742832570002</v>
      </c>
      <c r="D13" s="7">
        <v>47155.047101099997</v>
      </c>
      <c r="E13" s="7">
        <v>47570.240516650003</v>
      </c>
      <c r="F13" s="7">
        <v>48012.6694928</v>
      </c>
      <c r="G13" s="7">
        <v>48523.329501740001</v>
      </c>
      <c r="H13" s="7">
        <v>49062.840282520003</v>
      </c>
      <c r="I13" s="7">
        <v>49612.570686630002</v>
      </c>
      <c r="J13" s="7">
        <v>50250.851686800001</v>
      </c>
      <c r="K13" s="7">
        <v>50884.700554690004</v>
      </c>
      <c r="L13" s="7">
        <v>51591.259672419998</v>
      </c>
      <c r="M13" s="7">
        <v>52319.082012899999</v>
      </c>
      <c r="N13" s="7">
        <v>53071.031267470004</v>
      </c>
      <c r="O13" s="7">
        <v>53846.926866740003</v>
      </c>
      <c r="P13" s="7">
        <v>54647.161719600001</v>
      </c>
      <c r="Q13" s="7">
        <v>55471.907984129997</v>
      </c>
      <c r="R13" s="7">
        <v>56321.38013469</v>
      </c>
      <c r="S13" s="7">
        <v>57195.757188269999</v>
      </c>
      <c r="T13" s="7">
        <v>58095.709079829998</v>
      </c>
      <c r="U13" s="7">
        <v>59021.901922359997</v>
      </c>
      <c r="V13" s="7">
        <v>59973.798102109999</v>
      </c>
      <c r="W13" s="7">
        <v>60951.853013580003</v>
      </c>
      <c r="X13" s="7">
        <v>61956.28778762</v>
      </c>
      <c r="Y13" s="7">
        <v>62987.057692859998</v>
      </c>
      <c r="Z13" s="7">
        <v>64046.265719260002</v>
      </c>
      <c r="AA13" s="7">
        <v>65116.93955463</v>
      </c>
      <c r="AB13" s="7">
        <v>66230.078971659997</v>
      </c>
      <c r="AC13" s="7">
        <v>67371.353827240004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4658.73890123</v>
      </c>
      <c r="D17" s="7">
        <v>5547.98117456</v>
      </c>
      <c r="E17" s="7">
        <v>6465.12124245</v>
      </c>
      <c r="F17" s="7">
        <v>7411.6454008700002</v>
      </c>
      <c r="G17" s="7">
        <v>8389.1162677800003</v>
      </c>
      <c r="H17" s="7">
        <v>9399.1528730999999</v>
      </c>
      <c r="I17" s="7">
        <v>10443.404911379999</v>
      </c>
      <c r="J17" s="7">
        <v>11523.673730459999</v>
      </c>
      <c r="K17" s="7">
        <v>12641.79964639</v>
      </c>
      <c r="L17" s="7">
        <v>13771.441044249999</v>
      </c>
      <c r="M17" s="7">
        <v>14917.91696029</v>
      </c>
      <c r="N17" s="7">
        <v>16081.50272187</v>
      </c>
      <c r="O17" s="7">
        <v>17262.78607016</v>
      </c>
      <c r="P17" s="7">
        <v>18462.298544199999</v>
      </c>
      <c r="Q17" s="7">
        <v>19680.601370939999</v>
      </c>
      <c r="R17" s="7">
        <v>20918.257475949998</v>
      </c>
      <c r="S17" s="7">
        <v>22175.844852040002</v>
      </c>
      <c r="T17" s="7">
        <v>23453.939842930002</v>
      </c>
      <c r="U17" s="7">
        <v>24753.158148170001</v>
      </c>
      <c r="V17" s="7">
        <v>26074.176777730001</v>
      </c>
      <c r="W17" s="7">
        <v>27417.588600039999</v>
      </c>
      <c r="X17" s="7">
        <v>28783.996778510002</v>
      </c>
      <c r="Y17" s="7">
        <v>30174.0587481</v>
      </c>
      <c r="Z17" s="7">
        <v>31588.379323879999</v>
      </c>
      <c r="AA17" s="7">
        <v>33027.729248919997</v>
      </c>
      <c r="AB17" s="7">
        <v>34491.321197160003</v>
      </c>
      <c r="AC17" s="7">
        <v>35981.131265759999</v>
      </c>
    </row>
    <row r="18" spans="1:29" x14ac:dyDescent="0.85">
      <c r="A18" t="s">
        <v>116</v>
      </c>
      <c r="B18" s="7">
        <v>6709525</v>
      </c>
      <c r="C18" s="7">
        <v>8234437.5991269397</v>
      </c>
      <c r="D18" s="7">
        <v>9806195.5717142895</v>
      </c>
      <c r="E18" s="7">
        <v>11427263.594371101</v>
      </c>
      <c r="F18" s="7">
        <v>13100268.732429801</v>
      </c>
      <c r="G18" s="7">
        <v>14827972.9522113</v>
      </c>
      <c r="H18" s="7">
        <v>16613237.9296264</v>
      </c>
      <c r="I18" s="7">
        <v>18458979.541099701</v>
      </c>
      <c r="J18" s="7">
        <v>20368381.714005101</v>
      </c>
      <c r="K18" s="7">
        <v>22344697.253019299</v>
      </c>
      <c r="L18" s="7">
        <v>24341366.694529701</v>
      </c>
      <c r="M18" s="7">
        <v>26367791.568234101</v>
      </c>
      <c r="N18" s="7">
        <v>28424458.522117801</v>
      </c>
      <c r="O18" s="7">
        <v>30512406.4034293</v>
      </c>
      <c r="P18" s="7">
        <v>32632574.720691599</v>
      </c>
      <c r="Q18" s="7">
        <v>34785955.456623897</v>
      </c>
      <c r="R18" s="7">
        <v>36973543.5962466</v>
      </c>
      <c r="S18" s="7">
        <v>39196360.756297402</v>
      </c>
      <c r="T18" s="7">
        <v>41455425.638735898</v>
      </c>
      <c r="U18" s="7">
        <v>43751826.507927097</v>
      </c>
      <c r="V18" s="7">
        <v>46086759.995935597</v>
      </c>
      <c r="W18" s="7">
        <v>48461274.012557797</v>
      </c>
      <c r="X18" s="7">
        <v>50876434.664204702</v>
      </c>
      <c r="Y18" s="7">
        <v>53333403.983632803</v>
      </c>
      <c r="Z18" s="7">
        <v>55833250.996592499</v>
      </c>
      <c r="AA18" s="7">
        <v>58376970.9389228</v>
      </c>
      <c r="AB18" s="7">
        <v>60962656.536060303</v>
      </c>
      <c r="AC18" s="7">
        <v>63593376.3533535</v>
      </c>
    </row>
    <row r="19" spans="1:29" x14ac:dyDescent="0.85">
      <c r="A19" t="s">
        <v>117</v>
      </c>
      <c r="B19" s="7">
        <v>6709525</v>
      </c>
      <c r="C19" s="7">
        <v>8234437.5991269397</v>
      </c>
      <c r="D19" s="7">
        <v>9806195.5717142895</v>
      </c>
      <c r="E19" s="7">
        <v>11427263.594371101</v>
      </c>
      <c r="F19" s="7">
        <v>13100268.732429801</v>
      </c>
      <c r="G19" s="7">
        <v>14827972.9522113</v>
      </c>
      <c r="H19" s="7">
        <v>16613237.9296264</v>
      </c>
      <c r="I19" s="7">
        <v>18458979.541099701</v>
      </c>
      <c r="J19" s="7">
        <v>20368381.714005101</v>
      </c>
      <c r="K19" s="7">
        <v>22344697.253019299</v>
      </c>
      <c r="L19" s="7">
        <v>24341366.694529701</v>
      </c>
      <c r="M19" s="7">
        <v>26367791.568234101</v>
      </c>
      <c r="N19" s="7">
        <v>28424458.522117801</v>
      </c>
      <c r="O19" s="7">
        <v>30512406.4034293</v>
      </c>
      <c r="P19" s="7">
        <v>32632574.720691599</v>
      </c>
      <c r="Q19" s="7">
        <v>34785955.456623897</v>
      </c>
      <c r="R19" s="7">
        <v>36973543.5962466</v>
      </c>
      <c r="S19" s="7">
        <v>39196360.756297402</v>
      </c>
      <c r="T19" s="7">
        <v>41455425.638735898</v>
      </c>
      <c r="U19" s="7">
        <v>43751826.507927097</v>
      </c>
      <c r="V19" s="7">
        <v>46086759.995935597</v>
      </c>
      <c r="W19" s="7">
        <v>48461274.012557797</v>
      </c>
      <c r="X19" s="7">
        <v>50876434.664204702</v>
      </c>
      <c r="Y19" s="7">
        <v>53333403.983632803</v>
      </c>
      <c r="Z19" s="7">
        <v>55833250.996592499</v>
      </c>
      <c r="AA19" s="7">
        <v>58377338.010772698</v>
      </c>
      <c r="AB19" s="7">
        <v>60964273.407637998</v>
      </c>
      <c r="AC19" s="7">
        <v>63597549.988385603</v>
      </c>
    </row>
    <row r="20" spans="1:29" x14ac:dyDescent="0.85">
      <c r="A20" t="s">
        <v>118</v>
      </c>
      <c r="B20" s="7">
        <v>774.98320850000005</v>
      </c>
      <c r="C20" s="7">
        <v>951.11812994000002</v>
      </c>
      <c r="D20" s="7">
        <v>1132.6639229100001</v>
      </c>
      <c r="E20" s="7">
        <v>1319.9052697100001</v>
      </c>
      <c r="F20" s="7">
        <v>1513.1456093300001</v>
      </c>
      <c r="G20" s="7">
        <v>1712.7039625100001</v>
      </c>
      <c r="H20" s="7">
        <v>1918.9108669</v>
      </c>
      <c r="I20" s="7">
        <v>2132.10312062</v>
      </c>
      <c r="J20" s="7">
        <v>2352.6484829599999</v>
      </c>
      <c r="K20" s="7">
        <v>2580.9226689000002</v>
      </c>
      <c r="L20" s="7">
        <v>2811.5478309099999</v>
      </c>
      <c r="M20" s="7">
        <v>3045.6098919900001</v>
      </c>
      <c r="N20" s="7">
        <v>3283.1650623999999</v>
      </c>
      <c r="O20" s="7">
        <v>3524.3333341100001</v>
      </c>
      <c r="P20" s="7">
        <v>3769.2232249899998</v>
      </c>
      <c r="Q20" s="7">
        <v>4017.9493139199999</v>
      </c>
      <c r="R20" s="7">
        <v>4270.6265265900001</v>
      </c>
      <c r="S20" s="7">
        <v>4527.3728647500002</v>
      </c>
      <c r="T20" s="7">
        <v>4788.3059935199999</v>
      </c>
      <c r="U20" s="7">
        <v>5053.55161279</v>
      </c>
      <c r="V20" s="7">
        <v>5323.2479394499996</v>
      </c>
      <c r="W20" s="7">
        <v>5597.5160122699999</v>
      </c>
      <c r="X20" s="7">
        <v>5876.4789717699996</v>
      </c>
      <c r="Y20" s="7">
        <v>6160.2710384700003</v>
      </c>
      <c r="Z20" s="7">
        <v>6449.0156901199998</v>
      </c>
      <c r="AA20" s="7">
        <v>6742.8702799700004</v>
      </c>
      <c r="AB20" s="7">
        <v>7041.6740692200001</v>
      </c>
      <c r="AC20" s="7">
        <v>7345.8304936100003</v>
      </c>
    </row>
    <row r="21" spans="1:29" x14ac:dyDescent="0.85">
      <c r="A21" t="s">
        <v>119</v>
      </c>
      <c r="B21" s="7">
        <v>0</v>
      </c>
      <c r="C21" s="7">
        <v>8.2344375999999997</v>
      </c>
      <c r="D21" s="7">
        <v>9.8061955699999999</v>
      </c>
      <c r="E21" s="7">
        <v>11.427263590000001</v>
      </c>
      <c r="F21" s="7">
        <v>13.10026873</v>
      </c>
      <c r="G21" s="7">
        <v>14.827972949999999</v>
      </c>
      <c r="H21" s="7">
        <v>16.61323793</v>
      </c>
      <c r="I21" s="7">
        <v>18.458979540000001</v>
      </c>
      <c r="J21" s="7">
        <v>20.368381710000001</v>
      </c>
      <c r="K21" s="7">
        <v>22.344697249999999</v>
      </c>
      <c r="L21" s="7">
        <v>24.341366690000001</v>
      </c>
      <c r="M21" s="7">
        <v>26.367791570000001</v>
      </c>
      <c r="N21" s="7">
        <v>28.424458520000002</v>
      </c>
      <c r="O21" s="7">
        <v>30.5124064</v>
      </c>
      <c r="P21" s="7">
        <v>32.632574720000001</v>
      </c>
      <c r="Q21" s="7">
        <v>34.785955459999997</v>
      </c>
      <c r="R21" s="7">
        <v>36.973543599999999</v>
      </c>
      <c r="S21" s="7">
        <v>39.196360759999997</v>
      </c>
      <c r="T21" s="7">
        <v>41.455425640000001</v>
      </c>
      <c r="U21" s="7">
        <v>43.751826510000001</v>
      </c>
      <c r="V21" s="7">
        <v>46.086759999999998</v>
      </c>
      <c r="W21" s="7">
        <v>48.461274009999997</v>
      </c>
      <c r="X21" s="7">
        <v>50.876434660000001</v>
      </c>
      <c r="Y21" s="7">
        <v>53.33340398</v>
      </c>
      <c r="Z21" s="7">
        <v>55.833250999999997</v>
      </c>
      <c r="AA21" s="7">
        <v>58.377338010000003</v>
      </c>
      <c r="AB21" s="7">
        <v>60.964273409999997</v>
      </c>
      <c r="AC21" s="7">
        <v>63.597549989999997</v>
      </c>
    </row>
    <row r="22" spans="1:29" x14ac:dyDescent="0.85">
      <c r="A22" t="s">
        <v>120</v>
      </c>
      <c r="B22" s="7">
        <v>3.354762E-2</v>
      </c>
      <c r="C22" s="7">
        <v>4.1172189999999997E-2</v>
      </c>
      <c r="D22" s="7">
        <v>4.9030980000000002E-2</v>
      </c>
      <c r="E22" s="7">
        <v>5.7136319999999997E-2</v>
      </c>
      <c r="F22" s="7">
        <v>6.5501340000000005E-2</v>
      </c>
      <c r="G22" s="7">
        <v>7.4139860000000002E-2</v>
      </c>
      <c r="H22" s="7">
        <v>8.3066189999999998E-2</v>
      </c>
      <c r="I22" s="7">
        <v>9.2294899999999999E-2</v>
      </c>
      <c r="J22" s="7">
        <v>0.10184190999999999</v>
      </c>
      <c r="K22" s="7">
        <v>0.11172348999999999</v>
      </c>
      <c r="L22" s="7">
        <v>0.12170683</v>
      </c>
      <c r="M22" s="7">
        <v>0.13183896000000001</v>
      </c>
      <c r="N22" s="7">
        <v>0.14212229000000001</v>
      </c>
      <c r="O22" s="7">
        <v>0.15256202999999999</v>
      </c>
      <c r="P22" s="7">
        <v>0.16316286999999999</v>
      </c>
      <c r="Q22" s="7">
        <v>0.17392978000000001</v>
      </c>
      <c r="R22" s="7">
        <v>0.18486772000000001</v>
      </c>
      <c r="S22" s="7">
        <v>0.19598180000000001</v>
      </c>
      <c r="T22" s="7">
        <v>0.20727713</v>
      </c>
      <c r="U22" s="7">
        <v>0.21875913</v>
      </c>
      <c r="V22" s="7">
        <v>0.23043379999999999</v>
      </c>
      <c r="W22" s="7">
        <v>0.24230636999999999</v>
      </c>
      <c r="X22" s="7">
        <v>0.25438217000000002</v>
      </c>
      <c r="Y22" s="7">
        <v>0.26666701999999998</v>
      </c>
      <c r="Z22" s="7">
        <v>0.27916625</v>
      </c>
      <c r="AA22" s="7">
        <v>0.29188669</v>
      </c>
      <c r="AB22" s="7">
        <v>0.30482136999999998</v>
      </c>
      <c r="AC22" s="7">
        <v>0.31798775000000001</v>
      </c>
    </row>
    <row r="23" spans="1:29" x14ac:dyDescent="0.85">
      <c r="A23" t="s">
        <v>121</v>
      </c>
      <c r="B23" s="7">
        <v>774.98320850000005</v>
      </c>
      <c r="C23" s="7">
        <v>951.11812994000002</v>
      </c>
      <c r="D23" s="7">
        <v>1132.6639229100001</v>
      </c>
      <c r="E23" s="7">
        <v>1319.9052697100001</v>
      </c>
      <c r="F23" s="7">
        <v>1513.1456093300001</v>
      </c>
      <c r="G23" s="7">
        <v>1712.7039625100001</v>
      </c>
      <c r="H23" s="7">
        <v>1918.9108669</v>
      </c>
      <c r="I23" s="7">
        <v>2132.10312062</v>
      </c>
      <c r="J23" s="7">
        <v>2352.6484829599999</v>
      </c>
      <c r="K23" s="7">
        <v>2580.9226689000002</v>
      </c>
      <c r="L23" s="7">
        <v>2811.5478309099999</v>
      </c>
      <c r="M23" s="7">
        <v>3045.6098919900001</v>
      </c>
      <c r="N23" s="7">
        <v>3283.1650623999999</v>
      </c>
      <c r="O23" s="7">
        <v>3524.3333341100001</v>
      </c>
      <c r="P23" s="7">
        <v>3769.2232249899998</v>
      </c>
      <c r="Q23" s="7">
        <v>4017.9493139199999</v>
      </c>
      <c r="R23" s="7">
        <v>4270.6265265900001</v>
      </c>
      <c r="S23" s="7">
        <v>4527.3728647500002</v>
      </c>
      <c r="T23" s="7">
        <v>4788.3059935199999</v>
      </c>
      <c r="U23" s="7">
        <v>5053.55161279</v>
      </c>
      <c r="V23" s="7">
        <v>5323.2479394499996</v>
      </c>
      <c r="W23" s="7">
        <v>5597.5160122699999</v>
      </c>
      <c r="X23" s="7">
        <v>5876.4789717699996</v>
      </c>
      <c r="Y23" s="7">
        <v>6160.2710384700003</v>
      </c>
      <c r="Z23" s="7">
        <v>6449.0156901199998</v>
      </c>
      <c r="AA23" s="7">
        <v>6742.8702799700004</v>
      </c>
      <c r="AB23" s="7">
        <v>7041.6740692200001</v>
      </c>
      <c r="AC23" s="7">
        <v>7345.8304936100003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1.23193087</v>
      </c>
      <c r="E25" s="7">
        <v>1.20548375</v>
      </c>
      <c r="F25" s="7">
        <v>1.1859260899999999</v>
      </c>
      <c r="G25" s="7">
        <v>1.1709035699999999</v>
      </c>
      <c r="H25" s="7">
        <v>1.15902288</v>
      </c>
      <c r="I25" s="7">
        <v>1.1494044699999999</v>
      </c>
      <c r="J25" s="7">
        <v>1.1414799499999999</v>
      </c>
      <c r="K25" s="7">
        <v>1.13484717</v>
      </c>
      <c r="L25" s="7">
        <v>1.1269117</v>
      </c>
      <c r="M25" s="7">
        <v>1.1205937100000001</v>
      </c>
      <c r="N25" s="7">
        <v>1.1151616</v>
      </c>
      <c r="O25" s="7">
        <v>1.11046176</v>
      </c>
      <c r="P25" s="7">
        <v>1.10635426</v>
      </c>
      <c r="Q25" s="7">
        <v>1.1027369300000001</v>
      </c>
      <c r="R25" s="7">
        <v>1.0995283899999999</v>
      </c>
      <c r="S25" s="7">
        <v>1.09666496</v>
      </c>
      <c r="T25" s="7">
        <v>1.09409471</v>
      </c>
      <c r="U25" s="7">
        <v>1.0917773900000001</v>
      </c>
      <c r="V25" s="7">
        <v>1.0896806999999999</v>
      </c>
      <c r="W25" s="7">
        <v>1.0877721</v>
      </c>
      <c r="X25" s="7">
        <v>1.0860281899999999</v>
      </c>
      <c r="Y25" s="7">
        <v>1.08443091</v>
      </c>
      <c r="Z25" s="7">
        <v>1.08296112</v>
      </c>
      <c r="AA25" s="7">
        <v>1.0816098000000001</v>
      </c>
      <c r="AB25" s="7">
        <v>1.0803148600000001</v>
      </c>
      <c r="AC25" s="7">
        <v>1.07915597</v>
      </c>
    </row>
    <row r="26" spans="1:29" x14ac:dyDescent="0.85">
      <c r="A26" t="s">
        <v>124</v>
      </c>
      <c r="B26" s="7">
        <v>1</v>
      </c>
      <c r="C26" s="7">
        <v>1.2695956500000001</v>
      </c>
      <c r="D26" s="7">
        <v>1.2319408700000001</v>
      </c>
      <c r="E26" s="7">
        <v>1.20549372</v>
      </c>
      <c r="F26" s="7">
        <v>1.1859359</v>
      </c>
      <c r="G26" s="7">
        <v>1.17091357</v>
      </c>
      <c r="H26" s="7">
        <v>1.15903288</v>
      </c>
      <c r="I26" s="7">
        <v>1.14941447</v>
      </c>
      <c r="J26" s="7">
        <v>1.14148995</v>
      </c>
      <c r="K26" s="7">
        <v>1.1348571700000001</v>
      </c>
      <c r="L26" s="7">
        <v>1.1269217</v>
      </c>
      <c r="M26" s="7">
        <v>1.1206037099999999</v>
      </c>
      <c r="N26" s="7">
        <v>1.1151716</v>
      </c>
      <c r="O26" s="7">
        <v>1.11047176</v>
      </c>
      <c r="P26" s="7">
        <v>1.1063642600000001</v>
      </c>
      <c r="Q26" s="7">
        <v>1.10274692</v>
      </c>
      <c r="R26" s="7">
        <v>1.09953839</v>
      </c>
      <c r="S26" s="7">
        <v>1.0966749600000001</v>
      </c>
      <c r="T26" s="7">
        <v>1.0941047100000001</v>
      </c>
      <c r="U26" s="7">
        <v>1.09178737</v>
      </c>
      <c r="V26" s="7">
        <v>1.0896907</v>
      </c>
      <c r="W26" s="7">
        <v>1.0877821000000001</v>
      </c>
      <c r="X26" s="7">
        <v>1.08603819</v>
      </c>
      <c r="Y26" s="7">
        <v>1.0844409100000001</v>
      </c>
      <c r="Z26" s="7">
        <v>1.0829711099999999</v>
      </c>
      <c r="AA26" s="7">
        <v>1.0816197999999999</v>
      </c>
      <c r="AB26" s="7">
        <v>1.0803248599999999</v>
      </c>
      <c r="AC26" s="7">
        <v>1.07916597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1.2319408700000001</v>
      </c>
      <c r="E27" s="7">
        <v>1.20549375</v>
      </c>
      <c r="F27" s="7">
        <v>1.18593609</v>
      </c>
      <c r="G27" s="7">
        <v>1.17091357</v>
      </c>
      <c r="H27" s="7">
        <v>1.15903288</v>
      </c>
      <c r="I27" s="7">
        <v>1.14941447</v>
      </c>
      <c r="J27" s="7">
        <v>1.14148995</v>
      </c>
      <c r="K27" s="7">
        <v>1.1348571700000001</v>
      </c>
      <c r="L27" s="7">
        <v>1.1269217</v>
      </c>
      <c r="M27" s="7">
        <v>1.1206037099999999</v>
      </c>
      <c r="N27" s="7">
        <v>1.1151716</v>
      </c>
      <c r="O27" s="7">
        <v>1.11047176</v>
      </c>
      <c r="P27" s="7">
        <v>1.1063642600000001</v>
      </c>
      <c r="Q27" s="7">
        <v>1.1027469299999999</v>
      </c>
      <c r="R27" s="7">
        <v>1.09953839</v>
      </c>
      <c r="S27" s="7">
        <v>1.0966749600000001</v>
      </c>
      <c r="T27" s="7">
        <v>1.0941047100000001</v>
      </c>
      <c r="U27" s="7">
        <v>1.0917873899999999</v>
      </c>
      <c r="V27" s="7">
        <v>1.0896907</v>
      </c>
      <c r="W27" s="7">
        <v>1.0877821000000001</v>
      </c>
      <c r="X27" s="7">
        <v>1.08603819</v>
      </c>
      <c r="Y27" s="7">
        <v>1.0844409100000001</v>
      </c>
      <c r="Z27" s="7">
        <v>1.0829711200000001</v>
      </c>
      <c r="AA27" s="7">
        <v>1.0816197999999999</v>
      </c>
      <c r="AB27" s="7">
        <v>1.0803248599999999</v>
      </c>
      <c r="AC27" s="7">
        <v>1.07916597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1.84E-6</v>
      </c>
      <c r="F36" s="7">
        <v>2.0499999999999999E-6</v>
      </c>
      <c r="G36" s="7">
        <v>2.03E-6</v>
      </c>
      <c r="H36" s="7">
        <v>2.0899999999999999E-6</v>
      </c>
      <c r="I36" s="7">
        <v>2.4099999999999998E-6</v>
      </c>
      <c r="J36" s="7">
        <v>2.6199999999999999E-6</v>
      </c>
      <c r="K36" s="7">
        <v>0</v>
      </c>
      <c r="L36" s="7">
        <v>4.4999999999999998E-7</v>
      </c>
      <c r="M36" s="7">
        <v>4.5999999999999999E-7</v>
      </c>
      <c r="N36" s="7">
        <v>3.4999999999999998E-7</v>
      </c>
      <c r="O36" s="7">
        <v>3.1E-7</v>
      </c>
      <c r="P36" s="7">
        <v>2.7000000000000001E-7</v>
      </c>
      <c r="Q36" s="7">
        <v>7.0000000000000005E-8</v>
      </c>
      <c r="R36" s="7">
        <v>7.0000000000000005E-8</v>
      </c>
      <c r="S36" s="7">
        <v>7.0000000000000005E-8</v>
      </c>
      <c r="T36" s="7">
        <v>5.9999999999999995E-8</v>
      </c>
      <c r="U36" s="7">
        <v>8.0000000000000002E-8</v>
      </c>
      <c r="V36" s="7">
        <v>7.0000000000000005E-8</v>
      </c>
      <c r="W36" s="7">
        <v>7.0000000000000005E-8</v>
      </c>
      <c r="X36" s="7">
        <v>1E-8</v>
      </c>
      <c r="Y36" s="7">
        <v>2.2000000000000001E-7</v>
      </c>
      <c r="Z36" s="7">
        <v>2.2000000000000001E-7</v>
      </c>
      <c r="AA36" s="7">
        <v>1.8E-7</v>
      </c>
      <c r="AB36" s="7">
        <v>1.9000000000000001E-7</v>
      </c>
      <c r="AC36" s="7">
        <v>1.9000000000000001E-7</v>
      </c>
    </row>
    <row r="37" spans="1:29" x14ac:dyDescent="0.85">
      <c r="A37" t="s">
        <v>135</v>
      </c>
      <c r="B37" s="7">
        <v>1</v>
      </c>
      <c r="C37" s="7">
        <v>0</v>
      </c>
      <c r="D37" s="7">
        <v>1.84E-6</v>
      </c>
      <c r="E37" s="7">
        <v>2.0499999999999999E-6</v>
      </c>
      <c r="F37" s="7">
        <v>2.03E-6</v>
      </c>
      <c r="G37" s="7">
        <v>2.0899999999999999E-6</v>
      </c>
      <c r="H37" s="7">
        <v>2.4099999999999998E-6</v>
      </c>
      <c r="I37" s="7">
        <v>2.6199999999999999E-6</v>
      </c>
      <c r="J37" s="7">
        <v>0</v>
      </c>
      <c r="K37" s="7">
        <v>4.4999999999999998E-7</v>
      </c>
      <c r="L37" s="7">
        <v>4.5999999999999999E-7</v>
      </c>
      <c r="M37" s="7">
        <v>3.4999999999999998E-7</v>
      </c>
      <c r="N37" s="7">
        <v>3.1E-7</v>
      </c>
      <c r="O37" s="7">
        <v>2.7000000000000001E-7</v>
      </c>
      <c r="P37" s="7">
        <v>7.0000000000000005E-8</v>
      </c>
      <c r="Q37" s="7">
        <v>7.0000000000000005E-8</v>
      </c>
      <c r="R37" s="7">
        <v>7.0000000000000005E-8</v>
      </c>
      <c r="S37" s="7">
        <v>5.9999999999999995E-8</v>
      </c>
      <c r="T37" s="7">
        <v>8.0000000000000002E-8</v>
      </c>
      <c r="U37" s="7">
        <v>7.0000000000000005E-8</v>
      </c>
      <c r="V37" s="7">
        <v>7.0000000000000005E-8</v>
      </c>
      <c r="W37" s="7">
        <v>1E-8</v>
      </c>
      <c r="X37" s="7">
        <v>2.2000000000000001E-7</v>
      </c>
      <c r="Y37" s="7">
        <v>2.2000000000000001E-7</v>
      </c>
      <c r="Z37" s="7">
        <v>1.8E-7</v>
      </c>
      <c r="AA37" s="7">
        <v>1.9000000000000001E-7</v>
      </c>
      <c r="AB37" s="7">
        <v>1.9000000000000001E-7</v>
      </c>
      <c r="AC37" s="7">
        <v>1.6999999999999999E-7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6947.1704655599997</v>
      </c>
      <c r="D39" s="7">
        <v>6773.5430886900003</v>
      </c>
      <c r="E39" s="7">
        <v>6604.2045149100004</v>
      </c>
      <c r="F39" s="7">
        <v>6439.0994020400003</v>
      </c>
      <c r="G39" s="7">
        <v>6278.1219169899996</v>
      </c>
      <c r="H39" s="7">
        <v>6121.1691906599999</v>
      </c>
      <c r="I39" s="7">
        <v>5968.1399649699997</v>
      </c>
      <c r="J39" s="7">
        <v>5818.9364658499999</v>
      </c>
      <c r="K39" s="7">
        <v>5673.4662118899996</v>
      </c>
      <c r="L39" s="7">
        <v>5531.6296179499996</v>
      </c>
      <c r="M39" s="7">
        <v>5393.3390179999997</v>
      </c>
      <c r="N39" s="7">
        <v>5258.5130879899998</v>
      </c>
      <c r="O39" s="7">
        <v>5127.0502607899998</v>
      </c>
      <c r="P39" s="7">
        <v>4998.8740071000002</v>
      </c>
      <c r="Q39" s="7">
        <v>4873.9021653600003</v>
      </c>
      <c r="R39" s="7">
        <v>4752.0547321200002</v>
      </c>
      <c r="S39" s="7">
        <v>4633.2533745399996</v>
      </c>
      <c r="T39" s="7">
        <v>4517.4220401800003</v>
      </c>
      <c r="U39" s="7">
        <v>4404.4865004399999</v>
      </c>
      <c r="V39" s="7">
        <v>4294.3743379300004</v>
      </c>
      <c r="W39" s="7">
        <v>4187.0149813999997</v>
      </c>
      <c r="X39" s="7">
        <v>4082.3396276100002</v>
      </c>
      <c r="Y39" s="7">
        <v>3980.2811503900002</v>
      </c>
      <c r="Z39" s="7">
        <v>3880.7741216300001</v>
      </c>
      <c r="AA39" s="7">
        <v>3783.7547685899999</v>
      </c>
      <c r="AB39" s="7">
        <v>3689.1609064499999</v>
      </c>
      <c r="AC39" s="7">
        <v>3596.93188809</v>
      </c>
    </row>
    <row r="40" spans="1:29" x14ac:dyDescent="0.85">
      <c r="A40" t="s">
        <v>138</v>
      </c>
      <c r="B40" s="7">
        <v>49003073.5</v>
      </c>
      <c r="C40" s="7">
        <v>47793444.467338398</v>
      </c>
      <c r="D40" s="7">
        <v>46598965.2998024</v>
      </c>
      <c r="E40" s="7">
        <v>45433991.190962903</v>
      </c>
      <c r="F40" s="7">
        <v>44298141.241939701</v>
      </c>
      <c r="G40" s="7">
        <v>43190687.670811199</v>
      </c>
      <c r="H40" s="7">
        <v>42110922.691502497</v>
      </c>
      <c r="I40" s="7">
        <v>41058149.652247302</v>
      </c>
      <c r="J40" s="7">
        <v>40031695.909757197</v>
      </c>
      <c r="K40" s="7">
        <v>39030925.235531002</v>
      </c>
      <c r="L40" s="7">
        <v>38055152.5267125</v>
      </c>
      <c r="M40" s="7">
        <v>37103774.6801228</v>
      </c>
      <c r="N40" s="7">
        <v>36176232.2224373</v>
      </c>
      <c r="O40" s="7">
        <v>35271826.407729097</v>
      </c>
      <c r="P40" s="7">
        <v>34390030.766997904</v>
      </c>
      <c r="Q40" s="7">
        <v>33530280.055833101</v>
      </c>
      <c r="R40" s="7">
        <v>32692023.886165399</v>
      </c>
      <c r="S40" s="7">
        <v>31874723.362781402</v>
      </c>
      <c r="T40" s="7">
        <v>31077855.264802299</v>
      </c>
      <c r="U40" s="7">
        <v>30300908.960703701</v>
      </c>
      <c r="V40" s="7">
        <v>29543386.182441201</v>
      </c>
      <c r="W40" s="7">
        <v>28804801.541044898</v>
      </c>
      <c r="X40" s="7">
        <v>28084681.645234101</v>
      </c>
      <c r="Y40" s="7">
        <v>27382564.696782701</v>
      </c>
      <c r="Z40" s="7">
        <v>26698000.572796099</v>
      </c>
      <c r="AA40" s="7">
        <v>26030550.492858902</v>
      </c>
      <c r="AB40" s="7">
        <v>25379786.779203299</v>
      </c>
      <c r="AC40" s="7">
        <v>24745292.1393442</v>
      </c>
    </row>
    <row r="41" spans="1:29" x14ac:dyDescent="0.85">
      <c r="A41" t="s">
        <v>139</v>
      </c>
      <c r="B41" s="7">
        <v>49003073.5</v>
      </c>
      <c r="C41" s="7">
        <v>47793444.467338398</v>
      </c>
      <c r="D41" s="7">
        <v>46598965.2998024</v>
      </c>
      <c r="E41" s="7">
        <v>45433991.190962903</v>
      </c>
      <c r="F41" s="7">
        <v>44298141.241939701</v>
      </c>
      <c r="G41" s="7">
        <v>43190687.670811199</v>
      </c>
      <c r="H41" s="7">
        <v>42110922.691502497</v>
      </c>
      <c r="I41" s="7">
        <v>41058149.652247302</v>
      </c>
      <c r="J41" s="7">
        <v>40031695.909757197</v>
      </c>
      <c r="K41" s="7">
        <v>39030925.235531002</v>
      </c>
      <c r="L41" s="7">
        <v>38055152.5267125</v>
      </c>
      <c r="M41" s="7">
        <v>37103774.6801228</v>
      </c>
      <c r="N41" s="7">
        <v>36176232.2224373</v>
      </c>
      <c r="O41" s="7">
        <v>35271826.407729097</v>
      </c>
      <c r="P41" s="7">
        <v>34390030.766997904</v>
      </c>
      <c r="Q41" s="7">
        <v>33530280.055833101</v>
      </c>
      <c r="R41" s="7">
        <v>32692023.886165399</v>
      </c>
      <c r="S41" s="7">
        <v>31874723.362781402</v>
      </c>
      <c r="T41" s="7">
        <v>31077855.264802299</v>
      </c>
      <c r="U41" s="7">
        <v>30300908.960703701</v>
      </c>
      <c r="V41" s="7">
        <v>29543386.182441201</v>
      </c>
      <c r="W41" s="7">
        <v>28804801.541044898</v>
      </c>
      <c r="X41" s="7">
        <v>28084681.645234101</v>
      </c>
      <c r="Y41" s="7">
        <v>27382564.696782701</v>
      </c>
      <c r="Z41" s="7">
        <v>26698000.572796099</v>
      </c>
      <c r="AA41" s="7">
        <v>26030550.492858902</v>
      </c>
      <c r="AB41" s="7">
        <v>25379786.779203299</v>
      </c>
      <c r="AC41" s="7">
        <v>24745292.1393442</v>
      </c>
    </row>
    <row r="42" spans="1:29" x14ac:dyDescent="0.85">
      <c r="A42" t="s">
        <v>140</v>
      </c>
      <c r="B42" s="7">
        <v>8178.2490482699995</v>
      </c>
      <c r="C42" s="7">
        <v>7976.3709459700003</v>
      </c>
      <c r="D42" s="7">
        <v>7777.0212436499996</v>
      </c>
      <c r="E42" s="7">
        <v>7582.5957165099999</v>
      </c>
      <c r="F42" s="7">
        <v>7393.0308218800001</v>
      </c>
      <c r="G42" s="7">
        <v>7208.2050509299997</v>
      </c>
      <c r="H42" s="7">
        <v>7028.0002938999996</v>
      </c>
      <c r="I42" s="7">
        <v>6852.3002912299999</v>
      </c>
      <c r="J42" s="7">
        <v>6680.9927839399998</v>
      </c>
      <c r="K42" s="7">
        <v>6513.9715898300001</v>
      </c>
      <c r="L42" s="7">
        <v>6351.1223705299999</v>
      </c>
      <c r="M42" s="7">
        <v>6192.34447258</v>
      </c>
      <c r="N42" s="7">
        <v>6037.5445240500003</v>
      </c>
      <c r="O42" s="7">
        <v>5886.6059108500003</v>
      </c>
      <c r="P42" s="7">
        <v>5739.4407663299999</v>
      </c>
      <c r="Q42" s="7">
        <v>5595.9547568500002</v>
      </c>
      <c r="R42" s="7">
        <v>5456.0560267399997</v>
      </c>
      <c r="S42" s="7">
        <v>5319.6546383799996</v>
      </c>
      <c r="T42" s="7">
        <v>5186.6632722799995</v>
      </c>
      <c r="U42" s="7">
        <v>5056.99670341</v>
      </c>
      <c r="V42" s="7">
        <v>4930.5717852799999</v>
      </c>
      <c r="W42" s="7">
        <v>4807.3074928400001</v>
      </c>
      <c r="X42" s="7">
        <v>4687.1248293400004</v>
      </c>
      <c r="Y42" s="7">
        <v>4569.9467240800004</v>
      </c>
      <c r="Z42" s="7">
        <v>4455.6980559100002</v>
      </c>
      <c r="AA42" s="7">
        <v>4344.3056038499999</v>
      </c>
      <c r="AB42" s="7">
        <v>4235.6979718700004</v>
      </c>
      <c r="AC42" s="7">
        <v>4129.8055275200004</v>
      </c>
    </row>
    <row r="43" spans="1:29" x14ac:dyDescent="0.85">
      <c r="A43" t="s">
        <v>141</v>
      </c>
      <c r="B43" s="7">
        <v>0</v>
      </c>
      <c r="C43" s="7">
        <v>28.676066680000002</v>
      </c>
      <c r="D43" s="7">
        <v>27.959379179999999</v>
      </c>
      <c r="E43" s="7">
        <v>27.26039471</v>
      </c>
      <c r="F43" s="7">
        <v>26.57888475</v>
      </c>
      <c r="G43" s="7">
        <v>25.914412599999999</v>
      </c>
      <c r="H43" s="7">
        <v>25.266553609999999</v>
      </c>
      <c r="I43" s="7">
        <v>24.634889789999999</v>
      </c>
      <c r="J43" s="7">
        <v>24.019017550000001</v>
      </c>
      <c r="K43" s="7">
        <v>23.418555139999999</v>
      </c>
      <c r="L43" s="7">
        <v>22.83309152</v>
      </c>
      <c r="M43" s="7">
        <v>22.262264810000001</v>
      </c>
      <c r="N43" s="7">
        <v>21.70573933</v>
      </c>
      <c r="O43" s="7">
        <v>21.16309584</v>
      </c>
      <c r="P43" s="7">
        <v>20.63401846</v>
      </c>
      <c r="Q43" s="7">
        <v>20.11816803</v>
      </c>
      <c r="R43" s="7">
        <v>19.615214330000001</v>
      </c>
      <c r="S43" s="7">
        <v>19.124834020000002</v>
      </c>
      <c r="T43" s="7">
        <v>18.646713160000001</v>
      </c>
      <c r="U43" s="7">
        <v>18.180545380000002</v>
      </c>
      <c r="V43" s="7">
        <v>17.726031710000001</v>
      </c>
      <c r="W43" s="7">
        <v>17.28288092</v>
      </c>
      <c r="X43" s="7">
        <v>16.850808990000001</v>
      </c>
      <c r="Y43" s="7">
        <v>16.429538820000001</v>
      </c>
      <c r="Z43" s="7">
        <v>16.018800339999999</v>
      </c>
      <c r="AA43" s="7">
        <v>15.6183303</v>
      </c>
      <c r="AB43" s="7">
        <v>15.22787207</v>
      </c>
      <c r="AC43" s="7">
        <v>14.84717528</v>
      </c>
    </row>
    <row r="44" spans="1:29" x14ac:dyDescent="0.85">
      <c r="A44" t="s">
        <v>142</v>
      </c>
      <c r="B44" s="7">
        <v>0.14700922</v>
      </c>
      <c r="C44" s="7">
        <v>0.14338033</v>
      </c>
      <c r="D44" s="7">
        <v>0.1397969</v>
      </c>
      <c r="E44" s="7">
        <v>0.13630196999999999</v>
      </c>
      <c r="F44" s="7">
        <v>0.13289442000000001</v>
      </c>
      <c r="G44" s="7">
        <v>0.12957205999999999</v>
      </c>
      <c r="H44" s="7">
        <v>0.12633277000000001</v>
      </c>
      <c r="I44" s="7">
        <v>0.12317445</v>
      </c>
      <c r="J44" s="7">
        <v>0.12009509</v>
      </c>
      <c r="K44" s="7">
        <v>0.11709277999999999</v>
      </c>
      <c r="L44" s="7">
        <v>0.11416546</v>
      </c>
      <c r="M44" s="7">
        <v>0.11131132000000001</v>
      </c>
      <c r="N44" s="7">
        <v>0.10852870000000001</v>
      </c>
      <c r="O44" s="7">
        <v>0.10581548</v>
      </c>
      <c r="P44" s="7">
        <v>0.10317009000000001</v>
      </c>
      <c r="Q44" s="7">
        <v>0.10059084</v>
      </c>
      <c r="R44" s="7">
        <v>9.8076070000000001E-2</v>
      </c>
      <c r="S44" s="7">
        <v>9.5624169999999994E-2</v>
      </c>
      <c r="T44" s="7">
        <v>9.3233570000000002E-2</v>
      </c>
      <c r="U44" s="7">
        <v>9.0902730000000001E-2</v>
      </c>
      <c r="V44" s="7">
        <v>8.8630159999999999E-2</v>
      </c>
      <c r="W44" s="7">
        <v>8.6414400000000002E-2</v>
      </c>
      <c r="X44" s="7">
        <v>8.4254040000000002E-2</v>
      </c>
      <c r="Y44" s="7">
        <v>8.2147689999999995E-2</v>
      </c>
      <c r="Z44" s="7">
        <v>8.0093999999999999E-2</v>
      </c>
      <c r="AA44" s="7">
        <v>7.8091649999999999E-2</v>
      </c>
      <c r="AB44" s="7">
        <v>7.6139360000000003E-2</v>
      </c>
      <c r="AC44" s="7">
        <v>7.4235880000000004E-2</v>
      </c>
    </row>
    <row r="45" spans="1:29" x14ac:dyDescent="0.85">
      <c r="A45" t="s">
        <v>143</v>
      </c>
      <c r="B45" s="7">
        <v>7682.82797519</v>
      </c>
      <c r="C45" s="7">
        <v>7493.17922241</v>
      </c>
      <c r="D45" s="7">
        <v>7305.9057044700003</v>
      </c>
      <c r="E45" s="7">
        <v>7123.2580655700003</v>
      </c>
      <c r="F45" s="7">
        <v>6945.1766139299998</v>
      </c>
      <c r="G45" s="7">
        <v>6771.5471985800004</v>
      </c>
      <c r="H45" s="7">
        <v>6602.2588654900001</v>
      </c>
      <c r="I45" s="7">
        <v>6437.2023982500004</v>
      </c>
      <c r="J45" s="7">
        <v>6276.2723382900003</v>
      </c>
      <c r="K45" s="7">
        <v>6119.3689357000003</v>
      </c>
      <c r="L45" s="7">
        <v>5966.38477848</v>
      </c>
      <c r="M45" s="7">
        <v>5817.2253105600003</v>
      </c>
      <c r="N45" s="7">
        <v>5671.8028162800001</v>
      </c>
      <c r="O45" s="7">
        <v>5530.0077458699998</v>
      </c>
      <c r="P45" s="7">
        <v>5391.75755527</v>
      </c>
      <c r="Q45" s="7">
        <v>5256.9636254899997</v>
      </c>
      <c r="R45" s="7">
        <v>5125.5396652500003</v>
      </c>
      <c r="S45" s="7">
        <v>4997.4011851900004</v>
      </c>
      <c r="T45" s="7">
        <v>4872.4661555599996</v>
      </c>
      <c r="U45" s="7">
        <v>4750.6545138199999</v>
      </c>
      <c r="V45" s="7">
        <v>4631.8881509800003</v>
      </c>
      <c r="W45" s="7">
        <v>4516.0909492600003</v>
      </c>
      <c r="X45" s="7">
        <v>4403.18869791</v>
      </c>
      <c r="Y45" s="7">
        <v>4293.1089949899997</v>
      </c>
      <c r="Z45" s="7">
        <v>4185.78127012</v>
      </c>
      <c r="AA45" s="7">
        <v>4081.13673836</v>
      </c>
      <c r="AB45" s="7">
        <v>3979.1083275300002</v>
      </c>
      <c r="AC45" s="7">
        <v>3879.63062399</v>
      </c>
    </row>
    <row r="46" spans="1:29" x14ac:dyDescent="0.85">
      <c r="A46" t="s">
        <v>144</v>
      </c>
      <c r="B46" s="7">
        <v>495.42107307999999</v>
      </c>
      <c r="C46" s="7">
        <v>483.19172356000001</v>
      </c>
      <c r="D46" s="7">
        <v>471.11553917999998</v>
      </c>
      <c r="E46" s="7">
        <v>459.33765094</v>
      </c>
      <c r="F46" s="7">
        <v>447.85420796</v>
      </c>
      <c r="G46" s="7">
        <v>436.65785234999998</v>
      </c>
      <c r="H46" s="7">
        <v>425.74142841000003</v>
      </c>
      <c r="I46" s="7">
        <v>415.09789297999998</v>
      </c>
      <c r="J46" s="7">
        <v>404.72044564999999</v>
      </c>
      <c r="K46" s="7">
        <v>394.60265413000002</v>
      </c>
      <c r="L46" s="7">
        <v>384.73759204999999</v>
      </c>
      <c r="M46" s="7">
        <v>375.11916201999998</v>
      </c>
      <c r="N46" s="7">
        <v>365.74170777</v>
      </c>
      <c r="O46" s="7">
        <v>356.59816497999998</v>
      </c>
      <c r="P46" s="7">
        <v>347.68321105000001</v>
      </c>
      <c r="Q46" s="7">
        <v>338.99113136</v>
      </c>
      <c r="R46" s="7">
        <v>330.51636149000001</v>
      </c>
      <c r="S46" s="7">
        <v>322.25345320000002</v>
      </c>
      <c r="T46" s="7">
        <v>314.19711673</v>
      </c>
      <c r="U46" s="7">
        <v>306.34218958999998</v>
      </c>
      <c r="V46" s="7">
        <v>298.68363429999999</v>
      </c>
      <c r="W46" s="7">
        <v>291.21654358000001</v>
      </c>
      <c r="X46" s="7">
        <v>283.93613142999999</v>
      </c>
      <c r="Y46" s="7">
        <v>276.83772907999997</v>
      </c>
      <c r="Z46" s="7">
        <v>269.91678579000001</v>
      </c>
      <c r="AA46" s="7">
        <v>263.16886548000002</v>
      </c>
      <c r="AB46" s="7">
        <v>256.58964434000001</v>
      </c>
      <c r="AC46" s="7">
        <v>250.17490352999999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1.0003233199999999</v>
      </c>
      <c r="E47" s="7">
        <v>1.0000076600000001</v>
      </c>
      <c r="F47" s="7">
        <v>1</v>
      </c>
      <c r="G47" s="7">
        <v>1</v>
      </c>
      <c r="H47" s="7">
        <v>1</v>
      </c>
      <c r="I47" s="7">
        <v>1.0000000499999999</v>
      </c>
      <c r="J47" s="7">
        <v>1</v>
      </c>
      <c r="K47" s="7">
        <v>1</v>
      </c>
      <c r="L47" s="7">
        <v>1.0000005599999999</v>
      </c>
      <c r="M47" s="7">
        <v>1.0000000099999999</v>
      </c>
      <c r="N47" s="7">
        <v>1.00000003</v>
      </c>
      <c r="O47" s="7">
        <v>1.00000143</v>
      </c>
      <c r="P47" s="7">
        <v>1</v>
      </c>
      <c r="Q47" s="7">
        <v>1</v>
      </c>
      <c r="R47" s="7">
        <v>1</v>
      </c>
      <c r="S47" s="7">
        <v>1.00000003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1.0000000099999999</v>
      </c>
      <c r="Z47" s="7">
        <v>1</v>
      </c>
      <c r="AA47" s="7">
        <v>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1.0003233199999999</v>
      </c>
      <c r="D48" s="7">
        <v>1.0000076600000001</v>
      </c>
      <c r="E48" s="7">
        <v>1</v>
      </c>
      <c r="F48" s="7">
        <v>1</v>
      </c>
      <c r="G48" s="7">
        <v>1</v>
      </c>
      <c r="H48" s="7">
        <v>1.0000000499999999</v>
      </c>
      <c r="I48" s="7">
        <v>1</v>
      </c>
      <c r="J48" s="7">
        <v>1</v>
      </c>
      <c r="K48" s="7">
        <v>1.0000005599999999</v>
      </c>
      <c r="L48" s="7">
        <v>1.0000000099999999</v>
      </c>
      <c r="M48" s="7">
        <v>1.00000003</v>
      </c>
      <c r="N48" s="7">
        <v>1.00000143</v>
      </c>
      <c r="O48" s="7">
        <v>1</v>
      </c>
      <c r="P48" s="7">
        <v>1</v>
      </c>
      <c r="Q48" s="7">
        <v>1</v>
      </c>
      <c r="R48" s="7">
        <v>1.00000003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1.0000000099999999</v>
      </c>
      <c r="Y48" s="7">
        <v>1</v>
      </c>
      <c r="Z48" s="7">
        <v>1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1.2411226900000001</v>
      </c>
      <c r="E49" s="7">
        <v>1.2563777199999999</v>
      </c>
      <c r="F49" s="7">
        <v>1.2727290600000001</v>
      </c>
      <c r="G49" s="7">
        <v>1.29025638</v>
      </c>
      <c r="H49" s="7">
        <v>1.3090428000000001</v>
      </c>
      <c r="I49" s="7">
        <v>1.32916857</v>
      </c>
      <c r="J49" s="7">
        <v>1.35075137</v>
      </c>
      <c r="K49" s="7">
        <v>1.3738862000000001</v>
      </c>
      <c r="L49" s="7">
        <v>1.3906674699999999</v>
      </c>
      <c r="M49" s="7">
        <v>1.4096713299999999</v>
      </c>
      <c r="N49" s="7">
        <v>1.4295585500000001</v>
      </c>
      <c r="O49" s="7">
        <v>1.4504620399999999</v>
      </c>
      <c r="P49" s="7">
        <v>1.4724134799999999</v>
      </c>
      <c r="Q49" s="7">
        <v>1.49547056</v>
      </c>
      <c r="R49" s="7">
        <v>1.51968524</v>
      </c>
      <c r="S49" s="7">
        <v>1.54511665</v>
      </c>
      <c r="T49" s="7">
        <v>1.57182088</v>
      </c>
      <c r="U49" s="7">
        <v>1.59987111</v>
      </c>
      <c r="V49" s="7">
        <v>1.62935216</v>
      </c>
      <c r="W49" s="7">
        <v>1.6603005799999999</v>
      </c>
      <c r="X49" s="7">
        <v>1.69278778</v>
      </c>
      <c r="Y49" s="7">
        <v>1.7269062100000001</v>
      </c>
      <c r="Z49" s="7">
        <v>1.7627104499999999</v>
      </c>
      <c r="AA49" s="7">
        <v>1.8003463799999999</v>
      </c>
      <c r="AB49" s="7">
        <v>1.83923831</v>
      </c>
      <c r="AC49" s="7">
        <v>1.8806218299999999</v>
      </c>
    </row>
    <row r="50" spans="1:29" x14ac:dyDescent="0.85">
      <c r="A50" t="s">
        <v>148</v>
      </c>
      <c r="B50" s="7">
        <v>29021</v>
      </c>
      <c r="C50" s="7">
        <v>30923.662420950001</v>
      </c>
      <c r="D50" s="7">
        <v>32892.322810060003</v>
      </c>
      <c r="E50" s="7">
        <v>34930.151980390001</v>
      </c>
      <c r="F50" s="7">
        <v>37041.415677700003</v>
      </c>
      <c r="G50" s="7">
        <v>39229.625825260002</v>
      </c>
      <c r="H50" s="7">
        <v>41496.504959439997</v>
      </c>
      <c r="I50" s="7">
        <v>43850.894586770002</v>
      </c>
      <c r="J50" s="7">
        <v>46295.02343316</v>
      </c>
      <c r="K50" s="7">
        <v>47184.012762489998</v>
      </c>
      <c r="L50" s="7">
        <v>48370.798650370001</v>
      </c>
      <c r="M50" s="7">
        <v>49560.307633359997</v>
      </c>
      <c r="N50" s="7">
        <v>50770.96659887</v>
      </c>
      <c r="O50" s="7">
        <v>51999.655657830001</v>
      </c>
      <c r="P50" s="7">
        <v>53248.257924090001</v>
      </c>
      <c r="Q50" s="7">
        <v>54516.973635210001</v>
      </c>
      <c r="R50" s="7">
        <v>55806.841870960001</v>
      </c>
      <c r="S50" s="7">
        <v>57117.880480220003</v>
      </c>
      <c r="T50" s="7">
        <v>58452.523891149998</v>
      </c>
      <c r="U50" s="7">
        <v>59814.380459979999</v>
      </c>
      <c r="V50" s="7">
        <v>61198.702227850001</v>
      </c>
      <c r="W50" s="7">
        <v>62606.14824106</v>
      </c>
      <c r="X50" s="7">
        <v>64039.994842369997</v>
      </c>
      <c r="Y50" s="7">
        <v>65497.237212870001</v>
      </c>
      <c r="Z50" s="7">
        <v>66987.611685070005</v>
      </c>
      <c r="AA50" s="7">
        <v>68420.265449109997</v>
      </c>
      <c r="AB50" s="7">
        <v>69956.792960709994</v>
      </c>
      <c r="AC50" s="7">
        <v>71520.056810259994</v>
      </c>
    </row>
    <row r="51" spans="1:29" x14ac:dyDescent="0.85">
      <c r="A51" t="s">
        <v>149</v>
      </c>
      <c r="B51" s="7">
        <v>128767840.25</v>
      </c>
      <c r="C51" s="7">
        <v>140398644.76855299</v>
      </c>
      <c r="D51" s="7">
        <v>150997381.71848601</v>
      </c>
      <c r="E51" s="7">
        <v>161163191.57747999</v>
      </c>
      <c r="F51" s="7">
        <v>171190004.77336401</v>
      </c>
      <c r="G51" s="7">
        <v>180902113.84649</v>
      </c>
      <c r="H51" s="7">
        <v>190630676.28416699</v>
      </c>
      <c r="I51" s="7">
        <v>200757830.75083101</v>
      </c>
      <c r="J51" s="7">
        <v>209565040.62522599</v>
      </c>
      <c r="K51" s="7">
        <v>214284054.193239</v>
      </c>
      <c r="L51" s="7">
        <v>219071614.33407</v>
      </c>
      <c r="M51" s="7">
        <v>223921189.354249</v>
      </c>
      <c r="N51" s="7">
        <v>228835179.94430301</v>
      </c>
      <c r="O51" s="7">
        <v>233815614.94374201</v>
      </c>
      <c r="P51" s="7">
        <v>238864498.90437999</v>
      </c>
      <c r="Q51" s="7">
        <v>243983870.60013899</v>
      </c>
      <c r="R51" s="7">
        <v>249175800.46602401</v>
      </c>
      <c r="S51" s="7">
        <v>254442370.85326201</v>
      </c>
      <c r="T51" s="7">
        <v>259785702.76979601</v>
      </c>
      <c r="U51" s="7">
        <v>265207887.619091</v>
      </c>
      <c r="V51" s="7">
        <v>270710948.94960397</v>
      </c>
      <c r="W51" s="7">
        <v>276297100.91984302</v>
      </c>
      <c r="X51" s="7">
        <v>281968583.679263</v>
      </c>
      <c r="Y51" s="7">
        <v>287727584.929272</v>
      </c>
      <c r="Z51" s="7">
        <v>293576432.84920698</v>
      </c>
      <c r="AA51" s="7">
        <v>299517553.77742797</v>
      </c>
      <c r="AB51" s="7">
        <v>305556395.77622902</v>
      </c>
      <c r="AC51" s="7">
        <v>311693409.48847198</v>
      </c>
    </row>
    <row r="52" spans="1:29" x14ac:dyDescent="0.85">
      <c r="A52" t="s">
        <v>150</v>
      </c>
      <c r="B52" s="7">
        <v>128767840.25</v>
      </c>
      <c r="C52" s="7">
        <v>140398644.76855299</v>
      </c>
      <c r="D52" s="7">
        <v>150997381.71848601</v>
      </c>
      <c r="E52" s="7">
        <v>161163191.57747999</v>
      </c>
      <c r="F52" s="7">
        <v>171190004.77336401</v>
      </c>
      <c r="G52" s="7">
        <v>180902113.84649</v>
      </c>
      <c r="H52" s="7">
        <v>190630676.28416699</v>
      </c>
      <c r="I52" s="7">
        <v>200757830.75083101</v>
      </c>
      <c r="J52" s="7">
        <v>209565040.62522599</v>
      </c>
      <c r="K52" s="7">
        <v>214284054.193239</v>
      </c>
      <c r="L52" s="7">
        <v>219071614.33407</v>
      </c>
      <c r="M52" s="7">
        <v>223921189.354249</v>
      </c>
      <c r="N52" s="7">
        <v>228835179.94430301</v>
      </c>
      <c r="O52" s="7">
        <v>233815614.94374201</v>
      </c>
      <c r="P52" s="7">
        <v>238864498.90437999</v>
      </c>
      <c r="Q52" s="7">
        <v>243983870.60013899</v>
      </c>
      <c r="R52" s="7">
        <v>249175800.46602401</v>
      </c>
      <c r="S52" s="7">
        <v>254442370.85326201</v>
      </c>
      <c r="T52" s="7">
        <v>259785702.76979601</v>
      </c>
      <c r="U52" s="7">
        <v>265207887.619091</v>
      </c>
      <c r="V52" s="7">
        <v>270710948.94960397</v>
      </c>
      <c r="W52" s="7">
        <v>276297100.91984302</v>
      </c>
      <c r="X52" s="7">
        <v>281968583.679263</v>
      </c>
      <c r="Y52" s="7">
        <v>287727584.929272</v>
      </c>
      <c r="Z52" s="7">
        <v>293576432.84920698</v>
      </c>
      <c r="AA52" s="7">
        <v>299517553.77742797</v>
      </c>
      <c r="AB52" s="7">
        <v>305556395.77622902</v>
      </c>
      <c r="AC52" s="7">
        <v>311693409.48847198</v>
      </c>
    </row>
    <row r="53" spans="1:29" x14ac:dyDescent="0.85">
      <c r="A53" t="s">
        <v>151</v>
      </c>
      <c r="B53" s="7">
        <v>8645.4189623900002</v>
      </c>
      <c r="C53" s="7">
        <v>9290.0276404600008</v>
      </c>
      <c r="D53" s="7">
        <v>9921.9695908600006</v>
      </c>
      <c r="E53" s="7">
        <v>10556.465147819999</v>
      </c>
      <c r="F53" s="7">
        <v>11201.495161160001</v>
      </c>
      <c r="G53" s="7">
        <v>11853.43836289</v>
      </c>
      <c r="H53" s="7">
        <v>12520.70165399</v>
      </c>
      <c r="I53" s="7">
        <v>13214.28590327</v>
      </c>
      <c r="J53" s="7">
        <v>13892.681468250001</v>
      </c>
      <c r="K53" s="7">
        <v>14176.41153515</v>
      </c>
      <c r="L53" s="7">
        <v>14518.28767462</v>
      </c>
      <c r="M53" s="7">
        <v>14862.193379390001</v>
      </c>
      <c r="N53" s="7">
        <v>15211.681663920001</v>
      </c>
      <c r="O53" s="7">
        <v>15566.210382429999</v>
      </c>
      <c r="P53" s="7">
        <v>15926.1855559</v>
      </c>
      <c r="Q53" s="7">
        <v>16291.69490305</v>
      </c>
      <c r="R53" s="7">
        <v>16662.98599148</v>
      </c>
      <c r="S53" s="7">
        <v>17040.113015390001</v>
      </c>
      <c r="T53" s="7">
        <v>17423.589387389999</v>
      </c>
      <c r="U53" s="7">
        <v>17814.150419090001</v>
      </c>
      <c r="V53" s="7">
        <v>18210.945091779999</v>
      </c>
      <c r="W53" s="7">
        <v>18614.152411129999</v>
      </c>
      <c r="X53" s="7">
        <v>19024.448355789998</v>
      </c>
      <c r="Y53" s="7">
        <v>19441.316477910001</v>
      </c>
      <c r="Z53" s="7">
        <v>19866.65996343</v>
      </c>
      <c r="AA53" s="7">
        <v>20283.30887216</v>
      </c>
      <c r="AB53" s="7">
        <v>20722.04058212</v>
      </c>
      <c r="AC53" s="7">
        <v>21168.237906859998</v>
      </c>
    </row>
    <row r="54" spans="1:29" x14ac:dyDescent="0.85">
      <c r="A54" t="s">
        <v>152</v>
      </c>
      <c r="B54" s="7">
        <v>0</v>
      </c>
      <c r="C54" s="7">
        <v>13759.067187320001</v>
      </c>
      <c r="D54" s="7">
        <v>14797.74340841</v>
      </c>
      <c r="E54" s="7">
        <v>15793.99277459</v>
      </c>
      <c r="F54" s="7">
        <v>16776.620467789999</v>
      </c>
      <c r="G54" s="7">
        <v>17728.407156959998</v>
      </c>
      <c r="H54" s="7">
        <v>18681.806275849998</v>
      </c>
      <c r="I54" s="7">
        <v>19674.267413580001</v>
      </c>
      <c r="J54" s="7">
        <v>20537.373981270001</v>
      </c>
      <c r="K54" s="7">
        <v>20999.837310940002</v>
      </c>
      <c r="L54" s="7">
        <v>21469.018204740001</v>
      </c>
      <c r="M54" s="7">
        <v>21944.27655672</v>
      </c>
      <c r="N54" s="7">
        <v>22425.847634540001</v>
      </c>
      <c r="O54" s="7">
        <v>22913.930264490002</v>
      </c>
      <c r="P54" s="7">
        <v>23408.720892630001</v>
      </c>
      <c r="Q54" s="7">
        <v>23910.41931881</v>
      </c>
      <c r="R54" s="7">
        <v>24419.22844567</v>
      </c>
      <c r="S54" s="7">
        <v>24935.352343620001</v>
      </c>
      <c r="T54" s="7">
        <v>25458.998871439999</v>
      </c>
      <c r="U54" s="7">
        <v>25990.372986670001</v>
      </c>
      <c r="V54" s="7">
        <v>26529.672997059999</v>
      </c>
      <c r="W54" s="7">
        <v>27077.115890140001</v>
      </c>
      <c r="X54" s="7">
        <v>27632.921200569999</v>
      </c>
      <c r="Y54" s="7">
        <v>28197.303323069998</v>
      </c>
      <c r="Z54" s="7">
        <v>28770.490419220001</v>
      </c>
      <c r="AA54" s="7">
        <v>29352.720270189999</v>
      </c>
      <c r="AB54" s="7">
        <v>29944.526786070001</v>
      </c>
      <c r="AC54" s="7">
        <v>30545.954129869999</v>
      </c>
    </row>
    <row r="55" spans="1:29" x14ac:dyDescent="0.85">
      <c r="A55" t="s">
        <v>153</v>
      </c>
      <c r="B55" s="7">
        <v>63.096241720000002</v>
      </c>
      <c r="C55" s="7">
        <v>68.795335940000001</v>
      </c>
      <c r="D55" s="7">
        <v>73.988717039999997</v>
      </c>
      <c r="E55" s="7">
        <v>78.969963870000001</v>
      </c>
      <c r="F55" s="7">
        <v>83.883102339999994</v>
      </c>
      <c r="G55" s="7">
        <v>88.64203578</v>
      </c>
      <c r="H55" s="7">
        <v>93.409031380000002</v>
      </c>
      <c r="I55" s="7">
        <v>98.371337069999996</v>
      </c>
      <c r="J55" s="7">
        <v>102.68686991</v>
      </c>
      <c r="K55" s="7">
        <v>104.99918655</v>
      </c>
      <c r="L55" s="7">
        <v>107.34509102</v>
      </c>
      <c r="M55" s="7">
        <v>109.72138278</v>
      </c>
      <c r="N55" s="7">
        <v>112.12923816999999</v>
      </c>
      <c r="O55" s="7">
        <v>114.56965132000001</v>
      </c>
      <c r="P55" s="7">
        <v>117.04360446</v>
      </c>
      <c r="Q55" s="7">
        <v>119.55209659</v>
      </c>
      <c r="R55" s="7">
        <v>122.09614223</v>
      </c>
      <c r="S55" s="7">
        <v>124.67676172</v>
      </c>
      <c r="T55" s="7">
        <v>127.29499436</v>
      </c>
      <c r="U55" s="7">
        <v>129.95186493</v>
      </c>
      <c r="V55" s="7">
        <v>132.64836499</v>
      </c>
      <c r="W55" s="7">
        <v>135.38557944999999</v>
      </c>
      <c r="X55" s="7">
        <v>138.16460599999999</v>
      </c>
      <c r="Y55" s="7">
        <v>140.98651662</v>
      </c>
      <c r="Z55" s="7">
        <v>143.85245209999999</v>
      </c>
      <c r="AA55" s="7">
        <v>146.76360134999999</v>
      </c>
      <c r="AB55" s="7">
        <v>149.72263393</v>
      </c>
      <c r="AC55" s="7">
        <v>152.72977065000001</v>
      </c>
    </row>
    <row r="56" spans="1:29" x14ac:dyDescent="0.85">
      <c r="A56" t="s">
        <v>154</v>
      </c>
      <c r="B56" s="7">
        <v>5503.4836602900004</v>
      </c>
      <c r="C56" s="7">
        <v>5864.3007080999996</v>
      </c>
      <c r="D56" s="7">
        <v>6237.6334769300001</v>
      </c>
      <c r="E56" s="7">
        <v>6624.0832733300003</v>
      </c>
      <c r="F56" s="7">
        <v>7024.4590446900002</v>
      </c>
      <c r="G56" s="7">
        <v>7439.4267850300002</v>
      </c>
      <c r="H56" s="7">
        <v>7869.31315266</v>
      </c>
      <c r="I56" s="7">
        <v>8315.7948329499995</v>
      </c>
      <c r="J56" s="7">
        <v>8779.2944769999995</v>
      </c>
      <c r="K56" s="7">
        <v>8947.8806128300002</v>
      </c>
      <c r="L56" s="7">
        <v>9172.9402848699992</v>
      </c>
      <c r="M56" s="7">
        <v>9398.5163591500004</v>
      </c>
      <c r="N56" s="7">
        <v>9628.1032732799995</v>
      </c>
      <c r="O56" s="7">
        <v>9861.1093778100003</v>
      </c>
      <c r="P56" s="7">
        <v>10097.891782639999</v>
      </c>
      <c r="Q56" s="7">
        <v>10338.488460410001</v>
      </c>
      <c r="R56" s="7">
        <v>10583.09646011</v>
      </c>
      <c r="S56" s="7">
        <v>10831.719166569999</v>
      </c>
      <c r="T56" s="7">
        <v>11084.818239800001</v>
      </c>
      <c r="U56" s="7">
        <v>11343.07796119</v>
      </c>
      <c r="V56" s="7">
        <v>11605.597937410001</v>
      </c>
      <c r="W56" s="7">
        <v>11872.503148690001</v>
      </c>
      <c r="X56" s="7">
        <v>12144.414914020001</v>
      </c>
      <c r="Y56" s="7">
        <v>12420.763405629999</v>
      </c>
      <c r="Z56" s="7">
        <v>12703.395001909999</v>
      </c>
      <c r="AA56" s="7">
        <v>12975.08055999</v>
      </c>
      <c r="AB56" s="7">
        <v>13266.464525179999</v>
      </c>
      <c r="AC56" s="7">
        <v>13562.91871534</v>
      </c>
    </row>
    <row r="57" spans="1:29" x14ac:dyDescent="0.85">
      <c r="A57" t="s">
        <v>155</v>
      </c>
      <c r="B57" s="7">
        <v>3141.9353021000002</v>
      </c>
      <c r="C57" s="7">
        <v>3425.72693235</v>
      </c>
      <c r="D57" s="7">
        <v>3684.33611393</v>
      </c>
      <c r="E57" s="7">
        <v>3932.38187449</v>
      </c>
      <c r="F57" s="7">
        <v>4177.0361164699998</v>
      </c>
      <c r="G57" s="7">
        <v>4414.0115778500003</v>
      </c>
      <c r="H57" s="7">
        <v>4651.3885013299996</v>
      </c>
      <c r="I57" s="7">
        <v>4898.4910703200003</v>
      </c>
      <c r="J57" s="7">
        <v>5113.3869912600003</v>
      </c>
      <c r="K57" s="7">
        <v>5228.5309223200002</v>
      </c>
      <c r="L57" s="7">
        <v>5345.3473897499998</v>
      </c>
      <c r="M57" s="7">
        <v>5463.6770202400003</v>
      </c>
      <c r="N57" s="7">
        <v>5583.5783906400002</v>
      </c>
      <c r="O57" s="7">
        <v>5705.1010046299998</v>
      </c>
      <c r="P57" s="7">
        <v>5828.2937732700002</v>
      </c>
      <c r="Q57" s="7">
        <v>5953.2064426400002</v>
      </c>
      <c r="R57" s="7">
        <v>6079.8895313700004</v>
      </c>
      <c r="S57" s="7">
        <v>6208.3938488200001</v>
      </c>
      <c r="T57" s="7">
        <v>6338.7711475799997</v>
      </c>
      <c r="U57" s="7">
        <v>6471.0724579099997</v>
      </c>
      <c r="V57" s="7">
        <v>6605.3471543699998</v>
      </c>
      <c r="W57" s="7">
        <v>6741.6492624399998</v>
      </c>
      <c r="X57" s="7">
        <v>6880.0334417699996</v>
      </c>
      <c r="Y57" s="7">
        <v>7020.5530722699996</v>
      </c>
      <c r="Z57" s="7">
        <v>7163.2649615199998</v>
      </c>
      <c r="AA57" s="7">
        <v>7308.2283121700002</v>
      </c>
      <c r="AB57" s="7">
        <v>7455.5760569399999</v>
      </c>
      <c r="AC57" s="7">
        <v>7605.3191915199995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1.10797119</v>
      </c>
      <c r="E58" s="7">
        <v>1.1062019300000001</v>
      </c>
      <c r="F58" s="7">
        <v>1.10461813</v>
      </c>
      <c r="G58" s="7">
        <v>1.10319569</v>
      </c>
      <c r="H58" s="7">
        <v>1.10191515</v>
      </c>
      <c r="I58" s="7">
        <v>1.10076142</v>
      </c>
      <c r="J58" s="7">
        <v>1.09971632</v>
      </c>
      <c r="K58" s="7">
        <v>1.0987693599999999</v>
      </c>
      <c r="L58" s="7">
        <v>1.0616694799999999</v>
      </c>
      <c r="M58" s="7">
        <v>1.0678669700000001</v>
      </c>
      <c r="N58" s="7">
        <v>1.06728278</v>
      </c>
      <c r="O58" s="7">
        <v>1.0671124999999999</v>
      </c>
      <c r="P58" s="7">
        <v>1.0668756500000001</v>
      </c>
      <c r="Q58" s="7">
        <v>1.0666789000000001</v>
      </c>
      <c r="R58" s="7">
        <v>1.06648586</v>
      </c>
      <c r="S58" s="7">
        <v>1.0663124399999999</v>
      </c>
      <c r="T58" s="7">
        <v>1.0661379499999999</v>
      </c>
      <c r="U58" s="7">
        <v>1.06600674</v>
      </c>
      <c r="V58" s="7">
        <v>1.0659359500000001</v>
      </c>
      <c r="W58" s="7">
        <v>1.0657746100000001</v>
      </c>
      <c r="X58" s="7">
        <v>1.06562289</v>
      </c>
      <c r="Y58" s="7">
        <v>1.06552359</v>
      </c>
      <c r="Z58" s="7">
        <v>1.06536999</v>
      </c>
      <c r="AA58" s="7">
        <v>1.06536955</v>
      </c>
      <c r="AB58" s="7">
        <v>1.0639446299999999</v>
      </c>
      <c r="AC58" s="7">
        <v>1.06505958</v>
      </c>
    </row>
    <row r="59" spans="1:29" x14ac:dyDescent="0.85">
      <c r="A59" t="s">
        <v>157</v>
      </c>
      <c r="B59" s="7">
        <v>1</v>
      </c>
      <c r="C59" s="7">
        <v>1.10995997</v>
      </c>
      <c r="D59" s="7">
        <v>1.1079811900000001</v>
      </c>
      <c r="E59" s="7">
        <v>1.1062026599999999</v>
      </c>
      <c r="F59" s="7">
        <v>1.1046275400000001</v>
      </c>
      <c r="G59" s="7">
        <v>1.1032028</v>
      </c>
      <c r="H59" s="7">
        <v>1.10185925</v>
      </c>
      <c r="I59" s="7">
        <v>1.10076777</v>
      </c>
      <c r="J59" s="7">
        <v>1.09972632</v>
      </c>
      <c r="K59" s="7">
        <v>1.0616694799999999</v>
      </c>
      <c r="L59" s="7">
        <v>1.0678669700000001</v>
      </c>
      <c r="M59" s="7">
        <v>1.06728278</v>
      </c>
      <c r="N59" s="7">
        <v>1.0671124999999999</v>
      </c>
      <c r="O59" s="7">
        <v>1.0668756500000001</v>
      </c>
      <c r="P59" s="7">
        <v>1.0666789000000001</v>
      </c>
      <c r="Q59" s="7">
        <v>1.06648586</v>
      </c>
      <c r="R59" s="7">
        <v>1.0663124399999999</v>
      </c>
      <c r="S59" s="7">
        <v>1.0661379499999999</v>
      </c>
      <c r="T59" s="7">
        <v>1.06600674</v>
      </c>
      <c r="U59" s="7">
        <v>1.0659359500000001</v>
      </c>
      <c r="V59" s="7">
        <v>1.0657746100000001</v>
      </c>
      <c r="W59" s="7">
        <v>1.06562289</v>
      </c>
      <c r="X59" s="7">
        <v>1.06552359</v>
      </c>
      <c r="Y59" s="7">
        <v>1.06536999</v>
      </c>
      <c r="Z59" s="7">
        <v>1.06536955</v>
      </c>
      <c r="AA59" s="7">
        <v>1.0639446299999999</v>
      </c>
      <c r="AB59" s="7">
        <v>1.06505958</v>
      </c>
      <c r="AC59" s="7">
        <v>1.0649438899999999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1.1079811900000001</v>
      </c>
      <c r="E60" s="7">
        <v>1.10621193</v>
      </c>
      <c r="F60" s="7">
        <v>1.10462813</v>
      </c>
      <c r="G60" s="7">
        <v>1.10320569</v>
      </c>
      <c r="H60" s="7">
        <v>1.10192515</v>
      </c>
      <c r="I60" s="7">
        <v>1.1007714200000001</v>
      </c>
      <c r="J60" s="7">
        <v>1.09972632</v>
      </c>
      <c r="K60" s="7">
        <v>1.09877936</v>
      </c>
      <c r="L60" s="7">
        <v>1.0989364500000001</v>
      </c>
      <c r="M60" s="7">
        <v>1.0989237599999999</v>
      </c>
      <c r="N60" s="7">
        <v>1.09893675</v>
      </c>
      <c r="O60" s="7">
        <v>1.0989626800000001</v>
      </c>
      <c r="P60" s="7">
        <v>1.09900274</v>
      </c>
      <c r="Q60" s="7">
        <v>1.0990551</v>
      </c>
      <c r="R60" s="7">
        <v>1.0991190500000001</v>
      </c>
      <c r="S60" s="7">
        <v>1.09919345</v>
      </c>
      <c r="T60" s="7">
        <v>1.0992778000000001</v>
      </c>
      <c r="U60" s="7">
        <v>1.09937036</v>
      </c>
      <c r="V60" s="7">
        <v>1.0994689600000001</v>
      </c>
      <c r="W60" s="7">
        <v>1.0995758099999999</v>
      </c>
      <c r="X60" s="7">
        <v>1.0996902399999999</v>
      </c>
      <c r="Y60" s="7">
        <v>1.0998103400000001</v>
      </c>
      <c r="Z60" s="7">
        <v>1.09993736</v>
      </c>
      <c r="AA60" s="7">
        <v>1.1000664899999999</v>
      </c>
      <c r="AB60" s="7">
        <v>1.1002394600000001</v>
      </c>
      <c r="AC60" s="7">
        <v>1.1003802899999999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</row>
    <row r="62" spans="1:29" x14ac:dyDescent="0.85">
      <c r="A62" t="s">
        <v>160</v>
      </c>
      <c r="B62" s="7">
        <v>43769271</v>
      </c>
      <c r="C62" s="7">
        <v>36683419.974498503</v>
      </c>
      <c r="D62" s="7">
        <v>30664843.477797601</v>
      </c>
      <c r="E62" s="7">
        <v>25099555.401613899</v>
      </c>
      <c r="F62" s="7">
        <v>19693339.237257302</v>
      </c>
      <c r="G62" s="7">
        <v>14621860.8077877</v>
      </c>
      <c r="H62" s="7">
        <v>9553913.5160944909</v>
      </c>
      <c r="I62" s="7">
        <v>4107224.17632293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43769271</v>
      </c>
      <c r="C63" s="7">
        <v>36683419.974498503</v>
      </c>
      <c r="D63" s="7">
        <v>30664843.477797601</v>
      </c>
      <c r="E63" s="7">
        <v>25099555.401613899</v>
      </c>
      <c r="F63" s="7">
        <v>19693339.237257302</v>
      </c>
      <c r="G63" s="7">
        <v>14621860.8077877</v>
      </c>
      <c r="H63" s="7">
        <v>9553913.5160944909</v>
      </c>
      <c r="I63" s="7">
        <v>4107224.17632293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9108.5127685700008</v>
      </c>
      <c r="C64" s="7">
        <v>8741.3150532100008</v>
      </c>
      <c r="D64" s="7">
        <v>8404.0194664600003</v>
      </c>
      <c r="E64" s="7">
        <v>8082.2060122900002</v>
      </c>
      <c r="F64" s="7">
        <v>7768.9020909199999</v>
      </c>
      <c r="G64" s="7">
        <v>7468.0770442399999</v>
      </c>
      <c r="H64" s="7">
        <v>7171.90322818</v>
      </c>
      <c r="I64" s="7">
        <v>6871.3670973099997</v>
      </c>
      <c r="J64" s="7">
        <v>6606.3571455199999</v>
      </c>
      <c r="K64" s="7">
        <v>6441.1982168799996</v>
      </c>
      <c r="L64" s="7">
        <v>6280.1682614600004</v>
      </c>
      <c r="M64" s="7">
        <v>6123.1640549200001</v>
      </c>
      <c r="N64" s="7">
        <v>5970.0849535500001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</row>
    <row r="65" spans="1:29" x14ac:dyDescent="0.85">
      <c r="A65" t="s">
        <v>163</v>
      </c>
      <c r="B65" s="7">
        <v>0</v>
      </c>
      <c r="C65" s="7">
        <v>6016.0808758200001</v>
      </c>
      <c r="D65" s="7">
        <v>5029.0343303600002</v>
      </c>
      <c r="E65" s="7">
        <v>4116.3270858599999</v>
      </c>
      <c r="F65" s="7">
        <v>3229.7076349099998</v>
      </c>
      <c r="G65" s="7">
        <v>2397.9851724800001</v>
      </c>
      <c r="H65" s="7">
        <v>1566.8418166399999</v>
      </c>
      <c r="I65" s="7">
        <v>673.58476492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30.080404380000001</v>
      </c>
      <c r="D66" s="7">
        <v>25.145171650000002</v>
      </c>
      <c r="E66" s="7">
        <v>20.581635429999999</v>
      </c>
      <c r="F66" s="7">
        <v>16.148538169999998</v>
      </c>
      <c r="G66" s="7">
        <v>11.98992586</v>
      </c>
      <c r="H66" s="7">
        <v>7.8342090799999999</v>
      </c>
      <c r="I66" s="7">
        <v>3.3679238200000001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</row>
    <row r="68" spans="1:29" x14ac:dyDescent="0.85">
      <c r="A68" t="s">
        <v>166</v>
      </c>
      <c r="B68" s="7">
        <v>1018.94862888</v>
      </c>
      <c r="C68" s="7">
        <v>853.99001700999997</v>
      </c>
      <c r="D68" s="7">
        <v>713.87755616000004</v>
      </c>
      <c r="E68" s="7">
        <v>584.31764974999999</v>
      </c>
      <c r="F68" s="7">
        <v>458.46093744000001</v>
      </c>
      <c r="G68" s="7">
        <v>340.39691961</v>
      </c>
      <c r="H68" s="7">
        <v>222.41510665000001</v>
      </c>
      <c r="I68" s="7">
        <v>95.616178820000002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0.85959896999999996</v>
      </c>
      <c r="E69" s="7">
        <v>0.85736612000000001</v>
      </c>
      <c r="F69" s="7">
        <v>0.83949991999999996</v>
      </c>
      <c r="G69" s="7">
        <v>0.80472726999999999</v>
      </c>
      <c r="H69" s="7">
        <v>0.76151535999999997</v>
      </c>
      <c r="I69" s="7">
        <v>0.67015312000000005</v>
      </c>
      <c r="J69" s="7">
        <v>0.44092272999999998</v>
      </c>
      <c r="K69" s="7">
        <v>0</v>
      </c>
      <c r="L69" s="7">
        <v>0.99999992000000004</v>
      </c>
      <c r="M69" s="7">
        <v>0.98494205999999995</v>
      </c>
      <c r="N69" s="7">
        <v>0.99000065999999998</v>
      </c>
      <c r="O69" s="7">
        <v>0.99058831999999997</v>
      </c>
      <c r="P69" s="7">
        <v>0.99399683000000005</v>
      </c>
      <c r="Q69" s="7">
        <v>0.99673931999999998</v>
      </c>
      <c r="R69" s="7">
        <v>0.99772070000000002</v>
      </c>
      <c r="S69" s="7">
        <v>0.99840998999999997</v>
      </c>
      <c r="T69" s="7">
        <v>0.99912358000000001</v>
      </c>
      <c r="U69" s="7">
        <v>0.99978007999999996</v>
      </c>
      <c r="V69" s="7">
        <v>0.99976195999999995</v>
      </c>
      <c r="W69" s="7">
        <v>0.99999941000000003</v>
      </c>
      <c r="X69" s="7">
        <v>0.99997051999999997</v>
      </c>
      <c r="Y69" s="7">
        <v>0.99999749000000004</v>
      </c>
      <c r="Z69" s="7">
        <v>0.99999161999999997</v>
      </c>
      <c r="AA69" s="7">
        <v>1</v>
      </c>
      <c r="AB69" s="7">
        <v>0.99742030000000004</v>
      </c>
      <c r="AC69" s="7">
        <v>0.99886775000000005</v>
      </c>
    </row>
    <row r="70" spans="1:29" x14ac:dyDescent="0.85">
      <c r="A70" t="s">
        <v>168</v>
      </c>
      <c r="B70" s="7">
        <v>1</v>
      </c>
      <c r="C70" s="7">
        <v>0.85959896999999996</v>
      </c>
      <c r="D70" s="7">
        <v>0.85736612000000001</v>
      </c>
      <c r="E70" s="7">
        <v>0.83949991999999996</v>
      </c>
      <c r="F70" s="7">
        <v>0.80472726999999999</v>
      </c>
      <c r="G70" s="7">
        <v>0.76151535999999997</v>
      </c>
      <c r="H70" s="7">
        <v>0.67015312000000005</v>
      </c>
      <c r="I70" s="7">
        <v>0.44092272999999998</v>
      </c>
      <c r="J70" s="7">
        <v>0</v>
      </c>
      <c r="K70" s="7">
        <v>0.99999992000000004</v>
      </c>
      <c r="L70" s="7">
        <v>0.98494205999999995</v>
      </c>
      <c r="M70" s="7">
        <v>0.99000065999999998</v>
      </c>
      <c r="N70" s="7">
        <v>0.99058831999999997</v>
      </c>
      <c r="O70" s="7">
        <v>0.99399683000000005</v>
      </c>
      <c r="P70" s="7">
        <v>0.99673931999999998</v>
      </c>
      <c r="Q70" s="7">
        <v>0.99772070000000002</v>
      </c>
      <c r="R70" s="7">
        <v>0.99840998999999997</v>
      </c>
      <c r="S70" s="7">
        <v>0.99912358000000001</v>
      </c>
      <c r="T70" s="7">
        <v>0.99978007999999996</v>
      </c>
      <c r="U70" s="7">
        <v>0.99976195999999995</v>
      </c>
      <c r="V70" s="7">
        <v>0.99999941000000003</v>
      </c>
      <c r="W70" s="7">
        <v>0.99997051999999997</v>
      </c>
      <c r="X70" s="7">
        <v>0.99999749000000004</v>
      </c>
      <c r="Y70" s="7">
        <v>0.99999161999999997</v>
      </c>
      <c r="Z70" s="7">
        <v>1</v>
      </c>
      <c r="AA70" s="7">
        <v>0.99742030000000004</v>
      </c>
      <c r="AB70" s="7">
        <v>0.99886775000000005</v>
      </c>
      <c r="AC70" s="7">
        <v>0.99999932000000002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1.51540143</v>
      </c>
      <c r="E71" s="7">
        <v>1.54958273</v>
      </c>
      <c r="F71" s="7">
        <v>1.5862164299999999</v>
      </c>
      <c r="G71" s="7">
        <v>1.6254847800000001</v>
      </c>
      <c r="H71" s="7">
        <v>1.66757405</v>
      </c>
      <c r="I71" s="7">
        <v>1.7126640399999999</v>
      </c>
      <c r="J71" s="7">
        <v>1.7610183399999999</v>
      </c>
      <c r="K71" s="7">
        <v>1.8128498099999999</v>
      </c>
      <c r="L71" s="7">
        <v>1.85044718</v>
      </c>
      <c r="M71" s="7">
        <v>1.8930236300000001</v>
      </c>
      <c r="N71" s="7">
        <v>1.9375792000000001</v>
      </c>
      <c r="O71" s="7">
        <v>1.98441296</v>
      </c>
      <c r="P71" s="7">
        <v>2.0335932799999998</v>
      </c>
      <c r="Q71" s="7">
        <v>2.0852506599999998</v>
      </c>
      <c r="R71" s="7">
        <v>2.1395015599999998</v>
      </c>
      <c r="S71" s="7">
        <v>2.1964784800000001</v>
      </c>
      <c r="T71" s="7">
        <v>2.2563069900000001</v>
      </c>
      <c r="U71" s="7">
        <v>2.31915111</v>
      </c>
      <c r="V71" s="7">
        <v>2.3852008499999999</v>
      </c>
      <c r="W71" s="7">
        <v>2.45453812</v>
      </c>
      <c r="X71" s="7">
        <v>2.5273228799999998</v>
      </c>
      <c r="Y71" s="7">
        <v>2.6037622800000002</v>
      </c>
      <c r="Z71" s="7">
        <v>2.6839786000000001</v>
      </c>
      <c r="AA71" s="7">
        <v>2.7682986399999998</v>
      </c>
      <c r="AB71" s="7">
        <v>2.85543266</v>
      </c>
      <c r="AC71" s="7">
        <v>2.9481488499999999</v>
      </c>
    </row>
    <row r="72" spans="1:29" x14ac:dyDescent="0.85">
      <c r="A72" t="s">
        <v>170</v>
      </c>
      <c r="B72" s="7">
        <v>0</v>
      </c>
      <c r="C72" s="7">
        <v>67.221930080000007</v>
      </c>
      <c r="D72" s="7">
        <v>206.45773036</v>
      </c>
      <c r="E72" s="7">
        <v>301.46807305999999</v>
      </c>
      <c r="F72" s="7">
        <v>339.22936111000001</v>
      </c>
      <c r="G72" s="7">
        <v>428.40220158</v>
      </c>
      <c r="H72" s="7">
        <v>500.04553568</v>
      </c>
      <c r="I72" s="7">
        <v>570.73147508</v>
      </c>
      <c r="J72" s="7">
        <v>513.65832756999998</v>
      </c>
      <c r="K72" s="7">
        <v>476.70119591999998</v>
      </c>
      <c r="L72" s="7">
        <v>429.04842055</v>
      </c>
      <c r="M72" s="7">
        <v>387.33652111999999</v>
      </c>
      <c r="N72" s="7">
        <v>348.60286901000001</v>
      </c>
      <c r="O72" s="7">
        <v>313.8146327</v>
      </c>
      <c r="P72" s="7">
        <v>282.46291473999997</v>
      </c>
      <c r="Q72" s="7">
        <v>254.38587670999999</v>
      </c>
      <c r="R72" s="7">
        <v>228.94798868999999</v>
      </c>
      <c r="S72" s="7">
        <v>206.07643306</v>
      </c>
      <c r="T72" s="7">
        <v>185.78654477000001</v>
      </c>
      <c r="U72" s="7">
        <v>167.20808097</v>
      </c>
      <c r="V72" s="7">
        <v>150.87314660999999</v>
      </c>
      <c r="W72" s="7">
        <v>137.15365571999999</v>
      </c>
      <c r="X72" s="7">
        <v>123.63533027</v>
      </c>
      <c r="Y72" s="7">
        <v>111.35532708</v>
      </c>
      <c r="Z72" s="7">
        <v>100.30151662999999</v>
      </c>
      <c r="AA72" s="7">
        <v>90.271366639999997</v>
      </c>
      <c r="AB72" s="7">
        <v>81.244485229999995</v>
      </c>
      <c r="AC72" s="7">
        <v>73.122120210000006</v>
      </c>
    </row>
    <row r="73" spans="1:29" x14ac:dyDescent="0.85">
      <c r="A73" t="s">
        <v>171</v>
      </c>
      <c r="B73" s="7">
        <v>0</v>
      </c>
      <c r="C73" s="7">
        <v>16.805482250000001</v>
      </c>
      <c r="D73" s="7">
        <v>36.489497749999998</v>
      </c>
      <c r="E73" s="7">
        <v>28.914016700000001</v>
      </c>
      <c r="F73" s="7">
        <v>16.977024119999999</v>
      </c>
      <c r="G73" s="7">
        <v>30.773953540000001</v>
      </c>
      <c r="H73" s="7">
        <v>28.620889720000001</v>
      </c>
      <c r="I73" s="7">
        <v>30.172624169999999</v>
      </c>
      <c r="J73" s="7">
        <v>0</v>
      </c>
      <c r="K73" s="7">
        <v>3.60217659</v>
      </c>
      <c r="L73" s="7">
        <v>4.3360100000000004E-3</v>
      </c>
      <c r="M73" s="7">
        <v>0.29823469000000002</v>
      </c>
      <c r="N73" s="7">
        <v>0</v>
      </c>
      <c r="O73" s="7">
        <v>1.773195E-2</v>
      </c>
      <c r="P73" s="7">
        <v>6.0187299999999999E-3</v>
      </c>
      <c r="Q73" s="7">
        <v>4.345131E-2</v>
      </c>
      <c r="R73" s="7">
        <v>7.3543000000000002E-4</v>
      </c>
      <c r="S73" s="7">
        <v>5.8114899999999999E-3</v>
      </c>
      <c r="T73" s="7">
        <v>7.4382870000000004E-2</v>
      </c>
      <c r="U73" s="7">
        <v>4.9504600000000003E-3</v>
      </c>
      <c r="V73" s="7">
        <v>9.6542890000000006E-2</v>
      </c>
      <c r="W73" s="7">
        <v>0.32556906000000002</v>
      </c>
      <c r="X73" s="7">
        <v>1.6294719999999999E-2</v>
      </c>
      <c r="Y73" s="7">
        <v>6.5407389999999996E-2</v>
      </c>
      <c r="Z73" s="7">
        <v>0</v>
      </c>
      <c r="AA73" s="7">
        <v>22.56775575</v>
      </c>
      <c r="AB73" s="7">
        <v>20.31101189</v>
      </c>
      <c r="AC73" s="7">
        <v>18.279386909999999</v>
      </c>
    </row>
    <row r="74" spans="1:29" x14ac:dyDescent="0.85">
      <c r="A74" t="s">
        <v>172</v>
      </c>
      <c r="B74" s="7">
        <v>0</v>
      </c>
      <c r="C74" s="7">
        <v>16.805482250000001</v>
      </c>
      <c r="D74" s="7">
        <v>36.489497749999998</v>
      </c>
      <c r="E74" s="7">
        <v>28.914016700000001</v>
      </c>
      <c r="F74" s="7">
        <v>16.977024119999999</v>
      </c>
      <c r="G74" s="7">
        <v>30.773953540000001</v>
      </c>
      <c r="H74" s="7">
        <v>28.620889720000001</v>
      </c>
      <c r="I74" s="7">
        <v>30.172624169999999</v>
      </c>
      <c r="J74" s="7">
        <v>0</v>
      </c>
      <c r="K74" s="7">
        <v>3.60217659</v>
      </c>
      <c r="L74" s="7">
        <v>4.3360100000000004E-3</v>
      </c>
      <c r="M74" s="7">
        <v>0.29823469000000002</v>
      </c>
      <c r="N74" s="7">
        <v>0</v>
      </c>
      <c r="O74" s="7">
        <v>1.773195E-2</v>
      </c>
      <c r="P74" s="7">
        <v>6.0187299999999999E-3</v>
      </c>
      <c r="Q74" s="7">
        <v>4.345131E-2</v>
      </c>
      <c r="R74" s="7">
        <v>7.3543000000000002E-4</v>
      </c>
      <c r="S74" s="7">
        <v>5.8114899999999999E-3</v>
      </c>
      <c r="T74" s="7">
        <v>7.4382870000000004E-2</v>
      </c>
      <c r="U74" s="7">
        <v>4.9504600000000003E-3</v>
      </c>
      <c r="V74" s="7">
        <v>9.6542890000000006E-2</v>
      </c>
      <c r="W74" s="7">
        <v>0.32556906000000002</v>
      </c>
      <c r="X74" s="7">
        <v>1.6294719999999999E-2</v>
      </c>
      <c r="Y74" s="7">
        <v>6.5407389999999996E-2</v>
      </c>
      <c r="Z74" s="7">
        <v>0</v>
      </c>
      <c r="AA74" s="7">
        <v>22.56775575</v>
      </c>
      <c r="AB74" s="7">
        <v>20.31101189</v>
      </c>
      <c r="AC74" s="7">
        <v>18.279386909999999</v>
      </c>
    </row>
    <row r="75" spans="1:29" x14ac:dyDescent="0.85">
      <c r="A75" t="s">
        <v>173</v>
      </c>
      <c r="B75" s="7">
        <v>0</v>
      </c>
      <c r="C75" s="7">
        <v>17.852121660000002</v>
      </c>
      <c r="D75" s="7">
        <v>54.82875181</v>
      </c>
      <c r="E75" s="7">
        <v>80.060208220000007</v>
      </c>
      <c r="F75" s="7">
        <v>90.088175579999998</v>
      </c>
      <c r="G75" s="7">
        <v>113.76968146</v>
      </c>
      <c r="H75" s="7">
        <v>132.79571870000001</v>
      </c>
      <c r="I75" s="7">
        <v>151.56755502999999</v>
      </c>
      <c r="J75" s="7">
        <v>136.41042558999999</v>
      </c>
      <c r="K75" s="7">
        <v>126.59590043999999</v>
      </c>
      <c r="L75" s="7">
        <v>113.94087184999999</v>
      </c>
      <c r="M75" s="7">
        <v>102.86359428</v>
      </c>
      <c r="N75" s="7">
        <v>92.577231150000003</v>
      </c>
      <c r="O75" s="7">
        <v>83.338642500000006</v>
      </c>
      <c r="P75" s="7">
        <v>75.01267747</v>
      </c>
      <c r="Q75" s="7">
        <v>67.556358290000006</v>
      </c>
      <c r="R75" s="7">
        <v>60.800907729999999</v>
      </c>
      <c r="S75" s="7">
        <v>54.726989660000001</v>
      </c>
      <c r="T75" s="7">
        <v>49.338676720000002</v>
      </c>
      <c r="U75" s="7">
        <v>44.404858830000002</v>
      </c>
      <c r="V75" s="7">
        <v>40.066849339999997</v>
      </c>
      <c r="W75" s="7">
        <v>36.423415810000002</v>
      </c>
      <c r="X75" s="7">
        <v>32.833397669999997</v>
      </c>
      <c r="Y75" s="7">
        <v>29.572241330000001</v>
      </c>
      <c r="Z75" s="7">
        <v>26.636719070000002</v>
      </c>
      <c r="AA75" s="7">
        <v>23.97335837</v>
      </c>
      <c r="AB75" s="7">
        <v>21.576090319999999</v>
      </c>
      <c r="AC75" s="7">
        <v>19.419034589999999</v>
      </c>
    </row>
    <row r="76" spans="1:29" x14ac:dyDescent="0.85">
      <c r="A76" t="s">
        <v>174</v>
      </c>
      <c r="B76" s="7">
        <v>0</v>
      </c>
      <c r="C76" s="7">
        <v>3.7392000000000002E-4</v>
      </c>
      <c r="D76" s="7">
        <v>8.1189000000000001E-4</v>
      </c>
      <c r="E76" s="7">
        <v>6.4333999999999995E-4</v>
      </c>
      <c r="F76" s="7">
        <v>3.7774E-4</v>
      </c>
      <c r="G76" s="7">
        <v>6.8471999999999999E-4</v>
      </c>
      <c r="H76" s="7">
        <v>6.3681000000000002E-4</v>
      </c>
      <c r="I76" s="7">
        <v>6.7133999999999998E-4</v>
      </c>
      <c r="J76" s="7">
        <v>0</v>
      </c>
      <c r="K76" s="7">
        <v>8.0149999999999997E-5</v>
      </c>
      <c r="L76" s="7">
        <v>9.9999999999999995E-8</v>
      </c>
      <c r="M76" s="7">
        <v>6.64E-6</v>
      </c>
      <c r="N76" s="7">
        <v>0</v>
      </c>
      <c r="O76" s="7">
        <v>3.9000000000000002E-7</v>
      </c>
      <c r="P76" s="7">
        <v>1.3E-7</v>
      </c>
      <c r="Q76" s="7">
        <v>9.7000000000000003E-7</v>
      </c>
      <c r="R76" s="7">
        <v>2E-8</v>
      </c>
      <c r="S76" s="7">
        <v>1.3E-7</v>
      </c>
      <c r="T76" s="7">
        <v>1.66E-6</v>
      </c>
      <c r="U76" s="7">
        <v>1.1000000000000001E-7</v>
      </c>
      <c r="V76" s="7">
        <v>2.1500000000000002E-6</v>
      </c>
      <c r="W76" s="7">
        <v>7.2400000000000001E-6</v>
      </c>
      <c r="X76" s="7">
        <v>3.5999999999999999E-7</v>
      </c>
      <c r="Y76" s="7">
        <v>1.46E-6</v>
      </c>
      <c r="Z76" s="7">
        <v>0</v>
      </c>
      <c r="AA76" s="7">
        <v>5.0213000000000005E-4</v>
      </c>
      <c r="AB76" s="7">
        <v>4.5192000000000002E-4</v>
      </c>
      <c r="AC76" s="7">
        <v>4.0672000000000001E-4</v>
      </c>
    </row>
    <row r="77" spans="1:29" x14ac:dyDescent="0.85">
      <c r="A77" t="s">
        <v>175</v>
      </c>
      <c r="B77" s="7">
        <v>0</v>
      </c>
      <c r="C77" s="7">
        <v>1.8700000000000001E-6</v>
      </c>
      <c r="D77" s="7">
        <v>4.0600000000000001E-6</v>
      </c>
      <c r="E77" s="7">
        <v>3.2200000000000001E-6</v>
      </c>
      <c r="F77" s="7">
        <v>1.8899999999999999E-6</v>
      </c>
      <c r="G77" s="7">
        <v>3.4199999999999999E-6</v>
      </c>
      <c r="H77" s="7">
        <v>3.18E-6</v>
      </c>
      <c r="I77" s="7">
        <v>3.36E-6</v>
      </c>
      <c r="J77" s="7">
        <v>0</v>
      </c>
      <c r="K77" s="7">
        <v>3.9999999999999998E-7</v>
      </c>
      <c r="L77" s="7">
        <v>0</v>
      </c>
      <c r="M77" s="7">
        <v>2.9999999999999997E-8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1E-8</v>
      </c>
      <c r="U77" s="7">
        <v>0</v>
      </c>
      <c r="V77" s="7">
        <v>1E-8</v>
      </c>
      <c r="W77" s="7">
        <v>4.0000000000000001E-8</v>
      </c>
      <c r="X77" s="7">
        <v>0</v>
      </c>
      <c r="Y77" s="7">
        <v>1E-8</v>
      </c>
      <c r="Z77" s="7">
        <v>0</v>
      </c>
      <c r="AA77" s="7">
        <v>2.5100000000000001E-6</v>
      </c>
      <c r="AB77" s="7">
        <v>2.26E-6</v>
      </c>
      <c r="AC77" s="7">
        <v>2.03E-6</v>
      </c>
    </row>
    <row r="78" spans="1:29" x14ac:dyDescent="0.85">
      <c r="A78" t="s">
        <v>176</v>
      </c>
      <c r="B78" s="7">
        <v>0</v>
      </c>
      <c r="C78" s="7">
        <v>17.85189025</v>
      </c>
      <c r="D78" s="7">
        <v>54.82824935</v>
      </c>
      <c r="E78" s="7">
        <v>80.059810080000005</v>
      </c>
      <c r="F78" s="7">
        <v>90.087941810000004</v>
      </c>
      <c r="G78" s="7">
        <v>113.76925771000001</v>
      </c>
      <c r="H78" s="7">
        <v>132.79532459000001</v>
      </c>
      <c r="I78" s="7">
        <v>151.56713955000001</v>
      </c>
      <c r="J78" s="7">
        <v>136.41042558999999</v>
      </c>
      <c r="K78" s="7">
        <v>126.59585083</v>
      </c>
      <c r="L78" s="7">
        <v>113.94087179</v>
      </c>
      <c r="M78" s="7">
        <v>102.86359016999999</v>
      </c>
      <c r="N78" s="7">
        <v>92.577231150000003</v>
      </c>
      <c r="O78" s="7">
        <v>83.33864226</v>
      </c>
      <c r="P78" s="7">
        <v>75.012677389999993</v>
      </c>
      <c r="Q78" s="7">
        <v>67.556357689999999</v>
      </c>
      <c r="R78" s="7">
        <v>60.800907719999998</v>
      </c>
      <c r="S78" s="7">
        <v>54.726989580000001</v>
      </c>
      <c r="T78" s="7">
        <v>49.338675690000002</v>
      </c>
      <c r="U78" s="7">
        <v>44.404858760000003</v>
      </c>
      <c r="V78" s="7">
        <v>40.066848010000001</v>
      </c>
      <c r="W78" s="7">
        <v>36.42341133</v>
      </c>
      <c r="X78" s="7">
        <v>32.83339745</v>
      </c>
      <c r="Y78" s="7">
        <v>29.572240430000001</v>
      </c>
      <c r="Z78" s="7">
        <v>26.636719070000002</v>
      </c>
      <c r="AA78" s="7">
        <v>23.973047609999998</v>
      </c>
      <c r="AB78" s="7">
        <v>21.57581064</v>
      </c>
      <c r="AC78" s="7">
        <v>19.418782879999998</v>
      </c>
    </row>
    <row r="79" spans="1:29" x14ac:dyDescent="0.85">
      <c r="A79" t="s">
        <v>177</v>
      </c>
      <c r="B79" s="7">
        <v>0</v>
      </c>
      <c r="C79" s="7">
        <v>2.3141000000000001E-4</v>
      </c>
      <c r="D79" s="7">
        <v>5.0246000000000004E-4</v>
      </c>
      <c r="E79" s="7">
        <v>3.9815E-4</v>
      </c>
      <c r="F79" s="7">
        <v>2.3377000000000001E-4</v>
      </c>
      <c r="G79" s="7">
        <v>4.2376000000000002E-4</v>
      </c>
      <c r="H79" s="7">
        <v>3.9410999999999998E-4</v>
      </c>
      <c r="I79" s="7">
        <v>4.1548000000000003E-4</v>
      </c>
      <c r="J79" s="7">
        <v>0</v>
      </c>
      <c r="K79" s="7">
        <v>4.9599999999999999E-5</v>
      </c>
      <c r="L79" s="7">
        <v>5.9999999999999995E-8</v>
      </c>
      <c r="M79" s="7">
        <v>4.1099999999999996E-6</v>
      </c>
      <c r="N79" s="7">
        <v>0</v>
      </c>
      <c r="O79" s="7">
        <v>2.3999999999999998E-7</v>
      </c>
      <c r="P79" s="7">
        <v>8.0000000000000002E-8</v>
      </c>
      <c r="Q79" s="7">
        <v>5.9999999999999997E-7</v>
      </c>
      <c r="R79" s="7">
        <v>1E-8</v>
      </c>
      <c r="S79" s="7">
        <v>8.0000000000000002E-8</v>
      </c>
      <c r="T79" s="7">
        <v>1.02E-6</v>
      </c>
      <c r="U79" s="7">
        <v>7.0000000000000005E-8</v>
      </c>
      <c r="V79" s="7">
        <v>1.33E-6</v>
      </c>
      <c r="W79" s="7">
        <v>4.4800000000000003E-6</v>
      </c>
      <c r="X79" s="7">
        <v>2.2000000000000001E-7</v>
      </c>
      <c r="Y79" s="7">
        <v>8.9999999999999996E-7</v>
      </c>
      <c r="Z79" s="7">
        <v>0</v>
      </c>
      <c r="AA79" s="7">
        <v>3.1075999999999999E-4</v>
      </c>
      <c r="AB79" s="7">
        <v>2.7967999999999998E-4</v>
      </c>
      <c r="AC79" s="7">
        <v>2.5170999999999999E-4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1.0747226400000001</v>
      </c>
      <c r="E80" s="7">
        <v>1.1555577400000001</v>
      </c>
      <c r="F80" s="7">
        <v>1.1180385500000001</v>
      </c>
      <c r="G80" s="7">
        <v>1.0664144099999999</v>
      </c>
      <c r="H80" s="7">
        <v>1.11545304</v>
      </c>
      <c r="I80" s="7">
        <v>1.1028860599999999</v>
      </c>
      <c r="J80" s="7">
        <v>1.1039509999999999</v>
      </c>
      <c r="K80" s="7">
        <v>1</v>
      </c>
      <c r="L80" s="7">
        <v>1.0114139099999999</v>
      </c>
      <c r="M80" s="7">
        <v>1.0000134599999999</v>
      </c>
      <c r="N80" s="7">
        <v>1.0009041000000001</v>
      </c>
      <c r="O80" s="7">
        <v>1</v>
      </c>
      <c r="P80" s="7">
        <v>1.00005207</v>
      </c>
      <c r="Q80" s="7">
        <v>1.0000209900000001</v>
      </c>
      <c r="R80" s="7">
        <v>1.0001166100000001</v>
      </c>
      <c r="S80" s="7">
        <v>1.00000047</v>
      </c>
      <c r="T80" s="7">
        <v>1.00001527</v>
      </c>
      <c r="U80" s="7">
        <v>1.0002037500000001</v>
      </c>
      <c r="V80" s="7">
        <v>1.0000001199999999</v>
      </c>
      <c r="W80" s="7">
        <v>1.00023584</v>
      </c>
      <c r="X80" s="7">
        <v>1.0008161900000001</v>
      </c>
      <c r="Y80" s="7">
        <v>1.00011479</v>
      </c>
      <c r="Z80" s="7">
        <v>1.0000475099999999</v>
      </c>
      <c r="AA80" s="7">
        <v>1.00004538</v>
      </c>
      <c r="AB80" s="7">
        <v>1</v>
      </c>
      <c r="AC80" s="7">
        <v>1.00000014</v>
      </c>
    </row>
    <row r="81" spans="1:29" x14ac:dyDescent="0.85">
      <c r="A81" t="s">
        <v>179</v>
      </c>
      <c r="B81" s="7">
        <v>1</v>
      </c>
      <c r="C81" s="7">
        <v>1.0747226400000001</v>
      </c>
      <c r="D81" s="7">
        <v>1.1555577400000001</v>
      </c>
      <c r="E81" s="7">
        <v>1.1180385500000001</v>
      </c>
      <c r="F81" s="7">
        <v>1.0664144099999999</v>
      </c>
      <c r="G81" s="7">
        <v>1.11545304</v>
      </c>
      <c r="H81" s="7">
        <v>1.1028860599999999</v>
      </c>
      <c r="I81" s="7">
        <v>1.1039509999999999</v>
      </c>
      <c r="J81" s="7">
        <v>1</v>
      </c>
      <c r="K81" s="7">
        <v>1.0114139099999999</v>
      </c>
      <c r="L81" s="7">
        <v>1.0000134599999999</v>
      </c>
      <c r="M81" s="7">
        <v>1.0009041000000001</v>
      </c>
      <c r="N81" s="7">
        <v>1</v>
      </c>
      <c r="O81" s="7">
        <v>1.00005207</v>
      </c>
      <c r="P81" s="7">
        <v>1.0000209900000001</v>
      </c>
      <c r="Q81" s="7">
        <v>1.0001166100000001</v>
      </c>
      <c r="R81" s="7">
        <v>1.00000047</v>
      </c>
      <c r="S81" s="7">
        <v>1.00001527</v>
      </c>
      <c r="T81" s="7">
        <v>1.0002037500000001</v>
      </c>
      <c r="U81" s="7">
        <v>1.0000001199999999</v>
      </c>
      <c r="V81" s="7">
        <v>1.00023584</v>
      </c>
      <c r="W81" s="7">
        <v>1.0008161900000001</v>
      </c>
      <c r="X81" s="7">
        <v>1.00011479</v>
      </c>
      <c r="Y81" s="7">
        <v>1.0000475099999999</v>
      </c>
      <c r="Z81" s="7">
        <v>1.00004538</v>
      </c>
      <c r="AA81" s="7">
        <v>1</v>
      </c>
      <c r="AB81" s="7">
        <v>1.00000014</v>
      </c>
      <c r="AC81" s="7">
        <v>1.0000010800000001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2508-2AF7-48D4-9DBE-2DF7995F1BB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34101.32698066</v>
      </c>
      <c r="D5" s="7">
        <v>36720.900831140003</v>
      </c>
      <c r="E5" s="7">
        <v>37620.114656439997</v>
      </c>
      <c r="F5" s="7">
        <v>38631.168213780002</v>
      </c>
      <c r="G5" s="7">
        <v>39661.602622600003</v>
      </c>
      <c r="H5" s="7">
        <v>40717.166528959999</v>
      </c>
      <c r="I5" s="7">
        <v>41797.100468119999</v>
      </c>
      <c r="J5" s="7">
        <v>42854.770340590003</v>
      </c>
      <c r="K5" s="7">
        <v>44030.423081150002</v>
      </c>
      <c r="L5" s="7">
        <v>45255.533832959998</v>
      </c>
      <c r="M5" s="7">
        <v>46508.233751719999</v>
      </c>
      <c r="N5" s="7">
        <v>47793.551792279999</v>
      </c>
      <c r="O5" s="7">
        <v>49108.302453479999</v>
      </c>
      <c r="P5" s="7">
        <v>50452.973586430002</v>
      </c>
      <c r="Q5" s="7">
        <v>51805.726342670001</v>
      </c>
      <c r="R5" s="7">
        <v>53227.995622599999</v>
      </c>
      <c r="S5" s="7">
        <v>54681.352170519996</v>
      </c>
      <c r="T5" s="7">
        <v>56166.343201060001</v>
      </c>
      <c r="U5" s="7">
        <v>57685.95444614</v>
      </c>
      <c r="V5" s="7">
        <v>58774.527170419999</v>
      </c>
      <c r="W5" s="7">
        <v>59568.805229600002</v>
      </c>
      <c r="X5" s="7">
        <v>60716.915574370003</v>
      </c>
      <c r="Y5" s="7">
        <v>61875.133709610003</v>
      </c>
      <c r="Z5" s="7">
        <v>63214.934139450001</v>
      </c>
      <c r="AA5" s="7">
        <v>64460.802609539998</v>
      </c>
      <c r="AB5" s="7">
        <v>65795.097632439996</v>
      </c>
      <c r="AC5" s="7">
        <v>67161.336947889999</v>
      </c>
    </row>
    <row r="6" spans="1:29" x14ac:dyDescent="0.85">
      <c r="A6" t="s">
        <v>106</v>
      </c>
      <c r="B6" s="7">
        <v>122537074.25</v>
      </c>
      <c r="C6" s="7">
        <v>125092959.414423</v>
      </c>
      <c r="D6" s="7">
        <v>127699997.54826701</v>
      </c>
      <c r="E6" s="7">
        <v>130359198.66164599</v>
      </c>
      <c r="F6" s="7">
        <v>133071556.850978</v>
      </c>
      <c r="G6" s="7">
        <v>135838162.20399901</v>
      </c>
      <c r="H6" s="7">
        <v>138660099.66428101</v>
      </c>
      <c r="I6" s="7">
        <v>141538564.39706701</v>
      </c>
      <c r="J6" s="7">
        <v>144474919.22896299</v>
      </c>
      <c r="K6" s="7">
        <v>147470599.47323799</v>
      </c>
      <c r="L6" s="7">
        <v>150526994.43891501</v>
      </c>
      <c r="M6" s="7">
        <v>153645713.70469999</v>
      </c>
      <c r="N6" s="7">
        <v>156828181.34530899</v>
      </c>
      <c r="O6" s="7">
        <v>160076667.10410401</v>
      </c>
      <c r="P6" s="7">
        <v>163393265.079218</v>
      </c>
      <c r="Q6" s="7">
        <v>166778361.83546701</v>
      </c>
      <c r="R6" s="7">
        <v>170236286.46855301</v>
      </c>
      <c r="S6" s="7">
        <v>173768163.310651</v>
      </c>
      <c r="T6" s="7">
        <v>177377083.72134501</v>
      </c>
      <c r="U6" s="7">
        <v>181064821.51042899</v>
      </c>
      <c r="V6" s="7">
        <v>184784166.308148</v>
      </c>
      <c r="W6" s="7">
        <v>188551718.793322</v>
      </c>
      <c r="X6" s="7">
        <v>192424258.38312399</v>
      </c>
      <c r="Y6" s="7">
        <v>196373607.377893</v>
      </c>
      <c r="Z6" s="7">
        <v>200413522.60871401</v>
      </c>
      <c r="AA6" s="7">
        <v>204525250.36661801</v>
      </c>
      <c r="AB6" s="7">
        <v>208724004.28933099</v>
      </c>
      <c r="AC6" s="7">
        <v>213007091.26119399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13026.5702838</v>
      </c>
      <c r="D8" s="7">
        <v>14379.69766068</v>
      </c>
      <c r="E8" s="7">
        <v>14404.48023402</v>
      </c>
      <c r="F8" s="7">
        <v>14515.02541629</v>
      </c>
      <c r="G8" s="7">
        <v>14635.964219560001</v>
      </c>
      <c r="H8" s="7">
        <v>14766.00558567</v>
      </c>
      <c r="I8" s="7">
        <v>14906.02596967</v>
      </c>
      <c r="J8" s="7">
        <v>15050.85645365</v>
      </c>
      <c r="K8" s="7">
        <v>15222.45737034</v>
      </c>
      <c r="L8" s="7">
        <v>15405.1531388</v>
      </c>
      <c r="M8" s="7">
        <v>15599.717683389999</v>
      </c>
      <c r="N8" s="7">
        <v>15804.11605819</v>
      </c>
      <c r="O8" s="7">
        <v>16019.41126008</v>
      </c>
      <c r="P8" s="7">
        <v>16245.256787329999</v>
      </c>
      <c r="Q8" s="7">
        <v>16473.549107890001</v>
      </c>
      <c r="R8" s="7">
        <v>16724.183655379999</v>
      </c>
      <c r="S8" s="7">
        <v>16985.56261506</v>
      </c>
      <c r="T8" s="7">
        <v>17257.770835259998</v>
      </c>
      <c r="U8" s="7">
        <v>17541.553678429998</v>
      </c>
      <c r="V8" s="7">
        <v>17697.31752737</v>
      </c>
      <c r="W8" s="7">
        <v>17761.51756298</v>
      </c>
      <c r="X8" s="7">
        <v>17934.03446545</v>
      </c>
      <c r="Y8" s="7">
        <v>18110.881789520001</v>
      </c>
      <c r="Z8" s="7">
        <v>18343.068219249999</v>
      </c>
      <c r="AA8" s="7">
        <v>18547.11777347</v>
      </c>
      <c r="AB8" s="7">
        <v>18778.703350569998</v>
      </c>
      <c r="AC8" s="7">
        <v>19020.236918319999</v>
      </c>
    </row>
    <row r="9" spans="1:29" x14ac:dyDescent="0.85">
      <c r="A9" t="s">
        <v>109</v>
      </c>
      <c r="B9" s="7">
        <v>2202.4877514200002</v>
      </c>
      <c r="C9" s="7">
        <v>2147.0436622699999</v>
      </c>
      <c r="D9" s="7">
        <v>2080.8874320099999</v>
      </c>
      <c r="E9" s="7">
        <v>2150.0952283000001</v>
      </c>
      <c r="F9" s="7">
        <v>2186.00082131</v>
      </c>
      <c r="G9" s="7">
        <v>2222.0695542100002</v>
      </c>
      <c r="H9" s="7">
        <v>2258.6356697599999</v>
      </c>
      <c r="I9" s="7">
        <v>2295.57102588</v>
      </c>
      <c r="J9" s="7">
        <v>2332.4286377100002</v>
      </c>
      <c r="K9" s="7">
        <v>2370.24966034</v>
      </c>
      <c r="L9" s="7">
        <v>2408.4242884700002</v>
      </c>
      <c r="M9" s="7">
        <v>2446.9664968900001</v>
      </c>
      <c r="N9" s="7">
        <v>2485.8857304899998</v>
      </c>
      <c r="O9" s="7">
        <v>2525.2140429699998</v>
      </c>
      <c r="P9" s="7">
        <v>2564.9921820300001</v>
      </c>
      <c r="Q9" s="7">
        <v>2607.4409204899998</v>
      </c>
      <c r="R9" s="7">
        <v>2648.19345699</v>
      </c>
      <c r="S9" s="7">
        <v>2689.4964838400001</v>
      </c>
      <c r="T9" s="7">
        <v>2731.4099753400001</v>
      </c>
      <c r="U9" s="7">
        <v>2773.8191703299999</v>
      </c>
      <c r="V9" s="7">
        <v>2844.91357496</v>
      </c>
      <c r="W9" s="7">
        <v>2936.62439382</v>
      </c>
      <c r="X9" s="7">
        <v>3009.4368051299998</v>
      </c>
      <c r="Y9" s="7">
        <v>3084.23115284</v>
      </c>
      <c r="Z9" s="7">
        <v>3150.7244058800002</v>
      </c>
      <c r="AA9" s="7">
        <v>3225.7784992900001</v>
      </c>
      <c r="AB9" s="7">
        <v>3298.2411092299999</v>
      </c>
      <c r="AC9" s="7">
        <v>3371.6791880400001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7873.2090540999998</v>
      </c>
      <c r="D11" s="7">
        <v>6677.6486393300002</v>
      </c>
      <c r="E11" s="7">
        <v>6896.1978150300001</v>
      </c>
      <c r="F11" s="7">
        <v>7083.9308477900004</v>
      </c>
      <c r="G11" s="7">
        <v>7272.6899562400004</v>
      </c>
      <c r="H11" s="7">
        <v>7462.8003125900004</v>
      </c>
      <c r="I11" s="7">
        <v>7653.3723625900002</v>
      </c>
      <c r="J11" s="7">
        <v>7841.32345928</v>
      </c>
      <c r="K11" s="7">
        <v>8033.5200368400001</v>
      </c>
      <c r="L11" s="7">
        <v>8226.1959903999996</v>
      </c>
      <c r="M11" s="7">
        <v>8419.4322363800002</v>
      </c>
      <c r="N11" s="7">
        <v>8613.29155876</v>
      </c>
      <c r="O11" s="7">
        <v>8807.9201532299994</v>
      </c>
      <c r="P11" s="7">
        <v>9003.5178570099997</v>
      </c>
      <c r="Q11" s="7">
        <v>9208.9470679700007</v>
      </c>
      <c r="R11" s="7">
        <v>9406.8371475200001</v>
      </c>
      <c r="S11" s="7">
        <v>9606.1600041999991</v>
      </c>
      <c r="T11" s="7">
        <v>9807.1774602500009</v>
      </c>
      <c r="U11" s="7">
        <v>10009.452599669999</v>
      </c>
      <c r="V11" s="7">
        <v>10323.988295089999</v>
      </c>
      <c r="W11" s="7">
        <v>10721.25865639</v>
      </c>
      <c r="X11" s="7">
        <v>11042.60649611</v>
      </c>
      <c r="Y11" s="7">
        <v>11371.20633227</v>
      </c>
      <c r="Z11" s="7">
        <v>11666.12239466</v>
      </c>
      <c r="AA11" s="7">
        <v>11994.529883769999</v>
      </c>
      <c r="AB11" s="7">
        <v>12312.0303907</v>
      </c>
      <c r="AC11" s="7">
        <v>12632.847410980001</v>
      </c>
    </row>
    <row r="12" spans="1:29" x14ac:dyDescent="0.85">
      <c r="A12" t="s">
        <v>111</v>
      </c>
      <c r="B12" s="7">
        <v>13977.84422789</v>
      </c>
      <c r="C12" s="7">
        <v>15173.61394607</v>
      </c>
      <c r="D12" s="7">
        <v>16460.585092689998</v>
      </c>
      <c r="E12" s="7">
        <v>16554.575462320001</v>
      </c>
      <c r="F12" s="7">
        <v>16701.026237599999</v>
      </c>
      <c r="G12" s="7">
        <v>16858.033773769999</v>
      </c>
      <c r="H12" s="7">
        <v>17024.64125543</v>
      </c>
      <c r="I12" s="7">
        <v>17201.596995560001</v>
      </c>
      <c r="J12" s="7">
        <v>17383.285091360001</v>
      </c>
      <c r="K12" s="7">
        <v>17592.707030680001</v>
      </c>
      <c r="L12" s="7">
        <v>17813.577427259999</v>
      </c>
      <c r="M12" s="7">
        <v>18046.684180280001</v>
      </c>
      <c r="N12" s="7">
        <v>18290.001788670001</v>
      </c>
      <c r="O12" s="7">
        <v>18544.625303050001</v>
      </c>
      <c r="P12" s="7">
        <v>18810.24896936</v>
      </c>
      <c r="Q12" s="7">
        <v>19080.990028380002</v>
      </c>
      <c r="R12" s="7">
        <v>19372.377112369999</v>
      </c>
      <c r="S12" s="7">
        <v>19675.05909889</v>
      </c>
      <c r="T12" s="7">
        <v>19989.18081061</v>
      </c>
      <c r="U12" s="7">
        <v>20315.372848759998</v>
      </c>
      <c r="V12" s="7">
        <v>20542.231102320002</v>
      </c>
      <c r="W12" s="7">
        <v>20698.141956799998</v>
      </c>
      <c r="X12" s="7">
        <v>20943.471270580001</v>
      </c>
      <c r="Y12" s="7">
        <v>21195.112942349999</v>
      </c>
      <c r="Z12" s="7">
        <v>21493.792625130001</v>
      </c>
      <c r="AA12" s="7">
        <v>21772.896272760001</v>
      </c>
      <c r="AB12" s="7">
        <v>22076.94445979</v>
      </c>
      <c r="AC12" s="7">
        <v>22391.91610636</v>
      </c>
    </row>
    <row r="13" spans="1:29" x14ac:dyDescent="0.85">
      <c r="A13" t="s">
        <v>112</v>
      </c>
      <c r="B13" s="7">
        <v>13977.84422789</v>
      </c>
      <c r="C13" s="7">
        <v>23046.823000169999</v>
      </c>
      <c r="D13" s="7">
        <v>23138.233732019999</v>
      </c>
      <c r="E13" s="7">
        <v>23450.773277349999</v>
      </c>
      <c r="F13" s="7">
        <v>23784.95708539</v>
      </c>
      <c r="G13" s="7">
        <v>24130.723730000002</v>
      </c>
      <c r="H13" s="7">
        <v>24487.441568009999</v>
      </c>
      <c r="I13" s="7">
        <v>24854.96935815</v>
      </c>
      <c r="J13" s="7">
        <v>25224.608550640001</v>
      </c>
      <c r="K13" s="7">
        <v>25626.227067520002</v>
      </c>
      <c r="L13" s="7">
        <v>26039.773417659999</v>
      </c>
      <c r="M13" s="7">
        <v>26466.116416659999</v>
      </c>
      <c r="N13" s="7">
        <v>26903.293347440002</v>
      </c>
      <c r="O13" s="7">
        <v>27352.545456280001</v>
      </c>
      <c r="P13" s="7">
        <v>27813.76682637</v>
      </c>
      <c r="Q13" s="7">
        <v>28289.937096350001</v>
      </c>
      <c r="R13" s="7">
        <v>28779.214259889999</v>
      </c>
      <c r="S13" s="7">
        <v>29281.219103089999</v>
      </c>
      <c r="T13" s="7">
        <v>29796.358270860001</v>
      </c>
      <c r="U13" s="7">
        <v>30324.825448430001</v>
      </c>
      <c r="V13" s="7">
        <v>30866.219397420002</v>
      </c>
      <c r="W13" s="7">
        <v>31419.400613189999</v>
      </c>
      <c r="X13" s="7">
        <v>31986.077766689999</v>
      </c>
      <c r="Y13" s="7">
        <v>32566.31927462</v>
      </c>
      <c r="Z13" s="7">
        <v>33159.915019779997</v>
      </c>
      <c r="AA13" s="7">
        <v>33767.426156529997</v>
      </c>
      <c r="AB13" s="7">
        <v>34388.974850500003</v>
      </c>
      <c r="AC13" s="7">
        <v>35024.763517339998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5751.8739332599998</v>
      </c>
      <c r="D17" s="7">
        <v>5560.1808283700002</v>
      </c>
      <c r="E17" s="7">
        <v>5374.8414684400004</v>
      </c>
      <c r="F17" s="7">
        <v>5195.6801093100003</v>
      </c>
      <c r="G17" s="7">
        <v>5022.4907723300003</v>
      </c>
      <c r="H17" s="7">
        <v>4855.07444175</v>
      </c>
      <c r="I17" s="7">
        <v>4693.2390576400003</v>
      </c>
      <c r="J17" s="7">
        <v>4536.7977557100003</v>
      </c>
      <c r="K17" s="7">
        <v>4385.5712045</v>
      </c>
      <c r="L17" s="7">
        <v>4239.8797374799997</v>
      </c>
      <c r="M17" s="7">
        <v>4098.5504129000001</v>
      </c>
      <c r="N17" s="7">
        <v>3961.9340884600001</v>
      </c>
      <c r="O17" s="7">
        <v>3829.8696188399999</v>
      </c>
      <c r="P17" s="7">
        <v>3702.2086712800001</v>
      </c>
      <c r="Q17" s="7">
        <v>3578.8017155699999</v>
      </c>
      <c r="R17" s="7">
        <v>3459.5083267499999</v>
      </c>
      <c r="S17" s="7">
        <v>3344.1930611100001</v>
      </c>
      <c r="T17" s="7">
        <v>3232.7279735400002</v>
      </c>
      <c r="U17" s="7">
        <v>3124.9703744200001</v>
      </c>
      <c r="V17" s="7">
        <v>3039.5959797199998</v>
      </c>
      <c r="W17" s="7">
        <v>2938.2762028299999</v>
      </c>
      <c r="X17" s="7">
        <v>2840.3337014399999</v>
      </c>
      <c r="Y17" s="7">
        <v>2745.65595893</v>
      </c>
      <c r="Z17" s="7">
        <v>2654.1342909499999</v>
      </c>
      <c r="AA17" s="7">
        <v>2565.66314792</v>
      </c>
      <c r="AB17" s="7">
        <v>2480.1412497599999</v>
      </c>
      <c r="AC17" s="7">
        <v>2397.4699381300002</v>
      </c>
    </row>
    <row r="18" spans="1:29" x14ac:dyDescent="0.85">
      <c r="A18" t="s">
        <v>116</v>
      </c>
      <c r="B18" s="7">
        <v>5685817.25</v>
      </c>
      <c r="C18" s="7">
        <v>5498336.2524491698</v>
      </c>
      <c r="D18" s="7">
        <v>5315092.8155779699</v>
      </c>
      <c r="E18" s="7">
        <v>5137923.0560288299</v>
      </c>
      <c r="F18" s="7">
        <v>4966658.9762903797</v>
      </c>
      <c r="G18" s="7">
        <v>4801090.2831954798</v>
      </c>
      <c r="H18" s="7">
        <v>4641053.96766135</v>
      </c>
      <c r="I18" s="7">
        <v>4486336.18283372</v>
      </c>
      <c r="J18" s="7">
        <v>4336715.8994633798</v>
      </c>
      <c r="K18" s="7">
        <v>4192016.22767699</v>
      </c>
      <c r="L18" s="7">
        <v>4052522.8490546201</v>
      </c>
      <c r="M18" s="7">
        <v>3917093.55507334</v>
      </c>
      <c r="N18" s="7">
        <v>3786076.9416268002</v>
      </c>
      <c r="O18" s="7">
        <v>3659242.7825868102</v>
      </c>
      <c r="P18" s="7">
        <v>3536432.2995540001</v>
      </c>
      <c r="Q18" s="7">
        <v>3417626.9491778701</v>
      </c>
      <c r="R18" s="7">
        <v>3302499.8934258702</v>
      </c>
      <c r="S18" s="7">
        <v>3191011.40021508</v>
      </c>
      <c r="T18" s="7">
        <v>3082985.23510403</v>
      </c>
      <c r="U18" s="7">
        <v>2978335.3640058199</v>
      </c>
      <c r="V18" s="7">
        <v>2897404.6825555898</v>
      </c>
      <c r="W18" s="7">
        <v>2802536.3325543702</v>
      </c>
      <c r="X18" s="7">
        <v>2709335.1959219002</v>
      </c>
      <c r="Y18" s="7">
        <v>2619254.3783146599</v>
      </c>
      <c r="Z18" s="7">
        <v>2531674.3407236501</v>
      </c>
      <c r="AA18" s="7">
        <v>2447385.0272174599</v>
      </c>
      <c r="AB18" s="7">
        <v>2365720.2931535402</v>
      </c>
      <c r="AC18" s="7">
        <v>2286770.0136070899</v>
      </c>
    </row>
    <row r="19" spans="1:29" x14ac:dyDescent="0.85">
      <c r="A19" t="s">
        <v>117</v>
      </c>
      <c r="B19" s="7">
        <v>5685817.25</v>
      </c>
      <c r="C19" s="7">
        <v>5498336.2524491698</v>
      </c>
      <c r="D19" s="7">
        <v>5315092.8155779699</v>
      </c>
      <c r="E19" s="7">
        <v>5137923.0560288299</v>
      </c>
      <c r="F19" s="7">
        <v>4966658.9762903797</v>
      </c>
      <c r="G19" s="7">
        <v>4801090.2831954798</v>
      </c>
      <c r="H19" s="7">
        <v>4641053.96766135</v>
      </c>
      <c r="I19" s="7">
        <v>4486352.5803706702</v>
      </c>
      <c r="J19" s="7">
        <v>4336803.8229364101</v>
      </c>
      <c r="K19" s="7">
        <v>4192243.7343604499</v>
      </c>
      <c r="L19" s="7">
        <v>4052974.7289559999</v>
      </c>
      <c r="M19" s="7">
        <v>3917875.4284827299</v>
      </c>
      <c r="N19" s="7">
        <v>3787281.5143590099</v>
      </c>
      <c r="O19" s="7">
        <v>3661035.2802639599</v>
      </c>
      <c r="P19" s="7">
        <v>3539002.0834556501</v>
      </c>
      <c r="Q19" s="7">
        <v>3421035.3208379899</v>
      </c>
      <c r="R19" s="7">
        <v>3307000.81176996</v>
      </c>
      <c r="S19" s="7">
        <v>3196769.0559620499</v>
      </c>
      <c r="T19" s="7">
        <v>3090217.7485907902</v>
      </c>
      <c r="U19" s="7">
        <v>2987209.7744171098</v>
      </c>
      <c r="V19" s="7">
        <v>2905599.0083039701</v>
      </c>
      <c r="W19" s="7">
        <v>2808745.7932014102</v>
      </c>
      <c r="X19" s="7">
        <v>2715120.9704239098</v>
      </c>
      <c r="Y19" s="7">
        <v>2624616.98352256</v>
      </c>
      <c r="Z19" s="7">
        <v>2537129.9393562898</v>
      </c>
      <c r="AA19" s="7">
        <v>2452558.9168406501</v>
      </c>
      <c r="AB19" s="7">
        <v>2370807.1505980501</v>
      </c>
      <c r="AC19" s="7">
        <v>2291780.3061540299</v>
      </c>
    </row>
    <row r="20" spans="1:29" x14ac:dyDescent="0.85">
      <c r="A20" t="s">
        <v>118</v>
      </c>
      <c r="B20" s="7">
        <v>1214.3309073099999</v>
      </c>
      <c r="C20" s="7">
        <v>1174.29023069</v>
      </c>
      <c r="D20" s="7">
        <v>1135.15457803</v>
      </c>
      <c r="E20" s="7">
        <v>1097.3160923</v>
      </c>
      <c r="F20" s="7">
        <v>1060.7388939499999</v>
      </c>
      <c r="G20" s="7">
        <v>1025.38093082</v>
      </c>
      <c r="H20" s="7">
        <v>991.20157228000005</v>
      </c>
      <c r="I20" s="7">
        <v>958.16160778000005</v>
      </c>
      <c r="J20" s="7">
        <v>926.22288751999997</v>
      </c>
      <c r="K20" s="7">
        <v>895.34879956999998</v>
      </c>
      <c r="L20" s="7">
        <v>865.60474251999995</v>
      </c>
      <c r="M20" s="7">
        <v>836.75125109999999</v>
      </c>
      <c r="N20" s="7">
        <v>808.85995566999998</v>
      </c>
      <c r="O20" s="7">
        <v>781.89795715000002</v>
      </c>
      <c r="P20" s="7">
        <v>755.83497222999995</v>
      </c>
      <c r="Q20" s="7">
        <v>730.64047316000006</v>
      </c>
      <c r="R20" s="7">
        <v>706.28579106999996</v>
      </c>
      <c r="S20" s="7">
        <v>682.74327405999998</v>
      </c>
      <c r="T20" s="7">
        <v>659.98680114000001</v>
      </c>
      <c r="U20" s="7">
        <v>637.98724110000001</v>
      </c>
      <c r="V20" s="7">
        <v>620.55738800999995</v>
      </c>
      <c r="W20" s="7">
        <v>599.87215993999996</v>
      </c>
      <c r="X20" s="7">
        <v>579.87642917000005</v>
      </c>
      <c r="Y20" s="7">
        <v>560.54722458000003</v>
      </c>
      <c r="Z20" s="7">
        <v>541.86235737000004</v>
      </c>
      <c r="AA20" s="7">
        <v>523.80027878999999</v>
      </c>
      <c r="AB20" s="7">
        <v>506.34031170999998</v>
      </c>
      <c r="AC20" s="7">
        <v>489.46231426000003</v>
      </c>
    </row>
    <row r="21" spans="1:29" x14ac:dyDescent="0.85">
      <c r="A21" t="s">
        <v>119</v>
      </c>
      <c r="B21" s="7">
        <v>0</v>
      </c>
      <c r="C21" s="7">
        <v>5.4983362500000004</v>
      </c>
      <c r="D21" s="7">
        <v>5.3150928200000003</v>
      </c>
      <c r="E21" s="7">
        <v>5.1379230600000003</v>
      </c>
      <c r="F21" s="7">
        <v>4.9666589800000001</v>
      </c>
      <c r="G21" s="7">
        <v>4.8010902800000004</v>
      </c>
      <c r="H21" s="7">
        <v>4.6410539699999998</v>
      </c>
      <c r="I21" s="7">
        <v>4.4863525800000001</v>
      </c>
      <c r="J21" s="7">
        <v>4.3368038200000001</v>
      </c>
      <c r="K21" s="7">
        <v>4.1922437300000004</v>
      </c>
      <c r="L21" s="7">
        <v>4.0529747299999999</v>
      </c>
      <c r="M21" s="7">
        <v>3.91787543</v>
      </c>
      <c r="N21" s="7">
        <v>3.7872815100000001</v>
      </c>
      <c r="O21" s="7">
        <v>3.6610352800000001</v>
      </c>
      <c r="P21" s="7">
        <v>3.5390020799999999</v>
      </c>
      <c r="Q21" s="7">
        <v>3.4210353200000001</v>
      </c>
      <c r="R21" s="7">
        <v>3.3070008099999999</v>
      </c>
      <c r="S21" s="7">
        <v>3.1967690599999998</v>
      </c>
      <c r="T21" s="7">
        <v>3.0902177499999999</v>
      </c>
      <c r="U21" s="7">
        <v>2.9872097700000002</v>
      </c>
      <c r="V21" s="7">
        <v>2.90559901</v>
      </c>
      <c r="W21" s="7">
        <v>2.8087457900000001</v>
      </c>
      <c r="X21" s="7">
        <v>2.7151209700000001</v>
      </c>
      <c r="Y21" s="7">
        <v>2.6246169799999999</v>
      </c>
      <c r="Z21" s="7">
        <v>2.5371299399999998</v>
      </c>
      <c r="AA21" s="7">
        <v>2.45255892</v>
      </c>
      <c r="AB21" s="7">
        <v>2.3708071500000001</v>
      </c>
      <c r="AC21" s="7">
        <v>2.29178031</v>
      </c>
    </row>
    <row r="22" spans="1:29" x14ac:dyDescent="0.85">
      <c r="A22" t="s">
        <v>120</v>
      </c>
      <c r="B22" s="7">
        <v>2.8429090000000001E-2</v>
      </c>
      <c r="C22" s="7">
        <v>2.7491680000000001E-2</v>
      </c>
      <c r="D22" s="7">
        <v>2.6575459999999999E-2</v>
      </c>
      <c r="E22" s="7">
        <v>2.568962E-2</v>
      </c>
      <c r="F22" s="7">
        <v>2.4833290000000001E-2</v>
      </c>
      <c r="G22" s="7">
        <v>2.4005450000000001E-2</v>
      </c>
      <c r="H22" s="7">
        <v>2.320527E-2</v>
      </c>
      <c r="I22" s="7">
        <v>2.2431759999999999E-2</v>
      </c>
      <c r="J22" s="7">
        <v>2.1684019999999998E-2</v>
      </c>
      <c r="K22" s="7">
        <v>2.0961219999999999E-2</v>
      </c>
      <c r="L22" s="7">
        <v>2.0264870000000001E-2</v>
      </c>
      <c r="M22" s="7">
        <v>1.958938E-2</v>
      </c>
      <c r="N22" s="7">
        <v>1.8936410000000001E-2</v>
      </c>
      <c r="O22" s="7">
        <v>1.8305180000000001E-2</v>
      </c>
      <c r="P22" s="7">
        <v>1.7695010000000001E-2</v>
      </c>
      <c r="Q22" s="7">
        <v>1.7105180000000001E-2</v>
      </c>
      <c r="R22" s="7">
        <v>1.6535000000000001E-2</v>
      </c>
      <c r="S22" s="7">
        <v>1.5983850000000001E-2</v>
      </c>
      <c r="T22" s="7">
        <v>1.5451090000000001E-2</v>
      </c>
      <c r="U22" s="7">
        <v>1.4936049999999999E-2</v>
      </c>
      <c r="V22" s="7">
        <v>1.4527999999999999E-2</v>
      </c>
      <c r="W22" s="7">
        <v>1.4043730000000001E-2</v>
      </c>
      <c r="X22" s="7">
        <v>1.35756E-2</v>
      </c>
      <c r="Y22" s="7">
        <v>1.3123080000000001E-2</v>
      </c>
      <c r="Z22" s="7">
        <v>1.268565E-2</v>
      </c>
      <c r="AA22" s="7">
        <v>1.2262790000000001E-2</v>
      </c>
      <c r="AB22" s="7">
        <v>1.185404E-2</v>
      </c>
      <c r="AC22" s="7">
        <v>1.1458899999999999E-2</v>
      </c>
    </row>
    <row r="23" spans="1:29" x14ac:dyDescent="0.85">
      <c r="A23" t="s">
        <v>121</v>
      </c>
      <c r="B23" s="7">
        <v>1214.3309073099999</v>
      </c>
      <c r="C23" s="7">
        <v>1174.29023069</v>
      </c>
      <c r="D23" s="7">
        <v>1135.15457803</v>
      </c>
      <c r="E23" s="7">
        <v>1097.3160923</v>
      </c>
      <c r="F23" s="7">
        <v>1060.7388939499999</v>
      </c>
      <c r="G23" s="7">
        <v>1025.38093082</v>
      </c>
      <c r="H23" s="7">
        <v>991.20157228000005</v>
      </c>
      <c r="I23" s="7">
        <v>958.16160778000005</v>
      </c>
      <c r="J23" s="7">
        <v>926.22288751999997</v>
      </c>
      <c r="K23" s="7">
        <v>895.34879956999998</v>
      </c>
      <c r="L23" s="7">
        <v>865.60474251999995</v>
      </c>
      <c r="M23" s="7">
        <v>836.75125109999999</v>
      </c>
      <c r="N23" s="7">
        <v>808.85995566999998</v>
      </c>
      <c r="O23" s="7">
        <v>781.89795715000002</v>
      </c>
      <c r="P23" s="7">
        <v>755.83497222999995</v>
      </c>
      <c r="Q23" s="7">
        <v>730.64047316000006</v>
      </c>
      <c r="R23" s="7">
        <v>706.28579106999996</v>
      </c>
      <c r="S23" s="7">
        <v>682.74327405999998</v>
      </c>
      <c r="T23" s="7">
        <v>659.98680114000001</v>
      </c>
      <c r="U23" s="7">
        <v>637.98724110000001</v>
      </c>
      <c r="V23" s="7">
        <v>620.55738800999995</v>
      </c>
      <c r="W23" s="7">
        <v>599.87215993999996</v>
      </c>
      <c r="X23" s="7">
        <v>579.87642917000005</v>
      </c>
      <c r="Y23" s="7">
        <v>560.54722458000003</v>
      </c>
      <c r="Z23" s="7">
        <v>541.86235737000004</v>
      </c>
      <c r="AA23" s="7">
        <v>523.80027878999999</v>
      </c>
      <c r="AB23" s="7">
        <v>506.34031170999998</v>
      </c>
      <c r="AC23" s="7">
        <v>489.46231426000003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1.0003723</v>
      </c>
      <c r="E25" s="7">
        <v>1.0000064799999999</v>
      </c>
      <c r="F25" s="7">
        <v>1</v>
      </c>
      <c r="G25" s="7">
        <v>1</v>
      </c>
      <c r="H25" s="7">
        <v>0.99999720999999997</v>
      </c>
      <c r="I25" s="7">
        <v>1.0000000099999999</v>
      </c>
      <c r="J25" s="7">
        <v>1.0000000899999999</v>
      </c>
      <c r="K25" s="7">
        <v>0.99999914999999995</v>
      </c>
      <c r="L25" s="7">
        <v>1.0000000099999999</v>
      </c>
      <c r="M25" s="7">
        <v>1.00011658</v>
      </c>
      <c r="N25" s="7">
        <v>0.99999996000000002</v>
      </c>
      <c r="O25" s="7">
        <v>1.00000051</v>
      </c>
      <c r="P25" s="7">
        <v>0.99999903999999995</v>
      </c>
      <c r="Q25" s="7">
        <v>1.00000037</v>
      </c>
      <c r="R25" s="7">
        <v>0.99999998999999995</v>
      </c>
      <c r="S25" s="7">
        <v>1</v>
      </c>
      <c r="T25" s="7">
        <v>1.0000005000000001</v>
      </c>
      <c r="U25" s="7">
        <v>1.00000248</v>
      </c>
      <c r="V25" s="7">
        <v>0.99999976000000002</v>
      </c>
      <c r="W25" s="7">
        <v>1.0062206199999999</v>
      </c>
      <c r="X25" s="7">
        <v>1.00000003</v>
      </c>
      <c r="Y25" s="7">
        <v>1.0000000099999999</v>
      </c>
      <c r="Z25" s="7">
        <v>1.0000000200000001</v>
      </c>
      <c r="AA25" s="7">
        <v>1.00000007</v>
      </c>
      <c r="AB25" s="7">
        <v>0.99999998999999995</v>
      </c>
      <c r="AC25" s="7">
        <v>1.00000008</v>
      </c>
    </row>
    <row r="26" spans="1:29" x14ac:dyDescent="0.85">
      <c r="A26" t="s">
        <v>124</v>
      </c>
      <c r="B26" s="7">
        <v>1</v>
      </c>
      <c r="C26" s="7">
        <v>1.0003723</v>
      </c>
      <c r="D26" s="7">
        <v>1.0000064799999999</v>
      </c>
      <c r="E26" s="7">
        <v>1</v>
      </c>
      <c r="F26" s="7">
        <v>1</v>
      </c>
      <c r="G26" s="7">
        <v>0.99999720999999997</v>
      </c>
      <c r="H26" s="7">
        <v>1.0000000099999999</v>
      </c>
      <c r="I26" s="7">
        <v>1.0000000899999999</v>
      </c>
      <c r="J26" s="7">
        <v>0.99999914999999995</v>
      </c>
      <c r="K26" s="7">
        <v>1.0000000099999999</v>
      </c>
      <c r="L26" s="7">
        <v>1.00011658</v>
      </c>
      <c r="M26" s="7">
        <v>0.99999996000000002</v>
      </c>
      <c r="N26" s="7">
        <v>1.00000051</v>
      </c>
      <c r="O26" s="7">
        <v>0.99999903999999995</v>
      </c>
      <c r="P26" s="7">
        <v>1.00000037</v>
      </c>
      <c r="Q26" s="7">
        <v>0.99999998999999995</v>
      </c>
      <c r="R26" s="7">
        <v>1</v>
      </c>
      <c r="S26" s="7">
        <v>1.0000005000000001</v>
      </c>
      <c r="T26" s="7">
        <v>1.00000248</v>
      </c>
      <c r="U26" s="7">
        <v>0.99999976000000002</v>
      </c>
      <c r="V26" s="7">
        <v>1.0062206199999999</v>
      </c>
      <c r="W26" s="7">
        <v>1.00000003</v>
      </c>
      <c r="X26" s="7">
        <v>1.0000000099999999</v>
      </c>
      <c r="Y26" s="7">
        <v>1.0000000200000001</v>
      </c>
      <c r="Z26" s="7">
        <v>1.00000007</v>
      </c>
      <c r="AA26" s="7">
        <v>0.99999998999999995</v>
      </c>
      <c r="AB26" s="7">
        <v>1.00000008</v>
      </c>
      <c r="AC26" s="7">
        <v>1.00000003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1.1250842400000001</v>
      </c>
      <c r="E27" s="7">
        <v>1.13705773</v>
      </c>
      <c r="F27" s="7">
        <v>1.14405953</v>
      </c>
      <c r="G27" s="7">
        <v>1.1517865599999999</v>
      </c>
      <c r="H27" s="7">
        <v>1.1599673699999999</v>
      </c>
      <c r="I27" s="7">
        <v>1.1686474099999999</v>
      </c>
      <c r="J27" s="7">
        <v>1.17785166</v>
      </c>
      <c r="K27" s="7">
        <v>1.1874269799999999</v>
      </c>
      <c r="L27" s="7">
        <v>1.1979518</v>
      </c>
      <c r="M27" s="7">
        <v>1.2091881099999999</v>
      </c>
      <c r="N27" s="7">
        <v>1.2211292600000001</v>
      </c>
      <c r="O27" s="7">
        <v>1.2338147900000001</v>
      </c>
      <c r="P27" s="7">
        <v>1.24727236</v>
      </c>
      <c r="Q27" s="7">
        <v>1.2615469500000001</v>
      </c>
      <c r="R27" s="7">
        <v>1.2765758700000001</v>
      </c>
      <c r="S27" s="7">
        <v>1.29271022</v>
      </c>
      <c r="T27" s="7">
        <v>1.30981682</v>
      </c>
      <c r="U27" s="7">
        <v>1.32795175</v>
      </c>
      <c r="V27" s="7">
        <v>1.34718988</v>
      </c>
      <c r="W27" s="7">
        <v>1.36272751</v>
      </c>
      <c r="X27" s="7">
        <v>1.37933701</v>
      </c>
      <c r="Y27" s="7">
        <v>1.39889251</v>
      </c>
      <c r="Z27" s="7">
        <v>1.41943463</v>
      </c>
      <c r="AA27" s="7">
        <v>1.44215553</v>
      </c>
      <c r="AB27" s="7">
        <v>1.4653195400000001</v>
      </c>
      <c r="AC27" s="7">
        <v>1.4902110200000001</v>
      </c>
    </row>
    <row r="28" spans="1:29" x14ac:dyDescent="0.85">
      <c r="A28" t="s">
        <v>126</v>
      </c>
      <c r="B28" s="7">
        <v>2825</v>
      </c>
      <c r="C28" s="7">
        <v>3492.8208723500002</v>
      </c>
      <c r="D28" s="7">
        <v>4247.1407452100002</v>
      </c>
      <c r="E28" s="7">
        <v>4536.47518623</v>
      </c>
      <c r="F28" s="7">
        <v>5354.4190298599997</v>
      </c>
      <c r="G28" s="7">
        <v>6179.86808664</v>
      </c>
      <c r="H28" s="7">
        <v>7013.1316686299997</v>
      </c>
      <c r="I28" s="7">
        <v>7854.6657528599999</v>
      </c>
      <c r="J28" s="7">
        <v>8704.8847760200006</v>
      </c>
      <c r="K28" s="7">
        <v>9563.0679815999993</v>
      </c>
      <c r="L28" s="7">
        <v>10431.90019948</v>
      </c>
      <c r="M28" s="7">
        <v>11312.38100687</v>
      </c>
      <c r="N28" s="7">
        <v>12204.926381630001</v>
      </c>
      <c r="O28" s="7">
        <v>13110.076278930001</v>
      </c>
      <c r="P28" s="7">
        <v>14028.25942568</v>
      </c>
      <c r="Q28" s="7">
        <v>14923.56399285</v>
      </c>
      <c r="R28" s="7">
        <v>15869.09679041</v>
      </c>
      <c r="S28" s="7">
        <v>16828.842571599998</v>
      </c>
      <c r="T28" s="7">
        <v>17803.219800319999</v>
      </c>
      <c r="U28" s="7">
        <v>18794.9686683</v>
      </c>
      <c r="V28" s="7">
        <v>19311.28445146</v>
      </c>
      <c r="W28" s="7">
        <v>19519.955721980001</v>
      </c>
      <c r="X28" s="7">
        <v>20073.115291270002</v>
      </c>
      <c r="Y28" s="7">
        <v>20619.214991789999</v>
      </c>
      <c r="Z28" s="7">
        <v>21331.545478240001</v>
      </c>
      <c r="AA28" s="7">
        <v>21927.836487960001</v>
      </c>
      <c r="AB28" s="7">
        <v>22596.125781139999</v>
      </c>
      <c r="AC28" s="7">
        <v>23277.309110099999</v>
      </c>
    </row>
    <row r="29" spans="1:29" x14ac:dyDescent="0.85">
      <c r="A29" t="s">
        <v>127</v>
      </c>
      <c r="B29" s="7">
        <v>7100189.25</v>
      </c>
      <c r="C29" s="7">
        <v>8778651.0478035398</v>
      </c>
      <c r="D29" s="7">
        <v>10674514.3583575</v>
      </c>
      <c r="E29" s="7">
        <v>11401710.566433899</v>
      </c>
      <c r="F29" s="7">
        <v>13457482.632149201</v>
      </c>
      <c r="G29" s="7">
        <v>15532117.860247601</v>
      </c>
      <c r="H29" s="7">
        <v>17626393.657494701</v>
      </c>
      <c r="I29" s="7">
        <v>19741383.8951855</v>
      </c>
      <c r="J29" s="7">
        <v>21877903.100993201</v>
      </c>
      <c r="K29" s="7">
        <v>24033949.618579701</v>
      </c>
      <c r="L29" s="7">
        <v>26216002.6580205</v>
      </c>
      <c r="M29" s="7">
        <v>28426200.6703033</v>
      </c>
      <c r="N29" s="7">
        <v>30665389.417556699</v>
      </c>
      <c r="O29" s="7">
        <v>32933963.657142598</v>
      </c>
      <c r="P29" s="7">
        <v>35232202.334305197</v>
      </c>
      <c r="Q29" s="7">
        <v>37470640.969247103</v>
      </c>
      <c r="R29" s="7">
        <v>39830172.958347999</v>
      </c>
      <c r="S29" s="7">
        <v>42220445.6712294</v>
      </c>
      <c r="T29" s="7">
        <v>44640843.127285004</v>
      </c>
      <c r="U29" s="7">
        <v>47097836.221569002</v>
      </c>
      <c r="V29" s="7">
        <v>48398969.240070999</v>
      </c>
      <c r="W29" s="7">
        <v>48951850.8901136</v>
      </c>
      <c r="X29" s="7">
        <v>50343082.779462002</v>
      </c>
      <c r="Y29" s="7">
        <v>51717240.4098728</v>
      </c>
      <c r="Z29" s="7">
        <v>53498169.644899599</v>
      </c>
      <c r="AA29" s="7">
        <v>54995873.744972803</v>
      </c>
      <c r="AB29" s="7">
        <v>56669923.0448891</v>
      </c>
      <c r="AC29" s="7">
        <v>58375921.857738897</v>
      </c>
    </row>
    <row r="30" spans="1:29" x14ac:dyDescent="0.85">
      <c r="A30" t="s">
        <v>128</v>
      </c>
      <c r="B30" s="7">
        <v>7100189.25</v>
      </c>
      <c r="C30" s="7">
        <v>8778651.0478035398</v>
      </c>
      <c r="D30" s="7">
        <v>10674514.3583575</v>
      </c>
      <c r="E30" s="7">
        <v>11401710.566433899</v>
      </c>
      <c r="F30" s="7">
        <v>13457482.632149201</v>
      </c>
      <c r="G30" s="7">
        <v>15532117.860247601</v>
      </c>
      <c r="H30" s="7">
        <v>17626393.657494701</v>
      </c>
      <c r="I30" s="7">
        <v>19741456.0498478</v>
      </c>
      <c r="J30" s="7">
        <v>21878346.658115201</v>
      </c>
      <c r="K30" s="7">
        <v>24035253.975211799</v>
      </c>
      <c r="L30" s="7">
        <v>26218925.895010699</v>
      </c>
      <c r="M30" s="7">
        <v>28431874.696241502</v>
      </c>
      <c r="N30" s="7">
        <v>30675145.873245399</v>
      </c>
      <c r="O30" s="7">
        <v>32950096.517644599</v>
      </c>
      <c r="P30" s="7">
        <v>35257804.166521803</v>
      </c>
      <c r="Q30" s="7">
        <v>37508010.135825299</v>
      </c>
      <c r="R30" s="7">
        <v>39884456.792383201</v>
      </c>
      <c r="S30" s="7">
        <v>42296625.528074197</v>
      </c>
      <c r="T30" s="7">
        <v>44745568.085517801</v>
      </c>
      <c r="U30" s="7">
        <v>47238171.5018619</v>
      </c>
      <c r="V30" s="7">
        <v>48535849.297671199</v>
      </c>
      <c r="W30" s="7">
        <v>49060311.425725996</v>
      </c>
      <c r="X30" s="7">
        <v>50450590.231894203</v>
      </c>
      <c r="Y30" s="7">
        <v>51823125.178093903</v>
      </c>
      <c r="Z30" s="7">
        <v>53613454.828490697</v>
      </c>
      <c r="AA30" s="7">
        <v>55112137.6663922</v>
      </c>
      <c r="AB30" s="7">
        <v>56791776.765616298</v>
      </c>
      <c r="AC30" s="7">
        <v>58503822.977862</v>
      </c>
    </row>
    <row r="31" spans="1:29" x14ac:dyDescent="0.85">
      <c r="A31" t="s">
        <v>129</v>
      </c>
      <c r="B31" s="7">
        <v>854.46686871999998</v>
      </c>
      <c r="C31" s="7">
        <v>1056.46007568</v>
      </c>
      <c r="D31" s="7">
        <v>1284.6163021499999</v>
      </c>
      <c r="E31" s="7">
        <v>1372.13017608</v>
      </c>
      <c r="F31" s="7">
        <v>1619.53049992</v>
      </c>
      <c r="G31" s="7">
        <v>1869.2008966799999</v>
      </c>
      <c r="H31" s="7">
        <v>2121.2349227700001</v>
      </c>
      <c r="I31" s="7">
        <v>2375.7704958200002</v>
      </c>
      <c r="J31" s="7">
        <v>2632.9329689000001</v>
      </c>
      <c r="K31" s="7">
        <v>2892.5043375599998</v>
      </c>
      <c r="L31" s="7">
        <v>3155.29667195</v>
      </c>
      <c r="M31" s="7">
        <v>3421.6123103499999</v>
      </c>
      <c r="N31" s="7">
        <v>3691.57707196</v>
      </c>
      <c r="O31" s="7">
        <v>3965.3542749600001</v>
      </c>
      <c r="P31" s="7">
        <v>4243.0735947200001</v>
      </c>
      <c r="Q31" s="7">
        <v>4513.8729186299997</v>
      </c>
      <c r="R31" s="7">
        <v>4799.86458193</v>
      </c>
      <c r="S31" s="7">
        <v>5090.1551916300004</v>
      </c>
      <c r="T31" s="7">
        <v>5384.8713189199998</v>
      </c>
      <c r="U31" s="7">
        <v>5684.8417790200001</v>
      </c>
      <c r="V31" s="7">
        <v>5841.0098252199996</v>
      </c>
      <c r="W31" s="7">
        <v>5904.1258206499997</v>
      </c>
      <c r="X31" s="7">
        <v>6071.4378649299997</v>
      </c>
      <c r="Y31" s="7">
        <v>6236.6145378900001</v>
      </c>
      <c r="Z31" s="7">
        <v>6452.0703963899996</v>
      </c>
      <c r="AA31" s="7">
        <v>6632.42824131</v>
      </c>
      <c r="AB31" s="7">
        <v>6834.5631297199998</v>
      </c>
      <c r="AC31" s="7">
        <v>7040.5980274599997</v>
      </c>
    </row>
    <row r="32" spans="1:29" x14ac:dyDescent="0.85">
      <c r="A32" t="s">
        <v>130</v>
      </c>
      <c r="B32" s="7">
        <v>0</v>
      </c>
      <c r="C32" s="7">
        <v>7.0229208400000003</v>
      </c>
      <c r="D32" s="7">
        <v>8.5396114900000004</v>
      </c>
      <c r="E32" s="7">
        <v>9.1213684500000003</v>
      </c>
      <c r="F32" s="7">
        <v>10.76598611</v>
      </c>
      <c r="G32" s="7">
        <v>12.425694289999999</v>
      </c>
      <c r="H32" s="7">
        <v>14.10111493</v>
      </c>
      <c r="I32" s="7">
        <v>15.793164839999999</v>
      </c>
      <c r="J32" s="7">
        <v>17.502677330000001</v>
      </c>
      <c r="K32" s="7">
        <v>19.228203180000001</v>
      </c>
      <c r="L32" s="7">
        <v>20.975140719999999</v>
      </c>
      <c r="M32" s="7">
        <v>22.745499760000001</v>
      </c>
      <c r="N32" s="7">
        <v>24.540116699999999</v>
      </c>
      <c r="O32" s="7">
        <v>26.36007721</v>
      </c>
      <c r="P32" s="7">
        <v>28.20624333</v>
      </c>
      <c r="Q32" s="7">
        <v>30.006408109999999</v>
      </c>
      <c r="R32" s="7">
        <v>31.907565429999998</v>
      </c>
      <c r="S32" s="7">
        <v>33.837300419999998</v>
      </c>
      <c r="T32" s="7">
        <v>35.79645447</v>
      </c>
      <c r="U32" s="7">
        <v>37.790537200000003</v>
      </c>
      <c r="V32" s="7">
        <v>38.828679440000002</v>
      </c>
      <c r="W32" s="7">
        <v>39.248249139999999</v>
      </c>
      <c r="X32" s="7">
        <v>40.360472190000003</v>
      </c>
      <c r="Y32" s="7">
        <v>41.458500139999998</v>
      </c>
      <c r="Z32" s="7">
        <v>42.89076386</v>
      </c>
      <c r="AA32" s="7">
        <v>44.08971013</v>
      </c>
      <c r="AB32" s="7">
        <v>45.433421410000001</v>
      </c>
      <c r="AC32" s="7">
        <v>46.803058380000003</v>
      </c>
    </row>
    <row r="33" spans="1:29" x14ac:dyDescent="0.85">
      <c r="A33" t="s">
        <v>131</v>
      </c>
      <c r="B33" s="7">
        <v>2.8400760000000001E-2</v>
      </c>
      <c r="C33" s="7">
        <v>3.5114600000000003E-2</v>
      </c>
      <c r="D33" s="7">
        <v>4.2698060000000003E-2</v>
      </c>
      <c r="E33" s="7">
        <v>4.5606840000000003E-2</v>
      </c>
      <c r="F33" s="7">
        <v>5.3829929999999998E-2</v>
      </c>
      <c r="G33" s="7">
        <v>6.2128469999999998E-2</v>
      </c>
      <c r="H33" s="7">
        <v>7.0505570000000004E-2</v>
      </c>
      <c r="I33" s="7">
        <v>7.8965820000000006E-2</v>
      </c>
      <c r="J33" s="7">
        <v>8.7513389999999996E-2</v>
      </c>
      <c r="K33" s="7">
        <v>9.6141019999999994E-2</v>
      </c>
      <c r="L33" s="7">
        <v>0.1048757</v>
      </c>
      <c r="M33" s="7">
        <v>0.1137275</v>
      </c>
      <c r="N33" s="7">
        <v>0.12270058</v>
      </c>
      <c r="O33" s="7">
        <v>0.13180038999999999</v>
      </c>
      <c r="P33" s="7">
        <v>0.14103122000000001</v>
      </c>
      <c r="Q33" s="7">
        <v>0.15003204000000001</v>
      </c>
      <c r="R33" s="7">
        <v>0.15953782999999999</v>
      </c>
      <c r="S33" s="7">
        <v>0.16918649999999999</v>
      </c>
      <c r="T33" s="7">
        <v>0.17898227</v>
      </c>
      <c r="U33" s="7">
        <v>0.18895269000000001</v>
      </c>
      <c r="V33" s="7">
        <v>0.19414339999999999</v>
      </c>
      <c r="W33" s="7">
        <v>0.19624125000000001</v>
      </c>
      <c r="X33" s="7">
        <v>0.20180235999999999</v>
      </c>
      <c r="Y33" s="7">
        <v>0.20729249999999999</v>
      </c>
      <c r="Z33" s="7">
        <v>0.21445381999999999</v>
      </c>
      <c r="AA33" s="7">
        <v>0.22044854999999999</v>
      </c>
      <c r="AB33" s="7">
        <v>0.22716711000000001</v>
      </c>
      <c r="AC33" s="7">
        <v>0.23401528999999999</v>
      </c>
    </row>
    <row r="34" spans="1:29" x14ac:dyDescent="0.85">
      <c r="A34" t="s">
        <v>132</v>
      </c>
      <c r="B34" s="7">
        <v>854.46686871999998</v>
      </c>
      <c r="C34" s="7">
        <v>1056.46007568</v>
      </c>
      <c r="D34" s="7">
        <v>1284.6163021499999</v>
      </c>
      <c r="E34" s="7">
        <v>1372.13017608</v>
      </c>
      <c r="F34" s="7">
        <v>1619.53049992</v>
      </c>
      <c r="G34" s="7">
        <v>1869.2008966799999</v>
      </c>
      <c r="H34" s="7">
        <v>2121.2349227700001</v>
      </c>
      <c r="I34" s="7">
        <v>2375.7704958200002</v>
      </c>
      <c r="J34" s="7">
        <v>2632.9329689000001</v>
      </c>
      <c r="K34" s="7">
        <v>2892.5043375599998</v>
      </c>
      <c r="L34" s="7">
        <v>3155.29667195</v>
      </c>
      <c r="M34" s="7">
        <v>3421.6123103499999</v>
      </c>
      <c r="N34" s="7">
        <v>3691.57707196</v>
      </c>
      <c r="O34" s="7">
        <v>3965.3542749600001</v>
      </c>
      <c r="P34" s="7">
        <v>4243.0735947200001</v>
      </c>
      <c r="Q34" s="7">
        <v>4513.8729186299997</v>
      </c>
      <c r="R34" s="7">
        <v>4799.86458193</v>
      </c>
      <c r="S34" s="7">
        <v>5090.1551916300004</v>
      </c>
      <c r="T34" s="7">
        <v>5384.8713189199998</v>
      </c>
      <c r="U34" s="7">
        <v>5684.8417790200001</v>
      </c>
      <c r="V34" s="7">
        <v>5841.0098252199996</v>
      </c>
      <c r="W34" s="7">
        <v>5904.1258206499997</v>
      </c>
      <c r="X34" s="7">
        <v>6071.4378649299997</v>
      </c>
      <c r="Y34" s="7">
        <v>6236.6145378900001</v>
      </c>
      <c r="Z34" s="7">
        <v>6452.0703963899996</v>
      </c>
      <c r="AA34" s="7">
        <v>6632.42824131</v>
      </c>
      <c r="AB34" s="7">
        <v>6834.5631297199998</v>
      </c>
      <c r="AC34" s="7">
        <v>7040.5980274599997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1.2666180600000001</v>
      </c>
      <c r="E36" s="7">
        <v>1.23839582</v>
      </c>
      <c r="F36" s="7">
        <v>1.11262971</v>
      </c>
      <c r="G36" s="7">
        <v>1.2022423</v>
      </c>
      <c r="H36" s="7">
        <v>1.1821107399999999</v>
      </c>
      <c r="I36" s="7">
        <v>1.16665047</v>
      </c>
      <c r="J36" s="7">
        <v>1.15441065</v>
      </c>
      <c r="K36" s="7">
        <v>1.1443508499999999</v>
      </c>
      <c r="L36" s="7">
        <v>1.1362962700000001</v>
      </c>
      <c r="M36" s="7">
        <v>1.1295761799999999</v>
      </c>
      <c r="N36" s="7">
        <v>1.1238440300000001</v>
      </c>
      <c r="O36" s="7">
        <v>1.1189094500000001</v>
      </c>
      <c r="P36" s="7">
        <v>1.1146131100000001</v>
      </c>
      <c r="Q36" s="7">
        <v>1.11084117</v>
      </c>
      <c r="R36" s="7">
        <v>1.10768054</v>
      </c>
      <c r="S36" s="7">
        <v>1.1047196500000001</v>
      </c>
      <c r="T36" s="7">
        <v>1.1020690900000001</v>
      </c>
      <c r="U36" s="7">
        <v>1.09968391</v>
      </c>
      <c r="V36" s="7">
        <v>1.09752111</v>
      </c>
      <c r="W36" s="7">
        <v>1.07028225</v>
      </c>
      <c r="X36" s="7">
        <v>1.05292257</v>
      </c>
      <c r="Y36" s="7">
        <v>1.0711855800000001</v>
      </c>
      <c r="Z36" s="7">
        <v>1.0700057599999999</v>
      </c>
      <c r="AA36" s="7">
        <v>1.0776530499999999</v>
      </c>
      <c r="AB36" s="7">
        <v>1.0707848799999999</v>
      </c>
      <c r="AC36" s="7">
        <v>1.07341329</v>
      </c>
    </row>
    <row r="37" spans="1:29" x14ac:dyDescent="0.85">
      <c r="A37" t="s">
        <v>135</v>
      </c>
      <c r="B37" s="7">
        <v>1</v>
      </c>
      <c r="C37" s="7">
        <v>1.2879133</v>
      </c>
      <c r="D37" s="7">
        <v>1.2666280599999999</v>
      </c>
      <c r="E37" s="7">
        <v>1.11262971</v>
      </c>
      <c r="F37" s="7">
        <v>1.2294831500000001</v>
      </c>
      <c r="G37" s="7">
        <v>1.2022523000000001</v>
      </c>
      <c r="H37" s="7">
        <v>1.18211997</v>
      </c>
      <c r="I37" s="7">
        <v>1.1666604700000001</v>
      </c>
      <c r="J37" s="7">
        <v>1.15442065</v>
      </c>
      <c r="K37" s="7">
        <v>1.1443608300000001</v>
      </c>
      <c r="L37" s="7">
        <v>1.1363050800000001</v>
      </c>
      <c r="M37" s="7">
        <v>1.1295861700000001</v>
      </c>
      <c r="N37" s="7">
        <v>1.1238540299999999</v>
      </c>
      <c r="O37" s="7">
        <v>1.1189194499999999</v>
      </c>
      <c r="P37" s="7">
        <v>1.1146213</v>
      </c>
      <c r="Q37" s="7">
        <v>1.1081474</v>
      </c>
      <c r="R37" s="7">
        <v>1.10766498</v>
      </c>
      <c r="S37" s="7">
        <v>1.1046655400000001</v>
      </c>
      <c r="T37" s="7">
        <v>1.10197838</v>
      </c>
      <c r="U37" s="7">
        <v>1.0996939100000001</v>
      </c>
      <c r="V37" s="7">
        <v>1.07028225</v>
      </c>
      <c r="W37" s="7">
        <v>1.05292257</v>
      </c>
      <c r="X37" s="7">
        <v>1.0711855800000001</v>
      </c>
      <c r="Y37" s="7">
        <v>1.0700057599999999</v>
      </c>
      <c r="Z37" s="7">
        <v>1.0776530499999999</v>
      </c>
      <c r="AA37" s="7">
        <v>1.0707848799999999</v>
      </c>
      <c r="AB37" s="7">
        <v>1.07341329</v>
      </c>
      <c r="AC37" s="7">
        <v>1.0730687699999999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1.2666280599999999</v>
      </c>
      <c r="E38" s="7">
        <v>1.2384058200000001</v>
      </c>
      <c r="F38" s="7">
        <v>1.2294831500000001</v>
      </c>
      <c r="G38" s="7">
        <v>1.2022523000000001</v>
      </c>
      <c r="H38" s="7">
        <v>1.18212074</v>
      </c>
      <c r="I38" s="7">
        <v>1.1666604700000001</v>
      </c>
      <c r="J38" s="7">
        <v>1.15442065</v>
      </c>
      <c r="K38" s="7">
        <v>1.14436085</v>
      </c>
      <c r="L38" s="7">
        <v>1.13630627</v>
      </c>
      <c r="M38" s="7">
        <v>1.12958618</v>
      </c>
      <c r="N38" s="7">
        <v>1.1238540299999999</v>
      </c>
      <c r="O38" s="7">
        <v>1.1189194499999999</v>
      </c>
      <c r="P38" s="7">
        <v>1.1146231099999999</v>
      </c>
      <c r="Q38" s="7">
        <v>1.1108511700000001</v>
      </c>
      <c r="R38" s="7">
        <v>1.1076905399999999</v>
      </c>
      <c r="S38" s="7">
        <v>1.1047296499999999</v>
      </c>
      <c r="T38" s="7">
        <v>1.1020790899999999</v>
      </c>
      <c r="U38" s="7">
        <v>1.0996939100000001</v>
      </c>
      <c r="V38" s="7">
        <v>1.09753111</v>
      </c>
      <c r="W38" s="7">
        <v>1.0968821499999999</v>
      </c>
      <c r="X38" s="7">
        <v>1.0970881400000001</v>
      </c>
      <c r="Y38" s="7">
        <v>1.0964086399999999</v>
      </c>
      <c r="Z38" s="7">
        <v>1.0958038999999999</v>
      </c>
      <c r="AA38" s="7">
        <v>1.09485915</v>
      </c>
      <c r="AB38" s="7">
        <v>1.09425872</v>
      </c>
      <c r="AC38" s="7">
        <v>1.09355413</v>
      </c>
    </row>
    <row r="39" spans="1:29" x14ac:dyDescent="0.85">
      <c r="A39" t="s">
        <v>137</v>
      </c>
      <c r="B39" s="7">
        <v>4096</v>
      </c>
      <c r="C39" s="7">
        <v>4926.0727171099998</v>
      </c>
      <c r="D39" s="7">
        <v>5815.8535079699996</v>
      </c>
      <c r="E39" s="7">
        <v>5670.4572293499996</v>
      </c>
      <c r="F39" s="7">
        <v>5528.6957986199996</v>
      </c>
      <c r="G39" s="7">
        <v>5391.7454477000001</v>
      </c>
      <c r="H39" s="7">
        <v>5256.95181151</v>
      </c>
      <c r="I39" s="7">
        <v>5125.5280273400003</v>
      </c>
      <c r="J39" s="7">
        <v>5001.6311301300002</v>
      </c>
      <c r="K39" s="7">
        <v>4876.5908448500004</v>
      </c>
      <c r="L39" s="7">
        <v>4754.6760737300001</v>
      </c>
      <c r="M39" s="7">
        <v>4635.8091915599998</v>
      </c>
      <c r="N39" s="7">
        <v>4519.9139675300003</v>
      </c>
      <c r="O39" s="7">
        <v>4406.9368777500003</v>
      </c>
      <c r="P39" s="7">
        <v>4296.7634558099999</v>
      </c>
      <c r="Q39" s="7">
        <v>4189.3443723199998</v>
      </c>
      <c r="R39" s="7">
        <v>4084.6108602600002</v>
      </c>
      <c r="S39" s="7">
        <v>3982.4955887599999</v>
      </c>
      <c r="T39" s="7">
        <v>3882.9332203099998</v>
      </c>
      <c r="U39" s="7">
        <v>3785.8635691300001</v>
      </c>
      <c r="V39" s="7">
        <v>3695.3056144000002</v>
      </c>
      <c r="W39" s="7">
        <v>3602.9231426199999</v>
      </c>
      <c r="X39" s="7">
        <v>3512.85007997</v>
      </c>
      <c r="Y39" s="7">
        <v>3425.0288516099999</v>
      </c>
      <c r="Z39" s="7">
        <v>3339.40592505</v>
      </c>
      <c r="AA39" s="7">
        <v>3255.9208732000002</v>
      </c>
      <c r="AB39" s="7">
        <v>3174.52290064</v>
      </c>
      <c r="AC39" s="7">
        <v>3095.1598727700002</v>
      </c>
    </row>
    <row r="40" spans="1:29" x14ac:dyDescent="0.85">
      <c r="A40" t="s">
        <v>138</v>
      </c>
      <c r="B40" s="7">
        <v>31697696</v>
      </c>
      <c r="C40" s="7">
        <v>38121375.844966598</v>
      </c>
      <c r="D40" s="7">
        <v>45007118.280317403</v>
      </c>
      <c r="E40" s="7">
        <v>43881940.780524202</v>
      </c>
      <c r="F40" s="7">
        <v>42784892.257016301</v>
      </c>
      <c r="G40" s="7">
        <v>41725075.218408197</v>
      </c>
      <c r="H40" s="7">
        <v>40681948.215018198</v>
      </c>
      <c r="I40" s="7">
        <v>39664899.5957371</v>
      </c>
      <c r="J40" s="7">
        <v>38706099.261002697</v>
      </c>
      <c r="K40" s="7">
        <v>37738450.594491698</v>
      </c>
      <c r="L40" s="7">
        <v>36794989.323285297</v>
      </c>
      <c r="M40" s="7">
        <v>35875114.742423698</v>
      </c>
      <c r="N40" s="7">
        <v>34978236.918397702</v>
      </c>
      <c r="O40" s="7">
        <v>34103941.646209598</v>
      </c>
      <c r="P40" s="7">
        <v>33251342.929832701</v>
      </c>
      <c r="Q40" s="7">
        <v>32420059.379110102</v>
      </c>
      <c r="R40" s="7">
        <v>31609558.6472237</v>
      </c>
      <c r="S40" s="7">
        <v>30819319.6143432</v>
      </c>
      <c r="T40" s="7">
        <v>30048836.7885767</v>
      </c>
      <c r="U40" s="7">
        <v>29297644.342114199</v>
      </c>
      <c r="V40" s="7">
        <v>28596843.929785199</v>
      </c>
      <c r="W40" s="7">
        <v>27881924.136146002</v>
      </c>
      <c r="X40" s="7">
        <v>27184876.1559099</v>
      </c>
      <c r="Y40" s="7">
        <v>26505254.4349952</v>
      </c>
      <c r="Z40" s="7">
        <v>25842644.701618899</v>
      </c>
      <c r="AA40" s="7">
        <v>25196579.329195399</v>
      </c>
      <c r="AB40" s="7">
        <v>24566665.227239601</v>
      </c>
      <c r="AC40" s="7">
        <v>23952498.942064799</v>
      </c>
    </row>
    <row r="41" spans="1:29" x14ac:dyDescent="0.85">
      <c r="A41" t="s">
        <v>139</v>
      </c>
      <c r="B41" s="7">
        <v>31697696</v>
      </c>
      <c r="C41" s="7">
        <v>38121375.844966598</v>
      </c>
      <c r="D41" s="7">
        <v>45007118.280317403</v>
      </c>
      <c r="E41" s="7">
        <v>43881940.780524202</v>
      </c>
      <c r="F41" s="7">
        <v>42784892.257016301</v>
      </c>
      <c r="G41" s="7">
        <v>41725075.218408197</v>
      </c>
      <c r="H41" s="7">
        <v>40681948.215018198</v>
      </c>
      <c r="I41" s="7">
        <v>39664899.5957371</v>
      </c>
      <c r="J41" s="7">
        <v>38706099.261002697</v>
      </c>
      <c r="K41" s="7">
        <v>37738450.594491698</v>
      </c>
      <c r="L41" s="7">
        <v>36794989.323285297</v>
      </c>
      <c r="M41" s="7">
        <v>35875114.742423698</v>
      </c>
      <c r="N41" s="7">
        <v>34978236.918397702</v>
      </c>
      <c r="O41" s="7">
        <v>34103941.646209598</v>
      </c>
      <c r="P41" s="7">
        <v>33251342.929832701</v>
      </c>
      <c r="Q41" s="7">
        <v>32420059.379110102</v>
      </c>
      <c r="R41" s="7">
        <v>31609558.6472237</v>
      </c>
      <c r="S41" s="7">
        <v>30819319.6143432</v>
      </c>
      <c r="T41" s="7">
        <v>30048836.7885767</v>
      </c>
      <c r="U41" s="7">
        <v>29297644.342114199</v>
      </c>
      <c r="V41" s="7">
        <v>28596843.929785199</v>
      </c>
      <c r="W41" s="7">
        <v>27881924.136146002</v>
      </c>
      <c r="X41" s="7">
        <v>27184876.1559099</v>
      </c>
      <c r="Y41" s="7">
        <v>26505254.4349952</v>
      </c>
      <c r="Z41" s="7">
        <v>25842644.701618899</v>
      </c>
      <c r="AA41" s="7">
        <v>25196579.329195399</v>
      </c>
      <c r="AB41" s="7">
        <v>24566665.227239601</v>
      </c>
      <c r="AC41" s="7">
        <v>23952498.942064799</v>
      </c>
    </row>
    <row r="42" spans="1:29" x14ac:dyDescent="0.85">
      <c r="A42" t="s">
        <v>140</v>
      </c>
      <c r="B42" s="7">
        <v>4738.3864057600003</v>
      </c>
      <c r="C42" s="7">
        <v>5698.6416007199996</v>
      </c>
      <c r="D42" s="7">
        <v>6727.9690429800003</v>
      </c>
      <c r="E42" s="7">
        <v>6559.7698852499998</v>
      </c>
      <c r="F42" s="7">
        <v>6395.7756380800001</v>
      </c>
      <c r="G42" s="7">
        <v>6237.3470050100004</v>
      </c>
      <c r="H42" s="7">
        <v>6081.4133286400001</v>
      </c>
      <c r="I42" s="7">
        <v>5929.3780082900003</v>
      </c>
      <c r="J42" s="7">
        <v>5786.0500362800003</v>
      </c>
      <c r="K42" s="7">
        <v>5641.3993556699997</v>
      </c>
      <c r="L42" s="7">
        <v>5500.3643717100003</v>
      </c>
      <c r="M42" s="7">
        <v>5362.8552851799996</v>
      </c>
      <c r="N42" s="7">
        <v>5228.7839096999996</v>
      </c>
      <c r="O42" s="7">
        <v>5098.0883271299999</v>
      </c>
      <c r="P42" s="7">
        <v>4970.6361171799999</v>
      </c>
      <c r="Q42" s="7">
        <v>4846.3702176099996</v>
      </c>
      <c r="R42" s="7">
        <v>4725.2110746799999</v>
      </c>
      <c r="S42" s="7">
        <v>4607.08079714</v>
      </c>
      <c r="T42" s="7">
        <v>4491.90380181</v>
      </c>
      <c r="U42" s="7">
        <v>4379.6104631400003</v>
      </c>
      <c r="V42" s="7">
        <v>4274.8500672999999</v>
      </c>
      <c r="W42" s="7">
        <v>4167.9790106399996</v>
      </c>
      <c r="X42" s="7">
        <v>4063.7795537900001</v>
      </c>
      <c r="Y42" s="7">
        <v>3962.1850923000002</v>
      </c>
      <c r="Z42" s="7">
        <v>3863.13369801</v>
      </c>
      <c r="AA42" s="7">
        <v>3766.5554669500002</v>
      </c>
      <c r="AB42" s="7">
        <v>3672.39163727</v>
      </c>
      <c r="AC42" s="7">
        <v>3580.58189799</v>
      </c>
    </row>
    <row r="43" spans="1:29" x14ac:dyDescent="0.85">
      <c r="A43" t="s">
        <v>141</v>
      </c>
      <c r="B43" s="7">
        <v>0</v>
      </c>
      <c r="C43" s="7">
        <v>22.872825509999998</v>
      </c>
      <c r="D43" s="7">
        <v>27.00427097</v>
      </c>
      <c r="E43" s="7">
        <v>26.329164469999998</v>
      </c>
      <c r="F43" s="7">
        <v>25.670935350000001</v>
      </c>
      <c r="G43" s="7">
        <v>25.03504513</v>
      </c>
      <c r="H43" s="7">
        <v>24.40916893</v>
      </c>
      <c r="I43" s="7">
        <v>23.79893976</v>
      </c>
      <c r="J43" s="7">
        <v>23.223659560000002</v>
      </c>
      <c r="K43" s="7">
        <v>22.643070359999999</v>
      </c>
      <c r="L43" s="7">
        <v>22.076993590000001</v>
      </c>
      <c r="M43" s="7">
        <v>21.52506885</v>
      </c>
      <c r="N43" s="7">
        <v>20.986942150000001</v>
      </c>
      <c r="O43" s="7">
        <v>20.462364990000001</v>
      </c>
      <c r="P43" s="7">
        <v>19.950805760000001</v>
      </c>
      <c r="Q43" s="7">
        <v>19.452035630000001</v>
      </c>
      <c r="R43" s="7">
        <v>18.96573519</v>
      </c>
      <c r="S43" s="7">
        <v>18.491591769999999</v>
      </c>
      <c r="T43" s="7">
        <v>18.02930207</v>
      </c>
      <c r="U43" s="7">
        <v>17.578586609999999</v>
      </c>
      <c r="V43" s="7">
        <v>17.158106360000001</v>
      </c>
      <c r="W43" s="7">
        <v>16.729154479999998</v>
      </c>
      <c r="X43" s="7">
        <v>16.310925690000001</v>
      </c>
      <c r="Y43" s="7">
        <v>15.90315266</v>
      </c>
      <c r="Z43" s="7">
        <v>15.50558682</v>
      </c>
      <c r="AA43" s="7">
        <v>15.117947600000001</v>
      </c>
      <c r="AB43" s="7">
        <v>14.73999914</v>
      </c>
      <c r="AC43" s="7">
        <v>14.37149937</v>
      </c>
    </row>
    <row r="44" spans="1:29" x14ac:dyDescent="0.85">
      <c r="A44" t="s">
        <v>142</v>
      </c>
      <c r="B44" s="7">
        <v>9.5093090000000005E-2</v>
      </c>
      <c r="C44" s="7">
        <v>0.11436412999999999</v>
      </c>
      <c r="D44" s="7">
        <v>0.13502135000000001</v>
      </c>
      <c r="E44" s="7">
        <v>0.13164582</v>
      </c>
      <c r="F44" s="7">
        <v>0.12835468</v>
      </c>
      <c r="G44" s="7">
        <v>0.12517523</v>
      </c>
      <c r="H44" s="7">
        <v>0.12204584</v>
      </c>
      <c r="I44" s="7">
        <v>0.11899469999999999</v>
      </c>
      <c r="J44" s="7">
        <v>0.11611829999999999</v>
      </c>
      <c r="K44" s="7">
        <v>0.11321535000000001</v>
      </c>
      <c r="L44" s="7">
        <v>0.11038497</v>
      </c>
      <c r="M44" s="7">
        <v>0.10762534</v>
      </c>
      <c r="N44" s="7">
        <v>0.10493471</v>
      </c>
      <c r="O44" s="7">
        <v>0.10231182</v>
      </c>
      <c r="P44" s="7">
        <v>9.9754029999999994E-2</v>
      </c>
      <c r="Q44" s="7">
        <v>9.7260180000000002E-2</v>
      </c>
      <c r="R44" s="7">
        <v>9.4828679999999999E-2</v>
      </c>
      <c r="S44" s="7">
        <v>9.2457960000000006E-2</v>
      </c>
      <c r="T44" s="7">
        <v>9.0146509999999999E-2</v>
      </c>
      <c r="U44" s="7">
        <v>8.7892929999999994E-2</v>
      </c>
      <c r="V44" s="7">
        <v>8.5790530000000004E-2</v>
      </c>
      <c r="W44" s="7">
        <v>8.3645769999999994E-2</v>
      </c>
      <c r="X44" s="7">
        <v>8.1554630000000003E-2</v>
      </c>
      <c r="Y44" s="7">
        <v>7.9515760000000005E-2</v>
      </c>
      <c r="Z44" s="7">
        <v>7.7527929999999995E-2</v>
      </c>
      <c r="AA44" s="7">
        <v>7.5589740000000002E-2</v>
      </c>
      <c r="AB44" s="7">
        <v>7.3700000000000002E-2</v>
      </c>
      <c r="AC44" s="7">
        <v>7.1857500000000005E-2</v>
      </c>
    </row>
    <row r="45" spans="1:29" x14ac:dyDescent="0.85">
      <c r="A45" t="s">
        <v>143</v>
      </c>
      <c r="B45" s="7">
        <v>4417.9226992000004</v>
      </c>
      <c r="C45" s="7">
        <v>5313.23449093</v>
      </c>
      <c r="D45" s="7">
        <v>6272.9470771599999</v>
      </c>
      <c r="E45" s="7">
        <v>6116.1234639599998</v>
      </c>
      <c r="F45" s="7">
        <v>5963.2203773600004</v>
      </c>
      <c r="G45" s="7">
        <v>5815.5064945499998</v>
      </c>
      <c r="H45" s="7">
        <v>5670.1188321899999</v>
      </c>
      <c r="I45" s="7">
        <v>5528.3658733800003</v>
      </c>
      <c r="J45" s="7">
        <v>5394.7313727500004</v>
      </c>
      <c r="K45" s="7">
        <v>5259.8636201600002</v>
      </c>
      <c r="L45" s="7">
        <v>5128.3670296600003</v>
      </c>
      <c r="M45" s="7">
        <v>5000.1578751300003</v>
      </c>
      <c r="N45" s="7">
        <v>4875.1539344599996</v>
      </c>
      <c r="O45" s="7">
        <v>4753.2974770800001</v>
      </c>
      <c r="P45" s="7">
        <v>4634.4650401600002</v>
      </c>
      <c r="Q45" s="7">
        <v>4518.6034172899999</v>
      </c>
      <c r="R45" s="7">
        <v>4405.6384367500004</v>
      </c>
      <c r="S45" s="7">
        <v>4295.4974758300004</v>
      </c>
      <c r="T45" s="7">
        <v>4188.1100618800001</v>
      </c>
      <c r="U45" s="7">
        <v>4083.4112788399998</v>
      </c>
      <c r="V45" s="7">
        <v>3985.7359751700001</v>
      </c>
      <c r="W45" s="7">
        <v>3886.0927576300001</v>
      </c>
      <c r="X45" s="7">
        <v>3788.94045585</v>
      </c>
      <c r="Y45" s="7">
        <v>3694.2169699599999</v>
      </c>
      <c r="Z45" s="7">
        <v>3601.86456008</v>
      </c>
      <c r="AA45" s="7">
        <v>3511.8180499300001</v>
      </c>
      <c r="AB45" s="7">
        <v>3424.0226518200002</v>
      </c>
      <c r="AC45" s="7">
        <v>3338.4221336800001</v>
      </c>
    </row>
    <row r="46" spans="1:29" x14ac:dyDescent="0.85">
      <c r="A46" t="s">
        <v>144</v>
      </c>
      <c r="B46" s="7">
        <v>320.46370655999999</v>
      </c>
      <c r="C46" s="7">
        <v>385.40710978999999</v>
      </c>
      <c r="D46" s="7">
        <v>455.02196580999998</v>
      </c>
      <c r="E46" s="7">
        <v>443.64642128999998</v>
      </c>
      <c r="F46" s="7">
        <v>432.55526071999998</v>
      </c>
      <c r="G46" s="7">
        <v>421.84051046000002</v>
      </c>
      <c r="H46" s="7">
        <v>411.29449645</v>
      </c>
      <c r="I46" s="7">
        <v>401.01213490999999</v>
      </c>
      <c r="J46" s="7">
        <v>391.31866352999998</v>
      </c>
      <c r="K46" s="7">
        <v>381.53573550999999</v>
      </c>
      <c r="L46" s="7">
        <v>371.99734205999999</v>
      </c>
      <c r="M46" s="7">
        <v>362.69741004999997</v>
      </c>
      <c r="N46" s="7">
        <v>353.62997524999997</v>
      </c>
      <c r="O46" s="7">
        <v>344.79085004000001</v>
      </c>
      <c r="P46" s="7">
        <v>336.17107701999998</v>
      </c>
      <c r="Q46" s="7">
        <v>327.76680032000002</v>
      </c>
      <c r="R46" s="7">
        <v>319.57263791999998</v>
      </c>
      <c r="S46" s="7">
        <v>311.58332130000002</v>
      </c>
      <c r="T46" s="7">
        <v>303.79373993000002</v>
      </c>
      <c r="U46" s="7">
        <v>296.19918430000001</v>
      </c>
      <c r="V46" s="7">
        <v>289.11409213000002</v>
      </c>
      <c r="W46" s="7">
        <v>281.88625302000003</v>
      </c>
      <c r="X46" s="7">
        <v>274.83909793999999</v>
      </c>
      <c r="Y46" s="7">
        <v>267.96812233999998</v>
      </c>
      <c r="Z46" s="7">
        <v>261.26913793</v>
      </c>
      <c r="AA46" s="7">
        <v>254.73741702000001</v>
      </c>
      <c r="AB46" s="7">
        <v>248.36898545</v>
      </c>
      <c r="AC46" s="7">
        <v>242.15976430000001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1.2108892899999999</v>
      </c>
      <c r="E47" s="7">
        <v>1.19410401</v>
      </c>
      <c r="F47" s="7">
        <v>1.0000000099999999</v>
      </c>
      <c r="G47" s="7">
        <v>1</v>
      </c>
      <c r="H47" s="7">
        <v>1.0002350499999999</v>
      </c>
      <c r="I47" s="7">
        <v>1</v>
      </c>
      <c r="J47" s="7">
        <v>1</v>
      </c>
      <c r="K47" s="7">
        <v>1.0008486999999999</v>
      </c>
      <c r="L47" s="7">
        <v>1.0000001000000001</v>
      </c>
      <c r="M47" s="7">
        <v>1</v>
      </c>
      <c r="N47" s="7">
        <v>1</v>
      </c>
      <c r="O47" s="7">
        <v>1</v>
      </c>
      <c r="P47" s="7">
        <v>1.00000471</v>
      </c>
      <c r="Q47" s="7">
        <v>0.99999998999999995</v>
      </c>
      <c r="R47" s="7">
        <v>1</v>
      </c>
      <c r="S47" s="7">
        <v>1.0000000200000001</v>
      </c>
      <c r="T47" s="7">
        <v>1</v>
      </c>
      <c r="U47" s="7">
        <v>1.0000000099999999</v>
      </c>
      <c r="V47" s="7">
        <v>1.0000009700000001</v>
      </c>
      <c r="W47" s="7">
        <v>1.0011076699999999</v>
      </c>
      <c r="X47" s="7">
        <v>1.0000000499999999</v>
      </c>
      <c r="Y47" s="7">
        <v>1</v>
      </c>
      <c r="Z47" s="7">
        <v>1.0000000099999999</v>
      </c>
      <c r="AA47" s="7">
        <v>1.00000084</v>
      </c>
      <c r="AB47" s="7">
        <v>1.00000003</v>
      </c>
      <c r="AC47" s="7">
        <v>1.0000000200000001</v>
      </c>
    </row>
    <row r="48" spans="1:29" x14ac:dyDescent="0.85">
      <c r="A48" t="s">
        <v>146</v>
      </c>
      <c r="B48" s="7">
        <v>1</v>
      </c>
      <c r="C48" s="7">
        <v>1.2334917700000001</v>
      </c>
      <c r="D48" s="7">
        <v>1.21089929</v>
      </c>
      <c r="E48" s="7">
        <v>1.0000000099999999</v>
      </c>
      <c r="F48" s="7">
        <v>1</v>
      </c>
      <c r="G48" s="7">
        <v>1.0002350499999999</v>
      </c>
      <c r="H48" s="7">
        <v>1</v>
      </c>
      <c r="I48" s="7">
        <v>1</v>
      </c>
      <c r="J48" s="7">
        <v>1.0008486999999999</v>
      </c>
      <c r="K48" s="7">
        <v>1.0000001000000001</v>
      </c>
      <c r="L48" s="7">
        <v>1</v>
      </c>
      <c r="M48" s="7">
        <v>1</v>
      </c>
      <c r="N48" s="7">
        <v>1</v>
      </c>
      <c r="O48" s="7">
        <v>1.00000471</v>
      </c>
      <c r="P48" s="7">
        <v>0.99999998999999995</v>
      </c>
      <c r="Q48" s="7">
        <v>1</v>
      </c>
      <c r="R48" s="7">
        <v>1.0000000200000001</v>
      </c>
      <c r="S48" s="7">
        <v>1</v>
      </c>
      <c r="T48" s="7">
        <v>1.0000000099999999</v>
      </c>
      <c r="U48" s="7">
        <v>1.0000009700000001</v>
      </c>
      <c r="V48" s="7">
        <v>1.0011076699999999</v>
      </c>
      <c r="W48" s="7">
        <v>1.0000000499999999</v>
      </c>
      <c r="X48" s="7">
        <v>1</v>
      </c>
      <c r="Y48" s="7">
        <v>1.0000000099999999</v>
      </c>
      <c r="Z48" s="7">
        <v>1.00000084</v>
      </c>
      <c r="AA48" s="7">
        <v>1.00000003</v>
      </c>
      <c r="AB48" s="7">
        <v>1.0000000200000001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1.21089929</v>
      </c>
      <c r="E49" s="7">
        <v>1.1941140100000001</v>
      </c>
      <c r="F49" s="7">
        <v>1.20295146</v>
      </c>
      <c r="G49" s="7">
        <v>1.21268548</v>
      </c>
      <c r="H49" s="7">
        <v>1.2228498699999999</v>
      </c>
      <c r="I49" s="7">
        <v>1.23358827</v>
      </c>
      <c r="J49" s="7">
        <v>1.24487511</v>
      </c>
      <c r="K49" s="7">
        <v>1.2562769600000001</v>
      </c>
      <c r="L49" s="7">
        <v>1.2689834</v>
      </c>
      <c r="M49" s="7">
        <v>1.28247299</v>
      </c>
      <c r="N49" s="7">
        <v>1.29665476</v>
      </c>
      <c r="O49" s="7">
        <v>1.3115902500000001</v>
      </c>
      <c r="P49" s="7">
        <v>1.32729249</v>
      </c>
      <c r="Q49" s="7">
        <v>1.34380174</v>
      </c>
      <c r="R49" s="7">
        <v>1.3610087799999999</v>
      </c>
      <c r="S49" s="7">
        <v>1.37935466</v>
      </c>
      <c r="T49" s="7">
        <v>1.39863242</v>
      </c>
      <c r="U49" s="7">
        <v>1.41888718</v>
      </c>
      <c r="V49" s="7">
        <v>1.44018348</v>
      </c>
      <c r="W49" s="7">
        <v>1.4586040499999999</v>
      </c>
      <c r="X49" s="7">
        <v>1.47592955</v>
      </c>
      <c r="Y49" s="7">
        <v>1.4966328099999999</v>
      </c>
      <c r="Z49" s="7">
        <v>1.5181794</v>
      </c>
      <c r="AA49" s="7">
        <v>1.5420166200000001</v>
      </c>
      <c r="AB49" s="7">
        <v>1.56595358</v>
      </c>
      <c r="AC49" s="7">
        <v>1.59154302</v>
      </c>
    </row>
    <row r="50" spans="1:29" x14ac:dyDescent="0.85">
      <c r="A50" t="s">
        <v>148</v>
      </c>
      <c r="B50" s="7">
        <v>14663</v>
      </c>
      <c r="C50" s="7">
        <v>15845.30945793</v>
      </c>
      <c r="D50" s="7">
        <v>17114.606999600001</v>
      </c>
      <c r="E50" s="7">
        <v>18154.799991169999</v>
      </c>
      <c r="F50" s="7">
        <v>18765.921014269999</v>
      </c>
      <c r="G50" s="7">
        <v>19375.707360749999</v>
      </c>
      <c r="H50" s="7">
        <v>19992.512425780002</v>
      </c>
      <c r="I50" s="7">
        <v>20614.158853510002</v>
      </c>
      <c r="J50" s="7">
        <v>21189.685621389999</v>
      </c>
      <c r="K50" s="7">
        <v>21868.966269280001</v>
      </c>
      <c r="L50" s="7">
        <v>22576.256710879999</v>
      </c>
      <c r="M50" s="7">
        <v>23289.992556789999</v>
      </c>
      <c r="N50" s="7">
        <v>24014.564285650002</v>
      </c>
      <c r="O50" s="7">
        <v>24746.511935670002</v>
      </c>
      <c r="P50" s="7">
        <v>25486.206984929999</v>
      </c>
      <c r="Q50" s="7">
        <v>26247.969589420001</v>
      </c>
      <c r="R50" s="7">
        <v>27020.384139469999</v>
      </c>
      <c r="S50" s="7">
        <v>27801.285330999999</v>
      </c>
      <c r="T50" s="7">
        <v>28591.0399793</v>
      </c>
      <c r="U50" s="7">
        <v>29390.14016237</v>
      </c>
      <c r="V50" s="7">
        <v>30203.079744729999</v>
      </c>
      <c r="W50" s="7">
        <v>31045.520316549999</v>
      </c>
      <c r="X50" s="7">
        <v>31890.03990222</v>
      </c>
      <c r="Y50" s="7">
        <v>32744.671722790001</v>
      </c>
      <c r="Z50" s="7">
        <v>33607.800315339999</v>
      </c>
      <c r="AA50" s="7">
        <v>34486.38517383</v>
      </c>
      <c r="AB50" s="7">
        <v>35374.93569744</v>
      </c>
      <c r="AC50" s="7">
        <v>36276.260323510003</v>
      </c>
    </row>
    <row r="51" spans="1:29" x14ac:dyDescent="0.85">
      <c r="A51" t="s">
        <v>149</v>
      </c>
      <c r="B51" s="7">
        <v>57983527.25</v>
      </c>
      <c r="C51" s="7">
        <v>61880295.395273298</v>
      </c>
      <c r="D51" s="7">
        <v>65190114.350909501</v>
      </c>
      <c r="E51" s="7">
        <v>69911530.596448004</v>
      </c>
      <c r="F51" s="7">
        <v>71862522.761749998</v>
      </c>
      <c r="G51" s="7">
        <v>73779878.842146397</v>
      </c>
      <c r="H51" s="7">
        <v>75710703.824107304</v>
      </c>
      <c r="I51" s="7">
        <v>77645856.171111807</v>
      </c>
      <c r="J51" s="7">
        <v>79553669.486909494</v>
      </c>
      <c r="K51" s="7">
        <v>81504651.169174105</v>
      </c>
      <c r="L51" s="7">
        <v>83460104.491662905</v>
      </c>
      <c r="M51" s="7">
        <v>85420848.837552398</v>
      </c>
      <c r="N51" s="7">
        <v>87387517.039307103</v>
      </c>
      <c r="O51" s="7">
        <v>89361593.659985796</v>
      </c>
      <c r="P51" s="7">
        <v>91345115.899408102</v>
      </c>
      <c r="Q51" s="7">
        <v>93429256.999693707</v>
      </c>
      <c r="R51" s="7">
        <v>95435270.217176095</v>
      </c>
      <c r="S51" s="7">
        <v>97455449.112271801</v>
      </c>
      <c r="T51" s="7">
        <v>99492461.098660007</v>
      </c>
      <c r="U51" s="7">
        <v>101541795.89203499</v>
      </c>
      <c r="V51" s="7">
        <v>104745874.07238699</v>
      </c>
      <c r="W51" s="7">
        <v>108800737.43824901</v>
      </c>
      <c r="X51" s="7">
        <v>112073671.024896</v>
      </c>
      <c r="Y51" s="7">
        <v>115420610.78128099</v>
      </c>
      <c r="Z51" s="7">
        <v>118420293.139247</v>
      </c>
      <c r="AA51" s="7">
        <v>121763974.45419</v>
      </c>
      <c r="AB51" s="7">
        <v>124994755.145877</v>
      </c>
      <c r="AC51" s="7">
        <v>128258989.03511301</v>
      </c>
    </row>
    <row r="52" spans="1:29" x14ac:dyDescent="0.85">
      <c r="A52" t="s">
        <v>150</v>
      </c>
      <c r="B52" s="7">
        <v>57983527.25</v>
      </c>
      <c r="C52" s="7">
        <v>61880295.395273298</v>
      </c>
      <c r="D52" s="7">
        <v>65190114.350909501</v>
      </c>
      <c r="E52" s="7">
        <v>69911530.596448004</v>
      </c>
      <c r="F52" s="7">
        <v>71862522.761749998</v>
      </c>
      <c r="G52" s="7">
        <v>73779878.842146397</v>
      </c>
      <c r="H52" s="7">
        <v>75710703.824107304</v>
      </c>
      <c r="I52" s="7">
        <v>77645856.171111807</v>
      </c>
      <c r="J52" s="7">
        <v>79553669.486909494</v>
      </c>
      <c r="K52" s="7">
        <v>81504651.169174105</v>
      </c>
      <c r="L52" s="7">
        <v>83460104.491662905</v>
      </c>
      <c r="M52" s="7">
        <v>85420848.837552398</v>
      </c>
      <c r="N52" s="7">
        <v>87387517.039307103</v>
      </c>
      <c r="O52" s="7">
        <v>89361593.659985796</v>
      </c>
      <c r="P52" s="7">
        <v>91345115.899408102</v>
      </c>
      <c r="Q52" s="7">
        <v>93429256.999693707</v>
      </c>
      <c r="R52" s="7">
        <v>95435270.217176095</v>
      </c>
      <c r="S52" s="7">
        <v>97455449.112271801</v>
      </c>
      <c r="T52" s="7">
        <v>99492461.098660007</v>
      </c>
      <c r="U52" s="7">
        <v>101541795.89203499</v>
      </c>
      <c r="V52" s="7">
        <v>104745874.07238699</v>
      </c>
      <c r="W52" s="7">
        <v>108800737.43824901</v>
      </c>
      <c r="X52" s="7">
        <v>112073671.024896</v>
      </c>
      <c r="Y52" s="7">
        <v>115420610.78128099</v>
      </c>
      <c r="Z52" s="7">
        <v>118420293.139247</v>
      </c>
      <c r="AA52" s="7">
        <v>121763974.45419</v>
      </c>
      <c r="AB52" s="7">
        <v>124994755.145877</v>
      </c>
      <c r="AC52" s="7">
        <v>128258989.03511301</v>
      </c>
    </row>
    <row r="53" spans="1:29" x14ac:dyDescent="0.85">
      <c r="A53" t="s">
        <v>151</v>
      </c>
      <c r="B53" s="7">
        <v>4195.4596861700002</v>
      </c>
      <c r="C53" s="7">
        <v>4514.7515998400004</v>
      </c>
      <c r="D53" s="7">
        <v>4836.2181972999997</v>
      </c>
      <c r="E53" s="7">
        <v>5148.6808457799998</v>
      </c>
      <c r="F53" s="7">
        <v>5312.1768076600001</v>
      </c>
      <c r="G53" s="7">
        <v>5474.5989436899999</v>
      </c>
      <c r="H53" s="7">
        <v>5638.6807365000004</v>
      </c>
      <c r="I53" s="7">
        <v>5803.7862232199996</v>
      </c>
      <c r="J53" s="7">
        <v>5959.4785987100004</v>
      </c>
      <c r="K53" s="7">
        <v>6135.8999579900001</v>
      </c>
      <c r="L53" s="7">
        <v>6317.7421458400004</v>
      </c>
      <c r="M53" s="7">
        <v>6500.9357280900003</v>
      </c>
      <c r="N53" s="7">
        <v>6686.3287473099999</v>
      </c>
      <c r="O53" s="7">
        <v>6873.3012866999998</v>
      </c>
      <c r="P53" s="7">
        <v>7061.9735002899997</v>
      </c>
      <c r="Q53" s="7">
        <v>7257.2856605699999</v>
      </c>
      <c r="R53" s="7">
        <v>7452.71151388</v>
      </c>
      <c r="S53" s="7">
        <v>7650.0923992300004</v>
      </c>
      <c r="T53" s="7">
        <v>7849.5629636200001</v>
      </c>
      <c r="U53" s="7">
        <v>8051.1064727800003</v>
      </c>
      <c r="V53" s="7">
        <v>8283.4501962300001</v>
      </c>
      <c r="W53" s="7">
        <v>8542.1475861100007</v>
      </c>
      <c r="X53" s="7">
        <v>8782.1601493399994</v>
      </c>
      <c r="Y53" s="7">
        <v>9025.8961268599996</v>
      </c>
      <c r="Z53" s="7">
        <v>9262.7703344900001</v>
      </c>
      <c r="AA53" s="7">
        <v>9510.9692116299993</v>
      </c>
      <c r="AB53" s="7">
        <v>9758.3031821200002</v>
      </c>
      <c r="AC53" s="7">
        <v>10008.87586554</v>
      </c>
    </row>
    <row r="54" spans="1:29" x14ac:dyDescent="0.85">
      <c r="A54" t="s">
        <v>152</v>
      </c>
      <c r="B54" s="7">
        <v>0</v>
      </c>
      <c r="C54" s="7">
        <v>6064.2689487400003</v>
      </c>
      <c r="D54" s="7">
        <v>6388.6312063900004</v>
      </c>
      <c r="E54" s="7">
        <v>6851.3299984499999</v>
      </c>
      <c r="F54" s="7">
        <v>7042.5272306500001</v>
      </c>
      <c r="G54" s="7">
        <v>7230.4281265299996</v>
      </c>
      <c r="H54" s="7">
        <v>7419.6489747599999</v>
      </c>
      <c r="I54" s="7">
        <v>7609.2939047700002</v>
      </c>
      <c r="J54" s="7">
        <v>7796.2596097200003</v>
      </c>
      <c r="K54" s="7">
        <v>7987.4558145800002</v>
      </c>
      <c r="L54" s="7">
        <v>8179.0902401800004</v>
      </c>
      <c r="M54" s="7">
        <v>8371.2431860800007</v>
      </c>
      <c r="N54" s="7">
        <v>8563.9766698500007</v>
      </c>
      <c r="O54" s="7">
        <v>8757.43617868</v>
      </c>
      <c r="P54" s="7">
        <v>8951.8213581399996</v>
      </c>
      <c r="Q54" s="7">
        <v>9156.0671859699996</v>
      </c>
      <c r="R54" s="7">
        <v>9352.6564812800007</v>
      </c>
      <c r="S54" s="7">
        <v>9550.6340130000008</v>
      </c>
      <c r="T54" s="7">
        <v>9750.2611876699993</v>
      </c>
      <c r="U54" s="7">
        <v>9951.0959974199995</v>
      </c>
      <c r="V54" s="7">
        <v>10265.09565909</v>
      </c>
      <c r="W54" s="7">
        <v>10662.472268949999</v>
      </c>
      <c r="X54" s="7">
        <v>10983.219760440001</v>
      </c>
      <c r="Y54" s="7">
        <v>11311.21985657</v>
      </c>
      <c r="Z54" s="7">
        <v>11605.18872765</v>
      </c>
      <c r="AA54" s="7">
        <v>11932.86949651</v>
      </c>
      <c r="AB54" s="7">
        <v>12249.486004300001</v>
      </c>
      <c r="AC54" s="7">
        <v>12569.38092544</v>
      </c>
    </row>
    <row r="55" spans="1:29" x14ac:dyDescent="0.85">
      <c r="A55" t="s">
        <v>153</v>
      </c>
      <c r="B55" s="7">
        <v>28.41192835</v>
      </c>
      <c r="C55" s="7">
        <v>30.321344740000001</v>
      </c>
      <c r="D55" s="7">
        <v>31.943156030000001</v>
      </c>
      <c r="E55" s="7">
        <v>34.25664999</v>
      </c>
      <c r="F55" s="7">
        <v>35.212636150000002</v>
      </c>
      <c r="G55" s="7">
        <v>36.152140629999998</v>
      </c>
      <c r="H55" s="7">
        <v>37.098244870000002</v>
      </c>
      <c r="I55" s="7">
        <v>38.046469520000002</v>
      </c>
      <c r="J55" s="7">
        <v>38.981298049999999</v>
      </c>
      <c r="K55" s="7">
        <v>39.937279070000002</v>
      </c>
      <c r="L55" s="7">
        <v>40.895451199999997</v>
      </c>
      <c r="M55" s="7">
        <v>41.856215929999998</v>
      </c>
      <c r="N55" s="7">
        <v>42.819883349999998</v>
      </c>
      <c r="O55" s="7">
        <v>43.787180890000002</v>
      </c>
      <c r="P55" s="7">
        <v>44.759106789999997</v>
      </c>
      <c r="Q55" s="7">
        <v>45.78033593</v>
      </c>
      <c r="R55" s="7">
        <v>46.763282410000002</v>
      </c>
      <c r="S55" s="7">
        <v>47.753170070000003</v>
      </c>
      <c r="T55" s="7">
        <v>48.751305940000002</v>
      </c>
      <c r="U55" s="7">
        <v>49.755479989999998</v>
      </c>
      <c r="V55" s="7">
        <v>51.3254783</v>
      </c>
      <c r="W55" s="7">
        <v>53.312361340000002</v>
      </c>
      <c r="X55" s="7">
        <v>54.9160988</v>
      </c>
      <c r="Y55" s="7">
        <v>56.556099279999998</v>
      </c>
      <c r="Z55" s="7">
        <v>58.025943640000001</v>
      </c>
      <c r="AA55" s="7">
        <v>59.664347480000004</v>
      </c>
      <c r="AB55" s="7">
        <v>61.247430020000003</v>
      </c>
      <c r="AC55" s="7">
        <v>62.846904629999997</v>
      </c>
    </row>
    <row r="56" spans="1:29" x14ac:dyDescent="0.85">
      <c r="A56" t="s">
        <v>154</v>
      </c>
      <c r="B56" s="7">
        <v>2780.6616212700001</v>
      </c>
      <c r="C56" s="7">
        <v>3004.87239219</v>
      </c>
      <c r="D56" s="7">
        <v>3245.5794071400001</v>
      </c>
      <c r="E56" s="7">
        <v>3442.83949923</v>
      </c>
      <c r="F56" s="7">
        <v>3558.7312522699999</v>
      </c>
      <c r="G56" s="7">
        <v>3674.3698999500002</v>
      </c>
      <c r="H56" s="7">
        <v>3791.3395631899998</v>
      </c>
      <c r="I56" s="7">
        <v>3909.2273326499999</v>
      </c>
      <c r="J56" s="7">
        <v>4018.3690632299999</v>
      </c>
      <c r="K56" s="7">
        <v>4147.1864694599999</v>
      </c>
      <c r="L56" s="7">
        <v>4281.3155962500005</v>
      </c>
      <c r="M56" s="7">
        <v>4416.6670164500001</v>
      </c>
      <c r="N56" s="7">
        <v>4554.0733315500001</v>
      </c>
      <c r="O56" s="7">
        <v>4692.8784014000003</v>
      </c>
      <c r="P56" s="7">
        <v>4833.1526723500001</v>
      </c>
      <c r="Q56" s="7">
        <v>4977.6117897699996</v>
      </c>
      <c r="R56" s="7">
        <v>5124.0909205799999</v>
      </c>
      <c r="S56" s="7">
        <v>5272.1794408899996</v>
      </c>
      <c r="T56" s="7">
        <v>5421.94691281</v>
      </c>
      <c r="U56" s="7">
        <v>5573.4866530099998</v>
      </c>
      <c r="V56" s="7">
        <v>5727.6508688699996</v>
      </c>
      <c r="W56" s="7">
        <v>5887.4095926099999</v>
      </c>
      <c r="X56" s="7">
        <v>6047.5625763300004</v>
      </c>
      <c r="Y56" s="7">
        <v>6209.6332238000005</v>
      </c>
      <c r="Z56" s="7">
        <v>6373.3151818899996</v>
      </c>
      <c r="AA56" s="7">
        <v>6539.9282349499999</v>
      </c>
      <c r="AB56" s="7">
        <v>6708.4311565600001</v>
      </c>
      <c r="AC56" s="7">
        <v>6879.3565330900001</v>
      </c>
    </row>
    <row r="57" spans="1:29" x14ac:dyDescent="0.85">
      <c r="A57" t="s">
        <v>155</v>
      </c>
      <c r="B57" s="7">
        <v>1414.7980649000001</v>
      </c>
      <c r="C57" s="7">
        <v>1509.87920764</v>
      </c>
      <c r="D57" s="7">
        <v>1590.6387901600001</v>
      </c>
      <c r="E57" s="7">
        <v>1705.84134655</v>
      </c>
      <c r="F57" s="7">
        <v>1753.44555539</v>
      </c>
      <c r="G57" s="7">
        <v>1800.2290437500001</v>
      </c>
      <c r="H57" s="7">
        <v>1847.3411733099999</v>
      </c>
      <c r="I57" s="7">
        <v>1894.55889058</v>
      </c>
      <c r="J57" s="7">
        <v>1941.10953548</v>
      </c>
      <c r="K57" s="7">
        <v>1988.7134885299999</v>
      </c>
      <c r="L57" s="7">
        <v>2036.4265496</v>
      </c>
      <c r="M57" s="7">
        <v>2084.2687116400002</v>
      </c>
      <c r="N57" s="7">
        <v>2132.2554157599998</v>
      </c>
      <c r="O57" s="7">
        <v>2180.4228853</v>
      </c>
      <c r="P57" s="7">
        <v>2228.82082795</v>
      </c>
      <c r="Q57" s="7">
        <v>2279.6738707899999</v>
      </c>
      <c r="R57" s="7">
        <v>2328.6205933000001</v>
      </c>
      <c r="S57" s="7">
        <v>2377.9129583399999</v>
      </c>
      <c r="T57" s="7">
        <v>2427.6160508100002</v>
      </c>
      <c r="U57" s="7">
        <v>2477.61981977</v>
      </c>
      <c r="V57" s="7">
        <v>2555.7993273699999</v>
      </c>
      <c r="W57" s="7">
        <v>2654.73799349</v>
      </c>
      <c r="X57" s="7">
        <v>2734.5975730099999</v>
      </c>
      <c r="Y57" s="7">
        <v>2816.2629030600001</v>
      </c>
      <c r="Z57" s="7">
        <v>2889.4551526</v>
      </c>
      <c r="AA57" s="7">
        <v>2971.0409766799999</v>
      </c>
      <c r="AB57" s="7">
        <v>3049.8720255600001</v>
      </c>
      <c r="AC57" s="7">
        <v>3129.51933246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1.1250999699999999</v>
      </c>
      <c r="E58" s="7">
        <v>1.12477998</v>
      </c>
      <c r="F58" s="7">
        <v>1.10497717</v>
      </c>
      <c r="G58" s="7">
        <v>1.07673091</v>
      </c>
      <c r="H58" s="7">
        <v>1.0755149399999999</v>
      </c>
      <c r="I58" s="7">
        <v>1.0748270200000001</v>
      </c>
      <c r="J58" s="7">
        <v>1.07405621</v>
      </c>
      <c r="K58" s="7">
        <v>1.07074896</v>
      </c>
      <c r="L58" s="7">
        <v>1.0750595199999999</v>
      </c>
      <c r="M58" s="7">
        <v>1.0753564600000001</v>
      </c>
      <c r="N58" s="7">
        <v>1.0745983800000001</v>
      </c>
      <c r="O58" s="7">
        <v>1.07407381</v>
      </c>
      <c r="P58" s="7">
        <v>1.0734159599999999</v>
      </c>
      <c r="Q58" s="7">
        <v>1.072803</v>
      </c>
      <c r="R58" s="7">
        <v>1.0728012600000001</v>
      </c>
      <c r="S58" s="7">
        <v>1.0723204099999999</v>
      </c>
      <c r="T58" s="7">
        <v>1.0717713</v>
      </c>
      <c r="U58" s="7">
        <v>1.07125742</v>
      </c>
      <c r="V58" s="7">
        <v>1.0707805399999999</v>
      </c>
      <c r="W58" s="7">
        <v>1.07047946</v>
      </c>
      <c r="X58" s="7">
        <v>1.0707213900000001</v>
      </c>
      <c r="Y58" s="7">
        <v>1.0700027299999999</v>
      </c>
      <c r="Z58" s="7">
        <v>1.0695826399999999</v>
      </c>
      <c r="AA58" s="7">
        <v>1.06912433</v>
      </c>
      <c r="AB58" s="7">
        <v>1.0688982199999999</v>
      </c>
      <c r="AC58" s="7">
        <v>1.0685054700000001</v>
      </c>
    </row>
    <row r="59" spans="1:29" x14ac:dyDescent="0.85">
      <c r="A59" t="s">
        <v>157</v>
      </c>
      <c r="B59" s="7">
        <v>1</v>
      </c>
      <c r="C59" s="7">
        <v>1.1256585100000001</v>
      </c>
      <c r="D59" s="7">
        <v>1.12510997</v>
      </c>
      <c r="E59" s="7">
        <v>1.10497717</v>
      </c>
      <c r="F59" s="7">
        <v>1.07673091</v>
      </c>
      <c r="G59" s="7">
        <v>1.0755149399999999</v>
      </c>
      <c r="H59" s="7">
        <v>1.0748270200000001</v>
      </c>
      <c r="I59" s="7">
        <v>1.07405621</v>
      </c>
      <c r="J59" s="7">
        <v>1.07074896</v>
      </c>
      <c r="K59" s="7">
        <v>1.0750595199999999</v>
      </c>
      <c r="L59" s="7">
        <v>1.0753564600000001</v>
      </c>
      <c r="M59" s="7">
        <v>1.0745983800000001</v>
      </c>
      <c r="N59" s="7">
        <v>1.07407381</v>
      </c>
      <c r="O59" s="7">
        <v>1.0734159599999999</v>
      </c>
      <c r="P59" s="7">
        <v>1.072803</v>
      </c>
      <c r="Q59" s="7">
        <v>1.0728012600000001</v>
      </c>
      <c r="R59" s="7">
        <v>1.0723204099999999</v>
      </c>
      <c r="S59" s="7">
        <v>1.0717713</v>
      </c>
      <c r="T59" s="7">
        <v>1.07125742</v>
      </c>
      <c r="U59" s="7">
        <v>1.0707805399999999</v>
      </c>
      <c r="V59" s="7">
        <v>1.07047946</v>
      </c>
      <c r="W59" s="7">
        <v>1.0707213900000001</v>
      </c>
      <c r="X59" s="7">
        <v>1.0700027299999999</v>
      </c>
      <c r="Y59" s="7">
        <v>1.0695826399999999</v>
      </c>
      <c r="Z59" s="7">
        <v>1.06912433</v>
      </c>
      <c r="AA59" s="7">
        <v>1.0688982199999999</v>
      </c>
      <c r="AB59" s="7">
        <v>1.0685054700000001</v>
      </c>
      <c r="AC59" s="7">
        <v>1.06820749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1.12510997</v>
      </c>
      <c r="E60" s="7">
        <v>1.1247899800000001</v>
      </c>
      <c r="F60" s="7">
        <v>1.1212050099999999</v>
      </c>
      <c r="G60" s="7">
        <v>1.12054056</v>
      </c>
      <c r="H60" s="7">
        <v>1.1199737599999999</v>
      </c>
      <c r="I60" s="7">
        <v>1.1194680299999999</v>
      </c>
      <c r="J60" s="7">
        <v>1.1190270600000001</v>
      </c>
      <c r="K60" s="7">
        <v>1.1187752200000001</v>
      </c>
      <c r="L60" s="7">
        <v>1.1183327000000001</v>
      </c>
      <c r="M60" s="7">
        <v>1.11790235</v>
      </c>
      <c r="N60" s="7">
        <v>1.1175290200000001</v>
      </c>
      <c r="O60" s="7">
        <v>1.1172003800000001</v>
      </c>
      <c r="P60" s="7">
        <v>1.1169202</v>
      </c>
      <c r="Q60" s="7">
        <v>1.11668407</v>
      </c>
      <c r="R60" s="7">
        <v>1.1163951999999999</v>
      </c>
      <c r="S60" s="7">
        <v>1.1162103800000001</v>
      </c>
      <c r="T60" s="7">
        <v>1.11606114</v>
      </c>
      <c r="U60" s="7">
        <v>1.11594438</v>
      </c>
      <c r="V60" s="7">
        <v>1.11586096</v>
      </c>
      <c r="W60" s="7">
        <v>1.11504106</v>
      </c>
      <c r="X60" s="7">
        <v>1.1137115900000001</v>
      </c>
      <c r="Y60" s="7">
        <v>1.11298823</v>
      </c>
      <c r="Z60" s="7">
        <v>1.1122887699999999</v>
      </c>
      <c r="AA60" s="7">
        <v>1.1118656099999999</v>
      </c>
      <c r="AB60" s="7">
        <v>1.11128962</v>
      </c>
      <c r="AC60" s="7">
        <v>1.11083877</v>
      </c>
    </row>
    <row r="61" spans="1:29" x14ac:dyDescent="0.85">
      <c r="A61" t="s">
        <v>159</v>
      </c>
      <c r="B61" s="7">
        <v>4190</v>
      </c>
      <c r="C61" s="7">
        <v>4085.25</v>
      </c>
      <c r="D61" s="7">
        <v>3983.1187500000001</v>
      </c>
      <c r="E61" s="7">
        <v>3883.5407812499998</v>
      </c>
      <c r="F61" s="7">
        <v>3786.45226172</v>
      </c>
      <c r="G61" s="7">
        <v>3691.7909551799999</v>
      </c>
      <c r="H61" s="7">
        <v>3599.4961813</v>
      </c>
      <c r="I61" s="7">
        <v>3509.5087767599998</v>
      </c>
      <c r="J61" s="7">
        <v>3421.77105734</v>
      </c>
      <c r="K61" s="7">
        <v>3336.2267809099999</v>
      </c>
      <c r="L61" s="7">
        <v>3252.8211113900002</v>
      </c>
      <c r="M61" s="7">
        <v>3171.5005836</v>
      </c>
      <c r="N61" s="7">
        <v>3092.2130690099998</v>
      </c>
      <c r="O61" s="7">
        <v>3014.90774229</v>
      </c>
      <c r="P61" s="7">
        <v>2939.5350487300002</v>
      </c>
      <c r="Q61" s="7">
        <v>2866.04667251</v>
      </c>
      <c r="R61" s="7">
        <v>2794.3955056999998</v>
      </c>
      <c r="S61" s="7">
        <v>2724.5356180600002</v>
      </c>
      <c r="T61" s="7">
        <v>2656.4222276099999</v>
      </c>
      <c r="U61" s="7">
        <v>2590.01167192</v>
      </c>
      <c r="V61" s="7">
        <v>2525.26138012</v>
      </c>
      <c r="W61" s="7">
        <v>2462.1298456200002</v>
      </c>
      <c r="X61" s="7">
        <v>2400.57659947</v>
      </c>
      <c r="Y61" s="7">
        <v>2340.5621844900002</v>
      </c>
      <c r="Z61" s="7">
        <v>2282.04812988</v>
      </c>
      <c r="AA61" s="7">
        <v>2224.99692663</v>
      </c>
      <c r="AB61" s="7">
        <v>2169.3720034600001</v>
      </c>
      <c r="AC61" s="7">
        <v>2115.1377033799999</v>
      </c>
    </row>
    <row r="62" spans="1:29" x14ac:dyDescent="0.85">
      <c r="A62" t="s">
        <v>160</v>
      </c>
      <c r="B62" s="7">
        <v>20069844.5</v>
      </c>
      <c r="C62" s="7">
        <v>10814300.873931199</v>
      </c>
      <c r="D62" s="7">
        <v>1513157.74310546</v>
      </c>
      <c r="E62" s="7">
        <v>26093.6622111</v>
      </c>
      <c r="F62" s="7">
        <v>0.22377284</v>
      </c>
      <c r="G62" s="7">
        <v>1.4100000000000001E-6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20069844.5</v>
      </c>
      <c r="C63" s="7">
        <v>10814300.873931199</v>
      </c>
      <c r="D63" s="7">
        <v>1513157.74310546</v>
      </c>
      <c r="E63" s="7">
        <v>26093.6622111</v>
      </c>
      <c r="F63" s="7">
        <v>0.22377284</v>
      </c>
      <c r="G63" s="7">
        <v>1.4100000000000001E-6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2975.2003599300001</v>
      </c>
      <c r="C64" s="7">
        <v>2697.0319448199998</v>
      </c>
      <c r="D64" s="7">
        <v>2419.3694572200002</v>
      </c>
      <c r="E64" s="7">
        <v>2325.1470267899999</v>
      </c>
      <c r="F64" s="7">
        <v>2266.4260823899999</v>
      </c>
      <c r="G64" s="7">
        <v>2209.7654252500001</v>
      </c>
      <c r="H64" s="7">
        <v>2154.5212896200001</v>
      </c>
      <c r="I64" s="7">
        <v>2100.6582573800001</v>
      </c>
      <c r="J64" s="7">
        <v>2048.1418009399999</v>
      </c>
      <c r="K64" s="7">
        <v>1996.9382559200001</v>
      </c>
      <c r="L64" s="7">
        <v>1947.01479952</v>
      </c>
      <c r="M64" s="7">
        <v>1898.33942953</v>
      </c>
      <c r="N64" s="7">
        <v>1850.8809437899999</v>
      </c>
      <c r="O64" s="7">
        <v>1804.6089202000001</v>
      </c>
      <c r="P64" s="7">
        <v>1759.4936971899999</v>
      </c>
      <c r="Q64" s="7">
        <v>1715.50635476</v>
      </c>
      <c r="R64" s="7">
        <v>1672.6186958999999</v>
      </c>
      <c r="S64" s="7">
        <v>1630.8032284999999</v>
      </c>
      <c r="T64" s="7">
        <v>1590.0331477899999</v>
      </c>
      <c r="U64" s="7">
        <v>1550.2823190900001</v>
      </c>
      <c r="V64" s="7">
        <v>1511.52526111</v>
      </c>
      <c r="W64" s="7">
        <v>1473.73712959</v>
      </c>
      <c r="X64" s="7">
        <v>1436.8937013499999</v>
      </c>
      <c r="Y64" s="7">
        <v>1400.9713588100001</v>
      </c>
      <c r="Z64" s="7">
        <v>1365.9470748399999</v>
      </c>
      <c r="AA64" s="7">
        <v>1331.79839797</v>
      </c>
      <c r="AB64" s="7">
        <v>1298.50343802</v>
      </c>
      <c r="AC64" s="7">
        <v>1266.04085207</v>
      </c>
    </row>
    <row r="65" spans="1:29" x14ac:dyDescent="0.85">
      <c r="A65" t="s">
        <v>163</v>
      </c>
      <c r="B65" s="7">
        <v>0</v>
      </c>
      <c r="C65" s="7">
        <v>1773.54534332</v>
      </c>
      <c r="D65" s="7">
        <v>248.15786987000001</v>
      </c>
      <c r="E65" s="7">
        <v>4.2793606000000004</v>
      </c>
      <c r="F65" s="7">
        <v>3.6699999999999998E-5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8.8677267200000003</v>
      </c>
      <c r="D66" s="7">
        <v>1.24078935</v>
      </c>
      <c r="E66" s="7">
        <v>2.1396800000000001E-2</v>
      </c>
      <c r="F66" s="7">
        <v>1.8E-7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2507.97437997</v>
      </c>
      <c r="C67" s="7">
        <v>2445.2750204700001</v>
      </c>
      <c r="D67" s="7">
        <v>2384.14314496</v>
      </c>
      <c r="E67" s="7">
        <v>2324.53956634</v>
      </c>
      <c r="F67" s="7">
        <v>2266.42607718</v>
      </c>
      <c r="G67" s="7">
        <v>2209.7654252500001</v>
      </c>
      <c r="H67" s="7">
        <v>2154.5212896200001</v>
      </c>
      <c r="I67" s="7">
        <v>2100.6582573800001</v>
      </c>
      <c r="J67" s="7">
        <v>2048.1418009399999</v>
      </c>
      <c r="K67" s="7">
        <v>1996.9382559200001</v>
      </c>
      <c r="L67" s="7">
        <v>1947.01479952</v>
      </c>
      <c r="M67" s="7">
        <v>1898.33942953</v>
      </c>
      <c r="N67" s="7">
        <v>1850.8809437899999</v>
      </c>
      <c r="O67" s="7">
        <v>1804.6089202000001</v>
      </c>
      <c r="P67" s="7">
        <v>1759.4936971899999</v>
      </c>
      <c r="Q67" s="7">
        <v>1715.50635476</v>
      </c>
      <c r="R67" s="7">
        <v>1672.6186958999999</v>
      </c>
      <c r="S67" s="7">
        <v>1630.8032284999999</v>
      </c>
      <c r="T67" s="7">
        <v>1590.0331477899999</v>
      </c>
      <c r="U67" s="7">
        <v>1550.2823190900001</v>
      </c>
      <c r="V67" s="7">
        <v>1511.52526111</v>
      </c>
      <c r="W67" s="7">
        <v>1473.73712959</v>
      </c>
      <c r="X67" s="7">
        <v>1436.8937013499999</v>
      </c>
      <c r="Y67" s="7">
        <v>1400.9713588100001</v>
      </c>
      <c r="Z67" s="7">
        <v>1365.9470748399999</v>
      </c>
      <c r="AA67" s="7">
        <v>1331.79839797</v>
      </c>
      <c r="AB67" s="7">
        <v>1298.50343802</v>
      </c>
      <c r="AC67" s="7">
        <v>1266.04085207</v>
      </c>
    </row>
    <row r="68" spans="1:29" x14ac:dyDescent="0.85">
      <c r="A68" t="s">
        <v>166</v>
      </c>
      <c r="B68" s="7">
        <v>467.22597996000002</v>
      </c>
      <c r="C68" s="7">
        <v>251.75692434999999</v>
      </c>
      <c r="D68" s="7">
        <v>35.22631226</v>
      </c>
      <c r="E68" s="7">
        <v>0.60746045999999998</v>
      </c>
      <c r="F68" s="7">
        <v>5.2100000000000001E-6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0.55264955999999998</v>
      </c>
      <c r="E69" s="7">
        <v>0.14350966000000001</v>
      </c>
      <c r="F69" s="7">
        <v>1.768668E-2</v>
      </c>
      <c r="G69" s="7">
        <v>8.8000000000000004E-6</v>
      </c>
      <c r="H69" s="7">
        <v>6.4500000000000001E-6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1E-8</v>
      </c>
      <c r="V69" s="7">
        <v>1E-8</v>
      </c>
      <c r="W69" s="7">
        <v>8.7000000000000003E-7</v>
      </c>
      <c r="X69" s="7">
        <v>8.9999999999999996E-7</v>
      </c>
      <c r="Y69" s="7">
        <v>7.1999999999999999E-7</v>
      </c>
      <c r="Z69" s="7">
        <v>7.5000000000000002E-7</v>
      </c>
      <c r="AA69" s="7">
        <v>7.3E-7</v>
      </c>
      <c r="AB69" s="7">
        <v>7.7000000000000004E-7</v>
      </c>
      <c r="AC69" s="7">
        <v>9.5000000000000001E-7</v>
      </c>
    </row>
    <row r="70" spans="1:29" x14ac:dyDescent="0.85">
      <c r="A70" t="s">
        <v>168</v>
      </c>
      <c r="B70" s="7">
        <v>1</v>
      </c>
      <c r="C70" s="7">
        <v>0.55264955999999998</v>
      </c>
      <c r="D70" s="7">
        <v>0.14350966000000001</v>
      </c>
      <c r="E70" s="7">
        <v>1.768668E-2</v>
      </c>
      <c r="F70" s="7">
        <v>8.8000000000000004E-6</v>
      </c>
      <c r="G70" s="7">
        <v>6.4500000000000001E-6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1E-8</v>
      </c>
      <c r="U70" s="7">
        <v>1E-8</v>
      </c>
      <c r="V70" s="7">
        <v>8.7000000000000003E-7</v>
      </c>
      <c r="W70" s="7">
        <v>8.9999999999999996E-7</v>
      </c>
      <c r="X70" s="7">
        <v>7.1999999999999999E-7</v>
      </c>
      <c r="Y70" s="7">
        <v>7.5000000000000002E-7</v>
      </c>
      <c r="Z70" s="7">
        <v>7.3E-7</v>
      </c>
      <c r="AA70" s="7">
        <v>7.7000000000000004E-7</v>
      </c>
      <c r="AB70" s="7">
        <v>9.5000000000000001E-7</v>
      </c>
      <c r="AC70" s="7">
        <v>1.13E-6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1.9981898600000001</v>
      </c>
      <c r="E71" s="7">
        <v>2.1003403299999999</v>
      </c>
      <c r="F71" s="7">
        <v>2.1551748499999999</v>
      </c>
      <c r="G71" s="7">
        <v>2.2155723799999998</v>
      </c>
      <c r="H71" s="7">
        <v>2.2789360599999999</v>
      </c>
      <c r="I71" s="7">
        <v>2.3455812300000001</v>
      </c>
      <c r="J71" s="7">
        <v>2.4156301299999998</v>
      </c>
      <c r="K71" s="7">
        <v>2.4876372999999998</v>
      </c>
      <c r="L71" s="7">
        <v>2.5665636900000002</v>
      </c>
      <c r="M71" s="7">
        <v>2.6503544300000001</v>
      </c>
      <c r="N71" s="7">
        <v>2.7384447199999999</v>
      </c>
      <c r="O71" s="7">
        <v>2.8312166900000002</v>
      </c>
      <c r="P71" s="7">
        <v>2.9287603799999999</v>
      </c>
      <c r="Q71" s="7">
        <v>3.0313082800000002</v>
      </c>
      <c r="R71" s="7">
        <v>3.1381905400000001</v>
      </c>
      <c r="S71" s="7">
        <v>3.2521468100000002</v>
      </c>
      <c r="T71" s="7">
        <v>3.3718914400000002</v>
      </c>
      <c r="U71" s="7">
        <v>3.4977047899999998</v>
      </c>
      <c r="V71" s="7">
        <v>3.6299901999999999</v>
      </c>
      <c r="W71" s="7">
        <v>3.74742818</v>
      </c>
      <c r="X71" s="7">
        <v>3.8551657399999999</v>
      </c>
      <c r="Y71" s="7">
        <v>3.9839075199999998</v>
      </c>
      <c r="Z71" s="7">
        <v>4.1178934900000002</v>
      </c>
      <c r="AA71" s="7">
        <v>4.2661262500000001</v>
      </c>
      <c r="AB71" s="7">
        <v>4.4149767899999999</v>
      </c>
      <c r="AC71" s="7">
        <v>4.5741030900000004</v>
      </c>
    </row>
    <row r="72" spans="1:29" x14ac:dyDescent="0.85">
      <c r="A72" t="s">
        <v>170</v>
      </c>
      <c r="B72" s="7">
        <v>0</v>
      </c>
      <c r="C72" s="7">
        <v>122.14672512</v>
      </c>
      <c r="D72" s="7">
        <v>215.60384712999999</v>
      </c>
      <c r="E72" s="7">
        <v>194.04346242</v>
      </c>
      <c r="F72" s="7">
        <v>174.63920315999999</v>
      </c>
      <c r="G72" s="7">
        <v>157.17561524999999</v>
      </c>
      <c r="H72" s="7">
        <v>141.54424886000001</v>
      </c>
      <c r="I72" s="7">
        <v>127.43477543</v>
      </c>
      <c r="J72" s="7">
        <v>114.69204311999999</v>
      </c>
      <c r="K72" s="7">
        <v>115.28521804</v>
      </c>
      <c r="L72" s="7">
        <v>103.75669623</v>
      </c>
      <c r="M72" s="7">
        <v>98.618630030000006</v>
      </c>
      <c r="N72" s="7">
        <v>88.756767019999998</v>
      </c>
      <c r="O72" s="7">
        <v>80.485423449999999</v>
      </c>
      <c r="P72" s="7">
        <v>72.436897369999997</v>
      </c>
      <c r="Q72" s="7">
        <v>65.197066030000002</v>
      </c>
      <c r="R72" s="7">
        <v>59.063290350000003</v>
      </c>
      <c r="S72" s="7">
        <v>53.410373960000001</v>
      </c>
      <c r="T72" s="7">
        <v>48.28393071</v>
      </c>
      <c r="U72" s="7">
        <v>43.470878059999997</v>
      </c>
      <c r="V72" s="7">
        <v>40.811662859999998</v>
      </c>
      <c r="W72" s="7">
        <v>38.710093200000003</v>
      </c>
      <c r="X72" s="7">
        <v>35.107737970000002</v>
      </c>
      <c r="Y72" s="7">
        <v>33.50752336</v>
      </c>
      <c r="Z72" s="7">
        <v>30.15685251</v>
      </c>
      <c r="AA72" s="7">
        <v>27.656242469999999</v>
      </c>
      <c r="AB72" s="7">
        <v>25.766290810000001</v>
      </c>
      <c r="AC72" s="7">
        <v>23.93772796</v>
      </c>
    </row>
    <row r="73" spans="1:29" x14ac:dyDescent="0.85">
      <c r="A73" t="s">
        <v>171</v>
      </c>
      <c r="B73" s="7">
        <v>0</v>
      </c>
      <c r="C73" s="7">
        <v>30.536676060000001</v>
      </c>
      <c r="D73" s="7">
        <v>26.41795364</v>
      </c>
      <c r="E73" s="7">
        <v>0</v>
      </c>
      <c r="F73" s="7">
        <v>0</v>
      </c>
      <c r="G73" s="7">
        <v>9.9630000000000007E-5</v>
      </c>
      <c r="H73" s="7">
        <v>0</v>
      </c>
      <c r="I73" s="7">
        <v>2.879812E-2</v>
      </c>
      <c r="J73" s="7">
        <v>31.858870769999999</v>
      </c>
      <c r="K73" s="7">
        <v>31.684927299999998</v>
      </c>
      <c r="L73" s="7">
        <v>28.817043009999999</v>
      </c>
      <c r="M73" s="7">
        <v>27.248158790000002</v>
      </c>
      <c r="N73" s="7">
        <v>24.65379424</v>
      </c>
      <c r="O73" s="7">
        <v>22.340270919999998</v>
      </c>
      <c r="P73" s="7">
        <v>20.120919669999999</v>
      </c>
      <c r="Q73" s="7">
        <v>18.10995917</v>
      </c>
      <c r="R73" s="7">
        <v>16.395742720000001</v>
      </c>
      <c r="S73" s="7">
        <v>14.829164560000001</v>
      </c>
      <c r="T73" s="7">
        <v>13.40624163</v>
      </c>
      <c r="U73" s="7">
        <v>12.07481655</v>
      </c>
      <c r="V73" s="7">
        <v>11.28968766</v>
      </c>
      <c r="W73" s="7">
        <v>10.69781281</v>
      </c>
      <c r="X73" s="7">
        <v>9.7446829000000008</v>
      </c>
      <c r="Y73" s="7">
        <v>9.2545742400000002</v>
      </c>
      <c r="Z73" s="7">
        <v>8.3769011199999994</v>
      </c>
      <c r="AA73" s="7">
        <v>7.6679817300000002</v>
      </c>
      <c r="AB73" s="7">
        <v>7.1329704600000001</v>
      </c>
      <c r="AC73" s="7">
        <v>6.62858912</v>
      </c>
    </row>
    <row r="74" spans="1:29" x14ac:dyDescent="0.85">
      <c r="A74" t="s">
        <v>172</v>
      </c>
      <c r="B74" s="7">
        <v>0</v>
      </c>
      <c r="C74" s="7">
        <v>30.536676060000001</v>
      </c>
      <c r="D74" s="7">
        <v>26.41795364</v>
      </c>
      <c r="E74" s="7">
        <v>0</v>
      </c>
      <c r="F74" s="7">
        <v>0</v>
      </c>
      <c r="G74" s="7">
        <v>9.9630000000000007E-5</v>
      </c>
      <c r="H74" s="7">
        <v>0</v>
      </c>
      <c r="I74" s="7">
        <v>2.879812E-2</v>
      </c>
      <c r="J74" s="7">
        <v>31.858870769999999</v>
      </c>
      <c r="K74" s="7">
        <v>31.684927299999998</v>
      </c>
      <c r="L74" s="7">
        <v>28.817043009999999</v>
      </c>
      <c r="M74" s="7">
        <v>27.248158790000002</v>
      </c>
      <c r="N74" s="7">
        <v>24.65379424</v>
      </c>
      <c r="O74" s="7">
        <v>22.340270919999998</v>
      </c>
      <c r="P74" s="7">
        <v>20.120919669999999</v>
      </c>
      <c r="Q74" s="7">
        <v>18.10995917</v>
      </c>
      <c r="R74" s="7">
        <v>16.395742720000001</v>
      </c>
      <c r="S74" s="7">
        <v>14.829164560000001</v>
      </c>
      <c r="T74" s="7">
        <v>13.40624163</v>
      </c>
      <c r="U74" s="7">
        <v>12.07481655</v>
      </c>
      <c r="V74" s="7">
        <v>11.28968766</v>
      </c>
      <c r="W74" s="7">
        <v>10.69781281</v>
      </c>
      <c r="X74" s="7">
        <v>9.7446829000000008</v>
      </c>
      <c r="Y74" s="7">
        <v>9.2545742400000002</v>
      </c>
      <c r="Z74" s="7">
        <v>8.3769011199999994</v>
      </c>
      <c r="AA74" s="7">
        <v>7.6679817300000002</v>
      </c>
      <c r="AB74" s="7">
        <v>7.1329704600000001</v>
      </c>
      <c r="AC74" s="7">
        <v>6.62858912</v>
      </c>
    </row>
    <row r="75" spans="1:29" x14ac:dyDescent="0.85">
      <c r="A75" t="s">
        <v>173</v>
      </c>
      <c r="B75" s="7">
        <v>0</v>
      </c>
      <c r="C75" s="7">
        <v>32.438494329999997</v>
      </c>
      <c r="D75" s="7">
        <v>57.257515009999999</v>
      </c>
      <c r="E75" s="7">
        <v>51.531436120000002</v>
      </c>
      <c r="F75" s="7">
        <v>46.378315600000001</v>
      </c>
      <c r="G75" s="7">
        <v>41.740572319999998</v>
      </c>
      <c r="H75" s="7">
        <v>37.589405620000001</v>
      </c>
      <c r="I75" s="7">
        <v>33.842403060000002</v>
      </c>
      <c r="J75" s="7">
        <v>30.458798999999999</v>
      </c>
      <c r="K75" s="7">
        <v>30.61632397</v>
      </c>
      <c r="L75" s="7">
        <v>27.554695710000001</v>
      </c>
      <c r="M75" s="7">
        <v>26.190176040000001</v>
      </c>
      <c r="N75" s="7">
        <v>23.57116023</v>
      </c>
      <c r="O75" s="7">
        <v>21.37453691</v>
      </c>
      <c r="P75" s="7">
        <v>19.23708774</v>
      </c>
      <c r="Q75" s="7">
        <v>17.314403639999998</v>
      </c>
      <c r="R75" s="7">
        <v>15.68545492</v>
      </c>
      <c r="S75" s="7">
        <v>14.184208330000001</v>
      </c>
      <c r="T75" s="7">
        <v>12.822777329999999</v>
      </c>
      <c r="U75" s="7">
        <v>11.54457363</v>
      </c>
      <c r="V75" s="7">
        <v>10.838364439999999</v>
      </c>
      <c r="W75" s="7">
        <v>10.28024987</v>
      </c>
      <c r="X75" s="7">
        <v>9.3235720099999995</v>
      </c>
      <c r="Y75" s="7">
        <v>8.8986019200000008</v>
      </c>
      <c r="Z75" s="7">
        <v>8.00876403</v>
      </c>
      <c r="AA75" s="7">
        <v>7.3446761</v>
      </c>
      <c r="AB75" s="7">
        <v>6.8427609499999997</v>
      </c>
      <c r="AC75" s="7">
        <v>6.3571490400000004</v>
      </c>
    </row>
    <row r="76" spans="1:29" x14ac:dyDescent="0.85">
      <c r="A76" t="s">
        <v>174</v>
      </c>
      <c r="B76" s="7">
        <v>0</v>
      </c>
      <c r="C76" s="7">
        <v>6.7944000000000001E-4</v>
      </c>
      <c r="D76" s="7">
        <v>5.8779999999999998E-4</v>
      </c>
      <c r="E76" s="7">
        <v>0</v>
      </c>
      <c r="F76" s="7">
        <v>0</v>
      </c>
      <c r="G76" s="7">
        <v>0</v>
      </c>
      <c r="H76" s="7">
        <v>0</v>
      </c>
      <c r="I76" s="7">
        <v>6.4000000000000001E-7</v>
      </c>
      <c r="J76" s="7">
        <v>7.0885999999999996E-4</v>
      </c>
      <c r="K76" s="7">
        <v>7.0498999999999996E-4</v>
      </c>
      <c r="L76" s="7">
        <v>6.4117999999999998E-4</v>
      </c>
      <c r="M76" s="7">
        <v>6.0627000000000001E-4</v>
      </c>
      <c r="N76" s="7">
        <v>5.4854999999999997E-4</v>
      </c>
      <c r="O76" s="7">
        <v>4.9706999999999996E-4</v>
      </c>
      <c r="P76" s="7">
        <v>4.4768999999999999E-4</v>
      </c>
      <c r="Q76" s="7">
        <v>4.0295000000000001E-4</v>
      </c>
      <c r="R76" s="7">
        <v>3.6481000000000003E-4</v>
      </c>
      <c r="S76" s="7">
        <v>3.2995000000000002E-4</v>
      </c>
      <c r="T76" s="7">
        <v>2.9828999999999999E-4</v>
      </c>
      <c r="U76" s="7">
        <v>2.6865999999999999E-4</v>
      </c>
      <c r="V76" s="7">
        <v>2.5119999999999998E-4</v>
      </c>
      <c r="W76" s="7">
        <v>2.3803E-4</v>
      </c>
      <c r="X76" s="7">
        <v>2.1682E-4</v>
      </c>
      <c r="Y76" s="7">
        <v>2.0591000000000001E-4</v>
      </c>
      <c r="Z76" s="7">
        <v>1.8639000000000001E-4</v>
      </c>
      <c r="AA76" s="7">
        <v>1.7060999999999999E-4</v>
      </c>
      <c r="AB76" s="7">
        <v>1.5871E-4</v>
      </c>
      <c r="AC76" s="7">
        <v>1.4749000000000001E-4</v>
      </c>
    </row>
    <row r="77" spans="1:29" x14ac:dyDescent="0.85">
      <c r="A77" t="s">
        <v>175</v>
      </c>
      <c r="B77" s="7">
        <v>0</v>
      </c>
      <c r="C77" s="7">
        <v>3.4000000000000001E-6</v>
      </c>
      <c r="D77" s="7">
        <v>2.9399999999999998E-6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3.54E-6</v>
      </c>
      <c r="K77" s="7">
        <v>3.5200000000000002E-6</v>
      </c>
      <c r="L77" s="7">
        <v>3.2100000000000002E-6</v>
      </c>
      <c r="M77" s="7">
        <v>3.0299999999999998E-6</v>
      </c>
      <c r="N77" s="7">
        <v>2.74E-6</v>
      </c>
      <c r="O77" s="7">
        <v>2.4899999999999999E-6</v>
      </c>
      <c r="P77" s="7">
        <v>2.2400000000000002E-6</v>
      </c>
      <c r="Q77" s="7">
        <v>2.0099999999999998E-6</v>
      </c>
      <c r="R77" s="7">
        <v>1.8199999999999999E-6</v>
      </c>
      <c r="S77" s="7">
        <v>1.6500000000000001E-6</v>
      </c>
      <c r="T77" s="7">
        <v>1.4899999999999999E-6</v>
      </c>
      <c r="U77" s="7">
        <v>1.3400000000000001E-6</v>
      </c>
      <c r="V77" s="7">
        <v>1.26E-6</v>
      </c>
      <c r="W77" s="7">
        <v>1.19E-6</v>
      </c>
      <c r="X77" s="7">
        <v>1.08E-6</v>
      </c>
      <c r="Y77" s="7">
        <v>1.0300000000000001E-6</v>
      </c>
      <c r="Z77" s="7">
        <v>9.2999999999999999E-7</v>
      </c>
      <c r="AA77" s="7">
        <v>8.5000000000000001E-7</v>
      </c>
      <c r="AB77" s="7">
        <v>7.8999999999999995E-7</v>
      </c>
      <c r="AC77" s="7">
        <v>7.4000000000000001E-7</v>
      </c>
    </row>
    <row r="78" spans="1:29" x14ac:dyDescent="0.85">
      <c r="A78" t="s">
        <v>176</v>
      </c>
      <c r="B78" s="7">
        <v>0</v>
      </c>
      <c r="C78" s="7">
        <v>32.438073840000001</v>
      </c>
      <c r="D78" s="7">
        <v>57.257151239999999</v>
      </c>
      <c r="E78" s="7">
        <v>51.531436120000002</v>
      </c>
      <c r="F78" s="7">
        <v>46.378315600000001</v>
      </c>
      <c r="G78" s="7">
        <v>41.740572319999998</v>
      </c>
      <c r="H78" s="7">
        <v>37.589405620000001</v>
      </c>
      <c r="I78" s="7">
        <v>33.842402659999998</v>
      </c>
      <c r="J78" s="7">
        <v>30.458360299999999</v>
      </c>
      <c r="K78" s="7">
        <v>30.615887669999999</v>
      </c>
      <c r="L78" s="7">
        <v>27.554298899999999</v>
      </c>
      <c r="M78" s="7">
        <v>26.189800829999999</v>
      </c>
      <c r="N78" s="7">
        <v>23.570820749999999</v>
      </c>
      <c r="O78" s="7">
        <v>21.374229280000002</v>
      </c>
      <c r="P78" s="7">
        <v>19.236810680000001</v>
      </c>
      <c r="Q78" s="7">
        <v>17.31415427</v>
      </c>
      <c r="R78" s="7">
        <v>15.68522915</v>
      </c>
      <c r="S78" s="7">
        <v>14.184004140000001</v>
      </c>
      <c r="T78" s="7">
        <v>12.82259273</v>
      </c>
      <c r="U78" s="7">
        <v>11.544407359999999</v>
      </c>
      <c r="V78" s="7">
        <v>10.838208979999999</v>
      </c>
      <c r="W78" s="7">
        <v>10.28010256</v>
      </c>
      <c r="X78" s="7">
        <v>9.3234378200000005</v>
      </c>
      <c r="Y78" s="7">
        <v>8.8984744899999999</v>
      </c>
      <c r="Z78" s="7">
        <v>8.0086486800000003</v>
      </c>
      <c r="AA78" s="7">
        <v>7.3445705099999996</v>
      </c>
      <c r="AB78" s="7">
        <v>6.8426627299999998</v>
      </c>
      <c r="AC78" s="7">
        <v>6.35705776</v>
      </c>
    </row>
    <row r="79" spans="1:29" x14ac:dyDescent="0.85">
      <c r="A79" t="s">
        <v>177</v>
      </c>
      <c r="B79" s="7">
        <v>0</v>
      </c>
      <c r="C79" s="7">
        <v>4.2048999999999998E-4</v>
      </c>
      <c r="D79" s="7">
        <v>3.6378000000000002E-4</v>
      </c>
      <c r="E79" s="7">
        <v>0</v>
      </c>
      <c r="F79" s="7">
        <v>0</v>
      </c>
      <c r="G79" s="7">
        <v>0</v>
      </c>
      <c r="H79" s="7">
        <v>0</v>
      </c>
      <c r="I79" s="7">
        <v>3.9999999999999998E-7</v>
      </c>
      <c r="J79" s="7">
        <v>4.3869999999999998E-4</v>
      </c>
      <c r="K79" s="7">
        <v>4.3629999999999998E-4</v>
      </c>
      <c r="L79" s="7">
        <v>3.9680999999999999E-4</v>
      </c>
      <c r="M79" s="7">
        <v>3.7521000000000001E-4</v>
      </c>
      <c r="N79" s="7">
        <v>3.3948000000000002E-4</v>
      </c>
      <c r="O79" s="7">
        <v>3.0762999999999998E-4</v>
      </c>
      <c r="P79" s="7">
        <v>2.7706999999999997E-4</v>
      </c>
      <c r="Q79" s="7">
        <v>2.4937000000000001E-4</v>
      </c>
      <c r="R79" s="7">
        <v>2.2577E-4</v>
      </c>
      <c r="S79" s="7">
        <v>2.042E-4</v>
      </c>
      <c r="T79" s="7">
        <v>1.8459999999999999E-4</v>
      </c>
      <c r="U79" s="7">
        <v>1.6626999999999999E-4</v>
      </c>
      <c r="V79" s="7">
        <v>1.5546000000000001E-4</v>
      </c>
      <c r="W79" s="7">
        <v>1.4731E-4</v>
      </c>
      <c r="X79" s="7">
        <v>1.3417999999999999E-4</v>
      </c>
      <c r="Y79" s="7">
        <v>1.2744000000000001E-4</v>
      </c>
      <c r="Z79" s="7">
        <v>1.1535E-4</v>
      </c>
      <c r="AA79" s="7">
        <v>1.0559E-4</v>
      </c>
      <c r="AB79" s="7">
        <v>9.8220000000000005E-5</v>
      </c>
      <c r="AC79" s="7">
        <v>9.1279999999999993E-5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1.2290572</v>
      </c>
      <c r="E80" s="7">
        <v>1.18373766</v>
      </c>
      <c r="F80" s="7">
        <v>1</v>
      </c>
      <c r="G80" s="7">
        <v>1.00000014</v>
      </c>
      <c r="H80" s="7">
        <v>1.00000051</v>
      </c>
      <c r="I80" s="7">
        <v>1.0001289200000001</v>
      </c>
      <c r="J80" s="7">
        <v>1.00006554</v>
      </c>
      <c r="K80" s="7">
        <v>1.00000106</v>
      </c>
      <c r="L80" s="7">
        <v>1.0167283899999999</v>
      </c>
      <c r="M80" s="7">
        <v>1</v>
      </c>
      <c r="N80" s="7">
        <v>1.00688344</v>
      </c>
      <c r="O80" s="7">
        <v>1</v>
      </c>
      <c r="P80" s="7">
        <v>1.00075263</v>
      </c>
      <c r="Q80" s="7">
        <v>1.0000000200000001</v>
      </c>
      <c r="R80" s="7">
        <v>1.00000456</v>
      </c>
      <c r="S80" s="7">
        <v>1.0004438600000001</v>
      </c>
      <c r="T80" s="7">
        <v>1.00028374</v>
      </c>
      <c r="U80" s="7">
        <v>1.0002339499999999</v>
      </c>
      <c r="V80" s="7">
        <v>1.00001629</v>
      </c>
      <c r="W80" s="7">
        <v>1.0017450400000001</v>
      </c>
      <c r="X80" s="7">
        <v>1.00200903</v>
      </c>
      <c r="Y80" s="7">
        <v>1.00026905</v>
      </c>
      <c r="Z80" s="7">
        <v>1.0018774500000001</v>
      </c>
      <c r="AA80" s="7">
        <v>1.00000008</v>
      </c>
      <c r="AB80" s="7">
        <v>1.0004862800000001</v>
      </c>
      <c r="AC80" s="7">
        <v>1.00081083</v>
      </c>
    </row>
    <row r="81" spans="1:29" x14ac:dyDescent="0.85">
      <c r="A81" t="s">
        <v>179</v>
      </c>
      <c r="B81" s="7">
        <v>1</v>
      </c>
      <c r="C81" s="7">
        <v>1.2290572</v>
      </c>
      <c r="D81" s="7">
        <v>1.18373766</v>
      </c>
      <c r="E81" s="7">
        <v>1</v>
      </c>
      <c r="F81" s="7">
        <v>1.00000014</v>
      </c>
      <c r="G81" s="7">
        <v>1.00000051</v>
      </c>
      <c r="H81" s="7">
        <v>1.0001289200000001</v>
      </c>
      <c r="I81" s="7">
        <v>1.00006554</v>
      </c>
      <c r="J81" s="7">
        <v>1.00000106</v>
      </c>
      <c r="K81" s="7">
        <v>1.0167283899999999</v>
      </c>
      <c r="L81" s="7">
        <v>1</v>
      </c>
      <c r="M81" s="7">
        <v>1.00688344</v>
      </c>
      <c r="N81" s="7">
        <v>1</v>
      </c>
      <c r="O81" s="7">
        <v>1.00075263</v>
      </c>
      <c r="P81" s="7">
        <v>1.0000000200000001</v>
      </c>
      <c r="Q81" s="7">
        <v>1.00000456</v>
      </c>
      <c r="R81" s="7">
        <v>1.0004438600000001</v>
      </c>
      <c r="S81" s="7">
        <v>1.00028374</v>
      </c>
      <c r="T81" s="7">
        <v>1.0002339499999999</v>
      </c>
      <c r="U81" s="7">
        <v>1.00001629</v>
      </c>
      <c r="V81" s="7">
        <v>1.0017450400000001</v>
      </c>
      <c r="W81" s="7">
        <v>1.00200903</v>
      </c>
      <c r="X81" s="7">
        <v>1.00026905</v>
      </c>
      <c r="Y81" s="7">
        <v>1.0018774500000001</v>
      </c>
      <c r="Z81" s="7">
        <v>1.00000008</v>
      </c>
      <c r="AA81" s="7">
        <v>1.0004862800000001</v>
      </c>
      <c r="AB81" s="7">
        <v>1.00081083</v>
      </c>
      <c r="AC81" s="7">
        <v>1.0006786999999999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95387-D8B9-4648-A75C-0D8A961A3F3A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29593.974624660001</v>
      </c>
      <c r="D5" s="7">
        <v>30280.384928709998</v>
      </c>
      <c r="E5" s="7">
        <v>30987.728705860001</v>
      </c>
      <c r="F5" s="7">
        <v>31730.514594209999</v>
      </c>
      <c r="G5" s="7">
        <v>32479.533326050001</v>
      </c>
      <c r="H5" s="7">
        <v>33250.076544199997</v>
      </c>
      <c r="I5" s="7">
        <v>34056.490044769998</v>
      </c>
      <c r="J5" s="7">
        <v>34872.422355729999</v>
      </c>
      <c r="K5" s="7">
        <v>35711.39238972</v>
      </c>
      <c r="L5" s="7">
        <v>36581.842232520001</v>
      </c>
      <c r="M5" s="7">
        <v>37429.31615744</v>
      </c>
      <c r="N5" s="7">
        <v>37938.024428440003</v>
      </c>
      <c r="O5" s="7">
        <v>38463.701419140001</v>
      </c>
      <c r="P5" s="7">
        <v>39001.249396070001</v>
      </c>
      <c r="Q5" s="7">
        <v>39572.133315569998</v>
      </c>
      <c r="R5" s="7">
        <v>40136.55966631</v>
      </c>
      <c r="S5" s="7">
        <v>40755.796150609996</v>
      </c>
      <c r="T5" s="7">
        <v>41366.842785699999</v>
      </c>
      <c r="U5" s="7">
        <v>42013.011574540003</v>
      </c>
      <c r="V5" s="7">
        <v>42673.695542959998</v>
      </c>
      <c r="W5" s="7">
        <v>43357.57212977</v>
      </c>
      <c r="X5" s="7">
        <v>44076.427048919999</v>
      </c>
      <c r="Y5" s="7">
        <v>44816.996492890001</v>
      </c>
      <c r="Z5" s="7">
        <v>45626.08791645</v>
      </c>
      <c r="AA5" s="7">
        <v>46460.274619390002</v>
      </c>
      <c r="AB5" s="7">
        <v>47312.702018199998</v>
      </c>
      <c r="AC5" s="7">
        <v>48189.167130640002</v>
      </c>
    </row>
    <row r="6" spans="1:29" x14ac:dyDescent="0.85">
      <c r="A6" t="s">
        <v>106</v>
      </c>
      <c r="B6" s="7">
        <v>135995476.894999</v>
      </c>
      <c r="C6" s="7">
        <v>139101822.76395801</v>
      </c>
      <c r="D6" s="7">
        <v>142270355.38216901</v>
      </c>
      <c r="E6" s="7">
        <v>145502229.36708599</v>
      </c>
      <c r="F6" s="7">
        <v>148798745.53974399</v>
      </c>
      <c r="G6" s="7">
        <v>152161218.58957699</v>
      </c>
      <c r="H6" s="7">
        <v>155590924.10760599</v>
      </c>
      <c r="I6" s="7">
        <v>159089217.179674</v>
      </c>
      <c r="J6" s="7">
        <v>162657476.233152</v>
      </c>
      <c r="K6" s="7">
        <v>166297098.75392401</v>
      </c>
      <c r="L6" s="7">
        <v>170009517.04212099</v>
      </c>
      <c r="M6" s="7">
        <v>173796182.044485</v>
      </c>
      <c r="N6" s="7">
        <v>177658579.329945</v>
      </c>
      <c r="O6" s="7">
        <v>181598225.83730599</v>
      </c>
      <c r="P6" s="7">
        <v>185616663.56708401</v>
      </c>
      <c r="Q6" s="7">
        <v>189715473.70489401</v>
      </c>
      <c r="R6" s="7">
        <v>193896253.63668299</v>
      </c>
      <c r="S6" s="7">
        <v>198160657.677834</v>
      </c>
      <c r="T6" s="7">
        <v>202510343.32049501</v>
      </c>
      <c r="U6" s="7">
        <v>206947026.598061</v>
      </c>
      <c r="V6" s="7">
        <v>211472442.19482499</v>
      </c>
      <c r="W6" s="7">
        <v>216088365.72843</v>
      </c>
      <c r="X6" s="7">
        <v>220796607.69147199</v>
      </c>
      <c r="Y6" s="7">
        <v>225599014.34671199</v>
      </c>
      <c r="Z6" s="7">
        <v>230497468.94489199</v>
      </c>
      <c r="AA6" s="7">
        <v>235493893.474545</v>
      </c>
      <c r="AB6" s="7">
        <v>240590245.72510099</v>
      </c>
      <c r="AC6" s="7">
        <v>245788525.446821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16272.15943451</v>
      </c>
      <c r="D8" s="7">
        <v>16151.208681829999</v>
      </c>
      <c r="E8" s="7">
        <v>16048.647453490001</v>
      </c>
      <c r="F8" s="7">
        <v>15974.00436252</v>
      </c>
      <c r="G8" s="7">
        <v>15866.167299729999</v>
      </c>
      <c r="H8" s="7">
        <v>15762.131813260001</v>
      </c>
      <c r="I8" s="7">
        <v>15684.119479700001</v>
      </c>
      <c r="J8" s="7">
        <v>15602.303894680001</v>
      </c>
      <c r="K8" s="7">
        <v>15532.95800287</v>
      </c>
      <c r="L8" s="7">
        <v>15480.747092080001</v>
      </c>
      <c r="M8" s="7">
        <v>15423.31829322</v>
      </c>
      <c r="N8" s="7">
        <v>15339.12777365</v>
      </c>
      <c r="O8" s="7">
        <v>15232.23330953</v>
      </c>
      <c r="P8" s="7">
        <v>15134.514366290001</v>
      </c>
      <c r="Q8" s="7">
        <v>15046.0146735</v>
      </c>
      <c r="R8" s="7">
        <v>14965.98512673</v>
      </c>
      <c r="S8" s="7">
        <v>14905.85111917</v>
      </c>
      <c r="T8" s="7">
        <v>14841.828778089999</v>
      </c>
      <c r="U8" s="7">
        <v>14787.48672854</v>
      </c>
      <c r="V8" s="7">
        <v>14740.14836632</v>
      </c>
      <c r="W8" s="7">
        <v>14701.42779111</v>
      </c>
      <c r="X8" s="7">
        <v>14673.771388790001</v>
      </c>
      <c r="Y8" s="7">
        <v>14654.67713649</v>
      </c>
      <c r="Z8" s="7">
        <v>14653.093137919999</v>
      </c>
      <c r="AA8" s="7">
        <v>14659.76772007</v>
      </c>
      <c r="AB8" s="7">
        <v>14674.05847125</v>
      </c>
      <c r="AC8" s="7">
        <v>14696.574006680001</v>
      </c>
    </row>
    <row r="9" spans="1:29" x14ac:dyDescent="0.85">
      <c r="A9" t="s">
        <v>109</v>
      </c>
      <c r="B9" s="7">
        <v>2317.9515254500002</v>
      </c>
      <c r="C9" s="7">
        <v>2352.1409367299998</v>
      </c>
      <c r="D9" s="7">
        <v>2457.33434214</v>
      </c>
      <c r="E9" s="7">
        <v>2563.75290907</v>
      </c>
      <c r="F9" s="7">
        <v>2669.4614696100002</v>
      </c>
      <c r="G9" s="7">
        <v>2777.1001838000002</v>
      </c>
      <c r="H9" s="7">
        <v>2885.5683289499998</v>
      </c>
      <c r="I9" s="7">
        <v>2993.7836975499999</v>
      </c>
      <c r="J9" s="7">
        <v>3104.62900984</v>
      </c>
      <c r="K9" s="7">
        <v>3216.7289970299998</v>
      </c>
      <c r="L9" s="7">
        <v>3329.2060627800001</v>
      </c>
      <c r="M9" s="7">
        <v>3443.7155996699998</v>
      </c>
      <c r="N9" s="7">
        <v>3554.2333987900001</v>
      </c>
      <c r="O9" s="7">
        <v>3670.0164565099999</v>
      </c>
      <c r="P9" s="7">
        <v>3787.2259790200001</v>
      </c>
      <c r="Q9" s="7">
        <v>3905.9129988</v>
      </c>
      <c r="R9" s="7">
        <v>4026.1288745000002</v>
      </c>
      <c r="S9" s="7">
        <v>4146.7636482799999</v>
      </c>
      <c r="T9" s="7">
        <v>4270.2228582899997</v>
      </c>
      <c r="U9" s="7">
        <v>4395.3364613399999</v>
      </c>
      <c r="V9" s="7">
        <v>4522.18530207</v>
      </c>
      <c r="W9" s="7">
        <v>4650.8639303399996</v>
      </c>
      <c r="X9" s="7">
        <v>4781.3896412499998</v>
      </c>
      <c r="Y9" s="7">
        <v>4913.8190996699996</v>
      </c>
      <c r="Z9" s="7">
        <v>5048.2071741500004</v>
      </c>
      <c r="AA9" s="7">
        <v>5184.6112139400002</v>
      </c>
      <c r="AB9" s="7">
        <v>5323.0881087600001</v>
      </c>
      <c r="AC9" s="7">
        <v>5463.6958886800003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7792.9485221000004</v>
      </c>
      <c r="D11" s="7">
        <v>8154.23787868</v>
      </c>
      <c r="E11" s="7">
        <v>8492.9865444299994</v>
      </c>
      <c r="F11" s="7">
        <v>8824.4093704299994</v>
      </c>
      <c r="G11" s="7">
        <v>9217.1742645499999</v>
      </c>
      <c r="H11" s="7">
        <v>9624.7696914900007</v>
      </c>
      <c r="I11" s="7">
        <v>10014.68198291</v>
      </c>
      <c r="J11" s="7">
        <v>10419.55465061</v>
      </c>
      <c r="K11" s="7">
        <v>10824.896861720001</v>
      </c>
      <c r="L11" s="7">
        <v>11228.22727664</v>
      </c>
      <c r="M11" s="7">
        <v>11649.487069930001</v>
      </c>
      <c r="N11" s="7">
        <v>12137.253997440001</v>
      </c>
      <c r="O11" s="7">
        <v>12655.72722305</v>
      </c>
      <c r="P11" s="7">
        <v>13178.59375525</v>
      </c>
      <c r="Q11" s="7">
        <v>13706.092020399999</v>
      </c>
      <c r="R11" s="7">
        <v>14238.460538400001</v>
      </c>
      <c r="S11" s="7">
        <v>14768.02029081</v>
      </c>
      <c r="T11" s="7">
        <v>15311.05144338</v>
      </c>
      <c r="U11" s="7">
        <v>15859.46100736</v>
      </c>
      <c r="V11" s="7">
        <v>16413.679672620001</v>
      </c>
      <c r="W11" s="7">
        <v>16974.229199580001</v>
      </c>
      <c r="X11" s="7">
        <v>17541.102442669999</v>
      </c>
      <c r="Y11" s="7">
        <v>18114.558157200001</v>
      </c>
      <c r="Z11" s="7">
        <v>18694.84037853</v>
      </c>
      <c r="AA11" s="7">
        <v>19282.20752389</v>
      </c>
      <c r="AB11" s="7">
        <v>19876.912286940002</v>
      </c>
      <c r="AC11" s="7">
        <v>20479.21249704</v>
      </c>
    </row>
    <row r="12" spans="1:29" x14ac:dyDescent="0.85">
      <c r="A12" t="s">
        <v>111</v>
      </c>
      <c r="B12" s="7">
        <v>17953.243854519998</v>
      </c>
      <c r="C12" s="7">
        <v>18624.300371239999</v>
      </c>
      <c r="D12" s="7">
        <v>18608.54302397</v>
      </c>
      <c r="E12" s="7">
        <v>18612.400362560002</v>
      </c>
      <c r="F12" s="7">
        <v>18643.465832139998</v>
      </c>
      <c r="G12" s="7">
        <v>18643.267483529999</v>
      </c>
      <c r="H12" s="7">
        <v>18647.700142220001</v>
      </c>
      <c r="I12" s="7">
        <v>18677.903177249998</v>
      </c>
      <c r="J12" s="7">
        <v>18706.932904519999</v>
      </c>
      <c r="K12" s="7">
        <v>18749.686999900001</v>
      </c>
      <c r="L12" s="7">
        <v>18809.95315487</v>
      </c>
      <c r="M12" s="7">
        <v>18867.033892889998</v>
      </c>
      <c r="N12" s="7">
        <v>18893.361172429999</v>
      </c>
      <c r="O12" s="7">
        <v>18902.24976604</v>
      </c>
      <c r="P12" s="7">
        <v>18921.740345300001</v>
      </c>
      <c r="Q12" s="7">
        <v>18951.9276723</v>
      </c>
      <c r="R12" s="7">
        <v>18992.114001229998</v>
      </c>
      <c r="S12" s="7">
        <v>19052.61476746</v>
      </c>
      <c r="T12" s="7">
        <v>19112.051636370001</v>
      </c>
      <c r="U12" s="7">
        <v>19182.82318988</v>
      </c>
      <c r="V12" s="7">
        <v>19262.333668390002</v>
      </c>
      <c r="W12" s="7">
        <v>19352.291721450001</v>
      </c>
      <c r="X12" s="7">
        <v>19455.161030039999</v>
      </c>
      <c r="Y12" s="7">
        <v>19568.496236170002</v>
      </c>
      <c r="Z12" s="7">
        <v>19701.300312060001</v>
      </c>
      <c r="AA12" s="7">
        <v>19844.378934010001</v>
      </c>
      <c r="AB12" s="7">
        <v>19997.146580000001</v>
      </c>
      <c r="AC12" s="7">
        <v>20160.269895360001</v>
      </c>
    </row>
    <row r="13" spans="1:29" x14ac:dyDescent="0.85">
      <c r="A13" t="s">
        <v>112</v>
      </c>
      <c r="B13" s="7">
        <v>17953.243854519998</v>
      </c>
      <c r="C13" s="7">
        <v>26417.248893340002</v>
      </c>
      <c r="D13" s="7">
        <v>26762.78090265</v>
      </c>
      <c r="E13" s="7">
        <v>27105.386906989999</v>
      </c>
      <c r="F13" s="7">
        <v>27467.875202570001</v>
      </c>
      <c r="G13" s="7">
        <v>27860.44174808</v>
      </c>
      <c r="H13" s="7">
        <v>28272.469833710002</v>
      </c>
      <c r="I13" s="7">
        <v>28692.585160160001</v>
      </c>
      <c r="J13" s="7">
        <v>29126.487555129999</v>
      </c>
      <c r="K13" s="7">
        <v>29574.583861620002</v>
      </c>
      <c r="L13" s="7">
        <v>30038.180431510002</v>
      </c>
      <c r="M13" s="7">
        <v>30516.520962809998</v>
      </c>
      <c r="N13" s="7">
        <v>31030.615169870001</v>
      </c>
      <c r="O13" s="7">
        <v>31557.976989089999</v>
      </c>
      <c r="P13" s="7">
        <v>32100.334100550001</v>
      </c>
      <c r="Q13" s="7">
        <v>32658.019692710001</v>
      </c>
      <c r="R13" s="7">
        <v>33230.574539629997</v>
      </c>
      <c r="S13" s="7">
        <v>33820.635058259999</v>
      </c>
      <c r="T13" s="7">
        <v>34423.103079749999</v>
      </c>
      <c r="U13" s="7">
        <v>35042.284197239998</v>
      </c>
      <c r="V13" s="7">
        <v>35676.013340999998</v>
      </c>
      <c r="W13" s="7">
        <v>36326.520921030002</v>
      </c>
      <c r="X13" s="7">
        <v>36996.263472719998</v>
      </c>
      <c r="Y13" s="7">
        <v>37683.054393359998</v>
      </c>
      <c r="Z13" s="7">
        <v>38396.140690599997</v>
      </c>
      <c r="AA13" s="7">
        <v>39126.586457899997</v>
      </c>
      <c r="AB13" s="7">
        <v>39874.058866940002</v>
      </c>
      <c r="AC13" s="7">
        <v>40639.482392400001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1684.91933333</v>
      </c>
      <c r="D17" s="7">
        <v>1628.75535556</v>
      </c>
      <c r="E17" s="7">
        <v>1574.4657023</v>
      </c>
      <c r="F17" s="7">
        <v>1521.9837884200001</v>
      </c>
      <c r="G17" s="7">
        <v>1471.2847953600001</v>
      </c>
      <c r="H17" s="7">
        <v>1422.2419702300001</v>
      </c>
      <c r="I17" s="7">
        <v>1374.8339223800001</v>
      </c>
      <c r="J17" s="7">
        <v>1329.0061327000001</v>
      </c>
      <c r="K17" s="7">
        <v>1284.7059282800001</v>
      </c>
      <c r="L17" s="7">
        <v>1241.8823973399999</v>
      </c>
      <c r="M17" s="7">
        <v>1200.48633159</v>
      </c>
      <c r="N17" s="7">
        <v>1160.47012053</v>
      </c>
      <c r="O17" s="7">
        <v>1121.78778328</v>
      </c>
      <c r="P17" s="7">
        <v>1084.39485717</v>
      </c>
      <c r="Q17" s="7">
        <v>1048.24836194</v>
      </c>
      <c r="R17" s="7">
        <v>1013.3067519</v>
      </c>
      <c r="S17" s="7">
        <v>979.52986017000001</v>
      </c>
      <c r="T17" s="7">
        <v>946.87886693999997</v>
      </c>
      <c r="U17" s="7">
        <v>915.31623808999996</v>
      </c>
      <c r="V17" s="7">
        <v>884.80599179000001</v>
      </c>
      <c r="W17" s="7">
        <v>855.31245922999994</v>
      </c>
      <c r="X17" s="7">
        <v>826.80205117000003</v>
      </c>
      <c r="Y17" s="7">
        <v>799.24198307999995</v>
      </c>
      <c r="Z17" s="7">
        <v>772.60058600000002</v>
      </c>
      <c r="AA17" s="7">
        <v>746.84723312999995</v>
      </c>
      <c r="AB17" s="7">
        <v>721.95232666000004</v>
      </c>
      <c r="AC17" s="7">
        <v>697.88724910999997</v>
      </c>
    </row>
    <row r="18" spans="1:29" x14ac:dyDescent="0.85">
      <c r="A18" t="s">
        <v>116</v>
      </c>
      <c r="B18" s="7">
        <v>1025020.675</v>
      </c>
      <c r="C18" s="7">
        <v>990853.22710900998</v>
      </c>
      <c r="D18" s="7">
        <v>957824.78134471003</v>
      </c>
      <c r="E18" s="7">
        <v>925898.57764280995</v>
      </c>
      <c r="F18" s="7">
        <v>895035.45414593001</v>
      </c>
      <c r="G18" s="7">
        <v>865220.81576226</v>
      </c>
      <c r="H18" s="7">
        <v>836380.12271510996</v>
      </c>
      <c r="I18" s="7">
        <v>808500.79577229999</v>
      </c>
      <c r="J18" s="7">
        <v>781550.77379710996</v>
      </c>
      <c r="K18" s="7">
        <v>755498.28134624998</v>
      </c>
      <c r="L18" s="7">
        <v>730315.00469834998</v>
      </c>
      <c r="M18" s="7">
        <v>705971.17953619</v>
      </c>
      <c r="N18" s="7">
        <v>682438.80673322</v>
      </c>
      <c r="O18" s="7">
        <v>659690.84656913998</v>
      </c>
      <c r="P18" s="7">
        <v>637701.12985072006</v>
      </c>
      <c r="Q18" s="7">
        <v>616444.42524310004</v>
      </c>
      <c r="R18" s="7">
        <v>595896.27892711002</v>
      </c>
      <c r="S18" s="7">
        <v>576033.06891293998</v>
      </c>
      <c r="T18" s="7">
        <v>556831.96785785002</v>
      </c>
      <c r="U18" s="7">
        <v>538270.90228849999</v>
      </c>
      <c r="V18" s="7">
        <v>520328.71234185999</v>
      </c>
      <c r="W18" s="7">
        <v>502984.42222705</v>
      </c>
      <c r="X18" s="7">
        <v>486218.27908145997</v>
      </c>
      <c r="Y18" s="7">
        <v>470011.00327808002</v>
      </c>
      <c r="Z18" s="7">
        <v>454343.97122090001</v>
      </c>
      <c r="AA18" s="7">
        <v>439199.17188787</v>
      </c>
      <c r="AB18" s="7">
        <v>424559.20025537</v>
      </c>
      <c r="AC18" s="7">
        <v>410407.22690278001</v>
      </c>
    </row>
    <row r="19" spans="1:29" x14ac:dyDescent="0.85">
      <c r="A19" t="s">
        <v>117</v>
      </c>
      <c r="B19" s="7">
        <v>1025020.675</v>
      </c>
      <c r="C19" s="7">
        <v>990853.22710900998</v>
      </c>
      <c r="D19" s="7">
        <v>957824.78134471003</v>
      </c>
      <c r="E19" s="7">
        <v>925898.57764280995</v>
      </c>
      <c r="F19" s="7">
        <v>895035.45414593001</v>
      </c>
      <c r="G19" s="7">
        <v>865220.81576226</v>
      </c>
      <c r="H19" s="7">
        <v>836380.12271510996</v>
      </c>
      <c r="I19" s="7">
        <v>808500.79577229999</v>
      </c>
      <c r="J19" s="7">
        <v>781550.77379710996</v>
      </c>
      <c r="K19" s="7">
        <v>755498.28134624998</v>
      </c>
      <c r="L19" s="7">
        <v>730315.00469834998</v>
      </c>
      <c r="M19" s="7">
        <v>705971.17953619</v>
      </c>
      <c r="N19" s="7">
        <v>682438.80673322</v>
      </c>
      <c r="O19" s="7">
        <v>659690.84656913998</v>
      </c>
      <c r="P19" s="7">
        <v>637701.12985072006</v>
      </c>
      <c r="Q19" s="7">
        <v>616444.42524310004</v>
      </c>
      <c r="R19" s="7">
        <v>595896.27892711002</v>
      </c>
      <c r="S19" s="7">
        <v>576033.06891293998</v>
      </c>
      <c r="T19" s="7">
        <v>556831.96785785002</v>
      </c>
      <c r="U19" s="7">
        <v>538270.90228849999</v>
      </c>
      <c r="V19" s="7">
        <v>520328.71234185999</v>
      </c>
      <c r="W19" s="7">
        <v>502984.42222705</v>
      </c>
      <c r="X19" s="7">
        <v>486218.27908145997</v>
      </c>
      <c r="Y19" s="7">
        <v>470011.00327808002</v>
      </c>
      <c r="Z19" s="7">
        <v>454343.97122090001</v>
      </c>
      <c r="AA19" s="7">
        <v>439199.17188787</v>
      </c>
      <c r="AB19" s="7">
        <v>424559.20025537</v>
      </c>
      <c r="AC19" s="7">
        <v>410407.22690278001</v>
      </c>
    </row>
    <row r="20" spans="1:29" x14ac:dyDescent="0.85">
      <c r="A20" t="s">
        <v>118</v>
      </c>
      <c r="B20" s="7">
        <v>355.85122024999998</v>
      </c>
      <c r="C20" s="7">
        <v>343.98951290999997</v>
      </c>
      <c r="D20" s="7">
        <v>332.52319581</v>
      </c>
      <c r="E20" s="7">
        <v>321.43953678999998</v>
      </c>
      <c r="F20" s="7">
        <v>310.72494195000002</v>
      </c>
      <c r="G20" s="7">
        <v>300.37434438999998</v>
      </c>
      <c r="H20" s="7">
        <v>290.36186652999999</v>
      </c>
      <c r="I20" s="7">
        <v>280.68314127999997</v>
      </c>
      <c r="J20" s="7">
        <v>271.32703815000002</v>
      </c>
      <c r="K20" s="7">
        <v>262.28280354999998</v>
      </c>
      <c r="L20" s="7">
        <v>253.54004343</v>
      </c>
      <c r="M20" s="7">
        <v>245.08871153999999</v>
      </c>
      <c r="N20" s="7">
        <v>236.91908781999999</v>
      </c>
      <c r="O20" s="7">
        <v>229.02178491999999</v>
      </c>
      <c r="P20" s="7">
        <v>221.38772542000001</v>
      </c>
      <c r="Q20" s="7">
        <v>214.00813457000001</v>
      </c>
      <c r="R20" s="7">
        <v>206.87453049999999</v>
      </c>
      <c r="S20" s="7">
        <v>199.97871282</v>
      </c>
      <c r="T20" s="7">
        <v>193.31275615000001</v>
      </c>
      <c r="U20" s="7">
        <v>186.86899761999999</v>
      </c>
      <c r="V20" s="7">
        <v>180.64009125999999</v>
      </c>
      <c r="W20" s="7">
        <v>174.61875499000001</v>
      </c>
      <c r="X20" s="7">
        <v>168.79813129999999</v>
      </c>
      <c r="Y20" s="7">
        <v>163.17152698000001</v>
      </c>
      <c r="Z20" s="7">
        <v>157.73247656000001</v>
      </c>
      <c r="AA20" s="7">
        <v>152.47472733999999</v>
      </c>
      <c r="AB20" s="7">
        <v>147.39223670000001</v>
      </c>
      <c r="AC20" s="7">
        <v>142.47916214</v>
      </c>
    </row>
    <row r="21" spans="1:29" x14ac:dyDescent="0.85">
      <c r="A21" t="s">
        <v>119</v>
      </c>
      <c r="B21" s="7">
        <v>0</v>
      </c>
      <c r="C21" s="7">
        <v>0.99085323000000003</v>
      </c>
      <c r="D21" s="7">
        <v>0.95782478000000004</v>
      </c>
      <c r="E21" s="7">
        <v>0.92589858000000003</v>
      </c>
      <c r="F21" s="7">
        <v>0.89503544999999995</v>
      </c>
      <c r="G21" s="7">
        <v>0.86522082</v>
      </c>
      <c r="H21" s="7">
        <v>0.83638011999999995</v>
      </c>
      <c r="I21" s="7">
        <v>0.80850080000000002</v>
      </c>
      <c r="J21" s="7">
        <v>0.78155076999999995</v>
      </c>
      <c r="K21" s="7">
        <v>0.75549827999999997</v>
      </c>
      <c r="L21" s="7">
        <v>0.73031500000000005</v>
      </c>
      <c r="M21" s="7">
        <v>0.70597118000000003</v>
      </c>
      <c r="N21" s="7">
        <v>0.68243880999999995</v>
      </c>
      <c r="O21" s="7">
        <v>0.65969085000000005</v>
      </c>
      <c r="P21" s="7">
        <v>0.63770112999999995</v>
      </c>
      <c r="Q21" s="7">
        <v>0.61644443000000004</v>
      </c>
      <c r="R21" s="7">
        <v>0.59589627999999994</v>
      </c>
      <c r="S21" s="7">
        <v>0.57603307000000004</v>
      </c>
      <c r="T21" s="7">
        <v>0.55683196999999995</v>
      </c>
      <c r="U21" s="7">
        <v>0.5382709</v>
      </c>
      <c r="V21" s="7">
        <v>0.52032871000000003</v>
      </c>
      <c r="W21" s="7">
        <v>0.50298441999999999</v>
      </c>
      <c r="X21" s="7">
        <v>0.48621828</v>
      </c>
      <c r="Y21" s="7">
        <v>0.47001100000000001</v>
      </c>
      <c r="Z21" s="7">
        <v>0.45434396999999999</v>
      </c>
      <c r="AA21" s="7">
        <v>0.43919917000000003</v>
      </c>
      <c r="AB21" s="7">
        <v>0.42455920000000003</v>
      </c>
      <c r="AC21" s="7">
        <v>0.41040723000000001</v>
      </c>
    </row>
    <row r="22" spans="1:29" x14ac:dyDescent="0.85">
      <c r="A22" t="s">
        <v>120</v>
      </c>
      <c r="B22" s="7">
        <v>5.1250999999999996E-3</v>
      </c>
      <c r="C22" s="7">
        <v>4.9542700000000002E-3</v>
      </c>
      <c r="D22" s="7">
        <v>4.78912E-3</v>
      </c>
      <c r="E22" s="7">
        <v>4.62949E-3</v>
      </c>
      <c r="F22" s="7">
        <v>4.4751799999999996E-3</v>
      </c>
      <c r="G22" s="7">
        <v>4.3261000000000003E-3</v>
      </c>
      <c r="H22" s="7">
        <v>4.1818999999999997E-3</v>
      </c>
      <c r="I22" s="7">
        <v>4.0425000000000001E-3</v>
      </c>
      <c r="J22" s="7">
        <v>3.9077499999999998E-3</v>
      </c>
      <c r="K22" s="7">
        <v>3.7774900000000001E-3</v>
      </c>
      <c r="L22" s="7">
        <v>3.6515800000000002E-3</v>
      </c>
      <c r="M22" s="7">
        <v>3.5298600000000001E-3</v>
      </c>
      <c r="N22" s="7">
        <v>3.4121899999999998E-3</v>
      </c>
      <c r="O22" s="7">
        <v>3.2984500000000001E-3</v>
      </c>
      <c r="P22" s="7">
        <v>3.1885099999999999E-3</v>
      </c>
      <c r="Q22" s="7">
        <v>3.0822200000000001E-3</v>
      </c>
      <c r="R22" s="7">
        <v>2.9794800000000001E-3</v>
      </c>
      <c r="S22" s="7">
        <v>2.88017E-3</v>
      </c>
      <c r="T22" s="7">
        <v>2.7841599999999999E-3</v>
      </c>
      <c r="U22" s="7">
        <v>2.6913499999999999E-3</v>
      </c>
      <c r="V22" s="7">
        <v>2.6016400000000001E-3</v>
      </c>
      <c r="W22" s="7">
        <v>2.5149199999999999E-3</v>
      </c>
      <c r="X22" s="7">
        <v>2.4310899999999999E-3</v>
      </c>
      <c r="Y22" s="7">
        <v>2.3500600000000002E-3</v>
      </c>
      <c r="Z22" s="7">
        <v>2.2717200000000001E-3</v>
      </c>
      <c r="AA22" s="7">
        <v>2.196E-3</v>
      </c>
      <c r="AB22" s="7">
        <v>2.1228000000000002E-3</v>
      </c>
      <c r="AC22" s="7">
        <v>2.0520400000000002E-3</v>
      </c>
    </row>
    <row r="23" spans="1:29" x14ac:dyDescent="0.85">
      <c r="A23" t="s">
        <v>121</v>
      </c>
      <c r="B23" s="7">
        <v>355.85122024999998</v>
      </c>
      <c r="C23" s="7">
        <v>343.98951290999997</v>
      </c>
      <c r="D23" s="7">
        <v>332.52319581</v>
      </c>
      <c r="E23" s="7">
        <v>321.43953678999998</v>
      </c>
      <c r="F23" s="7">
        <v>310.72494195000002</v>
      </c>
      <c r="G23" s="7">
        <v>300.37434438999998</v>
      </c>
      <c r="H23" s="7">
        <v>290.36186652999999</v>
      </c>
      <c r="I23" s="7">
        <v>280.68314127999997</v>
      </c>
      <c r="J23" s="7">
        <v>271.32703815000002</v>
      </c>
      <c r="K23" s="7">
        <v>262.28280354999998</v>
      </c>
      <c r="L23" s="7">
        <v>253.54004343</v>
      </c>
      <c r="M23" s="7">
        <v>245.08871153999999</v>
      </c>
      <c r="N23" s="7">
        <v>236.91908781999999</v>
      </c>
      <c r="O23" s="7">
        <v>229.02178491999999</v>
      </c>
      <c r="P23" s="7">
        <v>221.38772542000001</v>
      </c>
      <c r="Q23" s="7">
        <v>214.00813457000001</v>
      </c>
      <c r="R23" s="7">
        <v>206.87453049999999</v>
      </c>
      <c r="S23" s="7">
        <v>199.97871282</v>
      </c>
      <c r="T23" s="7">
        <v>193.31275615000001</v>
      </c>
      <c r="U23" s="7">
        <v>186.86899761999999</v>
      </c>
      <c r="V23" s="7">
        <v>180.64009125999999</v>
      </c>
      <c r="W23" s="7">
        <v>174.61875499000001</v>
      </c>
      <c r="X23" s="7">
        <v>168.79813129999999</v>
      </c>
      <c r="Y23" s="7">
        <v>163.17152698000001</v>
      </c>
      <c r="Z23" s="7">
        <v>157.73247656000001</v>
      </c>
      <c r="AA23" s="7">
        <v>152.47472733999999</v>
      </c>
      <c r="AB23" s="7">
        <v>147.39223670000001</v>
      </c>
      <c r="AC23" s="7">
        <v>142.47916214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0.99999990999999999</v>
      </c>
      <c r="E25" s="7">
        <v>0.99999998999999995</v>
      </c>
      <c r="F25" s="7">
        <v>1.00000139</v>
      </c>
      <c r="G25" s="7">
        <v>1.00000018</v>
      </c>
      <c r="H25" s="7">
        <v>1.0000229700000001</v>
      </c>
      <c r="I25" s="7">
        <v>1</v>
      </c>
      <c r="J25" s="7">
        <v>1.0000000099999999</v>
      </c>
      <c r="K25" s="7">
        <v>1.0000000099999999</v>
      </c>
      <c r="L25" s="7">
        <v>0.99999894</v>
      </c>
      <c r="M25" s="7">
        <v>1</v>
      </c>
      <c r="N25" s="7">
        <v>1.0000000099999999</v>
      </c>
      <c r="O25" s="7">
        <v>1</v>
      </c>
      <c r="P25" s="7">
        <v>1</v>
      </c>
      <c r="Q25" s="7">
        <v>0.99999996999999996</v>
      </c>
      <c r="R25" s="7">
        <v>1</v>
      </c>
      <c r="S25" s="7">
        <v>1</v>
      </c>
      <c r="T25" s="7">
        <v>1</v>
      </c>
      <c r="U25" s="7">
        <v>1</v>
      </c>
      <c r="V25" s="7">
        <v>1</v>
      </c>
      <c r="W25" s="7">
        <v>1.00000033</v>
      </c>
      <c r="X25" s="7">
        <v>1</v>
      </c>
      <c r="Y25" s="7">
        <v>1.0000000099999999</v>
      </c>
      <c r="Z25" s="7">
        <v>1</v>
      </c>
      <c r="AA25" s="7">
        <v>1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0.99999990999999999</v>
      </c>
      <c r="D26" s="7">
        <v>0.99999998999999995</v>
      </c>
      <c r="E26" s="7">
        <v>1.00000139</v>
      </c>
      <c r="F26" s="7">
        <v>1.00000018</v>
      </c>
      <c r="G26" s="7">
        <v>1.0000229700000001</v>
      </c>
      <c r="H26" s="7">
        <v>1</v>
      </c>
      <c r="I26" s="7">
        <v>1.0000000099999999</v>
      </c>
      <c r="J26" s="7">
        <v>1.0000000099999999</v>
      </c>
      <c r="K26" s="7">
        <v>0.99999894</v>
      </c>
      <c r="L26" s="7">
        <v>1</v>
      </c>
      <c r="M26" s="7">
        <v>1.0000000099999999</v>
      </c>
      <c r="N26" s="7">
        <v>1</v>
      </c>
      <c r="O26" s="7">
        <v>1</v>
      </c>
      <c r="P26" s="7">
        <v>0.99999996999999996</v>
      </c>
      <c r="Q26" s="7">
        <v>1</v>
      </c>
      <c r="R26" s="7">
        <v>1</v>
      </c>
      <c r="S26" s="7">
        <v>1</v>
      </c>
      <c r="T26" s="7">
        <v>1</v>
      </c>
      <c r="U26" s="7">
        <v>1</v>
      </c>
      <c r="V26" s="7">
        <v>1.00000033</v>
      </c>
      <c r="W26" s="7">
        <v>1</v>
      </c>
      <c r="X26" s="7">
        <v>1.0000000099999999</v>
      </c>
      <c r="Y26" s="7">
        <v>1</v>
      </c>
      <c r="Z26" s="7">
        <v>1</v>
      </c>
      <c r="AA26" s="7">
        <v>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1.3313148699999999</v>
      </c>
      <c r="E27" s="7">
        <v>1.34951957</v>
      </c>
      <c r="F27" s="7">
        <v>1.3688447800000001</v>
      </c>
      <c r="G27" s="7">
        <v>1.3895241</v>
      </c>
      <c r="H27" s="7">
        <v>1.41128096</v>
      </c>
      <c r="I27" s="7">
        <v>1.43437624</v>
      </c>
      <c r="J27" s="7">
        <v>1.45906147</v>
      </c>
      <c r="K27" s="7">
        <v>1.4850833699999999</v>
      </c>
      <c r="L27" s="7">
        <v>1.5126956600000001</v>
      </c>
      <c r="M27" s="7">
        <v>1.5421085299999999</v>
      </c>
      <c r="N27" s="7">
        <v>1.5726247799999999</v>
      </c>
      <c r="O27" s="7">
        <v>1.59945062</v>
      </c>
      <c r="P27" s="7">
        <v>1.6277375199999999</v>
      </c>
      <c r="Q27" s="7">
        <v>1.6574802799999999</v>
      </c>
      <c r="R27" s="7">
        <v>1.6891152899999999</v>
      </c>
      <c r="S27" s="7">
        <v>1.7220610700000001</v>
      </c>
      <c r="T27" s="7">
        <v>1.7574751399999999</v>
      </c>
      <c r="U27" s="7">
        <v>1.7943434599999999</v>
      </c>
      <c r="V27" s="7">
        <v>1.83355764</v>
      </c>
      <c r="W27" s="7">
        <v>1.874846</v>
      </c>
      <c r="X27" s="7">
        <v>1.9184953600000001</v>
      </c>
      <c r="Y27" s="7">
        <v>1.9648884099999999</v>
      </c>
      <c r="Z27" s="7">
        <v>2.0138941699999999</v>
      </c>
      <c r="AA27" s="7">
        <v>2.0667281000000002</v>
      </c>
      <c r="AB27" s="7">
        <v>2.1226195300000001</v>
      </c>
      <c r="AC27" s="7">
        <v>2.1815687399999999</v>
      </c>
    </row>
    <row r="28" spans="1:29" x14ac:dyDescent="0.85">
      <c r="A28" t="s">
        <v>126</v>
      </c>
      <c r="B28" s="7">
        <v>17</v>
      </c>
      <c r="C28" s="7">
        <v>16.322111280000001</v>
      </c>
      <c r="D28" s="7">
        <v>15.669226829999999</v>
      </c>
      <c r="E28" s="7">
        <v>15.04299342</v>
      </c>
      <c r="F28" s="7">
        <v>14.44127368</v>
      </c>
      <c r="G28" s="7">
        <v>13.968012160000001</v>
      </c>
      <c r="H28" s="7">
        <v>13.40929167</v>
      </c>
      <c r="I28" s="7">
        <v>12.872920000000001</v>
      </c>
      <c r="J28" s="7">
        <v>12.358003200000001</v>
      </c>
      <c r="K28" s="7">
        <v>11.86368307</v>
      </c>
      <c r="L28" s="7">
        <v>11.389135749999999</v>
      </c>
      <c r="M28" s="7">
        <v>10.933570319999999</v>
      </c>
      <c r="N28" s="7">
        <v>10.496227510000001</v>
      </c>
      <c r="O28" s="7">
        <v>10.07637841</v>
      </c>
      <c r="P28" s="7">
        <v>9.6733232699999991</v>
      </c>
      <c r="Q28" s="7">
        <v>9.2863903400000005</v>
      </c>
      <c r="R28" s="7">
        <v>8.9149347300000006</v>
      </c>
      <c r="S28" s="7">
        <v>8.5583373399999996</v>
      </c>
      <c r="T28" s="7">
        <v>8.2160038400000008</v>
      </c>
      <c r="U28" s="7">
        <v>7.8873636899999999</v>
      </c>
      <c r="V28" s="7">
        <v>7.5718691400000004</v>
      </c>
      <c r="W28" s="7">
        <v>7.2689943799999996</v>
      </c>
      <c r="X28" s="7">
        <v>6.9782346000000004</v>
      </c>
      <c r="Y28" s="7">
        <v>6.6991052199999999</v>
      </c>
      <c r="Z28" s="7">
        <v>6.4311410100000002</v>
      </c>
      <c r="AA28" s="7">
        <v>6.1738953700000003</v>
      </c>
      <c r="AB28" s="7">
        <v>5.9269395500000002</v>
      </c>
      <c r="AC28" s="7">
        <v>5.6898619699999999</v>
      </c>
    </row>
    <row r="29" spans="1:29" x14ac:dyDescent="0.85">
      <c r="A29" t="s">
        <v>127</v>
      </c>
      <c r="B29" s="7">
        <v>6067.75</v>
      </c>
      <c r="C29" s="7">
        <v>5825.7935733100003</v>
      </c>
      <c r="D29" s="7">
        <v>5592.7574099800004</v>
      </c>
      <c r="E29" s="7">
        <v>5369.2383049800001</v>
      </c>
      <c r="F29" s="7">
        <v>5154.4686172600004</v>
      </c>
      <c r="G29" s="7">
        <v>4985.5491887300004</v>
      </c>
      <c r="H29" s="7">
        <v>4786.1234684399997</v>
      </c>
      <c r="I29" s="7">
        <v>4594.6775519700004</v>
      </c>
      <c r="J29" s="7">
        <v>4410.8875278799997</v>
      </c>
      <c r="K29" s="7">
        <v>4234.4516883400001</v>
      </c>
      <c r="L29" s="7">
        <v>4065.0721196700001</v>
      </c>
      <c r="M29" s="7">
        <v>2916.5647916500002</v>
      </c>
      <c r="N29" s="7">
        <v>2799.9021578400002</v>
      </c>
      <c r="O29" s="7">
        <v>2687.9059391000001</v>
      </c>
      <c r="P29" s="7">
        <v>2580.38958564</v>
      </c>
      <c r="Q29" s="7">
        <v>2477.1714622</v>
      </c>
      <c r="R29" s="7">
        <v>2378.0828438100002</v>
      </c>
      <c r="S29" s="7">
        <v>2282.9427416200001</v>
      </c>
      <c r="T29" s="7">
        <v>2191.6243813299998</v>
      </c>
      <c r="U29" s="7">
        <v>2103.9593974200002</v>
      </c>
      <c r="V29" s="7">
        <v>2019.80088763</v>
      </c>
      <c r="W29" s="7">
        <v>1939.0067161100001</v>
      </c>
      <c r="X29" s="7">
        <v>1861.4459331200001</v>
      </c>
      <c r="Y29" s="7">
        <v>1786.9867223700001</v>
      </c>
      <c r="Z29" s="7">
        <v>1715.5070848</v>
      </c>
      <c r="AA29" s="7">
        <v>1646.88656186</v>
      </c>
      <c r="AB29" s="7">
        <v>1581.0043282500001</v>
      </c>
      <c r="AC29" s="7">
        <v>1517.6047402700001</v>
      </c>
    </row>
    <row r="30" spans="1:29" x14ac:dyDescent="0.85">
      <c r="A30" t="s">
        <v>128</v>
      </c>
      <c r="B30" s="7">
        <v>6067.75</v>
      </c>
      <c r="C30" s="7">
        <v>5825.7935733100003</v>
      </c>
      <c r="D30" s="7">
        <v>5592.7574099800004</v>
      </c>
      <c r="E30" s="7">
        <v>5369.2383049800001</v>
      </c>
      <c r="F30" s="7">
        <v>5154.4686172600004</v>
      </c>
      <c r="G30" s="7">
        <v>4985.5491887300004</v>
      </c>
      <c r="H30" s="7">
        <v>4786.1234684399997</v>
      </c>
      <c r="I30" s="7">
        <v>4594.6775519700004</v>
      </c>
      <c r="J30" s="7">
        <v>4410.8875278799997</v>
      </c>
      <c r="K30" s="7">
        <v>4234.4516883400001</v>
      </c>
      <c r="L30" s="7">
        <v>4065.0721196700001</v>
      </c>
      <c r="M30" s="7">
        <v>2916.5647916500002</v>
      </c>
      <c r="N30" s="7">
        <v>2799.9021578400002</v>
      </c>
      <c r="O30" s="7">
        <v>2687.9059391000001</v>
      </c>
      <c r="P30" s="7">
        <v>2580.38958564</v>
      </c>
      <c r="Q30" s="7">
        <v>2477.1714622</v>
      </c>
      <c r="R30" s="7">
        <v>2378.0828438100002</v>
      </c>
      <c r="S30" s="7">
        <v>2282.9427416200001</v>
      </c>
      <c r="T30" s="7">
        <v>2191.6243813299998</v>
      </c>
      <c r="U30" s="7">
        <v>2103.9593974200002</v>
      </c>
      <c r="V30" s="7">
        <v>2019.80088763</v>
      </c>
      <c r="W30" s="7">
        <v>1939.0067161100001</v>
      </c>
      <c r="X30" s="7">
        <v>1861.4459331200001</v>
      </c>
      <c r="Y30" s="7">
        <v>1786.9867223700001</v>
      </c>
      <c r="Z30" s="7">
        <v>1715.5070848</v>
      </c>
      <c r="AA30" s="7">
        <v>1646.88656186</v>
      </c>
      <c r="AB30" s="7">
        <v>1581.0043282500001</v>
      </c>
      <c r="AC30" s="7">
        <v>1517.6047402700001</v>
      </c>
    </row>
    <row r="31" spans="1:29" x14ac:dyDescent="0.85">
      <c r="A31" t="s">
        <v>129</v>
      </c>
      <c r="B31" s="7">
        <v>5.1419245199999999</v>
      </c>
      <c r="C31" s="7">
        <v>4.9368861300000004</v>
      </c>
      <c r="D31" s="7">
        <v>4.7394106899999997</v>
      </c>
      <c r="E31" s="7">
        <v>4.5499962800000002</v>
      </c>
      <c r="F31" s="7">
        <v>4.3679964299999998</v>
      </c>
      <c r="G31" s="7">
        <v>4.2248508300000003</v>
      </c>
      <c r="H31" s="7">
        <v>4.0558567999999999</v>
      </c>
      <c r="I31" s="7">
        <v>3.89362253</v>
      </c>
      <c r="J31" s="7">
        <v>3.7378776299999998</v>
      </c>
      <c r="K31" s="7">
        <v>3.58836252</v>
      </c>
      <c r="L31" s="7">
        <v>3.4448280200000001</v>
      </c>
      <c r="M31" s="7">
        <v>3.3070349000000001</v>
      </c>
      <c r="N31" s="7">
        <v>3.1747535099999999</v>
      </c>
      <c r="O31" s="7">
        <v>3.0477633700000002</v>
      </c>
      <c r="P31" s="7">
        <v>2.9258528300000002</v>
      </c>
      <c r="Q31" s="7">
        <v>2.8088187200000001</v>
      </c>
      <c r="R31" s="7">
        <v>2.6964659700000002</v>
      </c>
      <c r="S31" s="7">
        <v>2.5886073299999999</v>
      </c>
      <c r="T31" s="7">
        <v>2.48506304</v>
      </c>
      <c r="U31" s="7">
        <v>2.3856605200000001</v>
      </c>
      <c r="V31" s="7">
        <v>2.2902340899999998</v>
      </c>
      <c r="W31" s="7">
        <v>2.1986247300000001</v>
      </c>
      <c r="X31" s="7">
        <v>2.1106797400000001</v>
      </c>
      <c r="Y31" s="7">
        <v>2.0262525500000002</v>
      </c>
      <c r="Z31" s="7">
        <v>1.94520245</v>
      </c>
      <c r="AA31" s="7">
        <v>1.8673943500000001</v>
      </c>
      <c r="AB31" s="7">
        <v>1.7926985799999999</v>
      </c>
      <c r="AC31" s="7">
        <v>1.72099063</v>
      </c>
    </row>
    <row r="32" spans="1:29" x14ac:dyDescent="0.85">
      <c r="A32" t="s">
        <v>130</v>
      </c>
      <c r="B32" s="7">
        <v>0</v>
      </c>
      <c r="C32" s="7">
        <v>4.6606299999999998E-3</v>
      </c>
      <c r="D32" s="7">
        <v>4.4742100000000002E-3</v>
      </c>
      <c r="E32" s="7">
        <v>4.2953899999999996E-3</v>
      </c>
      <c r="F32" s="7">
        <v>4.12357E-3</v>
      </c>
      <c r="G32" s="7">
        <v>3.9884400000000002E-3</v>
      </c>
      <c r="H32" s="7">
        <v>3.8289000000000001E-3</v>
      </c>
      <c r="I32" s="7">
        <v>3.6757399999999998E-3</v>
      </c>
      <c r="J32" s="7">
        <v>3.52871E-3</v>
      </c>
      <c r="K32" s="7">
        <v>3.38756E-3</v>
      </c>
      <c r="L32" s="7">
        <v>3.2520600000000002E-3</v>
      </c>
      <c r="M32" s="7">
        <v>2.3332499999999998E-3</v>
      </c>
      <c r="N32" s="7">
        <v>2.2399199999999998E-3</v>
      </c>
      <c r="O32" s="7">
        <v>2.1503199999999998E-3</v>
      </c>
      <c r="P32" s="7">
        <v>2.0643100000000002E-3</v>
      </c>
      <c r="Q32" s="7">
        <v>1.9817400000000001E-3</v>
      </c>
      <c r="R32" s="7">
        <v>1.9024700000000001E-3</v>
      </c>
      <c r="S32" s="7">
        <v>1.82635E-3</v>
      </c>
      <c r="T32" s="7">
        <v>1.7533E-3</v>
      </c>
      <c r="U32" s="7">
        <v>1.6831699999999999E-3</v>
      </c>
      <c r="V32" s="7">
        <v>1.6158399999999999E-3</v>
      </c>
      <c r="W32" s="7">
        <v>1.5512099999999999E-3</v>
      </c>
      <c r="X32" s="7">
        <v>1.48916E-3</v>
      </c>
      <c r="Y32" s="7">
        <v>1.4295899999999999E-3</v>
      </c>
      <c r="Z32" s="7">
        <v>1.3724099999999999E-3</v>
      </c>
      <c r="AA32" s="7">
        <v>1.31751E-3</v>
      </c>
      <c r="AB32" s="7">
        <v>1.2648E-3</v>
      </c>
      <c r="AC32" s="7">
        <v>1.21408E-3</v>
      </c>
    </row>
    <row r="33" spans="1:29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2.1480000000000001E-5</v>
      </c>
      <c r="F33" s="7">
        <v>2.0619999999999999E-5</v>
      </c>
      <c r="G33" s="7">
        <v>1.9939999999999999E-5</v>
      </c>
      <c r="H33" s="7">
        <v>1.914E-5</v>
      </c>
      <c r="I33" s="7">
        <v>1.838E-5</v>
      </c>
      <c r="J33" s="7">
        <v>1.7640000000000001E-5</v>
      </c>
      <c r="K33" s="7">
        <v>1.694E-5</v>
      </c>
      <c r="L33" s="7">
        <v>1.626E-5</v>
      </c>
      <c r="M33" s="7">
        <v>1.167E-5</v>
      </c>
      <c r="N33" s="7">
        <v>1.1199999999999999E-5</v>
      </c>
      <c r="O33" s="7">
        <v>1.075E-5</v>
      </c>
      <c r="P33" s="7">
        <v>1.0319999999999999E-5</v>
      </c>
      <c r="Q33" s="7">
        <v>9.91E-6</v>
      </c>
      <c r="R33" s="7">
        <v>9.5100000000000004E-6</v>
      </c>
      <c r="S33" s="7">
        <v>9.1300000000000007E-6</v>
      </c>
      <c r="T33" s="7">
        <v>8.7700000000000007E-6</v>
      </c>
      <c r="U33" s="7">
        <v>8.4200000000000007E-6</v>
      </c>
      <c r="V33" s="7">
        <v>8.0800000000000006E-6</v>
      </c>
      <c r="W33" s="7">
        <v>7.7600000000000002E-6</v>
      </c>
      <c r="X33" s="7">
        <v>7.4499999999999998E-6</v>
      </c>
      <c r="Y33" s="7">
        <v>7.1500000000000002E-6</v>
      </c>
      <c r="Z33" s="7">
        <v>6.8600000000000004E-6</v>
      </c>
      <c r="AA33" s="7">
        <v>6.5899999999999996E-6</v>
      </c>
      <c r="AB33" s="7">
        <v>6.3199999999999996E-6</v>
      </c>
      <c r="AC33" s="7">
        <v>6.0700000000000003E-6</v>
      </c>
    </row>
    <row r="34" spans="1:29" x14ac:dyDescent="0.85">
      <c r="A34" t="s">
        <v>132</v>
      </c>
      <c r="B34" s="7">
        <v>5.1419245199999999</v>
      </c>
      <c r="C34" s="7">
        <v>4.9368861300000004</v>
      </c>
      <c r="D34" s="7">
        <v>4.7394106899999997</v>
      </c>
      <c r="E34" s="7">
        <v>4.5499962800000002</v>
      </c>
      <c r="F34" s="7">
        <v>4.3679964299999998</v>
      </c>
      <c r="G34" s="7">
        <v>4.2248508300000003</v>
      </c>
      <c r="H34" s="7">
        <v>4.0558567999999999</v>
      </c>
      <c r="I34" s="7">
        <v>3.89362253</v>
      </c>
      <c r="J34" s="7">
        <v>3.7378776299999998</v>
      </c>
      <c r="K34" s="7">
        <v>3.58836252</v>
      </c>
      <c r="L34" s="7">
        <v>3.4448280200000001</v>
      </c>
      <c r="M34" s="7">
        <v>3.3070349000000001</v>
      </c>
      <c r="N34" s="7">
        <v>3.1747535099999999</v>
      </c>
      <c r="O34" s="7">
        <v>3.0477633700000002</v>
      </c>
      <c r="P34" s="7">
        <v>2.9258528300000002</v>
      </c>
      <c r="Q34" s="7">
        <v>2.8088187200000001</v>
      </c>
      <c r="R34" s="7">
        <v>2.6964659700000002</v>
      </c>
      <c r="S34" s="7">
        <v>2.5886073299999999</v>
      </c>
      <c r="T34" s="7">
        <v>2.48506304</v>
      </c>
      <c r="U34" s="7">
        <v>2.3856605200000001</v>
      </c>
      <c r="V34" s="7">
        <v>2.2902340899999998</v>
      </c>
      <c r="W34" s="7">
        <v>2.1986247300000001</v>
      </c>
      <c r="X34" s="7">
        <v>2.1106797400000001</v>
      </c>
      <c r="Y34" s="7">
        <v>2.0262525500000002</v>
      </c>
      <c r="Z34" s="7">
        <v>1.94520245</v>
      </c>
      <c r="AA34" s="7">
        <v>1.8673943500000001</v>
      </c>
      <c r="AB34" s="7">
        <v>1.7926985799999999</v>
      </c>
      <c r="AC34" s="7">
        <v>1.72099063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1.00012937</v>
      </c>
      <c r="E36" s="7">
        <v>0.99999921000000003</v>
      </c>
      <c r="F36" s="7">
        <v>1.0000356100000001</v>
      </c>
      <c r="G36" s="7">
        <v>0.99999996999999996</v>
      </c>
      <c r="H36" s="7">
        <v>1.0075297400000001</v>
      </c>
      <c r="I36" s="7">
        <v>0.99999921999999997</v>
      </c>
      <c r="J36" s="7">
        <v>0.99999979000000006</v>
      </c>
      <c r="K36" s="7">
        <v>0.99999934000000001</v>
      </c>
      <c r="L36" s="7">
        <v>0.99999992000000004</v>
      </c>
      <c r="M36" s="7">
        <v>0.99999963000000003</v>
      </c>
      <c r="N36" s="7">
        <v>0.74736393999999995</v>
      </c>
      <c r="O36" s="7">
        <v>0.99999998000000001</v>
      </c>
      <c r="P36" s="7">
        <v>0.99999994999999997</v>
      </c>
      <c r="Q36" s="7">
        <v>0.99999996000000002</v>
      </c>
      <c r="R36" s="7">
        <v>0.99999897000000004</v>
      </c>
      <c r="S36" s="7">
        <v>0.99999925999999995</v>
      </c>
      <c r="T36" s="7">
        <v>0.99999265000000004</v>
      </c>
      <c r="U36" s="7">
        <v>0.99999970000000005</v>
      </c>
      <c r="V36" s="7">
        <v>1</v>
      </c>
      <c r="W36" s="7">
        <v>0.99999992999999998</v>
      </c>
      <c r="X36" s="7">
        <v>0.99999890000000002</v>
      </c>
      <c r="Y36" s="7">
        <v>0.99999972000000004</v>
      </c>
      <c r="Z36" s="7">
        <v>0.99999923000000002</v>
      </c>
      <c r="AA36" s="7">
        <v>0.99999990000000005</v>
      </c>
      <c r="AB36" s="7">
        <v>0.99999985000000002</v>
      </c>
      <c r="AC36" s="7">
        <v>0.99999572000000003</v>
      </c>
    </row>
    <row r="37" spans="1:29" x14ac:dyDescent="0.85">
      <c r="A37" t="s">
        <v>135</v>
      </c>
      <c r="B37" s="7">
        <v>1</v>
      </c>
      <c r="C37" s="7">
        <v>1.00012937</v>
      </c>
      <c r="D37" s="7">
        <v>0.99999921000000003</v>
      </c>
      <c r="E37" s="7">
        <v>1.0000356100000001</v>
      </c>
      <c r="F37" s="7">
        <v>0.99999996999999996</v>
      </c>
      <c r="G37" s="7">
        <v>1.0075297400000001</v>
      </c>
      <c r="H37" s="7">
        <v>0.99999921999999997</v>
      </c>
      <c r="I37" s="7">
        <v>0.99999979000000006</v>
      </c>
      <c r="J37" s="7">
        <v>0.99999934000000001</v>
      </c>
      <c r="K37" s="7">
        <v>0.99999992000000004</v>
      </c>
      <c r="L37" s="7">
        <v>0.99999963000000003</v>
      </c>
      <c r="M37" s="7">
        <v>0.74736393999999995</v>
      </c>
      <c r="N37" s="7">
        <v>0.99999998000000001</v>
      </c>
      <c r="O37" s="7">
        <v>0.99999994999999997</v>
      </c>
      <c r="P37" s="7">
        <v>0.99999996000000002</v>
      </c>
      <c r="Q37" s="7">
        <v>0.99999897000000004</v>
      </c>
      <c r="R37" s="7">
        <v>0.99999925999999995</v>
      </c>
      <c r="S37" s="7">
        <v>0.99999265000000004</v>
      </c>
      <c r="T37" s="7">
        <v>0.99999970000000005</v>
      </c>
      <c r="U37" s="7">
        <v>1</v>
      </c>
      <c r="V37" s="7">
        <v>0.99999992999999998</v>
      </c>
      <c r="W37" s="7">
        <v>0.99999890000000002</v>
      </c>
      <c r="X37" s="7">
        <v>0.99999972000000004</v>
      </c>
      <c r="Y37" s="7">
        <v>0.99999923000000002</v>
      </c>
      <c r="Z37" s="7">
        <v>0.99999990000000005</v>
      </c>
      <c r="AA37" s="7">
        <v>0.99999985000000002</v>
      </c>
      <c r="AB37" s="7">
        <v>0.99999572000000003</v>
      </c>
      <c r="AC37" s="7">
        <v>0.99989497000000005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46.820950689999997</v>
      </c>
      <c r="E38" s="7">
        <v>49.835906029999997</v>
      </c>
      <c r="F38" s="7">
        <v>53.055892729999997</v>
      </c>
      <c r="G38" s="7">
        <v>56.523343670000003</v>
      </c>
      <c r="H38" s="7">
        <v>59.758480349999999</v>
      </c>
      <c r="I38" s="7">
        <v>63.657489400000003</v>
      </c>
      <c r="J38" s="7">
        <v>67.849828430000002</v>
      </c>
      <c r="K38" s="7">
        <v>72.302240670000003</v>
      </c>
      <c r="L38" s="7">
        <v>77.058716480000001</v>
      </c>
      <c r="M38" s="7">
        <v>82.157632829999997</v>
      </c>
      <c r="N38" s="7">
        <v>87.496363860000002</v>
      </c>
      <c r="O38" s="7">
        <v>92.323832280000005</v>
      </c>
      <c r="P38" s="7">
        <v>97.445996629999996</v>
      </c>
      <c r="Q38" s="7">
        <v>102.8674942</v>
      </c>
      <c r="R38" s="7">
        <v>108.66405736999999</v>
      </c>
      <c r="S38" s="7">
        <v>114.74855112</v>
      </c>
      <c r="T38" s="7">
        <v>121.3149818</v>
      </c>
      <c r="U38" s="7">
        <v>128.20598921999999</v>
      </c>
      <c r="V38" s="7">
        <v>135.57488738000001</v>
      </c>
      <c r="W38" s="7">
        <v>143.38547606</v>
      </c>
      <c r="X38" s="7">
        <v>151.69394266</v>
      </c>
      <c r="Y38" s="7">
        <v>160.57423883000001</v>
      </c>
      <c r="Z38" s="7">
        <v>170.01485357999999</v>
      </c>
      <c r="AA38" s="7">
        <v>180.23432925</v>
      </c>
      <c r="AB38" s="7">
        <v>191.11471273000001</v>
      </c>
      <c r="AC38" s="7">
        <v>202.66840134</v>
      </c>
    </row>
    <row r="39" spans="1:29" x14ac:dyDescent="0.85">
      <c r="A39" t="s">
        <v>137</v>
      </c>
      <c r="B39" s="7">
        <v>8601</v>
      </c>
      <c r="C39" s="7">
        <v>9062.3933130500009</v>
      </c>
      <c r="D39" s="7">
        <v>8835.8334802299996</v>
      </c>
      <c r="E39" s="7">
        <v>8615.6101447300007</v>
      </c>
      <c r="F39" s="7">
        <v>8415.6325609800006</v>
      </c>
      <c r="G39" s="7">
        <v>8205.2444398099997</v>
      </c>
      <c r="H39" s="7">
        <v>8000.1133291200003</v>
      </c>
      <c r="I39" s="7">
        <v>7813.7990729700005</v>
      </c>
      <c r="J39" s="7">
        <v>7618.6692785400001</v>
      </c>
      <c r="K39" s="7">
        <v>7428.20254699</v>
      </c>
      <c r="L39" s="7">
        <v>7250.1823564599999</v>
      </c>
      <c r="M39" s="7">
        <v>7068.9277996000001</v>
      </c>
      <c r="N39" s="7">
        <v>6926.5939029000001</v>
      </c>
      <c r="O39" s="7">
        <v>6753.4290553199999</v>
      </c>
      <c r="P39" s="7">
        <v>6584.5933847599999</v>
      </c>
      <c r="Q39" s="7">
        <v>6419.9789501200003</v>
      </c>
      <c r="R39" s="7">
        <v>6259.4801721800004</v>
      </c>
      <c r="S39" s="7">
        <v>6113.5307004200004</v>
      </c>
      <c r="T39" s="7">
        <v>5960.6926294300001</v>
      </c>
      <c r="U39" s="7">
        <v>5811.9582889399999</v>
      </c>
      <c r="V39" s="7">
        <v>5666.98378684</v>
      </c>
      <c r="W39" s="7">
        <v>5525.3092109700001</v>
      </c>
      <c r="X39" s="7">
        <v>5387.1826547700002</v>
      </c>
      <c r="Y39" s="7">
        <v>5252.5031007899997</v>
      </c>
      <c r="Z39" s="7">
        <v>5121.1938477399999</v>
      </c>
      <c r="AA39" s="7">
        <v>4993.1640015499997</v>
      </c>
      <c r="AB39" s="7">
        <v>4868.3349486899997</v>
      </c>
      <c r="AC39" s="7">
        <v>4746.6265752299996</v>
      </c>
    </row>
    <row r="40" spans="1:29" x14ac:dyDescent="0.85">
      <c r="A40" t="s">
        <v>138</v>
      </c>
      <c r="B40" s="7">
        <v>66380828.814999998</v>
      </c>
      <c r="C40" s="7">
        <v>69941771.790251806</v>
      </c>
      <c r="D40" s="7">
        <v>68193227.491973996</v>
      </c>
      <c r="E40" s="7">
        <v>66493587.039227001</v>
      </c>
      <c r="F40" s="7">
        <v>64950199.322327502</v>
      </c>
      <c r="G40" s="7">
        <v>63326465.122171998</v>
      </c>
      <c r="H40" s="7">
        <v>61743303.496535897</v>
      </c>
      <c r="I40" s="7">
        <v>60305366.658656299</v>
      </c>
      <c r="J40" s="7">
        <v>58799393.227648497</v>
      </c>
      <c r="K40" s="7">
        <v>57329408.400151901</v>
      </c>
      <c r="L40" s="7">
        <v>55955483.531814799</v>
      </c>
      <c r="M40" s="7">
        <v>54556596.459282704</v>
      </c>
      <c r="N40" s="7">
        <v>53458091.398137502</v>
      </c>
      <c r="O40" s="7">
        <v>52121639.111810699</v>
      </c>
      <c r="P40" s="7">
        <v>50818598.564814903</v>
      </c>
      <c r="Q40" s="7">
        <v>49548136.687633403</v>
      </c>
      <c r="R40" s="7">
        <v>48309438.640583798</v>
      </c>
      <c r="S40" s="7">
        <v>47183029.281297997</v>
      </c>
      <c r="T40" s="7">
        <v>46003455.065972097</v>
      </c>
      <c r="U40" s="7">
        <v>44855552.636656001</v>
      </c>
      <c r="V40" s="7">
        <v>43736667.901690997</v>
      </c>
      <c r="W40" s="7">
        <v>42643251.349200703</v>
      </c>
      <c r="X40" s="7">
        <v>41577217.715776697</v>
      </c>
      <c r="Y40" s="7">
        <v>40537787.368509598</v>
      </c>
      <c r="Z40" s="7">
        <v>39524368.3419099</v>
      </c>
      <c r="AA40" s="7">
        <v>38536259.133185297</v>
      </c>
      <c r="AB40" s="7">
        <v>37572853.018978901</v>
      </c>
      <c r="AC40" s="7">
        <v>36633531.695479698</v>
      </c>
    </row>
    <row r="41" spans="1:29" x14ac:dyDescent="0.85">
      <c r="A41" t="s">
        <v>139</v>
      </c>
      <c r="B41" s="7">
        <v>66380828.814999998</v>
      </c>
      <c r="C41" s="7">
        <v>69941771.790251806</v>
      </c>
      <c r="D41" s="7">
        <v>68193227.491973996</v>
      </c>
      <c r="E41" s="7">
        <v>66493587.039227001</v>
      </c>
      <c r="F41" s="7">
        <v>64950199.322327502</v>
      </c>
      <c r="G41" s="7">
        <v>63326465.122171998</v>
      </c>
      <c r="H41" s="7">
        <v>61743303.496535897</v>
      </c>
      <c r="I41" s="7">
        <v>60305366.658656299</v>
      </c>
      <c r="J41" s="7">
        <v>58799393.227648497</v>
      </c>
      <c r="K41" s="7">
        <v>57329408.400151901</v>
      </c>
      <c r="L41" s="7">
        <v>55955483.531814799</v>
      </c>
      <c r="M41" s="7">
        <v>54556596.459282704</v>
      </c>
      <c r="N41" s="7">
        <v>53458091.398137502</v>
      </c>
      <c r="O41" s="7">
        <v>52121639.111810699</v>
      </c>
      <c r="P41" s="7">
        <v>50818598.564814903</v>
      </c>
      <c r="Q41" s="7">
        <v>49548136.687633403</v>
      </c>
      <c r="R41" s="7">
        <v>48309438.640583798</v>
      </c>
      <c r="S41" s="7">
        <v>47183029.281297997</v>
      </c>
      <c r="T41" s="7">
        <v>46003455.065972097</v>
      </c>
      <c r="U41" s="7">
        <v>44855552.636656001</v>
      </c>
      <c r="V41" s="7">
        <v>43736667.901690997</v>
      </c>
      <c r="W41" s="7">
        <v>42643251.349200703</v>
      </c>
      <c r="X41" s="7">
        <v>41577217.715776697</v>
      </c>
      <c r="Y41" s="7">
        <v>40537787.368509598</v>
      </c>
      <c r="Z41" s="7">
        <v>39524368.3419099</v>
      </c>
      <c r="AA41" s="7">
        <v>38536259.133185297</v>
      </c>
      <c r="AB41" s="7">
        <v>37572853.018978901</v>
      </c>
      <c r="AC41" s="7">
        <v>36633531.695479698</v>
      </c>
    </row>
    <row r="42" spans="1:29" x14ac:dyDescent="0.85">
      <c r="A42" t="s">
        <v>140</v>
      </c>
      <c r="B42" s="7">
        <v>9948.1006909900007</v>
      </c>
      <c r="C42" s="7">
        <v>10481.75807227</v>
      </c>
      <c r="D42" s="7">
        <v>10219.71412042</v>
      </c>
      <c r="E42" s="7">
        <v>9964.9990970500003</v>
      </c>
      <c r="F42" s="7">
        <v>9733.7007434799998</v>
      </c>
      <c r="G42" s="7">
        <v>9490.3613394999993</v>
      </c>
      <c r="H42" s="7">
        <v>9253.1023063800003</v>
      </c>
      <c r="I42" s="7">
        <v>9037.6072499500006</v>
      </c>
      <c r="J42" s="7">
        <v>8811.9159532600006</v>
      </c>
      <c r="K42" s="7">
        <v>8591.6180549100009</v>
      </c>
      <c r="L42" s="7">
        <v>8385.7160922999992</v>
      </c>
      <c r="M42" s="7">
        <v>8176.0731923499998</v>
      </c>
      <c r="N42" s="7">
        <v>8011.4467610000002</v>
      </c>
      <c r="O42" s="7">
        <v>7811.1605919599997</v>
      </c>
      <c r="P42" s="7">
        <v>7615.8816417199996</v>
      </c>
      <c r="Q42" s="7">
        <v>7425.4850632999996</v>
      </c>
      <c r="R42" s="7">
        <v>7239.8487415099999</v>
      </c>
      <c r="S42" s="7">
        <v>7071.0404586599998</v>
      </c>
      <c r="T42" s="7">
        <v>6894.2646744900003</v>
      </c>
      <c r="U42" s="7">
        <v>6722.2353528499998</v>
      </c>
      <c r="V42" s="7">
        <v>6554.5547407699996</v>
      </c>
      <c r="W42" s="7">
        <v>6390.6908939900004</v>
      </c>
      <c r="X42" s="7">
        <v>6230.9307627099997</v>
      </c>
      <c r="Y42" s="7">
        <v>6075.1575079699996</v>
      </c>
      <c r="Z42" s="7">
        <v>5923.2824154299997</v>
      </c>
      <c r="AA42" s="7">
        <v>5775.2003550400004</v>
      </c>
      <c r="AB42" s="7">
        <v>5630.82040074</v>
      </c>
      <c r="AC42" s="7">
        <v>5490.0498910099996</v>
      </c>
    </row>
    <row r="43" spans="1:29" x14ac:dyDescent="0.85">
      <c r="A43" t="s">
        <v>141</v>
      </c>
      <c r="B43" s="7">
        <v>0</v>
      </c>
      <c r="C43" s="7">
        <v>41.965063069999999</v>
      </c>
      <c r="D43" s="7">
        <v>40.915936500000001</v>
      </c>
      <c r="E43" s="7">
        <v>39.896152219999998</v>
      </c>
      <c r="F43" s="7">
        <v>38.970119590000003</v>
      </c>
      <c r="G43" s="7">
        <v>37.995879070000001</v>
      </c>
      <c r="H43" s="7">
        <v>37.045982100000003</v>
      </c>
      <c r="I43" s="7">
        <v>36.183219999999999</v>
      </c>
      <c r="J43" s="7">
        <v>35.279635939999999</v>
      </c>
      <c r="K43" s="7">
        <v>34.39764504</v>
      </c>
      <c r="L43" s="7">
        <v>33.573290120000003</v>
      </c>
      <c r="M43" s="7">
        <v>32.733957879999998</v>
      </c>
      <c r="N43" s="7">
        <v>32.07485484</v>
      </c>
      <c r="O43" s="7">
        <v>31.27298347</v>
      </c>
      <c r="P43" s="7">
        <v>30.491159140000001</v>
      </c>
      <c r="Q43" s="7">
        <v>29.72888201</v>
      </c>
      <c r="R43" s="7">
        <v>28.98566318</v>
      </c>
      <c r="S43" s="7">
        <v>28.30981757</v>
      </c>
      <c r="T43" s="7">
        <v>27.602073040000001</v>
      </c>
      <c r="U43" s="7">
        <v>26.913331580000001</v>
      </c>
      <c r="V43" s="7">
        <v>26.242000740000002</v>
      </c>
      <c r="W43" s="7">
        <v>25.58595081</v>
      </c>
      <c r="X43" s="7">
        <v>24.946330629999999</v>
      </c>
      <c r="Y43" s="7">
        <v>24.32267242</v>
      </c>
      <c r="Z43" s="7">
        <v>23.714621009999998</v>
      </c>
      <c r="AA43" s="7">
        <v>23.121755480000001</v>
      </c>
      <c r="AB43" s="7">
        <v>22.543711810000001</v>
      </c>
      <c r="AC43" s="7">
        <v>21.98011902</v>
      </c>
    </row>
    <row r="44" spans="1:29" x14ac:dyDescent="0.85">
      <c r="A44" t="s">
        <v>142</v>
      </c>
      <c r="B44" s="7">
        <v>0.19914249000000001</v>
      </c>
      <c r="C44" s="7">
        <v>0.20982532000000001</v>
      </c>
      <c r="D44" s="7">
        <v>0.20457968000000001</v>
      </c>
      <c r="E44" s="7">
        <v>0.19948076000000001</v>
      </c>
      <c r="F44" s="7">
        <v>0.19485060000000001</v>
      </c>
      <c r="G44" s="7">
        <v>0.18997939999999999</v>
      </c>
      <c r="H44" s="7">
        <v>0.18522991</v>
      </c>
      <c r="I44" s="7">
        <v>0.1809161</v>
      </c>
      <c r="J44" s="7">
        <v>0.17639817999999999</v>
      </c>
      <c r="K44" s="7">
        <v>0.17198822999999999</v>
      </c>
      <c r="L44" s="7">
        <v>0.16786645</v>
      </c>
      <c r="M44" s="7">
        <v>0.16366979000000001</v>
      </c>
      <c r="N44" s="7">
        <v>0.16037427000000001</v>
      </c>
      <c r="O44" s="7">
        <v>0.15636491999999999</v>
      </c>
      <c r="P44" s="7">
        <v>0.1524558</v>
      </c>
      <c r="Q44" s="7">
        <v>0.14864441</v>
      </c>
      <c r="R44" s="7">
        <v>0.14492832</v>
      </c>
      <c r="S44" s="7">
        <v>0.14154908999999999</v>
      </c>
      <c r="T44" s="7">
        <v>0.13801036999999999</v>
      </c>
      <c r="U44" s="7">
        <v>0.13456666</v>
      </c>
      <c r="V44" s="7">
        <v>0.13120999999999999</v>
      </c>
      <c r="W44" s="7">
        <v>0.12792975000000001</v>
      </c>
      <c r="X44" s="7">
        <v>0.12473165</v>
      </c>
      <c r="Y44" s="7">
        <v>0.12161336</v>
      </c>
      <c r="Z44" s="7">
        <v>0.11857311</v>
      </c>
      <c r="AA44" s="7">
        <v>0.11560877999999999</v>
      </c>
      <c r="AB44" s="7">
        <v>0.11271856</v>
      </c>
      <c r="AC44" s="7">
        <v>0.1099006</v>
      </c>
    </row>
    <row r="45" spans="1:29" x14ac:dyDescent="0.85">
      <c r="A45" t="s">
        <v>143</v>
      </c>
      <c r="B45" s="7">
        <v>9276.9905116699993</v>
      </c>
      <c r="C45" s="7">
        <v>9774.6467594700007</v>
      </c>
      <c r="D45" s="7">
        <v>9530.2805904800007</v>
      </c>
      <c r="E45" s="7">
        <v>9292.7489320799996</v>
      </c>
      <c r="F45" s="7">
        <v>9077.0542283300001</v>
      </c>
      <c r="G45" s="7">
        <v>8850.1307771200009</v>
      </c>
      <c r="H45" s="7">
        <v>8628.8775080300002</v>
      </c>
      <c r="I45" s="7">
        <v>8427.9199930300001</v>
      </c>
      <c r="J45" s="7">
        <v>8217.4540877300005</v>
      </c>
      <c r="K45" s="7">
        <v>8012.01773598</v>
      </c>
      <c r="L45" s="7">
        <v>7820.0061537900001</v>
      </c>
      <c r="M45" s="7">
        <v>7624.5060021500003</v>
      </c>
      <c r="N45" s="7">
        <v>7470.9854569600002</v>
      </c>
      <c r="O45" s="7">
        <v>7284.21082054</v>
      </c>
      <c r="P45" s="7">
        <v>7102.1056102299999</v>
      </c>
      <c r="Q45" s="7">
        <v>6924.5534013899996</v>
      </c>
      <c r="R45" s="7">
        <v>6751.4403168500003</v>
      </c>
      <c r="S45" s="7">
        <v>6594.0200326300001</v>
      </c>
      <c r="T45" s="7">
        <v>6429.1697437800003</v>
      </c>
      <c r="U45" s="7">
        <v>6268.74571569</v>
      </c>
      <c r="V45" s="7">
        <v>6112.3770282900005</v>
      </c>
      <c r="W45" s="7">
        <v>5959.5676228499997</v>
      </c>
      <c r="X45" s="7">
        <v>5810.5850916099998</v>
      </c>
      <c r="Y45" s="7">
        <v>5665.3204776800003</v>
      </c>
      <c r="Z45" s="7">
        <v>5523.6910514900001</v>
      </c>
      <c r="AA45" s="7">
        <v>5385.59877521</v>
      </c>
      <c r="AB45" s="7">
        <v>5250.95885671</v>
      </c>
      <c r="AC45" s="7">
        <v>5119.68488557</v>
      </c>
    </row>
    <row r="46" spans="1:29" x14ac:dyDescent="0.85">
      <c r="A46" t="s">
        <v>144</v>
      </c>
      <c r="B46" s="7">
        <v>671.11017932000004</v>
      </c>
      <c r="C46" s="7">
        <v>707.11131279999995</v>
      </c>
      <c r="D46" s="7">
        <v>689.43352993999997</v>
      </c>
      <c r="E46" s="7">
        <v>672.25016497000001</v>
      </c>
      <c r="F46" s="7">
        <v>656.64651515000003</v>
      </c>
      <c r="G46" s="7">
        <v>640.23056239000005</v>
      </c>
      <c r="H46" s="7">
        <v>624.22479835000001</v>
      </c>
      <c r="I46" s="7">
        <v>609.68725691999998</v>
      </c>
      <c r="J46" s="7">
        <v>594.46186552999995</v>
      </c>
      <c r="K46" s="7">
        <v>579.60031892999996</v>
      </c>
      <c r="L46" s="7">
        <v>565.70993851000003</v>
      </c>
      <c r="M46" s="7">
        <v>551.56719020000003</v>
      </c>
      <c r="N46" s="7">
        <v>540.46130403999996</v>
      </c>
      <c r="O46" s="7">
        <v>526.94977142000005</v>
      </c>
      <c r="P46" s="7">
        <v>513.77603149000004</v>
      </c>
      <c r="Q46" s="7">
        <v>500.93166191</v>
      </c>
      <c r="R46" s="7">
        <v>488.40842465999998</v>
      </c>
      <c r="S46" s="7">
        <v>477.02042603000001</v>
      </c>
      <c r="T46" s="7">
        <v>465.09493071999998</v>
      </c>
      <c r="U46" s="7">
        <v>453.48963715999997</v>
      </c>
      <c r="V46" s="7">
        <v>442.17771248999998</v>
      </c>
      <c r="W46" s="7">
        <v>431.12327113999999</v>
      </c>
      <c r="X46" s="7">
        <v>420.34567111000001</v>
      </c>
      <c r="Y46" s="7">
        <v>409.83703029999998</v>
      </c>
      <c r="Z46" s="7">
        <v>399.59136394000001</v>
      </c>
      <c r="AA46" s="7">
        <v>389.60157984</v>
      </c>
      <c r="AB46" s="7">
        <v>379.86154402</v>
      </c>
      <c r="AC46" s="7">
        <v>370.36500544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1.0806606599999999</v>
      </c>
      <c r="E47" s="7">
        <v>1</v>
      </c>
      <c r="F47" s="7">
        <v>1.0000780600000001</v>
      </c>
      <c r="G47" s="7">
        <v>1.00183479</v>
      </c>
      <c r="H47" s="7">
        <v>1.00000033</v>
      </c>
      <c r="I47" s="7">
        <v>1</v>
      </c>
      <c r="J47" s="7">
        <v>1.00175492</v>
      </c>
      <c r="K47" s="7">
        <v>1.00002824</v>
      </c>
      <c r="L47" s="7">
        <v>1</v>
      </c>
      <c r="M47" s="7">
        <v>1.0010610799999999</v>
      </c>
      <c r="N47" s="7">
        <v>1</v>
      </c>
      <c r="O47" s="7">
        <v>1.0049895900000001</v>
      </c>
      <c r="P47" s="7">
        <v>1</v>
      </c>
      <c r="Q47" s="7">
        <v>1.0000000099999999</v>
      </c>
      <c r="R47" s="7">
        <v>1.0000000600000001</v>
      </c>
      <c r="S47" s="7">
        <v>1.00000011</v>
      </c>
      <c r="T47" s="7">
        <v>1.0017266199999999</v>
      </c>
      <c r="U47" s="7">
        <v>1.00000003</v>
      </c>
      <c r="V47" s="7">
        <v>1.0000486900000001</v>
      </c>
      <c r="W47" s="7">
        <v>1.0000572599999999</v>
      </c>
      <c r="X47" s="7">
        <v>1</v>
      </c>
      <c r="Y47" s="7">
        <v>1.0000011499999999</v>
      </c>
      <c r="Z47" s="7">
        <v>1</v>
      </c>
      <c r="AA47" s="7">
        <v>1.00000065</v>
      </c>
      <c r="AB47" s="7">
        <v>1</v>
      </c>
      <c r="AC47" s="7">
        <v>1.0000000099999999</v>
      </c>
    </row>
    <row r="48" spans="1:29" x14ac:dyDescent="0.85">
      <c r="A48" t="s">
        <v>146</v>
      </c>
      <c r="B48" s="7">
        <v>1</v>
      </c>
      <c r="C48" s="7">
        <v>1.0806606599999999</v>
      </c>
      <c r="D48" s="7">
        <v>1</v>
      </c>
      <c r="E48" s="7">
        <v>1.0000780600000001</v>
      </c>
      <c r="F48" s="7">
        <v>1.00183479</v>
      </c>
      <c r="G48" s="7">
        <v>1.00000033</v>
      </c>
      <c r="H48" s="7">
        <v>1</v>
      </c>
      <c r="I48" s="7">
        <v>1.00175492</v>
      </c>
      <c r="J48" s="7">
        <v>1.00002824</v>
      </c>
      <c r="K48" s="7">
        <v>1</v>
      </c>
      <c r="L48" s="7">
        <v>1.0010610799999999</v>
      </c>
      <c r="M48" s="7">
        <v>1</v>
      </c>
      <c r="N48" s="7">
        <v>1.0049895900000001</v>
      </c>
      <c r="O48" s="7">
        <v>1</v>
      </c>
      <c r="P48" s="7">
        <v>1.0000000099999999</v>
      </c>
      <c r="Q48" s="7">
        <v>1.0000000600000001</v>
      </c>
      <c r="R48" s="7">
        <v>1.00000011</v>
      </c>
      <c r="S48" s="7">
        <v>1.0017266199999999</v>
      </c>
      <c r="T48" s="7">
        <v>1.00000003</v>
      </c>
      <c r="U48" s="7">
        <v>1.0000486900000001</v>
      </c>
      <c r="V48" s="7">
        <v>1.0000572599999999</v>
      </c>
      <c r="W48" s="7">
        <v>1</v>
      </c>
      <c r="X48" s="7">
        <v>1.0000011499999999</v>
      </c>
      <c r="Y48" s="7">
        <v>1</v>
      </c>
      <c r="Z48" s="7">
        <v>1.00000065</v>
      </c>
      <c r="AA48" s="7">
        <v>1</v>
      </c>
      <c r="AB48" s="7">
        <v>1.0000000099999999</v>
      </c>
      <c r="AC48" s="7">
        <v>1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1.1100521800000001</v>
      </c>
      <c r="E49" s="7">
        <v>1.1145034599999999</v>
      </c>
      <c r="F49" s="7">
        <v>1.1191830700000001</v>
      </c>
      <c r="G49" s="7">
        <v>1.1239738699999999</v>
      </c>
      <c r="H49" s="7">
        <v>1.1291571300000001</v>
      </c>
      <c r="I49" s="7">
        <v>1.13461207</v>
      </c>
      <c r="J49" s="7">
        <v>1.14019088</v>
      </c>
      <c r="K49" s="7">
        <v>1.14622252</v>
      </c>
      <c r="L49" s="7">
        <v>1.1525735500000001</v>
      </c>
      <c r="M49" s="7">
        <v>1.1591395200000001</v>
      </c>
      <c r="N49" s="7">
        <v>1.1660132299999999</v>
      </c>
      <c r="O49" s="7">
        <v>1.17103891</v>
      </c>
      <c r="P49" s="7">
        <v>1.1770581899999999</v>
      </c>
      <c r="Q49" s="7">
        <v>1.1833365600000001</v>
      </c>
      <c r="R49" s="7">
        <v>1.18997682</v>
      </c>
      <c r="S49" s="7">
        <v>1.1968217699999999</v>
      </c>
      <c r="T49" s="7">
        <v>1.20383624</v>
      </c>
      <c r="U49" s="7">
        <v>1.2113768899999999</v>
      </c>
      <c r="V49" s="7">
        <v>1.2193403300000001</v>
      </c>
      <c r="W49" s="7">
        <v>1.22765488</v>
      </c>
      <c r="X49" s="7">
        <v>1.2363925099999999</v>
      </c>
      <c r="Y49" s="7">
        <v>1.2456204900000001</v>
      </c>
      <c r="Z49" s="7">
        <v>1.25529369</v>
      </c>
      <c r="AA49" s="7">
        <v>1.2656834299999999</v>
      </c>
      <c r="AB49" s="7">
        <v>1.2765900400000001</v>
      </c>
      <c r="AC49" s="7">
        <v>1.2879977499999999</v>
      </c>
    </row>
    <row r="50" spans="1:29" x14ac:dyDescent="0.85">
      <c r="A50" t="s">
        <v>148</v>
      </c>
      <c r="B50" s="7">
        <v>11541.25</v>
      </c>
      <c r="C50" s="7">
        <v>12626.414866990001</v>
      </c>
      <c r="D50" s="7">
        <v>13751.299991100001</v>
      </c>
      <c r="E50" s="7">
        <v>14885.003662290001</v>
      </c>
      <c r="F50" s="7">
        <v>16028.29092309</v>
      </c>
      <c r="G50" s="7">
        <v>17182.624181880001</v>
      </c>
      <c r="H50" s="7">
        <v>18348.060353749999</v>
      </c>
      <c r="I50" s="7">
        <v>19525.388819979999</v>
      </c>
      <c r="J50" s="7">
        <v>20716.033514580002</v>
      </c>
      <c r="K50" s="7">
        <v>21920.173690330001</v>
      </c>
      <c r="L50" s="7">
        <v>23138.602965459999</v>
      </c>
      <c r="M50" s="7">
        <v>24332.677712860001</v>
      </c>
      <c r="N50" s="7">
        <v>25144.580703</v>
      </c>
      <c r="O50" s="7">
        <v>25999.921814500001</v>
      </c>
      <c r="P50" s="7">
        <v>26858.56360292</v>
      </c>
      <c r="Q50" s="7">
        <v>27742.195990939999</v>
      </c>
      <c r="R50" s="7">
        <v>28611.24477582</v>
      </c>
      <c r="S50" s="7">
        <v>29516.654546779999</v>
      </c>
      <c r="T50" s="7">
        <v>30416.970647229999</v>
      </c>
      <c r="U50" s="7">
        <v>31344.617161540002</v>
      </c>
      <c r="V50" s="7">
        <v>32279.432185950001</v>
      </c>
      <c r="W50" s="7">
        <v>33230.652298699999</v>
      </c>
      <c r="X50" s="7">
        <v>34209.910671029997</v>
      </c>
      <c r="Y50" s="7">
        <v>35204.137702400003</v>
      </c>
      <c r="Z50" s="7">
        <v>36260.308105329997</v>
      </c>
      <c r="AA50" s="7">
        <v>37335.174108879997</v>
      </c>
      <c r="AB50" s="7">
        <v>38422.045307339999</v>
      </c>
      <c r="AC50" s="7">
        <v>39526.882010779998</v>
      </c>
    </row>
    <row r="51" spans="1:29" x14ac:dyDescent="0.85">
      <c r="A51" t="s">
        <v>149</v>
      </c>
      <c r="B51" s="7">
        <v>44835783.357500002</v>
      </c>
      <c r="C51" s="7">
        <v>51951604.6623777</v>
      </c>
      <c r="D51" s="7">
        <v>58761958.263709597</v>
      </c>
      <c r="E51" s="7">
        <v>65947421.112656899</v>
      </c>
      <c r="F51" s="7">
        <v>73015015.027990401</v>
      </c>
      <c r="G51" s="7">
        <v>79513283.186389193</v>
      </c>
      <c r="H51" s="7">
        <v>85851136.598051801</v>
      </c>
      <c r="I51" s="7">
        <v>92265412.769257799</v>
      </c>
      <c r="J51" s="7">
        <v>98792999.4736927</v>
      </c>
      <c r="K51" s="7">
        <v>105399465.996382</v>
      </c>
      <c r="L51" s="7">
        <v>111977314.305342</v>
      </c>
      <c r="M51" s="7">
        <v>118530146.03864799</v>
      </c>
      <c r="N51" s="7">
        <v>123515248.959396</v>
      </c>
      <c r="O51" s="7">
        <v>128814207.97284999</v>
      </c>
      <c r="P51" s="7">
        <v>134157783.482832</v>
      </c>
      <c r="Q51" s="7">
        <v>139548415.42055601</v>
      </c>
      <c r="R51" s="7">
        <v>144988540.63432801</v>
      </c>
      <c r="S51" s="7">
        <v>150399312.38488099</v>
      </c>
      <c r="T51" s="7">
        <v>155947864.66228399</v>
      </c>
      <c r="U51" s="7">
        <v>161551099.09971899</v>
      </c>
      <c r="V51" s="7">
        <v>167213425.77990401</v>
      </c>
      <c r="W51" s="7">
        <v>172940190.950286</v>
      </c>
      <c r="X51" s="7">
        <v>178731310.25068</v>
      </c>
      <c r="Y51" s="7">
        <v>184589428.98820099</v>
      </c>
      <c r="Z51" s="7">
        <v>190517041.12467599</v>
      </c>
      <c r="AA51" s="7">
        <v>196516788.28290999</v>
      </c>
      <c r="AB51" s="7">
        <v>202591252.50153801</v>
      </c>
      <c r="AC51" s="7">
        <v>208743068.919698</v>
      </c>
    </row>
    <row r="52" spans="1:29" x14ac:dyDescent="0.85">
      <c r="A52" t="s">
        <v>150</v>
      </c>
      <c r="B52" s="7">
        <v>44835783.357500002</v>
      </c>
      <c r="C52" s="7">
        <v>51951604.6623777</v>
      </c>
      <c r="D52" s="7">
        <v>58761958.263709597</v>
      </c>
      <c r="E52" s="7">
        <v>65947421.112656899</v>
      </c>
      <c r="F52" s="7">
        <v>73015015.027990401</v>
      </c>
      <c r="G52" s="7">
        <v>79513283.186389193</v>
      </c>
      <c r="H52" s="7">
        <v>85851136.598051801</v>
      </c>
      <c r="I52" s="7">
        <v>92265412.769257799</v>
      </c>
      <c r="J52" s="7">
        <v>98792999.4736927</v>
      </c>
      <c r="K52" s="7">
        <v>105399465.996382</v>
      </c>
      <c r="L52" s="7">
        <v>111977314.305342</v>
      </c>
      <c r="M52" s="7">
        <v>118530146.03864799</v>
      </c>
      <c r="N52" s="7">
        <v>123515248.959396</v>
      </c>
      <c r="O52" s="7">
        <v>128814207.97284999</v>
      </c>
      <c r="P52" s="7">
        <v>134157783.482832</v>
      </c>
      <c r="Q52" s="7">
        <v>139548415.42055601</v>
      </c>
      <c r="R52" s="7">
        <v>144988540.63432801</v>
      </c>
      <c r="S52" s="7">
        <v>150399312.38488099</v>
      </c>
      <c r="T52" s="7">
        <v>155947864.66228399</v>
      </c>
      <c r="U52" s="7">
        <v>161551099.09971899</v>
      </c>
      <c r="V52" s="7">
        <v>167213425.77990401</v>
      </c>
      <c r="W52" s="7">
        <v>172940190.950286</v>
      </c>
      <c r="X52" s="7">
        <v>178731310.25068</v>
      </c>
      <c r="Y52" s="7">
        <v>184589428.98820099</v>
      </c>
      <c r="Z52" s="7">
        <v>190517041.12467599</v>
      </c>
      <c r="AA52" s="7">
        <v>196516788.28290999</v>
      </c>
      <c r="AB52" s="7">
        <v>202591252.50153801</v>
      </c>
      <c r="AC52" s="7">
        <v>208743068.919698</v>
      </c>
    </row>
    <row r="53" spans="1:29" x14ac:dyDescent="0.85">
      <c r="A53" t="s">
        <v>151</v>
      </c>
      <c r="B53" s="7">
        <v>3282.65238804</v>
      </c>
      <c r="C53" s="7">
        <v>3662.06689534</v>
      </c>
      <c r="D53" s="7">
        <v>4041.5604597900001</v>
      </c>
      <c r="E53" s="7">
        <v>4431.8790212800004</v>
      </c>
      <c r="F53" s="7">
        <v>4821.1389933199998</v>
      </c>
      <c r="G53" s="7">
        <v>5198.6021575699997</v>
      </c>
      <c r="H53" s="7">
        <v>5574.2567359499999</v>
      </c>
      <c r="I53" s="7">
        <v>5954.0312602800004</v>
      </c>
      <c r="J53" s="7">
        <v>6339.0958241899998</v>
      </c>
      <c r="K53" s="7">
        <v>6728.6443113900004</v>
      </c>
      <c r="L53" s="7">
        <v>7120.2042700299999</v>
      </c>
      <c r="M53" s="7">
        <v>7506.5352809200003</v>
      </c>
      <c r="N53" s="7">
        <v>7782.13943079</v>
      </c>
      <c r="O53" s="7">
        <v>8073.6391866800004</v>
      </c>
      <c r="P53" s="7">
        <v>8366.8535187699999</v>
      </c>
      <c r="Q53" s="7">
        <v>8665.9551943799997</v>
      </c>
      <c r="R53" s="7">
        <v>8963.4989009799992</v>
      </c>
      <c r="S53" s="7">
        <v>9267.22180682</v>
      </c>
      <c r="T53" s="7">
        <v>9573.3406041599992</v>
      </c>
      <c r="U53" s="7">
        <v>9885.9765305300007</v>
      </c>
      <c r="V53" s="7">
        <v>10201.41372936</v>
      </c>
      <c r="W53" s="7">
        <v>10521.53425508</v>
      </c>
      <c r="X53" s="7">
        <v>10848.542140330001</v>
      </c>
      <c r="Y53" s="7">
        <v>11180.023438030001</v>
      </c>
      <c r="Z53" s="7">
        <v>11524.947190180001</v>
      </c>
      <c r="AA53" s="7">
        <v>11875.1764327</v>
      </c>
      <c r="AB53" s="7">
        <v>12229.50541234</v>
      </c>
      <c r="AC53" s="7">
        <v>12589.128727630001</v>
      </c>
    </row>
    <row r="54" spans="1:29" x14ac:dyDescent="0.85">
      <c r="A54" t="s">
        <v>152</v>
      </c>
      <c r="B54" s="7">
        <v>0</v>
      </c>
      <c r="C54" s="7">
        <v>5091.2572569100003</v>
      </c>
      <c r="D54" s="7">
        <v>5758.6719098399999</v>
      </c>
      <c r="E54" s="7">
        <v>6462.8472690400004</v>
      </c>
      <c r="F54" s="7">
        <v>7155.4714727399996</v>
      </c>
      <c r="G54" s="7">
        <v>7792.3017522700002</v>
      </c>
      <c r="H54" s="7">
        <v>8413.4113866099997</v>
      </c>
      <c r="I54" s="7">
        <v>9042.0104513900005</v>
      </c>
      <c r="J54" s="7">
        <v>9681.7139484199997</v>
      </c>
      <c r="K54" s="7">
        <v>10329.147667650001</v>
      </c>
      <c r="L54" s="7">
        <v>10973.776801919999</v>
      </c>
      <c r="M54" s="7">
        <v>11615.954311789999</v>
      </c>
      <c r="N54" s="7">
        <v>12104.494398020001</v>
      </c>
      <c r="O54" s="7">
        <v>12623.792381339999</v>
      </c>
      <c r="P54" s="7">
        <v>13147.46278132</v>
      </c>
      <c r="Q54" s="7">
        <v>13675.74471121</v>
      </c>
      <c r="R54" s="7">
        <v>14208.87698216</v>
      </c>
      <c r="S54" s="7">
        <v>14739.132613719999</v>
      </c>
      <c r="T54" s="7">
        <v>15282.890736900001</v>
      </c>
      <c r="U54" s="7">
        <v>15832.00771177</v>
      </c>
      <c r="V54" s="7">
        <v>16386.915726430001</v>
      </c>
      <c r="W54" s="7">
        <v>16948.13871313</v>
      </c>
      <c r="X54" s="7">
        <v>17515.668404569999</v>
      </c>
      <c r="Y54" s="7">
        <v>18089.76404084</v>
      </c>
      <c r="Z54" s="7">
        <v>18670.670030220001</v>
      </c>
      <c r="AA54" s="7">
        <v>19258.645251729999</v>
      </c>
      <c r="AB54" s="7">
        <v>19853.942745150001</v>
      </c>
      <c r="AC54" s="7">
        <v>20456.82075413</v>
      </c>
    </row>
    <row r="55" spans="1:29" x14ac:dyDescent="0.85">
      <c r="A55" t="s">
        <v>153</v>
      </c>
      <c r="B55" s="7">
        <v>21.969533850000001</v>
      </c>
      <c r="C55" s="7">
        <v>25.45628628</v>
      </c>
      <c r="D55" s="7">
        <v>28.793359550000002</v>
      </c>
      <c r="E55" s="7">
        <v>32.314236350000002</v>
      </c>
      <c r="F55" s="7">
        <v>35.777357360000003</v>
      </c>
      <c r="G55" s="7">
        <v>38.961508760000001</v>
      </c>
      <c r="H55" s="7">
        <v>42.06705693</v>
      </c>
      <c r="I55" s="7">
        <v>45.210052259999998</v>
      </c>
      <c r="J55" s="7">
        <v>48.408569739999997</v>
      </c>
      <c r="K55" s="7">
        <v>51.645738340000001</v>
      </c>
      <c r="L55" s="7">
        <v>54.868884010000002</v>
      </c>
      <c r="M55" s="7">
        <v>58.079771559999998</v>
      </c>
      <c r="N55" s="7">
        <v>60.52247199</v>
      </c>
      <c r="O55" s="7">
        <v>63.118961910000003</v>
      </c>
      <c r="P55" s="7">
        <v>65.737313909999997</v>
      </c>
      <c r="Q55" s="7">
        <v>68.378723559999997</v>
      </c>
      <c r="R55" s="7">
        <v>71.044384910000005</v>
      </c>
      <c r="S55" s="7">
        <v>73.695663069999995</v>
      </c>
      <c r="T55" s="7">
        <v>76.414453679999994</v>
      </c>
      <c r="U55" s="7">
        <v>79.160038560000004</v>
      </c>
      <c r="V55" s="7">
        <v>81.934578630000004</v>
      </c>
      <c r="W55" s="7">
        <v>84.740693570000005</v>
      </c>
      <c r="X55" s="7">
        <v>87.578342019999994</v>
      </c>
      <c r="Y55" s="7">
        <v>90.4488202</v>
      </c>
      <c r="Z55" s="7">
        <v>93.353350149999997</v>
      </c>
      <c r="AA55" s="7">
        <v>96.293226259999997</v>
      </c>
      <c r="AB55" s="7">
        <v>99.269713730000007</v>
      </c>
      <c r="AC55" s="7">
        <v>102.28410377</v>
      </c>
    </row>
    <row r="56" spans="1:29" x14ac:dyDescent="0.85">
      <c r="A56" t="s">
        <v>154</v>
      </c>
      <c r="B56" s="7">
        <v>2188.6592741200002</v>
      </c>
      <c r="C56" s="7">
        <v>2394.4477415800002</v>
      </c>
      <c r="D56" s="7">
        <v>2607.7686781500001</v>
      </c>
      <c r="E56" s="7">
        <v>2822.7619461300001</v>
      </c>
      <c r="F56" s="7">
        <v>3039.5726266299998</v>
      </c>
      <c r="G56" s="7">
        <v>3258.47804782</v>
      </c>
      <c r="H56" s="7">
        <v>3479.4890029600001</v>
      </c>
      <c r="I56" s="7">
        <v>3702.7551887099999</v>
      </c>
      <c r="J56" s="7">
        <v>3928.54663704</v>
      </c>
      <c r="K56" s="7">
        <v>4156.8973410799999</v>
      </c>
      <c r="L56" s="7">
        <v>4387.9578009799998</v>
      </c>
      <c r="M56" s="7">
        <v>4614.3997175699997</v>
      </c>
      <c r="N56" s="7">
        <v>4768.3673561799997</v>
      </c>
      <c r="O56" s="7">
        <v>4930.5725121400001</v>
      </c>
      <c r="P56" s="7">
        <v>5093.4036017899998</v>
      </c>
      <c r="Q56" s="7">
        <v>5260.9738581199999</v>
      </c>
      <c r="R56" s="7">
        <v>5425.7785094999999</v>
      </c>
      <c r="S56" s="7">
        <v>5597.4785846300001</v>
      </c>
      <c r="T56" s="7">
        <v>5768.2127063999997</v>
      </c>
      <c r="U56" s="7">
        <v>5944.1297125000001</v>
      </c>
      <c r="V56" s="7">
        <v>6121.4061403300002</v>
      </c>
      <c r="W56" s="7">
        <v>6301.7935958999997</v>
      </c>
      <c r="X56" s="7">
        <v>6487.4981702200002</v>
      </c>
      <c r="Y56" s="7">
        <v>6676.0413707199996</v>
      </c>
      <c r="Z56" s="7">
        <v>6876.3313867400002</v>
      </c>
      <c r="AA56" s="7">
        <v>7080.1667986000002</v>
      </c>
      <c r="AB56" s="7">
        <v>7286.2788512999996</v>
      </c>
      <c r="AC56" s="7">
        <v>7495.7978459899996</v>
      </c>
    </row>
    <row r="57" spans="1:29" x14ac:dyDescent="0.85">
      <c r="A57" t="s">
        <v>155</v>
      </c>
      <c r="B57" s="7">
        <v>1093.99311392</v>
      </c>
      <c r="C57" s="7">
        <v>1267.61915376</v>
      </c>
      <c r="D57" s="7">
        <v>1433.7917816300001</v>
      </c>
      <c r="E57" s="7">
        <v>1609.1170751499999</v>
      </c>
      <c r="F57" s="7">
        <v>1781.5663666800001</v>
      </c>
      <c r="G57" s="7">
        <v>1940.1241097499999</v>
      </c>
      <c r="H57" s="7">
        <v>2094.7677329899998</v>
      </c>
      <c r="I57" s="7">
        <v>2251.2760715700001</v>
      </c>
      <c r="J57" s="7">
        <v>2410.5491871600002</v>
      </c>
      <c r="K57" s="7">
        <v>2571.7469703100001</v>
      </c>
      <c r="L57" s="7">
        <v>2732.2464690500001</v>
      </c>
      <c r="M57" s="7">
        <v>2892.1355633399999</v>
      </c>
      <c r="N57" s="7">
        <v>3013.7720746099999</v>
      </c>
      <c r="O57" s="7">
        <v>3143.0666745399999</v>
      </c>
      <c r="P57" s="7">
        <v>3273.4499169800001</v>
      </c>
      <c r="Q57" s="7">
        <v>3404.9813362599998</v>
      </c>
      <c r="R57" s="7">
        <v>3537.7203914800002</v>
      </c>
      <c r="S57" s="7">
        <v>3669.7432221899999</v>
      </c>
      <c r="T57" s="7">
        <v>3805.12789776</v>
      </c>
      <c r="U57" s="7">
        <v>3941.8468180300001</v>
      </c>
      <c r="V57" s="7">
        <v>4080.00758903</v>
      </c>
      <c r="W57" s="7">
        <v>4219.7406591899999</v>
      </c>
      <c r="X57" s="7">
        <v>4361.0439701200003</v>
      </c>
      <c r="Y57" s="7">
        <v>4503.9820673100003</v>
      </c>
      <c r="Z57" s="7">
        <v>4648.6158034399996</v>
      </c>
      <c r="AA57" s="7">
        <v>4795.0096340999999</v>
      </c>
      <c r="AB57" s="7">
        <v>4943.22656104</v>
      </c>
      <c r="AC57" s="7">
        <v>5093.3308816400004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1.13446129</v>
      </c>
      <c r="E58" s="7">
        <v>1.1275351899999999</v>
      </c>
      <c r="F58" s="7">
        <v>1.12166499</v>
      </c>
      <c r="G58" s="7">
        <v>1.11667592</v>
      </c>
      <c r="H58" s="7">
        <v>1.11230954</v>
      </c>
      <c r="I58" s="7">
        <v>1.10849664</v>
      </c>
      <c r="J58" s="7">
        <v>1.1051770400000001</v>
      </c>
      <c r="K58" s="7">
        <v>1.10220458</v>
      </c>
      <c r="L58" s="7">
        <v>1.0995575799999999</v>
      </c>
      <c r="M58" s="7">
        <v>1.0972050200000001</v>
      </c>
      <c r="N58" s="7">
        <v>1.09511688</v>
      </c>
      <c r="O58" s="7">
        <v>1.07642372</v>
      </c>
      <c r="P58" s="7">
        <v>1.0771009600000001</v>
      </c>
      <c r="Q58" s="7">
        <v>1.0760674800000001</v>
      </c>
      <c r="R58" s="7">
        <v>1.0759369400000001</v>
      </c>
      <c r="S58" s="7">
        <v>1.0742977899999999</v>
      </c>
      <c r="T58" s="7">
        <v>1.0746304600000001</v>
      </c>
      <c r="U58" s="7">
        <v>1.07343955</v>
      </c>
      <c r="V58" s="7">
        <v>1.0734350699999999</v>
      </c>
      <c r="W58" s="7">
        <v>1.0727331099999999</v>
      </c>
      <c r="X58" s="7">
        <v>1.0723628199999999</v>
      </c>
      <c r="Y58" s="7">
        <v>1.0723630500000001</v>
      </c>
      <c r="Z58" s="7">
        <v>1.0719401500000001</v>
      </c>
      <c r="AA58" s="7">
        <v>1.07291804</v>
      </c>
      <c r="AB58" s="7">
        <v>1.0725448399999999</v>
      </c>
      <c r="AC58" s="7">
        <v>1.0719908199999999</v>
      </c>
    </row>
    <row r="59" spans="1:29" x14ac:dyDescent="0.85">
      <c r="A59" t="s">
        <v>157</v>
      </c>
      <c r="B59" s="7">
        <v>1</v>
      </c>
      <c r="C59" s="7">
        <v>1.13960927</v>
      </c>
      <c r="D59" s="7">
        <v>1.1344685699999999</v>
      </c>
      <c r="E59" s="7">
        <v>1.12754519</v>
      </c>
      <c r="F59" s="7">
        <v>1.12167499</v>
      </c>
      <c r="G59" s="7">
        <v>1.1166859200000001</v>
      </c>
      <c r="H59" s="7">
        <v>1.1123192</v>
      </c>
      <c r="I59" s="7">
        <v>1.1085066400000001</v>
      </c>
      <c r="J59" s="7">
        <v>1.1051867799999999</v>
      </c>
      <c r="K59" s="7">
        <v>1.1022145800000001</v>
      </c>
      <c r="L59" s="7">
        <v>1.09956754</v>
      </c>
      <c r="M59" s="7">
        <v>1.0954222</v>
      </c>
      <c r="N59" s="7">
        <v>1.07642372</v>
      </c>
      <c r="O59" s="7">
        <v>1.0771009600000001</v>
      </c>
      <c r="P59" s="7">
        <v>1.0760674800000001</v>
      </c>
      <c r="Q59" s="7">
        <v>1.0759369400000001</v>
      </c>
      <c r="R59" s="7">
        <v>1.0742977899999999</v>
      </c>
      <c r="S59" s="7">
        <v>1.0746304600000001</v>
      </c>
      <c r="T59" s="7">
        <v>1.07343955</v>
      </c>
      <c r="U59" s="7">
        <v>1.0734350699999999</v>
      </c>
      <c r="V59" s="7">
        <v>1.0727331099999999</v>
      </c>
      <c r="W59" s="7">
        <v>1.0723628199999999</v>
      </c>
      <c r="X59" s="7">
        <v>1.0723630500000001</v>
      </c>
      <c r="Y59" s="7">
        <v>1.0719401500000001</v>
      </c>
      <c r="Z59" s="7">
        <v>1.07291804</v>
      </c>
      <c r="AA59" s="7">
        <v>1.0725448399999999</v>
      </c>
      <c r="AB59" s="7">
        <v>1.0719908199999999</v>
      </c>
      <c r="AC59" s="7">
        <v>1.07162008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1.13447129</v>
      </c>
      <c r="E60" s="7">
        <v>1.12754519</v>
      </c>
      <c r="F60" s="7">
        <v>1.12167499</v>
      </c>
      <c r="G60" s="7">
        <v>1.1166859200000001</v>
      </c>
      <c r="H60" s="7">
        <v>1.1123195400000001</v>
      </c>
      <c r="I60" s="7">
        <v>1.1085066400000001</v>
      </c>
      <c r="J60" s="7">
        <v>1.1051870399999999</v>
      </c>
      <c r="K60" s="7">
        <v>1.1022145800000001</v>
      </c>
      <c r="L60" s="7">
        <v>1.09956758</v>
      </c>
      <c r="M60" s="7">
        <v>1.0972150199999999</v>
      </c>
      <c r="N60" s="7">
        <v>1.09512688</v>
      </c>
      <c r="O60" s="7">
        <v>1.09368917</v>
      </c>
      <c r="P60" s="7">
        <v>1.0922524199999999</v>
      </c>
      <c r="Q60" s="7">
        <v>1.09092006</v>
      </c>
      <c r="R60" s="7">
        <v>1.08966618</v>
      </c>
      <c r="S60" s="7">
        <v>1.08851359</v>
      </c>
      <c r="T60" s="7">
        <v>1.08743659</v>
      </c>
      <c r="U60" s="7">
        <v>1.08642167</v>
      </c>
      <c r="V60" s="7">
        <v>1.0854627400000001</v>
      </c>
      <c r="W60" s="7">
        <v>1.08456657</v>
      </c>
      <c r="X60" s="7">
        <v>1.08372347</v>
      </c>
      <c r="Y60" s="7">
        <v>1.0829256599999999</v>
      </c>
      <c r="Z60" s="7">
        <v>1.0821759399999999</v>
      </c>
      <c r="AA60" s="7">
        <v>1.0814547000000001</v>
      </c>
      <c r="AB60" s="7">
        <v>1.08077668</v>
      </c>
      <c r="AC60" s="7">
        <v>1.080141</v>
      </c>
    </row>
    <row r="61" spans="1:29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</row>
    <row r="62" spans="1:29" x14ac:dyDescent="0.85">
      <c r="A62" t="s">
        <v>160</v>
      </c>
      <c r="B62" s="7">
        <v>23747776.297499999</v>
      </c>
      <c r="C62" s="7">
        <v>16211767.2906466</v>
      </c>
      <c r="D62" s="7">
        <v>14351752.087731401</v>
      </c>
      <c r="E62" s="7">
        <v>12129953.3992547</v>
      </c>
      <c r="F62" s="7">
        <v>9933341.2666631397</v>
      </c>
      <c r="G62" s="7">
        <v>8451263.9160656705</v>
      </c>
      <c r="H62" s="7">
        <v>7155317.7668350097</v>
      </c>
      <c r="I62" s="7">
        <v>5705342.2784360303</v>
      </c>
      <c r="J62" s="7">
        <v>4279121.8704861999</v>
      </c>
      <c r="K62" s="7">
        <v>2808491.6243560999</v>
      </c>
      <c r="L62" s="7">
        <v>1342339.12814545</v>
      </c>
      <c r="M62" s="7">
        <v>551.80222679999997</v>
      </c>
      <c r="N62" s="7">
        <v>0.26352043000000003</v>
      </c>
      <c r="O62" s="7">
        <v>1.3684E-4</v>
      </c>
      <c r="P62" s="7">
        <v>7.0000000000000005E-8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23747776.297499999</v>
      </c>
      <c r="C63" s="7">
        <v>16211767.2906466</v>
      </c>
      <c r="D63" s="7">
        <v>14351752.087731401</v>
      </c>
      <c r="E63" s="7">
        <v>12129953.3992547</v>
      </c>
      <c r="F63" s="7">
        <v>9933341.2666631397</v>
      </c>
      <c r="G63" s="7">
        <v>8451263.9160656705</v>
      </c>
      <c r="H63" s="7">
        <v>7155317.7668350097</v>
      </c>
      <c r="I63" s="7">
        <v>5705342.2784360303</v>
      </c>
      <c r="J63" s="7">
        <v>4279121.8704861999</v>
      </c>
      <c r="K63" s="7">
        <v>2808491.6243560999</v>
      </c>
      <c r="L63" s="7">
        <v>1342339.12814545</v>
      </c>
      <c r="M63" s="7">
        <v>551.80222679999997</v>
      </c>
      <c r="N63" s="7">
        <v>0.26352043000000003</v>
      </c>
      <c r="O63" s="7">
        <v>1.3684E-4</v>
      </c>
      <c r="P63" s="7">
        <v>7.0000000000000005E-8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4361.4976307200004</v>
      </c>
      <c r="C64" s="7">
        <v>4090.84310607</v>
      </c>
      <c r="D64" s="7">
        <v>3954.7061230600002</v>
      </c>
      <c r="E64" s="7">
        <v>3812.46771623</v>
      </c>
      <c r="F64" s="7">
        <v>3673.07852576</v>
      </c>
      <c r="G64" s="7">
        <v>3552.53000651</v>
      </c>
      <c r="H64" s="7">
        <v>3438.46576559</v>
      </c>
      <c r="I64" s="7">
        <v>3322.9130870200001</v>
      </c>
      <c r="J64" s="7">
        <v>3209.9583579599998</v>
      </c>
      <c r="K64" s="7">
        <v>3097.9635758099998</v>
      </c>
      <c r="L64" s="7">
        <v>2988.0169984200002</v>
      </c>
      <c r="M64" s="7">
        <v>2882.8610058899999</v>
      </c>
      <c r="N64" s="7">
        <v>2810.7769620700001</v>
      </c>
      <c r="O64" s="7">
        <v>2740.5075320400001</v>
      </c>
      <c r="P64" s="7">
        <v>2671.99484373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</row>
    <row r="65" spans="1:29" x14ac:dyDescent="0.85">
      <c r="A65" t="s">
        <v>163</v>
      </c>
      <c r="B65" s="7">
        <v>0</v>
      </c>
      <c r="C65" s="7">
        <v>2658.7298356699998</v>
      </c>
      <c r="D65" s="7">
        <v>2353.6873423900001</v>
      </c>
      <c r="E65" s="7">
        <v>1989.3123574799999</v>
      </c>
      <c r="F65" s="7">
        <v>1629.06796773</v>
      </c>
      <c r="G65" s="7">
        <v>1386.0072822300001</v>
      </c>
      <c r="H65" s="7">
        <v>1173.47211376</v>
      </c>
      <c r="I65" s="7">
        <v>935.67613366</v>
      </c>
      <c r="J65" s="7">
        <v>701.77598676000002</v>
      </c>
      <c r="K65" s="7">
        <v>460.59262639000002</v>
      </c>
      <c r="L65" s="7">
        <v>220.14361701999999</v>
      </c>
      <c r="M65" s="7">
        <v>9.0495569999999997E-2</v>
      </c>
      <c r="N65" s="7">
        <v>4.3220000000000003E-5</v>
      </c>
      <c r="O65" s="7">
        <v>2E-8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13.293649179999999</v>
      </c>
      <c r="D66" s="7">
        <v>11.76843671</v>
      </c>
      <c r="E66" s="7">
        <v>9.9465617900000005</v>
      </c>
      <c r="F66" s="7">
        <v>8.1453398400000001</v>
      </c>
      <c r="G66" s="7">
        <v>6.9300364099999996</v>
      </c>
      <c r="H66" s="7">
        <v>5.8673605699999998</v>
      </c>
      <c r="I66" s="7">
        <v>4.6783806700000001</v>
      </c>
      <c r="J66" s="7">
        <v>3.50887993</v>
      </c>
      <c r="K66" s="7">
        <v>2.3029631300000002</v>
      </c>
      <c r="L66" s="7">
        <v>1.10071809</v>
      </c>
      <c r="M66" s="7">
        <v>4.5248E-4</v>
      </c>
      <c r="N66" s="7">
        <v>2.2000000000000001E-7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</row>
    <row r="68" spans="1:29" x14ac:dyDescent="0.85">
      <c r="A68" t="s">
        <v>166</v>
      </c>
      <c r="B68" s="7">
        <v>552.84823220999999</v>
      </c>
      <c r="C68" s="7">
        <v>377.40994253000002</v>
      </c>
      <c r="D68" s="7">
        <v>334.10878860000003</v>
      </c>
      <c r="E68" s="7">
        <v>282.38531512999998</v>
      </c>
      <c r="F68" s="7">
        <v>231.24818468999999</v>
      </c>
      <c r="G68" s="7">
        <v>196.74542396999999</v>
      </c>
      <c r="H68" s="7">
        <v>166.57579761</v>
      </c>
      <c r="I68" s="7">
        <v>132.82036823999999</v>
      </c>
      <c r="J68" s="7">
        <v>99.617957140000001</v>
      </c>
      <c r="K68" s="7">
        <v>65.381685020000006</v>
      </c>
      <c r="L68" s="7">
        <v>31.249654899999999</v>
      </c>
      <c r="M68" s="7">
        <v>1.284596E-2</v>
      </c>
      <c r="N68" s="7">
        <v>6.1299999999999998E-6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0.70016887000000005</v>
      </c>
      <c r="E69" s="7">
        <v>0.90796675000000004</v>
      </c>
      <c r="F69" s="7">
        <v>0.86686125999999997</v>
      </c>
      <c r="G69" s="7">
        <v>0.83990779000000004</v>
      </c>
      <c r="H69" s="7">
        <v>0.87261303000000001</v>
      </c>
      <c r="I69" s="7">
        <v>0.86836566999999998</v>
      </c>
      <c r="J69" s="7">
        <v>0.81780198999999998</v>
      </c>
      <c r="K69" s="7">
        <v>0.76925147000000005</v>
      </c>
      <c r="L69" s="7">
        <v>0.67315312000000005</v>
      </c>
      <c r="M69" s="7">
        <v>0.49021263999999998</v>
      </c>
      <c r="N69" s="7">
        <v>4.2161999999999999E-4</v>
      </c>
      <c r="O69" s="7">
        <v>4.8981000000000003E-4</v>
      </c>
      <c r="P69" s="7">
        <v>5.3257999999999995E-4</v>
      </c>
      <c r="Q69" s="7">
        <v>5.3983000000000004E-4</v>
      </c>
      <c r="R69" s="7">
        <v>5.3112000000000005E-4</v>
      </c>
      <c r="S69" s="7">
        <v>5.0777000000000005E-4</v>
      </c>
      <c r="T69" s="7">
        <v>5.4673999999999999E-4</v>
      </c>
      <c r="U69" s="7">
        <v>5.4442E-4</v>
      </c>
      <c r="V69" s="7">
        <v>5.3646E-4</v>
      </c>
      <c r="W69" s="7">
        <v>2.1927000000000001E-4</v>
      </c>
      <c r="X69" s="7">
        <v>1.8881E-4</v>
      </c>
      <c r="Y69" s="7">
        <v>2.0068000000000001E-4</v>
      </c>
      <c r="Z69" s="7">
        <v>2.1153E-4</v>
      </c>
      <c r="AA69" s="7">
        <v>2.1985E-4</v>
      </c>
      <c r="AB69" s="7">
        <v>2.9345E-4</v>
      </c>
      <c r="AC69" s="7">
        <v>0</v>
      </c>
    </row>
    <row r="70" spans="1:29" x14ac:dyDescent="0.85">
      <c r="A70" t="s">
        <v>168</v>
      </c>
      <c r="B70" s="7">
        <v>1</v>
      </c>
      <c r="C70" s="7">
        <v>0.70016887000000005</v>
      </c>
      <c r="D70" s="7">
        <v>0.90796675000000004</v>
      </c>
      <c r="E70" s="7">
        <v>0.86686125999999997</v>
      </c>
      <c r="F70" s="7">
        <v>0.83990779000000004</v>
      </c>
      <c r="G70" s="7">
        <v>0.87261303000000001</v>
      </c>
      <c r="H70" s="7">
        <v>0.86836566999999998</v>
      </c>
      <c r="I70" s="7">
        <v>0.81780198999999998</v>
      </c>
      <c r="J70" s="7">
        <v>0.76925147000000005</v>
      </c>
      <c r="K70" s="7">
        <v>0.67315312000000005</v>
      </c>
      <c r="L70" s="7">
        <v>0.49021263999999998</v>
      </c>
      <c r="M70" s="7">
        <v>4.2161999999999999E-4</v>
      </c>
      <c r="N70" s="7">
        <v>4.8981000000000003E-4</v>
      </c>
      <c r="O70" s="7">
        <v>5.3257999999999995E-4</v>
      </c>
      <c r="P70" s="7">
        <v>5.3983000000000004E-4</v>
      </c>
      <c r="Q70" s="7">
        <v>5.3112000000000005E-4</v>
      </c>
      <c r="R70" s="7">
        <v>5.0777000000000005E-4</v>
      </c>
      <c r="S70" s="7">
        <v>5.4673999999999999E-4</v>
      </c>
      <c r="T70" s="7">
        <v>5.4442E-4</v>
      </c>
      <c r="U70" s="7">
        <v>5.3646E-4</v>
      </c>
      <c r="V70" s="7">
        <v>2.1927000000000001E-4</v>
      </c>
      <c r="W70" s="7">
        <v>1.8881E-4</v>
      </c>
      <c r="X70" s="7">
        <v>2.0068000000000001E-4</v>
      </c>
      <c r="Y70" s="7">
        <v>2.1153E-4</v>
      </c>
      <c r="Z70" s="7">
        <v>2.1985E-4</v>
      </c>
      <c r="AA70" s="7">
        <v>2.9345E-4</v>
      </c>
      <c r="AB70" s="7">
        <v>0</v>
      </c>
      <c r="AC70" s="7">
        <v>3.1782000000000002E-4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1.5789941599999999</v>
      </c>
      <c r="E71" s="7">
        <v>1.60662525</v>
      </c>
      <c r="F71" s="7">
        <v>1.6357217399999999</v>
      </c>
      <c r="G71" s="7">
        <v>1.6666469699999999</v>
      </c>
      <c r="H71" s="7">
        <v>1.6988835600000001</v>
      </c>
      <c r="I71" s="7">
        <v>1.7328096099999999</v>
      </c>
      <c r="J71" s="7">
        <v>1.76881782</v>
      </c>
      <c r="K71" s="7">
        <v>1.8064186099999999</v>
      </c>
      <c r="L71" s="7">
        <v>1.84598818</v>
      </c>
      <c r="M71" s="7">
        <v>1.8878167100000001</v>
      </c>
      <c r="N71" s="7">
        <v>1.93068821</v>
      </c>
      <c r="O71" s="7">
        <v>1.9667338700000001</v>
      </c>
      <c r="P71" s="7">
        <v>2.0044635999999998</v>
      </c>
      <c r="Q71" s="7">
        <v>2.0438173700000002</v>
      </c>
      <c r="R71" s="7">
        <v>2.0854395700000001</v>
      </c>
      <c r="S71" s="7">
        <v>2.1283447899999999</v>
      </c>
      <c r="T71" s="7">
        <v>2.1743021599999999</v>
      </c>
      <c r="U71" s="7">
        <v>2.2216497099999999</v>
      </c>
      <c r="V71" s="7">
        <v>2.2717128400000002</v>
      </c>
      <c r="W71" s="7">
        <v>2.3239968200000001</v>
      </c>
      <c r="X71" s="7">
        <v>2.3788659600000002</v>
      </c>
      <c r="Y71" s="7">
        <v>2.4368159199999999</v>
      </c>
      <c r="Z71" s="7">
        <v>2.4975601799999998</v>
      </c>
      <c r="AA71" s="7">
        <v>2.5628050400000002</v>
      </c>
      <c r="AB71" s="7">
        <v>2.6312946799999999</v>
      </c>
      <c r="AC71" s="7">
        <v>2.7029310999999998</v>
      </c>
    </row>
    <row r="72" spans="1:29" x14ac:dyDescent="0.85">
      <c r="A72" t="s">
        <v>170</v>
      </c>
      <c r="B72" s="7">
        <v>0</v>
      </c>
      <c r="C72" s="7">
        <v>153.27752723</v>
      </c>
      <c r="D72" s="7">
        <v>208.23213695000001</v>
      </c>
      <c r="E72" s="7">
        <v>290.18965741</v>
      </c>
      <c r="F72" s="7">
        <v>378.26398230000001</v>
      </c>
      <c r="G72" s="7">
        <v>365.91479085999998</v>
      </c>
      <c r="H72" s="7">
        <v>329.32475642999998</v>
      </c>
      <c r="I72" s="7">
        <v>296.62937961</v>
      </c>
      <c r="J72" s="7">
        <v>266.96839779999999</v>
      </c>
      <c r="K72" s="7">
        <v>246.98099314999999</v>
      </c>
      <c r="L72" s="7">
        <v>222.28304552</v>
      </c>
      <c r="M72" s="7">
        <v>200.20851422000001</v>
      </c>
      <c r="N72" s="7">
        <v>184.15037261000001</v>
      </c>
      <c r="O72" s="7">
        <v>168.97049390000001</v>
      </c>
      <c r="P72" s="7">
        <v>160.77606975</v>
      </c>
      <c r="Q72" s="7">
        <v>144.88082391</v>
      </c>
      <c r="R72" s="7">
        <v>147.34618613999999</v>
      </c>
      <c r="S72" s="7">
        <v>132.62860986000001</v>
      </c>
      <c r="T72" s="7">
        <v>128.02491757999999</v>
      </c>
      <c r="U72" s="7">
        <v>117.00834618</v>
      </c>
      <c r="V72" s="7">
        <v>105.46814232</v>
      </c>
      <c r="W72" s="7">
        <v>94.924537180000002</v>
      </c>
      <c r="X72" s="7">
        <v>85.439656439999993</v>
      </c>
      <c r="Y72" s="7">
        <v>77.495987170000006</v>
      </c>
      <c r="Z72" s="7">
        <v>71.711903840000005</v>
      </c>
      <c r="AA72" s="7">
        <v>64.654245000000003</v>
      </c>
      <c r="AB72" s="7">
        <v>59.1492352</v>
      </c>
      <c r="AC72" s="7">
        <v>53.702345479999998</v>
      </c>
    </row>
    <row r="73" spans="1:29" x14ac:dyDescent="0.85">
      <c r="A73" t="s">
        <v>171</v>
      </c>
      <c r="B73" s="7">
        <v>0</v>
      </c>
      <c r="C73" s="7">
        <v>38.318490949999997</v>
      </c>
      <c r="D73" s="7">
        <v>17.571479409999998</v>
      </c>
      <c r="E73" s="7">
        <v>25.69518553</v>
      </c>
      <c r="F73" s="7">
        <v>29.27332268</v>
      </c>
      <c r="G73" s="7">
        <v>6.36930117</v>
      </c>
      <c r="H73" s="7">
        <v>0</v>
      </c>
      <c r="I73" s="7">
        <v>5.9633730000000003E-2</v>
      </c>
      <c r="J73" s="7">
        <v>4.9147999999999998E-4</v>
      </c>
      <c r="K73" s="7">
        <v>1.6539426399999999</v>
      </c>
      <c r="L73" s="7">
        <v>2.3453789999999999E-2</v>
      </c>
      <c r="M73" s="7">
        <v>1.1950479999999999E-2</v>
      </c>
      <c r="N73" s="7">
        <v>1.0171705</v>
      </c>
      <c r="O73" s="7">
        <v>0.76630120000000002</v>
      </c>
      <c r="P73" s="7">
        <v>2.21814504</v>
      </c>
      <c r="Q73" s="7">
        <v>4.5590029999999997E-2</v>
      </c>
      <c r="R73" s="7">
        <v>4.23836105</v>
      </c>
      <c r="S73" s="7">
        <v>4.2607900000000004E-3</v>
      </c>
      <c r="T73" s="7">
        <v>2.1647922099999999</v>
      </c>
      <c r="U73" s="7">
        <v>0.44648023999999997</v>
      </c>
      <c r="V73" s="7">
        <v>4.015751E-2</v>
      </c>
      <c r="W73" s="7">
        <v>8.0243000000000003E-4</v>
      </c>
      <c r="X73" s="7">
        <v>1.89321E-3</v>
      </c>
      <c r="Y73" s="7">
        <v>0.15007400000000001</v>
      </c>
      <c r="Z73" s="7">
        <v>0.4913788</v>
      </c>
      <c r="AA73" s="7">
        <v>0</v>
      </c>
      <c r="AB73" s="7">
        <v>0.26848558</v>
      </c>
      <c r="AC73" s="7">
        <v>0.11618603</v>
      </c>
    </row>
    <row r="74" spans="1:29" x14ac:dyDescent="0.85">
      <c r="A74" t="s">
        <v>172</v>
      </c>
      <c r="B74" s="7">
        <v>0</v>
      </c>
      <c r="C74" s="7">
        <v>38.318490949999997</v>
      </c>
      <c r="D74" s="7">
        <v>17.571479409999998</v>
      </c>
      <c r="E74" s="7">
        <v>25.69518553</v>
      </c>
      <c r="F74" s="7">
        <v>29.27332268</v>
      </c>
      <c r="G74" s="7">
        <v>6.36930117</v>
      </c>
      <c r="H74" s="7">
        <v>0</v>
      </c>
      <c r="I74" s="7">
        <v>5.9633730000000003E-2</v>
      </c>
      <c r="J74" s="7">
        <v>4.9147999999999998E-4</v>
      </c>
      <c r="K74" s="7">
        <v>1.6539426399999999</v>
      </c>
      <c r="L74" s="7">
        <v>2.3453789999999999E-2</v>
      </c>
      <c r="M74" s="7">
        <v>1.1950479999999999E-2</v>
      </c>
      <c r="N74" s="7">
        <v>1.0171705</v>
      </c>
      <c r="O74" s="7">
        <v>0.76630120000000002</v>
      </c>
      <c r="P74" s="7">
        <v>2.21814504</v>
      </c>
      <c r="Q74" s="7">
        <v>4.5590029999999997E-2</v>
      </c>
      <c r="R74" s="7">
        <v>4.23836105</v>
      </c>
      <c r="S74" s="7">
        <v>4.2607900000000004E-3</v>
      </c>
      <c r="T74" s="7">
        <v>2.1647922099999999</v>
      </c>
      <c r="U74" s="7">
        <v>0.44648023999999997</v>
      </c>
      <c r="V74" s="7">
        <v>4.015751E-2</v>
      </c>
      <c r="W74" s="7">
        <v>8.0243000000000003E-4</v>
      </c>
      <c r="X74" s="7">
        <v>1.89321E-3</v>
      </c>
      <c r="Y74" s="7">
        <v>0.15007400000000001</v>
      </c>
      <c r="Z74" s="7">
        <v>0.4913788</v>
      </c>
      <c r="AA74" s="7">
        <v>0</v>
      </c>
      <c r="AB74" s="7">
        <v>0.26848558</v>
      </c>
      <c r="AC74" s="7">
        <v>0.11618603</v>
      </c>
    </row>
    <row r="75" spans="1:29" x14ac:dyDescent="0.85">
      <c r="A75" t="s">
        <v>173</v>
      </c>
      <c r="B75" s="7">
        <v>0</v>
      </c>
      <c r="C75" s="7">
        <v>40.705898509999997</v>
      </c>
      <c r="D75" s="7">
        <v>55.299714190000003</v>
      </c>
      <c r="E75" s="7">
        <v>77.064994940000005</v>
      </c>
      <c r="F75" s="7">
        <v>100.45463121</v>
      </c>
      <c r="G75" s="7">
        <v>97.174784720000005</v>
      </c>
      <c r="H75" s="7">
        <v>87.457610970000005</v>
      </c>
      <c r="I75" s="7">
        <v>78.774816189999996</v>
      </c>
      <c r="J75" s="7">
        <v>70.897853330000004</v>
      </c>
      <c r="K75" s="7">
        <v>65.589891719999997</v>
      </c>
      <c r="L75" s="7">
        <v>59.030922660000002</v>
      </c>
      <c r="M75" s="7">
        <v>53.168667290000002</v>
      </c>
      <c r="N75" s="7">
        <v>48.904177249999996</v>
      </c>
      <c r="O75" s="7">
        <v>44.872907079999997</v>
      </c>
      <c r="P75" s="7">
        <v>42.696762829999997</v>
      </c>
      <c r="Q75" s="7">
        <v>38.475488689999999</v>
      </c>
      <c r="R75" s="7">
        <v>39.13026395</v>
      </c>
      <c r="S75" s="7">
        <v>35.221710960000003</v>
      </c>
      <c r="T75" s="7">
        <v>33.999154429999997</v>
      </c>
      <c r="U75" s="7">
        <v>31.073498870000002</v>
      </c>
      <c r="V75" s="7">
        <v>28.00880214</v>
      </c>
      <c r="W75" s="7">
        <v>25.208773669999999</v>
      </c>
      <c r="X75" s="7">
        <v>22.689907439999999</v>
      </c>
      <c r="Y75" s="7">
        <v>20.580337329999999</v>
      </c>
      <c r="Z75" s="7">
        <v>19.04428347</v>
      </c>
      <c r="AA75" s="7">
        <v>17.16999921</v>
      </c>
      <c r="AB75" s="7">
        <v>15.708056920000001</v>
      </c>
      <c r="AC75" s="7">
        <v>14.26154358</v>
      </c>
    </row>
    <row r="76" spans="1:29" x14ac:dyDescent="0.85">
      <c r="A76" t="s">
        <v>174</v>
      </c>
      <c r="B76" s="7">
        <v>0</v>
      </c>
      <c r="C76" s="7">
        <v>8.5258999999999997E-4</v>
      </c>
      <c r="D76" s="7">
        <v>3.9096999999999998E-4</v>
      </c>
      <c r="E76" s="7">
        <v>5.7171999999999995E-4</v>
      </c>
      <c r="F76" s="7">
        <v>6.5132999999999999E-4</v>
      </c>
      <c r="G76" s="7">
        <v>1.4171999999999999E-4</v>
      </c>
      <c r="H76" s="7">
        <v>0</v>
      </c>
      <c r="I76" s="7">
        <v>1.33E-6</v>
      </c>
      <c r="J76" s="7">
        <v>1E-8</v>
      </c>
      <c r="K76" s="7">
        <v>3.68E-5</v>
      </c>
      <c r="L76" s="7">
        <v>5.2E-7</v>
      </c>
      <c r="M76" s="7">
        <v>2.7000000000000001E-7</v>
      </c>
      <c r="N76" s="7">
        <v>2.2629999999999998E-5</v>
      </c>
      <c r="O76" s="7">
        <v>1.7050000000000001E-5</v>
      </c>
      <c r="P76" s="7">
        <v>4.935E-5</v>
      </c>
      <c r="Q76" s="7">
        <v>1.0100000000000001E-6</v>
      </c>
      <c r="R76" s="7">
        <v>9.4300000000000002E-5</v>
      </c>
      <c r="S76" s="7">
        <v>8.9999999999999999E-8</v>
      </c>
      <c r="T76" s="7">
        <v>4.8170000000000001E-5</v>
      </c>
      <c r="U76" s="7">
        <v>9.9299999999999998E-6</v>
      </c>
      <c r="V76" s="7">
        <v>8.8999999999999995E-7</v>
      </c>
      <c r="W76" s="7">
        <v>2E-8</v>
      </c>
      <c r="X76" s="7">
        <v>4.0000000000000001E-8</v>
      </c>
      <c r="Y76" s="7">
        <v>3.3400000000000002E-6</v>
      </c>
      <c r="Z76" s="7">
        <v>1.093E-5</v>
      </c>
      <c r="AA76" s="7">
        <v>0</v>
      </c>
      <c r="AB76" s="7">
        <v>5.9699999999999996E-6</v>
      </c>
      <c r="AC76" s="7">
        <v>2.5900000000000002E-6</v>
      </c>
    </row>
    <row r="77" spans="1:29" x14ac:dyDescent="0.85">
      <c r="A77" t="s">
        <v>175</v>
      </c>
      <c r="B77" s="7">
        <v>0</v>
      </c>
      <c r="C77" s="7">
        <v>4.2599999999999999E-6</v>
      </c>
      <c r="D77" s="7">
        <v>1.95E-6</v>
      </c>
      <c r="E77" s="7">
        <v>2.8600000000000001E-6</v>
      </c>
      <c r="F77" s="7">
        <v>3.2600000000000001E-6</v>
      </c>
      <c r="G77" s="7">
        <v>7.0999999999999998E-7</v>
      </c>
      <c r="H77" s="7">
        <v>0</v>
      </c>
      <c r="I77" s="7">
        <v>1E-8</v>
      </c>
      <c r="J77" s="7">
        <v>0</v>
      </c>
      <c r="K77" s="7">
        <v>1.8E-7</v>
      </c>
      <c r="L77" s="7">
        <v>0</v>
      </c>
      <c r="M77" s="7">
        <v>0</v>
      </c>
      <c r="N77" s="7">
        <v>1.1000000000000001E-7</v>
      </c>
      <c r="O77" s="7">
        <v>8.9999999999999999E-8</v>
      </c>
      <c r="P77" s="7">
        <v>2.4999999999999999E-7</v>
      </c>
      <c r="Q77" s="7">
        <v>1E-8</v>
      </c>
      <c r="R77" s="7">
        <v>4.7E-7</v>
      </c>
      <c r="S77" s="7">
        <v>0</v>
      </c>
      <c r="T77" s="7">
        <v>2.3999999999999998E-7</v>
      </c>
      <c r="U77" s="7">
        <v>4.9999999999999998E-8</v>
      </c>
      <c r="V77" s="7">
        <v>0</v>
      </c>
      <c r="W77" s="7">
        <v>0</v>
      </c>
      <c r="X77" s="7">
        <v>0</v>
      </c>
      <c r="Y77" s="7">
        <v>2E-8</v>
      </c>
      <c r="Z77" s="7">
        <v>4.9999999999999998E-8</v>
      </c>
      <c r="AA77" s="7">
        <v>0</v>
      </c>
      <c r="AB77" s="7">
        <v>2.9999999999999997E-8</v>
      </c>
      <c r="AC77" s="7">
        <v>1E-8</v>
      </c>
    </row>
    <row r="78" spans="1:29" x14ac:dyDescent="0.85">
      <c r="A78" t="s">
        <v>176</v>
      </c>
      <c r="B78" s="7">
        <v>0</v>
      </c>
      <c r="C78" s="7">
        <v>40.705370870000003</v>
      </c>
      <c r="D78" s="7">
        <v>55.299472229999999</v>
      </c>
      <c r="E78" s="7">
        <v>77.064641120000005</v>
      </c>
      <c r="F78" s="7">
        <v>100.45422812</v>
      </c>
      <c r="G78" s="7">
        <v>97.174697019999996</v>
      </c>
      <c r="H78" s="7">
        <v>87.457610970000005</v>
      </c>
      <c r="I78" s="7">
        <v>78.774815369999999</v>
      </c>
      <c r="J78" s="7">
        <v>70.897853319999996</v>
      </c>
      <c r="K78" s="7">
        <v>65.589868949999996</v>
      </c>
      <c r="L78" s="7">
        <v>59.030922339999996</v>
      </c>
      <c r="M78" s="7">
        <v>53.168667120000002</v>
      </c>
      <c r="N78" s="7">
        <v>48.904163240000003</v>
      </c>
      <c r="O78" s="7">
        <v>44.872896529999998</v>
      </c>
      <c r="P78" s="7">
        <v>42.69673229</v>
      </c>
      <c r="Q78" s="7">
        <v>38.475488060000004</v>
      </c>
      <c r="R78" s="7">
        <v>39.130205590000003</v>
      </c>
      <c r="S78" s="7">
        <v>35.221710899999998</v>
      </c>
      <c r="T78" s="7">
        <v>33.999124629999997</v>
      </c>
      <c r="U78" s="7">
        <v>31.073492720000001</v>
      </c>
      <c r="V78" s="7">
        <v>28.008801590000001</v>
      </c>
      <c r="W78" s="7">
        <v>25.208773659999999</v>
      </c>
      <c r="X78" s="7">
        <v>22.689907420000001</v>
      </c>
      <c r="Y78" s="7">
        <v>20.580335259999998</v>
      </c>
      <c r="Z78" s="7">
        <v>19.044276709999998</v>
      </c>
      <c r="AA78" s="7">
        <v>17.16999921</v>
      </c>
      <c r="AB78" s="7">
        <v>15.70805322</v>
      </c>
      <c r="AC78" s="7">
        <v>14.261541980000001</v>
      </c>
    </row>
    <row r="79" spans="1:29" x14ac:dyDescent="0.85">
      <c r="A79" t="s">
        <v>177</v>
      </c>
      <c r="B79" s="7">
        <v>0</v>
      </c>
      <c r="C79" s="7">
        <v>5.2764999999999995E-4</v>
      </c>
      <c r="D79" s="7">
        <v>2.4195999999999999E-4</v>
      </c>
      <c r="E79" s="7">
        <v>3.5382000000000002E-4</v>
      </c>
      <c r="F79" s="7">
        <v>4.0308999999999999E-4</v>
      </c>
      <c r="G79" s="7">
        <v>8.7709999999999999E-5</v>
      </c>
      <c r="H79" s="7">
        <v>0</v>
      </c>
      <c r="I79" s="7">
        <v>8.1999999999999998E-7</v>
      </c>
      <c r="J79" s="7">
        <v>1E-8</v>
      </c>
      <c r="K79" s="7">
        <v>2.2770000000000001E-5</v>
      </c>
      <c r="L79" s="7">
        <v>3.2000000000000001E-7</v>
      </c>
      <c r="M79" s="7">
        <v>1.6E-7</v>
      </c>
      <c r="N79" s="7">
        <v>1.401E-5</v>
      </c>
      <c r="O79" s="7">
        <v>1.0550000000000001E-5</v>
      </c>
      <c r="P79" s="7">
        <v>3.0540000000000002E-5</v>
      </c>
      <c r="Q79" s="7">
        <v>6.3E-7</v>
      </c>
      <c r="R79" s="7">
        <v>5.8359999999999997E-5</v>
      </c>
      <c r="S79" s="7">
        <v>5.9999999999999995E-8</v>
      </c>
      <c r="T79" s="7">
        <v>2.9810000000000001E-5</v>
      </c>
      <c r="U79" s="7">
        <v>6.1500000000000004E-6</v>
      </c>
      <c r="V79" s="7">
        <v>5.5000000000000003E-7</v>
      </c>
      <c r="W79" s="7">
        <v>1E-8</v>
      </c>
      <c r="X79" s="7">
        <v>2.9999999999999997E-8</v>
      </c>
      <c r="Y79" s="7">
        <v>2.0700000000000001E-6</v>
      </c>
      <c r="Z79" s="7">
        <v>6.7700000000000004E-6</v>
      </c>
      <c r="AA79" s="7">
        <v>0</v>
      </c>
      <c r="AB79" s="7">
        <v>3.7000000000000002E-6</v>
      </c>
      <c r="AC79" s="7">
        <v>1.5999999999999999E-6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1.3215271200000001</v>
      </c>
      <c r="E80" s="7">
        <v>1.14016984</v>
      </c>
      <c r="F80" s="7">
        <v>1.2001023500000001</v>
      </c>
      <c r="G80" s="7">
        <v>1.2223364000000001</v>
      </c>
      <c r="H80" s="7">
        <v>1.04714923</v>
      </c>
      <c r="I80" s="7">
        <v>1.0000026099999999</v>
      </c>
      <c r="J80" s="7">
        <v>1.00041979</v>
      </c>
      <c r="K80" s="7">
        <v>1.00000339</v>
      </c>
      <c r="L80" s="7">
        <v>1.0113571699999999</v>
      </c>
      <c r="M80" s="7">
        <v>1.00000025</v>
      </c>
      <c r="N80" s="7">
        <v>1.00024863</v>
      </c>
      <c r="O80" s="7">
        <v>1.0062679800000001</v>
      </c>
      <c r="P80" s="7">
        <v>1.00505182</v>
      </c>
      <c r="Q80" s="7">
        <v>1.0134120499999999</v>
      </c>
      <c r="R80" s="7">
        <v>1.0002772900000001</v>
      </c>
      <c r="S80" s="7">
        <v>1.0254225100000001</v>
      </c>
      <c r="T80" s="7">
        <v>1.0000252000000001</v>
      </c>
      <c r="U80" s="7">
        <v>1.0126167699999999</v>
      </c>
      <c r="V80" s="7">
        <v>1.00256452</v>
      </c>
      <c r="W80" s="7">
        <v>1.00022721</v>
      </c>
      <c r="X80" s="7">
        <v>1.0000044699999999</v>
      </c>
      <c r="Y80" s="7">
        <v>1.0000103899999999</v>
      </c>
      <c r="Z80" s="7">
        <v>1.0008103699999999</v>
      </c>
      <c r="AA80" s="7">
        <v>1.00261037</v>
      </c>
      <c r="AB80" s="7">
        <v>1.00014815</v>
      </c>
      <c r="AC80" s="7">
        <v>1.00123111</v>
      </c>
    </row>
    <row r="81" spans="1:29" x14ac:dyDescent="0.85">
      <c r="A81" t="s">
        <v>179</v>
      </c>
      <c r="B81" s="7">
        <v>1</v>
      </c>
      <c r="C81" s="7">
        <v>1.3215271200000001</v>
      </c>
      <c r="D81" s="7">
        <v>1.14016984</v>
      </c>
      <c r="E81" s="7">
        <v>1.2001023500000001</v>
      </c>
      <c r="F81" s="7">
        <v>1.2223364000000001</v>
      </c>
      <c r="G81" s="7">
        <v>1.04714923</v>
      </c>
      <c r="H81" s="7">
        <v>1.0000026099999999</v>
      </c>
      <c r="I81" s="7">
        <v>1.00041979</v>
      </c>
      <c r="J81" s="7">
        <v>1.00000339</v>
      </c>
      <c r="K81" s="7">
        <v>1.0113571699999999</v>
      </c>
      <c r="L81" s="7">
        <v>1.00000025</v>
      </c>
      <c r="M81" s="7">
        <v>1.00024863</v>
      </c>
      <c r="N81" s="7">
        <v>1.0062679800000001</v>
      </c>
      <c r="O81" s="7">
        <v>1.00505182</v>
      </c>
      <c r="P81" s="7">
        <v>1.0134120499999999</v>
      </c>
      <c r="Q81" s="7">
        <v>1.0002772900000001</v>
      </c>
      <c r="R81" s="7">
        <v>1.0254225100000001</v>
      </c>
      <c r="S81" s="7">
        <v>1.0000252000000001</v>
      </c>
      <c r="T81" s="7">
        <v>1.0126167699999999</v>
      </c>
      <c r="U81" s="7">
        <v>1.00256452</v>
      </c>
      <c r="V81" s="7">
        <v>1.00022721</v>
      </c>
      <c r="W81" s="7">
        <v>1.0000044699999999</v>
      </c>
      <c r="X81" s="7">
        <v>1.0000103899999999</v>
      </c>
      <c r="Y81" s="7">
        <v>1.0008103699999999</v>
      </c>
      <c r="Z81" s="7">
        <v>1.00261037</v>
      </c>
      <c r="AA81" s="7">
        <v>1.00014815</v>
      </c>
      <c r="AB81" s="7">
        <v>1.00123111</v>
      </c>
      <c r="AC81" s="7">
        <v>1.00058929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F462-2B8C-4011-A8B6-B3D58D136DA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121234.73805786</v>
      </c>
      <c r="D5" s="7">
        <v>132122.71321017999</v>
      </c>
      <c r="E5" s="7">
        <v>137045.29487092001</v>
      </c>
      <c r="F5" s="7">
        <v>140983.96874149999</v>
      </c>
      <c r="G5" s="7">
        <v>143900.62919233</v>
      </c>
      <c r="H5" s="7">
        <v>148022.48201454</v>
      </c>
      <c r="I5" s="7">
        <v>150867.47073718</v>
      </c>
      <c r="J5" s="7">
        <v>153380.30575271</v>
      </c>
      <c r="K5" s="7">
        <v>152146.84406502999</v>
      </c>
      <c r="L5" s="7">
        <v>153445.57140486001</v>
      </c>
      <c r="M5" s="7">
        <v>155667.95800446</v>
      </c>
      <c r="N5" s="7">
        <v>159353.00103029999</v>
      </c>
      <c r="O5" s="7">
        <v>163459.75222913999</v>
      </c>
      <c r="P5" s="7">
        <v>167712.09551489999</v>
      </c>
      <c r="Q5" s="7">
        <v>172012.35599343001</v>
      </c>
      <c r="R5" s="7">
        <v>176879.68492624999</v>
      </c>
      <c r="S5" s="7">
        <v>181578.93706303</v>
      </c>
      <c r="T5" s="7">
        <v>186452.65083504</v>
      </c>
      <c r="U5" s="7">
        <v>191397.92996814</v>
      </c>
      <c r="V5" s="7">
        <v>196449.47379327999</v>
      </c>
      <c r="W5" s="7">
        <v>201608.97588931001</v>
      </c>
      <c r="X5" s="7">
        <v>205921.78809438</v>
      </c>
      <c r="Y5" s="7">
        <v>209070.82234981999</v>
      </c>
      <c r="Z5" s="7">
        <v>214019.26155711999</v>
      </c>
      <c r="AA5" s="7">
        <v>218911.88292375</v>
      </c>
      <c r="AB5" s="7">
        <v>224234.80989651999</v>
      </c>
      <c r="AC5" s="7">
        <v>229429.19380422001</v>
      </c>
    </row>
    <row r="6" spans="1:29" x14ac:dyDescent="0.85">
      <c r="A6" t="s">
        <v>106</v>
      </c>
      <c r="B6" s="7">
        <v>409950380.25</v>
      </c>
      <c r="C6" s="7">
        <v>418183882.41500002</v>
      </c>
      <c r="D6" s="7">
        <v>426609432.68437999</v>
      </c>
      <c r="E6" s="7">
        <v>435956841.91993099</v>
      </c>
      <c r="F6" s="7">
        <v>447684137.30832201</v>
      </c>
      <c r="G6" s="7">
        <v>462149232.281627</v>
      </c>
      <c r="H6" s="7">
        <v>479614032.19158697</v>
      </c>
      <c r="I6" s="7">
        <v>499073112.031892</v>
      </c>
      <c r="J6" s="7">
        <v>516502793.45272398</v>
      </c>
      <c r="K6" s="7">
        <v>516861740.791991</v>
      </c>
      <c r="L6" s="7">
        <v>521090923.51123202</v>
      </c>
      <c r="M6" s="7">
        <v>529242066.87573302</v>
      </c>
      <c r="N6" s="7">
        <v>539852112.75605094</v>
      </c>
      <c r="O6" s="7">
        <v>550807139.91222501</v>
      </c>
      <c r="P6" s="7">
        <v>562051065.727319</v>
      </c>
      <c r="Q6" s="7">
        <v>573563725.26004601</v>
      </c>
      <c r="R6" s="7">
        <v>585499612.26974106</v>
      </c>
      <c r="S6" s="7">
        <v>597668065.16960597</v>
      </c>
      <c r="T6" s="7">
        <v>610167841.09484506</v>
      </c>
      <c r="U6" s="7">
        <v>622971518.25297201</v>
      </c>
      <c r="V6" s="7">
        <v>636090614.73047996</v>
      </c>
      <c r="W6" s="7">
        <v>649530417.38246906</v>
      </c>
      <c r="X6" s="7">
        <v>661725734.26272595</v>
      </c>
      <c r="Y6" s="7">
        <v>672072862.74553502</v>
      </c>
      <c r="Z6" s="7">
        <v>685583634.59601295</v>
      </c>
      <c r="AA6" s="7">
        <v>699147542.15152395</v>
      </c>
      <c r="AB6" s="7">
        <v>713547628.72492695</v>
      </c>
      <c r="AC6" s="7">
        <v>727888120.33426595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39173.916180710003</v>
      </c>
      <c r="D8" s="7">
        <v>44250.328765350001</v>
      </c>
      <c r="E8" s="7">
        <v>48317.937152099999</v>
      </c>
      <c r="F8" s="7">
        <v>52318.386945060003</v>
      </c>
      <c r="G8" s="7">
        <v>56100.197722090001</v>
      </c>
      <c r="H8" s="7">
        <v>60033.375177779999</v>
      </c>
      <c r="I8" s="7">
        <v>63722.605427720002</v>
      </c>
      <c r="J8" s="7">
        <v>66793.885264619996</v>
      </c>
      <c r="K8" s="7">
        <v>66176.230457330006</v>
      </c>
      <c r="L8" s="7">
        <v>65482.423015300003</v>
      </c>
      <c r="M8" s="7">
        <v>65189.66419114</v>
      </c>
      <c r="N8" s="7">
        <v>65363.363861569997</v>
      </c>
      <c r="O8" s="7">
        <v>65654.82449965</v>
      </c>
      <c r="P8" s="7">
        <v>66006.347197139999</v>
      </c>
      <c r="Q8" s="7">
        <v>66396.8360159</v>
      </c>
      <c r="R8" s="7">
        <v>66935.055737169998</v>
      </c>
      <c r="S8" s="7">
        <v>67465.627799680005</v>
      </c>
      <c r="T8" s="7">
        <v>68060.033153779994</v>
      </c>
      <c r="U8" s="7">
        <v>68695.336102129993</v>
      </c>
      <c r="V8" s="7">
        <v>69377.912932410007</v>
      </c>
      <c r="W8" s="7">
        <v>70107.309985839995</v>
      </c>
      <c r="X8" s="7">
        <v>70620.103658690001</v>
      </c>
      <c r="Y8" s="7">
        <v>70742.816835320002</v>
      </c>
      <c r="Z8" s="7">
        <v>71440.637522410005</v>
      </c>
      <c r="AA8" s="7">
        <v>72130.524013410002</v>
      </c>
      <c r="AB8" s="7">
        <v>72963.750597759994</v>
      </c>
      <c r="AC8" s="7">
        <v>73764.859731830002</v>
      </c>
    </row>
    <row r="9" spans="1:29" x14ac:dyDescent="0.85">
      <c r="A9" t="s">
        <v>109</v>
      </c>
      <c r="B9" s="7">
        <v>6426.6911513599998</v>
      </c>
      <c r="C9" s="7">
        <v>6078.2122123899999</v>
      </c>
      <c r="D9" s="7">
        <v>5679.0569431699996</v>
      </c>
      <c r="E9" s="7">
        <v>5236.3253563099997</v>
      </c>
      <c r="F9" s="7">
        <v>4874.4749332900001</v>
      </c>
      <c r="G9" s="7">
        <v>4622.1761233899997</v>
      </c>
      <c r="H9" s="7">
        <v>4407.4712764899996</v>
      </c>
      <c r="I9" s="7">
        <v>4302.3242303200004</v>
      </c>
      <c r="J9" s="7">
        <v>4272.3620733999996</v>
      </c>
      <c r="K9" s="7">
        <v>4557.0639035100003</v>
      </c>
      <c r="L9" s="7">
        <v>4793.3546379600002</v>
      </c>
      <c r="M9" s="7">
        <v>4963.0887451899998</v>
      </c>
      <c r="N9" s="7">
        <v>5055.7956371</v>
      </c>
      <c r="O9" s="7">
        <v>5140.0407054799998</v>
      </c>
      <c r="P9" s="7">
        <v>5225.5694351100001</v>
      </c>
      <c r="Q9" s="7">
        <v>5315.41438922</v>
      </c>
      <c r="R9" s="7">
        <v>5384.8220325299999</v>
      </c>
      <c r="S9" s="7">
        <v>5466.0968018599997</v>
      </c>
      <c r="T9" s="7">
        <v>5544.2732415600003</v>
      </c>
      <c r="U9" s="7">
        <v>5624.0085047000002</v>
      </c>
      <c r="V9" s="7">
        <v>5703.9494026299999</v>
      </c>
      <c r="W9" s="7">
        <v>5784.1835875400002</v>
      </c>
      <c r="X9" s="7">
        <v>5919.8882236500003</v>
      </c>
      <c r="Y9" s="7">
        <v>6138.1187639700001</v>
      </c>
      <c r="Z9" s="7">
        <v>6254.3931581799998</v>
      </c>
      <c r="AA9" s="7">
        <v>6381.6321661299999</v>
      </c>
      <c r="AB9" s="7">
        <v>6489.2586756399996</v>
      </c>
      <c r="AC9" s="7">
        <v>6612.8576653500004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24375.119639879998</v>
      </c>
      <c r="D11" s="7">
        <v>19307.476976540001</v>
      </c>
      <c r="E11" s="7">
        <v>16477.805505479999</v>
      </c>
      <c r="F11" s="7">
        <v>13924.133290629999</v>
      </c>
      <c r="G11" s="7">
        <v>11831.944057119999</v>
      </c>
      <c r="H11" s="7">
        <v>9909.5332506399991</v>
      </c>
      <c r="I11" s="7">
        <v>8431.0639150700008</v>
      </c>
      <c r="J11" s="7">
        <v>7680.3884783000003</v>
      </c>
      <c r="K11" s="7">
        <v>9058.5515091100006</v>
      </c>
      <c r="L11" s="7">
        <v>10227.01921427</v>
      </c>
      <c r="M11" s="7">
        <v>11141.769122019999</v>
      </c>
      <c r="N11" s="7">
        <v>11745.93600437</v>
      </c>
      <c r="O11" s="7">
        <v>12311.11223536</v>
      </c>
      <c r="P11" s="7">
        <v>12876.11568583</v>
      </c>
      <c r="Q11" s="7">
        <v>13453.118090579999</v>
      </c>
      <c r="R11" s="7">
        <v>13944.00425011</v>
      </c>
      <c r="S11" s="7">
        <v>14477.128093920001</v>
      </c>
      <c r="T11" s="7">
        <v>14993.221945110001</v>
      </c>
      <c r="U11" s="7">
        <v>15510.898072829999</v>
      </c>
      <c r="V11" s="7">
        <v>16024.910419739999</v>
      </c>
      <c r="W11" s="7">
        <v>16535.731073080002</v>
      </c>
      <c r="X11" s="7">
        <v>17248.92004225</v>
      </c>
      <c r="Y11" s="7">
        <v>18298.32460272</v>
      </c>
      <c r="Z11" s="7">
        <v>18939.866321639998</v>
      </c>
      <c r="AA11" s="7">
        <v>19620.942777889999</v>
      </c>
      <c r="AB11" s="7">
        <v>20220.50222074</v>
      </c>
      <c r="AC11" s="7">
        <v>20879.658751030001</v>
      </c>
    </row>
    <row r="12" spans="1:29" x14ac:dyDescent="0.85">
      <c r="A12" t="s">
        <v>111</v>
      </c>
      <c r="B12" s="7">
        <v>40854.446978669999</v>
      </c>
      <c r="C12" s="7">
        <v>45252.1283931</v>
      </c>
      <c r="D12" s="7">
        <v>49929.38570852</v>
      </c>
      <c r="E12" s="7">
        <v>53554.26250841</v>
      </c>
      <c r="F12" s="7">
        <v>57192.861878349999</v>
      </c>
      <c r="G12" s="7">
        <v>60722.373845479997</v>
      </c>
      <c r="H12" s="7">
        <v>64440.846454279999</v>
      </c>
      <c r="I12" s="7">
        <v>68024.929658039997</v>
      </c>
      <c r="J12" s="7">
        <v>71066.247338019995</v>
      </c>
      <c r="K12" s="7">
        <v>70733.294360839995</v>
      </c>
      <c r="L12" s="7">
        <v>70275.777653269994</v>
      </c>
      <c r="M12" s="7">
        <v>70152.752936329998</v>
      </c>
      <c r="N12" s="7">
        <v>70419.159498669993</v>
      </c>
      <c r="O12" s="7">
        <v>70794.865205130001</v>
      </c>
      <c r="P12" s="7">
        <v>71231.916632239998</v>
      </c>
      <c r="Q12" s="7">
        <v>71712.250405119994</v>
      </c>
      <c r="R12" s="7">
        <v>72319.877769700004</v>
      </c>
      <c r="S12" s="7">
        <v>72931.724601540001</v>
      </c>
      <c r="T12" s="7">
        <v>73604.306395349995</v>
      </c>
      <c r="U12" s="7">
        <v>74319.344606839994</v>
      </c>
      <c r="V12" s="7">
        <v>75081.862335049998</v>
      </c>
      <c r="W12" s="7">
        <v>75891.493573379994</v>
      </c>
      <c r="X12" s="7">
        <v>76539.991882339993</v>
      </c>
      <c r="Y12" s="7">
        <v>76880.935599289995</v>
      </c>
      <c r="Z12" s="7">
        <v>77695.030680590004</v>
      </c>
      <c r="AA12" s="7">
        <v>78512.156179540005</v>
      </c>
      <c r="AB12" s="7">
        <v>79453.009273410004</v>
      </c>
      <c r="AC12" s="7">
        <v>80377.717397179993</v>
      </c>
    </row>
    <row r="13" spans="1:29" x14ac:dyDescent="0.85">
      <c r="A13" t="s">
        <v>112</v>
      </c>
      <c r="B13" s="7">
        <v>40854.446978669999</v>
      </c>
      <c r="C13" s="7">
        <v>69627.248032980002</v>
      </c>
      <c r="D13" s="7">
        <v>69236.862685059998</v>
      </c>
      <c r="E13" s="7">
        <v>70032.068013879994</v>
      </c>
      <c r="F13" s="7">
        <v>71116.995168979993</v>
      </c>
      <c r="G13" s="7">
        <v>72554.317902590003</v>
      </c>
      <c r="H13" s="7">
        <v>74350.379704909996</v>
      </c>
      <c r="I13" s="7">
        <v>76455.993573109998</v>
      </c>
      <c r="J13" s="7">
        <v>78746.635816320006</v>
      </c>
      <c r="K13" s="7">
        <v>79791.845869950004</v>
      </c>
      <c r="L13" s="7">
        <v>80502.796867540004</v>
      </c>
      <c r="M13" s="7">
        <v>81294.522058350005</v>
      </c>
      <c r="N13" s="7">
        <v>82165.095503039993</v>
      </c>
      <c r="O13" s="7">
        <v>83105.977440489994</v>
      </c>
      <c r="P13" s="7">
        <v>84108.032318070007</v>
      </c>
      <c r="Q13" s="7">
        <v>85165.368495699993</v>
      </c>
      <c r="R13" s="7">
        <v>86263.88201981</v>
      </c>
      <c r="S13" s="7">
        <v>87408.852695459995</v>
      </c>
      <c r="T13" s="7">
        <v>88597.528340460005</v>
      </c>
      <c r="U13" s="7">
        <v>89830.242679670002</v>
      </c>
      <c r="V13" s="7">
        <v>91106.772754780002</v>
      </c>
      <c r="W13" s="7">
        <v>92427.224646460003</v>
      </c>
      <c r="X13" s="7">
        <v>93788.911924589993</v>
      </c>
      <c r="Y13" s="7">
        <v>95179.260202010002</v>
      </c>
      <c r="Z13" s="7">
        <v>96634.897002240003</v>
      </c>
      <c r="AA13" s="7">
        <v>98133.098957430004</v>
      </c>
      <c r="AB13" s="7">
        <v>99673.511494150007</v>
      </c>
      <c r="AC13" s="7">
        <v>101257.37614820999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15444.93805244</v>
      </c>
      <c r="D17" s="7">
        <v>17305.914616950002</v>
      </c>
      <c r="E17" s="7">
        <v>19046.87484842</v>
      </c>
      <c r="F17" s="7">
        <v>19487.38614685</v>
      </c>
      <c r="G17" s="7">
        <v>18837.811035430001</v>
      </c>
      <c r="H17" s="7">
        <v>19336.554035180001</v>
      </c>
      <c r="I17" s="7">
        <v>18692.002234</v>
      </c>
      <c r="J17" s="7">
        <v>19043.891553919999</v>
      </c>
      <c r="K17" s="7">
        <v>18434.875692590002</v>
      </c>
      <c r="L17" s="7">
        <v>18708.469869749999</v>
      </c>
      <c r="M17" s="7">
        <v>18084.85420745</v>
      </c>
      <c r="N17" s="7">
        <v>17823.905656610001</v>
      </c>
      <c r="O17" s="7">
        <v>17909.210353030001</v>
      </c>
      <c r="P17" s="7">
        <v>17998.818107620002</v>
      </c>
      <c r="Q17" s="7">
        <v>17987.744777790002</v>
      </c>
      <c r="R17" s="7">
        <v>18689.45022563</v>
      </c>
      <c r="S17" s="7">
        <v>19030.696408889999</v>
      </c>
      <c r="T17" s="7">
        <v>19500.278874539999</v>
      </c>
      <c r="U17" s="7">
        <v>19946.78868062</v>
      </c>
      <c r="V17" s="7">
        <v>20418.71805195</v>
      </c>
      <c r="W17" s="7">
        <v>20914.804268690001</v>
      </c>
      <c r="X17" s="7">
        <v>21290.199478620001</v>
      </c>
      <c r="Y17" s="7">
        <v>21476.73032699</v>
      </c>
      <c r="Z17" s="7">
        <v>21844.526346620001</v>
      </c>
      <c r="AA17" s="7">
        <v>22214.109431500001</v>
      </c>
      <c r="AB17" s="7">
        <v>22666.447408079999</v>
      </c>
      <c r="AC17" s="7">
        <v>23104.632510160001</v>
      </c>
    </row>
    <row r="18" spans="1:29" x14ac:dyDescent="0.85">
      <c r="A18" t="s">
        <v>116</v>
      </c>
      <c r="B18" s="7">
        <v>19768701.75</v>
      </c>
      <c r="C18" s="7">
        <v>22219628.6076671</v>
      </c>
      <c r="D18" s="7">
        <v>24891342.453009199</v>
      </c>
      <c r="E18" s="7">
        <v>27255180.334934499</v>
      </c>
      <c r="F18" s="7">
        <v>27380640.608400699</v>
      </c>
      <c r="G18" s="7">
        <v>25625526.2812314</v>
      </c>
      <c r="H18" s="7">
        <v>25116197.107098799</v>
      </c>
      <c r="I18" s="7">
        <v>22955812.342042301</v>
      </c>
      <c r="J18" s="7">
        <v>22483033.2185633</v>
      </c>
      <c r="K18" s="7">
        <v>22851264.008150101</v>
      </c>
      <c r="L18" s="7">
        <v>23940297.7702724</v>
      </c>
      <c r="M18" s="7">
        <v>23460819.250982299</v>
      </c>
      <c r="N18" s="7">
        <v>23199254.240013201</v>
      </c>
      <c r="O18" s="7">
        <v>23370247.717054401</v>
      </c>
      <c r="P18" s="7">
        <v>23534250.158842999</v>
      </c>
      <c r="Q18" s="7">
        <v>23556522.944439299</v>
      </c>
      <c r="R18" s="7">
        <v>24499429.173202701</v>
      </c>
      <c r="S18" s="7">
        <v>24964731.5878479</v>
      </c>
      <c r="T18" s="7">
        <v>25590150.864615101</v>
      </c>
      <c r="U18" s="7">
        <v>26179089.106106199</v>
      </c>
      <c r="V18" s="7">
        <v>26795396.2337084</v>
      </c>
      <c r="W18" s="7">
        <v>27437753.6675031</v>
      </c>
      <c r="X18" s="7">
        <v>28032808.628656801</v>
      </c>
      <c r="Y18" s="7">
        <v>28536776.559606198</v>
      </c>
      <c r="Z18" s="7">
        <v>29055577.6653766</v>
      </c>
      <c r="AA18" s="7">
        <v>29591736.663627502</v>
      </c>
      <c r="AB18" s="7">
        <v>30195447.9810008</v>
      </c>
      <c r="AC18" s="7">
        <v>30804802.972748902</v>
      </c>
    </row>
    <row r="19" spans="1:29" x14ac:dyDescent="0.85">
      <c r="A19" t="s">
        <v>117</v>
      </c>
      <c r="B19" s="7">
        <v>19768701.75</v>
      </c>
      <c r="C19" s="7">
        <v>22220098.530375998</v>
      </c>
      <c r="D19" s="7">
        <v>24897421.1901136</v>
      </c>
      <c r="E19" s="7">
        <v>27402080.499820199</v>
      </c>
      <c r="F19" s="7">
        <v>28035828.878846701</v>
      </c>
      <c r="G19" s="7">
        <v>27101307.618237201</v>
      </c>
      <c r="H19" s="7">
        <v>27818831.933205601</v>
      </c>
      <c r="I19" s="7">
        <v>26891537.444501199</v>
      </c>
      <c r="J19" s="7">
        <v>27397788.444497999</v>
      </c>
      <c r="K19" s="7">
        <v>26521618.378057402</v>
      </c>
      <c r="L19" s="7">
        <v>26915228.862769999</v>
      </c>
      <c r="M19" s="7">
        <v>26018054.567377798</v>
      </c>
      <c r="N19" s="7">
        <v>25642636.908100698</v>
      </c>
      <c r="O19" s="7">
        <v>25765361.825913001</v>
      </c>
      <c r="P19" s="7">
        <v>25894277.4047646</v>
      </c>
      <c r="Q19" s="7">
        <v>25878346.587938</v>
      </c>
      <c r="R19" s="7">
        <v>26887865.958275799</v>
      </c>
      <c r="S19" s="7">
        <v>27378805.045492802</v>
      </c>
      <c r="T19" s="7">
        <v>28054377.1056774</v>
      </c>
      <c r="U19" s="7">
        <v>28696755.328145299</v>
      </c>
      <c r="V19" s="7">
        <v>29375703.800407901</v>
      </c>
      <c r="W19" s="7">
        <v>30089405.891081501</v>
      </c>
      <c r="X19" s="7">
        <v>30629474.002448</v>
      </c>
      <c r="Y19" s="7">
        <v>30897829.485755101</v>
      </c>
      <c r="Z19" s="7">
        <v>31426964.9047493</v>
      </c>
      <c r="AA19" s="7">
        <v>31958671.312737301</v>
      </c>
      <c r="AB19" s="7">
        <v>32609434.322622702</v>
      </c>
      <c r="AC19" s="7">
        <v>33239836.081231002</v>
      </c>
    </row>
    <row r="20" spans="1:29" x14ac:dyDescent="0.85">
      <c r="A20" t="s">
        <v>118</v>
      </c>
      <c r="B20" s="7">
        <v>2805.33305268</v>
      </c>
      <c r="C20" s="7">
        <v>3153.20538644</v>
      </c>
      <c r="D20" s="7">
        <v>3533.1383656100002</v>
      </c>
      <c r="E20" s="7">
        <v>3888.56906794</v>
      </c>
      <c r="F20" s="7">
        <v>3978.50290868</v>
      </c>
      <c r="G20" s="7">
        <v>3845.88704882</v>
      </c>
      <c r="H20" s="7">
        <v>3947.7093486499998</v>
      </c>
      <c r="I20" s="7">
        <v>3816.1190370300001</v>
      </c>
      <c r="J20" s="7">
        <v>3887.9600049400001</v>
      </c>
      <c r="K20" s="7">
        <v>3763.6246344900001</v>
      </c>
      <c r="L20" s="7">
        <v>3819.4810341799998</v>
      </c>
      <c r="M20" s="7">
        <v>3692.1649997200002</v>
      </c>
      <c r="N20" s="7">
        <v>3638.8903039400002</v>
      </c>
      <c r="O20" s="7">
        <v>3656.3059275700002</v>
      </c>
      <c r="P20" s="7">
        <v>3674.6000543300001</v>
      </c>
      <c r="Q20" s="7">
        <v>3672.33934709</v>
      </c>
      <c r="R20" s="7">
        <v>3815.5980244799998</v>
      </c>
      <c r="S20" s="7">
        <v>3885.2661124699998</v>
      </c>
      <c r="T20" s="7">
        <v>3981.1350602799998</v>
      </c>
      <c r="U20" s="7">
        <v>4072.29354345</v>
      </c>
      <c r="V20" s="7">
        <v>4168.6416304900004</v>
      </c>
      <c r="W20" s="7">
        <v>4269.92152721</v>
      </c>
      <c r="X20" s="7">
        <v>4346.5614071399996</v>
      </c>
      <c r="Y20" s="7">
        <v>4384.6431445899998</v>
      </c>
      <c r="Z20" s="7">
        <v>4459.7315901600005</v>
      </c>
      <c r="AA20" s="7">
        <v>4535.1848791299999</v>
      </c>
      <c r="AB20" s="7">
        <v>4627.5332290799997</v>
      </c>
      <c r="AC20" s="7">
        <v>4716.9921585599996</v>
      </c>
    </row>
    <row r="21" spans="1:29" x14ac:dyDescent="0.85">
      <c r="A21" t="s">
        <v>119</v>
      </c>
      <c r="B21" s="7">
        <v>0</v>
      </c>
      <c r="C21" s="7">
        <v>22.220098530000001</v>
      </c>
      <c r="D21" s="7">
        <v>24.897421189999999</v>
      </c>
      <c r="E21" s="7">
        <v>27.4020805</v>
      </c>
      <c r="F21" s="7">
        <v>28.03582888</v>
      </c>
      <c r="G21" s="7">
        <v>27.10130762</v>
      </c>
      <c r="H21" s="7">
        <v>27.818831930000002</v>
      </c>
      <c r="I21" s="7">
        <v>26.89153744</v>
      </c>
      <c r="J21" s="7">
        <v>27.397788439999999</v>
      </c>
      <c r="K21" s="7">
        <v>26.52161838</v>
      </c>
      <c r="L21" s="7">
        <v>26.915228859999999</v>
      </c>
      <c r="M21" s="7">
        <v>26.01805457</v>
      </c>
      <c r="N21" s="7">
        <v>25.64263691</v>
      </c>
      <c r="O21" s="7">
        <v>25.76536183</v>
      </c>
      <c r="P21" s="7">
        <v>25.8942774</v>
      </c>
      <c r="Q21" s="7">
        <v>25.87834659</v>
      </c>
      <c r="R21" s="7">
        <v>26.887865959999999</v>
      </c>
      <c r="S21" s="7">
        <v>27.37880505</v>
      </c>
      <c r="T21" s="7">
        <v>28.054377110000001</v>
      </c>
      <c r="U21" s="7">
        <v>28.696755329999998</v>
      </c>
      <c r="V21" s="7">
        <v>29.3757038</v>
      </c>
      <c r="W21" s="7">
        <v>30.089405889999998</v>
      </c>
      <c r="X21" s="7">
        <v>30.629473999999998</v>
      </c>
      <c r="Y21" s="7">
        <v>30.897829489999999</v>
      </c>
      <c r="Z21" s="7">
        <v>31.426964900000002</v>
      </c>
      <c r="AA21" s="7">
        <v>31.95867131</v>
      </c>
      <c r="AB21" s="7">
        <v>32.609434319999998</v>
      </c>
      <c r="AC21" s="7">
        <v>33.239836080000003</v>
      </c>
    </row>
    <row r="22" spans="1:29" x14ac:dyDescent="0.85">
      <c r="A22" t="s">
        <v>120</v>
      </c>
      <c r="B22" s="7">
        <v>9.8843509999999996E-2</v>
      </c>
      <c r="C22" s="7">
        <v>0.11110049</v>
      </c>
      <c r="D22" s="7">
        <v>0.12448711</v>
      </c>
      <c r="E22" s="7">
        <v>0.1370104</v>
      </c>
      <c r="F22" s="7">
        <v>0.14017914000000001</v>
      </c>
      <c r="G22" s="7">
        <v>0.13550654000000001</v>
      </c>
      <c r="H22" s="7">
        <v>0.13909415999999999</v>
      </c>
      <c r="I22" s="7">
        <v>0.13445768999999999</v>
      </c>
      <c r="J22" s="7">
        <v>0.13698894</v>
      </c>
      <c r="K22" s="7">
        <v>0.13260809000000001</v>
      </c>
      <c r="L22" s="7">
        <v>0.13457614000000001</v>
      </c>
      <c r="M22" s="7">
        <v>0.13009027000000001</v>
      </c>
      <c r="N22" s="7">
        <v>0.12821318000000001</v>
      </c>
      <c r="O22" s="7">
        <v>0.12882681000000001</v>
      </c>
      <c r="P22" s="7">
        <v>0.12947138999999999</v>
      </c>
      <c r="Q22" s="7">
        <v>0.12939173000000001</v>
      </c>
      <c r="R22" s="7">
        <v>0.13443933</v>
      </c>
      <c r="S22" s="7">
        <v>0.13689403</v>
      </c>
      <c r="T22" s="7">
        <v>0.14027189000000001</v>
      </c>
      <c r="U22" s="7">
        <v>0.14348378000000001</v>
      </c>
      <c r="V22" s="7">
        <v>0.14687852000000001</v>
      </c>
      <c r="W22" s="7">
        <v>0.15044703000000001</v>
      </c>
      <c r="X22" s="7">
        <v>0.15314737</v>
      </c>
      <c r="Y22" s="7">
        <v>0.15448914999999999</v>
      </c>
      <c r="Z22" s="7">
        <v>0.15713482000000001</v>
      </c>
      <c r="AA22" s="7">
        <v>0.15979336</v>
      </c>
      <c r="AB22" s="7">
        <v>0.16304716999999999</v>
      </c>
      <c r="AC22" s="7">
        <v>0.16619918</v>
      </c>
    </row>
    <row r="23" spans="1:29" x14ac:dyDescent="0.85">
      <c r="A23" t="s">
        <v>121</v>
      </c>
      <c r="B23" s="7">
        <v>2805.33305268</v>
      </c>
      <c r="C23" s="7">
        <v>3153.20538644</v>
      </c>
      <c r="D23" s="7">
        <v>3533.1383656100002</v>
      </c>
      <c r="E23" s="7">
        <v>3888.56906794</v>
      </c>
      <c r="F23" s="7">
        <v>3978.50290868</v>
      </c>
      <c r="G23" s="7">
        <v>3845.88704882</v>
      </c>
      <c r="H23" s="7">
        <v>3947.7093486499998</v>
      </c>
      <c r="I23" s="7">
        <v>3816.1190370300001</v>
      </c>
      <c r="J23" s="7">
        <v>3887.9600049400001</v>
      </c>
      <c r="K23" s="7">
        <v>3763.6246344900001</v>
      </c>
      <c r="L23" s="7">
        <v>3819.4810341799998</v>
      </c>
      <c r="M23" s="7">
        <v>3692.1649997200002</v>
      </c>
      <c r="N23" s="7">
        <v>3638.8903039400002</v>
      </c>
      <c r="O23" s="7">
        <v>3656.3059275700002</v>
      </c>
      <c r="P23" s="7">
        <v>3674.6000543300001</v>
      </c>
      <c r="Q23" s="7">
        <v>3672.33934709</v>
      </c>
      <c r="R23" s="7">
        <v>3815.5980244799998</v>
      </c>
      <c r="S23" s="7">
        <v>3885.2661124699998</v>
      </c>
      <c r="T23" s="7">
        <v>3981.1350602799998</v>
      </c>
      <c r="U23" s="7">
        <v>4072.29354345</v>
      </c>
      <c r="V23" s="7">
        <v>4168.6416304900004</v>
      </c>
      <c r="W23" s="7">
        <v>4269.92152721</v>
      </c>
      <c r="X23" s="7">
        <v>4346.5614071399996</v>
      </c>
      <c r="Y23" s="7">
        <v>4384.6431445899998</v>
      </c>
      <c r="Z23" s="7">
        <v>4459.7315901600005</v>
      </c>
      <c r="AA23" s="7">
        <v>4535.1848791299999</v>
      </c>
      <c r="AB23" s="7">
        <v>4627.5332290799997</v>
      </c>
      <c r="AC23" s="7">
        <v>4716.9921585599996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1.1591186600000001</v>
      </c>
      <c r="E25" s="7">
        <v>1.15530895</v>
      </c>
      <c r="F25" s="7">
        <v>1.13855084</v>
      </c>
      <c r="G25" s="7">
        <v>1.05840801</v>
      </c>
      <c r="H25" s="7">
        <v>1.0000002299999999</v>
      </c>
      <c r="I25" s="7">
        <v>1.0618713500000001</v>
      </c>
      <c r="J25" s="7">
        <v>1</v>
      </c>
      <c r="K25" s="7">
        <v>1.0539575800000001</v>
      </c>
      <c r="L25" s="7">
        <v>1.00140042</v>
      </c>
      <c r="M25" s="7">
        <v>1.04983564</v>
      </c>
      <c r="N25" s="7">
        <v>1</v>
      </c>
      <c r="O25" s="7">
        <v>1.0195560800000001</v>
      </c>
      <c r="P25" s="7">
        <v>1.0394337600000001</v>
      </c>
      <c r="Q25" s="7">
        <v>1.0396587399999999</v>
      </c>
      <c r="R25" s="7">
        <v>1.0338463200000001</v>
      </c>
      <c r="S25" s="7">
        <v>1.0748381300000001</v>
      </c>
      <c r="T25" s="7">
        <v>1.0533711299999999</v>
      </c>
      <c r="U25" s="7">
        <v>1.0600086200000001</v>
      </c>
      <c r="V25" s="7">
        <v>1.05816994</v>
      </c>
      <c r="W25" s="7">
        <v>1.0589580199999999</v>
      </c>
      <c r="X25" s="7">
        <v>1.0596162</v>
      </c>
      <c r="Y25" s="7">
        <v>1.0530504599999999</v>
      </c>
      <c r="Z25" s="7">
        <v>1.0435462200000001</v>
      </c>
      <c r="AA25" s="7">
        <v>1.05219861</v>
      </c>
      <c r="AB25" s="7">
        <v>1.05198496</v>
      </c>
      <c r="AC25" s="7">
        <v>1.0555475599999999</v>
      </c>
    </row>
    <row r="26" spans="1:29" x14ac:dyDescent="0.85">
      <c r="A26" t="s">
        <v>124</v>
      </c>
      <c r="B26" s="7">
        <v>1</v>
      </c>
      <c r="C26" s="7">
        <v>1.1627626900000001</v>
      </c>
      <c r="D26" s="7">
        <v>1.1591286599999999</v>
      </c>
      <c r="E26" s="7">
        <v>1.13855084</v>
      </c>
      <c r="F26" s="7">
        <v>1.05840801</v>
      </c>
      <c r="G26" s="7">
        <v>1.0000002299999999</v>
      </c>
      <c r="H26" s="7">
        <v>1.0618713500000001</v>
      </c>
      <c r="I26" s="7">
        <v>1</v>
      </c>
      <c r="J26" s="7">
        <v>1.0539575800000001</v>
      </c>
      <c r="K26" s="7">
        <v>1.00140042</v>
      </c>
      <c r="L26" s="7">
        <v>1.04983564</v>
      </c>
      <c r="M26" s="7">
        <v>1</v>
      </c>
      <c r="N26" s="7">
        <v>1.0195560800000001</v>
      </c>
      <c r="O26" s="7">
        <v>1.0394337600000001</v>
      </c>
      <c r="P26" s="7">
        <v>1.0396587399999999</v>
      </c>
      <c r="Q26" s="7">
        <v>1.0338463200000001</v>
      </c>
      <c r="R26" s="7">
        <v>1.0748381300000001</v>
      </c>
      <c r="S26" s="7">
        <v>1.0533711299999999</v>
      </c>
      <c r="T26" s="7">
        <v>1.0600086200000001</v>
      </c>
      <c r="U26" s="7">
        <v>1.05816994</v>
      </c>
      <c r="V26" s="7">
        <v>1.0589580199999999</v>
      </c>
      <c r="W26" s="7">
        <v>1.0596162</v>
      </c>
      <c r="X26" s="7">
        <v>1.0530504599999999</v>
      </c>
      <c r="Y26" s="7">
        <v>1.0435462200000001</v>
      </c>
      <c r="Z26" s="7">
        <v>1.05219861</v>
      </c>
      <c r="AA26" s="7">
        <v>1.05198496</v>
      </c>
      <c r="AB26" s="7">
        <v>1.0555475599999999</v>
      </c>
      <c r="AC26" s="7">
        <v>1.05448126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1.1591286599999999</v>
      </c>
      <c r="E27" s="7">
        <v>1.1553189500000001</v>
      </c>
      <c r="F27" s="7">
        <v>1.14753109</v>
      </c>
      <c r="G27" s="7">
        <v>1.14823064</v>
      </c>
      <c r="H27" s="7">
        <v>1.1553966600000001</v>
      </c>
      <c r="I27" s="7">
        <v>1.15568264</v>
      </c>
      <c r="J27" s="7">
        <v>1.16305909</v>
      </c>
      <c r="K27" s="7">
        <v>1.1627544299999999</v>
      </c>
      <c r="L27" s="7">
        <v>1.1662845399999999</v>
      </c>
      <c r="M27" s="7">
        <v>1.1653756799999999</v>
      </c>
      <c r="N27" s="7">
        <v>1.1725667500000001</v>
      </c>
      <c r="O27" s="7">
        <v>1.1784648900000001</v>
      </c>
      <c r="P27" s="7">
        <v>1.1817745099999999</v>
      </c>
      <c r="Q27" s="7">
        <v>1.1851566600000001</v>
      </c>
      <c r="R27" s="7">
        <v>1.1894956699999999</v>
      </c>
      <c r="S27" s="7">
        <v>1.1877479099999999</v>
      </c>
      <c r="T27" s="7">
        <v>1.1891166900000001</v>
      </c>
      <c r="U27" s="7">
        <v>1.18947413</v>
      </c>
      <c r="V27" s="7">
        <v>1.1900747899999999</v>
      </c>
      <c r="W27" s="7">
        <v>1.1905289400000001</v>
      </c>
      <c r="X27" s="7">
        <v>1.1908565900000001</v>
      </c>
      <c r="Y27" s="7">
        <v>1.1914345099999999</v>
      </c>
      <c r="Z27" s="7">
        <v>1.1925444300000001</v>
      </c>
      <c r="AA27" s="7">
        <v>1.1936544499999999</v>
      </c>
      <c r="AB27" s="7">
        <v>1.19466911</v>
      </c>
      <c r="AC27" s="7">
        <v>1.1953457599999999</v>
      </c>
    </row>
    <row r="28" spans="1:29" x14ac:dyDescent="0.85">
      <c r="A28" t="s">
        <v>126</v>
      </c>
      <c r="B28" s="7">
        <v>26871</v>
      </c>
      <c r="C28" s="7">
        <v>28996.043835379998</v>
      </c>
      <c r="D28" s="7">
        <v>31332.916045530001</v>
      </c>
      <c r="E28" s="7">
        <v>33885.218979229998</v>
      </c>
      <c r="F28" s="7">
        <v>36503.808546840002</v>
      </c>
      <c r="G28" s="7">
        <v>39163.445836760002</v>
      </c>
      <c r="H28" s="7">
        <v>41838.492782679998</v>
      </c>
      <c r="I28" s="7">
        <v>44308.041852260001</v>
      </c>
      <c r="J28" s="7">
        <v>46689.479582079999</v>
      </c>
      <c r="K28" s="7">
        <v>44824.608689120003</v>
      </c>
      <c r="L28" s="7">
        <v>44118.941101839999</v>
      </c>
      <c r="M28" s="7">
        <v>45592.036300719999</v>
      </c>
      <c r="N28" s="7">
        <v>48418.669795479997</v>
      </c>
      <c r="O28" s="7">
        <v>51275.470179379998</v>
      </c>
      <c r="P28" s="7">
        <v>54172.854174120002</v>
      </c>
      <c r="Q28" s="7">
        <v>57113.142750140003</v>
      </c>
      <c r="R28" s="7">
        <v>60096.502711039997</v>
      </c>
      <c r="S28" s="7">
        <v>63131.413183670003</v>
      </c>
      <c r="T28" s="7">
        <v>66220.767833220001</v>
      </c>
      <c r="U28" s="7">
        <v>69364.925734470002</v>
      </c>
      <c r="V28" s="7">
        <v>72563.610108909998</v>
      </c>
      <c r="W28" s="7">
        <v>75818.22903468</v>
      </c>
      <c r="X28" s="7">
        <v>78100.651621359997</v>
      </c>
      <c r="Y28" s="7">
        <v>79078.58084024</v>
      </c>
      <c r="Z28" s="7">
        <v>81952.878089129998</v>
      </c>
      <c r="AA28" s="7">
        <v>84703.073989850003</v>
      </c>
      <c r="AB28" s="7">
        <v>87848.21525116</v>
      </c>
      <c r="AC28" s="7">
        <v>90790.348197429994</v>
      </c>
    </row>
    <row r="29" spans="1:29" x14ac:dyDescent="0.85">
      <c r="A29" t="s">
        <v>127</v>
      </c>
      <c r="B29" s="7">
        <v>99460984</v>
      </c>
      <c r="C29" s="7">
        <v>107324404.00819001</v>
      </c>
      <c r="D29" s="7">
        <v>115948114.614169</v>
      </c>
      <c r="E29" s="7">
        <v>124751202.69243</v>
      </c>
      <c r="F29" s="7">
        <v>131958480.16878299</v>
      </c>
      <c r="G29" s="7">
        <v>137066829.41185299</v>
      </c>
      <c r="H29" s="7">
        <v>139816989.04068199</v>
      </c>
      <c r="I29" s="7">
        <v>140000153.95561299</v>
      </c>
      <c r="J29" s="7">
        <v>141816691.72531801</v>
      </c>
      <c r="K29" s="7">
        <v>142953777.449862</v>
      </c>
      <c r="L29" s="7">
        <v>145253121.39101601</v>
      </c>
      <c r="M29" s="7">
        <v>152169027.734</v>
      </c>
      <c r="N29" s="7">
        <v>162141101.079622</v>
      </c>
      <c r="O29" s="7">
        <v>172149451.82050601</v>
      </c>
      <c r="P29" s="7">
        <v>182241469.822631</v>
      </c>
      <c r="Q29" s="7">
        <v>192433041.02132601</v>
      </c>
      <c r="R29" s="7">
        <v>202683200.257476</v>
      </c>
      <c r="S29" s="7">
        <v>213072227.123914</v>
      </c>
      <c r="T29" s="7">
        <v>223581234.87152201</v>
      </c>
      <c r="U29" s="7">
        <v>234223563.81060201</v>
      </c>
      <c r="V29" s="7">
        <v>244996402.214158</v>
      </c>
      <c r="W29" s="7">
        <v>255904249.94132501</v>
      </c>
      <c r="X29" s="7">
        <v>264576126.20555899</v>
      </c>
      <c r="Y29" s="7">
        <v>270336528.173316</v>
      </c>
      <c r="Z29" s="7">
        <v>280453075.14472598</v>
      </c>
      <c r="AA29" s="7">
        <v>290301869.57994199</v>
      </c>
      <c r="AB29" s="7">
        <v>301092596.81974101</v>
      </c>
      <c r="AC29" s="7">
        <v>311435536.36879402</v>
      </c>
    </row>
    <row r="30" spans="1:29" x14ac:dyDescent="0.85">
      <c r="A30" t="s">
        <v>128</v>
      </c>
      <c r="B30" s="7">
        <v>99460984</v>
      </c>
      <c r="C30" s="7">
        <v>107326673.810964</v>
      </c>
      <c r="D30" s="7">
        <v>115976430.407414</v>
      </c>
      <c r="E30" s="7">
        <v>125423587.612288</v>
      </c>
      <c r="F30" s="7">
        <v>135116099.803363</v>
      </c>
      <c r="G30" s="7">
        <v>144960547.04904899</v>
      </c>
      <c r="H30" s="7">
        <v>154862031.976578</v>
      </c>
      <c r="I30" s="7">
        <v>164002881.98201701</v>
      </c>
      <c r="J30" s="7">
        <v>172817594.49524799</v>
      </c>
      <c r="K30" s="7">
        <v>165914915.24822199</v>
      </c>
      <c r="L30" s="7">
        <v>163302939.78738701</v>
      </c>
      <c r="M30" s="7">
        <v>168755490.790555</v>
      </c>
      <c r="N30" s="7">
        <v>179218061.91913301</v>
      </c>
      <c r="O30" s="7">
        <v>189792293.517331</v>
      </c>
      <c r="P30" s="7">
        <v>200516742.29638001</v>
      </c>
      <c r="Q30" s="7">
        <v>211399999.15379301</v>
      </c>
      <c r="R30" s="7">
        <v>222442681.50044301</v>
      </c>
      <c r="S30" s="7">
        <v>233676174.18623799</v>
      </c>
      <c r="T30" s="7">
        <v>245111187.89502501</v>
      </c>
      <c r="U30" s="7">
        <v>256749051.71514699</v>
      </c>
      <c r="V30" s="7">
        <v>268588741.17170298</v>
      </c>
      <c r="W30" s="7">
        <v>280635468.15995699</v>
      </c>
      <c r="X30" s="7">
        <v>289083683.57344502</v>
      </c>
      <c r="Y30" s="7">
        <v>292703414.97131598</v>
      </c>
      <c r="Z30" s="7">
        <v>303342409.89829201</v>
      </c>
      <c r="AA30" s="7">
        <v>313522053.02577198</v>
      </c>
      <c r="AB30" s="7">
        <v>325163556.67910999</v>
      </c>
      <c r="AC30" s="7">
        <v>336053640.33416498</v>
      </c>
    </row>
    <row r="31" spans="1:29" x14ac:dyDescent="0.85">
      <c r="A31" t="s">
        <v>129</v>
      </c>
      <c r="B31" s="7">
        <v>8127.5678688199996</v>
      </c>
      <c r="C31" s="7">
        <v>8770.3216925100005</v>
      </c>
      <c r="D31" s="7">
        <v>9477.1464288000006</v>
      </c>
      <c r="E31" s="7">
        <v>10249.13166624</v>
      </c>
      <c r="F31" s="7">
        <v>11041.16636653</v>
      </c>
      <c r="G31" s="7">
        <v>11845.61661327</v>
      </c>
      <c r="H31" s="7">
        <v>12654.727759310001</v>
      </c>
      <c r="I31" s="7">
        <v>13401.68275423</v>
      </c>
      <c r="J31" s="7">
        <v>14121.98705159</v>
      </c>
      <c r="K31" s="7">
        <v>13557.92673567</v>
      </c>
      <c r="L31" s="7">
        <v>13344.48617862</v>
      </c>
      <c r="M31" s="7">
        <v>13790.04760939</v>
      </c>
      <c r="N31" s="7">
        <v>14645.008554980001</v>
      </c>
      <c r="O31" s="7">
        <v>15509.09396333</v>
      </c>
      <c r="P31" s="7">
        <v>16385.454540139999</v>
      </c>
      <c r="Q31" s="7">
        <v>17274.792300379999</v>
      </c>
      <c r="R31" s="7">
        <v>18177.157696509999</v>
      </c>
      <c r="S31" s="7">
        <v>19095.115377360002</v>
      </c>
      <c r="T31" s="7">
        <v>20029.540578690001</v>
      </c>
      <c r="U31" s="7">
        <v>20980.541908480001</v>
      </c>
      <c r="V31" s="7">
        <v>21948.035650590002</v>
      </c>
      <c r="W31" s="7">
        <v>22932.44770099</v>
      </c>
      <c r="X31" s="7">
        <v>23622.803269399999</v>
      </c>
      <c r="Y31" s="7">
        <v>23918.593753460002</v>
      </c>
      <c r="Z31" s="7">
        <v>24787.971371169999</v>
      </c>
      <c r="AA31" s="7">
        <v>25619.812532110001</v>
      </c>
      <c r="AB31" s="7">
        <v>26571.111295030001</v>
      </c>
      <c r="AC31" s="7">
        <v>27461.00691484</v>
      </c>
    </row>
    <row r="32" spans="1:29" x14ac:dyDescent="0.85">
      <c r="A32" t="s">
        <v>130</v>
      </c>
      <c r="B32" s="7">
        <v>0</v>
      </c>
      <c r="C32" s="7">
        <v>85.861339049999998</v>
      </c>
      <c r="D32" s="7">
        <v>92.781144330000004</v>
      </c>
      <c r="E32" s="7">
        <v>100.33887009</v>
      </c>
      <c r="F32" s="7">
        <v>108.09287983999999</v>
      </c>
      <c r="G32" s="7">
        <v>115.96843764</v>
      </c>
      <c r="H32" s="7">
        <v>123.88962558</v>
      </c>
      <c r="I32" s="7">
        <v>131.20230559000001</v>
      </c>
      <c r="J32" s="7">
        <v>138.25407559999999</v>
      </c>
      <c r="K32" s="7">
        <v>132.73193219999999</v>
      </c>
      <c r="L32" s="7">
        <v>130.64235183</v>
      </c>
      <c r="M32" s="7">
        <v>135.00439263000001</v>
      </c>
      <c r="N32" s="7">
        <v>143.37444954</v>
      </c>
      <c r="O32" s="7">
        <v>151.83383481000001</v>
      </c>
      <c r="P32" s="7">
        <v>160.41339384</v>
      </c>
      <c r="Q32" s="7">
        <v>169.11999932000001</v>
      </c>
      <c r="R32" s="7">
        <v>177.9541452</v>
      </c>
      <c r="S32" s="7">
        <v>186.94093935000001</v>
      </c>
      <c r="T32" s="7">
        <v>196.08895032000001</v>
      </c>
      <c r="U32" s="7">
        <v>205.39924137</v>
      </c>
      <c r="V32" s="7">
        <v>214.87099294000001</v>
      </c>
      <c r="W32" s="7">
        <v>224.50837453</v>
      </c>
      <c r="X32" s="7">
        <v>231.26694685999999</v>
      </c>
      <c r="Y32" s="7">
        <v>234.16273197999999</v>
      </c>
      <c r="Z32" s="7">
        <v>242.67392792000001</v>
      </c>
      <c r="AA32" s="7">
        <v>250.81764242</v>
      </c>
      <c r="AB32" s="7">
        <v>260.13084534000001</v>
      </c>
      <c r="AC32" s="7">
        <v>268.84291227</v>
      </c>
    </row>
    <row r="33" spans="1:29" x14ac:dyDescent="0.85">
      <c r="A33" t="s">
        <v>131</v>
      </c>
      <c r="B33" s="7">
        <v>0.39784394000000001</v>
      </c>
      <c r="C33" s="7">
        <v>0.42930669999999999</v>
      </c>
      <c r="D33" s="7">
        <v>0.46390572000000002</v>
      </c>
      <c r="E33" s="7">
        <v>0.50169434999999996</v>
      </c>
      <c r="F33" s="7">
        <v>0.54046439999999996</v>
      </c>
      <c r="G33" s="7">
        <v>0.57984219000000004</v>
      </c>
      <c r="H33" s="7">
        <v>0.61944812999999999</v>
      </c>
      <c r="I33" s="7">
        <v>0.65601153000000001</v>
      </c>
      <c r="J33" s="7">
        <v>0.69127037999999996</v>
      </c>
      <c r="K33" s="7">
        <v>0.66365965999999998</v>
      </c>
      <c r="L33" s="7">
        <v>0.65321176000000003</v>
      </c>
      <c r="M33" s="7">
        <v>0.67502196000000003</v>
      </c>
      <c r="N33" s="7">
        <v>0.71687224999999999</v>
      </c>
      <c r="O33" s="7">
        <v>0.75916916999999995</v>
      </c>
      <c r="P33" s="7">
        <v>0.80206697000000005</v>
      </c>
      <c r="Q33" s="7">
        <v>0.84560000000000002</v>
      </c>
      <c r="R33" s="7">
        <v>0.88977072999999995</v>
      </c>
      <c r="S33" s="7">
        <v>0.93470470000000005</v>
      </c>
      <c r="T33" s="7">
        <v>0.98044474999999998</v>
      </c>
      <c r="U33" s="7">
        <v>1.0269962100000001</v>
      </c>
      <c r="V33" s="7">
        <v>1.07435496</v>
      </c>
      <c r="W33" s="7">
        <v>1.1225418700000001</v>
      </c>
      <c r="X33" s="7">
        <v>1.15633473</v>
      </c>
      <c r="Y33" s="7">
        <v>1.1708136600000001</v>
      </c>
      <c r="Z33" s="7">
        <v>1.21336964</v>
      </c>
      <c r="AA33" s="7">
        <v>1.2540882099999999</v>
      </c>
      <c r="AB33" s="7">
        <v>1.3006542299999999</v>
      </c>
      <c r="AC33" s="7">
        <v>1.3442145599999999</v>
      </c>
    </row>
    <row r="34" spans="1:29" x14ac:dyDescent="0.85">
      <c r="A34" t="s">
        <v>132</v>
      </c>
      <c r="B34" s="7">
        <v>8127.5678688199996</v>
      </c>
      <c r="C34" s="7">
        <v>8770.3216925100005</v>
      </c>
      <c r="D34" s="7">
        <v>9477.1464288000006</v>
      </c>
      <c r="E34" s="7">
        <v>10249.13166624</v>
      </c>
      <c r="F34" s="7">
        <v>11041.16636653</v>
      </c>
      <c r="G34" s="7">
        <v>11845.61661327</v>
      </c>
      <c r="H34" s="7">
        <v>12654.727759310001</v>
      </c>
      <c r="I34" s="7">
        <v>13401.68275423</v>
      </c>
      <c r="J34" s="7">
        <v>14121.98705159</v>
      </c>
      <c r="K34" s="7">
        <v>13557.92673567</v>
      </c>
      <c r="L34" s="7">
        <v>13344.48617862</v>
      </c>
      <c r="M34" s="7">
        <v>13790.04760939</v>
      </c>
      <c r="N34" s="7">
        <v>14645.008554980001</v>
      </c>
      <c r="O34" s="7">
        <v>15509.09396333</v>
      </c>
      <c r="P34" s="7">
        <v>16385.454540139999</v>
      </c>
      <c r="Q34" s="7">
        <v>17274.792300379999</v>
      </c>
      <c r="R34" s="7">
        <v>18177.157696509999</v>
      </c>
      <c r="S34" s="7">
        <v>19095.115377360002</v>
      </c>
      <c r="T34" s="7">
        <v>20029.540578690001</v>
      </c>
      <c r="U34" s="7">
        <v>20980.541908480001</v>
      </c>
      <c r="V34" s="7">
        <v>21948.035650590002</v>
      </c>
      <c r="W34" s="7">
        <v>22932.44770099</v>
      </c>
      <c r="X34" s="7">
        <v>23622.803269399999</v>
      </c>
      <c r="Y34" s="7">
        <v>23918.593753460002</v>
      </c>
      <c r="Z34" s="7">
        <v>24787.971371169999</v>
      </c>
      <c r="AA34" s="7">
        <v>25619.812532110001</v>
      </c>
      <c r="AB34" s="7">
        <v>26571.111295030001</v>
      </c>
      <c r="AC34" s="7">
        <v>27461.00691484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1.1240449699999999</v>
      </c>
      <c r="E36" s="7">
        <v>1.12561749</v>
      </c>
      <c r="F36" s="7">
        <v>1.12215482</v>
      </c>
      <c r="G36" s="7">
        <v>1.1175516400000001</v>
      </c>
      <c r="H36" s="7">
        <v>1.11280738</v>
      </c>
      <c r="I36" s="7">
        <v>1.1093615299999999</v>
      </c>
      <c r="J36" s="7">
        <v>1.10315184</v>
      </c>
      <c r="K36" s="7">
        <v>1.09765344</v>
      </c>
      <c r="L36" s="7">
        <v>1.0000604200000001</v>
      </c>
      <c r="M36" s="7">
        <v>1.0252678500000001</v>
      </c>
      <c r="N36" s="7">
        <v>1.07644706</v>
      </c>
      <c r="O36" s="7">
        <v>1.10312711</v>
      </c>
      <c r="P36" s="7">
        <v>1.1005183300000001</v>
      </c>
      <c r="Q36" s="7">
        <v>1.0981942200000001</v>
      </c>
      <c r="R36" s="7">
        <v>1.0960701100000001</v>
      </c>
      <c r="S36" s="7">
        <v>1.0943392000000001</v>
      </c>
      <c r="T36" s="7">
        <v>1.0926453300000001</v>
      </c>
      <c r="U36" s="7">
        <v>1.09111493</v>
      </c>
      <c r="V36" s="7">
        <v>1.08969194</v>
      </c>
      <c r="W36" s="7">
        <v>1.08837794</v>
      </c>
      <c r="X36" s="7">
        <v>1.0871613</v>
      </c>
      <c r="Y36" s="7">
        <v>1.07302487</v>
      </c>
      <c r="Z36" s="7">
        <v>1.05470979</v>
      </c>
      <c r="AA36" s="7">
        <v>1.07952849</v>
      </c>
      <c r="AB36" s="7">
        <v>1.0766231900000001</v>
      </c>
      <c r="AC36" s="7">
        <v>1.0803451799999999</v>
      </c>
    </row>
    <row r="37" spans="1:29" x14ac:dyDescent="0.85">
      <c r="A37" t="s">
        <v>135</v>
      </c>
      <c r="B37" s="7">
        <v>1</v>
      </c>
      <c r="C37" s="7">
        <v>1.1240449699999999</v>
      </c>
      <c r="D37" s="7">
        <v>1.12561749</v>
      </c>
      <c r="E37" s="7">
        <v>1.1265182899999999</v>
      </c>
      <c r="F37" s="7">
        <v>1.1221648200000001</v>
      </c>
      <c r="G37" s="7">
        <v>1.1175616399999999</v>
      </c>
      <c r="H37" s="7">
        <v>1.1128173800000001</v>
      </c>
      <c r="I37" s="7">
        <v>1.10315184</v>
      </c>
      <c r="J37" s="7">
        <v>1.09765344</v>
      </c>
      <c r="K37" s="7">
        <v>1.0000604200000001</v>
      </c>
      <c r="L37" s="7">
        <v>1.0252678500000001</v>
      </c>
      <c r="M37" s="7">
        <v>1.07644706</v>
      </c>
      <c r="N37" s="7">
        <v>1.1062483400000001</v>
      </c>
      <c r="O37" s="7">
        <v>1.1031271300000001</v>
      </c>
      <c r="P37" s="7">
        <v>1.10052733</v>
      </c>
      <c r="Q37" s="7">
        <v>1.09820422</v>
      </c>
      <c r="R37" s="7">
        <v>1.0960791299999999</v>
      </c>
      <c r="S37" s="7">
        <v>1.09427148</v>
      </c>
      <c r="T37" s="7">
        <v>1.0926409399999999</v>
      </c>
      <c r="U37" s="7">
        <v>1.0911249300000001</v>
      </c>
      <c r="V37" s="7">
        <v>1.0897019400000001</v>
      </c>
      <c r="W37" s="7">
        <v>1.08838744</v>
      </c>
      <c r="X37" s="7">
        <v>1.07302487</v>
      </c>
      <c r="Y37" s="7">
        <v>1.05470979</v>
      </c>
      <c r="Z37" s="7">
        <v>1.07952849</v>
      </c>
      <c r="AA37" s="7">
        <v>1.0766231900000001</v>
      </c>
      <c r="AB37" s="7">
        <v>1.0803451799999999</v>
      </c>
      <c r="AC37" s="7">
        <v>1.0765532200000001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1.12561749</v>
      </c>
      <c r="E38" s="7">
        <v>1.1265182899999999</v>
      </c>
      <c r="F38" s="7">
        <v>1.1221648200000001</v>
      </c>
      <c r="G38" s="7">
        <v>1.1175616399999999</v>
      </c>
      <c r="H38" s="7">
        <v>1.1128173800000001</v>
      </c>
      <c r="I38" s="7">
        <v>1.10937153</v>
      </c>
      <c r="J38" s="7">
        <v>1.1060122999999999</v>
      </c>
      <c r="K38" s="7">
        <v>1.1029847100000001</v>
      </c>
      <c r="L38" s="7">
        <v>1.10574207</v>
      </c>
      <c r="M38" s="7">
        <v>1.10785709</v>
      </c>
      <c r="N38" s="7">
        <v>1.10624973</v>
      </c>
      <c r="O38" s="7">
        <v>1.10313711</v>
      </c>
      <c r="P38" s="7">
        <v>1.1005283299999999</v>
      </c>
      <c r="Q38" s="7">
        <v>1.09820422</v>
      </c>
      <c r="R38" s="7">
        <v>1.0960801099999999</v>
      </c>
      <c r="S38" s="7">
        <v>1.0943491999999999</v>
      </c>
      <c r="T38" s="7">
        <v>1.0926553299999999</v>
      </c>
      <c r="U38" s="7">
        <v>1.0911249300000001</v>
      </c>
      <c r="V38" s="7">
        <v>1.0897019400000001</v>
      </c>
      <c r="W38" s="7">
        <v>1.0883879400000001</v>
      </c>
      <c r="X38" s="7">
        <v>1.0871713000000001</v>
      </c>
      <c r="Y38" s="7">
        <v>1.08660321</v>
      </c>
      <c r="Z38" s="7">
        <v>1.08678549</v>
      </c>
      <c r="AA38" s="7">
        <v>1.08596844</v>
      </c>
      <c r="AB38" s="7">
        <v>1.0852856399999999</v>
      </c>
      <c r="AC38" s="7">
        <v>1.0844788999999999</v>
      </c>
    </row>
    <row r="39" spans="1:29" x14ac:dyDescent="0.85">
      <c r="A39" t="s">
        <v>137</v>
      </c>
      <c r="B39" s="7">
        <v>5157</v>
      </c>
      <c r="C39" s="7">
        <v>8104.3824027199998</v>
      </c>
      <c r="D39" s="7">
        <v>11319.41757044</v>
      </c>
      <c r="E39" s="7">
        <v>14639.21974009</v>
      </c>
      <c r="F39" s="7">
        <v>18106.55944488</v>
      </c>
      <c r="G39" s="7">
        <v>21502.193563249999</v>
      </c>
      <c r="H39" s="7">
        <v>24844.391170440002</v>
      </c>
      <c r="I39" s="7">
        <v>28167.2957766</v>
      </c>
      <c r="J39" s="7">
        <v>30162.03057037</v>
      </c>
      <c r="K39" s="7">
        <v>29407.979806110001</v>
      </c>
      <c r="L39" s="7">
        <v>28716.508706820001</v>
      </c>
      <c r="M39" s="7">
        <v>27998.595989329999</v>
      </c>
      <c r="N39" s="7">
        <v>27298.6310896</v>
      </c>
      <c r="O39" s="7">
        <v>26616.165317229999</v>
      </c>
      <c r="P39" s="7">
        <v>25950.761190559999</v>
      </c>
      <c r="Q39" s="7">
        <v>25301.992205369999</v>
      </c>
      <c r="R39" s="7">
        <v>24669.442406530001</v>
      </c>
      <c r="S39" s="7">
        <v>24052.706350370001</v>
      </c>
      <c r="T39" s="7">
        <v>23451.388720930001</v>
      </c>
      <c r="U39" s="7">
        <v>22865.10400291</v>
      </c>
      <c r="V39" s="7">
        <v>22293.476403500001</v>
      </c>
      <c r="W39" s="7">
        <v>21736.140061310001</v>
      </c>
      <c r="X39" s="7">
        <v>21233.125516849999</v>
      </c>
      <c r="Y39" s="7">
        <v>20702.297387959999</v>
      </c>
      <c r="Z39" s="7">
        <v>20184.740102880001</v>
      </c>
      <c r="AA39" s="7">
        <v>19680.121606010001</v>
      </c>
      <c r="AB39" s="7">
        <v>19188.118583939999</v>
      </c>
      <c r="AC39" s="7">
        <v>18708.415619340001</v>
      </c>
    </row>
    <row r="40" spans="1:29" x14ac:dyDescent="0.85">
      <c r="A40" t="s">
        <v>138</v>
      </c>
      <c r="B40" s="7">
        <v>41219508.75</v>
      </c>
      <c r="C40" s="7">
        <v>64777712.112093598</v>
      </c>
      <c r="D40" s="7">
        <v>90475243.666809395</v>
      </c>
      <c r="E40" s="7">
        <v>117010169.89911801</v>
      </c>
      <c r="F40" s="7">
        <v>144724352.42786899</v>
      </c>
      <c r="G40" s="7">
        <v>171865397.658463</v>
      </c>
      <c r="H40" s="7">
        <v>198579328.91962901</v>
      </c>
      <c r="I40" s="7">
        <v>225139052.69095099</v>
      </c>
      <c r="J40" s="7">
        <v>241082816.174703</v>
      </c>
      <c r="K40" s="7">
        <v>235055745.71864501</v>
      </c>
      <c r="L40" s="7">
        <v>229528869.81769001</v>
      </c>
      <c r="M40" s="7">
        <v>223790648.07372701</v>
      </c>
      <c r="N40" s="7">
        <v>218195881.87188199</v>
      </c>
      <c r="O40" s="7">
        <v>212740984.86404699</v>
      </c>
      <c r="P40" s="7">
        <v>207422460.29244</v>
      </c>
      <c r="Q40" s="7">
        <v>202236899.14140701</v>
      </c>
      <c r="R40" s="7">
        <v>197180976.71318099</v>
      </c>
      <c r="S40" s="7">
        <v>192251452.327393</v>
      </c>
      <c r="T40" s="7">
        <v>187445166.253528</v>
      </c>
      <c r="U40" s="7">
        <v>182759037.07816499</v>
      </c>
      <c r="V40" s="7">
        <v>178190061.15656599</v>
      </c>
      <c r="W40" s="7">
        <v>173735314.16681999</v>
      </c>
      <c r="X40" s="7">
        <v>169714757.17434499</v>
      </c>
      <c r="Y40" s="7">
        <v>165471888.31713799</v>
      </c>
      <c r="Z40" s="7">
        <v>161335092.30517</v>
      </c>
      <c r="AA40" s="7">
        <v>157301715.043053</v>
      </c>
      <c r="AB40" s="7">
        <v>153369172.311537</v>
      </c>
      <c r="AC40" s="7">
        <v>149534942.97921199</v>
      </c>
    </row>
    <row r="41" spans="1:29" x14ac:dyDescent="0.85">
      <c r="A41" t="s">
        <v>139</v>
      </c>
      <c r="B41" s="7">
        <v>41219508.75</v>
      </c>
      <c r="C41" s="7">
        <v>64777712.112093598</v>
      </c>
      <c r="D41" s="7">
        <v>90475243.666809395</v>
      </c>
      <c r="E41" s="7">
        <v>117010169.89911801</v>
      </c>
      <c r="F41" s="7">
        <v>144724352.42786899</v>
      </c>
      <c r="G41" s="7">
        <v>171865397.658463</v>
      </c>
      <c r="H41" s="7">
        <v>198579328.91962901</v>
      </c>
      <c r="I41" s="7">
        <v>225139052.69095099</v>
      </c>
      <c r="J41" s="7">
        <v>241082816.174703</v>
      </c>
      <c r="K41" s="7">
        <v>235055745.71864501</v>
      </c>
      <c r="L41" s="7">
        <v>229528869.81769001</v>
      </c>
      <c r="M41" s="7">
        <v>223790648.07372701</v>
      </c>
      <c r="N41" s="7">
        <v>218195881.87188199</v>
      </c>
      <c r="O41" s="7">
        <v>212740984.86404699</v>
      </c>
      <c r="P41" s="7">
        <v>207422460.29244</v>
      </c>
      <c r="Q41" s="7">
        <v>202236899.14140701</v>
      </c>
      <c r="R41" s="7">
        <v>197180976.71318099</v>
      </c>
      <c r="S41" s="7">
        <v>192251452.327393</v>
      </c>
      <c r="T41" s="7">
        <v>187445166.253528</v>
      </c>
      <c r="U41" s="7">
        <v>182759037.07816499</v>
      </c>
      <c r="V41" s="7">
        <v>178190061.15656599</v>
      </c>
      <c r="W41" s="7">
        <v>173735314.16681999</v>
      </c>
      <c r="X41" s="7">
        <v>169714757.17434499</v>
      </c>
      <c r="Y41" s="7">
        <v>165471888.31713799</v>
      </c>
      <c r="Z41" s="7">
        <v>161335092.30517</v>
      </c>
      <c r="AA41" s="7">
        <v>157301715.043053</v>
      </c>
      <c r="AB41" s="7">
        <v>153369172.311537</v>
      </c>
      <c r="AC41" s="7">
        <v>149534942.97921199</v>
      </c>
    </row>
    <row r="42" spans="1:29" x14ac:dyDescent="0.85">
      <c r="A42" t="s">
        <v>140</v>
      </c>
      <c r="B42" s="7">
        <v>5979.0406005900004</v>
      </c>
      <c r="C42" s="7">
        <v>9396.2442172899991</v>
      </c>
      <c r="D42" s="7">
        <v>13123.7652179</v>
      </c>
      <c r="E42" s="7">
        <v>16972.753381220002</v>
      </c>
      <c r="F42" s="7">
        <v>20992.796986220001</v>
      </c>
      <c r="G42" s="7">
        <v>24929.704928530002</v>
      </c>
      <c r="H42" s="7">
        <v>28804.658426419999</v>
      </c>
      <c r="I42" s="7">
        <v>32657.243563520002</v>
      </c>
      <c r="J42" s="7">
        <v>34969.94480831</v>
      </c>
      <c r="K42" s="7">
        <v>34095.696187579997</v>
      </c>
      <c r="L42" s="7">
        <v>33294.00261055</v>
      </c>
      <c r="M42" s="7">
        <v>32461.652545510002</v>
      </c>
      <c r="N42" s="7">
        <v>31650.11123187</v>
      </c>
      <c r="O42" s="7">
        <v>30858.858456720001</v>
      </c>
      <c r="P42" s="7">
        <v>30087.387002560001</v>
      </c>
      <c r="Q42" s="7">
        <v>29335.202379170001</v>
      </c>
      <c r="R42" s="7">
        <v>28601.822326990001</v>
      </c>
      <c r="S42" s="7">
        <v>27886.776773459998</v>
      </c>
      <c r="T42" s="7">
        <v>27189.607388119999</v>
      </c>
      <c r="U42" s="7">
        <v>26509.867203220001</v>
      </c>
      <c r="V42" s="7">
        <v>25847.120523919999</v>
      </c>
      <c r="W42" s="7">
        <v>25200.943169239999</v>
      </c>
      <c r="X42" s="7">
        <v>24617.74666275</v>
      </c>
      <c r="Y42" s="7">
        <v>24002.30300665</v>
      </c>
      <c r="Z42" s="7">
        <v>23402.24560496</v>
      </c>
      <c r="AA42" s="7">
        <v>22817.18947144</v>
      </c>
      <c r="AB42" s="7">
        <v>22246.759755620002</v>
      </c>
      <c r="AC42" s="7">
        <v>21690.590761480002</v>
      </c>
    </row>
    <row r="43" spans="1:29" x14ac:dyDescent="0.85">
      <c r="A43" t="s">
        <v>141</v>
      </c>
      <c r="B43" s="7">
        <v>0</v>
      </c>
      <c r="C43" s="7">
        <v>38.866627270000002</v>
      </c>
      <c r="D43" s="7">
        <v>54.2851462</v>
      </c>
      <c r="E43" s="7">
        <v>70.206101939999996</v>
      </c>
      <c r="F43" s="7">
        <v>86.834611460000005</v>
      </c>
      <c r="G43" s="7">
        <v>103.1192386</v>
      </c>
      <c r="H43" s="7">
        <v>119.14759735</v>
      </c>
      <c r="I43" s="7">
        <v>135.08343160999999</v>
      </c>
      <c r="J43" s="7">
        <v>144.64968970000001</v>
      </c>
      <c r="K43" s="7">
        <v>141.03344743</v>
      </c>
      <c r="L43" s="7">
        <v>137.71732188999999</v>
      </c>
      <c r="M43" s="7">
        <v>134.27438884</v>
      </c>
      <c r="N43" s="7">
        <v>130.91752912000001</v>
      </c>
      <c r="O43" s="7">
        <v>127.64459092</v>
      </c>
      <c r="P43" s="7">
        <v>124.45347618</v>
      </c>
      <c r="Q43" s="7">
        <v>121.34213948</v>
      </c>
      <c r="R43" s="7">
        <v>118.30858603</v>
      </c>
      <c r="S43" s="7">
        <v>115.3508714</v>
      </c>
      <c r="T43" s="7">
        <v>112.46709975</v>
      </c>
      <c r="U43" s="7">
        <v>109.65542225</v>
      </c>
      <c r="V43" s="7">
        <v>106.91403669</v>
      </c>
      <c r="W43" s="7">
        <v>104.24118850000001</v>
      </c>
      <c r="X43" s="7">
        <v>101.8288543</v>
      </c>
      <c r="Y43" s="7">
        <v>99.283132989999999</v>
      </c>
      <c r="Z43" s="7">
        <v>96.801055379999994</v>
      </c>
      <c r="AA43" s="7">
        <v>94.381029029999993</v>
      </c>
      <c r="AB43" s="7">
        <v>92.021503390000007</v>
      </c>
      <c r="AC43" s="7">
        <v>89.720965789999994</v>
      </c>
    </row>
    <row r="44" spans="1:29" x14ac:dyDescent="0.85">
      <c r="A44" t="s">
        <v>142</v>
      </c>
      <c r="B44" s="7">
        <v>0.12365853</v>
      </c>
      <c r="C44" s="7">
        <v>0.19433313999999999</v>
      </c>
      <c r="D44" s="7">
        <v>0.27142572999999998</v>
      </c>
      <c r="E44" s="7">
        <v>0.35103051000000002</v>
      </c>
      <c r="F44" s="7">
        <v>0.43417306</v>
      </c>
      <c r="G44" s="7">
        <v>0.51559619000000001</v>
      </c>
      <c r="H44" s="7">
        <v>0.59573799000000005</v>
      </c>
      <c r="I44" s="7">
        <v>0.67541715999999996</v>
      </c>
      <c r="J44" s="7">
        <v>0.72324845000000004</v>
      </c>
      <c r="K44" s="7">
        <v>0.70516723999999997</v>
      </c>
      <c r="L44" s="7">
        <v>0.68858660999999999</v>
      </c>
      <c r="M44" s="7">
        <v>0.67137194</v>
      </c>
      <c r="N44" s="7">
        <v>0.65458764999999997</v>
      </c>
      <c r="O44" s="7">
        <v>0.63822294999999996</v>
      </c>
      <c r="P44" s="7">
        <v>0.62226738000000004</v>
      </c>
      <c r="Q44" s="7">
        <v>0.60671070000000005</v>
      </c>
      <c r="R44" s="7">
        <v>0.59154293000000002</v>
      </c>
      <c r="S44" s="7">
        <v>0.57675436000000002</v>
      </c>
      <c r="T44" s="7">
        <v>0.56233549999999999</v>
      </c>
      <c r="U44" s="7">
        <v>0.54827711000000001</v>
      </c>
      <c r="V44" s="7">
        <v>0.53457018000000001</v>
      </c>
      <c r="W44" s="7">
        <v>0.52120593999999998</v>
      </c>
      <c r="X44" s="7">
        <v>0.50914426999999995</v>
      </c>
      <c r="Y44" s="7">
        <v>0.49641565999999998</v>
      </c>
      <c r="Z44" s="7">
        <v>0.48400527999999998</v>
      </c>
      <c r="AA44" s="7">
        <v>0.47190515</v>
      </c>
      <c r="AB44" s="7">
        <v>0.46010751999999999</v>
      </c>
      <c r="AC44" s="7">
        <v>0.44860483000000001</v>
      </c>
    </row>
    <row r="45" spans="1:29" x14ac:dyDescent="0.85">
      <c r="A45" t="s">
        <v>143</v>
      </c>
      <c r="B45" s="7">
        <v>5562.3113671299998</v>
      </c>
      <c r="C45" s="7">
        <v>8741.3415478299994</v>
      </c>
      <c r="D45" s="7">
        <v>12209.060504429999</v>
      </c>
      <c r="E45" s="7">
        <v>15789.78056354</v>
      </c>
      <c r="F45" s="7">
        <v>19529.63378317</v>
      </c>
      <c r="G45" s="7">
        <v>23192.1457582</v>
      </c>
      <c r="H45" s="7">
        <v>26797.021411040001</v>
      </c>
      <c r="I45" s="7">
        <v>30381.087740819999</v>
      </c>
      <c r="J45" s="7">
        <v>32532.597536779998</v>
      </c>
      <c r="K45" s="7">
        <v>31719.282598360001</v>
      </c>
      <c r="L45" s="7">
        <v>30973.4657367</v>
      </c>
      <c r="M45" s="7">
        <v>30199.129093480002</v>
      </c>
      <c r="N45" s="7">
        <v>29444.15086614</v>
      </c>
      <c r="O45" s="7">
        <v>28708.047099750002</v>
      </c>
      <c r="P45" s="7">
        <v>27990.345928999999</v>
      </c>
      <c r="Q45" s="7">
        <v>27290.587328850001</v>
      </c>
      <c r="R45" s="7">
        <v>26608.32265242</v>
      </c>
      <c r="S45" s="7">
        <v>25943.114590429999</v>
      </c>
      <c r="T45" s="7">
        <v>25294.53675729</v>
      </c>
      <c r="U45" s="7">
        <v>24662.17333836</v>
      </c>
      <c r="V45" s="7">
        <v>24045.619005619999</v>
      </c>
      <c r="W45" s="7">
        <v>23444.479143010001</v>
      </c>
      <c r="X45" s="7">
        <v>22901.930467720002</v>
      </c>
      <c r="Y45" s="7">
        <v>22329.382215760001</v>
      </c>
      <c r="Z45" s="7">
        <v>21771.147821760002</v>
      </c>
      <c r="AA45" s="7">
        <v>21226.869132349999</v>
      </c>
      <c r="AB45" s="7">
        <v>20696.197423549998</v>
      </c>
      <c r="AC45" s="7">
        <v>20178.79248796</v>
      </c>
    </row>
    <row r="46" spans="1:29" x14ac:dyDescent="0.85">
      <c r="A46" t="s">
        <v>144</v>
      </c>
      <c r="B46" s="7">
        <v>416.72923345999999</v>
      </c>
      <c r="C46" s="7">
        <v>654.90266944999996</v>
      </c>
      <c r="D46" s="7">
        <v>914.70471347</v>
      </c>
      <c r="E46" s="7">
        <v>1182.9728176799999</v>
      </c>
      <c r="F46" s="7">
        <v>1463.16320305</v>
      </c>
      <c r="G46" s="7">
        <v>1737.5591703299999</v>
      </c>
      <c r="H46" s="7">
        <v>2007.6370153800001</v>
      </c>
      <c r="I46" s="7">
        <v>2276.1558227099999</v>
      </c>
      <c r="J46" s="7">
        <v>2437.3472715299999</v>
      </c>
      <c r="K46" s="7">
        <v>2376.4135892200002</v>
      </c>
      <c r="L46" s="7">
        <v>2320.53687386</v>
      </c>
      <c r="M46" s="7">
        <v>2262.52345203</v>
      </c>
      <c r="N46" s="7">
        <v>2205.96036572</v>
      </c>
      <c r="O46" s="7">
        <v>2150.8113569799998</v>
      </c>
      <c r="P46" s="7">
        <v>2097.0410735599999</v>
      </c>
      <c r="Q46" s="7">
        <v>2044.6150503199999</v>
      </c>
      <c r="R46" s="7">
        <v>1993.49967457</v>
      </c>
      <c r="S46" s="7">
        <v>1943.6621830300001</v>
      </c>
      <c r="T46" s="7">
        <v>1895.0706308199999</v>
      </c>
      <c r="U46" s="7">
        <v>1847.6938648600001</v>
      </c>
      <c r="V46" s="7">
        <v>1801.5015182899999</v>
      </c>
      <c r="W46" s="7">
        <v>1756.4640262299999</v>
      </c>
      <c r="X46" s="7">
        <v>1715.81619503</v>
      </c>
      <c r="Y46" s="7">
        <v>1672.92079089</v>
      </c>
      <c r="Z46" s="7">
        <v>1631.09778321</v>
      </c>
      <c r="AA46" s="7">
        <v>1590.3203390900001</v>
      </c>
      <c r="AB46" s="7">
        <v>1550.5623320699999</v>
      </c>
      <c r="AC46" s="7">
        <v>1511.7982735200001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1.4325062</v>
      </c>
      <c r="E47" s="7">
        <v>1.34186501</v>
      </c>
      <c r="F47" s="7">
        <v>1.2781447100000001</v>
      </c>
      <c r="G47" s="7">
        <v>1.2347075999999999</v>
      </c>
      <c r="H47" s="7">
        <v>1.2045398899999999</v>
      </c>
      <c r="I47" s="7">
        <v>1.1842883399999999</v>
      </c>
      <c r="J47" s="7">
        <v>1.16281916</v>
      </c>
      <c r="K47" s="7">
        <v>1.0982742599999999</v>
      </c>
      <c r="L47" s="7">
        <v>1</v>
      </c>
      <c r="M47" s="7">
        <v>1.00152508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1.00000003</v>
      </c>
      <c r="Y47" s="7">
        <v>1.0019057899999999</v>
      </c>
      <c r="Z47" s="7">
        <v>1</v>
      </c>
      <c r="AA47" s="7">
        <v>1.0000000099999999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1.6118260799999999</v>
      </c>
      <c r="D48" s="7">
        <v>1.4325162</v>
      </c>
      <c r="E48" s="7">
        <v>1.3264449599999999</v>
      </c>
      <c r="F48" s="7">
        <v>1.2685669399999999</v>
      </c>
      <c r="G48" s="7">
        <v>1.21798578</v>
      </c>
      <c r="H48" s="7">
        <v>1.1850617400000001</v>
      </c>
      <c r="I48" s="7">
        <v>1.16281916</v>
      </c>
      <c r="J48" s="7">
        <v>1.0982742599999999</v>
      </c>
      <c r="K48" s="7">
        <v>1</v>
      </c>
      <c r="L48" s="7">
        <v>1.00152508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1.00000003</v>
      </c>
      <c r="X48" s="7">
        <v>1.0019057899999999</v>
      </c>
      <c r="Y48" s="7">
        <v>1</v>
      </c>
      <c r="Z48" s="7">
        <v>1.0000000099999999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1.4325162</v>
      </c>
      <c r="E49" s="7">
        <v>1.3418750100000001</v>
      </c>
      <c r="F49" s="7">
        <v>1.2781547099999999</v>
      </c>
      <c r="G49" s="7">
        <v>1.2347176</v>
      </c>
      <c r="H49" s="7">
        <v>1.20454989</v>
      </c>
      <c r="I49" s="7">
        <v>1.18429834</v>
      </c>
      <c r="J49" s="7">
        <v>1.1677013000000001</v>
      </c>
      <c r="K49" s="7">
        <v>1.16023063</v>
      </c>
      <c r="L49" s="7">
        <v>1.16266965</v>
      </c>
      <c r="M49" s="7">
        <v>1.16735218</v>
      </c>
      <c r="N49" s="7">
        <v>1.1733193</v>
      </c>
      <c r="O49" s="7">
        <v>1.1809730700000001</v>
      </c>
      <c r="P49" s="7">
        <v>1.18935546</v>
      </c>
      <c r="Q49" s="7">
        <v>1.1982165899999999</v>
      </c>
      <c r="R49" s="7">
        <v>1.2074730199999999</v>
      </c>
      <c r="S49" s="7">
        <v>1.2177208500000001</v>
      </c>
      <c r="T49" s="7">
        <v>1.22817826</v>
      </c>
      <c r="U49" s="7">
        <v>1.2392471</v>
      </c>
      <c r="V49" s="7">
        <v>1.25083301</v>
      </c>
      <c r="W49" s="7">
        <v>1.2630003700000001</v>
      </c>
      <c r="X49" s="7">
        <v>1.27577688</v>
      </c>
      <c r="Y49" s="7">
        <v>1.2874374500000001</v>
      </c>
      <c r="Z49" s="7">
        <v>1.29848944</v>
      </c>
      <c r="AA49" s="7">
        <v>1.3123906999999999</v>
      </c>
      <c r="AB49" s="7">
        <v>1.3267435299999999</v>
      </c>
      <c r="AC49" s="7">
        <v>1.34225858</v>
      </c>
    </row>
    <row r="50" spans="1:29" x14ac:dyDescent="0.85">
      <c r="A50" t="s">
        <v>148</v>
      </c>
      <c r="B50" s="7">
        <v>51156</v>
      </c>
      <c r="C50" s="7">
        <v>55281.173767319997</v>
      </c>
      <c r="D50" s="7">
        <v>59091.469977269997</v>
      </c>
      <c r="E50" s="7">
        <v>56727.811178180003</v>
      </c>
      <c r="F50" s="7">
        <v>54458.698731049997</v>
      </c>
      <c r="G50" s="7">
        <v>52280.350781809997</v>
      </c>
      <c r="H50" s="7">
        <v>50189.136750539998</v>
      </c>
      <c r="I50" s="7">
        <v>48181.571280520002</v>
      </c>
      <c r="J50" s="7">
        <v>46254.308442380003</v>
      </c>
      <c r="K50" s="7">
        <v>48529.549163349999</v>
      </c>
      <c r="L50" s="7">
        <v>51225.56678044</v>
      </c>
      <c r="M50" s="7">
        <v>53583.288684589999</v>
      </c>
      <c r="N50" s="7">
        <v>55662.841236810003</v>
      </c>
      <c r="O50" s="7">
        <v>57763.676958980002</v>
      </c>
      <c r="P50" s="7">
        <v>59941.813357599996</v>
      </c>
      <c r="Q50" s="7">
        <v>62202.823792260002</v>
      </c>
      <c r="R50" s="7">
        <v>64252.803426879997</v>
      </c>
      <c r="S50" s="7">
        <v>66421.922117809998</v>
      </c>
      <c r="T50" s="7">
        <v>68561.571379140005</v>
      </c>
      <c r="U50" s="7">
        <v>70720.433623610006</v>
      </c>
      <c r="V50" s="7">
        <v>72885.508250540006</v>
      </c>
      <c r="W50" s="7">
        <v>75058.845570720005</v>
      </c>
      <c r="X50" s="7">
        <v>77418.878447480005</v>
      </c>
      <c r="Y50" s="7">
        <v>80131.254090310002</v>
      </c>
      <c r="Z50" s="7">
        <v>82547.206306769993</v>
      </c>
      <c r="AA50" s="7">
        <v>85011.914952470004</v>
      </c>
      <c r="AB50" s="7">
        <v>87411.932283019996</v>
      </c>
      <c r="AC50" s="7">
        <v>89883.703516230002</v>
      </c>
    </row>
    <row r="51" spans="1:29" x14ac:dyDescent="0.85">
      <c r="A51" t="s">
        <v>149</v>
      </c>
      <c r="B51" s="7">
        <v>179977065.75</v>
      </c>
      <c r="C51" s="7">
        <v>189163177.13120499</v>
      </c>
      <c r="D51" s="7">
        <v>195260334.42525899</v>
      </c>
      <c r="E51" s="7">
        <v>166121003.908676</v>
      </c>
      <c r="F51" s="7">
        <v>139807856.19824299</v>
      </c>
      <c r="G51" s="7">
        <v>118221979.95587701</v>
      </c>
      <c r="H51" s="7">
        <v>98353839.362174094</v>
      </c>
      <c r="I51" s="7">
        <v>83039639.914422095</v>
      </c>
      <c r="J51" s="7">
        <v>75204594.338274196</v>
      </c>
      <c r="K51" s="7">
        <v>89369461.447065696</v>
      </c>
      <c r="L51" s="7">
        <v>101343885.043385</v>
      </c>
      <c r="M51" s="7">
        <v>110677873.44407199</v>
      </c>
      <c r="N51" s="7">
        <v>116795532.056934</v>
      </c>
      <c r="O51" s="7">
        <v>122508499.704932</v>
      </c>
      <c r="P51" s="7">
        <v>128217585.733734</v>
      </c>
      <c r="Q51" s="7">
        <v>134048480.37690701</v>
      </c>
      <c r="R51" s="7">
        <v>138988088.09784099</v>
      </c>
      <c r="S51" s="7">
        <v>144361633.61048201</v>
      </c>
      <c r="T51" s="7">
        <v>149557109.840615</v>
      </c>
      <c r="U51" s="7">
        <v>154766674.13151401</v>
      </c>
      <c r="V51" s="7">
        <v>159936108.60180199</v>
      </c>
      <c r="W51" s="7">
        <v>165070229.16461</v>
      </c>
      <c r="X51" s="7">
        <v>172297819.51248699</v>
      </c>
      <c r="Y51" s="7">
        <v>182999729.97132501</v>
      </c>
      <c r="Z51" s="7">
        <v>189479167.48780099</v>
      </c>
      <c r="AA51" s="7">
        <v>196365102.769961</v>
      </c>
      <c r="AB51" s="7">
        <v>202405465.41165599</v>
      </c>
      <c r="AC51" s="7">
        <v>209059700.939657</v>
      </c>
    </row>
    <row r="52" spans="1:29" x14ac:dyDescent="0.85">
      <c r="A52" t="s">
        <v>150</v>
      </c>
      <c r="B52" s="7">
        <v>179977065.75</v>
      </c>
      <c r="C52" s="7">
        <v>189163177.13120499</v>
      </c>
      <c r="D52" s="7">
        <v>195260334.42525899</v>
      </c>
      <c r="E52" s="7">
        <v>166121003.908676</v>
      </c>
      <c r="F52" s="7">
        <v>139807856.19824299</v>
      </c>
      <c r="G52" s="7">
        <v>118221979.95587701</v>
      </c>
      <c r="H52" s="7">
        <v>98353839.362174094</v>
      </c>
      <c r="I52" s="7">
        <v>83039639.914422095</v>
      </c>
      <c r="J52" s="7">
        <v>75204594.338274196</v>
      </c>
      <c r="K52" s="7">
        <v>89369461.447065696</v>
      </c>
      <c r="L52" s="7">
        <v>101343885.043385</v>
      </c>
      <c r="M52" s="7">
        <v>110677873.44407199</v>
      </c>
      <c r="N52" s="7">
        <v>116795532.056934</v>
      </c>
      <c r="O52" s="7">
        <v>122508499.704932</v>
      </c>
      <c r="P52" s="7">
        <v>128217585.733734</v>
      </c>
      <c r="Q52" s="7">
        <v>134048480.37690701</v>
      </c>
      <c r="R52" s="7">
        <v>138988088.09784099</v>
      </c>
      <c r="S52" s="7">
        <v>144361633.61048201</v>
      </c>
      <c r="T52" s="7">
        <v>149557109.840615</v>
      </c>
      <c r="U52" s="7">
        <v>154766674.13151401</v>
      </c>
      <c r="V52" s="7">
        <v>159936108.60180199</v>
      </c>
      <c r="W52" s="7">
        <v>165070229.16461</v>
      </c>
      <c r="X52" s="7">
        <v>172297819.51248699</v>
      </c>
      <c r="Y52" s="7">
        <v>182999729.97132501</v>
      </c>
      <c r="Z52" s="7">
        <v>189479167.48780099</v>
      </c>
      <c r="AA52" s="7">
        <v>196365102.769961</v>
      </c>
      <c r="AB52" s="7">
        <v>202405465.41165599</v>
      </c>
      <c r="AC52" s="7">
        <v>209059700.939657</v>
      </c>
    </row>
    <row r="53" spans="1:29" x14ac:dyDescent="0.85">
      <c r="A53" t="s">
        <v>151</v>
      </c>
      <c r="B53" s="7">
        <v>14092.560631910001</v>
      </c>
      <c r="C53" s="7">
        <v>15098.99134764</v>
      </c>
      <c r="D53" s="7">
        <v>15970.33884142</v>
      </c>
      <c r="E53" s="7">
        <v>14811.09970956</v>
      </c>
      <c r="F53" s="7">
        <v>13738.749016850001</v>
      </c>
      <c r="G53" s="7">
        <v>12798.956143519999</v>
      </c>
      <c r="H53" s="7">
        <v>11917.599919730001</v>
      </c>
      <c r="I53" s="7">
        <v>11163.22280363</v>
      </c>
      <c r="J53" s="7">
        <v>10606.56547046</v>
      </c>
      <c r="K53" s="7">
        <v>11383.660269919999</v>
      </c>
      <c r="L53" s="7">
        <v>12187.10352601</v>
      </c>
      <c r="M53" s="7">
        <v>12861.96644952</v>
      </c>
      <c r="N53" s="7">
        <v>13405.599453700001</v>
      </c>
      <c r="O53" s="7">
        <v>13943.39409559</v>
      </c>
      <c r="P53" s="7">
        <v>14495.753169690001</v>
      </c>
      <c r="Q53" s="7">
        <v>15066.80043831</v>
      </c>
      <c r="R53" s="7">
        <v>15576.080852540001</v>
      </c>
      <c r="S53" s="7">
        <v>16118.542638229999</v>
      </c>
      <c r="T53" s="7">
        <v>16651.071010470001</v>
      </c>
      <c r="U53" s="7">
        <v>17187.58664261</v>
      </c>
      <c r="V53" s="7">
        <v>17724.30121075</v>
      </c>
      <c r="W53" s="7">
        <v>18261.721039960001</v>
      </c>
      <c r="X53" s="7">
        <v>18885.626099140001</v>
      </c>
      <c r="Y53" s="7">
        <v>19661.122137539998</v>
      </c>
      <c r="Z53" s="7">
        <v>20277.37669795</v>
      </c>
      <c r="AA53" s="7">
        <v>20912.795874340001</v>
      </c>
      <c r="AB53" s="7">
        <v>21515.315148320002</v>
      </c>
      <c r="AC53" s="7">
        <v>22146.420185489998</v>
      </c>
    </row>
    <row r="54" spans="1:29" x14ac:dyDescent="0.85">
      <c r="A54" t="s">
        <v>152</v>
      </c>
      <c r="B54" s="7">
        <v>0</v>
      </c>
      <c r="C54" s="7">
        <v>18537.991358859999</v>
      </c>
      <c r="D54" s="7">
        <v>19135.512773679999</v>
      </c>
      <c r="E54" s="7">
        <v>16279.858383049999</v>
      </c>
      <c r="F54" s="7">
        <v>13701.16990743</v>
      </c>
      <c r="G54" s="7">
        <v>11585.75403568</v>
      </c>
      <c r="H54" s="7">
        <v>9638.6762574900004</v>
      </c>
      <c r="I54" s="7">
        <v>8137.8847116099996</v>
      </c>
      <c r="J54" s="7">
        <v>7370.0502451499997</v>
      </c>
      <c r="K54" s="7">
        <v>8758.2072218100002</v>
      </c>
      <c r="L54" s="7">
        <v>9931.7007342500001</v>
      </c>
      <c r="M54" s="7">
        <v>10846.431597520001</v>
      </c>
      <c r="N54" s="7">
        <v>11445.962141579999</v>
      </c>
      <c r="O54" s="7">
        <v>12005.832971080001</v>
      </c>
      <c r="P54" s="7">
        <v>12565.32340191</v>
      </c>
      <c r="Q54" s="7">
        <v>13136.75107694</v>
      </c>
      <c r="R54" s="7">
        <v>13620.83263359</v>
      </c>
      <c r="S54" s="7">
        <v>14147.44009383</v>
      </c>
      <c r="T54" s="7">
        <v>14656.59676438</v>
      </c>
      <c r="U54" s="7">
        <v>15167.13406489</v>
      </c>
      <c r="V54" s="7">
        <v>15673.738642980001</v>
      </c>
      <c r="W54" s="7">
        <v>16176.88245813</v>
      </c>
      <c r="X54" s="7">
        <v>16885.186312220001</v>
      </c>
      <c r="Y54" s="7">
        <v>17933.973537189999</v>
      </c>
      <c r="Z54" s="7">
        <v>18568.958413799999</v>
      </c>
      <c r="AA54" s="7">
        <v>19243.780071460002</v>
      </c>
      <c r="AB54" s="7">
        <v>19835.735610340002</v>
      </c>
      <c r="AC54" s="7">
        <v>20487.85069209</v>
      </c>
    </row>
    <row r="55" spans="1:29" x14ac:dyDescent="0.85">
      <c r="A55" t="s">
        <v>153</v>
      </c>
      <c r="B55" s="7">
        <v>88.188762220000001</v>
      </c>
      <c r="C55" s="7">
        <v>92.689956789999997</v>
      </c>
      <c r="D55" s="7">
        <v>95.67756387</v>
      </c>
      <c r="E55" s="7">
        <v>81.399291919999996</v>
      </c>
      <c r="F55" s="7">
        <v>68.50584954</v>
      </c>
      <c r="G55" s="7">
        <v>57.928770180000001</v>
      </c>
      <c r="H55" s="7">
        <v>48.193381289999998</v>
      </c>
      <c r="I55" s="7">
        <v>40.689423560000002</v>
      </c>
      <c r="J55" s="7">
        <v>36.850251229999998</v>
      </c>
      <c r="K55" s="7">
        <v>43.79103611</v>
      </c>
      <c r="L55" s="7">
        <v>49.658503670000002</v>
      </c>
      <c r="M55" s="7">
        <v>54.232157989999997</v>
      </c>
      <c r="N55" s="7">
        <v>57.229810710000002</v>
      </c>
      <c r="O55" s="7">
        <v>60.029164860000002</v>
      </c>
      <c r="P55" s="7">
        <v>62.82661701</v>
      </c>
      <c r="Q55" s="7">
        <v>65.683755379999994</v>
      </c>
      <c r="R55" s="7">
        <v>68.104163170000007</v>
      </c>
      <c r="S55" s="7">
        <v>70.737200470000005</v>
      </c>
      <c r="T55" s="7">
        <v>73.282983819999998</v>
      </c>
      <c r="U55" s="7">
        <v>75.835670320000006</v>
      </c>
      <c r="V55" s="7">
        <v>78.368693210000004</v>
      </c>
      <c r="W55" s="7">
        <v>80.88441229</v>
      </c>
      <c r="X55" s="7">
        <v>84.425931559999995</v>
      </c>
      <c r="Y55" s="7">
        <v>89.669867690000004</v>
      </c>
      <c r="Z55" s="7">
        <v>92.844792069999997</v>
      </c>
      <c r="AA55" s="7">
        <v>96.218900360000006</v>
      </c>
      <c r="AB55" s="7">
        <v>99.178678050000002</v>
      </c>
      <c r="AC55" s="7">
        <v>102.43925346</v>
      </c>
    </row>
    <row r="56" spans="1:29" x14ac:dyDescent="0.85">
      <c r="A56" t="s">
        <v>154</v>
      </c>
      <c r="B56" s="7">
        <v>9701.1202276099993</v>
      </c>
      <c r="C56" s="7">
        <v>10483.409825639999</v>
      </c>
      <c r="D56" s="7">
        <v>11205.986681439999</v>
      </c>
      <c r="E56" s="7">
        <v>10757.747214180001</v>
      </c>
      <c r="F56" s="7">
        <v>10327.43732562</v>
      </c>
      <c r="G56" s="7">
        <v>9914.3398325899998</v>
      </c>
      <c r="H56" s="7">
        <v>9517.7662392900002</v>
      </c>
      <c r="I56" s="7">
        <v>9137.0555897199993</v>
      </c>
      <c r="J56" s="7">
        <v>8771.5733686099993</v>
      </c>
      <c r="K56" s="7">
        <v>9203.0454106199995</v>
      </c>
      <c r="L56" s="7">
        <v>9714.3127309499996</v>
      </c>
      <c r="M56" s="7">
        <v>10161.426337479999</v>
      </c>
      <c r="N56" s="7">
        <v>10555.788471510001</v>
      </c>
      <c r="O56" s="7">
        <v>10954.186702790001</v>
      </c>
      <c r="P56" s="7">
        <v>11367.244077789999</v>
      </c>
      <c r="Q56" s="7">
        <v>11796.017517120001</v>
      </c>
      <c r="R56" s="7">
        <v>12184.77150296</v>
      </c>
      <c r="S56" s="7">
        <v>12596.11877813</v>
      </c>
      <c r="T56" s="7">
        <v>13001.87753036</v>
      </c>
      <c r="U56" s="7">
        <v>13411.2797938</v>
      </c>
      <c r="V56" s="7">
        <v>13821.86016086</v>
      </c>
      <c r="W56" s="7">
        <v>14234.00744834</v>
      </c>
      <c r="X56" s="7">
        <v>14681.559303030001</v>
      </c>
      <c r="Y56" s="7">
        <v>15195.928726239999</v>
      </c>
      <c r="Z56" s="7">
        <v>15654.085011249999</v>
      </c>
      <c r="AA56" s="7">
        <v>16121.48736675</v>
      </c>
      <c r="AB56" s="7">
        <v>16576.621792270002</v>
      </c>
      <c r="AC56" s="7">
        <v>17045.363482559998</v>
      </c>
    </row>
    <row r="57" spans="1:29" x14ac:dyDescent="0.85">
      <c r="A57" t="s">
        <v>155</v>
      </c>
      <c r="B57" s="7">
        <v>4391.4404043000004</v>
      </c>
      <c r="C57" s="7">
        <v>4615.5815220000004</v>
      </c>
      <c r="D57" s="7">
        <v>4764.3521599799997</v>
      </c>
      <c r="E57" s="7">
        <v>4053.3524953699998</v>
      </c>
      <c r="F57" s="7">
        <v>3411.3116912400001</v>
      </c>
      <c r="G57" s="7">
        <v>2884.6163109200002</v>
      </c>
      <c r="H57" s="7">
        <v>2399.8336804400001</v>
      </c>
      <c r="I57" s="7">
        <v>2026.1672139100001</v>
      </c>
      <c r="J57" s="7">
        <v>1834.9921018499999</v>
      </c>
      <c r="K57" s="7">
        <v>2180.6148593100002</v>
      </c>
      <c r="L57" s="7">
        <v>2472.7907950600002</v>
      </c>
      <c r="M57" s="7">
        <v>2700.5401120400002</v>
      </c>
      <c r="N57" s="7">
        <v>2849.8109821899998</v>
      </c>
      <c r="O57" s="7">
        <v>2989.2073928</v>
      </c>
      <c r="P57" s="7">
        <v>3128.5090918999999</v>
      </c>
      <c r="Q57" s="7">
        <v>3270.7829212000001</v>
      </c>
      <c r="R57" s="7">
        <v>3391.3093495899998</v>
      </c>
      <c r="S57" s="7">
        <v>3522.4238601000002</v>
      </c>
      <c r="T57" s="7">
        <v>3649.1934801100001</v>
      </c>
      <c r="U57" s="7">
        <v>3776.3068488099998</v>
      </c>
      <c r="V57" s="7">
        <v>3902.4410498799998</v>
      </c>
      <c r="W57" s="7">
        <v>4027.71359162</v>
      </c>
      <c r="X57" s="7">
        <v>4204.0667960999999</v>
      </c>
      <c r="Y57" s="7">
        <v>4465.1934112999998</v>
      </c>
      <c r="Z57" s="7">
        <v>4623.2916867000004</v>
      </c>
      <c r="AA57" s="7">
        <v>4791.3085075899999</v>
      </c>
      <c r="AB57" s="7">
        <v>4938.6933560400003</v>
      </c>
      <c r="AC57" s="7">
        <v>5101.05670293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1.1256657299999999</v>
      </c>
      <c r="E58" s="7">
        <v>1.1134643200000001</v>
      </c>
      <c r="F58" s="7">
        <v>1</v>
      </c>
      <c r="G58" s="7">
        <v>1</v>
      </c>
      <c r="H58" s="7">
        <v>1</v>
      </c>
      <c r="I58" s="7">
        <v>1</v>
      </c>
      <c r="J58" s="7">
        <v>1</v>
      </c>
      <c r="K58" s="7">
        <v>1</v>
      </c>
      <c r="L58" s="7">
        <v>1.0929060500000001</v>
      </c>
      <c r="M58" s="7">
        <v>1.09953557</v>
      </c>
      <c r="N58" s="7">
        <v>1.0896106999999999</v>
      </c>
      <c r="O58" s="7">
        <v>1.0820934600000001</v>
      </c>
      <c r="P58" s="7">
        <v>1.0809814099999999</v>
      </c>
      <c r="Q58" s="7">
        <v>1.0809455400000001</v>
      </c>
      <c r="R58" s="7">
        <v>1.08095842</v>
      </c>
      <c r="S58" s="7">
        <v>1.0759962199999999</v>
      </c>
      <c r="T58" s="7">
        <v>1.0768324300000001</v>
      </c>
      <c r="U58" s="7">
        <v>1.07522187</v>
      </c>
      <c r="V58" s="7">
        <v>1.0744666</v>
      </c>
      <c r="W58" s="7">
        <v>1.07355683</v>
      </c>
      <c r="X58" s="7">
        <v>1.07272762</v>
      </c>
      <c r="Y58" s="7">
        <v>1.0744191999999999</v>
      </c>
      <c r="Z58" s="7">
        <v>1.07816153</v>
      </c>
      <c r="AA58" s="7">
        <v>1.07307285</v>
      </c>
      <c r="AB58" s="7">
        <v>1.0727689300000001</v>
      </c>
      <c r="AC58" s="7">
        <v>1.07107452</v>
      </c>
    </row>
    <row r="59" spans="1:29" x14ac:dyDescent="0.85">
      <c r="A59" t="s">
        <v>157</v>
      </c>
      <c r="B59" s="7">
        <v>1</v>
      </c>
      <c r="C59" s="7">
        <v>1.1256657299999999</v>
      </c>
      <c r="D59" s="7">
        <v>1.1134643200000001</v>
      </c>
      <c r="E59" s="7">
        <v>1</v>
      </c>
      <c r="F59" s="7">
        <v>1</v>
      </c>
      <c r="G59" s="7">
        <v>1</v>
      </c>
      <c r="H59" s="7">
        <v>1</v>
      </c>
      <c r="I59" s="7">
        <v>1</v>
      </c>
      <c r="J59" s="7">
        <v>1</v>
      </c>
      <c r="K59" s="7">
        <v>1.0929060500000001</v>
      </c>
      <c r="L59" s="7">
        <v>1.09953557</v>
      </c>
      <c r="M59" s="7">
        <v>1.0896106999999999</v>
      </c>
      <c r="N59" s="7">
        <v>1.0820934600000001</v>
      </c>
      <c r="O59" s="7">
        <v>1.0809814099999999</v>
      </c>
      <c r="P59" s="7">
        <v>1.0809455400000001</v>
      </c>
      <c r="Q59" s="7">
        <v>1.08095842</v>
      </c>
      <c r="R59" s="7">
        <v>1.0759962199999999</v>
      </c>
      <c r="S59" s="7">
        <v>1.0768324300000001</v>
      </c>
      <c r="T59" s="7">
        <v>1.07522187</v>
      </c>
      <c r="U59" s="7">
        <v>1.0744666</v>
      </c>
      <c r="V59" s="7">
        <v>1.07355683</v>
      </c>
      <c r="W59" s="7">
        <v>1.07272762</v>
      </c>
      <c r="X59" s="7">
        <v>1.0744191999999999</v>
      </c>
      <c r="Y59" s="7">
        <v>1.07816153</v>
      </c>
      <c r="Z59" s="7">
        <v>1.07307285</v>
      </c>
      <c r="AA59" s="7">
        <v>1.0727689300000001</v>
      </c>
      <c r="AB59" s="7">
        <v>1.07107452</v>
      </c>
      <c r="AC59" s="7">
        <v>1.07112216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1.1271083099999999</v>
      </c>
      <c r="E60" s="7">
        <v>1.1292008600000001</v>
      </c>
      <c r="F60" s="7">
        <v>1.13798898</v>
      </c>
      <c r="G60" s="7">
        <v>1.1464374799999999</v>
      </c>
      <c r="H60" s="7">
        <v>1.15443042</v>
      </c>
      <c r="I60" s="7">
        <v>1.1640427200000001</v>
      </c>
      <c r="J60" s="7">
        <v>1.1729283500000001</v>
      </c>
      <c r="K60" s="7">
        <v>1.18195366</v>
      </c>
      <c r="L60" s="7">
        <v>1.17311934</v>
      </c>
      <c r="M60" s="7">
        <v>1.1662988599999999</v>
      </c>
      <c r="N60" s="7">
        <v>1.1618872</v>
      </c>
      <c r="O60" s="7">
        <v>1.1598196599999999</v>
      </c>
      <c r="P60" s="7">
        <v>1.15820678</v>
      </c>
      <c r="Q60" s="7">
        <v>1.15664944</v>
      </c>
      <c r="R60" s="7">
        <v>1.1550587999999999</v>
      </c>
      <c r="S60" s="7">
        <v>1.1544495100000001</v>
      </c>
      <c r="T60" s="7">
        <v>1.1535141799999999</v>
      </c>
      <c r="U60" s="7">
        <v>1.1528192900000001</v>
      </c>
      <c r="V60" s="7">
        <v>1.1521799800000001</v>
      </c>
      <c r="W60" s="7">
        <v>1.15163853</v>
      </c>
      <c r="X60" s="7">
        <v>1.15118414</v>
      </c>
      <c r="Y60" s="7">
        <v>1.14990587</v>
      </c>
      <c r="Z60" s="7">
        <v>1.14742799</v>
      </c>
      <c r="AA60" s="7">
        <v>1.14662628</v>
      </c>
      <c r="AB60" s="7">
        <v>1.1457659</v>
      </c>
      <c r="AC60" s="7">
        <v>1.1452869000000001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</row>
    <row r="62" spans="1:29" x14ac:dyDescent="0.85">
      <c r="A62" t="s">
        <v>160</v>
      </c>
      <c r="B62" s="7">
        <v>69524120</v>
      </c>
      <c r="C62" s="7">
        <v>34695487.055843301</v>
      </c>
      <c r="D62" s="7">
        <v>2.99405214</v>
      </c>
      <c r="E62" s="7">
        <v>2.703E-5</v>
      </c>
      <c r="F62" s="7">
        <v>1E-8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69524120</v>
      </c>
      <c r="C63" s="7">
        <v>34696220.830360897</v>
      </c>
      <c r="D63" s="7">
        <v>2.9947833199999998</v>
      </c>
      <c r="E63" s="7">
        <v>2.7169999999999999E-5</v>
      </c>
      <c r="F63" s="7">
        <v>1E-8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9849.9448246699994</v>
      </c>
      <c r="C64" s="7">
        <v>8833.36574922</v>
      </c>
      <c r="D64" s="7">
        <v>7824.9968547999997</v>
      </c>
      <c r="E64" s="7">
        <v>7629.3718654599998</v>
      </c>
      <c r="F64" s="7">
        <v>7438.6375688199996</v>
      </c>
      <c r="G64" s="7">
        <v>7252.6716296000004</v>
      </c>
      <c r="H64" s="7">
        <v>7071.3548388600002</v>
      </c>
      <c r="I64" s="7">
        <v>6894.5709678900002</v>
      </c>
      <c r="J64" s="7">
        <v>6722.2066936900001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</row>
    <row r="65" spans="1:29" x14ac:dyDescent="0.85">
      <c r="A65" t="s">
        <v>163</v>
      </c>
      <c r="B65" s="7">
        <v>0</v>
      </c>
      <c r="C65" s="7">
        <v>5690.1802161799997</v>
      </c>
      <c r="D65" s="7">
        <v>4.9114000000000004E-4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28.450901080000001</v>
      </c>
      <c r="D66" s="7">
        <v>2.4600000000000002E-6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</row>
    <row r="68" spans="1:29" x14ac:dyDescent="0.85">
      <c r="A68" t="s">
        <v>166</v>
      </c>
      <c r="B68" s="7">
        <v>1618.5215135999999</v>
      </c>
      <c r="C68" s="7">
        <v>807.72802092999996</v>
      </c>
      <c r="D68" s="7">
        <v>6.9720000000000003E-5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0.51184923000000004</v>
      </c>
      <c r="E69" s="7">
        <v>8.9999999999999999E-8</v>
      </c>
      <c r="F69" s="7">
        <v>9.3100000000000006E-6</v>
      </c>
      <c r="G69" s="7">
        <v>2.1314000000000001E-4</v>
      </c>
      <c r="H69" s="7">
        <v>0</v>
      </c>
      <c r="I69" s="7">
        <v>2.092E-5</v>
      </c>
      <c r="J69" s="7">
        <v>7.3486999999999999E-4</v>
      </c>
      <c r="K69" s="7">
        <v>2.3735999999999999E-4</v>
      </c>
      <c r="L69" s="7">
        <v>2.8540999999999999E-4</v>
      </c>
      <c r="M69" s="7">
        <v>0.46887280999999997</v>
      </c>
      <c r="N69" s="7">
        <v>0.47820351999999999</v>
      </c>
      <c r="O69" s="7">
        <v>0.99999978</v>
      </c>
      <c r="P69" s="7">
        <v>0.99679936000000002</v>
      </c>
      <c r="Q69" s="7">
        <v>0.99701655</v>
      </c>
      <c r="R69" s="7">
        <v>1</v>
      </c>
      <c r="S69" s="7">
        <v>0.99996722000000005</v>
      </c>
      <c r="T69" s="7">
        <v>0.98507997000000003</v>
      </c>
      <c r="U69" s="7">
        <v>0.98667139000000004</v>
      </c>
      <c r="V69" s="7">
        <v>0.99004685000000003</v>
      </c>
      <c r="W69" s="7">
        <v>0.96613919999999998</v>
      </c>
      <c r="X69" s="7">
        <v>0.99999537999999999</v>
      </c>
      <c r="Y69" s="7">
        <v>0.99455209</v>
      </c>
      <c r="Z69" s="7">
        <v>0.98456805999999997</v>
      </c>
      <c r="AA69" s="7">
        <v>0.9907743</v>
      </c>
      <c r="AB69" s="7">
        <v>0.99066993999999997</v>
      </c>
      <c r="AC69" s="7">
        <v>0.96558838000000002</v>
      </c>
    </row>
    <row r="70" spans="1:29" x14ac:dyDescent="0.85">
      <c r="A70" t="s">
        <v>168</v>
      </c>
      <c r="B70" s="7">
        <v>1</v>
      </c>
      <c r="C70" s="7">
        <v>0.51184923000000004</v>
      </c>
      <c r="D70" s="7">
        <v>8.9999999999999999E-8</v>
      </c>
      <c r="E70" s="7">
        <v>9.3100000000000006E-6</v>
      </c>
      <c r="F70" s="7">
        <v>2.1314000000000001E-4</v>
      </c>
      <c r="G70" s="7">
        <v>0</v>
      </c>
      <c r="H70" s="7">
        <v>2.092E-5</v>
      </c>
      <c r="I70" s="7">
        <v>7.3486999999999999E-4</v>
      </c>
      <c r="J70" s="7">
        <v>2.3735999999999999E-4</v>
      </c>
      <c r="K70" s="7">
        <v>2.8540999999999999E-4</v>
      </c>
      <c r="L70" s="7">
        <v>0.46887280999999997</v>
      </c>
      <c r="M70" s="7">
        <v>0.47820351999999999</v>
      </c>
      <c r="N70" s="7">
        <v>0.99999978</v>
      </c>
      <c r="O70" s="7">
        <v>0.99679936000000002</v>
      </c>
      <c r="P70" s="7">
        <v>0.99701655</v>
      </c>
      <c r="Q70" s="7">
        <v>1</v>
      </c>
      <c r="R70" s="7">
        <v>0.99996722000000005</v>
      </c>
      <c r="S70" s="7">
        <v>0.98507997000000003</v>
      </c>
      <c r="T70" s="7">
        <v>0.98667139000000004</v>
      </c>
      <c r="U70" s="7">
        <v>0.99004685000000003</v>
      </c>
      <c r="V70" s="7">
        <v>0.96613919999999998</v>
      </c>
      <c r="W70" s="7">
        <v>0.99999537999999999</v>
      </c>
      <c r="X70" s="7">
        <v>0.99455209</v>
      </c>
      <c r="Y70" s="7">
        <v>0.98456805999999997</v>
      </c>
      <c r="Z70" s="7">
        <v>0.9907743</v>
      </c>
      <c r="AA70" s="7">
        <v>0.99066993999999997</v>
      </c>
      <c r="AB70" s="7">
        <v>0.96558838000000002</v>
      </c>
      <c r="AC70" s="7">
        <v>0.96180496000000004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2.0795638099999998</v>
      </c>
      <c r="E71" s="7">
        <v>2.2043304699999999</v>
      </c>
      <c r="F71" s="7">
        <v>2.2799547100000002</v>
      </c>
      <c r="G71" s="7">
        <v>2.34940076</v>
      </c>
      <c r="H71" s="7">
        <v>2.41169564</v>
      </c>
      <c r="I71" s="7">
        <v>2.4882656600000002</v>
      </c>
      <c r="J71" s="7">
        <v>2.5548571199999999</v>
      </c>
      <c r="K71" s="7">
        <v>2.6204323700000001</v>
      </c>
      <c r="L71" s="7">
        <v>2.64826864</v>
      </c>
      <c r="M71" s="7">
        <v>2.70427442</v>
      </c>
      <c r="N71" s="7">
        <v>2.7724801499999998</v>
      </c>
      <c r="O71" s="7">
        <v>2.8599647799999999</v>
      </c>
      <c r="P71" s="7">
        <v>2.95577771</v>
      </c>
      <c r="Q71" s="7">
        <v>3.0570628000000002</v>
      </c>
      <c r="R71" s="7">
        <v>3.1628662300000001</v>
      </c>
      <c r="S71" s="7">
        <v>3.28000165</v>
      </c>
      <c r="T71" s="7">
        <v>3.3995325799999998</v>
      </c>
      <c r="U71" s="7">
        <v>3.5260523099999999</v>
      </c>
      <c r="V71" s="7">
        <v>3.65848233</v>
      </c>
      <c r="W71" s="7">
        <v>3.7975584599999999</v>
      </c>
      <c r="X71" s="7">
        <v>3.9435975299999999</v>
      </c>
      <c r="Y71" s="7">
        <v>4.0827066900000002</v>
      </c>
      <c r="Z71" s="7">
        <v>4.2092746300000004</v>
      </c>
      <c r="AA71" s="7">
        <v>4.3684725000000002</v>
      </c>
      <c r="AB71" s="7">
        <v>4.5328418399999997</v>
      </c>
      <c r="AC71" s="7">
        <v>4.7105209700000001</v>
      </c>
    </row>
    <row r="72" spans="1:29" x14ac:dyDescent="0.85">
      <c r="A72" t="s">
        <v>170</v>
      </c>
      <c r="B72" s="7">
        <v>0</v>
      </c>
      <c r="C72" s="7">
        <v>0</v>
      </c>
      <c r="D72" s="7">
        <v>0</v>
      </c>
      <c r="E72" s="7">
        <v>12.5647444</v>
      </c>
      <c r="F72" s="7">
        <v>11.33046775</v>
      </c>
      <c r="G72" s="7">
        <v>186.53273802000001</v>
      </c>
      <c r="H72" s="7">
        <v>168.67935811000001</v>
      </c>
      <c r="I72" s="7">
        <v>346.76569006</v>
      </c>
      <c r="J72" s="7">
        <v>2852.6215189099998</v>
      </c>
      <c r="K72" s="7">
        <v>5189.6596156200003</v>
      </c>
      <c r="L72" s="7">
        <v>4670.69365406</v>
      </c>
      <c r="M72" s="7">
        <v>4203.6778321199999</v>
      </c>
      <c r="N72" s="7">
        <v>3783.41776931</v>
      </c>
      <c r="O72" s="7">
        <v>3405.1115716200002</v>
      </c>
      <c r="P72" s="7">
        <v>3064.64868007</v>
      </c>
      <c r="Q72" s="7">
        <v>2758.7659070300001</v>
      </c>
      <c r="R72" s="7">
        <v>2483.38450066</v>
      </c>
      <c r="S72" s="7">
        <v>2235.04605059</v>
      </c>
      <c r="T72" s="7">
        <v>2011.90709821</v>
      </c>
      <c r="U72" s="7">
        <v>1810.7163904900001</v>
      </c>
      <c r="V72" s="7">
        <v>1629.64501842</v>
      </c>
      <c r="W72" s="7">
        <v>1466.6806047</v>
      </c>
      <c r="X72" s="7">
        <v>1322.5316419999999</v>
      </c>
      <c r="Y72" s="7">
        <v>1190.43858084</v>
      </c>
      <c r="Z72" s="7">
        <v>1071.3947227599999</v>
      </c>
      <c r="AA72" s="7">
        <v>964.25678031999996</v>
      </c>
      <c r="AB72" s="7">
        <v>867.83704084999999</v>
      </c>
      <c r="AC72" s="7">
        <v>781.09149130000003</v>
      </c>
    </row>
    <row r="73" spans="1:29" x14ac:dyDescent="0.85">
      <c r="A73" t="s">
        <v>171</v>
      </c>
      <c r="B73" s="7">
        <v>0</v>
      </c>
      <c r="C73" s="7">
        <v>0</v>
      </c>
      <c r="D73" s="7">
        <v>0</v>
      </c>
      <c r="E73" s="7">
        <v>3.14117757</v>
      </c>
      <c r="F73" s="7">
        <v>2.8325963299999999</v>
      </c>
      <c r="G73" s="7">
        <v>46.633184200000002</v>
      </c>
      <c r="H73" s="7">
        <v>42.16983913</v>
      </c>
      <c r="I73" s="7">
        <v>86.688382349999998</v>
      </c>
      <c r="J73" s="7">
        <v>1648.51251402</v>
      </c>
      <c r="K73" s="7">
        <v>2574.79946819</v>
      </c>
      <c r="L73" s="7">
        <v>1958.5365600099999</v>
      </c>
      <c r="M73" s="7">
        <v>1828.6948015299999</v>
      </c>
      <c r="N73" s="7">
        <v>1763.92028321</v>
      </c>
      <c r="O73" s="7">
        <v>1594.45909689</v>
      </c>
      <c r="P73" s="7">
        <v>1399.3933522499999</v>
      </c>
      <c r="Q73" s="7">
        <v>1192.2806136199999</v>
      </c>
      <c r="R73" s="7">
        <v>944.68935654999996</v>
      </c>
      <c r="S73" s="7">
        <v>781.31677117000004</v>
      </c>
      <c r="T73" s="7">
        <v>663.08129016999999</v>
      </c>
      <c r="U73" s="7">
        <v>565.79771767</v>
      </c>
      <c r="V73" s="7">
        <v>496.32932118000002</v>
      </c>
      <c r="W73" s="7">
        <v>433.52940647999998</v>
      </c>
      <c r="X73" s="7">
        <v>379.99379556000002</v>
      </c>
      <c r="Y73" s="7">
        <v>331.28424466000001</v>
      </c>
      <c r="Z73" s="7">
        <v>267.84866934000001</v>
      </c>
      <c r="AA73" s="7">
        <v>241.06419296000001</v>
      </c>
      <c r="AB73" s="7">
        <v>216.95925683999999</v>
      </c>
      <c r="AC73" s="7">
        <v>195.27244590999999</v>
      </c>
    </row>
    <row r="74" spans="1:29" x14ac:dyDescent="0.85">
      <c r="A74" t="s">
        <v>172</v>
      </c>
      <c r="B74" s="7">
        <v>0</v>
      </c>
      <c r="C74" s="7">
        <v>0</v>
      </c>
      <c r="D74" s="7">
        <v>0</v>
      </c>
      <c r="E74" s="7">
        <v>3.14117757</v>
      </c>
      <c r="F74" s="7">
        <v>2.8325963299999999</v>
      </c>
      <c r="G74" s="7">
        <v>46.633184200000002</v>
      </c>
      <c r="H74" s="7">
        <v>42.16983913</v>
      </c>
      <c r="I74" s="7">
        <v>86.688382349999998</v>
      </c>
      <c r="J74" s="7">
        <v>1648.51251402</v>
      </c>
      <c r="K74" s="7">
        <v>2574.79946819</v>
      </c>
      <c r="L74" s="7">
        <v>1958.5365600099999</v>
      </c>
      <c r="M74" s="7">
        <v>1828.6948015299999</v>
      </c>
      <c r="N74" s="7">
        <v>1763.92028321</v>
      </c>
      <c r="O74" s="7">
        <v>1594.45909689</v>
      </c>
      <c r="P74" s="7">
        <v>1399.3933522499999</v>
      </c>
      <c r="Q74" s="7">
        <v>1192.2806136199999</v>
      </c>
      <c r="R74" s="7">
        <v>944.68935654999996</v>
      </c>
      <c r="S74" s="7">
        <v>781.31677117000004</v>
      </c>
      <c r="T74" s="7">
        <v>663.08129016999999</v>
      </c>
      <c r="U74" s="7">
        <v>565.79771767</v>
      </c>
      <c r="V74" s="7">
        <v>496.32932118000002</v>
      </c>
      <c r="W74" s="7">
        <v>433.52940647999998</v>
      </c>
      <c r="X74" s="7">
        <v>379.99379556000002</v>
      </c>
      <c r="Y74" s="7">
        <v>331.28424466000001</v>
      </c>
      <c r="Z74" s="7">
        <v>267.84866934000001</v>
      </c>
      <c r="AA74" s="7">
        <v>241.06419296000001</v>
      </c>
      <c r="AB74" s="7">
        <v>216.95925683999999</v>
      </c>
      <c r="AC74" s="7">
        <v>195.27244590999999</v>
      </c>
    </row>
    <row r="75" spans="1:29" x14ac:dyDescent="0.85">
      <c r="A75" t="s">
        <v>173</v>
      </c>
      <c r="B75" s="7">
        <v>0</v>
      </c>
      <c r="C75" s="7">
        <v>0</v>
      </c>
      <c r="D75" s="7">
        <v>0</v>
      </c>
      <c r="E75" s="7">
        <v>3.3368179900000001</v>
      </c>
      <c r="F75" s="7">
        <v>3.00903126</v>
      </c>
      <c r="G75" s="7">
        <v>49.537481739999997</v>
      </c>
      <c r="H75" s="7">
        <v>44.796161310000002</v>
      </c>
      <c r="I75" s="7">
        <v>92.090531740000003</v>
      </c>
      <c r="J75" s="7">
        <v>757.58330902</v>
      </c>
      <c r="K75" s="7">
        <v>1378.23500683</v>
      </c>
      <c r="L75" s="7">
        <v>1240.40656571</v>
      </c>
      <c r="M75" s="7">
        <v>1116.3810374699999</v>
      </c>
      <c r="N75" s="7">
        <v>1004.77316682</v>
      </c>
      <c r="O75" s="7">
        <v>904.30539423000005</v>
      </c>
      <c r="P75" s="7">
        <v>813.88718204999998</v>
      </c>
      <c r="Q75" s="7">
        <v>732.65212375999999</v>
      </c>
      <c r="R75" s="7">
        <v>659.51664817999995</v>
      </c>
      <c r="S75" s="7">
        <v>593.56403455999998</v>
      </c>
      <c r="T75" s="7">
        <v>534.30418396000005</v>
      </c>
      <c r="U75" s="7">
        <v>480.87333959</v>
      </c>
      <c r="V75" s="7">
        <v>432.78589906000002</v>
      </c>
      <c r="W75" s="7">
        <v>389.50715123999998</v>
      </c>
      <c r="X75" s="7">
        <v>351.22528378999999</v>
      </c>
      <c r="Y75" s="7">
        <v>316.14512593000001</v>
      </c>
      <c r="Z75" s="7">
        <v>284.53019601</v>
      </c>
      <c r="AA75" s="7">
        <v>256.07758268999999</v>
      </c>
      <c r="AB75" s="7">
        <v>230.47140152</v>
      </c>
      <c r="AC75" s="7">
        <v>207.43439405999999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6.9889999999999997E-5</v>
      </c>
      <c r="F76" s="7">
        <v>6.3029999999999998E-5</v>
      </c>
      <c r="G76" s="7">
        <v>1.0375899999999999E-3</v>
      </c>
      <c r="H76" s="7">
        <v>9.3828E-4</v>
      </c>
      <c r="I76" s="7">
        <v>1.9288199999999999E-3</v>
      </c>
      <c r="J76" s="7">
        <v>3.6679400000000001E-2</v>
      </c>
      <c r="K76" s="7">
        <v>5.728929E-2</v>
      </c>
      <c r="L76" s="7">
        <v>4.3577440000000002E-2</v>
      </c>
      <c r="M76" s="7">
        <v>4.0688460000000003E-2</v>
      </c>
      <c r="N76" s="7">
        <v>3.9247230000000001E-2</v>
      </c>
      <c r="O76" s="7">
        <v>3.5476710000000002E-2</v>
      </c>
      <c r="P76" s="7">
        <v>3.1136500000000001E-2</v>
      </c>
      <c r="Q76" s="7">
        <v>2.6528240000000002E-2</v>
      </c>
      <c r="R76" s="7">
        <v>2.1019340000000001E-2</v>
      </c>
      <c r="S76" s="7">
        <v>1.7384299999999998E-2</v>
      </c>
      <c r="T76" s="7">
        <v>1.4753560000000001E-2</v>
      </c>
      <c r="U76" s="7">
        <v>1.2588999999999999E-2</v>
      </c>
      <c r="V76" s="7">
        <v>1.1043330000000001E-2</v>
      </c>
      <c r="W76" s="7">
        <v>9.6460299999999999E-3</v>
      </c>
      <c r="X76" s="7">
        <v>8.4548599999999998E-3</v>
      </c>
      <c r="Y76" s="7">
        <v>7.3710700000000004E-3</v>
      </c>
      <c r="Z76" s="7">
        <v>5.9596299999999996E-3</v>
      </c>
      <c r="AA76" s="7">
        <v>5.36368E-3</v>
      </c>
      <c r="AB76" s="7">
        <v>4.8273400000000003E-3</v>
      </c>
      <c r="AC76" s="7">
        <v>4.3448100000000002E-3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3.4999999999999998E-7</v>
      </c>
      <c r="F77" s="7">
        <v>3.2000000000000001E-7</v>
      </c>
      <c r="G77" s="7">
        <v>5.1900000000000003E-6</v>
      </c>
      <c r="H77" s="7">
        <v>4.69E-6</v>
      </c>
      <c r="I77" s="7">
        <v>9.6399999999999992E-6</v>
      </c>
      <c r="J77" s="7">
        <v>1.8340000000000001E-4</v>
      </c>
      <c r="K77" s="7">
        <v>2.8645E-4</v>
      </c>
      <c r="L77" s="7">
        <v>2.1788999999999999E-4</v>
      </c>
      <c r="M77" s="7">
        <v>2.0343999999999999E-4</v>
      </c>
      <c r="N77" s="7">
        <v>1.9624E-4</v>
      </c>
      <c r="O77" s="7">
        <v>1.7738000000000001E-4</v>
      </c>
      <c r="P77" s="7">
        <v>1.5568E-4</v>
      </c>
      <c r="Q77" s="7">
        <v>1.3264E-4</v>
      </c>
      <c r="R77" s="7">
        <v>1.0509999999999999E-4</v>
      </c>
      <c r="S77" s="7">
        <v>8.6920000000000001E-5</v>
      </c>
      <c r="T77" s="7">
        <v>7.3769999999999993E-5</v>
      </c>
      <c r="U77" s="7">
        <v>6.2940000000000004E-5</v>
      </c>
      <c r="V77" s="7">
        <v>5.5220000000000003E-5</v>
      </c>
      <c r="W77" s="7">
        <v>4.8229999999999997E-5</v>
      </c>
      <c r="X77" s="7">
        <v>4.227E-5</v>
      </c>
      <c r="Y77" s="7">
        <v>3.6860000000000003E-5</v>
      </c>
      <c r="Z77" s="7">
        <v>2.9799999999999999E-5</v>
      </c>
      <c r="AA77" s="7">
        <v>2.6820000000000001E-5</v>
      </c>
      <c r="AB77" s="7">
        <v>2.4139999999999999E-5</v>
      </c>
      <c r="AC77" s="7">
        <v>2.1719999999999999E-5</v>
      </c>
    </row>
    <row r="78" spans="1:29" x14ac:dyDescent="0.85">
      <c r="A78" t="s">
        <v>176</v>
      </c>
      <c r="B78" s="7">
        <v>0</v>
      </c>
      <c r="C78" s="7">
        <v>0</v>
      </c>
      <c r="D78" s="7">
        <v>0</v>
      </c>
      <c r="E78" s="7">
        <v>3.3367747400000001</v>
      </c>
      <c r="F78" s="7">
        <v>3.0089922499999999</v>
      </c>
      <c r="G78" s="7">
        <v>49.5368396</v>
      </c>
      <c r="H78" s="7">
        <v>44.795580630000003</v>
      </c>
      <c r="I78" s="7">
        <v>92.089338040000001</v>
      </c>
      <c r="J78" s="7">
        <v>757.56060901000001</v>
      </c>
      <c r="K78" s="7">
        <v>1378.1995518399999</v>
      </c>
      <c r="L78" s="7">
        <v>1240.3795966600001</v>
      </c>
      <c r="M78" s="7">
        <v>1116.3558563399999</v>
      </c>
      <c r="N78" s="7">
        <v>1004.74887763</v>
      </c>
      <c r="O78" s="7">
        <v>904.28343852</v>
      </c>
      <c r="P78" s="7">
        <v>813.86791240000002</v>
      </c>
      <c r="Q78" s="7">
        <v>732.63570605999996</v>
      </c>
      <c r="R78" s="7">
        <v>659.50363980999998</v>
      </c>
      <c r="S78" s="7">
        <v>593.55327582999996</v>
      </c>
      <c r="T78" s="7">
        <v>534.29505332999997</v>
      </c>
      <c r="U78" s="7">
        <v>480.86554855999998</v>
      </c>
      <c r="V78" s="7">
        <v>432.77906460000003</v>
      </c>
      <c r="W78" s="7">
        <v>389.50118154</v>
      </c>
      <c r="X78" s="7">
        <v>351.22005128000001</v>
      </c>
      <c r="Y78" s="7">
        <v>316.14056414999999</v>
      </c>
      <c r="Z78" s="7">
        <v>284.52650772999999</v>
      </c>
      <c r="AA78" s="7">
        <v>256.07426322999999</v>
      </c>
      <c r="AB78" s="7">
        <v>230.46841398999999</v>
      </c>
      <c r="AC78" s="7">
        <v>207.43170516000001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4.3250000000000001E-5</v>
      </c>
      <c r="F79" s="7">
        <v>3.8999999999999999E-5</v>
      </c>
      <c r="G79" s="7">
        <v>6.4214000000000003E-4</v>
      </c>
      <c r="H79" s="7">
        <v>5.8067999999999998E-4</v>
      </c>
      <c r="I79" s="7">
        <v>1.1937E-3</v>
      </c>
      <c r="J79" s="7">
        <v>2.2700020000000001E-2</v>
      </c>
      <c r="K79" s="7">
        <v>3.5454989999999999E-2</v>
      </c>
      <c r="L79" s="7">
        <v>2.6969050000000001E-2</v>
      </c>
      <c r="M79" s="7">
        <v>2.5181129999999999E-2</v>
      </c>
      <c r="N79" s="7">
        <v>2.428918E-2</v>
      </c>
      <c r="O79" s="7">
        <v>2.1955700000000002E-2</v>
      </c>
      <c r="P79" s="7">
        <v>1.9269649999999999E-2</v>
      </c>
      <c r="Q79" s="7">
        <v>1.64177E-2</v>
      </c>
      <c r="R79" s="7">
        <v>1.300837E-2</v>
      </c>
      <c r="S79" s="7">
        <v>1.0758729999999999E-2</v>
      </c>
      <c r="T79" s="7">
        <v>9.1306300000000007E-3</v>
      </c>
      <c r="U79" s="7">
        <v>7.79103E-3</v>
      </c>
      <c r="V79" s="7">
        <v>6.8344499999999997E-3</v>
      </c>
      <c r="W79" s="7">
        <v>5.9696999999999997E-3</v>
      </c>
      <c r="X79" s="7">
        <v>5.2325100000000001E-3</v>
      </c>
      <c r="Y79" s="7">
        <v>4.5617799999999997E-3</v>
      </c>
      <c r="Z79" s="7">
        <v>3.6882799999999999E-3</v>
      </c>
      <c r="AA79" s="7">
        <v>3.3194499999999998E-3</v>
      </c>
      <c r="AB79" s="7">
        <v>2.98753E-3</v>
      </c>
      <c r="AC79" s="7">
        <v>2.6889000000000001E-3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</v>
      </c>
      <c r="F80" s="7">
        <v>1.0056661200000001</v>
      </c>
      <c r="G80" s="7">
        <v>1.00000965</v>
      </c>
      <c r="H80" s="7">
        <v>1.0744747299999999</v>
      </c>
      <c r="I80" s="7">
        <v>1.00033054</v>
      </c>
      <c r="J80" s="7">
        <v>1.0783120100000001</v>
      </c>
      <c r="K80" s="7">
        <v>1.9999899999999999</v>
      </c>
      <c r="L80" s="7">
        <v>1.9999899999999999</v>
      </c>
      <c r="M80" s="7">
        <v>1</v>
      </c>
      <c r="N80" s="7">
        <v>1.0000201900000001</v>
      </c>
      <c r="O80" s="7">
        <v>1.0000401800000001</v>
      </c>
      <c r="P80" s="7">
        <v>1.00001301</v>
      </c>
      <c r="Q80" s="7">
        <v>1.00001725</v>
      </c>
      <c r="R80" s="7">
        <v>1.0002032700000001</v>
      </c>
      <c r="S80" s="7">
        <v>1.00016898</v>
      </c>
      <c r="T80" s="7">
        <v>1</v>
      </c>
      <c r="U80" s="7">
        <v>1.0001186399999999</v>
      </c>
      <c r="V80" s="7">
        <v>1</v>
      </c>
      <c r="W80" s="7">
        <v>1.00000008</v>
      </c>
      <c r="X80" s="7">
        <v>1.00000003</v>
      </c>
      <c r="Y80" s="7">
        <v>1.00074</v>
      </c>
      <c r="Z80" s="7">
        <v>1.0000460900000001</v>
      </c>
      <c r="AA80" s="7">
        <v>1</v>
      </c>
      <c r="AB80" s="7">
        <v>1.0000004199999999</v>
      </c>
      <c r="AC80" s="7">
        <v>1.00000161</v>
      </c>
    </row>
    <row r="81" spans="1:29" x14ac:dyDescent="0.85">
      <c r="A81" t="s">
        <v>179</v>
      </c>
      <c r="B81" s="7">
        <v>1</v>
      </c>
      <c r="C81" s="7">
        <v>1</v>
      </c>
      <c r="D81" s="7">
        <v>1</v>
      </c>
      <c r="E81" s="7">
        <v>1.0056661200000001</v>
      </c>
      <c r="F81" s="7">
        <v>1.00000965</v>
      </c>
      <c r="G81" s="7">
        <v>1.0744747299999999</v>
      </c>
      <c r="H81" s="7">
        <v>1.00033054</v>
      </c>
      <c r="I81" s="7">
        <v>1.0783120100000001</v>
      </c>
      <c r="J81" s="7">
        <v>2</v>
      </c>
      <c r="K81" s="7">
        <v>1.99999445</v>
      </c>
      <c r="L81" s="7">
        <v>1</v>
      </c>
      <c r="M81" s="7">
        <v>1.0000201900000001</v>
      </c>
      <c r="N81" s="7">
        <v>1.0000401800000001</v>
      </c>
      <c r="O81" s="7">
        <v>1.00001301</v>
      </c>
      <c r="P81" s="7">
        <v>1.00001725</v>
      </c>
      <c r="Q81" s="7">
        <v>1.0002032700000001</v>
      </c>
      <c r="R81" s="7">
        <v>1.00016898</v>
      </c>
      <c r="S81" s="7">
        <v>1</v>
      </c>
      <c r="T81" s="7">
        <v>1.0001186399999999</v>
      </c>
      <c r="U81" s="7">
        <v>1</v>
      </c>
      <c r="V81" s="7">
        <v>1.00000008</v>
      </c>
      <c r="W81" s="7">
        <v>1.00000003</v>
      </c>
      <c r="X81" s="7">
        <v>1.00074</v>
      </c>
      <c r="Y81" s="7">
        <v>1.0000460900000001</v>
      </c>
      <c r="Z81" s="7">
        <v>1</v>
      </c>
      <c r="AA81" s="7">
        <v>1.0000004199999999</v>
      </c>
      <c r="AB81" s="7">
        <v>1.00000161</v>
      </c>
      <c r="AC81" s="7">
        <v>1.0000101100000001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2024-05-20T18:32:51Z</dcterms:modified>
</cp:coreProperties>
</file>