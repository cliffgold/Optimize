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Interest_Rate/3^1_Interest/Increasing_CO2/"/>
    </mc:Choice>
  </mc:AlternateContent>
  <xr:revisionPtr revIDLastSave="0" documentId="8_{E1770683-1F09-4E04-A4DC-10323E64654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12" i="1" a="1"/>
  <c r="M22" i="1" a="1"/>
  <c r="L21" i="1" a="1"/>
  <c r="M16" i="1" a="1"/>
  <c r="P9" i="1" a="1"/>
  <c r="M25" i="1" a="1"/>
  <c r="L22" i="1" a="1"/>
  <c r="L23" i="1" a="1"/>
  <c r="N30" i="1" a="1"/>
  <c r="N27" i="1" a="1"/>
  <c r="P7" i="1" a="1"/>
  <c r="P8" i="1" a="1"/>
  <c r="N20" i="1" a="1"/>
  <c r="O15" i="1" a="1"/>
  <c r="M7" i="1" a="1"/>
  <c r="M26" i="1" a="1"/>
  <c r="P19" i="1" a="1"/>
  <c r="P33" i="1" a="1"/>
  <c r="K27" i="1" a="1"/>
  <c r="O25" i="1" a="1"/>
  <c r="P10" i="1" a="1"/>
  <c r="L14" i="1" a="1"/>
  <c r="M17" i="1" a="1"/>
  <c r="K9" i="1" a="1"/>
  <c r="P29" i="1" a="1"/>
  <c r="N21" i="1" a="1"/>
  <c r="K8" i="1" a="1"/>
  <c r="P28" i="1" a="1"/>
  <c r="M27" i="1" a="1"/>
  <c r="N31" i="1" a="1"/>
  <c r="K29" i="1" a="1"/>
  <c r="L27" i="1" a="1"/>
  <c r="M13" i="1" a="1"/>
  <c r="N28" i="1" a="1"/>
  <c r="K19" i="1" a="1"/>
  <c r="N11" i="1" a="1"/>
  <c r="O16" i="1" a="1"/>
  <c r="O21" i="1" a="1"/>
  <c r="K17" i="1" a="1"/>
  <c r="P17" i="1" a="1"/>
  <c r="P20" i="1" a="1"/>
  <c r="N12" i="1" a="1"/>
  <c r="L28" i="1" a="1"/>
  <c r="O26" i="1" a="1"/>
  <c r="L13" i="1" a="1"/>
  <c r="N13" i="1" a="1"/>
  <c r="P30" i="1" a="1"/>
  <c r="M28" i="1" a="1"/>
  <c r="N32" i="1" a="1"/>
  <c r="P11" i="1" a="1"/>
  <c r="L32" i="1" a="1"/>
  <c r="L8" i="1" a="1"/>
  <c r="M14" i="1" a="1"/>
  <c r="N22" i="1" a="1"/>
  <c r="K18" i="1" a="1"/>
  <c r="O12" i="1" a="1"/>
  <c r="L11" i="1" a="1"/>
  <c r="L24" i="1" a="1"/>
  <c r="O17" i="1" a="1"/>
  <c r="O7" i="1" a="1"/>
  <c r="K30" i="1" a="1"/>
  <c r="M18" i="1" a="1"/>
  <c r="M8" i="1" a="1"/>
  <c r="K24" i="1" a="1"/>
  <c r="K11" i="1" a="1"/>
  <c r="M32" i="1" a="1"/>
  <c r="M15" i="1" a="1"/>
  <c r="O27" i="1" a="1"/>
  <c r="M19" i="1" a="1"/>
  <c r="M9" i="1" a="1"/>
  <c r="P31" i="1" a="1"/>
  <c r="K20" i="1" a="1"/>
  <c r="K10" i="1" a="1"/>
  <c r="O8" i="1" a="1"/>
  <c r="M29" i="1" a="1"/>
  <c r="N33" i="1" a="1"/>
  <c r="P21" i="1" a="1"/>
  <c r="M10" i="1" a="1"/>
  <c r="O31" i="1" a="1"/>
  <c r="N7" i="1" a="1"/>
  <c r="K15" i="1" a="1"/>
  <c r="K21" i="1" a="1"/>
  <c r="K28" i="1" a="1"/>
  <c r="P27" i="1" a="1"/>
  <c r="N19" i="1" a="1"/>
  <c r="K31" i="1" a="1"/>
  <c r="P22" i="1" a="1"/>
  <c r="P12" i="1" a="1"/>
  <c r="O33" i="1" a="1"/>
  <c r="N23" i="1" a="1"/>
  <c r="L15" i="1" a="1"/>
  <c r="K12" i="1" a="1"/>
  <c r="N24" i="1" a="1"/>
  <c r="N14" i="1" a="1"/>
  <c r="L29" i="1" a="1"/>
  <c r="L25" i="1" a="1"/>
  <c r="O18" i="1" a="1"/>
  <c r="P13" i="1" a="1"/>
  <c r="L16" i="1" a="1"/>
  <c r="O28" i="1" a="1"/>
  <c r="M20" i="1" a="1"/>
  <c r="N15" i="1" a="1"/>
  <c r="O19" i="1" a="1"/>
  <c r="K22" i="1" a="1"/>
  <c r="P25" i="1" a="1"/>
  <c r="N25" i="1" a="1"/>
  <c r="L33" i="1" a="1"/>
  <c r="O22" i="1" a="1"/>
  <c r="P16" i="1" a="1"/>
  <c r="L20" i="1" a="1"/>
  <c r="K26" i="1" a="1"/>
  <c r="P26" i="1" a="1"/>
  <c r="O23" i="1" a="1"/>
  <c r="N16" i="1" a="1"/>
  <c r="L10" i="1" a="1"/>
  <c r="N18" i="1" a="1"/>
  <c r="L7" i="1" a="1"/>
  <c r="L26" i="1" a="1"/>
  <c r="M11" i="1" a="1"/>
  <c r="M30" i="1" a="1"/>
  <c r="O20" i="1" a="1"/>
  <c r="O30" i="1" a="1"/>
  <c r="L9" i="1" a="1"/>
  <c r="L18" i="1" a="1"/>
  <c r="N10" i="1" a="1"/>
  <c r="O10" i="1" a="1"/>
  <c r="O29" i="1" a="1"/>
  <c r="L17" i="1" a="1"/>
  <c r="N26" i="1" a="1"/>
  <c r="M33" i="1" a="1"/>
  <c r="M12" i="1" a="1"/>
  <c r="M31" i="1" a="1"/>
  <c r="M21" i="1" a="1"/>
  <c r="O32" i="1" a="1"/>
  <c r="K32" i="1" a="1"/>
  <c r="P23" i="1" a="1"/>
  <c r="K13" i="1" a="1"/>
  <c r="K14" i="1" a="1"/>
  <c r="K33" i="1" a="1"/>
  <c r="K23" i="1" a="1"/>
  <c r="O9" i="1" a="1"/>
  <c r="P14" i="1" a="1"/>
  <c r="P15" i="1" a="1"/>
  <c r="O24" i="1" a="1"/>
  <c r="P24" i="1" a="1"/>
  <c r="N8" i="1" a="1"/>
  <c r="O13" i="1" a="1"/>
  <c r="L31" i="1" a="1"/>
  <c r="O14" i="1" a="1"/>
  <c r="N17" i="1" a="1"/>
  <c r="P32" i="1" a="1"/>
  <c r="L19" i="1" a="1"/>
  <c r="P18" i="1" a="1"/>
  <c r="O11" i="1" a="1"/>
  <c r="M24" i="1" a="1"/>
  <c r="M23" i="1" a="1"/>
  <c r="L30" i="1" a="1"/>
  <c r="K7" i="1" a="1"/>
  <c r="N29" i="1" a="1"/>
  <c r="K16" i="1" a="1"/>
  <c r="N9" i="1" a="1"/>
  <c r="K25" i="1" a="1"/>
  <c r="O20" i="1" l="1"/>
  <c r="L17" i="1"/>
  <c r="N15" i="1"/>
  <c r="P13" i="1"/>
  <c r="K12" i="1"/>
  <c r="M10" i="1"/>
  <c r="O8" i="1"/>
  <c r="K24" i="1"/>
  <c r="N32" i="1"/>
  <c r="P30" i="1"/>
  <c r="K29" i="1"/>
  <c r="M27" i="1"/>
  <c r="O25" i="1"/>
  <c r="L22" i="1"/>
  <c r="N20" i="1"/>
  <c r="P18" i="1"/>
  <c r="K17" i="1"/>
  <c r="M15" i="1"/>
  <c r="W14" i="1" s="1"/>
  <c r="O13" i="1"/>
  <c r="Y12" i="1" s="1"/>
  <c r="L10" i="1"/>
  <c r="N8" i="1"/>
  <c r="X7" i="1" s="1"/>
  <c r="M32" i="1"/>
  <c r="O30" i="1"/>
  <c r="Y29" i="1" s="1"/>
  <c r="N25" i="1"/>
  <c r="X24" i="1" s="1"/>
  <c r="P23" i="1"/>
  <c r="K22" i="1"/>
  <c r="M20" i="1"/>
  <c r="O18" i="1"/>
  <c r="L15" i="1"/>
  <c r="P11" i="1"/>
  <c r="K10" i="1"/>
  <c r="M8" i="1"/>
  <c r="L27" i="1"/>
  <c r="V26" i="1" s="1"/>
  <c r="N13" i="1"/>
  <c r="N30" i="1"/>
  <c r="P28" i="1"/>
  <c r="K27" i="1"/>
  <c r="M25" i="1"/>
  <c r="L20" i="1"/>
  <c r="N18" i="1"/>
  <c r="P16" i="1"/>
  <c r="K15" i="1"/>
  <c r="M13" i="1"/>
  <c r="O11" i="1"/>
  <c r="Y10" i="1" s="1"/>
  <c r="L8" i="1"/>
  <c r="V7" i="1" s="1"/>
  <c r="L32" i="1"/>
  <c r="V31" i="1" s="1"/>
  <c r="O23" i="1"/>
  <c r="Y22" i="1" s="1"/>
  <c r="P25" i="1"/>
  <c r="Z24" i="1" s="1"/>
  <c r="K32" i="1"/>
  <c r="M30" i="1"/>
  <c r="O28" i="1"/>
  <c r="L25" i="1"/>
  <c r="N23" i="1"/>
  <c r="P21" i="1"/>
  <c r="K20" i="1"/>
  <c r="M18" i="1"/>
  <c r="O16" i="1"/>
  <c r="L13" i="1"/>
  <c r="N11" i="1"/>
  <c r="K8" i="1"/>
  <c r="P33" i="1"/>
  <c r="P9" i="1"/>
  <c r="L30" i="1"/>
  <c r="V29" i="1" s="1"/>
  <c r="N28" i="1"/>
  <c r="X27" i="1" s="1"/>
  <c r="K25" i="1"/>
  <c r="M23" i="1"/>
  <c r="W22" i="1" s="1"/>
  <c r="O21" i="1"/>
  <c r="L18" i="1"/>
  <c r="V17" i="1" s="1"/>
  <c r="N16" i="1"/>
  <c r="X15" i="1" s="1"/>
  <c r="P14" i="1"/>
  <c r="Z13" i="1" s="1"/>
  <c r="K13" i="1"/>
  <c r="O9" i="1"/>
  <c r="Y8" i="1" s="1"/>
  <c r="O32" i="1"/>
  <c r="P26" i="1"/>
  <c r="M11" i="1"/>
  <c r="L29" i="1"/>
  <c r="O33" i="1"/>
  <c r="N33" i="1"/>
  <c r="P31" i="1"/>
  <c r="K30" i="1"/>
  <c r="M28" i="1"/>
  <c r="O26" i="1"/>
  <c r="L23" i="1"/>
  <c r="N21" i="1"/>
  <c r="P19" i="1"/>
  <c r="M16" i="1"/>
  <c r="O14" i="1"/>
  <c r="L11" i="1"/>
  <c r="N9" i="1"/>
  <c r="P7" i="1"/>
  <c r="K18" i="1"/>
  <c r="M33" i="1"/>
  <c r="O31" i="1"/>
  <c r="N26" i="1"/>
  <c r="P24" i="1"/>
  <c r="K23" i="1"/>
  <c r="M21" i="1"/>
  <c r="O19" i="1"/>
  <c r="L16" i="1"/>
  <c r="N14" i="1"/>
  <c r="P12" i="1"/>
  <c r="K11" i="1"/>
  <c r="M9" i="1"/>
  <c r="O7" i="1"/>
  <c r="N27" i="1"/>
  <c r="L28" i="1"/>
  <c r="N31" i="1"/>
  <c r="X30" i="1" s="1"/>
  <c r="P29" i="1"/>
  <c r="Z28" i="1" s="1"/>
  <c r="M26" i="1"/>
  <c r="L21" i="1"/>
  <c r="N19" i="1"/>
  <c r="P17" i="1"/>
  <c r="K16" i="1"/>
  <c r="O12" i="1"/>
  <c r="N7" i="1"/>
  <c r="K28" i="1"/>
  <c r="L9" i="1"/>
  <c r="V8" i="1" s="1"/>
  <c r="L33" i="1"/>
  <c r="V32" i="1" s="1"/>
  <c r="O24" i="1"/>
  <c r="K33" i="1"/>
  <c r="M31" i="1"/>
  <c r="O29" i="1"/>
  <c r="L26" i="1"/>
  <c r="N24" i="1"/>
  <c r="P22" i="1"/>
  <c r="K21" i="1"/>
  <c r="M19" i="1"/>
  <c r="O17" i="1"/>
  <c r="L14" i="1"/>
  <c r="N12" i="1"/>
  <c r="P10" i="1"/>
  <c r="K9" i="1"/>
  <c r="M7" i="1"/>
  <c r="M22" i="1"/>
  <c r="M14" i="1"/>
  <c r="L31" i="1"/>
  <c r="V30" i="1" s="1"/>
  <c r="N29" i="1"/>
  <c r="X28" i="1" s="1"/>
  <c r="P27" i="1"/>
  <c r="Z26" i="1" s="1"/>
  <c r="M24" i="1"/>
  <c r="O22" i="1"/>
  <c r="Y21" i="1" s="1"/>
  <c r="L19" i="1"/>
  <c r="N17" i="1"/>
  <c r="X16" i="1" s="1"/>
  <c r="P15" i="1"/>
  <c r="Z14" i="1" s="1"/>
  <c r="K14" i="1"/>
  <c r="M12" i="1"/>
  <c r="O10" i="1"/>
  <c r="L7" i="1"/>
  <c r="K26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P32" i="1"/>
  <c r="Z31" i="1" s="1"/>
  <c r="T6" i="1"/>
  <c r="J6" i="1"/>
  <c r="M3" i="1"/>
  <c r="W3" i="1" s="1"/>
  <c r="O6" i="1" a="1"/>
  <c r="L6" i="1" a="1"/>
  <c r="M6" i="1" a="1"/>
  <c r="N6" i="1" a="1"/>
  <c r="K6" i="1" a="1"/>
  <c r="P6" i="1" a="1"/>
  <c r="W23" i="1" l="1"/>
  <c r="V18" i="1"/>
  <c r="V27" i="1"/>
  <c r="W11" i="1"/>
  <c r="W30" i="1"/>
  <c r="Y23" i="1"/>
  <c r="Z17" i="1"/>
  <c r="W20" i="1"/>
  <c r="Y31" i="1"/>
  <c r="Z22" i="1"/>
  <c r="Y19" i="1"/>
  <c r="Q33" i="1"/>
  <c r="U32" i="1"/>
  <c r="Q13" i="1"/>
  <c r="U12" i="1"/>
  <c r="W32" i="1"/>
  <c r="Q15" i="1"/>
  <c r="U14" i="1"/>
  <c r="X8" i="1"/>
  <c r="Q17" i="1"/>
  <c r="U16" i="1"/>
  <c r="Z16" i="1"/>
  <c r="W13" i="1"/>
  <c r="X19" i="1"/>
  <c r="V20" i="1"/>
  <c r="W25" i="1"/>
  <c r="Q27" i="1"/>
  <c r="U26" i="1"/>
  <c r="Q32" i="1"/>
  <c r="U31" i="1"/>
  <c r="Z23" i="1"/>
  <c r="V9" i="1"/>
  <c r="Q25" i="1"/>
  <c r="AA24" i="1" s="1"/>
  <c r="U24" i="1"/>
  <c r="V10" i="1"/>
  <c r="V19" i="1"/>
  <c r="W26" i="1"/>
  <c r="Z9" i="1"/>
  <c r="V22" i="1"/>
  <c r="X29" i="1"/>
  <c r="X11" i="1"/>
  <c r="X12" i="1"/>
  <c r="X26" i="1"/>
  <c r="Y15" i="1"/>
  <c r="W17" i="1"/>
  <c r="Q21" i="1"/>
  <c r="U20" i="1"/>
  <c r="W9" i="1"/>
  <c r="W31" i="1"/>
  <c r="Y30" i="1"/>
  <c r="Y20" i="1"/>
  <c r="Y13" i="1"/>
  <c r="W15" i="1"/>
  <c r="W24" i="1"/>
  <c r="Z18" i="1"/>
  <c r="Z32" i="1"/>
  <c r="W16" i="1"/>
  <c r="X20" i="1"/>
  <c r="Z27" i="1"/>
  <c r="Q19" i="1"/>
  <c r="U18" i="1"/>
  <c r="Y16" i="1"/>
  <c r="Q30" i="1"/>
  <c r="U29" i="1"/>
  <c r="Y26" i="1"/>
  <c r="Y7" i="1"/>
  <c r="Z11" i="1"/>
  <c r="V14" i="1"/>
  <c r="Q12" i="1"/>
  <c r="U11" i="1"/>
  <c r="Q28" i="1"/>
  <c r="U27" i="1"/>
  <c r="Y11" i="1"/>
  <c r="Q16" i="1"/>
  <c r="U15" i="1"/>
  <c r="Z7" i="1"/>
  <c r="X17" i="1"/>
  <c r="X9" i="1"/>
  <c r="X18" i="1"/>
  <c r="V11" i="1"/>
  <c r="Z8" i="1"/>
  <c r="Y14" i="1"/>
  <c r="Y24" i="1"/>
  <c r="Q9" i="1"/>
  <c r="U8" i="1"/>
  <c r="Q8" i="1"/>
  <c r="AA7" i="1" s="1"/>
  <c r="U7" i="1"/>
  <c r="V12" i="1"/>
  <c r="X21" i="1"/>
  <c r="X31" i="1"/>
  <c r="W7" i="1"/>
  <c r="W8" i="1"/>
  <c r="Q10" i="1"/>
  <c r="U9" i="1"/>
  <c r="Q11" i="1"/>
  <c r="AA10" i="1" s="1"/>
  <c r="U10" i="1"/>
  <c r="Z10" i="1"/>
  <c r="Q31" i="1"/>
  <c r="U30" i="1"/>
  <c r="Y32" i="1"/>
  <c r="Q26" i="1"/>
  <c r="U25" i="1"/>
  <c r="V28" i="1"/>
  <c r="V25" i="1"/>
  <c r="W10" i="1"/>
  <c r="W19" i="1"/>
  <c r="X14" i="1"/>
  <c r="Q14" i="1"/>
  <c r="U13" i="1"/>
  <c r="Q23" i="1"/>
  <c r="U22" i="1"/>
  <c r="X25" i="1"/>
  <c r="Q18" i="1"/>
  <c r="U17" i="1"/>
  <c r="W12" i="1"/>
  <c r="Z15" i="1"/>
  <c r="W21" i="1"/>
  <c r="V21" i="1"/>
  <c r="X10" i="1"/>
  <c r="Q29" i="1"/>
  <c r="AA28" i="1" s="1"/>
  <c r="U28" i="1"/>
  <c r="Z19" i="1"/>
  <c r="Y25" i="1"/>
  <c r="Z29" i="1"/>
  <c r="V13" i="1"/>
  <c r="W27" i="1"/>
  <c r="V23" i="1"/>
  <c r="Q24" i="1"/>
  <c r="U23" i="1"/>
  <c r="W18" i="1"/>
  <c r="Z30" i="1"/>
  <c r="Q20" i="1"/>
  <c r="U19" i="1"/>
  <c r="W28" i="1"/>
  <c r="X32" i="1"/>
  <c r="Z20" i="1"/>
  <c r="Z21" i="1"/>
  <c r="X22" i="1"/>
  <c r="X23" i="1"/>
  <c r="X13" i="1"/>
  <c r="V24" i="1"/>
  <c r="Y17" i="1"/>
  <c r="Z12" i="1"/>
  <c r="V15" i="1"/>
  <c r="Y27" i="1"/>
  <c r="Y9" i="1"/>
  <c r="Y28" i="1"/>
  <c r="Y18" i="1"/>
  <c r="Z25" i="1"/>
  <c r="W29" i="1"/>
  <c r="Q22" i="1"/>
  <c r="U21" i="1"/>
  <c r="V16" i="1"/>
  <c r="N6" i="1"/>
  <c r="M6" i="1"/>
  <c r="O6" i="1"/>
  <c r="P6" i="1"/>
  <c r="L6" i="1"/>
  <c r="K6" i="1"/>
  <c r="U6" i="1" s="1"/>
  <c r="AA30" i="1" l="1"/>
  <c r="AA15" i="1"/>
  <c r="AA31" i="1"/>
  <c r="AA13" i="1"/>
  <c r="AA23" i="1"/>
  <c r="AA21" i="1"/>
  <c r="AA19" i="1"/>
  <c r="AA14" i="1"/>
  <c r="AA20" i="1"/>
  <c r="AA9" i="1"/>
  <c r="AA25" i="1"/>
  <c r="AA16" i="1"/>
  <c r="AA27" i="1"/>
  <c r="AA11" i="1"/>
  <c r="AA29" i="1"/>
  <c r="AA12" i="1"/>
  <c r="AA17" i="1"/>
  <c r="AA22" i="1"/>
  <c r="AA26" i="1"/>
  <c r="AA8" i="1"/>
  <c r="AA18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1A7A768-E0EB-4F8C-9391-7FCEFD75628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F1AD9CB-9889-4AFD-8541-656874E350D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<sst xmlns="http://schemas.openxmlformats.org/spreadsheetml/2006/main" count="1229" uniqueCount="214">
  <si>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</si>
  <si>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</si>
  <si>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</si>
  <si>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</si>
  <si>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</si>
  <si>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</si>
  <si>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</si>
  <si>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</si>
  <si>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</si>
  <si>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Lib-3%_Per_Year-CO2_20_20-Int_0.03_1.xlsm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</si>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</sst>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347E7-8082-4821-9C67-FDCE87F4ACA5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2" width="8.921875" style="4"/>
    <col min="13" max="13" width="9.73046875" style="4" customWidth="1"/>
    <col min="14" max="14" width="15.73046875" style="4" customWidth="1"/>
    <col min="15" max="15" width="8.8828125" style="4" bestFit="1" customWidth="1"/>
    <col min="16" max="16" width="14.11328125" style="4" customWidth="1"/>
    <col min="17" max="17" width="9.9609375" style="4" customWidth="1"/>
    <col min="18" max="18" width="11.34375" style="4" customWidth="1"/>
    <col min="19" max="19" width="10.11328125" style="4" customWidth="1"/>
    <col min="20" max="20" width="19.8828125" style="4" customWidth="1"/>
    <col min="21" max="16384" width="8.921875" style="4"/>
  </cols>
  <sheetData>
    <row r="1" spans="1:22" s="3" customFormat="1" ht="29.15" x14ac:dyDescent="0.85">
      <c r="A1" s="3" t="s">
        <v>10</v>
      </c>
      <c r="B1" s="3" t="s">
        <v>11</v>
      </c>
      <c r="C1" s="3" t="str">
        <f>A1</f>
        <v>Regions</v>
      </c>
      <c r="D1" s="3" t="s">
        <v>12</v>
      </c>
      <c r="E1" s="4"/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</row>
    <row r="2" spans="1:22" ht="14.65" x14ac:dyDescent="0.85">
      <c r="A2" s="4" t="s">
        <v>30</v>
      </c>
      <c r="B2" s="4" t="s">
        <v>31</v>
      </c>
      <c r="C2" s="4" t="s">
        <v>30</v>
      </c>
      <c r="D2" s="4" t="s">
        <v>32</v>
      </c>
      <c r="E2" s="4">
        <v>0</v>
      </c>
      <c r="F2" s="4" t="s">
        <v>33</v>
      </c>
      <c r="G2" s="4">
        <f>1/1000</f>
        <v>1E-3</v>
      </c>
      <c r="H2" s="4">
        <v>11</v>
      </c>
      <c r="I2" s="4">
        <v>16</v>
      </c>
      <c r="J2" s="4" t="s">
        <v>0</v>
      </c>
      <c r="K2" s="4">
        <f>_1st_ref</f>
        <v>16</v>
      </c>
      <c r="L2" s="4">
        <v>1</v>
      </c>
      <c r="M2" s="5" t="s">
        <v>34</v>
      </c>
      <c r="N2" s="5" t="s">
        <v>34</v>
      </c>
      <c r="O2" s="4" t="str">
        <f>M2</f>
        <v>-&lt;0&gt;-</v>
      </c>
      <c r="P2" s="5" t="s">
        <v>34</v>
      </c>
      <c r="Q2" s="5" t="s">
        <v>34</v>
      </c>
      <c r="R2" s="4" t="str">
        <f t="shared" ref="R2:R3" si="0">P2</f>
        <v>-&lt;0&gt;-</v>
      </c>
      <c r="S2" s="4" t="str">
        <f>M2 &amp; "_" &amp; P2</f>
        <v>-&lt;0&gt;-_-&lt;0&gt;-</v>
      </c>
      <c r="U2" s="5" t="s">
        <v>34</v>
      </c>
      <c r="V2" s="5" t="s">
        <v>34</v>
      </c>
    </row>
    <row r="3" spans="1:22" ht="29.15" x14ac:dyDescent="0.85">
      <c r="A3" s="4" t="s">
        <v>35</v>
      </c>
      <c r="B3" s="4" t="s">
        <v>36</v>
      </c>
      <c r="C3" s="4" t="s">
        <v>35</v>
      </c>
      <c r="D3" s="4" t="s">
        <v>37</v>
      </c>
      <c r="E3" s="4">
        <v>1</v>
      </c>
      <c r="F3" s="4" t="s">
        <v>38</v>
      </c>
      <c r="G3" s="4">
        <f>1/1000000</f>
        <v>9.9999999999999995E-7</v>
      </c>
      <c r="J3" s="4" t="s">
        <v>1</v>
      </c>
      <c r="K3" s="4">
        <f>K2+Param_Count</f>
        <v>27</v>
      </c>
      <c r="L3" s="4">
        <v>2</v>
      </c>
      <c r="M3" s="4" t="s">
        <v>39</v>
      </c>
      <c r="N3" s="4" t="s">
        <v>40</v>
      </c>
      <c r="O3" s="4" t="str">
        <f>M3</f>
        <v>Default</v>
      </c>
      <c r="P3" s="4" t="s">
        <v>39</v>
      </c>
      <c r="Q3" s="4" t="s">
        <v>40</v>
      </c>
      <c r="R3" s="4" t="str">
        <f t="shared" si="0"/>
        <v>Default</v>
      </c>
      <c r="S3" s="4" t="str">
        <f>M3 &amp; "_" &amp; P3</f>
        <v>Default_Default</v>
      </c>
      <c r="U3" s="4">
        <v>0</v>
      </c>
      <c r="V3" s="4">
        <v>0</v>
      </c>
    </row>
    <row r="4" spans="1:22" ht="43.8" x14ac:dyDescent="0.85">
      <c r="A4" s="4" t="s">
        <v>41</v>
      </c>
      <c r="B4" s="4" t="s">
        <v>42</v>
      </c>
      <c r="C4" s="4" t="s">
        <v>41</v>
      </c>
      <c r="D4" s="4" t="s">
        <v>43</v>
      </c>
      <c r="E4" s="4">
        <v>2</v>
      </c>
      <c r="F4" s="4" t="s">
        <v>38</v>
      </c>
      <c r="G4" s="4">
        <f>1/1000000</f>
        <v>9.9999999999999995E-7</v>
      </c>
      <c r="J4" s="4" t="s">
        <v>2</v>
      </c>
      <c r="K4" s="4">
        <f>K3+Param_Count</f>
        <v>38</v>
      </c>
      <c r="L4" s="4">
        <v>3</v>
      </c>
      <c r="M4" s="4" t="s">
        <v>44</v>
      </c>
      <c r="N4" s="4" t="s">
        <v>45</v>
      </c>
      <c r="O4" s="4" t="str">
        <f t="shared" ref="O4:O6" si="1">M4</f>
        <v>Cheap_Nuclear</v>
      </c>
      <c r="P4" s="4" t="s">
        <v>46</v>
      </c>
      <c r="Q4" s="4" t="s">
        <v>47</v>
      </c>
      <c r="R4" s="4" t="str">
        <f>P4</f>
        <v>3_Qtr_Cap</v>
      </c>
      <c r="S4" s="4" t="str">
        <f>M4 &amp; "_" &amp; P4</f>
        <v>Cheap_Nuclear_3_Qtr_Cap</v>
      </c>
      <c r="T4" s="4" t="s">
        <v>48</v>
      </c>
      <c r="U4" s="4">
        <v>100</v>
      </c>
      <c r="V4" s="4">
        <v>10</v>
      </c>
    </row>
    <row r="5" spans="1:22" ht="43.8" x14ac:dyDescent="0.85">
      <c r="A5" s="4" t="s">
        <v>49</v>
      </c>
      <c r="B5" s="4" t="s">
        <v>50</v>
      </c>
      <c r="C5" s="4" t="s">
        <v>49</v>
      </c>
      <c r="D5" s="4" t="s">
        <v>51</v>
      </c>
      <c r="E5" s="4">
        <v>3</v>
      </c>
      <c r="F5" s="4" t="s">
        <v>52</v>
      </c>
      <c r="G5" s="4">
        <f>1/1000</f>
        <v>1E-3</v>
      </c>
      <c r="J5" s="4" t="s">
        <v>3</v>
      </c>
      <c r="K5" s="4">
        <f>K4+Param_Count</f>
        <v>49</v>
      </c>
      <c r="L5" s="4">
        <v>4</v>
      </c>
      <c r="M5" s="4" t="s">
        <v>53</v>
      </c>
      <c r="N5" s="4" t="s">
        <v>54</v>
      </c>
      <c r="O5" s="4" t="str">
        <f t="shared" si="1"/>
        <v>Fast_Build</v>
      </c>
      <c r="P5" s="4" t="s">
        <v>55</v>
      </c>
      <c r="Q5" s="4" t="s">
        <v>56</v>
      </c>
      <c r="R5" s="4" t="str">
        <f>P5</f>
        <v>Half_Cap</v>
      </c>
      <c r="S5" s="4" t="str">
        <f>M4 &amp; "_" &amp; P5</f>
        <v>Cheap_Nuclear_Half_Cap</v>
      </c>
      <c r="T5" s="4" t="s">
        <v>57</v>
      </c>
      <c r="U5" s="4">
        <v>200</v>
      </c>
      <c r="V5" s="4">
        <v>15</v>
      </c>
    </row>
    <row r="6" spans="1:22" ht="29.15" x14ac:dyDescent="0.85">
      <c r="A6" s="4" t="s">
        <v>58</v>
      </c>
      <c r="B6" s="4" t="s">
        <v>59</v>
      </c>
      <c r="C6" s="4" t="s">
        <v>58</v>
      </c>
      <c r="D6" s="4" t="s">
        <v>60</v>
      </c>
      <c r="E6" s="4">
        <v>4</v>
      </c>
      <c r="F6" s="4" t="s">
        <v>52</v>
      </c>
      <c r="G6" s="4">
        <f>1/1000</f>
        <v>1E-3</v>
      </c>
      <c r="J6" s="4" t="s">
        <v>4</v>
      </c>
      <c r="K6" s="4">
        <f>K5+Param_Count</f>
        <v>60</v>
      </c>
      <c r="L6" s="4">
        <v>5</v>
      </c>
      <c r="M6" s="4" t="s">
        <v>61</v>
      </c>
      <c r="N6" s="4" t="s">
        <v>61</v>
      </c>
      <c r="O6" s="4" t="str">
        <f t="shared" si="1"/>
        <v>Debug</v>
      </c>
      <c r="P6" s="4" t="s">
        <v>62</v>
      </c>
      <c r="Q6" s="4" t="s">
        <v>63</v>
      </c>
      <c r="R6" s="4" t="str">
        <f>P6</f>
        <v>Double_All</v>
      </c>
      <c r="S6" s="4" t="str">
        <f>M5 &amp; "_" &amp; P6</f>
        <v>Fast_Build_Double_All</v>
      </c>
      <c r="T6" s="4" t="s">
        <v>64</v>
      </c>
      <c r="U6" s="4">
        <v>350</v>
      </c>
      <c r="V6" s="4">
        <v>20</v>
      </c>
    </row>
    <row r="7" spans="1:22" ht="43.8" x14ac:dyDescent="0.85">
      <c r="A7" s="4" t="s">
        <v>65</v>
      </c>
      <c r="B7" s="4" t="s">
        <v>66</v>
      </c>
      <c r="C7" s="4" t="s">
        <v>65</v>
      </c>
      <c r="D7" s="4" t="s">
        <v>7</v>
      </c>
      <c r="E7" s="4">
        <v>5</v>
      </c>
      <c r="F7" s="4" t="s">
        <v>67</v>
      </c>
      <c r="G7" s="4">
        <v>1</v>
      </c>
      <c r="J7" s="4" t="s">
        <v>5</v>
      </c>
      <c r="K7" s="4">
        <f>K6+Param_Count</f>
        <v>71</v>
      </c>
      <c r="L7" s="4">
        <v>6</v>
      </c>
      <c r="P7" s="4" t="s">
        <v>68</v>
      </c>
      <c r="Q7" s="4" t="s">
        <v>69</v>
      </c>
      <c r="R7" s="4" t="str">
        <f>P7</f>
        <v>5%_Per_Year</v>
      </c>
      <c r="S7" s="4" t="str">
        <f>M4 &amp; "_" &amp;P7</f>
        <v>Cheap_Nuclear_5%_Per_Year</v>
      </c>
      <c r="T7" s="4" t="s">
        <v>70</v>
      </c>
      <c r="U7" s="4">
        <v>500</v>
      </c>
      <c r="V7" s="4">
        <v>30</v>
      </c>
    </row>
    <row r="8" spans="1:22" ht="29.15" x14ac:dyDescent="0.85">
      <c r="A8" s="4" t="s">
        <v>71</v>
      </c>
      <c r="B8" s="4" t="s">
        <v>72</v>
      </c>
      <c r="C8" s="4" t="s">
        <v>71</v>
      </c>
      <c r="J8" s="4" t="s">
        <v>73</v>
      </c>
      <c r="L8" s="4">
        <v>7</v>
      </c>
      <c r="S8" s="4" t="str">
        <f>M6 &amp; "_" &amp; P5</f>
        <v>Debug_Half_Cap</v>
      </c>
      <c r="T8" s="4" t="s">
        <v>57</v>
      </c>
    </row>
    <row r="9" spans="1:22" ht="14.65" x14ac:dyDescent="0.85">
      <c r="A9" s="4" t="s">
        <v>74</v>
      </c>
      <c r="B9" s="4" t="s">
        <v>75</v>
      </c>
      <c r="C9" s="4" t="s">
        <v>74</v>
      </c>
      <c r="D9" s="3"/>
    </row>
    <row r="10" spans="1:22" ht="14.65" x14ac:dyDescent="0.85">
      <c r="A10" s="4" t="s">
        <v>76</v>
      </c>
      <c r="B10" s="4" t="s">
        <v>77</v>
      </c>
      <c r="C10" s="4" t="s">
        <v>76</v>
      </c>
    </row>
    <row r="11" spans="1:22" ht="14.65" x14ac:dyDescent="0.85">
      <c r="A11" s="4" t="s">
        <v>78</v>
      </c>
      <c r="B11" s="4" t="s">
        <v>79</v>
      </c>
      <c r="C11" s="4" t="s">
        <v>78</v>
      </c>
    </row>
    <row r="12" spans="1:22" ht="14.65" x14ac:dyDescent="0.85">
      <c r="A12" s="4" t="s">
        <v>80</v>
      </c>
      <c r="B12" s="4" t="s">
        <v>81</v>
      </c>
      <c r="C12" s="4" t="s">
        <v>80</v>
      </c>
    </row>
    <row r="13" spans="1:22" ht="14.65" x14ac:dyDescent="0.85">
      <c r="A13" s="4" t="s">
        <v>82</v>
      </c>
      <c r="B13" s="4" t="s">
        <v>83</v>
      </c>
      <c r="C13" s="4" t="s">
        <v>82</v>
      </c>
    </row>
    <row r="14" spans="1:22" x14ac:dyDescent="0.85">
      <c r="A14" s="4" t="s">
        <v>84</v>
      </c>
      <c r="B14" s="4" t="s">
        <v>85</v>
      </c>
      <c r="C14" s="4" t="s">
        <v>84</v>
      </c>
    </row>
    <row r="15" spans="1:22" x14ac:dyDescent="0.85">
      <c r="A15" s="4" t="s">
        <v>86</v>
      </c>
      <c r="B15" s="4" t="s">
        <v>87</v>
      </c>
      <c r="C15" s="4" t="s">
        <v>86</v>
      </c>
      <c r="O15" s="4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" x14ac:dyDescent="0.85">
      <c r="A1" s="2" t="s">
        <v>8</v>
      </c>
      <c r="C1" s="10" t="s">
        <v>9</v>
      </c>
      <c r="D1" s="9"/>
      <c r="E1" s="9"/>
      <c r="F1" s="9"/>
      <c r="G1" s="9"/>
      <c r="H1" s="9"/>
      <c r="I1" s="9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9" t="str">
        <f>$A$1 &amp; " - " &amp; $A$2 &amp; " (" &amp; VLOOKUP(A2,Param_Table,3,FALSE) &amp; ")"</f>
        <v>Entire_US - CO2_MTons (MTons)</v>
      </c>
      <c r="N3" s="9"/>
      <c r="O3" s="9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ht="14.65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ht="14.65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ht="14.65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ht="14.65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ht="14.65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74FE-05EB-4A71-AAFE-55551243B350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6">
        <v>45468</v>
      </c>
    </row>
    <row r="3" spans="1:4" x14ac:dyDescent="0.85">
      <c r="A3" t="s">
        <v>92</v>
      </c>
      <c r="B3" s="7">
        <v>45468.980643171293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</v>
      </c>
      <c r="D9">
        <v>20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7ACF4-742E-410C-969B-C03692CF3C8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</row>
    <row r="2" spans="1:29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</row>
    <row r="3" spans="1:29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260</v>
      </c>
      <c r="D3" s="8">
        <f xml:space="preserve"> 0 + CAL!D3 + CAR!D3 + CENT!D3 + FLA!D3 + MIDA!D3 + MIDW!D3 + NE!D3 + NY!D3 + NW!D3 + SE!D3 + SW!D3 + TEN!D3 + TEX!D3</f>
        <v>520</v>
      </c>
      <c r="E3" s="8">
        <f xml:space="preserve"> 0 + CAL!E3 + CAR!E3 + CENT!E3 + FLA!E3 + MIDA!E3 + MIDW!E3 + NE!E3 + NY!E3 + NW!E3 + SE!E3 + SW!E3 + TEN!E3 + TEX!E3</f>
        <v>780</v>
      </c>
      <c r="F3" s="8">
        <f xml:space="preserve"> 0 + CAL!F3 + CAR!F3 + CENT!F3 + FLA!F3 + MIDA!F3 + MIDW!F3 + NE!F3 + NY!F3 + NW!F3 + SE!F3 + SW!F3 + TEN!F3 + TEX!F3</f>
        <v>1040</v>
      </c>
      <c r="G3" s="8">
        <f xml:space="preserve"> 0 + CAL!G3 + CAR!G3 + CENT!G3 + FLA!G3 + MIDA!G3 + MIDW!G3 + NE!G3 + NY!G3 + NW!G3 + SE!G3 + SW!G3 + TEN!G3 + TEX!G3</f>
        <v>1300</v>
      </c>
      <c r="H3" s="8">
        <f xml:space="preserve"> 0 + CAL!H3 + CAR!H3 + CENT!H3 + FLA!H3 + MIDA!H3 + MIDW!H3 + NE!H3 + NY!H3 + NW!H3 + SE!H3 + SW!H3 + TEN!H3 + TEX!H3</f>
        <v>1560</v>
      </c>
      <c r="I3" s="8">
        <f xml:space="preserve"> 0 + CAL!I3 + CAR!I3 + CENT!I3 + FLA!I3 + MIDA!I3 + MIDW!I3 + NE!I3 + NY!I3 + NW!I3 + SE!I3 + SW!I3 + TEN!I3 + TEX!I3</f>
        <v>1820</v>
      </c>
      <c r="J3" s="8">
        <f xml:space="preserve"> 0 + CAL!J3 + CAR!J3 + CENT!J3 + FLA!J3 + MIDA!J3 + MIDW!J3 + NE!J3 + NY!J3 + NW!J3 + SE!J3 + SW!J3 + TEN!J3 + TEX!J3</f>
        <v>2080</v>
      </c>
      <c r="K3" s="8">
        <f xml:space="preserve"> 0 + CAL!K3 + CAR!K3 + CENT!K3 + FLA!K3 + MIDA!K3 + MIDW!K3 + NE!K3 + NY!K3 + NW!K3 + SE!K3 + SW!K3 + TEN!K3 + TEX!K3</f>
        <v>2340</v>
      </c>
      <c r="L3" s="8">
        <f xml:space="preserve"> 0 + CAL!L3 + CAR!L3 + CENT!L3 + FLA!L3 + MIDA!L3 + MIDW!L3 + NE!L3 + NY!L3 + NW!L3 + SE!L3 + SW!L3 + TEN!L3 + TEX!L3</f>
        <v>2600</v>
      </c>
      <c r="M3" s="8">
        <f xml:space="preserve"> 0 + CAL!M3 + CAR!M3 + CENT!M3 + FLA!M3 + MIDA!M3 + MIDW!M3 + NE!M3 + NY!M3 + NW!M3 + SE!M3 + SW!M3 + TEN!M3 + TEX!M3</f>
        <v>2860</v>
      </c>
      <c r="N3" s="8">
        <f xml:space="preserve"> 0 + CAL!N3 + CAR!N3 + CENT!N3 + FLA!N3 + MIDA!N3 + MIDW!N3 + NE!N3 + NY!N3 + NW!N3 + SE!N3 + SW!N3 + TEN!N3 + TEX!N3</f>
        <v>3120</v>
      </c>
      <c r="O3" s="8">
        <f xml:space="preserve"> 0 + CAL!O3 + CAR!O3 + CENT!O3 + FLA!O3 + MIDA!O3 + MIDW!O3 + NE!O3 + NY!O3 + NW!O3 + SE!O3 + SW!O3 + TEN!O3 + TEX!O3</f>
        <v>3380</v>
      </c>
      <c r="P3" s="8">
        <f xml:space="preserve"> 0 + CAL!P3 + CAR!P3 + CENT!P3 + FLA!P3 + MIDA!P3 + MIDW!P3 + NE!P3 + NY!P3 + NW!P3 + SE!P3 + SW!P3 + TEN!P3 + TEX!P3</f>
        <v>3640</v>
      </c>
      <c r="Q3" s="8">
        <f xml:space="preserve"> 0 + CAL!Q3 + CAR!Q3 + CENT!Q3 + FLA!Q3 + MIDA!Q3 + MIDW!Q3 + NE!Q3 + NY!Q3 + NW!Q3 + SE!Q3 + SW!Q3 + TEN!Q3 + TEX!Q3</f>
        <v>3900</v>
      </c>
      <c r="R3" s="8">
        <f xml:space="preserve"> 0 + CAL!R3 + CAR!R3 + CENT!R3 + FLA!R3 + MIDA!R3 + MIDW!R3 + NE!R3 + NY!R3 + NW!R3 + SE!R3 + SW!R3 + TEN!R3 + TEX!R3</f>
        <v>4160</v>
      </c>
      <c r="S3" s="8">
        <f xml:space="preserve"> 0 + CAL!S3 + CAR!S3 + CENT!S3 + FLA!S3 + MIDA!S3 + MIDW!S3 + NE!S3 + NY!S3 + NW!S3 + SE!S3 + SW!S3 + TEN!S3 + TEX!S3</f>
        <v>4420</v>
      </c>
      <c r="T3" s="8">
        <f xml:space="preserve"> 0 + CAL!T3 + CAR!T3 + CENT!T3 + FLA!T3 + MIDA!T3 + MIDW!T3 + NE!T3 + NY!T3 + NW!T3 + SE!T3 + SW!T3 + TEN!T3 + TEX!T3</f>
        <v>4680</v>
      </c>
      <c r="U3" s="8">
        <f xml:space="preserve"> 0 + CAL!U3 + CAR!U3 + CENT!U3 + FLA!U3 + MIDA!U3 + MIDW!U3 + NE!U3 + NY!U3 + NW!U3 + SE!U3 + SW!U3 + TEN!U3 + TEX!U3</f>
        <v>4940</v>
      </c>
      <c r="V3" s="8">
        <f xml:space="preserve"> 0 + CAL!V3 + CAR!V3 + CENT!V3 + FLA!V3 + MIDA!V3 + MIDW!V3 + NE!V3 + NY!V3 + NW!V3 + SE!V3 + SW!V3 + TEN!V3 + TEX!V3</f>
        <v>5200</v>
      </c>
      <c r="W3" s="8">
        <f xml:space="preserve"> 0 + CAL!W3 + CAR!W3 + CENT!W3 + FLA!W3 + MIDA!W3 + MIDW!W3 + NE!W3 + NY!W3 + NW!W3 + SE!W3 + SW!W3 + TEN!W3 + TEX!W3</f>
        <v>5460</v>
      </c>
      <c r="X3" s="8">
        <f xml:space="preserve"> 0 + CAL!X3 + CAR!X3 + CENT!X3 + FLA!X3 + MIDA!X3 + MIDW!X3 + NE!X3 + NY!X3 + NW!X3 + SE!X3 + SW!X3 + TEN!X3 + TEX!X3</f>
        <v>5720</v>
      </c>
      <c r="Y3" s="8">
        <f xml:space="preserve"> 0 + CAL!Y3 + CAR!Y3 + CENT!Y3 + FLA!Y3 + MIDA!Y3 + MIDW!Y3 + NE!Y3 + NY!Y3 + NW!Y3 + SE!Y3 + SW!Y3 + TEN!Y3 + TEX!Y3</f>
        <v>5980</v>
      </c>
      <c r="Z3" s="8">
        <f xml:space="preserve"> 0 + CAL!Z3 + CAR!Z3 + CENT!Z3 + FLA!Z3 + MIDA!Z3 + MIDW!Z3 + NE!Z3 + NY!Z3 + NW!Z3 + SE!Z3 + SW!Z3 + TEN!Z3 + TEX!Z3</f>
        <v>6240</v>
      </c>
      <c r="AA3" s="8">
        <f xml:space="preserve"> 0 + CAL!AA3 + CAR!AA3 + CENT!AA3 + FLA!AA3 + MIDA!AA3 + MIDW!AA3 + NE!AA3 + NY!AA3 + NW!AA3 + SE!AA3 + SW!AA3 + TEN!AA3 + TEX!AA3</f>
        <v>6500</v>
      </c>
      <c r="AB3" s="8">
        <f xml:space="preserve"> 0 + CAL!AB3 + CAR!AB3 + CENT!AB3 + FLA!AB3 + MIDA!AB3 + MIDW!AB3 + NE!AB3 + NY!AB3 + NW!AB3 + SE!AB3 + SW!AB3 + TEN!AB3 + TEX!AB3</f>
        <v>6760</v>
      </c>
      <c r="AC3" s="8">
        <f xml:space="preserve"> 0 + CAL!AC3 + CAR!AC3 + CENT!AC3 + FLA!AC3 + MIDA!AC3 + MIDW!AC3 + NE!AC3 + NY!AC3 + NW!AC3 + SE!AC3 + SW!AC3 + TEN!AC3 + TEX!AC3</f>
        <v>7020</v>
      </c>
    </row>
    <row r="4" spans="1:29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4.9999999999999998E-8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1E-8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921711.26669961982</v>
      </c>
      <c r="D5" s="8">
        <f xml:space="preserve"> 0 + CAL!D5 + CAR!D5 + CENT!D5 + FLA!D5 + MIDA!D5 + MIDW!D5 + NE!D5 + NY!D5 + NW!D5 + SE!D5 + SW!D5 + TEN!D5 + TEX!D5</f>
        <v>942800.44802555989</v>
      </c>
      <c r="E5" s="8">
        <f xml:space="preserve"> 0 + CAL!E5 + CAR!E5 + CENT!E5 + FLA!E5 + MIDA!E5 + MIDW!E5 + NE!E5 + NY!E5 + NW!E5 + SE!E5 + SW!E5 + TEN!E5 + TEX!E5</f>
        <v>977496.77921478986</v>
      </c>
      <c r="F5" s="8">
        <f xml:space="preserve"> 0 + CAL!F5 + CAR!F5 + CENT!F5 + FLA!F5 + MIDA!F5 + MIDW!F5 + NE!F5 + NY!F5 + NW!F5 + SE!F5 + SW!F5 + TEN!F5 + TEX!F5</f>
        <v>1044123.56995317</v>
      </c>
      <c r="G5" s="8">
        <f xml:space="preserve"> 0 + CAL!G5 + CAR!G5 + CENT!G5 + FLA!G5 + MIDA!G5 + MIDW!G5 + NE!G5 + NY!G5 + NW!G5 + SE!G5 + SW!G5 + TEN!G5 + TEX!G5</f>
        <v>1114437.07961245</v>
      </c>
      <c r="H5" s="8">
        <f xml:space="preserve"> 0 + CAL!H5 + CAR!H5 + CENT!H5 + FLA!H5 + MIDA!H5 + MIDW!H5 + NE!H5 + NY!H5 + NW!H5 + SE!H5 + SW!H5 + TEN!H5 + TEX!H5</f>
        <v>1191246.8050216502</v>
      </c>
      <c r="I5" s="8">
        <f xml:space="preserve"> 0 + CAL!I5 + CAR!I5 + CENT!I5 + FLA!I5 + MIDA!I5 + MIDW!I5 + NE!I5 + NY!I5 + NW!I5 + SE!I5 + SW!I5 + TEN!I5 + TEX!I5</f>
        <v>1272093.7259967499</v>
      </c>
      <c r="J5" s="8">
        <f xml:space="preserve"> 0 + CAL!J5 + CAR!J5 + CENT!J5 + FLA!J5 + MIDA!J5 + MIDW!J5 + NE!J5 + NY!J5 + NW!J5 + SE!J5 + SW!J5 + TEN!J5 + TEX!J5</f>
        <v>1332871.3952846597</v>
      </c>
      <c r="K5" s="8">
        <f xml:space="preserve"> 0 + CAL!K5 + CAR!K5 + CENT!K5 + FLA!K5 + MIDA!K5 + MIDW!K5 + NE!K5 + NY!K5 + NW!K5 + SE!K5 + SW!K5 + TEN!K5 + TEX!K5</f>
        <v>1390389.53603412</v>
      </c>
      <c r="L5" s="8">
        <f xml:space="preserve"> 0 + CAL!L5 + CAR!L5 + CENT!L5 + FLA!L5 + MIDA!L5 + MIDW!L5 + NE!L5 + NY!L5 + NW!L5 + SE!L5 + SW!L5 + TEN!L5 + TEX!L5</f>
        <v>1451115.48610588</v>
      </c>
      <c r="M5" s="8">
        <f xml:space="preserve"> 0 + CAL!M5 + CAR!M5 + CENT!M5 + FLA!M5 + MIDA!M5 + MIDW!M5 + NE!M5 + NY!M5 + NW!M5 + SE!M5 + SW!M5 + TEN!M5 + TEX!M5</f>
        <v>1512347.2149366303</v>
      </c>
      <c r="N5" s="8">
        <f xml:space="preserve"> 0 + CAL!N5 + CAR!N5 + CENT!N5 + FLA!N5 + MIDA!N5 + MIDW!N5 + NE!N5 + NY!N5 + NW!N5 + SE!N5 + SW!N5 + TEN!N5 + TEX!N5</f>
        <v>1573159.9909526701</v>
      </c>
      <c r="O5" s="8">
        <f xml:space="preserve"> 0 + CAL!O5 + CAR!O5 + CENT!O5 + FLA!O5 + MIDA!O5 + MIDW!O5 + NE!O5 + NY!O5 + NW!O5 + SE!O5 + SW!O5 + TEN!O5 + TEX!O5</f>
        <v>1632268.0074373903</v>
      </c>
      <c r="P5" s="8">
        <f xml:space="preserve"> 0 + CAL!P5 + CAR!P5 + CENT!P5 + FLA!P5 + MIDA!P5 + MIDW!P5 + NE!P5 + NY!P5 + NW!P5 + SE!P5 + SW!P5 + TEN!P5 + TEX!P5</f>
        <v>1682546.2172057999</v>
      </c>
      <c r="Q5" s="8">
        <f xml:space="preserve"> 0 + CAL!Q5 + CAR!Q5 + CENT!Q5 + FLA!Q5 + MIDA!Q5 + MIDW!Q5 + NE!Q5 + NY!Q5 + NW!Q5 + SE!Q5 + SW!Q5 + TEN!Q5 + TEX!Q5</f>
        <v>1735510.3003198104</v>
      </c>
      <c r="R5" s="8">
        <f xml:space="preserve"> 0 + CAL!R5 + CAR!R5 + CENT!R5 + FLA!R5 + MIDA!R5 + MIDW!R5 + NE!R5 + NY!R5 + NW!R5 + SE!R5 + SW!R5 + TEN!R5 + TEX!R5</f>
        <v>1786904.9303619899</v>
      </c>
      <c r="S5" s="8">
        <f xml:space="preserve"> 0 + CAL!S5 + CAR!S5 + CENT!S5 + FLA!S5 + MIDA!S5 + MIDW!S5 + NE!S5 + NY!S5 + NW!S5 + SE!S5 + SW!S5 + TEN!S5 + TEX!S5</f>
        <v>1817053.5673264903</v>
      </c>
      <c r="T5" s="8">
        <f xml:space="preserve"> 0 + CAL!T5 + CAR!T5 + CENT!T5 + FLA!T5 + MIDA!T5 + MIDW!T5 + NE!T5 + NY!T5 + NW!T5 + SE!T5 + SW!T5 + TEN!T5 + TEX!T5</f>
        <v>1844574.22109087</v>
      </c>
      <c r="U5" s="8">
        <f xml:space="preserve"> 0 + CAL!U5 + CAR!U5 + CENT!U5 + FLA!U5 + MIDA!U5 + MIDW!U5 + NE!U5 + NY!U5 + NW!U5 + SE!U5 + SW!U5 + TEN!U5 + TEX!U5</f>
        <v>1878849.9569385799</v>
      </c>
      <c r="V5" s="8">
        <f xml:space="preserve"> 0 + CAL!V5 + CAR!V5 + CENT!V5 + FLA!V5 + MIDA!V5 + MIDW!V5 + NE!V5 + NY!V5 + NW!V5 + SE!V5 + SW!V5 + TEN!V5 + TEX!V5</f>
        <v>1916899.44521571</v>
      </c>
      <c r="W5" s="8">
        <f xml:space="preserve"> 0 + CAL!W5 + CAR!W5 + CENT!W5 + FLA!W5 + MIDA!W5 + MIDW!W5 + NE!W5 + NY!W5 + NW!W5 + SE!W5 + SW!W5 + TEN!W5 + TEX!W5</f>
        <v>1963980.81328505</v>
      </c>
      <c r="X5" s="8">
        <f xml:space="preserve"> 0 + CAL!X5 + CAR!X5 + CENT!X5 + FLA!X5 + MIDA!X5 + MIDW!X5 + NE!X5 + NY!X5 + NW!X5 + SE!X5 + SW!X5 + TEN!X5 + TEX!X5</f>
        <v>2005661.1125541204</v>
      </c>
      <c r="Y5" s="8">
        <f xml:space="preserve"> 0 + CAL!Y5 + CAR!Y5 + CENT!Y5 + FLA!Y5 + MIDA!Y5 + MIDW!Y5 + NE!Y5 + NY!Y5 + NW!Y5 + SE!Y5 + SW!Y5 + TEN!Y5 + TEX!Y5</f>
        <v>2044720.8221558402</v>
      </c>
      <c r="Z5" s="8">
        <f xml:space="preserve"> 0 + CAL!Z5 + CAR!Z5 + CENT!Z5 + FLA!Z5 + MIDA!Z5 + MIDW!Z5 + NE!Z5 + NY!Z5 + NW!Z5 + SE!Z5 + SW!Z5 + TEN!Z5 + TEX!Z5</f>
        <v>2088558.9637474704</v>
      </c>
      <c r="AA5" s="8">
        <f xml:space="preserve"> 0 + CAL!AA5 + CAR!AA5 + CENT!AA5 + FLA!AA5 + MIDA!AA5 + MIDW!AA5 + NE!AA5 + NY!AA5 + NW!AA5 + SE!AA5 + SW!AA5 + TEN!AA5 + TEX!AA5</f>
        <v>2128327.7818773105</v>
      </c>
      <c r="AB5" s="8">
        <f xml:space="preserve"> 0 + CAL!AB5 + CAR!AB5 + CENT!AB5 + FLA!AB5 + MIDA!AB5 + MIDW!AB5 + NE!AB5 + NY!AB5 + NW!AB5 + SE!AB5 + SW!AB5 + TEN!AB5 + TEX!AB5</f>
        <v>2170679.0998774501</v>
      </c>
      <c r="AC5" s="8">
        <f xml:space="preserve"> 0 + CAL!AC5 + CAR!AC5 + CENT!AC5 + FLA!AC5 + MIDA!AC5 + MIDW!AC5 + NE!AC5 + NY!AC5 + NW!AC5 + SE!AC5 + SW!AC5 + TEN!AC5 + TEX!AC5</f>
        <v>2215082.6960503198</v>
      </c>
    </row>
    <row r="6" spans="1:29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3700644798.9154134</v>
      </c>
      <c r="D6" s="8">
        <f xml:space="preserve"> 0 + CAL!D6 + CAR!D6 + CENT!D6 + FLA!D6 + MIDA!D6 + MIDW!D6 + NE!D6 + NY!D6 + NW!D6 + SE!D6 + SW!D6 + TEN!D6 + TEX!D6</f>
        <v>3781631894.726716</v>
      </c>
      <c r="E6" s="8">
        <f xml:space="preserve"> 0 + CAL!E6 + CAR!E6 + CENT!E6 + FLA!E6 + MIDA!E6 + MIDW!E6 + NE!E6 + NY!E6 + NW!E6 + SE!E6 + SW!E6 + TEN!E6 + TEX!E6</f>
        <v>3864258466.617219</v>
      </c>
      <c r="F6" s="8">
        <f xml:space="preserve"> 0 + CAL!F6 + CAR!F6 + CENT!F6 + FLA!F6 + MIDA!F6 + MIDW!F6 + NE!F6 + NY!F6 + NW!F6 + SE!F6 + SW!F6 + TEN!F6 + TEX!F6</f>
        <v>3948548308.7103591</v>
      </c>
      <c r="G6" s="8">
        <f xml:space="preserve"> 0 + CAL!G6 + CAR!G6 + CENT!G6 + FLA!G6 + MIDA!G6 + MIDW!G6 + NE!G6 + NY!G6 + NW!G6 + SE!G6 + SW!G6 + TEN!G6 + TEX!G6</f>
        <v>4035284508.9030252</v>
      </c>
      <c r="H6" s="8">
        <f xml:space="preserve"> 0 + CAL!H6 + CAR!H6 + CENT!H6 + FLA!H6 + MIDA!H6 + MIDW!H6 + NE!H6 + NY!H6 + NW!H6 + SE!H6 + SW!H6 + TEN!H6 + TEX!H6</f>
        <v>4126800776.731596</v>
      </c>
      <c r="I6" s="8">
        <f xml:space="preserve"> 0 + CAL!I6 + CAR!I6 + CENT!I6 + FLA!I6 + MIDA!I6 + MIDW!I6 + NE!I6 + NY!I6 + NW!I6 + SE!I6 + SW!I6 + TEN!I6 + TEX!I6</f>
        <v>4224492247.9741869</v>
      </c>
      <c r="J6" s="8">
        <f xml:space="preserve"> 0 + CAL!J6 + CAR!J6 + CENT!J6 + FLA!J6 + MIDA!J6 + MIDW!J6 + NE!J6 + NY!J6 + NW!J6 + SE!J6 + SW!J6 + TEN!J6 + TEX!J6</f>
        <v>4327403806.7944298</v>
      </c>
      <c r="K6" s="8">
        <f xml:space="preserve"> 0 + CAL!K6 + CAR!K6 + CENT!K6 + FLA!K6 + MIDA!K6 + MIDW!K6 + NE!K6 + NY!K6 + NW!K6 + SE!K6 + SW!K6 + TEN!K6 + TEX!K6</f>
        <v>4444277424.6805172</v>
      </c>
      <c r="L6" s="8">
        <f xml:space="preserve"> 0 + CAL!L6 + CAR!L6 + CENT!L6 + FLA!L6 + MIDA!L6 + MIDW!L6 + NE!L6 + NY!L6 + NW!L6 + SE!L6 + SW!L6 + TEN!L6 + TEX!L6</f>
        <v>4576989014.140029</v>
      </c>
      <c r="M6" s="8">
        <f xml:space="preserve"> 0 + CAL!M6 + CAR!M6 + CENT!M6 + FLA!M6 + MIDA!M6 + MIDW!M6 + NE!M6 + NY!M6 + NW!M6 + SE!M6 + SW!M6 + TEN!M6 + TEX!M6</f>
        <v>4715054591.2663174</v>
      </c>
      <c r="N6" s="8">
        <f xml:space="preserve"> 0 + CAL!N6 + CAR!N6 + CENT!N6 + FLA!N6 + MIDA!N6 + MIDW!N6 + NE!N6 + NY!N6 + NW!N6 + SE!N6 + SW!N6 + TEN!N6 + TEX!N6</f>
        <v>4880222937.4730844</v>
      </c>
      <c r="O6" s="8">
        <f xml:space="preserve"> 0 + CAL!O6 + CAR!O6 + CENT!O6 + FLA!O6 + MIDA!O6 + MIDW!O6 + NE!O6 + NY!O6 + NW!O6 + SE!O6 + SW!O6 + TEN!O6 + TEX!O6</f>
        <v>5059458693.4873953</v>
      </c>
      <c r="P6" s="8">
        <f xml:space="preserve"> 0 + CAL!P6 + CAR!P6 + CENT!P6 + FLA!P6 + MIDA!P6 + MIDW!P6 + NE!P6 + NY!P6 + NW!P6 + SE!P6 + SW!P6 + TEN!P6 + TEX!P6</f>
        <v>5232720538.9924698</v>
      </c>
      <c r="Q6" s="8">
        <f xml:space="preserve"> 0 + CAL!Q6 + CAR!Q6 + CENT!Q6 + FLA!Q6 + MIDA!Q6 + MIDW!Q6 + NE!Q6 + NY!Q6 + NW!Q6 + SE!Q6 + SW!Q6 + TEN!Q6 + TEX!Q6</f>
        <v>5429878509.3616409</v>
      </c>
      <c r="R6" s="8">
        <f xml:space="preserve"> 0 + CAL!R6 + CAR!R6 + CENT!R6 + FLA!R6 + MIDA!R6 + MIDW!R6 + NE!R6 + NY!R6 + NW!R6 + SE!R6 + SW!R6 + TEN!R6 + TEX!R6</f>
        <v>5617594701.5445709</v>
      </c>
      <c r="S6" s="8">
        <f xml:space="preserve"> 0 + CAL!S6 + CAR!S6 + CENT!S6 + FLA!S6 + MIDA!S6 + MIDW!S6 + NE!S6 + NY!S6 + NW!S6 + SE!S6 + SW!S6 + TEN!S6 + TEX!S6</f>
        <v>5786775549.6996365</v>
      </c>
      <c r="T6" s="8">
        <f xml:space="preserve"> 0 + CAL!T6 + CAR!T6 + CENT!T6 + FLA!T6 + MIDA!T6 + MIDW!T6 + NE!T6 + NY!T6 + NW!T6 + SE!T6 + SW!T6 + TEN!T6 + TEX!T6</f>
        <v>5970600332.7354355</v>
      </c>
      <c r="U6" s="8">
        <f xml:space="preserve"> 0 + CAL!U6 + CAR!U6 + CENT!U6 + FLA!U6 + MIDA!U6 + MIDW!U6 + NE!U6 + NY!U6 + NW!U6 + SE!U6 + SW!U6 + TEN!U6 + TEX!U6</f>
        <v>6139691472.8040886</v>
      </c>
      <c r="V6" s="8">
        <f xml:space="preserve"> 0 + CAL!V6 + CAR!V6 + CENT!V6 + FLA!V6 + MIDA!V6 + MIDW!V6 + NE!V6 + NY!V6 + NW!V6 + SE!V6 + SW!V6 + TEN!V6 + TEX!V6</f>
        <v>6327933139.1431437</v>
      </c>
      <c r="W6" s="8">
        <f xml:space="preserve"> 0 + CAL!W6 + CAR!W6 + CENT!W6 + FLA!W6 + MIDA!W6 + MIDW!W6 + NE!W6 + NY!W6 + NW!W6 + SE!W6 + SW!W6 + TEN!W6 + TEX!W6</f>
        <v>6522587841.855957</v>
      </c>
      <c r="X6" s="8">
        <f xml:space="preserve"> 0 + CAL!X6 + CAR!X6 + CENT!X6 + FLA!X6 + MIDA!X6 + MIDW!X6 + NE!X6 + NY!X6 + NW!X6 + SE!X6 + SW!X6 + TEN!X6 + TEX!X6</f>
        <v>6702049149.8869104</v>
      </c>
      <c r="Y6" s="8">
        <f xml:space="preserve"> 0 + CAL!Y6 + CAR!Y6 + CENT!Y6 + FLA!Y6 + MIDA!Y6 + MIDW!Y6 + NE!Y6 + NY!Y6 + NW!Y6 + SE!Y6 + SW!Y6 + TEN!Y6 + TEX!Y6</f>
        <v>6864860097.1535082</v>
      </c>
      <c r="Z6" s="8">
        <f xml:space="preserve"> 0 + CAL!Z6 + CAR!Z6 + CENT!Z6 + FLA!Z6 + MIDA!Z6 + MIDW!Z6 + NE!Z6 + NY!Z6 + NW!Z6 + SE!Z6 + SW!Z6 + TEN!Z6 + TEX!Z6</f>
        <v>7051809948.1386175</v>
      </c>
      <c r="AA6" s="8">
        <f xml:space="preserve"> 0 + CAL!AA6 + CAR!AA6 + CENT!AA6 + FLA!AA6 + MIDA!AA6 + MIDW!AA6 + NE!AA6 + NY!AA6 + NW!AA6 + SE!AA6 + SW!AA6 + TEN!AA6 + TEX!AA6</f>
        <v>7246495415.8345289</v>
      </c>
      <c r="AB6" s="8">
        <f xml:space="preserve"> 0 + CAL!AB6 + CAR!AB6 + CENT!AB6 + FLA!AB6 + MIDA!AB6 + MIDW!AB6 + NE!AB6 + NY!AB6 + NW!AB6 + SE!AB6 + SW!AB6 + TEN!AB6 + TEX!AB6</f>
        <v>7440907153.2525454</v>
      </c>
      <c r="AC6" s="8">
        <f xml:space="preserve"> 0 + CAL!AC6 + CAR!AC6 + CENT!AC6 + FLA!AC6 + MIDA!AC6 + MIDW!AC6 + NE!AC6 + NY!AC6 + NW!AC6 + SE!AC6 + SW!AC6 + TEN!AC6 + TEX!AC6</f>
        <v>7626591663.5620565</v>
      </c>
    </row>
    <row r="7" spans="1:29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167355.09071401999</v>
      </c>
      <c r="C8" s="8">
        <f xml:space="preserve"> 0 + CAL!C8 + CAR!C8 + CENT!C8 + FLA!C8 + MIDA!C8 + MIDW!C8 + NE!C8 + NY!C8 + NW!C8 + SE!C8 + SW!C8 + TEN!C8 + TEX!C8</f>
        <v>166622.62498437997</v>
      </c>
      <c r="D8" s="8">
        <f xml:space="preserve"> 0 + CAL!D8 + CAR!D8 + CENT!D8 + FLA!D8 + MIDA!D8 + MIDW!D8 + NE!D8 + NY!D8 + NW!D8 + SE!D8 + SW!D8 + TEN!D8 + TEX!D8</f>
        <v>167377.04518925998</v>
      </c>
      <c r="E8" s="8">
        <f xml:space="preserve"> 0 + CAL!E8 + CAR!E8 + CENT!E8 + FLA!E8 + MIDA!E8 + MIDW!E8 + NE!E8 + NY!E8 + NW!E8 + SE!E8 + SW!E8 + TEN!E8 + TEX!E8</f>
        <v>169861.38847989996</v>
      </c>
      <c r="F8" s="8">
        <f xml:space="preserve"> 0 + CAL!F8 + CAR!F8 + CENT!F8 + FLA!F8 + MIDA!F8 + MIDW!F8 + NE!F8 + NY!F8 + NW!F8 + SE!F8 + SW!F8 + TEN!F8 + TEX!F8</f>
        <v>181757.30059713998</v>
      </c>
      <c r="G8" s="8">
        <f xml:space="preserve"> 0 + CAL!G8 + CAR!G8 + CENT!G8 + FLA!G8 + MIDA!G8 + MIDW!G8 + NE!G8 + NY!G8 + NW!G8 + SE!G8 + SW!G8 + TEN!G8 + TEX!G8</f>
        <v>195409.25861783003</v>
      </c>
      <c r="H8" s="8">
        <f xml:space="preserve"> 0 + CAL!H8 + CAR!H8 + CENT!H8 + FLA!H8 + MIDA!H8 + MIDW!H8 + NE!H8 + NY!H8 + NW!H8 + SE!H8 + SW!H8 + TEN!H8 + TEX!H8</f>
        <v>213117.32386007</v>
      </c>
      <c r="I8" s="8">
        <f xml:space="preserve"> 0 + CAL!I8 + CAR!I8 + CENT!I8 + FLA!I8 + MIDA!I8 + MIDW!I8 + NE!I8 + NY!I8 + NW!I8 + SE!I8 + SW!I8 + TEN!I8 + TEX!I8</f>
        <v>232909.40551843002</v>
      </c>
      <c r="J8" s="8">
        <f xml:space="preserve"> 0 + CAL!J8 + CAR!J8 + CENT!J8 + FLA!J8 + MIDA!J8 + MIDW!J8 + NE!J8 + NY!J8 + NW!J8 + SE!J8 + SW!J8 + TEN!J8 + TEX!J8</f>
        <v>251191.56960375002</v>
      </c>
      <c r="K8" s="8">
        <f xml:space="preserve"> 0 + CAL!K8 + CAR!K8 + CENT!K8 + FLA!K8 + MIDA!K8 + MIDW!K8 + NE!K8 + NY!K8 + NW!K8 + SE!K8 + SW!K8 + TEN!K8 + TEX!K8</f>
        <v>269891.50128115999</v>
      </c>
      <c r="L8" s="8">
        <f xml:space="preserve"> 0 + CAL!L8 + CAR!L8 + CENT!L8 + FLA!L8 + MIDA!L8 + MIDW!L8 + NE!L8 + NY!L8 + NW!L8 + SE!L8 + SW!L8 + TEN!L8 + TEX!L8</f>
        <v>289227.18512099999</v>
      </c>
      <c r="M8" s="8">
        <f xml:space="preserve"> 0 + CAL!M8 + CAR!M8 + CENT!M8 + FLA!M8 + MIDA!M8 + MIDW!M8 + NE!M8 + NY!M8 + NW!M8 + SE!M8 + SW!M8 + TEN!M8 + TEX!M8</f>
        <v>306992.98414652998</v>
      </c>
      <c r="N8" s="8">
        <f xml:space="preserve"> 0 + CAL!N8 + CAR!N8 + CENT!N8 + FLA!N8 + MIDA!N8 + MIDW!N8 + NE!N8 + NY!N8 + NW!N8 + SE!N8 + SW!N8 + TEN!N8 + TEX!N8</f>
        <v>326063.75106040994</v>
      </c>
      <c r="O8" s="8">
        <f xml:space="preserve"> 0 + CAL!O8 + CAR!O8 + CENT!O8 + FLA!O8 + MIDA!O8 + MIDW!O8 + NE!O8 + NY!O8 + NW!O8 + SE!O8 + SW!O8 + TEN!O8 + TEX!O8</f>
        <v>345170.45421568002</v>
      </c>
      <c r="P8" s="8">
        <f xml:space="preserve"> 0 + CAL!P8 + CAR!P8 + CENT!P8 + FLA!P8 + MIDA!P8 + MIDW!P8 + NE!P8 + NY!P8 + NW!P8 + SE!P8 + SW!P8 + TEN!P8 + TEX!P8</f>
        <v>361786.99968791008</v>
      </c>
      <c r="Q8" s="8">
        <f xml:space="preserve"> 0 + CAL!Q8 + CAR!Q8 + CENT!Q8 + FLA!Q8 + MIDA!Q8 + MIDW!Q8 + NE!Q8 + NY!Q8 + NW!Q8 + SE!Q8 + SW!Q8 + TEN!Q8 + TEX!Q8</f>
        <v>379820.32198625</v>
      </c>
      <c r="R8" s="8">
        <f xml:space="preserve"> 0 + CAL!R8 + CAR!R8 + CENT!R8 + FLA!R8 + MIDA!R8 + MIDW!R8 + NE!R8 + NY!R8 + NW!R8 + SE!R8 + SW!R8 + TEN!R8 + TEX!R8</f>
        <v>396268.38505266001</v>
      </c>
      <c r="S8" s="8">
        <f xml:space="preserve"> 0 + CAL!S8 + CAR!S8 + CENT!S8 + FLA!S8 + MIDA!S8 + MIDW!S8 + NE!S8 + NY!S8 + NW!S8 + SE!S8 + SW!S8 + TEN!S8 + TEX!S8</f>
        <v>410582.71826083004</v>
      </c>
      <c r="T8" s="8">
        <f xml:space="preserve"> 0 + CAL!T8 + CAR!T8 + CENT!T8 + FLA!T8 + MIDA!T8 + MIDW!T8 + NE!T8 + NY!T8 + NW!T8 + SE!T8 + SW!T8 + TEN!T8 + TEX!T8</f>
        <v>426303.31059855997</v>
      </c>
      <c r="U8" s="8">
        <f xml:space="preserve"> 0 + CAL!U8 + CAR!U8 + CENT!U8 + FLA!U8 + MIDA!U8 + MIDW!U8 + NE!U8 + NY!U8 + NW!U8 + SE!U8 + SW!U8 + TEN!U8 + TEX!U8</f>
        <v>440626.01786349004</v>
      </c>
      <c r="V8" s="8">
        <f xml:space="preserve"> 0 + CAL!V8 + CAR!V8 + CENT!V8 + FLA!V8 + MIDA!V8 + MIDW!V8 + NE!V8 + NY!V8 + NW!V8 + SE!V8 + SW!V8 + TEN!V8 + TEX!V8</f>
        <v>455617.53752498003</v>
      </c>
      <c r="W8" s="8">
        <f xml:space="preserve"> 0 + CAL!W8 + CAR!W8 + CENT!W8 + FLA!W8 + MIDA!W8 + MIDW!W8 + NE!W8 + NY!W8 + NW!W8 + SE!W8 + SW!W8 + TEN!W8 + TEX!W8</f>
        <v>470508.42470454995</v>
      </c>
      <c r="X8" s="8">
        <f xml:space="preserve"> 0 + CAL!X8 + CAR!X8 + CENT!X8 + FLA!X8 + MIDA!X8 + MIDW!X8 + NE!X8 + NY!X8 + NW!X8 + SE!X8 + SW!X8 + TEN!X8 + TEX!X8</f>
        <v>483320.94056087994</v>
      </c>
      <c r="Y8" s="8">
        <f xml:space="preserve"> 0 + CAL!Y8 + CAR!Y8 + CENT!Y8 + FLA!Y8 + MIDA!Y8 + MIDW!Y8 + NE!Y8 + NY!Y8 + NW!Y8 + SE!Y8 + SW!Y8 + TEN!Y8 + TEX!Y8</f>
        <v>494364.61415730999</v>
      </c>
      <c r="Z8" s="8">
        <f xml:space="preserve"> 0 + CAL!Z8 + CAR!Z8 + CENT!Z8 + FLA!Z8 + MIDA!Z8 + MIDW!Z8 + NE!Z8 + NY!Z8 + NW!Z8 + SE!Z8 + SW!Z8 + TEN!Z8 + TEX!Z8</f>
        <v>507437.81624840997</v>
      </c>
      <c r="AA8" s="8">
        <f xml:space="preserve"> 0 + CAL!AA8 + CAR!AA8 + CENT!AA8 + FLA!AA8 + MIDA!AA8 + MIDW!AA8 + NE!AA8 + NY!AA8 + NW!AA8 + SE!AA8 + SW!AA8 + TEN!AA8 + TEX!AA8</f>
        <v>520686.35046556999</v>
      </c>
      <c r="AB8" s="8">
        <f xml:space="preserve"> 0 + CAL!AB8 + CAR!AB8 + CENT!AB8 + FLA!AB8 + MIDA!AB8 + MIDW!AB8 + NE!AB8 + NY!AB8 + NW!AB8 + SE!AB8 + SW!AB8 + TEN!AB8 + TEX!AB8</f>
        <v>533984.2608855</v>
      </c>
      <c r="AC8" s="8">
        <f xml:space="preserve"> 0 + CAL!AC8 + CAR!AC8 + CENT!AC8 + FLA!AC8 + MIDA!AC8 + MIDW!AC8 + NE!AC8 + NY!AC8 + NW!AC8 + SE!AC8 + SW!AC8 + TEN!AC8 + TEX!AC8</f>
        <v>546401.38979420997</v>
      </c>
    </row>
    <row r="9" spans="1:29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66226.650600569992</v>
      </c>
      <c r="D9" s="8">
        <f xml:space="preserve"> 0 + CAL!D9 + CAR!D9 + CENT!D9 + FLA!D9 + MIDA!D9 + MIDW!D9 + NE!D9 + NY!D9 + NW!D9 + SE!D9 + SW!D9 + TEN!D9 + TEX!D9</f>
        <v>67624.836340180002</v>
      </c>
      <c r="E9" s="8">
        <f xml:space="preserve"> 0 + CAL!E9 + CAR!E9 + CENT!E9 + FLA!E9 + MIDA!E9 + MIDW!E9 + NE!E9 + NY!E9 + NW!E9 + SE!E9 + SW!E9 + TEN!E9 + TEX!E9</f>
        <v>68779.918501849985</v>
      </c>
      <c r="F9" s="8">
        <f xml:space="preserve"> 0 + CAL!F9 + CAR!F9 + CENT!F9 + FLA!F9 + MIDA!F9 + MIDW!F9 + NE!F9 + NY!F9 + NW!F9 + SE!F9 + SW!F9 + TEN!F9 + TEX!F9</f>
        <v>67957.184315660008</v>
      </c>
      <c r="G9" s="8">
        <f xml:space="preserve"> 0 + CAL!G9 + CAR!G9 + CENT!G9 + FLA!G9 + MIDA!G9 + MIDW!G9 + NE!G9 + NY!G9 + NW!G9 + SE!G9 + SW!G9 + TEN!G9 + TEX!G9</f>
        <v>66629.404349570017</v>
      </c>
      <c r="H9" s="8">
        <f xml:space="preserve"> 0 + CAL!H9 + CAR!H9 + CENT!H9 + FLA!H9 + MIDA!H9 + MIDW!H9 + NE!H9 + NY!H9 + NW!H9 + SE!H9 + SW!H9 + TEN!H9 + TEX!H9</f>
        <v>64481.385698680009</v>
      </c>
      <c r="I9" s="8">
        <f xml:space="preserve"> 0 + CAL!I9 + CAR!I9 + CENT!I9 + FLA!I9 + MIDA!I9 + MIDW!I9 + NE!I9 + NY!I9 + NW!I9 + SE!I9 + SW!I9 + TEN!I9 + TEX!I9</f>
        <v>61937.965808379995</v>
      </c>
      <c r="J9" s="8">
        <f xml:space="preserve"> 0 + CAL!J9 + CAR!J9 + CENT!J9 + FLA!J9 + MIDA!J9 + MIDW!J9 + NE!J9 + NY!J9 + NW!J9 + SE!J9 + SW!J9 + TEN!J9 + TEX!J9</f>
        <v>59180.96581283</v>
      </c>
      <c r="K9" s="8">
        <f xml:space="preserve"> 0 + CAL!K9 + CAR!K9 + CENT!K9 + FLA!K9 + MIDA!K9 + MIDW!K9 + NE!K9 + NY!K9 + NW!K9 + SE!K9 + SW!K9 + TEN!K9 + TEX!K9</f>
        <v>56456.720549550002</v>
      </c>
      <c r="L9" s="8">
        <f xml:space="preserve"> 0 + CAL!L9 + CAR!L9 + CENT!L9 + FLA!L9 + MIDA!L9 + MIDW!L9 + NE!L9 + NY!L9 + NW!L9 + SE!L9 + SW!L9 + TEN!L9 + TEX!L9</f>
        <v>53967.414082389994</v>
      </c>
      <c r="M9" s="8">
        <f xml:space="preserve"> 0 + CAL!M9 + CAR!M9 + CENT!M9 + FLA!M9 + MIDA!M9 + MIDW!M9 + NE!M9 + NY!M9 + NW!M9 + SE!M9 + SW!M9 + TEN!M9 + TEX!M9</f>
        <v>51909.001618920011</v>
      </c>
      <c r="N9" s="8">
        <f xml:space="preserve"> 0 + CAL!N9 + CAR!N9 + CENT!N9 + FLA!N9 + MIDA!N9 + MIDW!N9 + NE!N9 + NY!N9 + NW!N9 + SE!N9 + SW!N9 + TEN!N9 + TEX!N9</f>
        <v>50218.333867240006</v>
      </c>
      <c r="O9" s="8">
        <f xml:space="preserve"> 0 + CAL!O9 + CAR!O9 + CENT!O9 + FLA!O9 + MIDA!O9 + MIDW!O9 + NE!O9 + NY!O9 + NW!O9 + SE!O9 + SW!O9 + TEN!O9 + TEX!O9</f>
        <v>49050.11217510001</v>
      </c>
      <c r="P9" s="8">
        <f xml:space="preserve"> 0 + CAL!P9 + CAR!P9 + CENT!P9 + FLA!P9 + MIDA!P9 + MIDW!P9 + NE!P9 + NY!P9 + NW!P9 + SE!P9 + SW!P9 + TEN!P9 + TEX!P9</f>
        <v>48445.924913759998</v>
      </c>
      <c r="Q9" s="8">
        <f xml:space="preserve"> 0 + CAL!Q9 + CAR!Q9 + CENT!Q9 + FLA!Q9 + MIDA!Q9 + MIDW!Q9 + NE!Q9 + NY!Q9 + NW!Q9 + SE!Q9 + SW!Q9 + TEN!Q9 + TEX!Q9</f>
        <v>48148.232625220007</v>
      </c>
      <c r="R9" s="8">
        <f xml:space="preserve"> 0 + CAL!R9 + CAR!R9 + CENT!R9 + FLA!R9 + MIDA!R9 + MIDW!R9 + NE!R9 + NY!R9 + NW!R9 + SE!R9 + SW!R9 + TEN!R9 + TEX!R9</f>
        <v>48192.651427699995</v>
      </c>
      <c r="S9" s="8">
        <f xml:space="preserve"> 0 + CAL!S9 + CAR!S9 + CENT!S9 + FLA!S9 + MIDA!S9 + MIDW!S9 + NE!S9 + NY!S9 + NW!S9 + SE!S9 + SW!S9 + TEN!S9 + TEX!S9</f>
        <v>48889.353875940003</v>
      </c>
      <c r="T9" s="8">
        <f xml:space="preserve"> 0 + CAL!T9 + CAR!T9 + CENT!T9 + FLA!T9 + MIDA!T9 + MIDW!T9 + NE!T9 + NY!T9 + NW!T9 + SE!T9 + SW!T9 + TEN!T9 + TEX!T9</f>
        <v>49918.071119070009</v>
      </c>
      <c r="U9" s="8">
        <f xml:space="preserve"> 0 + CAL!U9 + CAR!U9 + CENT!U9 + FLA!U9 + MIDA!U9 + MIDW!U9 + NE!U9 + NY!U9 + NW!U9 + SE!U9 + SW!U9 + TEN!U9 + TEX!U9</f>
        <v>50819.333324109997</v>
      </c>
      <c r="V9" s="8">
        <f xml:space="preserve"> 0 + CAL!V9 + CAR!V9 + CENT!V9 + FLA!V9 + MIDA!V9 + MIDW!V9 + NE!V9 + NY!V9 + NW!V9 + SE!V9 + SW!V9 + TEN!V9 + TEX!V9</f>
        <v>51845.707694969999</v>
      </c>
      <c r="W9" s="8">
        <f xml:space="preserve"> 0 + CAL!W9 + CAR!W9 + CENT!W9 + FLA!W9 + MIDA!W9 + MIDW!W9 + NE!W9 + NY!W9 + NW!W9 + SE!W9 + SW!W9 + TEN!W9 + TEX!W9</f>
        <v>52824.044448019988</v>
      </c>
      <c r="X9" s="8">
        <f xml:space="preserve"> 0 + CAL!X9 + CAR!X9 + CENT!X9 + FLA!X9 + MIDA!X9 + MIDW!X9 + NE!X9 + NY!X9 + NW!X9 + SE!X9 + SW!X9 + TEN!X9 + TEX!X9</f>
        <v>53885.220182550009</v>
      </c>
      <c r="Y9" s="8">
        <f xml:space="preserve"> 0 + CAL!Y9 + CAR!Y9 + CENT!Y9 + FLA!Y9 + MIDA!Y9 + MIDW!Y9 + NE!Y9 + NY!Y9 + NW!Y9 + SE!Y9 + SW!Y9 + TEN!Y9 + TEX!Y9</f>
        <v>55003.158007049991</v>
      </c>
      <c r="Z9" s="8">
        <f xml:space="preserve"> 0 + CAL!Z9 + CAR!Z9 + CENT!Z9 + FLA!Z9 + MIDA!Z9 + MIDW!Z9 + NE!Z9 + NY!Z9 + NW!Z9 + SE!Z9 + SW!Z9 + TEN!Z9 + TEX!Z9</f>
        <v>56326.310862720013</v>
      </c>
      <c r="AA9" s="8">
        <f xml:space="preserve"> 0 + CAL!AA9 + CAR!AA9 + CENT!AA9 + FLA!AA9 + MIDA!AA9 + MIDW!AA9 + NE!AA9 + NY!AA9 + NW!AA9 + SE!AA9 + SW!AA9 + TEN!AA9 + TEX!AA9</f>
        <v>57755.295567869995</v>
      </c>
      <c r="AB9" s="8">
        <f xml:space="preserve"> 0 + CAL!AB9 + CAR!AB9 + CENT!AB9 + FLA!AB9 + MIDA!AB9 + MIDW!AB9 + NE!AB9 + NY!AB9 + NW!AB9 + SE!AB9 + SW!AB9 + TEN!AB9 + TEX!AB9</f>
        <v>59166.987389260001</v>
      </c>
      <c r="AC9" s="8">
        <f xml:space="preserve"> 0 + CAL!AC9 + CAR!AC9 + CENT!AC9 + FLA!AC9 + MIDA!AC9 + MIDW!AC9 + NE!AC9 + NY!AC9 + NW!AC9 + SE!AC9 + SW!AC9 + TEN!AC9 + TEX!AC9</f>
        <v>60529.561408900008</v>
      </c>
    </row>
    <row r="10" spans="1:29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1.66E-6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2E-8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1.9000000000000001E-7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29113.472428159996</v>
      </c>
      <c r="D11" s="8">
        <f xml:space="preserve"> 0 + CAL!D11 + CAR!D11 + CENT!D11 + FLA!D11 + MIDA!D11 + MIDW!D11 + NE!D11 + NY!D11 + NW!D11 + SE!D11 + SW!D11 + TEN!D11 + TEX!D11</f>
        <v>59197.192284509998</v>
      </c>
      <c r="E11" s="8">
        <f xml:space="preserve"> 0 + CAL!E11 + CAR!E11 + CENT!E11 + FLA!E11 + MIDA!E11 + MIDW!E11 + NE!E11 + NY!E11 + NW!E11 + SE!E11 + SW!E11 + TEN!E11 + TEX!E11</f>
        <v>88823.161590289994</v>
      </c>
      <c r="F11" s="8">
        <f xml:space="preserve"> 0 + CAL!F11 + CAR!F11 + CENT!F11 + FLA!F11 + MIDA!F11 + MIDW!F11 + NE!F11 + NY!F11 + NW!F11 + SE!F11 + SW!F11 + TEN!F11 + TEX!F11</f>
        <v>110276.47044093</v>
      </c>
      <c r="G11" s="8">
        <f xml:space="preserve"> 0 + CAL!G11 + CAR!G11 + CENT!G11 + FLA!G11 + MIDA!G11 + MIDW!G11 + NE!G11 + NY!G11 + NW!G11 + SE!G11 + SW!G11 + TEN!G11 + TEX!G11</f>
        <v>126702.93138651999</v>
      </c>
      <c r="H11" s="8">
        <f xml:space="preserve"> 0 + CAL!H11 + CAR!H11 + CENT!H11 + FLA!H11 + MIDA!H11 + MIDW!H11 + NE!H11 + NY!H11 + NW!H11 + SE!H11 + SW!H11 + TEN!H11 + TEX!H11</f>
        <v>135525.78232470999</v>
      </c>
      <c r="I11" s="8">
        <f xml:space="preserve"> 0 + CAL!I11 + CAR!I11 + CENT!I11 + FLA!I11 + MIDA!I11 + MIDW!I11 + NE!I11 + NY!I11 + NW!I11 + SE!I11 + SW!I11 + TEN!I11 + TEX!I11</f>
        <v>138523.60024234001</v>
      </c>
      <c r="J11" s="8">
        <f xml:space="preserve"> 0 + CAL!J11 + CAR!J11 + CENT!J11 + FLA!J11 + MIDA!J11 + MIDW!J11 + NE!J11 + NY!J11 + NW!J11 + SE!J11 + SW!J11 + TEN!J11 + TEX!J11</f>
        <v>140820.97938472999</v>
      </c>
      <c r="K11" s="8">
        <f xml:space="preserve"> 0 + CAL!K11 + CAR!K11 + CENT!K11 + FLA!K11 + MIDA!K11 + MIDW!K11 + NE!K11 + NY!K11 + NW!K11 + SE!K11 + SW!K11 + TEN!K11 + TEX!K11</f>
        <v>140450.83843490999</v>
      </c>
      <c r="L11" s="8">
        <f xml:space="preserve"> 0 + CAL!L11 + CAR!L11 + CENT!L11 + FLA!L11 + MIDA!L11 + MIDW!L11 + NE!L11 + NY!L11 + NW!L11 + SE!L11 + SW!L11 + TEN!L11 + TEX!L11</f>
        <v>136879.30659475998</v>
      </c>
      <c r="M11" s="8">
        <f xml:space="preserve"> 0 + CAL!M11 + CAR!M11 + CENT!M11 + FLA!M11 + MIDA!M11 + MIDW!M11 + NE!M11 + NY!M11 + NW!M11 + SE!M11 + SW!M11 + TEN!M11 + TEX!M11</f>
        <v>132686.7797251</v>
      </c>
      <c r="N11" s="8">
        <f xml:space="preserve"> 0 + CAL!N11 + CAR!N11 + CENT!N11 + FLA!N11 + MIDA!N11 + MIDW!N11 + NE!N11 + NY!N11 + NW!N11 + SE!N11 + SW!N11 + TEN!N11 + TEX!N11</f>
        <v>125848.42324391003</v>
      </c>
      <c r="O11" s="8">
        <f xml:space="preserve"> 0 + CAL!O11 + CAR!O11 + CENT!O11 + FLA!O11 + MIDA!O11 + MIDW!O11 + NE!O11 + NY!O11 + NW!O11 + SE!O11 + SW!O11 + TEN!O11 + TEX!O11</f>
        <v>118247.52402445998</v>
      </c>
      <c r="P11" s="8">
        <f xml:space="preserve"> 0 + CAL!P11 + CAR!P11 + CENT!P11 + FLA!P11 + MIDA!P11 + MIDW!P11 + NE!P11 + NY!P11 + NW!P11 + SE!P11 + SW!P11 + TEN!P11 + TEX!P11</f>
        <v>112626.91806156002</v>
      </c>
      <c r="Q11" s="8">
        <f xml:space="preserve"> 0 + CAL!Q11 + CAR!Q11 + CENT!Q11 + FLA!Q11 + MIDA!Q11 + MIDW!Q11 + NE!Q11 + NY!Q11 + NW!Q11 + SE!Q11 + SW!Q11 + TEN!Q11 + TEX!Q11</f>
        <v>105543.20732835997</v>
      </c>
      <c r="R11" s="8">
        <f xml:space="preserve"> 0 + CAL!R11 + CAR!R11 + CENT!R11 + FLA!R11 + MIDA!R11 + MIDW!R11 + NE!R11 + NY!R11 + NW!R11 + SE!R11 + SW!R11 + TEN!R11 + TEX!R11</f>
        <v>100255.80990519999</v>
      </c>
      <c r="S11" s="8">
        <f xml:space="preserve"> 0 + CAL!S11 + CAR!S11 + CENT!S11 + FLA!S11 + MIDA!S11 + MIDW!S11 + NE!S11 + NY!S11 + NW!S11 + SE!S11 + SW!S11 + TEN!S11 + TEX!S11</f>
        <v>96913.005600260018</v>
      </c>
      <c r="T11" s="8">
        <f xml:space="preserve"> 0 + CAL!T11 + CAR!T11 + CENT!T11 + FLA!T11 + MIDA!T11 + MIDW!T11 + NE!T11 + NY!T11 + NW!T11 + SE!T11 + SW!T11 + TEN!T11 + TEX!T11</f>
        <v>92036.33153334001</v>
      </c>
      <c r="U11" s="8">
        <f xml:space="preserve"> 0 + CAL!U11 + CAR!U11 + CENT!U11 + FLA!U11 + MIDA!U11 + MIDW!U11 + NE!U11 + NY!U11 + NW!U11 + SE!U11 + SW!U11 + TEN!U11 + TEX!U11</f>
        <v>88699.41093328</v>
      </c>
      <c r="V11" s="8">
        <f xml:space="preserve"> 0 + CAL!V11 + CAR!V11 + CENT!V11 + FLA!V11 + MIDA!V11 + MIDW!V11 + NE!V11 + NY!V11 + NW!V11 + SE!V11 + SW!V11 + TEN!V11 + TEX!V11</f>
        <v>85366.841157669987</v>
      </c>
      <c r="W11" s="8">
        <f xml:space="preserve"> 0 + CAL!W11 + CAR!W11 + CENT!W11 + FLA!W11 + MIDA!W11 + MIDW!W11 + NE!W11 + NY!W11 + NW!W11 + SE!W11 + SW!W11 + TEN!W11 + TEX!W11</f>
        <v>82813.648117880017</v>
      </c>
      <c r="X11" s="8">
        <f xml:space="preserve"> 0 + CAL!X11 + CAR!X11 + CENT!X11 + FLA!X11 + MIDA!X11 + MIDW!X11 + NE!X11 + NY!X11 + NW!X11 + SE!X11 + SW!X11 + TEN!X11 + TEX!X11</f>
        <v>82665.927047139994</v>
      </c>
      <c r="Y11" s="8">
        <f xml:space="preserve"> 0 + CAL!Y11 + CAR!Y11 + CENT!Y11 + FLA!Y11 + MIDA!Y11 + MIDW!Y11 + NE!Y11 + NY!Y11 + NW!Y11 + SE!Y11 + SW!Y11 + TEN!Y11 + TEX!Y11</f>
        <v>84663.467710879995</v>
      </c>
      <c r="Z11" s="8">
        <f xml:space="preserve"> 0 + CAL!Z11 + CAR!Z11 + CENT!Z11 + FLA!Z11 + MIDA!Z11 + MIDW!Z11 + NE!Z11 + NY!Z11 + NW!Z11 + SE!Z11 + SW!Z11 + TEN!Z11 + TEX!Z11</f>
        <v>85114.61384655998</v>
      </c>
      <c r="AA11" s="8">
        <f xml:space="preserve"> 0 + CAL!AA11 + CAR!AA11 + CENT!AA11 + FLA!AA11 + MIDA!AA11 + MIDW!AA11 + NE!AA11 + NY!AA11 + NW!AA11 + SE!AA11 + SW!AA11 + TEN!AA11 + TEX!AA11</f>
        <v>85828.016563889993</v>
      </c>
      <c r="AB11" s="8">
        <f xml:space="preserve"> 0 + CAL!AB11 + CAR!AB11 + CENT!AB11 + FLA!AB11 + MIDA!AB11 + MIDW!AB11 + NE!AB11 + NY!AB11 + NW!AB11 + SE!AB11 + SW!AB11 + TEN!AB11 + TEX!AB11</f>
        <v>86961.006666269997</v>
      </c>
      <c r="AC11" s="8">
        <f xml:space="preserve"> 0 + CAL!AC11 + CAR!AC11 + CENT!AC11 + FLA!AC11 + MIDA!AC11 + MIDW!AC11 + NE!AC11 + NY!AC11 + NW!AC11 + SE!AC11 + SW!AC11 + TEN!AC11 + TEX!AC11</f>
        <v>89416.687489370001</v>
      </c>
    </row>
    <row r="12" spans="1:29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231343.47429486003</v>
      </c>
      <c r="C12" s="8">
        <f xml:space="preserve"> 0 + CAL!C12 + CAR!C12 + CENT!C12 + FLA!C12 + MIDA!C12 + MIDW!C12 + NE!C12 + NY!C12 + NW!C12 + SE!C12 + SW!C12 + TEN!C12 + TEX!C12</f>
        <v>232849.27558493</v>
      </c>
      <c r="D12" s="8">
        <f xml:space="preserve"> 0 + CAL!D12 + CAR!D12 + CENT!D12 + FLA!D12 + MIDA!D12 + MIDW!D12 + NE!D12 + NY!D12 + NW!D12 + SE!D12 + SW!D12 + TEN!D12 + TEX!D12</f>
        <v>235001.88152940999</v>
      </c>
      <c r="E12" s="8">
        <f xml:space="preserve"> 0 + CAL!E12 + CAR!E12 + CENT!E12 + FLA!E12 + MIDA!E12 + MIDW!E12 + NE!E12 + NY!E12 + NW!E12 + SE!E12 + SW!E12 + TEN!E12 + TEX!E12</f>
        <v>238641.30698172</v>
      </c>
      <c r="F12" s="8">
        <f xml:space="preserve"> 0 + CAL!F12 + CAR!F12 + CENT!F12 + FLA!F12 + MIDA!F12 + MIDW!F12 + NE!F12 + NY!F12 + NW!F12 + SE!F12 + SW!F12 + TEN!F12 + TEX!F12</f>
        <v>249714.48491279001</v>
      </c>
      <c r="G12" s="8">
        <f xml:space="preserve"> 0 + CAL!G12 + CAR!G12 + CENT!G12 + FLA!G12 + MIDA!G12 + MIDW!G12 + NE!G12 + NY!G12 + NW!G12 + SE!G12 + SW!G12 + TEN!G12 + TEX!G12</f>
        <v>262038.66296739003</v>
      </c>
      <c r="H12" s="8">
        <f xml:space="preserve"> 0 + CAL!H12 + CAR!H12 + CENT!H12 + FLA!H12 + MIDA!H12 + MIDW!H12 + NE!H12 + NY!H12 + NW!H12 + SE!H12 + SW!H12 + TEN!H12 + TEX!H12</f>
        <v>277598.70955873001</v>
      </c>
      <c r="I12" s="8">
        <f xml:space="preserve"> 0 + CAL!I12 + CAR!I12 + CENT!I12 + FLA!I12 + MIDA!I12 + MIDW!I12 + NE!I12 + NY!I12 + NW!I12 + SE!I12 + SW!I12 + TEN!I12 + TEX!I12</f>
        <v>294847.37132679997</v>
      </c>
      <c r="J12" s="8">
        <f xml:space="preserve"> 0 + CAL!J12 + CAR!J12 + CENT!J12 + FLA!J12 + MIDA!J12 + MIDW!J12 + NE!J12 + NY!J12 + NW!J12 + SE!J12 + SW!J12 + TEN!J12 + TEX!J12</f>
        <v>310372.53541825997</v>
      </c>
      <c r="K12" s="8">
        <f xml:space="preserve"> 0 + CAL!K12 + CAR!K12 + CENT!K12 + FLA!K12 + MIDA!K12 + MIDW!K12 + NE!K12 + NY!K12 + NW!K12 + SE!K12 + SW!K12 + TEN!K12 + TEX!K12</f>
        <v>326348.22183075006</v>
      </c>
      <c r="L12" s="8">
        <f xml:space="preserve"> 0 + CAL!L12 + CAR!L12 + CENT!L12 + FLA!L12 + MIDA!L12 + MIDW!L12 + NE!L12 + NY!L12 + NW!L12 + SE!L12 + SW!L12 + TEN!L12 + TEX!L12</f>
        <v>343194.59920339007</v>
      </c>
      <c r="M12" s="8">
        <f xml:space="preserve"> 0 + CAL!M12 + CAR!M12 + CENT!M12 + FLA!M12 + MIDA!M12 + MIDW!M12 + NE!M12 + NY!M12 + NW!M12 + SE!M12 + SW!M12 + TEN!M12 + TEX!M12</f>
        <v>358901.98576546001</v>
      </c>
      <c r="N12" s="8">
        <f xml:space="preserve"> 0 + CAL!N12 + CAR!N12 + CENT!N12 + FLA!N12 + MIDA!N12 + MIDW!N12 + NE!N12 + NY!N12 + NW!N12 + SE!N12 + SW!N12 + TEN!N12 + TEX!N12</f>
        <v>376282.08492764994</v>
      </c>
      <c r="O12" s="8">
        <f xml:space="preserve"> 0 + CAL!O12 + CAR!O12 + CENT!O12 + FLA!O12 + MIDA!O12 + MIDW!O12 + NE!O12 + NY!O12 + NW!O12 + SE!O12 + SW!O12 + TEN!O12 + TEX!O12</f>
        <v>394220.56639077008</v>
      </c>
      <c r="P12" s="8">
        <f xml:space="preserve"> 0 + CAL!P12 + CAR!P12 + CENT!P12 + FLA!P12 + MIDA!P12 + MIDW!P12 + NE!P12 + NY!P12 + NW!P12 + SE!P12 + SW!P12 + TEN!P12 + TEX!P12</f>
        <v>410232.92460163997</v>
      </c>
      <c r="Q12" s="8">
        <f xml:space="preserve"> 0 + CAL!Q12 + CAR!Q12 + CENT!Q12 + FLA!Q12 + MIDA!Q12 + MIDW!Q12 + NE!Q12 + NY!Q12 + NW!Q12 + SE!Q12 + SW!Q12 + TEN!Q12 + TEX!Q12</f>
        <v>427968.55461147003</v>
      </c>
      <c r="R12" s="8">
        <f xml:space="preserve"> 0 + CAL!R12 + CAR!R12 + CENT!R12 + FLA!R12 + MIDA!R12 + MIDW!R12 + NE!R12 + NY!R12 + NW!R12 + SE!R12 + SW!R12 + TEN!R12 + TEX!R12</f>
        <v>444461.03648037004</v>
      </c>
      <c r="S12" s="8">
        <f xml:space="preserve"> 0 + CAL!S12 + CAR!S12 + CENT!S12 + FLA!S12 + MIDA!S12 + MIDW!S12 + NE!S12 + NY!S12 + NW!S12 + SE!S12 + SW!S12 + TEN!S12 + TEX!S12</f>
        <v>459472.07213677996</v>
      </c>
      <c r="T12" s="8">
        <f xml:space="preserve"> 0 + CAL!T12 + CAR!T12 + CENT!T12 + FLA!T12 + MIDA!T12 + MIDW!T12 + NE!T12 + NY!T12 + NW!T12 + SE!T12 + SW!T12 + TEN!T12 + TEX!T12</f>
        <v>476221.38171761</v>
      </c>
      <c r="U12" s="8">
        <f xml:space="preserve"> 0 + CAL!U12 + CAR!U12 + CENT!U12 + FLA!U12 + MIDA!U12 + MIDW!U12 + NE!U12 + NY!U12 + NW!U12 + SE!U12 + SW!U12 + TEN!U12 + TEX!U12</f>
        <v>491445.35118761996</v>
      </c>
      <c r="V12" s="8">
        <f xml:space="preserve"> 0 + CAL!V12 + CAR!V12 + CENT!V12 + FLA!V12 + MIDA!V12 + MIDW!V12 + NE!V12 + NY!V12 + NW!V12 + SE!V12 + SW!V12 + TEN!V12 + TEX!V12</f>
        <v>507463.24521998008</v>
      </c>
      <c r="W12" s="8">
        <f xml:space="preserve"> 0 + CAL!W12 + CAR!W12 + CENT!W12 + FLA!W12 + MIDA!W12 + MIDW!W12 + NE!W12 + NY!W12 + NW!W12 + SE!W12 + SW!W12 + TEN!W12 + TEX!W12</f>
        <v>523332.46915276989</v>
      </c>
      <c r="X12" s="8">
        <f xml:space="preserve"> 0 + CAL!X12 + CAR!X12 + CENT!X12 + FLA!X12 + MIDA!X12 + MIDW!X12 + NE!X12 + NY!X12 + NW!X12 + SE!X12 + SW!X12 + TEN!X12 + TEX!X12</f>
        <v>537206.16074343992</v>
      </c>
      <c r="Y12" s="8">
        <f xml:space="preserve"> 0 + CAL!Y12 + CAR!Y12 + CENT!Y12 + FLA!Y12 + MIDA!Y12 + MIDW!Y12 + NE!Y12 + NY!Y12 + NW!Y12 + SE!Y12 + SW!Y12 + TEN!Y12 + TEX!Y12</f>
        <v>549367.77216436004</v>
      </c>
      <c r="Z12" s="8">
        <f xml:space="preserve"> 0 + CAL!Z12 + CAR!Z12 + CENT!Z12 + FLA!Z12 + MIDA!Z12 + MIDW!Z12 + NE!Z12 + NY!Z12 + NW!Z12 + SE!Z12 + SW!Z12 + TEN!Z12 + TEX!Z12</f>
        <v>563764.12711112993</v>
      </c>
      <c r="AA12" s="8">
        <f xml:space="preserve"> 0 + CAL!AA12 + CAR!AA12 + CENT!AA12 + FLA!AA12 + MIDA!AA12 + MIDW!AA12 + NE!AA12 + NY!AA12 + NW!AA12 + SE!AA12 + SW!AA12 + TEN!AA12 + TEX!AA12</f>
        <v>578441.64603341999</v>
      </c>
      <c r="AB12" s="8">
        <f xml:space="preserve"> 0 + CAL!AB12 + CAR!AB12 + CENT!AB12 + FLA!AB12 + MIDA!AB12 + MIDW!AB12 + NE!AB12 + NY!AB12 + NW!AB12 + SE!AB12 + SW!AB12 + TEN!AB12 + TEX!AB12</f>
        <v>593151.2482747701</v>
      </c>
      <c r="AC12" s="8">
        <f xml:space="preserve"> 0 + CAL!AC12 + CAR!AC12 + CENT!AC12 + FLA!AC12 + MIDA!AC12 + MIDW!AC12 + NE!AC12 + NY!AC12 + NW!AC12 + SE!AC12 + SW!AC12 + TEN!AC12 + TEX!AC12</f>
        <v>606930.95120311994</v>
      </c>
    </row>
    <row r="13" spans="1:29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231343.47429486003</v>
      </c>
      <c r="C13" s="8">
        <f xml:space="preserve"> 0 + CAL!C13 + CAR!C13 + CENT!C13 + FLA!C13 + MIDA!C13 + MIDW!C13 + NE!C13 + NY!C13 + NW!C13 + SE!C13 + SW!C13 + TEN!C13 + TEX!C13</f>
        <v>261962.74801310999</v>
      </c>
      <c r="D13" s="8">
        <f xml:space="preserve"> 0 + CAL!D13 + CAR!D13 + CENT!D13 + FLA!D13 + MIDA!D13 + MIDW!D13 + NE!D13 + NY!D13 + NW!D13 + SE!D13 + SW!D13 + TEN!D13 + TEX!D13</f>
        <v>294199.07381392003</v>
      </c>
      <c r="E13" s="8">
        <f xml:space="preserve"> 0 + CAL!E13 + CAR!E13 + CENT!E13 + FLA!E13 + MIDA!E13 + MIDW!E13 + NE!E13 + NY!E13 + NW!E13 + SE!E13 + SW!E13 + TEN!E13 + TEX!E13</f>
        <v>327464.46857204998</v>
      </c>
      <c r="F13" s="8">
        <f xml:space="preserve"> 0 + CAL!F13 + CAR!F13 + CENT!F13 + FLA!F13 + MIDA!F13 + MIDW!F13 + NE!F13 + NY!F13 + NW!F13 + SE!F13 + SW!F13 + TEN!F13 + TEX!F13</f>
        <v>359990.95535372006</v>
      </c>
      <c r="G13" s="8">
        <f xml:space="preserve"> 0 + CAL!G13 + CAR!G13 + CENT!G13 + FLA!G13 + MIDA!G13 + MIDW!G13 + NE!G13 + NY!G13 + NW!G13 + SE!G13 + SW!G13 + TEN!G13 + TEX!G13</f>
        <v>388741.59435390995</v>
      </c>
      <c r="H13" s="8">
        <f xml:space="preserve"> 0 + CAL!H13 + CAR!H13 + CENT!H13 + FLA!H13 + MIDA!H13 + MIDW!H13 + NE!H13 + NY!H13 + NW!H13 + SE!H13 + SW!H13 + TEN!H13 + TEX!H13</f>
        <v>413124.49188342993</v>
      </c>
      <c r="I13" s="8">
        <f xml:space="preserve"> 0 + CAL!I13 + CAR!I13 + CENT!I13 + FLA!I13 + MIDA!I13 + MIDW!I13 + NE!I13 + NY!I13 + NW!I13 + SE!I13 + SW!I13 + TEN!I13 + TEX!I13</f>
        <v>433370.97156913002</v>
      </c>
      <c r="J13" s="8">
        <f xml:space="preserve"> 0 + CAL!J13 + CAR!J13 + CENT!J13 + FLA!J13 + MIDA!J13 + MIDW!J13 + NE!J13 + NY!J13 + NW!J13 + SE!J13 + SW!J13 + TEN!J13 + TEX!J13</f>
        <v>451193.51480295998</v>
      </c>
      <c r="K13" s="8">
        <f xml:space="preserve"> 0 + CAL!K13 + CAR!K13 + CENT!K13 + FLA!K13 + MIDA!K13 + MIDW!K13 + NE!K13 + NY!K13 + NW!K13 + SE!K13 + SW!K13 + TEN!K13 + TEX!K13</f>
        <v>466799.06026565004</v>
      </c>
      <c r="L13" s="8">
        <f xml:space="preserve"> 0 + CAL!L13 + CAR!L13 + CENT!L13 + FLA!L13 + MIDA!L13 + MIDW!L13 + NE!L13 + NY!L13 + NW!L13 + SE!L13 + SW!L13 + TEN!L13 + TEX!L13</f>
        <v>480073.90579812002</v>
      </c>
      <c r="M13" s="8">
        <f xml:space="preserve"> 0 + CAL!M13 + CAR!M13 + CENT!M13 + FLA!M13 + MIDA!M13 + MIDW!M13 + NE!M13 + NY!M13 + NW!M13 + SE!M13 + SW!M13 + TEN!M13 + TEX!M13</f>
        <v>491588.76549054997</v>
      </c>
      <c r="N13" s="8">
        <f xml:space="preserve"> 0 + CAL!N13 + CAR!N13 + CENT!N13 + FLA!N13 + MIDA!N13 + MIDW!N13 + NE!N13 + NY!N13 + NW!N13 + SE!N13 + SW!N13 + TEN!N13 + TEX!N13</f>
        <v>502130.50817156001</v>
      </c>
      <c r="O13" s="8">
        <f xml:space="preserve"> 0 + CAL!O13 + CAR!O13 + CENT!O13 + FLA!O13 + MIDA!O13 + MIDW!O13 + NE!O13 + NY!O13 + NW!O13 + SE!O13 + SW!O13 + TEN!O13 + TEX!O13</f>
        <v>512468.09041523992</v>
      </c>
      <c r="P13" s="8">
        <f xml:space="preserve"> 0 + CAL!P13 + CAR!P13 + CENT!P13 + FLA!P13 + MIDA!P13 + MIDW!P13 + NE!P13 + NY!P13 + NW!P13 + SE!P13 + SW!P13 + TEN!P13 + TEX!P13</f>
        <v>522859.84266321</v>
      </c>
      <c r="Q13" s="8">
        <f xml:space="preserve"> 0 + CAL!Q13 + CAR!Q13 + CENT!Q13 + FLA!Q13 + MIDA!Q13 + MIDW!Q13 + NE!Q13 + NY!Q13 + NW!Q13 + SE!Q13 + SW!Q13 + TEN!Q13 + TEX!Q13</f>
        <v>533511.76193981001</v>
      </c>
      <c r="R13" s="8">
        <f xml:space="preserve"> 0 + CAL!R13 + CAR!R13 + CENT!R13 + FLA!R13 + MIDA!R13 + MIDW!R13 + NE!R13 + NY!R13 + NW!R13 + SE!R13 + SW!R13 + TEN!R13 + TEX!R13</f>
        <v>544716.84638558002</v>
      </c>
      <c r="S13" s="8">
        <f xml:space="preserve"> 0 + CAL!S13 + CAR!S13 + CENT!S13 + FLA!S13 + MIDA!S13 + MIDW!S13 + NE!S13 + NY!S13 + NW!S13 + SE!S13 + SW!S13 + TEN!S13 + TEX!S13</f>
        <v>556385.07773705001</v>
      </c>
      <c r="T13" s="8">
        <f xml:space="preserve"> 0 + CAL!T13 + CAR!T13 + CENT!T13 + FLA!T13 + MIDA!T13 + MIDW!T13 + NE!T13 + NY!T13 + NW!T13 + SE!T13 + SW!T13 + TEN!T13 + TEX!T13</f>
        <v>568257.71325095999</v>
      </c>
      <c r="U13" s="8">
        <f xml:space="preserve"> 0 + CAL!U13 + CAR!U13 + CENT!U13 + FLA!U13 + MIDA!U13 + MIDW!U13 + NE!U13 + NY!U13 + NW!U13 + SE!U13 + SW!U13 + TEN!U13 + TEX!U13</f>
        <v>580144.76212090009</v>
      </c>
      <c r="V13" s="8">
        <f xml:space="preserve"> 0 + CAL!V13 + CAR!V13 + CENT!V13 + FLA!V13 + MIDA!V13 + MIDW!V13 + NE!V13 + NY!V13 + NW!V13 + SE!V13 + SW!V13 + TEN!V13 + TEX!V13</f>
        <v>592830.08637763001</v>
      </c>
      <c r="W13" s="8">
        <f xml:space="preserve"> 0 + CAL!W13 + CAR!W13 + CENT!W13 + FLA!W13 + MIDA!W13 + MIDW!W13 + NE!W13 + NY!W13 + NW!W13 + SE!W13 + SW!W13 + TEN!W13 + TEX!W13</f>
        <v>606146.11727066</v>
      </c>
      <c r="X13" s="8">
        <f xml:space="preserve"> 0 + CAL!X13 + CAR!X13 + CENT!X13 + FLA!X13 + MIDA!X13 + MIDW!X13 + NE!X13 + NY!X13 + NW!X13 + SE!X13 + SW!X13 + TEN!X13 + TEX!X13</f>
        <v>619872.08779054985</v>
      </c>
      <c r="Y13" s="8">
        <f xml:space="preserve"> 0 + CAL!Y13 + CAR!Y13 + CENT!Y13 + FLA!Y13 + MIDA!Y13 + MIDW!Y13 + NE!Y13 + NY!Y13 + NW!Y13 + SE!Y13 + SW!Y13 + TEN!Y13 + TEX!Y13</f>
        <v>634031.23987525003</v>
      </c>
      <c r="Z13" s="8">
        <f xml:space="preserve"> 0 + CAL!Z13 + CAR!Z13 + CENT!Z13 + FLA!Z13 + MIDA!Z13 + MIDW!Z13 + NE!Z13 + NY!Z13 + NW!Z13 + SE!Z13 + SW!Z13 + TEN!Z13 + TEX!Z13</f>
        <v>648878.74095767993</v>
      </c>
      <c r="AA13" s="8">
        <f xml:space="preserve"> 0 + CAL!AA13 + CAR!AA13 + CENT!AA13 + FLA!AA13 + MIDA!AA13 + MIDW!AA13 + NE!AA13 + NY!AA13 + NW!AA13 + SE!AA13 + SW!AA13 + TEN!AA13 + TEX!AA13</f>
        <v>664269.66259734007</v>
      </c>
      <c r="AB13" s="8">
        <f xml:space="preserve"> 0 + CAL!AB13 + CAR!AB13 + CENT!AB13 + FLA!AB13 + MIDA!AB13 + MIDW!AB13 + NE!AB13 + NY!AB13 + NW!AB13 + SE!AB13 + SW!AB13 + TEN!AB13 + TEX!AB13</f>
        <v>680112.25494101003</v>
      </c>
      <c r="AC13" s="8">
        <f xml:space="preserve"> 0 + CAL!AC13 + CAR!AC13 + CENT!AC13 + FLA!AC13 + MIDA!AC13 + MIDW!AC13 + NE!AC13 + NY!AC13 + NW!AC13 + SE!AC13 + SW!AC13 + TEN!AC13 + TEX!AC13</f>
        <v>696347.63869247003</v>
      </c>
    </row>
    <row r="14" spans="1:29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94583.68398269001</v>
      </c>
      <c r="D17" s="8">
        <f xml:space="preserve"> 0 + CAL!D17 + CAR!D17 + CENT!D17 + FLA!D17 + MIDA!D17 + MIDW!D17 + NE!D17 + NY!D17 + NW!D17 + SE!D17 + SW!D17 + TEN!D17 + TEX!D17</f>
        <v>98060.048428610011</v>
      </c>
      <c r="E17" s="8">
        <f xml:space="preserve"> 0 + CAL!E17 + CAR!E17 + CENT!E17 + FLA!E17 + MIDA!E17 + MIDW!E17 + NE!E17 + NY!E17 + NW!E17 + SE!E17 + SW!E17 + TEN!E17 + TEX!E17</f>
        <v>103484.36370646</v>
      </c>
      <c r="F17" s="8">
        <f xml:space="preserve"> 0 + CAL!F17 + CAR!F17 + CENT!F17 + FLA!F17 + MIDA!F17 + MIDW!F17 + NE!F17 + NY!F17 + NW!F17 + SE!F17 + SW!F17 + TEN!F17 + TEX!F17</f>
        <v>111892.79964257001</v>
      </c>
      <c r="G17" s="8">
        <f xml:space="preserve"> 0 + CAL!G17 + CAR!G17 + CENT!G17 + FLA!G17 + MIDA!G17 + MIDW!G17 + NE!G17 + NY!G17 + NW!G17 + SE!G17 + SW!G17 + TEN!G17 + TEX!G17</f>
        <v>124274.01568452999</v>
      </c>
      <c r="H17" s="8">
        <f xml:space="preserve"> 0 + CAL!H17 + CAR!H17 + CENT!H17 + FLA!H17 + MIDA!H17 + MIDW!H17 + NE!H17 + NY!H17 + NW!H17 + SE!H17 + SW!H17 + TEN!H17 + TEX!H17</f>
        <v>138182.38256564</v>
      </c>
      <c r="I17" s="8">
        <f xml:space="preserve"> 0 + CAL!I17 + CAR!I17 + CENT!I17 + FLA!I17 + MIDA!I17 + MIDW!I17 + NE!I17 + NY!I17 + NW!I17 + SE!I17 + SW!I17 + TEN!I17 + TEX!I17</f>
        <v>153196.41349596001</v>
      </c>
      <c r="J17" s="8">
        <f xml:space="preserve"> 0 + CAL!J17 + CAR!J17 + CENT!J17 + FLA!J17 + MIDA!J17 + MIDW!J17 + NE!J17 + NY!J17 + NW!J17 + SE!J17 + SW!J17 + TEN!J17 + TEX!J17</f>
        <v>169746.35115739005</v>
      </c>
      <c r="K17" s="8">
        <f xml:space="preserve"> 0 + CAL!K17 + CAR!K17 + CENT!K17 + FLA!K17 + MIDA!K17 + MIDW!K17 + NE!K17 + NY!K17 + NW!K17 + SE!K17 + SW!K17 + TEN!K17 + TEX!K17</f>
        <v>186199.10966158001</v>
      </c>
      <c r="L17" s="8">
        <f xml:space="preserve"> 0 + CAL!L17 + CAR!L17 + CENT!L17 + FLA!L17 + MIDA!L17 + MIDW!L17 + NE!L17 + NY!L17 + NW!L17 + SE!L17 + SW!L17 + TEN!L17 + TEX!L17</f>
        <v>204194.00132410997</v>
      </c>
      <c r="M17" s="8">
        <f xml:space="preserve"> 0 + CAL!M17 + CAR!M17 + CENT!M17 + FLA!M17 + MIDA!M17 + MIDW!M17 + NE!M17 + NY!M17 + NW!M17 + SE!M17 + SW!M17 + TEN!M17 + TEX!M17</f>
        <v>224887.82550096998</v>
      </c>
      <c r="N17" s="8">
        <f xml:space="preserve"> 0 + CAL!N17 + CAR!N17 + CENT!N17 + FLA!N17 + MIDA!N17 + MIDW!N17 + NE!N17 + NY!N17 + NW!N17 + SE!N17 + SW!N17 + TEN!N17 + TEX!N17</f>
        <v>240740.04147251998</v>
      </c>
      <c r="O17" s="8">
        <f xml:space="preserve"> 0 + CAL!O17 + CAR!O17 + CENT!O17 + FLA!O17 + MIDA!O17 + MIDW!O17 + NE!O17 + NY!O17 + NW!O17 + SE!O17 + SW!O17 + TEN!O17 + TEX!O17</f>
        <v>256181.94360532</v>
      </c>
      <c r="P17" s="8">
        <f xml:space="preserve"> 0 + CAL!P17 + CAR!P17 + CENT!P17 + FLA!P17 + MIDA!P17 + MIDW!P17 + NE!P17 + NY!P17 + NW!P17 + SE!P17 + SW!P17 + TEN!P17 + TEX!P17</f>
        <v>269296.09122469998</v>
      </c>
      <c r="Q17" s="8">
        <f xml:space="preserve"> 0 + CAL!Q17 + CAR!Q17 + CENT!Q17 + FLA!Q17 + MIDA!Q17 + MIDW!Q17 + NE!Q17 + NY!Q17 + NW!Q17 + SE!Q17 + SW!Q17 + TEN!Q17 + TEX!Q17</f>
        <v>280866.34302055999</v>
      </c>
      <c r="R17" s="8">
        <f xml:space="preserve"> 0 + CAL!R17 + CAR!R17 + CENT!R17 + FLA!R17 + MIDA!R17 + MIDW!R17 + NE!R17 + NY!R17 + NW!R17 + SE!R17 + SW!R17 + TEN!R17 + TEX!R17</f>
        <v>293791.15740707004</v>
      </c>
      <c r="S17" s="8">
        <f xml:space="preserve"> 0 + CAL!S17 + CAR!S17 + CENT!S17 + FLA!S17 + MIDA!S17 + MIDW!S17 + NE!S17 + NY!S17 + NW!S17 + SE!S17 + SW!S17 + TEN!S17 + TEX!S17</f>
        <v>294617.92223129002</v>
      </c>
      <c r="T17" s="8">
        <f xml:space="preserve"> 0 + CAL!T17 + CAR!T17 + CENT!T17 + FLA!T17 + MIDA!T17 + MIDW!T17 + NE!T17 + NY!T17 + NW!T17 + SE!T17 + SW!T17 + TEN!T17 + TEX!T17</f>
        <v>297730.17970540997</v>
      </c>
      <c r="U17" s="8">
        <f xml:space="preserve"> 0 + CAL!U17 + CAR!U17 + CENT!U17 + FLA!U17 + MIDA!U17 + MIDW!U17 + NE!U17 + NY!U17 + NW!U17 + SE!U17 + SW!U17 + TEN!U17 + TEX!U17</f>
        <v>304373.52389277995</v>
      </c>
      <c r="V17" s="8">
        <f xml:space="preserve"> 0 + CAL!V17 + CAR!V17 + CENT!V17 + FLA!V17 + MIDA!V17 + MIDW!V17 + NE!V17 + NY!V17 + NW!V17 + SE!V17 + SW!V17 + TEN!V17 + TEX!V17</f>
        <v>311272.40461485006</v>
      </c>
      <c r="W17" s="8">
        <f xml:space="preserve"> 0 + CAL!W17 + CAR!W17 + CENT!W17 + FLA!W17 + MIDA!W17 + MIDW!W17 + NE!W17 + NY!W17 + NW!W17 + SE!W17 + SW!W17 + TEN!W17 + TEX!W17</f>
        <v>324042.17372866999</v>
      </c>
      <c r="X17" s="8">
        <f xml:space="preserve"> 0 + CAL!X17 + CAR!X17 + CENT!X17 + FLA!X17 + MIDA!X17 + MIDW!X17 + NE!X17 + NY!X17 + NW!X17 + SE!X17 + SW!X17 + TEN!X17 + TEX!X17</f>
        <v>331427.05489823007</v>
      </c>
      <c r="Y17" s="8">
        <f xml:space="preserve"> 0 + CAL!Y17 + CAR!Y17 + CENT!Y17 + FLA!Y17 + MIDA!Y17 + MIDW!Y17 + NE!Y17 + NY!Y17 + NW!Y17 + SE!Y17 + SW!Y17 + TEN!Y17 + TEX!Y17</f>
        <v>338512.20787208999</v>
      </c>
      <c r="Z17" s="8">
        <f xml:space="preserve"> 0 + CAL!Z17 + CAR!Z17 + CENT!Z17 + FLA!Z17 + MIDA!Z17 + MIDW!Z17 + NE!Z17 + NY!Z17 + NW!Z17 + SE!Z17 + SW!Z17 + TEN!Z17 + TEX!Z17</f>
        <v>351591.75567063998</v>
      </c>
      <c r="AA17" s="8">
        <f xml:space="preserve"> 0 + CAL!AA17 + CAR!AA17 + CENT!AA17 + FLA!AA17 + MIDA!AA17 + MIDW!AA17 + NE!AA17 + NY!AA17 + NW!AA17 + SE!AA17 + SW!AA17 + TEN!AA17 + TEX!AA17</f>
        <v>355655.88123722002</v>
      </c>
      <c r="AB17" s="8">
        <f xml:space="preserve"> 0 + CAL!AB17 + CAR!AB17 + CENT!AB17 + FLA!AB17 + MIDA!AB17 + MIDW!AB17 + NE!AB17 + NY!AB17 + NW!AB17 + SE!AB17 + SW!AB17 + TEN!AB17 + TEX!AB17</f>
        <v>362246.67161761998</v>
      </c>
      <c r="AC17" s="8">
        <f xml:space="preserve"> 0 + CAL!AC17 + CAR!AC17 + CENT!AC17 + FLA!AC17 + MIDA!AC17 + MIDW!AC17 + NE!AC17 + NY!AC17 + NW!AC17 + SE!AC17 + SW!AC17 + TEN!AC17 + TEX!AC17</f>
        <v>371869.77627221</v>
      </c>
    </row>
    <row r="18" spans="1:29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116264727.09820816</v>
      </c>
      <c r="D18" s="8">
        <f xml:space="preserve"> 0 + CAL!D18 + CAR!D18 + CENT!D18 + FLA!D18 + MIDA!D18 + MIDW!D18 + NE!D18 + NY!D18 + NW!D18 + SE!D18 + SW!D18 + TEN!D18 + TEX!D18</f>
        <v>123584658.02052203</v>
      </c>
      <c r="E18" s="8">
        <f xml:space="preserve"> 0 + CAL!E18 + CAR!E18 + CENT!E18 + FLA!E18 + MIDA!E18 + MIDW!E18 + NE!E18 + NY!E18 + NW!E18 + SE!E18 + SW!E18 + TEN!E18 + TEX!E18</f>
        <v>133630952.64313458</v>
      </c>
      <c r="F18" s="8">
        <f xml:space="preserve"> 0 + CAL!F18 + CAR!F18 + CENT!F18 + FLA!F18 + MIDA!F18 + MIDW!F18 + NE!F18 + NY!F18 + NW!F18 + SE!F18 + SW!F18 + TEN!F18 + TEX!F18</f>
        <v>147775139.50807396</v>
      </c>
      <c r="G18" s="8">
        <f xml:space="preserve"> 0 + CAL!G18 + CAR!G18 + CENT!G18 + FLA!G18 + MIDA!G18 + MIDW!G18 + NE!G18 + NY!G18 + NW!G18 + SE!G18 + SW!G18 + TEN!G18 + TEX!G18</f>
        <v>167159350.86536074</v>
      </c>
      <c r="H18" s="8">
        <f xml:space="preserve"> 0 + CAL!H18 + CAR!H18 + CENT!H18 + FLA!H18 + MIDA!H18 + MIDW!H18 + NE!H18 + NY!H18 + NW!H18 + SE!H18 + SW!H18 + TEN!H18 + TEX!H18</f>
        <v>188404371.06236714</v>
      </c>
      <c r="I18" s="8">
        <f xml:space="preserve"> 0 + CAL!I18 + CAR!I18 + CENT!I18 + FLA!I18 + MIDA!I18 + MIDW!I18 + NE!I18 + NY!I18 + NW!I18 + SE!I18 + SW!I18 + TEN!I18 + TEX!I18</f>
        <v>211144069.36049712</v>
      </c>
      <c r="J18" s="8">
        <f xml:space="preserve"> 0 + CAL!J18 + CAR!J18 + CENT!J18 + FLA!J18 + MIDA!J18 + MIDW!J18 + NE!J18 + NY!J18 + NW!J18 + SE!J18 + SW!J18 + TEN!J18 + TEX!J18</f>
        <v>235896114.1025711</v>
      </c>
      <c r="K18" s="8">
        <f xml:space="preserve"> 0 + CAL!K18 + CAR!K18 + CENT!K18 + FLA!K18 + MIDA!K18 + MIDW!K18 + NE!K18 + NY!K18 + NW!K18 + SE!K18 + SW!K18 + TEN!K18 + TEX!K18</f>
        <v>260928480.70918858</v>
      </c>
      <c r="L18" s="8">
        <f xml:space="preserve"> 0 + CAL!L18 + CAR!L18 + CENT!L18 + FLA!L18 + MIDA!L18 + MIDW!L18 + NE!L18 + NY!L18 + NW!L18 + SE!L18 + SW!L18 + TEN!L18 + TEX!L18</f>
        <v>287229205.56854677</v>
      </c>
      <c r="M18" s="8">
        <f xml:space="preserve"> 0 + CAL!M18 + CAR!M18 + CENT!M18 + FLA!M18 + MIDA!M18 + MIDW!M18 + NE!M18 + NY!M18 + NW!M18 + SE!M18 + SW!M18 + TEN!M18 + TEX!M18</f>
        <v>315784982.33703339</v>
      </c>
      <c r="N18" s="8">
        <f xml:space="preserve"> 0 + CAL!N18 + CAR!N18 + CENT!N18 + FLA!N18 + MIDA!N18 + MIDW!N18 + NE!N18 + NY!N18 + NW!N18 + SE!N18 + SW!N18 + TEN!N18 + TEX!N18</f>
        <v>339585783.19740665</v>
      </c>
      <c r="O18" s="8">
        <f xml:space="preserve"> 0 + CAL!O18 + CAR!O18 + CENT!O18 + FLA!O18 + MIDA!O18 + MIDW!O18 + NE!O18 + NY!O18 + NW!O18 + SE!O18 + SW!O18 + TEN!O18 + TEX!O18</f>
        <v>362674156.19017917</v>
      </c>
      <c r="P18" s="8">
        <f xml:space="preserve"> 0 + CAL!P18 + CAR!P18 + CENT!P18 + FLA!P18 + MIDA!P18 + MIDW!P18 + NE!P18 + NY!P18 + NW!P18 + SE!P18 + SW!P18 + TEN!P18 + TEX!P18</f>
        <v>382482911.93847597</v>
      </c>
      <c r="Q18" s="8">
        <f xml:space="preserve"> 0 + CAL!Q18 + CAR!Q18 + CENT!Q18 + FLA!Q18 + MIDA!Q18 + MIDW!Q18 + NE!Q18 + NY!Q18 + NW!Q18 + SE!Q18 + SW!Q18 + TEN!Q18 + TEX!Q18</f>
        <v>399818846.91995943</v>
      </c>
      <c r="R18" s="8">
        <f xml:space="preserve"> 0 + CAL!R18 + CAR!R18 + CENT!R18 + FLA!R18 + MIDA!R18 + MIDW!R18 + NE!R18 + NY!R18 + NW!R18 + SE!R18 + SW!R18 + TEN!R18 + TEX!R18</f>
        <v>417549008.26568842</v>
      </c>
      <c r="S18" s="8">
        <f xml:space="preserve"> 0 + CAL!S18 + CAR!S18 + CENT!S18 + FLA!S18 + MIDA!S18 + MIDW!S18 + NE!S18 + NY!S18 + NW!S18 + SE!S18 + SW!S18 + TEN!S18 + TEX!S18</f>
        <v>419222968.5394792</v>
      </c>
      <c r="T18" s="8">
        <f xml:space="preserve"> 0 + CAL!T18 + CAR!T18 + CENT!T18 + FLA!T18 + MIDA!T18 + MIDW!T18 + NE!T18 + NY!T18 + NW!T18 + SE!T18 + SW!T18 + TEN!T18 + TEX!T18</f>
        <v>424078073.44510537</v>
      </c>
      <c r="U18" s="8">
        <f xml:space="preserve"> 0 + CAL!U18 + CAR!U18 + CENT!U18 + FLA!U18 + MIDA!U18 + MIDW!U18 + NE!U18 + NY!U18 + NW!U18 + SE!U18 + SW!U18 + TEN!U18 + TEX!U18</f>
        <v>434500752.63786101</v>
      </c>
      <c r="V18" s="8">
        <f xml:space="preserve"> 0 + CAL!V18 + CAR!V18 + CENT!V18 + FLA!V18 + MIDA!V18 + MIDW!V18 + NE!V18 + NY!V18 + NW!V18 + SE!V18 + SW!V18 + TEN!V18 + TEX!V18</f>
        <v>445144637.73183101</v>
      </c>
      <c r="W18" s="8">
        <f xml:space="preserve"> 0 + CAL!W18 + CAR!W18 + CENT!W18 + FLA!W18 + MIDA!W18 + MIDW!W18 + NE!W18 + NY!W18 + NW!W18 + SE!W18 + SW!W18 + TEN!W18 + TEX!W18</f>
        <v>462096823.22902983</v>
      </c>
      <c r="X18" s="8">
        <f xml:space="preserve"> 0 + CAL!X18 + CAR!X18 + CENT!X18 + FLA!X18 + MIDA!X18 + MIDW!X18 + NE!X18 + NY!X18 + NW!X18 + SE!X18 + SW!X18 + TEN!X18 + TEX!X18</f>
        <v>475369984.47062463</v>
      </c>
      <c r="Y18" s="8">
        <f xml:space="preserve"> 0 + CAL!Y18 + CAR!Y18 + CENT!Y18 + FLA!Y18 + MIDA!Y18 + MIDW!Y18 + NE!Y18 + NY!Y18 + NW!Y18 + SE!Y18 + SW!Y18 + TEN!Y18 + TEX!Y18</f>
        <v>487013720.98743075</v>
      </c>
      <c r="Z18" s="8">
        <f xml:space="preserve"> 0 + CAL!Z18 + CAR!Z18 + CENT!Z18 + FLA!Z18 + MIDA!Z18 + MIDW!Z18 + NE!Z18 + NY!Z18 + NW!Z18 + SE!Z18 + SW!Z18 + TEN!Z18 + TEX!Z18</f>
        <v>505859421.26041353</v>
      </c>
      <c r="AA18" s="8">
        <f xml:space="preserve"> 0 + CAL!AA18 + CAR!AA18 + CENT!AA18 + FLA!AA18 + MIDA!AA18 + MIDW!AA18 + NE!AA18 + NY!AA18 + NW!AA18 + SE!AA18 + SW!AA18 + TEN!AA18 + TEX!AA18</f>
        <v>513313323.55350471</v>
      </c>
      <c r="AB18" s="8">
        <f xml:space="preserve"> 0 + CAL!AB18 + CAR!AB18 + CENT!AB18 + FLA!AB18 + MIDA!AB18 + MIDW!AB18 + NE!AB18 + NY!AB18 + NW!AB18 + SE!AB18 + SW!AB18 + TEN!AB18 + TEX!AB18</f>
        <v>523323081.25414789</v>
      </c>
      <c r="AC18" s="8">
        <f xml:space="preserve"> 0 + CAL!AC18 + CAR!AC18 + CENT!AC18 + FLA!AC18 + MIDA!AC18 + MIDW!AC18 + NE!AC18 + NY!AC18 + NW!AC18 + SE!AC18 + SW!AC18 + TEN!AC18 + TEX!AC18</f>
        <v>537361525.92905486</v>
      </c>
    </row>
    <row r="19" spans="1:29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116264727.09820816</v>
      </c>
      <c r="D19" s="8">
        <f xml:space="preserve"> 0 + CAL!D19 + CAR!D19 + CENT!D19 + FLA!D19 + MIDA!D19 + MIDW!D19 + NE!D19 + NY!D19 + NW!D19 + SE!D19 + SW!D19 + TEN!D19 + TEX!D19</f>
        <v>123584658.02052203</v>
      </c>
      <c r="E19" s="8">
        <f xml:space="preserve"> 0 + CAL!E19 + CAR!E19 + CENT!E19 + FLA!E19 + MIDA!E19 + MIDW!E19 + NE!E19 + NY!E19 + NW!E19 + SE!E19 + SW!E19 + TEN!E19 + TEX!E19</f>
        <v>133630952.64313458</v>
      </c>
      <c r="F19" s="8">
        <f xml:space="preserve"> 0 + CAL!F19 + CAR!F19 + CENT!F19 + FLA!F19 + MIDA!F19 + MIDW!F19 + NE!F19 + NY!F19 + NW!F19 + SE!F19 + SW!F19 + TEN!F19 + TEX!F19</f>
        <v>147775139.50807396</v>
      </c>
      <c r="G19" s="8">
        <f xml:space="preserve"> 0 + CAL!G19 + CAR!G19 + CENT!G19 + FLA!G19 + MIDA!G19 + MIDW!G19 + NE!G19 + NY!G19 + NW!G19 + SE!G19 + SW!G19 + TEN!G19 + TEX!G19</f>
        <v>167159350.15317422</v>
      </c>
      <c r="H19" s="8">
        <f xml:space="preserve"> 0 + CAL!H19 + CAR!H19 + CENT!H19 + FLA!H19 + MIDA!H19 + MIDW!H19 + NE!H19 + NY!H19 + NW!H19 + SE!H19 + SW!H19 + TEN!H19 + TEX!H19</f>
        <v>188404371.06236714</v>
      </c>
      <c r="I19" s="8">
        <f xml:space="preserve"> 0 + CAL!I19 + CAR!I19 + CENT!I19 + FLA!I19 + MIDA!I19 + MIDW!I19 + NE!I19 + NY!I19 + NW!I19 + SE!I19 + SW!I19 + TEN!I19 + TEX!I19</f>
        <v>211144069.36049712</v>
      </c>
      <c r="J19" s="8">
        <f xml:space="preserve"> 0 + CAL!J19 + CAR!J19 + CENT!J19 + FLA!J19 + MIDA!J19 + MIDW!J19 + NE!J19 + NY!J19 + NW!J19 + SE!J19 + SW!J19 + TEN!J19 + TEX!J19</f>
        <v>235896114.1025711</v>
      </c>
      <c r="K19" s="8">
        <f xml:space="preserve"> 0 + CAL!K19 + CAR!K19 + CENT!K19 + FLA!K19 + MIDA!K19 + MIDW!K19 + NE!K19 + NY!K19 + NW!K19 + SE!K19 + SW!K19 + TEN!K19 + TEX!K19</f>
        <v>260928478.40936947</v>
      </c>
      <c r="L19" s="8">
        <f xml:space="preserve"> 0 + CAL!L19 + CAR!L19 + CENT!L19 + FLA!L19 + MIDA!L19 + MIDW!L19 + NE!L19 + NY!L19 + NW!L19 + SE!L19 + SW!L19 + TEN!L19 + TEX!L19</f>
        <v>287229205.56854677</v>
      </c>
      <c r="M19" s="8">
        <f xml:space="preserve"> 0 + CAL!M19 + CAR!M19 + CENT!M19 + FLA!M19 + MIDA!M19 + MIDW!M19 + NE!M19 + NY!M19 + NW!M19 + SE!M19 + SW!M19 + TEN!M19 + TEX!M19</f>
        <v>315784982.33703339</v>
      </c>
      <c r="N19" s="8">
        <f xml:space="preserve"> 0 + CAL!N19 + CAR!N19 + CENT!N19 + FLA!N19 + MIDA!N19 + MIDW!N19 + NE!N19 + NY!N19 + NW!N19 + SE!N19 + SW!N19 + TEN!N19 + TEX!N19</f>
        <v>339585783.19740665</v>
      </c>
      <c r="O19" s="8">
        <f xml:space="preserve"> 0 + CAL!O19 + CAR!O19 + CENT!O19 + FLA!O19 + MIDA!O19 + MIDW!O19 + NE!O19 + NY!O19 + NW!O19 + SE!O19 + SW!O19 + TEN!O19 + TEX!O19</f>
        <v>362674156.19017917</v>
      </c>
      <c r="P19" s="8">
        <f xml:space="preserve"> 0 + CAL!P19 + CAR!P19 + CENT!P19 + FLA!P19 + MIDA!P19 + MIDW!P19 + NE!P19 + NY!P19 + NW!P19 + SE!P19 + SW!P19 + TEN!P19 + TEX!P19</f>
        <v>382482911.93847597</v>
      </c>
      <c r="Q19" s="8">
        <f xml:space="preserve"> 0 + CAL!Q19 + CAR!Q19 + CENT!Q19 + FLA!Q19 + MIDA!Q19 + MIDW!Q19 + NE!Q19 + NY!Q19 + NW!Q19 + SE!Q19 + SW!Q19 + TEN!Q19 + TEX!Q19</f>
        <v>399818846.91995943</v>
      </c>
      <c r="R19" s="8">
        <f xml:space="preserve"> 0 + CAL!R19 + CAR!R19 + CENT!R19 + FLA!R19 + MIDA!R19 + MIDW!R19 + NE!R19 + NY!R19 + NW!R19 + SE!R19 + SW!R19 + TEN!R19 + TEX!R19</f>
        <v>417549008.26568842</v>
      </c>
      <c r="S19" s="8">
        <f xml:space="preserve"> 0 + CAL!S19 + CAR!S19 + CENT!S19 + FLA!S19 + MIDA!S19 + MIDW!S19 + NE!S19 + NY!S19 + NW!S19 + SE!S19 + SW!S19 + TEN!S19 + TEX!S19</f>
        <v>419222968.5394792</v>
      </c>
      <c r="T19" s="8">
        <f xml:space="preserve"> 0 + CAL!T19 + CAR!T19 + CENT!T19 + FLA!T19 + MIDA!T19 + MIDW!T19 + NE!T19 + NY!T19 + NW!T19 + SE!T19 + SW!T19 + TEN!T19 + TEX!T19</f>
        <v>424078073.44510537</v>
      </c>
      <c r="U19" s="8">
        <f xml:space="preserve"> 0 + CAL!U19 + CAR!U19 + CENT!U19 + FLA!U19 + MIDA!U19 + MIDW!U19 + NE!U19 + NY!U19 + NW!U19 + SE!U19 + SW!U19 + TEN!U19 + TEX!U19</f>
        <v>434500752.63786101</v>
      </c>
      <c r="V19" s="8">
        <f xml:space="preserve"> 0 + CAL!V19 + CAR!V19 + CENT!V19 + FLA!V19 + MIDA!V19 + MIDW!V19 + NE!V19 + NY!V19 + NW!V19 + SE!V19 + SW!V19 + TEN!V19 + TEX!V19</f>
        <v>445144637.73183101</v>
      </c>
      <c r="W19" s="8">
        <f xml:space="preserve"> 0 + CAL!W19 + CAR!W19 + CENT!W19 + FLA!W19 + MIDA!W19 + MIDW!W19 + NE!W19 + NY!W19 + NW!W19 + SE!W19 + SW!W19 + TEN!W19 + TEX!W19</f>
        <v>462096823.22902983</v>
      </c>
      <c r="X19" s="8">
        <f xml:space="preserve"> 0 + CAL!X19 + CAR!X19 + CENT!X19 + FLA!X19 + MIDA!X19 + MIDW!X19 + NE!X19 + NY!X19 + NW!X19 + SE!X19 + SW!X19 + TEN!X19 + TEX!X19</f>
        <v>475369984.47062463</v>
      </c>
      <c r="Y19" s="8">
        <f xml:space="preserve"> 0 + CAL!Y19 + CAR!Y19 + CENT!Y19 + FLA!Y19 + MIDA!Y19 + MIDW!Y19 + NE!Y19 + NY!Y19 + NW!Y19 + SE!Y19 + SW!Y19 + TEN!Y19 + TEX!Y19</f>
        <v>487013720.98743075</v>
      </c>
      <c r="Z19" s="8">
        <f xml:space="preserve"> 0 + CAL!Z19 + CAR!Z19 + CENT!Z19 + FLA!Z19 + MIDA!Z19 + MIDW!Z19 + NE!Z19 + NY!Z19 + NW!Z19 + SE!Z19 + SW!Z19 + TEN!Z19 + TEX!Z19</f>
        <v>505859421.26041353</v>
      </c>
      <c r="AA19" s="8">
        <f xml:space="preserve"> 0 + CAL!AA19 + CAR!AA19 + CENT!AA19 + FLA!AA19 + MIDA!AA19 + MIDW!AA19 + NE!AA19 + NY!AA19 + NW!AA19 + SE!AA19 + SW!AA19 + TEN!AA19 + TEX!AA19</f>
        <v>513313323.55350471</v>
      </c>
      <c r="AB19" s="8">
        <f xml:space="preserve"> 0 + CAL!AB19 + CAR!AB19 + CENT!AB19 + FLA!AB19 + MIDA!AB19 + MIDW!AB19 + NE!AB19 + NY!AB19 + NW!AB19 + SE!AB19 + SW!AB19 + TEN!AB19 + TEX!AB19</f>
        <v>523323081.25414789</v>
      </c>
      <c r="AC19" s="8">
        <f xml:space="preserve"> 0 + CAL!AC19 + CAR!AC19 + CENT!AC19 + FLA!AC19 + MIDA!AC19 + MIDW!AC19 + NE!AC19 + NY!AC19 + NW!AC19 + SE!AC19 + SW!AC19 + TEN!AC19 + TEX!AC19</f>
        <v>537361525.92905486</v>
      </c>
    </row>
    <row r="20" spans="1:29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9242.9595835799992</v>
      </c>
      <c r="C20" s="8">
        <f xml:space="preserve"> 0 + CAL!C20 + CAR!C20 + CENT!C20 + FLA!C20 + MIDA!C20 + MIDW!C20 + NE!C20 + NY!C20 + NW!C20 + SE!C20 + SW!C20 + TEN!C20 + TEX!C20</f>
        <v>9327.2809128999997</v>
      </c>
      <c r="D20" s="8">
        <f xml:space="preserve"> 0 + CAL!D20 + CAR!D20 + CENT!D20 + FLA!D20 + MIDA!D20 + MIDW!D20 + NE!D20 + NY!D20 + NW!D20 + SE!D20 + SW!D20 + TEN!D20 + TEX!D20</f>
        <v>9670.0993185299994</v>
      </c>
      <c r="E20" s="8">
        <f xml:space="preserve"> 0 + CAL!E20 + CAR!E20 + CENT!E20 + FLA!E20 + MIDA!E20 + MIDW!E20 + NE!E20 + NY!E20 + NW!E20 + SE!E20 + SW!E20 + TEN!E20 + TEX!E20</f>
        <v>10205.0130608</v>
      </c>
      <c r="F20" s="8">
        <f xml:space="preserve"> 0 + CAL!F20 + CAR!F20 + CENT!F20 + FLA!F20 + MIDA!F20 + MIDW!F20 + NE!F20 + NY!F20 + NW!F20 + SE!F20 + SW!F20 + TEN!F20 + TEX!F20</f>
        <v>11034.203051209999</v>
      </c>
      <c r="G20" s="8">
        <f xml:space="preserve"> 0 + CAL!G20 + CAR!G20 + CENT!G20 + FLA!G20 + MIDA!G20 + MIDW!G20 + NE!G20 + NY!G20 + NW!G20 + SE!G20 + SW!G20 + TEN!G20 + TEX!G20</f>
        <v>12255.165010000002</v>
      </c>
      <c r="H20" s="8">
        <f xml:space="preserve"> 0 + CAL!H20 + CAR!H20 + CENT!H20 + FLA!H20 + MIDA!H20 + MIDW!H20 + NE!H20 + NY!H20 + NW!H20 + SE!H20 + SW!H20 + TEN!H20 + TEX!H20</f>
        <v>13626.725510480001</v>
      </c>
      <c r="I20" s="8">
        <f xml:space="preserve"> 0 + CAL!I20 + CAR!I20 + CENT!I20 + FLA!I20 + MIDA!I20 + MIDW!I20 + NE!I20 + NY!I20 + NW!I20 + SE!I20 + SW!I20 + TEN!I20 + TEX!I20</f>
        <v>15107.320029790002</v>
      </c>
      <c r="J20" s="8">
        <f xml:space="preserve"> 0 + CAL!J20 + CAR!J20 + CENT!J20 + FLA!J20 + MIDA!J20 + MIDW!J20 + NE!J20 + NY!J20 + NW!J20 + SE!J20 + SW!J20 + TEN!J20 + TEX!J20</f>
        <v>16739.376544819999</v>
      </c>
      <c r="K20" s="8">
        <f xml:space="preserve"> 0 + CAL!K20 + CAR!K20 + CENT!K20 + FLA!K20 + MIDA!K20 + MIDW!K20 + NE!K20 + NY!K20 + NW!K20 + SE!K20 + SW!K20 + TEN!K20 + TEX!K20</f>
        <v>18361.849828769999</v>
      </c>
      <c r="L20" s="8">
        <f xml:space="preserve"> 0 + CAL!L20 + CAR!L20 + CENT!L20 + FLA!L20 + MIDA!L20 + MIDW!L20 + NE!L20 + NY!L20 + NW!L20 + SE!L20 + SW!L20 + TEN!L20 + TEX!L20</f>
        <v>20136.3991217</v>
      </c>
      <c r="M20" s="8">
        <f xml:space="preserve"> 0 + CAL!M20 + CAR!M20 + CENT!M20 + FLA!M20 + MIDA!M20 + MIDW!M20 + NE!M20 + NY!M20 + NW!M20 + SE!M20 + SW!M20 + TEN!M20 + TEX!M20</f>
        <v>22177.101102569999</v>
      </c>
      <c r="N20" s="8">
        <f xml:space="preserve"> 0 + CAL!N20 + CAR!N20 + CENT!N20 + FLA!N20 + MIDA!N20 + MIDW!N20 + NE!N20 + NY!N20 + NW!N20 + SE!N20 + SW!N20 + TEN!N20 + TEX!N20</f>
        <v>23740.352450300001</v>
      </c>
      <c r="O20" s="8">
        <f xml:space="preserve"> 0 + CAL!O20 + CAR!O20 + CENT!O20 + FLA!O20 + MIDA!O20 + MIDW!O20 + NE!O20 + NY!O20 + NW!O20 + SE!O20 + SW!O20 + TEN!O20 + TEX!O20</f>
        <v>25263.141085260002</v>
      </c>
      <c r="P20" s="8">
        <f xml:space="preserve"> 0 + CAL!P20 + CAR!P20 + CENT!P20 + FLA!P20 + MIDA!P20 + MIDW!P20 + NE!P20 + NY!P20 + NW!P20 + SE!P20 + SW!P20 + TEN!P20 + TEX!P20</f>
        <v>26556.380401250004</v>
      </c>
      <c r="Q20" s="8">
        <f xml:space="preserve"> 0 + CAL!Q20 + CAR!Q20 + CENT!Q20 + FLA!Q20 + MIDA!Q20 + MIDW!Q20 + NE!Q20 + NY!Q20 + NW!Q20 + SE!Q20 + SW!Q20 + TEN!Q20 + TEX!Q20</f>
        <v>27697.369884710002</v>
      </c>
      <c r="R20" s="8">
        <f xml:space="preserve"> 0 + CAL!R20 + CAR!R20 + CENT!R20 + FLA!R20 + MIDA!R20 + MIDW!R20 + NE!R20 + NY!R20 + NW!R20 + SE!R20 + SW!R20 + TEN!R20 + TEX!R20</f>
        <v>28971.938282299998</v>
      </c>
      <c r="S20" s="8">
        <f xml:space="preserve"> 0 + CAL!S20 + CAR!S20 + CENT!S20 + FLA!S20 + MIDA!S20 + MIDW!S20 + NE!S20 + NY!S20 + NW!S20 + SE!S20 + SW!S20 + TEN!S20 + TEX!S20</f>
        <v>29053.468916760001</v>
      </c>
      <c r="T20" s="8">
        <f xml:space="preserve"> 0 + CAL!T20 + CAR!T20 + CENT!T20 + FLA!T20 + MIDA!T20 + MIDW!T20 + NE!T20 + NY!T20 + NW!T20 + SE!T20 + SW!T20 + TEN!T20 + TEX!T20</f>
        <v>29360.381256299996</v>
      </c>
      <c r="U20" s="8">
        <f xml:space="preserve"> 0 + CAL!U20 + CAR!U20 + CENT!U20 + FLA!U20 + MIDA!U20 + MIDW!U20 + NE!U20 + NY!U20 + NW!U20 + SE!U20 + SW!U20 + TEN!U20 + TEX!U20</f>
        <v>30015.508386360001</v>
      </c>
      <c r="V20" s="8">
        <f xml:space="preserve"> 0 + CAL!V20 + CAR!V20 + CENT!V20 + FLA!V20 + MIDA!V20 + MIDW!V20 + NE!V20 + NY!V20 + NW!V20 + SE!V20 + SW!V20 + TEN!V20 + TEX!V20</f>
        <v>30695.835011089999</v>
      </c>
      <c r="W20" s="8">
        <f xml:space="preserve"> 0 + CAL!W20 + CAR!W20 + CENT!W20 + FLA!W20 + MIDA!W20 + MIDW!W20 + NE!W20 + NY!W20 + NW!W20 + SE!W20 + SW!W20 + TEN!W20 + TEX!W20</f>
        <v>31955.113765120001</v>
      </c>
      <c r="X20" s="8">
        <f xml:space="preserve"> 0 + CAL!X20 + CAR!X20 + CENT!X20 + FLA!X20 + MIDA!X20 + MIDW!X20 + NE!X20 + NY!X20 + NW!X20 + SE!X20 + SW!X20 + TEN!X20 + TEX!X20</f>
        <v>32683.366866249999</v>
      </c>
      <c r="Y20" s="8">
        <f xml:space="preserve"> 0 + CAL!Y20 + CAR!Y20 + CENT!Y20 + FLA!Y20 + MIDA!Y20 + MIDW!Y20 + NE!Y20 + NY!Y20 + NW!Y20 + SE!Y20 + SW!Y20 + TEN!Y20 + TEX!Y20</f>
        <v>33382.062553659998</v>
      </c>
      <c r="Z20" s="8">
        <f xml:space="preserve"> 0 + CAL!Z20 + CAR!Z20 + CENT!Z20 + FLA!Z20 + MIDA!Z20 + MIDW!Z20 + NE!Z20 + NY!Z20 + NW!Z20 + SE!Z20 + SW!Z20 + TEN!Z20 + TEX!Z20</f>
        <v>34671.88984091</v>
      </c>
      <c r="AA20" s="8">
        <f xml:space="preserve"> 0 + CAL!AA20 + CAR!AA20 + CENT!AA20 + FLA!AA20 + MIDA!AA20 + MIDW!AA20 + NE!AA20 + NY!AA20 + NW!AA20 + SE!AA20 + SW!AA20 + TEN!AA20 + TEX!AA20</f>
        <v>35072.669755909999</v>
      </c>
      <c r="AB20" s="8">
        <f xml:space="preserve"> 0 + CAL!AB20 + CAR!AB20 + CENT!AB20 + FLA!AB20 + MIDA!AB20 + MIDW!AB20 + NE!AB20 + NY!AB20 + NW!AB20 + SE!AB20 + SW!AB20 + TEN!AB20 + TEX!AB20</f>
        <v>35722.61434177</v>
      </c>
      <c r="AC20" s="8">
        <f xml:space="preserve"> 0 + CAL!AC20 + CAR!AC20 + CENT!AC20 + FLA!AC20 + MIDA!AC20 + MIDW!AC20 + NE!AC20 + NY!AC20 + NW!AC20 + SE!AC20 + SW!AC20 + TEN!AC20 + TEX!AC20</f>
        <v>36671.58774381</v>
      </c>
    </row>
    <row r="21" spans="1:29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11.626472720000001</v>
      </c>
      <c r="D21" s="8">
        <f xml:space="preserve"> 0 + CAL!D21 + CAR!D21 + CENT!D21 + FLA!D21 + MIDA!D21 + MIDW!D21 + NE!D21 + NY!D21 + NW!D21 + SE!D21 + SW!D21 + TEN!D21 + TEX!D21</f>
        <v>24.716931599999999</v>
      </c>
      <c r="E21" s="8">
        <f xml:space="preserve"> 0 + CAL!E21 + CAR!E21 + CENT!E21 + FLA!E21 + MIDA!E21 + MIDW!E21 + NE!E21 + NY!E21 + NW!E21 + SE!E21 + SW!E21 + TEN!E21 + TEX!E21</f>
        <v>40.089285790000005</v>
      </c>
      <c r="F21" s="8">
        <f xml:space="preserve"> 0 + CAL!F21 + CAR!F21 + CENT!F21 + FLA!F21 + MIDA!F21 + MIDW!F21 + NE!F21 + NY!F21 + NW!F21 + SE!F21 + SW!F21 + TEN!F21 + TEX!F21</f>
        <v>59.110055809999999</v>
      </c>
      <c r="G21" s="8">
        <f xml:space="preserve"> 0 + CAL!G21 + CAR!G21 + CENT!G21 + FLA!G21 + MIDA!G21 + MIDW!G21 + NE!G21 + NY!G21 + NW!G21 + SE!G21 + SW!G21 + TEN!G21 + TEX!G21</f>
        <v>83.579675080000015</v>
      </c>
      <c r="H21" s="8">
        <f xml:space="preserve"> 0 + CAL!H21 + CAR!H21 + CENT!H21 + FLA!H21 + MIDA!H21 + MIDW!H21 + NE!H21 + NY!H21 + NW!H21 + SE!H21 + SW!H21 + TEN!H21 + TEX!H21</f>
        <v>113.04262263000001</v>
      </c>
      <c r="I21" s="8">
        <f xml:space="preserve"> 0 + CAL!I21 + CAR!I21 + CENT!I21 + FLA!I21 + MIDA!I21 + MIDW!I21 + NE!I21 + NY!I21 + NW!I21 + SE!I21 + SW!I21 + TEN!I21 + TEX!I21</f>
        <v>147.80084856000002</v>
      </c>
      <c r="J21" s="8">
        <f xml:space="preserve"> 0 + CAL!J21 + CAR!J21 + CENT!J21 + FLA!J21 + MIDA!J21 + MIDW!J21 + NE!J21 + NY!J21 + NW!J21 + SE!J21 + SW!J21 + TEN!J21 + TEX!J21</f>
        <v>188.71689127000002</v>
      </c>
      <c r="K21" s="8">
        <f xml:space="preserve"> 0 + CAL!K21 + CAR!K21 + CENT!K21 + FLA!K21 + MIDA!K21 + MIDW!K21 + NE!K21 + NY!K21 + NW!K21 + SE!K21 + SW!K21 + TEN!K21 + TEX!K21</f>
        <v>234.83563057000003</v>
      </c>
      <c r="L21" s="8">
        <f xml:space="preserve"> 0 + CAL!L21 + CAR!L21 + CENT!L21 + FLA!L21 + MIDA!L21 + MIDW!L21 + NE!L21 + NY!L21 + NW!L21 + SE!L21 + SW!L21 + TEN!L21 + TEX!L21</f>
        <v>287.22920556000003</v>
      </c>
      <c r="M21" s="8">
        <f xml:space="preserve"> 0 + CAL!M21 + CAR!M21 + CENT!M21 + FLA!M21 + MIDA!M21 + MIDW!M21 + NE!M21 + NY!M21 + NW!M21 + SE!M21 + SW!M21 + TEN!M21 + TEX!M21</f>
        <v>347.36348056999998</v>
      </c>
      <c r="N21" s="8">
        <f xml:space="preserve"> 0 + CAL!N21 + CAR!N21 + CENT!N21 + FLA!N21 + MIDA!N21 + MIDW!N21 + NE!N21 + NY!N21 + NW!N21 + SE!N21 + SW!N21 + TEN!N21 + TEX!N21</f>
        <v>407.50293985000002</v>
      </c>
      <c r="O21" s="8">
        <f xml:space="preserve"> 0 + CAL!O21 + CAR!O21 + CENT!O21 + FLA!O21 + MIDA!O21 + MIDW!O21 + NE!O21 + NY!O21 + NW!O21 + SE!O21 + SW!O21 + TEN!O21 + TEX!O21</f>
        <v>471.47640304000004</v>
      </c>
      <c r="P21" s="8">
        <f xml:space="preserve"> 0 + CAL!P21 + CAR!P21 + CENT!P21 + FLA!P21 + MIDA!P21 + MIDW!P21 + NE!P21 + NY!P21 + NW!P21 + SE!P21 + SW!P21 + TEN!P21 + TEX!P21</f>
        <v>535.47607671000014</v>
      </c>
      <c r="Q21" s="8">
        <f xml:space="preserve"> 0 + CAL!Q21 + CAR!Q21 + CENT!Q21 + FLA!Q21 + MIDA!Q21 + MIDW!Q21 + NE!Q21 + NY!Q21 + NW!Q21 + SE!Q21 + SW!Q21 + TEN!Q21 + TEX!Q21</f>
        <v>599.72827039000003</v>
      </c>
      <c r="R21" s="8">
        <f xml:space="preserve"> 0 + CAL!R21 + CAR!R21 + CENT!R21 + FLA!R21 + MIDA!R21 + MIDW!R21 + NE!R21 + NY!R21 + NW!R21 + SE!R21 + SW!R21 + TEN!R21 + TEX!R21</f>
        <v>668.07841323000014</v>
      </c>
      <c r="S21" s="8">
        <f xml:space="preserve"> 0 + CAL!S21 + CAR!S21 + CENT!S21 + FLA!S21 + MIDA!S21 + MIDW!S21 + NE!S21 + NY!S21 + NW!S21 + SE!S21 + SW!S21 + TEN!S21 + TEX!S21</f>
        <v>712.67904651999993</v>
      </c>
      <c r="T21" s="8">
        <f xml:space="preserve"> 0 + CAL!T21 + CAR!T21 + CENT!T21 + FLA!T21 + MIDA!T21 + MIDW!T21 + NE!T21 + NY!T21 + NW!T21 + SE!T21 + SW!T21 + TEN!T21 + TEX!T21</f>
        <v>763.34053220999999</v>
      </c>
      <c r="U21" s="8">
        <f xml:space="preserve"> 0 + CAL!U21 + CAR!U21 + CENT!U21 + FLA!U21 + MIDA!U21 + MIDW!U21 + NE!U21 + NY!U21 + NW!U21 + SE!U21 + SW!U21 + TEN!U21 + TEX!U21</f>
        <v>825.55143002</v>
      </c>
      <c r="V21" s="8">
        <f xml:space="preserve"> 0 + CAL!V21 + CAR!V21 + CENT!V21 + FLA!V21 + MIDA!V21 + MIDW!V21 + NE!V21 + NY!V21 + NW!V21 + SE!V21 + SW!V21 + TEN!V21 + TEX!V21</f>
        <v>890.28927545999989</v>
      </c>
      <c r="W21" s="8">
        <f xml:space="preserve"> 0 + CAL!W21 + CAR!W21 + CENT!W21 + FLA!W21 + MIDA!W21 + MIDW!W21 + NE!W21 + NY!W21 + NW!W21 + SE!W21 + SW!W21 + TEN!W21 + TEX!W21</f>
        <v>970.40332879000005</v>
      </c>
      <c r="X21" s="8">
        <f xml:space="preserve"> 0 + CAL!X21 + CAR!X21 + CENT!X21 + FLA!X21 + MIDA!X21 + MIDW!X21 + NE!X21 + NY!X21 + NW!X21 + SE!X21 + SW!X21 + TEN!X21 + TEX!X21</f>
        <v>1045.81396584</v>
      </c>
      <c r="Y21" s="8">
        <f xml:space="preserve"> 0 + CAL!Y21 + CAR!Y21 + CENT!Y21 + FLA!Y21 + MIDA!Y21 + MIDW!Y21 + NE!Y21 + NY!Y21 + NW!Y21 + SE!Y21 + SW!Y21 + TEN!Y21 + TEX!Y21</f>
        <v>1120.13155828</v>
      </c>
      <c r="Z21" s="8">
        <f xml:space="preserve"> 0 + CAL!Z21 + CAR!Z21 + CENT!Z21 + FLA!Z21 + MIDA!Z21 + MIDW!Z21 + NE!Z21 + NY!Z21 + NW!Z21 + SE!Z21 + SW!Z21 + TEN!Z21 + TEX!Z21</f>
        <v>1214.0626110199998</v>
      </c>
      <c r="AA21" s="8">
        <f xml:space="preserve"> 0 + CAL!AA21 + CAR!AA21 + CENT!AA21 + FLA!AA21 + MIDA!AA21 + MIDW!AA21 + NE!AA21 + NY!AA21 + NW!AA21 + SE!AA21 + SW!AA21 + TEN!AA21 + TEX!AA21</f>
        <v>1283.28330888</v>
      </c>
      <c r="AB21" s="8">
        <f xml:space="preserve"> 0 + CAL!AB21 + CAR!AB21 + CENT!AB21 + FLA!AB21 + MIDA!AB21 + MIDW!AB21 + NE!AB21 + NY!AB21 + NW!AB21 + SE!AB21 + SW!AB21 + TEN!AB21 + TEX!AB21</f>
        <v>1360.64001125</v>
      </c>
      <c r="AC21" s="8">
        <f xml:space="preserve"> 0 + CAL!AC21 + CAR!AC21 + CENT!AC21 + FLA!AC21 + MIDA!AC21 + MIDW!AC21 + NE!AC21 + NY!AC21 + NW!AC21 + SE!AC21 + SW!AC21 + TEN!AC21 + TEX!AC21</f>
        <v>1450.87612001</v>
      </c>
    </row>
    <row r="22" spans="1:29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0.58132364999999997</v>
      </c>
      <c r="D22" s="8">
        <f xml:space="preserve"> 0 + CAL!D22 + CAR!D22 + CENT!D22 + FLA!D22 + MIDA!D22 + MIDW!D22 + NE!D22 + NY!D22 + NW!D22 + SE!D22 + SW!D22 + TEN!D22 + TEX!D22</f>
        <v>0.61792327999999996</v>
      </c>
      <c r="E22" s="8">
        <f xml:space="preserve"> 0 + CAL!E22 + CAR!E22 + CENT!E22 + FLA!E22 + MIDA!E22 + MIDW!E22 + NE!E22 + NY!E22 + NW!E22 + SE!E22 + SW!E22 + TEN!E22 + TEX!E22</f>
        <v>0.66815475999999996</v>
      </c>
      <c r="F22" s="8">
        <f xml:space="preserve"> 0 + CAL!F22 + CAR!F22 + CENT!F22 + FLA!F22 + MIDA!F22 + MIDW!F22 + NE!F22 + NY!F22 + NW!F22 + SE!F22 + SW!F22 + TEN!F22 + TEX!F22</f>
        <v>0.73887569000000008</v>
      </c>
      <c r="G22" s="8">
        <f xml:space="preserve"> 0 + CAL!G22 + CAR!G22 + CENT!G22 + FLA!G22 + MIDA!G22 + MIDW!G22 + NE!G22 + NY!G22 + NW!G22 + SE!G22 + SW!G22 + TEN!G22 + TEX!G22</f>
        <v>0.83579674000000015</v>
      </c>
      <c r="H22" s="8">
        <f xml:space="preserve"> 0 + CAL!H22 + CAR!H22 + CENT!H22 + FLA!H22 + MIDA!H22 + MIDW!H22 + NE!H22 + NY!H22 + NW!H22 + SE!H22 + SW!H22 + TEN!H22 + TEX!H22</f>
        <v>0.94202185999999988</v>
      </c>
      <c r="I22" s="8">
        <f xml:space="preserve"> 0 + CAL!I22 + CAR!I22 + CENT!I22 + FLA!I22 + MIDA!I22 + MIDW!I22 + NE!I22 + NY!I22 + NW!I22 + SE!I22 + SW!I22 + TEN!I22 + TEX!I22</f>
        <v>1.0557203400000001</v>
      </c>
      <c r="J22" s="8">
        <f xml:space="preserve"> 0 + CAL!J22 + CAR!J22 + CENT!J22 + FLA!J22 + MIDA!J22 + MIDW!J22 + NE!J22 + NY!J22 + NW!J22 + SE!J22 + SW!J22 + TEN!J22 + TEX!J22</f>
        <v>1.17948057</v>
      </c>
      <c r="K22" s="8">
        <f xml:space="preserve"> 0 + CAL!K22 + CAR!K22 + CENT!K22 + FLA!K22 + MIDA!K22 + MIDW!K22 + NE!K22 + NY!K22 + NW!K22 + SE!K22 + SW!K22 + TEN!K22 + TEX!K22</f>
        <v>1.3046423899999997</v>
      </c>
      <c r="L22" s="8">
        <f xml:space="preserve"> 0 + CAL!L22 + CAR!L22 + CENT!L22 + FLA!L22 + MIDA!L22 + MIDW!L22 + NE!L22 + NY!L22 + NW!L22 + SE!L22 + SW!L22 + TEN!L22 + TEX!L22</f>
        <v>1.4361460299999997</v>
      </c>
      <c r="M22" s="8">
        <f xml:space="preserve"> 0 + CAL!M22 + CAR!M22 + CENT!M22 + FLA!M22 + MIDA!M22 + MIDW!M22 + NE!M22 + NY!M22 + NW!M22 + SE!M22 + SW!M22 + TEN!M22 + TEX!M22</f>
        <v>1.5789249099999998</v>
      </c>
      <c r="N22" s="8">
        <f xml:space="preserve"> 0 + CAL!N22 + CAR!N22 + CENT!N22 + FLA!N22 + MIDA!N22 + MIDW!N22 + NE!N22 + NY!N22 + NW!N22 + SE!N22 + SW!N22 + TEN!N22 + TEX!N22</f>
        <v>1.6979289299999998</v>
      </c>
      <c r="O22" s="8">
        <f xml:space="preserve"> 0 + CAL!O22 + CAR!O22 + CENT!O22 + FLA!O22 + MIDA!O22 + MIDW!O22 + NE!O22 + NY!O22 + NW!O22 + SE!O22 + SW!O22 + TEN!O22 + TEX!O22</f>
        <v>1.8133707799999998</v>
      </c>
      <c r="P22" s="8">
        <f xml:space="preserve"> 0 + CAL!P22 + CAR!P22 + CENT!P22 + FLA!P22 + MIDA!P22 + MIDW!P22 + NE!P22 + NY!P22 + NW!P22 + SE!P22 + SW!P22 + TEN!P22 + TEX!P22</f>
        <v>1.9124145600000002</v>
      </c>
      <c r="Q22" s="8">
        <f xml:space="preserve"> 0 + CAL!Q22 + CAR!Q22 + CENT!Q22 + FLA!Q22 + MIDA!Q22 + MIDW!Q22 + NE!Q22 + NY!Q22 + NW!Q22 + SE!Q22 + SW!Q22 + TEN!Q22 + TEX!Q22</f>
        <v>1.99909425</v>
      </c>
      <c r="R22" s="8">
        <f xml:space="preserve"> 0 + CAL!R22 + CAR!R22 + CENT!R22 + FLA!R22 + MIDA!R22 + MIDW!R22 + NE!R22 + NY!R22 + NW!R22 + SE!R22 + SW!R22 + TEN!R22 + TEX!R22</f>
        <v>2.0877450399999997</v>
      </c>
      <c r="S22" s="8">
        <f xml:space="preserve"> 0 + CAL!S22 + CAR!S22 + CENT!S22 + FLA!S22 + MIDA!S22 + MIDW!S22 + NE!S22 + NY!S22 + NW!S22 + SE!S22 + SW!S22 + TEN!S22 + TEX!S22</f>
        <v>2.0961148500000002</v>
      </c>
      <c r="T22" s="8">
        <f xml:space="preserve"> 0 + CAL!T22 + CAR!T22 + CENT!T22 + FLA!T22 + MIDA!T22 + MIDW!T22 + NE!T22 + NY!T22 + NW!T22 + SE!T22 + SW!T22 + TEN!T22 + TEX!T22</f>
        <v>2.1203903700000004</v>
      </c>
      <c r="U22" s="8">
        <f xml:space="preserve"> 0 + CAL!U22 + CAR!U22 + CENT!U22 + FLA!U22 + MIDA!U22 + MIDW!U22 + NE!U22 + NY!U22 + NW!U22 + SE!U22 + SW!U22 + TEN!U22 + TEX!U22</f>
        <v>2.1725037600000001</v>
      </c>
      <c r="V22" s="8">
        <f xml:space="preserve"> 0 + CAL!V22 + CAR!V22 + CENT!V22 + FLA!V22 + MIDA!V22 + MIDW!V22 + NE!V22 + NY!V22 + NW!V22 + SE!V22 + SW!V22 + TEN!V22 + TEX!V22</f>
        <v>2.2257231800000001</v>
      </c>
      <c r="W22" s="8">
        <f xml:space="preserve"> 0 + CAL!W22 + CAR!W22 + CENT!W22 + FLA!W22 + MIDA!W22 + MIDW!W22 + NE!W22 + NY!W22 + NW!W22 + SE!W22 + SW!W22 + TEN!W22 + TEX!W22</f>
        <v>2.3104840999999996</v>
      </c>
      <c r="X22" s="8">
        <f xml:space="preserve"> 0 + CAL!X22 + CAR!X22 + CENT!X22 + FLA!X22 + MIDA!X22 + MIDW!X22 + NE!X22 + NY!X22 + NW!X22 + SE!X22 + SW!X22 + TEN!X22 + TEX!X22</f>
        <v>2.3768499300000006</v>
      </c>
      <c r="Y22" s="8">
        <f xml:space="preserve"> 0 + CAL!Y22 + CAR!Y22 + CENT!Y22 + FLA!Y22 + MIDA!Y22 + MIDW!Y22 + NE!Y22 + NY!Y22 + NW!Y22 + SE!Y22 + SW!Y22 + TEN!Y22 + TEX!Y22</f>
        <v>2.4350685900000002</v>
      </c>
      <c r="Z22" s="8">
        <f xml:space="preserve"> 0 + CAL!Z22 + CAR!Z22 + CENT!Z22 + FLA!Z22 + MIDA!Z22 + MIDW!Z22 + NE!Z22 + NY!Z22 + NW!Z22 + SE!Z22 + SW!Z22 + TEN!Z22 + TEX!Z22</f>
        <v>2.5292971</v>
      </c>
      <c r="AA22" s="8">
        <f xml:space="preserve"> 0 + CAL!AA22 + CAR!AA22 + CENT!AA22 + FLA!AA22 + MIDA!AA22 + MIDW!AA22 + NE!AA22 + NY!AA22 + NW!AA22 + SE!AA22 + SW!AA22 + TEN!AA22 + TEX!AA22</f>
        <v>2.5665666100000006</v>
      </c>
      <c r="AB22" s="8">
        <f xml:space="preserve"> 0 + CAL!AB22 + CAR!AB22 + CENT!AB22 + FLA!AB22 + MIDA!AB22 + MIDW!AB22 + NE!AB22 + NY!AB22 + NW!AB22 + SE!AB22 + SW!AB22 + TEN!AB22 + TEX!AB22</f>
        <v>2.6166153999999997</v>
      </c>
      <c r="AC22" s="8">
        <f xml:space="preserve"> 0 + CAL!AC22 + CAR!AC22 + CENT!AC22 + FLA!AC22 + MIDA!AC22 + MIDW!AC22 + NE!AC22 + NY!AC22 + NW!AC22 + SE!AC22 + SW!AC22 + TEN!AC22 + TEX!AC22</f>
        <v>2.6868076499999995</v>
      </c>
    </row>
    <row r="23" spans="1:29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9242.9595835799992</v>
      </c>
      <c r="C23" s="8">
        <f xml:space="preserve"> 0 + CAL!C23 + CAR!C23 + CENT!C23 + FLA!C23 + MIDA!C23 + MIDW!C23 + NE!C23 + NY!C23 + NW!C23 + SE!C23 + SW!C23 + TEN!C23 + TEX!C23</f>
        <v>9327.2809128999997</v>
      </c>
      <c r="D23" s="8">
        <f xml:space="preserve"> 0 + CAL!D23 + CAR!D23 + CENT!D23 + FLA!D23 + MIDA!D23 + MIDW!D23 + NE!D23 + NY!D23 + NW!D23 + SE!D23 + SW!D23 + TEN!D23 + TEX!D23</f>
        <v>9670.0993185299994</v>
      </c>
      <c r="E23" s="8">
        <f xml:space="preserve"> 0 + CAL!E23 + CAR!E23 + CENT!E23 + FLA!E23 + MIDA!E23 + MIDW!E23 + NE!E23 + NY!E23 + NW!E23 + SE!E23 + SW!E23 + TEN!E23 + TEX!E23</f>
        <v>10205.0130608</v>
      </c>
      <c r="F23" s="8">
        <f xml:space="preserve"> 0 + CAL!F23 + CAR!F23 + CENT!F23 + FLA!F23 + MIDA!F23 + MIDW!F23 + NE!F23 + NY!F23 + NW!F23 + SE!F23 + SW!F23 + TEN!F23 + TEX!F23</f>
        <v>11034.203051209999</v>
      </c>
      <c r="G23" s="8">
        <f xml:space="preserve"> 0 + CAL!G23 + CAR!G23 + CENT!G23 + FLA!G23 + MIDA!G23 + MIDW!G23 + NE!G23 + NY!G23 + NW!G23 + SE!G23 + SW!G23 + TEN!G23 + TEX!G23</f>
        <v>12255.165010000002</v>
      </c>
      <c r="H23" s="8">
        <f xml:space="preserve"> 0 + CAL!H23 + CAR!H23 + CENT!H23 + FLA!H23 + MIDA!H23 + MIDW!H23 + NE!H23 + NY!H23 + NW!H23 + SE!H23 + SW!H23 + TEN!H23 + TEX!H23</f>
        <v>13626.725510480001</v>
      </c>
      <c r="I23" s="8">
        <f xml:space="preserve"> 0 + CAL!I23 + CAR!I23 + CENT!I23 + FLA!I23 + MIDA!I23 + MIDW!I23 + NE!I23 + NY!I23 + NW!I23 + SE!I23 + SW!I23 + TEN!I23 + TEX!I23</f>
        <v>15107.320029790002</v>
      </c>
      <c r="J23" s="8">
        <f xml:space="preserve"> 0 + CAL!J23 + CAR!J23 + CENT!J23 + FLA!J23 + MIDA!J23 + MIDW!J23 + NE!J23 + NY!J23 + NW!J23 + SE!J23 + SW!J23 + TEN!J23 + TEX!J23</f>
        <v>16739.376544819999</v>
      </c>
      <c r="K23" s="8">
        <f xml:space="preserve"> 0 + CAL!K23 + CAR!K23 + CENT!K23 + FLA!K23 + MIDA!K23 + MIDW!K23 + NE!K23 + NY!K23 + NW!K23 + SE!K23 + SW!K23 + TEN!K23 + TEX!K23</f>
        <v>18361.849828769999</v>
      </c>
      <c r="L23" s="8">
        <f xml:space="preserve"> 0 + CAL!L23 + CAR!L23 + CENT!L23 + FLA!L23 + MIDA!L23 + MIDW!L23 + NE!L23 + NY!L23 + NW!L23 + SE!L23 + SW!L23 + TEN!L23 + TEX!L23</f>
        <v>20136.3991217</v>
      </c>
      <c r="M23" s="8">
        <f xml:space="preserve"> 0 + CAL!M23 + CAR!M23 + CENT!M23 + FLA!M23 + MIDA!M23 + MIDW!M23 + NE!M23 + NY!M23 + NW!M23 + SE!M23 + SW!M23 + TEN!M23 + TEX!M23</f>
        <v>22177.101102569999</v>
      </c>
      <c r="N23" s="8">
        <f xml:space="preserve"> 0 + CAL!N23 + CAR!N23 + CENT!N23 + FLA!N23 + MIDA!N23 + MIDW!N23 + NE!N23 + NY!N23 + NW!N23 + SE!N23 + SW!N23 + TEN!N23 + TEX!N23</f>
        <v>23740.352450300001</v>
      </c>
      <c r="O23" s="8">
        <f xml:space="preserve"> 0 + CAL!O23 + CAR!O23 + CENT!O23 + FLA!O23 + MIDA!O23 + MIDW!O23 + NE!O23 + NY!O23 + NW!O23 + SE!O23 + SW!O23 + TEN!O23 + TEX!O23</f>
        <v>25263.141085260002</v>
      </c>
      <c r="P23" s="8">
        <f xml:space="preserve"> 0 + CAL!P23 + CAR!P23 + CENT!P23 + FLA!P23 + MIDA!P23 + MIDW!P23 + NE!P23 + NY!P23 + NW!P23 + SE!P23 + SW!P23 + TEN!P23 + TEX!P23</f>
        <v>26556.380401250004</v>
      </c>
      <c r="Q23" s="8">
        <f xml:space="preserve"> 0 + CAL!Q23 + CAR!Q23 + CENT!Q23 + FLA!Q23 + MIDA!Q23 + MIDW!Q23 + NE!Q23 + NY!Q23 + NW!Q23 + SE!Q23 + SW!Q23 + TEN!Q23 + TEX!Q23</f>
        <v>27697.369884710002</v>
      </c>
      <c r="R23" s="8">
        <f xml:space="preserve"> 0 + CAL!R23 + CAR!R23 + CENT!R23 + FLA!R23 + MIDA!R23 + MIDW!R23 + NE!R23 + NY!R23 + NW!R23 + SE!R23 + SW!R23 + TEN!R23 + TEX!R23</f>
        <v>28971.938282299998</v>
      </c>
      <c r="S23" s="8">
        <f xml:space="preserve"> 0 + CAL!S23 + CAR!S23 + CENT!S23 + FLA!S23 + MIDA!S23 + MIDW!S23 + NE!S23 + NY!S23 + NW!S23 + SE!S23 + SW!S23 + TEN!S23 + TEX!S23</f>
        <v>29053.468916760001</v>
      </c>
      <c r="T23" s="8">
        <f xml:space="preserve"> 0 + CAL!T23 + CAR!T23 + CENT!T23 + FLA!T23 + MIDA!T23 + MIDW!T23 + NE!T23 + NY!T23 + NW!T23 + SE!T23 + SW!T23 + TEN!T23 + TEX!T23</f>
        <v>29360.381256299996</v>
      </c>
      <c r="U23" s="8">
        <f xml:space="preserve"> 0 + CAL!U23 + CAR!U23 + CENT!U23 + FLA!U23 + MIDA!U23 + MIDW!U23 + NE!U23 + NY!U23 + NW!U23 + SE!U23 + SW!U23 + TEN!U23 + TEX!U23</f>
        <v>30015.508386360001</v>
      </c>
      <c r="V23" s="8">
        <f xml:space="preserve"> 0 + CAL!V23 + CAR!V23 + CENT!V23 + FLA!V23 + MIDA!V23 + MIDW!V23 + NE!V23 + NY!V23 + NW!V23 + SE!V23 + SW!V23 + TEN!V23 + TEX!V23</f>
        <v>30695.835011089999</v>
      </c>
      <c r="W23" s="8">
        <f xml:space="preserve"> 0 + CAL!W23 + CAR!W23 + CENT!W23 + FLA!W23 + MIDA!W23 + MIDW!W23 + NE!W23 + NY!W23 + NW!W23 + SE!W23 + SW!W23 + TEN!W23 + TEX!W23</f>
        <v>31955.113765120001</v>
      </c>
      <c r="X23" s="8">
        <f xml:space="preserve"> 0 + CAL!X23 + CAR!X23 + CENT!X23 + FLA!X23 + MIDA!X23 + MIDW!X23 + NE!X23 + NY!X23 + NW!X23 + SE!X23 + SW!X23 + TEN!X23 + TEX!X23</f>
        <v>32683.366866249999</v>
      </c>
      <c r="Y23" s="8">
        <f xml:space="preserve"> 0 + CAL!Y23 + CAR!Y23 + CENT!Y23 + FLA!Y23 + MIDA!Y23 + MIDW!Y23 + NE!Y23 + NY!Y23 + NW!Y23 + SE!Y23 + SW!Y23 + TEN!Y23 + TEX!Y23</f>
        <v>33382.062553659998</v>
      </c>
      <c r="Z23" s="8">
        <f xml:space="preserve"> 0 + CAL!Z23 + CAR!Z23 + CENT!Z23 + FLA!Z23 + MIDA!Z23 + MIDW!Z23 + NE!Z23 + NY!Z23 + NW!Z23 + SE!Z23 + SW!Z23 + TEN!Z23 + TEX!Z23</f>
        <v>34671.88984091</v>
      </c>
      <c r="AA23" s="8">
        <f xml:space="preserve"> 0 + CAL!AA23 + CAR!AA23 + CENT!AA23 + FLA!AA23 + MIDA!AA23 + MIDW!AA23 + NE!AA23 + NY!AA23 + NW!AA23 + SE!AA23 + SW!AA23 + TEN!AA23 + TEX!AA23</f>
        <v>35072.669755909999</v>
      </c>
      <c r="AB23" s="8">
        <f xml:space="preserve"> 0 + CAL!AB23 + CAR!AB23 + CENT!AB23 + FLA!AB23 + MIDA!AB23 + MIDW!AB23 + NE!AB23 + NY!AB23 + NW!AB23 + SE!AB23 + SW!AB23 + TEN!AB23 + TEX!AB23</f>
        <v>35722.61434177</v>
      </c>
      <c r="AC23" s="8">
        <f xml:space="preserve"> 0 + CAL!AC23 + CAR!AC23 + CENT!AC23 + FLA!AC23 + MIDA!AC23 + MIDW!AC23 + NE!AC23 + NY!AC23 + NW!AC23 + SE!AC23 + SW!AC23 + TEN!AC23 + TEX!AC23</f>
        <v>36671.58774381</v>
      </c>
    </row>
    <row r="24" spans="1:29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13.427920459999999</v>
      </c>
      <c r="E25" s="8">
        <f xml:space="preserve"> 0 + CAL!E25 + CAR!E25 + CENT!E25 + FLA!E25 + MIDA!E25 + MIDW!E25 + NE!E25 + NY!E25 + NW!E25 + SE!E25 + SW!E25 + TEN!E25 + TEX!E25</f>
        <v>13.436378199999998</v>
      </c>
      <c r="F25" s="8">
        <f xml:space="preserve"> 0 + CAL!F25 + CAR!F25 + CENT!F25 + FLA!F25 + MIDA!F25 + MIDW!F25 + NE!F25 + NY!F25 + NW!F25 + SE!F25 + SW!F25 + TEN!F25 + TEX!F25</f>
        <v>13.330289089999997</v>
      </c>
      <c r="G25" s="8">
        <f xml:space="preserve"> 0 + CAL!G25 + CAR!G25 + CENT!G25 + FLA!G25 + MIDA!G25 + MIDW!G25 + NE!G25 + NY!G25 + NW!G25 + SE!G25 + SW!G25 + TEN!G25 + TEX!G25</f>
        <v>13.41906518</v>
      </c>
      <c r="H25" s="8">
        <f xml:space="preserve"> 0 + CAL!H25 + CAR!H25 + CENT!H25 + FLA!H25 + MIDA!H25 + MIDW!H25 + NE!H25 + NY!H25 + NW!H25 + SE!H25 + SW!H25 + TEN!H25 + TEX!H25</f>
        <v>13.773662230000001</v>
      </c>
      <c r="I25" s="8">
        <f xml:space="preserve"> 0 + CAL!I25 + CAR!I25 + CENT!I25 + FLA!I25 + MIDA!I25 + MIDW!I25 + NE!I25 + NY!I25 + NW!I25 + SE!I25 + SW!I25 + TEN!I25 + TEX!I25</f>
        <v>13.68384713</v>
      </c>
      <c r="J25" s="8">
        <f xml:space="preserve"> 0 + CAL!J25 + CAR!J25 + CENT!J25 + FLA!J25 + MIDA!J25 + MIDW!J25 + NE!J25 + NY!J25 + NW!J25 + SE!J25 + SW!J25 + TEN!J25 + TEX!J25</f>
        <v>13.58602533</v>
      </c>
      <c r="K25" s="8">
        <f xml:space="preserve"> 0 + CAL!K25 + CAR!K25 + CENT!K25 + FLA!K25 + MIDA!K25 + MIDW!K25 + NE!K25 + NY!K25 + NW!K25 + SE!K25 + SW!K25 + TEN!K25 + TEX!K25</f>
        <v>13.95402683</v>
      </c>
      <c r="L25" s="8">
        <f xml:space="preserve"> 0 + CAL!L25 + CAR!L25 + CENT!L25 + FLA!L25 + MIDA!L25 + MIDW!L25 + NE!L25 + NY!L25 + NW!L25 + SE!L25 + SW!L25 + TEN!L25 + TEX!L25</f>
        <v>13.58712542</v>
      </c>
      <c r="M25" s="8">
        <f xml:space="preserve"> 0 + CAL!M25 + CAR!M25 + CENT!M25 + FLA!M25 + MIDA!M25 + MIDW!M25 + NE!M25 + NY!M25 + NW!M25 + SE!M25 + SW!M25 + TEN!M25 + TEX!M25</f>
        <v>13.476397920000002</v>
      </c>
      <c r="N25" s="8">
        <f xml:space="preserve"> 0 + CAL!N25 + CAR!N25 + CENT!N25 + FLA!N25 + MIDA!N25 + MIDW!N25 + NE!N25 + NY!N25 + NW!N25 + SE!N25 + SW!N25 + TEN!N25 + TEX!N25</f>
        <v>13.550039300000002</v>
      </c>
      <c r="O25" s="8">
        <f xml:space="preserve"> 0 + CAL!O25 + CAR!O25 + CENT!O25 + FLA!O25 + MIDA!O25 + MIDW!O25 + NE!O25 + NY!O25 + NW!O25 + SE!O25 + SW!O25 + TEN!O25 + TEX!O25</f>
        <v>13.314819399999999</v>
      </c>
      <c r="P25" s="8">
        <f xml:space="preserve"> 0 + CAL!P25 + CAR!P25 + CENT!P25 + FLA!P25 + MIDA!P25 + MIDW!P25 + NE!P25 + NY!P25 + NW!P25 + SE!P25 + SW!P25 + TEN!P25 + TEX!P25</f>
        <v>13.217916220000001</v>
      </c>
      <c r="Q25" s="8">
        <f xml:space="preserve"> 0 + CAL!Q25 + CAR!Q25 + CENT!Q25 + FLA!Q25 + MIDA!Q25 + MIDW!Q25 + NE!Q25 + NY!Q25 + NW!Q25 + SE!Q25 + SW!Q25 + TEN!Q25 + TEX!Q25</f>
        <v>13.397853849999999</v>
      </c>
      <c r="R25" s="8">
        <f xml:space="preserve"> 0 + CAL!R25 + CAR!R25 + CENT!R25 + FLA!R25 + MIDA!R25 + MIDW!R25 + NE!R25 + NY!R25 + NW!R25 + SE!R25 + SW!R25 + TEN!R25 + TEX!R25</f>
        <v>13.027283150000001</v>
      </c>
      <c r="S25" s="8">
        <f xml:space="preserve"> 0 + CAL!S25 + CAR!S25 + CENT!S25 + FLA!S25 + MIDA!S25 + MIDW!S25 + NE!S25 + NY!S25 + NW!S25 + SE!S25 + SW!S25 + TEN!S25 + TEX!S25</f>
        <v>13.031575589999999</v>
      </c>
      <c r="T25" s="8">
        <f xml:space="preserve"> 0 + CAL!T25 + CAR!T25 + CENT!T25 + FLA!T25 + MIDA!T25 + MIDW!T25 + NE!T25 + NY!T25 + NW!T25 + SE!T25 + SW!T25 + TEN!T25 + TEX!T25</f>
        <v>12.594631320000001</v>
      </c>
      <c r="U25" s="8">
        <f xml:space="preserve"> 0 + CAL!U25 + CAR!U25 + CENT!U25 + FLA!U25 + MIDA!U25 + MIDW!U25 + NE!U25 + NY!U25 + NW!U25 + SE!U25 + SW!U25 + TEN!U25 + TEX!U25</f>
        <v>12.630348029999999</v>
      </c>
      <c r="V25" s="8">
        <f xml:space="preserve"> 0 + CAL!V25 + CAR!V25 + CENT!V25 + FLA!V25 + MIDA!V25 + MIDW!V25 + NE!V25 + NY!V25 + NW!V25 + SE!V25 + SW!V25 + TEN!V25 + TEX!V25</f>
        <v>12.710416170000002</v>
      </c>
      <c r="W25" s="8">
        <f xml:space="preserve"> 0 + CAL!W25 + CAR!W25 + CENT!W25 + FLA!W25 + MIDA!W25 + MIDW!W25 + NE!W25 + NY!W25 + NW!W25 + SE!W25 + SW!W25 + TEN!W25 + TEX!W25</f>
        <v>12.682669539999999</v>
      </c>
      <c r="X25" s="8">
        <f xml:space="preserve"> 0 + CAL!X25 + CAR!X25 + CENT!X25 + FLA!X25 + MIDA!X25 + MIDW!X25 + NE!X25 + NY!X25 + NW!X25 + SE!X25 + SW!X25 + TEN!X25 + TEX!X25</f>
        <v>13.031572579999999</v>
      </c>
      <c r="Y25" s="8">
        <f xml:space="preserve"> 0 + CAL!Y25 + CAR!Y25 + CENT!Y25 + FLA!Y25 + MIDA!Y25 + MIDW!Y25 + NE!Y25 + NY!Y25 + NW!Y25 + SE!Y25 + SW!Y25 + TEN!Y25 + TEX!Y25</f>
        <v>12.675633110000001</v>
      </c>
      <c r="Z25" s="8">
        <f xml:space="preserve"> 0 + CAL!Z25 + CAR!Z25 + CENT!Z25 + FLA!Z25 + MIDA!Z25 + MIDW!Z25 + NE!Z25 + NY!Z25 + NW!Z25 + SE!Z25 + SW!Z25 + TEN!Z25 + TEX!Z25</f>
        <v>12.46765894</v>
      </c>
      <c r="AA25" s="8">
        <f xml:space="preserve"> 0 + CAL!AA25 + CAR!AA25 + CENT!AA25 + FLA!AA25 + MIDA!AA25 + MIDW!AA25 + NE!AA25 + NY!AA25 + NW!AA25 + SE!AA25 + SW!AA25 + TEN!AA25 + TEX!AA25</f>
        <v>12.61860428</v>
      </c>
      <c r="AB25" s="8">
        <f xml:space="preserve"> 0 + CAL!AB25 + CAR!AB25 + CENT!AB25 + FLA!AB25 + MIDA!AB25 + MIDW!AB25 + NE!AB25 + NY!AB25 + NW!AB25 + SE!AB25 + SW!AB25 + TEN!AB25 + TEX!AB25</f>
        <v>12.573391270000002</v>
      </c>
      <c r="AC25" s="8">
        <f xml:space="preserve"> 0 + CAL!AC25 + CAR!AC25 + CENT!AC25 + FLA!AC25 + MIDA!AC25 + MIDW!AC25 + NE!AC25 + NY!AC25 + NW!AC25 + SE!AC25 + SW!AC25 + TEN!AC25 + TEX!AC25</f>
        <v>12.638073500000004</v>
      </c>
    </row>
    <row r="26" spans="1:29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17.02291623</v>
      </c>
      <c r="D26" s="8">
        <f xml:space="preserve"> 0 + CAL!D26 + CAR!D26 + CENT!D26 + FLA!D26 + MIDA!D26 + MIDW!D26 + NE!D26 + NY!D26 + NW!D26 + SE!D26 + SW!D26 + TEN!D26 + TEX!D26</f>
        <v>13.851069930000003</v>
      </c>
      <c r="E26" s="8">
        <f xml:space="preserve"> 0 + CAL!E26 + CAR!E26 + CENT!E26 + FLA!E26 + MIDA!E26 + MIDW!E26 + NE!E26 + NY!E26 + NW!E26 + SE!E26 + SW!E26 + TEN!E26 + TEX!E26</f>
        <v>13.651900059999999</v>
      </c>
      <c r="F26" s="8">
        <f xml:space="preserve"> 0 + CAL!F26 + CAR!F26 + CENT!F26 + FLA!F26 + MIDA!F26 + MIDW!F26 + NE!F26 + NY!F26 + NW!F26 + SE!F26 + SW!F26 + TEN!F26 + TEX!F26</f>
        <v>13.584854109999998</v>
      </c>
      <c r="G26" s="8">
        <f xml:space="preserve"> 0 + CAL!G26 + CAR!G26 + CENT!G26 + FLA!G26 + MIDA!G26 + MIDW!G26 + NE!G26 + NY!G26 + NW!G26 + SE!G26 + SW!G26 + TEN!G26 + TEX!G26</f>
        <v>14.193726680000001</v>
      </c>
      <c r="H26" s="8">
        <f xml:space="preserve"> 0 + CAL!H26 + CAR!H26 + CENT!H26 + FLA!H26 + MIDA!H26 + MIDW!H26 + NE!H26 + NY!H26 + NW!H26 + SE!H26 + SW!H26 + TEN!H26 + TEX!H26</f>
        <v>13.892200130000003</v>
      </c>
      <c r="I26" s="8">
        <f xml:space="preserve"> 0 + CAL!I26 + CAR!I26 + CENT!I26 + FLA!I26 + MIDA!I26 + MIDW!I26 + NE!I26 + NY!I26 + NW!I26 + SE!I26 + SW!I26 + TEN!I26 + TEX!I26</f>
        <v>13.719194290000001</v>
      </c>
      <c r="J26" s="8">
        <f xml:space="preserve"> 0 + CAL!J26 + CAR!J26 + CENT!J26 + FLA!J26 + MIDA!J26 + MIDW!J26 + NE!J26 + NY!J26 + NW!J26 + SE!J26 + SW!J26 + TEN!J26 + TEX!J26</f>
        <v>14.44890635</v>
      </c>
      <c r="K26" s="8">
        <f xml:space="preserve"> 0 + CAL!K26 + CAR!K26 + CENT!K26 + FLA!K26 + MIDA!K26 + MIDW!K26 + NE!K26 + NY!K26 + NW!K26 + SE!K26 + SW!K26 + TEN!K26 + TEX!K26</f>
        <v>13.826895500000001</v>
      </c>
      <c r="L26" s="8">
        <f xml:space="preserve"> 0 + CAL!L26 + CAR!L26 + CENT!L26 + FLA!L26 + MIDA!L26 + MIDW!L26 + NE!L26 + NY!L26 + NW!L26 + SE!L26 + SW!L26 + TEN!L26 + TEX!L26</f>
        <v>13.626653480000002</v>
      </c>
      <c r="M26" s="8">
        <f xml:space="preserve"> 0 + CAL!M26 + CAR!M26 + CENT!M26 + FLA!M26 + MIDA!M26 + MIDW!M26 + NE!M26 + NY!M26 + NW!M26 + SE!M26 + SW!M26 + TEN!M26 + TEX!M26</f>
        <v>13.66748061</v>
      </c>
      <c r="N26" s="8">
        <f xml:space="preserve"> 0 + CAL!N26 + CAR!N26 + CENT!N26 + FLA!N26 + MIDA!N26 + MIDW!N26 + NE!N26 + NY!N26 + NW!N26 + SE!N26 + SW!N26 + TEN!N26 + TEX!N26</f>
        <v>13.393808420000001</v>
      </c>
      <c r="O26" s="8">
        <f xml:space="preserve"> 0 + CAL!O26 + CAR!O26 + CENT!O26 + FLA!O26 + MIDA!O26 + MIDW!O26 + NE!O26 + NY!O26 + NW!O26 + SE!O26 + SW!O26 + TEN!O26 + TEX!O26</f>
        <v>13.273801519999999</v>
      </c>
      <c r="P26" s="8">
        <f xml:space="preserve"> 0 + CAL!P26 + CAR!P26 + CENT!P26 + FLA!P26 + MIDA!P26 + MIDW!P26 + NE!P26 + NY!P26 + NW!P26 + SE!P26 + SW!P26 + TEN!P26 + TEX!P26</f>
        <v>13.658218029999999</v>
      </c>
      <c r="Q26" s="8">
        <f xml:space="preserve"> 0 + CAL!Q26 + CAR!Q26 + CENT!Q26 + FLA!Q26 + MIDA!Q26 + MIDW!Q26 + NE!Q26 + NY!Q26 + NW!Q26 + SE!Q26 + SW!Q26 + TEN!Q26 + TEX!Q26</f>
        <v>13.148530040000001</v>
      </c>
      <c r="R26" s="8">
        <f xml:space="preserve"> 0 + CAL!R26 + CAR!R26 + CENT!R26 + FLA!R26 + MIDA!R26 + MIDW!R26 + NE!R26 + NY!R26 + NW!R26 + SE!R26 + SW!R26 + TEN!R26 + TEX!R26</f>
        <v>13.105040579999999</v>
      </c>
      <c r="S26" s="8">
        <f xml:space="preserve"> 0 + CAL!S26 + CAR!S26 + CENT!S26 + FLA!S26 + MIDA!S26 + MIDW!S26 + NE!S26 + NY!S26 + NW!S26 + SE!S26 + SW!S26 + TEN!S26 + TEX!S26</f>
        <v>12.640354130000002</v>
      </c>
      <c r="T26" s="8">
        <f xml:space="preserve"> 0 + CAL!T26 + CAR!T26 + CENT!T26 + FLA!T26 + MIDA!T26 + MIDW!T26 + NE!T26 + NY!T26 + NW!T26 + SE!T26 + SW!T26 + TEN!T26 + TEX!T26</f>
        <v>12.66408281</v>
      </c>
      <c r="U26" s="8">
        <f xml:space="preserve"> 0 + CAL!U26 + CAR!U26 + CENT!U26 + FLA!U26 + MIDA!U26 + MIDW!U26 + NE!U26 + NY!U26 + NW!U26 + SE!U26 + SW!U26 + TEN!U26 + TEX!U26</f>
        <v>12.74212215</v>
      </c>
      <c r="V26" s="8">
        <f xml:space="preserve"> 0 + CAL!V26 + CAR!V26 + CENT!V26 + FLA!V26 + MIDA!V26 + MIDW!V26 + NE!V26 + NY!V26 + NW!V26 + SE!V26 + SW!V26 + TEN!V26 + TEX!V26</f>
        <v>12.70713108</v>
      </c>
      <c r="W26" s="8">
        <f xml:space="preserve"> 0 + CAL!W26 + CAR!W26 + CENT!W26 + FLA!W26 + MIDA!W26 + MIDW!W26 + NE!W26 + NY!W26 + NW!W26 + SE!W26 + SW!W26 + TEN!W26 + TEX!W26</f>
        <v>13.06247728</v>
      </c>
      <c r="X26" s="8">
        <f xml:space="preserve"> 0 + CAL!X26 + CAR!X26 + CENT!X26 + FLA!X26 + MIDA!X26 + MIDW!X26 + NE!X26 + NY!X26 + NW!X26 + SE!X26 + SW!X26 + TEN!X26 + TEX!X26</f>
        <v>12.682934830000001</v>
      </c>
      <c r="Y26" s="8">
        <f xml:space="preserve"> 0 + CAL!Y26 + CAR!Y26 + CENT!Y26 + FLA!Y26 + MIDA!Y26 + MIDW!Y26 + NE!Y26 + NY!Y26 + NW!Y26 + SE!Y26 + SW!Y26 + TEN!Y26 + TEX!Y26</f>
        <v>12.473037859999998</v>
      </c>
      <c r="Z26" s="8">
        <f xml:space="preserve"> 0 + CAL!Z26 + CAR!Z26 + CENT!Z26 + FLA!Z26 + MIDA!Z26 + MIDW!Z26 + NE!Z26 + NY!Z26 + NW!Z26 + SE!Z26 + SW!Z26 + TEN!Z26 + TEX!Z26</f>
        <v>12.634746439999999</v>
      </c>
      <c r="AA26" s="8">
        <f xml:space="preserve"> 0 + CAL!AA26 + CAR!AA26 + CENT!AA26 + FLA!AA26 + MIDA!AA26 + MIDW!AA26 + NE!AA26 + NY!AA26 + NW!AA26 + SE!AA26 + SW!AA26 + TEN!AA26 + TEX!AA26</f>
        <v>12.575317310000003</v>
      </c>
      <c r="AB26" s="8">
        <f xml:space="preserve"> 0 + CAL!AB26 + CAR!AB26 + CENT!AB26 + FLA!AB26 + MIDA!AB26 + MIDW!AB26 + NE!AB26 + NY!AB26 + NW!AB26 + SE!AB26 + SW!AB26 + TEN!AB26 + TEX!AB26</f>
        <v>12.639837830000001</v>
      </c>
      <c r="AC26" s="8">
        <f xml:space="preserve"> 0 + CAL!AC26 + CAR!AC26 + CENT!AC26 + FLA!AC26 + MIDA!AC26 + MIDW!AC26 + NE!AC26 + NY!AC26 + NW!AC26 + SE!AC26 + SW!AC26 + TEN!AC26 + TEX!AC26</f>
        <v>12.707629350000001</v>
      </c>
    </row>
    <row r="27" spans="1:29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26.235361470000001</v>
      </c>
      <c r="E27" s="8">
        <f xml:space="preserve"> 0 + CAL!E27 + CAR!E27 + CENT!E27 + FLA!E27 + MIDA!E27 + MIDW!E27 + NE!E27 + NY!E27 + NW!E27 + SE!E27 + SW!E27 + TEN!E27 + TEX!E27</f>
        <v>25.717136190000002</v>
      </c>
      <c r="F27" s="8">
        <f xml:space="preserve"> 0 + CAL!F27 + CAR!F27 + CENT!F27 + FLA!F27 + MIDA!F27 + MIDW!F27 + NE!F27 + NY!F27 + NW!F27 + SE!F27 + SW!F27 + TEN!F27 + TEX!F27</f>
        <v>25.513140179999997</v>
      </c>
      <c r="G27" s="8">
        <f xml:space="preserve"> 0 + CAL!G27 + CAR!G27 + CENT!G27 + FLA!G27 + MIDA!G27 + MIDW!G27 + NE!G27 + NY!G27 + NW!G27 + SE!G27 + SW!G27 + TEN!G27 + TEX!G27</f>
        <v>25.49029616</v>
      </c>
      <c r="H27" s="8">
        <f xml:space="preserve"> 0 + CAL!H27 + CAR!H27 + CENT!H27 + FLA!H27 + MIDA!H27 + MIDW!H27 + NE!H27 + NY!H27 + NW!H27 + SE!H27 + SW!H27 + TEN!H27 + TEX!H27</f>
        <v>25.171478059999998</v>
      </c>
      <c r="I27" s="8">
        <f xml:space="preserve"> 0 + CAL!I27 + CAR!I27 + CENT!I27 + FLA!I27 + MIDA!I27 + MIDW!I27 + NE!I27 + NY!I27 + NW!I27 + SE!I27 + SW!I27 + TEN!I27 + TEX!I27</f>
        <v>25.061457779999998</v>
      </c>
      <c r="J27" s="8">
        <f xml:space="preserve"> 0 + CAL!J27 + CAR!J27 + CENT!J27 + FLA!J27 + MIDA!J27 + MIDW!J27 + NE!J27 + NY!J27 + NW!J27 + SE!J27 + SW!J27 + TEN!J27 + TEX!J27</f>
        <v>25.004884120000003</v>
      </c>
      <c r="K27" s="8">
        <f xml:space="preserve"> 0 + CAL!K27 + CAR!K27 + CENT!K27 + FLA!K27 + MIDA!K27 + MIDW!K27 + NE!K27 + NY!K27 + NW!K27 + SE!K27 + SW!K27 + TEN!K27 + TEX!K27</f>
        <v>24.533947179999998</v>
      </c>
      <c r="L27" s="8">
        <f xml:space="preserve"> 0 + CAL!L27 + CAR!L27 + CENT!L27 + FLA!L27 + MIDA!L27 + MIDW!L27 + NE!L27 + NY!L27 + NW!L27 + SE!L27 + SW!L27 + TEN!L27 + TEX!L27</f>
        <v>24.32916805</v>
      </c>
      <c r="M27" s="8">
        <f xml:space="preserve"> 0 + CAL!M27 + CAR!M27 + CENT!M27 + FLA!M27 + MIDA!M27 + MIDW!M27 + NE!M27 + NY!M27 + NW!M27 + SE!M27 + SW!M27 + TEN!M27 + TEX!M27</f>
        <v>24.213265610000004</v>
      </c>
      <c r="N27" s="8">
        <f xml:space="preserve"> 0 + CAL!N27 + CAR!N27 + CENT!N27 + FLA!N27 + MIDA!N27 + MIDW!N27 + NE!N27 + NY!N27 + NW!N27 + SE!N27 + SW!N27 + TEN!N27 + TEX!N27</f>
        <v>24.125226000000001</v>
      </c>
      <c r="O27" s="8">
        <f xml:space="preserve"> 0 + CAL!O27 + CAR!O27 + CENT!O27 + FLA!O27 + MIDA!O27 + MIDW!O27 + NE!O27 + NY!O27 + NW!O27 + SE!O27 + SW!O27 + TEN!O27 + TEX!O27</f>
        <v>24.085670670000003</v>
      </c>
      <c r="P27" s="8">
        <f xml:space="preserve"> 0 + CAL!P27 + CAR!P27 + CENT!P27 + FLA!P27 + MIDA!P27 + MIDW!P27 + NE!P27 + NY!P27 + NW!P27 + SE!P27 + SW!P27 + TEN!P27 + TEX!P27</f>
        <v>24.06694998</v>
      </c>
      <c r="Q27" s="8">
        <f xml:space="preserve"> 0 + CAL!Q27 + CAR!Q27 + CENT!Q27 + FLA!Q27 + MIDA!Q27 + MIDW!Q27 + NE!Q27 + NY!Q27 + NW!Q27 + SE!Q27 + SW!Q27 + TEN!Q27 + TEX!Q27</f>
        <v>23.82107624</v>
      </c>
      <c r="R27" s="8">
        <f xml:space="preserve"> 0 + CAL!R27 + CAR!R27 + CENT!R27 + FLA!R27 + MIDA!R27 + MIDW!R27 + NE!R27 + NY!R27 + NW!R27 + SE!R27 + SW!R27 + TEN!R27 + TEX!R27</f>
        <v>23.72844641</v>
      </c>
      <c r="S27" s="8">
        <f xml:space="preserve"> 0 + CAL!S27 + CAR!S27 + CENT!S27 + FLA!S27 + MIDA!S27 + MIDW!S27 + NE!S27 + NY!S27 + NW!S27 + SE!S27 + SW!S27 + TEN!S27 + TEX!S27</f>
        <v>23.659862410000002</v>
      </c>
      <c r="T27" s="8">
        <f xml:space="preserve"> 0 + CAL!T27 + CAR!T27 + CENT!T27 + FLA!T27 + MIDA!T27 + MIDW!T27 + NE!T27 + NY!T27 + NW!T27 + SE!T27 + SW!T27 + TEN!T27 + TEX!T27</f>
        <v>23.650415639999999</v>
      </c>
      <c r="U27" s="8">
        <f xml:space="preserve"> 0 + CAL!U27 + CAR!U27 + CENT!U27 + FLA!U27 + MIDA!U27 + MIDW!U27 + NE!U27 + NY!U27 + NW!U27 + SE!U27 + SW!U27 + TEN!U27 + TEX!U27</f>
        <v>23.64622116</v>
      </c>
      <c r="V27" s="8">
        <f xml:space="preserve"> 0 + CAL!V27 + CAR!V27 + CENT!V27 + FLA!V27 + MIDA!V27 + MIDW!V27 + NE!V27 + NY!V27 + NW!V27 + SE!V27 + SW!V27 + TEN!V27 + TEX!V27</f>
        <v>23.644614909999998</v>
      </c>
      <c r="W27" s="8">
        <f xml:space="preserve"> 0 + CAL!W27 + CAR!W27 + CENT!W27 + FLA!W27 + MIDA!W27 + MIDW!W27 + NE!W27 + NY!W27 + NW!W27 + SE!W27 + SW!W27 + TEN!W27 + TEX!W27</f>
        <v>23.651121789999994</v>
      </c>
      <c r="X27" s="8">
        <f xml:space="preserve"> 0 + CAL!X27 + CAR!X27 + CENT!X27 + FLA!X27 + MIDA!X27 + MIDW!X27 + NE!X27 + NY!X27 + NW!X27 + SE!X27 + SW!X27 + TEN!X27 + TEX!X27</f>
        <v>23.603868800000001</v>
      </c>
      <c r="Y27" s="8">
        <f xml:space="preserve"> 0 + CAL!Y27 + CAR!Y27 + CENT!Y27 + FLA!Y27 + MIDA!Y27 + MIDW!Y27 + NE!Y27 + NY!Y27 + NW!Y27 + SE!Y27 + SW!Y27 + TEN!Y27 + TEX!Y27</f>
        <v>23.605081560000002</v>
      </c>
      <c r="Z27" s="8">
        <f xml:space="preserve"> 0 + CAL!Z27 + CAR!Z27 + CENT!Z27 + FLA!Z27 + MIDA!Z27 + MIDW!Z27 + NE!Z27 + NY!Z27 + NW!Z27 + SE!Z27 + SW!Z27 + TEN!Z27 + TEX!Z27</f>
        <v>23.6332898</v>
      </c>
      <c r="AA27" s="8">
        <f xml:space="preserve"> 0 + CAL!AA27 + CAR!AA27 + CENT!AA27 + FLA!AA27 + MIDA!AA27 + MIDW!AA27 + NE!AA27 + NY!AA27 + NW!AA27 + SE!AA27 + SW!AA27 + TEN!AA27 + TEX!AA27</f>
        <v>23.64209168</v>
      </c>
      <c r="AB27" s="8">
        <f xml:space="preserve"> 0 + CAL!AB27 + CAR!AB27 + CENT!AB27 + FLA!AB27 + MIDA!AB27 + MIDW!AB27 + NE!AB27 + NY!AB27 + NW!AB27 + SE!AB27 + SW!AB27 + TEN!AB27 + TEX!AB27</f>
        <v>23.654888779999997</v>
      </c>
      <c r="AC27" s="8">
        <f xml:space="preserve"> 0 + CAL!AC27 + CAR!AC27 + CENT!AC27 + FLA!AC27 + MIDA!AC27 + MIDW!AC27 + NE!AC27 + NY!AC27 + NW!AC27 + SE!AC27 + SW!AC27 + TEN!AC27 + TEX!AC27</f>
        <v>23.663063060000002</v>
      </c>
    </row>
    <row r="28" spans="1:29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109635.16211959001</v>
      </c>
      <c r="D28" s="8">
        <f xml:space="preserve"> 0 + CAL!D28 + CAR!D28 + CENT!D28 + FLA!D28 + MIDA!D28 + MIDW!D28 + NE!D28 + NY!D28 + NW!D28 + SE!D28 + SW!D28 + TEN!D28 + TEX!D28</f>
        <v>117308.81018494999</v>
      </c>
      <c r="E28" s="8">
        <f xml:space="preserve"> 0 + CAL!E28 + CAR!E28 + CENT!E28 + FLA!E28 + MIDA!E28 + MIDW!E28 + NE!E28 + NY!E28 + NW!E28 + SE!E28 + SW!E28 + TEN!E28 + TEX!E28</f>
        <v>127896.10804400999</v>
      </c>
      <c r="F28" s="8">
        <f xml:space="preserve"> 0 + CAL!F28 + CAR!F28 + CENT!F28 + FLA!F28 + MIDA!F28 + MIDW!F28 + NE!F28 + NY!F28 + NW!F28 + SE!F28 + SW!F28 + TEN!F28 + TEX!F28</f>
        <v>143800.94411928</v>
      </c>
      <c r="G28" s="8">
        <f xml:space="preserve"> 0 + CAL!G28 + CAR!G28 + CENT!G28 + FLA!G28 + MIDA!G28 + MIDW!G28 + NE!G28 + NY!G28 + NW!G28 + SE!G28 + SW!G28 + TEN!G28 + TEX!G28</f>
        <v>160735.31190204999</v>
      </c>
      <c r="H28" s="8">
        <f xml:space="preserve"> 0 + CAL!H28 + CAR!H28 + CENT!H28 + FLA!H28 + MIDA!H28 + MIDW!H28 + NE!H28 + NY!H28 + NW!H28 + SE!H28 + SW!H28 + TEN!H28 + TEX!H28</f>
        <v>178735.09905659</v>
      </c>
      <c r="I28" s="8">
        <f xml:space="preserve"> 0 + CAL!I28 + CAR!I28 + CENT!I28 + FLA!I28 + MIDA!I28 + MIDW!I28 + NE!I28 + NY!I28 + NW!I28 + SE!I28 + SW!I28 + TEN!I28 + TEX!I28</f>
        <v>197922.03857211</v>
      </c>
      <c r="J28" s="8">
        <f xml:space="preserve"> 0 + CAL!J28 + CAR!J28 + CENT!J28 + FLA!J28 + MIDA!J28 + MIDW!J28 + NE!J28 + NY!J28 + NW!J28 + SE!J28 + SW!J28 + TEN!J28 + TEX!J28</f>
        <v>218427.42724316</v>
      </c>
      <c r="K28" s="8">
        <f xml:space="preserve"> 0 + CAL!K28 + CAR!K28 + CENT!K28 + FLA!K28 + MIDA!K28 + MIDW!K28 + NE!K28 + NY!K28 + NW!K28 + SE!K28 + SW!K28 + TEN!K28 + TEX!K28</f>
        <v>239837.83968437999</v>
      </c>
      <c r="L28" s="8">
        <f xml:space="preserve"> 0 + CAL!L28 + CAR!L28 + CENT!L28 + FLA!L28 + MIDA!L28 + MIDW!L28 + NE!L28 + NY!L28 + NW!L28 + SE!L28 + SW!L28 + TEN!L28 + TEX!L28</f>
        <v>262056.29362583</v>
      </c>
      <c r="M28" s="8">
        <f xml:space="preserve"> 0 + CAL!M28 + CAR!M28 + CENT!M28 + FLA!M28 + MIDA!M28 + MIDW!M28 + NE!M28 + NY!M28 + NW!M28 + SE!M28 + SW!M28 + TEN!M28 + TEX!M28</f>
        <v>285123.71323022997</v>
      </c>
      <c r="N28" s="8">
        <f xml:space="preserve"> 0 + CAL!N28 + CAR!N28 + CENT!N28 + FLA!N28 + MIDA!N28 + MIDW!N28 + NE!N28 + NY!N28 + NW!N28 + SE!N28 + SW!N28 + TEN!N28 + TEX!N28</f>
        <v>308996.59208034998</v>
      </c>
      <c r="O28" s="8">
        <f xml:space="preserve"> 0 + CAL!O28 + CAR!O28 + CENT!O28 + FLA!O28 + MIDA!O28 + MIDW!O28 + NE!O28 + NY!O28 + NW!O28 + SE!O28 + SW!O28 + TEN!O28 + TEX!O28</f>
        <v>330241.05693146004</v>
      </c>
      <c r="P28" s="8">
        <f xml:space="preserve"> 0 + CAL!P28 + CAR!P28 + CENT!P28 + FLA!P28 + MIDA!P28 + MIDW!P28 + NE!P28 + NY!P28 + NW!P28 + SE!P28 + SW!P28 + TEN!P28 + TEX!P28</f>
        <v>348618.35839557002</v>
      </c>
      <c r="Q28" s="8">
        <f xml:space="preserve"> 0 + CAL!Q28 + CAR!Q28 + CENT!Q28 + FLA!Q28 + MIDA!Q28 + MIDW!Q28 + NE!Q28 + NY!Q28 + NW!Q28 + SE!Q28 + SW!Q28 + TEN!Q28 + TEX!Q28</f>
        <v>367643.13214930991</v>
      </c>
      <c r="R28" s="8">
        <f xml:space="preserve"> 0 + CAL!R28 + CAR!R28 + CENT!R28 + FLA!R28 + MIDA!R28 + MIDW!R28 + NE!R28 + NY!R28 + NW!R28 + SE!R28 + SW!R28 + TEN!R28 + TEX!R28</f>
        <v>384107.84733432007</v>
      </c>
      <c r="S28" s="8">
        <f xml:space="preserve"> 0 + CAL!S28 + CAR!S28 + CENT!S28 + FLA!S28 + MIDA!S28 + MIDW!S28 + NE!S28 + NY!S28 + NW!S28 + SE!S28 + SW!S28 + TEN!S28 + TEX!S28</f>
        <v>388381.75950874004</v>
      </c>
      <c r="T28" s="8">
        <f xml:space="preserve"> 0 + CAL!T28 + CAR!T28 + CENT!T28 + FLA!T28 + MIDA!T28 + MIDW!T28 + NE!T28 + NY!T28 + NW!T28 + SE!T28 + SW!T28 + TEN!T28 + TEX!T28</f>
        <v>384817.76879201998</v>
      </c>
      <c r="U28" s="8">
        <f xml:space="preserve"> 0 + CAL!U28 + CAR!U28 + CENT!U28 + FLA!U28 + MIDA!U28 + MIDW!U28 + NE!U28 + NY!U28 + NW!U28 + SE!U28 + SW!U28 + TEN!U28 + TEX!U28</f>
        <v>385062.93196947</v>
      </c>
      <c r="V28" s="8">
        <f xml:space="preserve"> 0 + CAL!V28 + CAR!V28 + CENT!V28 + FLA!V28 + MIDA!V28 + MIDW!V28 + NE!V28 + NY!V28 + NW!V28 + SE!V28 + SW!V28 + TEN!V28 + TEX!V28</f>
        <v>388770.57100887003</v>
      </c>
      <c r="W28" s="8">
        <f xml:space="preserve"> 0 + CAL!W28 + CAR!W28 + CENT!W28 + FLA!W28 + MIDA!W28 + MIDW!W28 + NE!W28 + NY!W28 + NW!W28 + SE!W28 + SW!W28 + TEN!W28 + TEX!W28</f>
        <v>397095.63248552004</v>
      </c>
      <c r="X28" s="8">
        <f xml:space="preserve"> 0 + CAL!X28 + CAR!X28 + CENT!X28 + FLA!X28 + MIDA!X28 + MIDW!X28 + NE!X28 + NY!X28 + NW!X28 + SE!X28 + SW!X28 + TEN!X28 + TEX!X28</f>
        <v>404982.89146749995</v>
      </c>
      <c r="Y28" s="8">
        <f xml:space="preserve"> 0 + CAL!Y28 + CAR!Y28 + CENT!Y28 + FLA!Y28 + MIDA!Y28 + MIDW!Y28 + NE!Y28 + NY!Y28 + NW!Y28 + SE!Y28 + SW!Y28 + TEN!Y28 + TEX!Y28</f>
        <v>411749.36919849005</v>
      </c>
      <c r="Z28" s="8">
        <f xml:space="preserve"> 0 + CAL!Z28 + CAR!Z28 + CENT!Z28 + FLA!Z28 + MIDA!Z28 + MIDW!Z28 + NE!Z28 + NY!Z28 + NW!Z28 + SE!Z28 + SW!Z28 + TEN!Z28 + TEX!Z28</f>
        <v>415247.49995638005</v>
      </c>
      <c r="AA28" s="8">
        <f xml:space="preserve"> 0 + CAL!AA28 + CAR!AA28 + CENT!AA28 + FLA!AA28 + MIDA!AA28 + MIDW!AA28 + NE!AA28 + NY!AA28 + NW!AA28 + SE!AA28 + SW!AA28 + TEN!AA28 + TEX!AA28</f>
        <v>422714.81656252011</v>
      </c>
      <c r="AB28" s="8">
        <f xml:space="preserve"> 0 + CAL!AB28 + CAR!AB28 + CENT!AB28 + FLA!AB28 + MIDA!AB28 + MIDW!AB28 + NE!AB28 + NY!AB28 + NW!AB28 + SE!AB28 + SW!AB28 + TEN!AB28 + TEX!AB28</f>
        <v>430660.10602393997</v>
      </c>
      <c r="AC28" s="8">
        <f xml:space="preserve"> 0 + CAL!AC28 + CAR!AC28 + CENT!AC28 + FLA!AC28 + MIDA!AC28 + MIDW!AC28 + NE!AC28 + NY!AC28 + NW!AC28 + SE!AC28 + SW!AC28 + TEN!AC28 + TEX!AC28</f>
        <v>438486.11553700001</v>
      </c>
    </row>
    <row r="29" spans="1:29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389728370.06237173</v>
      </c>
      <c r="D29" s="8">
        <f xml:space="preserve"> 0 + CAL!D29 + CAR!D29 + CENT!D29 + FLA!D29 + MIDA!D29 + MIDW!D29 + NE!D29 + NY!D29 + NW!D29 + SE!D29 + SW!D29 + TEN!D29 + TEX!D29</f>
        <v>418153095.5957002</v>
      </c>
      <c r="E29" s="8">
        <f xml:space="preserve"> 0 + CAL!E29 + CAR!E29 + CENT!E29 + FLA!E29 + MIDA!E29 + MIDW!E29 + NE!E29 + NY!E29 + NW!E29 + SE!E29 + SW!E29 + TEN!E29 + TEX!E29</f>
        <v>455228647.51454699</v>
      </c>
      <c r="F29" s="8">
        <f xml:space="preserve"> 0 + CAL!F29 + CAR!F29 + CENT!F29 + FLA!F29 + MIDA!F29 + MIDW!F29 + NE!F29 + NY!F29 + NW!F29 + SE!F29 + SW!F29 + TEN!F29 + TEX!F29</f>
        <v>506914257.88091499</v>
      </c>
      <c r="G29" s="8">
        <f xml:space="preserve"> 0 + CAL!G29 + CAR!G29 + CENT!G29 + FLA!G29 + MIDA!G29 + MIDW!G29 + NE!G29 + NY!G29 + NW!G29 + SE!G29 + SW!G29 + TEN!G29 + TEX!G29</f>
        <v>562140487.21712828</v>
      </c>
      <c r="H29" s="8">
        <f xml:space="preserve"> 0 + CAL!H29 + CAR!H29 + CENT!H29 + FLA!H29 + MIDA!H29 + MIDW!H29 + NE!H29 + NY!H29 + NW!H29 + SE!H29 + SW!H29 + TEN!H29 + TEX!H29</f>
        <v>620945994.81518078</v>
      </c>
      <c r="I29" s="8">
        <f xml:space="preserve"> 0 + CAL!I29 + CAR!I29 + CENT!I29 + FLA!I29 + MIDA!I29 + MIDW!I29 + NE!I29 + NY!I29 + NW!I29 + SE!I29 + SW!I29 + TEN!I29 + TEX!I29</f>
        <v>683683192.60197318</v>
      </c>
      <c r="J29" s="8">
        <f xml:space="preserve"> 0 + CAL!J29 + CAR!J29 + CENT!J29 + FLA!J29 + MIDA!J29 + MIDW!J29 + NE!J29 + NY!J29 + NW!J29 + SE!J29 + SW!J29 + TEN!J29 + TEX!J29</f>
        <v>750793297.7214638</v>
      </c>
      <c r="K29" s="8">
        <f xml:space="preserve"> 0 + CAL!K29 + CAR!K29 + CENT!K29 + FLA!K29 + MIDA!K29 + MIDW!K29 + NE!K29 + NY!K29 + NW!K29 + SE!K29 + SW!K29 + TEN!K29 + TEX!K29</f>
        <v>820937256.58479142</v>
      </c>
      <c r="L29" s="8">
        <f xml:space="preserve"> 0 + CAL!L29 + CAR!L29 + CENT!L29 + FLA!L29 + MIDA!L29 + MIDW!L29 + NE!L29 + NY!L29 + NW!L29 + SE!L29 + SW!L29 + TEN!L29 + TEX!L29</f>
        <v>893760865.10336363</v>
      </c>
      <c r="M29" s="8">
        <f xml:space="preserve"> 0 + CAL!M29 + CAR!M29 + CENT!M29 + FLA!M29 + MIDA!M29 + MIDW!M29 + NE!M29 + NY!M29 + NW!M29 + SE!M29 + SW!M29 + TEN!M29 + TEX!M29</f>
        <v>969401396.39860582</v>
      </c>
      <c r="N29" s="8">
        <f xml:space="preserve"> 0 + CAL!N29 + CAR!N29 + CENT!N29 + FLA!N29 + MIDA!N29 + MIDW!N29 + NE!N29 + NY!N29 + NW!N29 + SE!N29 + SW!N29 + TEN!N29 + TEX!N29</f>
        <v>1047627671.2484506</v>
      </c>
      <c r="O29" s="8">
        <f xml:space="preserve"> 0 + CAL!O29 + CAR!O29 + CENT!O29 + FLA!O29 + MIDA!O29 + MIDW!O29 + NE!O29 + NY!O29 + NW!O29 + SE!O29 + SW!O29 + TEN!O29 + TEX!O29</f>
        <v>1115735449.5958247</v>
      </c>
      <c r="P29" s="8">
        <f xml:space="preserve"> 0 + CAL!P29 + CAR!P29 + CENT!P29 + FLA!P29 + MIDA!P29 + MIDW!P29 + NE!P29 + NY!P29 + NW!P29 + SE!P29 + SW!P29 + TEN!P29 + TEX!P29</f>
        <v>1174609487.6521924</v>
      </c>
      <c r="Q29" s="8">
        <f xml:space="preserve"> 0 + CAL!Q29 + CAR!Q29 + CENT!Q29 + FLA!Q29 + MIDA!Q29 + MIDW!Q29 + NE!Q29 + NY!Q29 + NW!Q29 + SE!Q29 + SW!Q29 + TEN!Q29 + TEX!Q29</f>
        <v>1235521378.750581</v>
      </c>
      <c r="R29" s="8">
        <f xml:space="preserve"> 0 + CAL!R29 + CAR!R29 + CENT!R29 + FLA!R29 + MIDA!R29 + MIDW!R29 + NE!R29 + NY!R29 + NW!R29 + SE!R29 + SW!R29 + TEN!R29 + TEX!R29</f>
        <v>1287451962.4462099</v>
      </c>
      <c r="S29" s="8">
        <f xml:space="preserve"> 0 + CAL!S29 + CAR!S29 + CENT!S29 + FLA!S29 + MIDA!S29 + MIDW!S29 + NE!S29 + NY!S29 + NW!S29 + SE!S29 + SW!S29 + TEN!S29 + TEX!S29</f>
        <v>1302495997.5994539</v>
      </c>
      <c r="T29" s="8">
        <f xml:space="preserve"> 0 + CAL!T29 + CAR!T29 + CENT!T29 + FLA!T29 + MIDA!T29 + MIDW!T29 + NE!T29 + NY!T29 + NW!T29 + SE!T29 + SW!T29 + TEN!T29 + TEX!T29</f>
        <v>1292835927.2447298</v>
      </c>
      <c r="U29" s="8">
        <f xml:space="preserve"> 0 + CAL!U29 + CAR!U29 + CENT!U29 + FLA!U29 + MIDA!U29 + MIDW!U29 + NE!U29 + NY!U29 + NW!U29 + SE!U29 + SW!U29 + TEN!U29 + TEX!U29</f>
        <v>1296276060.3841658</v>
      </c>
      <c r="V29" s="8">
        <f xml:space="preserve"> 0 + CAL!V29 + CAR!V29 + CENT!V29 + FLA!V29 + MIDA!V29 + MIDW!V29 + NE!V29 + NY!V29 + NW!V29 + SE!V29 + SW!V29 + TEN!V29 + TEX!V29</f>
        <v>1312550780.3350859</v>
      </c>
      <c r="W29" s="8">
        <f xml:space="preserve"> 0 + CAL!W29 + CAR!W29 + CENT!W29 + FLA!W29 + MIDA!W29 + MIDW!W29 + NE!W29 + NY!W29 + NW!W29 + SE!W29 + SW!W29 + TEN!W29 + TEX!W29</f>
        <v>1344458804.1209037</v>
      </c>
      <c r="X29" s="8">
        <f xml:space="preserve"> 0 + CAL!X29 + CAR!X29 + CENT!X29 + FLA!X29 + MIDA!X29 + MIDW!X29 + NE!X29 + NY!X29 + NW!X29 + SE!X29 + SW!X29 + TEN!X29 + TEX!X29</f>
        <v>1376963082.358923</v>
      </c>
      <c r="Y29" s="8">
        <f xml:space="preserve"> 0 + CAL!Y29 + CAR!Y29 + CENT!Y29 + FLA!Y29 + MIDA!Y29 + MIDW!Y29 + NE!Y29 + NY!Y29 + NW!Y29 + SE!Y29 + SW!Y29 + TEN!Y29 + TEX!Y29</f>
        <v>1404882040.6230376</v>
      </c>
      <c r="Z29" s="8">
        <f xml:space="preserve"> 0 + CAL!Z29 + CAR!Z29 + CENT!Z29 + FLA!Z29 + MIDA!Z29 + MIDW!Z29 + NE!Z29 + NY!Z29 + NW!Z29 + SE!Z29 + SW!Z29 + TEN!Z29 + TEX!Z29</f>
        <v>1420797381.656868</v>
      </c>
      <c r="AA29" s="8">
        <f xml:space="preserve"> 0 + CAL!AA29 + CAR!AA29 + CENT!AA29 + FLA!AA29 + MIDA!AA29 + MIDW!AA29 + NE!AA29 + NY!AA29 + NW!AA29 + SE!AA29 + SW!AA29 + TEN!AA29 + TEX!AA29</f>
        <v>1448421617.795181</v>
      </c>
      <c r="AB29" s="8">
        <f xml:space="preserve"> 0 + CAL!AB29 + CAR!AB29 + CENT!AB29 + FLA!AB29 + MIDA!AB29 + MIDW!AB29 + NE!AB29 + NY!AB29 + NW!AB29 + SE!AB29 + SW!AB29 + TEN!AB29 + TEX!AB29</f>
        <v>1478514029.3334739</v>
      </c>
      <c r="AC29" s="8">
        <f xml:space="preserve"> 0 + CAL!AC29 + CAR!AC29 + CENT!AC29 + FLA!AC29 + MIDA!AC29 + MIDW!AC29 + NE!AC29 + NY!AC29 + NW!AC29 + SE!AC29 + SW!AC29 + TEN!AC29 + TEX!AC29</f>
        <v>1508820948.7405276</v>
      </c>
    </row>
    <row r="30" spans="1:29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389728370.06237173</v>
      </c>
      <c r="D30" s="8">
        <f xml:space="preserve"> 0 + CAL!D30 + CAR!D30 + CENT!D30 + FLA!D30 + MIDA!D30 + MIDW!D30 + NE!D30 + NY!D30 + NW!D30 + SE!D30 + SW!D30 + TEN!D30 + TEX!D30</f>
        <v>418153095.5957002</v>
      </c>
      <c r="E30" s="8">
        <f xml:space="preserve"> 0 + CAL!E30 + CAR!E30 + CENT!E30 + FLA!E30 + MIDA!E30 + MIDW!E30 + NE!E30 + NY!E30 + NW!E30 + SE!E30 + SW!E30 + TEN!E30 + TEX!E30</f>
        <v>455228647.51454699</v>
      </c>
      <c r="F30" s="8">
        <f xml:space="preserve"> 0 + CAL!F30 + CAR!F30 + CENT!F30 + FLA!F30 + MIDA!F30 + MIDW!F30 + NE!F30 + NY!F30 + NW!F30 + SE!F30 + SW!F30 + TEN!F30 + TEX!F30</f>
        <v>506914257.88091499</v>
      </c>
      <c r="G30" s="8">
        <f xml:space="preserve"> 0 + CAL!G30 + CAR!G30 + CENT!G30 + FLA!G30 + MIDA!G30 + MIDW!G30 + NE!G30 + NY!G30 + NW!G30 + SE!G30 + SW!G30 + TEN!G30 + TEX!G30</f>
        <v>562140483.27716637</v>
      </c>
      <c r="H30" s="8">
        <f xml:space="preserve"> 0 + CAL!H30 + CAR!H30 + CENT!H30 + FLA!H30 + MIDA!H30 + MIDW!H30 + NE!H30 + NY!H30 + NW!H30 + SE!H30 + SW!H30 + TEN!H30 + TEX!H30</f>
        <v>620945994.81518078</v>
      </c>
      <c r="I30" s="8">
        <f xml:space="preserve"> 0 + CAL!I30 + CAR!I30 + CENT!I30 + FLA!I30 + MIDA!I30 + MIDW!I30 + NE!I30 + NY!I30 + NW!I30 + SE!I30 + SW!I30 + TEN!I30 + TEX!I30</f>
        <v>683683192.60197318</v>
      </c>
      <c r="J30" s="8">
        <f xml:space="preserve"> 0 + CAL!J30 + CAR!J30 + CENT!J30 + FLA!J30 + MIDA!J30 + MIDW!J30 + NE!J30 + NY!J30 + NW!J30 + SE!J30 + SW!J30 + TEN!J30 + TEX!J30</f>
        <v>750793297.7214638</v>
      </c>
      <c r="K30" s="8">
        <f xml:space="preserve"> 0 + CAL!K30 + CAR!K30 + CENT!K30 + FLA!K30 + MIDA!K30 + MIDW!K30 + NE!K30 + NY!K30 + NW!K30 + SE!K30 + SW!K30 + TEN!K30 + TEX!K30</f>
        <v>820937256.58479142</v>
      </c>
      <c r="L30" s="8">
        <f xml:space="preserve"> 0 + CAL!L30 + CAR!L30 + CENT!L30 + FLA!L30 + MIDA!L30 + MIDW!L30 + NE!L30 + NY!L30 + NW!L30 + SE!L30 + SW!L30 + TEN!L30 + TEX!L30</f>
        <v>893760865.10336363</v>
      </c>
      <c r="M30" s="8">
        <f xml:space="preserve"> 0 + CAL!M30 + CAR!M30 + CENT!M30 + FLA!M30 + MIDA!M30 + MIDW!M30 + NE!M30 + NY!M30 + NW!M30 + SE!M30 + SW!M30 + TEN!M30 + TEX!M30</f>
        <v>969401396.39860582</v>
      </c>
      <c r="N30" s="8">
        <f xml:space="preserve"> 0 + CAL!N30 + CAR!N30 + CENT!N30 + FLA!N30 + MIDA!N30 + MIDW!N30 + NE!N30 + NY!N30 + NW!N30 + SE!N30 + SW!N30 + TEN!N30 + TEX!N30</f>
        <v>1047627671.2484506</v>
      </c>
      <c r="O30" s="8">
        <f xml:space="preserve"> 0 + CAL!O30 + CAR!O30 + CENT!O30 + FLA!O30 + MIDA!O30 + MIDW!O30 + NE!O30 + NY!O30 + NW!O30 + SE!O30 + SW!O30 + TEN!O30 + TEX!O30</f>
        <v>1115735449.5958247</v>
      </c>
      <c r="P30" s="8">
        <f xml:space="preserve"> 0 + CAL!P30 + CAR!P30 + CENT!P30 + FLA!P30 + MIDA!P30 + MIDW!P30 + NE!P30 + NY!P30 + NW!P30 + SE!P30 + SW!P30 + TEN!P30 + TEX!P30</f>
        <v>1174609487.6521924</v>
      </c>
      <c r="Q30" s="8">
        <f xml:space="preserve"> 0 + CAL!Q30 + CAR!Q30 + CENT!Q30 + FLA!Q30 + MIDA!Q30 + MIDW!Q30 + NE!Q30 + NY!Q30 + NW!Q30 + SE!Q30 + SW!Q30 + TEN!Q30 + TEX!Q30</f>
        <v>1235521378.750581</v>
      </c>
      <c r="R30" s="8">
        <f xml:space="preserve"> 0 + CAL!R30 + CAR!R30 + CENT!R30 + FLA!R30 + MIDA!R30 + MIDW!R30 + NE!R30 + NY!R30 + NW!R30 + SE!R30 + SW!R30 + TEN!R30 + TEX!R30</f>
        <v>1287451962.4462099</v>
      </c>
      <c r="S30" s="8">
        <f xml:space="preserve"> 0 + CAL!S30 + CAR!S30 + CENT!S30 + FLA!S30 + MIDA!S30 + MIDW!S30 + NE!S30 + NY!S30 + NW!S30 + SE!S30 + SW!S30 + TEN!S30 + TEX!S30</f>
        <v>1302495997.5994539</v>
      </c>
      <c r="T30" s="8">
        <f xml:space="preserve"> 0 + CAL!T30 + CAR!T30 + CENT!T30 + FLA!T30 + MIDA!T30 + MIDW!T30 + NE!T30 + NY!T30 + NW!T30 + SE!T30 + SW!T30 + TEN!T30 + TEX!T30</f>
        <v>1292835927.2447298</v>
      </c>
      <c r="U30" s="8">
        <f xml:space="preserve"> 0 + CAL!U30 + CAR!U30 + CENT!U30 + FLA!U30 + MIDA!U30 + MIDW!U30 + NE!U30 + NY!U30 + NW!U30 + SE!U30 + SW!U30 + TEN!U30 + TEX!U30</f>
        <v>1296276060.3841658</v>
      </c>
      <c r="V30" s="8">
        <f xml:space="preserve"> 0 + CAL!V30 + CAR!V30 + CENT!V30 + FLA!V30 + MIDA!V30 + MIDW!V30 + NE!V30 + NY!V30 + NW!V30 + SE!V30 + SW!V30 + TEN!V30 + TEX!V30</f>
        <v>1312550780.3350859</v>
      </c>
      <c r="W30" s="8">
        <f xml:space="preserve"> 0 + CAL!W30 + CAR!W30 + CENT!W30 + FLA!W30 + MIDA!W30 + MIDW!W30 + NE!W30 + NY!W30 + NW!W30 + SE!W30 + SW!W30 + TEN!W30 + TEX!W30</f>
        <v>1344458804.1209037</v>
      </c>
      <c r="X30" s="8">
        <f xml:space="preserve"> 0 + CAL!X30 + CAR!X30 + CENT!X30 + FLA!X30 + MIDA!X30 + MIDW!X30 + NE!X30 + NY!X30 + NW!X30 + SE!X30 + SW!X30 + TEN!X30 + TEX!X30</f>
        <v>1376963082.358923</v>
      </c>
      <c r="Y30" s="8">
        <f xml:space="preserve"> 0 + CAL!Y30 + CAR!Y30 + CENT!Y30 + FLA!Y30 + MIDA!Y30 + MIDW!Y30 + NE!Y30 + NY!Y30 + NW!Y30 + SE!Y30 + SW!Y30 + TEN!Y30 + TEX!Y30</f>
        <v>1404882040.6230376</v>
      </c>
      <c r="Z30" s="8">
        <f xml:space="preserve"> 0 + CAL!Z30 + CAR!Z30 + CENT!Z30 + FLA!Z30 + MIDA!Z30 + MIDW!Z30 + NE!Z30 + NY!Z30 + NW!Z30 + SE!Z30 + SW!Z30 + TEN!Z30 + TEX!Z30</f>
        <v>1420797381.656868</v>
      </c>
      <c r="AA30" s="8">
        <f xml:space="preserve"> 0 + CAL!AA30 + CAR!AA30 + CENT!AA30 + FLA!AA30 + MIDA!AA30 + MIDW!AA30 + NE!AA30 + NY!AA30 + NW!AA30 + SE!AA30 + SW!AA30 + TEN!AA30 + TEX!AA30</f>
        <v>1448421617.795181</v>
      </c>
      <c r="AB30" s="8">
        <f xml:space="preserve"> 0 + CAL!AB30 + CAR!AB30 + CENT!AB30 + FLA!AB30 + MIDA!AB30 + MIDW!AB30 + NE!AB30 + NY!AB30 + NW!AB30 + SE!AB30 + SW!AB30 + TEN!AB30 + TEX!AB30</f>
        <v>1478514029.3334739</v>
      </c>
      <c r="AC30" s="8">
        <f xml:space="preserve"> 0 + CAL!AC30 + CAR!AC30 + CENT!AC30 + FLA!AC30 + MIDA!AC30 + MIDW!AC30 + NE!AC30 + NY!AC30 + NW!AC30 + SE!AC30 + SW!AC30 + TEN!AC30 + TEX!AC30</f>
        <v>1508820948.7405276</v>
      </c>
    </row>
    <row r="31" spans="1:29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17319.091251319998</v>
      </c>
      <c r="C31" s="8">
        <f xml:space="preserve"> 0 + CAL!C31 + CAR!C31 + CENT!C31 + FLA!C31 + MIDA!C31 + MIDW!C31 + NE!C31 + NY!C31 + NW!C31 + SE!C31 + SW!C31 + TEN!C31 + TEX!C31</f>
        <v>17155.13111409</v>
      </c>
      <c r="D31" s="8">
        <f xml:space="preserve"> 0 + CAL!D31 + CAR!D31 + CENT!D31 + FLA!D31 + MIDA!D31 + MIDW!D31 + NE!D31 + NY!D31 + NW!D31 + SE!D31 + SW!D31 + TEN!D31 + TEX!D31</f>
        <v>18355.863033829995</v>
      </c>
      <c r="E31" s="8">
        <f xml:space="preserve"> 0 + CAL!E31 + CAR!E31 + CENT!E31 + FLA!E31 + MIDA!E31 + MIDW!E31 + NE!E31 + NY!E31 + NW!E31 + SE!E31 + SW!E31 + TEN!E31 + TEX!E31</f>
        <v>20012.507484450005</v>
      </c>
      <c r="F31" s="8">
        <f xml:space="preserve"> 0 + CAL!F31 + CAR!F31 + CENT!F31 + FLA!F31 + MIDA!F31 + MIDW!F31 + NE!F31 + NY!F31 + NW!F31 + SE!F31 + SW!F31 + TEN!F31 + TEX!F31</f>
        <v>22501.212229740002</v>
      </c>
      <c r="G31" s="8">
        <f xml:space="preserve"> 0 + CAL!G31 + CAR!G31 + CENT!G31 + FLA!G31 + MIDA!G31 + MIDW!G31 + NE!G31 + NY!G31 + NW!G31 + SE!G31 + SW!G31 + TEN!G31 + TEX!G31</f>
        <v>25151.012659029999</v>
      </c>
      <c r="H31" s="8">
        <f xml:space="preserve"> 0 + CAL!H31 + CAR!H31 + CENT!H31 + FLA!H31 + MIDA!H31 + MIDW!H31 + NE!H31 + NY!H31 + NW!H31 + SE!H31 + SW!H31 + TEN!H31 + TEX!H31</f>
        <v>27967.52428442</v>
      </c>
      <c r="I31" s="8">
        <f xml:space="preserve"> 0 + CAL!I31 + CAR!I31 + CENT!I31 + FLA!I31 + MIDA!I31 + MIDW!I31 + NE!I31 + NY!I31 + NW!I31 + SE!I31 + SW!I31 + TEN!I31 + TEX!I31</f>
        <v>30969.795241150001</v>
      </c>
      <c r="J31" s="8">
        <f xml:space="preserve"> 0 + CAL!J31 + CAR!J31 + CENT!J31 + FLA!J31 + MIDA!J31 + MIDW!J31 + NE!J31 + NY!J31 + NW!J31 + SE!J31 + SW!J31 + TEN!J31 + TEX!J31</f>
        <v>34178.370158129997</v>
      </c>
      <c r="K31" s="8">
        <f xml:space="preserve"> 0 + CAL!K31 + CAR!K31 + CENT!K31 + FLA!K31 + MIDA!K31 + MIDW!K31 + NE!K31 + NY!K31 + NW!K31 + SE!K31 + SW!K31 + TEN!K31 + TEX!K31</f>
        <v>37528.558414670006</v>
      </c>
      <c r="L31" s="8">
        <f xml:space="preserve"> 0 + CAL!L31 + CAR!L31 + CENT!L31 + FLA!L31 + MIDA!L31 + MIDW!L31 + NE!L31 + NY!L31 + NW!L31 + SE!L31 + SW!L31 + TEN!L31 + TEX!L31</f>
        <v>41005.18473736001</v>
      </c>
      <c r="M31" s="8">
        <f xml:space="preserve"> 0 + CAL!M31 + CAR!M31 + CENT!M31 + FLA!M31 + MIDA!M31 + MIDW!M31 + NE!M31 + NY!M31 + NW!M31 + SE!M31 + SW!M31 + TEN!M31 + TEX!M31</f>
        <v>44614.652723070001</v>
      </c>
      <c r="N31" s="8">
        <f xml:space="preserve"> 0 + CAL!N31 + CAR!N31 + CENT!N31 + FLA!N31 + MIDA!N31 + MIDW!N31 + NE!N31 + NY!N31 + NW!N31 + SE!N31 + SW!N31 + TEN!N31 + TEX!N31</f>
        <v>48350.154717380006</v>
      </c>
      <c r="O31" s="8">
        <f xml:space="preserve"> 0 + CAL!O31 + CAR!O31 + CENT!O31 + FLA!O31 + MIDA!O31 + MIDW!O31 + NE!O31 + NY!O31 + NW!O31 + SE!O31 + SW!O31 + TEN!O31 + TEX!O31</f>
        <v>51674.376371480008</v>
      </c>
      <c r="P31" s="8">
        <f xml:space="preserve"> 0 + CAL!P31 + CAR!P31 + CENT!P31 + FLA!P31 + MIDA!P31 + MIDW!P31 + NE!P31 + NY!P31 + NW!P31 + SE!P31 + SW!P31 + TEN!P31 + TEX!P31</f>
        <v>54549.959442120009</v>
      </c>
      <c r="Q31" s="8">
        <f xml:space="preserve"> 0 + CAL!Q31 + CAR!Q31 + CENT!Q31 + FLA!Q31 + MIDA!Q31 + MIDW!Q31 + NE!Q31 + NY!Q31 + NW!Q31 + SE!Q31 + SW!Q31 + TEN!Q31 + TEX!Q31</f>
        <v>57526.855556959999</v>
      </c>
      <c r="R31" s="8">
        <f xml:space="preserve"> 0 + CAL!R31 + CAR!R31 + CENT!R31 + FLA!R31 + MIDA!R31 + MIDW!R31 + NE!R31 + NY!R31 + NW!R31 + SE!R31 + SW!R31 + TEN!R31 + TEX!R31</f>
        <v>60103.167228260005</v>
      </c>
      <c r="S31" s="8">
        <f xml:space="preserve"> 0 + CAL!S31 + CAR!S31 + CENT!S31 + FLA!S31 + MIDA!S31 + MIDW!S31 + NE!S31 + NY!S31 + NW!S31 + SE!S31 + SW!S31 + TEN!S31 + TEX!S31</f>
        <v>60771.926432030006</v>
      </c>
      <c r="T31" s="8">
        <f xml:space="preserve"> 0 + CAL!T31 + CAR!T31 + CENT!T31 + FLA!T31 + MIDA!T31 + MIDW!T31 + NE!T31 + NY!T31 + NW!T31 + SE!T31 + SW!T31 + TEN!T31 + TEX!T31</f>
        <v>60214.251988420001</v>
      </c>
      <c r="U31" s="8">
        <f xml:space="preserve"> 0 + CAL!U31 + CAR!U31 + CENT!U31 + FLA!U31 + MIDA!U31 + MIDW!U31 + NE!U31 + NY!U31 + NW!U31 + SE!U31 + SW!U31 + TEN!U31 + TEX!U31</f>
        <v>60252.613827559995</v>
      </c>
      <c r="V31" s="8">
        <f xml:space="preserve"> 0 + CAL!V31 + CAR!V31 + CENT!V31 + FLA!V31 + MIDA!V31 + MIDW!V31 + NE!V31 + NY!V31 + NW!V31 + SE!V31 + SW!V31 + TEN!V31 + TEX!V31</f>
        <v>60832.765602009989</v>
      </c>
      <c r="W31" s="8">
        <f xml:space="preserve"> 0 + CAL!W31 + CAR!W31 + CENT!W31 + FLA!W31 + MIDA!W31 + MIDW!W31 + NE!W31 + NY!W31 + NW!W31 + SE!W31 + SW!W31 + TEN!W31 + TEX!W31</f>
        <v>62135.427251840003</v>
      </c>
      <c r="X31" s="8">
        <f xml:space="preserve"> 0 + CAL!X31 + CAR!X31 + CENT!X31 + FLA!X31 + MIDA!X31 + MIDW!X31 + NE!X31 + NY!X31 + NW!X31 + SE!X31 + SW!X31 + TEN!X31 + TEX!X31</f>
        <v>63369.58387961</v>
      </c>
      <c r="Y31" s="8">
        <f xml:space="preserve"> 0 + CAL!Y31 + CAR!Y31 + CENT!Y31 + FLA!Y31 + MIDA!Y31 + MIDW!Y31 + NE!Y31 + NY!Y31 + NW!Y31 + SE!Y31 + SW!Y31 + TEN!Y31 + TEX!Y31</f>
        <v>64428.366576779998</v>
      </c>
      <c r="Z31" s="8">
        <f xml:space="preserve"> 0 + CAL!Z31 + CAR!Z31 + CENT!Z31 + FLA!Z31 + MIDA!Z31 + MIDW!Z31 + NE!Z31 + NY!Z31 + NW!Z31 + SE!Z31 + SW!Z31 + TEN!Z31 + TEX!Z31</f>
        <v>64975.735601879998</v>
      </c>
      <c r="AA31" s="8">
        <f xml:space="preserve"> 0 + CAL!AA31 + CAR!AA31 + CENT!AA31 + FLA!AA31 + MIDA!AA31 + MIDW!AA31 + NE!AA31 + NY!AA31 + NW!AA31 + SE!AA31 + SW!AA31 + TEN!AA31 + TEX!AA31</f>
        <v>66144.181864669983</v>
      </c>
      <c r="AB31" s="8">
        <f xml:space="preserve"> 0 + CAL!AB31 + CAR!AB31 + CENT!AB31 + FLA!AB31 + MIDA!AB31 + MIDW!AB31 + NE!AB31 + NY!AB31 + NW!AB31 + SE!AB31 + SW!AB31 + TEN!AB31 + TEX!AB31</f>
        <v>67387.418795379985</v>
      </c>
      <c r="AC31" s="8">
        <f xml:space="preserve"> 0 + CAL!AC31 + CAR!AC31 + CENT!AC31 + FLA!AC31 + MIDA!AC31 + MIDW!AC31 + NE!AC31 + NY!AC31 + NW!AC31 + SE!AC31 + SW!AC31 + TEN!AC31 + TEX!AC31</f>
        <v>68611.991429750007</v>
      </c>
    </row>
    <row r="32" spans="1:29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31.178269599999993</v>
      </c>
      <c r="D32" s="8">
        <f xml:space="preserve"> 0 + CAL!D32 + CAR!D32 + CENT!D32 + FLA!D32 + MIDA!D32 + MIDW!D32 + NE!D32 + NY!D32 + NW!D32 + SE!D32 + SW!D32 + TEN!D32 + TEX!D32</f>
        <v>66.904495299999994</v>
      </c>
      <c r="E32" s="8">
        <f xml:space="preserve"> 0 + CAL!E32 + CAR!E32 + CENT!E32 + FLA!E32 + MIDA!E32 + MIDW!E32 + NE!E32 + NY!E32 + NW!E32 + SE!E32 + SW!E32 + TEN!E32 + TEX!E32</f>
        <v>109.25487541</v>
      </c>
      <c r="F32" s="8">
        <f xml:space="preserve"> 0 + CAL!F32 + CAR!F32 + CENT!F32 + FLA!F32 + MIDA!F32 + MIDW!F32 + NE!F32 + NY!F32 + NW!F32 + SE!F32 + SW!F32 + TEN!F32 + TEX!F32</f>
        <v>162.21256251</v>
      </c>
      <c r="G32" s="8">
        <f xml:space="preserve"> 0 + CAL!G32 + CAR!G32 + CENT!G32 + FLA!G32 + MIDA!G32 + MIDW!G32 + NE!G32 + NY!G32 + NW!G32 + SE!G32 + SW!G32 + TEN!G32 + TEX!G32</f>
        <v>224.8561933</v>
      </c>
      <c r="H32" s="8">
        <f xml:space="preserve"> 0 + CAL!H32 + CAR!H32 + CENT!H32 + FLA!H32 + MIDA!H32 + MIDW!H32 + NE!H32 + NY!H32 + NW!H32 + SE!H32 + SW!H32 + TEN!H32 + TEX!H32</f>
        <v>298.05407751999996</v>
      </c>
      <c r="I32" s="8">
        <f xml:space="preserve"> 0 + CAL!I32 + CAR!I32 + CENT!I32 + FLA!I32 + MIDA!I32 + MIDW!I32 + NE!I32 + NY!I32 + NW!I32 + SE!I32 + SW!I32 + TEN!I32 + TEX!I32</f>
        <v>382.86258784</v>
      </c>
      <c r="J32" s="8">
        <f xml:space="preserve"> 0 + CAL!J32 + CAR!J32 + CENT!J32 + FLA!J32 + MIDA!J32 + MIDW!J32 + NE!J32 + NY!J32 + NW!J32 + SE!J32 + SW!J32 + TEN!J32 + TEX!J32</f>
        <v>480.50771053</v>
      </c>
      <c r="K32" s="8">
        <f xml:space="preserve"> 0 + CAL!K32 + CAR!K32 + CENT!K32 + FLA!K32 + MIDA!K32 + MIDW!K32 + NE!K32 + NY!K32 + NW!K32 + SE!K32 + SW!K32 + TEN!K32 + TEX!K32</f>
        <v>591.07482474999995</v>
      </c>
      <c r="L32" s="8">
        <f xml:space="preserve"> 0 + CAL!L32 + CAR!L32 + CENT!L32 + FLA!L32 + MIDA!L32 + MIDW!L32 + NE!L32 + NY!L32 + NW!L32 + SE!L32 + SW!L32 + TEN!L32 + TEX!L32</f>
        <v>715.00869207999995</v>
      </c>
      <c r="M32" s="8">
        <f xml:space="preserve"> 0 + CAL!M32 + CAR!M32 + CENT!M32 + FLA!M32 + MIDA!M32 + MIDW!M32 + NE!M32 + NY!M32 + NW!M32 + SE!M32 + SW!M32 + TEN!M32 + TEX!M32</f>
        <v>853.07322882999995</v>
      </c>
      <c r="N32" s="8">
        <f xml:space="preserve"> 0 + CAL!N32 + CAR!N32 + CENT!N32 + FLA!N32 + MIDA!N32 + MIDW!N32 + NE!N32 + NY!N32 + NW!N32 + SE!N32 + SW!N32 + TEN!N32 + TEX!N32</f>
        <v>1005.72256439</v>
      </c>
      <c r="O32" s="8">
        <f xml:space="preserve"> 0 + CAL!O32 + CAR!O32 + CENT!O32 + FLA!O32 + MIDA!O32 + MIDW!O32 + NE!O32 + NY!O32 + NW!O32 + SE!O32 + SW!O32 + TEN!O32 + TEX!O32</f>
        <v>1160.36486758</v>
      </c>
      <c r="P32" s="8">
        <f xml:space="preserve"> 0 + CAL!P32 + CAR!P32 + CENT!P32 + FLA!P32 + MIDA!P32 + MIDW!P32 + NE!P32 + NY!P32 + NW!P32 + SE!P32 + SW!P32 + TEN!P32 + TEX!P32</f>
        <v>1315.56262616</v>
      </c>
      <c r="Q32" s="8">
        <f xml:space="preserve"> 0 + CAL!Q32 + CAR!Q32 + CENT!Q32 + FLA!Q32 + MIDA!Q32 + MIDW!Q32 + NE!Q32 + NY!Q32 + NW!Q32 + SE!Q32 + SW!Q32 + TEN!Q32 + TEX!Q32</f>
        <v>1482.6256544899998</v>
      </c>
      <c r="R32" s="8">
        <f xml:space="preserve"> 0 + CAL!R32 + CAR!R32 + CENT!R32 + FLA!R32 + MIDA!R32 + MIDW!R32 + NE!R32 + NY!R32 + NW!R32 + SE!R32 + SW!R32 + TEN!R32 + TEX!R32</f>
        <v>1647.9385119399999</v>
      </c>
      <c r="S32" s="8">
        <f xml:space="preserve"> 0 + CAL!S32 + CAR!S32 + CENT!S32 + FLA!S32 + MIDA!S32 + MIDW!S32 + NE!S32 + NY!S32 + NW!S32 + SE!S32 + SW!S32 + TEN!S32 + TEX!S32</f>
        <v>1771.3945567300002</v>
      </c>
      <c r="T32" s="8">
        <f xml:space="preserve"> 0 + CAL!T32 + CAR!T32 + CENT!T32 + FLA!T32 + MIDA!T32 + MIDW!T32 + NE!T32 + NY!T32 + NW!T32 + SE!T32 + SW!T32 + TEN!T32 + TEX!T32</f>
        <v>1861.68373522</v>
      </c>
      <c r="U32" s="8">
        <f xml:space="preserve"> 0 + CAL!U32 + CAR!U32 + CENT!U32 + FLA!U32 + MIDA!U32 + MIDW!U32 + NE!U32 + NY!U32 + NW!U32 + SE!U32 + SW!U32 + TEN!U32 + TEX!U32</f>
        <v>1970.3396117799998</v>
      </c>
      <c r="V32" s="8">
        <f xml:space="preserve"> 0 + CAL!V32 + CAR!V32 + CENT!V32 + FLA!V32 + MIDA!V32 + MIDW!V32 + NE!V32 + NY!V32 + NW!V32 + SE!V32 + SW!V32 + TEN!V32 + TEX!V32</f>
        <v>2100.0812485400002</v>
      </c>
      <c r="W32" s="8">
        <f xml:space="preserve"> 0 + CAL!W32 + CAR!W32 + CENT!W32 + FLA!W32 + MIDA!W32 + MIDW!W32 + NE!W32 + NY!W32 + NW!W32 + SE!W32 + SW!W32 + TEN!W32 + TEX!W32</f>
        <v>2258.6907909200004</v>
      </c>
      <c r="X32" s="8">
        <f xml:space="preserve"> 0 + CAL!X32 + CAR!X32 + CENT!X32 + FLA!X32 + MIDA!X32 + MIDW!X32 + NE!X32 + NY!X32 + NW!X32 + SE!X32 + SW!X32 + TEN!X32 + TEX!X32</f>
        <v>2423.4550249499998</v>
      </c>
      <c r="Y32" s="8">
        <f xml:space="preserve"> 0 + CAL!Y32 + CAR!Y32 + CENT!Y32 + FLA!Y32 + MIDA!Y32 + MIDW!Y32 + NE!Y32 + NY!Y32 + NW!Y32 + SE!Y32 + SW!Y32 + TEN!Y32 + TEX!Y32</f>
        <v>2584.9829547300001</v>
      </c>
      <c r="Z32" s="8">
        <f xml:space="preserve"> 0 + CAL!Z32 + CAR!Z32 + CENT!Z32 + FLA!Z32 + MIDA!Z32 + MIDW!Z32 + NE!Z32 + NY!Z32 + NW!Z32 + SE!Z32 + SW!Z32 + TEN!Z32 + TEX!Z32</f>
        <v>2727.9309727799996</v>
      </c>
      <c r="AA32" s="8">
        <f xml:space="preserve"> 0 + CAL!AA32 + CAR!AA32 + CENT!AA32 + FLA!AA32 + MIDA!AA32 + MIDW!AA32 + NE!AA32 + NY!AA32 + NW!AA32 + SE!AA32 + SW!AA32 + TEN!AA32 + TEX!AA32</f>
        <v>2896.8432355899999</v>
      </c>
      <c r="AB32" s="8">
        <f xml:space="preserve"> 0 + CAL!AB32 + CAR!AB32 + CENT!AB32 + FLA!AB32 + MIDA!AB32 + MIDW!AB32 + NE!AB32 + NY!AB32 + NW!AB32 + SE!AB32 + SW!AB32 + TEN!AB32 + TEX!AB32</f>
        <v>3075.3091810199999</v>
      </c>
      <c r="AC32" s="8">
        <f xml:space="preserve"> 0 + CAL!AC32 + CAR!AC32 + CENT!AC32 + FLA!AC32 + MIDA!AC32 + MIDW!AC32 + NE!AC32 + NY!AC32 + NW!AC32 + SE!AC32 + SW!AC32 + TEN!AC32 + TEX!AC32</f>
        <v>3259.0532492899997</v>
      </c>
    </row>
    <row r="33" spans="1:29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1.5589134700000002</v>
      </c>
      <c r="D33" s="8">
        <f xml:space="preserve"> 0 + CAL!D33 + CAR!D33 + CENT!D33 + FLA!D33 + MIDA!D33 + MIDW!D33 + NE!D33 + NY!D33 + NW!D33 + SE!D33 + SW!D33 + TEN!D33 + TEX!D33</f>
        <v>1.6726123999999996</v>
      </c>
      <c r="E33" s="8">
        <f xml:space="preserve"> 0 + CAL!E33 + CAR!E33 + CENT!E33 + FLA!E33 + MIDA!E33 + MIDW!E33 + NE!E33 + NY!E33 + NW!E33 + SE!E33 + SW!E33 + TEN!E33 + TEX!E33</f>
        <v>1.8209146</v>
      </c>
      <c r="F33" s="8">
        <f xml:space="preserve"> 0 + CAL!F33 + CAR!F33 + CENT!F33 + FLA!F33 + MIDA!F33 + MIDW!F33 + NE!F33 + NY!F33 + NW!F33 + SE!F33 + SW!F33 + TEN!F33 + TEX!F33</f>
        <v>2.0276570399999998</v>
      </c>
      <c r="G33" s="8">
        <f xml:space="preserve"> 0 + CAL!G33 + CAR!G33 + CENT!G33 + FLA!G33 + MIDA!G33 + MIDW!G33 + NE!G33 + NY!G33 + NW!G33 + SE!G33 + SW!G33 + TEN!G33 + TEX!G33</f>
        <v>2.2485619399999996</v>
      </c>
      <c r="H33" s="8">
        <f xml:space="preserve"> 0 + CAL!H33 + CAR!H33 + CENT!H33 + FLA!H33 + MIDA!H33 + MIDW!H33 + NE!H33 + NY!H33 + NW!H33 + SE!H33 + SW!H33 + TEN!H33 + TEX!H33</f>
        <v>2.4837839700000002</v>
      </c>
      <c r="I33" s="8">
        <f xml:space="preserve"> 0 + CAL!I33 + CAR!I33 + CENT!I33 + FLA!I33 + MIDA!I33 + MIDW!I33 + NE!I33 + NY!I33 + NW!I33 + SE!I33 + SW!I33 + TEN!I33 + TEX!I33</f>
        <v>2.7347327799999999</v>
      </c>
      <c r="J33" s="8">
        <f xml:space="preserve"> 0 + CAL!J33 + CAR!J33 + CENT!J33 + FLA!J33 + MIDA!J33 + MIDW!J33 + NE!J33 + NY!J33 + NW!J33 + SE!J33 + SW!J33 + TEN!J33 + TEX!J33</f>
        <v>3.0031731800000001</v>
      </c>
      <c r="K33" s="8">
        <f xml:space="preserve"> 0 + CAL!K33 + CAR!K33 + CENT!K33 + FLA!K33 + MIDA!K33 + MIDW!K33 + NE!K33 + NY!K33 + NW!K33 + SE!K33 + SW!K33 + TEN!K33 + TEX!K33</f>
        <v>3.2837490300000001</v>
      </c>
      <c r="L33" s="8">
        <f xml:space="preserve"> 0 + CAL!L33 + CAR!L33 + CENT!L33 + FLA!L33 + MIDA!L33 + MIDW!L33 + NE!L33 + NY!L33 + NW!L33 + SE!L33 + SW!L33 + TEN!L33 + TEX!L33</f>
        <v>3.5750434499999999</v>
      </c>
      <c r="M33" s="8">
        <f xml:space="preserve"> 0 + CAL!M33 + CAR!M33 + CENT!M33 + FLA!M33 + MIDA!M33 + MIDW!M33 + NE!M33 + NY!M33 + NW!M33 + SE!M33 + SW!M33 + TEN!M33 + TEX!M33</f>
        <v>3.8776055700000001</v>
      </c>
      <c r="N33" s="8">
        <f xml:space="preserve"> 0 + CAL!N33 + CAR!N33 + CENT!N33 + FLA!N33 + MIDA!N33 + MIDW!N33 + NE!N33 + NY!N33 + NW!N33 + SE!N33 + SW!N33 + TEN!N33 + TEX!N33</f>
        <v>4.19051069</v>
      </c>
      <c r="O33" s="8">
        <f xml:space="preserve"> 0 + CAL!O33 + CAR!O33 + CENT!O33 + FLA!O33 + MIDA!O33 + MIDW!O33 + NE!O33 + NY!O33 + NW!O33 + SE!O33 + SW!O33 + TEN!O33 + TEX!O33</f>
        <v>4.4629417900000004</v>
      </c>
      <c r="P33" s="8">
        <f xml:space="preserve"> 0 + CAL!P33 + CAR!P33 + CENT!P33 + FLA!P33 + MIDA!P33 + MIDW!P33 + NE!P33 + NY!P33 + NW!P33 + SE!P33 + SW!P33 + TEN!P33 + TEX!P33</f>
        <v>4.6984379399999998</v>
      </c>
      <c r="Q33" s="8">
        <f xml:space="preserve"> 0 + CAL!Q33 + CAR!Q33 + CENT!Q33 + FLA!Q33 + MIDA!Q33 + MIDW!Q33 + NE!Q33 + NY!Q33 + NW!Q33 + SE!Q33 + SW!Q33 + TEN!Q33 + TEX!Q33</f>
        <v>4.9420855099999992</v>
      </c>
      <c r="R33" s="8">
        <f xml:space="preserve"> 0 + CAL!R33 + CAR!R33 + CENT!R33 + FLA!R33 + MIDA!R33 + MIDW!R33 + NE!R33 + NY!R33 + NW!R33 + SE!R33 + SW!R33 + TEN!R33 + TEX!R33</f>
        <v>5.1498078299999994</v>
      </c>
      <c r="S33" s="8">
        <f xml:space="preserve"> 0 + CAL!S33 + CAR!S33 + CENT!S33 + FLA!S33 + MIDA!S33 + MIDW!S33 + NE!S33 + NY!S33 + NW!S33 + SE!S33 + SW!S33 + TEN!S33 + TEX!S33</f>
        <v>5.2099839799999996</v>
      </c>
      <c r="T33" s="8">
        <f xml:space="preserve"> 0 + CAL!T33 + CAR!T33 + CENT!T33 + FLA!T33 + MIDA!T33 + MIDW!T33 + NE!T33 + NY!T33 + NW!T33 + SE!T33 + SW!T33 + TEN!T33 + TEX!T33</f>
        <v>5.1713437000000004</v>
      </c>
      <c r="U33" s="8">
        <f xml:space="preserve"> 0 + CAL!U33 + CAR!U33 + CENT!U33 + FLA!U33 + MIDA!U33 + MIDW!U33 + NE!U33 + NY!U33 + NW!U33 + SE!U33 + SW!U33 + TEN!U33 + TEX!U33</f>
        <v>5.1851042500000002</v>
      </c>
      <c r="V33" s="8">
        <f xml:space="preserve"> 0 + CAL!V33 + CAR!V33 + CENT!V33 + FLA!V33 + MIDA!V33 + MIDW!V33 + NE!V33 + NY!V33 + NW!V33 + SE!V33 + SW!V33 + TEN!V33 + TEX!V33</f>
        <v>5.2502031300000001</v>
      </c>
      <c r="W33" s="8">
        <f xml:space="preserve"> 0 + CAL!W33 + CAR!W33 + CENT!W33 + FLA!W33 + MIDA!W33 + MIDW!W33 + NE!W33 + NY!W33 + NW!W33 + SE!W33 + SW!W33 + TEN!W33 + TEX!W33</f>
        <v>5.3778352300000005</v>
      </c>
      <c r="X33" s="8">
        <f xml:space="preserve"> 0 + CAL!X33 + CAR!X33 + CENT!X33 + FLA!X33 + MIDA!X33 + MIDW!X33 + NE!X33 + NY!X33 + NW!X33 + SE!X33 + SW!X33 + TEN!X33 + TEX!X33</f>
        <v>5.5078523300000004</v>
      </c>
      <c r="Y33" s="8">
        <f xml:space="preserve"> 0 + CAL!Y33 + CAR!Y33 + CENT!Y33 + FLA!Y33 + MIDA!Y33 + MIDW!Y33 + NE!Y33 + NY!Y33 + NW!Y33 + SE!Y33 + SW!Y33 + TEN!Y33 + TEX!Y33</f>
        <v>5.6195281599999998</v>
      </c>
      <c r="Z33" s="8">
        <f xml:space="preserve"> 0 + CAL!Z33 + CAR!Z33 + CENT!Z33 + FLA!Z33 + MIDA!Z33 + MIDW!Z33 + NE!Z33 + NY!Z33 + NW!Z33 + SE!Z33 + SW!Z33 + TEN!Z33 + TEX!Z33</f>
        <v>5.6831895400000008</v>
      </c>
      <c r="AA33" s="8">
        <f xml:space="preserve"> 0 + CAL!AA33 + CAR!AA33 + CENT!AA33 + FLA!AA33 + MIDA!AA33 + MIDW!AA33 + NE!AA33 + NY!AA33 + NW!AA33 + SE!AA33 + SW!AA33 + TEN!AA33 + TEX!AA33</f>
        <v>5.7936864699999999</v>
      </c>
      <c r="AB33" s="8">
        <f xml:space="preserve"> 0 + CAL!AB33 + CAR!AB33 + CENT!AB33 + FLA!AB33 + MIDA!AB33 + MIDW!AB33 + NE!AB33 + NY!AB33 + NW!AB33 + SE!AB33 + SW!AB33 + TEN!AB33 + TEX!AB33</f>
        <v>5.9140561199999997</v>
      </c>
      <c r="AC33" s="8">
        <f xml:space="preserve"> 0 + CAL!AC33 + CAR!AC33 + CENT!AC33 + FLA!AC33 + MIDA!AC33 + MIDW!AC33 + NE!AC33 + NY!AC33 + NW!AC33 + SE!AC33 + SW!AC33 + TEN!AC33 + TEX!AC33</f>
        <v>6.0352838000000002</v>
      </c>
    </row>
    <row r="34" spans="1:29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17319.091251319998</v>
      </c>
      <c r="C34" s="8">
        <f xml:space="preserve"> 0 + CAL!C34 + CAR!C34 + CENT!C34 + FLA!C34 + MIDA!C34 + MIDW!C34 + NE!C34 + NY!C34 + NW!C34 + SE!C34 + SW!C34 + TEN!C34 + TEX!C34</f>
        <v>17155.13111409</v>
      </c>
      <c r="D34" s="8">
        <f xml:space="preserve"> 0 + CAL!D34 + CAR!D34 + CENT!D34 + FLA!D34 + MIDA!D34 + MIDW!D34 + NE!D34 + NY!D34 + NW!D34 + SE!D34 + SW!D34 + TEN!D34 + TEX!D34</f>
        <v>18355.863033829995</v>
      </c>
      <c r="E34" s="8">
        <f xml:space="preserve"> 0 + CAL!E34 + CAR!E34 + CENT!E34 + FLA!E34 + MIDA!E34 + MIDW!E34 + NE!E34 + NY!E34 + NW!E34 + SE!E34 + SW!E34 + TEN!E34 + TEX!E34</f>
        <v>20012.507484450005</v>
      </c>
      <c r="F34" s="8">
        <f xml:space="preserve"> 0 + CAL!F34 + CAR!F34 + CENT!F34 + FLA!F34 + MIDA!F34 + MIDW!F34 + NE!F34 + NY!F34 + NW!F34 + SE!F34 + SW!F34 + TEN!F34 + TEX!F34</f>
        <v>22501.212229740002</v>
      </c>
      <c r="G34" s="8">
        <f xml:space="preserve"> 0 + CAL!G34 + CAR!G34 + CENT!G34 + FLA!G34 + MIDA!G34 + MIDW!G34 + NE!G34 + NY!G34 + NW!G34 + SE!G34 + SW!G34 + TEN!G34 + TEX!G34</f>
        <v>25151.012659029999</v>
      </c>
      <c r="H34" s="8">
        <f xml:space="preserve"> 0 + CAL!H34 + CAR!H34 + CENT!H34 + FLA!H34 + MIDA!H34 + MIDW!H34 + NE!H34 + NY!H34 + NW!H34 + SE!H34 + SW!H34 + TEN!H34 + TEX!H34</f>
        <v>27967.52428442</v>
      </c>
      <c r="I34" s="8">
        <f xml:space="preserve"> 0 + CAL!I34 + CAR!I34 + CENT!I34 + FLA!I34 + MIDA!I34 + MIDW!I34 + NE!I34 + NY!I34 + NW!I34 + SE!I34 + SW!I34 + TEN!I34 + TEX!I34</f>
        <v>30969.795241150001</v>
      </c>
      <c r="J34" s="8">
        <f xml:space="preserve"> 0 + CAL!J34 + CAR!J34 + CENT!J34 + FLA!J34 + MIDA!J34 + MIDW!J34 + NE!J34 + NY!J34 + NW!J34 + SE!J34 + SW!J34 + TEN!J34 + TEX!J34</f>
        <v>34178.370158129997</v>
      </c>
      <c r="K34" s="8">
        <f xml:space="preserve"> 0 + CAL!K34 + CAR!K34 + CENT!K34 + FLA!K34 + MIDA!K34 + MIDW!K34 + NE!K34 + NY!K34 + NW!K34 + SE!K34 + SW!K34 + TEN!K34 + TEX!K34</f>
        <v>37528.558414670006</v>
      </c>
      <c r="L34" s="8">
        <f xml:space="preserve"> 0 + CAL!L34 + CAR!L34 + CENT!L34 + FLA!L34 + MIDA!L34 + MIDW!L34 + NE!L34 + NY!L34 + NW!L34 + SE!L34 + SW!L34 + TEN!L34 + TEX!L34</f>
        <v>41005.18473736001</v>
      </c>
      <c r="M34" s="8">
        <f xml:space="preserve"> 0 + CAL!M34 + CAR!M34 + CENT!M34 + FLA!M34 + MIDA!M34 + MIDW!M34 + NE!M34 + NY!M34 + NW!M34 + SE!M34 + SW!M34 + TEN!M34 + TEX!M34</f>
        <v>44614.652723070001</v>
      </c>
      <c r="N34" s="8">
        <f xml:space="preserve"> 0 + CAL!N34 + CAR!N34 + CENT!N34 + FLA!N34 + MIDA!N34 + MIDW!N34 + NE!N34 + NY!N34 + NW!N34 + SE!N34 + SW!N34 + TEN!N34 + TEX!N34</f>
        <v>48350.154717380006</v>
      </c>
      <c r="O34" s="8">
        <f xml:space="preserve"> 0 + CAL!O34 + CAR!O34 + CENT!O34 + FLA!O34 + MIDA!O34 + MIDW!O34 + NE!O34 + NY!O34 + NW!O34 + SE!O34 + SW!O34 + TEN!O34 + TEX!O34</f>
        <v>51674.376371480008</v>
      </c>
      <c r="P34" s="8">
        <f xml:space="preserve"> 0 + CAL!P34 + CAR!P34 + CENT!P34 + FLA!P34 + MIDA!P34 + MIDW!P34 + NE!P34 + NY!P34 + NW!P34 + SE!P34 + SW!P34 + TEN!P34 + TEX!P34</f>
        <v>54549.959442120009</v>
      </c>
      <c r="Q34" s="8">
        <f xml:space="preserve"> 0 + CAL!Q34 + CAR!Q34 + CENT!Q34 + FLA!Q34 + MIDA!Q34 + MIDW!Q34 + NE!Q34 + NY!Q34 + NW!Q34 + SE!Q34 + SW!Q34 + TEN!Q34 + TEX!Q34</f>
        <v>57526.855556959999</v>
      </c>
      <c r="R34" s="8">
        <f xml:space="preserve"> 0 + CAL!R34 + CAR!R34 + CENT!R34 + FLA!R34 + MIDA!R34 + MIDW!R34 + NE!R34 + NY!R34 + NW!R34 + SE!R34 + SW!R34 + TEN!R34 + TEX!R34</f>
        <v>60103.167228260005</v>
      </c>
      <c r="S34" s="8">
        <f xml:space="preserve"> 0 + CAL!S34 + CAR!S34 + CENT!S34 + FLA!S34 + MIDA!S34 + MIDW!S34 + NE!S34 + NY!S34 + NW!S34 + SE!S34 + SW!S34 + TEN!S34 + TEX!S34</f>
        <v>60771.926432030006</v>
      </c>
      <c r="T34" s="8">
        <f xml:space="preserve"> 0 + CAL!T34 + CAR!T34 + CENT!T34 + FLA!T34 + MIDA!T34 + MIDW!T34 + NE!T34 + NY!T34 + NW!T34 + SE!T34 + SW!T34 + TEN!T34 + TEX!T34</f>
        <v>60214.251988420001</v>
      </c>
      <c r="U34" s="8">
        <f xml:space="preserve"> 0 + CAL!U34 + CAR!U34 + CENT!U34 + FLA!U34 + MIDA!U34 + MIDW!U34 + NE!U34 + NY!U34 + NW!U34 + SE!U34 + SW!U34 + TEN!U34 + TEX!U34</f>
        <v>60252.613827559995</v>
      </c>
      <c r="V34" s="8">
        <f xml:space="preserve"> 0 + CAL!V34 + CAR!V34 + CENT!V34 + FLA!V34 + MIDA!V34 + MIDW!V34 + NE!V34 + NY!V34 + NW!V34 + SE!V34 + SW!V34 + TEN!V34 + TEX!V34</f>
        <v>60832.765602009989</v>
      </c>
      <c r="W34" s="8">
        <f xml:space="preserve"> 0 + CAL!W34 + CAR!W34 + CENT!W34 + FLA!W34 + MIDA!W34 + MIDW!W34 + NE!W34 + NY!W34 + NW!W34 + SE!W34 + SW!W34 + TEN!W34 + TEX!W34</f>
        <v>62135.427251840003</v>
      </c>
      <c r="X34" s="8">
        <f xml:space="preserve"> 0 + CAL!X34 + CAR!X34 + CENT!X34 + FLA!X34 + MIDA!X34 + MIDW!X34 + NE!X34 + NY!X34 + NW!X34 + SE!X34 + SW!X34 + TEN!X34 + TEX!X34</f>
        <v>63369.58387961</v>
      </c>
      <c r="Y34" s="8">
        <f xml:space="preserve"> 0 + CAL!Y34 + CAR!Y34 + CENT!Y34 + FLA!Y34 + MIDA!Y34 + MIDW!Y34 + NE!Y34 + NY!Y34 + NW!Y34 + SE!Y34 + SW!Y34 + TEN!Y34 + TEX!Y34</f>
        <v>64428.366576779998</v>
      </c>
      <c r="Z34" s="8">
        <f xml:space="preserve"> 0 + CAL!Z34 + CAR!Z34 + CENT!Z34 + FLA!Z34 + MIDA!Z34 + MIDW!Z34 + NE!Z34 + NY!Z34 + NW!Z34 + SE!Z34 + SW!Z34 + TEN!Z34 + TEX!Z34</f>
        <v>64975.735601879998</v>
      </c>
      <c r="AA34" s="8">
        <f xml:space="preserve"> 0 + CAL!AA34 + CAR!AA34 + CENT!AA34 + FLA!AA34 + MIDA!AA34 + MIDW!AA34 + NE!AA34 + NY!AA34 + NW!AA34 + SE!AA34 + SW!AA34 + TEN!AA34 + TEX!AA34</f>
        <v>66144.181864669983</v>
      </c>
      <c r="AB34" s="8">
        <f xml:space="preserve"> 0 + CAL!AB34 + CAR!AB34 + CENT!AB34 + FLA!AB34 + MIDA!AB34 + MIDW!AB34 + NE!AB34 + NY!AB34 + NW!AB34 + SE!AB34 + SW!AB34 + TEN!AB34 + TEX!AB34</f>
        <v>67387.418795379985</v>
      </c>
      <c r="AC34" s="8">
        <f xml:space="preserve"> 0 + CAL!AC34 + CAR!AC34 + CENT!AC34 + FLA!AC34 + MIDA!AC34 + MIDW!AC34 + NE!AC34 + NY!AC34 + NW!AC34 + SE!AC34 + SW!AC34 + TEN!AC34 + TEX!AC34</f>
        <v>68611.991429750007</v>
      </c>
    </row>
    <row r="35" spans="1:29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10.312642029999999</v>
      </c>
      <c r="E36" s="8">
        <f xml:space="preserve"> 0 + CAL!E36 + CAR!E36 + CENT!E36 + FLA!E36 + MIDA!E36 + MIDW!E36 + NE!E36 + NY!E36 + NW!E36 + SE!E36 + SW!E36 + TEN!E36 + TEX!E36</f>
        <v>10.66370225</v>
      </c>
      <c r="F36" s="8">
        <f xml:space="preserve"> 0 + CAL!F36 + CAR!F36 + CENT!F36 + FLA!F36 + MIDA!F36 + MIDW!F36 + NE!F36 + NY!F36 + NW!F36 + SE!F36 + SW!F36 + TEN!F36 + TEX!F36</f>
        <v>11.243113799999998</v>
      </c>
      <c r="G36" s="8">
        <f xml:space="preserve"> 0 + CAL!G36 + CAR!G36 + CENT!G36 + FLA!G36 + MIDA!G36 + MIDW!G36 + NE!G36 + NY!G36 + NW!G36 + SE!G36 + SW!G36 + TEN!G36 + TEX!G36</f>
        <v>11.946817280000001</v>
      </c>
      <c r="H36" s="8">
        <f xml:space="preserve"> 0 + CAL!H36 + CAR!H36 + CENT!H36 + FLA!H36 + MIDA!H36 + MIDW!H36 + NE!H36 + NY!H36 + NW!H36 + SE!H36 + SW!H36 + TEN!H36 + TEX!H36</f>
        <v>11.70479108</v>
      </c>
      <c r="I36" s="8">
        <f xml:space="preserve"> 0 + CAL!I36 + CAR!I36 + CENT!I36 + FLA!I36 + MIDA!I36 + MIDW!I36 + NE!I36 + NY!I36 + NW!I36 + SE!I36 + SW!I36 + TEN!I36 + TEX!I36</f>
        <v>11.59403466</v>
      </c>
      <c r="J36" s="8">
        <f xml:space="preserve"> 0 + CAL!J36 + CAR!J36 + CENT!J36 + FLA!J36 + MIDA!J36 + MIDW!J36 + NE!J36 + NY!J36 + NW!J36 + SE!J36 + SW!J36 + TEN!J36 + TEX!J36</f>
        <v>10.489841900000002</v>
      </c>
      <c r="K36" s="8">
        <f xml:space="preserve"> 0 + CAL!K36 + CAR!K36 + CENT!K36 + FLA!K36 + MIDA!K36 + MIDW!K36 + NE!K36 + NY!K36 + NW!K36 + SE!K36 + SW!K36 + TEN!K36 + TEX!K36</f>
        <v>10.402327870000001</v>
      </c>
      <c r="L36" s="8">
        <f xml:space="preserve"> 0 + CAL!L36 + CAR!L36 + CENT!L36 + FLA!L36 + MIDA!L36 + MIDW!L36 + NE!L36 + NY!L36 + NW!L36 + SE!L36 + SW!L36 + TEN!L36 + TEX!L36</f>
        <v>10.328429530000001</v>
      </c>
      <c r="M36" s="8">
        <f xml:space="preserve"> 0 + CAL!M36 + CAR!M36 + CENT!M36 + FLA!M36 + MIDA!M36 + MIDW!M36 + NE!M36 + NY!M36 + NW!M36 + SE!M36 + SW!M36 + TEN!M36 + TEX!M36</f>
        <v>10.26626426</v>
      </c>
      <c r="N36" s="8">
        <f xml:space="preserve"> 0 + CAL!N36 + CAR!N36 + CENT!N36 + FLA!N36 + MIDA!N36 + MIDW!N36 + NE!N36 + NY!N36 + NW!N36 + SE!N36 + SW!N36 + TEN!N36 + TEX!N36</f>
        <v>10.21474102</v>
      </c>
      <c r="O36" s="8">
        <f xml:space="preserve"> 0 + CAL!O36 + CAR!O36 + CENT!O36 + FLA!O36 + MIDA!O36 + MIDW!O36 + NE!O36 + NY!O36 + NW!O36 + SE!O36 + SW!O36 + TEN!O36 + TEX!O36</f>
        <v>10.169534870000001</v>
      </c>
      <c r="P36" s="8">
        <f xml:space="preserve"> 0 + CAL!P36 + CAR!P36 + CENT!P36 + FLA!P36 + MIDA!P36 + MIDW!P36 + NE!P36 + NY!P36 + NW!P36 + SE!P36 + SW!P36 + TEN!P36 + TEX!P36</f>
        <v>10.068977649999999</v>
      </c>
      <c r="Q36" s="8">
        <f xml:space="preserve"> 0 + CAL!Q36 + CAR!Q36 + CENT!Q36 + FLA!Q36 + MIDA!Q36 + MIDW!Q36 + NE!Q36 + NY!Q36 + NW!Q36 + SE!Q36 + SW!Q36 + TEN!Q36 + TEX!Q36</f>
        <v>10.862865080000001</v>
      </c>
      <c r="R36" s="8">
        <f xml:space="preserve"> 0 + CAL!R36 + CAR!R36 + CENT!R36 + FLA!R36 + MIDA!R36 + MIDW!R36 + NE!R36 + NY!R36 + NW!R36 + SE!R36 + SW!R36 + TEN!R36 + TEX!R36</f>
        <v>10.83464148</v>
      </c>
      <c r="S36" s="8">
        <f xml:space="preserve"> 0 + CAL!S36 + CAR!S36 + CENT!S36 + FLA!S36 + MIDA!S36 + MIDW!S36 + NE!S36 + NY!S36 + NW!S36 + SE!S36 + SW!S36 + TEN!S36 + TEX!S36</f>
        <v>10.527991829999999</v>
      </c>
      <c r="T36" s="8">
        <f xml:space="preserve"> 0 + CAL!T36 + CAR!T36 + CENT!T36 + FLA!T36 + MIDA!T36 + MIDW!T36 + NE!T36 + NY!T36 + NW!T36 + SE!T36 + SW!T36 + TEN!T36 + TEX!T36</f>
        <v>9.4868393999999991</v>
      </c>
      <c r="U36" s="8">
        <f xml:space="preserve"> 0 + CAL!U36 + CAR!U36 + CENT!U36 + FLA!U36 + MIDA!U36 + MIDW!U36 + NE!U36 + NY!U36 + NW!U36 + SE!U36 + SW!U36 + TEN!U36 + TEX!U36</f>
        <v>9.3500285199999986</v>
      </c>
      <c r="V36" s="8">
        <f xml:space="preserve"> 0 + CAL!V36 + CAR!V36 + CENT!V36 + FLA!V36 + MIDA!V36 + MIDW!V36 + NE!V36 + NY!V36 + NW!V36 + SE!V36 + SW!V36 + TEN!V36 + TEX!V36</f>
        <v>9.4432028799999994</v>
      </c>
      <c r="W36" s="8">
        <f xml:space="preserve"> 0 + CAL!W36 + CAR!W36 + CENT!W36 + FLA!W36 + MIDA!W36 + MIDW!W36 + NE!W36 + NY!W36 + NW!W36 + SE!W36 + SW!W36 + TEN!W36 + TEX!W36</f>
        <v>9.4948671400000002</v>
      </c>
      <c r="X36" s="8">
        <f xml:space="preserve"> 0 + CAL!X36 + CAR!X36 + CENT!X36 + FLA!X36 + MIDA!X36 + MIDW!X36 + NE!X36 + NY!X36 + NW!X36 + SE!X36 + SW!X36 + TEN!X36 + TEX!X36</f>
        <v>9.6111453600000001</v>
      </c>
      <c r="Y36" s="8">
        <f xml:space="preserve"> 0 + CAL!Y36 + CAR!Y36 + CENT!Y36 + FLA!Y36 + MIDA!Y36 + MIDW!Y36 + NE!Y36 + NY!Y36 + NW!Y36 + SE!Y36 + SW!Y36 + TEN!Y36 + TEX!Y36</f>
        <v>9.4752687400000006</v>
      </c>
      <c r="Z36" s="8">
        <f xml:space="preserve"> 0 + CAL!Z36 + CAR!Z36 + CENT!Z36 + FLA!Z36 + MIDA!Z36 + MIDW!Z36 + NE!Z36 + NY!Z36 + NW!Z36 + SE!Z36 + SW!Z36 + TEN!Z36 + TEX!Z36</f>
        <v>9.5013220199999999</v>
      </c>
      <c r="AA36" s="8">
        <f xml:space="preserve"> 0 + CAL!AA36 + CAR!AA36 + CENT!AA36 + FLA!AA36 + MIDA!AA36 + MIDW!AA36 + NE!AA36 + NY!AA36 + NW!AA36 + SE!AA36 + SW!AA36 + TEN!AA36 + TEX!AA36</f>
        <v>9.5080611900000012</v>
      </c>
      <c r="AB36" s="8">
        <f xml:space="preserve"> 0 + CAL!AB36 + CAR!AB36 + CENT!AB36 + FLA!AB36 + MIDA!AB36 + MIDW!AB36 + NE!AB36 + NY!AB36 + NW!AB36 + SE!AB36 + SW!AB36 + TEN!AB36 + TEX!AB36</f>
        <v>9.622452019999999</v>
      </c>
      <c r="AC36" s="8">
        <f xml:space="preserve"> 0 + CAL!AC36 + CAR!AC36 + CENT!AC36 + FLA!AC36 + MIDA!AC36 + MIDW!AC36 + NE!AC36 + NY!AC36 + NW!AC36 + SE!AC36 + SW!AC36 + TEN!AC36 + TEX!AC36</f>
        <v>9.5973711699999988</v>
      </c>
    </row>
    <row r="37" spans="1:29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10.31421495</v>
      </c>
      <c r="D37" s="8">
        <f xml:space="preserve"> 0 + CAL!D37 + CAR!D37 + CENT!D37 + FLA!D37 + MIDA!D37 + MIDW!D37 + NE!D37 + NY!D37 + NW!D37 + SE!D37 + SW!D37 + TEN!D37 + TEX!D37</f>
        <v>10.679982149999999</v>
      </c>
      <c r="E37" s="8">
        <f xml:space="preserve"> 0 + CAL!E37 + CAR!E37 + CENT!E37 + FLA!E37 + MIDA!E37 + MIDW!E37 + NE!E37 + NY!E37 + NW!E37 + SE!E37 + SW!E37 + TEN!E37 + TEX!E37</f>
        <v>11.42800879</v>
      </c>
      <c r="F37" s="8">
        <f xml:space="preserve"> 0 + CAL!F37 + CAR!F37 + CENT!F37 + FLA!F37 + MIDA!F37 + MIDW!F37 + NE!F37 + NY!F37 + NW!F37 + SE!F37 + SW!F37 + TEN!F37 + TEX!F37</f>
        <v>12.29995422</v>
      </c>
      <c r="G37" s="8">
        <f xml:space="preserve"> 0 + CAL!G37 + CAR!G37 + CENT!G37 + FLA!G37 + MIDA!G37 + MIDW!G37 + NE!G37 + NY!G37 + NW!G37 + SE!G37 + SW!G37 + TEN!G37 + TEX!G37</f>
        <v>11.917950039999999</v>
      </c>
      <c r="H37" s="8">
        <f xml:space="preserve"> 0 + CAL!H37 + CAR!H37 + CENT!H37 + FLA!H37 + MIDA!H37 + MIDW!H37 + NE!H37 + NY!H37 + NW!H37 + SE!H37 + SW!H37 + TEN!H37 + TEX!H37</f>
        <v>11.741012860000001</v>
      </c>
      <c r="I37" s="8">
        <f xml:space="preserve"> 0 + CAL!I37 + CAR!I37 + CENT!I37 + FLA!I37 + MIDA!I37 + MIDW!I37 + NE!I37 + NY!I37 + NW!I37 + SE!I37 + SW!I37 + TEN!I37 + TEX!I37</f>
        <v>10.594467659999999</v>
      </c>
      <c r="J37" s="8">
        <f xml:space="preserve"> 0 + CAL!J37 + CAR!J37 + CENT!J37 + FLA!J37 + MIDA!J37 + MIDW!J37 + NE!J37 + NY!J37 + NW!J37 + SE!J37 + SW!J37 + TEN!J37 + TEX!J37</f>
        <v>10.495635010000001</v>
      </c>
      <c r="K37" s="8">
        <f xml:space="preserve"> 0 + CAL!K37 + CAR!K37 + CENT!K37 + FLA!K37 + MIDA!K37 + MIDW!K37 + NE!K37 + NY!K37 + NW!K37 + SE!K37 + SW!K37 + TEN!K37 + TEX!K37</f>
        <v>10.40537567</v>
      </c>
      <c r="L37" s="8">
        <f xml:space="preserve"> 0 + CAL!L37 + CAR!L37 + CENT!L37 + FLA!L37 + MIDA!L37 + MIDW!L37 + NE!L37 + NY!L37 + NW!L37 + SE!L37 + SW!L37 + TEN!L37 + TEX!L37</f>
        <v>10.32841445</v>
      </c>
      <c r="M37" s="8">
        <f xml:space="preserve"> 0 + CAL!M37 + CAR!M37 + CENT!M37 + FLA!M37 + MIDA!M37 + MIDW!M37 + NE!M37 + NY!M37 + NW!M37 + SE!M37 + SW!M37 + TEN!M37 + TEX!M37</f>
        <v>10.266395489999999</v>
      </c>
      <c r="N37" s="8">
        <f xml:space="preserve"> 0 + CAL!N37 + CAR!N37 + CENT!N37 + FLA!N37 + MIDA!N37 + MIDW!N37 + NE!N37 + NY!N37 + NW!N37 + SE!N37 + SW!N37 + TEN!N37 + TEX!N37</f>
        <v>10.213575800000001</v>
      </c>
      <c r="O37" s="8">
        <f xml:space="preserve"> 0 + CAL!O37 + CAR!O37 + CENT!O37 + FLA!O37 + MIDA!O37 + MIDW!O37 + NE!O37 + NY!O37 + NW!O37 + SE!O37 + SW!O37 + TEN!O37 + TEX!O37</f>
        <v>10.105389509999998</v>
      </c>
      <c r="P37" s="8">
        <f xml:space="preserve"> 0 + CAL!P37 + CAR!P37 + CENT!P37 + FLA!P37 + MIDA!P37 + MIDW!P37 + NE!P37 + NY!P37 + NW!P37 + SE!P37 + SW!P37 + TEN!P37 + TEX!P37</f>
        <v>10.892741989999999</v>
      </c>
      <c r="Q37" s="8">
        <f xml:space="preserve"> 0 + CAL!Q37 + CAR!Q37 + CENT!Q37 + FLA!Q37 + MIDA!Q37 + MIDW!Q37 + NE!Q37 + NY!Q37 + NW!Q37 + SE!Q37 + SW!Q37 + TEN!Q37 + TEX!Q37</f>
        <v>10.86049029</v>
      </c>
      <c r="R37" s="8">
        <f xml:space="preserve"> 0 + CAL!R37 + CAR!R37 + CENT!R37 + FLA!R37 + MIDA!R37 + MIDW!R37 + NE!R37 + NY!R37 + NW!R37 + SE!R37 + SW!R37 + TEN!R37 + TEX!R37</f>
        <v>10.544196040000001</v>
      </c>
      <c r="S37" s="8">
        <f xml:space="preserve"> 0 + CAL!S37 + CAR!S37 + CENT!S37 + FLA!S37 + MIDA!S37 + MIDW!S37 + NE!S37 + NY!S37 + NW!S37 + SE!S37 + SW!S37 + TEN!S37 + TEX!S37</f>
        <v>9.4944714399999999</v>
      </c>
      <c r="T37" s="8">
        <f xml:space="preserve"> 0 + CAL!T37 + CAR!T37 + CENT!T37 + FLA!T37 + MIDA!T37 + MIDW!T37 + NE!T37 + NY!T37 + NW!T37 + SE!T37 + SW!T37 + TEN!T37 + TEX!T37</f>
        <v>9.3565762400000008</v>
      </c>
      <c r="U37" s="8">
        <f xml:space="preserve"> 0 + CAL!U37 + CAR!U37 + CENT!U37 + FLA!U37 + MIDA!U37 + MIDW!U37 + NE!U37 + NY!U37 + NW!U37 + SE!U37 + SW!U37 + TEN!U37 + TEX!U37</f>
        <v>9.4487815099999999</v>
      </c>
      <c r="V37" s="8">
        <f xml:space="preserve"> 0 + CAL!V37 + CAR!V37 + CENT!V37 + FLA!V37 + MIDA!V37 + MIDW!V37 + NE!V37 + NY!V37 + NW!V37 + SE!V37 + SW!V37 + TEN!V37 + TEX!V37</f>
        <v>9.5039146300000006</v>
      </c>
      <c r="W37" s="8">
        <f xml:space="preserve"> 0 + CAL!W37 + CAR!W37 + CENT!W37 + FLA!W37 + MIDA!W37 + MIDW!W37 + NE!W37 + NY!W37 + NW!W37 + SE!W37 + SW!W37 + TEN!W37 + TEX!W37</f>
        <v>9.619394530000001</v>
      </c>
      <c r="X37" s="8">
        <f xml:space="preserve"> 0 + CAL!X37 + CAR!X37 + CENT!X37 + FLA!X37 + MIDA!X37 + MIDW!X37 + NE!X37 + NY!X37 + NW!X37 + SE!X37 + SW!X37 + TEN!X37 + TEX!X37</f>
        <v>9.4776133800000011</v>
      </c>
      <c r="Y37" s="8">
        <f xml:space="preserve"> 0 + CAL!Y37 + CAR!Y37 + CENT!Y37 + FLA!Y37 + MIDA!Y37 + MIDW!Y37 + NE!Y37 + NY!Y37 + NW!Y37 + SE!Y37 + SW!Y37 + TEN!Y37 + TEX!Y37</f>
        <v>9.5033944300000002</v>
      </c>
      <c r="Z37" s="8">
        <f xml:space="preserve"> 0 + CAL!Z37 + CAR!Z37 + CENT!Z37 + FLA!Z37 + MIDA!Z37 + MIDW!Z37 + NE!Z37 + NY!Z37 + NW!Z37 + SE!Z37 + SW!Z37 + TEN!Z37 + TEX!Z37</f>
        <v>9.5101145600000017</v>
      </c>
      <c r="AA37" s="8">
        <f xml:space="preserve"> 0 + CAL!AA37 + CAR!AA37 + CENT!AA37 + FLA!AA37 + MIDA!AA37 + MIDW!AA37 + NE!AA37 + NY!AA37 + NW!AA37 + SE!AA37 + SW!AA37 + TEN!AA37 + TEX!AA37</f>
        <v>9.6293583199999997</v>
      </c>
      <c r="AB37" s="8">
        <f xml:space="preserve"> 0 + CAL!AB37 + CAR!AB37 + CENT!AB37 + FLA!AB37 + MIDA!AB37 + MIDW!AB37 + NE!AB37 + NY!AB37 + NW!AB37 + SE!AB37 + SW!AB37 + TEN!AB37 + TEX!AB37</f>
        <v>9.5991731499999986</v>
      </c>
      <c r="AC37" s="8">
        <f xml:space="preserve"> 0 + CAL!AC37 + CAR!AC37 + CENT!AC37 + FLA!AC37 + MIDA!AC37 + MIDW!AC37 + NE!AC37 + NY!AC37 + NW!AC37 + SE!AC37 + SW!AC37 + TEN!AC37 + TEX!AC37</f>
        <v>9.5403655100000009</v>
      </c>
    </row>
    <row r="38" spans="1:29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86.853862120000002</v>
      </c>
      <c r="E38" s="8">
        <f xml:space="preserve"> 0 + CAL!E38 + CAR!E38 + CENT!E38 + FLA!E38 + MIDA!E38 + MIDW!E38 + NE!E38 + NY!E38 + NW!E38 + SE!E38 + SW!E38 + TEN!E38 + TEX!E38</f>
        <v>89.83399150000001</v>
      </c>
      <c r="F38" s="8">
        <f xml:space="preserve"> 0 + CAL!F38 + CAR!F38 + CENT!F38 + FLA!F38 + MIDA!F38 + MIDW!F38 + NE!F38 + NY!F38 + NW!F38 + SE!F38 + SW!F38 + TEN!F38 + TEX!F38</f>
        <v>92.787497730000013</v>
      </c>
      <c r="G38" s="8">
        <f xml:space="preserve"> 0 + CAL!G38 + CAR!G38 + CENT!G38 + FLA!G38 + MIDA!G38 + MIDW!G38 + NE!G38 + NY!G38 + NW!G38 + SE!G38 + SW!G38 + TEN!G38 + TEX!G38</f>
        <v>97.281480860000002</v>
      </c>
      <c r="H38" s="8">
        <f xml:space="preserve"> 0 + CAL!H38 + CAR!H38 + CENT!H38 + FLA!H38 + MIDA!H38 + MIDW!H38 + NE!H38 + NY!H38 + NW!H38 + SE!H38 + SW!H38 + TEN!H38 + TEX!H38</f>
        <v>102.58957337000001</v>
      </c>
      <c r="I38" s="8">
        <f xml:space="preserve"> 0 + CAL!I38 + CAR!I38 + CENT!I38 + FLA!I38 + MIDA!I38 + MIDW!I38 + NE!I38 + NY!I38 + NW!I38 + SE!I38 + SW!I38 + TEN!I38 + TEX!I38</f>
        <v>108.53053335</v>
      </c>
      <c r="J38" s="8">
        <f xml:space="preserve"> 0 + CAL!J38 + CAR!J38 + CENT!J38 + FLA!J38 + MIDA!J38 + MIDW!J38 + NE!J38 + NY!J38 + NW!J38 + SE!J38 + SW!J38 + TEN!J38 + TEX!J38</f>
        <v>113.07936106999999</v>
      </c>
      <c r="K38" s="8">
        <f xml:space="preserve"> 0 + CAL!K38 + CAR!K38 + CENT!K38 + FLA!K38 + MIDA!K38 + MIDW!K38 + NE!K38 + NY!K38 + NW!K38 + SE!K38 + SW!K38 + TEN!K38 + TEX!K38</f>
        <v>117.28823230000002</v>
      </c>
      <c r="L38" s="8">
        <f xml:space="preserve"> 0 + CAL!L38 + CAR!L38 + CENT!L38 + FLA!L38 + MIDA!L38 + MIDW!L38 + NE!L38 + NY!L38 + NW!L38 + SE!L38 + SW!L38 + TEN!L38 + TEX!L38</f>
        <v>121.77601842000001</v>
      </c>
      <c r="M38" s="8">
        <f xml:space="preserve"> 0 + CAL!M38 + CAR!M38 + CENT!M38 + FLA!M38 + MIDA!M38 + MIDW!M38 + NE!M38 + NY!M38 + NW!M38 + SE!M38 + SW!M38 + TEN!M38 + TEX!M38</f>
        <v>126.4789361</v>
      </c>
      <c r="N38" s="8">
        <f xml:space="preserve"> 0 + CAL!N38 + CAR!N38 + CENT!N38 + FLA!N38 + MIDA!N38 + MIDW!N38 + NE!N38 + NY!N38 + NW!N38 + SE!N38 + SW!N38 + TEN!N38 + TEX!N38</f>
        <v>131.79816584999998</v>
      </c>
      <c r="O38" s="8">
        <f xml:space="preserve"> 0 + CAL!O38 + CAR!O38 + CENT!O38 + FLA!O38 + MIDA!O38 + MIDW!O38 + NE!O38 + NY!O38 + NW!O38 + SE!O38 + SW!O38 + TEN!O38 + TEX!O38</f>
        <v>137.47545299000001</v>
      </c>
      <c r="P38" s="8">
        <f xml:space="preserve"> 0 + CAL!P38 + CAR!P38 + CENT!P38 + FLA!P38 + MIDA!P38 + MIDW!P38 + NE!P38 + NY!P38 + NW!P38 + SE!P38 + SW!P38 + TEN!P38 + TEX!P38</f>
        <v>143.53567455000001</v>
      </c>
      <c r="Q38" s="8">
        <f xml:space="preserve"> 0 + CAL!Q38 + CAR!Q38 + CENT!Q38 + FLA!Q38 + MIDA!Q38 + MIDW!Q38 + NE!Q38 + NY!Q38 + NW!Q38 + SE!Q38 + SW!Q38 + TEN!Q38 + TEX!Q38</f>
        <v>151.74613005</v>
      </c>
      <c r="R38" s="8">
        <f xml:space="preserve"> 0 + CAL!R38 + CAR!R38 + CENT!R38 + FLA!R38 + MIDA!R38 + MIDW!R38 + NE!R38 + NY!R38 + NW!R38 + SE!R38 + SW!R38 + TEN!R38 + TEX!R38</f>
        <v>160.59223901999999</v>
      </c>
      <c r="S38" s="8">
        <f xml:space="preserve"> 0 + CAL!S38 + CAR!S38 + CENT!S38 + FLA!S38 + MIDA!S38 + MIDW!S38 + NE!S38 + NY!S38 + NW!S38 + SE!S38 + SW!S38 + TEN!S38 + TEX!S38</f>
        <v>170.11900199000002</v>
      </c>
      <c r="T38" s="8">
        <f xml:space="preserve"> 0 + CAL!T38 + CAR!T38 + CENT!T38 + FLA!T38 + MIDA!T38 + MIDW!T38 + NE!T38 + NY!T38 + NW!T38 + SE!T38 + SW!T38 + TEN!T38 + TEX!T38</f>
        <v>180.38098080999998</v>
      </c>
      <c r="U38" s="8">
        <f xml:space="preserve"> 0 + CAL!U38 + CAR!U38 + CENT!U38 + FLA!U38 + MIDA!U38 + MIDW!U38 + NE!U38 + NY!U38 + NW!U38 + SE!U38 + SW!U38 + TEN!U38 + TEX!U38</f>
        <v>191.42675039</v>
      </c>
      <c r="V38" s="8">
        <f xml:space="preserve"> 0 + CAL!V38 + CAR!V38 + CENT!V38 + FLA!V38 + MIDA!V38 + MIDW!V38 + NE!V38 + NY!V38 + NW!V38 + SE!V38 + SW!V38 + TEN!V38 + TEX!V38</f>
        <v>203.29332381000003</v>
      </c>
      <c r="W38" s="8">
        <f xml:space="preserve"> 0 + CAL!W38 + CAR!W38 + CENT!W38 + FLA!W38 + MIDA!W38 + MIDW!W38 + NE!W38 + NY!W38 + NW!W38 + SE!W38 + SW!W38 + TEN!W38 + TEX!W38</f>
        <v>216.04300760999999</v>
      </c>
      <c r="X38" s="8">
        <f xml:space="preserve"> 0 + CAL!X38 + CAR!X38 + CENT!X38 + FLA!X38 + MIDA!X38 + MIDW!X38 + NE!X38 + NY!X38 + NW!X38 + SE!X38 + SW!X38 + TEN!X38 + TEX!X38</f>
        <v>229.73401356000002</v>
      </c>
      <c r="Y38" s="8">
        <f xml:space="preserve"> 0 + CAL!Y38 + CAR!Y38 + CENT!Y38 + FLA!Y38 + MIDA!Y38 + MIDW!Y38 + NE!Y38 + NY!Y38 + NW!Y38 + SE!Y38 + SW!Y38 + TEN!Y38 + TEX!Y38</f>
        <v>240.84568442999998</v>
      </c>
      <c r="Z38" s="8">
        <f xml:space="preserve"> 0 + CAL!Z38 + CAR!Z38 + CENT!Z38 + FLA!Z38 + MIDA!Z38 + MIDW!Z38 + NE!Z38 + NY!Z38 + NW!Z38 + SE!Z38 + SW!Z38 + TEN!Z38 + TEX!Z38</f>
        <v>252.69538870000002</v>
      </c>
      <c r="AA38" s="8">
        <f xml:space="preserve"> 0 + CAL!AA38 + CAR!AA38 + CENT!AA38 + FLA!AA38 + MIDA!AA38 + MIDW!AA38 + NE!AA38 + NY!AA38 + NW!AA38 + SE!AA38 + SW!AA38 + TEN!AA38 + TEX!AA38</f>
        <v>265.30559291999998</v>
      </c>
      <c r="AB38" s="8">
        <f xml:space="preserve"> 0 + CAL!AB38 + CAR!AB38 + CENT!AB38 + FLA!AB38 + MIDA!AB38 + MIDW!AB38 + NE!AB38 + NY!AB38 + NW!AB38 + SE!AB38 + SW!AB38 + TEN!AB38 + TEX!AB38</f>
        <v>278.71650018999998</v>
      </c>
      <c r="AC38" s="8">
        <f xml:space="preserve"> 0 + CAL!AC38 + CAR!AC38 + CENT!AC38 + FLA!AC38 + MIDA!AC38 + MIDW!AC38 + NE!AC38 + NY!AC38 + NW!AC38 + SE!AC38 + SW!AC38 + TEN!AC38 + TEX!AC38</f>
        <v>292.99187130000001</v>
      </c>
    </row>
    <row r="39" spans="1:29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114561.48087712999</v>
      </c>
      <c r="D39" s="8">
        <f xml:space="preserve"> 0 + CAL!D39 + CAR!D39 + CENT!D39 + FLA!D39 + MIDA!D39 + MIDW!D39 + NE!D39 + NY!D39 + NW!D39 + SE!D39 + SW!D39 + TEN!D39 + TEX!D39</f>
        <v>111712.80356916998</v>
      </c>
      <c r="E39" s="8">
        <f xml:space="preserve"> 0 + CAL!E39 + CAR!E39 + CENT!E39 + FLA!E39 + MIDA!E39 + MIDW!E39 + NE!E39 + NY!E39 + NW!E39 + SE!E39 + SW!E39 + TEN!E39 + TEX!E39</f>
        <v>109427.05345473999</v>
      </c>
      <c r="F39" s="8">
        <f xml:space="preserve"> 0 + CAL!F39 + CAR!F39 + CENT!F39 + FLA!F39 + MIDA!F39 + MIDW!F39 + NE!F39 + NY!F39 + NW!F39 + SE!F39 + SW!F39 + TEN!F39 + TEX!F39</f>
        <v>123053.79239225002</v>
      </c>
      <c r="G39" s="8">
        <f xml:space="preserve"> 0 + CAL!G39 + CAR!G39 + CENT!G39 + FLA!G39 + MIDA!G39 + MIDW!G39 + NE!G39 + NY!G39 + NW!G39 + SE!G39 + SW!G39 + TEN!G39 + TEX!G39</f>
        <v>140211.29732921004</v>
      </c>
      <c r="H39" s="8">
        <f xml:space="preserve"> 0 + CAL!H39 + CAR!H39 + CENT!H39 + FLA!H39 + MIDA!H39 + MIDW!H39 + NE!H39 + NY!H39 + NW!H39 + SE!H39 + SW!H39 + TEN!H39 + TEX!H39</f>
        <v>166034.69461177001</v>
      </c>
      <c r="I39" s="8">
        <f xml:space="preserve"> 0 + CAL!I39 + CAR!I39 + CENT!I39 + FLA!I39 + MIDA!I39 + MIDW!I39 + NE!I39 + NY!I39 + NW!I39 + SE!I39 + SW!I39 + TEN!I39 + TEX!I39</f>
        <v>196391.0739703</v>
      </c>
      <c r="J39" s="8">
        <f xml:space="preserve"> 0 + CAL!J39 + CAR!J39 + CENT!J39 + FLA!J39 + MIDA!J39 + MIDW!J39 + NE!J39 + NY!J39 + NW!J39 + SE!J39 + SW!J39 + TEN!J39 + TEX!J39</f>
        <v>227616.16589578002</v>
      </c>
      <c r="K39" s="8">
        <f xml:space="preserve"> 0 + CAL!K39 + CAR!K39 + CENT!K39 + FLA!K39 + MIDA!K39 + MIDW!K39 + NE!K39 + NY!K39 + NW!K39 + SE!K39 + SW!K39 + TEN!K39 + TEX!K39</f>
        <v>260787.36737601002</v>
      </c>
      <c r="L39" s="8">
        <f xml:space="preserve"> 0 + CAL!L39 + CAR!L39 + CENT!L39 + FLA!L39 + MIDA!L39 + MIDW!L39 + NE!L39 + NY!L39 + NW!L39 + SE!L39 + SW!L39 + TEN!L39 + TEX!L39</f>
        <v>294644.76106951997</v>
      </c>
      <c r="M39" s="8">
        <f xml:space="preserve"> 0 + CAL!M39 + CAR!M39 + CENT!M39 + FLA!M39 + MIDA!M39 + MIDW!M39 + NE!M39 + NY!M39 + NW!M39 + SE!M39 + SW!M39 + TEN!M39 + TEX!M39</f>
        <v>323989.29406023998</v>
      </c>
      <c r="N39" s="8">
        <f xml:space="preserve"> 0 + CAL!N39 + CAR!N39 + CENT!N39 + FLA!N39 + MIDA!N39 + MIDW!N39 + NE!N39 + NY!N39 + NW!N39 + SE!N39 + SW!N39 + TEN!N39 + TEX!N39</f>
        <v>356776.87468377</v>
      </c>
      <c r="O39" s="8">
        <f xml:space="preserve"> 0 + CAL!O39 + CAR!O39 + CENT!O39 + FLA!O39 + MIDA!O39 + MIDW!O39 + NE!O39 + NY!O39 + NW!O39 + SE!O39 + SW!O39 + TEN!O39 + TEX!O39</f>
        <v>390441.00097003998</v>
      </c>
      <c r="P39" s="8">
        <f xml:space="preserve"> 0 + CAL!P39 + CAR!P39 + CENT!P39 + FLA!P39 + MIDA!P39 + MIDW!P39 + NE!P39 + NY!P39 + NW!P39 + SE!P39 + SW!P39 + TEN!P39 + TEX!P39</f>
        <v>420209.28297651996</v>
      </c>
      <c r="Q39" s="8">
        <f xml:space="preserve"> 0 + CAL!Q39 + CAR!Q39 + CENT!Q39 + FLA!Q39 + MIDA!Q39 + MIDW!Q39 + NE!Q39 + NY!Q39 + NW!Q39 + SE!Q39 + SW!Q39 + TEN!Q39 + TEX!Q39</f>
        <v>452929.94065677008</v>
      </c>
      <c r="R39" s="8">
        <f xml:space="preserve"> 0 + CAL!R39 + CAR!R39 + CENT!R39 + FLA!R39 + MIDA!R39 + MIDW!R39 + NE!R39 + NY!R39 + NW!R39 + SE!R39 + SW!R39 + TEN!R39 + TEX!R39</f>
        <v>482064.81510504009</v>
      </c>
      <c r="S39" s="8">
        <f xml:space="preserve"> 0 + CAL!S39 + CAR!S39 + CENT!S39 + FLA!S39 + MIDA!S39 + MIDW!S39 + NE!S39 + NY!S39 + NW!S39 + SE!S39 + SW!S39 + TEN!S39 + TEX!S39</f>
        <v>513092.70176079992</v>
      </c>
      <c r="T39" s="8">
        <f xml:space="preserve"> 0 + CAL!T39 + CAR!T39 + CENT!T39 + FLA!T39 + MIDA!T39 + MIDW!T39 + NE!T39 + NY!T39 + NW!T39 + SE!T39 + SW!T39 + TEN!T39 + TEX!T39</f>
        <v>549652.70130802004</v>
      </c>
      <c r="U39" s="8">
        <f xml:space="preserve"> 0 + CAL!U39 + CAR!U39 + CENT!U39 + FLA!U39 + MIDA!U39 + MIDW!U39 + NE!U39 + NY!U39 + NW!U39 + SE!U39 + SW!U39 + TEN!U39 + TEX!U39</f>
        <v>580191.62778924999</v>
      </c>
      <c r="V39" s="8">
        <f xml:space="preserve"> 0 + CAL!V39 + CAR!V39 + CENT!V39 + FLA!V39 + MIDA!V39 + MIDW!V39 + NE!V39 + NY!V39 + NW!V39 + SE!V39 + SW!V39 + TEN!V39 + TEX!V39</f>
        <v>610949.45290544</v>
      </c>
      <c r="W39" s="8">
        <f xml:space="preserve"> 0 + CAL!W39 + CAR!W39 + CENT!W39 + FLA!W39 + MIDA!W39 + MIDW!W39 + NE!W39 + NY!W39 + NW!W39 + SE!W39 + SW!W39 + TEN!W39 + TEX!W39</f>
        <v>638069.19681954</v>
      </c>
      <c r="X39" s="8">
        <f xml:space="preserve"> 0 + CAL!X39 + CAR!X39 + CENT!X39 + FLA!X39 + MIDA!X39 + MIDW!X39 + NE!X39 + NY!X39 + NW!X39 + SE!X39 + SW!X39 + TEN!X39 + TEX!X39</f>
        <v>661317.09239960997</v>
      </c>
      <c r="Y39" s="8">
        <f xml:space="preserve"> 0 + CAL!Y39 + CAR!Y39 + CENT!Y39 + FLA!Y39 + MIDA!Y39 + MIDW!Y39 + NE!Y39 + NY!Y39 + NW!Y39 + SE!Y39 + SW!Y39 + TEN!Y39 + TEX!Y39</f>
        <v>680410.35902169999</v>
      </c>
      <c r="Z39" s="8">
        <f xml:space="preserve"> 0 + CAL!Z39 + CAR!Z39 + CENT!Z39 + FLA!Z39 + MIDA!Z39 + MIDW!Z39 + NE!Z39 + NY!Z39 + NW!Z39 + SE!Z39 + SW!Z39 + TEN!Z39 + TEX!Z39</f>
        <v>704484.29005719989</v>
      </c>
      <c r="AA39" s="8">
        <f xml:space="preserve"> 0 + CAL!AA39 + CAR!AA39 + CENT!AA39 + FLA!AA39 + MIDA!AA39 + MIDW!AA39 + NE!AA39 + NY!AA39 + NW!AA39 + SE!AA39 + SW!AA39 + TEN!AA39 + TEX!AA39</f>
        <v>729413.83805157989</v>
      </c>
      <c r="AB39" s="8">
        <f xml:space="preserve"> 0 + CAL!AB39 + CAR!AB39 + CENT!AB39 + FLA!AB39 + MIDA!AB39 + MIDW!AB39 + NE!AB39 + NY!AB39 + NW!AB39 + SE!AB39 + SW!AB39 + TEN!AB39 + TEX!AB39</f>
        <v>753721.10120350006</v>
      </c>
      <c r="AC39" s="8">
        <f xml:space="preserve"> 0 + CAL!AC39 + CAR!AC39 + CENT!AC39 + FLA!AC39 + MIDA!AC39 + MIDW!AC39 + NE!AC39 + NY!AC39 + NW!AC39 + SE!AC39 + SW!AC39 + TEN!AC39 + TEX!AC39</f>
        <v>775128.54498310003</v>
      </c>
    </row>
    <row r="40" spans="1:29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759114672.45048511</v>
      </c>
      <c r="D40" s="8">
        <f xml:space="preserve"> 0 + CAL!D40 + CAR!D40 + CENT!D40 + FLA!D40 + MIDA!D40 + MIDW!D40 + NE!D40 + NY!D40 + NW!D40 + SE!D40 + SW!D40 + TEN!D40 + TEX!D40</f>
        <v>740244433.11856019</v>
      </c>
      <c r="E40" s="8">
        <f xml:space="preserve"> 0 + CAL!E40 + CAR!E40 + CENT!E40 + FLA!E40 + MIDA!E40 + MIDW!E40 + NE!E40 + NY!E40 + NW!E40 + SE!E40 + SW!E40 + TEN!E40 + TEX!E40</f>
        <v>725780524.04201484</v>
      </c>
      <c r="F40" s="8">
        <f xml:space="preserve"> 0 + CAL!F40 + CAR!F40 + CENT!F40 + FLA!F40 + MIDA!F40 + MIDW!F40 + NE!F40 + NY!F40 + NW!F40 + SE!F40 + SW!F40 + TEN!F40 + TEX!F40</f>
        <v>829321977.18808365</v>
      </c>
      <c r="G40" s="8">
        <f xml:space="preserve"> 0 + CAL!G40 + CAR!G40 + CENT!G40 + FLA!G40 + MIDA!G40 + MIDW!G40 + NE!G40 + NY!G40 + NW!G40 + SE!G40 + SW!G40 + TEN!G40 + TEX!G40</f>
        <v>956216974.99449646</v>
      </c>
      <c r="H40" s="8">
        <f xml:space="preserve"> 0 + CAL!H40 + CAR!H40 + CENT!H40 + FLA!H40 + MIDA!H40 + MIDW!H40 + NE!H40 + NY!H40 + NW!H40 + SE!H40 + SW!H40 + TEN!H40 + TEX!H40</f>
        <v>1139068826.1326091</v>
      </c>
      <c r="I40" s="8">
        <f xml:space="preserve"> 0 + CAL!I40 + CAR!I40 + CENT!I40 + FLA!I40 + MIDA!I40 + MIDW!I40 + NE!I40 + NY!I40 + NW!I40 + SE!I40 + SW!I40 + TEN!I40 + TEX!I40</f>
        <v>1348436016.8859875</v>
      </c>
      <c r="J40" s="8">
        <f xml:space="preserve"> 0 + CAL!J40 + CAR!J40 + CENT!J40 + FLA!J40 + MIDA!J40 + MIDW!J40 + NE!J40 + NY!J40 + NW!J40 + SE!J40 + SW!J40 + TEN!J40 + TEX!J40</f>
        <v>1562785967.5349274</v>
      </c>
      <c r="K40" s="8">
        <f xml:space="preserve"> 0 + CAL!K40 + CAR!K40 + CENT!K40 + FLA!K40 + MIDA!K40 + MIDW!K40 + NE!K40 + NY!K40 + NW!K40 + SE!K40 + SW!K40 + TEN!K40 + TEX!K40</f>
        <v>1790474313.3602898</v>
      </c>
      <c r="L40" s="8">
        <f xml:space="preserve"> 0 + CAL!L40 + CAR!L40 + CENT!L40 + FLA!L40 + MIDA!L40 + MIDW!L40 + NE!L40 + NY!L40 + NW!L40 + SE!L40 + SW!L40 + TEN!L40 + TEX!L40</f>
        <v>2022023872.316349</v>
      </c>
      <c r="M40" s="8">
        <f xml:space="preserve"> 0 + CAL!M40 + CAR!M40 + CENT!M40 + FLA!M40 + MIDA!M40 + MIDW!M40 + NE!M40 + NY!M40 + NW!M40 + SE!M40 + SW!M40 + TEN!M40 + TEX!M40</f>
        <v>2223901283.9484391</v>
      </c>
      <c r="N40" s="8">
        <f xml:space="preserve"> 0 + CAL!N40 + CAR!N40 + CENT!N40 + FLA!N40 + MIDA!N40 + MIDW!N40 + NE!N40 + NY!N40 + NW!N40 + SE!N40 + SW!N40 + TEN!N40 + TEX!N40</f>
        <v>2450025895.909266</v>
      </c>
      <c r="O40" s="8">
        <f xml:space="preserve"> 0 + CAL!O40 + CAR!O40 + CENT!O40 + FLA!O40 + MIDA!O40 + MIDW!O40 + NE!O40 + NY!O40 + NW!O40 + SE!O40 + SW!O40 + TEN!O40 + TEX!O40</f>
        <v>2682119544.7395802</v>
      </c>
      <c r="P40" s="8">
        <f xml:space="preserve"> 0 + CAL!P40 + CAR!P40 + CENT!P40 + FLA!P40 + MIDA!P40 + MIDW!P40 + NE!P40 + NY!P40 + NW!P40 + SE!P40 + SW!P40 + TEN!P40 + TEX!P40</f>
        <v>2885892547.122313</v>
      </c>
      <c r="Q40" s="8">
        <f xml:space="preserve"> 0 + CAL!Q40 + CAR!Q40 + CENT!Q40 + FLA!Q40 + MIDA!Q40 + MIDW!Q40 + NE!Q40 + NY!Q40 + NW!Q40 + SE!Q40 + SW!Q40 + TEN!Q40 + TEX!Q40</f>
        <v>3109762358.8486156</v>
      </c>
      <c r="R40" s="8">
        <f xml:space="preserve"> 0 + CAL!R40 + CAR!R40 + CENT!R40 + FLA!R40 + MIDA!R40 + MIDW!R40 + NE!R40 + NY!R40 + NW!R40 + SE!R40 + SW!R40 + TEN!R40 + TEX!R40</f>
        <v>3308232237.984067</v>
      </c>
      <c r="S40" s="8">
        <f xml:space="preserve"> 0 + CAL!S40 + CAR!S40 + CENT!S40 + FLA!S40 + MIDA!S40 + MIDW!S40 + NE!S40 + NY!S40 + NW!S40 + SE!S40 + SW!S40 + TEN!S40 + TEX!S40</f>
        <v>3519806158.5426092</v>
      </c>
      <c r="T40" s="8">
        <f xml:space="preserve"> 0 + CAL!T40 + CAR!T40 + CENT!T40 + FLA!T40 + MIDA!T40 + MIDW!T40 + NE!T40 + NY!T40 + NW!T40 + SE!T40 + SW!T40 + TEN!T40 + TEX!T40</f>
        <v>3769900605.2698283</v>
      </c>
      <c r="U40" s="8">
        <f xml:space="preserve"> 0 + CAL!U40 + CAR!U40 + CENT!U40 + FLA!U40 + MIDA!U40 + MIDW!U40 + NE!U40 + NY!U40 + NW!U40 + SE!U40 + SW!U40 + TEN!U40 + TEX!U40</f>
        <v>3971881544.6895647</v>
      </c>
      <c r="V40" s="8">
        <f xml:space="preserve"> 0 + CAL!V40 + CAR!V40 + CENT!V40 + FLA!V40 + MIDA!V40 + MIDW!V40 + NE!V40 + NY!V40 + NW!V40 + SE!V40 + SW!V40 + TEN!V40 + TEX!V40</f>
        <v>4175514021.0359025</v>
      </c>
      <c r="W40" s="8">
        <f xml:space="preserve"> 0 + CAL!W40 + CAR!W40 + CENT!W40 + FLA!W40 + MIDA!W40 + MIDW!W40 + NE!W40 + NY!W40 + NW!W40 + SE!W40 + SW!W40 + TEN!W40 + TEX!W40</f>
        <v>4355993397.5884819</v>
      </c>
      <c r="X40" s="8">
        <f xml:space="preserve"> 0 + CAL!X40 + CAR!X40 + CENT!X40 + FLA!X40 + MIDA!X40 + MIDW!X40 + NE!X40 + NY!X40 + NW!X40 + SE!X40 + SW!X40 + TEN!X40 + TEX!X40</f>
        <v>4509996936.7483921</v>
      </c>
      <c r="Y40" s="8">
        <f xml:space="preserve"> 0 + CAL!Y40 + CAR!Y40 + CENT!Y40 + FLA!Y40 + MIDA!Y40 + MIDW!Y40 + NE!Y40 + NY!Y40 + NW!Y40 + SE!Y40 + SW!Y40 + TEN!Y40 + TEX!Y40</f>
        <v>4642209752.6596441</v>
      </c>
      <c r="Z40" s="8">
        <f xml:space="preserve"> 0 + CAL!Z40 + CAR!Z40 + CENT!Z40 + FLA!Z40 + MIDA!Z40 + MIDW!Z40 + NE!Z40 + NY!Z40 + NW!Z40 + SE!Z40 + SW!Z40 + TEN!Z40 + TEX!Z40</f>
        <v>4809477323.6214018</v>
      </c>
      <c r="AA40" s="8">
        <f xml:space="preserve"> 0 + CAL!AA40 + CAR!AA40 + CENT!AA40 + FLA!AA40 + MIDA!AA40 + MIDW!AA40 + NE!AA40 + NY!AA40 + NW!AA40 + SE!AA40 + SW!AA40 + TEN!AA40 + TEX!AA40</f>
        <v>4982005937.4407101</v>
      </c>
      <c r="AB40" s="8">
        <f xml:space="preserve"> 0 + CAL!AB40 + CAR!AB40 + CENT!AB40 + FLA!AB40 + MIDA!AB40 + MIDW!AB40 + NE!AB40 + NY!AB40 + NW!AB40 + SE!AB40 + SW!AB40 + TEN!AB40 + TEX!AB40</f>
        <v>5146698815.1697702</v>
      </c>
      <c r="AC40" s="8">
        <f xml:space="preserve"> 0 + CAL!AC40 + CAR!AC40 + CENT!AC40 + FLA!AC40 + MIDA!AC40 + MIDW!AC40 + NE!AC40 + NY!AC40 + NW!AC40 + SE!AC40 + SW!AC40 + TEN!AC40 + TEX!AC40</f>
        <v>5292682069.2869425</v>
      </c>
    </row>
    <row r="41" spans="1:29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759114672.45048511</v>
      </c>
      <c r="D41" s="8">
        <f xml:space="preserve"> 0 + CAL!D41 + CAR!D41 + CENT!D41 + FLA!D41 + MIDA!D41 + MIDW!D41 + NE!D41 + NY!D41 + NW!D41 + SE!D41 + SW!D41 + TEN!D41 + TEX!D41</f>
        <v>740244433.11856019</v>
      </c>
      <c r="E41" s="8">
        <f xml:space="preserve"> 0 + CAL!E41 + CAR!E41 + CENT!E41 + FLA!E41 + MIDA!E41 + MIDW!E41 + NE!E41 + NY!E41 + NW!E41 + SE!E41 + SW!E41 + TEN!E41 + TEX!E41</f>
        <v>725780524.04201484</v>
      </c>
      <c r="F41" s="8">
        <f xml:space="preserve"> 0 + CAL!F41 + CAR!F41 + CENT!F41 + FLA!F41 + MIDA!F41 + MIDW!F41 + NE!F41 + NY!F41 + NW!F41 + SE!F41 + SW!F41 + TEN!F41 + TEX!F41</f>
        <v>829321977.18808365</v>
      </c>
      <c r="G41" s="8">
        <f xml:space="preserve"> 0 + CAL!G41 + CAR!G41 + CENT!G41 + FLA!G41 + MIDA!G41 + MIDW!G41 + NE!G41 + NY!G41 + NW!G41 + SE!G41 + SW!G41 + TEN!G41 + TEX!G41</f>
        <v>956216974.99449646</v>
      </c>
      <c r="H41" s="8">
        <f xml:space="preserve"> 0 + CAL!H41 + CAR!H41 + CENT!H41 + FLA!H41 + MIDA!H41 + MIDW!H41 + NE!H41 + NY!H41 + NW!H41 + SE!H41 + SW!H41 + TEN!H41 + TEX!H41</f>
        <v>1139068826.1326091</v>
      </c>
      <c r="I41" s="8">
        <f xml:space="preserve"> 0 + CAL!I41 + CAR!I41 + CENT!I41 + FLA!I41 + MIDA!I41 + MIDW!I41 + NE!I41 + NY!I41 + NW!I41 + SE!I41 + SW!I41 + TEN!I41 + TEX!I41</f>
        <v>1348436016.8859875</v>
      </c>
      <c r="J41" s="8">
        <f xml:space="preserve"> 0 + CAL!J41 + CAR!J41 + CENT!J41 + FLA!J41 + MIDA!J41 + MIDW!J41 + NE!J41 + NY!J41 + NW!J41 + SE!J41 + SW!J41 + TEN!J41 + TEX!J41</f>
        <v>1562785967.5349274</v>
      </c>
      <c r="K41" s="8">
        <f xml:space="preserve"> 0 + CAL!K41 + CAR!K41 + CENT!K41 + FLA!K41 + MIDA!K41 + MIDW!K41 + NE!K41 + NY!K41 + NW!K41 + SE!K41 + SW!K41 + TEN!K41 + TEX!K41</f>
        <v>1790474313.3602898</v>
      </c>
      <c r="L41" s="8">
        <f xml:space="preserve"> 0 + CAL!L41 + CAR!L41 + CENT!L41 + FLA!L41 + MIDA!L41 + MIDW!L41 + NE!L41 + NY!L41 + NW!L41 + SE!L41 + SW!L41 + TEN!L41 + TEX!L41</f>
        <v>2022023872.316349</v>
      </c>
      <c r="M41" s="8">
        <f xml:space="preserve"> 0 + CAL!M41 + CAR!M41 + CENT!M41 + FLA!M41 + MIDA!M41 + MIDW!M41 + NE!M41 + NY!M41 + NW!M41 + SE!M41 + SW!M41 + TEN!M41 + TEX!M41</f>
        <v>2223901283.9484391</v>
      </c>
      <c r="N41" s="8">
        <f xml:space="preserve"> 0 + CAL!N41 + CAR!N41 + CENT!N41 + FLA!N41 + MIDA!N41 + MIDW!N41 + NE!N41 + NY!N41 + NW!N41 + SE!N41 + SW!N41 + TEN!N41 + TEX!N41</f>
        <v>2450025895.909266</v>
      </c>
      <c r="O41" s="8">
        <f xml:space="preserve"> 0 + CAL!O41 + CAR!O41 + CENT!O41 + FLA!O41 + MIDA!O41 + MIDW!O41 + NE!O41 + NY!O41 + NW!O41 + SE!O41 + SW!O41 + TEN!O41 + TEX!O41</f>
        <v>2682119544.7395802</v>
      </c>
      <c r="P41" s="8">
        <f xml:space="preserve"> 0 + CAL!P41 + CAR!P41 + CENT!P41 + FLA!P41 + MIDA!P41 + MIDW!P41 + NE!P41 + NY!P41 + NW!P41 + SE!P41 + SW!P41 + TEN!P41 + TEX!P41</f>
        <v>2885892547.122313</v>
      </c>
      <c r="Q41" s="8">
        <f xml:space="preserve"> 0 + CAL!Q41 + CAR!Q41 + CENT!Q41 + FLA!Q41 + MIDA!Q41 + MIDW!Q41 + NE!Q41 + NY!Q41 + NW!Q41 + SE!Q41 + SW!Q41 + TEN!Q41 + TEX!Q41</f>
        <v>3109762358.8486156</v>
      </c>
      <c r="R41" s="8">
        <f xml:space="preserve"> 0 + CAL!R41 + CAR!R41 + CENT!R41 + FLA!R41 + MIDA!R41 + MIDW!R41 + NE!R41 + NY!R41 + NW!R41 + SE!R41 + SW!R41 + TEN!R41 + TEX!R41</f>
        <v>3308232237.984067</v>
      </c>
      <c r="S41" s="8">
        <f xml:space="preserve"> 0 + CAL!S41 + CAR!S41 + CENT!S41 + FLA!S41 + MIDA!S41 + MIDW!S41 + NE!S41 + NY!S41 + NW!S41 + SE!S41 + SW!S41 + TEN!S41 + TEX!S41</f>
        <v>3519806158.5426092</v>
      </c>
      <c r="T41" s="8">
        <f xml:space="preserve"> 0 + CAL!T41 + CAR!T41 + CENT!T41 + FLA!T41 + MIDA!T41 + MIDW!T41 + NE!T41 + NY!T41 + NW!T41 + SE!T41 + SW!T41 + TEN!T41 + TEX!T41</f>
        <v>3769900605.2698283</v>
      </c>
      <c r="U41" s="8">
        <f xml:space="preserve"> 0 + CAL!U41 + CAR!U41 + CENT!U41 + FLA!U41 + MIDA!U41 + MIDW!U41 + NE!U41 + NY!U41 + NW!U41 + SE!U41 + SW!U41 + TEN!U41 + TEX!U41</f>
        <v>3971881544.6895647</v>
      </c>
      <c r="V41" s="8">
        <f xml:space="preserve"> 0 + CAL!V41 + CAR!V41 + CENT!V41 + FLA!V41 + MIDA!V41 + MIDW!V41 + NE!V41 + NY!V41 + NW!V41 + SE!V41 + SW!V41 + TEN!V41 + TEX!V41</f>
        <v>4175514021.0359025</v>
      </c>
      <c r="W41" s="8">
        <f xml:space="preserve"> 0 + CAL!W41 + CAR!W41 + CENT!W41 + FLA!W41 + MIDA!W41 + MIDW!W41 + NE!W41 + NY!W41 + NW!W41 + SE!W41 + SW!W41 + TEN!W41 + TEX!W41</f>
        <v>4355993397.5884819</v>
      </c>
      <c r="X41" s="8">
        <f xml:space="preserve"> 0 + CAL!X41 + CAR!X41 + CENT!X41 + FLA!X41 + MIDA!X41 + MIDW!X41 + NE!X41 + NY!X41 + NW!X41 + SE!X41 + SW!X41 + TEN!X41 + TEX!X41</f>
        <v>4509996936.7483921</v>
      </c>
      <c r="Y41" s="8">
        <f xml:space="preserve"> 0 + CAL!Y41 + CAR!Y41 + CENT!Y41 + FLA!Y41 + MIDA!Y41 + MIDW!Y41 + NE!Y41 + NY!Y41 + NW!Y41 + SE!Y41 + SW!Y41 + TEN!Y41 + TEX!Y41</f>
        <v>4642209752.6596441</v>
      </c>
      <c r="Z41" s="8">
        <f xml:space="preserve"> 0 + CAL!Z41 + CAR!Z41 + CENT!Z41 + FLA!Z41 + MIDA!Z41 + MIDW!Z41 + NE!Z41 + NY!Z41 + NW!Z41 + SE!Z41 + SW!Z41 + TEN!Z41 + TEX!Z41</f>
        <v>4809477323.6214018</v>
      </c>
      <c r="AA41" s="8">
        <f xml:space="preserve"> 0 + CAL!AA41 + CAR!AA41 + CENT!AA41 + FLA!AA41 + MIDA!AA41 + MIDW!AA41 + NE!AA41 + NY!AA41 + NW!AA41 + SE!AA41 + SW!AA41 + TEN!AA41 + TEX!AA41</f>
        <v>4982005937.4407101</v>
      </c>
      <c r="AB41" s="8">
        <f xml:space="preserve"> 0 + CAL!AB41 + CAR!AB41 + CENT!AB41 + FLA!AB41 + MIDA!AB41 + MIDW!AB41 + NE!AB41 + NY!AB41 + NW!AB41 + SE!AB41 + SW!AB41 + TEN!AB41 + TEX!AB41</f>
        <v>5146698815.1697702</v>
      </c>
      <c r="AC41" s="8">
        <f xml:space="preserve"> 0 + CAL!AC41 + CAR!AC41 + CENT!AC41 + FLA!AC41 + MIDA!AC41 + MIDW!AC41 + NE!AC41 + NY!AC41 + NW!AC41 + SE!AC41 + SW!AC41 + TEN!AC41 + TEX!AC41</f>
        <v>5292682069.2869425</v>
      </c>
    </row>
    <row r="42" spans="1:29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63260.265679930002</v>
      </c>
      <c r="C42" s="8">
        <f xml:space="preserve"> 0 + CAL!C42 + CAR!C42 + CENT!C42 + FLA!C42 + MIDA!C42 + MIDW!C42 + NE!C42 + NY!C42 + NW!C42 + SE!C42 + SW!C42 + TEN!C42 + TEX!C42</f>
        <v>61696.745845999998</v>
      </c>
      <c r="D42" s="8">
        <f xml:space="preserve"> 0 + CAL!D42 + CAR!D42 + CENT!D42 + FLA!D42 + MIDA!D42 + MIDW!D42 + NE!D42 + NY!D42 + NW!D42 + SE!D42 + SW!D42 + TEN!D42 + TEX!D42</f>
        <v>60162.658271280001</v>
      </c>
      <c r="E42" s="8">
        <f xml:space="preserve"> 0 + CAL!E42 + CAR!E42 + CENT!E42 + FLA!E42 + MIDA!E42 + MIDW!E42 + NE!E42 + NY!E42 + NW!E42 + SE!E42 + SW!E42 + TEN!E42 + TEX!E42</f>
        <v>58938.570110209992</v>
      </c>
      <c r="F42" s="8">
        <f xml:space="preserve"> 0 + CAL!F42 + CAR!F42 + CENT!F42 + FLA!F42 + MIDA!F42 + MIDW!F42 + NE!F42 + NY!F42 + NW!F42 + SE!F42 + SW!F42 + TEN!F42 + TEX!F42</f>
        <v>66411.13790786</v>
      </c>
      <c r="G42" s="8">
        <f xml:space="preserve"> 0 + CAL!G42 + CAR!G42 + CENT!G42 + FLA!G42 + MIDA!G42 + MIDW!G42 + NE!G42 + NY!G42 + NW!G42 + SE!G42 + SW!G42 + TEN!G42 + TEX!G42</f>
        <v>75784.762171710012</v>
      </c>
      <c r="H42" s="8">
        <f xml:space="preserve"> 0 + CAL!H42 + CAR!H42 + CENT!H42 + FLA!H42 + MIDA!H42 + MIDW!H42 + NE!H42 + NY!H42 + NW!H42 + SE!H42 + SW!H42 + TEN!H42 + TEX!H42</f>
        <v>89810.559429219997</v>
      </c>
      <c r="I42" s="8">
        <f xml:space="preserve"> 0 + CAL!I42 + CAR!I42 + CENT!I42 + FLA!I42 + MIDA!I42 + MIDW!I42 + NE!I42 + NY!I42 + NW!I42 + SE!I42 + SW!I42 + TEN!I42 + TEX!I42</f>
        <v>106241.97940393999</v>
      </c>
      <c r="J42" s="8">
        <f xml:space="preserve"> 0 + CAL!J42 + CAR!J42 + CENT!J42 + FLA!J42 + MIDA!J42 + MIDW!J42 + NE!J42 + NY!J42 + NW!J42 + SE!J42 + SW!J42 + TEN!J42 + TEX!J42</f>
        <v>123133.42127094002</v>
      </c>
      <c r="K42" s="8">
        <f xml:space="preserve"> 0 + CAL!K42 + CAR!K42 + CENT!K42 + FLA!K42 + MIDA!K42 + MIDW!K42 + NE!K42 + NY!K42 + NW!K42 + SE!K42 + SW!K42 + TEN!K42 + TEX!K42</f>
        <v>141077.41297919996</v>
      </c>
      <c r="L42" s="8">
        <f xml:space="preserve"> 0 + CAL!L42 + CAR!L42 + CENT!L42 + FLA!L42 + MIDA!L42 + MIDW!L42 + NE!L42 + NY!L42 + NW!L42 + SE!L42 + SW!L42 + TEN!L42 + TEX!L42</f>
        <v>159384.01926511002</v>
      </c>
      <c r="M42" s="8">
        <f xml:space="preserve"> 0 + CAL!M42 + CAR!M42 + CENT!M42 + FLA!M42 + MIDA!M42 + MIDW!M42 + NE!M42 + NY!M42 + NW!M42 + SE!M42 + SW!M42 + TEN!M42 + TEX!M42</f>
        <v>175262.57585207</v>
      </c>
      <c r="N42" s="8">
        <f xml:space="preserve"> 0 + CAL!N42 + CAR!N42 + CENT!N42 + FLA!N42 + MIDA!N42 + MIDW!N42 + NE!N42 + NY!N42 + NW!N42 + SE!N42 + SW!N42 + TEN!N42 + TEX!N42</f>
        <v>193009.85968569003</v>
      </c>
      <c r="O42" s="8">
        <f xml:space="preserve"> 0 + CAL!O42 + CAR!O42 + CENT!O42 + FLA!O42 + MIDA!O42 + MIDW!O42 + NE!O42 + NY!O42 + NW!O42 + SE!O42 + SW!O42 + TEN!O42 + TEX!O42</f>
        <v>211230.83041120003</v>
      </c>
      <c r="P42" s="8">
        <f xml:space="preserve"> 0 + CAL!P42 + CAR!P42 + CENT!P42 + FLA!P42 + MIDA!P42 + MIDW!P42 + NE!P42 + NY!P42 + NW!P42 + SE!P42 + SW!P42 + TEN!P42 + TEX!P42</f>
        <v>227328.37260006001</v>
      </c>
      <c r="Q42" s="8">
        <f xml:space="preserve"> 0 + CAL!Q42 + CAR!Q42 + CENT!Q42 + FLA!Q42 + MIDA!Q42 + MIDW!Q42 + NE!Q42 + NY!Q42 + NW!Q42 + SE!Q42 + SW!Q42 + TEN!Q42 + TEX!Q42</f>
        <v>245021.30252127</v>
      </c>
      <c r="R42" s="8">
        <f xml:space="preserve"> 0 + CAL!R42 + CAR!R42 + CENT!R42 + FLA!R42 + MIDA!R42 + MIDW!R42 + NE!R42 + NY!R42 + NW!R42 + SE!R42 + SW!R42 + TEN!R42 + TEX!R42</f>
        <v>260766.54331565002</v>
      </c>
      <c r="S42" s="8">
        <f xml:space="preserve"> 0 + CAL!S42 + CAR!S42 + CENT!S42 + FLA!S42 + MIDA!S42 + MIDW!S42 + NE!S42 + NY!S42 + NW!S42 + SE!S42 + SW!S42 + TEN!S42 + TEX!S42</f>
        <v>277536.92628866999</v>
      </c>
      <c r="T42" s="8">
        <f xml:space="preserve"> 0 + CAL!T42 + CAR!T42 + CENT!T42 + FLA!T42 + MIDA!T42 + MIDW!T42 + NE!T42 + NY!T42 + NW!T42 + SE!T42 + SW!T42 + TEN!T42 + TEX!T42</f>
        <v>297305.45004723995</v>
      </c>
      <c r="U42" s="8">
        <f xml:space="preserve"> 0 + CAL!U42 + CAR!U42 + CENT!U42 + FLA!U42 + MIDA!U42 + MIDW!U42 + NE!U42 + NY!U42 + NW!U42 + SE!U42 + SW!U42 + TEN!U42 + TEX!U42</f>
        <v>313748.27612088004</v>
      </c>
      <c r="V42" s="8">
        <f xml:space="preserve"> 0 + CAL!V42 + CAR!V42 + CENT!V42 + FLA!V42 + MIDA!V42 + MIDW!V42 + NE!V42 + NY!V42 + NW!V42 + SE!V42 + SW!V42 + TEN!V42 + TEX!V42</f>
        <v>330311.02208834002</v>
      </c>
      <c r="W42" s="8">
        <f xml:space="preserve"> 0 + CAL!W42 + CAR!W42 + CENT!W42 + FLA!W42 + MIDA!W42 + MIDW!W42 + NE!W42 + NY!W42 + NW!W42 + SE!W42 + SW!W42 + TEN!W42 + TEX!W42</f>
        <v>344924.13301301008</v>
      </c>
      <c r="X42" s="8">
        <f xml:space="preserve"> 0 + CAL!X42 + CAR!X42 + CENT!X42 + FLA!X42 + MIDA!X42 + MIDW!X42 + NE!X42 + NY!X42 + NW!X42 + SE!X42 + SW!X42 + TEN!X42 + TEX!X42</f>
        <v>357443.78184082999</v>
      </c>
      <c r="Y42" s="8">
        <f xml:space="preserve"> 0 + CAL!Y42 + CAR!Y42 + CENT!Y42 + FLA!Y42 + MIDA!Y42 + MIDW!Y42 + NE!Y42 + NY!Y42 + NW!Y42 + SE!Y42 + SW!Y42 + TEN!Y42 + TEX!Y42</f>
        <v>367783.98831694998</v>
      </c>
      <c r="Z42" s="8">
        <f xml:space="preserve"> 0 + CAL!Z42 + CAR!Z42 + CENT!Z42 + FLA!Z42 + MIDA!Z42 + MIDW!Z42 + NE!Z42 + NY!Z42 + NW!Z42 + SE!Z42 + SW!Z42 + TEN!Z42 + TEX!Z42</f>
        <v>380827.25806925999</v>
      </c>
      <c r="AA42" s="8">
        <f xml:space="preserve"> 0 + CAL!AA42 + CAR!AA42 + CENT!AA42 + FLA!AA42 + MIDA!AA42 + MIDW!AA42 + NE!AA42 + NY!AA42 + NW!AA42 + SE!AA42 + SW!AA42 + TEN!AA42 + TEX!AA42</f>
        <v>394327.18784855999</v>
      </c>
      <c r="AB42" s="8">
        <f xml:space="preserve"> 0 + CAL!AB42 + CAR!AB42 + CENT!AB42 + FLA!AB42 + MIDA!AB42 + MIDW!AB42 + NE!AB42 + NY!AB42 + NW!AB42 + SE!AB42 + SW!AB42 + TEN!AB42 + TEX!AB42</f>
        <v>407454.45649532997</v>
      </c>
      <c r="AC42" s="8">
        <f xml:space="preserve"> 0 + CAL!AC42 + CAR!AC42 + CENT!AC42 + FLA!AC42 + MIDA!AC42 + MIDW!AC42 + NE!AC42 + NY!AC42 + NW!AC42 + SE!AC42 + SW!AC42 + TEN!AC42 + TEX!AC42</f>
        <v>419025.14507057995</v>
      </c>
    </row>
    <row r="43" spans="1:29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45.546880359999996</v>
      </c>
      <c r="D43" s="8">
        <f xml:space="preserve"> 0 + CAL!D43 + CAR!D43 + CENT!D43 + FLA!D43 + MIDA!D43 + MIDW!D43 + NE!D43 + NY!D43 + NW!D43 + SE!D43 + SW!D43 + TEN!D43 + TEX!D43</f>
        <v>88.829331959999976</v>
      </c>
      <c r="E43" s="8">
        <f xml:space="preserve"> 0 + CAL!E43 + CAR!E43 + CENT!E43 + FLA!E43 + MIDA!E43 + MIDW!E43 + NE!E43 + NY!E43 + NW!E43 + SE!E43 + SW!E43 + TEN!E43 + TEX!E43</f>
        <v>130.64049434</v>
      </c>
      <c r="F43" s="8">
        <f xml:space="preserve"> 0 + CAL!F43 + CAR!F43 + CENT!F43 + FLA!F43 + MIDA!F43 + MIDW!F43 + NE!F43 + NY!F43 + NW!F43 + SE!F43 + SW!F43 + TEN!F43 + TEX!F43</f>
        <v>199.03727451999998</v>
      </c>
      <c r="G43" s="8">
        <f xml:space="preserve"> 0 + CAL!G43 + CAR!G43 + CENT!G43 + FLA!G43 + MIDA!G43 + MIDW!G43 + NE!G43 + NY!G43 + NW!G43 + SE!G43 + SW!G43 + TEN!G43 + TEX!G43</f>
        <v>286.8650925</v>
      </c>
      <c r="H43" s="8">
        <f xml:space="preserve"> 0 + CAL!H43 + CAR!H43 + CENT!H43 + FLA!H43 + MIDA!H43 + MIDW!H43 + NE!H43 + NY!H43 + NW!H43 + SE!H43 + SW!H43 + TEN!H43 + TEX!H43</f>
        <v>410.06477741999998</v>
      </c>
      <c r="I43" s="8">
        <f xml:space="preserve"> 0 + CAL!I43 + CAR!I43 + CENT!I43 + FLA!I43 + MIDA!I43 + MIDW!I43 + NE!I43 + NY!I43 + NW!I43 + SE!I43 + SW!I43 + TEN!I43 + TEX!I43</f>
        <v>566.34312709999995</v>
      </c>
      <c r="J43" s="8">
        <f xml:space="preserve"> 0 + CAL!J43 + CAR!J43 + CENT!J43 + FLA!J43 + MIDA!J43 + MIDW!J43 + NE!J43 + NY!J43 + NW!J43 + SE!J43 + SW!J43 + TEN!J43 + TEX!J43</f>
        <v>750.13726441999995</v>
      </c>
      <c r="K43" s="8">
        <f xml:space="preserve"> 0 + CAL!K43 + CAR!K43 + CENT!K43 + FLA!K43 + MIDA!K43 + MIDW!K43 + NE!K43 + NY!K43 + NW!K43 + SE!K43 + SW!K43 + TEN!K43 + TEX!K43</f>
        <v>966.85612920000017</v>
      </c>
      <c r="L43" s="8">
        <f xml:space="preserve"> 0 + CAL!L43 + CAR!L43 + CENT!L43 + FLA!L43 + MIDA!L43 + MIDW!L43 + NE!L43 + NY!L43 + NW!L43 + SE!L43 + SW!L43 + TEN!L43 + TEX!L43</f>
        <v>1213.2143234</v>
      </c>
      <c r="M43" s="8">
        <f xml:space="preserve"> 0 + CAL!M43 + CAR!M43 + CENT!M43 + FLA!M43 + MIDA!M43 + MIDW!M43 + NE!M43 + NY!M43 + NW!M43 + SE!M43 + SW!M43 + TEN!M43 + TEX!M43</f>
        <v>1467.7748474</v>
      </c>
      <c r="N43" s="8">
        <f xml:space="preserve"> 0 + CAL!N43 + CAR!N43 + CENT!N43 + FLA!N43 + MIDA!N43 + MIDW!N43 + NE!N43 + NY!N43 + NW!N43 + SE!N43 + SW!N43 + TEN!N43 + TEX!N43</f>
        <v>1764.0186450500003</v>
      </c>
      <c r="O43" s="8">
        <f xml:space="preserve"> 0 + CAL!O43 + CAR!O43 + CENT!O43 + FLA!O43 + MIDA!O43 + MIDW!O43 + NE!O43 + NY!O43 + NW!O43 + SE!O43 + SW!O43 + TEN!O43 + TEX!O43</f>
        <v>2092.0532448900003</v>
      </c>
      <c r="P43" s="8">
        <f xml:space="preserve"> 0 + CAL!P43 + CAR!P43 + CENT!P43 + FLA!P43 + MIDA!P43 + MIDW!P43 + NE!P43 + NY!P43 + NW!P43 + SE!P43 + SW!P43 + TEN!P43 + TEX!P43</f>
        <v>2424.1497395700003</v>
      </c>
      <c r="Q43" s="8">
        <f xml:space="preserve"> 0 + CAL!Q43 + CAR!Q43 + CENT!Q43 + FLA!Q43 + MIDA!Q43 + MIDW!Q43 + NE!Q43 + NY!Q43 + NW!Q43 + SE!Q43 + SW!Q43 + TEN!Q43 + TEX!Q43</f>
        <v>2798.7861229499999</v>
      </c>
      <c r="R43" s="8">
        <f xml:space="preserve"> 0 + CAL!R43 + CAR!R43 + CENT!R43 + FLA!R43 + MIDA!R43 + MIDW!R43 + NE!R43 + NY!R43 + NW!R43 + SE!R43 + SW!R43 + TEN!R43 + TEX!R43</f>
        <v>3175.9029484499993</v>
      </c>
      <c r="S43" s="8">
        <f xml:space="preserve"> 0 + CAL!S43 + CAR!S43 + CENT!S43 + FLA!S43 + MIDA!S43 + MIDW!S43 + NE!S43 + NY!S43 + NW!S43 + SE!S43 + SW!S43 + TEN!S43 + TEX!S43</f>
        <v>3590.20228172</v>
      </c>
      <c r="T43" s="8">
        <f xml:space="preserve"> 0 + CAL!T43 + CAR!T43 + CENT!T43 + FLA!T43 + MIDA!T43 + MIDW!T43 + NE!T43 + NY!T43 + NW!T43 + SE!T43 + SW!T43 + TEN!T43 + TEX!T43</f>
        <v>4071.4926536999997</v>
      </c>
      <c r="U43" s="8">
        <f xml:space="preserve"> 0 + CAL!U43 + CAR!U43 + CENT!U43 + FLA!U43 + MIDA!U43 + MIDW!U43 + NE!U43 + NY!U43 + NW!U43 + SE!U43 + SW!U43 + TEN!U43 + TEX!U43</f>
        <v>4527.9449609499998</v>
      </c>
      <c r="V43" s="8">
        <f xml:space="preserve"> 0 + CAL!V43 + CAR!V43 + CENT!V43 + FLA!V43 + MIDA!V43 + MIDW!V43 + NE!V43 + NY!V43 + NW!V43 + SE!V43 + SW!V43 + TEN!V43 + TEX!V43</f>
        <v>5010.6168252399993</v>
      </c>
      <c r="W43" s="8">
        <f xml:space="preserve"> 0 + CAL!W43 + CAR!W43 + CENT!W43 + FLA!W43 + MIDA!W43 + MIDW!W43 + NE!W43 + NY!W43 + NW!W43 + SE!W43 + SW!W43 + TEN!W43 + TEX!W43</f>
        <v>5488.5516809799992</v>
      </c>
      <c r="X43" s="8">
        <f xml:space="preserve"> 0 + CAL!X43 + CAR!X43 + CENT!X43 + FLA!X43 + MIDA!X43 + MIDW!X43 + NE!X43 + NY!X43 + NW!X43 + SE!X43 + SW!X43 + TEN!X43 + TEX!X43</f>
        <v>5953.1959565099987</v>
      </c>
      <c r="Y43" s="8">
        <f xml:space="preserve"> 0 + CAL!Y43 + CAR!Y43 + CENT!Y43 + FLA!Y43 + MIDA!Y43 + MIDW!Y43 + NE!Y43 + NY!Y43 + NW!Y43 + SE!Y43 + SW!Y43 + TEN!Y43 + TEX!Y43</f>
        <v>6406.2494586799994</v>
      </c>
      <c r="Z43" s="8">
        <f xml:space="preserve"> 0 + CAL!Z43 + CAR!Z43 + CENT!Z43 + FLA!Z43 + MIDA!Z43 + MIDW!Z43 + NE!Z43 + NY!Z43 + NW!Z43 + SE!Z43 + SW!Z43 + TEN!Z43 + TEX!Z43</f>
        <v>6925.6473460299994</v>
      </c>
      <c r="AA43" s="8">
        <f xml:space="preserve"> 0 + CAL!AA43 + CAR!AA43 + CENT!AA43 + FLA!AA43 + MIDA!AA43 + MIDW!AA43 + NE!AA43 + NY!AA43 + NW!AA43 + SE!AA43 + SW!AA43 + TEN!AA43 + TEX!AA43</f>
        <v>7473.008906170001</v>
      </c>
      <c r="AB43" s="8">
        <f xml:space="preserve"> 0 + CAL!AB43 + CAR!AB43 + CENT!AB43 + FLA!AB43 + MIDA!AB43 + MIDW!AB43 + NE!AB43 + NY!AB43 + NW!AB43 + SE!AB43 + SW!AB43 + TEN!AB43 + TEX!AB43</f>
        <v>8028.8501516600008</v>
      </c>
      <c r="AC43" s="8">
        <f xml:space="preserve"> 0 + CAL!AC43 + CAR!AC43 + CENT!AC43 + FLA!AC43 + MIDA!AC43 + MIDW!AC43 + NE!AC43 + NY!AC43 + NW!AC43 + SE!AC43 + SW!AC43 + TEN!AC43 + TEX!AC43</f>
        <v>8574.1449522500006</v>
      </c>
    </row>
    <row r="44" spans="1:29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2.2773440300000001</v>
      </c>
      <c r="D44" s="8">
        <f xml:space="preserve"> 0 + CAL!D44 + CAR!D44 + CENT!D44 + FLA!D44 + MIDA!D44 + MIDW!D44 + NE!D44 + NY!D44 + NW!D44 + SE!D44 + SW!D44 + TEN!D44 + TEX!D44</f>
        <v>2.2207332899999996</v>
      </c>
      <c r="E44" s="8">
        <f xml:space="preserve"> 0 + CAL!E44 + CAR!E44 + CENT!E44 + FLA!E44 + MIDA!E44 + MIDW!E44 + NE!E44 + NY!E44 + NW!E44 + SE!E44 + SW!E44 + TEN!E44 + TEX!E44</f>
        <v>2.1773415800000002</v>
      </c>
      <c r="F44" s="8">
        <f xml:space="preserve"> 0 + CAL!F44 + CAR!F44 + CENT!F44 + FLA!F44 + MIDA!F44 + MIDW!F44 + NE!F44 + NY!F44 + NW!F44 + SE!F44 + SW!F44 + TEN!F44 + TEX!F44</f>
        <v>2.48796594</v>
      </c>
      <c r="G44" s="8">
        <f xml:space="preserve"> 0 + CAL!G44 + CAR!G44 + CENT!G44 + FLA!G44 + MIDA!G44 + MIDW!G44 + NE!G44 + NY!G44 + NW!G44 + SE!G44 + SW!G44 + TEN!G44 + TEX!G44</f>
        <v>2.8686509300000003</v>
      </c>
      <c r="H44" s="8">
        <f xml:space="preserve"> 0 + CAL!H44 + CAR!H44 + CENT!H44 + FLA!H44 + MIDA!H44 + MIDW!H44 + NE!H44 + NY!H44 + NW!H44 + SE!H44 + SW!H44 + TEN!H44 + TEX!H44</f>
        <v>3.4172064799999995</v>
      </c>
      <c r="I44" s="8">
        <f xml:space="preserve"> 0 + CAL!I44 + CAR!I44 + CENT!I44 + FLA!I44 + MIDA!I44 + MIDW!I44 + NE!I44 + NY!I44 + NW!I44 + SE!I44 + SW!I44 + TEN!I44 + TEX!I44</f>
        <v>4.0453080499999992</v>
      </c>
      <c r="J44" s="8">
        <f xml:space="preserve"> 0 + CAL!J44 + CAR!J44 + CENT!J44 + FLA!J44 + MIDA!J44 + MIDW!J44 + NE!J44 + NY!J44 + NW!J44 + SE!J44 + SW!J44 + TEN!J44 + TEX!J44</f>
        <v>4.6883578999999997</v>
      </c>
      <c r="K44" s="8">
        <f xml:space="preserve"> 0 + CAL!K44 + CAR!K44 + CENT!K44 + FLA!K44 + MIDA!K44 + MIDW!K44 + NE!K44 + NY!K44 + NW!K44 + SE!K44 + SW!K44 + TEN!K44 + TEX!K44</f>
        <v>5.3714229400000004</v>
      </c>
      <c r="L44" s="8">
        <f xml:space="preserve"> 0 + CAL!L44 + CAR!L44 + CENT!L44 + FLA!L44 + MIDA!L44 + MIDW!L44 + NE!L44 + NY!L44 + NW!L44 + SE!L44 + SW!L44 + TEN!L44 + TEX!L44</f>
        <v>6.0660716099999998</v>
      </c>
      <c r="M44" s="8">
        <f xml:space="preserve"> 0 + CAL!M44 + CAR!M44 + CENT!M44 + FLA!M44 + MIDA!M44 + MIDW!M44 + NE!M44 + NY!M44 + NW!M44 + SE!M44 + SW!M44 + TEN!M44 + TEX!M44</f>
        <v>6.671703850000001</v>
      </c>
      <c r="N44" s="8">
        <f xml:space="preserve"> 0 + CAL!N44 + CAR!N44 + CENT!N44 + FLA!N44 + MIDA!N44 + MIDW!N44 + NE!N44 + NY!N44 + NW!N44 + SE!N44 + SW!N44 + TEN!N44 + TEX!N44</f>
        <v>7.35007769</v>
      </c>
      <c r="O44" s="8">
        <f xml:space="preserve"> 0 + CAL!O44 + CAR!O44 + CENT!O44 + FLA!O44 + MIDA!O44 + MIDW!O44 + NE!O44 + NY!O44 + NW!O44 + SE!O44 + SW!O44 + TEN!O44 + TEX!O44</f>
        <v>8.0463586400000011</v>
      </c>
      <c r="P44" s="8">
        <f xml:space="preserve"> 0 + CAL!P44 + CAR!P44 + CENT!P44 + FLA!P44 + MIDA!P44 + MIDW!P44 + NE!P44 + NY!P44 + NW!P44 + SE!P44 + SW!P44 + TEN!P44 + TEX!P44</f>
        <v>8.6576776500000001</v>
      </c>
      <c r="Q44" s="8">
        <f xml:space="preserve"> 0 + CAL!Q44 + CAR!Q44 + CENT!Q44 + FLA!Q44 + MIDA!Q44 + MIDW!Q44 + NE!Q44 + NY!Q44 + NW!Q44 + SE!Q44 + SW!Q44 + TEN!Q44 + TEX!Q44</f>
        <v>9.3292870699999995</v>
      </c>
      <c r="R44" s="8">
        <f xml:space="preserve"> 0 + CAL!R44 + CAR!R44 + CENT!R44 + FLA!R44 + MIDA!R44 + MIDW!R44 + NE!R44 + NY!R44 + NW!R44 + SE!R44 + SW!R44 + TEN!R44 + TEX!R44</f>
        <v>9.9246967099999992</v>
      </c>
      <c r="S44" s="8">
        <f xml:space="preserve"> 0 + CAL!S44 + CAR!S44 + CENT!S44 + FLA!S44 + MIDA!S44 + MIDW!S44 + NE!S44 + NY!S44 + NW!S44 + SE!S44 + SW!S44 + TEN!S44 + TEX!S44</f>
        <v>10.559418480000001</v>
      </c>
      <c r="T44" s="8">
        <f xml:space="preserve"> 0 + CAL!T44 + CAR!T44 + CENT!T44 + FLA!T44 + MIDA!T44 + MIDW!T44 + NE!T44 + NY!T44 + NW!T44 + SE!T44 + SW!T44 + TEN!T44 + TEX!T44</f>
        <v>11.30970181</v>
      </c>
      <c r="U44" s="8">
        <f xml:space="preserve"> 0 + CAL!U44 + CAR!U44 + CENT!U44 + FLA!U44 + MIDA!U44 + MIDW!U44 + NE!U44 + NY!U44 + NW!U44 + SE!U44 + SW!U44 + TEN!U44 + TEX!U44</f>
        <v>11.915644640000002</v>
      </c>
      <c r="V44" s="8">
        <f xml:space="preserve"> 0 + CAL!V44 + CAR!V44 + CENT!V44 + FLA!V44 + MIDA!V44 + MIDW!V44 + NE!V44 + NY!V44 + NW!V44 + SE!V44 + SW!V44 + TEN!V44 + TEX!V44</f>
        <v>12.526542069999998</v>
      </c>
      <c r="W44" s="8">
        <f xml:space="preserve"> 0 + CAL!W44 + CAR!W44 + CENT!W44 + FLA!W44 + MIDA!W44 + MIDW!W44 + NE!W44 + NY!W44 + NW!W44 + SE!W44 + SW!W44 + TEN!W44 + TEX!W44</f>
        <v>13.06798021</v>
      </c>
      <c r="X44" s="8">
        <f xml:space="preserve"> 0 + CAL!X44 + CAR!X44 + CENT!X44 + FLA!X44 + MIDA!X44 + MIDW!X44 + NE!X44 + NY!X44 + NW!X44 + SE!X44 + SW!X44 + TEN!X44 + TEX!X44</f>
        <v>13.529990820000004</v>
      </c>
      <c r="Y44" s="8">
        <f xml:space="preserve"> 0 + CAL!Y44 + CAR!Y44 + CENT!Y44 + FLA!Y44 + MIDA!Y44 + MIDW!Y44 + NE!Y44 + NY!Y44 + NW!Y44 + SE!Y44 + SW!Y44 + TEN!Y44 + TEX!Y44</f>
        <v>13.92662925</v>
      </c>
      <c r="Z44" s="8">
        <f xml:space="preserve"> 0 + CAL!Z44 + CAR!Z44 + CENT!Z44 + FLA!Z44 + MIDA!Z44 + MIDW!Z44 + NE!Z44 + NY!Z44 + NW!Z44 + SE!Z44 + SW!Z44 + TEN!Z44 + TEX!Z44</f>
        <v>14.428431969999998</v>
      </c>
      <c r="AA44" s="8">
        <f xml:space="preserve"> 0 + CAL!AA44 + CAR!AA44 + CENT!AA44 + FLA!AA44 + MIDA!AA44 + MIDW!AA44 + NE!AA44 + NY!AA44 + NW!AA44 + SE!AA44 + SW!AA44 + TEN!AA44 + TEX!AA44</f>
        <v>14.946017820000002</v>
      </c>
      <c r="AB44" s="8">
        <f xml:space="preserve"> 0 + CAL!AB44 + CAR!AB44 + CENT!AB44 + FLA!AB44 + MIDA!AB44 + MIDW!AB44 + NE!AB44 + NY!AB44 + NW!AB44 + SE!AB44 + SW!AB44 + TEN!AB44 + TEX!AB44</f>
        <v>15.44009645</v>
      </c>
      <c r="AC44" s="8">
        <f xml:space="preserve"> 0 + CAL!AC44 + CAR!AC44 + CENT!AC44 + FLA!AC44 + MIDA!AC44 + MIDW!AC44 + NE!AC44 + NY!AC44 + NW!AC44 + SE!AC44 + SW!AC44 + TEN!AC44 + TEX!AC44</f>
        <v>15.878046190000001</v>
      </c>
    </row>
    <row r="45" spans="1:29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55391.266922109993</v>
      </c>
      <c r="C45" s="8">
        <f xml:space="preserve"> 0 + CAL!C45 + CAR!C45 + CENT!C45 + FLA!C45 + MIDA!C45 + MIDW!C45 + NE!C45 + NY!C45 + NW!C45 + SE!C45 + SW!C45 + TEN!C45 + TEX!C45</f>
        <v>54022.096507530005</v>
      </c>
      <c r="D45" s="8">
        <f xml:space="preserve"> 0 + CAL!D45 + CAR!D45 + CENT!D45 + FLA!D45 + MIDA!D45 + MIDW!D45 + NE!D45 + NY!D45 + NW!D45 + SE!D45 + SW!D45 + TEN!D45 + TEX!D45</f>
        <v>52678.787052470005</v>
      </c>
      <c r="E45" s="8">
        <f xml:space="preserve"> 0 + CAL!E45 + CAR!E45 + CENT!E45 + FLA!E45 + MIDA!E45 + MIDW!E45 + NE!E45 + NY!E45 + NW!E45 + SE!E45 + SW!E45 + TEN!E45 + TEX!E45</f>
        <v>51600.929012150009</v>
      </c>
      <c r="F45" s="8">
        <f xml:space="preserve"> 0 + CAL!F45 + CAR!F45 + CENT!F45 + FLA!F45 + MIDA!F45 + MIDW!F45 + NE!F45 + NY!F45 + NW!F45 + SE!F45 + SW!F45 + TEN!F45 + TEX!F45</f>
        <v>58026.692718500002</v>
      </c>
      <c r="G45" s="8">
        <f xml:space="preserve"> 0 + CAL!G45 + CAR!G45 + CENT!G45 + FLA!G45 + MIDA!G45 + MIDW!G45 + NE!G45 + NY!G45 + NW!G45 + SE!G45 + SW!G45 + TEN!G45 + TEX!G45</f>
        <v>66117.408554530004</v>
      </c>
      <c r="H45" s="8">
        <f xml:space="preserve"> 0 + CAL!H45 + CAR!H45 + CENT!H45 + FLA!H45 + MIDA!H45 + MIDW!H45 + NE!H45 + NY!H45 + NW!H45 + SE!H45 + SW!H45 + TEN!H45 + TEX!H45</f>
        <v>78294.57359700001</v>
      </c>
      <c r="I45" s="8">
        <f xml:space="preserve"> 0 + CAL!I45 + CAR!I45 + CENT!I45 + FLA!I45 + MIDA!I45 + MIDW!I45 + NE!I45 + NY!I45 + NW!I45 + SE!I45 + SW!I45 + TEN!I45 + TEX!I45</f>
        <v>92609.291273229988</v>
      </c>
      <c r="J45" s="8">
        <f xml:space="preserve"> 0 + CAL!J45 + CAR!J45 + CENT!J45 + FLA!J45 + MIDA!J45 + MIDW!J45 + NE!J45 + NY!J45 + NW!J45 + SE!J45 + SW!J45 + TEN!J45 + TEX!J45</f>
        <v>107333.65513917</v>
      </c>
      <c r="K45" s="8">
        <f xml:space="preserve"> 0 + CAL!K45 + CAR!K45 + CENT!K45 + FLA!K45 + MIDA!K45 + MIDW!K45 + NE!K45 + NY!K45 + NW!K45 + SE!K45 + SW!K45 + TEN!K45 + TEX!K45</f>
        <v>122975.71767112002</v>
      </c>
      <c r="L45" s="8">
        <f xml:space="preserve"> 0 + CAL!L45 + CAR!L45 + CENT!L45 + FLA!L45 + MIDA!L45 + MIDW!L45 + NE!L45 + NY!L45 + NW!L45 + SE!L45 + SW!L45 + TEN!L45 + TEX!L45</f>
        <v>138941.35791602</v>
      </c>
      <c r="M45" s="8">
        <f xml:space="preserve"> 0 + CAL!M45 + CAR!M45 + CENT!M45 + FLA!M45 + MIDA!M45 + MIDW!M45 + NE!M45 + NY!M45 + NW!M45 + SE!M45 + SW!M45 + TEN!M45 + TEX!M45</f>
        <v>152778.93387134999</v>
      </c>
      <c r="N45" s="8">
        <f xml:space="preserve"> 0 + CAL!N45 + CAR!N45 + CENT!N45 + FLA!N45 + MIDA!N45 + MIDW!N45 + NE!N45 + NY!N45 + NW!N45 + SE!N45 + SW!N45 + TEN!N45 + TEX!N45</f>
        <v>168240.09787806004</v>
      </c>
      <c r="O45" s="8">
        <f xml:space="preserve"> 0 + CAL!O45 + CAR!O45 + CENT!O45 + FLA!O45 + MIDA!O45 + MIDW!O45 + NE!O45 + NY!O45 + NW!O45 + SE!O45 + SW!O45 + TEN!O45 + TEX!O45</f>
        <v>184114.60181388998</v>
      </c>
      <c r="P45" s="8">
        <f xml:space="preserve"> 0 + CAL!P45 + CAR!P45 + CENT!P45 + FLA!P45 + MIDA!P45 + MIDW!P45 + NE!P45 + NY!P45 + NW!P45 + SE!P45 + SW!P45 + TEN!P45 + TEX!P45</f>
        <v>198151.99894864002</v>
      </c>
      <c r="Q45" s="8">
        <f xml:space="preserve"> 0 + CAL!Q45 + CAR!Q45 + CENT!Q45 + FLA!Q45 + MIDA!Q45 + MIDW!Q45 + NE!Q45 + NY!Q45 + NW!Q45 + SE!Q45 + SW!Q45 + TEN!Q45 + TEX!Q45</f>
        <v>213581.60507331998</v>
      </c>
      <c r="R45" s="8">
        <f xml:space="preserve"> 0 + CAL!R45 + CAR!R45 + CENT!R45 + FLA!R45 + MIDA!R45 + MIDW!R45 + NE!R45 + NY!R45 + NW!R45 + SE!R45 + SW!R45 + TEN!R45 + TEX!R45</f>
        <v>227320.31538963999</v>
      </c>
      <c r="S45" s="8">
        <f xml:space="preserve"> 0 + CAL!S45 + CAR!S45 + CENT!S45 + FLA!S45 + MIDA!S45 + MIDW!S45 + NE!S45 + NY!S45 + NW!S45 + SE!S45 + SW!S45 + TEN!S45 + TEX!S45</f>
        <v>241951.68602579</v>
      </c>
      <c r="T45" s="8">
        <f xml:space="preserve"> 0 + CAL!T45 + CAR!T45 + CENT!T45 + FLA!T45 + MIDA!T45 + MIDW!T45 + NE!T45 + NY!T45 + NW!T45 + SE!T45 + SW!T45 + TEN!T45 + TEX!T45</f>
        <v>259191.75492796002</v>
      </c>
      <c r="U45" s="8">
        <f xml:space="preserve"> 0 + CAL!U45 + CAR!U45 + CENT!U45 + FLA!U45 + MIDA!U45 + MIDW!U45 + NE!U45 + NY!U45 + NW!U45 + SE!U45 + SW!U45 + TEN!U45 + TEX!U45</f>
        <v>273592.55370405997</v>
      </c>
      <c r="V45" s="8">
        <f xml:space="preserve"> 0 + CAL!V45 + CAR!V45 + CENT!V45 + FLA!V45 + MIDA!V45 + MIDW!V45 + NE!V45 + NY!V45 + NW!V45 + SE!V45 + SW!V45 + TEN!V45 + TEX!V45</f>
        <v>288096.57533567998</v>
      </c>
      <c r="W45" s="8">
        <f xml:space="preserve"> 0 + CAL!W45 + CAR!W45 + CENT!W45 + FLA!W45 + MIDA!W45 + MIDW!W45 + NE!W45 + NY!W45 + NW!W45 + SE!W45 + SW!W45 + TEN!W45 + TEX!W45</f>
        <v>300885.03976340999</v>
      </c>
      <c r="X45" s="8">
        <f xml:space="preserve"> 0 + CAL!X45 + CAR!X45 + CENT!X45 + FLA!X45 + MIDA!X45 + MIDW!X45 + NE!X45 + NY!X45 + NW!X45 + SE!X45 + SW!X45 + TEN!X45 + TEX!X45</f>
        <v>311847.71281028999</v>
      </c>
      <c r="Y45" s="8">
        <f xml:space="preserve"> 0 + CAL!Y45 + CAR!Y45 + CENT!Y45 + FLA!Y45 + MIDA!Y45 + MIDW!Y45 + NE!Y45 + NY!Y45 + NW!Y45 + SE!Y45 + SW!Y45 + TEN!Y45 + TEX!Y45</f>
        <v>320851.24771756004</v>
      </c>
      <c r="Z45" s="8">
        <f xml:space="preserve"> 0 + CAL!Z45 + CAR!Z45 + CENT!Z45 + FLA!Z45 + MIDA!Z45 + MIDW!Z45 + NE!Z45 + NY!Z45 + NW!Z45 + SE!Z45 + SW!Z45 + TEN!Z45 + TEX!Z45</f>
        <v>332203.44232744002</v>
      </c>
      <c r="AA45" s="8">
        <f xml:space="preserve"> 0 + CAL!AA45 + CAR!AA45 + CENT!AA45 + FLA!AA45 + MIDA!AA45 + MIDW!AA45 + NE!AA45 + NY!AA45 + NW!AA45 + SE!AA45 + SW!AA45 + TEN!AA45 + TEX!AA45</f>
        <v>343959.10782106</v>
      </c>
      <c r="AB45" s="8">
        <f xml:space="preserve"> 0 + CAL!AB45 + CAR!AB45 + CENT!AB45 + FLA!AB45 + MIDA!AB45 + MIDW!AB45 + NE!AB45 + NY!AB45 + NW!AB45 + SE!AB45 + SW!AB45 + TEN!AB45 + TEX!AB45</f>
        <v>355421.33147396991</v>
      </c>
      <c r="AC45" s="8">
        <f xml:space="preserve"> 0 + CAL!AC45 + CAR!AC45 + CENT!AC45 + FLA!AC45 + MIDA!AC45 + MIDW!AC45 + NE!AC45 + NY!AC45 + NW!AC45 + SE!AC45 + SW!AC45 + TEN!AC45 + TEX!AC45</f>
        <v>365516.12935008004</v>
      </c>
    </row>
    <row r="46" spans="1:29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7674.6493384700007</v>
      </c>
      <c r="D46" s="8">
        <f xml:space="preserve"> 0 + CAL!D46 + CAR!D46 + CENT!D46 + FLA!D46 + MIDA!D46 + MIDW!D46 + NE!D46 + NY!D46 + NW!D46 + SE!D46 + SW!D46 + TEN!D46 + TEX!D46</f>
        <v>7483.8712188500003</v>
      </c>
      <c r="E46" s="8">
        <f xml:space="preserve"> 0 + CAL!E46 + CAR!E46 + CENT!E46 + FLA!E46 + MIDA!E46 + MIDW!E46 + NE!E46 + NY!E46 + NW!E46 + SE!E46 + SW!E46 + TEN!E46 + TEX!E46</f>
        <v>7337.6410980600003</v>
      </c>
      <c r="F46" s="8">
        <f xml:space="preserve"> 0 + CAL!F46 + CAR!F46 + CENT!F46 + FLA!F46 + MIDA!F46 + MIDW!F46 + NE!F46 + NY!F46 + NW!F46 + SE!F46 + SW!F46 + TEN!F46 + TEX!F46</f>
        <v>8384.4451893899986</v>
      </c>
      <c r="G46" s="8">
        <f xml:space="preserve"> 0 + CAL!G46 + CAR!G46 + CENT!G46 + FLA!G46 + MIDA!G46 + MIDW!G46 + NE!G46 + NY!G46 + NW!G46 + SE!G46 + SW!G46 + TEN!G46 + TEX!G46</f>
        <v>9667.3536172000004</v>
      </c>
      <c r="H46" s="8">
        <f xml:space="preserve"> 0 + CAL!H46 + CAR!H46 + CENT!H46 + FLA!H46 + MIDA!H46 + MIDW!H46 + NE!H46 + NY!H46 + NW!H46 + SE!H46 + SW!H46 + TEN!H46 + TEX!H46</f>
        <v>11515.985832199998</v>
      </c>
      <c r="I46" s="8">
        <f xml:space="preserve"> 0 + CAL!I46 + CAR!I46 + CENT!I46 + FLA!I46 + MIDA!I46 + MIDW!I46 + NE!I46 + NY!I46 + NW!I46 + SE!I46 + SW!I46 + TEN!I46 + TEX!I46</f>
        <v>13632.688130719998</v>
      </c>
      <c r="J46" s="8">
        <f xml:space="preserve"> 0 + CAL!J46 + CAR!J46 + CENT!J46 + FLA!J46 + MIDA!J46 + MIDW!J46 + NE!J46 + NY!J46 + NW!J46 + SE!J46 + SW!J46 + TEN!J46 + TEX!J46</f>
        <v>15799.766131779999</v>
      </c>
      <c r="K46" s="8">
        <f xml:space="preserve"> 0 + CAL!K46 + CAR!K46 + CENT!K46 + FLA!K46 + MIDA!K46 + MIDW!K46 + NE!K46 + NY!K46 + NW!K46 + SE!K46 + SW!K46 + TEN!K46 + TEX!K46</f>
        <v>18101.695308080001</v>
      </c>
      <c r="L46" s="8">
        <f xml:space="preserve"> 0 + CAL!L46 + CAR!L46 + CENT!L46 + FLA!L46 + MIDA!L46 + MIDW!L46 + NE!L46 + NY!L46 + NW!L46 + SE!L46 + SW!L46 + TEN!L46 + TEX!L46</f>
        <v>20442.661349119997</v>
      </c>
      <c r="M46" s="8">
        <f xml:space="preserve"> 0 + CAL!M46 + CAR!M46 + CENT!M46 + FLA!M46 + MIDA!M46 + MIDW!M46 + NE!M46 + NY!M46 + NW!M46 + SE!M46 + SW!M46 + TEN!M46 + TEX!M46</f>
        <v>22483.641980709999</v>
      </c>
      <c r="N46" s="8">
        <f xml:space="preserve"> 0 + CAL!N46 + CAR!N46 + CENT!N46 + FLA!N46 + MIDA!N46 + MIDW!N46 + NE!N46 + NY!N46 + NW!N46 + SE!N46 + SW!N46 + TEN!N46 + TEX!N46</f>
        <v>24769.761807639999</v>
      </c>
      <c r="O46" s="8">
        <f xml:space="preserve"> 0 + CAL!O46 + CAR!O46 + CENT!O46 + FLA!O46 + MIDA!O46 + MIDW!O46 + NE!O46 + NY!O46 + NW!O46 + SE!O46 + SW!O46 + TEN!O46 + TEX!O46</f>
        <v>27116.228597320001</v>
      </c>
      <c r="P46" s="8">
        <f xml:space="preserve"> 0 + CAL!P46 + CAR!P46 + CENT!P46 + FLA!P46 + MIDA!P46 + MIDW!P46 + NE!P46 + NY!P46 + NW!P46 + SE!P46 + SW!P46 + TEN!P46 + TEX!P46</f>
        <v>29176.373651410002</v>
      </c>
      <c r="Q46" s="8">
        <f xml:space="preserve"> 0 + CAL!Q46 + CAR!Q46 + CENT!Q46 + FLA!Q46 + MIDA!Q46 + MIDW!Q46 + NE!Q46 + NY!Q46 + NW!Q46 + SE!Q46 + SW!Q46 + TEN!Q46 + TEX!Q46</f>
        <v>31439.697447959996</v>
      </c>
      <c r="R46" s="8">
        <f xml:space="preserve"> 0 + CAL!R46 + CAR!R46 + CENT!R46 + FLA!R46 + MIDA!R46 + MIDW!R46 + NE!R46 + NY!R46 + NW!R46 + SE!R46 + SW!R46 + TEN!R46 + TEX!R46</f>
        <v>33446.227926029998</v>
      </c>
      <c r="S46" s="8">
        <f xml:space="preserve"> 0 + CAL!S46 + CAR!S46 + CENT!S46 + FLA!S46 + MIDA!S46 + MIDW!S46 + NE!S46 + NY!S46 + NW!S46 + SE!S46 + SW!S46 + TEN!S46 + TEX!S46</f>
        <v>35585.24026287</v>
      </c>
      <c r="T46" s="8">
        <f xml:space="preserve"> 0 + CAL!T46 + CAR!T46 + CENT!T46 + FLA!T46 + MIDA!T46 + MIDW!T46 + NE!T46 + NY!T46 + NW!T46 + SE!T46 + SW!T46 + TEN!T46 + TEX!T46</f>
        <v>38113.695119290001</v>
      </c>
      <c r="U46" s="8">
        <f xml:space="preserve"> 0 + CAL!U46 + CAR!U46 + CENT!U46 + FLA!U46 + MIDA!U46 + MIDW!U46 + NE!U46 + NY!U46 + NW!U46 + SE!U46 + SW!U46 + TEN!U46 + TEX!U46</f>
        <v>40155.722416830002</v>
      </c>
      <c r="V46" s="8">
        <f xml:space="preserve"> 0 + CAL!V46 + CAR!V46 + CENT!V46 + FLA!V46 + MIDA!V46 + MIDW!V46 + NE!V46 + NY!V46 + NW!V46 + SE!V46 + SW!V46 + TEN!V46 + TEX!V46</f>
        <v>42214.446752670003</v>
      </c>
      <c r="W46" s="8">
        <f xml:space="preserve"> 0 + CAL!W46 + CAR!W46 + CENT!W46 + FLA!W46 + MIDA!W46 + MIDW!W46 + NE!W46 + NY!W46 + NW!W46 + SE!W46 + SW!W46 + TEN!W46 + TEX!W46</f>
        <v>44039.093249609999</v>
      </c>
      <c r="X46" s="8">
        <f xml:space="preserve"> 0 + CAL!X46 + CAR!X46 + CENT!X46 + FLA!X46 + MIDA!X46 + MIDW!X46 + NE!X46 + NY!X46 + NW!X46 + SE!X46 + SW!X46 + TEN!X46 + TEX!X46</f>
        <v>45596.069030519997</v>
      </c>
      <c r="Y46" s="8">
        <f xml:space="preserve"> 0 + CAL!Y46 + CAR!Y46 + CENT!Y46 + FLA!Y46 + MIDA!Y46 + MIDW!Y46 + NE!Y46 + NY!Y46 + NW!Y46 + SE!Y46 + SW!Y46 + TEN!Y46 + TEX!Y46</f>
        <v>46932.740599370001</v>
      </c>
      <c r="Z46" s="8">
        <f xml:space="preserve"> 0 + CAL!Z46 + CAR!Z46 + CENT!Z46 + FLA!Z46 + MIDA!Z46 + MIDW!Z46 + NE!Z46 + NY!Z46 + NW!Z46 + SE!Z46 + SW!Z46 + TEN!Z46 + TEX!Z46</f>
        <v>48623.815741800005</v>
      </c>
      <c r="AA46" s="8">
        <f xml:space="preserve"> 0 + CAL!AA46 + CAR!AA46 + CENT!AA46 + FLA!AA46 + MIDA!AA46 + MIDW!AA46 + NE!AA46 + NY!AA46 + NW!AA46 + SE!AA46 + SW!AA46 + TEN!AA46 + TEX!AA46</f>
        <v>50368.080027519994</v>
      </c>
      <c r="AB46" s="8">
        <f xml:space="preserve"> 0 + CAL!AB46 + CAR!AB46 + CENT!AB46 + FLA!AB46 + MIDA!AB46 + MIDW!AB46 + NE!AB46 + NY!AB46 + NW!AB46 + SE!AB46 + SW!AB46 + TEN!AB46 + TEX!AB46</f>
        <v>52033.125021369997</v>
      </c>
      <c r="AC46" s="8">
        <f xml:space="preserve"> 0 + CAL!AC46 + CAR!AC46 + CENT!AC46 + FLA!AC46 + MIDA!AC46 + MIDW!AC46 + NE!AC46 + NY!AC46 + NW!AC46 + SE!AC46 + SW!AC46 + TEN!AC46 + TEX!AC46</f>
        <v>53509.015720469994</v>
      </c>
    </row>
    <row r="47" spans="1:29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13.0107362</v>
      </c>
      <c r="E47" s="8">
        <f xml:space="preserve"> 0 + CAL!E47 + CAR!E47 + CENT!E47 + FLA!E47 + MIDA!E47 + MIDW!E47 + NE!E47 + NY!E47 + NW!E47 + SE!E47 + SW!E47 + TEN!E47 + TEX!E47</f>
        <v>13.001542089999999</v>
      </c>
      <c r="F47" s="8">
        <f xml:space="preserve"> 0 + CAL!F47 + CAR!F47 + CENT!F47 + FLA!F47 + MIDA!F47 + MIDW!F47 + NE!F47 + NY!F47 + NW!F47 + SE!F47 + SW!F47 + TEN!F47 + TEX!F47</f>
        <v>13.105121069999999</v>
      </c>
      <c r="G47" s="8">
        <f xml:space="preserve"> 0 + CAL!G47 + CAR!G47 + CENT!G47 + FLA!G47 + MIDA!G47 + MIDW!G47 + NE!G47 + NY!G47 + NW!G47 + SE!G47 + SW!G47 + TEN!G47 + TEX!G47</f>
        <v>15.829834939999998</v>
      </c>
      <c r="H47" s="8">
        <f xml:space="preserve"> 0 + CAL!H47 + CAR!H47 + CENT!H47 + FLA!H47 + MIDA!H47 + MIDW!H47 + NE!H47 + NY!H47 + NW!H47 + SE!H47 + SW!H47 + TEN!H47 + TEX!H47</f>
        <v>15.425773810000001</v>
      </c>
      <c r="I47" s="8">
        <f xml:space="preserve"> 0 + CAL!I47 + CAR!I47 + CENT!I47 + FLA!I47 + MIDA!I47 + MIDW!I47 + NE!I47 + NY!I47 + NW!I47 + SE!I47 + SW!I47 + TEN!I47 + TEX!I47</f>
        <v>15.467725869999999</v>
      </c>
      <c r="J47" s="8">
        <f xml:space="preserve"> 0 + CAL!J47 + CAR!J47 + CENT!J47 + FLA!J47 + MIDA!J47 + MIDW!J47 + NE!J47 + NY!J47 + NW!J47 + SE!J47 + SW!J47 + TEN!J47 + TEX!J47</f>
        <v>15.912097029999995</v>
      </c>
      <c r="K47" s="8">
        <f xml:space="preserve"> 0 + CAL!K47 + CAR!K47 + CENT!K47 + FLA!K47 + MIDA!K47 + MIDW!K47 + NE!K47 + NY!K47 + NW!K47 + SE!K47 + SW!K47 + TEN!K47 + TEX!K47</f>
        <v>15.357958000000002</v>
      </c>
      <c r="L47" s="8">
        <f xml:space="preserve"> 0 + CAL!L47 + CAR!L47 + CENT!L47 + FLA!L47 + MIDA!L47 + MIDW!L47 + NE!L47 + NY!L47 + NW!L47 + SE!L47 + SW!L47 + TEN!L47 + TEX!L47</f>
        <v>15.158355959999998</v>
      </c>
      <c r="M47" s="8">
        <f xml:space="preserve"> 0 + CAL!M47 + CAR!M47 + CENT!M47 + FLA!M47 + MIDA!M47 + MIDW!M47 + NE!M47 + NY!M47 + NW!M47 + SE!M47 + SW!M47 + TEN!M47 + TEX!M47</f>
        <v>14.96744284</v>
      </c>
      <c r="N47" s="8">
        <f xml:space="preserve"> 0 + CAL!N47 + CAR!N47 + CENT!N47 + FLA!N47 + MIDA!N47 + MIDW!N47 + NE!N47 + NY!N47 + NW!N47 + SE!N47 + SW!N47 + TEN!N47 + TEX!N47</f>
        <v>14.515029279999998</v>
      </c>
      <c r="O47" s="8">
        <f xml:space="preserve"> 0 + CAL!O47 + CAR!O47 + CENT!O47 + FLA!O47 + MIDA!O47 + MIDW!O47 + NE!O47 + NY!O47 + NW!O47 + SE!O47 + SW!O47 + TEN!O47 + TEX!O47</f>
        <v>14.544495110000002</v>
      </c>
      <c r="P47" s="8">
        <f xml:space="preserve"> 0 + CAL!P47 + CAR!P47 + CENT!P47 + FLA!P47 + MIDA!P47 + MIDW!P47 + NE!P47 + NY!P47 + NW!P47 + SE!P47 + SW!P47 + TEN!P47 + TEX!P47</f>
        <v>14.458820730000001</v>
      </c>
      <c r="Q47" s="8">
        <f xml:space="preserve"> 0 + CAL!Q47 + CAR!Q47 + CENT!Q47 + FLA!Q47 + MIDA!Q47 + MIDW!Q47 + NE!Q47 + NY!Q47 + NW!Q47 + SE!Q47 + SW!Q47 + TEN!Q47 + TEX!Q47</f>
        <v>14.264614269999999</v>
      </c>
      <c r="R47" s="8">
        <f xml:space="preserve"> 0 + CAL!R47 + CAR!R47 + CENT!R47 + FLA!R47 + MIDA!R47 + MIDW!R47 + NE!R47 + NY!R47 + NW!R47 + SE!R47 + SW!R47 + TEN!R47 + TEX!R47</f>
        <v>14.249992950000003</v>
      </c>
      <c r="S47" s="8">
        <f xml:space="preserve"> 0 + CAL!S47 + CAR!S47 + CENT!S47 + FLA!S47 + MIDA!S47 + MIDW!S47 + NE!S47 + NY!S47 + NW!S47 + SE!S47 + SW!S47 + TEN!S47 + TEX!S47</f>
        <v>14.149606120000001</v>
      </c>
      <c r="T47" s="8">
        <f xml:space="preserve"> 0 + CAL!T47 + CAR!T47 + CENT!T47 + FLA!T47 + MIDA!T47 + MIDW!T47 + NE!T47 + NY!T47 + NW!T47 + SE!T47 + SW!T47 + TEN!T47 + TEX!T47</f>
        <v>14.140054320000001</v>
      </c>
      <c r="U47" s="8">
        <f xml:space="preserve"> 0 + CAL!U47 + CAR!U47 + CENT!U47 + FLA!U47 + MIDA!U47 + MIDW!U47 + NE!U47 + NY!U47 + NW!U47 + SE!U47 + SW!U47 + TEN!U47 + TEX!U47</f>
        <v>14.175784050000001</v>
      </c>
      <c r="V47" s="8">
        <f xml:space="preserve"> 0 + CAL!V47 + CAR!V47 + CENT!V47 + FLA!V47 + MIDA!V47 + MIDW!V47 + NE!V47 + NY!V47 + NW!V47 + SE!V47 + SW!V47 + TEN!V47 + TEX!V47</f>
        <v>14.00141462</v>
      </c>
      <c r="W47" s="8">
        <f xml:space="preserve"> 0 + CAL!W47 + CAR!W47 + CENT!W47 + FLA!W47 + MIDA!W47 + MIDW!W47 + NE!W47 + NY!W47 + NW!W47 + SE!W47 + SW!W47 + TEN!W47 + TEX!W47</f>
        <v>13.945653450000002</v>
      </c>
      <c r="X47" s="8">
        <f xml:space="preserve"> 0 + CAL!X47 + CAR!X47 + CENT!X47 + FLA!X47 + MIDA!X47 + MIDW!X47 + NE!X47 + NY!X47 + NW!X47 + SE!X47 + SW!X47 + TEN!X47 + TEX!X47</f>
        <v>13.860060850000002</v>
      </c>
      <c r="Y47" s="8">
        <f xml:space="preserve"> 0 + CAL!Y47 + CAR!Y47 + CENT!Y47 + FLA!Y47 + MIDA!Y47 + MIDW!Y47 + NE!Y47 + NY!Y47 + NW!Y47 + SE!Y47 + SW!Y47 + TEN!Y47 + TEX!Y47</f>
        <v>13.82771797</v>
      </c>
      <c r="Z47" s="8">
        <f xml:space="preserve"> 0 + CAL!Z47 + CAR!Z47 + CENT!Z47 + FLA!Z47 + MIDA!Z47 + MIDW!Z47 + NE!Z47 + NY!Z47 + NW!Z47 + SE!Z47 + SW!Z47 + TEN!Z47 + TEX!Z47</f>
        <v>13.766215620000002</v>
      </c>
      <c r="AA47" s="8">
        <f xml:space="preserve"> 0 + CAL!AA47 + CAR!AA47 + CENT!AA47 + FLA!AA47 + MIDA!AA47 + MIDW!AA47 + NE!AA47 + NY!AA47 + NW!AA47 + SE!AA47 + SW!AA47 + TEN!AA47 + TEX!AA47</f>
        <v>13.79277723</v>
      </c>
      <c r="AB47" s="8">
        <f xml:space="preserve"> 0 + CAL!AB47 + CAR!AB47 + CENT!AB47 + FLA!AB47 + MIDA!AB47 + MIDW!AB47 + NE!AB47 + NY!AB47 + NW!AB47 + SE!AB47 + SW!AB47 + TEN!AB47 + TEX!AB47</f>
        <v>13.771062740000001</v>
      </c>
      <c r="AC47" s="8">
        <f xml:space="preserve"> 0 + CAL!AC47 + CAR!AC47 + CENT!AC47 + FLA!AC47 + MIDA!AC47 + MIDW!AC47 + NE!AC47 + NY!AC47 + NW!AC47 + SE!AC47 + SW!AC47 + TEN!AC47 + TEX!AC47</f>
        <v>13.733896880000001</v>
      </c>
    </row>
    <row r="48" spans="1:29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13.0107362</v>
      </c>
      <c r="D48" s="8">
        <f xml:space="preserve"> 0 + CAL!D48 + CAR!D48 + CENT!D48 + FLA!D48 + MIDA!D48 + MIDW!D48 + NE!D48 + NY!D48 + NW!D48 + SE!D48 + SW!D48 + TEN!D48 + TEX!D48</f>
        <v>13.001542089999999</v>
      </c>
      <c r="E48" s="8">
        <f xml:space="preserve"> 0 + CAL!E48 + CAR!E48 + CENT!E48 + FLA!E48 + MIDA!E48 + MIDW!E48 + NE!E48 + NY!E48 + NW!E48 + SE!E48 + SW!E48 + TEN!E48 + TEX!E48</f>
        <v>13.105121069999999</v>
      </c>
      <c r="F48" s="8">
        <f xml:space="preserve"> 0 + CAL!F48 + CAR!F48 + CENT!F48 + FLA!F48 + MIDA!F48 + MIDW!F48 + NE!F48 + NY!F48 + NW!F48 + SE!F48 + SW!F48 + TEN!F48 + TEX!F48</f>
        <v>17.369916789999998</v>
      </c>
      <c r="G48" s="8">
        <f xml:space="preserve"> 0 + CAL!G48 + CAR!G48 + CENT!G48 + FLA!G48 + MIDA!G48 + MIDW!G48 + NE!G48 + NY!G48 + NW!G48 + SE!G48 + SW!G48 + TEN!G48 + TEX!G48</f>
        <v>16.038117759999999</v>
      </c>
      <c r="H48" s="8">
        <f xml:space="preserve"> 0 + CAL!H48 + CAR!H48 + CENT!H48 + FLA!H48 + MIDA!H48 + MIDW!H48 + NE!H48 + NY!H48 + NW!H48 + SE!H48 + SW!H48 + TEN!H48 + TEX!H48</f>
        <v>15.939653740000001</v>
      </c>
      <c r="I48" s="8">
        <f xml:space="preserve"> 0 + CAL!I48 + CAR!I48 + CENT!I48 + FLA!I48 + MIDA!I48 + MIDW!I48 + NE!I48 + NY!I48 + NW!I48 + SE!I48 + SW!I48 + TEN!I48 + TEX!I48</f>
        <v>16.71399362</v>
      </c>
      <c r="J48" s="8">
        <f xml:space="preserve"> 0 + CAL!J48 + CAR!J48 + CENT!J48 + FLA!J48 + MIDA!J48 + MIDW!J48 + NE!J48 + NY!J48 + NW!J48 + SE!J48 + SW!J48 + TEN!J48 + TEX!J48</f>
        <v>15.75508417</v>
      </c>
      <c r="K48" s="8">
        <f xml:space="preserve"> 0 + CAL!K48 + CAR!K48 + CENT!K48 + FLA!K48 + MIDA!K48 + MIDW!K48 + NE!K48 + NY!K48 + NW!K48 + SE!K48 + SW!K48 + TEN!K48 + TEX!K48</f>
        <v>15.42170647</v>
      </c>
      <c r="L48" s="8">
        <f xml:space="preserve"> 0 + CAL!L48 + CAR!L48 + CENT!L48 + FLA!L48 + MIDA!L48 + MIDW!L48 + NE!L48 + NY!L48 + NW!L48 + SE!L48 + SW!L48 + TEN!L48 + TEX!L48</f>
        <v>15.134447389999998</v>
      </c>
      <c r="M48" s="8">
        <f xml:space="preserve"> 0 + CAL!M48 + CAR!M48 + CENT!M48 + FLA!M48 + MIDA!M48 + MIDW!M48 + NE!M48 + NY!M48 + NW!M48 + SE!M48 + SW!M48 + TEN!M48 + TEX!M48</f>
        <v>14.598445689999998</v>
      </c>
      <c r="N48" s="8">
        <f xml:space="preserve"> 0 + CAL!N48 + CAR!N48 + CENT!N48 + FLA!N48 + MIDA!N48 + MIDW!N48 + NE!N48 + NY!N48 + NW!N48 + SE!N48 + SW!N48 + TEN!N48 + TEX!N48</f>
        <v>14.615368070000001</v>
      </c>
      <c r="O48" s="8">
        <f xml:space="preserve"> 0 + CAL!O48 + CAR!O48 + CENT!O48 + FLA!O48 + MIDA!O48 + MIDW!O48 + NE!O48 + NY!O48 + NW!O48 + SE!O48 + SW!O48 + TEN!O48 + TEX!O48</f>
        <v>14.507120370000001</v>
      </c>
      <c r="P48" s="8">
        <f xml:space="preserve"> 0 + CAL!P48 + CAR!P48 + CENT!P48 + FLA!P48 + MIDA!P48 + MIDW!P48 + NE!P48 + NY!P48 + NW!P48 + SE!P48 + SW!P48 + TEN!P48 + TEX!P48</f>
        <v>14.304523150000001</v>
      </c>
      <c r="Q48" s="8">
        <f xml:space="preserve"> 0 + CAL!Q48 + CAR!Q48 + CENT!Q48 + FLA!Q48 + MIDA!Q48 + MIDW!Q48 + NE!Q48 + NY!Q48 + NW!Q48 + SE!Q48 + SW!Q48 + TEN!Q48 + TEX!Q48</f>
        <v>14.28534226</v>
      </c>
      <c r="R48" s="8">
        <f xml:space="preserve"> 0 + CAL!R48 + CAR!R48 + CENT!R48 + FLA!R48 + MIDA!R48 + MIDW!R48 + NE!R48 + NY!R48 + NW!R48 + SE!R48 + SW!R48 + TEN!R48 + TEX!R48</f>
        <v>14.180470929999998</v>
      </c>
      <c r="S48" s="8">
        <f xml:space="preserve"> 0 + CAL!S48 + CAR!S48 + CENT!S48 + FLA!S48 + MIDA!S48 + MIDW!S48 + NE!S48 + NY!S48 + NW!S48 + SE!S48 + SW!S48 + TEN!S48 + TEX!S48</f>
        <v>14.172670650000001</v>
      </c>
      <c r="T48" s="8">
        <f xml:space="preserve"> 0 + CAL!T48 + CAR!T48 + CENT!T48 + FLA!T48 + MIDA!T48 + MIDW!T48 + NE!T48 + NY!T48 + NW!T48 + SE!T48 + SW!T48 + TEN!T48 + TEX!T48</f>
        <v>14.212072769999999</v>
      </c>
      <c r="U48" s="8">
        <f xml:space="preserve"> 0 + CAL!U48 + CAR!U48 + CENT!U48 + FLA!U48 + MIDA!U48 + MIDW!U48 + NE!U48 + NY!U48 + NW!U48 + SE!U48 + SW!U48 + TEN!U48 + TEX!U48</f>
        <v>14.029782650000001</v>
      </c>
      <c r="V48" s="8">
        <f xml:space="preserve"> 0 + CAL!V48 + CAR!V48 + CENT!V48 + FLA!V48 + MIDA!V48 + MIDW!V48 + NE!V48 + NY!V48 + NW!V48 + SE!V48 + SW!V48 + TEN!V48 + TEX!V48</f>
        <v>13.970613629999995</v>
      </c>
      <c r="W48" s="8">
        <f xml:space="preserve"> 0 + CAL!W48 + CAR!W48 + CENT!W48 + FLA!W48 + MIDA!W48 + MIDW!W48 + NE!W48 + NY!W48 + NW!W48 + SE!W48 + SW!W48 + TEN!W48 + TEX!W48</f>
        <v>13.873699599999998</v>
      </c>
      <c r="X48" s="8">
        <f xml:space="preserve"> 0 + CAL!X48 + CAR!X48 + CENT!X48 + FLA!X48 + MIDA!X48 + MIDW!X48 + NE!X48 + NY!X48 + NW!X48 + SE!X48 + SW!X48 + TEN!X48 + TEX!X48</f>
        <v>13.843797240000002</v>
      </c>
      <c r="Y48" s="8">
        <f xml:space="preserve"> 0 + CAL!Y48 + CAR!Y48 + CENT!Y48 + FLA!Y48 + MIDA!Y48 + MIDW!Y48 + NE!Y48 + NY!Y48 + NW!Y48 + SE!Y48 + SW!Y48 + TEN!Y48 + TEX!Y48</f>
        <v>13.777439460000002</v>
      </c>
      <c r="Z48" s="8">
        <f xml:space="preserve"> 0 + CAL!Z48 + CAR!Z48 + CENT!Z48 + FLA!Z48 + MIDA!Z48 + MIDW!Z48 + NE!Z48 + NY!Z48 + NW!Z48 + SE!Z48 + SW!Z48 + TEN!Z48 + TEX!Z48</f>
        <v>13.799549650000001</v>
      </c>
      <c r="AA48" s="8">
        <f xml:space="preserve"> 0 + CAL!AA48 + CAR!AA48 + CENT!AA48 + FLA!AA48 + MIDA!AA48 + MIDW!AA48 + NE!AA48 + NY!AA48 + NW!AA48 + SE!AA48 + SW!AA48 + TEN!AA48 + TEX!AA48</f>
        <v>13.77716028</v>
      </c>
      <c r="AB48" s="8">
        <f xml:space="preserve"> 0 + CAL!AB48 + CAR!AB48 + CENT!AB48 + FLA!AB48 + MIDA!AB48 + MIDW!AB48 + NE!AB48 + NY!AB48 + NW!AB48 + SE!AB48 + SW!AB48 + TEN!AB48 + TEX!AB48</f>
        <v>13.737600139999998</v>
      </c>
      <c r="AC48" s="8">
        <f xml:space="preserve"> 0 + CAL!AC48 + CAR!AC48 + CENT!AC48 + FLA!AC48 + MIDA!AC48 + MIDW!AC48 + NE!AC48 + NY!AC48 + NW!AC48 + SE!AC48 + SW!AC48 + TEN!AC48 + TEX!AC48</f>
        <v>13.68284098</v>
      </c>
    </row>
    <row r="49" spans="1:29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18.610519450000002</v>
      </c>
      <c r="E49" s="8">
        <f xml:space="preserve"> 0 + CAL!E49 + CAR!E49 + CENT!E49 + FLA!E49 + MIDA!E49 + MIDW!E49 + NE!E49 + NY!E49 + NW!E49 + SE!E49 + SW!E49 + TEN!E49 + TEX!E49</f>
        <v>18.906934379999999</v>
      </c>
      <c r="F49" s="8">
        <f xml:space="preserve"> 0 + CAL!F49 + CAR!F49 + CENT!F49 + FLA!F49 + MIDA!F49 + MIDW!F49 + NE!F49 + NY!F49 + NW!F49 + SE!F49 + SW!F49 + TEN!F49 + TEX!F49</f>
        <v>19.237070190000001</v>
      </c>
      <c r="G49" s="8">
        <f xml:space="preserve"> 0 + CAL!G49 + CAR!G49 + CENT!G49 + FLA!G49 + MIDA!G49 + MIDW!G49 + NE!G49 + NY!G49 + NW!G49 + SE!G49 + SW!G49 + TEN!G49 + TEX!G49</f>
        <v>17.6918668</v>
      </c>
      <c r="H49" s="8">
        <f xml:space="preserve"> 0 + CAL!H49 + CAR!H49 + CENT!H49 + FLA!H49 + MIDA!H49 + MIDW!H49 + NE!H49 + NY!H49 + NW!H49 + SE!H49 + SW!H49 + TEN!H49 + TEX!H49</f>
        <v>17.173387739999999</v>
      </c>
      <c r="I49" s="8">
        <f xml:space="preserve"> 0 + CAL!I49 + CAR!I49 + CENT!I49 + FLA!I49 + MIDA!I49 + MIDW!I49 + NE!I49 + NY!I49 + NW!I49 + SE!I49 + SW!I49 + TEN!I49 + TEX!I49</f>
        <v>16.808636309999997</v>
      </c>
      <c r="J49" s="8">
        <f xml:space="preserve"> 0 + CAL!J49 + CAR!J49 + CENT!J49 + FLA!J49 + MIDA!J49 + MIDW!J49 + NE!J49 + NY!J49 + NW!J49 + SE!J49 + SW!J49 + TEN!J49 + TEX!J49</f>
        <v>15.969975569999999</v>
      </c>
      <c r="K49" s="8">
        <f xml:space="preserve"> 0 + CAL!K49 + CAR!K49 + CENT!K49 + FLA!K49 + MIDA!K49 + MIDW!K49 + NE!K49 + NY!K49 + NW!K49 + SE!K49 + SW!K49 + TEN!K49 + TEX!K49</f>
        <v>15.578842940000001</v>
      </c>
      <c r="L49" s="8">
        <f xml:space="preserve"> 0 + CAL!L49 + CAR!L49 + CENT!L49 + FLA!L49 + MIDA!L49 + MIDW!L49 + NE!L49 + NY!L49 + NW!L49 + SE!L49 + SW!L49 + TEN!L49 + TEX!L49</f>
        <v>15.308651640000001</v>
      </c>
      <c r="M49" s="8">
        <f xml:space="preserve"> 0 + CAL!M49 + CAR!M49 + CENT!M49 + FLA!M49 + MIDA!M49 + MIDW!M49 + NE!M49 + NY!M49 + NW!M49 + SE!M49 + SW!M49 + TEN!M49 + TEX!M49</f>
        <v>15.12184912</v>
      </c>
      <c r="N49" s="8">
        <f xml:space="preserve"> 0 + CAL!N49 + CAR!N49 + CENT!N49 + FLA!N49 + MIDA!N49 + MIDW!N49 + NE!N49 + NY!N49 + NW!N49 + SE!N49 + SW!N49 + TEN!N49 + TEX!N49</f>
        <v>15.04669535</v>
      </c>
      <c r="O49" s="8">
        <f xml:space="preserve"> 0 + CAL!O49 + CAR!O49 + CENT!O49 + FLA!O49 + MIDA!O49 + MIDW!O49 + NE!O49 + NY!O49 + NW!O49 + SE!O49 + SW!O49 + TEN!O49 + TEX!O49</f>
        <v>14.966496970000001</v>
      </c>
      <c r="P49" s="8">
        <f xml:space="preserve"> 0 + CAL!P49 + CAR!P49 + CENT!P49 + FLA!P49 + MIDA!P49 + MIDW!P49 + NE!P49 + NY!P49 + NW!P49 + SE!P49 + SW!P49 + TEN!P49 + TEX!P49</f>
        <v>14.901116120000003</v>
      </c>
      <c r="Q49" s="8">
        <f xml:space="preserve"> 0 + CAL!Q49 + CAR!Q49 + CENT!Q49 + FLA!Q49 + MIDA!Q49 + MIDW!Q49 + NE!Q49 + NY!Q49 + NW!Q49 + SE!Q49 + SW!Q49 + TEN!Q49 + TEX!Q49</f>
        <v>14.853691489999999</v>
      </c>
      <c r="R49" s="8">
        <f xml:space="preserve"> 0 + CAL!R49 + CAR!R49 + CENT!R49 + FLA!R49 + MIDA!R49 + MIDW!R49 + NE!R49 + NY!R49 + NW!R49 + SE!R49 + SW!R49 + TEN!R49 + TEX!R49</f>
        <v>14.808812940000001</v>
      </c>
      <c r="S49" s="8">
        <f xml:space="preserve"> 0 + CAL!S49 + CAR!S49 + CENT!S49 + FLA!S49 + MIDA!S49 + MIDW!S49 + NE!S49 + NY!S49 + NW!S49 + SE!S49 + SW!S49 + TEN!S49 + TEX!S49</f>
        <v>14.772995569999999</v>
      </c>
      <c r="T49" s="8">
        <f xml:space="preserve"> 0 + CAL!T49 + CAR!T49 + CENT!T49 + FLA!T49 + MIDA!T49 + MIDW!T49 + NE!T49 + NY!T49 + NW!T49 + SE!T49 + SW!T49 + TEN!T49 + TEX!T49</f>
        <v>14.72866181</v>
      </c>
      <c r="U49" s="8">
        <f xml:space="preserve"> 0 + CAL!U49 + CAR!U49 + CENT!U49 + FLA!U49 + MIDA!U49 + MIDW!U49 + NE!U49 + NY!U49 + NW!U49 + SE!U49 + SW!U49 + TEN!U49 + TEX!U49</f>
        <v>14.6786288</v>
      </c>
      <c r="V49" s="8">
        <f xml:space="preserve"> 0 + CAL!V49 + CAR!V49 + CENT!V49 + FLA!V49 + MIDA!V49 + MIDW!V49 + NE!V49 + NY!V49 + NW!V49 + SE!V49 + SW!V49 + TEN!V49 + TEX!V49</f>
        <v>14.653482309999999</v>
      </c>
      <c r="W49" s="8">
        <f xml:space="preserve"> 0 + CAL!W49 + CAR!W49 + CENT!W49 + FLA!W49 + MIDA!W49 + MIDW!W49 + NE!W49 + NY!W49 + NW!W49 + SE!W49 + SW!W49 + TEN!W49 + TEX!W49</f>
        <v>14.635221620000003</v>
      </c>
      <c r="X49" s="8">
        <f xml:space="preserve"> 0 + CAL!X49 + CAR!X49 + CENT!X49 + FLA!X49 + MIDA!X49 + MIDW!X49 + NE!X49 + NY!X49 + NW!X49 + SE!X49 + SW!X49 + TEN!X49 + TEX!X49</f>
        <v>14.63225388</v>
      </c>
      <c r="Y49" s="8">
        <f xml:space="preserve"> 0 + CAL!Y49 + CAR!Y49 + CENT!Y49 + FLA!Y49 + MIDA!Y49 + MIDW!Y49 + NE!Y49 + NY!Y49 + NW!Y49 + SE!Y49 + SW!Y49 + TEN!Y49 + TEX!Y49</f>
        <v>14.625914499999999</v>
      </c>
      <c r="Z49" s="8">
        <f xml:space="preserve"> 0 + CAL!Z49 + CAR!Z49 + CENT!Z49 + FLA!Z49 + MIDA!Z49 + MIDW!Z49 + NE!Z49 + NY!Z49 + NW!Z49 + SE!Z49 + SW!Z49 + TEN!Z49 + TEX!Z49</f>
        <v>14.620828699999999</v>
      </c>
      <c r="AA49" s="8">
        <f xml:space="preserve"> 0 + CAL!AA49 + CAR!AA49 + CENT!AA49 + FLA!AA49 + MIDA!AA49 + MIDW!AA49 + NE!AA49 + NY!AA49 + NW!AA49 + SE!AA49 + SW!AA49 + TEN!AA49 + TEX!AA49</f>
        <v>14.618394439999999</v>
      </c>
      <c r="AB49" s="8">
        <f xml:space="preserve"> 0 + CAL!AB49 + CAR!AB49 + CENT!AB49 + FLA!AB49 + MIDA!AB49 + MIDW!AB49 + NE!AB49 + NY!AB49 + NW!AB49 + SE!AB49 + SW!AB49 + TEN!AB49 + TEX!AB49</f>
        <v>14.61699849</v>
      </c>
      <c r="AC49" s="8">
        <f xml:space="preserve"> 0 + CAL!AC49 + CAR!AC49 + CENT!AC49 + FLA!AC49 + MIDA!AC49 + MIDW!AC49 + NE!AC49 + NY!AC49 + NW!AC49 + SE!AC49 + SW!AC49 + TEN!AC49 + TEX!AC49</f>
        <v>14.61910383</v>
      </c>
    </row>
    <row r="50" spans="1:29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418997.48693653004</v>
      </c>
      <c r="D50" s="8">
        <f xml:space="preserve"> 0 + CAL!D50 + CAR!D50 + CENT!D50 + FLA!D50 + MIDA!D50 + MIDW!D50 + NE!D50 + NY!D50 + NW!D50 + SE!D50 + SW!D50 + TEN!D50 + TEX!D50</f>
        <v>436383.66937626997</v>
      </c>
      <c r="E50" s="8">
        <f xml:space="preserve"> 0 + CAL!E50 + CAR!E50 + CENT!E50 + FLA!E50 + MIDA!E50 + MIDW!E50 + NE!E50 + NY!E50 + NW!E50 + SE!E50 + SW!E50 + TEN!E50 + TEX!E50</f>
        <v>461837.51545463002</v>
      </c>
      <c r="F50" s="8">
        <f xml:space="preserve"> 0 + CAL!F50 + CAR!F50 + CENT!F50 + FLA!F50 + MIDA!F50 + MIDW!F50 + NE!F50 + NY!F50 + NW!F50 + SE!F50 + SW!F50 + TEN!F50 + TEX!F50</f>
        <v>494895.58870798995</v>
      </c>
      <c r="G50" s="8">
        <f xml:space="preserve"> 0 + CAL!G50 + CAR!G50 + CENT!G50 + FLA!G50 + MIDA!G50 + MIDW!G50 + NE!G50 + NY!G50 + NW!G50 + SE!G50 + SW!G50 + TEN!G50 + TEX!G50</f>
        <v>522998.02073293005</v>
      </c>
      <c r="H50" s="8">
        <f xml:space="preserve"> 0 + CAL!H50 + CAR!H50 + CENT!H50 + FLA!H50 + MIDA!H50 + MIDW!H50 + NE!H50 + NY!H50 + NW!H50 + SE!H50 + SW!H50 + TEN!H50 + TEX!H50</f>
        <v>546231.65567293996</v>
      </c>
      <c r="I50" s="8">
        <f xml:space="preserve"> 0 + CAL!I50 + CAR!I50 + CENT!I50 + FLA!I50 + MIDA!I50 + MIDW!I50 + NE!I50 + NY!I50 + NW!I50 + SE!I50 + SW!I50 + TEN!I50 + TEX!I50</f>
        <v>566572.80117155996</v>
      </c>
      <c r="J50" s="8">
        <f xml:space="preserve"> 0 + CAL!J50 + CAR!J50 + CENT!J50 + FLA!J50 + MIDA!J50 + MIDW!J50 + NE!J50 + NY!J50 + NW!J50 + SE!J50 + SW!J50 + TEN!J50 + TEX!J50</f>
        <v>563020.33717119996</v>
      </c>
      <c r="K50" s="8">
        <f xml:space="preserve"> 0 + CAL!K50 + CAR!K50 + CENT!K50 + FLA!K50 + MIDA!K50 + MIDW!K50 + NE!K50 + NY!K50 + NW!K50 + SE!K50 + SW!K50 + TEN!K50 + TEX!K50</f>
        <v>553355.63334041997</v>
      </c>
      <c r="L50" s="8">
        <f xml:space="preserve"> 0 + CAL!L50 + CAR!L50 + CENT!L50 + FLA!L50 + MIDA!L50 + MIDW!L50 + NE!L50 + NY!L50 + NW!L50 + SE!L50 + SW!L50 + TEN!L50 + TEX!L50</f>
        <v>543766.08370364003</v>
      </c>
      <c r="M50" s="8">
        <f xml:space="preserve"> 0 + CAL!M50 + CAR!M50 + CENT!M50 + FLA!M50 + MIDA!M50 + MIDW!M50 + NE!M50 + NY!M50 + NW!M50 + SE!M50 + SW!M50 + TEN!M50 + TEX!M50</f>
        <v>535553.39440284995</v>
      </c>
      <c r="N50" s="8">
        <f xml:space="preserve"> 0 + CAL!N50 + CAR!N50 + CENT!N50 + FLA!N50 + MIDA!N50 + MIDW!N50 + NE!N50 + NY!N50 + NW!N50 + SE!N50 + SW!N50 + TEN!N50 + TEX!N50</f>
        <v>527423.31887532002</v>
      </c>
      <c r="O50" s="8">
        <f xml:space="preserve"> 0 + CAL!O50 + CAR!O50 + CENT!O50 + FLA!O50 + MIDA!O50 + MIDW!O50 + NE!O50 + NY!O50 + NW!O50 + SE!O50 + SW!O50 + TEN!O50 + TEX!O50</f>
        <v>519661.42113895994</v>
      </c>
      <c r="P50" s="8">
        <f xml:space="preserve"> 0 + CAL!P50 + CAR!P50 + CENT!P50 + FLA!P50 + MIDA!P50 + MIDW!P50 + NE!P50 + NY!P50 + NW!P50 + SE!P50 + SW!P50 + TEN!P50 + TEX!P50</f>
        <v>512073.46443715005</v>
      </c>
      <c r="Q50" s="8">
        <f xml:space="preserve"> 0 + CAL!Q50 + CAR!Q50 + CENT!Q50 + FLA!Q50 + MIDA!Q50 + MIDW!Q50 + NE!Q50 + NY!Q50 + NW!Q50 + SE!Q50 + SW!Q50 + TEN!Q50 + TEX!Q50</f>
        <v>505030.58982561005</v>
      </c>
      <c r="R50" s="8">
        <f xml:space="preserve"> 0 + CAL!R50 + CAR!R50 + CENT!R50 + FLA!R50 + MIDA!R50 + MIDW!R50 + NE!R50 + NY!R50 + NW!R50 + SE!R50 + SW!R50 + TEN!R50 + TEX!R50</f>
        <v>501126.82321468997</v>
      </c>
      <c r="S50" s="8">
        <f xml:space="preserve"> 0 + CAL!S50 + CAR!S50 + CENT!S50 + FLA!S50 + MIDA!S50 + MIDW!S50 + NE!S50 + NY!S50 + NW!S50 + SE!S50 + SW!S50 + TEN!S50 + TEX!S50</f>
        <v>498292.2537074</v>
      </c>
      <c r="T50" s="8">
        <f xml:space="preserve"> 0 + CAL!T50 + CAR!T50 + CENT!T50 + FLA!T50 + MIDA!T50 + MIDW!T50 + NE!T50 + NY!T50 + NW!T50 + SE!T50 + SW!T50 + TEN!T50 + TEX!T50</f>
        <v>492771.36442005</v>
      </c>
      <c r="U50" s="8">
        <f xml:space="preserve"> 0 + CAL!U50 + CAR!U50 + CENT!U50 + FLA!U50 + MIDA!U50 + MIDW!U50 + NE!U50 + NY!U50 + NW!U50 + SE!U50 + SW!U50 + TEN!U50 + TEX!U50</f>
        <v>492609.72159335</v>
      </c>
      <c r="V50" s="8">
        <f xml:space="preserve"> 0 + CAL!V50 + CAR!V50 + CENT!V50 + FLA!V50 + MIDA!V50 + MIDW!V50 + NE!V50 + NY!V50 + NW!V50 + SE!V50 + SW!V50 + TEN!V50 + TEX!V50</f>
        <v>492209.84736585995</v>
      </c>
      <c r="W50" s="8">
        <f xml:space="preserve"> 0 + CAL!W50 + CAR!W50 + CENT!W50 + FLA!W50 + MIDA!W50 + MIDW!W50 + NE!W50 + NY!W50 + NW!W50 + SE!W50 + SW!W50 + TEN!W50 + TEX!W50</f>
        <v>493919.07016364997</v>
      </c>
      <c r="X50" s="8">
        <f xml:space="preserve"> 0 + CAL!X50 + CAR!X50 + CENT!X50 + FLA!X50 + MIDA!X50 + MIDW!X50 + NE!X50 + NY!X50 + NW!X50 + SE!X50 + SW!X50 + TEN!X50 + TEX!X50</f>
        <v>499850.70220328995</v>
      </c>
      <c r="Y50" s="8">
        <f xml:space="preserve"> 0 + CAL!Y50 + CAR!Y50 + CENT!Y50 + FLA!Y50 + MIDA!Y50 + MIDW!Y50 + NE!Y50 + NY!Y50 + NW!Y50 + SE!Y50 + SW!Y50 + TEN!Y50 + TEX!Y50</f>
        <v>508667.59876768995</v>
      </c>
      <c r="Z50" s="8">
        <f xml:space="preserve"> 0 + CAL!Z50 + CAR!Z50 + CENT!Z50 + FLA!Z50 + MIDA!Z50 + MIDW!Z50 + NE!Z50 + NY!Z50 + NW!Z50 + SE!Z50 + SW!Z50 + TEN!Z50 + TEX!Z50</f>
        <v>514488.66294977994</v>
      </c>
      <c r="AA50" s="8">
        <f xml:space="preserve"> 0 + CAL!AA50 + CAR!AA50 + CENT!AA50 + FLA!AA50 + MIDA!AA50 + MIDW!AA50 + NE!AA50 + NY!AA50 + NW!AA50 + SE!AA50 + SW!AA50 + TEN!AA50 + TEX!AA50</f>
        <v>520365.15979036991</v>
      </c>
      <c r="AB50" s="8">
        <f xml:space="preserve"> 0 + CAL!AB50 + CAR!AB50 + CENT!AB50 + FLA!AB50 + MIDA!AB50 + MIDW!AB50 + NE!AB50 + NY!AB50 + NW!AB50 + SE!AB50 + SW!AB50 + TEN!AB50 + TEX!AB50</f>
        <v>526377.58695269004</v>
      </c>
      <c r="AC50" s="8">
        <f xml:space="preserve"> 0 + CAL!AC50 + CAR!AC50 + CENT!AC50 + FLA!AC50 + MIDA!AC50 + MIDW!AC50 + NE!AC50 + NY!AC50 + NW!AC50 + SE!AC50 + SW!AC50 + TEN!AC50 + TEX!AC50</f>
        <v>534366.46603030001</v>
      </c>
    </row>
    <row r="51" spans="1:29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1654194942.1269438</v>
      </c>
      <c r="D51" s="8">
        <f xml:space="preserve"> 0 + CAL!D51 + CAR!D51 + CENT!D51 + FLA!D51 + MIDA!D51 + MIDW!D51 + NE!D51 + NY!D51 + NW!D51 + SE!D51 + SW!D51 + TEN!D51 + TEX!D51</f>
        <v>1740285525.6584885</v>
      </c>
      <c r="E51" s="8">
        <f xml:space="preserve"> 0 + CAL!E51 + CAR!E51 + CENT!E51 + FLA!E51 + MIDA!E51 + MIDW!E51 + NE!E51 + NY!E51 + NW!E51 + SE!E51 + SW!E51 + TEN!E51 + TEX!E51</f>
        <v>1863537657.4180167</v>
      </c>
      <c r="F51" s="8">
        <f xml:space="preserve"> 0 + CAL!F51 + CAR!F51 + CENT!F51 + FLA!F51 + MIDA!F51 + MIDW!F51 + NE!F51 + NY!F51 + NW!F51 + SE!F51 + SW!F51 + TEN!F51 + TEX!F51</f>
        <v>1962784572.1656139</v>
      </c>
      <c r="G51" s="8">
        <f xml:space="preserve"> 0 + CAL!G51 + CAR!G51 + CENT!G51 + FLA!G51 + MIDA!G51 + MIDW!G51 + NE!G51 + NY!G51 + NW!G51 + SE!G51 + SW!G51 + TEN!G51 + TEX!G51</f>
        <v>2017373375.9032359</v>
      </c>
      <c r="H51" s="8">
        <f xml:space="preserve"> 0 + CAL!H51 + CAR!H51 + CENT!H51 + FLA!H51 + MIDA!H51 + MIDW!H51 + NE!H51 + NY!H51 + NW!H51 + SE!H51 + SW!H51 + TEN!H51 + TEX!H51</f>
        <v>2011316394.797014</v>
      </c>
      <c r="I51" s="8">
        <f xml:space="preserve"> 0 + CAL!I51 + CAR!I51 + CENT!I51 + FLA!I51 + MIDA!I51 + MIDW!I51 + NE!I51 + NY!I51 + NW!I51 + SE!I51 + SW!I51 + TEN!I51 + TEX!I51</f>
        <v>1948452226.4544678</v>
      </c>
      <c r="J51" s="8">
        <f xml:space="preserve"> 0 + CAL!J51 + CAR!J51 + CENT!J51 + FLA!J51 + MIDA!J51 + MIDW!J51 + NE!J51 + NY!J51 + NW!J51 + SE!J51 + SW!J51 + TEN!J51 + TEX!J51</f>
        <v>1777700637.9000163</v>
      </c>
      <c r="K51" s="8">
        <f xml:space="preserve"> 0 + CAL!K51 + CAR!K51 + CENT!K51 + FLA!K51 + MIDA!K51 + MIDW!K51 + NE!K51 + NY!K51 + NW!K51 + SE!K51 + SW!K51 + TEN!K51 + TEX!K51</f>
        <v>1571715282.9827166</v>
      </c>
      <c r="L51" s="8">
        <f xml:space="preserve"> 0 + CAL!L51 + CAR!L51 + CENT!L51 + FLA!L51 + MIDA!L51 + MIDW!L51 + NE!L51 + NY!L51 + NW!L51 + SE!L51 + SW!L51 + TEN!L51 + TEX!L51</f>
        <v>1373758530.1207979</v>
      </c>
      <c r="M51" s="8">
        <f xml:space="preserve"> 0 + CAL!M51 + CAR!M51 + CENT!M51 + FLA!M51 + MIDA!M51 + MIDW!M51 + NE!M51 + NY!M51 + NW!M51 + SE!M51 + SW!M51 + TEN!M51 + TEX!M51</f>
        <v>1205755801.0703328</v>
      </c>
      <c r="N51" s="8">
        <f xml:space="preserve"> 0 + CAL!N51 + CAR!N51 + CENT!N51 + FLA!N51 + MIDA!N51 + MIDW!N51 + NE!N51 + NY!N51 + NW!N51 + SE!N51 + SW!N51 + TEN!N51 + TEX!N51</f>
        <v>1042777737.7815104</v>
      </c>
      <c r="O51" s="8">
        <f xml:space="preserve"> 0 + CAL!O51 + CAR!O51 + CENT!O51 + FLA!O51 + MIDA!O51 + MIDW!O51 + NE!O51 + NY!O51 + NW!O51 + SE!O51 + SW!O51 + TEN!O51 + TEX!O51</f>
        <v>898929542.93873453</v>
      </c>
      <c r="P51" s="8">
        <f xml:space="preserve"> 0 + CAL!P51 + CAR!P51 + CENT!P51 + FLA!P51 + MIDA!P51 + MIDW!P51 + NE!P51 + NY!P51 + NW!P51 + SE!P51 + SW!P51 + TEN!P51 + TEX!P51</f>
        <v>789735592.2794925</v>
      </c>
      <c r="Q51" s="8">
        <f xml:space="preserve"> 0 + CAL!Q51 + CAR!Q51 + CENT!Q51 + FLA!Q51 + MIDA!Q51 + MIDW!Q51 + NE!Q51 + NY!Q51 + NW!Q51 + SE!Q51 + SW!Q51 + TEN!Q51 + TEX!Q51</f>
        <v>684775924.84249079</v>
      </c>
      <c r="R51" s="8">
        <f xml:space="preserve"> 0 + CAL!R51 + CAR!R51 + CENT!R51 + FLA!R51 + MIDA!R51 + MIDW!R51 + NE!R51 + NY!R51 + NW!R51 + SE!R51 + SW!R51 + TEN!R51 + TEX!R51</f>
        <v>604361492.84861708</v>
      </c>
      <c r="S51" s="8">
        <f xml:space="preserve"> 0 + CAL!S51 + CAR!S51 + CENT!S51 + FLA!S51 + MIDA!S51 + MIDW!S51 + NE!S51 + NY!S51 + NW!S51 + SE!S51 + SW!S51 + TEN!S51 + TEX!S51</f>
        <v>545250425.01810181</v>
      </c>
      <c r="T51" s="8">
        <f xml:space="preserve"> 0 + CAL!T51 + CAR!T51 + CENT!T51 + FLA!T51 + MIDA!T51 + MIDW!T51 + NE!T51 + NY!T51 + NW!T51 + SE!T51 + SW!T51 + TEN!T51 + TEX!T51</f>
        <v>483785726.77577871</v>
      </c>
      <c r="U51" s="8">
        <f xml:space="preserve"> 0 + CAL!U51 + CAR!U51 + CENT!U51 + FLA!U51 + MIDA!U51 + MIDW!U51 + NE!U51 + NY!U51 + NW!U51 + SE!U51 + SW!U51 + TEN!U51 + TEX!U51</f>
        <v>437033115.09249836</v>
      </c>
      <c r="V51" s="8">
        <f xml:space="preserve"> 0 + CAL!V51 + CAR!V51 + CENT!V51 + FLA!V51 + MIDA!V51 + MIDW!V51 + NE!V51 + NY!V51 + NW!V51 + SE!V51 + SW!V51 + TEN!V51 + TEX!V51</f>
        <v>394723700.04033095</v>
      </c>
      <c r="W51" s="8">
        <f xml:space="preserve"> 0 + CAL!W51 + CAR!W51 + CENT!W51 + FLA!W51 + MIDA!W51 + MIDW!W51 + NE!W51 + NY!W51 + NW!W51 + SE!W51 + SW!W51 + TEN!W51 + TEX!W51</f>
        <v>360038816.91755176</v>
      </c>
      <c r="X51" s="8">
        <f xml:space="preserve"> 0 + CAL!X51 + CAR!X51 + CENT!X51 + FLA!X51 + MIDA!X51 + MIDW!X51 + NE!X51 + NY!X51 + NW!X51 + SE!X51 + SW!X51 + TEN!X51 + TEX!X51</f>
        <v>339719146.30897313</v>
      </c>
      <c r="Y51" s="8">
        <f xml:space="preserve"> 0 + CAL!Y51 + CAR!Y51 + CENT!Y51 + FLA!Y51 + MIDA!Y51 + MIDW!Y51 + NE!Y51 + NY!Y51 + NW!Y51 + SE!Y51 + SW!Y51 + TEN!Y51 + TEX!Y51</f>
        <v>330754582.88339406</v>
      </c>
      <c r="Z51" s="8">
        <f xml:space="preserve"> 0 + CAL!Z51 + CAR!Z51 + CENT!Z51 + FLA!Z51 + MIDA!Z51 + MIDW!Z51 + NE!Z51 + NY!Z51 + NW!Z51 + SE!Z51 + SW!Z51 + TEN!Z51 + TEX!Z51</f>
        <v>315675821.59993529</v>
      </c>
      <c r="AA51" s="8">
        <f xml:space="preserve"> 0 + CAL!AA51 + CAR!AA51 + CENT!AA51 + FLA!AA51 + MIDA!AA51 + MIDW!AA51 + NE!AA51 + NY!AA51 + NW!AA51 + SE!AA51 + SW!AA51 + TEN!AA51 + TEX!AA51</f>
        <v>302754537.04513085</v>
      </c>
      <c r="AB51" s="8">
        <f xml:space="preserve"> 0 + CAL!AB51 + CAR!AB51 + CENT!AB51 + FLA!AB51 + MIDA!AB51 + MIDW!AB51 + NE!AB51 + NY!AB51 + NW!AB51 + SE!AB51 + SW!AB51 + TEN!AB51 + TEX!AB51</f>
        <v>292371227.49515849</v>
      </c>
      <c r="AC51" s="8">
        <f xml:space="preserve"> 0 + CAL!AC51 + CAR!AC51 + CENT!AC51 + FLA!AC51 + MIDA!AC51 + MIDW!AC51 + NE!AC51 + NY!AC51 + NW!AC51 + SE!AC51 + SW!AC51 + TEN!AC51 + TEX!AC51</f>
        <v>287727119.60553271</v>
      </c>
    </row>
    <row r="52" spans="1:29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1654194942.1269438</v>
      </c>
      <c r="D52" s="8">
        <f xml:space="preserve"> 0 + CAL!D52 + CAR!D52 + CENT!D52 + FLA!D52 + MIDA!D52 + MIDW!D52 + NE!D52 + NY!D52 + NW!D52 + SE!D52 + SW!D52 + TEN!D52 + TEX!D52</f>
        <v>1740285525.6584885</v>
      </c>
      <c r="E52" s="8">
        <f xml:space="preserve"> 0 + CAL!E52 + CAR!E52 + CENT!E52 + FLA!E52 + MIDA!E52 + MIDW!E52 + NE!E52 + NY!E52 + NW!E52 + SE!E52 + SW!E52 + TEN!E52 + TEX!E52</f>
        <v>1863537657.4180167</v>
      </c>
      <c r="F52" s="8">
        <f xml:space="preserve"> 0 + CAL!F52 + CAR!F52 + CENT!F52 + FLA!F52 + MIDA!F52 + MIDW!F52 + NE!F52 + NY!F52 + NW!F52 + SE!F52 + SW!F52 + TEN!F52 + TEX!F52</f>
        <v>1962784572.1656139</v>
      </c>
      <c r="G52" s="8">
        <f xml:space="preserve"> 0 + CAL!G52 + CAR!G52 + CENT!G52 + FLA!G52 + MIDA!G52 + MIDW!G52 + NE!G52 + NY!G52 + NW!G52 + SE!G52 + SW!G52 + TEN!G52 + TEX!G52</f>
        <v>2017373375.9032359</v>
      </c>
      <c r="H52" s="8">
        <f xml:space="preserve"> 0 + CAL!H52 + CAR!H52 + CENT!H52 + FLA!H52 + MIDA!H52 + MIDW!H52 + NE!H52 + NY!H52 + NW!H52 + SE!H52 + SW!H52 + TEN!H52 + TEX!H52</f>
        <v>2011316394.797014</v>
      </c>
      <c r="I52" s="8">
        <f xml:space="preserve"> 0 + CAL!I52 + CAR!I52 + CENT!I52 + FLA!I52 + MIDA!I52 + MIDW!I52 + NE!I52 + NY!I52 + NW!I52 + SE!I52 + SW!I52 + TEN!I52 + TEX!I52</f>
        <v>1948452226.4544678</v>
      </c>
      <c r="J52" s="8">
        <f xml:space="preserve"> 0 + CAL!J52 + CAR!J52 + CENT!J52 + FLA!J52 + MIDA!J52 + MIDW!J52 + NE!J52 + NY!J52 + NW!J52 + SE!J52 + SW!J52 + TEN!J52 + TEX!J52</f>
        <v>1777700637.9000163</v>
      </c>
      <c r="K52" s="8">
        <f xml:space="preserve"> 0 + CAL!K52 + CAR!K52 + CENT!K52 + FLA!K52 + MIDA!K52 + MIDW!K52 + NE!K52 + NY!K52 + NW!K52 + SE!K52 + SW!K52 + TEN!K52 + TEX!K52</f>
        <v>1571715282.9827166</v>
      </c>
      <c r="L52" s="8">
        <f xml:space="preserve"> 0 + CAL!L52 + CAR!L52 + CENT!L52 + FLA!L52 + MIDA!L52 + MIDW!L52 + NE!L52 + NY!L52 + NW!L52 + SE!L52 + SW!L52 + TEN!L52 + TEX!L52</f>
        <v>1373758530.1207979</v>
      </c>
      <c r="M52" s="8">
        <f xml:space="preserve"> 0 + CAL!M52 + CAR!M52 + CENT!M52 + FLA!M52 + MIDA!M52 + MIDW!M52 + NE!M52 + NY!M52 + NW!M52 + SE!M52 + SW!M52 + TEN!M52 + TEX!M52</f>
        <v>1205755801.0703328</v>
      </c>
      <c r="N52" s="8">
        <f xml:space="preserve"> 0 + CAL!N52 + CAR!N52 + CENT!N52 + FLA!N52 + MIDA!N52 + MIDW!N52 + NE!N52 + NY!N52 + NW!N52 + SE!N52 + SW!N52 + TEN!N52 + TEX!N52</f>
        <v>1042777737.7815104</v>
      </c>
      <c r="O52" s="8">
        <f xml:space="preserve"> 0 + CAL!O52 + CAR!O52 + CENT!O52 + FLA!O52 + MIDA!O52 + MIDW!O52 + NE!O52 + NY!O52 + NW!O52 + SE!O52 + SW!O52 + TEN!O52 + TEX!O52</f>
        <v>898929542.93873453</v>
      </c>
      <c r="P52" s="8">
        <f xml:space="preserve"> 0 + CAL!P52 + CAR!P52 + CENT!P52 + FLA!P52 + MIDA!P52 + MIDW!P52 + NE!P52 + NY!P52 + NW!P52 + SE!P52 + SW!P52 + TEN!P52 + TEX!P52</f>
        <v>789735592.2794925</v>
      </c>
      <c r="Q52" s="8">
        <f xml:space="preserve"> 0 + CAL!Q52 + CAR!Q52 + CENT!Q52 + FLA!Q52 + MIDA!Q52 + MIDW!Q52 + NE!Q52 + NY!Q52 + NW!Q52 + SE!Q52 + SW!Q52 + TEN!Q52 + TEX!Q52</f>
        <v>684775924.84249079</v>
      </c>
      <c r="R52" s="8">
        <f xml:space="preserve"> 0 + CAL!R52 + CAR!R52 + CENT!R52 + FLA!R52 + MIDA!R52 + MIDW!R52 + NE!R52 + NY!R52 + NW!R52 + SE!R52 + SW!R52 + TEN!R52 + TEX!R52</f>
        <v>604361492.84861708</v>
      </c>
      <c r="S52" s="8">
        <f xml:space="preserve"> 0 + CAL!S52 + CAR!S52 + CENT!S52 + FLA!S52 + MIDA!S52 + MIDW!S52 + NE!S52 + NY!S52 + NW!S52 + SE!S52 + SW!S52 + TEN!S52 + TEX!S52</f>
        <v>545250425.01810181</v>
      </c>
      <c r="T52" s="8">
        <f xml:space="preserve"> 0 + CAL!T52 + CAR!T52 + CENT!T52 + FLA!T52 + MIDA!T52 + MIDW!T52 + NE!T52 + NY!T52 + NW!T52 + SE!T52 + SW!T52 + TEN!T52 + TEX!T52</f>
        <v>483785726.77577871</v>
      </c>
      <c r="U52" s="8">
        <f xml:space="preserve"> 0 + CAL!U52 + CAR!U52 + CENT!U52 + FLA!U52 + MIDA!U52 + MIDW!U52 + NE!U52 + NY!U52 + NW!U52 + SE!U52 + SW!U52 + TEN!U52 + TEX!U52</f>
        <v>437033115.09249836</v>
      </c>
      <c r="V52" s="8">
        <f xml:space="preserve"> 0 + CAL!V52 + CAR!V52 + CENT!V52 + FLA!V52 + MIDA!V52 + MIDW!V52 + NE!V52 + NY!V52 + NW!V52 + SE!V52 + SW!V52 + TEN!V52 + TEX!V52</f>
        <v>394723700.04033095</v>
      </c>
      <c r="W52" s="8">
        <f xml:space="preserve"> 0 + CAL!W52 + CAR!W52 + CENT!W52 + FLA!W52 + MIDA!W52 + MIDW!W52 + NE!W52 + NY!W52 + NW!W52 + SE!W52 + SW!W52 + TEN!W52 + TEX!W52</f>
        <v>360038816.91755176</v>
      </c>
      <c r="X52" s="8">
        <f xml:space="preserve"> 0 + CAL!X52 + CAR!X52 + CENT!X52 + FLA!X52 + MIDA!X52 + MIDW!X52 + NE!X52 + NY!X52 + NW!X52 + SE!X52 + SW!X52 + TEN!X52 + TEX!X52</f>
        <v>339719146.30897313</v>
      </c>
      <c r="Y52" s="8">
        <f xml:space="preserve"> 0 + CAL!Y52 + CAR!Y52 + CENT!Y52 + FLA!Y52 + MIDA!Y52 + MIDW!Y52 + NE!Y52 + NY!Y52 + NW!Y52 + SE!Y52 + SW!Y52 + TEN!Y52 + TEX!Y52</f>
        <v>330754582.88339406</v>
      </c>
      <c r="Z52" s="8">
        <f xml:space="preserve"> 0 + CAL!Z52 + CAR!Z52 + CENT!Z52 + FLA!Z52 + MIDA!Z52 + MIDW!Z52 + NE!Z52 + NY!Z52 + NW!Z52 + SE!Z52 + SW!Z52 + TEN!Z52 + TEX!Z52</f>
        <v>315675821.59993529</v>
      </c>
      <c r="AA52" s="8">
        <f xml:space="preserve"> 0 + CAL!AA52 + CAR!AA52 + CENT!AA52 + FLA!AA52 + MIDA!AA52 + MIDW!AA52 + NE!AA52 + NY!AA52 + NW!AA52 + SE!AA52 + SW!AA52 + TEN!AA52 + TEX!AA52</f>
        <v>302754537.04513085</v>
      </c>
      <c r="AB52" s="8">
        <f xml:space="preserve"> 0 + CAL!AB52 + CAR!AB52 + CENT!AB52 + FLA!AB52 + MIDA!AB52 + MIDW!AB52 + NE!AB52 + NY!AB52 + NW!AB52 + SE!AB52 + SW!AB52 + TEN!AB52 + TEX!AB52</f>
        <v>292371227.49515849</v>
      </c>
      <c r="AC52" s="8">
        <f xml:space="preserve"> 0 + CAL!AC52 + CAR!AC52 + CENT!AC52 + FLA!AC52 + MIDA!AC52 + MIDW!AC52 + NE!AC52 + NY!AC52 + NW!AC52 + SE!AC52 + SW!AC52 + TEN!AC52 + TEX!AC52</f>
        <v>287727119.60553271</v>
      </c>
    </row>
    <row r="53" spans="1:29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76295.270432110003</v>
      </c>
      <c r="C53" s="8">
        <f xml:space="preserve"> 0 + CAL!C53 + CAR!C53 + CENT!C53 + FLA!C53 + MIDA!C53 + MIDW!C53 + NE!C53 + NY!C53 + NW!C53 + SE!C53 + SW!C53 + TEN!C53 + TEX!C53</f>
        <v>81042.233230779995</v>
      </c>
      <c r="D53" s="8">
        <f xml:space="preserve"> 0 + CAL!D53 + CAR!D53 + CENT!D53 + FLA!D53 + MIDA!D53 + MIDW!D53 + NE!D53 + NY!D53 + NW!D53 + SE!D53 + SW!D53 + TEN!D53 + TEX!D53</f>
        <v>84830.843466549995</v>
      </c>
      <c r="E53" s="8">
        <f xml:space="preserve"> 0 + CAL!E53 + CAR!E53 + CENT!E53 + FLA!E53 + MIDA!E53 + MIDW!E53 + NE!E53 + NY!E53 + NW!E53 + SE!E53 + SW!E53 + TEN!E53 + TEX!E53</f>
        <v>90309.473593739982</v>
      </c>
      <c r="F53" s="8">
        <f xml:space="preserve"> 0 + CAL!F53 + CAR!F53 + CENT!F53 + FLA!F53 + MIDA!F53 + MIDW!F53 + NE!F53 + NY!F53 + NW!F53 + SE!F53 + SW!F53 + TEN!F53 + TEX!F53</f>
        <v>95940.660146109993</v>
      </c>
      <c r="G53" s="8">
        <f xml:space="preserve"> 0 + CAL!G53 + CAR!G53 + CENT!G53 + FLA!G53 + MIDA!G53 + MIDW!G53 + NE!G53 + NY!G53 + NW!G53 + SE!G53 + SW!G53 + TEN!G53 + TEX!G53</f>
        <v>100001.05255358999</v>
      </c>
      <c r="H53" s="8">
        <f xml:space="preserve"> 0 + CAL!H53 + CAR!H53 + CENT!H53 + FLA!H53 + MIDA!H53 + MIDW!H53 + NE!H53 + NY!H53 + NW!H53 + SE!H53 + SW!H53 + TEN!H53 + TEX!H53</f>
        <v>102108.9831504</v>
      </c>
      <c r="I53" s="8">
        <f xml:space="preserve"> 0 + CAL!I53 + CAR!I53 + CENT!I53 + FLA!I53 + MIDA!I53 + MIDW!I53 + NE!I53 + NY!I53 + NW!I53 + SE!I53 + SW!I53 + TEN!I53 + TEX!I53</f>
        <v>102549.99064735</v>
      </c>
      <c r="J53" s="8">
        <f xml:space="preserve"> 0 + CAL!J53 + CAR!J53 + CENT!J53 + FLA!J53 + MIDA!J53 + MIDW!J53 + NE!J53 + NY!J53 + NW!J53 + SE!J53 + SW!J53 + TEN!J53 + TEX!J53</f>
        <v>98038.74815372999</v>
      </c>
      <c r="K53" s="8">
        <f xml:space="preserve"> 0 + CAL!K53 + CAR!K53 + CENT!K53 + FLA!K53 + MIDA!K53 + MIDW!K53 + NE!K53 + NY!K53 + NW!K53 + SE!K53 + SW!K53 + TEN!K53 + TEX!K53</f>
        <v>92074.372993230005</v>
      </c>
      <c r="L53" s="8">
        <f xml:space="preserve"> 0 + CAL!L53 + CAR!L53 + CENT!L53 + FLA!L53 + MIDA!L53 + MIDW!L53 + NE!L53 + NY!L53 + NW!L53 + SE!L53 + SW!L53 + TEN!L53 + TEX!L53</f>
        <v>86313.192337889996</v>
      </c>
      <c r="M53" s="8">
        <f xml:space="preserve"> 0 + CAL!M53 + CAR!M53 + CENT!M53 + FLA!M53 + MIDA!M53 + MIDW!M53 + NE!M53 + NY!M53 + NW!M53 + SE!M53 + SW!M53 + TEN!M53 + TEX!M53</f>
        <v>81416.56729685</v>
      </c>
      <c r="N53" s="8">
        <f xml:space="preserve"> 0 + CAL!N53 + CAR!N53 + CENT!N53 + FLA!N53 + MIDA!N53 + MIDW!N53 + NE!N53 + NY!N53 + NW!N53 + SE!N53 + SW!N53 + TEN!N53 + TEX!N53</f>
        <v>76650.564955439986</v>
      </c>
      <c r="O53" s="8">
        <f xml:space="preserve"> 0 + CAL!O53 + CAR!O53 + CENT!O53 + FLA!O53 + MIDA!O53 + MIDW!O53 + NE!O53 + NY!O53 + NW!O53 + SE!O53 + SW!O53 + TEN!O53 + TEX!O53</f>
        <v>72387.077267970002</v>
      </c>
      <c r="P53" s="8">
        <f xml:space="preserve"> 0 + CAL!P53 + CAR!P53 + CENT!P53 + FLA!P53 + MIDA!P53 + MIDW!P53 + NE!P53 + NY!P53 + NW!P53 + SE!P53 + SW!P53 + TEN!P53 + TEX!P53</f>
        <v>68986.040828969999</v>
      </c>
      <c r="Q53" s="8">
        <f xml:space="preserve"> 0 + CAL!Q53 + CAR!Q53 + CENT!Q53 + FLA!Q53 + MIDA!Q53 + MIDW!Q53 + NE!Q53 + NY!Q53 + NW!Q53 + SE!Q53 + SW!Q53 + TEN!Q53 + TEX!Q53</f>
        <v>65741.242154009989</v>
      </c>
      <c r="R53" s="8">
        <f xml:space="preserve"> 0 + CAL!R53 + CAR!R53 + CENT!R53 + FLA!R53 + MIDA!R53 + MIDW!R53 + NE!R53 + NY!R53 + NW!R53 + SE!R53 + SW!R53 + TEN!R53 + TEX!R53</f>
        <v>63400.118804139995</v>
      </c>
      <c r="S53" s="8">
        <f xml:space="preserve"> 0 + CAL!S53 + CAR!S53 + CENT!S53 + FLA!S53 + MIDA!S53 + MIDW!S53 + NE!S53 + NY!S53 + NW!S53 + SE!S53 + SW!S53 + TEN!S53 + TEX!S53</f>
        <v>61682.604382739999</v>
      </c>
      <c r="T53" s="8">
        <f xml:space="preserve"> 0 + CAL!T53 + CAR!T53 + CENT!T53 + FLA!T53 + MIDA!T53 + MIDW!T53 + NE!T53 + NY!T53 + NW!T53 + SE!T53 + SW!T53 + TEN!T53 + TEX!T53</f>
        <v>59646.850370419997</v>
      </c>
      <c r="U53" s="8">
        <f xml:space="preserve"> 0 + CAL!U53 + CAR!U53 + CENT!U53 + FLA!U53 + MIDA!U53 + MIDW!U53 + NE!U53 + NY!U53 + NW!U53 + SE!U53 + SW!U53 + TEN!U53 + TEX!U53</f>
        <v>58490.392970679997</v>
      </c>
      <c r="V53" s="8">
        <f xml:space="preserve"> 0 + CAL!V53 + CAR!V53 + CENT!V53 + FLA!V53 + MIDA!V53 + MIDW!V53 + NE!V53 + NY!V53 + NW!V53 + SE!V53 + SW!V53 + TEN!V53 + TEX!V53</f>
        <v>57419.22001710999</v>
      </c>
      <c r="W53" s="8">
        <f xml:space="preserve"> 0 + CAL!W53 + CAR!W53 + CENT!W53 + FLA!W53 + MIDA!W53 + MIDW!W53 + NE!W53 + NY!W53 + NW!W53 + SE!W53 + SW!W53 + TEN!W53 + TEX!W53</f>
        <v>56738.854906150002</v>
      </c>
      <c r="X53" s="8">
        <f xml:space="preserve"> 0 + CAL!X53 + CAR!X53 + CENT!X53 + FLA!X53 + MIDA!X53 + MIDW!X53 + NE!X53 + NY!X53 + NW!X53 + SE!X53 + SW!X53 + TEN!X53 + TEX!X53</f>
        <v>56818.948754589997</v>
      </c>
      <c r="Y53" s="8">
        <f xml:space="preserve"> 0 + CAL!Y53 + CAR!Y53 + CENT!Y53 + FLA!Y53 + MIDA!Y53 + MIDW!Y53 + NE!Y53 + NY!Y53 + NW!Y53 + SE!Y53 + SW!Y53 + TEN!Y53 + TEX!Y53</f>
        <v>57456.233492560008</v>
      </c>
      <c r="Z53" s="8">
        <f xml:space="preserve"> 0 + CAL!Z53 + CAR!Z53 + CENT!Z53 + FLA!Z53 + MIDA!Z53 + MIDW!Z53 + NE!Z53 + NY!Z53 + NW!Z53 + SE!Z53 + SW!Z53 + TEN!Z53 + TEX!Z53</f>
        <v>57653.470650719995</v>
      </c>
      <c r="AA53" s="8">
        <f xml:space="preserve"> 0 + CAL!AA53 + CAR!AA53 + CENT!AA53 + FLA!AA53 + MIDA!AA53 + MIDW!AA53 + NE!AA53 + NY!AA53 + NW!AA53 + SE!AA53 + SW!AA53 + TEN!AA53 + TEX!AA53</f>
        <v>57908.732119950007</v>
      </c>
      <c r="AB53" s="8">
        <f xml:space="preserve"> 0 + CAL!AB53 + CAR!AB53 + CENT!AB53 + FLA!AB53 + MIDA!AB53 + MIDW!AB53 + NE!AB53 + NY!AB53 + NW!AB53 + SE!AB53 + SW!AB53 + TEN!AB53 + TEX!AB53</f>
        <v>58239.117463009992</v>
      </c>
      <c r="AC53" s="8">
        <f xml:space="preserve"> 0 + CAL!AC53 + CAR!AC53 + CENT!AC53 + FLA!AC53 + MIDA!AC53 + MIDW!AC53 + NE!AC53 + NY!AC53 + NW!AC53 + SE!AC53 + SW!AC53 + TEN!AC53 + TEX!AC53</f>
        <v>58901.430262950002</v>
      </c>
    </row>
    <row r="54" spans="1:29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16211.11043284</v>
      </c>
      <c r="D54" s="8">
        <f xml:space="preserve"> 0 + CAL!D54 + CAR!D54 + CENT!D54 + FLA!D54 + MIDA!D54 + MIDW!D54 + NE!D54 + NY!D54 + NW!D54 + SE!D54 + SW!D54 + TEN!D54 + TEX!D54</f>
        <v>34109.596302899998</v>
      </c>
      <c r="E54" s="8">
        <f xml:space="preserve"> 0 + CAL!E54 + CAR!E54 + CENT!E54 + FLA!E54 + MIDA!E54 + MIDW!E54 + NE!E54 + NY!E54 + NW!E54 + SE!E54 + SW!E54 + TEN!E54 + TEX!E54</f>
        <v>54788.007128070007</v>
      </c>
      <c r="F54" s="8">
        <f xml:space="preserve"> 0 + CAL!F54 + CAR!F54 + CENT!F54 + FLA!F54 + MIDA!F54 + MIDW!F54 + NE!F54 + NY!F54 + NW!F54 + SE!F54 + SW!F54 + TEN!F54 + TEX!F54</f>
        <v>76941.155228880001</v>
      </c>
      <c r="G54" s="8">
        <f xml:space="preserve"> 0 + CAL!G54 + CAR!G54 + CENT!G54 + FLA!G54 + MIDA!G54 + MIDW!G54 + NE!G54 + NY!G54 + NW!G54 + SE!G54 + SW!G54 + TEN!G54 + TEX!G54</f>
        <v>98851.295419249989</v>
      </c>
      <c r="H54" s="8">
        <f xml:space="preserve"> 0 + CAL!H54 + CAR!H54 + CENT!H54 + FLA!H54 + MIDA!H54 + MIDW!H54 + NE!H54 + NY!H54 + NW!H54 + SE!H54 + SW!H54 + TEN!H54 + TEX!H54</f>
        <v>118265.40401408001</v>
      </c>
      <c r="I54" s="8">
        <f xml:space="preserve"> 0 + CAL!I54 + CAR!I54 + CENT!I54 + FLA!I54 + MIDA!I54 + MIDW!I54 + NE!I54 + NY!I54 + NW!I54 + SE!I54 + SW!I54 + TEN!I54 + TEX!I54</f>
        <v>133663.82273478</v>
      </c>
      <c r="J54" s="8">
        <f xml:space="preserve"> 0 + CAL!J54 + CAR!J54 + CENT!J54 + FLA!J54 + MIDA!J54 + MIDW!J54 + NE!J54 + NY!J54 + NW!J54 + SE!J54 + SW!J54 + TEN!J54 + TEX!J54</f>
        <v>139371.73001135999</v>
      </c>
      <c r="K54" s="8">
        <f xml:space="preserve"> 0 + CAL!K54 + CAR!K54 + CENT!K54 + FLA!K54 + MIDA!K54 + MIDW!K54 + NE!K54 + NY!K54 + NW!K54 + SE!K54 + SW!K54 + TEN!K54 + TEX!K54</f>
        <v>138625.28795909</v>
      </c>
      <c r="L54" s="8">
        <f xml:space="preserve"> 0 + CAL!L54 + CAR!L54 + CENT!L54 + FLA!L54 + MIDA!L54 + MIDW!L54 + NE!L54 + NY!L54 + NW!L54 + SE!L54 + SW!L54 + TEN!L54 + TEX!L54</f>
        <v>134628.33595184999</v>
      </c>
      <c r="M54" s="8">
        <f xml:space="preserve"> 0 + CAL!M54 + CAR!M54 + CENT!M54 + FLA!M54 + MIDA!M54 + MIDW!M54 + NE!M54 + NY!M54 + NW!M54 + SE!M54 + SW!M54 + TEN!M54 + TEX!M54</f>
        <v>129980.47535537</v>
      </c>
      <c r="N54" s="8">
        <f xml:space="preserve"> 0 + CAL!N54 + CAR!N54 + CENT!N54 + FLA!N54 + MIDA!N54 + MIDW!N54 + NE!N54 + NY!N54 + NW!N54 + SE!N54 + SW!N54 + TEN!N54 + TEX!N54</f>
        <v>122630.66196311999</v>
      </c>
      <c r="O54" s="8">
        <f xml:space="preserve"> 0 + CAL!O54 + CAR!O54 + CENT!O54 + FLA!O54 + MIDA!O54 + MIDW!O54 + NE!O54 + NY!O54 + NW!O54 + SE!O54 + SW!O54 + TEN!O54 + TEX!O54</f>
        <v>114523.62377039999</v>
      </c>
      <c r="P54" s="8">
        <f xml:space="preserve"> 0 + CAL!P54 + CAR!P54 + CENT!P54 + FLA!P54 + MIDA!P54 + MIDW!P54 + NE!P54 + NY!P54 + NW!P54 + SE!P54 + SW!P54 + TEN!P54 + TEX!P54</f>
        <v>108351.72326072001</v>
      </c>
      <c r="Q54" s="8">
        <f xml:space="preserve"> 0 + CAL!Q54 + CAR!Q54 + CENT!Q54 + FLA!Q54 + MIDA!Q54 + MIDW!Q54 + NE!Q54 + NY!Q54 + NW!Q54 + SE!Q54 + SW!Q54 + TEN!Q54 + TEX!Q54</f>
        <v>100662.06095186001</v>
      </c>
      <c r="R54" s="8">
        <f xml:space="preserve"> 0 + CAL!R54 + CAR!R54 + CENT!R54 + FLA!R54 + MIDA!R54 + MIDW!R54 + NE!R54 + NY!R54 + NW!R54 + SE!R54 + SW!R54 + TEN!R54 + TEX!R54</f>
        <v>94763.882078669994</v>
      </c>
      <c r="S54" s="8">
        <f xml:space="preserve"> 0 + CAL!S54 + CAR!S54 + CENT!S54 + FLA!S54 + MIDA!S54 + MIDW!S54 + NE!S54 + NY!S54 + NW!S54 + SE!S54 + SW!S54 + TEN!S54 + TEX!S54</f>
        <v>90838.720808009995</v>
      </c>
      <c r="T54" s="8">
        <f xml:space="preserve"> 0 + CAL!T54 + CAR!T54 + CENT!T54 + FLA!T54 + MIDA!T54 + MIDW!T54 + NE!T54 + NY!T54 + NW!T54 + SE!T54 + SW!T54 + TEN!T54 + TEX!T54</f>
        <v>85339.802203229992</v>
      </c>
      <c r="U54" s="8">
        <f xml:space="preserve"> 0 + CAL!U54 + CAR!U54 + CENT!U54 + FLA!U54 + MIDA!U54 + MIDW!U54 + NE!U54 + NY!U54 + NW!U54 + SE!U54 + SW!U54 + TEN!U54 + TEX!U54</f>
        <v>81375.566030239992</v>
      </c>
      <c r="V54" s="8">
        <f xml:space="preserve"> 0 + CAL!V54 + CAR!V54 + CENT!V54 + FLA!V54 + MIDA!V54 + MIDW!V54 + NE!V54 + NY!V54 + NW!V54 + SE!V54 + SW!V54 + TEN!V54 + TEX!V54</f>
        <v>77365.845207899998</v>
      </c>
      <c r="W54" s="8">
        <f xml:space="preserve"> 0 + CAL!W54 + CAR!W54 + CENT!W54 + FLA!W54 + MIDA!W54 + MIDW!W54 + NE!W54 + NY!W54 + NW!W54 + SE!W54 + SW!W54 + TEN!W54 + TEX!W54</f>
        <v>74095.988521619991</v>
      </c>
      <c r="X54" s="8">
        <f xml:space="preserve"> 0 + CAL!X54 + CAR!X54 + CENT!X54 + FLA!X54 + MIDA!X54 + MIDW!X54 + NE!X54 + NY!X54 + NW!X54 + SE!X54 + SW!X54 + TEN!X54 + TEX!X54</f>
        <v>73243.447944209998</v>
      </c>
      <c r="Y54" s="8">
        <f xml:space="preserve"> 0 + CAL!Y54 + CAR!Y54 + CENT!Y54 + FLA!Y54 + MIDA!Y54 + MIDW!Y54 + NE!Y54 + NY!Y54 + NW!Y54 + SE!Y54 + SW!Y54 + TEN!Y54 + TEX!Y54</f>
        <v>74552.08298194001</v>
      </c>
      <c r="Z54" s="8">
        <f xml:space="preserve"> 0 + CAL!Z54 + CAR!Z54 + CENT!Z54 + FLA!Z54 + MIDA!Z54 + MIDW!Z54 + NE!Z54 + NY!Z54 + NW!Z54 + SE!Z54 + SW!Z54 + TEN!Z54 + TEX!Z54</f>
        <v>74246.953240310017</v>
      </c>
      <c r="AA54" s="8">
        <f xml:space="preserve"> 0 + CAL!AA54 + CAR!AA54 + CENT!AA54 + FLA!AA54 + MIDA!AA54 + MIDW!AA54 + NE!AA54 + NY!AA54 + NW!AA54 + SE!AA54 + SW!AA54 + TEN!AA54 + TEX!AA54</f>
        <v>74174.861576060008</v>
      </c>
      <c r="AB54" s="8">
        <f xml:space="preserve"> 0 + CAL!AB54 + CAR!AB54 + CENT!AB54 + FLA!AB54 + MIDA!AB54 + MIDW!AB54 + NE!AB54 + NY!AB54 + NW!AB54 + SE!AB54 + SW!AB54 + TEN!AB54 + TEX!AB54</f>
        <v>74496.188765760002</v>
      </c>
      <c r="AC54" s="8">
        <f xml:space="preserve"> 0 + CAL!AC54 + CAR!AC54 + CENT!AC54 + FLA!AC54 + MIDA!AC54 + MIDW!AC54 + NE!AC54 + NY!AC54 + NW!AC54 + SE!AC54 + SW!AC54 + TEN!AC54 + TEX!AC54</f>
        <v>76132.59584763</v>
      </c>
    </row>
    <row r="55" spans="1:29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810.55552165000006</v>
      </c>
      <c r="D55" s="8">
        <f xml:space="preserve"> 0 + CAL!D55 + CAR!D55 + CENT!D55 + FLA!D55 + MIDA!D55 + MIDW!D55 + NE!D55 + NY!D55 + NW!D55 + SE!D55 + SW!D55 + TEN!D55 + TEX!D55</f>
        <v>852.73990757000001</v>
      </c>
      <c r="E55" s="8">
        <f xml:space="preserve"> 0 + CAL!E55 + CAR!E55 + CENT!E55 + FLA!E55 + MIDA!E55 + MIDW!E55 + NE!E55 + NY!E55 + NW!E55 + SE!E55 + SW!E55 + TEN!E55 + TEX!E55</f>
        <v>913.1334521199999</v>
      </c>
      <c r="F55" s="8">
        <f xml:space="preserve"> 0 + CAL!F55 + CAR!F55 + CENT!F55 + FLA!F55 + MIDA!F55 + MIDW!F55 + NE!F55 + NY!F55 + NW!F55 + SE!F55 + SW!F55 + TEN!F55 + TEX!F55</f>
        <v>961.76444035999998</v>
      </c>
      <c r="G55" s="8">
        <f xml:space="preserve"> 0 + CAL!G55 + CAR!G55 + CENT!G55 + FLA!G55 + MIDA!G55 + MIDW!G55 + NE!G55 + NY!G55 + NW!G55 + SE!G55 + SW!G55 + TEN!G55 + TEX!G55</f>
        <v>988.5129542200001</v>
      </c>
      <c r="H55" s="8">
        <f xml:space="preserve"> 0 + CAL!H55 + CAR!H55 + CENT!H55 + FLA!H55 + MIDA!H55 + MIDW!H55 + NE!H55 + NY!H55 + NW!H55 + SE!H55 + SW!H55 + TEN!H55 + TEX!H55</f>
        <v>985.54503344999989</v>
      </c>
      <c r="I55" s="8">
        <f xml:space="preserve"> 0 + CAL!I55 + CAR!I55 + CENT!I55 + FLA!I55 + MIDA!I55 + MIDW!I55 + NE!I55 + NY!I55 + NW!I55 + SE!I55 + SW!I55 + TEN!I55 + TEX!I55</f>
        <v>954.74159096000005</v>
      </c>
      <c r="J55" s="8">
        <f xml:space="preserve"> 0 + CAL!J55 + CAR!J55 + CENT!J55 + FLA!J55 + MIDA!J55 + MIDW!J55 + NE!J55 + NY!J55 + NW!J55 + SE!J55 + SW!J55 + TEN!J55 + TEX!J55</f>
        <v>871.07331254999997</v>
      </c>
      <c r="K55" s="8">
        <f xml:space="preserve"> 0 + CAL!K55 + CAR!K55 + CENT!K55 + FLA!K55 + MIDA!K55 + MIDW!K55 + NE!K55 + NY!K55 + NW!K55 + SE!K55 + SW!K55 + TEN!K55 + TEX!K55</f>
        <v>770.14048864999995</v>
      </c>
      <c r="L55" s="8">
        <f xml:space="preserve"> 0 + CAL!L55 + CAR!L55 + CENT!L55 + FLA!L55 + MIDA!L55 + MIDW!L55 + NE!L55 + NY!L55 + NW!L55 + SE!L55 + SW!L55 + TEN!L55 + TEX!L55</f>
        <v>673.14167975999999</v>
      </c>
      <c r="M55" s="8">
        <f xml:space="preserve"> 0 + CAL!M55 + CAR!M55 + CENT!M55 + FLA!M55 + MIDA!M55 + MIDW!M55 + NE!M55 + NY!M55 + NW!M55 + SE!M55 + SW!M55 + TEN!M55 + TEX!M55</f>
        <v>590.82034253999996</v>
      </c>
      <c r="N55" s="8">
        <f xml:space="preserve"> 0 + CAL!N55 + CAR!N55 + CENT!N55 + FLA!N55 + MIDA!N55 + MIDW!N55 + NE!N55 + NY!N55 + NW!N55 + SE!N55 + SW!N55 + TEN!N55 + TEX!N55</f>
        <v>510.96109150999996</v>
      </c>
      <c r="O55" s="8">
        <f xml:space="preserve"> 0 + CAL!O55 + CAR!O55 + CENT!O55 + FLA!O55 + MIDA!O55 + MIDW!O55 + NE!O55 + NY!O55 + NW!O55 + SE!O55 + SW!O55 + TEN!O55 + TEX!O55</f>
        <v>440.47547605</v>
      </c>
      <c r="P55" s="8">
        <f xml:space="preserve"> 0 + CAL!P55 + CAR!P55 + CENT!P55 + FLA!P55 + MIDA!P55 + MIDW!P55 + NE!P55 + NY!P55 + NW!P55 + SE!P55 + SW!P55 + TEN!P55 + TEX!P55</f>
        <v>386.97044020000004</v>
      </c>
      <c r="Q55" s="8">
        <f xml:space="preserve"> 0 + CAL!Q55 + CAR!Q55 + CENT!Q55 + FLA!Q55 + MIDA!Q55 + MIDW!Q55 + NE!Q55 + NY!Q55 + NW!Q55 + SE!Q55 + SW!Q55 + TEN!Q55 + TEX!Q55</f>
        <v>335.54020316999998</v>
      </c>
      <c r="R55" s="8">
        <f xml:space="preserve"> 0 + CAL!R55 + CAR!R55 + CENT!R55 + FLA!R55 + MIDA!R55 + MIDW!R55 + NE!R55 + NY!R55 + NW!R55 + SE!R55 + SW!R55 + TEN!R55 + TEX!R55</f>
        <v>296.13713148999989</v>
      </c>
      <c r="S55" s="8">
        <f xml:space="preserve"> 0 + CAL!S55 + CAR!S55 + CENT!S55 + FLA!S55 + MIDA!S55 + MIDW!S55 + NE!S55 + NY!S55 + NW!S55 + SE!S55 + SW!S55 + TEN!S55 + TEX!S55</f>
        <v>267.17270825000003</v>
      </c>
      <c r="T55" s="8">
        <f xml:space="preserve"> 0 + CAL!T55 + CAR!T55 + CENT!T55 + FLA!T55 + MIDA!T55 + MIDW!T55 + NE!T55 + NY!T55 + NW!T55 + SE!T55 + SW!T55 + TEN!T55 + TEX!T55</f>
        <v>237.05500612999995</v>
      </c>
      <c r="U55" s="8">
        <f xml:space="preserve"> 0 + CAL!U55 + CAR!U55 + CENT!U55 + FLA!U55 + MIDA!U55 + MIDW!U55 + NE!U55 + NY!U55 + NW!U55 + SE!U55 + SW!U55 + TEN!U55 + TEX!U55</f>
        <v>214.14622639999999</v>
      </c>
      <c r="V55" s="8">
        <f xml:space="preserve"> 0 + CAL!V55 + CAR!V55 + CENT!V55 + FLA!V55 + MIDA!V55 + MIDW!V55 + NE!V55 + NY!V55 + NW!V55 + SE!V55 + SW!V55 + TEN!V55 + TEX!V55</f>
        <v>193.41461305000001</v>
      </c>
      <c r="W55" s="8">
        <f xml:space="preserve"> 0 + CAL!W55 + CAR!W55 + CENT!W55 + FLA!W55 + MIDA!W55 + MIDW!W55 + NE!W55 + NY!W55 + NW!W55 + SE!W55 + SW!W55 + TEN!W55 + TEX!W55</f>
        <v>176.41902026999998</v>
      </c>
      <c r="X55" s="8">
        <f xml:space="preserve"> 0 + CAL!X55 + CAR!X55 + CENT!X55 + FLA!X55 + MIDA!X55 + MIDW!X55 + NE!X55 + NY!X55 + NW!X55 + SE!X55 + SW!X55 + TEN!X55 + TEX!X55</f>
        <v>166.46238169999998</v>
      </c>
      <c r="Y55" s="8">
        <f xml:space="preserve"> 0 + CAL!Y55 + CAR!Y55 + CENT!Y55 + FLA!Y55 + MIDA!Y55 + MIDW!Y55 + NE!Y55 + NY!Y55 + NW!Y55 + SE!Y55 + SW!Y55 + TEN!Y55 + TEX!Y55</f>
        <v>162.06974562000002</v>
      </c>
      <c r="Z55" s="8">
        <f xml:space="preserve"> 0 + CAL!Z55 + CAR!Z55 + CENT!Z55 + FLA!Z55 + MIDA!Z55 + MIDW!Z55 + NE!Z55 + NY!Z55 + NW!Z55 + SE!Z55 + SW!Z55 + TEN!Z55 + TEX!Z55</f>
        <v>154.68115259000001</v>
      </c>
      <c r="AA55" s="8">
        <f xml:space="preserve"> 0 + CAL!AA55 + CAR!AA55 + CENT!AA55 + FLA!AA55 + MIDA!AA55 + MIDW!AA55 + NE!AA55 + NY!AA55 + NW!AA55 + SE!AA55 + SW!AA55 + TEN!AA55 + TEX!AA55</f>
        <v>148.34972315000002</v>
      </c>
      <c r="AB55" s="8">
        <f xml:space="preserve"> 0 + CAL!AB55 + CAR!AB55 + CENT!AB55 + FLA!AB55 + MIDA!AB55 + MIDW!AB55 + NE!AB55 + NY!AB55 + NW!AB55 + SE!AB55 + SW!AB55 + TEN!AB55 + TEX!AB55</f>
        <v>143.26190149000001</v>
      </c>
      <c r="AC55" s="8">
        <f xml:space="preserve"> 0 + CAL!AC55 + CAR!AC55 + CENT!AC55 + FLA!AC55 + MIDA!AC55 + MIDW!AC55 + NE!AC55 + NY!AC55 + NW!AC55 + SE!AC55 + SW!AC55 + TEN!AC55 + TEX!AC55</f>
        <v>140.98628860999997</v>
      </c>
    </row>
    <row r="56" spans="1:29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38851.77251404</v>
      </c>
      <c r="C56" s="8">
        <f xml:space="preserve"> 0 + CAL!C56 + CAR!C56 + CENT!C56 + FLA!C56 + MIDA!C56 + MIDW!C56 + NE!C56 + NY!C56 + NW!C56 + SE!C56 + SW!C56 + TEN!C56 + TEX!C56</f>
        <v>40679.876642889998</v>
      </c>
      <c r="D56" s="8">
        <f xml:space="preserve"> 0 + CAL!D56 + CAR!D56 + CENT!D56 + FLA!D56 + MIDA!D56 + MIDW!D56 + NE!D56 + NY!D56 + NW!D56 + SE!D56 + SW!D56 + TEN!D56 + TEX!D56</f>
        <v>42367.876640489994</v>
      </c>
      <c r="E56" s="8">
        <f xml:space="preserve"> 0 + CAL!E56 + CAR!E56 + CENT!E56 + FLA!E56 + MIDA!E56 + MIDW!E56 + NE!E56 + NY!E56 + NW!E56 + SE!E56 + SW!E56 + TEN!E56 + TEX!E56</f>
        <v>44839.154752720002</v>
      </c>
      <c r="F56" s="8">
        <f xml:space="preserve"> 0 + CAL!F56 + CAR!F56 + CENT!F56 + FLA!F56 + MIDA!F56 + MIDW!F56 + NE!F56 + NY!F56 + NW!F56 + SE!F56 + SW!F56 + TEN!F56 + TEX!F56</f>
        <v>48048.716585260008</v>
      </c>
      <c r="G56" s="8">
        <f xml:space="preserve"> 0 + CAL!G56 + CAR!G56 + CENT!G56 + FLA!G56 + MIDA!G56 + MIDW!G56 + NE!G56 + NY!G56 + NW!G56 + SE!G56 + SW!G56 + TEN!G56 + TEX!G56</f>
        <v>50777.142181560004</v>
      </c>
      <c r="H56" s="8">
        <f xml:space="preserve"> 0 + CAL!H56 + CAR!H56 + CENT!H56 + FLA!H56 + MIDA!H56 + MIDW!H56 + NE!H56 + NY!H56 + NW!H56 + SE!H56 + SW!H56 + TEN!H56 + TEX!H56</f>
        <v>53032.863117349996</v>
      </c>
      <c r="I56" s="8">
        <f xml:space="preserve"> 0 + CAL!I56 + CAR!I56 + CENT!I56 + FLA!I56 + MIDA!I56 + MIDW!I56 + NE!I56 + NY!I56 + NW!I56 + SE!I56 + SW!I56 + TEN!I56 + TEX!I56</f>
        <v>55007.756321860004</v>
      </c>
      <c r="J56" s="8">
        <f xml:space="preserve"> 0 + CAL!J56 + CAR!J56 + CENT!J56 + FLA!J56 + MIDA!J56 + MIDW!J56 + NE!J56 + NY!J56 + NW!J56 + SE!J56 + SW!J56 + TEN!J56 + TEX!J56</f>
        <v>54662.852588980015</v>
      </c>
      <c r="K56" s="8">
        <f xml:space="preserve"> 0 + CAL!K56 + CAR!K56 + CENT!K56 + FLA!K56 + MIDA!K56 + MIDW!K56 + NE!K56 + NY!K56 + NW!K56 + SE!K56 + SW!K56 + TEN!K56 + TEX!K56</f>
        <v>53724.520088469995</v>
      </c>
      <c r="L56" s="8">
        <f xml:space="preserve"> 0 + CAL!L56 + CAR!L56 + CENT!L56 + FLA!L56 + MIDA!L56 + MIDW!L56 + NE!L56 + NY!L56 + NW!L56 + SE!L56 + SW!L56 + TEN!L56 + TEX!L56</f>
        <v>52793.484202930005</v>
      </c>
      <c r="M56" s="8">
        <f xml:space="preserve"> 0 + CAL!M56 + CAR!M56 + CENT!M56 + FLA!M56 + MIDA!M56 + MIDW!M56 + NE!M56 + NY!M56 + NW!M56 + SE!M56 + SW!M56 + TEN!M56 + TEX!M56</f>
        <v>51996.125750730003</v>
      </c>
      <c r="N56" s="8">
        <f xml:space="preserve"> 0 + CAL!N56 + CAR!N56 + CENT!N56 + FLA!N56 + MIDA!N56 + MIDW!N56 + NE!N56 + NY!N56 + NW!N56 + SE!N56 + SW!N56 + TEN!N56 + TEX!N56</f>
        <v>51206.78815357</v>
      </c>
      <c r="O56" s="8">
        <f xml:space="preserve"> 0 + CAL!O56 + CAR!O56 + CENT!O56 + FLA!O56 + MIDA!O56 + MIDW!O56 + NE!O56 + NY!O56 + NW!O56 + SE!O56 + SW!O56 + TEN!O56 + TEX!O56</f>
        <v>50453.196420249995</v>
      </c>
      <c r="P56" s="8">
        <f xml:space="preserve"> 0 + CAL!P56 + CAR!P56 + CENT!P56 + FLA!P56 + MIDA!P56 + MIDW!P56 + NE!P56 + NY!P56 + NW!P56 + SE!P56 + SW!P56 + TEN!P56 + TEX!P56</f>
        <v>49716.492377349998</v>
      </c>
      <c r="Q56" s="8">
        <f xml:space="preserve"> 0 + CAL!Q56 + CAR!Q56 + CENT!Q56 + FLA!Q56 + MIDA!Q56 + MIDW!Q56 + NE!Q56 + NY!Q56 + NW!Q56 + SE!Q56 + SW!Q56 + TEN!Q56 + TEX!Q56</f>
        <v>49032.709587849989</v>
      </c>
      <c r="R56" s="8">
        <f xml:space="preserve"> 0 + CAL!R56 + CAR!R56 + CENT!R56 + FLA!R56 + MIDA!R56 + MIDW!R56 + NE!R56 + NY!R56 + NW!R56 + SE!R56 + SW!R56 + TEN!R56 + TEX!R56</f>
        <v>48653.698378650006</v>
      </c>
      <c r="S56" s="8">
        <f xml:space="preserve"> 0 + CAL!S56 + CAR!S56 + CENT!S56 + FLA!S56 + MIDA!S56 + MIDW!S56 + NE!S56 + NY!S56 + NW!S56 + SE!S56 + SW!S56 + TEN!S56 + TEX!S56</f>
        <v>48378.494012309995</v>
      </c>
      <c r="T56" s="8">
        <f xml:space="preserve"> 0 + CAL!T56 + CAR!T56 + CENT!T56 + FLA!T56 + MIDA!T56 + MIDW!T56 + NE!T56 + NY!T56 + NW!T56 + SE!T56 + SW!T56 + TEN!T56 + TEX!T56</f>
        <v>47842.478637090004</v>
      </c>
      <c r="U56" s="8">
        <f xml:space="preserve"> 0 + CAL!U56 + CAR!U56 + CENT!U56 + FLA!U56 + MIDA!U56 + MIDW!U56 + NE!U56 + NY!U56 + NW!U56 + SE!U56 + SW!U56 + TEN!U56 + TEX!U56</f>
        <v>47826.784962420003</v>
      </c>
      <c r="V56" s="8">
        <f xml:space="preserve"> 0 + CAL!V56 + CAR!V56 + CENT!V56 + FLA!V56 + MIDA!V56 + MIDW!V56 + NE!V56 + NY!V56 + NW!V56 + SE!V56 + SW!V56 + TEN!V56 + TEX!V56</f>
        <v>47787.96173612999</v>
      </c>
      <c r="W56" s="8">
        <f xml:space="preserve"> 0 + CAL!W56 + CAR!W56 + CENT!W56 + FLA!W56 + MIDA!W56 + MIDW!W56 + NE!W56 + NY!W56 + NW!W56 + SE!W56 + SW!W56 + TEN!W56 + TEX!W56</f>
        <v>47953.907773389998</v>
      </c>
      <c r="X56" s="8">
        <f xml:space="preserve"> 0 + CAL!X56 + CAR!X56 + CENT!X56 + FLA!X56 + MIDA!X56 + MIDW!X56 + NE!X56 + NY!X56 + NW!X56 + SE!X56 + SW!X56 + TEN!X56 + TEX!X56</f>
        <v>48529.801584639994</v>
      </c>
      <c r="Y56" s="8">
        <f xml:space="preserve"> 0 + CAL!Y56 + CAR!Y56 + CENT!Y56 + FLA!Y56 + MIDA!Y56 + MIDW!Y56 + NE!Y56 + NY!Y56 + NW!Y56 + SE!Y56 + SW!Y56 + TEN!Y56 + TEX!Y56</f>
        <v>49385.821670189995</v>
      </c>
      <c r="Z56" s="8">
        <f xml:space="preserve"> 0 + CAL!Z56 + CAR!Z56 + CENT!Z56 + FLA!Z56 + MIDA!Z56 + MIDW!Z56 + NE!Z56 + NY!Z56 + NW!Z56 + SE!Z56 + SW!Z56 + TEN!Z56 + TEX!Z56</f>
        <v>49950.980603710006</v>
      </c>
      <c r="AA56" s="8">
        <f xml:space="preserve"> 0 + CAL!AA56 + CAR!AA56 + CENT!AA56 + FLA!AA56 + MIDA!AA56 + MIDW!AA56 + NE!AA56 + NY!AA56 + NW!AA56 + SE!AA56 + SW!AA56 + TEN!AA56 + TEX!AA56</f>
        <v>50521.521416030009</v>
      </c>
      <c r="AB56" s="8">
        <f xml:space="preserve"> 0 + CAL!AB56 + CAR!AB56 + CENT!AB56 + FLA!AB56 + MIDA!AB56 + MIDW!AB56 + NE!AB56 + NY!AB56 + NW!AB56 + SE!AB56 + SW!AB56 + TEN!AB56 + TEX!AB56</f>
        <v>51105.259512110009</v>
      </c>
      <c r="AC56" s="8">
        <f xml:space="preserve"> 0 + CAL!AC56 + CAR!AC56 + CENT!AC56 + FLA!AC56 + MIDA!AC56 + MIDW!AC56 + NE!AC56 + NY!AC56 + NW!AC56 + SE!AC56 + SW!AC56 + TEN!AC56 + TEX!AC56</f>
        <v>51880.888544590001</v>
      </c>
    </row>
    <row r="57" spans="1:29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40362.356587890012</v>
      </c>
      <c r="D57" s="8">
        <f xml:space="preserve"> 0 + CAL!D57 + CAR!D57 + CENT!D57 + FLA!D57 + MIDA!D57 + MIDW!D57 + NE!D57 + NY!D57 + NW!D57 + SE!D57 + SW!D57 + TEN!D57 + TEX!D57</f>
        <v>42462.966826069998</v>
      </c>
      <c r="E57" s="8">
        <f xml:space="preserve"> 0 + CAL!E57 + CAR!E57 + CENT!E57 + FLA!E57 + MIDA!E57 + MIDW!E57 + NE!E57 + NY!E57 + NW!E57 + SE!E57 + SW!E57 + TEN!E57 + TEX!E57</f>
        <v>45470.318840989996</v>
      </c>
      <c r="F57" s="8">
        <f xml:space="preserve"> 0 + CAL!F57 + CAR!F57 + CENT!F57 + FLA!F57 + MIDA!F57 + MIDW!F57 + NE!F57 + NY!F57 + NW!F57 + SE!F57 + SW!F57 + TEN!F57 + TEX!F57</f>
        <v>47891.943560840002</v>
      </c>
      <c r="G57" s="8">
        <f xml:space="preserve"> 0 + CAL!G57 + CAR!G57 + CENT!G57 + FLA!G57 + MIDA!G57 + MIDW!G57 + NE!G57 + NY!G57 + NW!G57 + SE!G57 + SW!G57 + TEN!G57 + TEX!G57</f>
        <v>49223.910372040002</v>
      </c>
      <c r="H57" s="8">
        <f xml:space="preserve"> 0 + CAL!H57 + CAR!H57 + CENT!H57 + FLA!H57 + MIDA!H57 + MIDW!H57 + NE!H57 + NY!H57 + NW!H57 + SE!H57 + SW!H57 + TEN!H57 + TEX!H57</f>
        <v>49076.120033040002</v>
      </c>
      <c r="I57" s="8">
        <f xml:space="preserve"> 0 + CAL!I57 + CAR!I57 + CENT!I57 + FLA!I57 + MIDA!I57 + MIDW!I57 + NE!I57 + NY!I57 + NW!I57 + SE!I57 + SW!I57 + TEN!I57 + TEX!I57</f>
        <v>47542.234325489982</v>
      </c>
      <c r="J57" s="8">
        <f xml:space="preserve"> 0 + CAL!J57 + CAR!J57 + CENT!J57 + FLA!J57 + MIDA!J57 + MIDW!J57 + NE!J57 + NY!J57 + NW!J57 + SE!J57 + SW!J57 + TEN!J57 + TEX!J57</f>
        <v>43375.89556474</v>
      </c>
      <c r="K57" s="8">
        <f xml:space="preserve"> 0 + CAL!K57 + CAR!K57 + CENT!K57 + FLA!K57 + MIDA!K57 + MIDW!K57 + NE!K57 + NY!K57 + NW!K57 + SE!K57 + SW!K57 + TEN!K57 + TEX!K57</f>
        <v>38349.852904769999</v>
      </c>
      <c r="L57" s="8">
        <f xml:space="preserve"> 0 + CAL!L57 + CAR!L57 + CENT!L57 + FLA!L57 + MIDA!L57 + MIDW!L57 + NE!L57 + NY!L57 + NW!L57 + SE!L57 + SW!L57 + TEN!L57 + TEX!L57</f>
        <v>33519.708134920002</v>
      </c>
      <c r="M57" s="8">
        <f xml:space="preserve"> 0 + CAL!M57 + CAR!M57 + CENT!M57 + FLA!M57 + MIDA!M57 + MIDW!M57 + NE!M57 + NY!M57 + NW!M57 + SE!M57 + SW!M57 + TEN!M57 + TEX!M57</f>
        <v>29420.441546120001</v>
      </c>
      <c r="N57" s="8">
        <f xml:space="preserve"> 0 + CAL!N57 + CAR!N57 + CENT!N57 + FLA!N57 + MIDA!N57 + MIDW!N57 + NE!N57 + NY!N57 + NW!N57 + SE!N57 + SW!N57 + TEN!N57 + TEX!N57</f>
        <v>25443.776801890002</v>
      </c>
      <c r="O57" s="8">
        <f xml:space="preserve"> 0 + CAL!O57 + CAR!O57 + CENT!O57 + FLA!O57 + MIDA!O57 + MIDW!O57 + NE!O57 + NY!O57 + NW!O57 + SE!O57 + SW!O57 + TEN!O57 + TEX!O57</f>
        <v>21933.88084772</v>
      </c>
      <c r="P57" s="8">
        <f xml:space="preserve"> 0 + CAL!P57 + CAR!P57 + CENT!P57 + FLA!P57 + MIDA!P57 + MIDW!P57 + NE!P57 + NY!P57 + NW!P57 + SE!P57 + SW!P57 + TEN!P57 + TEX!P57</f>
        <v>19269.548451620001</v>
      </c>
      <c r="Q57" s="8">
        <f xml:space="preserve"> 0 + CAL!Q57 + CAR!Q57 + CENT!Q57 + FLA!Q57 + MIDA!Q57 + MIDW!Q57 + NE!Q57 + NY!Q57 + NW!Q57 + SE!Q57 + SW!Q57 + TEN!Q57 + TEX!Q57</f>
        <v>16708.53256616</v>
      </c>
      <c r="R57" s="8">
        <f xml:space="preserve"> 0 + CAL!R57 + CAR!R57 + CENT!R57 + FLA!R57 + MIDA!R57 + MIDW!R57 + NE!R57 + NY!R57 + NW!R57 + SE!R57 + SW!R57 + TEN!R57 + TEX!R57</f>
        <v>14746.420425509999</v>
      </c>
      <c r="S57" s="8">
        <f xml:space="preserve"> 0 + CAL!S57 + CAR!S57 + CENT!S57 + FLA!S57 + MIDA!S57 + MIDW!S57 + NE!S57 + NY!S57 + NW!S57 + SE!S57 + SW!S57 + TEN!S57 + TEX!S57</f>
        <v>13304.110370440001</v>
      </c>
      <c r="T57" s="8">
        <f xml:space="preserve"> 0 + CAL!T57 + CAR!T57 + CENT!T57 + FLA!T57 + MIDA!T57 + MIDW!T57 + NE!T57 + NY!T57 + NW!T57 + SE!T57 + SW!T57 + TEN!T57 + TEX!T57</f>
        <v>11804.37173332</v>
      </c>
      <c r="U57" s="8">
        <f xml:space="preserve"> 0 + CAL!U57 + CAR!U57 + CENT!U57 + FLA!U57 + MIDA!U57 + MIDW!U57 + NE!U57 + NY!U57 + NW!U57 + SE!U57 + SW!U57 + TEN!U57 + TEX!U57</f>
        <v>10663.608008269999</v>
      </c>
      <c r="V57" s="8">
        <f xml:space="preserve"> 0 + CAL!V57 + CAR!V57 + CENT!V57 + FLA!V57 + MIDA!V57 + MIDW!V57 + NE!V57 + NY!V57 + NW!V57 + SE!V57 + SW!V57 + TEN!V57 + TEX!V57</f>
        <v>9631.2582809800006</v>
      </c>
      <c r="W57" s="8">
        <f xml:space="preserve"> 0 + CAL!W57 + CAR!W57 + CENT!W57 + FLA!W57 + MIDA!W57 + MIDW!W57 + NE!W57 + NY!W57 + NW!W57 + SE!W57 + SW!W57 + TEN!W57 + TEX!W57</f>
        <v>8784.9471328099989</v>
      </c>
      <c r="X57" s="8">
        <f xml:space="preserve"> 0 + CAL!X57 + CAR!X57 + CENT!X57 + FLA!X57 + MIDA!X57 + MIDW!X57 + NE!X57 + NY!X57 + NW!X57 + SE!X57 + SW!X57 + TEN!X57 + TEX!X57</f>
        <v>8289.1471699300018</v>
      </c>
      <c r="Y57" s="8">
        <f xml:space="preserve"> 0 + CAL!Y57 + CAR!Y57 + CENT!Y57 + FLA!Y57 + MIDA!Y57 + MIDW!Y57 + NE!Y57 + NY!Y57 + NW!Y57 + SE!Y57 + SW!Y57 + TEN!Y57 + TEX!Y57</f>
        <v>8070.4118223500009</v>
      </c>
      <c r="Z57" s="8">
        <f xml:space="preserve"> 0 + CAL!Z57 + CAR!Z57 + CENT!Z57 + FLA!Z57 + MIDA!Z57 + MIDW!Z57 + NE!Z57 + NY!Z57 + NW!Z57 + SE!Z57 + SW!Z57 + TEN!Z57 + TEX!Z57</f>
        <v>7702.4900470299999</v>
      </c>
      <c r="AA57" s="8">
        <f xml:space="preserve"> 0 + CAL!AA57 + CAR!AA57 + CENT!AA57 + FLA!AA57 + MIDA!AA57 + MIDW!AA57 + NE!AA57 + NY!AA57 + NW!AA57 + SE!AA57 + SW!AA57 + TEN!AA57 + TEX!AA57</f>
        <v>7387.2107038999993</v>
      </c>
      <c r="AB57" s="8">
        <f xml:space="preserve"> 0 + CAL!AB57 + CAR!AB57 + CENT!AB57 + FLA!AB57 + MIDA!AB57 + MIDW!AB57 + NE!AB57 + NY!AB57 + NW!AB57 + SE!AB57 + SW!AB57 + TEN!AB57 + TEX!AB57</f>
        <v>7133.8579508899993</v>
      </c>
      <c r="AC57" s="8">
        <f xml:space="preserve"> 0 + CAL!AC57 + CAR!AC57 + CENT!AC57 + FLA!AC57 + MIDA!AC57 + MIDW!AC57 + NE!AC57 + NY!AC57 + NW!AC57 + SE!AC57 + SW!AC57 + TEN!AC57 + TEX!AC57</f>
        <v>7020.54171838</v>
      </c>
    </row>
    <row r="58" spans="1:29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14.193216179999997</v>
      </c>
      <c r="E58" s="8">
        <f xml:space="preserve"> 0 + CAL!E58 + CAR!E58 + CENT!E58 + FLA!E58 + MIDA!E58 + MIDW!E58 + NE!E58 + NY!E58 + NW!E58 + SE!E58 + SW!E58 + TEN!E58 + TEX!E58</f>
        <v>14.131849769999999</v>
      </c>
      <c r="F58" s="8">
        <f xml:space="preserve"> 0 + CAL!F58 + CAR!F58 + CENT!F58 + FLA!F58 + MIDA!F58 + MIDW!F58 + NE!F58 + NY!F58 + NW!F58 + SE!F58 + SW!F58 + TEN!F58 + TEX!F58</f>
        <v>14.282076040000002</v>
      </c>
      <c r="G58" s="8">
        <f xml:space="preserve"> 0 + CAL!G58 + CAR!G58 + CENT!G58 + FLA!G58 + MIDA!G58 + MIDW!G58 + NE!G58 + NY!G58 + NW!G58 + SE!G58 + SW!G58 + TEN!G58 + TEX!G58</f>
        <v>14.45193982</v>
      </c>
      <c r="H58" s="8">
        <f xml:space="preserve"> 0 + CAL!H58 + CAR!H58 + CENT!H58 + FLA!H58 + MIDA!H58 + MIDW!H58 + NE!H58 + NY!H58 + NW!H58 + SE!H58 + SW!H58 + TEN!H58 + TEX!H58</f>
        <v>14.282677769999999</v>
      </c>
      <c r="I58" s="8">
        <f xml:space="preserve"> 0 + CAL!I58 + CAR!I58 + CENT!I58 + FLA!I58 + MIDA!I58 + MIDW!I58 + NE!I58 + NY!I58 + NW!I58 + SE!I58 + SW!I58 + TEN!I58 + TEX!I58</f>
        <v>14.06755611</v>
      </c>
      <c r="J58" s="8">
        <f xml:space="preserve"> 0 + CAL!J58 + CAR!J58 + CENT!J58 + FLA!J58 + MIDA!J58 + MIDW!J58 + NE!J58 + NY!J58 + NW!J58 + SE!J58 + SW!J58 + TEN!J58 + TEX!J58</f>
        <v>13.957978740000001</v>
      </c>
      <c r="K58" s="8">
        <f xml:space="preserve"> 0 + CAL!K58 + CAR!K58 + CENT!K58 + FLA!K58 + MIDA!K58 + MIDW!K58 + NE!K58 + NY!K58 + NW!K58 + SE!K58 + SW!K58 + TEN!K58 + TEX!K58</f>
        <v>13.484516600000001</v>
      </c>
      <c r="L58" s="8">
        <f xml:space="preserve"> 0 + CAL!L58 + CAR!L58 + CENT!L58 + FLA!L58 + MIDA!L58 + MIDW!L58 + NE!L58 + NY!L58 + NW!L58 + SE!L58 + SW!L58 + TEN!L58 + TEX!L58</f>
        <v>13.37604116</v>
      </c>
      <c r="M58" s="8">
        <f xml:space="preserve"> 0 + CAL!M58 + CAR!M58 + CENT!M58 + FLA!M58 + MIDA!M58 + MIDW!M58 + NE!M58 + NY!M58 + NW!M58 + SE!M58 + SW!M58 + TEN!M58 + TEX!M58</f>
        <v>13.370231819999999</v>
      </c>
      <c r="N58" s="8">
        <f xml:space="preserve"> 0 + CAL!N58 + CAR!N58 + CENT!N58 + FLA!N58 + MIDA!N58 + MIDW!N58 + NE!N58 + NY!N58 + NW!N58 + SE!N58 + SW!N58 + TEN!N58 + TEX!N58</f>
        <v>13.396196660000001</v>
      </c>
      <c r="O58" s="8">
        <f xml:space="preserve"> 0 + CAL!O58 + CAR!O58 + CENT!O58 + FLA!O58 + MIDA!O58 + MIDW!O58 + NE!O58 + NY!O58 + NW!O58 + SE!O58 + SW!O58 + TEN!O58 + TEX!O58</f>
        <v>13.399215910000002</v>
      </c>
      <c r="P58" s="8">
        <f xml:space="preserve"> 0 + CAL!P58 + CAR!P58 + CENT!P58 + FLA!P58 + MIDA!P58 + MIDW!P58 + NE!P58 + NY!P58 + NW!P58 + SE!P58 + SW!P58 + TEN!P58 + TEX!P58</f>
        <v>13.409866940000002</v>
      </c>
      <c r="Q58" s="8">
        <f xml:space="preserve"> 0 + CAL!Q58 + CAR!Q58 + CENT!Q58 + FLA!Q58 + MIDA!Q58 + MIDW!Q58 + NE!Q58 + NY!Q58 + NW!Q58 + SE!Q58 + SW!Q58 + TEN!Q58 + TEX!Q58</f>
        <v>13.397381250000002</v>
      </c>
      <c r="R58" s="8">
        <f xml:space="preserve"> 0 + CAL!R58 + CAR!R58 + CENT!R58 + FLA!R58 + MIDA!R58 + MIDW!R58 + NE!R58 + NY!R58 + NW!R58 + SE!R58 + SW!R58 + TEN!R58 + TEX!R58</f>
        <v>13.403103329999997</v>
      </c>
      <c r="S58" s="8">
        <f xml:space="preserve"> 0 + CAL!S58 + CAR!S58 + CENT!S58 + FLA!S58 + MIDA!S58 + MIDW!S58 + NE!S58 + NY!S58 + NW!S58 + SE!S58 + SW!S58 + TEN!S58 + TEX!S58</f>
        <v>13.4462572</v>
      </c>
      <c r="T58" s="8">
        <f xml:space="preserve"> 0 + CAL!T58 + CAR!T58 + CENT!T58 + FLA!T58 + MIDA!T58 + MIDW!T58 + NE!T58 + NY!T58 + NW!T58 + SE!T58 + SW!T58 + TEN!T58 + TEX!T58</f>
        <v>13.466821869999999</v>
      </c>
      <c r="U58" s="8">
        <f xml:space="preserve"> 0 + CAL!U58 + CAR!U58 + CENT!U58 + FLA!U58 + MIDA!U58 + MIDW!U58 + NE!U58 + NY!U58 + NW!U58 + SE!U58 + SW!U58 + TEN!U58 + TEX!U58</f>
        <v>13.426340189999999</v>
      </c>
      <c r="V58" s="8">
        <f xml:space="preserve"> 0 + CAL!V58 + CAR!V58 + CENT!V58 + FLA!V58 + MIDA!V58 + MIDW!V58 + NE!V58 + NY!V58 + NW!V58 + SE!V58 + SW!V58 + TEN!V58 + TEX!V58</f>
        <v>13.573741260000002</v>
      </c>
      <c r="W58" s="8">
        <f xml:space="preserve"> 0 + CAL!W58 + CAR!W58 + CENT!W58 + FLA!W58 + MIDA!W58 + MIDW!W58 + NE!W58 + NY!W58 + NW!W58 + SE!W58 + SW!W58 + TEN!W58 + TEX!W58</f>
        <v>13.577610480000001</v>
      </c>
      <c r="X58" s="8">
        <f xml:space="preserve"> 0 + CAL!X58 + CAR!X58 + CENT!X58 + FLA!X58 + MIDA!X58 + MIDW!X58 + NE!X58 + NY!X58 + NW!X58 + SE!X58 + SW!X58 + TEN!X58 + TEX!X58</f>
        <v>13.617437319999999</v>
      </c>
      <c r="Y58" s="8">
        <f xml:space="preserve"> 0 + CAL!Y58 + CAR!Y58 + CENT!Y58 + FLA!Y58 + MIDA!Y58 + MIDW!Y58 + NE!Y58 + NY!Y58 + NW!Y58 + SE!Y58 + SW!Y58 + TEN!Y58 + TEX!Y58</f>
        <v>13.685198440000002</v>
      </c>
      <c r="Z58" s="8">
        <f xml:space="preserve"> 0 + CAL!Z58 + CAR!Z58 + CENT!Z58 + FLA!Z58 + MIDA!Z58 + MIDW!Z58 + NE!Z58 + NY!Z58 + NW!Z58 + SE!Z58 + SW!Z58 + TEN!Z58 + TEX!Z58</f>
        <v>13.788920059999999</v>
      </c>
      <c r="AA58" s="8">
        <f xml:space="preserve"> 0 + CAL!AA58 + CAR!AA58 + CENT!AA58 + FLA!AA58 + MIDA!AA58 + MIDW!AA58 + NE!AA58 + NY!AA58 + NW!AA58 + SE!AA58 + SW!AA58 + TEN!AA58 + TEX!AA58</f>
        <v>13.69506977</v>
      </c>
      <c r="AB58" s="8">
        <f xml:space="preserve"> 0 + CAL!AB58 + CAR!AB58 + CENT!AB58 + FLA!AB58 + MIDA!AB58 + MIDW!AB58 + NE!AB58 + NY!AB58 + NW!AB58 + SE!AB58 + SW!AB58 + TEN!AB58 + TEX!AB58</f>
        <v>13.696843740000002</v>
      </c>
      <c r="AC58" s="8">
        <f xml:space="preserve"> 0 + CAL!AC58 + CAR!AC58 + CENT!AC58 + FLA!AC58 + MIDA!AC58 + MIDW!AC58 + NE!AC58 + NY!AC58 + NW!AC58 + SE!AC58 + SW!AC58 + TEN!AC58 + TEX!AC58</f>
        <v>13.708230630000001</v>
      </c>
    </row>
    <row r="59" spans="1:29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14.193216179999997</v>
      </c>
      <c r="D59" s="8">
        <f xml:space="preserve"> 0 + CAL!D59 + CAR!D59 + CENT!D59 + FLA!D59 + MIDA!D59 + MIDW!D59 + NE!D59 + NY!D59 + NW!D59 + SE!D59 + SW!D59 + TEN!D59 + TEX!D59</f>
        <v>14.138551249999999</v>
      </c>
      <c r="E59" s="8">
        <f xml:space="preserve"> 0 + CAL!E59 + CAR!E59 + CENT!E59 + FLA!E59 + MIDA!E59 + MIDW!E59 + NE!E59 + NY!E59 + NW!E59 + SE!E59 + SW!E59 + TEN!E59 + TEX!E59</f>
        <v>14.298657720000001</v>
      </c>
      <c r="F59" s="8">
        <f xml:space="preserve"> 0 + CAL!F59 + CAR!F59 + CENT!F59 + FLA!F59 + MIDA!F59 + MIDW!F59 + NE!F59 + NY!F59 + NW!F59 + SE!F59 + SW!F59 + TEN!F59 + TEX!F59</f>
        <v>14.47294087</v>
      </c>
      <c r="G59" s="8">
        <f xml:space="preserve"> 0 + CAL!G59 + CAR!G59 + CENT!G59 + FLA!G59 + MIDA!G59 + MIDW!G59 + NE!G59 + NY!G59 + NW!G59 + SE!G59 + SW!G59 + TEN!G59 + TEX!G59</f>
        <v>14.298383029999998</v>
      </c>
      <c r="H59" s="8">
        <f xml:space="preserve"> 0 + CAL!H59 + CAR!H59 + CENT!H59 + FLA!H59 + MIDA!H59 + MIDW!H59 + NE!H59 + NY!H59 + NW!H59 + SE!H59 + SW!H59 + TEN!H59 + TEX!H59</f>
        <v>14.077795900000002</v>
      </c>
      <c r="I59" s="8">
        <f xml:space="preserve"> 0 + CAL!I59 + CAR!I59 + CENT!I59 + FLA!I59 + MIDA!I59 + MIDW!I59 + NE!I59 + NY!I59 + NW!I59 + SE!I59 + SW!I59 + TEN!I59 + TEX!I59</f>
        <v>13.962216270000001</v>
      </c>
      <c r="J59" s="8">
        <f xml:space="preserve"> 0 + CAL!J59 + CAR!J59 + CENT!J59 + FLA!J59 + MIDA!J59 + MIDW!J59 + NE!J59 + NY!J59 + NW!J59 + SE!J59 + SW!J59 + TEN!J59 + TEX!J59</f>
        <v>13.485590200000001</v>
      </c>
      <c r="K59" s="8">
        <f xml:space="preserve"> 0 + CAL!K59 + CAR!K59 + CENT!K59 + FLA!K59 + MIDA!K59 + MIDW!K59 + NE!K59 + NY!K59 + NW!K59 + SE!K59 + SW!K59 + TEN!K59 + TEX!K59</f>
        <v>13.37604116</v>
      </c>
      <c r="L59" s="8">
        <f xml:space="preserve"> 0 + CAL!L59 + CAR!L59 + CENT!L59 + FLA!L59 + MIDA!L59 + MIDW!L59 + NE!L59 + NY!L59 + NW!L59 + SE!L59 + SW!L59 + TEN!L59 + TEX!L59</f>
        <v>13.370231819999999</v>
      </c>
      <c r="M59" s="8">
        <f xml:space="preserve"> 0 + CAL!M59 + CAR!M59 + CENT!M59 + FLA!M59 + MIDA!M59 + MIDW!M59 + NE!M59 + NY!M59 + NW!M59 + SE!M59 + SW!M59 + TEN!M59 + TEX!M59</f>
        <v>13.396196660000001</v>
      </c>
      <c r="N59" s="8">
        <f xml:space="preserve"> 0 + CAL!N59 + CAR!N59 + CENT!N59 + FLA!N59 + MIDA!N59 + MIDW!N59 + NE!N59 + NY!N59 + NW!N59 + SE!N59 + SW!N59 + TEN!N59 + TEX!N59</f>
        <v>13.399215910000002</v>
      </c>
      <c r="O59" s="8">
        <f xml:space="preserve"> 0 + CAL!O59 + CAR!O59 + CENT!O59 + FLA!O59 + MIDA!O59 + MIDW!O59 + NE!O59 + NY!O59 + NW!O59 + SE!O59 + SW!O59 + TEN!O59 + TEX!O59</f>
        <v>13.409866940000002</v>
      </c>
      <c r="P59" s="8">
        <f xml:space="preserve"> 0 + CAL!P59 + CAR!P59 + CENT!P59 + FLA!P59 + MIDA!P59 + MIDW!P59 + NE!P59 + NY!P59 + NW!P59 + SE!P59 + SW!P59 + TEN!P59 + TEX!P59</f>
        <v>13.397381250000002</v>
      </c>
      <c r="Q59" s="8">
        <f xml:space="preserve"> 0 + CAL!Q59 + CAR!Q59 + CENT!Q59 + FLA!Q59 + MIDA!Q59 + MIDW!Q59 + NE!Q59 + NY!Q59 + NW!Q59 + SE!Q59 + SW!Q59 + TEN!Q59 + TEX!Q59</f>
        <v>13.403103329999997</v>
      </c>
      <c r="R59" s="8">
        <f xml:space="preserve"> 0 + CAL!R59 + CAR!R59 + CENT!R59 + FLA!R59 + MIDA!R59 + MIDW!R59 + NE!R59 + NY!R59 + NW!R59 + SE!R59 + SW!R59 + TEN!R59 + TEX!R59</f>
        <v>13.4462572</v>
      </c>
      <c r="S59" s="8">
        <f xml:space="preserve"> 0 + CAL!S59 + CAR!S59 + CENT!S59 + FLA!S59 + MIDA!S59 + MIDW!S59 + NE!S59 + NY!S59 + NW!S59 + SE!S59 + SW!S59 + TEN!S59 + TEX!S59</f>
        <v>13.466821869999999</v>
      </c>
      <c r="T59" s="8">
        <f xml:space="preserve"> 0 + CAL!T59 + CAR!T59 + CENT!T59 + FLA!T59 + MIDA!T59 + MIDW!T59 + NE!T59 + NY!T59 + NW!T59 + SE!T59 + SW!T59 + TEN!T59 + TEX!T59</f>
        <v>13.426340189999999</v>
      </c>
      <c r="U59" s="8">
        <f xml:space="preserve"> 0 + CAL!U59 + CAR!U59 + CENT!U59 + FLA!U59 + MIDA!U59 + MIDW!U59 + NE!U59 + NY!U59 + NW!U59 + SE!U59 + SW!U59 + TEN!U59 + TEX!U59</f>
        <v>13.573741260000002</v>
      </c>
      <c r="V59" s="8">
        <f xml:space="preserve"> 0 + CAL!V59 + CAR!V59 + CENT!V59 + FLA!V59 + MIDA!V59 + MIDW!V59 + NE!V59 + NY!V59 + NW!V59 + SE!V59 + SW!V59 + TEN!V59 + TEX!V59</f>
        <v>13.577610480000001</v>
      </c>
      <c r="W59" s="8">
        <f xml:space="preserve"> 0 + CAL!W59 + CAR!W59 + CENT!W59 + FLA!W59 + MIDA!W59 + MIDW!W59 + NE!W59 + NY!W59 + NW!W59 + SE!W59 + SW!W59 + TEN!W59 + TEX!W59</f>
        <v>13.617437319999999</v>
      </c>
      <c r="X59" s="8">
        <f xml:space="preserve"> 0 + CAL!X59 + CAR!X59 + CENT!X59 + FLA!X59 + MIDA!X59 + MIDW!X59 + NE!X59 + NY!X59 + NW!X59 + SE!X59 + SW!X59 + TEN!X59 + TEX!X59</f>
        <v>13.685198440000002</v>
      </c>
      <c r="Y59" s="8">
        <f xml:space="preserve"> 0 + CAL!Y59 + CAR!Y59 + CENT!Y59 + FLA!Y59 + MIDA!Y59 + MIDW!Y59 + NE!Y59 + NY!Y59 + NW!Y59 + SE!Y59 + SW!Y59 + TEN!Y59 + TEX!Y59</f>
        <v>13.788920059999999</v>
      </c>
      <c r="Z59" s="8">
        <f xml:space="preserve"> 0 + CAL!Z59 + CAR!Z59 + CENT!Z59 + FLA!Z59 + MIDA!Z59 + MIDW!Z59 + NE!Z59 + NY!Z59 + NW!Z59 + SE!Z59 + SW!Z59 + TEN!Z59 + TEX!Z59</f>
        <v>13.69506977</v>
      </c>
      <c r="AA59" s="8">
        <f xml:space="preserve"> 0 + CAL!AA59 + CAR!AA59 + CENT!AA59 + FLA!AA59 + MIDA!AA59 + MIDW!AA59 + NE!AA59 + NY!AA59 + NW!AA59 + SE!AA59 + SW!AA59 + TEN!AA59 + TEX!AA59</f>
        <v>13.696843740000002</v>
      </c>
      <c r="AB59" s="8">
        <f xml:space="preserve"> 0 + CAL!AB59 + CAR!AB59 + CENT!AB59 + FLA!AB59 + MIDA!AB59 + MIDW!AB59 + NE!AB59 + NY!AB59 + NW!AB59 + SE!AB59 + SW!AB59 + TEN!AB59 + TEX!AB59</f>
        <v>13.708230630000001</v>
      </c>
      <c r="AC59" s="8">
        <f xml:space="preserve"> 0 + CAL!AC59 + CAR!AC59 + CENT!AC59 + FLA!AC59 + MIDA!AC59 + MIDW!AC59 + NE!AC59 + NY!AC59 + NW!AC59 + SE!AC59 + SW!AC59 + TEN!AC59 + TEX!AC59</f>
        <v>13.754352699999998</v>
      </c>
    </row>
    <row r="60" spans="1:29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14.649653710000003</v>
      </c>
      <c r="E60" s="8">
        <f xml:space="preserve"> 0 + CAL!E60 + CAR!E60 + CENT!E60 + FLA!E60 + MIDA!E60 + MIDW!E60 + NE!E60 + NY!E60 + NW!E60 + SE!E60 + SW!E60 + TEN!E60 + TEX!E60</f>
        <v>14.620165019999998</v>
      </c>
      <c r="F60" s="8">
        <f xml:space="preserve"> 0 + CAL!F60 + CAR!F60 + CENT!F60 + FLA!F60 + MIDA!F60 + MIDW!F60 + NE!F60 + NY!F60 + NW!F60 + SE!F60 + SW!F60 + TEN!F60 + TEX!F60</f>
        <v>14.589339529999998</v>
      </c>
      <c r="G60" s="8">
        <f xml:space="preserve"> 0 + CAL!G60 + CAR!G60 + CENT!G60 + FLA!G60 + MIDA!G60 + MIDW!G60 + NE!G60 + NY!G60 + NW!G60 + SE!G60 + SW!G60 + TEN!G60 + TEX!G60</f>
        <v>14.578865400000002</v>
      </c>
      <c r="H60" s="8">
        <f xml:space="preserve"> 0 + CAL!H60 + CAR!H60 + CENT!H60 + FLA!H60 + MIDA!H60 + MIDW!H60 + NE!H60 + NY!H60 + NW!H60 + SE!H60 + SW!H60 + TEN!H60 + TEX!H60</f>
        <v>14.58374218</v>
      </c>
      <c r="I60" s="8">
        <f xml:space="preserve"> 0 + CAL!I60 + CAR!I60 + CENT!I60 + FLA!I60 + MIDA!I60 + MIDW!I60 + NE!I60 + NY!I60 + NW!I60 + SE!I60 + SW!I60 + TEN!I60 + TEX!I60</f>
        <v>14.607827969999999</v>
      </c>
      <c r="J60" s="8">
        <f xml:space="preserve"> 0 + CAL!J60 + CAR!J60 + CENT!J60 + FLA!J60 + MIDA!J60 + MIDW!J60 + NE!J60 + NY!J60 + NW!J60 + SE!J60 + SW!J60 + TEN!J60 + TEX!J60</f>
        <v>14.644565429999998</v>
      </c>
      <c r="K60" s="8">
        <f xml:space="preserve"> 0 + CAL!K60 + CAR!K60 + CENT!K60 + FLA!K60 + MIDA!K60 + MIDW!K60 + NE!K60 + NY!K60 + NW!K60 + SE!K60 + SW!K60 + TEN!K60 + TEX!K60</f>
        <v>14.714320990000001</v>
      </c>
      <c r="L60" s="8">
        <f xml:space="preserve"> 0 + CAL!L60 + CAR!L60 + CENT!L60 + FLA!L60 + MIDA!L60 + MIDW!L60 + NE!L60 + NY!L60 + NW!L60 + SE!L60 + SW!L60 + TEN!L60 + TEX!L60</f>
        <v>14.79465128</v>
      </c>
      <c r="M60" s="8">
        <f xml:space="preserve"> 0 + CAL!M60 + CAR!M60 + CENT!M60 + FLA!M60 + MIDA!M60 + MIDW!M60 + NE!M60 + NY!M60 + NW!M60 + SE!M60 + SW!M60 + TEN!M60 + TEX!M60</f>
        <v>14.880887950000002</v>
      </c>
      <c r="N60" s="8">
        <f xml:space="preserve"> 0 + CAL!N60 + CAR!N60 + CENT!N60 + FLA!N60 + MIDA!N60 + MIDW!N60 + NE!N60 + NY!N60 + NW!N60 + SE!N60 + SW!N60 + TEN!N60 + TEX!N60</f>
        <v>14.96844424</v>
      </c>
      <c r="O60" s="8">
        <f xml:space="preserve"> 0 + CAL!O60 + CAR!O60 + CENT!O60 + FLA!O60 + MIDA!O60 + MIDW!O60 + NE!O60 + NY!O60 + NW!O60 + SE!O60 + SW!O60 + TEN!O60 + TEX!O60</f>
        <v>15.06022555</v>
      </c>
      <c r="P60" s="8">
        <f xml:space="preserve"> 0 + CAL!P60 + CAR!P60 + CENT!P60 + FLA!P60 + MIDA!P60 + MIDW!P60 + NE!P60 + NY!P60 + NW!P60 + SE!P60 + SW!P60 + TEN!P60 + TEX!P60</f>
        <v>15.15201177</v>
      </c>
      <c r="Q60" s="8">
        <f xml:space="preserve"> 0 + CAL!Q60 + CAR!Q60 + CENT!Q60 + FLA!Q60 + MIDA!Q60 + MIDW!Q60 + NE!Q60 + NY!Q60 + NW!Q60 + SE!Q60 + SW!Q60 + TEN!Q60 + TEX!Q60</f>
        <v>15.233240149999999</v>
      </c>
      <c r="R60" s="8">
        <f xml:space="preserve"> 0 + CAL!R60 + CAR!R60 + CENT!R60 + FLA!R60 + MIDA!R60 + MIDW!R60 + NE!R60 + NY!R60 + NW!R60 + SE!R60 + SW!R60 + TEN!R60 + TEX!R60</f>
        <v>15.315228309999998</v>
      </c>
      <c r="S60" s="8">
        <f xml:space="preserve"> 0 + CAL!S60 + CAR!S60 + CENT!S60 + FLA!S60 + MIDA!S60 + MIDW!S60 + NE!S60 + NY!S60 + NW!S60 + SE!S60 + SW!S60 + TEN!S60 + TEX!S60</f>
        <v>15.387234640000001</v>
      </c>
      <c r="T60" s="8">
        <f xml:space="preserve"> 0 + CAL!T60 + CAR!T60 + CENT!T60 + FLA!T60 + MIDA!T60 + MIDW!T60 + NE!T60 + NY!T60 + NW!T60 + SE!T60 + SW!T60 + TEN!T60 + TEX!T60</f>
        <v>15.441278819999999</v>
      </c>
      <c r="U60" s="8">
        <f xml:space="preserve"> 0 + CAL!U60 + CAR!U60 + CENT!U60 + FLA!U60 + MIDA!U60 + MIDW!U60 + NE!U60 + NY!U60 + NW!U60 + SE!U60 + SW!U60 + TEN!U60 + TEX!U60</f>
        <v>15.505006099999999</v>
      </c>
      <c r="V60" s="8">
        <f xml:space="preserve"> 0 + CAL!V60 + CAR!V60 + CENT!V60 + FLA!V60 + MIDA!V60 + MIDW!V60 + NE!V60 + NY!V60 + NW!V60 + SE!V60 + SW!V60 + TEN!V60 + TEX!V60</f>
        <v>15.545475369999998</v>
      </c>
      <c r="W60" s="8">
        <f xml:space="preserve"> 0 + CAL!W60 + CAR!W60 + CENT!W60 + FLA!W60 + MIDA!W60 + MIDW!W60 + NE!W60 + NY!W60 + NW!W60 + SE!W60 + SW!W60 + TEN!W60 + TEX!W60</f>
        <v>15.590157619999999</v>
      </c>
      <c r="X60" s="8">
        <f xml:space="preserve"> 0 + CAL!X60 + CAR!X60 + CENT!X60 + FLA!X60 + MIDA!X60 + MIDW!X60 + NE!X60 + NY!X60 + NW!X60 + SE!X60 + SW!X60 + TEN!X60 + TEX!X60</f>
        <v>15.639639780000001</v>
      </c>
      <c r="Y60" s="8">
        <f xml:space="preserve"> 0 + CAL!Y60 + CAR!Y60 + CENT!Y60 + FLA!Y60 + MIDA!Y60 + MIDW!Y60 + NE!Y60 + NY!Y60 + NW!Y60 + SE!Y60 + SW!Y60 + TEN!Y60 + TEX!Y60</f>
        <v>15.665850440000002</v>
      </c>
      <c r="Z60" s="8">
        <f xml:space="preserve"> 0 + CAL!Z60 + CAR!Z60 + CENT!Z60 + FLA!Z60 + MIDA!Z60 + MIDW!Z60 + NE!Z60 + NY!Z60 + NW!Z60 + SE!Z60 + SW!Z60 + TEN!Z60 + TEX!Z60</f>
        <v>15.6667472</v>
      </c>
      <c r="AA60" s="8">
        <f xml:space="preserve"> 0 + CAL!AA60 + CAR!AA60 + CENT!AA60 + FLA!AA60 + MIDA!AA60 + MIDW!AA60 + NE!AA60 + NY!AA60 + NW!AA60 + SE!AA60 + SW!AA60 + TEN!AA60 + TEX!AA60</f>
        <v>15.690479640000001</v>
      </c>
      <c r="AB60" s="8">
        <f xml:space="preserve"> 0 + CAL!AB60 + CAR!AB60 + CENT!AB60 + FLA!AB60 + MIDA!AB60 + MIDW!AB60 + NE!AB60 + NY!AB60 + NW!AB60 + SE!AB60 + SW!AB60 + TEN!AB60 + TEX!AB60</f>
        <v>15.715441890000003</v>
      </c>
      <c r="AC60" s="8">
        <f xml:space="preserve"> 0 + CAL!AC60 + CAR!AC60 + CENT!AC60 + FLA!AC60 + MIDA!AC60 + MIDW!AC60 + NE!AC60 + NY!AC60 + NW!AC60 + SE!AC60 + SW!AC60 + TEN!AC60 + TEX!AC60</f>
        <v>15.739611490000001</v>
      </c>
    </row>
    <row r="61" spans="1:29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183933.45278371999</v>
      </c>
      <c r="D61" s="8">
        <f xml:space="preserve"> 0 + CAL!D61 + CAR!D61 + CENT!D61 + FLA!D61 + MIDA!D61 + MIDW!D61 + NE!D61 + NY!D61 + NW!D61 + SE!D61 + SW!D61 + TEN!D61 + TEX!D61</f>
        <v>179335.11646657999</v>
      </c>
      <c r="E61" s="8">
        <f xml:space="preserve"> 0 + CAL!E61 + CAR!E61 + CENT!E61 + FLA!E61 + MIDA!E61 + MIDW!E61 + NE!E61 + NY!E61 + NW!E61 + SE!E61 + SW!E61 + TEN!E61 + TEX!E61</f>
        <v>174851.73855491</v>
      </c>
      <c r="F61" s="8">
        <f xml:space="preserve"> 0 + CAL!F61 + CAR!F61 + CENT!F61 + FLA!F61 + MIDA!F61 + MIDW!F61 + NE!F61 + NY!F61 + NW!F61 + SE!F61 + SW!F61 + TEN!F61 + TEX!F61</f>
        <v>170480.44509105</v>
      </c>
      <c r="G61" s="8">
        <f xml:space="preserve"> 0 + CAL!G61 + CAR!G61 + CENT!G61 + FLA!G61 + MIDA!G61 + MIDW!G61 + NE!G61 + NY!G61 + NW!G61 + SE!G61 + SW!G61 + TEN!G61 + TEX!G61</f>
        <v>166218.43396378003</v>
      </c>
      <c r="H61" s="8">
        <f xml:space="preserve"> 0 + CAL!H61 + CAR!H61 + CENT!H61 + FLA!H61 + MIDA!H61 + MIDW!H61 + NE!H61 + NY!H61 + NW!H61 + SE!H61 + SW!H61 + TEN!H61 + TEX!H61</f>
        <v>162062.97311466999</v>
      </c>
      <c r="I61" s="8">
        <f xml:space="preserve"> 0 + CAL!I61 + CAR!I61 + CENT!I61 + FLA!I61 + MIDA!I61 + MIDW!I61 + NE!I61 + NY!I61 + NW!I61 + SE!I61 + SW!I61 + TEN!I61 + TEX!I61</f>
        <v>158011.39878678997</v>
      </c>
      <c r="J61" s="8">
        <f xml:space="preserve"> 0 + CAL!J61 + CAR!J61 + CENT!J61 + FLA!J61 + MIDA!J61 + MIDW!J61 + NE!J61 + NY!J61 + NW!J61 + SE!J61 + SW!J61 + TEN!J61 + TEX!J61</f>
        <v>154061.11381713001</v>
      </c>
      <c r="K61" s="8">
        <f xml:space="preserve"> 0 + CAL!K61 + CAR!K61 + CENT!K61 + FLA!K61 + MIDA!K61 + MIDW!K61 + NE!K61 + NY!K61 + NW!K61 + SE!K61 + SW!K61 + TEN!K61 + TEX!K61</f>
        <v>150209.58597169997</v>
      </c>
      <c r="L61" s="8">
        <f xml:space="preserve"> 0 + CAL!L61 + CAR!L61 + CENT!L61 + FLA!L61 + MIDA!L61 + MIDW!L61 + NE!L61 + NY!L61 + NW!L61 + SE!L61 + SW!L61 + TEN!L61 + TEX!L61</f>
        <v>146454.34638278</v>
      </c>
      <c r="M61" s="8">
        <f xml:space="preserve"> 0 + CAL!M61 + CAR!M61 + CENT!M61 + FLA!M61 + MIDA!M61 + MIDW!M61 + NE!M61 + NY!M61 + NW!M61 + SE!M61 + SW!M61 + TEN!M61 + TEX!M61</f>
        <v>142792.98774228999</v>
      </c>
      <c r="N61" s="8">
        <f xml:space="preserve"> 0 + CAL!N61 + CAR!N61 + CENT!N61 + FLA!N61 + MIDA!N61 + MIDW!N61 + NE!N61 + NY!N61 + NW!N61 + SE!N61 + SW!N61 + TEN!N61 + TEX!N61</f>
        <v>139223.16384074997</v>
      </c>
      <c r="O61" s="8">
        <f xml:space="preserve"> 0 + CAL!O61 + CAR!O61 + CENT!O61 + FLA!O61 + MIDA!O61 + MIDW!O61 + NE!O61 + NY!O61 + NW!O61 + SE!O61 + SW!O61 + TEN!O61 + TEX!O61</f>
        <v>135742.58479162</v>
      </c>
      <c r="P61" s="8">
        <f xml:space="preserve"> 0 + CAL!P61 + CAR!P61 + CENT!P61 + FLA!P61 + MIDA!P61 + MIDW!P61 + NE!P61 + NY!P61 + NW!P61 + SE!P61 + SW!P61 + TEN!P61 + TEX!P61</f>
        <v>132349.02017182999</v>
      </c>
      <c r="Q61" s="8">
        <f xml:space="preserve"> 0 + CAL!Q61 + CAR!Q61 + CENT!Q61 + FLA!Q61 + MIDA!Q61 + MIDW!Q61 + NE!Q61 + NY!Q61 + NW!Q61 + SE!Q61 + SW!Q61 + TEN!Q61 + TEX!Q61</f>
        <v>129040.29466754003</v>
      </c>
      <c r="R61" s="8">
        <f xml:space="preserve"> 0 + CAL!R61 + CAR!R61 + CENT!R61 + FLA!R61 + MIDA!R61 + MIDW!R61 + NE!R61 + NY!R61 + NW!R61 + SE!R61 + SW!R61 + TEN!R61 + TEX!R61</f>
        <v>125814.28730086</v>
      </c>
      <c r="S61" s="8">
        <f xml:space="preserve"> 0 + CAL!S61 + CAR!S61 + CENT!S61 + FLA!S61 + MIDA!S61 + MIDW!S61 + NE!S61 + NY!S61 + NW!S61 + SE!S61 + SW!S61 + TEN!S61 + TEX!S61</f>
        <v>122668.93011831</v>
      </c>
      <c r="T61" s="8">
        <f xml:space="preserve"> 0 + CAL!T61 + CAR!T61 + CENT!T61 + FLA!T61 + MIDA!T61 + MIDW!T61 + NE!T61 + NY!T61 + NW!T61 + SE!T61 + SW!T61 + TEN!T61 + TEX!T61</f>
        <v>119602.20686537</v>
      </c>
      <c r="U61" s="8">
        <f xml:space="preserve"> 0 + CAL!U61 + CAR!U61 + CENT!U61 + FLA!U61 + MIDA!U61 + MIDW!U61 + NE!U61 + NY!U61 + NW!U61 + SE!U61 + SW!U61 + TEN!U61 + TEX!U61</f>
        <v>116612.15169374</v>
      </c>
      <c r="V61" s="8">
        <f xml:space="preserve"> 0 + CAL!V61 + CAR!V61 + CENT!V61 + FLA!V61 + MIDA!V61 + MIDW!V61 + NE!V61 + NY!V61 + NW!V61 + SE!V61 + SW!V61 + TEN!V61 + TEX!V61</f>
        <v>113697.16932069001</v>
      </c>
      <c r="W61" s="8">
        <f xml:space="preserve"> 0 + CAL!W61 + CAR!W61 + CENT!W61 + FLA!W61 + MIDA!W61 + MIDW!W61 + NE!W61 + NY!W61 + NW!W61 + SE!W61 + SW!W61 + TEN!W61 + TEX!W61</f>
        <v>110854.74008767999</v>
      </c>
      <c r="X61" s="8">
        <f xml:space="preserve"> 0 + CAL!X61 + CAR!X61 + CENT!X61 + FLA!X61 + MIDA!X61 + MIDW!X61 + NE!X61 + NY!X61 + NW!X61 + SE!X61 + SW!X61 + TEN!X61 + TEX!X61</f>
        <v>108083.37158546</v>
      </c>
      <c r="Y61" s="8">
        <f xml:space="preserve"> 0 + CAL!Y61 + CAR!Y61 + CENT!Y61 + FLA!Y61 + MIDA!Y61 + MIDW!Y61 + NE!Y61 + NY!Y61 + NW!Y61 + SE!Y61 + SW!Y61 + TEN!Y61 + TEX!Y61</f>
        <v>105381.28729584998</v>
      </c>
      <c r="Z61" s="8">
        <f xml:space="preserve"> 0 + CAL!Z61 + CAR!Z61 + CENT!Z61 + FLA!Z61 + MIDA!Z61 + MIDW!Z61 + NE!Z61 + NY!Z61 + NW!Z61 + SE!Z61 + SW!Z61 + TEN!Z61 + TEX!Z61</f>
        <v>102746.75511345999</v>
      </c>
      <c r="AA61" s="8">
        <f xml:space="preserve"> 0 + CAL!AA61 + CAR!AA61 + CENT!AA61 + FLA!AA61 + MIDA!AA61 + MIDW!AA61 + NE!AA61 + NY!AA61 + NW!AA61 + SE!AA61 + SW!AA61 + TEN!AA61 + TEX!AA61</f>
        <v>100178.08623560001</v>
      </c>
      <c r="AB61" s="8">
        <f xml:space="preserve"> 0 + CAL!AB61 + CAR!AB61 + CENT!AB61 + FLA!AB61 + MIDA!AB61 + MIDW!AB61 + NE!AB61 + NY!AB61 + NW!AB61 + SE!AB61 + SW!AB61 + TEN!AB61 + TEX!AB61</f>
        <v>97673.634079719995</v>
      </c>
      <c r="AC61" s="8">
        <f xml:space="preserve"> 0 + CAL!AC61 + CAR!AC61 + CENT!AC61 + FLA!AC61 + MIDA!AC61 + MIDW!AC61 + NE!AC61 + NY!AC61 + NW!AC61 + SE!AC61 + SW!AC61 + TEN!AC61 + TEX!AC61</f>
        <v>95231.793227729999</v>
      </c>
    </row>
    <row r="62" spans="1:29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781342087.17740512</v>
      </c>
      <c r="D62" s="8">
        <f xml:space="preserve"> 0 + CAL!D62 + CAR!D62 + CENT!D62 + FLA!D62 + MIDA!D62 + MIDW!D62 + NE!D62 + NY!D62 + NW!D62 + SE!D62 + SW!D62 + TEN!D62 + TEX!D62</f>
        <v>759364182.33344674</v>
      </c>
      <c r="E62" s="8">
        <f xml:space="preserve"> 0 + CAL!E62 + CAR!E62 + CENT!E62 + FLA!E62 + MIDA!E62 + MIDW!E62 + NE!E62 + NY!E62 + NW!E62 + SE!E62 + SW!E62 + TEN!E62 + TEX!E62</f>
        <v>686080684.99950516</v>
      </c>
      <c r="F62" s="8">
        <f xml:space="preserve"> 0 + CAL!F62 + CAR!F62 + CENT!F62 + FLA!F62 + MIDA!F62 + MIDW!F62 + NE!F62 + NY!F62 + NW!F62 + SE!F62 + SW!F62 + TEN!F62 + TEX!F62</f>
        <v>501752361.96767318</v>
      </c>
      <c r="G62" s="8">
        <f xml:space="preserve"> 0 + CAL!G62 + CAR!G62 + CENT!G62 + FLA!G62 + MIDA!G62 + MIDW!G62 + NE!G62 + NY!G62 + NW!G62 + SE!G62 + SW!G62 + TEN!G62 + TEX!G62</f>
        <v>332394324.57495004</v>
      </c>
      <c r="H62" s="8">
        <f xml:space="preserve"> 0 + CAL!H62 + CAR!H62 + CENT!H62 + FLA!H62 + MIDA!H62 + MIDW!H62 + NE!H62 + NY!H62 + NW!H62 + SE!H62 + SW!H62 + TEN!H62 + TEX!H62</f>
        <v>167065189.9244234</v>
      </c>
      <c r="I62" s="8">
        <f xml:space="preserve"> 0 + CAL!I62 + CAR!I62 + CENT!I62 + FLA!I62 + MIDA!I62 + MIDW!I62 + NE!I62 + NY!I62 + NW!I62 + SE!I62 + SW!I62 + TEN!I62 + TEX!I62</f>
        <v>32776742.671261504</v>
      </c>
      <c r="J62" s="8">
        <f xml:space="preserve"> 0 + CAL!J62 + CAR!J62 + CENT!J62 + FLA!J62 + MIDA!J62 + MIDW!J62 + NE!J62 + NY!J62 + NW!J62 + SE!J62 + SW!J62 + TEN!J62 + TEX!J62</f>
        <v>227789.53545123999</v>
      </c>
      <c r="K62" s="8">
        <f xml:space="preserve"> 0 + CAL!K62 + CAR!K62 + CENT!K62 + FLA!K62 + MIDA!K62 + MIDW!K62 + NE!K62 + NY!K62 + NW!K62 + SE!K62 + SW!K62 + TEN!K62 + TEX!K62</f>
        <v>222093.34334590001</v>
      </c>
      <c r="L62" s="8">
        <f xml:space="preserve"> 0 + CAL!L62 + CAR!L62 + CENT!L62 + FLA!L62 + MIDA!L62 + MIDW!L62 + NE!L62 + NY!L62 + NW!L62 + SE!L62 + SW!L62 + TEN!L62 + TEX!L62</f>
        <v>216541.0309676</v>
      </c>
      <c r="M62" s="8">
        <f xml:space="preserve"> 0 + CAL!M62 + CAR!M62 + CENT!M62 + FLA!M62 + MIDA!M62 + MIDW!M62 + NE!M62 + NY!M62 + NW!M62 + SE!M62 + SW!M62 + TEN!M62 + TEX!M62</f>
        <v>211127.51190328001</v>
      </c>
      <c r="N62" s="8">
        <f xml:space="preserve"> 0 + CAL!N62 + CAR!N62 + CENT!N62 + FLA!N62 + MIDA!N62 + MIDW!N62 + NE!N62 + NY!N62 + NW!N62 + SE!N62 + SW!N62 + TEN!N62 + TEX!N62</f>
        <v>205849.33645445999</v>
      </c>
      <c r="O62" s="8">
        <f xml:space="preserve"> 0 + CAL!O62 + CAR!O62 + CENT!O62 + FLA!O62 + MIDA!O62 + MIDW!O62 + NE!O62 + NY!O62 + NW!O62 + SE!O62 + SW!O62 + TEN!O62 + TEX!O62</f>
        <v>2.3078689999999999E-2</v>
      </c>
      <c r="P62" s="8">
        <f xml:space="preserve"> 0 + CAL!P62 + CAR!P62 + CENT!P62 + FLA!P62 + MIDA!P62 + MIDW!P62 + NE!P62 + NY!P62 + NW!P62 + SE!P62 + SW!P62 + TEN!P62 + TEX!P62</f>
        <v>0</v>
      </c>
      <c r="Q62" s="8">
        <f xml:space="preserve"> 0 + CAL!Q62 + CAR!Q62 + CENT!Q62 + FLA!Q62 + MIDA!Q62 + MIDW!Q62 + NE!Q62 + NY!Q62 + NW!Q62 + SE!Q62 + SW!Q62 + TEN!Q62 + TEX!Q62</f>
        <v>0</v>
      </c>
      <c r="R62" s="8">
        <f xml:space="preserve"> 0 + CAL!R62 + CAR!R62 + CENT!R62 + FLA!R62 + MIDA!R62 + MIDW!R62 + NE!R62 + NY!R62 + NW!R62 + SE!R62 + SW!R62 + TEN!R62 + TEX!R62</f>
        <v>0</v>
      </c>
      <c r="S62" s="8">
        <f xml:space="preserve"> 0 + CAL!S62 + CAR!S62 + CENT!S62 + FLA!S62 + MIDA!S62 + MIDW!S62 + NE!S62 + NY!S62 + NW!S62 + SE!S62 + SW!S62 + TEN!S62 + TEX!S62</f>
        <v>0</v>
      </c>
      <c r="T62" s="8">
        <f xml:space="preserve"> 0 + CAL!T62 + CAR!T62 + CENT!T62 + FLA!T62 + MIDA!T62 + MIDW!T62 + NE!T62 + NY!T62 + NW!T62 + SE!T62 + SW!T62 + TEN!T62 + TEX!T62</f>
        <v>0</v>
      </c>
      <c r="U62" s="8">
        <f xml:space="preserve"> 0 + CAL!U62 + CAR!U62 + CENT!U62 + FLA!U62 + MIDA!U62 + MIDW!U62 + NE!U62 + NY!U62 + NW!U62 + SE!U62 + SW!U62 + TEN!U62 + TEX!U62</f>
        <v>0</v>
      </c>
      <c r="V62" s="8">
        <f xml:space="preserve"> 0 + CAL!V62 + CAR!V62 + CENT!V62 + FLA!V62 + MIDA!V62 + MIDW!V62 + NE!V62 + NY!V62 + NW!V62 + SE!V62 + SW!V62 + TEN!V62 + TEX!V62</f>
        <v>0</v>
      </c>
      <c r="W62" s="8">
        <f xml:space="preserve"> 0 + CAL!W62 + CAR!W62 + CENT!W62 + FLA!W62 + MIDA!W62 + MIDW!W62 + NE!W62 + NY!W62 + NW!W62 + SE!W62 + SW!W62 + TEN!W62 + TEX!W62</f>
        <v>0</v>
      </c>
      <c r="X62" s="8">
        <f xml:space="preserve"> 0 + CAL!X62 + CAR!X62 + CENT!X62 + FLA!X62 + MIDA!X62 + MIDW!X62 + NE!X62 + NY!X62 + NW!X62 + SE!X62 + SW!X62 + TEN!X62 + TEX!X62</f>
        <v>0</v>
      </c>
      <c r="Y62" s="8">
        <f xml:space="preserve"> 0 + CAL!Y62 + CAR!Y62 + CENT!Y62 + FLA!Y62 + MIDA!Y62 + MIDW!Y62 + NE!Y62 + NY!Y62 + NW!Y62 + SE!Y62 + SW!Y62 + TEN!Y62 + TEX!Y62</f>
        <v>0</v>
      </c>
      <c r="Z62" s="8">
        <f xml:space="preserve"> 0 + CAL!Z62 + CAR!Z62 + CENT!Z62 + FLA!Z62 + MIDA!Z62 + MIDW!Z62 + NE!Z62 + NY!Z62 + NW!Z62 + SE!Z62 + SW!Z62 + TEN!Z62 + TEX!Z62</f>
        <v>0</v>
      </c>
      <c r="AA62" s="8">
        <f xml:space="preserve"> 0 + CAL!AA62 + CAR!AA62 + CENT!AA62 + FLA!AA62 + MIDA!AA62 + MIDW!AA62 + NE!AA62 + NY!AA62 + NW!AA62 + SE!AA62 + SW!AA62 + TEN!AA62 + TEX!AA62</f>
        <v>0</v>
      </c>
      <c r="AB62" s="8">
        <f xml:space="preserve"> 0 + CAL!AB62 + CAR!AB62 + CENT!AB62 + FLA!AB62 + MIDA!AB62 + MIDW!AB62 + NE!AB62 + NY!AB62 + NW!AB62 + SE!AB62 + SW!AB62 + TEN!AB62 + TEX!AB62</f>
        <v>0</v>
      </c>
      <c r="AC62" s="8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781342087.17740512</v>
      </c>
      <c r="D63" s="8">
        <f xml:space="preserve"> 0 + CAL!D63 + CAR!D63 + CENT!D63 + FLA!D63 + MIDA!D63 + MIDW!D63 + NE!D63 + NY!D63 + NW!D63 + SE!D63 + SW!D63 + TEN!D63 + TEX!D63</f>
        <v>759364182.33344674</v>
      </c>
      <c r="E63" s="8">
        <f xml:space="preserve"> 0 + CAL!E63 + CAR!E63 + CENT!E63 + FLA!E63 + MIDA!E63 + MIDW!E63 + NE!E63 + NY!E63 + NW!E63 + SE!E63 + SW!E63 + TEN!E63 + TEX!E63</f>
        <v>686080684.99950516</v>
      </c>
      <c r="F63" s="8">
        <f xml:space="preserve"> 0 + CAL!F63 + CAR!F63 + CENT!F63 + FLA!F63 + MIDA!F63 + MIDW!F63 + NE!F63 + NY!F63 + NW!F63 + SE!F63 + SW!F63 + TEN!F63 + TEX!F63</f>
        <v>501752361.96767318</v>
      </c>
      <c r="G63" s="8">
        <f xml:space="preserve"> 0 + CAL!G63 + CAR!G63 + CENT!G63 + FLA!G63 + MIDA!G63 + MIDW!G63 + NE!G63 + NY!G63 + NW!G63 + SE!G63 + SW!G63 + TEN!G63 + TEX!G63</f>
        <v>332394324.57494992</v>
      </c>
      <c r="H63" s="8">
        <f xml:space="preserve"> 0 + CAL!H63 + CAR!H63 + CENT!H63 + FLA!H63 + MIDA!H63 + MIDW!H63 + NE!H63 + NY!H63 + NW!H63 + SE!H63 + SW!H63 + TEN!H63 + TEX!H63</f>
        <v>167065189.9244234</v>
      </c>
      <c r="I63" s="8">
        <f xml:space="preserve"> 0 + CAL!I63 + CAR!I63 + CENT!I63 + FLA!I63 + MIDA!I63 + MIDW!I63 + NE!I63 + NY!I63 + NW!I63 + SE!I63 + SW!I63 + TEN!I63 + TEX!I63</f>
        <v>32776742.671261504</v>
      </c>
      <c r="J63" s="8">
        <f xml:space="preserve"> 0 + CAL!J63 + CAR!J63 + CENT!J63 + FLA!J63 + MIDA!J63 + MIDW!J63 + NE!J63 + NY!J63 + NW!J63 + SE!J63 + SW!J63 + TEN!J63 + TEX!J63</f>
        <v>227789.53545123999</v>
      </c>
      <c r="K63" s="8">
        <f xml:space="preserve"> 0 + CAL!K63 + CAR!K63 + CENT!K63 + FLA!K63 + MIDA!K63 + MIDW!K63 + NE!K63 + NY!K63 + NW!K63 + SE!K63 + SW!K63 + TEN!K63 + TEX!K63</f>
        <v>222093.34334590001</v>
      </c>
      <c r="L63" s="8">
        <f xml:space="preserve"> 0 + CAL!L63 + CAR!L63 + CENT!L63 + FLA!L63 + MIDA!L63 + MIDW!L63 + NE!L63 + NY!L63 + NW!L63 + SE!L63 + SW!L63 + TEN!L63 + TEX!L63</f>
        <v>216541.0309676</v>
      </c>
      <c r="M63" s="8">
        <f xml:space="preserve"> 0 + CAL!M63 + CAR!M63 + CENT!M63 + FLA!M63 + MIDA!M63 + MIDW!M63 + NE!M63 + NY!M63 + NW!M63 + SE!M63 + SW!M63 + TEN!M63 + TEX!M63</f>
        <v>211127.51190328001</v>
      </c>
      <c r="N63" s="8">
        <f xml:space="preserve"> 0 + CAL!N63 + CAR!N63 + CENT!N63 + FLA!N63 + MIDA!N63 + MIDW!N63 + NE!N63 + NY!N63 + NW!N63 + SE!N63 + SW!N63 + TEN!N63 + TEX!N63</f>
        <v>205849.33645445999</v>
      </c>
      <c r="O63" s="8">
        <f xml:space="preserve"> 0 + CAL!O63 + CAR!O63 + CENT!O63 + FLA!O63 + MIDA!O63 + MIDW!O63 + NE!O63 + NY!O63 + NW!O63 + SE!O63 + SW!O63 + TEN!O63 + TEX!O63</f>
        <v>2.3078689999999999E-2</v>
      </c>
      <c r="P63" s="8">
        <f xml:space="preserve"> 0 + CAL!P63 + CAR!P63 + CENT!P63 + FLA!P63 + MIDA!P63 + MIDW!P63 + NE!P63 + NY!P63 + NW!P63 + SE!P63 + SW!P63 + TEN!P63 + TEX!P63</f>
        <v>0</v>
      </c>
      <c r="Q63" s="8">
        <f xml:space="preserve"> 0 + CAL!Q63 + CAR!Q63 + CENT!Q63 + FLA!Q63 + MIDA!Q63 + MIDW!Q63 + NE!Q63 + NY!Q63 + NW!Q63 + SE!Q63 + SW!Q63 + TEN!Q63 + TEX!Q63</f>
        <v>0</v>
      </c>
      <c r="R63" s="8">
        <f xml:space="preserve"> 0 + CAL!R63 + CAR!R63 + CENT!R63 + FLA!R63 + MIDA!R63 + MIDW!R63 + NE!R63 + NY!R63 + NW!R63 + SE!R63 + SW!R63 + TEN!R63 + TEX!R63</f>
        <v>0</v>
      </c>
      <c r="S63" s="8">
        <f xml:space="preserve"> 0 + CAL!S63 + CAR!S63 + CENT!S63 + FLA!S63 + MIDA!S63 + MIDW!S63 + NE!S63 + NY!S63 + NW!S63 + SE!S63 + SW!S63 + TEN!S63 + TEX!S63</f>
        <v>0</v>
      </c>
      <c r="T63" s="8">
        <f xml:space="preserve"> 0 + CAL!T63 + CAR!T63 + CENT!T63 + FLA!T63 + MIDA!T63 + MIDW!T63 + NE!T63 + NY!T63 + NW!T63 + SE!T63 + SW!T63 + TEN!T63 + TEX!T63</f>
        <v>0</v>
      </c>
      <c r="U63" s="8">
        <f xml:space="preserve"> 0 + CAL!U63 + CAR!U63 + CENT!U63 + FLA!U63 + MIDA!U63 + MIDW!U63 + NE!U63 + NY!U63 + NW!U63 + SE!U63 + SW!U63 + TEN!U63 + TEX!U63</f>
        <v>0</v>
      </c>
      <c r="V63" s="8">
        <f xml:space="preserve"> 0 + CAL!V63 + CAR!V63 + CENT!V63 + FLA!V63 + MIDA!V63 + MIDW!V63 + NE!V63 + NY!V63 + NW!V63 + SE!V63 + SW!V63 + TEN!V63 + TEX!V63</f>
        <v>0</v>
      </c>
      <c r="W63" s="8">
        <f xml:space="preserve"> 0 + CAL!W63 + CAR!W63 + CENT!W63 + FLA!W63 + MIDA!W63 + MIDW!W63 + NE!W63 + NY!W63 + NW!W63 + SE!W63 + SW!W63 + TEN!W63 + TEX!W63</f>
        <v>0</v>
      </c>
      <c r="X63" s="8">
        <f xml:space="preserve"> 0 + CAL!X63 + CAR!X63 + CENT!X63 + FLA!X63 + MIDA!X63 + MIDW!X63 + NE!X63 + NY!X63 + NW!X63 + SE!X63 + SW!X63 + TEN!X63 + TEX!X63</f>
        <v>0</v>
      </c>
      <c r="Y63" s="8">
        <f xml:space="preserve"> 0 + CAL!Y63 + CAR!Y63 + CENT!Y63 + FLA!Y63 + MIDA!Y63 + MIDW!Y63 + NE!Y63 + NY!Y63 + NW!Y63 + SE!Y63 + SW!Y63 + TEN!Y63 + TEX!Y63</f>
        <v>0</v>
      </c>
      <c r="Z63" s="8">
        <f xml:space="preserve"> 0 + CAL!Z63 + CAR!Z63 + CENT!Z63 + FLA!Z63 + MIDA!Z63 + MIDW!Z63 + NE!Z63 + NY!Z63 + NW!Z63 + SE!Z63 + SW!Z63 + TEN!Z63 + TEX!Z63</f>
        <v>0</v>
      </c>
      <c r="AA63" s="8">
        <f xml:space="preserve"> 0 + CAL!AA63 + CAR!AA63 + CENT!AA63 + FLA!AA63 + MIDA!AA63 + MIDW!AA63 + NE!AA63 + NY!AA63 + NW!AA63 + SE!AA63 + SW!AA63 + TEN!AA63 + TEX!AA63</f>
        <v>0</v>
      </c>
      <c r="AB63" s="8">
        <f xml:space="preserve"> 0 + CAL!AB63 + CAR!AB63 + CENT!AB63 + FLA!AB63 + MIDA!AB63 + MIDW!AB63 + NE!AB63 + NY!AB63 + NW!AB63 + SE!AB63 + SW!AB63 + TEN!AB63 + TEX!AB63</f>
        <v>0</v>
      </c>
      <c r="AC63" s="8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65225.887347949989</v>
      </c>
      <c r="C64" s="8">
        <f xml:space="preserve"> 0 + CAL!C64 + CAR!C64 + CENT!C64 + FLA!C64 + MIDA!C64 + MIDW!C64 + NE!C64 + NY!C64 + NW!C64 + SE!C64 + SW!C64 + TEN!C64 + TEX!C64</f>
        <v>63577.986241890008</v>
      </c>
      <c r="D64" s="8">
        <f xml:space="preserve"> 0 + CAL!D64 + CAR!D64 + CENT!D64 + FLA!D64 + MIDA!D64 + MIDW!D64 + NE!D64 + NY!D64 + NW!D64 + SE!D64 + SW!D64 + TEN!D64 + TEX!D64</f>
        <v>61931.632056410002</v>
      </c>
      <c r="E64" s="8">
        <f xml:space="preserve"> 0 + CAL!E64 + CAR!E64 + CENT!E64 + FLA!E64 + MIDA!E64 + MIDW!E64 + NE!E64 + NY!E64 + NW!E64 + SE!E64 + SW!E64 + TEN!E64 + TEX!E64</f>
        <v>59119.251391209997</v>
      </c>
      <c r="F64" s="8">
        <f xml:space="preserve"> 0 + CAL!F64 + CAR!F64 + CENT!F64 + FLA!F64 + MIDA!F64 + MIDW!F64 + NE!F64 + NY!F64 + NW!F64 + SE!F64 + SW!F64 + TEN!F64 + TEX!F64</f>
        <v>53749.405704909994</v>
      </c>
      <c r="G64" s="8">
        <f xml:space="preserve"> 0 + CAL!G64 + CAR!G64 + CENT!G64 + FLA!G64 + MIDA!G64 + MIDW!G64 + NE!G64 + NY!G64 + NW!G64 + SE!G64 + SW!G64 + TEN!G64 + TEX!G64</f>
        <v>48755.035326429999</v>
      </c>
      <c r="H64" s="8">
        <f xml:space="preserve"> 0 + CAL!H64 + CAR!H64 + CENT!H64 + FLA!H64 + MIDA!H64 + MIDW!H64 + NE!H64 + NY!H64 + NW!H64 + SE!H64 + SW!H64 + TEN!H64 + TEX!H64</f>
        <v>43880.750685539999</v>
      </c>
      <c r="I64" s="8">
        <f xml:space="preserve"> 0 + CAL!I64 + CAR!I64 + CENT!I64 + FLA!I64 + MIDA!I64 + MIDW!I64 + NE!I64 + NY!I64 + NW!I64 + SE!I64 + SW!I64 + TEN!I64 + TEX!I64</f>
        <v>39754.728806879997</v>
      </c>
      <c r="J64" s="8">
        <f xml:space="preserve"> 0 + CAL!J64 + CAR!J64 + CENT!J64 + FLA!J64 + MIDA!J64 + MIDW!J64 + NE!J64 + NY!J64 + NW!J64 + SE!J64 + SW!J64 + TEN!J64 + TEX!J64</f>
        <v>38022.197021929998</v>
      </c>
      <c r="K64" s="8">
        <f xml:space="preserve"> 0 + CAL!K64 + CAR!K64 + CENT!K64 + FLA!K64 + MIDA!K64 + MIDW!K64 + NE!K64 + NY!K64 + NW!K64 + SE!K64 + SW!K64 + TEN!K64 + TEX!K64</f>
        <v>37071.642062530002</v>
      </c>
      <c r="L64" s="8">
        <f xml:space="preserve"> 0 + CAL!L64 + CAR!L64 + CENT!L64 + FLA!L64 + MIDA!L64 + MIDW!L64 + NE!L64 + NY!L64 + NW!L64 + SE!L64 + SW!L64 + TEN!L64 + TEX!L64</f>
        <v>36144.851026370001</v>
      </c>
      <c r="M64" s="8">
        <f xml:space="preserve"> 0 + CAL!M64 + CAR!M64 + CENT!M64 + FLA!M64 + MIDA!M64 + MIDW!M64 + NE!M64 + NY!M64 + NW!M64 + SE!M64 + SW!M64 + TEN!M64 + TEX!M64</f>
        <v>35241.229755569999</v>
      </c>
      <c r="N64" s="8">
        <f xml:space="preserve"> 0 + CAL!N64 + CAR!N64 + CENT!N64 + FLA!N64 + MIDA!N64 + MIDW!N64 + NE!N64 + NY!N64 + NW!N64 + SE!N64 + SW!N64 + TEN!N64 + TEX!N64</f>
        <v>34360.199207409998</v>
      </c>
      <c r="O64" s="8">
        <f xml:space="preserve"> 0 + CAL!O64 + CAR!O64 + CENT!O64 + FLA!O64 + MIDA!O64 + MIDW!O64 + NE!O64 + NY!O64 + NW!O64 + SE!O64 + SW!O64 + TEN!O64 + TEX!O64</f>
        <v>33496.521871090001</v>
      </c>
      <c r="P64" s="8">
        <f xml:space="preserve"> 0 + CAL!P64 + CAR!P64 + CENT!P64 + FLA!P64 + MIDA!P64 + MIDW!P64 + NE!P64 + NY!P64 + NW!P64 + SE!P64 + SW!P64 + TEN!P64 + TEX!P64</f>
        <v>32659.108823800001</v>
      </c>
      <c r="Q64" s="8">
        <f xml:space="preserve"> 0 + CAL!Q64 + CAR!Q64 + CENT!Q64 + FLA!Q64 + MIDA!Q64 + MIDW!Q64 + NE!Q64 + NY!Q64 + NW!Q64 + SE!Q64 + SW!Q64 + TEN!Q64 + TEX!Q64</f>
        <v>31842.631103209998</v>
      </c>
      <c r="R64" s="8">
        <f xml:space="preserve"> 0 + CAL!R64 + CAR!R64 + CENT!R64 + FLA!R64 + MIDA!R64 + MIDW!R64 + NE!R64 + NY!R64 + NW!R64 + SE!R64 + SW!R64 + TEN!R64 + TEX!R64</f>
        <v>31046.565325609994</v>
      </c>
      <c r="S64" s="8">
        <f xml:space="preserve"> 0 + CAL!S64 + CAR!S64 + CENT!S64 + FLA!S64 + MIDA!S64 + MIDW!S64 + NE!S64 + NY!S64 + NW!S64 + SE!S64 + SW!S64 + TEN!S64 + TEX!S64</f>
        <v>30270.401192479996</v>
      </c>
      <c r="T64" s="8">
        <f xml:space="preserve"> 0 + CAL!T64 + CAR!T64 + CENT!T64 + FLA!T64 + MIDA!T64 + MIDW!T64 + NE!T64 + NY!T64 + NW!T64 + SE!T64 + SW!T64 + TEN!T64 + TEX!T64</f>
        <v>29513.64116268</v>
      </c>
      <c r="U64" s="8">
        <f xml:space="preserve"> 0 + CAL!U64 + CAR!U64 + CENT!U64 + FLA!U64 + MIDA!U64 + MIDW!U64 + NE!U64 + NY!U64 + NW!U64 + SE!U64 + SW!U64 + TEN!U64 + TEX!U64</f>
        <v>28775.800133589997</v>
      </c>
      <c r="V64" s="8">
        <f xml:space="preserve"> 0 + CAL!V64 + CAR!V64 + CENT!V64 + FLA!V64 + MIDA!V64 + MIDW!V64 + NE!V64 + NY!V64 + NW!V64 + SE!V64 + SW!V64 + TEN!V64 + TEX!V64</f>
        <v>28056.48444529</v>
      </c>
      <c r="W64" s="8">
        <f xml:space="preserve"> 0 + CAL!W64 + CAR!W64 + CENT!W64 + FLA!W64 + MIDA!W64 + MIDW!W64 + NE!W64 + NY!W64 + NW!W64 + SE!W64 + SW!W64 + TEN!W64 + TEX!W64</f>
        <v>27355.07233417</v>
      </c>
      <c r="X64" s="8">
        <f xml:space="preserve"> 0 + CAL!X64 + CAR!X64 + CENT!X64 + FLA!X64 + MIDA!X64 + MIDW!X64 + NE!X64 + NY!X64 + NW!X64 + SE!X64 + SW!X64 + TEN!X64 + TEX!X64</f>
        <v>26671.195525799998</v>
      </c>
      <c r="Y64" s="8">
        <f xml:space="preserve"> 0 + CAL!Y64 + CAR!Y64 + CENT!Y64 + FLA!Y64 + MIDA!Y64 + MIDW!Y64 + NE!Y64 + NY!Y64 + NW!Y64 + SE!Y64 + SW!Y64 + TEN!Y64 + TEX!Y64</f>
        <v>26004.415637659993</v>
      </c>
      <c r="Z64" s="8">
        <f xml:space="preserve"> 0 + CAL!Z64 + CAR!Z64 + CENT!Z64 + FLA!Z64 + MIDA!Z64 + MIDW!Z64 + NE!Z64 + NY!Z64 + NW!Z64 + SE!Z64 + SW!Z64 + TEN!Z64 + TEX!Z64</f>
        <v>25354.305246729997</v>
      </c>
      <c r="AA64" s="8">
        <f xml:space="preserve"> 0 + CAL!AA64 + CAR!AA64 + CENT!AA64 + FLA!AA64 + MIDA!AA64 + MIDW!AA64 + NE!AA64 + NY!AA64 + NW!AA64 + SE!AA64 + SW!AA64 + TEN!AA64 + TEX!AA64</f>
        <v>24720.447615559999</v>
      </c>
      <c r="AB64" s="8">
        <f xml:space="preserve"> 0 + CAL!AB64 + CAR!AB64 + CENT!AB64 + FLA!AB64 + MIDA!AB64 + MIDW!AB64 + NE!AB64 + NY!AB64 + NW!AB64 + SE!AB64 + SW!AB64 + TEN!AB64 + TEX!AB64</f>
        <v>24102.43642518</v>
      </c>
      <c r="AC64" s="8">
        <f xml:space="preserve"> 0 + CAL!AC64 + CAR!AC64 + CENT!AC64 + FLA!AC64 + MIDA!AC64 + MIDW!AC64 + NE!AC64 + NY!AC64 + NW!AC64 + SE!AC64 + SW!AC64 + TEN!AC64 + TEX!AC64</f>
        <v>23499.87551455</v>
      </c>
    </row>
    <row r="65" spans="1:29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12814.010229720003</v>
      </c>
      <c r="D65" s="8">
        <f xml:space="preserve"> 0 + CAL!D65 + CAR!D65 + CENT!D65 + FLA!D65 + MIDA!D65 + MIDW!D65 + NE!D65 + NY!D65 + NW!D65 + SE!D65 + SW!D65 + TEN!D65 + TEX!D65</f>
        <v>24907.145180539996</v>
      </c>
      <c r="E65" s="8">
        <f xml:space="preserve"> 0 + CAL!E65 + CAR!E65 + CENT!E65 + FLA!E65 + MIDA!E65 + MIDW!E65 + NE!E65 + NY!E65 + NW!E65 + SE!E65 + SW!E65 + TEN!E65 + TEX!E65</f>
        <v>33755.16970197</v>
      </c>
      <c r="F65" s="8">
        <f xml:space="preserve"> 0 + CAL!F65 + CAR!F65 + CENT!F65 + FLA!F65 + MIDA!F65 + MIDW!F65 + NE!F65 + NY!F65 + NW!F65 + SE!F65 + SW!F65 + TEN!F65 + TEX!F65</f>
        <v>32914.95494507</v>
      </c>
      <c r="G65" s="8">
        <f xml:space="preserve"> 0 + CAL!G65 + CAR!G65 + CENT!G65 + FLA!G65 + MIDA!G65 + MIDW!G65 + NE!G65 + NY!G65 + NW!G65 + SE!G65 + SW!G65 + TEN!G65 + TEX!G65</f>
        <v>27256.33461514</v>
      </c>
      <c r="H65" s="8">
        <f xml:space="preserve"> 0 + CAL!H65 + CAR!H65 + CENT!H65 + FLA!H65 + MIDA!H65 + MIDW!H65 + NE!H65 + NY!H65 + NW!H65 + SE!H65 + SW!H65 + TEN!H65 + TEX!H65</f>
        <v>16439.214688560001</v>
      </c>
      <c r="I65" s="8">
        <f xml:space="preserve"> 0 + CAL!I65 + CAR!I65 + CENT!I65 + FLA!I65 + MIDA!I65 + MIDW!I65 + NE!I65 + NY!I65 + NW!I65 + SE!I65 + SW!I65 + TEN!I65 + TEX!I65</f>
        <v>3762.77005865</v>
      </c>
      <c r="J65" s="8">
        <f xml:space="preserve"> 0 + CAL!J65 + CAR!J65 + CENT!J65 + FLA!J65 + MIDA!J65 + MIDW!J65 + NE!J65 + NY!J65 + NW!J65 + SE!J65 + SW!J65 + TEN!J65 + TEX!J65</f>
        <v>29.885987050000001</v>
      </c>
      <c r="K65" s="8">
        <f xml:space="preserve"> 0 + CAL!K65 + CAR!K65 + CENT!K65 + FLA!K65 + MIDA!K65 + MIDW!K65 + NE!K65 + NY!K65 + NW!K65 + SE!K65 + SW!K65 + TEN!K65 + TEX!K65</f>
        <v>32.780977479999997</v>
      </c>
      <c r="L65" s="8">
        <f xml:space="preserve"> 0 + CAL!L65 + CAR!L65 + CENT!L65 + FLA!L65 + MIDA!L65 + MIDW!L65 + NE!L65 + NY!L65 + NW!L65 + SE!L65 + SW!L65 + TEN!L65 + TEX!L65</f>
        <v>35.51272908</v>
      </c>
      <c r="M65" s="8">
        <f xml:space="preserve"> 0 + CAL!M65 + CAR!M65 + CENT!M65 + FLA!M65 + MIDA!M65 + MIDW!M65 + NE!M65 + NY!M65 + NW!M65 + SE!M65 + SW!M65 + TEN!M65 + TEX!M65</f>
        <v>38.08740315</v>
      </c>
      <c r="N65" s="8">
        <f xml:space="preserve"> 0 + CAL!N65 + CAR!N65 + CENT!N65 + FLA!N65 + MIDA!N65 + MIDW!N65 + NE!N65 + NY!N65 + NW!N65 + SE!N65 + SW!N65 + TEN!N65 + TEX!N65</f>
        <v>40.511149410000002</v>
      </c>
      <c r="O65" s="8">
        <f xml:space="preserve"> 0 + CAL!O65 + CAR!O65 + CENT!O65 + FLA!O65 + MIDA!O65 + MIDW!O65 + NE!O65 + NY!O65 + NW!O65 + SE!O65 + SW!O65 + TEN!O65 + TEX!O65</f>
        <v>4.9200000000000003E-6</v>
      </c>
      <c r="P65" s="8">
        <f xml:space="preserve"> 0 + CAL!P65 + CAR!P65 + CENT!P65 + FLA!P65 + MIDA!P65 + MIDW!P65 + NE!P65 + NY!P65 + NW!P65 + SE!P65 + SW!P65 + TEN!P65 + TEX!P65</f>
        <v>0</v>
      </c>
      <c r="Q65" s="8">
        <f xml:space="preserve"> 0 + CAL!Q65 + CAR!Q65 + CENT!Q65 + FLA!Q65 + MIDA!Q65 + MIDW!Q65 + NE!Q65 + NY!Q65 + NW!Q65 + SE!Q65 + SW!Q65 + TEN!Q65 + TEX!Q65</f>
        <v>0</v>
      </c>
      <c r="R65" s="8">
        <f xml:space="preserve"> 0 + CAL!R65 + CAR!R65 + CENT!R65 + FLA!R65 + MIDA!R65 + MIDW!R65 + NE!R65 + NY!R65 + NW!R65 + SE!R65 + SW!R65 + TEN!R65 + TEX!R65</f>
        <v>0</v>
      </c>
      <c r="S65" s="8">
        <f xml:space="preserve"> 0 + CAL!S65 + CAR!S65 + CENT!S65 + FLA!S65 + MIDA!S65 + MIDW!S65 + NE!S65 + NY!S65 + NW!S65 + SE!S65 + SW!S65 + TEN!S65 + TEX!S65</f>
        <v>0</v>
      </c>
      <c r="T65" s="8">
        <f xml:space="preserve"> 0 + CAL!T65 + CAR!T65 + CENT!T65 + FLA!T65 + MIDA!T65 + MIDW!T65 + NE!T65 + NY!T65 + NW!T65 + SE!T65 + SW!T65 + TEN!T65 + TEX!T65</f>
        <v>0</v>
      </c>
      <c r="U65" s="8">
        <f xml:space="preserve"> 0 + CAL!U65 + CAR!U65 + CENT!U65 + FLA!U65 + MIDA!U65 + MIDW!U65 + NE!U65 + NY!U65 + NW!U65 + SE!U65 + SW!U65 + TEN!U65 + TEX!U65</f>
        <v>0</v>
      </c>
      <c r="V65" s="8">
        <f xml:space="preserve"> 0 + CAL!V65 + CAR!V65 + CENT!V65 + FLA!V65 + MIDA!V65 + MIDW!V65 + NE!V65 + NY!V65 + NW!V65 + SE!V65 + SW!V65 + TEN!V65 + TEX!V65</f>
        <v>0</v>
      </c>
      <c r="W65" s="8">
        <f xml:space="preserve"> 0 + CAL!W65 + CAR!W65 + CENT!W65 + FLA!W65 + MIDA!W65 + MIDW!W65 + NE!W65 + NY!W65 + NW!W65 + SE!W65 + SW!W65 + TEN!W65 + TEX!W65</f>
        <v>0</v>
      </c>
      <c r="X65" s="8">
        <f xml:space="preserve"> 0 + CAL!X65 + CAR!X65 + CENT!X65 + FLA!X65 + MIDA!X65 + MIDW!X65 + NE!X65 + NY!X65 + NW!X65 + SE!X65 + SW!X65 + TEN!X65 + TEX!X65</f>
        <v>0</v>
      </c>
      <c r="Y65" s="8">
        <f xml:space="preserve"> 0 + CAL!Y65 + CAR!Y65 + CENT!Y65 + FLA!Y65 + MIDA!Y65 + MIDW!Y65 + NE!Y65 + NY!Y65 + NW!Y65 + SE!Y65 + SW!Y65 + TEN!Y65 + TEX!Y65</f>
        <v>0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640.70051148000005</v>
      </c>
      <c r="D66" s="8">
        <f xml:space="preserve"> 0 + CAL!D66 + CAR!D66 + CENT!D66 + FLA!D66 + MIDA!D66 + MIDW!D66 + NE!D66 + NY!D66 + NW!D66 + SE!D66 + SW!D66 + TEN!D66 + TEX!D66</f>
        <v>622.67862952000007</v>
      </c>
      <c r="E66" s="8">
        <f xml:space="preserve"> 0 + CAL!E66 + CAR!E66 + CENT!E66 + FLA!E66 + MIDA!E66 + MIDW!E66 + NE!E66 + NY!E66 + NW!E66 + SE!E66 + SW!E66 + TEN!E66 + TEX!E66</f>
        <v>562.58616169999993</v>
      </c>
      <c r="F66" s="8">
        <f xml:space="preserve"> 0 + CAL!F66 + CAR!F66 + CENT!F66 + FLA!F66 + MIDA!F66 + MIDW!F66 + NE!F66 + NY!F66 + NW!F66 + SE!F66 + SW!F66 + TEN!F66 + TEX!F66</f>
        <v>411.43693682000003</v>
      </c>
      <c r="G66" s="8">
        <f xml:space="preserve"> 0 + CAL!G66 + CAR!G66 + CENT!G66 + FLA!G66 + MIDA!G66 + MIDW!G66 + NE!G66 + NY!G66 + NW!G66 + SE!G66 + SW!G66 + TEN!G66 + TEX!G66</f>
        <v>272.56334615999998</v>
      </c>
      <c r="H66" s="8">
        <f xml:space="preserve"> 0 + CAL!H66 + CAR!H66 + CENT!H66 + FLA!H66 + MIDA!H66 + MIDW!H66 + NE!H66 + NY!H66 + NW!H66 + SE!H66 + SW!H66 + TEN!H66 + TEX!H66</f>
        <v>136.99345572999999</v>
      </c>
      <c r="I66" s="8">
        <f xml:space="preserve"> 0 + CAL!I66 + CAR!I66 + CENT!I66 + FLA!I66 + MIDA!I66 + MIDW!I66 + NE!I66 + NY!I66 + NW!I66 + SE!I66 + SW!I66 + TEN!I66 + TEX!I66</f>
        <v>26.876928979999999</v>
      </c>
      <c r="J66" s="8">
        <f xml:space="preserve"> 0 + CAL!J66 + CAR!J66 + CENT!J66 + FLA!J66 + MIDA!J66 + MIDW!J66 + NE!J66 + NY!J66 + NW!J66 + SE!J66 + SW!J66 + TEN!J66 + TEX!J66</f>
        <v>0.18678743</v>
      </c>
      <c r="K66" s="8">
        <f xml:space="preserve"> 0 + CAL!K66 + CAR!K66 + CENT!K66 + FLA!K66 + MIDA!K66 + MIDW!K66 + NE!K66 + NY!K66 + NW!K66 + SE!K66 + SW!K66 + TEN!K66 + TEX!K66</f>
        <v>0.18211653999999999</v>
      </c>
      <c r="L66" s="8">
        <f xml:space="preserve"> 0 + CAL!L66 + CAR!L66 + CENT!L66 + FLA!L66 + MIDA!L66 + MIDW!L66 + NE!L66 + NY!L66 + NW!L66 + SE!L66 + SW!L66 + TEN!L66 + TEX!L66</f>
        <v>0.17756364999999999</v>
      </c>
      <c r="M66" s="8">
        <f xml:space="preserve"> 0 + CAL!M66 + CAR!M66 + CENT!M66 + FLA!M66 + MIDA!M66 + MIDW!M66 + NE!M66 + NY!M66 + NW!M66 + SE!M66 + SW!M66 + TEN!M66 + TEX!M66</f>
        <v>0.17312456000000001</v>
      </c>
      <c r="N66" s="8">
        <f xml:space="preserve"> 0 + CAL!N66 + CAR!N66 + CENT!N66 + FLA!N66 + MIDA!N66 + MIDW!N66 + NE!N66 + NY!N66 + NW!N66 + SE!N66 + SW!N66 + TEN!N66 + TEX!N66</f>
        <v>0.16879646000000001</v>
      </c>
      <c r="O66" s="8">
        <f xml:space="preserve"> 0 + CAL!O66 + CAR!O66 + CENT!O66 + FLA!O66 + MIDA!O66 + MIDW!O66 + NE!O66 + NY!O66 + NW!O66 + SE!O66 + SW!O66 + TEN!O66 + TEX!O66</f>
        <v>2E-8</v>
      </c>
      <c r="P66" s="8">
        <f xml:space="preserve"> 0 + CAL!P66 + CAR!P66 + CENT!P66 + FLA!P66 + MIDA!P66 + MIDW!P66 + NE!P66 + NY!P66 + NW!P66 + SE!P66 + SW!P66 + TEN!P66 + TEX!P66</f>
        <v>0</v>
      </c>
      <c r="Q66" s="8">
        <f xml:space="preserve"> 0 + CAL!Q66 + CAR!Q66 + CENT!Q66 + FLA!Q66 + MIDA!Q66 + MIDW!Q66 + NE!Q66 + NY!Q66 + NW!Q66 + SE!Q66 + SW!Q66 + TEN!Q66 + TEX!Q66</f>
        <v>0</v>
      </c>
      <c r="R66" s="8">
        <f xml:space="preserve"> 0 + CAL!R66 + CAR!R66 + CENT!R66 + FLA!R66 + MIDA!R66 + MIDW!R66 + NE!R66 + NY!R66 + NW!R66 + SE!R66 + SW!R66 + TEN!R66 + TEX!R66</f>
        <v>0</v>
      </c>
      <c r="S66" s="8">
        <f xml:space="preserve"> 0 + CAL!S66 + CAR!S66 + CENT!S66 + FLA!S66 + MIDA!S66 + MIDW!S66 + NE!S66 + NY!S66 + NW!S66 + SE!S66 + SW!S66 + TEN!S66 + TEX!S66</f>
        <v>0</v>
      </c>
      <c r="T66" s="8">
        <f xml:space="preserve"> 0 + CAL!T66 + CAR!T66 + CENT!T66 + FLA!T66 + MIDA!T66 + MIDW!T66 + NE!T66 + NY!T66 + NW!T66 + SE!T66 + SW!T66 + TEN!T66 + TEX!T66</f>
        <v>0</v>
      </c>
      <c r="U66" s="8">
        <f xml:space="preserve"> 0 + CAL!U66 + CAR!U66 + CENT!U66 + FLA!U66 + MIDA!U66 + MIDW!U66 + NE!U66 + NY!U66 + NW!U66 + SE!U66 + SW!U66 + TEN!U66 + TEX!U66</f>
        <v>0</v>
      </c>
      <c r="V66" s="8">
        <f xml:space="preserve"> 0 + CAL!V66 + CAR!V66 + CENT!V66 + FLA!V66 + MIDA!V66 + MIDW!V66 + NE!V66 + NY!V66 + NW!V66 + SE!V66 + SW!V66 + TEN!V66 + TEX!V66</f>
        <v>0</v>
      </c>
      <c r="W66" s="8">
        <f xml:space="preserve"> 0 + CAL!W66 + CAR!W66 + CENT!W66 + FLA!W66 + MIDA!W66 + MIDW!W66 + NE!W66 + NY!W66 + NW!W66 + SE!W66 + SW!W66 + TEN!W66 + TEX!W66</f>
        <v>0</v>
      </c>
      <c r="X66" s="8">
        <f xml:space="preserve"> 0 + CAL!X66 + CAR!X66 + CENT!X66 + FLA!X66 + MIDA!X66 + MIDW!X66 + NE!X66 + NY!X66 + NW!X66 + SE!X66 + SW!X66 + TEN!X66 + TEX!X66</f>
        <v>0</v>
      </c>
      <c r="Y66" s="8">
        <f xml:space="preserve"> 0 + CAL!Y66 + CAR!Y66 + CENT!Y66 + FLA!Y66 + MIDA!Y66 + MIDW!Y66 + NE!Y66 + NY!Y66 + NW!Y66 + SE!Y66 + SW!Y66 + TEN!Y66 + TEX!Y66</f>
        <v>0</v>
      </c>
      <c r="Z66" s="8">
        <f xml:space="preserve"> 0 + CAL!Z66 + CAR!Z66 + CENT!Z66 + FLA!Z66 + MIDA!Z66 + MIDW!Z66 + NE!Z66 + NY!Z66 + NW!Z66 + SE!Z66 + SW!Z66 + TEN!Z66 + TEX!Z66</f>
        <v>0</v>
      </c>
      <c r="AA66" s="8">
        <f xml:space="preserve"> 0 + CAL!AA66 + CAR!AA66 + CENT!AA66 + FLA!AA66 + MIDA!AA66 + MIDW!AA66 + NE!AA66 + NY!AA66 + NW!AA66 + SE!AA66 + SW!AA66 + TEN!AA66 + TEX!AA66</f>
        <v>0</v>
      </c>
      <c r="AB66" s="8">
        <f xml:space="preserve"> 0 + CAL!AB66 + CAR!AB66 + CENT!AB66 + FLA!AB66 + MIDA!AB66 + MIDW!AB66 + NE!AB66 + NY!AB66 + NW!AB66 + SE!AB66 + SW!AB66 + TEN!AB66 + TEX!AB66</f>
        <v>0</v>
      </c>
      <c r="AC66" s="8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46550.00044299</v>
      </c>
      <c r="C67" s="8">
        <f xml:space="preserve"> 0 + CAL!C67 + CAR!C67 + CENT!C67 + FLA!C67 + MIDA!C67 + MIDW!C67 + NE!C67 + NY!C67 + NW!C67 + SE!C67 + SW!C67 + TEN!C67 + TEX!C67</f>
        <v>45388.342452409997</v>
      </c>
      <c r="D67" s="8">
        <f xml:space="preserve"> 0 + CAL!D67 + CAR!D67 + CENT!D67 + FLA!D67 + MIDA!D67 + MIDW!D67 + NE!D67 + NY!D67 + NW!D67 + SE!D67 + SW!D67 + TEN!D67 + TEX!D67</f>
        <v>44253.633891710015</v>
      </c>
      <c r="E67" s="8">
        <f xml:space="preserve"> 0 + CAL!E67 + CAR!E67 + CENT!E67 + FLA!E67 + MIDA!E67 + MIDW!E67 + NE!E67 + NY!E67 + NW!E67 + SE!E67 + SW!E67 + TEN!E67 + TEX!E67</f>
        <v>43147.293044410006</v>
      </c>
      <c r="F67" s="8">
        <f xml:space="preserve"> 0 + CAL!F67 + CAR!F67 + CENT!F67 + FLA!F67 + MIDA!F67 + MIDW!F67 + NE!F67 + NY!F67 + NW!F67 + SE!F67 + SW!F67 + TEN!F67 + TEX!F67</f>
        <v>42068.610718299999</v>
      </c>
      <c r="G67" s="8">
        <f xml:space="preserve"> 0 + CAL!G67 + CAR!G67 + CENT!G67 + FLA!G67 + MIDA!G67 + MIDW!G67 + NE!G67 + NY!G67 + NW!G67 + SE!G67 + SW!G67 + TEN!G67 + TEX!G67</f>
        <v>41016.895450340002</v>
      </c>
      <c r="H67" s="8">
        <f xml:space="preserve"> 0 + CAL!H67 + CAR!H67 + CENT!H67 + FLA!H67 + MIDA!H67 + MIDW!H67 + NE!H67 + NY!H67 + NW!H67 + SE!H67 + SW!H67 + TEN!H67 + TEX!H67</f>
        <v>39991.47306407</v>
      </c>
      <c r="I67" s="8">
        <f xml:space="preserve"> 0 + CAL!I67 + CAR!I67 + CENT!I67 + FLA!I67 + MIDA!I67 + MIDW!I67 + NE!I67 + NY!I67 + NW!I67 + SE!I67 + SW!I67 + TEN!I67 + TEX!I67</f>
        <v>38991.686237479997</v>
      </c>
      <c r="J67" s="8">
        <f xml:space="preserve"> 0 + CAL!J67 + CAR!J67 + CENT!J67 + FLA!J67 + MIDA!J67 + MIDW!J67 + NE!J67 + NY!J67 + NW!J67 + SE!J67 + SW!J67 + TEN!J67 + TEX!J67</f>
        <v>38016.89408155001</v>
      </c>
      <c r="K67" s="8">
        <f xml:space="preserve"> 0 + CAL!K67 + CAR!K67 + CENT!K67 + FLA!K67 + MIDA!K67 + MIDW!K67 + NE!K67 + NY!K67 + NW!K67 + SE!K67 + SW!K67 + TEN!K67 + TEX!K67</f>
        <v>37066.471729489997</v>
      </c>
      <c r="L67" s="8">
        <f xml:space="preserve"> 0 + CAL!L67 + CAR!L67 + CENT!L67 + FLA!L67 + MIDA!L67 + MIDW!L67 + NE!L67 + NY!L67 + NW!L67 + SE!L67 + SW!L67 + TEN!L67 + TEX!L67</f>
        <v>36139.809951169998</v>
      </c>
      <c r="M67" s="8">
        <f xml:space="preserve"> 0 + CAL!M67 + CAR!M67 + CENT!M67 + FLA!M67 + MIDA!M67 + MIDW!M67 + NE!M67 + NY!M67 + NW!M67 + SE!M67 + SW!M67 + TEN!M67 + TEX!M67</f>
        <v>35236.314707099998</v>
      </c>
      <c r="N67" s="8">
        <f xml:space="preserve"> 0 + CAL!N67 + CAR!N67 + CENT!N67 + FLA!N67 + MIDA!N67 + MIDW!N67 + NE!N67 + NY!N67 + NW!N67 + SE!N67 + SW!N67 + TEN!N67 + TEX!N67</f>
        <v>34355.407034850003</v>
      </c>
      <c r="O67" s="8">
        <f xml:space="preserve"> 0 + CAL!O67 + CAR!O67 + CENT!O67 + FLA!O67 + MIDA!O67 + MIDW!O67 + NE!O67 + NY!O67 + NW!O67 + SE!O67 + SW!O67 + TEN!O67 + TEX!O67</f>
        <v>33496.521870550001</v>
      </c>
      <c r="P67" s="8">
        <f xml:space="preserve"> 0 + CAL!P67 + CAR!P67 + CENT!P67 + FLA!P67 + MIDA!P67 + MIDW!P67 + NE!P67 + NY!P67 + NW!P67 + SE!P67 + SW!P67 + TEN!P67 + TEX!P67</f>
        <v>32659.108823800001</v>
      </c>
      <c r="Q67" s="8">
        <f xml:space="preserve"> 0 + CAL!Q67 + CAR!Q67 + CENT!Q67 + FLA!Q67 + MIDA!Q67 + MIDW!Q67 + NE!Q67 + NY!Q67 + NW!Q67 + SE!Q67 + SW!Q67 + TEN!Q67 + TEX!Q67</f>
        <v>31842.631103209998</v>
      </c>
      <c r="R67" s="8">
        <f xml:space="preserve"> 0 + CAL!R67 + CAR!R67 + CENT!R67 + FLA!R67 + MIDA!R67 + MIDW!R67 + NE!R67 + NY!R67 + NW!R67 + SE!R67 + SW!R67 + TEN!R67 + TEX!R67</f>
        <v>31046.565325609994</v>
      </c>
      <c r="S67" s="8">
        <f xml:space="preserve"> 0 + CAL!S67 + CAR!S67 + CENT!S67 + FLA!S67 + MIDA!S67 + MIDW!S67 + NE!S67 + NY!S67 + NW!S67 + SE!S67 + SW!S67 + TEN!S67 + TEX!S67</f>
        <v>30270.401192479996</v>
      </c>
      <c r="T67" s="8">
        <f xml:space="preserve"> 0 + CAL!T67 + CAR!T67 + CENT!T67 + FLA!T67 + MIDA!T67 + MIDW!T67 + NE!T67 + NY!T67 + NW!T67 + SE!T67 + SW!T67 + TEN!T67 + TEX!T67</f>
        <v>29513.64116268</v>
      </c>
      <c r="U67" s="8">
        <f xml:space="preserve"> 0 + CAL!U67 + CAR!U67 + CENT!U67 + FLA!U67 + MIDA!U67 + MIDW!U67 + NE!U67 + NY!U67 + NW!U67 + SE!U67 + SW!U67 + TEN!U67 + TEX!U67</f>
        <v>28775.800133589997</v>
      </c>
      <c r="V67" s="8">
        <f xml:space="preserve"> 0 + CAL!V67 + CAR!V67 + CENT!V67 + FLA!V67 + MIDA!V67 + MIDW!V67 + NE!V67 + NY!V67 + NW!V67 + SE!V67 + SW!V67 + TEN!V67 + TEX!V67</f>
        <v>28056.48444529</v>
      </c>
      <c r="W67" s="8">
        <f xml:space="preserve"> 0 + CAL!W67 + CAR!W67 + CENT!W67 + FLA!W67 + MIDA!W67 + MIDW!W67 + NE!W67 + NY!W67 + NW!W67 + SE!W67 + SW!W67 + TEN!W67 + TEX!W67</f>
        <v>27355.07233417</v>
      </c>
      <c r="X67" s="8">
        <f xml:space="preserve"> 0 + CAL!X67 + CAR!X67 + CENT!X67 + FLA!X67 + MIDA!X67 + MIDW!X67 + NE!X67 + NY!X67 + NW!X67 + SE!X67 + SW!X67 + TEN!X67 + TEX!X67</f>
        <v>26671.195525799998</v>
      </c>
      <c r="Y67" s="8">
        <f xml:space="preserve"> 0 + CAL!Y67 + CAR!Y67 + CENT!Y67 + FLA!Y67 + MIDA!Y67 + MIDW!Y67 + NE!Y67 + NY!Y67 + NW!Y67 + SE!Y67 + SW!Y67 + TEN!Y67 + TEX!Y67</f>
        <v>26004.415637659993</v>
      </c>
      <c r="Z67" s="8">
        <f xml:space="preserve"> 0 + CAL!Z67 + CAR!Z67 + CENT!Z67 + FLA!Z67 + MIDA!Z67 + MIDW!Z67 + NE!Z67 + NY!Z67 + NW!Z67 + SE!Z67 + SW!Z67 + TEN!Z67 + TEX!Z67</f>
        <v>25354.305246729997</v>
      </c>
      <c r="AA67" s="8">
        <f xml:space="preserve"> 0 + CAL!AA67 + CAR!AA67 + CENT!AA67 + FLA!AA67 + MIDA!AA67 + MIDW!AA67 + NE!AA67 + NY!AA67 + NW!AA67 + SE!AA67 + SW!AA67 + TEN!AA67 + TEX!AA67</f>
        <v>24720.447615559999</v>
      </c>
      <c r="AB67" s="8">
        <f xml:space="preserve"> 0 + CAL!AB67 + CAR!AB67 + CENT!AB67 + FLA!AB67 + MIDA!AB67 + MIDW!AB67 + NE!AB67 + NY!AB67 + NW!AB67 + SE!AB67 + SW!AB67 + TEN!AB67 + TEX!AB67</f>
        <v>24102.43642518</v>
      </c>
      <c r="AC67" s="8">
        <f xml:space="preserve"> 0 + CAL!AC67 + CAR!AC67 + CENT!AC67 + FLA!AC67 + MIDA!AC67 + MIDW!AC67 + NE!AC67 + NY!AC67 + NW!AC67 + SE!AC67 + SW!AC67 + TEN!AC67 + TEX!AC67</f>
        <v>23499.87551455</v>
      </c>
    </row>
    <row r="68" spans="1:29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18189.643789500002</v>
      </c>
      <c r="D68" s="8">
        <f xml:space="preserve"> 0 + CAL!D68 + CAR!D68 + CENT!D68 + FLA!D68 + MIDA!D68 + MIDW!D68 + NE!D68 + NY!D68 + NW!D68 + SE!D68 + SW!D68 + TEN!D68 + TEX!D68</f>
        <v>17677.998164730001</v>
      </c>
      <c r="E68" s="8">
        <f xml:space="preserve"> 0 + CAL!E68 + CAR!E68 + CENT!E68 + FLA!E68 + MIDA!E68 + MIDW!E68 + NE!E68 + NY!E68 + NW!E68 + SE!E68 + SW!E68 + TEN!E68 + TEX!E68</f>
        <v>15971.958346789999</v>
      </c>
      <c r="F68" s="8">
        <f xml:space="preserve"> 0 + CAL!F68 + CAR!F68 + CENT!F68 + FLA!F68 + MIDA!F68 + MIDW!F68 + NE!F68 + NY!F68 + NW!F68 + SE!F68 + SW!F68 + TEN!F68 + TEX!F68</f>
        <v>11680.794986610001</v>
      </c>
      <c r="G68" s="8">
        <f xml:space="preserve"> 0 + CAL!G68 + CAR!G68 + CENT!G68 + FLA!G68 + MIDA!G68 + MIDW!G68 + NE!G68 + NY!G68 + NW!G68 + SE!G68 + SW!G68 + TEN!G68 + TEX!G68</f>
        <v>7738.1398761100008</v>
      </c>
      <c r="H68" s="8">
        <f xml:space="preserve"> 0 + CAL!H68 + CAR!H68 + CENT!H68 + FLA!H68 + MIDA!H68 + MIDW!H68 + NE!H68 + NY!H68 + NW!H68 + SE!H68 + SW!H68 + TEN!H68 + TEX!H68</f>
        <v>3889.2776214399996</v>
      </c>
      <c r="I68" s="8">
        <f xml:space="preserve"> 0 + CAL!I68 + CAR!I68 + CENT!I68 + FLA!I68 + MIDA!I68 + MIDW!I68 + NE!I68 + NY!I68 + NW!I68 + SE!I68 + SW!I68 + TEN!I68 + TEX!I68</f>
        <v>763.04256938999993</v>
      </c>
      <c r="J68" s="8">
        <f xml:space="preserve"> 0 + CAL!J68 + CAR!J68 + CENT!J68 + FLA!J68 + MIDA!J68 + MIDW!J68 + NE!J68 + NY!J68 + NW!J68 + SE!J68 + SW!J68 + TEN!J68 + TEX!J68</f>
        <v>5.3029403899999998</v>
      </c>
      <c r="K68" s="8">
        <f xml:space="preserve"> 0 + CAL!K68 + CAR!K68 + CENT!K68 + FLA!K68 + MIDA!K68 + MIDW!K68 + NE!K68 + NY!K68 + NW!K68 + SE!K68 + SW!K68 + TEN!K68 + TEX!K68</f>
        <v>5.1703330300000001</v>
      </c>
      <c r="L68" s="8">
        <f xml:space="preserve"> 0 + CAL!L68 + CAR!L68 + CENT!L68 + FLA!L68 + MIDA!L68 + MIDW!L68 + NE!L68 + NY!L68 + NW!L68 + SE!L68 + SW!L68 + TEN!L68 + TEX!L68</f>
        <v>5.0410751999999999</v>
      </c>
      <c r="M68" s="8">
        <f xml:space="preserve"> 0 + CAL!M68 + CAR!M68 + CENT!M68 + FLA!M68 + MIDA!M68 + MIDW!M68 + NE!M68 + NY!M68 + NW!M68 + SE!M68 + SW!M68 + TEN!M68 + TEX!M68</f>
        <v>4.9150484800000003</v>
      </c>
      <c r="N68" s="8">
        <f xml:space="preserve"> 0 + CAL!N68 + CAR!N68 + CENT!N68 + FLA!N68 + MIDA!N68 + MIDW!N68 + NE!N68 + NY!N68 + NW!N68 + SE!N68 + SW!N68 + TEN!N68 + TEX!N68</f>
        <v>4.7921725500000001</v>
      </c>
      <c r="O68" s="8">
        <f xml:space="preserve"> 0 + CAL!O68 + CAR!O68 + CENT!O68 + FLA!O68 + MIDA!O68 + MIDW!O68 + NE!O68 + NY!O68 + NW!O68 + SE!O68 + SW!O68 + TEN!O68 + TEX!O68</f>
        <v>5.4000000000000002E-7</v>
      </c>
      <c r="P68" s="8">
        <f xml:space="preserve"> 0 + CAL!P68 + CAR!P68 + CENT!P68 + FLA!P68 + MIDA!P68 + MIDW!P68 + NE!P68 + NY!P68 + NW!P68 + SE!P68 + SW!P68 + TEN!P68 + TEX!P68</f>
        <v>0</v>
      </c>
      <c r="Q68" s="8">
        <f xml:space="preserve"> 0 + CAL!Q68 + CAR!Q68 + CENT!Q68 + FLA!Q68 + MIDA!Q68 + MIDW!Q68 + NE!Q68 + NY!Q68 + NW!Q68 + SE!Q68 + SW!Q68 + TEN!Q68 + TEX!Q68</f>
        <v>0</v>
      </c>
      <c r="R68" s="8">
        <f xml:space="preserve"> 0 + CAL!R68 + CAR!R68 + CENT!R68 + FLA!R68 + MIDA!R68 + MIDW!R68 + NE!R68 + NY!R68 + NW!R68 + SE!R68 + SW!R68 + TEN!R68 + TEX!R68</f>
        <v>0</v>
      </c>
      <c r="S68" s="8">
        <f xml:space="preserve"> 0 + CAL!S68 + CAR!S68 + CENT!S68 + FLA!S68 + MIDA!S68 + MIDW!S68 + NE!S68 + NY!S68 + NW!S68 + SE!S68 + SW!S68 + TEN!S68 + TEX!S68</f>
        <v>0</v>
      </c>
      <c r="T68" s="8">
        <f xml:space="preserve"> 0 + CAL!T68 + CAR!T68 + CENT!T68 + FLA!T68 + MIDA!T68 + MIDW!T68 + NE!T68 + NY!T68 + NW!T68 + SE!T68 + SW!T68 + TEN!T68 + TEX!T68</f>
        <v>0</v>
      </c>
      <c r="U68" s="8">
        <f xml:space="preserve"> 0 + CAL!U68 + CAR!U68 + CENT!U68 + FLA!U68 + MIDA!U68 + MIDW!U68 + NE!U68 + NY!U68 + NW!U68 + SE!U68 + SW!U68 + TEN!U68 + TEX!U68</f>
        <v>0</v>
      </c>
      <c r="V68" s="8">
        <f xml:space="preserve"> 0 + CAL!V68 + CAR!V68 + CENT!V68 + FLA!V68 + MIDA!V68 + MIDW!V68 + NE!V68 + NY!V68 + NW!V68 + SE!V68 + SW!V68 + TEN!V68 + TEX!V68</f>
        <v>0</v>
      </c>
      <c r="W68" s="8">
        <f xml:space="preserve"> 0 + CAL!W68 + CAR!W68 + CENT!W68 + FLA!W68 + MIDA!W68 + MIDW!W68 + NE!W68 + NY!W68 + NW!W68 + SE!W68 + SW!W68 + TEN!W68 + TEX!W68</f>
        <v>0</v>
      </c>
      <c r="X68" s="8">
        <f xml:space="preserve"> 0 + CAL!X68 + CAR!X68 + CENT!X68 + FLA!X68 + MIDA!X68 + MIDW!X68 + NE!X68 + NY!X68 + NW!X68 + SE!X68 + SW!X68 + TEN!X68 + TEX!X68</f>
        <v>0</v>
      </c>
      <c r="Y68" s="8">
        <f xml:space="preserve"> 0 + CAL!Y68 + CAR!Y68 + CENT!Y68 + FLA!Y68 + MIDA!Y68 + MIDW!Y68 + NE!Y68 + NY!Y68 + NW!Y68 + SE!Y68 + SW!Y68 + TEN!Y68 + TEX!Y68</f>
        <v>0</v>
      </c>
      <c r="Z68" s="8">
        <f xml:space="preserve"> 0 + CAL!Z68 + CAR!Z68 + CENT!Z68 + FLA!Z68 + MIDA!Z68 + MIDW!Z68 + NE!Z68 + NY!Z68 + NW!Z68 + SE!Z68 + SW!Z68 + TEN!Z68 + TEX!Z68</f>
        <v>0</v>
      </c>
      <c r="AA68" s="8">
        <f xml:space="preserve"> 0 + CAL!AA68 + CAR!AA68 + CENT!AA68 + FLA!AA68 + MIDA!AA68 + MIDW!AA68 + NE!AA68 + NY!AA68 + NW!AA68 + SE!AA68 + SW!AA68 + TEN!AA68 + TEX!AA68</f>
        <v>0</v>
      </c>
      <c r="AB68" s="8">
        <f xml:space="preserve"> 0 + CAL!AB68 + CAR!AB68 + CENT!AB68 + FLA!AB68 + MIDA!AB68 + MIDW!AB68 + NE!AB68 + NY!AB68 + NW!AB68 + SE!AB68 + SW!AB68 + TEN!AB68 + TEX!AB68</f>
        <v>0</v>
      </c>
      <c r="AC68" s="8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11.974680509999999</v>
      </c>
      <c r="E69" s="8">
        <f xml:space="preserve"> 0 + CAL!E69 + CAR!E69 + CENT!E69 + FLA!E69 + MIDA!E69 + MIDW!E69 + NE!E69 + NY!E69 + NW!E69 + SE!E69 + SW!E69 + TEN!E69 + TEX!E69</f>
        <v>11.859536859999999</v>
      </c>
      <c r="F69" s="8">
        <f xml:space="preserve"> 0 + CAL!F69 + CAR!F69 + CENT!F69 + FLA!F69 + MIDA!F69 + MIDW!F69 + NE!F69 + NY!F69 + NW!F69 + SE!F69 + SW!F69 + TEN!F69 + TEX!F69</f>
        <v>11.378279939999999</v>
      </c>
      <c r="G69" s="8">
        <f xml:space="preserve"> 0 + CAL!G69 + CAR!G69 + CENT!G69 + FLA!G69 + MIDA!G69 + MIDW!G69 + NE!G69 + NY!G69 + NW!G69 + SE!G69 + SW!G69 + TEN!G69 + TEX!G69</f>
        <v>7.8526359300000008</v>
      </c>
      <c r="H69" s="8">
        <f xml:space="preserve"> 0 + CAL!H69 + CAR!H69 + CENT!H69 + FLA!H69 + MIDA!H69 + MIDW!H69 + NE!H69 + NY!H69 + NW!H69 + SE!H69 + SW!H69 + TEN!H69 + TEX!H69</f>
        <v>5.8310529299999994</v>
      </c>
      <c r="I69" s="8">
        <f xml:space="preserve"> 0 + CAL!I69 + CAR!I69 + CENT!I69 + FLA!I69 + MIDA!I69 + MIDW!I69 + NE!I69 + NY!I69 + NW!I69 + SE!I69 + SW!I69 + TEN!I69 + TEX!I69</f>
        <v>4.1637209999999998</v>
      </c>
      <c r="J69" s="8">
        <f xml:space="preserve"> 0 + CAL!J69 + CAR!J69 + CENT!J69 + FLA!J69 + MIDA!J69 + MIDW!J69 + NE!J69 + NY!J69 + NW!J69 + SE!J69 + SW!J69 + TEN!J69 + TEX!J69</f>
        <v>2.1969013400000001</v>
      </c>
      <c r="K69" s="8">
        <f xml:space="preserve"> 0 + CAL!K69 + CAR!K69 + CENT!K69 + FLA!K69 + MIDA!K69 + MIDW!K69 + NE!K69 + NY!K69 + NW!K69 + SE!K69 + SW!K69 + TEN!K69 + TEX!K69</f>
        <v>2.76345376</v>
      </c>
      <c r="L69" s="8">
        <f xml:space="preserve"> 0 + CAL!L69 + CAR!L69 + CENT!L69 + FLA!L69 + MIDA!L69 + MIDW!L69 + NE!L69 + NY!L69 + NW!L69 + SE!L69 + SW!L69 + TEN!L69 + TEX!L69</f>
        <v>2.0002322800000005</v>
      </c>
      <c r="M69" s="8">
        <f xml:space="preserve"> 0 + CAL!M69 + CAR!M69 + CENT!M69 + FLA!M69 + MIDA!M69 + MIDW!M69 + NE!M69 + NY!M69 + NW!M69 + SE!M69 + SW!M69 + TEN!M69 + TEX!M69</f>
        <v>2.0002595499999996</v>
      </c>
      <c r="N69" s="8">
        <f xml:space="preserve"> 0 + CAL!N69 + CAR!N69 + CENT!N69 + FLA!N69 + MIDA!N69 + MIDW!N69 + NE!N69 + NY!N69 + NW!N69 + SE!N69 + SW!N69 + TEN!N69 + TEX!N69</f>
        <v>1.9938483199999997</v>
      </c>
      <c r="O69" s="8">
        <f xml:space="preserve"> 0 + CAL!O69 + CAR!O69 + CENT!O69 + FLA!O69 + MIDA!O69 + MIDW!O69 + NE!O69 + NY!O69 + NW!O69 + SE!O69 + SW!O69 + TEN!O69 + TEX!O69</f>
        <v>2.0114011599999997</v>
      </c>
      <c r="P69" s="8">
        <f xml:space="preserve"> 0 + CAL!P69 + CAR!P69 + CENT!P69 + FLA!P69 + MIDA!P69 + MIDW!P69 + NE!P69 + NY!P69 + NW!P69 + SE!P69 + SW!P69 + TEN!P69 + TEX!P69</f>
        <v>1.01053891</v>
      </c>
      <c r="Q69" s="8">
        <f xml:space="preserve"> 0 + CAL!Q69 + CAR!Q69 + CENT!Q69 + FLA!Q69 + MIDA!Q69 + MIDW!Q69 + NE!Q69 + NY!Q69 + NW!Q69 + SE!Q69 + SW!Q69 + TEN!Q69 + TEX!Q69</f>
        <v>2.7891670399999997</v>
      </c>
      <c r="R69" s="8">
        <f xml:space="preserve"> 0 + CAL!R69 + CAR!R69 + CENT!R69 + FLA!R69 + MIDA!R69 + MIDW!R69 + NE!R69 + NY!R69 + NW!R69 + SE!R69 + SW!R69 + TEN!R69 + TEX!R69</f>
        <v>2.78370374</v>
      </c>
      <c r="S69" s="8">
        <f xml:space="preserve"> 0 + CAL!S69 + CAR!S69 + CENT!S69 + FLA!S69 + MIDA!S69 + MIDW!S69 + NE!S69 + NY!S69 + NW!S69 + SE!S69 + SW!S69 + TEN!S69 + TEX!S69</f>
        <v>3.6750334900000001</v>
      </c>
      <c r="T69" s="8">
        <f xml:space="preserve"> 0 + CAL!T69 + CAR!T69 + CENT!T69 + FLA!T69 + MIDA!T69 + MIDW!T69 + NE!T69 + NY!T69 + NW!T69 + SE!T69 + SW!T69 + TEN!T69 + TEX!T69</f>
        <v>4.1016266400000001</v>
      </c>
      <c r="U69" s="8">
        <f xml:space="preserve"> 0 + CAL!U69 + CAR!U69 + CENT!U69 + FLA!U69 + MIDA!U69 + MIDW!U69 + NE!U69 + NY!U69 + NW!U69 + SE!U69 + SW!U69 + TEN!U69 + TEX!U69</f>
        <v>4.54652236</v>
      </c>
      <c r="V69" s="8">
        <f xml:space="preserve"> 0 + CAL!V69 + CAR!V69 + CENT!V69 + FLA!V69 + MIDA!V69 + MIDW!V69 + NE!V69 + NY!V69 + NW!V69 + SE!V69 + SW!V69 + TEN!V69 + TEX!V69</f>
        <v>3.6501497799999996</v>
      </c>
      <c r="W69" s="8">
        <f xml:space="preserve"> 0 + CAL!W69 + CAR!W69 + CENT!W69 + FLA!W69 + MIDA!W69 + MIDW!W69 + NE!W69 + NY!W69 + NW!W69 + SE!W69 + SW!W69 + TEN!W69 + TEX!W69</f>
        <v>3.2579209699999998</v>
      </c>
      <c r="X69" s="8">
        <f xml:space="preserve"> 0 + CAL!X69 + CAR!X69 + CENT!X69 + FLA!X69 + MIDA!X69 + MIDW!X69 + NE!X69 + NY!X69 + NW!X69 + SE!X69 + SW!X69 + TEN!X69 + TEX!X69</f>
        <v>4.0868146000000003</v>
      </c>
      <c r="Y69" s="8">
        <f xml:space="preserve"> 0 + CAL!Y69 + CAR!Y69 + CENT!Y69 + FLA!Y69 + MIDA!Y69 + MIDW!Y69 + NE!Y69 + NY!Y69 + NW!Y69 + SE!Y69 + SW!Y69 + TEN!Y69 + TEX!Y69</f>
        <v>5.3414553299999996</v>
      </c>
      <c r="Z69" s="8">
        <f xml:space="preserve"> 0 + CAL!Z69 + CAR!Z69 + CENT!Z69 + FLA!Z69 + MIDA!Z69 + MIDW!Z69 + NE!Z69 + NY!Z69 + NW!Z69 + SE!Z69 + SW!Z69 + TEN!Z69 + TEX!Z69</f>
        <v>4.5255906500000007</v>
      </c>
      <c r="AA69" s="8">
        <f xml:space="preserve"> 0 + CAL!AA69 + CAR!AA69 + CENT!AA69 + FLA!AA69 + MIDA!AA69 + MIDW!AA69 + NE!AA69 + NY!AA69 + NW!AA69 + SE!AA69 + SW!AA69 + TEN!AA69 + TEX!AA69</f>
        <v>4.4158154999999999</v>
      </c>
      <c r="AB69" s="8">
        <f xml:space="preserve"> 0 + CAL!AB69 + CAR!AB69 + CENT!AB69 + FLA!AB69 + MIDA!AB69 + MIDW!AB69 + NE!AB69 + NY!AB69 + NW!AB69 + SE!AB69 + SW!AB69 + TEN!AB69 + TEX!AB69</f>
        <v>3.35276138</v>
      </c>
      <c r="AC69" s="8">
        <f xml:space="preserve"> 0 + CAL!AC69 + CAR!AC69 + CENT!AC69 + FLA!AC69 + MIDA!AC69 + MIDW!AC69 + NE!AC69 + NY!AC69 + NW!AC69 + SE!AC69 + SW!AC69 + TEN!AC69 + TEX!AC69</f>
        <v>3.5971348300000003</v>
      </c>
    </row>
    <row r="70" spans="1:29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11.974680509999999</v>
      </c>
      <c r="D70" s="8">
        <f xml:space="preserve"> 0 + CAL!D70 + CAR!D70 + CENT!D70 + FLA!D70 + MIDA!D70 + MIDW!D70 + NE!D70 + NY!D70 + NW!D70 + SE!D70 + SW!D70 + TEN!D70 + TEX!D70</f>
        <v>11.859536859999999</v>
      </c>
      <c r="E70" s="8">
        <f xml:space="preserve"> 0 + CAL!E70 + CAR!E70 + CENT!E70 + FLA!E70 + MIDA!E70 + MIDW!E70 + NE!E70 + NY!E70 + NW!E70 + SE!E70 + SW!E70 + TEN!E70 + TEX!E70</f>
        <v>11.378279939999999</v>
      </c>
      <c r="F70" s="8">
        <f xml:space="preserve"> 0 + CAL!F70 + CAR!F70 + CENT!F70 + FLA!F70 + MIDA!F70 + MIDW!F70 + NE!F70 + NY!F70 + NW!F70 + SE!F70 + SW!F70 + TEN!F70 + TEX!F70</f>
        <v>7.8526359300000008</v>
      </c>
      <c r="G70" s="8">
        <f xml:space="preserve"> 0 + CAL!G70 + CAR!G70 + CENT!G70 + FLA!G70 + MIDA!G70 + MIDW!G70 + NE!G70 + NY!G70 + NW!G70 + SE!G70 + SW!G70 + TEN!G70 + TEX!G70</f>
        <v>5.8310529299999994</v>
      </c>
      <c r="H70" s="8">
        <f xml:space="preserve"> 0 + CAL!H70 + CAR!H70 + CENT!H70 + FLA!H70 + MIDA!H70 + MIDW!H70 + NE!H70 + NY!H70 + NW!H70 + SE!H70 + SW!H70 + TEN!H70 + TEX!H70</f>
        <v>4.1637209999999998</v>
      </c>
      <c r="I70" s="8">
        <f xml:space="preserve"> 0 + CAL!I70 + CAR!I70 + CENT!I70 + FLA!I70 + MIDA!I70 + MIDW!I70 + NE!I70 + NY!I70 + NW!I70 + SE!I70 + SW!I70 + TEN!I70 + TEX!I70</f>
        <v>2.1969013400000001</v>
      </c>
      <c r="J70" s="8">
        <f xml:space="preserve"> 0 + CAL!J70 + CAR!J70 + CENT!J70 + FLA!J70 + MIDA!J70 + MIDW!J70 + NE!J70 + NY!J70 + NW!J70 + SE!J70 + SW!J70 + TEN!J70 + TEX!J70</f>
        <v>2.76345376</v>
      </c>
      <c r="K70" s="8">
        <f xml:space="preserve"> 0 + CAL!K70 + CAR!K70 + CENT!K70 + FLA!K70 + MIDA!K70 + MIDW!K70 + NE!K70 + NY!K70 + NW!K70 + SE!K70 + SW!K70 + TEN!K70 + TEX!K70</f>
        <v>2.0002322800000005</v>
      </c>
      <c r="L70" s="8">
        <f xml:space="preserve"> 0 + CAL!L70 + CAR!L70 + CENT!L70 + FLA!L70 + MIDA!L70 + MIDW!L70 + NE!L70 + NY!L70 + NW!L70 + SE!L70 + SW!L70 + TEN!L70 + TEX!L70</f>
        <v>2.0002595499999996</v>
      </c>
      <c r="M70" s="8">
        <f xml:space="preserve"> 0 + CAL!M70 + CAR!M70 + CENT!M70 + FLA!M70 + MIDA!M70 + MIDW!M70 + NE!M70 + NY!M70 + NW!M70 + SE!M70 + SW!M70 + TEN!M70 + TEX!M70</f>
        <v>1.9938483199999997</v>
      </c>
      <c r="N70" s="8">
        <f xml:space="preserve"> 0 + CAL!N70 + CAR!N70 + CENT!N70 + FLA!N70 + MIDA!N70 + MIDW!N70 + NE!N70 + NY!N70 + NW!N70 + SE!N70 + SW!N70 + TEN!N70 + TEX!N70</f>
        <v>2.0114011599999997</v>
      </c>
      <c r="O70" s="8">
        <f xml:space="preserve"> 0 + CAL!O70 + CAR!O70 + CENT!O70 + FLA!O70 + MIDA!O70 + MIDW!O70 + NE!O70 + NY!O70 + NW!O70 + SE!O70 + SW!O70 + TEN!O70 + TEX!O70</f>
        <v>1.01053891</v>
      </c>
      <c r="P70" s="8">
        <f xml:space="preserve"> 0 + CAL!P70 + CAR!P70 + CENT!P70 + FLA!P70 + MIDA!P70 + MIDW!P70 + NE!P70 + NY!P70 + NW!P70 + SE!P70 + SW!P70 + TEN!P70 + TEX!P70</f>
        <v>2.7891670399999997</v>
      </c>
      <c r="Q70" s="8">
        <f xml:space="preserve"> 0 + CAL!Q70 + CAR!Q70 + CENT!Q70 + FLA!Q70 + MIDA!Q70 + MIDW!Q70 + NE!Q70 + NY!Q70 + NW!Q70 + SE!Q70 + SW!Q70 + TEN!Q70 + TEX!Q70</f>
        <v>2.78370374</v>
      </c>
      <c r="R70" s="8">
        <f xml:space="preserve"> 0 + CAL!R70 + CAR!R70 + CENT!R70 + FLA!R70 + MIDA!R70 + MIDW!R70 + NE!R70 + NY!R70 + NW!R70 + SE!R70 + SW!R70 + TEN!R70 + TEX!R70</f>
        <v>3.6750334900000001</v>
      </c>
      <c r="S70" s="8">
        <f xml:space="preserve"> 0 + CAL!S70 + CAR!S70 + CENT!S70 + FLA!S70 + MIDA!S70 + MIDW!S70 + NE!S70 + NY!S70 + NW!S70 + SE!S70 + SW!S70 + TEN!S70 + TEX!S70</f>
        <v>4.1016266400000001</v>
      </c>
      <c r="T70" s="8">
        <f xml:space="preserve"> 0 + CAL!T70 + CAR!T70 + CENT!T70 + FLA!T70 + MIDA!T70 + MIDW!T70 + NE!T70 + NY!T70 + NW!T70 + SE!T70 + SW!T70 + TEN!T70 + TEX!T70</f>
        <v>4.54652236</v>
      </c>
      <c r="U70" s="8">
        <f xml:space="preserve"> 0 + CAL!U70 + CAR!U70 + CENT!U70 + FLA!U70 + MIDA!U70 + MIDW!U70 + NE!U70 + NY!U70 + NW!U70 + SE!U70 + SW!U70 + TEN!U70 + TEX!U70</f>
        <v>3.6501497799999996</v>
      </c>
      <c r="V70" s="8">
        <f xml:space="preserve"> 0 + CAL!V70 + CAR!V70 + CENT!V70 + FLA!V70 + MIDA!V70 + MIDW!V70 + NE!V70 + NY!V70 + NW!V70 + SE!V70 + SW!V70 + TEN!V70 + TEX!V70</f>
        <v>3.2579209699999998</v>
      </c>
      <c r="W70" s="8">
        <f xml:space="preserve"> 0 + CAL!W70 + CAR!W70 + CENT!W70 + FLA!W70 + MIDA!W70 + MIDW!W70 + NE!W70 + NY!W70 + NW!W70 + SE!W70 + SW!W70 + TEN!W70 + TEX!W70</f>
        <v>4.0868146000000003</v>
      </c>
      <c r="X70" s="8">
        <f xml:space="preserve"> 0 + CAL!X70 + CAR!X70 + CENT!X70 + FLA!X70 + MIDA!X70 + MIDW!X70 + NE!X70 + NY!X70 + NW!X70 + SE!X70 + SW!X70 + TEN!X70 + TEX!X70</f>
        <v>5.3414553299999996</v>
      </c>
      <c r="Y70" s="8">
        <f xml:space="preserve"> 0 + CAL!Y70 + CAR!Y70 + CENT!Y70 + FLA!Y70 + MIDA!Y70 + MIDW!Y70 + NE!Y70 + NY!Y70 + NW!Y70 + SE!Y70 + SW!Y70 + TEN!Y70 + TEX!Y70</f>
        <v>4.5255906500000007</v>
      </c>
      <c r="Z70" s="8">
        <f xml:space="preserve"> 0 + CAL!Z70 + CAR!Z70 + CENT!Z70 + FLA!Z70 + MIDA!Z70 + MIDW!Z70 + NE!Z70 + NY!Z70 + NW!Z70 + SE!Z70 + SW!Z70 + TEN!Z70 + TEX!Z70</f>
        <v>4.4158154999999999</v>
      </c>
      <c r="AA70" s="8">
        <f xml:space="preserve"> 0 + CAL!AA70 + CAR!AA70 + CENT!AA70 + FLA!AA70 + MIDA!AA70 + MIDW!AA70 + NE!AA70 + NY!AA70 + NW!AA70 + SE!AA70 + SW!AA70 + TEN!AA70 + TEX!AA70</f>
        <v>3.35276138</v>
      </c>
      <c r="AB70" s="8">
        <f xml:space="preserve"> 0 + CAL!AB70 + CAR!AB70 + CENT!AB70 + FLA!AB70 + MIDA!AB70 + MIDW!AB70 + NE!AB70 + NY!AB70 + NW!AB70 + SE!AB70 + SW!AB70 + TEN!AB70 + TEX!AB70</f>
        <v>3.5971348300000003</v>
      </c>
      <c r="AC70" s="8">
        <f xml:space="preserve"> 0 + CAL!AC70 + CAR!AC70 + CENT!AC70 + FLA!AC70 + MIDA!AC70 + MIDW!AC70 + NE!AC70 + NY!AC70 + NW!AC70 + SE!AC70 + SW!AC70 + TEN!AC70 + TEX!AC70</f>
        <v>3.0513231399999996</v>
      </c>
    </row>
    <row r="71" spans="1:29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36.321975609999996</v>
      </c>
      <c r="E71" s="8">
        <f xml:space="preserve"> 0 + CAL!E71 + CAR!E71 + CENT!E71 + FLA!E71 + MIDA!E71 + MIDW!E71 + NE!E71 + NY!E71 + NW!E71 + SE!E71 + SW!E71 + TEN!E71 + TEX!E71</f>
        <v>37.004005969999994</v>
      </c>
      <c r="F71" s="8">
        <f xml:space="preserve"> 0 + CAL!F71 + CAR!F71 + CENT!F71 + FLA!F71 + MIDA!F71 + MIDW!F71 + NE!F71 + NY!F71 + NW!F71 + SE!F71 + SW!F71 + TEN!F71 + TEX!F71</f>
        <v>37.906702979999999</v>
      </c>
      <c r="G71" s="8">
        <f xml:space="preserve"> 0 + CAL!G71 + CAR!G71 + CENT!G71 + FLA!G71 + MIDA!G71 + MIDW!G71 + NE!G71 + NY!G71 + NW!G71 + SE!G71 + SW!G71 + TEN!G71 + TEX!G71</f>
        <v>39.235549380000002</v>
      </c>
      <c r="H71" s="8">
        <f xml:space="preserve"> 0 + CAL!H71 + CAR!H71 + CENT!H71 + FLA!H71 + MIDA!H71 + MIDW!H71 + NE!H71 + NY!H71 + NW!H71 + SE!H71 + SW!H71 + TEN!H71 + TEX!H71</f>
        <v>40.579017820000004</v>
      </c>
      <c r="I71" s="8">
        <f xml:space="preserve"> 0 + CAL!I71 + CAR!I71 + CENT!I71 + FLA!I71 + MIDA!I71 + MIDW!I71 + NE!I71 + NY!I71 + NW!I71 + SE!I71 + SW!I71 + TEN!I71 + TEX!I71</f>
        <v>41.956225089999997</v>
      </c>
      <c r="J71" s="8">
        <f xml:space="preserve"> 0 + CAL!J71 + CAR!J71 + CENT!J71 + FLA!J71 + MIDA!J71 + MIDW!J71 + NE!J71 + NY!J71 + NW!J71 + SE!J71 + SW!J71 + TEN!J71 + TEX!J71</f>
        <v>43.422291790000003</v>
      </c>
      <c r="K71" s="8">
        <f xml:space="preserve"> 0 + CAL!K71 + CAR!K71 + CENT!K71 + FLA!K71 + MIDA!K71 + MIDW!K71 + NE!K71 + NY!K71 + NW!K71 + SE!K71 + SW!K71 + TEN!K71 + TEX!K71</f>
        <v>44.91836301</v>
      </c>
      <c r="L71" s="8">
        <f xml:space="preserve"> 0 + CAL!L71 + CAR!L71 + CENT!L71 + FLA!L71 + MIDA!L71 + MIDW!L71 + NE!L71 + NY!L71 + NW!L71 + SE!L71 + SW!L71 + TEN!L71 + TEX!L71</f>
        <v>46.506017680000006</v>
      </c>
      <c r="M71" s="8">
        <f xml:space="preserve"> 0 + CAL!M71 + CAR!M71 + CENT!M71 + FLA!M71 + MIDA!M71 + MIDW!M71 + NE!M71 + NY!M71 + NW!M71 + SE!M71 + SW!M71 + TEN!M71 + TEX!M71</f>
        <v>48.220149540000001</v>
      </c>
      <c r="N71" s="8">
        <f xml:space="preserve"> 0 + CAL!N71 + CAR!N71 + CENT!N71 + FLA!N71 + MIDA!N71 + MIDW!N71 + NE!N71 + NY!N71 + NW!N71 + SE!N71 + SW!N71 + TEN!N71 + TEX!N71</f>
        <v>50.061606900000001</v>
      </c>
      <c r="O71" s="8">
        <f xml:space="preserve"> 0 + CAL!O71 + CAR!O71 + CENT!O71 + FLA!O71 + MIDA!O71 + MIDW!O71 + NE!O71 + NY!O71 + NW!O71 + SE!O71 + SW!O71 + TEN!O71 + TEX!O71</f>
        <v>52.03516453999999</v>
      </c>
      <c r="P71" s="8">
        <f xml:space="preserve"> 0 + CAL!P71 + CAR!P71 + CENT!P71 + FLA!P71 + MIDA!P71 + MIDW!P71 + NE!P71 + NY!P71 + NW!P71 + SE!P71 + SW!P71 + TEN!P71 + TEX!P71</f>
        <v>54.121003199999997</v>
      </c>
      <c r="Q71" s="8">
        <f xml:space="preserve"> 0 + CAL!Q71 + CAR!Q71 + CENT!Q71 + FLA!Q71 + MIDA!Q71 + MIDW!Q71 + NE!Q71 + NY!Q71 + NW!Q71 + SE!Q71 + SW!Q71 + TEN!Q71 + TEX!Q71</f>
        <v>56.123615760000007</v>
      </c>
      <c r="R71" s="8">
        <f xml:space="preserve"> 0 + CAL!R71 + CAR!R71 + CENT!R71 + FLA!R71 + MIDA!R71 + MIDW!R71 + NE!R71 + NY!R71 + NW!R71 + SE!R71 + SW!R71 + TEN!R71 + TEX!R71</f>
        <v>58.089447460000002</v>
      </c>
      <c r="S71" s="8">
        <f xml:space="preserve"> 0 + CAL!S71 + CAR!S71 + CENT!S71 + FLA!S71 + MIDA!S71 + MIDW!S71 + NE!S71 + NY!S71 + NW!S71 + SE!S71 + SW!S71 + TEN!S71 + TEX!S71</f>
        <v>60.044307960000005</v>
      </c>
      <c r="T71" s="8">
        <f xml:space="preserve"> 0 + CAL!T71 + CAR!T71 + CENT!T71 + FLA!T71 + MIDA!T71 + MIDW!T71 + NE!T71 + NY!T71 + NW!T71 + SE!T71 + SW!T71 + TEN!T71 + TEX!T71</f>
        <v>61.755597709999996</v>
      </c>
      <c r="U71" s="8">
        <f xml:space="preserve"> 0 + CAL!U71 + CAR!U71 + CENT!U71 + FLA!U71 + MIDA!U71 + MIDW!U71 + NE!U71 + NY!U71 + NW!U71 + SE!U71 + SW!U71 + TEN!U71 + TEX!U71</f>
        <v>63.432598649999989</v>
      </c>
      <c r="V71" s="8">
        <f xml:space="preserve"> 0 + CAL!V71 + CAR!V71 + CENT!V71 + FLA!V71 + MIDA!V71 + MIDW!V71 + NE!V71 + NY!V71 + NW!V71 + SE!V71 + SW!V71 + TEN!V71 + TEX!V71</f>
        <v>65.330450529999993</v>
      </c>
      <c r="W71" s="8">
        <f xml:space="preserve"> 0 + CAL!W71 + CAR!W71 + CENT!W71 + FLA!W71 + MIDA!W71 + MIDW!W71 + NE!W71 + NY!W71 + NW!W71 + SE!W71 + SW!W71 + TEN!W71 + TEX!W71</f>
        <v>67.343748609999992</v>
      </c>
      <c r="X71" s="8">
        <f xml:space="preserve"> 0 + CAL!X71 + CAR!X71 + CENT!X71 + FLA!X71 + MIDA!X71 + MIDW!X71 + NE!X71 + NY!X71 + NW!X71 + SE!X71 + SW!X71 + TEN!X71 + TEX!X71</f>
        <v>69.745960469999986</v>
      </c>
      <c r="Y71" s="8">
        <f xml:space="preserve"> 0 + CAL!Y71 + CAR!Y71 + CENT!Y71 + FLA!Y71 + MIDA!Y71 + MIDW!Y71 + NE!Y71 + NY!Y71 + NW!Y71 + SE!Y71 + SW!Y71 + TEN!Y71 + TEX!Y71</f>
        <v>72.09712257000001</v>
      </c>
      <c r="Z71" s="8">
        <f xml:space="preserve"> 0 + CAL!Z71 + CAR!Z71 + CENT!Z71 + FLA!Z71 + MIDA!Z71 + MIDW!Z71 + NE!Z71 + NY!Z71 + NW!Z71 + SE!Z71 + SW!Z71 + TEN!Z71 + TEX!Z71</f>
        <v>74.494465759999997</v>
      </c>
      <c r="AA71" s="8">
        <f xml:space="preserve"> 0 + CAL!AA71 + CAR!AA71 + CENT!AA71 + FLA!AA71 + MIDA!AA71 + MIDW!AA71 + NE!AA71 + NY!AA71 + NW!AA71 + SE!AA71 + SW!AA71 + TEN!AA71 + TEX!AA71</f>
        <v>77.140000430000001</v>
      </c>
      <c r="AB71" s="8">
        <f xml:space="preserve"> 0 + CAL!AB71 + CAR!AB71 + CENT!AB71 + FLA!AB71 + MIDA!AB71 + MIDW!AB71 + NE!AB71 + NY!AB71 + NW!AB71 + SE!AB71 + SW!AB71 + TEN!AB71 + TEX!AB71</f>
        <v>79.963865280000007</v>
      </c>
      <c r="AC71" s="8">
        <f xml:space="preserve"> 0 + CAL!AC71 + CAR!AC71 + CENT!AC71 + FLA!AC71 + MIDA!AC71 + MIDW!AC71 + NE!AC71 + NY!AC71 + NW!AC71 + SE!AC71 + SW!AC71 + TEN!AC71 + TEX!AC71</f>
        <v>82.94869482999998</v>
      </c>
    </row>
    <row r="72" spans="1:29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258.17864479000002</v>
      </c>
      <c r="D72" s="8">
        <f xml:space="preserve"> 0 + CAL!D72 + CAR!D72 + CENT!D72 + FLA!D72 + MIDA!D72 + MIDW!D72 + NE!D72 + NY!D72 + NW!D72 + SE!D72 + SW!D72 + TEN!D72 + TEX!D72</f>
        <v>262.77280043999997</v>
      </c>
      <c r="E72" s="8">
        <f xml:space="preserve"> 0 + CAL!E72 + CAR!E72 + CENT!E72 + FLA!E72 + MIDA!E72 + MIDW!E72 + NE!E72 + NY!E72 + NW!E72 + SE!E72 + SW!E72 + TEN!E72 + TEX!E72</f>
        <v>292.29610095999999</v>
      </c>
      <c r="F72" s="8">
        <f xml:space="preserve"> 0 + CAL!F72 + CAR!F72 + CENT!F72 + FLA!F72 + MIDA!F72 + MIDW!F72 + NE!F72 + NY!F72 + NW!F72 + SE!F72 + SW!F72 + TEN!F72 + TEX!F72</f>
        <v>402.89021911999998</v>
      </c>
      <c r="G72" s="8">
        <f xml:space="preserve"> 0 + CAL!G72 + CAR!G72 + CENT!G72 + FLA!G72 + MIDA!G72 + MIDW!G72 + NE!G72 + NY!G72 + NW!G72 + SE!G72 + SW!G72 + TEN!G72 + TEX!G72</f>
        <v>474.13613345000005</v>
      </c>
      <c r="H72" s="8">
        <f xml:space="preserve"> 0 + CAL!H72 + CAR!H72 + CENT!H72 + FLA!H72 + MIDA!H72 + MIDW!H72 + NE!H72 + NY!H72 + NW!H72 + SE!H72 + SW!H72 + TEN!H72 + TEX!H72</f>
        <v>1056.3858408999997</v>
      </c>
      <c r="I72" s="8">
        <f xml:space="preserve"> 0 + CAL!I72 + CAR!I72 + CENT!I72 + FLA!I72 + MIDA!I72 + MIDW!I72 + NE!I72 + NY!I72 + NW!I72 + SE!I72 + SW!I72 + TEN!I72 + TEX!I72</f>
        <v>1156.72449454</v>
      </c>
      <c r="J72" s="8">
        <f xml:space="preserve"> 0 + CAL!J72 + CAR!J72 + CENT!J72 + FLA!J72 + MIDA!J72 + MIDW!J72 + NE!J72 + NY!J72 + NW!J72 + SE!J72 + SW!J72 + TEN!J72 + TEX!J72</f>
        <v>1347.4695194000001</v>
      </c>
      <c r="K72" s="8">
        <f xml:space="preserve"> 0 + CAL!K72 + CAR!K72 + CENT!K72 + FLA!K72 + MIDA!K72 + MIDW!K72 + NE!K72 + NY!K72 + NW!K72 + SE!K72 + SW!K72 + TEN!K72 + TEX!K72</f>
        <v>1212.7461961199999</v>
      </c>
      <c r="L72" s="8">
        <f xml:space="preserve"> 0 + CAL!L72 + CAR!L72 + CENT!L72 + FLA!L72 + MIDA!L72 + MIDW!L72 + NE!L72 + NY!L72 + NW!L72 + SE!L72 + SW!L72 + TEN!L72 + TEX!L72</f>
        <v>1091.4922631699999</v>
      </c>
      <c r="M72" s="8">
        <f xml:space="preserve"> 0 + CAL!M72 + CAR!M72 + CENT!M72 + FLA!M72 + MIDA!M72 + MIDW!M72 + NE!M72 + NY!M72 + NW!M72 + SE!M72 + SW!M72 + TEN!M72 + TEX!M72</f>
        <v>982.35193190999996</v>
      </c>
      <c r="N72" s="8">
        <f xml:space="preserve"> 0 + CAL!N72 + CAR!N72 + CENT!N72 + FLA!N72 + MIDA!N72 + MIDW!N72 + NE!N72 + NY!N72 + NW!N72 + SE!N72 + SW!N72 + TEN!N72 + TEX!N72</f>
        <v>884.53291849999994</v>
      </c>
      <c r="O72" s="8">
        <f xml:space="preserve"> 0 + CAL!O72 + CAR!O72 + CENT!O72 + FLA!O72 + MIDA!O72 + MIDW!O72 + NE!O72 + NY!O72 + NW!O72 + SE!O72 + SW!O72 + TEN!O72 + TEX!O72</f>
        <v>872.45545703999994</v>
      </c>
      <c r="P72" s="8">
        <f xml:space="preserve"> 0 + CAL!P72 + CAR!P72 + CENT!P72 + FLA!P72 + MIDA!P72 + MIDW!P72 + NE!P72 + NY!P72 + NW!P72 + SE!P72 + SW!P72 + TEN!P72 + TEX!P72</f>
        <v>791.96071419000009</v>
      </c>
      <c r="Q72" s="8">
        <f xml:space="preserve"> 0 + CAL!Q72 + CAR!Q72 + CENT!Q72 + FLA!Q72 + MIDA!Q72 + MIDW!Q72 + NE!Q72 + NY!Q72 + NW!Q72 + SE!Q72 + SW!Q72 + TEN!Q72 + TEX!Q72</f>
        <v>719.99327759000005</v>
      </c>
      <c r="R72" s="8">
        <f xml:space="preserve"> 0 + CAL!R72 + CAR!R72 + CENT!R72 + FLA!R72 + MIDA!R72 + MIDW!R72 + NE!R72 + NY!R72 + NW!R72 + SE!R72 + SW!R72 + TEN!R72 + TEX!R72</f>
        <v>893.58580346999997</v>
      </c>
      <c r="S72" s="8">
        <f xml:space="preserve"> 0 + CAL!S72 + CAR!S72 + CENT!S72 + FLA!S72 + MIDA!S72 + MIDW!S72 + NE!S72 + NY!S72 + NW!S72 + SE!S72 + SW!S72 + TEN!S72 + TEX!S72</f>
        <v>811.01203187999999</v>
      </c>
      <c r="T72" s="8">
        <f xml:space="preserve"> 0 + CAL!T72 + CAR!T72 + CENT!T72 + FLA!T72 + MIDA!T72 + MIDW!T72 + NE!T72 + NY!T72 + NW!T72 + SE!T72 + SW!T72 + TEN!T72 + TEX!T72</f>
        <v>935.50805231999993</v>
      </c>
      <c r="U72" s="8">
        <f xml:space="preserve"> 0 + CAL!U72 + CAR!U72 + CENT!U72 + FLA!U72 + MIDA!U72 + MIDW!U72 + NE!U72 + NY!U72 + NW!U72 + SE!U72 + SW!U72 + TEN!U72 + TEX!U72</f>
        <v>842.13568433</v>
      </c>
      <c r="V72" s="8">
        <f xml:space="preserve"> 0 + CAL!V72 + CAR!V72 + CENT!V72 + FLA!V72 + MIDA!V72 + MIDW!V72 + NE!V72 + NY!V72 + NW!V72 + SE!V72 + SW!V72 + TEN!V72 + TEX!V72</f>
        <v>765.34310289000007</v>
      </c>
      <c r="W72" s="8">
        <f xml:space="preserve"> 0 + CAL!W72 + CAR!W72 + CENT!W72 + FLA!W72 + MIDA!W72 + MIDW!W72 + NE!W72 + NY!W72 + NW!W72 + SE!W72 + SW!W72 + TEN!W72 + TEX!W72</f>
        <v>1158.3150512399998</v>
      </c>
      <c r="X72" s="8">
        <f xml:space="preserve"> 0 + CAL!X72 + CAR!X72 + CENT!X72 + FLA!X72 + MIDA!X72 + MIDW!X72 + NE!X72 + NY!X72 + NW!X72 + SE!X72 + SW!X72 + TEN!X72 + TEX!X72</f>
        <v>1134.59694264</v>
      </c>
      <c r="Y72" s="8">
        <f xml:space="preserve"> 0 + CAL!Y72 + CAR!Y72 + CENT!Y72 + FLA!Y72 + MIDA!Y72 + MIDW!Y72 + NE!Y72 + NY!Y72 + NW!Y72 + SE!Y72 + SW!Y72 + TEN!Y72 + TEX!Y72</f>
        <v>1617.9707984500003</v>
      </c>
      <c r="Z72" s="8">
        <f xml:space="preserve"> 0 + CAL!Z72 + CAR!Z72 + CENT!Z72 + FLA!Z72 + MIDA!Z72 + MIDW!Z72 + NE!Z72 + NY!Z72 + NW!Z72 + SE!Z72 + SW!Z72 + TEN!Z72 + TEX!Z72</f>
        <v>1456.3425340399999</v>
      </c>
      <c r="AA72" s="8">
        <f xml:space="preserve"> 0 + CAL!AA72 + CAR!AA72 + CENT!AA72 + FLA!AA72 + MIDA!AA72 + MIDW!AA72 + NE!AA72 + NY!AA72 + NW!AA72 + SE!AA72 + SW!AA72 + TEN!AA72 + TEX!AA72</f>
        <v>1388.8677430900002</v>
      </c>
      <c r="AB72" s="8">
        <f xml:space="preserve"> 0 + CAL!AB72 + CAR!AB72 + CENT!AB72 + FLA!AB72 + MIDA!AB72 + MIDW!AB72 + NE!AB72 + NY!AB72 + NW!AB72 + SE!AB72 + SW!AB72 + TEN!AB72 + TEX!AB72</f>
        <v>1268.71436952</v>
      </c>
      <c r="AC72" s="8">
        <f xml:space="preserve"> 0 + CAL!AC72 + CAR!AC72 + CENT!AC72 + FLA!AC72 + MIDA!AC72 + MIDW!AC72 + NE!AC72 + NY!AC72 + NW!AC72 + SE!AC72 + SW!AC72 + TEN!AC72 + TEX!AC72</f>
        <v>1143.0687410999999</v>
      </c>
    </row>
    <row r="73" spans="1:29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64.247963850000005</v>
      </c>
      <c r="D73" s="8">
        <f xml:space="preserve"> 0 + CAL!D73 + CAR!D73 + CENT!D73 + FLA!D73 + MIDA!D73 + MIDW!D73 + NE!D73 + NY!D73 + NW!D73 + SE!D73 + SW!D73 + TEN!D73 + TEX!D73</f>
        <v>9.4813655000000008</v>
      </c>
      <c r="E73" s="8">
        <f xml:space="preserve"> 0 + CAL!E73 + CAR!E73 + CENT!E73 + FLA!E73 + MIDA!E73 + MIDW!E73 + NE!E73 + NY!E73 + NW!E73 + SE!E73 + SW!E73 + TEN!E73 + TEX!E73</f>
        <v>15.68551677</v>
      </c>
      <c r="F73" s="8">
        <f xml:space="preserve"> 0 + CAL!F73 + CAR!F73 + CENT!F73 + FLA!F73 + MIDA!F73 + MIDW!F73 + NE!F73 + NY!F73 + NW!F73 + SE!F73 + SW!F73 + TEN!F73 + TEX!F73</f>
        <v>42.035506049999995</v>
      </c>
      <c r="G73" s="8">
        <f xml:space="preserve"> 0 + CAL!G73 + CAR!G73 + CENT!G73 + FLA!G73 + MIDA!G73 + MIDW!G73 + NE!G73 + NY!G73 + NW!G73 + SE!G73 + SW!G73 + TEN!G73 + TEX!G73</f>
        <v>35.166011870000006</v>
      </c>
      <c r="H73" s="8">
        <f xml:space="preserve"> 0 + CAL!H73 + CAR!H73 + CENT!H73 + FLA!H73 + MIDA!H73 + MIDW!H73 + NE!H73 + NY!H73 + NW!H73 + SE!H73 + SW!H73 + TEN!H73 + TEX!H73</f>
        <v>160.63756927</v>
      </c>
      <c r="I73" s="8">
        <f xml:space="preserve"> 0 + CAL!I73 + CAR!I73 + CENT!I73 + FLA!I73 + MIDA!I73 + MIDW!I73 + NE!I73 + NY!I73 + NW!I73 + SE!I73 + SW!I73 + TEN!I73 + TEX!I73</f>
        <v>56.847136710000001</v>
      </c>
      <c r="J73" s="8">
        <f xml:space="preserve"> 0 + CAL!J73 + CAR!J73 + CENT!J73 + FLA!J73 + MIDA!J73 + MIDW!J73 + NE!J73 + NY!J73 + NW!J73 + SE!J73 + SW!J73 + TEN!J73 + TEX!J73</f>
        <v>85.396843660000002</v>
      </c>
      <c r="K73" s="8">
        <f xml:space="preserve"> 0 + CAL!K73 + CAR!K73 + CENT!K73 + FLA!K73 + MIDA!K73 + MIDW!K73 + NE!K73 + NY!K73 + NW!K73 + SE!K73 + SW!K73 + TEN!K73 + TEX!K73</f>
        <v>145.51038785</v>
      </c>
      <c r="L73" s="8">
        <f xml:space="preserve"> 0 + CAL!L73 + CAR!L73 + CENT!L73 + FLA!L73 + MIDA!L73 + MIDW!L73 + NE!L73 + NY!L73 + NW!L73 + SE!L73 + SW!L73 + TEN!L73 + TEX!L73</f>
        <v>255.85587928999999</v>
      </c>
      <c r="M73" s="8">
        <f xml:space="preserve"> 0 + CAL!M73 + CAR!M73 + CENT!M73 + FLA!M73 + MIDA!M73 + MIDW!M73 + NE!M73 + NY!M73 + NW!M73 + SE!M73 + SW!M73 + TEN!M73 + TEX!M73</f>
        <v>221.03199313000005</v>
      </c>
      <c r="N73" s="8">
        <f xml:space="preserve"> 0 + CAL!N73 + CAR!N73 + CENT!N73 + FLA!N73 + MIDA!N73 + MIDW!N73 + NE!N73 + NY!N73 + NW!N73 + SE!N73 + SW!N73 + TEN!N73 + TEX!N73</f>
        <v>224.04913277999998</v>
      </c>
      <c r="O73" s="8">
        <f xml:space="preserve"> 0 + CAL!O73 + CAR!O73 + CENT!O73 + FLA!O73 + MIDA!O73 + MIDW!O73 + NE!O73 + NY!O73 + NW!O73 + SE!O73 + SW!O73 + TEN!O73 + TEX!O73</f>
        <v>198.22400800000003</v>
      </c>
      <c r="P73" s="8">
        <f xml:space="preserve"> 0 + CAL!P73 + CAR!P73 + CENT!P73 + FLA!P73 + MIDA!P73 + MIDW!P73 + NE!P73 + NY!P73 + NW!P73 + SE!P73 + SW!P73 + TEN!P73 + TEX!P73</f>
        <v>204.12018913</v>
      </c>
      <c r="Q73" s="8">
        <f xml:space="preserve"> 0 + CAL!Q73 + CAR!Q73 + CENT!Q73 + FLA!Q73 + MIDA!Q73 + MIDW!Q73 + NE!Q73 + NY!Q73 + NW!Q73 + SE!Q73 + SW!Q73 + TEN!Q73 + TEX!Q73</f>
        <v>189.62277523999998</v>
      </c>
      <c r="R73" s="8">
        <f xml:space="preserve"> 0 + CAL!R73 + CAR!R73 + CENT!R73 + FLA!R73 + MIDA!R73 + MIDW!R73 + NE!R73 + NY!R73 + NW!R73 + SE!R73 + SW!R73 + TEN!R73 + TEX!R73</f>
        <v>223.39643073000002</v>
      </c>
      <c r="S73" s="8">
        <f xml:space="preserve"> 0 + CAL!S73 + CAR!S73 + CENT!S73 + FLA!S73 + MIDA!S73 + MIDW!S73 + NE!S73 + NY!S73 + NW!S73 + SE!S73 + SW!S73 + TEN!S73 + TEX!S73</f>
        <v>235.48638584</v>
      </c>
      <c r="T73" s="8">
        <f xml:space="preserve"> 0 + CAL!T73 + CAR!T73 + CENT!T73 + FLA!T73 + MIDA!T73 + MIDW!T73 + NE!T73 + NY!T73 + NW!T73 + SE!T73 + SW!T73 + TEN!T73 + TEX!T73</f>
        <v>309.83685093999998</v>
      </c>
      <c r="U73" s="8">
        <f xml:space="preserve"> 0 + CAL!U73 + CAR!U73 + CENT!U73 + FLA!U73 + MIDA!U73 + MIDW!U73 + NE!U73 + NY!U73 + NW!U73 + SE!U73 + SW!U73 + TEN!U73 + TEX!U73</f>
        <v>210.53368677</v>
      </c>
      <c r="V73" s="8">
        <f xml:space="preserve"> 0 + CAL!V73 + CAR!V73 + CENT!V73 + FLA!V73 + MIDA!V73 + MIDW!V73 + NE!V73 + NY!V73 + NW!V73 + SE!V73 + SW!V73 + TEN!V73 + TEX!V73</f>
        <v>193.26993497000001</v>
      </c>
      <c r="W73" s="8">
        <f xml:space="preserve"> 0 + CAL!W73 + CAR!W73 + CENT!W73 + FLA!W73 + MIDA!W73 + MIDW!W73 + NE!W73 + NY!W73 + NW!W73 + SE!W73 + SW!W73 + TEN!W73 + TEX!W73</f>
        <v>295.25073959999997</v>
      </c>
      <c r="X73" s="8">
        <f xml:space="preserve"> 0 + CAL!X73 + CAR!X73 + CENT!X73 + FLA!X73 + MIDA!X73 + MIDW!X73 + NE!X73 + NY!X73 + NW!X73 + SE!X73 + SW!X73 + TEN!X73 + TEX!X73</f>
        <v>289.18526708000002</v>
      </c>
      <c r="Y73" s="8">
        <f xml:space="preserve"> 0 + CAL!Y73 + CAR!Y73 + CENT!Y73 + FLA!Y73 + MIDA!Y73 + MIDW!Y73 + NE!Y73 + NY!Y73 + NW!Y73 + SE!Y73 + SW!Y73 + TEN!Y73 + TEX!Y73</f>
        <v>405.61359628999998</v>
      </c>
      <c r="Z73" s="8">
        <f xml:space="preserve"> 0 + CAL!Z73 + CAR!Z73 + CENT!Z73 + FLA!Z73 + MIDA!Z73 + MIDW!Z73 + NE!Z73 + NY!Z73 + NW!Z73 + SE!Z73 + SW!Z73 + TEN!Z73 + TEX!Z73</f>
        <v>368.47246874999996</v>
      </c>
      <c r="AA73" s="8">
        <f xml:space="preserve"> 0 + CAL!AA73 + CAR!AA73 + CENT!AA73 + FLA!AA73 + MIDA!AA73 + MIDW!AA73 + NE!AA73 + NY!AA73 + NW!AA73 + SE!AA73 + SW!AA73 + TEN!AA73 + TEX!AA73</f>
        <v>351.23101815999996</v>
      </c>
      <c r="AB73" s="8">
        <f xml:space="preserve"> 0 + CAL!AB73 + CAR!AB73 + CENT!AB73 + FLA!AB73 + MIDA!AB73 + MIDW!AB73 + NE!AB73 + NY!AB73 + NW!AB73 + SE!AB73 + SW!AB73 + TEN!AB73 + TEX!AB73</f>
        <v>320.77016285000002</v>
      </c>
      <c r="AC73" s="8">
        <f xml:space="preserve"> 0 + CAL!AC73 + CAR!AC73 + CENT!AC73 + FLA!AC73 + MIDA!AC73 + MIDW!AC73 + NE!AC73 + NY!AC73 + NW!AC73 + SE!AC73 + SW!AC73 + TEN!AC73 + TEX!AC73</f>
        <v>288.30947050000003</v>
      </c>
    </row>
    <row r="74" spans="1:29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64.247963850000005</v>
      </c>
      <c r="D74" s="8">
        <f xml:space="preserve"> 0 + CAL!D74 + CAR!D74 + CENT!D74 + FLA!D74 + MIDA!D74 + MIDW!D74 + NE!D74 + NY!D74 + NW!D74 + SE!D74 + SW!D74 + TEN!D74 + TEX!D74</f>
        <v>9.4813655000000008</v>
      </c>
      <c r="E74" s="8">
        <f xml:space="preserve"> 0 + CAL!E74 + CAR!E74 + CENT!E74 + FLA!E74 + MIDA!E74 + MIDW!E74 + NE!E74 + NY!E74 + NW!E74 + SE!E74 + SW!E74 + TEN!E74 + TEX!E74</f>
        <v>15.68551677</v>
      </c>
      <c r="F74" s="8">
        <f xml:space="preserve"> 0 + CAL!F74 + CAR!F74 + CENT!F74 + FLA!F74 + MIDA!F74 + MIDW!F74 + NE!F74 + NY!F74 + NW!F74 + SE!F74 + SW!F74 + TEN!F74 + TEX!F74</f>
        <v>42.035506049999995</v>
      </c>
      <c r="G74" s="8">
        <f xml:space="preserve"> 0 + CAL!G74 + CAR!G74 + CENT!G74 + FLA!G74 + MIDA!G74 + MIDW!G74 + NE!G74 + NY!G74 + NW!G74 + SE!G74 + SW!G74 + TEN!G74 + TEX!G74</f>
        <v>35.166011870000006</v>
      </c>
      <c r="H74" s="8">
        <f xml:space="preserve"> 0 + CAL!H74 + CAR!H74 + CENT!H74 + FLA!H74 + MIDA!H74 + MIDW!H74 + NE!H74 + NY!H74 + NW!H74 + SE!H74 + SW!H74 + TEN!H74 + TEX!H74</f>
        <v>160.63756927</v>
      </c>
      <c r="I74" s="8">
        <f xml:space="preserve"> 0 + CAL!I74 + CAR!I74 + CENT!I74 + FLA!I74 + MIDA!I74 + MIDW!I74 + NE!I74 + NY!I74 + NW!I74 + SE!I74 + SW!I74 + TEN!I74 + TEX!I74</f>
        <v>56.847136710000001</v>
      </c>
      <c r="J74" s="8">
        <f xml:space="preserve"> 0 + CAL!J74 + CAR!J74 + CENT!J74 + FLA!J74 + MIDA!J74 + MIDW!J74 + NE!J74 + NY!J74 + NW!J74 + SE!J74 + SW!J74 + TEN!J74 + TEX!J74</f>
        <v>85.396843660000002</v>
      </c>
      <c r="K74" s="8">
        <f xml:space="preserve"> 0 + CAL!K74 + CAR!K74 + CENT!K74 + FLA!K74 + MIDA!K74 + MIDW!K74 + NE!K74 + NY!K74 + NW!K74 + SE!K74 + SW!K74 + TEN!K74 + TEX!K74</f>
        <v>145.51038785</v>
      </c>
      <c r="L74" s="8">
        <f xml:space="preserve"> 0 + CAL!L74 + CAR!L74 + CENT!L74 + FLA!L74 + MIDA!L74 + MIDW!L74 + NE!L74 + NY!L74 + NW!L74 + SE!L74 + SW!L74 + TEN!L74 + TEX!L74</f>
        <v>255.85587928999999</v>
      </c>
      <c r="M74" s="8">
        <f xml:space="preserve"> 0 + CAL!M74 + CAR!M74 + CENT!M74 + FLA!M74 + MIDA!M74 + MIDW!M74 + NE!M74 + NY!M74 + NW!M74 + SE!M74 + SW!M74 + TEN!M74 + TEX!M74</f>
        <v>221.03199313000005</v>
      </c>
      <c r="N74" s="8">
        <f xml:space="preserve"> 0 + CAL!N74 + CAR!N74 + CENT!N74 + FLA!N74 + MIDA!N74 + MIDW!N74 + NE!N74 + NY!N74 + NW!N74 + SE!N74 + SW!N74 + TEN!N74 + TEX!N74</f>
        <v>224.04913277999998</v>
      </c>
      <c r="O74" s="8">
        <f xml:space="preserve"> 0 + CAL!O74 + CAR!O74 + CENT!O74 + FLA!O74 + MIDA!O74 + MIDW!O74 + NE!O74 + NY!O74 + NW!O74 + SE!O74 + SW!O74 + TEN!O74 + TEX!O74</f>
        <v>198.22400800000003</v>
      </c>
      <c r="P74" s="8">
        <f xml:space="preserve"> 0 + CAL!P74 + CAR!P74 + CENT!P74 + FLA!P74 + MIDA!P74 + MIDW!P74 + NE!P74 + NY!P74 + NW!P74 + SE!P74 + SW!P74 + TEN!P74 + TEX!P74</f>
        <v>204.12018913</v>
      </c>
      <c r="Q74" s="8">
        <f xml:space="preserve"> 0 + CAL!Q74 + CAR!Q74 + CENT!Q74 + FLA!Q74 + MIDA!Q74 + MIDW!Q74 + NE!Q74 + NY!Q74 + NW!Q74 + SE!Q74 + SW!Q74 + TEN!Q74 + TEX!Q74</f>
        <v>189.62277523999998</v>
      </c>
      <c r="R74" s="8">
        <f xml:space="preserve"> 0 + CAL!R74 + CAR!R74 + CENT!R74 + FLA!R74 + MIDA!R74 + MIDW!R74 + NE!R74 + NY!R74 + NW!R74 + SE!R74 + SW!R74 + TEN!R74 + TEX!R74</f>
        <v>223.39643073000002</v>
      </c>
      <c r="S74" s="8">
        <f xml:space="preserve"> 0 + CAL!S74 + CAR!S74 + CENT!S74 + FLA!S74 + MIDA!S74 + MIDW!S74 + NE!S74 + NY!S74 + NW!S74 + SE!S74 + SW!S74 + TEN!S74 + TEX!S74</f>
        <v>235.48638584</v>
      </c>
      <c r="T74" s="8">
        <f xml:space="preserve"> 0 + CAL!T74 + CAR!T74 + CENT!T74 + FLA!T74 + MIDA!T74 + MIDW!T74 + NE!T74 + NY!T74 + NW!T74 + SE!T74 + SW!T74 + TEN!T74 + TEX!T74</f>
        <v>309.83685093999998</v>
      </c>
      <c r="U74" s="8">
        <f xml:space="preserve"> 0 + CAL!U74 + CAR!U74 + CENT!U74 + FLA!U74 + MIDA!U74 + MIDW!U74 + NE!U74 + NY!U74 + NW!U74 + SE!U74 + SW!U74 + TEN!U74 + TEX!U74</f>
        <v>210.53368677</v>
      </c>
      <c r="V74" s="8">
        <f xml:space="preserve"> 0 + CAL!V74 + CAR!V74 + CENT!V74 + FLA!V74 + MIDA!V74 + MIDW!V74 + NE!V74 + NY!V74 + NW!V74 + SE!V74 + SW!V74 + TEN!V74 + TEX!V74</f>
        <v>193.26993497000001</v>
      </c>
      <c r="W74" s="8">
        <f xml:space="preserve"> 0 + CAL!W74 + CAR!W74 + CENT!W74 + FLA!W74 + MIDA!W74 + MIDW!W74 + NE!W74 + NY!W74 + NW!W74 + SE!W74 + SW!W74 + TEN!W74 + TEX!W74</f>
        <v>295.25073959999997</v>
      </c>
      <c r="X74" s="8">
        <f xml:space="preserve"> 0 + CAL!X74 + CAR!X74 + CENT!X74 + FLA!X74 + MIDA!X74 + MIDW!X74 + NE!X74 + NY!X74 + NW!X74 + SE!X74 + SW!X74 + TEN!X74 + TEX!X74</f>
        <v>289.18526708000002</v>
      </c>
      <c r="Y74" s="8">
        <f xml:space="preserve"> 0 + CAL!Y74 + CAR!Y74 + CENT!Y74 + FLA!Y74 + MIDA!Y74 + MIDW!Y74 + NE!Y74 + NY!Y74 + NW!Y74 + SE!Y74 + SW!Y74 + TEN!Y74 + TEX!Y74</f>
        <v>405.61359628999998</v>
      </c>
      <c r="Z74" s="8">
        <f xml:space="preserve"> 0 + CAL!Z74 + CAR!Z74 + CENT!Z74 + FLA!Z74 + MIDA!Z74 + MIDW!Z74 + NE!Z74 + NY!Z74 + NW!Z74 + SE!Z74 + SW!Z74 + TEN!Z74 + TEX!Z74</f>
        <v>368.47246874999996</v>
      </c>
      <c r="AA74" s="8">
        <f xml:space="preserve"> 0 + CAL!AA74 + CAR!AA74 + CENT!AA74 + FLA!AA74 + MIDA!AA74 + MIDW!AA74 + NE!AA74 + NY!AA74 + NW!AA74 + SE!AA74 + SW!AA74 + TEN!AA74 + TEX!AA74</f>
        <v>351.23101815999996</v>
      </c>
      <c r="AB74" s="8">
        <f xml:space="preserve"> 0 + CAL!AB74 + CAR!AB74 + CENT!AB74 + FLA!AB74 + MIDA!AB74 + MIDW!AB74 + NE!AB74 + NY!AB74 + NW!AB74 + SE!AB74 + SW!AB74 + TEN!AB74 + TEX!AB74</f>
        <v>320.77016285000002</v>
      </c>
      <c r="AC74" s="8">
        <f xml:space="preserve"> 0 + CAL!AC74 + CAR!AC74 + CENT!AC74 + FLA!AC74 + MIDA!AC74 + MIDW!AC74 + NE!AC74 + NY!AC74 + NW!AC74 + SE!AC74 + SW!AC74 + TEN!AC74 + TEX!AC74</f>
        <v>288.30947050000003</v>
      </c>
    </row>
    <row r="75" spans="1:29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49.898239270000005</v>
      </c>
      <c r="D75" s="8">
        <f xml:space="preserve"> 0 + CAL!D75 + CAR!D75 + CENT!D75 + FLA!D75 + MIDA!D75 + MIDW!D75 + NE!D75 + NY!D75 + NW!D75 + SE!D75 + SW!D75 + TEN!D75 + TEX!D75</f>
        <v>50.785382780000006</v>
      </c>
      <c r="E75" s="8">
        <f xml:space="preserve"> 0 + CAL!E75 + CAR!E75 + CENT!E75 + FLA!E75 + MIDA!E75 + MIDW!E75 + NE!E75 + NY!E75 + NW!E75 + SE!E75 + SW!E75 + TEN!E75 + TEX!E75</f>
        <v>56.491341369999994</v>
      </c>
      <c r="F75" s="8">
        <f xml:space="preserve"> 0 + CAL!F75 + CAR!F75 + CENT!F75 + FLA!F75 + MIDA!F75 + MIDW!F75 + NE!F75 + NY!F75 + NW!F75 + SE!F75 + SW!F75 + TEN!F75 + TEX!F75</f>
        <v>77.865872949999996</v>
      </c>
      <c r="G75" s="8">
        <f xml:space="preserve"> 0 + CAL!G75 + CAR!G75 + CENT!G75 + FLA!G75 + MIDA!G75 + MIDW!G75 + NE!G75 + NY!G75 + NW!G75 + SE!G75 + SW!G75 + TEN!G75 + TEX!G75</f>
        <v>91.635246599999988</v>
      </c>
      <c r="H75" s="8">
        <f xml:space="preserve"> 0 + CAL!H75 + CAR!H75 + CENT!H75 + FLA!H75 + MIDA!H75 + MIDW!H75 + NE!H75 + NY!H75 + NW!H75 + SE!H75 + SW!H75 + TEN!H75 + TEX!H75</f>
        <v>204.16649869</v>
      </c>
      <c r="I75" s="8">
        <f xml:space="preserve"> 0 + CAL!I75 + CAR!I75 + CENT!I75 + FLA!I75 + MIDA!I75 + MIDW!I75 + NE!I75 + NY!I75 + NW!I75 + SE!I75 + SW!I75 + TEN!I75 + TEX!I75</f>
        <v>223.55719769000001</v>
      </c>
      <c r="J75" s="8">
        <f xml:space="preserve"> 0 + CAL!J75 + CAR!J75 + CENT!J75 + FLA!J75 + MIDA!J75 + MIDW!J75 + NE!J75 + NY!J75 + NW!J75 + SE!J75 + SW!J75 + TEN!J75 + TEX!J75</f>
        <v>260.42226699000003</v>
      </c>
      <c r="K75" s="8">
        <f xml:space="preserve"> 0 + CAL!K75 + CAR!K75 + CENT!K75 + FLA!K75 + MIDA!K75 + MIDW!K75 + NE!K75 + NY!K75 + NW!K75 + SE!K75 + SW!K75 + TEN!K75 + TEX!K75</f>
        <v>234.38555231999996</v>
      </c>
      <c r="L75" s="8">
        <f xml:space="preserve"> 0 + CAL!L75 + CAR!L75 + CENT!L75 + FLA!L75 + MIDA!L75 + MIDW!L75 + NE!L75 + NY!L75 + NW!L75 + SE!L75 + SW!L75 + TEN!L75 + TEX!L75</f>
        <v>210.95271492999998</v>
      </c>
      <c r="M75" s="8">
        <f xml:space="preserve"> 0 + CAL!M75 + CAR!M75 + CENT!M75 + FLA!M75 + MIDA!M75 + MIDW!M75 + NE!M75 + NY!M75 + NW!M75 + SE!M75 + SW!M75 + TEN!M75 + TEX!M75</f>
        <v>189.85903534999997</v>
      </c>
      <c r="N75" s="8">
        <f xml:space="preserve"> 0 + CAL!N75 + CAR!N75 + CENT!N75 + FLA!N75 + MIDA!N75 + MIDW!N75 + NE!N75 + NY!N75 + NW!N75 + SE!N75 + SW!N75 + TEN!N75 + TEX!N75</f>
        <v>170.95391143999998</v>
      </c>
      <c r="O75" s="8">
        <f xml:space="preserve"> 0 + CAL!O75 + CAR!O75 + CENT!O75 + FLA!O75 + MIDA!O75 + MIDW!O75 + NE!O75 + NY!O75 + NW!O75 + SE!O75 + SW!O75 + TEN!O75 + TEX!O75</f>
        <v>168.61938379999998</v>
      </c>
      <c r="P75" s="8">
        <f xml:space="preserve"> 0 + CAL!P75 + CAR!P75 + CENT!P75 + FLA!P75 + MIDA!P75 + MIDW!P75 + NE!P75 + NY!P75 + NW!P75 + SE!P75 + SW!P75 + TEN!P75 + TEX!P75</f>
        <v>153.06250545</v>
      </c>
      <c r="Q75" s="8">
        <f xml:space="preserve"> 0 + CAL!Q75 + CAR!Q75 + CENT!Q75 + FLA!Q75 + MIDA!Q75 + MIDW!Q75 + NE!Q75 + NY!Q75 + NW!Q75 + SE!Q75 + SW!Q75 + TEN!Q75 + TEX!Q75</f>
        <v>139.15339130999999</v>
      </c>
      <c r="R75" s="8">
        <f xml:space="preserve"> 0 + CAL!R75 + CAR!R75 + CENT!R75 + FLA!R75 + MIDA!R75 + MIDW!R75 + NE!R75 + NY!R75 + NW!R75 + SE!R75 + SW!R75 + TEN!R75 + TEX!R75</f>
        <v>172.70352436000002</v>
      </c>
      <c r="S75" s="8">
        <f xml:space="preserve"> 0 + CAL!S75 + CAR!S75 + CENT!S75 + FLA!S75 + MIDA!S75 + MIDW!S75 + NE!S75 + NY!S75 + NW!S75 + SE!S75 + SW!S75 + TEN!S75 + TEX!S75</f>
        <v>156.74492412000001</v>
      </c>
      <c r="T75" s="8">
        <f xml:space="preserve"> 0 + CAL!T75 + CAR!T75 + CENT!T75 + FLA!T75 + MIDA!T75 + MIDW!T75 + NE!T75 + NY!T75 + NW!T75 + SE!T75 + SW!T75 + TEN!T75 + TEX!T75</f>
        <v>180.80689255999999</v>
      </c>
      <c r="U75" s="8">
        <f xml:space="preserve"> 0 + CAL!U75 + CAR!U75 + CENT!U75 + FLA!U75 + MIDA!U75 + MIDW!U75 + NE!U75 + NY!U75 + NW!U75 + SE!U75 + SW!U75 + TEN!U75 + TEX!U75</f>
        <v>162.75974851999999</v>
      </c>
      <c r="V75" s="8">
        <f xml:space="preserve"> 0 + CAL!V75 + CAR!V75 + CENT!V75 + FLA!V75 + MIDA!V75 + MIDW!V75 + NE!V75 + NY!V75 + NW!V75 + SE!V75 + SW!V75 + TEN!V75 + TEX!V75</f>
        <v>147.91805612000002</v>
      </c>
      <c r="W75" s="8">
        <f xml:space="preserve"> 0 + CAL!W75 + CAR!W75 + CENT!W75 + FLA!W75 + MIDA!W75 + MIDW!W75 + NE!W75 + NY!W75 + NW!W75 + SE!W75 + SW!W75 + TEN!W75 + TEX!W75</f>
        <v>223.86788229000001</v>
      </c>
      <c r="X75" s="8">
        <f xml:space="preserve"> 0 + CAL!X75 + CAR!X75 + CENT!X75 + FLA!X75 + MIDA!X75 + MIDW!X75 + NE!X75 + NY!X75 + NW!X75 + SE!X75 + SW!X75 + TEN!X75 + TEX!X75</f>
        <v>219.28387635000001</v>
      </c>
      <c r="Y75" s="8">
        <f xml:space="preserve"> 0 + CAL!Y75 + CAR!Y75 + CENT!Y75 + FLA!Y75 + MIDA!Y75 + MIDW!Y75 + NE!Y75 + NY!Y75 + NW!Y75 + SE!Y75 + SW!Y75 + TEN!Y75 + TEX!Y75</f>
        <v>312.70558676000002</v>
      </c>
      <c r="Z75" s="8">
        <f xml:space="preserve"> 0 + CAL!Z75 + CAR!Z75 + CENT!Z75 + FLA!Z75 + MIDA!Z75 + MIDW!Z75 + NE!Z75 + NY!Z75 + NW!Z75 + SE!Z75 + SW!Z75 + TEN!Z75 + TEX!Z75</f>
        <v>281.46770159000005</v>
      </c>
      <c r="AA75" s="8">
        <f xml:space="preserve"> 0 + CAL!AA75 + CAR!AA75 + CENT!AA75 + FLA!AA75 + MIDA!AA75 + MIDW!AA75 + NE!AA75 + NY!AA75 + NW!AA75 + SE!AA75 + SW!AA75 + TEN!AA75 + TEX!AA75</f>
        <v>268.42682881000002</v>
      </c>
      <c r="AB75" s="8">
        <f xml:space="preserve"> 0 + CAL!AB75 + CAR!AB75 + CENT!AB75 + FLA!AB75 + MIDA!AB75 + MIDW!AB75 + NE!AB75 + NY!AB75 + NW!AB75 + SE!AB75 + SW!AB75 + TEN!AB75 + TEX!AB75</f>
        <v>245.20475411000001</v>
      </c>
      <c r="AC75" s="8">
        <f xml:space="preserve"> 0 + CAL!AC75 + CAR!AC75 + CENT!AC75 + FLA!AC75 + MIDA!AC75 + MIDW!AC75 + NE!AC75 + NY!AC75 + NW!AC75 + SE!AC75 + SW!AC75 + TEN!AC75 + TEX!AC75</f>
        <v>220.92118148</v>
      </c>
    </row>
    <row r="76" spans="1:29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1.4296E-4</v>
      </c>
      <c r="D76" s="8">
        <f xml:space="preserve"> 0 + CAL!D76 + CAR!D76 + CENT!D76 + FLA!D76 + MIDA!D76 + MIDW!D76 + NE!D76 + NY!D76 + NW!D76 + SE!D76 + SW!D76 + TEN!D76 + TEX!D76</f>
        <v>4.2179999999999999E-5</v>
      </c>
      <c r="E76" s="8">
        <f xml:space="preserve"> 0 + CAL!E76 + CAR!E76 + CENT!E76 + FLA!E76 + MIDA!E76 + MIDW!E76 + NE!E76 + NY!E76 + NW!E76 + SE!E76 + SW!E76 + TEN!E76 + TEX!E76</f>
        <v>1.0470000000000001E-4</v>
      </c>
      <c r="F76" s="8">
        <f xml:space="preserve"> 0 + CAL!F76 + CAR!F76 + CENT!F76 + FLA!F76 + MIDA!F76 + MIDW!F76 + NE!F76 + NY!F76 + NW!F76 + SE!F76 + SW!F76 + TEN!F76 + TEX!F76</f>
        <v>3.7409999999999999E-4</v>
      </c>
      <c r="G76" s="8">
        <f xml:space="preserve"> 0 + CAL!G76 + CAR!G76 + CENT!G76 + FLA!G76 + MIDA!G76 + MIDW!G76 + NE!G76 + NY!G76 + NW!G76 + SE!G76 + SW!G76 + TEN!G76 + TEX!G76</f>
        <v>3.9122999999999995E-4</v>
      </c>
      <c r="H76" s="8">
        <f xml:space="preserve"> 0 + CAL!H76 + CAR!H76 + CENT!H76 + FLA!H76 + MIDA!H76 + MIDW!H76 + NE!H76 + NY!H76 + NW!H76 + SE!H76 + SW!H76 + TEN!H76 + TEX!H76</f>
        <v>2.1445199999999996E-3</v>
      </c>
      <c r="I76" s="8">
        <f xml:space="preserve"> 0 + CAL!I76 + CAR!I76 + CENT!I76 + FLA!I76 + MIDA!I76 + MIDW!I76 + NE!I76 + NY!I76 + NW!I76 + SE!I76 + SW!I76 + TEN!I76 + TEX!I76</f>
        <v>8.8540000000000005E-4</v>
      </c>
      <c r="J76" s="8">
        <f xml:space="preserve"> 0 + CAL!J76 + CAR!J76 + CENT!J76 + FLA!J76 + MIDA!J76 + MIDW!J76 + NE!J76 + NY!J76 + NW!J76 + SE!J76 + SW!J76 + TEN!J76 + TEX!J76</f>
        <v>1.5200700000000001E-3</v>
      </c>
      <c r="K76" s="8">
        <f xml:space="preserve"> 0 + CAL!K76 + CAR!K76 + CENT!K76 + FLA!K76 + MIDA!K76 + MIDW!K76 + NE!K76 + NY!K76 + NW!K76 + SE!K76 + SW!K76 + TEN!K76 + TEX!K76</f>
        <v>2.9138500000000004E-3</v>
      </c>
      <c r="L76" s="8">
        <f xml:space="preserve"> 0 + CAL!L76 + CAR!L76 + CENT!L76 + FLA!L76 + MIDA!L76 + MIDW!L76 + NE!L76 + NY!L76 + NW!L76 + SE!L76 + SW!L76 + TEN!L76 + TEX!L76</f>
        <v>5.6927899999999997E-3</v>
      </c>
      <c r="M76" s="8">
        <f xml:space="preserve"> 0 + CAL!M76 + CAR!M76 + CENT!M76 + FLA!M76 + MIDA!M76 + MIDW!M76 + NE!M76 + NY!M76 + NW!M76 + SE!M76 + SW!M76 + TEN!M76 + TEX!M76</f>
        <v>5.4097499999999996E-3</v>
      </c>
      <c r="N76" s="8">
        <f xml:space="preserve"> 0 + CAL!N76 + CAR!N76 + CENT!N76 + FLA!N76 + MIDA!N76 + MIDW!N76 + NE!N76 + NY!N76 + NW!N76 + SE!N76 + SW!N76 + TEN!N76 + TEX!N76</f>
        <v>5.9821199999999996E-3</v>
      </c>
      <c r="O76" s="8">
        <f xml:space="preserve"> 0 + CAL!O76 + CAR!O76 + CENT!O76 + FLA!O76 + MIDA!O76 + MIDW!O76 + NE!O76 + NY!O76 + NW!O76 + SE!O76 + SW!O76 + TEN!O76 + TEX!O76</f>
        <v>5.733639999999999E-3</v>
      </c>
      <c r="P76" s="8">
        <f xml:space="preserve"> 0 + CAL!P76 + CAR!P76 + CENT!P76 + FLA!P76 + MIDA!P76 + MIDW!P76 + NE!P76 + NY!P76 + NW!P76 + SE!P76 + SW!P76 + TEN!P76 + TEX!P76</f>
        <v>6.3583399999999997E-3</v>
      </c>
      <c r="Q76" s="8">
        <f xml:space="preserve"> 0 + CAL!Q76 + CAR!Q76 + CENT!Q76 + FLA!Q76 + MIDA!Q76 + MIDW!Q76 + NE!Q76 + NY!Q76 + NW!Q76 + SE!Q76 + SW!Q76 + TEN!Q76 + TEX!Q76</f>
        <v>6.3286599999999998E-3</v>
      </c>
      <c r="R76" s="8">
        <f xml:space="preserve"> 0 + CAL!R76 + CAR!R76 + CENT!R76 + FLA!R76 + MIDA!R76 + MIDW!R76 + NE!R76 + NY!R76 + NW!R76 + SE!R76 + SW!R76 + TEN!R76 + TEX!R76</f>
        <v>7.9529199999999987E-3</v>
      </c>
      <c r="S76" s="8">
        <f xml:space="preserve"> 0 + CAL!S76 + CAR!S76 + CENT!S76 + FLA!S76 + MIDA!S76 + MIDW!S76 + NE!S76 + NY!S76 + NW!S76 + SE!S76 + SW!S76 + TEN!S76 + TEX!S76</f>
        <v>8.9072700000000001E-3</v>
      </c>
      <c r="T76" s="8">
        <f xml:space="preserve"> 0 + CAL!T76 + CAR!T76 + CENT!T76 + FLA!T76 + MIDA!T76 + MIDW!T76 + NE!T76 + NY!T76 + NW!T76 + SE!T76 + SW!T76 + TEN!T76 + TEX!T76</f>
        <v>1.240897E-2</v>
      </c>
      <c r="U76" s="8">
        <f xml:space="preserve"> 0 + CAL!U76 + CAR!U76 + CENT!U76 + FLA!U76 + MIDA!U76 + MIDW!U76 + NE!U76 + NY!U76 + NW!U76 + SE!U76 + SW!U76 + TEN!U76 + TEX!U76</f>
        <v>8.9003199999999998E-3</v>
      </c>
      <c r="V76" s="8">
        <f xml:space="preserve"> 0 + CAL!V76 + CAR!V76 + CENT!V76 + FLA!V76 + MIDA!V76 + MIDW!V76 + NE!V76 + NY!V76 + NW!V76 + SE!V76 + SW!V76 + TEN!V76 + TEX!V76</f>
        <v>8.6005200000000004E-3</v>
      </c>
      <c r="W76" s="8">
        <f xml:space="preserve"> 0 + CAL!W76 + CAR!W76 + CENT!W76 + FLA!W76 + MIDA!W76 + MIDW!W76 + NE!W76 + NY!W76 + NW!W76 + SE!W76 + SW!W76 + TEN!W76 + TEX!W76</f>
        <v>1.379559E-2</v>
      </c>
      <c r="X76" s="8">
        <f xml:space="preserve"> 0 + CAL!X76 + CAR!X76 + CENT!X76 + FLA!X76 + MIDA!X76 + MIDW!X76 + NE!X76 + NY!X76 + NW!X76 + SE!X76 + SW!X76 + TEN!X76 + TEX!X76</f>
        <v>1.4155619999999999E-2</v>
      </c>
      <c r="Y76" s="8">
        <f xml:space="preserve"> 0 + CAL!Y76 + CAR!Y76 + CENT!Y76 + FLA!Y76 + MIDA!Y76 + MIDW!Y76 + NE!Y76 + NY!Y76 + NW!Y76 + SE!Y76 + SW!Y76 + TEN!Y76 + TEX!Y76</f>
        <v>2.0757289999999998E-2</v>
      </c>
      <c r="Z76" s="8">
        <f xml:space="preserve"> 0 + CAL!Z76 + CAR!Z76 + CENT!Z76 + FLA!Z76 + MIDA!Z76 + MIDW!Z76 + NE!Z76 + NY!Z76 + NW!Z76 + SE!Z76 + SW!Z76 + TEN!Z76 + TEX!Z76</f>
        <v>1.967644E-2</v>
      </c>
      <c r="AA76" s="8">
        <f xml:space="preserve"> 0 + CAL!AA76 + CAR!AA76 + CENT!AA76 + FLA!AA76 + MIDA!AA76 + MIDW!AA76 + NE!AA76 + NY!AA76 + NW!AA76 + SE!AA76 + SW!AA76 + TEN!AA76 + TEX!AA76</f>
        <v>1.9537220000000001E-2</v>
      </c>
      <c r="AB76" s="8">
        <f xml:space="preserve"> 0 + CAL!AB76 + CAR!AB76 + CENT!AB76 + FLA!AB76 + MIDA!AB76 + MIDW!AB76 + NE!AB76 + NY!AB76 + NW!AB76 + SE!AB76 + SW!AB76 + TEN!AB76 + TEX!AB76</f>
        <v>1.8556549999999998E-2</v>
      </c>
      <c r="AC76" s="8">
        <f xml:space="preserve"> 0 + CAL!AC76 + CAR!AC76 + CENT!AC76 + FLA!AC76 + MIDA!AC76 + MIDW!AC76 + NE!AC76 + NY!AC76 + NW!AC76 + SE!AC76 + SW!AC76 + TEN!AC76 + TEX!AC76</f>
        <v>1.7320200000000001E-2</v>
      </c>
    </row>
    <row r="77" spans="1:29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7.150000000000001E-6</v>
      </c>
      <c r="D77" s="8">
        <f xml:space="preserve"> 0 + CAL!D77 + CAR!D77 + CENT!D77 + FLA!D77 + MIDA!D77 + MIDW!D77 + NE!D77 + NY!D77 + NW!D77 + SE!D77 + SW!D77 + TEN!D77 + TEX!D77</f>
        <v>1.0499999999999999E-6</v>
      </c>
      <c r="E77" s="8">
        <f xml:space="preserve"> 0 + CAL!E77 + CAR!E77 + CENT!E77 + FLA!E77 + MIDA!E77 + MIDW!E77 + NE!E77 + NY!E77 + NW!E77 + SE!E77 + SW!E77 + TEN!E77 + TEX!E77</f>
        <v>1.75E-6</v>
      </c>
      <c r="F77" s="8">
        <f xml:space="preserve"> 0 + CAL!F77 + CAR!F77 + CENT!F77 + FLA!F77 + MIDA!F77 + MIDW!F77 + NE!F77 + NY!F77 + NW!F77 + SE!F77 + SW!F77 + TEN!F77 + TEX!F77</f>
        <v>4.6699999999999993E-6</v>
      </c>
      <c r="G77" s="8">
        <f xml:space="preserve"> 0 + CAL!G77 + CAR!G77 + CENT!G77 + FLA!G77 + MIDA!G77 + MIDW!G77 + NE!G77 + NY!G77 + NW!G77 + SE!G77 + SW!G77 + TEN!G77 + TEX!G77</f>
        <v>3.9199999999999997E-6</v>
      </c>
      <c r="H77" s="8">
        <f xml:space="preserve"> 0 + CAL!H77 + CAR!H77 + CENT!H77 + FLA!H77 + MIDA!H77 + MIDW!H77 + NE!H77 + NY!H77 + NW!H77 + SE!H77 + SW!H77 + TEN!H77 + TEX!H77</f>
        <v>1.7860000000000002E-5</v>
      </c>
      <c r="I77" s="8">
        <f xml:space="preserve"> 0 + CAL!I77 + CAR!I77 + CENT!I77 + FLA!I77 + MIDA!I77 + MIDW!I77 + NE!I77 + NY!I77 + NW!I77 + SE!I77 + SW!I77 + TEN!I77 + TEX!I77</f>
        <v>6.3200000000000005E-6</v>
      </c>
      <c r="J77" s="8">
        <f xml:space="preserve"> 0 + CAL!J77 + CAR!J77 + CENT!J77 + FLA!J77 + MIDA!J77 + MIDW!J77 + NE!J77 + NY!J77 + NW!J77 + SE!J77 + SW!J77 + TEN!J77 + TEX!J77</f>
        <v>9.5000000000000005E-6</v>
      </c>
      <c r="K77" s="8">
        <f xml:space="preserve"> 0 + CAL!K77 + CAR!K77 + CENT!K77 + FLA!K77 + MIDA!K77 + MIDW!K77 + NE!K77 + NY!K77 + NW!K77 + SE!K77 + SW!K77 + TEN!K77 + TEX!K77</f>
        <v>1.6189999999999999E-5</v>
      </c>
      <c r="L77" s="8">
        <f xml:space="preserve"> 0 + CAL!L77 + CAR!L77 + CENT!L77 + FLA!L77 + MIDA!L77 + MIDW!L77 + NE!L77 + NY!L77 + NW!L77 + SE!L77 + SW!L77 + TEN!L77 + TEX!L77</f>
        <v>2.8460000000000002E-5</v>
      </c>
      <c r="M77" s="8">
        <f xml:space="preserve"> 0 + CAL!M77 + CAR!M77 + CENT!M77 + FLA!M77 + MIDA!M77 + MIDW!M77 + NE!M77 + NY!M77 + NW!M77 + SE!M77 + SW!M77 + TEN!M77 + TEX!M77</f>
        <v>2.4590000000000003E-5</v>
      </c>
      <c r="N77" s="8">
        <f xml:space="preserve"> 0 + CAL!N77 + CAR!N77 + CENT!N77 + FLA!N77 + MIDA!N77 + MIDW!N77 + NE!N77 + NY!N77 + NW!N77 + SE!N77 + SW!N77 + TEN!N77 + TEX!N77</f>
        <v>2.493E-5</v>
      </c>
      <c r="O77" s="8">
        <f xml:space="preserve"> 0 + CAL!O77 + CAR!O77 + CENT!O77 + FLA!O77 + MIDA!O77 + MIDW!O77 + NE!O77 + NY!O77 + NW!O77 + SE!O77 + SW!O77 + TEN!O77 + TEX!O77</f>
        <v>2.207E-5</v>
      </c>
      <c r="P77" s="8">
        <f xml:space="preserve"> 0 + CAL!P77 + CAR!P77 + CENT!P77 + FLA!P77 + MIDA!P77 + MIDW!P77 + NE!P77 + NY!P77 + NW!P77 + SE!P77 + SW!P77 + TEN!P77 + TEX!P77</f>
        <v>2.2719999999999996E-5</v>
      </c>
      <c r="Q77" s="8">
        <f xml:space="preserve"> 0 + CAL!Q77 + CAR!Q77 + CENT!Q77 + FLA!Q77 + MIDA!Q77 + MIDW!Q77 + NE!Q77 + NY!Q77 + NW!Q77 + SE!Q77 + SW!Q77 + TEN!Q77 + TEX!Q77</f>
        <v>2.109E-5</v>
      </c>
      <c r="R77" s="8">
        <f xml:space="preserve"> 0 + CAL!R77 + CAR!R77 + CENT!R77 + FLA!R77 + MIDA!R77 + MIDW!R77 + NE!R77 + NY!R77 + NW!R77 + SE!R77 + SW!R77 + TEN!R77 + TEX!R77</f>
        <v>2.4829999999999998E-5</v>
      </c>
      <c r="S77" s="8">
        <f xml:space="preserve"> 0 + CAL!S77 + CAR!S77 + CENT!S77 + FLA!S77 + MIDA!S77 + MIDW!S77 + NE!S77 + NY!S77 + NW!S77 + SE!S77 + SW!S77 + TEN!S77 + TEX!S77</f>
        <v>2.62E-5</v>
      </c>
      <c r="T77" s="8">
        <f xml:space="preserve"> 0 + CAL!T77 + CAR!T77 + CENT!T77 + FLA!T77 + MIDA!T77 + MIDW!T77 + NE!T77 + NY!T77 + NW!T77 + SE!T77 + SW!T77 + TEN!T77 + TEX!T77</f>
        <v>3.4460000000000005E-5</v>
      </c>
      <c r="U77" s="8">
        <f xml:space="preserve"> 0 + CAL!U77 + CAR!U77 + CENT!U77 + FLA!U77 + MIDA!U77 + MIDW!U77 + NE!U77 + NY!U77 + NW!U77 + SE!U77 + SW!U77 + TEN!U77 + TEX!U77</f>
        <v>2.3410000000000001E-5</v>
      </c>
      <c r="V77" s="8">
        <f xml:space="preserve"> 0 + CAL!V77 + CAR!V77 + CENT!V77 + FLA!V77 + MIDA!V77 + MIDW!V77 + NE!V77 + NY!V77 + NW!V77 + SE!V77 + SW!V77 + TEN!V77 + TEX!V77</f>
        <v>2.1509999999999999E-5</v>
      </c>
      <c r="W77" s="8">
        <f xml:space="preserve"> 0 + CAL!W77 + CAR!W77 + CENT!W77 + FLA!W77 + MIDA!W77 + MIDW!W77 + NE!W77 + NY!W77 + NW!W77 + SE!W77 + SW!W77 + TEN!W77 + TEX!W77</f>
        <v>3.2849999999999999E-5</v>
      </c>
      <c r="X77" s="8">
        <f xml:space="preserve"> 0 + CAL!X77 + CAR!X77 + CENT!X77 + FLA!X77 + MIDA!X77 + MIDW!X77 + NE!X77 + NY!X77 + NW!X77 + SE!X77 + SW!X77 + TEN!X77 + TEX!X77</f>
        <v>3.2170000000000005E-5</v>
      </c>
      <c r="Y77" s="8">
        <f xml:space="preserve"> 0 + CAL!Y77 + CAR!Y77 + CENT!Y77 + FLA!Y77 + MIDA!Y77 + MIDW!Y77 + NE!Y77 + NY!Y77 + NW!Y77 + SE!Y77 + SW!Y77 + TEN!Y77 + TEX!Y77</f>
        <v>4.513000000000001E-5</v>
      </c>
      <c r="Z77" s="8">
        <f xml:space="preserve"> 0 + CAL!Z77 + CAR!Z77 + CENT!Z77 + FLA!Z77 + MIDA!Z77 + MIDW!Z77 + NE!Z77 + NY!Z77 + NW!Z77 + SE!Z77 + SW!Z77 + TEN!Z77 + TEX!Z77</f>
        <v>4.0970000000000002E-5</v>
      </c>
      <c r="AA77" s="8">
        <f xml:space="preserve"> 0 + CAL!AA77 + CAR!AA77 + CENT!AA77 + FLA!AA77 + MIDA!AA77 + MIDW!AA77 + NE!AA77 + NY!AA77 + NW!AA77 + SE!AA77 + SW!AA77 + TEN!AA77 + TEX!AA77</f>
        <v>3.9060000000000002E-5</v>
      </c>
      <c r="AB77" s="8">
        <f xml:space="preserve"> 0 + CAL!AB77 + CAR!AB77 + CENT!AB77 + FLA!AB77 + MIDA!AB77 + MIDW!AB77 + NE!AB77 + NY!AB77 + NW!AB77 + SE!AB77 + SW!AB77 + TEN!AB77 + TEX!AB77</f>
        <v>3.57E-5</v>
      </c>
      <c r="AC77" s="8">
        <f xml:space="preserve"> 0 + CAL!AC77 + CAR!AC77 + CENT!AC77 + FLA!AC77 + MIDA!AC77 + MIDW!AC77 + NE!AC77 + NY!AC77 + NW!AC77 + SE!AC77 + SW!AC77 + TEN!AC77 + TEX!AC77</f>
        <v>3.2059999999999995E-5</v>
      </c>
    </row>
    <row r="78" spans="1:29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49.897354560000011</v>
      </c>
      <c r="D78" s="8">
        <f xml:space="preserve"> 0 + CAL!D78 + CAR!D78 + CENT!D78 + FLA!D78 + MIDA!D78 + MIDW!D78 + NE!D78 + NY!D78 + NW!D78 + SE!D78 + SW!D78 + TEN!D78 + TEX!D78</f>
        <v>50.785252220000011</v>
      </c>
      <c r="E78" s="8">
        <f xml:space="preserve"> 0 + CAL!E78 + CAR!E78 + CENT!E78 + FLA!E78 + MIDA!E78 + MIDW!E78 + NE!E78 + NY!E78 + NW!E78 + SE!E78 + SW!E78 + TEN!E78 + TEX!E78</f>
        <v>56.49112534999999</v>
      </c>
      <c r="F78" s="8">
        <f xml:space="preserve"> 0 + CAL!F78 + CAR!F78 + CENT!F78 + FLA!F78 + MIDA!F78 + MIDW!F78 + NE!F78 + NY!F78 + NW!F78 + SE!F78 + SW!F78 + TEN!F78 + TEX!F78</f>
        <v>77.865294110000008</v>
      </c>
      <c r="G78" s="8">
        <f xml:space="preserve"> 0 + CAL!G78 + CAR!G78 + CENT!G78 + FLA!G78 + MIDA!G78 + MIDW!G78 + NE!G78 + NY!G78 + NW!G78 + SE!G78 + SW!G78 + TEN!G78 + TEX!G78</f>
        <v>91.634762350000003</v>
      </c>
      <c r="H78" s="8">
        <f xml:space="preserve"> 0 + CAL!H78 + CAR!H78 + CENT!H78 + FLA!H78 + MIDA!H78 + MIDW!H78 + NE!H78 + NY!H78 + NW!H78 + SE!H78 + SW!H78 + TEN!H78 + TEX!H78</f>
        <v>204.16428670999997</v>
      </c>
      <c r="I78" s="8">
        <f xml:space="preserve"> 0 + CAL!I78 + CAR!I78 + CENT!I78 + FLA!I78 + MIDA!I78 + MIDW!I78 + NE!I78 + NY!I78 + NW!I78 + SE!I78 + SW!I78 + TEN!I78 + TEX!I78</f>
        <v>223.55641489999999</v>
      </c>
      <c r="J78" s="8">
        <f xml:space="preserve"> 0 + CAL!J78 + CAR!J78 + CENT!J78 + FLA!J78 + MIDA!J78 + MIDW!J78 + NE!J78 + NY!J78 + NW!J78 + SE!J78 + SW!J78 + TEN!J78 + TEX!J78</f>
        <v>260.42109106999999</v>
      </c>
      <c r="K78" s="8">
        <f xml:space="preserve"> 0 + CAL!K78 + CAR!K78 + CENT!K78 + FLA!K78 + MIDA!K78 + MIDW!K78 + NE!K78 + NY!K78 + NW!K78 + SE!K78 + SW!K78 + TEN!K78 + TEX!K78</f>
        <v>234.38354863999996</v>
      </c>
      <c r="L78" s="8">
        <f xml:space="preserve"> 0 + CAL!L78 + CAR!L78 + CENT!L78 + FLA!L78 + MIDA!L78 + MIDW!L78 + NE!L78 + NY!L78 + NW!L78 + SE!L78 + SW!L78 + TEN!L78 + TEX!L78</f>
        <v>210.94919178999999</v>
      </c>
      <c r="M78" s="8">
        <f xml:space="preserve"> 0 + CAL!M78 + CAR!M78 + CENT!M78 + FLA!M78 + MIDA!M78 + MIDW!M78 + NE!M78 + NY!M78 + NW!M78 + SE!M78 + SW!M78 + TEN!M78 + TEX!M78</f>
        <v>189.85599173000003</v>
      </c>
      <c r="N78" s="8">
        <f xml:space="preserve"> 0 + CAL!N78 + CAR!N78 + CENT!N78 + FLA!N78 + MIDA!N78 + MIDW!N78 + NE!N78 + NY!N78 + NW!N78 + SE!N78 + SW!N78 + TEN!N78 + TEX!N78</f>
        <v>170.95082630000002</v>
      </c>
      <c r="O78" s="8">
        <f xml:space="preserve"> 0 + CAL!O78 + CAR!O78 + CENT!O78 + FLA!O78 + MIDA!O78 + MIDW!O78 + NE!O78 + NY!O78 + NW!O78 + SE!O78 + SW!O78 + TEN!O78 + TEX!O78</f>
        <v>168.61665422000002</v>
      </c>
      <c r="P78" s="8">
        <f xml:space="preserve"> 0 + CAL!P78 + CAR!P78 + CENT!P78 + FLA!P78 + MIDA!P78 + MIDW!P78 + NE!P78 + NY!P78 + NW!P78 + SE!P78 + SW!P78 + TEN!P78 + TEX!P78</f>
        <v>153.05969474</v>
      </c>
      <c r="Q78" s="8">
        <f xml:space="preserve"> 0 + CAL!Q78 + CAR!Q78 + CENT!Q78 + FLA!Q78 + MIDA!Q78 + MIDW!Q78 + NE!Q78 + NY!Q78 + NW!Q78 + SE!Q78 + SW!Q78 + TEN!Q78 + TEX!Q78</f>
        <v>139.15078022</v>
      </c>
      <c r="R78" s="8">
        <f xml:space="preserve"> 0 + CAL!R78 + CAR!R78 + CENT!R78 + FLA!R78 + MIDA!R78 + MIDW!R78 + NE!R78 + NY!R78 + NW!R78 + SE!R78 + SW!R78 + TEN!R78 + TEX!R78</f>
        <v>172.70044819999998</v>
      </c>
      <c r="S78" s="8">
        <f xml:space="preserve"> 0 + CAL!S78 + CAR!S78 + CENT!S78 + FLA!S78 + MIDA!S78 + MIDW!S78 + NE!S78 + NY!S78 + NW!S78 + SE!S78 + SW!S78 + TEN!S78 + TEX!S78</f>
        <v>156.74168149000002</v>
      </c>
      <c r="T78" s="8">
        <f xml:space="preserve"> 0 + CAL!T78 + CAR!T78 + CENT!T78 + FLA!T78 + MIDA!T78 + MIDW!T78 + NE!T78 + NY!T78 + NW!T78 + SE!T78 + SW!T78 + TEN!T78 + TEX!T78</f>
        <v>180.80262612000001</v>
      </c>
      <c r="U78" s="8">
        <f xml:space="preserve"> 0 + CAL!U78 + CAR!U78 + CENT!U78 + FLA!U78 + MIDA!U78 + MIDW!U78 + NE!U78 + NY!U78 + NW!U78 + SE!U78 + SW!U78 + TEN!U78 + TEX!U78</f>
        <v>162.75684949000004</v>
      </c>
      <c r="V78" s="8">
        <f xml:space="preserve"> 0 + CAL!V78 + CAR!V78 + CENT!V78 + FLA!V78 + MIDA!V78 + MIDW!V78 + NE!V78 + NY!V78 + NW!V78 + SE!V78 + SW!V78 + TEN!V78 + TEX!V78</f>
        <v>147.91539478000001</v>
      </c>
      <c r="W78" s="8">
        <f xml:space="preserve"> 0 + CAL!W78 + CAR!W78 + CENT!W78 + FLA!W78 + MIDA!W78 + MIDW!W78 + NE!W78 + NY!W78 + NW!W78 + SE!W78 + SW!W78 + TEN!W78 + TEX!W78</f>
        <v>223.86381668999999</v>
      </c>
      <c r="X78" s="8">
        <f xml:space="preserve"> 0 + CAL!X78 + CAR!X78 + CENT!X78 + FLA!X78 + MIDA!X78 + MIDW!X78 + NE!X78 + NY!X78 + NW!X78 + SE!X78 + SW!X78 + TEN!X78 + TEX!X78</f>
        <v>219.27989428000001</v>
      </c>
      <c r="Y78" s="8">
        <f xml:space="preserve"> 0 + CAL!Y78 + CAR!Y78 + CENT!Y78 + FLA!Y78 + MIDA!Y78 + MIDW!Y78 + NE!Y78 + NY!Y78 + NW!Y78 + SE!Y78 + SW!Y78 + TEN!Y78 + TEX!Y78</f>
        <v>312.70000145</v>
      </c>
      <c r="Z78" s="8">
        <f xml:space="preserve"> 0 + CAL!Z78 + CAR!Z78 + CENT!Z78 + FLA!Z78 + MIDA!Z78 + MIDW!Z78 + NE!Z78 + NY!Z78 + NW!Z78 + SE!Z78 + SW!Z78 + TEN!Z78 + TEX!Z78</f>
        <v>281.46262773999996</v>
      </c>
      <c r="AA78" s="8">
        <f xml:space="preserve"> 0 + CAL!AA78 + CAR!AA78 + CENT!AA78 + FLA!AA78 + MIDA!AA78 + MIDW!AA78 + NE!AA78 + NY!AA78 + NW!AA78 + SE!AA78 + SW!AA78 + TEN!AA78 + TEX!AA78</f>
        <v>268.42199234999998</v>
      </c>
      <c r="AB78" s="8">
        <f xml:space="preserve"> 0 + CAL!AB78 + CAR!AB78 + CENT!AB78 + FLA!AB78 + MIDA!AB78 + MIDW!AB78 + NE!AB78 + NY!AB78 + NW!AB78 + SE!AB78 + SW!AB78 + TEN!AB78 + TEX!AB78</f>
        <v>245.20033708</v>
      </c>
      <c r="AC78" s="8">
        <f xml:space="preserve"> 0 + CAL!AC78 + CAR!AC78 + CENT!AC78 + FLA!AC78 + MIDA!AC78 + MIDW!AC78 + NE!AC78 + NY!AC78 + NW!AC78 + SE!AC78 + SW!AC78 + TEN!AC78 + TEX!AC78</f>
        <v>220.91721145999998</v>
      </c>
    </row>
    <row r="79" spans="1:29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8.8470000000000009E-4</v>
      </c>
      <c r="D79" s="8">
        <f xml:space="preserve"> 0 + CAL!D79 + CAR!D79 + CENT!D79 + FLA!D79 + MIDA!D79 + MIDW!D79 + NE!D79 + NY!D79 + NW!D79 + SE!D79 + SW!D79 + TEN!D79 + TEX!D79</f>
        <v>1.3055E-4</v>
      </c>
      <c r="E79" s="8">
        <f xml:space="preserve"> 0 + CAL!E79 + CAR!E79 + CENT!E79 + FLA!E79 + MIDA!E79 + MIDW!E79 + NE!E79 + NY!E79 + NW!E79 + SE!E79 + SW!E79 + TEN!E79 + TEX!E79</f>
        <v>2.1601000000000001E-4</v>
      </c>
      <c r="F79" s="8">
        <f xml:space="preserve"> 0 + CAL!F79 + CAR!F79 + CENT!F79 + FLA!F79 + MIDA!F79 + MIDW!F79 + NE!F79 + NY!F79 + NW!F79 + SE!F79 + SW!F79 + TEN!F79 + TEX!F79</f>
        <v>5.7883000000000001E-4</v>
      </c>
      <c r="G79" s="8">
        <f xml:space="preserve"> 0 + CAL!G79 + CAR!G79 + CENT!G79 + FLA!G79 + MIDA!G79 + MIDW!G79 + NE!G79 + NY!G79 + NW!G79 + SE!G79 + SW!G79 + TEN!G79 + TEX!G79</f>
        <v>4.8423999999999999E-4</v>
      </c>
      <c r="H79" s="8">
        <f xml:space="preserve"> 0 + CAL!H79 + CAR!H79 + CENT!H79 + FLA!H79 + MIDA!H79 + MIDW!H79 + NE!H79 + NY!H79 + NW!H79 + SE!H79 + SW!H79 + TEN!H79 + TEX!H79</f>
        <v>2.2119799999999997E-3</v>
      </c>
      <c r="I79" s="8">
        <f xml:space="preserve"> 0 + CAL!I79 + CAR!I79 + CENT!I79 + FLA!I79 + MIDA!I79 + MIDW!I79 + NE!I79 + NY!I79 + NW!I79 + SE!I79 + SW!I79 + TEN!I79 + TEX!I79</f>
        <v>7.827899999999999E-4</v>
      </c>
      <c r="J79" s="8">
        <f xml:space="preserve"> 0 + CAL!J79 + CAR!J79 + CENT!J79 + FLA!J79 + MIDA!J79 + MIDW!J79 + NE!J79 + NY!J79 + NW!J79 + SE!J79 + SW!J79 + TEN!J79 + TEX!J79</f>
        <v>1.1759200000000002E-3</v>
      </c>
      <c r="K79" s="8">
        <f xml:space="preserve"> 0 + CAL!K79 + CAR!K79 + CENT!K79 + FLA!K79 + MIDA!K79 + MIDW!K79 + NE!K79 + NY!K79 + NW!K79 + SE!K79 + SW!K79 + TEN!K79 + TEX!K79</f>
        <v>2.0036700000000004E-3</v>
      </c>
      <c r="L79" s="8">
        <f xml:space="preserve"> 0 + CAL!L79 + CAR!L79 + CENT!L79 + FLA!L79 + MIDA!L79 + MIDW!L79 + NE!L79 + NY!L79 + NW!L79 + SE!L79 + SW!L79 + TEN!L79 + TEX!L79</f>
        <v>3.5231199999999998E-3</v>
      </c>
      <c r="M79" s="8">
        <f xml:space="preserve"> 0 + CAL!M79 + CAR!M79 + CENT!M79 + FLA!M79 + MIDA!M79 + MIDW!M79 + NE!M79 + NY!M79 + NW!M79 + SE!M79 + SW!M79 + TEN!M79 + TEX!M79</f>
        <v>3.04361E-3</v>
      </c>
      <c r="N79" s="8">
        <f xml:space="preserve"> 0 + CAL!N79 + CAR!N79 + CENT!N79 + FLA!N79 + MIDA!N79 + MIDW!N79 + NE!N79 + NY!N79 + NW!N79 + SE!N79 + SW!N79 + TEN!N79 + TEX!N79</f>
        <v>3.0851600000000004E-3</v>
      </c>
      <c r="O79" s="8">
        <f xml:space="preserve"> 0 + CAL!O79 + CAR!O79 + CENT!O79 + FLA!O79 + MIDA!O79 + MIDW!O79 + NE!O79 + NY!O79 + NW!O79 + SE!O79 + SW!O79 + TEN!O79 + TEX!O79</f>
        <v>2.7295499999999999E-3</v>
      </c>
      <c r="P79" s="8">
        <f xml:space="preserve"> 0 + CAL!P79 + CAR!P79 + CENT!P79 + FLA!P79 + MIDA!P79 + MIDW!P79 + NE!P79 + NY!P79 + NW!P79 + SE!P79 + SW!P79 + TEN!P79 + TEX!P79</f>
        <v>2.8107399999999995E-3</v>
      </c>
      <c r="Q79" s="8">
        <f xml:space="preserve"> 0 + CAL!Q79 + CAR!Q79 + CENT!Q79 + FLA!Q79 + MIDA!Q79 + MIDW!Q79 + NE!Q79 + NY!Q79 + NW!Q79 + SE!Q79 + SW!Q79 + TEN!Q79 + TEX!Q79</f>
        <v>2.6110999999999999E-3</v>
      </c>
      <c r="R79" s="8">
        <f xml:space="preserve"> 0 + CAL!R79 + CAR!R79 + CENT!R79 + FLA!R79 + MIDA!R79 + MIDW!R79 + NE!R79 + NY!R79 + NW!R79 + SE!R79 + SW!R79 + TEN!R79 + TEX!R79</f>
        <v>3.0761800000000004E-3</v>
      </c>
      <c r="S79" s="8">
        <f xml:space="preserve"> 0 + CAL!S79 + CAR!S79 + CENT!S79 + FLA!S79 + MIDA!S79 + MIDW!S79 + NE!S79 + NY!S79 + NW!S79 + SE!S79 + SW!S79 + TEN!S79 + TEX!S79</f>
        <v>3.2426499999999997E-3</v>
      </c>
      <c r="T79" s="8">
        <f xml:space="preserve"> 0 + CAL!T79 + CAR!T79 + CENT!T79 + FLA!T79 + MIDA!T79 + MIDW!T79 + NE!T79 + NY!T79 + NW!T79 + SE!T79 + SW!T79 + TEN!T79 + TEX!T79</f>
        <v>4.2664599999999997E-3</v>
      </c>
      <c r="U79" s="8">
        <f xml:space="preserve"> 0 + CAL!U79 + CAR!U79 + CENT!U79 + FLA!U79 + MIDA!U79 + MIDW!U79 + NE!U79 + NY!U79 + NW!U79 + SE!U79 + SW!U79 + TEN!U79 + TEX!U79</f>
        <v>2.8990300000000004E-3</v>
      </c>
      <c r="V79" s="8">
        <f xml:space="preserve"> 0 + CAL!V79 + CAR!V79 + CENT!V79 + FLA!V79 + MIDA!V79 + MIDW!V79 + NE!V79 + NY!V79 + NW!V79 + SE!V79 + SW!V79 + TEN!V79 + TEX!V79</f>
        <v>2.6613399999999999E-3</v>
      </c>
      <c r="W79" s="8">
        <f xml:space="preserve"> 0 + CAL!W79 + CAR!W79 + CENT!W79 + FLA!W79 + MIDA!W79 + MIDW!W79 + NE!W79 + NY!W79 + NW!W79 + SE!W79 + SW!W79 + TEN!W79 + TEX!W79</f>
        <v>4.0656000000000008E-3</v>
      </c>
      <c r="X79" s="8">
        <f xml:space="preserve"> 0 + CAL!X79 + CAR!X79 + CENT!X79 + FLA!X79 + MIDA!X79 + MIDW!X79 + NE!X79 + NY!X79 + NW!X79 + SE!X79 + SW!X79 + TEN!X79 + TEX!X79</f>
        <v>3.9820799999999998E-3</v>
      </c>
      <c r="Y79" s="8">
        <f xml:space="preserve"> 0 + CAL!Y79 + CAR!Y79 + CENT!Y79 + FLA!Y79 + MIDA!Y79 + MIDW!Y79 + NE!Y79 + NY!Y79 + NW!Y79 + SE!Y79 + SW!Y79 + TEN!Y79 + TEX!Y79</f>
        <v>5.5853099999999996E-3</v>
      </c>
      <c r="Z79" s="8">
        <f xml:space="preserve"> 0 + CAL!Z79 + CAR!Z79 + CENT!Z79 + FLA!Z79 + MIDA!Z79 + MIDW!Z79 + NE!Z79 + NY!Z79 + NW!Z79 + SE!Z79 + SW!Z79 + TEN!Z79 + TEX!Z79</f>
        <v>5.0738800000000002E-3</v>
      </c>
      <c r="AA79" s="8">
        <f xml:space="preserve"> 0 + CAL!AA79 + CAR!AA79 + CENT!AA79 + FLA!AA79 + MIDA!AA79 + MIDW!AA79 + NE!AA79 + NY!AA79 + NW!AA79 + SE!AA79 + SW!AA79 + TEN!AA79 + TEX!AA79</f>
        <v>4.8364599999999999E-3</v>
      </c>
      <c r="AB79" s="8">
        <f xml:space="preserve"> 0 + CAL!AB79 + CAR!AB79 + CENT!AB79 + FLA!AB79 + MIDA!AB79 + MIDW!AB79 + NE!AB79 + NY!AB79 + NW!AB79 + SE!AB79 + SW!AB79 + TEN!AB79 + TEX!AB79</f>
        <v>4.4170000000000008E-3</v>
      </c>
      <c r="AC79" s="8">
        <f xml:space="preserve"> 0 + CAL!AC79 + CAR!AC79 + CENT!AC79 + FLA!AC79 + MIDA!AC79 + MIDW!AC79 + NE!AC79 + NY!AC79 + NW!AC79 + SE!AC79 + SW!AC79 + TEN!AC79 + TEX!AC79</f>
        <v>3.9700199999999995E-3</v>
      </c>
    </row>
    <row r="80" spans="1:29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13.12972967</v>
      </c>
      <c r="E80" s="8">
        <f xml:space="preserve"> 0 + CAL!E80 + CAR!E80 + CENT!E80 + FLA!E80 + MIDA!E80 + MIDW!E80 + NE!E80 + NY!E80 + NW!E80 + SE!E80 + SW!E80 + TEN!E80 + TEX!E80</f>
        <v>13.012959349999999</v>
      </c>
      <c r="F80" s="8">
        <f xml:space="preserve"> 0 + CAL!F80 + CAR!F80 + CENT!F80 + FLA!F80 + MIDA!F80 + MIDW!F80 + NE!F80 + NY!F80 + NW!F80 + SE!F80 + SW!F80 + TEN!F80 + TEX!F80</f>
        <v>13.061867960000001</v>
      </c>
      <c r="G80" s="8">
        <f xml:space="preserve"> 0 + CAL!G80 + CAR!G80 + CENT!G80 + FLA!G80 + MIDA!G80 + MIDW!G80 + NE!G80 + NY!G80 + NW!G80 + SE!G80 + SW!G80 + TEN!G80 + TEX!G80</f>
        <v>13.255513279999999</v>
      </c>
      <c r="H80" s="8">
        <f xml:space="preserve"> 0 + CAL!H80 + CAR!H80 + CENT!H80 + FLA!H80 + MIDA!H80 + MIDW!H80 + NE!H80 + NY!H80 + NW!H80 + SE!H80 + SW!H80 + TEN!H80 + TEX!H80</f>
        <v>13.096560630000001</v>
      </c>
      <c r="I80" s="8">
        <f xml:space="preserve"> 0 + CAL!I80 + CAR!I80 + CENT!I80 + FLA!I80 + MIDA!I80 + MIDW!I80 + NE!I80 + NY!I80 + NW!I80 + SE!I80 + SW!I80 + TEN!I80 + TEX!I80</f>
        <v>13.428284270000001</v>
      </c>
      <c r="J80" s="8">
        <f xml:space="preserve"> 0 + CAL!J80 + CAR!J80 + CENT!J80 + FLA!J80 + MIDA!J80 + MIDW!J80 + NE!J80 + NY!J80 + NW!J80 + SE!J80 + SW!J80 + TEN!J80 + TEX!J80</f>
        <v>13.173800419999999</v>
      </c>
      <c r="K80" s="8">
        <f xml:space="preserve"> 0 + CAL!K80 + CAR!K80 + CENT!K80 + FLA!K80 + MIDA!K80 + MIDW!K80 + NE!K80 + NY!K80 + NW!K80 + SE!K80 + SW!K80 + TEN!K80 + TEX!K80</f>
        <v>13.171760300000001</v>
      </c>
      <c r="L80" s="8">
        <f xml:space="preserve"> 0 + CAL!L80 + CAR!L80 + CENT!L80 + FLA!L80 + MIDA!L80 + MIDW!L80 + NE!L80 + NY!L80 + NW!L80 + SE!L80 + SW!L80 + TEN!L80 + TEX!L80</f>
        <v>13.00002993</v>
      </c>
      <c r="M80" s="8">
        <f xml:space="preserve"> 0 + CAL!M80 + CAR!M80 + CENT!M80 + FLA!M80 + MIDA!M80 + MIDW!M80 + NE!M80 + NY!M80 + NW!M80 + SE!M80 + SW!M80 + TEN!M80 + TEX!M80</f>
        <v>13.000027510000001</v>
      </c>
      <c r="N80" s="8">
        <f xml:space="preserve"> 0 + CAL!N80 + CAR!N80 + CENT!N80 + FLA!N80 + MIDA!N80 + MIDW!N80 + NE!N80 + NY!N80 + NW!N80 + SE!N80 + SW!N80 + TEN!N80 + TEX!N80</f>
        <v>13.000014609999999</v>
      </c>
      <c r="O80" s="8">
        <f xml:space="preserve"> 0 + CAL!O80 + CAR!O80 + CENT!O80 + FLA!O80 + MIDA!O80 + MIDW!O80 + NE!O80 + NY!O80 + NW!O80 + SE!O80 + SW!O80 + TEN!O80 + TEX!O80</f>
        <v>13.00026063</v>
      </c>
      <c r="P80" s="8">
        <f xml:space="preserve"> 0 + CAL!P80 + CAR!P80 + CENT!P80 + FLA!P80 + MIDA!P80 + MIDW!P80 + NE!P80 + NY!P80 + NW!P80 + SE!P80 + SW!P80 + TEN!P80 + TEX!P80</f>
        <v>13.025589590000001</v>
      </c>
      <c r="Q80" s="8">
        <f xml:space="preserve"> 0 + CAL!Q80 + CAR!Q80 + CENT!Q80 + FLA!Q80 + MIDA!Q80 + MIDW!Q80 + NE!Q80 + NY!Q80 + NW!Q80 + SE!Q80 + SW!Q80 + TEN!Q80 + TEX!Q80</f>
        <v>13.00870711</v>
      </c>
      <c r="R80" s="8">
        <f xml:space="preserve"> 0 + CAL!R80 + CAR!R80 + CENT!R80 + FLA!R80 + MIDA!R80 + MIDW!R80 + NE!R80 + NY!R80 + NW!R80 + SE!R80 + SW!R80 + TEN!R80 + TEX!R80</f>
        <v>13.00805341</v>
      </c>
      <c r="S80" s="8">
        <f xml:space="preserve"> 0 + CAL!S80 + CAR!S80 + CENT!S80 + FLA!S80 + MIDA!S80 + MIDW!S80 + NE!S80 + NY!S80 + NW!S80 + SE!S80 + SW!S80 + TEN!S80 + TEX!S80</f>
        <v>13.081846319999999</v>
      </c>
      <c r="T80" s="8">
        <f xml:space="preserve"> 0 + CAL!T80 + CAR!T80 + CENT!T80 + FLA!T80 + MIDA!T80 + MIDW!T80 + NE!T80 + NY!T80 + NW!T80 + SE!T80 + SW!T80 + TEN!T80 + TEX!T80</f>
        <v>13.0033835</v>
      </c>
      <c r="U80" s="8">
        <f xml:space="preserve"> 0 + CAL!U80 + CAR!U80 + CENT!U80 + FLA!U80 + MIDA!U80 + MIDW!U80 + NE!U80 + NY!U80 + NW!U80 + SE!U80 + SW!U80 + TEN!U80 + TEX!U80</f>
        <v>13.04525213</v>
      </c>
      <c r="V80" s="8">
        <f xml:space="preserve"> 0 + CAL!V80 + CAR!V80 + CENT!V80 + FLA!V80 + MIDA!V80 + MIDW!V80 + NE!V80 + NY!V80 + NW!V80 + SE!V80 + SW!V80 + TEN!V80 + TEX!V80</f>
        <v>13.00002737</v>
      </c>
      <c r="W80" s="8">
        <f xml:space="preserve"> 0 + CAL!W80 + CAR!W80 + CENT!W80 + FLA!W80 + MIDA!W80 + MIDW!W80 + NE!W80 + NY!W80 + NW!W80 + SE!W80 + SW!W80 + TEN!W80 + TEX!W80</f>
        <v>13.001575899999999</v>
      </c>
      <c r="X80" s="8">
        <f xml:space="preserve"> 0 + CAL!X80 + CAR!X80 + CENT!X80 + FLA!X80 + MIDA!X80 + MIDW!X80 + NE!X80 + NY!X80 + NW!X80 + SE!X80 + SW!X80 + TEN!X80 + TEX!X80</f>
        <v>13.109837670000001</v>
      </c>
      <c r="Y80" s="8">
        <f xml:space="preserve"> 0 + CAL!Y80 + CAR!Y80 + CENT!Y80 + FLA!Y80 + MIDA!Y80 + MIDW!Y80 + NE!Y80 + NY!Y80 + NW!Y80 + SE!Y80 + SW!Y80 + TEN!Y80 + TEX!Y80</f>
        <v>13.022382889999999</v>
      </c>
      <c r="Z80" s="8">
        <f xml:space="preserve"> 0 + CAL!Z80 + CAR!Z80 + CENT!Z80 + FLA!Z80 + MIDA!Z80 + MIDW!Z80 + NE!Z80 + NY!Z80 + NW!Z80 + SE!Z80 + SW!Z80 + TEN!Z80 + TEX!Z80</f>
        <v>13.08750526</v>
      </c>
      <c r="AA80" s="8">
        <f xml:space="preserve"> 0 + CAL!AA80 + CAR!AA80 + CENT!AA80 + FLA!AA80 + MIDA!AA80 + MIDW!AA80 + NE!AA80 + NY!AA80 + NW!AA80 + SE!AA80 + SW!AA80 + TEN!AA80 + TEX!AA80</f>
        <v>13.000097960000002</v>
      </c>
      <c r="AB80" s="8">
        <f xml:space="preserve"> 0 + CAL!AB80 + CAR!AB80 + CENT!AB80 + FLA!AB80 + MIDA!AB80 + MIDW!AB80 + NE!AB80 + NY!AB80 + NW!AB80 + SE!AB80 + SW!AB80 + TEN!AB80 + TEX!AB80</f>
        <v>13.010902329999999</v>
      </c>
      <c r="AC80" s="8">
        <f xml:space="preserve"> 0 + CAL!AC80 + CAR!AC80 + CENT!AC80 + FLA!AC80 + MIDA!AC80 + MIDW!AC80 + NE!AC80 + NY!AC80 + NW!AC80 + SE!AC80 + SW!AC80 + TEN!AC80 + TEX!AC80</f>
        <v>13.006993850000001</v>
      </c>
    </row>
    <row r="81" spans="1:29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13.12972967</v>
      </c>
      <c r="D81" s="8">
        <f xml:space="preserve"> 0 + CAL!D81 + CAR!D81 + CENT!D81 + FLA!D81 + MIDA!D81 + MIDW!D81 + NE!D81 + NY!D81 + NW!D81 + SE!D81 + SW!D81 + TEN!D81 + TEX!D81</f>
        <v>13.012959349999999</v>
      </c>
      <c r="E81" s="8">
        <f xml:space="preserve"> 0 + CAL!E81 + CAR!E81 + CENT!E81 + FLA!E81 + MIDA!E81 + MIDW!E81 + NE!E81 + NY!E81 + NW!E81 + SE!E81 + SW!E81 + TEN!E81 + TEX!E81</f>
        <v>13.061867960000001</v>
      </c>
      <c r="F81" s="8">
        <f xml:space="preserve"> 0 + CAL!F81 + CAR!F81 + CENT!F81 + FLA!F81 + MIDA!F81 + MIDW!F81 + NE!F81 + NY!F81 + NW!F81 + SE!F81 + SW!F81 + TEN!F81 + TEX!F81</f>
        <v>13.255513279999999</v>
      </c>
      <c r="G81" s="8">
        <f xml:space="preserve"> 0 + CAL!G81 + CAR!G81 + CENT!G81 + FLA!G81 + MIDA!G81 + MIDW!G81 + NE!G81 + NY!G81 + NW!G81 + SE!G81 + SW!G81 + TEN!G81 + TEX!G81</f>
        <v>13.096560630000001</v>
      </c>
      <c r="H81" s="8">
        <f xml:space="preserve"> 0 + CAL!H81 + CAR!H81 + CENT!H81 + FLA!H81 + MIDA!H81 + MIDW!H81 + NE!H81 + NY!H81 + NW!H81 + SE!H81 + SW!H81 + TEN!H81 + TEX!H81</f>
        <v>13.428284270000001</v>
      </c>
      <c r="I81" s="8">
        <f xml:space="preserve"> 0 + CAL!I81 + CAR!I81 + CENT!I81 + FLA!I81 + MIDA!I81 + MIDW!I81 + NE!I81 + NY!I81 + NW!I81 + SE!I81 + SW!I81 + TEN!I81 + TEX!I81</f>
        <v>13.173800419999999</v>
      </c>
      <c r="J81" s="8">
        <f xml:space="preserve"> 0 + CAL!J81 + CAR!J81 + CENT!J81 + FLA!J81 + MIDA!J81 + MIDW!J81 + NE!J81 + NY!J81 + NW!J81 + SE!J81 + SW!J81 + TEN!J81 + TEX!J81</f>
        <v>13.171760300000001</v>
      </c>
      <c r="K81" s="8">
        <f xml:space="preserve"> 0 + CAL!K81 + CAR!K81 + CENT!K81 + FLA!K81 + MIDA!K81 + MIDW!K81 + NE!K81 + NY!K81 + NW!K81 + SE!K81 + SW!K81 + TEN!K81 + TEX!K81</f>
        <v>13.00002993</v>
      </c>
      <c r="L81" s="8">
        <f xml:space="preserve"> 0 + CAL!L81 + CAR!L81 + CENT!L81 + FLA!L81 + MIDA!L81 + MIDW!L81 + NE!L81 + NY!L81 + NW!L81 + SE!L81 + SW!L81 + TEN!L81 + TEX!L81</f>
        <v>13.000027510000001</v>
      </c>
      <c r="M81" s="8">
        <f xml:space="preserve"> 0 + CAL!M81 + CAR!M81 + CENT!M81 + FLA!M81 + MIDA!M81 + MIDW!M81 + NE!M81 + NY!M81 + NW!M81 + SE!M81 + SW!M81 + TEN!M81 + TEX!M81</f>
        <v>13.000014609999999</v>
      </c>
      <c r="N81" s="8">
        <f xml:space="preserve"> 0 + CAL!N81 + CAR!N81 + CENT!N81 + FLA!N81 + MIDA!N81 + MIDW!N81 + NE!N81 + NY!N81 + NW!N81 + SE!N81 + SW!N81 + TEN!N81 + TEX!N81</f>
        <v>13.00026063</v>
      </c>
      <c r="O81" s="8">
        <f xml:space="preserve"> 0 + CAL!O81 + CAR!O81 + CENT!O81 + FLA!O81 + MIDA!O81 + MIDW!O81 + NE!O81 + NY!O81 + NW!O81 + SE!O81 + SW!O81 + TEN!O81 + TEX!O81</f>
        <v>13.025589590000001</v>
      </c>
      <c r="P81" s="8">
        <f xml:space="preserve"> 0 + CAL!P81 + CAR!P81 + CENT!P81 + FLA!P81 + MIDA!P81 + MIDW!P81 + NE!P81 + NY!P81 + NW!P81 + SE!P81 + SW!P81 + TEN!P81 + TEX!P81</f>
        <v>13.00870711</v>
      </c>
      <c r="Q81" s="8">
        <f xml:space="preserve"> 0 + CAL!Q81 + CAR!Q81 + CENT!Q81 + FLA!Q81 + MIDA!Q81 + MIDW!Q81 + NE!Q81 + NY!Q81 + NW!Q81 + SE!Q81 + SW!Q81 + TEN!Q81 + TEX!Q81</f>
        <v>13.00805341</v>
      </c>
      <c r="R81" s="8">
        <f xml:space="preserve"> 0 + CAL!R81 + CAR!R81 + CENT!R81 + FLA!R81 + MIDA!R81 + MIDW!R81 + NE!R81 + NY!R81 + NW!R81 + SE!R81 + SW!R81 + TEN!R81 + TEX!R81</f>
        <v>13.081846319999999</v>
      </c>
      <c r="S81" s="8">
        <f xml:space="preserve"> 0 + CAL!S81 + CAR!S81 + CENT!S81 + FLA!S81 + MIDA!S81 + MIDW!S81 + NE!S81 + NY!S81 + NW!S81 + SE!S81 + SW!S81 + TEN!S81 + TEX!S81</f>
        <v>13.0033835</v>
      </c>
      <c r="T81" s="8">
        <f xml:space="preserve"> 0 + CAL!T81 + CAR!T81 + CENT!T81 + FLA!T81 + MIDA!T81 + MIDW!T81 + NE!T81 + NY!T81 + NW!T81 + SE!T81 + SW!T81 + TEN!T81 + TEX!T81</f>
        <v>13.04525213</v>
      </c>
      <c r="U81" s="8">
        <f xml:space="preserve"> 0 + CAL!U81 + CAR!U81 + CENT!U81 + FLA!U81 + MIDA!U81 + MIDW!U81 + NE!U81 + NY!U81 + NW!U81 + SE!U81 + SW!U81 + TEN!U81 + TEX!U81</f>
        <v>13.00002737</v>
      </c>
      <c r="V81" s="8">
        <f xml:space="preserve"> 0 + CAL!V81 + CAR!V81 + CENT!V81 + FLA!V81 + MIDA!V81 + MIDW!V81 + NE!V81 + NY!V81 + NW!V81 + SE!V81 + SW!V81 + TEN!V81 + TEX!V81</f>
        <v>13.001575899999999</v>
      </c>
      <c r="W81" s="8">
        <f xml:space="preserve"> 0 + CAL!W81 + CAR!W81 + CENT!W81 + FLA!W81 + MIDA!W81 + MIDW!W81 + NE!W81 + NY!W81 + NW!W81 + SE!W81 + SW!W81 + TEN!W81 + TEX!W81</f>
        <v>13.109837670000001</v>
      </c>
      <c r="X81" s="8">
        <f xml:space="preserve"> 0 + CAL!X81 + CAR!X81 + CENT!X81 + FLA!X81 + MIDA!X81 + MIDW!X81 + NE!X81 + NY!X81 + NW!X81 + SE!X81 + SW!X81 + TEN!X81 + TEX!X81</f>
        <v>13.022382889999999</v>
      </c>
      <c r="Y81" s="8">
        <f xml:space="preserve"> 0 + CAL!Y81 + CAR!Y81 + CENT!Y81 + FLA!Y81 + MIDA!Y81 + MIDW!Y81 + NE!Y81 + NY!Y81 + NW!Y81 + SE!Y81 + SW!Y81 + TEN!Y81 + TEX!Y81</f>
        <v>13.08750526</v>
      </c>
      <c r="Z81" s="8">
        <f xml:space="preserve"> 0 + CAL!Z81 + CAR!Z81 + CENT!Z81 + FLA!Z81 + MIDA!Z81 + MIDW!Z81 + NE!Z81 + NY!Z81 + NW!Z81 + SE!Z81 + SW!Z81 + TEN!Z81 + TEX!Z81</f>
        <v>13.000097960000002</v>
      </c>
      <c r="AA81" s="8">
        <f xml:space="preserve"> 0 + CAL!AA81 + CAR!AA81 + CENT!AA81 + FLA!AA81 + MIDA!AA81 + MIDW!AA81 + NE!AA81 + NY!AA81 + NW!AA81 + SE!AA81 + SW!AA81 + TEN!AA81 + TEX!AA81</f>
        <v>13.010902329999999</v>
      </c>
      <c r="AB81" s="8">
        <f xml:space="preserve"> 0 + CAL!AB81 + CAR!AB81 + CENT!AB81 + FLA!AB81 + MIDA!AB81 + MIDW!AB81 + NE!AB81 + NY!AB81 + NW!AB81 + SE!AB81 + SW!AB81 + TEN!AB81 + TEX!AB81</f>
        <v>13.006993850000001</v>
      </c>
      <c r="AC81" s="8">
        <f xml:space="preserve"> 0 + CAL!AC81 + CAR!AC81 + CENT!AC81 + FLA!AC81 + MIDA!AC81 + MIDW!AC81 + NE!AC81 + NY!AC81 + NW!AC81 + SE!AC81 + SW!AC81 + TEN!AC81 + TEX!AC81</f>
        <v>13.000996200000001</v>
      </c>
    </row>
    <row r="82" spans="1:29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CD54-C3A1-4BC2-B44D-09862489DBE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58706</v>
      </c>
      <c r="C5" s="8">
        <v>60036.229971560002</v>
      </c>
      <c r="D5" s="8">
        <v>62205.847352470002</v>
      </c>
      <c r="E5" s="8">
        <v>65011.122040570001</v>
      </c>
      <c r="F5" s="8">
        <v>68932.033481530001</v>
      </c>
      <c r="G5" s="8">
        <v>72161.671088520001</v>
      </c>
      <c r="H5" s="8">
        <v>75429.31964555</v>
      </c>
      <c r="I5" s="8">
        <v>78770.486059090006</v>
      </c>
      <c r="J5" s="8">
        <v>82221.738973939995</v>
      </c>
      <c r="K5" s="8">
        <v>86356.616933450001</v>
      </c>
      <c r="L5" s="8">
        <v>90680.470879700006</v>
      </c>
      <c r="M5" s="8">
        <v>94966.118946629998</v>
      </c>
      <c r="N5" s="8">
        <v>99355.850903989995</v>
      </c>
      <c r="O5" s="8">
        <v>103761.44649546999</v>
      </c>
      <c r="P5" s="8">
        <v>108213.16257576</v>
      </c>
      <c r="Q5" s="8">
        <v>112746.47671673</v>
      </c>
      <c r="R5" s="8">
        <v>116724.50354315</v>
      </c>
      <c r="S5" s="8">
        <v>120235.51932361</v>
      </c>
      <c r="T5" s="8">
        <v>122499.27623649</v>
      </c>
      <c r="U5" s="8">
        <v>125473.66727763</v>
      </c>
      <c r="V5" s="8">
        <v>128377.24299037999</v>
      </c>
      <c r="W5" s="8">
        <v>131537.03064657</v>
      </c>
      <c r="X5" s="8">
        <v>134660.31334833</v>
      </c>
      <c r="Y5" s="8">
        <v>138075.31722296</v>
      </c>
      <c r="Z5" s="8">
        <v>141362.35565561999</v>
      </c>
      <c r="AA5" s="8">
        <v>144747.8251094</v>
      </c>
      <c r="AB5" s="8">
        <v>148229.89759465001</v>
      </c>
      <c r="AC5" s="8">
        <v>151954.50719057</v>
      </c>
    </row>
    <row r="6" spans="1:29" x14ac:dyDescent="0.85">
      <c r="A6" t="s">
        <v>139</v>
      </c>
      <c r="B6" s="8">
        <v>178291941.155</v>
      </c>
      <c r="C6" s="8">
        <v>182373051.603183</v>
      </c>
      <c r="D6" s="8">
        <v>186535785.209093</v>
      </c>
      <c r="E6" s="8">
        <v>190781773.005209</v>
      </c>
      <c r="F6" s="8">
        <v>195129557.78265101</v>
      </c>
      <c r="G6" s="8">
        <v>200218638.27027401</v>
      </c>
      <c r="H6" s="8">
        <v>207287937.69374099</v>
      </c>
      <c r="I6" s="8">
        <v>215637279.366579</v>
      </c>
      <c r="J6" s="8">
        <v>222383825.48907501</v>
      </c>
      <c r="K6" s="8">
        <v>230919130.592527</v>
      </c>
      <c r="L6" s="8">
        <v>240343572.40745401</v>
      </c>
      <c r="M6" s="8">
        <v>249954218.46800801</v>
      </c>
      <c r="N6" s="8">
        <v>260067082.71193099</v>
      </c>
      <c r="O6" s="8">
        <v>270296562.78751898</v>
      </c>
      <c r="P6" s="8">
        <v>280678706.61910599</v>
      </c>
      <c r="Q6" s="8">
        <v>291385398.97702801</v>
      </c>
      <c r="R6" s="8">
        <v>301848664.16652399</v>
      </c>
      <c r="S6" s="8">
        <v>311801000.16552699</v>
      </c>
      <c r="T6" s="8">
        <v>320460584.06489599</v>
      </c>
      <c r="U6" s="8">
        <v>329828113.98275501</v>
      </c>
      <c r="V6" s="8">
        <v>339189524.83579499</v>
      </c>
      <c r="W6" s="8">
        <v>348915713.52902901</v>
      </c>
      <c r="X6" s="8">
        <v>358765129.78255999</v>
      </c>
      <c r="Y6" s="8">
        <v>369005742.62775701</v>
      </c>
      <c r="Z6" s="8">
        <v>379169234.789195</v>
      </c>
      <c r="AA6" s="8">
        <v>389667239.45373899</v>
      </c>
      <c r="AB6" s="8">
        <v>400350395.619542</v>
      </c>
      <c r="AC6" s="8">
        <v>411450532.354608</v>
      </c>
    </row>
    <row r="7" spans="1:29" x14ac:dyDescent="0.85">
      <c r="A7" t="s">
        <v>140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</row>
    <row r="8" spans="1:29" x14ac:dyDescent="0.85">
      <c r="A8" t="s">
        <v>141</v>
      </c>
      <c r="B8" s="8">
        <v>7195.7586314500004</v>
      </c>
      <c r="C8" s="8">
        <v>7354.1694643000001</v>
      </c>
      <c r="D8" s="8">
        <v>7580.7229045300001</v>
      </c>
      <c r="E8" s="8">
        <v>7908.5683705600004</v>
      </c>
      <c r="F8" s="8">
        <v>9017.9654502499998</v>
      </c>
      <c r="G8" s="8">
        <v>10099.499684320001</v>
      </c>
      <c r="H8" s="8">
        <v>11216.542958870001</v>
      </c>
      <c r="I8" s="8">
        <v>12168.662500910001</v>
      </c>
      <c r="J8" s="8">
        <v>12658.91362345</v>
      </c>
      <c r="K8" s="8">
        <v>13434.27936488</v>
      </c>
      <c r="L8" s="8">
        <v>14252.66015448</v>
      </c>
      <c r="M8" s="8">
        <v>15004.95331352</v>
      </c>
      <c r="N8" s="8">
        <v>15759.62377604</v>
      </c>
      <c r="O8" s="8">
        <v>16473.999235750001</v>
      </c>
      <c r="P8" s="8">
        <v>17162.489795630001</v>
      </c>
      <c r="Q8" s="8">
        <v>17855.445112140002</v>
      </c>
      <c r="R8" s="8">
        <v>18568.047873629999</v>
      </c>
      <c r="S8" s="8">
        <v>19264.84520974</v>
      </c>
      <c r="T8" s="8">
        <v>19965.907813450001</v>
      </c>
      <c r="U8" s="8">
        <v>20643.562707059999</v>
      </c>
      <c r="V8" s="8">
        <v>21319.06573445</v>
      </c>
      <c r="W8" s="8">
        <v>21998.173787740001</v>
      </c>
      <c r="X8" s="8">
        <v>22689.2177199</v>
      </c>
      <c r="Y8" s="8">
        <v>23384.006880690002</v>
      </c>
      <c r="Z8" s="8">
        <v>24080.727145469999</v>
      </c>
      <c r="AA8" s="8">
        <v>24799.373550550001</v>
      </c>
      <c r="AB8" s="8">
        <v>25522.797486150001</v>
      </c>
      <c r="AC8" s="8">
        <v>26260.08736569</v>
      </c>
    </row>
    <row r="9" spans="1:29" x14ac:dyDescent="0.85">
      <c r="A9" t="s">
        <v>142</v>
      </c>
      <c r="B9" s="8">
        <v>2740.84487941</v>
      </c>
      <c r="C9" s="8">
        <v>2789.0689637800001</v>
      </c>
      <c r="D9" s="8">
        <v>2801.4360102800001</v>
      </c>
      <c r="E9" s="8">
        <v>2764.77953828</v>
      </c>
      <c r="F9" s="8">
        <v>2539.5521279</v>
      </c>
      <c r="G9" s="8">
        <v>2309.4734185500001</v>
      </c>
      <c r="H9" s="8">
        <v>2113.14328166</v>
      </c>
      <c r="I9" s="8">
        <v>1993.66469863</v>
      </c>
      <c r="J9" s="8">
        <v>1963.1983433400001</v>
      </c>
      <c r="K9" s="8">
        <v>1908.68671961</v>
      </c>
      <c r="L9" s="8">
        <v>1862.0526829999999</v>
      </c>
      <c r="M9" s="8">
        <v>1830.65971995</v>
      </c>
      <c r="N9" s="8">
        <v>1806.86374286</v>
      </c>
      <c r="O9" s="8">
        <v>1790.8426073999999</v>
      </c>
      <c r="P9" s="8">
        <v>1780.2650738499999</v>
      </c>
      <c r="Q9" s="8">
        <v>1773.6863793299999</v>
      </c>
      <c r="R9" s="8">
        <v>1782.2962042900001</v>
      </c>
      <c r="S9" s="8">
        <v>1810.4415136099999</v>
      </c>
      <c r="T9" s="8">
        <v>1881.89741779</v>
      </c>
      <c r="U9" s="8">
        <v>1934.80407582</v>
      </c>
      <c r="V9" s="8">
        <v>1991.1383372099999</v>
      </c>
      <c r="W9" s="8">
        <v>2044.3091812099999</v>
      </c>
      <c r="X9" s="8">
        <v>2101.6577588499999</v>
      </c>
      <c r="Y9" s="8">
        <v>2154.2446770800002</v>
      </c>
      <c r="Z9" s="8">
        <v>2213.0217459599999</v>
      </c>
      <c r="AA9" s="8">
        <v>2274.46596791</v>
      </c>
      <c r="AB9" s="8">
        <v>2335.4071752</v>
      </c>
      <c r="AC9" s="8">
        <v>2393.08995912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1095.6194546500001</v>
      </c>
      <c r="D11" s="8">
        <v>2203.3663635100002</v>
      </c>
      <c r="E11" s="8">
        <v>3264.4535918900001</v>
      </c>
      <c r="F11" s="8">
        <v>3655.7724693300001</v>
      </c>
      <c r="G11" s="8">
        <v>3822.0437802699998</v>
      </c>
      <c r="H11" s="8">
        <v>3774.2652716299999</v>
      </c>
      <c r="I11" s="8">
        <v>3768.98438412</v>
      </c>
      <c r="J11" s="8">
        <v>4173.6528726899996</v>
      </c>
      <c r="K11" s="8">
        <v>4303.2203359300001</v>
      </c>
      <c r="L11" s="8">
        <v>4361.17471897</v>
      </c>
      <c r="M11" s="8">
        <v>4461.3696461700001</v>
      </c>
      <c r="N11" s="8">
        <v>4548.9451091600004</v>
      </c>
      <c r="O11" s="8">
        <v>4672.3459799499997</v>
      </c>
      <c r="P11" s="8">
        <v>4825.9596313700004</v>
      </c>
      <c r="Q11" s="8">
        <v>4983.6438609999996</v>
      </c>
      <c r="R11" s="8">
        <v>5120.8273898999996</v>
      </c>
      <c r="S11" s="8">
        <v>5268.2956758600003</v>
      </c>
      <c r="T11" s="8">
        <v>5375.5071212299999</v>
      </c>
      <c r="U11" s="8">
        <v>5534.8107532599997</v>
      </c>
      <c r="V11" s="8">
        <v>5705.0199137899999</v>
      </c>
      <c r="W11" s="8">
        <v>5888.3500064700002</v>
      </c>
      <c r="X11" s="8">
        <v>6070.2570391199997</v>
      </c>
      <c r="Y11" s="8">
        <v>6268.9067530599996</v>
      </c>
      <c r="Z11" s="8">
        <v>6476.4007750199999</v>
      </c>
      <c r="AA11" s="8">
        <v>6676.6793571500002</v>
      </c>
      <c r="AB11" s="8">
        <v>6890.9323450000002</v>
      </c>
      <c r="AC11" s="8">
        <v>7113.8313841500003</v>
      </c>
    </row>
    <row r="12" spans="1:29" x14ac:dyDescent="0.85">
      <c r="A12" t="s">
        <v>144</v>
      </c>
      <c r="B12" s="8">
        <v>9936.6035108699998</v>
      </c>
      <c r="C12" s="8">
        <v>10143.238428090001</v>
      </c>
      <c r="D12" s="8">
        <v>10382.158914809999</v>
      </c>
      <c r="E12" s="8">
        <v>10673.34790884</v>
      </c>
      <c r="F12" s="8">
        <v>11557.51757815</v>
      </c>
      <c r="G12" s="8">
        <v>12408.97310286</v>
      </c>
      <c r="H12" s="8">
        <v>13329.68624053</v>
      </c>
      <c r="I12" s="8">
        <v>14162.32719953</v>
      </c>
      <c r="J12" s="8">
        <v>14622.11196679</v>
      </c>
      <c r="K12" s="8">
        <v>15342.966084490001</v>
      </c>
      <c r="L12" s="8">
        <v>16114.71283748</v>
      </c>
      <c r="M12" s="8">
        <v>16835.613033469999</v>
      </c>
      <c r="N12" s="8">
        <v>17566.487518909998</v>
      </c>
      <c r="O12" s="8">
        <v>18264.841843149999</v>
      </c>
      <c r="P12" s="8">
        <v>18942.754869470002</v>
      </c>
      <c r="Q12" s="8">
        <v>19629.131491470001</v>
      </c>
      <c r="R12" s="8">
        <v>20350.344077919999</v>
      </c>
      <c r="S12" s="8">
        <v>21075.28672335</v>
      </c>
      <c r="T12" s="8">
        <v>21847.805231229999</v>
      </c>
      <c r="U12" s="8">
        <v>22578.366782879999</v>
      </c>
      <c r="V12" s="8">
        <v>23310.204071659999</v>
      </c>
      <c r="W12" s="8">
        <v>24042.48296895</v>
      </c>
      <c r="X12" s="8">
        <v>24790.875478760001</v>
      </c>
      <c r="Y12" s="8">
        <v>25538.25155777</v>
      </c>
      <c r="Z12" s="8">
        <v>26293.748891430001</v>
      </c>
      <c r="AA12" s="8">
        <v>27073.839518460001</v>
      </c>
      <c r="AB12" s="8">
        <v>27858.204661349999</v>
      </c>
      <c r="AC12" s="8">
        <v>28653.17732481</v>
      </c>
    </row>
    <row r="13" spans="1:29" x14ac:dyDescent="0.85">
      <c r="A13" t="s">
        <v>145</v>
      </c>
      <c r="B13" s="8">
        <v>9936.6035108699998</v>
      </c>
      <c r="C13" s="8">
        <v>11238.857882730001</v>
      </c>
      <c r="D13" s="8">
        <v>12585.525278319999</v>
      </c>
      <c r="E13" s="8">
        <v>13937.80150073</v>
      </c>
      <c r="F13" s="8">
        <v>15213.290047480001</v>
      </c>
      <c r="G13" s="8">
        <v>16231.016883140001</v>
      </c>
      <c r="H13" s="8">
        <v>17103.951512160002</v>
      </c>
      <c r="I13" s="8">
        <v>17931.31158365</v>
      </c>
      <c r="J13" s="8">
        <v>18795.764839480002</v>
      </c>
      <c r="K13" s="8">
        <v>19646.186420419999</v>
      </c>
      <c r="L13" s="8">
        <v>20475.887556450001</v>
      </c>
      <c r="M13" s="8">
        <v>21296.982679640001</v>
      </c>
      <c r="N13" s="8">
        <v>22115.432628070001</v>
      </c>
      <c r="O13" s="8">
        <v>22937.187823100001</v>
      </c>
      <c r="P13" s="8">
        <v>23768.714500850001</v>
      </c>
      <c r="Q13" s="8">
        <v>24612.775352469998</v>
      </c>
      <c r="R13" s="8">
        <v>25471.171467820001</v>
      </c>
      <c r="S13" s="8">
        <v>26343.582399210001</v>
      </c>
      <c r="T13" s="8">
        <v>27223.312352469999</v>
      </c>
      <c r="U13" s="8">
        <v>28113.177536129999</v>
      </c>
      <c r="V13" s="8">
        <v>29015.22398545</v>
      </c>
      <c r="W13" s="8">
        <v>29930.832975419999</v>
      </c>
      <c r="X13" s="8">
        <v>30861.13251788</v>
      </c>
      <c r="Y13" s="8">
        <v>31807.15831083</v>
      </c>
      <c r="Z13" s="8">
        <v>32770.149666450001</v>
      </c>
      <c r="AA13" s="8">
        <v>33750.518875610003</v>
      </c>
      <c r="AB13" s="8">
        <v>34749.137006340003</v>
      </c>
      <c r="AC13" s="8">
        <v>35767.008708950001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16897</v>
      </c>
      <c r="C17" s="8">
        <v>16722.635385990001</v>
      </c>
      <c r="D17" s="8">
        <v>17489.106578999999</v>
      </c>
      <c r="E17" s="8">
        <v>18310.078526040001</v>
      </c>
      <c r="F17" s="8">
        <v>19167.53332427</v>
      </c>
      <c r="G17" s="8">
        <v>20080.252088689998</v>
      </c>
      <c r="H17" s="8">
        <v>21035.52859387</v>
      </c>
      <c r="I17" s="8">
        <v>22033.418301549998</v>
      </c>
      <c r="J17" s="8">
        <v>23074.56797806</v>
      </c>
      <c r="K17" s="8">
        <v>24160.29060588</v>
      </c>
      <c r="L17" s="8">
        <v>25301.658648000001</v>
      </c>
      <c r="M17" s="8">
        <v>26501.131946959998</v>
      </c>
      <c r="N17" s="8">
        <v>27757.241833460001</v>
      </c>
      <c r="O17" s="8">
        <v>29070.975279099999</v>
      </c>
      <c r="P17" s="8">
        <v>30441.804311920001</v>
      </c>
      <c r="Q17" s="8">
        <v>31833.255674700002</v>
      </c>
      <c r="R17" s="8">
        <v>32384.741153819999</v>
      </c>
      <c r="S17" s="8">
        <v>32952.316428320002</v>
      </c>
      <c r="T17" s="8">
        <v>33237.807704079998</v>
      </c>
      <c r="U17" s="8">
        <v>33845.613343450001</v>
      </c>
      <c r="V17" s="8">
        <v>34295.734493229997</v>
      </c>
      <c r="W17" s="8">
        <v>34930.875053199998</v>
      </c>
      <c r="X17" s="8">
        <v>35473.643649379999</v>
      </c>
      <c r="Y17" s="8">
        <v>36197.628593939997</v>
      </c>
      <c r="Z17" s="8">
        <v>36840.307316699997</v>
      </c>
      <c r="AA17" s="8">
        <v>37559.44184069</v>
      </c>
      <c r="AB17" s="8">
        <v>38272.858465899997</v>
      </c>
      <c r="AC17" s="8">
        <v>39079.607946999997</v>
      </c>
    </row>
    <row r="18" spans="1:29" x14ac:dyDescent="0.85">
      <c r="A18" t="s">
        <v>149</v>
      </c>
      <c r="B18" s="8">
        <v>38171545.5</v>
      </c>
      <c r="C18" s="8">
        <v>37777643.221651502</v>
      </c>
      <c r="D18" s="8">
        <v>39509157.100938797</v>
      </c>
      <c r="E18" s="8">
        <v>41363792.126728497</v>
      </c>
      <c r="F18" s="8">
        <v>43300844.5528889</v>
      </c>
      <c r="G18" s="8">
        <v>45362742.277031802</v>
      </c>
      <c r="H18" s="8">
        <v>47520781.016596802</v>
      </c>
      <c r="I18" s="8">
        <v>49775086.063680701</v>
      </c>
      <c r="J18" s="8">
        <v>52127118.510221198</v>
      </c>
      <c r="K18" s="8">
        <v>54579844.4786321</v>
      </c>
      <c r="L18" s="8">
        <v>57158277.463900097</v>
      </c>
      <c r="M18" s="8">
        <v>59867974.428293198</v>
      </c>
      <c r="N18" s="8">
        <v>62705617.541589998</v>
      </c>
      <c r="O18" s="8">
        <v>65673436.444073901</v>
      </c>
      <c r="P18" s="8">
        <v>68770238.408870503</v>
      </c>
      <c r="Q18" s="8">
        <v>71913627.709057406</v>
      </c>
      <c r="R18" s="8">
        <v>73159473.3064311</v>
      </c>
      <c r="S18" s="8">
        <v>74441666.915676802</v>
      </c>
      <c r="T18" s="8">
        <v>75086612.362933993</v>
      </c>
      <c r="U18" s="8">
        <v>76459689.277075693</v>
      </c>
      <c r="V18" s="8">
        <v>77476545.520755902</v>
      </c>
      <c r="W18" s="8">
        <v>78911373.998221695</v>
      </c>
      <c r="X18" s="8">
        <v>80137527.526365504</v>
      </c>
      <c r="Y18" s="8">
        <v>81773061.896535307</v>
      </c>
      <c r="Z18" s="8">
        <v>83224919.629138201</v>
      </c>
      <c r="AA18" s="8">
        <v>84849496.548297703</v>
      </c>
      <c r="AB18" s="8">
        <v>86461156.320421696</v>
      </c>
      <c r="AC18" s="8">
        <v>88283661.766654</v>
      </c>
    </row>
    <row r="19" spans="1:29" x14ac:dyDescent="0.85">
      <c r="A19" t="s">
        <v>150</v>
      </c>
      <c r="B19" s="8">
        <v>38171545.5</v>
      </c>
      <c r="C19" s="8">
        <v>37777643.221651502</v>
      </c>
      <c r="D19" s="8">
        <v>39509157.100938797</v>
      </c>
      <c r="E19" s="8">
        <v>41363792.126728497</v>
      </c>
      <c r="F19" s="8">
        <v>43300844.5528889</v>
      </c>
      <c r="G19" s="8">
        <v>45362742.277031802</v>
      </c>
      <c r="H19" s="8">
        <v>47520781.016596802</v>
      </c>
      <c r="I19" s="8">
        <v>49775086.063680701</v>
      </c>
      <c r="J19" s="8">
        <v>52127118.510221198</v>
      </c>
      <c r="K19" s="8">
        <v>54579844.4786321</v>
      </c>
      <c r="L19" s="8">
        <v>57158277.463900097</v>
      </c>
      <c r="M19" s="8">
        <v>59867974.428293198</v>
      </c>
      <c r="N19" s="8">
        <v>62705617.541589998</v>
      </c>
      <c r="O19" s="8">
        <v>65673436.444073901</v>
      </c>
      <c r="P19" s="8">
        <v>68770238.408870503</v>
      </c>
      <c r="Q19" s="8">
        <v>71913627.709057406</v>
      </c>
      <c r="R19" s="8">
        <v>73159473.3064311</v>
      </c>
      <c r="S19" s="8">
        <v>74441666.915676802</v>
      </c>
      <c r="T19" s="8">
        <v>75086612.362933993</v>
      </c>
      <c r="U19" s="8">
        <v>76459689.277075693</v>
      </c>
      <c r="V19" s="8">
        <v>77476545.520755902</v>
      </c>
      <c r="W19" s="8">
        <v>78911373.998221695</v>
      </c>
      <c r="X19" s="8">
        <v>80137527.526365504</v>
      </c>
      <c r="Y19" s="8">
        <v>81773061.896535307</v>
      </c>
      <c r="Z19" s="8">
        <v>83224919.629138201</v>
      </c>
      <c r="AA19" s="8">
        <v>84849496.548297703</v>
      </c>
      <c r="AB19" s="8">
        <v>86461156.320421696</v>
      </c>
      <c r="AC19" s="8">
        <v>88283661.766654</v>
      </c>
    </row>
    <row r="20" spans="1:29" x14ac:dyDescent="0.85">
      <c r="A20" t="s">
        <v>151</v>
      </c>
      <c r="B20" s="8">
        <v>1666.28174066</v>
      </c>
      <c r="C20" s="8">
        <v>1649.0869384800001</v>
      </c>
      <c r="D20" s="8">
        <v>1724.67177328</v>
      </c>
      <c r="E20" s="8">
        <v>1805.6311486100001</v>
      </c>
      <c r="F20" s="8">
        <v>1890.18824595</v>
      </c>
      <c r="G20" s="8">
        <v>1980.1951472600001</v>
      </c>
      <c r="H20" s="8">
        <v>2074.3988401000001</v>
      </c>
      <c r="I20" s="8">
        <v>2172.8047937699998</v>
      </c>
      <c r="J20" s="8">
        <v>2275.4767885199999</v>
      </c>
      <c r="K20" s="8">
        <v>2382.54430288</v>
      </c>
      <c r="L20" s="8">
        <v>2495.0992373600002</v>
      </c>
      <c r="M20" s="8">
        <v>2613.3841670199999</v>
      </c>
      <c r="N20" s="8">
        <v>2737.2542604199998</v>
      </c>
      <c r="O20" s="8">
        <v>2866.8068468299998</v>
      </c>
      <c r="P20" s="8">
        <v>3001.98986079</v>
      </c>
      <c r="Q20" s="8">
        <v>3139.2065263999998</v>
      </c>
      <c r="R20" s="8">
        <v>3193.5907475099998</v>
      </c>
      <c r="S20" s="8">
        <v>3249.5616486399999</v>
      </c>
      <c r="T20" s="8">
        <v>3277.7151019100002</v>
      </c>
      <c r="U20" s="8">
        <v>3337.65328258</v>
      </c>
      <c r="V20" s="8">
        <v>3382.0415558200002</v>
      </c>
      <c r="W20" s="8">
        <v>3444.6753439399999</v>
      </c>
      <c r="X20" s="8">
        <v>3498.1999578499999</v>
      </c>
      <c r="Y20" s="8">
        <v>3569.59505128</v>
      </c>
      <c r="Z20" s="8">
        <v>3632.9722082200001</v>
      </c>
      <c r="AA20" s="8">
        <v>3703.88898199</v>
      </c>
      <c r="AB20" s="8">
        <v>3774.2418905599998</v>
      </c>
      <c r="AC20" s="8">
        <v>3853.7987308000002</v>
      </c>
    </row>
    <row r="21" spans="1:29" x14ac:dyDescent="0.85">
      <c r="A21" t="s">
        <v>152</v>
      </c>
      <c r="B21" s="8">
        <v>0</v>
      </c>
      <c r="C21" s="8">
        <v>3.7777643200000002</v>
      </c>
      <c r="D21" s="8">
        <v>7.9018314199999997</v>
      </c>
      <c r="E21" s="8">
        <v>12.409137640000001</v>
      </c>
      <c r="F21" s="8">
        <v>17.320337819999999</v>
      </c>
      <c r="G21" s="8">
        <v>22.68137114</v>
      </c>
      <c r="H21" s="8">
        <v>28.512468609999999</v>
      </c>
      <c r="I21" s="8">
        <v>34.842560239999997</v>
      </c>
      <c r="J21" s="8">
        <v>41.701694809999999</v>
      </c>
      <c r="K21" s="8">
        <v>49.121860030000001</v>
      </c>
      <c r="L21" s="8">
        <v>57.158277460000001</v>
      </c>
      <c r="M21" s="8">
        <v>65.854771869999993</v>
      </c>
      <c r="N21" s="8">
        <v>75.246741049999997</v>
      </c>
      <c r="O21" s="8">
        <v>85.375467380000003</v>
      </c>
      <c r="P21" s="8">
        <v>96.278333770000003</v>
      </c>
      <c r="Q21" s="8">
        <v>107.87044156</v>
      </c>
      <c r="R21" s="8">
        <v>117.05515729</v>
      </c>
      <c r="S21" s="8">
        <v>126.55083376</v>
      </c>
      <c r="T21" s="8">
        <v>135.15590225</v>
      </c>
      <c r="U21" s="8">
        <v>145.27340963</v>
      </c>
      <c r="V21" s="8">
        <v>154.95309104</v>
      </c>
      <c r="W21" s="8">
        <v>165.71388540000001</v>
      </c>
      <c r="X21" s="8">
        <v>176.30256055999999</v>
      </c>
      <c r="Y21" s="8">
        <v>188.07804236000001</v>
      </c>
      <c r="Z21" s="8">
        <v>199.73980710999999</v>
      </c>
      <c r="AA21" s="8">
        <v>212.12374137</v>
      </c>
      <c r="AB21" s="8">
        <v>224.79900642999999</v>
      </c>
      <c r="AC21" s="8">
        <v>238.36588677</v>
      </c>
    </row>
    <row r="22" spans="1:29" x14ac:dyDescent="0.85">
      <c r="A22" t="s">
        <v>153</v>
      </c>
      <c r="B22" s="8">
        <v>0.19085773</v>
      </c>
      <c r="C22" s="8">
        <v>0.18888822</v>
      </c>
      <c r="D22" s="8">
        <v>0.19754579</v>
      </c>
      <c r="E22" s="8">
        <v>0.20681896</v>
      </c>
      <c r="F22" s="8">
        <v>0.21650422</v>
      </c>
      <c r="G22" s="8">
        <v>0.22681371</v>
      </c>
      <c r="H22" s="8">
        <v>0.23760391</v>
      </c>
      <c r="I22" s="8">
        <v>0.24887543000000001</v>
      </c>
      <c r="J22" s="8">
        <v>0.26063558999999997</v>
      </c>
      <c r="K22" s="8">
        <v>0.27289922</v>
      </c>
      <c r="L22" s="8">
        <v>0.28579138999999998</v>
      </c>
      <c r="M22" s="8">
        <v>0.29933987000000001</v>
      </c>
      <c r="N22" s="8">
        <v>0.31352808999999998</v>
      </c>
      <c r="O22" s="8">
        <v>0.32836717999999998</v>
      </c>
      <c r="P22" s="8">
        <v>0.34385118999999997</v>
      </c>
      <c r="Q22" s="8">
        <v>0.35956813999999998</v>
      </c>
      <c r="R22" s="8">
        <v>0.36579737000000001</v>
      </c>
      <c r="S22" s="8">
        <v>0.37220832999999998</v>
      </c>
      <c r="T22" s="8">
        <v>0.37543305999999999</v>
      </c>
      <c r="U22" s="8">
        <v>0.38229845000000001</v>
      </c>
      <c r="V22" s="8">
        <v>0.38738273000000001</v>
      </c>
      <c r="W22" s="8">
        <v>0.39455687</v>
      </c>
      <c r="X22" s="8">
        <v>0.40068764000000001</v>
      </c>
      <c r="Y22" s="8">
        <v>0.40886530999999998</v>
      </c>
      <c r="Z22" s="8">
        <v>0.41612460000000001</v>
      </c>
      <c r="AA22" s="8">
        <v>0.42424748000000001</v>
      </c>
      <c r="AB22" s="8">
        <v>0.43230577999999997</v>
      </c>
      <c r="AC22" s="8">
        <v>0.44141830999999998</v>
      </c>
    </row>
    <row r="23" spans="1:29" x14ac:dyDescent="0.85">
      <c r="A23" t="s">
        <v>154</v>
      </c>
      <c r="B23" s="8">
        <v>1666.28174066</v>
      </c>
      <c r="C23" s="8">
        <v>1649.0869384800001</v>
      </c>
      <c r="D23" s="8">
        <v>1724.67177328</v>
      </c>
      <c r="E23" s="8">
        <v>1805.6311486100001</v>
      </c>
      <c r="F23" s="8">
        <v>1890.18824595</v>
      </c>
      <c r="G23" s="8">
        <v>1980.1951472600001</v>
      </c>
      <c r="H23" s="8">
        <v>2074.3988401000001</v>
      </c>
      <c r="I23" s="8">
        <v>2172.8047937699998</v>
      </c>
      <c r="J23" s="8">
        <v>2275.4767885199999</v>
      </c>
      <c r="K23" s="8">
        <v>2382.54430288</v>
      </c>
      <c r="L23" s="8">
        <v>2495.0992373600002</v>
      </c>
      <c r="M23" s="8">
        <v>2613.3841670199999</v>
      </c>
      <c r="N23" s="8">
        <v>2737.2542604199998</v>
      </c>
      <c r="O23" s="8">
        <v>2866.8068468299998</v>
      </c>
      <c r="P23" s="8">
        <v>3001.98986079</v>
      </c>
      <c r="Q23" s="8">
        <v>3139.2065263999998</v>
      </c>
      <c r="R23" s="8">
        <v>3193.5907475099998</v>
      </c>
      <c r="S23" s="8">
        <v>3249.5616486399999</v>
      </c>
      <c r="T23" s="8">
        <v>3277.7151019100002</v>
      </c>
      <c r="U23" s="8">
        <v>3337.65328258</v>
      </c>
      <c r="V23" s="8">
        <v>3382.0415558200002</v>
      </c>
      <c r="W23" s="8">
        <v>3444.6753439399999</v>
      </c>
      <c r="X23" s="8">
        <v>3498.1999578499999</v>
      </c>
      <c r="Y23" s="8">
        <v>3569.59505128</v>
      </c>
      <c r="Z23" s="8">
        <v>3632.9722082200001</v>
      </c>
      <c r="AA23" s="8">
        <v>3703.88898199</v>
      </c>
      <c r="AB23" s="8">
        <v>3774.2418905599998</v>
      </c>
      <c r="AC23" s="8">
        <v>3853.7987308000002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1.0238076599999999</v>
      </c>
      <c r="E25" s="8">
        <v>1.08189761</v>
      </c>
      <c r="F25" s="8">
        <v>1.0829222300000001</v>
      </c>
      <c r="G25" s="8">
        <v>1.0829272400000001</v>
      </c>
      <c r="H25" s="8">
        <v>1.08368614</v>
      </c>
      <c r="I25" s="8">
        <v>1.08354686</v>
      </c>
      <c r="J25" s="8">
        <v>1.08335615</v>
      </c>
      <c r="K25" s="8">
        <v>1.0831480600000001</v>
      </c>
      <c r="L25" s="8">
        <v>1.08315805</v>
      </c>
      <c r="M25" s="8">
        <v>1.08335326</v>
      </c>
      <c r="N25" s="8">
        <v>1.08350553</v>
      </c>
      <c r="O25" s="8">
        <v>1.08343433</v>
      </c>
      <c r="P25" s="8">
        <v>1.08325334</v>
      </c>
      <c r="Q25" s="8">
        <v>1.0829964999999999</v>
      </c>
      <c r="R25" s="8">
        <v>1.0817674900000001</v>
      </c>
      <c r="S25" s="8">
        <v>1.05240434</v>
      </c>
      <c r="T25" s="8">
        <v>1.05261311</v>
      </c>
      <c r="U25" s="8">
        <v>1.04344528</v>
      </c>
      <c r="V25" s="8">
        <v>1.0533999000000001</v>
      </c>
      <c r="W25" s="8">
        <v>1.0482406</v>
      </c>
      <c r="X25" s="8">
        <v>1.0536408799999999</v>
      </c>
      <c r="Y25" s="8">
        <v>1.0505569299999999</v>
      </c>
      <c r="Z25" s="8">
        <v>1.0555956099999999</v>
      </c>
      <c r="AA25" s="8">
        <v>1.05284971</v>
      </c>
      <c r="AB25" s="8">
        <v>1.0546761899999999</v>
      </c>
      <c r="AC25" s="8">
        <v>1.0541320700000001</v>
      </c>
    </row>
    <row r="26" spans="1:29" x14ac:dyDescent="0.85">
      <c r="A26" t="s">
        <v>157</v>
      </c>
      <c r="B26" s="8">
        <v>1</v>
      </c>
      <c r="C26" s="8">
        <v>1.0238076599999999</v>
      </c>
      <c r="D26" s="8">
        <v>1.08189761</v>
      </c>
      <c r="E26" s="8">
        <v>1.0830433500000001</v>
      </c>
      <c r="F26" s="8">
        <v>1.0829272400000001</v>
      </c>
      <c r="G26" s="8">
        <v>1.0837427100000001</v>
      </c>
      <c r="H26" s="8">
        <v>1.08369614</v>
      </c>
      <c r="I26" s="8">
        <v>1.0835568600000001</v>
      </c>
      <c r="J26" s="8">
        <v>1.08336539</v>
      </c>
      <c r="K26" s="8">
        <v>1.08315805</v>
      </c>
      <c r="L26" s="8">
        <v>1.08335326</v>
      </c>
      <c r="M26" s="8">
        <v>1.0835243800000001</v>
      </c>
      <c r="N26" s="8">
        <v>1.0835155299999999</v>
      </c>
      <c r="O26" s="8">
        <v>1.0834442</v>
      </c>
      <c r="P26" s="8">
        <v>1.08326334</v>
      </c>
      <c r="Q26" s="8">
        <v>1.0817674900000001</v>
      </c>
      <c r="R26" s="8">
        <v>1.05240434</v>
      </c>
      <c r="S26" s="8">
        <v>1.05261311</v>
      </c>
      <c r="T26" s="8">
        <v>1.04344528</v>
      </c>
      <c r="U26" s="8">
        <v>1.0533999000000001</v>
      </c>
      <c r="V26" s="8">
        <v>1.0482406</v>
      </c>
      <c r="W26" s="8">
        <v>1.0536408799999999</v>
      </c>
      <c r="X26" s="8">
        <v>1.0505569299999999</v>
      </c>
      <c r="Y26" s="8">
        <v>1.0555956099999999</v>
      </c>
      <c r="Z26" s="8">
        <v>1.05284971</v>
      </c>
      <c r="AA26" s="8">
        <v>1.0546761899999999</v>
      </c>
      <c r="AB26" s="8">
        <v>1.0541320700000001</v>
      </c>
      <c r="AC26" s="8">
        <v>1.0562885099999999</v>
      </c>
    </row>
    <row r="27" spans="1:29" x14ac:dyDescent="0.85">
      <c r="A27" t="s">
        <v>158</v>
      </c>
      <c r="B27" s="8">
        <v>1</v>
      </c>
      <c r="C27" s="8">
        <v>1.0815812600000001</v>
      </c>
      <c r="D27" s="8">
        <v>1.0836332900000001</v>
      </c>
      <c r="E27" s="8">
        <v>1.0830433500000001</v>
      </c>
      <c r="F27" s="8">
        <v>1.0829322299999999</v>
      </c>
      <c r="G27" s="8">
        <v>1.0837427100000001</v>
      </c>
      <c r="H27" s="8">
        <v>1.08369614</v>
      </c>
      <c r="I27" s="8">
        <v>1.0835568600000001</v>
      </c>
      <c r="J27" s="8">
        <v>1.08336615</v>
      </c>
      <c r="K27" s="8">
        <v>1.0831580599999999</v>
      </c>
      <c r="L27" s="8">
        <v>1.08335329</v>
      </c>
      <c r="M27" s="8">
        <v>1.0835243800000001</v>
      </c>
      <c r="N27" s="8">
        <v>1.0835155299999999</v>
      </c>
      <c r="O27" s="8">
        <v>1.0834443300000001</v>
      </c>
      <c r="P27" s="8">
        <v>1.08326334</v>
      </c>
      <c r="Q27" s="8">
        <v>1.0830065</v>
      </c>
      <c r="R27" s="8">
        <v>1.08277657</v>
      </c>
      <c r="S27" s="8">
        <v>1.0838847599999999</v>
      </c>
      <c r="T27" s="8">
        <v>1.08467293</v>
      </c>
      <c r="U27" s="8">
        <v>1.08532461</v>
      </c>
      <c r="V27" s="8">
        <v>1.08570916</v>
      </c>
      <c r="W27" s="8">
        <v>1.08634736</v>
      </c>
      <c r="X27" s="8">
        <v>1.08674431</v>
      </c>
      <c r="Y27" s="8">
        <v>1.0872836400000001</v>
      </c>
      <c r="Z27" s="8">
        <v>1.08761011</v>
      </c>
      <c r="AA27" s="8">
        <v>1.0880121</v>
      </c>
      <c r="AB27" s="8">
        <v>1.08830753</v>
      </c>
      <c r="AC27" s="8">
        <v>1.0886468499999999</v>
      </c>
    </row>
    <row r="28" spans="1:29" x14ac:dyDescent="0.85">
      <c r="A28" t="s">
        <v>159</v>
      </c>
      <c r="B28" s="8">
        <v>5754</v>
      </c>
      <c r="C28" s="8">
        <v>6639.81638595</v>
      </c>
      <c r="D28" s="8">
        <v>7353.8515170500004</v>
      </c>
      <c r="E28" s="8">
        <v>8709.4075884800004</v>
      </c>
      <c r="F28" s="8">
        <v>10104.036597529999</v>
      </c>
      <c r="G28" s="8">
        <v>11565.50146958</v>
      </c>
      <c r="H28" s="8">
        <v>13074.887850290001</v>
      </c>
      <c r="I28" s="8">
        <v>14605.247447899999</v>
      </c>
      <c r="J28" s="8">
        <v>16211.67346595</v>
      </c>
      <c r="K28" s="8">
        <v>17868.379896400002</v>
      </c>
      <c r="L28" s="8">
        <v>19590.89911319</v>
      </c>
      <c r="M28" s="8">
        <v>21382.44537691</v>
      </c>
      <c r="N28" s="8">
        <v>23240.656124239998</v>
      </c>
      <c r="O28" s="8">
        <v>25166.668808769999</v>
      </c>
      <c r="P28" s="8">
        <v>27159.457849549999</v>
      </c>
      <c r="Q28" s="8">
        <v>29218.719462680001</v>
      </c>
      <c r="R28" s="8">
        <v>31345.11446398</v>
      </c>
      <c r="S28" s="8">
        <v>32758.35931905</v>
      </c>
      <c r="T28" s="8">
        <v>32507.559713449999</v>
      </c>
      <c r="U28" s="8">
        <v>33033.603269170002</v>
      </c>
      <c r="V28" s="8">
        <v>33624.680183949997</v>
      </c>
      <c r="W28" s="8">
        <v>34355.958017249999</v>
      </c>
      <c r="X28" s="8">
        <v>35078.549590889997</v>
      </c>
      <c r="Y28" s="8">
        <v>36000.468991260001</v>
      </c>
      <c r="Z28" s="8">
        <v>36788.26612747</v>
      </c>
      <c r="AA28" s="8">
        <v>37537.992746989999</v>
      </c>
      <c r="AB28" s="8">
        <v>38403.997598610003</v>
      </c>
      <c r="AC28" s="8">
        <v>39463.680447849998</v>
      </c>
    </row>
    <row r="29" spans="1:29" x14ac:dyDescent="0.85">
      <c r="A29" t="s">
        <v>160</v>
      </c>
      <c r="B29" s="8">
        <v>17533437</v>
      </c>
      <c r="C29" s="8">
        <v>20232673.321961801</v>
      </c>
      <c r="D29" s="8">
        <v>22408462.336028401</v>
      </c>
      <c r="E29" s="8">
        <v>26539077.0351023</v>
      </c>
      <c r="F29" s="8">
        <v>30788753.758853301</v>
      </c>
      <c r="G29" s="8">
        <v>35242090.961130098</v>
      </c>
      <c r="H29" s="8">
        <v>39841453.320312597</v>
      </c>
      <c r="I29" s="8">
        <v>44504724.712756798</v>
      </c>
      <c r="J29" s="8">
        <v>49399783.694784902</v>
      </c>
      <c r="K29" s="8">
        <v>54448055.823020197</v>
      </c>
      <c r="L29" s="8">
        <v>59696870.937529497</v>
      </c>
      <c r="M29" s="8">
        <v>65156023.448373601</v>
      </c>
      <c r="N29" s="8">
        <v>70818314.214990795</v>
      </c>
      <c r="O29" s="8">
        <v>76687209.255906403</v>
      </c>
      <c r="P29" s="8">
        <v>82759583.447912306</v>
      </c>
      <c r="Q29" s="8">
        <v>89034511.108734399</v>
      </c>
      <c r="R29" s="8">
        <v>95514005.858880207</v>
      </c>
      <c r="S29" s="8">
        <v>99820408.297507703</v>
      </c>
      <c r="T29" s="8">
        <v>99056178.355832905</v>
      </c>
      <c r="U29" s="8">
        <v>100659124.400929</v>
      </c>
      <c r="V29" s="8">
        <v>102460238.38205899</v>
      </c>
      <c r="W29" s="8">
        <v>104688568.903377</v>
      </c>
      <c r="X29" s="8">
        <v>106890430.88342801</v>
      </c>
      <c r="Y29" s="8">
        <v>109699679.358477</v>
      </c>
      <c r="Z29" s="8">
        <v>112100234.008551</v>
      </c>
      <c r="AA29" s="8">
        <v>114384781.18454701</v>
      </c>
      <c r="AB29" s="8">
        <v>117023648.321748</v>
      </c>
      <c r="AC29" s="8">
        <v>120252685.943784</v>
      </c>
    </row>
    <row r="30" spans="1:29" x14ac:dyDescent="0.85">
      <c r="A30" t="s">
        <v>161</v>
      </c>
      <c r="B30" s="8">
        <v>17533437</v>
      </c>
      <c r="C30" s="8">
        <v>20232673.321961801</v>
      </c>
      <c r="D30" s="8">
        <v>22408462.336028401</v>
      </c>
      <c r="E30" s="8">
        <v>26539077.0351023</v>
      </c>
      <c r="F30" s="8">
        <v>30788753.758853301</v>
      </c>
      <c r="G30" s="8">
        <v>35242090.961130098</v>
      </c>
      <c r="H30" s="8">
        <v>39841453.320312597</v>
      </c>
      <c r="I30" s="8">
        <v>44504724.712756798</v>
      </c>
      <c r="J30" s="8">
        <v>49399783.694784902</v>
      </c>
      <c r="K30" s="8">
        <v>54448055.823020197</v>
      </c>
      <c r="L30" s="8">
        <v>59696870.937529497</v>
      </c>
      <c r="M30" s="8">
        <v>65156023.448373601</v>
      </c>
      <c r="N30" s="8">
        <v>70818314.214990795</v>
      </c>
      <c r="O30" s="8">
        <v>76687209.255906403</v>
      </c>
      <c r="P30" s="8">
        <v>82759583.447912306</v>
      </c>
      <c r="Q30" s="8">
        <v>89034511.108734399</v>
      </c>
      <c r="R30" s="8">
        <v>95514005.858880207</v>
      </c>
      <c r="S30" s="8">
        <v>99820408.297507703</v>
      </c>
      <c r="T30" s="8">
        <v>99056178.355832905</v>
      </c>
      <c r="U30" s="8">
        <v>100659124.400929</v>
      </c>
      <c r="V30" s="8">
        <v>102460238.38205899</v>
      </c>
      <c r="W30" s="8">
        <v>104688568.903377</v>
      </c>
      <c r="X30" s="8">
        <v>106890430.88342801</v>
      </c>
      <c r="Y30" s="8">
        <v>109699679.358477</v>
      </c>
      <c r="Z30" s="8">
        <v>112100234.008551</v>
      </c>
      <c r="AA30" s="8">
        <v>114384781.18454701</v>
      </c>
      <c r="AB30" s="8">
        <v>117023648.321748</v>
      </c>
      <c r="AC30" s="8">
        <v>120252685.943784</v>
      </c>
    </row>
    <row r="31" spans="1:29" x14ac:dyDescent="0.85">
      <c r="A31" t="s">
        <v>162</v>
      </c>
      <c r="B31" s="8">
        <v>900.35552940000002</v>
      </c>
      <c r="C31" s="8">
        <v>1038.9633988999999</v>
      </c>
      <c r="D31" s="8">
        <v>1150.6918449299999</v>
      </c>
      <c r="E31" s="8">
        <v>1362.8020994200001</v>
      </c>
      <c r="F31" s="8">
        <v>1581.0262808099999</v>
      </c>
      <c r="G31" s="8">
        <v>1809.70858505</v>
      </c>
      <c r="H31" s="8">
        <v>2045.88939385</v>
      </c>
      <c r="I31" s="8">
        <v>2285.3519808699998</v>
      </c>
      <c r="J31" s="8">
        <v>2536.7170395899998</v>
      </c>
      <c r="K31" s="8">
        <v>2795.9497116900002</v>
      </c>
      <c r="L31" s="8">
        <v>3065.4804209899999</v>
      </c>
      <c r="M31" s="8">
        <v>3345.8121180200001</v>
      </c>
      <c r="N31" s="8">
        <v>3636.5751213499998</v>
      </c>
      <c r="O31" s="8">
        <v>3937.9474137000002</v>
      </c>
      <c r="P31" s="8">
        <v>4249.7685175899996</v>
      </c>
      <c r="Q31" s="8">
        <v>4571.99089852</v>
      </c>
      <c r="R31" s="8">
        <v>4904.7179574499996</v>
      </c>
      <c r="S31" s="8">
        <v>5125.8550481100001</v>
      </c>
      <c r="T31" s="8">
        <v>5086.6112504599996</v>
      </c>
      <c r="U31" s="8">
        <v>5168.9237676800003</v>
      </c>
      <c r="V31" s="8">
        <v>5261.4123614500004</v>
      </c>
      <c r="W31" s="8">
        <v>5375.8388544500003</v>
      </c>
      <c r="X31" s="8">
        <v>5488.9061674200002</v>
      </c>
      <c r="Y31" s="8">
        <v>5633.1632459299999</v>
      </c>
      <c r="Z31" s="8">
        <v>5756.43358094</v>
      </c>
      <c r="AA31" s="8">
        <v>5873.7468425699999</v>
      </c>
      <c r="AB31" s="8">
        <v>6009.2547078199996</v>
      </c>
      <c r="AC31" s="8">
        <v>6175.0682832000002</v>
      </c>
    </row>
    <row r="32" spans="1:29" x14ac:dyDescent="0.85">
      <c r="A32" t="s">
        <v>163</v>
      </c>
      <c r="B32" s="8">
        <v>0</v>
      </c>
      <c r="C32" s="8">
        <v>1.6186138699999999</v>
      </c>
      <c r="D32" s="8">
        <v>3.5853539699999999</v>
      </c>
      <c r="E32" s="8">
        <v>6.3693784899999999</v>
      </c>
      <c r="F32" s="8">
        <v>9.8524011999999992</v>
      </c>
      <c r="G32" s="8">
        <v>14.096836379999999</v>
      </c>
      <c r="H32" s="8">
        <v>19.123897589999999</v>
      </c>
      <c r="I32" s="8">
        <v>24.922645840000001</v>
      </c>
      <c r="J32" s="8">
        <v>31.615861559999999</v>
      </c>
      <c r="K32" s="8">
        <v>39.202600189999998</v>
      </c>
      <c r="L32" s="8">
        <v>47.757496750000001</v>
      </c>
      <c r="M32" s="8">
        <v>57.337300630000001</v>
      </c>
      <c r="N32" s="8">
        <v>67.98558165</v>
      </c>
      <c r="O32" s="8">
        <v>79.754697629999995</v>
      </c>
      <c r="P32" s="8">
        <v>92.690733460000004</v>
      </c>
      <c r="Q32" s="8">
        <v>106.84141332999999</v>
      </c>
      <c r="R32" s="8">
        <v>122.25792749999999</v>
      </c>
      <c r="S32" s="8">
        <v>135.75575527999999</v>
      </c>
      <c r="T32" s="8">
        <v>142.64089683</v>
      </c>
      <c r="U32" s="8">
        <v>153.00186909000001</v>
      </c>
      <c r="V32" s="8">
        <v>163.93638141</v>
      </c>
      <c r="W32" s="8">
        <v>175.87679575999999</v>
      </c>
      <c r="X32" s="8">
        <v>188.12715835</v>
      </c>
      <c r="Y32" s="8">
        <v>201.84741002000001</v>
      </c>
      <c r="Z32" s="8">
        <v>215.23244930000001</v>
      </c>
      <c r="AA32" s="8">
        <v>228.76956236999999</v>
      </c>
      <c r="AB32" s="8">
        <v>243.40918851000001</v>
      </c>
      <c r="AC32" s="8">
        <v>259.74580164000002</v>
      </c>
    </row>
    <row r="33" spans="1:29" x14ac:dyDescent="0.85">
      <c r="A33" t="s">
        <v>164</v>
      </c>
      <c r="B33" s="8">
        <v>7.0133749999999995E-2</v>
      </c>
      <c r="C33" s="8">
        <v>8.093069E-2</v>
      </c>
      <c r="D33" s="8">
        <v>8.9633850000000001E-2</v>
      </c>
      <c r="E33" s="8">
        <v>0.10615631</v>
      </c>
      <c r="F33" s="8">
        <v>0.12315502</v>
      </c>
      <c r="G33" s="8">
        <v>0.14096835999999999</v>
      </c>
      <c r="H33" s="8">
        <v>0.15936581</v>
      </c>
      <c r="I33" s="8">
        <v>0.17801890000000001</v>
      </c>
      <c r="J33" s="8">
        <v>0.19759913000000001</v>
      </c>
      <c r="K33" s="8">
        <v>0.21779222000000001</v>
      </c>
      <c r="L33" s="8">
        <v>0.23878748</v>
      </c>
      <c r="M33" s="8">
        <v>0.26062408999999997</v>
      </c>
      <c r="N33" s="8">
        <v>0.28327326000000003</v>
      </c>
      <c r="O33" s="8">
        <v>0.30674884000000002</v>
      </c>
      <c r="P33" s="8">
        <v>0.33103832999999999</v>
      </c>
      <c r="Q33" s="8">
        <v>0.35613803999999999</v>
      </c>
      <c r="R33" s="8">
        <v>0.38205602</v>
      </c>
      <c r="S33" s="8">
        <v>0.39928163</v>
      </c>
      <c r="T33" s="8">
        <v>0.39622470999999998</v>
      </c>
      <c r="U33" s="8">
        <v>0.40263650000000001</v>
      </c>
      <c r="V33" s="8">
        <v>0.40984094999999998</v>
      </c>
      <c r="W33" s="8">
        <v>0.41875427999999998</v>
      </c>
      <c r="X33" s="8">
        <v>0.42756171999999998</v>
      </c>
      <c r="Y33" s="8">
        <v>0.43879871999999998</v>
      </c>
      <c r="Z33" s="8">
        <v>0.44840094000000003</v>
      </c>
      <c r="AA33" s="8">
        <v>0.45753912000000002</v>
      </c>
      <c r="AB33" s="8">
        <v>0.46809458999999998</v>
      </c>
      <c r="AC33" s="8">
        <v>0.48101073999999999</v>
      </c>
    </row>
    <row r="34" spans="1:29" x14ac:dyDescent="0.85">
      <c r="A34" t="s">
        <v>165</v>
      </c>
      <c r="B34" s="8">
        <v>900.35552940000002</v>
      </c>
      <c r="C34" s="8">
        <v>1038.9633988999999</v>
      </c>
      <c r="D34" s="8">
        <v>1150.6918449299999</v>
      </c>
      <c r="E34" s="8">
        <v>1362.8020994200001</v>
      </c>
      <c r="F34" s="8">
        <v>1581.0262808099999</v>
      </c>
      <c r="G34" s="8">
        <v>1809.70858505</v>
      </c>
      <c r="H34" s="8">
        <v>2045.88939385</v>
      </c>
      <c r="I34" s="8">
        <v>2285.3519808699998</v>
      </c>
      <c r="J34" s="8">
        <v>2536.7170395899998</v>
      </c>
      <c r="K34" s="8">
        <v>2795.9497116900002</v>
      </c>
      <c r="L34" s="8">
        <v>3065.4804209899999</v>
      </c>
      <c r="M34" s="8">
        <v>3345.8121180200001</v>
      </c>
      <c r="N34" s="8">
        <v>3636.5751213499998</v>
      </c>
      <c r="O34" s="8">
        <v>3937.9474137000002</v>
      </c>
      <c r="P34" s="8">
        <v>4249.7685175899996</v>
      </c>
      <c r="Q34" s="8">
        <v>4571.99089852</v>
      </c>
      <c r="R34" s="8">
        <v>4904.7179574499996</v>
      </c>
      <c r="S34" s="8">
        <v>5125.8550481100001</v>
      </c>
      <c r="T34" s="8">
        <v>5086.6112504599996</v>
      </c>
      <c r="U34" s="8">
        <v>5168.9237676800003</v>
      </c>
      <c r="V34" s="8">
        <v>5261.4123614500004</v>
      </c>
      <c r="W34" s="8">
        <v>5375.8388544500003</v>
      </c>
      <c r="X34" s="8">
        <v>5488.9061674200002</v>
      </c>
      <c r="Y34" s="8">
        <v>5633.1632459299999</v>
      </c>
      <c r="Z34" s="8">
        <v>5756.43358094</v>
      </c>
      <c r="AA34" s="8">
        <v>5873.7468425699999</v>
      </c>
      <c r="AB34" s="8">
        <v>6009.2547078199996</v>
      </c>
      <c r="AC34" s="8">
        <v>6175.0682832000002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1.2020290899999999</v>
      </c>
      <c r="E36" s="8">
        <v>1.15368582</v>
      </c>
      <c r="F36" s="8">
        <v>1.2085486999999999</v>
      </c>
      <c r="G36" s="8">
        <v>1.19232509</v>
      </c>
      <c r="H36" s="8">
        <v>1.1776021299999999</v>
      </c>
      <c r="I36" s="8">
        <v>1.1657202600000001</v>
      </c>
      <c r="J36" s="8">
        <v>1.1562292199999999</v>
      </c>
      <c r="K36" s="8">
        <v>1.1481068800000001</v>
      </c>
      <c r="L36" s="8">
        <v>1.14207378</v>
      </c>
      <c r="M36" s="8">
        <v>1.13691488</v>
      </c>
      <c r="N36" s="8">
        <v>1.1321812099999999</v>
      </c>
      <c r="O36" s="8">
        <v>1.1279822500000001</v>
      </c>
      <c r="P36" s="8">
        <v>1.12413965</v>
      </c>
      <c r="Q36" s="8">
        <v>1.1206383200000001</v>
      </c>
      <c r="R36" s="8">
        <v>1.1174641199999999</v>
      </c>
      <c r="S36" s="8">
        <v>1.11405752</v>
      </c>
      <c r="T36" s="8">
        <v>1.0886318800000001</v>
      </c>
      <c r="U36" s="8">
        <v>1.0336916199999999</v>
      </c>
      <c r="V36" s="8">
        <v>1.05852312</v>
      </c>
      <c r="W36" s="8">
        <v>1.0603054199999999</v>
      </c>
      <c r="X36" s="8">
        <v>1.06432109</v>
      </c>
      <c r="Y36" s="8">
        <v>1.0635755200000001</v>
      </c>
      <c r="Z36" s="8">
        <v>1.0690432999999999</v>
      </c>
      <c r="AA36" s="8">
        <v>1.0644614299999999</v>
      </c>
      <c r="AB36" s="8">
        <v>1.06289532</v>
      </c>
      <c r="AC36" s="8">
        <v>1.06569801</v>
      </c>
    </row>
    <row r="37" spans="1:29" x14ac:dyDescent="0.85">
      <c r="A37" t="s">
        <v>168</v>
      </c>
      <c r="B37" s="8">
        <v>1</v>
      </c>
      <c r="C37" s="8">
        <v>1.2020290899999999</v>
      </c>
      <c r="D37" s="8">
        <v>1.15368582</v>
      </c>
      <c r="E37" s="8">
        <v>1.2336800000000001</v>
      </c>
      <c r="F37" s="8">
        <v>1.2084677399999999</v>
      </c>
      <c r="G37" s="8">
        <v>1.19233509</v>
      </c>
      <c r="H37" s="8">
        <v>1.17761213</v>
      </c>
      <c r="I37" s="8">
        <v>1.16358929</v>
      </c>
      <c r="J37" s="8">
        <v>1.15623922</v>
      </c>
      <c r="K37" s="8">
        <v>1.14811687</v>
      </c>
      <c r="L37" s="8">
        <v>1.14208376</v>
      </c>
      <c r="M37" s="8">
        <v>1.13692488</v>
      </c>
      <c r="N37" s="8">
        <v>1.13219121</v>
      </c>
      <c r="O37" s="8">
        <v>1.1279922499999999</v>
      </c>
      <c r="P37" s="8">
        <v>1.1241496499999999</v>
      </c>
      <c r="Q37" s="8">
        <v>1.1206470399999999</v>
      </c>
      <c r="R37" s="8">
        <v>1.11747405</v>
      </c>
      <c r="S37" s="8">
        <v>1.0886318800000001</v>
      </c>
      <c r="T37" s="8">
        <v>1.0336916199999999</v>
      </c>
      <c r="U37" s="8">
        <v>1.05852312</v>
      </c>
      <c r="V37" s="8">
        <v>1.0603054199999999</v>
      </c>
      <c r="W37" s="8">
        <v>1.06432109</v>
      </c>
      <c r="X37" s="8">
        <v>1.0635755200000001</v>
      </c>
      <c r="Y37" s="8">
        <v>1.0690432999999999</v>
      </c>
      <c r="Z37" s="8">
        <v>1.0644614299999999</v>
      </c>
      <c r="AA37" s="8">
        <v>1.06289532</v>
      </c>
      <c r="AB37" s="8">
        <v>1.06569801</v>
      </c>
      <c r="AC37" s="8">
        <v>1.0704094099999999</v>
      </c>
    </row>
    <row r="38" spans="1:29" x14ac:dyDescent="0.85">
      <c r="A38" t="s">
        <v>169</v>
      </c>
      <c r="B38" s="8">
        <v>1</v>
      </c>
      <c r="C38" s="8">
        <v>1.27772715</v>
      </c>
      <c r="D38" s="8">
        <v>1.2484046099999999</v>
      </c>
      <c r="E38" s="8">
        <v>1.2336800000000001</v>
      </c>
      <c r="F38" s="8">
        <v>1.2085587</v>
      </c>
      <c r="G38" s="8">
        <v>1.19233509</v>
      </c>
      <c r="H38" s="8">
        <v>1.17761213</v>
      </c>
      <c r="I38" s="8">
        <v>1.1657302599999999</v>
      </c>
      <c r="J38" s="8">
        <v>1.15623922</v>
      </c>
      <c r="K38" s="8">
        <v>1.1481168799999999</v>
      </c>
      <c r="L38" s="8">
        <v>1.1420837800000001</v>
      </c>
      <c r="M38" s="8">
        <v>1.13692488</v>
      </c>
      <c r="N38" s="8">
        <v>1.13219121</v>
      </c>
      <c r="O38" s="8">
        <v>1.1279922499999999</v>
      </c>
      <c r="P38" s="8">
        <v>1.1241496499999999</v>
      </c>
      <c r="Q38" s="8">
        <v>1.1206483199999999</v>
      </c>
      <c r="R38" s="8">
        <v>1.11747412</v>
      </c>
      <c r="S38" s="8">
        <v>1.1140675200000001</v>
      </c>
      <c r="T38" s="8">
        <v>1.11271674</v>
      </c>
      <c r="U38" s="8">
        <v>1.1151911699999999</v>
      </c>
      <c r="V38" s="8">
        <v>1.11594982</v>
      </c>
      <c r="W38" s="8">
        <v>1.1164444899999999</v>
      </c>
      <c r="X38" s="8">
        <v>1.1167149300000001</v>
      </c>
      <c r="Y38" s="8">
        <v>1.1169718099999999</v>
      </c>
      <c r="Z38" s="8">
        <v>1.1168847500000001</v>
      </c>
      <c r="AA38" s="8">
        <v>1.11706708</v>
      </c>
      <c r="AB38" s="8">
        <v>1.1174066300000001</v>
      </c>
      <c r="AC38" s="8">
        <v>1.1175005099999999</v>
      </c>
    </row>
    <row r="39" spans="1:29" x14ac:dyDescent="0.85">
      <c r="A39" t="s">
        <v>170</v>
      </c>
      <c r="B39" s="8">
        <v>2286</v>
      </c>
      <c r="C39" s="8">
        <v>2241.59604425</v>
      </c>
      <c r="D39" s="8">
        <v>2185.5561512600002</v>
      </c>
      <c r="E39" s="8">
        <v>2132.7860418499999</v>
      </c>
      <c r="F39" s="8">
        <v>3868.99414776</v>
      </c>
      <c r="G39" s="8">
        <v>5701.0737088799997</v>
      </c>
      <c r="H39" s="8">
        <v>7609.9113280199999</v>
      </c>
      <c r="I39" s="8">
        <v>9055.1891716600003</v>
      </c>
      <c r="J39" s="8">
        <v>9226.0336596500001</v>
      </c>
      <c r="K39" s="8">
        <v>9972.4638838600004</v>
      </c>
      <c r="L39" s="8">
        <v>10773.713041749999</v>
      </c>
      <c r="M39" s="8">
        <v>11396.81973693</v>
      </c>
      <c r="N39" s="8">
        <v>11987.90363011</v>
      </c>
      <c r="O39" s="8">
        <v>12455.935920620001</v>
      </c>
      <c r="P39" s="8">
        <v>12831.955163479999</v>
      </c>
      <c r="Q39" s="8">
        <v>13187.767667829999</v>
      </c>
      <c r="R39" s="8">
        <v>13732.465074809999</v>
      </c>
      <c r="S39" s="8">
        <v>14465.616235019999</v>
      </c>
      <c r="T39" s="8">
        <v>15801.71052515</v>
      </c>
      <c r="U39" s="8">
        <v>16766.199353529999</v>
      </c>
      <c r="V39" s="8">
        <v>17733.304974279999</v>
      </c>
      <c r="W39" s="8">
        <v>18620.303903309999</v>
      </c>
      <c r="X39" s="8">
        <v>19550.044455859999</v>
      </c>
      <c r="Y39" s="8">
        <v>20381.4861136</v>
      </c>
      <c r="Z39" s="8">
        <v>21272.661353920001</v>
      </c>
      <c r="AA39" s="8">
        <v>22202.31639086</v>
      </c>
      <c r="AB39" s="8">
        <v>23100.995077579999</v>
      </c>
      <c r="AC39" s="8">
        <v>23942.46637346</v>
      </c>
    </row>
    <row r="40" spans="1:29" x14ac:dyDescent="0.85">
      <c r="A40" t="s">
        <v>171</v>
      </c>
      <c r="B40" s="8">
        <v>17091429.75</v>
      </c>
      <c r="C40" s="8">
        <v>16759440.646609301</v>
      </c>
      <c r="D40" s="8">
        <v>16340454.691157499</v>
      </c>
      <c r="E40" s="8">
        <v>15945915.4882394</v>
      </c>
      <c r="F40" s="8">
        <v>28926789.886071</v>
      </c>
      <c r="G40" s="8">
        <v>42624453.541096002</v>
      </c>
      <c r="H40" s="8">
        <v>56896003.878674403</v>
      </c>
      <c r="I40" s="8">
        <v>67701718.985318795</v>
      </c>
      <c r="J40" s="8">
        <v>68979049.066101894</v>
      </c>
      <c r="K40" s="8">
        <v>74559783.860647693</v>
      </c>
      <c r="L40" s="8">
        <v>80550376.027859703</v>
      </c>
      <c r="M40" s="8">
        <v>85209074.325085595</v>
      </c>
      <c r="N40" s="8">
        <v>89628352.031411901</v>
      </c>
      <c r="O40" s="8">
        <v>93127626.315742493</v>
      </c>
      <c r="P40" s="8">
        <v>95938958.981540501</v>
      </c>
      <c r="Q40" s="8">
        <v>98599214.634313807</v>
      </c>
      <c r="R40" s="8">
        <v>102671680.717622</v>
      </c>
      <c r="S40" s="8">
        <v>108153133.71445701</v>
      </c>
      <c r="T40" s="8">
        <v>118142530.783245</v>
      </c>
      <c r="U40" s="8">
        <v>125353595.111706</v>
      </c>
      <c r="V40" s="8">
        <v>132584224.060874</v>
      </c>
      <c r="W40" s="8">
        <v>139215930.04685801</v>
      </c>
      <c r="X40" s="8">
        <v>146167196.59961799</v>
      </c>
      <c r="Y40" s="8">
        <v>152383524.983024</v>
      </c>
      <c r="Z40" s="8">
        <v>159046455.43572801</v>
      </c>
      <c r="AA40" s="8">
        <v>165997082.62536499</v>
      </c>
      <c r="AB40" s="8">
        <v>172716113.089881</v>
      </c>
      <c r="AC40" s="8">
        <v>179007428.72430101</v>
      </c>
    </row>
    <row r="41" spans="1:29" x14ac:dyDescent="0.85">
      <c r="A41" t="s">
        <v>172</v>
      </c>
      <c r="B41" s="8">
        <v>17091429.75</v>
      </c>
      <c r="C41" s="8">
        <v>16759440.646609301</v>
      </c>
      <c r="D41" s="8">
        <v>16340454.691157499</v>
      </c>
      <c r="E41" s="8">
        <v>15945915.4882394</v>
      </c>
      <c r="F41" s="8">
        <v>28926789.886071</v>
      </c>
      <c r="G41" s="8">
        <v>42624453.541096002</v>
      </c>
      <c r="H41" s="8">
        <v>56896003.878674403</v>
      </c>
      <c r="I41" s="8">
        <v>67701718.985318795</v>
      </c>
      <c r="J41" s="8">
        <v>68979049.066101894</v>
      </c>
      <c r="K41" s="8">
        <v>74559783.860647693</v>
      </c>
      <c r="L41" s="8">
        <v>80550376.027859703</v>
      </c>
      <c r="M41" s="8">
        <v>85209074.325085595</v>
      </c>
      <c r="N41" s="8">
        <v>89628352.031411901</v>
      </c>
      <c r="O41" s="8">
        <v>93127626.315742493</v>
      </c>
      <c r="P41" s="8">
        <v>95938958.981540501</v>
      </c>
      <c r="Q41" s="8">
        <v>98599214.634313807</v>
      </c>
      <c r="R41" s="8">
        <v>102671680.717622</v>
      </c>
      <c r="S41" s="8">
        <v>108153133.71445701</v>
      </c>
      <c r="T41" s="8">
        <v>118142530.783245</v>
      </c>
      <c r="U41" s="8">
        <v>125353595.111706</v>
      </c>
      <c r="V41" s="8">
        <v>132584224.060874</v>
      </c>
      <c r="W41" s="8">
        <v>139215930.04685801</v>
      </c>
      <c r="X41" s="8">
        <v>146167196.59961799</v>
      </c>
      <c r="Y41" s="8">
        <v>152383524.983024</v>
      </c>
      <c r="Z41" s="8">
        <v>159046455.43572801</v>
      </c>
      <c r="AA41" s="8">
        <v>165997082.62536499</v>
      </c>
      <c r="AB41" s="8">
        <v>172716113.089881</v>
      </c>
      <c r="AC41" s="8">
        <v>179007428.72430101</v>
      </c>
    </row>
    <row r="42" spans="1:29" x14ac:dyDescent="0.85">
      <c r="A42" t="s">
        <v>173</v>
      </c>
      <c r="B42" s="8">
        <v>1250.7702300000001</v>
      </c>
      <c r="C42" s="8">
        <v>1226.4748905700001</v>
      </c>
      <c r="D42" s="8">
        <v>1195.8130227500001</v>
      </c>
      <c r="E42" s="8">
        <v>1166.9401960299999</v>
      </c>
      <c r="F42" s="8">
        <v>2116.8953193699999</v>
      </c>
      <c r="G42" s="8">
        <v>3119.3058941899999</v>
      </c>
      <c r="H42" s="8">
        <v>4163.7141478800004</v>
      </c>
      <c r="I42" s="8">
        <v>4954.48864521</v>
      </c>
      <c r="J42" s="8">
        <v>5047.9651104599998</v>
      </c>
      <c r="K42" s="8">
        <v>5456.3696175499999</v>
      </c>
      <c r="L42" s="8">
        <v>5894.7679524100004</v>
      </c>
      <c r="M42" s="8">
        <v>6235.696782</v>
      </c>
      <c r="N42" s="8">
        <v>6559.1045409799999</v>
      </c>
      <c r="O42" s="8">
        <v>6815.1854052199997</v>
      </c>
      <c r="P42" s="8">
        <v>7020.92192092</v>
      </c>
      <c r="Q42" s="8">
        <v>7215.6024493100003</v>
      </c>
      <c r="R42" s="8">
        <v>7513.6301400399998</v>
      </c>
      <c r="S42" s="8">
        <v>7914.7690924799999</v>
      </c>
      <c r="T42" s="8">
        <v>8645.8045091799995</v>
      </c>
      <c r="U42" s="8">
        <v>9173.5183821899991</v>
      </c>
      <c r="V42" s="8">
        <v>9702.6640163600005</v>
      </c>
      <c r="W42" s="8">
        <v>10187.97978822</v>
      </c>
      <c r="X42" s="8">
        <v>10696.681365099999</v>
      </c>
      <c r="Y42" s="8">
        <v>11151.599332510001</v>
      </c>
      <c r="Z42" s="8">
        <v>11639.200146290001</v>
      </c>
      <c r="AA42" s="8">
        <v>12147.85493385</v>
      </c>
      <c r="AB42" s="8">
        <v>12639.56121018</v>
      </c>
      <c r="AC42" s="8">
        <v>13099.96682973</v>
      </c>
    </row>
    <row r="43" spans="1:29" x14ac:dyDescent="0.85">
      <c r="A43" t="s">
        <v>174</v>
      </c>
      <c r="B43" s="8">
        <v>0</v>
      </c>
      <c r="C43" s="8">
        <v>1.00556644</v>
      </c>
      <c r="D43" s="8">
        <v>1.96085456</v>
      </c>
      <c r="E43" s="8">
        <v>2.8702647899999998</v>
      </c>
      <c r="F43" s="8">
        <v>6.9424295699999998</v>
      </c>
      <c r="G43" s="8">
        <v>12.787336059999999</v>
      </c>
      <c r="H43" s="8">
        <v>20.482561400000002</v>
      </c>
      <c r="I43" s="8">
        <v>28.434721969999998</v>
      </c>
      <c r="J43" s="8">
        <v>33.109943549999997</v>
      </c>
      <c r="K43" s="8">
        <v>40.262283279999998</v>
      </c>
      <c r="L43" s="8">
        <v>48.33022562</v>
      </c>
      <c r="M43" s="8">
        <v>56.237989050000003</v>
      </c>
      <c r="N43" s="8">
        <v>64.532413460000001</v>
      </c>
      <c r="O43" s="8">
        <v>72.639548529999999</v>
      </c>
      <c r="P43" s="8">
        <v>80.588725539999999</v>
      </c>
      <c r="Q43" s="8">
        <v>88.739293169999996</v>
      </c>
      <c r="R43" s="8">
        <v>98.564813490000006</v>
      </c>
      <c r="S43" s="8">
        <v>110.31619639</v>
      </c>
      <c r="T43" s="8">
        <v>127.59393325000001</v>
      </c>
      <c r="U43" s="8">
        <v>142.90309843</v>
      </c>
      <c r="V43" s="8">
        <v>159.10106887000001</v>
      </c>
      <c r="W43" s="8">
        <v>175.41207186</v>
      </c>
      <c r="X43" s="8">
        <v>192.94069951</v>
      </c>
      <c r="Y43" s="8">
        <v>210.28926448000001</v>
      </c>
      <c r="Z43" s="8">
        <v>229.02689583</v>
      </c>
      <c r="AA43" s="8">
        <v>248.99562394</v>
      </c>
      <c r="AB43" s="8">
        <v>269.43713642</v>
      </c>
      <c r="AC43" s="8">
        <v>289.99203453000001</v>
      </c>
    </row>
    <row r="44" spans="1:29" x14ac:dyDescent="0.85">
      <c r="A44" t="s">
        <v>175</v>
      </c>
      <c r="B44" s="8">
        <v>5.127429E-2</v>
      </c>
      <c r="C44" s="8">
        <v>5.0278320000000001E-2</v>
      </c>
      <c r="D44" s="8">
        <v>4.902136E-2</v>
      </c>
      <c r="E44" s="8">
        <v>4.7837749999999998E-2</v>
      </c>
      <c r="F44" s="8">
        <v>8.6780369999999996E-2</v>
      </c>
      <c r="G44" s="8">
        <v>0.12787335999999999</v>
      </c>
      <c r="H44" s="8">
        <v>0.17068801</v>
      </c>
      <c r="I44" s="8">
        <v>0.20310516000000001</v>
      </c>
      <c r="J44" s="8">
        <v>0.20693714999999999</v>
      </c>
      <c r="K44" s="8">
        <v>0.22367935</v>
      </c>
      <c r="L44" s="8">
        <v>0.24165112999999999</v>
      </c>
      <c r="M44" s="8">
        <v>0.25562721999999999</v>
      </c>
      <c r="N44" s="8">
        <v>0.26888506000000001</v>
      </c>
      <c r="O44" s="8">
        <v>0.27938288</v>
      </c>
      <c r="P44" s="8">
        <v>0.28781688</v>
      </c>
      <c r="Q44" s="8">
        <v>0.29579763999999997</v>
      </c>
      <c r="R44" s="8">
        <v>0.30801504000000002</v>
      </c>
      <c r="S44" s="8">
        <v>0.32445940000000001</v>
      </c>
      <c r="T44" s="8">
        <v>0.35442759000000001</v>
      </c>
      <c r="U44" s="8">
        <v>0.37606078999999998</v>
      </c>
      <c r="V44" s="8">
        <v>0.39775266999999997</v>
      </c>
      <c r="W44" s="8">
        <v>0.41764779000000002</v>
      </c>
      <c r="X44" s="8">
        <v>0.43850159</v>
      </c>
      <c r="Y44" s="8">
        <v>0.45715056999999998</v>
      </c>
      <c r="Z44" s="8">
        <v>0.47713937000000001</v>
      </c>
      <c r="AA44" s="8">
        <v>0.49799125</v>
      </c>
      <c r="AB44" s="8">
        <v>0.51814833999999999</v>
      </c>
      <c r="AC44" s="8">
        <v>0.53702229000000001</v>
      </c>
    </row>
    <row r="45" spans="1:29" x14ac:dyDescent="0.85">
      <c r="A45" t="s">
        <v>176</v>
      </c>
      <c r="B45" s="8">
        <v>1077.9758752299999</v>
      </c>
      <c r="C45" s="8">
        <v>1057.03694563</v>
      </c>
      <c r="D45" s="8">
        <v>1030.6110258199999</v>
      </c>
      <c r="E45" s="8">
        <v>1005.72699044</v>
      </c>
      <c r="F45" s="8">
        <v>1824.44547362</v>
      </c>
      <c r="G45" s="8">
        <v>2688.3726688900001</v>
      </c>
      <c r="H45" s="8">
        <v>3588.4955486700001</v>
      </c>
      <c r="I45" s="8">
        <v>4270.0242662700002</v>
      </c>
      <c r="J45" s="8">
        <v>4350.5869243999996</v>
      </c>
      <c r="K45" s="8">
        <v>4702.5702027200005</v>
      </c>
      <c r="L45" s="8">
        <v>5080.4036507700002</v>
      </c>
      <c r="M45" s="8">
        <v>5374.2330405800003</v>
      </c>
      <c r="N45" s="8">
        <v>5652.9619019499996</v>
      </c>
      <c r="O45" s="8">
        <v>5873.6651031700003</v>
      </c>
      <c r="P45" s="8">
        <v>6050.97904561</v>
      </c>
      <c r="Q45" s="8">
        <v>6218.7643893499999</v>
      </c>
      <c r="R45" s="8">
        <v>6475.6194479799997</v>
      </c>
      <c r="S45" s="8">
        <v>6821.3409106299996</v>
      </c>
      <c r="T45" s="8">
        <v>7451.3835229599999</v>
      </c>
      <c r="U45" s="8">
        <v>7906.1935356100003</v>
      </c>
      <c r="V45" s="8">
        <v>8362.2375111000001</v>
      </c>
      <c r="W45" s="8">
        <v>8780.5067354500006</v>
      </c>
      <c r="X45" s="8">
        <v>9218.9310074799996</v>
      </c>
      <c r="Y45" s="8">
        <v>9611.0018949299993</v>
      </c>
      <c r="Z45" s="8">
        <v>10031.24048183</v>
      </c>
      <c r="AA45" s="8">
        <v>10469.62442851</v>
      </c>
      <c r="AB45" s="8">
        <v>10893.40130684</v>
      </c>
      <c r="AC45" s="8">
        <v>11290.20172533</v>
      </c>
    </row>
    <row r="46" spans="1:29" x14ac:dyDescent="0.85">
      <c r="A46" t="s">
        <v>177</v>
      </c>
      <c r="B46" s="8">
        <v>172.79435477000001</v>
      </c>
      <c r="C46" s="8">
        <v>169.43794493999999</v>
      </c>
      <c r="D46" s="8">
        <v>165.20199693000001</v>
      </c>
      <c r="E46" s="8">
        <v>161.21320559</v>
      </c>
      <c r="F46" s="8">
        <v>292.44984575000001</v>
      </c>
      <c r="G46" s="8">
        <v>430.9332253</v>
      </c>
      <c r="H46" s="8">
        <v>575.21859920999998</v>
      </c>
      <c r="I46" s="8">
        <v>684.46437893999996</v>
      </c>
      <c r="J46" s="8">
        <v>697.37818605999996</v>
      </c>
      <c r="K46" s="8">
        <v>753.79941483000005</v>
      </c>
      <c r="L46" s="8">
        <v>814.36430164000001</v>
      </c>
      <c r="M46" s="8">
        <v>861.46374143000003</v>
      </c>
      <c r="N46" s="8">
        <v>906.14263903999995</v>
      </c>
      <c r="O46" s="8">
        <v>941.52030205000005</v>
      </c>
      <c r="P46" s="8">
        <v>969.94287529999997</v>
      </c>
      <c r="Q46" s="8">
        <v>996.83805995</v>
      </c>
      <c r="R46" s="8">
        <v>1038.0106920600001</v>
      </c>
      <c r="S46" s="8">
        <v>1093.4281818500001</v>
      </c>
      <c r="T46" s="8">
        <v>1194.42098622</v>
      </c>
      <c r="U46" s="8">
        <v>1267.32484658</v>
      </c>
      <c r="V46" s="8">
        <v>1340.4265052600001</v>
      </c>
      <c r="W46" s="8">
        <v>1407.4730527700001</v>
      </c>
      <c r="X46" s="8">
        <v>1477.7503576199999</v>
      </c>
      <c r="Y46" s="8">
        <v>1540.5974375799999</v>
      </c>
      <c r="Z46" s="8">
        <v>1607.9596644600001</v>
      </c>
      <c r="AA46" s="8">
        <v>1678.23050534</v>
      </c>
      <c r="AB46" s="8">
        <v>1746.15990334</v>
      </c>
      <c r="AC46" s="8">
        <v>1809.7651043999999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1.0057186600000001</v>
      </c>
      <c r="E47" s="8">
        <v>1</v>
      </c>
      <c r="F47" s="8">
        <v>1.0008769900000001</v>
      </c>
      <c r="G47" s="8">
        <v>1.5113014300000001</v>
      </c>
      <c r="H47" s="8">
        <v>1.3690369</v>
      </c>
      <c r="I47" s="8">
        <v>1.2933245</v>
      </c>
      <c r="J47" s="8">
        <v>1.2204312399999999</v>
      </c>
      <c r="K47" s="8">
        <v>1.0449918199999999</v>
      </c>
      <c r="L47" s="8">
        <v>1.10862029</v>
      </c>
      <c r="M47" s="8">
        <v>1.1080473399999999</v>
      </c>
      <c r="N47" s="8">
        <v>1.0849598300000001</v>
      </c>
      <c r="O47" s="8">
        <v>1.0788348000000001</v>
      </c>
      <c r="P47" s="8">
        <v>1.0656841500000001</v>
      </c>
      <c r="Q47" s="8">
        <v>1.05660303</v>
      </c>
      <c r="R47" s="8">
        <v>1.05408064</v>
      </c>
      <c r="S47" s="8">
        <v>1.0680033099999999</v>
      </c>
      <c r="T47" s="8">
        <v>1.0803981199999999</v>
      </c>
      <c r="U47" s="8">
        <v>1.1203727699999999</v>
      </c>
      <c r="V47" s="8">
        <v>1.0882430700000001</v>
      </c>
      <c r="W47" s="8">
        <v>1.0848019099999999</v>
      </c>
      <c r="X47" s="8">
        <v>1.07694238</v>
      </c>
      <c r="Y47" s="8">
        <v>1.07685287</v>
      </c>
      <c r="Z47" s="8">
        <v>1.0692604000000001</v>
      </c>
      <c r="AA47" s="8">
        <v>1.07048692</v>
      </c>
      <c r="AB47" s="8">
        <v>1.0704634500000001</v>
      </c>
      <c r="AC47" s="8">
        <v>1.0671556900000001</v>
      </c>
    </row>
    <row r="48" spans="1:29" x14ac:dyDescent="0.85">
      <c r="A48" t="s">
        <v>179</v>
      </c>
      <c r="B48" s="8">
        <v>1</v>
      </c>
      <c r="C48" s="8">
        <v>1.0057186600000001</v>
      </c>
      <c r="D48" s="8">
        <v>1</v>
      </c>
      <c r="E48" s="8">
        <v>1.0008769900000001</v>
      </c>
      <c r="F48" s="8">
        <v>1.86057066</v>
      </c>
      <c r="G48" s="8">
        <v>1.5113114299999999</v>
      </c>
      <c r="H48" s="8">
        <v>1.3690469000000001</v>
      </c>
      <c r="I48" s="8">
        <v>1.2204312399999999</v>
      </c>
      <c r="J48" s="8">
        <v>1.0449918199999999</v>
      </c>
      <c r="K48" s="8">
        <v>1.10862029</v>
      </c>
      <c r="L48" s="8">
        <v>1.1080473399999999</v>
      </c>
      <c r="M48" s="8">
        <v>1.0849598300000001</v>
      </c>
      <c r="N48" s="8">
        <v>1.0788348000000001</v>
      </c>
      <c r="O48" s="8">
        <v>1.0656841500000001</v>
      </c>
      <c r="P48" s="8">
        <v>1.05660303</v>
      </c>
      <c r="Q48" s="8">
        <v>1.05408064</v>
      </c>
      <c r="R48" s="8">
        <v>1.0680033099999999</v>
      </c>
      <c r="S48" s="8">
        <v>1.0803981199999999</v>
      </c>
      <c r="T48" s="8">
        <v>1.1203727699999999</v>
      </c>
      <c r="U48" s="8">
        <v>1.0882430700000001</v>
      </c>
      <c r="V48" s="8">
        <v>1.0848019099999999</v>
      </c>
      <c r="W48" s="8">
        <v>1.07694238</v>
      </c>
      <c r="X48" s="8">
        <v>1.07685287</v>
      </c>
      <c r="Y48" s="8">
        <v>1.0692604000000001</v>
      </c>
      <c r="Z48" s="8">
        <v>1.07048692</v>
      </c>
      <c r="AA48" s="8">
        <v>1.0704634500000001</v>
      </c>
      <c r="AB48" s="8">
        <v>1.0671556900000001</v>
      </c>
      <c r="AC48" s="8">
        <v>1.0630007800000001</v>
      </c>
    </row>
    <row r="49" spans="1:29" x14ac:dyDescent="0.85">
      <c r="A49" t="s">
        <v>180</v>
      </c>
      <c r="B49" s="8">
        <v>1</v>
      </c>
      <c r="C49" s="8">
        <v>1.72817423</v>
      </c>
      <c r="D49" s="8">
        <v>1.75856703</v>
      </c>
      <c r="E49" s="8">
        <v>1.8048797000000001</v>
      </c>
      <c r="F49" s="8">
        <v>1.86057066</v>
      </c>
      <c r="G49" s="8">
        <v>1.5113114299999999</v>
      </c>
      <c r="H49" s="8">
        <v>1.3690469000000001</v>
      </c>
      <c r="I49" s="8">
        <v>1.2933345000000001</v>
      </c>
      <c r="J49" s="8">
        <v>1.2598832099999999</v>
      </c>
      <c r="K49" s="8">
        <v>1.2657567599999999</v>
      </c>
      <c r="L49" s="8">
        <v>1.25879597</v>
      </c>
      <c r="M49" s="8">
        <v>1.2521037800000001</v>
      </c>
      <c r="N49" s="8">
        <v>1.2497835100000001</v>
      </c>
      <c r="O49" s="8">
        <v>1.2485514900000001</v>
      </c>
      <c r="P49" s="8">
        <v>1.2497172000000001</v>
      </c>
      <c r="Q49" s="8">
        <v>1.2525525500000001</v>
      </c>
      <c r="R49" s="8">
        <v>1.25575751</v>
      </c>
      <c r="S49" s="8">
        <v>1.25439448</v>
      </c>
      <c r="T49" s="8">
        <v>1.2492079599999999</v>
      </c>
      <c r="U49" s="8">
        <v>1.2337781299999999</v>
      </c>
      <c r="V49" s="8">
        <v>1.2263725000000001</v>
      </c>
      <c r="W49" s="8">
        <v>1.21963295</v>
      </c>
      <c r="X49" s="8">
        <v>1.2148027699999999</v>
      </c>
      <c r="Y49" s="8">
        <v>1.20994406</v>
      </c>
      <c r="Z49" s="8">
        <v>1.2068159899999999</v>
      </c>
      <c r="AA49" s="8">
        <v>1.2032507699999999</v>
      </c>
      <c r="AB49" s="8">
        <v>1.1997825799999999</v>
      </c>
      <c r="AC49" s="8">
        <v>1.19694528</v>
      </c>
    </row>
    <row r="50" spans="1:29" x14ac:dyDescent="0.85">
      <c r="A50" t="s">
        <v>181</v>
      </c>
      <c r="B50" s="8">
        <v>31948</v>
      </c>
      <c r="C50" s="8">
        <v>32656.70710254</v>
      </c>
      <c r="D50" s="8">
        <v>33446.244926179999</v>
      </c>
      <c r="E50" s="8">
        <v>34171.038909690003</v>
      </c>
      <c r="F50" s="8">
        <v>34145.853711830001</v>
      </c>
      <c r="G50" s="8">
        <v>33210.368513720001</v>
      </c>
      <c r="H50" s="8">
        <v>32144.62844842</v>
      </c>
      <c r="I50" s="8">
        <v>31551.37679866</v>
      </c>
      <c r="J50" s="8">
        <v>32222.340889440002</v>
      </c>
      <c r="K50" s="8">
        <v>32905.537640989998</v>
      </c>
      <c r="L50" s="8">
        <v>33600.503793099997</v>
      </c>
      <c r="M50" s="8">
        <v>34307.368009259997</v>
      </c>
      <c r="N50" s="8">
        <v>35026.153529689997</v>
      </c>
      <c r="O50" s="8">
        <v>35757.568048250003</v>
      </c>
      <c r="P50" s="8">
        <v>36502.404273029999</v>
      </c>
      <c r="Q50" s="8">
        <v>37261.131458190001</v>
      </c>
      <c r="R50" s="8">
        <v>38047.720458540003</v>
      </c>
      <c r="S50" s="8">
        <v>38875.126509039997</v>
      </c>
      <c r="T50" s="8">
        <v>39797.69998243</v>
      </c>
      <c r="U50" s="8">
        <v>40702.615457890002</v>
      </c>
      <c r="V50" s="8">
        <v>41626.028381670003</v>
      </c>
      <c r="W50" s="8">
        <v>42559.836089490003</v>
      </c>
      <c r="X50" s="8">
        <v>43514.769508459998</v>
      </c>
      <c r="Y50" s="8">
        <v>44478.510034010003</v>
      </c>
      <c r="Z50" s="8">
        <v>45469.327954629996</v>
      </c>
      <c r="AA50" s="8">
        <v>46481.076050529999</v>
      </c>
      <c r="AB50" s="8">
        <v>47509.223324250001</v>
      </c>
      <c r="AC50" s="8">
        <v>48549.499872150001</v>
      </c>
    </row>
    <row r="51" spans="1:29" x14ac:dyDescent="0.85">
      <c r="A51" t="s">
        <v>182</v>
      </c>
      <c r="B51" s="8">
        <v>100102331.905</v>
      </c>
      <c r="C51" s="8">
        <v>102344927.181474</v>
      </c>
      <c r="D51" s="8">
        <v>103150803.022982</v>
      </c>
      <c r="E51" s="8">
        <v>101934253.3395</v>
      </c>
      <c r="F51" s="8">
        <v>91703281.672036797</v>
      </c>
      <c r="G51" s="8">
        <v>76989351.491016597</v>
      </c>
      <c r="H51" s="8">
        <v>63029699.478156999</v>
      </c>
      <c r="I51" s="8">
        <v>53655749.6048235</v>
      </c>
      <c r="J51" s="8">
        <v>51877874.2179676</v>
      </c>
      <c r="K51" s="8">
        <v>47331446.430227503</v>
      </c>
      <c r="L51" s="8">
        <v>42938047.978165202</v>
      </c>
      <c r="M51" s="8">
        <v>39721146.266255997</v>
      </c>
      <c r="N51" s="8">
        <v>36914798.923938997</v>
      </c>
      <c r="O51" s="8">
        <v>34808290.771797001</v>
      </c>
      <c r="P51" s="8">
        <v>33209925.7807827</v>
      </c>
      <c r="Q51" s="8">
        <v>31838045.524922799</v>
      </c>
      <c r="R51" s="8">
        <v>30503504.2835912</v>
      </c>
      <c r="S51" s="8">
        <v>29385791.237884499</v>
      </c>
      <c r="T51" s="8">
        <v>28175262.5628842</v>
      </c>
      <c r="U51" s="8">
        <v>27355705.1930441</v>
      </c>
      <c r="V51" s="8">
        <v>26668516.872105598</v>
      </c>
      <c r="W51" s="8">
        <v>26099840.580571901</v>
      </c>
      <c r="X51" s="8">
        <v>25569974.7731473</v>
      </c>
      <c r="Y51" s="8">
        <v>25149476.389720399</v>
      </c>
      <c r="Z51" s="8">
        <v>24797625.715777799</v>
      </c>
      <c r="AA51" s="8">
        <v>24435879.0955288</v>
      </c>
      <c r="AB51" s="8">
        <v>24149477.887490399</v>
      </c>
      <c r="AC51" s="8">
        <v>23906755.919868302</v>
      </c>
    </row>
    <row r="52" spans="1:29" x14ac:dyDescent="0.85">
      <c r="A52" t="s">
        <v>183</v>
      </c>
      <c r="B52" s="8">
        <v>100102331.905</v>
      </c>
      <c r="C52" s="8">
        <v>102344927.181474</v>
      </c>
      <c r="D52" s="8">
        <v>103150803.022982</v>
      </c>
      <c r="E52" s="8">
        <v>101934253.3395</v>
      </c>
      <c r="F52" s="8">
        <v>91703281.672036797</v>
      </c>
      <c r="G52" s="8">
        <v>76989351.491016597</v>
      </c>
      <c r="H52" s="8">
        <v>63029699.478156999</v>
      </c>
      <c r="I52" s="8">
        <v>53655749.6048235</v>
      </c>
      <c r="J52" s="8">
        <v>51877874.2179676</v>
      </c>
      <c r="K52" s="8">
        <v>47331446.430227503</v>
      </c>
      <c r="L52" s="8">
        <v>42938047.978165202</v>
      </c>
      <c r="M52" s="8">
        <v>39721146.266255997</v>
      </c>
      <c r="N52" s="8">
        <v>36914798.923938997</v>
      </c>
      <c r="O52" s="8">
        <v>34808290.771797001</v>
      </c>
      <c r="P52" s="8">
        <v>33209925.7807827</v>
      </c>
      <c r="Q52" s="8">
        <v>31838045.524922799</v>
      </c>
      <c r="R52" s="8">
        <v>30503504.2835912</v>
      </c>
      <c r="S52" s="8">
        <v>29385791.237884499</v>
      </c>
      <c r="T52" s="8">
        <v>28175262.5628842</v>
      </c>
      <c r="U52" s="8">
        <v>27355705.1930441</v>
      </c>
      <c r="V52" s="8">
        <v>26668516.872105598</v>
      </c>
      <c r="W52" s="8">
        <v>26099840.580571901</v>
      </c>
      <c r="X52" s="8">
        <v>25569974.7731473</v>
      </c>
      <c r="Y52" s="8">
        <v>25149476.389720399</v>
      </c>
      <c r="Z52" s="8">
        <v>24797625.715777799</v>
      </c>
      <c r="AA52" s="8">
        <v>24435879.0955288</v>
      </c>
      <c r="AB52" s="8">
        <v>24149477.887490399</v>
      </c>
      <c r="AC52" s="8">
        <v>23906755.919868302</v>
      </c>
    </row>
    <row r="53" spans="1:29" x14ac:dyDescent="0.85">
      <c r="A53" t="s">
        <v>184</v>
      </c>
      <c r="B53" s="8">
        <v>5544.2832802800003</v>
      </c>
      <c r="C53" s="8">
        <v>5667.8099807400004</v>
      </c>
      <c r="D53" s="8">
        <v>5764.1284679999999</v>
      </c>
      <c r="E53" s="8">
        <v>5804.8138840900001</v>
      </c>
      <c r="F53" s="8">
        <v>5552.7329799700001</v>
      </c>
      <c r="G53" s="8">
        <v>5102.8881415200003</v>
      </c>
      <c r="H53" s="8">
        <v>4658.8014285400004</v>
      </c>
      <c r="I53" s="8">
        <v>4372.4790834300002</v>
      </c>
      <c r="J53" s="8">
        <v>4394.2418837799996</v>
      </c>
      <c r="K53" s="8">
        <v>4349.6396573800002</v>
      </c>
      <c r="L53" s="8">
        <v>4309.9140213199998</v>
      </c>
      <c r="M53" s="8">
        <v>4300.0500720199998</v>
      </c>
      <c r="N53" s="8">
        <v>4301.3610719899998</v>
      </c>
      <c r="O53" s="8">
        <v>4320.9742798799998</v>
      </c>
      <c r="P53" s="8">
        <v>4354.2892754699997</v>
      </c>
      <c r="Q53" s="8">
        <v>4394.4791524100001</v>
      </c>
      <c r="R53" s="8">
        <v>4438.2851657399997</v>
      </c>
      <c r="S53" s="8">
        <v>4491.3446570400001</v>
      </c>
      <c r="T53" s="8">
        <v>4551.3791182000004</v>
      </c>
      <c r="U53" s="8">
        <v>4619.2388890299999</v>
      </c>
      <c r="V53" s="8">
        <v>4692.1243558899996</v>
      </c>
      <c r="W53" s="8">
        <v>4768.9107312300002</v>
      </c>
      <c r="X53" s="8">
        <v>4848.6951479700001</v>
      </c>
      <c r="Y53" s="8">
        <v>4932.0031994399997</v>
      </c>
      <c r="Z53" s="8">
        <v>5019.6151612200001</v>
      </c>
      <c r="AA53" s="8">
        <v>5109.0177431800003</v>
      </c>
      <c r="AB53" s="8">
        <v>5201.8509263200003</v>
      </c>
      <c r="AC53" s="8">
        <v>5296.9274970799997</v>
      </c>
    </row>
    <row r="54" spans="1:29" x14ac:dyDescent="0.85">
      <c r="A54" t="s">
        <v>185</v>
      </c>
      <c r="B54" s="8">
        <v>0</v>
      </c>
      <c r="C54" s="8">
        <v>1002.9802863800001</v>
      </c>
      <c r="D54" s="8">
        <v>2021.75573925</v>
      </c>
      <c r="E54" s="8">
        <v>2996.86704818</v>
      </c>
      <c r="F54" s="8">
        <v>3594.7686415399999</v>
      </c>
      <c r="G54" s="8">
        <v>3772.4782230599999</v>
      </c>
      <c r="H54" s="8">
        <v>3706.1463293199999</v>
      </c>
      <c r="I54" s="8">
        <v>3680.7844228899999</v>
      </c>
      <c r="J54" s="8">
        <v>4067.2253386900002</v>
      </c>
      <c r="K54" s="8">
        <v>4174.6335751500001</v>
      </c>
      <c r="L54" s="8">
        <v>4207.9287018599998</v>
      </c>
      <c r="M54" s="8">
        <v>4281.9395674999996</v>
      </c>
      <c r="N54" s="8">
        <v>4341.1803534600003</v>
      </c>
      <c r="O54" s="8">
        <v>4434.57624433</v>
      </c>
      <c r="P54" s="8">
        <v>4556.4018171199996</v>
      </c>
      <c r="Q54" s="8">
        <v>4680.1926921599998</v>
      </c>
      <c r="R54" s="8">
        <v>4782.9494716700001</v>
      </c>
      <c r="S54" s="8">
        <v>4895.6728202300001</v>
      </c>
      <c r="T54" s="8">
        <v>4970.1163160899996</v>
      </c>
      <c r="U54" s="8">
        <v>5093.6323069399996</v>
      </c>
      <c r="V54" s="8">
        <v>5227.0293069299996</v>
      </c>
      <c r="W54" s="8">
        <v>5371.3471914800002</v>
      </c>
      <c r="X54" s="8">
        <v>5512.8865610900002</v>
      </c>
      <c r="Y54" s="8">
        <v>5668.69197824</v>
      </c>
      <c r="Z54" s="8">
        <v>5832.4015683500002</v>
      </c>
      <c r="AA54" s="8">
        <v>5986.7903784</v>
      </c>
      <c r="AB54" s="8">
        <v>6153.2869657299998</v>
      </c>
      <c r="AC54" s="8">
        <v>6325.7276164000004</v>
      </c>
    </row>
    <row r="55" spans="1:29" x14ac:dyDescent="0.85">
      <c r="A55" t="s">
        <v>186</v>
      </c>
      <c r="B55" s="8">
        <v>49.050142630000003</v>
      </c>
      <c r="C55" s="8">
        <v>50.149014319999999</v>
      </c>
      <c r="D55" s="8">
        <v>50.543893480000001</v>
      </c>
      <c r="E55" s="8">
        <v>49.947784140000003</v>
      </c>
      <c r="F55" s="8">
        <v>44.934608019999999</v>
      </c>
      <c r="G55" s="8">
        <v>37.724782230000002</v>
      </c>
      <c r="H55" s="8">
        <v>30.88455274</v>
      </c>
      <c r="I55" s="8">
        <v>26.29131731</v>
      </c>
      <c r="J55" s="8">
        <v>25.420158369999999</v>
      </c>
      <c r="K55" s="8">
        <v>23.192408749999998</v>
      </c>
      <c r="L55" s="8">
        <v>21.039643510000001</v>
      </c>
      <c r="M55" s="8">
        <v>19.463361670000001</v>
      </c>
      <c r="N55" s="8">
        <v>18.088251469999999</v>
      </c>
      <c r="O55" s="8">
        <v>17.056062480000001</v>
      </c>
      <c r="P55" s="8">
        <v>16.27286363</v>
      </c>
      <c r="Q55" s="8">
        <v>15.60064231</v>
      </c>
      <c r="R55" s="8">
        <v>14.946717100000001</v>
      </c>
      <c r="S55" s="8">
        <v>14.39903771</v>
      </c>
      <c r="T55" s="8">
        <v>13.805878659999999</v>
      </c>
      <c r="U55" s="8">
        <v>13.40429554</v>
      </c>
      <c r="V55" s="8">
        <v>13.06757327</v>
      </c>
      <c r="W55" s="8">
        <v>12.78892188</v>
      </c>
      <c r="X55" s="8">
        <v>12.52928764</v>
      </c>
      <c r="Y55" s="8">
        <v>12.32324343</v>
      </c>
      <c r="Z55" s="8">
        <v>12.1508366</v>
      </c>
      <c r="AA55" s="8">
        <v>11.973580760000001</v>
      </c>
      <c r="AB55" s="8">
        <v>11.83324416</v>
      </c>
      <c r="AC55" s="8">
        <v>11.7143104</v>
      </c>
    </row>
    <row r="56" spans="1:29" x14ac:dyDescent="0.85">
      <c r="A56" t="s">
        <v>187</v>
      </c>
      <c r="B56" s="8">
        <v>3101.7863818000001</v>
      </c>
      <c r="C56" s="8">
        <v>3170.5937575100002</v>
      </c>
      <c r="D56" s="8">
        <v>3247.2488742400001</v>
      </c>
      <c r="E56" s="8">
        <v>3317.6181025999999</v>
      </c>
      <c r="F56" s="8">
        <v>3315.1729071700001</v>
      </c>
      <c r="G56" s="8">
        <v>3224.3479651399998</v>
      </c>
      <c r="H56" s="8">
        <v>3120.8767612800002</v>
      </c>
      <c r="I56" s="8">
        <v>3063.2787930700001</v>
      </c>
      <c r="J56" s="8">
        <v>3128.4217528600002</v>
      </c>
      <c r="K56" s="8">
        <v>3194.7523644799999</v>
      </c>
      <c r="L56" s="8">
        <v>3262.2256506499998</v>
      </c>
      <c r="M56" s="8">
        <v>3330.8541031200002</v>
      </c>
      <c r="N56" s="8">
        <v>3400.6399782499998</v>
      </c>
      <c r="O56" s="8">
        <v>3471.6519850499999</v>
      </c>
      <c r="P56" s="8">
        <v>3543.9670864200002</v>
      </c>
      <c r="Q56" s="8">
        <v>3617.6308416000002</v>
      </c>
      <c r="R56" s="8">
        <v>3693.9996612199998</v>
      </c>
      <c r="S56" s="8">
        <v>3774.3313508299998</v>
      </c>
      <c r="T56" s="8">
        <v>3863.9027116699999</v>
      </c>
      <c r="U56" s="8">
        <v>3951.7596823200001</v>
      </c>
      <c r="V56" s="8">
        <v>4041.4125442099999</v>
      </c>
      <c r="W56" s="8">
        <v>4132.0746210699999</v>
      </c>
      <c r="X56" s="8">
        <v>4224.7877635000004</v>
      </c>
      <c r="Y56" s="8">
        <v>4318.3559755300003</v>
      </c>
      <c r="Z56" s="8">
        <v>4414.5530937499998</v>
      </c>
      <c r="AA56" s="8">
        <v>4512.7822932500003</v>
      </c>
      <c r="AB56" s="8">
        <v>4612.6036658599996</v>
      </c>
      <c r="AC56" s="8">
        <v>4713.6026526400001</v>
      </c>
    </row>
    <row r="57" spans="1:29" x14ac:dyDescent="0.85">
      <c r="A57" t="s">
        <v>188</v>
      </c>
      <c r="B57" s="8">
        <v>2442.4968984799998</v>
      </c>
      <c r="C57" s="8">
        <v>2497.2162232300002</v>
      </c>
      <c r="D57" s="8">
        <v>2516.8795937599998</v>
      </c>
      <c r="E57" s="8">
        <v>2487.1957814799998</v>
      </c>
      <c r="F57" s="8">
        <v>2237.5600727999999</v>
      </c>
      <c r="G57" s="8">
        <v>1878.54017638</v>
      </c>
      <c r="H57" s="8">
        <v>1537.9246672700001</v>
      </c>
      <c r="I57" s="8">
        <v>1309.2002903600001</v>
      </c>
      <c r="J57" s="8">
        <v>1265.8201309200001</v>
      </c>
      <c r="K57" s="8">
        <v>1154.8872928999999</v>
      </c>
      <c r="L57" s="8">
        <v>1047.68837067</v>
      </c>
      <c r="M57" s="8">
        <v>969.19596890000003</v>
      </c>
      <c r="N57" s="8">
        <v>900.72109374000001</v>
      </c>
      <c r="O57" s="8">
        <v>849.32229483000003</v>
      </c>
      <c r="P57" s="8">
        <v>810.32218905000002</v>
      </c>
      <c r="Q57" s="8">
        <v>776.84831081000004</v>
      </c>
      <c r="R57" s="8">
        <v>744.28550452000002</v>
      </c>
      <c r="S57" s="8">
        <v>717.01330619999999</v>
      </c>
      <c r="T57" s="8">
        <v>687.47640652999996</v>
      </c>
      <c r="U57" s="8">
        <v>667.47920670999997</v>
      </c>
      <c r="V57" s="8">
        <v>650.71181167999998</v>
      </c>
      <c r="W57" s="8">
        <v>636.83611016999998</v>
      </c>
      <c r="X57" s="8">
        <v>623.90738446</v>
      </c>
      <c r="Y57" s="8">
        <v>613.64722390999998</v>
      </c>
      <c r="Z57" s="8">
        <v>605.06206745999998</v>
      </c>
      <c r="AA57" s="8">
        <v>596.23544992999996</v>
      </c>
      <c r="AB57" s="8">
        <v>589.24726045</v>
      </c>
      <c r="AC57" s="8">
        <v>583.32484443999999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1.0647741100000001</v>
      </c>
      <c r="E58" s="8">
        <v>1.06685093</v>
      </c>
      <c r="F58" s="8">
        <v>1.06424001</v>
      </c>
      <c r="G58" s="8">
        <v>1.0408989200000001</v>
      </c>
      <c r="H58" s="8">
        <v>1.0131283900000001</v>
      </c>
      <c r="I58" s="8">
        <v>1.00823898</v>
      </c>
      <c r="J58" s="8">
        <v>1.02244198</v>
      </c>
      <c r="K58" s="8">
        <v>1.0638185</v>
      </c>
      <c r="L58" s="8">
        <v>1.0637526900000001</v>
      </c>
      <c r="M58" s="8">
        <v>1.0636667</v>
      </c>
      <c r="N58" s="8">
        <v>1.0635805300000001</v>
      </c>
      <c r="O58" s="8">
        <v>1.0634909800000001</v>
      </c>
      <c r="P58" s="8">
        <v>1.0634186999999999</v>
      </c>
      <c r="Q58" s="8">
        <v>1.06336476</v>
      </c>
      <c r="R58" s="8">
        <v>1.0633184099999999</v>
      </c>
      <c r="S58" s="8">
        <v>1.06365643</v>
      </c>
      <c r="T58" s="8">
        <v>1.0643193099999999</v>
      </c>
      <c r="U58" s="8">
        <v>1.0663872000000001</v>
      </c>
      <c r="V58" s="8">
        <v>1.0653519600000001</v>
      </c>
      <c r="W58" s="8">
        <v>1.0652987700000001</v>
      </c>
      <c r="X58" s="8">
        <v>1.0650346500000001</v>
      </c>
      <c r="Y58" s="8">
        <v>1.0650389899999999</v>
      </c>
      <c r="Z58" s="8">
        <v>1.0647369099999999</v>
      </c>
      <c r="AA58" s="8">
        <v>1.0648711799999999</v>
      </c>
      <c r="AB58" s="8">
        <v>1.0648450199999999</v>
      </c>
      <c r="AC58" s="8">
        <v>1.0647080200000001</v>
      </c>
    </row>
    <row r="59" spans="1:29" x14ac:dyDescent="0.85">
      <c r="A59" t="s">
        <v>190</v>
      </c>
      <c r="B59" s="8">
        <v>1</v>
      </c>
      <c r="C59" s="8">
        <v>1.0647741100000001</v>
      </c>
      <c r="D59" s="8">
        <v>1.06685093</v>
      </c>
      <c r="E59" s="8">
        <v>1.06424001</v>
      </c>
      <c r="F59" s="8">
        <v>1.0408989200000001</v>
      </c>
      <c r="G59" s="8">
        <v>1.0131283900000001</v>
      </c>
      <c r="H59" s="8">
        <v>1.00823898</v>
      </c>
      <c r="I59" s="8">
        <v>1.02244198</v>
      </c>
      <c r="J59" s="8">
        <v>1.0638185</v>
      </c>
      <c r="K59" s="8">
        <v>1.0637526900000001</v>
      </c>
      <c r="L59" s="8">
        <v>1.0636667</v>
      </c>
      <c r="M59" s="8">
        <v>1.0635805300000001</v>
      </c>
      <c r="N59" s="8">
        <v>1.0634909800000001</v>
      </c>
      <c r="O59" s="8">
        <v>1.0634186999999999</v>
      </c>
      <c r="P59" s="8">
        <v>1.06336476</v>
      </c>
      <c r="Q59" s="8">
        <v>1.0633184099999999</v>
      </c>
      <c r="R59" s="8">
        <v>1.06365643</v>
      </c>
      <c r="S59" s="8">
        <v>1.0643193099999999</v>
      </c>
      <c r="T59" s="8">
        <v>1.0663872000000001</v>
      </c>
      <c r="U59" s="8">
        <v>1.0653519600000001</v>
      </c>
      <c r="V59" s="8">
        <v>1.0652987700000001</v>
      </c>
      <c r="W59" s="8">
        <v>1.0650346500000001</v>
      </c>
      <c r="X59" s="8">
        <v>1.0650389899999999</v>
      </c>
      <c r="Y59" s="8">
        <v>1.0647369099999999</v>
      </c>
      <c r="Z59" s="8">
        <v>1.0648711799999999</v>
      </c>
      <c r="AA59" s="8">
        <v>1.0648450199999999</v>
      </c>
      <c r="AB59" s="8">
        <v>1.0647080200000001</v>
      </c>
      <c r="AC59" s="8">
        <v>1.0644753199999999</v>
      </c>
    </row>
    <row r="60" spans="1:29" x14ac:dyDescent="0.85">
      <c r="A60" t="s">
        <v>191</v>
      </c>
      <c r="B60" s="8">
        <v>1</v>
      </c>
      <c r="C60" s="8">
        <v>1.1097453900000001</v>
      </c>
      <c r="D60" s="8">
        <v>1.10978719</v>
      </c>
      <c r="E60" s="8">
        <v>1.1108358300000001</v>
      </c>
      <c r="F60" s="8">
        <v>1.11291864</v>
      </c>
      <c r="G60" s="8">
        <v>1.11859536</v>
      </c>
      <c r="H60" s="8">
        <v>1.1261222</v>
      </c>
      <c r="I60" s="8">
        <v>1.13460541</v>
      </c>
      <c r="J60" s="8">
        <v>1.14193224</v>
      </c>
      <c r="K60" s="8">
        <v>1.14462435</v>
      </c>
      <c r="L60" s="8">
        <v>1.14817401</v>
      </c>
      <c r="M60" s="8">
        <v>1.1518078700000001</v>
      </c>
      <c r="N60" s="8">
        <v>1.15519314</v>
      </c>
      <c r="O60" s="8">
        <v>1.15853973</v>
      </c>
      <c r="P60" s="8">
        <v>1.1617233499999999</v>
      </c>
      <c r="Q60" s="8">
        <v>1.1647878</v>
      </c>
      <c r="R60" s="8">
        <v>1.16778158</v>
      </c>
      <c r="S60" s="8">
        <v>1.1698327500000001</v>
      </c>
      <c r="T60" s="8">
        <v>1.17105473</v>
      </c>
      <c r="U60" s="8">
        <v>1.1703311199999999</v>
      </c>
      <c r="V60" s="8">
        <v>1.17055793</v>
      </c>
      <c r="W60" s="8">
        <v>1.17062478</v>
      </c>
      <c r="X60" s="8">
        <v>1.17094594</v>
      </c>
      <c r="Y60" s="8">
        <v>1.17113891</v>
      </c>
      <c r="Z60" s="8">
        <v>1.17161395</v>
      </c>
      <c r="AA60" s="8">
        <v>1.17184084</v>
      </c>
      <c r="AB60" s="8">
        <v>1.1720930000000001</v>
      </c>
      <c r="AC60" s="8">
        <v>1.1723811399999999</v>
      </c>
    </row>
    <row r="61" spans="1:29" x14ac:dyDescent="0.85">
      <c r="A61" t="s">
        <v>192</v>
      </c>
      <c r="B61" s="8">
        <v>1821</v>
      </c>
      <c r="C61" s="8">
        <v>1775.47505284</v>
      </c>
      <c r="D61" s="8">
        <v>1731.0881789800001</v>
      </c>
      <c r="E61" s="8">
        <v>1687.8109744999999</v>
      </c>
      <c r="F61" s="8">
        <v>1645.6157001399999</v>
      </c>
      <c r="G61" s="8">
        <v>1604.47530764</v>
      </c>
      <c r="H61" s="8">
        <v>1564.3634249500001</v>
      </c>
      <c r="I61" s="8">
        <v>1525.2543393200001</v>
      </c>
      <c r="J61" s="8">
        <v>1487.1229808400001</v>
      </c>
      <c r="K61" s="8">
        <v>1449.94490632</v>
      </c>
      <c r="L61" s="8">
        <v>1413.6962836600001</v>
      </c>
      <c r="M61" s="8">
        <v>1378.35387657</v>
      </c>
      <c r="N61" s="8">
        <v>1343.8957865</v>
      </c>
      <c r="O61" s="8">
        <v>1310.29843873</v>
      </c>
      <c r="P61" s="8">
        <v>1277.54097776</v>
      </c>
      <c r="Q61" s="8">
        <v>1245.60245332</v>
      </c>
      <c r="R61" s="8">
        <v>1214.46239199</v>
      </c>
      <c r="S61" s="8">
        <v>1184.1008321899999</v>
      </c>
      <c r="T61" s="8">
        <v>1154.4983113799999</v>
      </c>
      <c r="U61" s="8">
        <v>1125.6358536</v>
      </c>
      <c r="V61" s="8">
        <v>1097.4949572600001</v>
      </c>
      <c r="W61" s="8">
        <v>1070.0575833299999</v>
      </c>
      <c r="X61" s="8">
        <v>1043.3061437399999</v>
      </c>
      <c r="Y61" s="8">
        <v>1017.22349015</v>
      </c>
      <c r="Z61" s="8">
        <v>991.79290289999994</v>
      </c>
      <c r="AA61" s="8">
        <v>966.99808031999999</v>
      </c>
      <c r="AB61" s="8">
        <v>942.82312832000002</v>
      </c>
      <c r="AC61" s="8">
        <v>919.25255011000002</v>
      </c>
    </row>
    <row r="62" spans="1:29" x14ac:dyDescent="0.85">
      <c r="A62" t="s">
        <v>193</v>
      </c>
      <c r="B62" s="8">
        <v>5393197</v>
      </c>
      <c r="C62" s="8">
        <v>5258367.2314862199</v>
      </c>
      <c r="D62" s="8">
        <v>5126908.0579866702</v>
      </c>
      <c r="E62" s="8">
        <v>4998735.0156383198</v>
      </c>
      <c r="F62" s="8">
        <v>409887.91280123999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5393197</v>
      </c>
      <c r="C63" s="8">
        <v>5258367.2314862199</v>
      </c>
      <c r="D63" s="8">
        <v>5126908.0579866702</v>
      </c>
      <c r="E63" s="8">
        <v>4998735.0156383198</v>
      </c>
      <c r="F63" s="8">
        <v>409887.91280123999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574.91273052999998</v>
      </c>
      <c r="C64" s="8">
        <v>560.53992893999998</v>
      </c>
      <c r="D64" s="8">
        <v>546.52643149999994</v>
      </c>
      <c r="E64" s="8">
        <v>532.86326277000001</v>
      </c>
      <c r="F64" s="8">
        <v>415.62258443000002</v>
      </c>
      <c r="G64" s="8">
        <v>395.92838397000003</v>
      </c>
      <c r="H64" s="8">
        <v>386.03017437</v>
      </c>
      <c r="I64" s="8">
        <v>376.37942002</v>
      </c>
      <c r="J64" s="8">
        <v>366.96993451999998</v>
      </c>
      <c r="K64" s="8">
        <v>357.79568614999999</v>
      </c>
      <c r="L64" s="8">
        <v>348.85079400000001</v>
      </c>
      <c r="M64" s="8">
        <v>340.12952415000001</v>
      </c>
      <c r="N64" s="8">
        <v>331.62647281</v>
      </c>
      <c r="O64" s="8">
        <v>323.33582256</v>
      </c>
      <c r="P64" s="8">
        <v>315.25242700000001</v>
      </c>
      <c r="Q64" s="8">
        <v>307.37111632</v>
      </c>
      <c r="R64" s="8">
        <v>299.68683841000001</v>
      </c>
      <c r="S64" s="8">
        <v>292.19466745</v>
      </c>
      <c r="T64" s="8">
        <v>284.88980077000002</v>
      </c>
      <c r="U64" s="8">
        <v>277.76755574999999</v>
      </c>
      <c r="V64" s="8">
        <v>270.82336685000001</v>
      </c>
      <c r="W64" s="8">
        <v>264.05278268000001</v>
      </c>
      <c r="X64" s="8">
        <v>257.45146311000002</v>
      </c>
      <c r="Y64" s="8">
        <v>251.01517654</v>
      </c>
      <c r="Z64" s="8">
        <v>244.73979711999999</v>
      </c>
      <c r="AA64" s="8">
        <v>238.6213022</v>
      </c>
      <c r="AB64" s="8">
        <v>232.65576963999999</v>
      </c>
      <c r="AC64" s="8">
        <v>226.83937539999999</v>
      </c>
    </row>
    <row r="65" spans="1:29" x14ac:dyDescent="0.85">
      <c r="A65" t="s">
        <v>196</v>
      </c>
      <c r="B65" s="8">
        <v>0</v>
      </c>
      <c r="C65" s="8">
        <v>86.237222599999996</v>
      </c>
      <c r="D65" s="8">
        <v>168.16258429999999</v>
      </c>
      <c r="E65" s="8">
        <v>245.93776277000001</v>
      </c>
      <c r="F65" s="8">
        <v>26.888647079999998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4.4224215400000002</v>
      </c>
      <c r="C66" s="8">
        <v>4.3118611299999996</v>
      </c>
      <c r="D66" s="8">
        <v>4.2040646099999996</v>
      </c>
      <c r="E66" s="8">
        <v>4.0989627100000003</v>
      </c>
      <c r="F66" s="8">
        <v>0.33610809000000003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449.35910437000001</v>
      </c>
      <c r="C67" s="8">
        <v>438.1251398</v>
      </c>
      <c r="D67" s="8">
        <v>427.17201190999998</v>
      </c>
      <c r="E67" s="8">
        <v>416.49271161000001</v>
      </c>
      <c r="F67" s="8">
        <v>406.08039381999998</v>
      </c>
      <c r="G67" s="8">
        <v>395.92838397000003</v>
      </c>
      <c r="H67" s="8">
        <v>386.03017437</v>
      </c>
      <c r="I67" s="8">
        <v>376.37942002</v>
      </c>
      <c r="J67" s="8">
        <v>366.96993451999998</v>
      </c>
      <c r="K67" s="8">
        <v>357.79568614999999</v>
      </c>
      <c r="L67" s="8">
        <v>348.85079400000001</v>
      </c>
      <c r="M67" s="8">
        <v>340.12952415000001</v>
      </c>
      <c r="N67" s="8">
        <v>331.62647281</v>
      </c>
      <c r="O67" s="8">
        <v>323.33582256</v>
      </c>
      <c r="P67" s="8">
        <v>315.25242700000001</v>
      </c>
      <c r="Q67" s="8">
        <v>307.37111632</v>
      </c>
      <c r="R67" s="8">
        <v>299.68683841000001</v>
      </c>
      <c r="S67" s="8">
        <v>292.19466745</v>
      </c>
      <c r="T67" s="8">
        <v>284.88980077000002</v>
      </c>
      <c r="U67" s="8">
        <v>277.76755574999999</v>
      </c>
      <c r="V67" s="8">
        <v>270.82336685000001</v>
      </c>
      <c r="W67" s="8">
        <v>264.05278268000001</v>
      </c>
      <c r="X67" s="8">
        <v>257.45146311000002</v>
      </c>
      <c r="Y67" s="8">
        <v>251.01517654</v>
      </c>
      <c r="Z67" s="8">
        <v>244.73979711999999</v>
      </c>
      <c r="AA67" s="8">
        <v>238.6213022</v>
      </c>
      <c r="AB67" s="8">
        <v>232.65576963999999</v>
      </c>
      <c r="AC67" s="8">
        <v>226.83937539999999</v>
      </c>
    </row>
    <row r="68" spans="1:29" x14ac:dyDescent="0.85">
      <c r="A68" t="s">
        <v>199</v>
      </c>
      <c r="B68" s="8">
        <v>125.55362615999999</v>
      </c>
      <c r="C68" s="8">
        <v>122.41478915</v>
      </c>
      <c r="D68" s="8">
        <v>119.35441959000001</v>
      </c>
      <c r="E68" s="8">
        <v>116.37055116000001</v>
      </c>
      <c r="F68" s="8">
        <v>9.5421906100000005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1.00000003</v>
      </c>
      <c r="E69" s="8">
        <v>1</v>
      </c>
      <c r="F69" s="8">
        <v>0.99999992999999998</v>
      </c>
      <c r="G69" s="8">
        <v>8.4100850000000005E-2</v>
      </c>
      <c r="H69" s="8">
        <v>0</v>
      </c>
      <c r="I69" s="8">
        <v>4.6989999999999998E-4</v>
      </c>
      <c r="J69" s="8">
        <v>0.19955292999999999</v>
      </c>
      <c r="K69" s="8">
        <v>0.99999908000000004</v>
      </c>
      <c r="L69" s="8">
        <v>0.99999985999999996</v>
      </c>
      <c r="M69" s="8">
        <v>0.99999985999999996</v>
      </c>
      <c r="N69" s="8">
        <v>0.99361126</v>
      </c>
      <c r="O69" s="8">
        <v>1.0000005599999999</v>
      </c>
      <c r="P69" s="8">
        <v>1.00000004</v>
      </c>
      <c r="Q69" s="8">
        <v>0.98176733999999999</v>
      </c>
      <c r="R69" s="8">
        <v>0.97993609000000004</v>
      </c>
      <c r="S69" s="8">
        <v>0.96947046999999997</v>
      </c>
      <c r="T69" s="8">
        <v>0.95923327000000003</v>
      </c>
      <c r="U69" s="8">
        <v>0.95692520000000003</v>
      </c>
      <c r="V69" s="8">
        <v>0.73734995999999997</v>
      </c>
      <c r="W69" s="8">
        <v>0.80892688000000001</v>
      </c>
      <c r="X69" s="8">
        <v>0.61852010999999996</v>
      </c>
      <c r="Y69" s="8">
        <v>0.63799662999999995</v>
      </c>
      <c r="Z69" s="8">
        <v>0.62490710000000005</v>
      </c>
      <c r="AA69" s="8">
        <v>0.63559789</v>
      </c>
      <c r="AB69" s="8">
        <v>0.59178657999999995</v>
      </c>
      <c r="AC69" s="8">
        <v>0.59744881999999999</v>
      </c>
    </row>
    <row r="70" spans="1:29" x14ac:dyDescent="0.85">
      <c r="A70" t="s">
        <v>201</v>
      </c>
      <c r="B70" s="8">
        <v>1</v>
      </c>
      <c r="C70" s="8">
        <v>1.00000003</v>
      </c>
      <c r="D70" s="8">
        <v>1</v>
      </c>
      <c r="E70" s="8">
        <v>0.99999992999999998</v>
      </c>
      <c r="F70" s="8">
        <v>8.4100850000000005E-2</v>
      </c>
      <c r="G70" s="8">
        <v>0</v>
      </c>
      <c r="H70" s="8">
        <v>4.6989999999999998E-4</v>
      </c>
      <c r="I70" s="8">
        <v>0.19955292999999999</v>
      </c>
      <c r="J70" s="8">
        <v>0.99999908000000004</v>
      </c>
      <c r="K70" s="8">
        <v>0.99999985999999996</v>
      </c>
      <c r="L70" s="8">
        <v>0.99999985999999996</v>
      </c>
      <c r="M70" s="8">
        <v>0.99361126</v>
      </c>
      <c r="N70" s="8">
        <v>1.0000005599999999</v>
      </c>
      <c r="O70" s="8">
        <v>1.00000004</v>
      </c>
      <c r="P70" s="8">
        <v>0.98176733999999999</v>
      </c>
      <c r="Q70" s="8">
        <v>0.97993609000000004</v>
      </c>
      <c r="R70" s="8">
        <v>0.96947046999999997</v>
      </c>
      <c r="S70" s="8">
        <v>0.95923327000000003</v>
      </c>
      <c r="T70" s="8">
        <v>0.95692520000000003</v>
      </c>
      <c r="U70" s="8">
        <v>0.73734995999999997</v>
      </c>
      <c r="V70" s="8">
        <v>0.80892688000000001</v>
      </c>
      <c r="W70" s="8">
        <v>0.61852010999999996</v>
      </c>
      <c r="X70" s="8">
        <v>0.63799662999999995</v>
      </c>
      <c r="Y70" s="8">
        <v>0.62490710000000005</v>
      </c>
      <c r="Z70" s="8">
        <v>0.63559789</v>
      </c>
      <c r="AA70" s="8">
        <v>0.59178657999999995</v>
      </c>
      <c r="AB70" s="8">
        <v>0.59744881999999999</v>
      </c>
      <c r="AC70" s="8">
        <v>1.762093E-2</v>
      </c>
    </row>
    <row r="71" spans="1:29" x14ac:dyDescent="0.85">
      <c r="A71" t="s">
        <v>202</v>
      </c>
      <c r="B71" s="8">
        <v>1</v>
      </c>
      <c r="C71" s="8">
        <v>4.7978356499999997</v>
      </c>
      <c r="D71" s="8">
        <v>4.98250072</v>
      </c>
      <c r="E71" s="8">
        <v>5.2309737600000004</v>
      </c>
      <c r="F71" s="8">
        <v>5.53371747</v>
      </c>
      <c r="G71" s="8">
        <v>5.9286626299999998</v>
      </c>
      <c r="H71" s="8">
        <v>6.2904058599999999</v>
      </c>
      <c r="I71" s="8">
        <v>6.6703201099999996</v>
      </c>
      <c r="J71" s="8">
        <v>7.0719003999999996</v>
      </c>
      <c r="K71" s="8">
        <v>7.4990344499999999</v>
      </c>
      <c r="L71" s="8">
        <v>7.9993445000000003</v>
      </c>
      <c r="M71" s="8">
        <v>8.5367164199999994</v>
      </c>
      <c r="N71" s="8">
        <v>9.0938090500000008</v>
      </c>
      <c r="O71" s="8">
        <v>9.6835995599999993</v>
      </c>
      <c r="P71" s="8">
        <v>10.29975072</v>
      </c>
      <c r="Q71" s="8">
        <v>10.94603418</v>
      </c>
      <c r="R71" s="8">
        <v>11.627035940000001</v>
      </c>
      <c r="S71" s="8">
        <v>12.28285468</v>
      </c>
      <c r="T71" s="8">
        <v>12.91911367</v>
      </c>
      <c r="U71" s="8">
        <v>13.45399638</v>
      </c>
      <c r="V71" s="8">
        <v>14.082466500000001</v>
      </c>
      <c r="W71" s="8">
        <v>14.7274297</v>
      </c>
      <c r="X71" s="8">
        <v>15.424938239999999</v>
      </c>
      <c r="Y71" s="8">
        <v>16.145104079999999</v>
      </c>
      <c r="Z71" s="8">
        <v>16.92633721</v>
      </c>
      <c r="AA71" s="8">
        <v>17.722569719999999</v>
      </c>
      <c r="AB71" s="8">
        <v>18.561105120000001</v>
      </c>
      <c r="AC71" s="8">
        <v>19.443667919999999</v>
      </c>
    </row>
    <row r="72" spans="1:29" x14ac:dyDescent="0.85">
      <c r="A72" t="s">
        <v>203</v>
      </c>
      <c r="B72" s="8">
        <v>0</v>
      </c>
      <c r="C72" s="8">
        <v>1.87970222</v>
      </c>
      <c r="D72" s="8">
        <v>1.6938987400000001</v>
      </c>
      <c r="E72" s="8">
        <v>1.5383806799999999</v>
      </c>
      <c r="F72" s="8">
        <v>5.4440235499999998</v>
      </c>
      <c r="G72" s="8">
        <v>4.8996211900000004</v>
      </c>
      <c r="H72" s="8">
        <v>4.40965907</v>
      </c>
      <c r="I72" s="8">
        <v>4.2596401100000003</v>
      </c>
      <c r="J72" s="8">
        <v>3.8350283200000002</v>
      </c>
      <c r="K72" s="8">
        <v>3.4516897700000002</v>
      </c>
      <c r="L72" s="8">
        <v>3.1065903600000002</v>
      </c>
      <c r="M72" s="8">
        <v>2.7959313200000002</v>
      </c>
      <c r="N72" s="8">
        <v>2.9288079699999998</v>
      </c>
      <c r="O72" s="8">
        <v>3.0634569300000001</v>
      </c>
      <c r="P72" s="8">
        <v>2.7571123200000001</v>
      </c>
      <c r="Q72" s="8">
        <v>2.4905467699999999</v>
      </c>
      <c r="R72" s="8">
        <v>2.24157019</v>
      </c>
      <c r="S72" s="8">
        <v>8.0799406000000005</v>
      </c>
      <c r="T72" s="8">
        <v>7.2719465899999998</v>
      </c>
      <c r="U72" s="8">
        <v>6.5447519400000003</v>
      </c>
      <c r="V72" s="8">
        <v>5.8902778199999997</v>
      </c>
      <c r="W72" s="8">
        <v>5.3058791300000001</v>
      </c>
      <c r="X72" s="8">
        <v>4.8707830300000001</v>
      </c>
      <c r="Y72" s="8">
        <v>4.5301965500000003</v>
      </c>
      <c r="Z72" s="8">
        <v>4.0771808700000003</v>
      </c>
      <c r="AA72" s="8">
        <v>3.6721367300000001</v>
      </c>
      <c r="AB72" s="8">
        <v>3.31223731</v>
      </c>
      <c r="AC72" s="8">
        <v>2.98343216</v>
      </c>
    </row>
    <row r="73" spans="1:29" x14ac:dyDescent="0.85">
      <c r="A73" t="s">
        <v>204</v>
      </c>
      <c r="B73" s="8">
        <v>0</v>
      </c>
      <c r="C73" s="8">
        <v>0.46991855999999999</v>
      </c>
      <c r="D73" s="8">
        <v>4.682E-4</v>
      </c>
      <c r="E73" s="8">
        <v>3.5443499999999999E-3</v>
      </c>
      <c r="F73" s="8">
        <v>1.36100113</v>
      </c>
      <c r="G73" s="8">
        <v>1.22490513</v>
      </c>
      <c r="H73" s="8">
        <v>1.10241476</v>
      </c>
      <c r="I73" s="8">
        <v>2.1298035099999999</v>
      </c>
      <c r="J73" s="8">
        <v>1.91439311</v>
      </c>
      <c r="K73" s="8">
        <v>0.86291624</v>
      </c>
      <c r="L73" s="8">
        <v>0.77661369999999996</v>
      </c>
      <c r="M73" s="8">
        <v>0.69898278999999996</v>
      </c>
      <c r="N73" s="8">
        <v>0.73220167999999997</v>
      </c>
      <c r="O73" s="8">
        <v>0.76373089000000005</v>
      </c>
      <c r="P73" s="8">
        <v>0.68927797999999996</v>
      </c>
      <c r="Q73" s="8">
        <v>0.62226537999999998</v>
      </c>
      <c r="R73" s="8">
        <v>0.56039247999999997</v>
      </c>
      <c r="S73" s="8">
        <v>1.8559257300000001</v>
      </c>
      <c r="T73" s="8">
        <v>1.81798664</v>
      </c>
      <c r="U73" s="8">
        <v>1.6361879800000001</v>
      </c>
      <c r="V73" s="8">
        <v>1.4725694499999999</v>
      </c>
      <c r="W73" s="8">
        <v>1.3264696</v>
      </c>
      <c r="X73" s="8">
        <v>1.21769576</v>
      </c>
      <c r="Y73" s="8">
        <v>1.1325491400000001</v>
      </c>
      <c r="Z73" s="8">
        <v>1.0192952200000001</v>
      </c>
      <c r="AA73" s="8">
        <v>0.91803276</v>
      </c>
      <c r="AB73" s="8">
        <v>0.82805932999999998</v>
      </c>
      <c r="AC73" s="8">
        <v>0.74585727999999996</v>
      </c>
    </row>
    <row r="74" spans="1:29" x14ac:dyDescent="0.85">
      <c r="A74" t="s">
        <v>205</v>
      </c>
      <c r="B74" s="8">
        <v>0</v>
      </c>
      <c r="C74" s="8">
        <v>0.46991855999999999</v>
      </c>
      <c r="D74" s="8">
        <v>4.682E-4</v>
      </c>
      <c r="E74" s="8">
        <v>3.5443499999999999E-3</v>
      </c>
      <c r="F74" s="8">
        <v>1.36100113</v>
      </c>
      <c r="G74" s="8">
        <v>1.22490513</v>
      </c>
      <c r="H74" s="8">
        <v>1.10241476</v>
      </c>
      <c r="I74" s="8">
        <v>2.1298035099999999</v>
      </c>
      <c r="J74" s="8">
        <v>1.91439311</v>
      </c>
      <c r="K74" s="8">
        <v>0.86291624</v>
      </c>
      <c r="L74" s="8">
        <v>0.77661369999999996</v>
      </c>
      <c r="M74" s="8">
        <v>0.69898278999999996</v>
      </c>
      <c r="N74" s="8">
        <v>0.73220167999999997</v>
      </c>
      <c r="O74" s="8">
        <v>0.76373089000000005</v>
      </c>
      <c r="P74" s="8">
        <v>0.68927797999999996</v>
      </c>
      <c r="Q74" s="8">
        <v>0.62226537999999998</v>
      </c>
      <c r="R74" s="8">
        <v>0.56039247999999997</v>
      </c>
      <c r="S74" s="8">
        <v>1.8559257300000001</v>
      </c>
      <c r="T74" s="8">
        <v>1.81798664</v>
      </c>
      <c r="U74" s="8">
        <v>1.6361879800000001</v>
      </c>
      <c r="V74" s="8">
        <v>1.4725694499999999</v>
      </c>
      <c r="W74" s="8">
        <v>1.3264696</v>
      </c>
      <c r="X74" s="8">
        <v>1.21769576</v>
      </c>
      <c r="Y74" s="8">
        <v>1.1325491400000001</v>
      </c>
      <c r="Z74" s="8">
        <v>1.0192952200000001</v>
      </c>
      <c r="AA74" s="8">
        <v>0.91803276</v>
      </c>
      <c r="AB74" s="8">
        <v>0.82805932999999998</v>
      </c>
      <c r="AC74" s="8">
        <v>0.74585727999999996</v>
      </c>
    </row>
    <row r="75" spans="1:29" x14ac:dyDescent="0.85">
      <c r="A75" t="s">
        <v>206</v>
      </c>
      <c r="B75" s="8">
        <v>0</v>
      </c>
      <c r="C75" s="8">
        <v>0.36329045999999998</v>
      </c>
      <c r="D75" s="8">
        <v>0.32737435999999998</v>
      </c>
      <c r="E75" s="8">
        <v>0.29731793000000001</v>
      </c>
      <c r="F75" s="8">
        <v>1.05216763</v>
      </c>
      <c r="G75" s="8">
        <v>0.94695085999999995</v>
      </c>
      <c r="H75" s="8">
        <v>0.85225578000000002</v>
      </c>
      <c r="I75" s="8">
        <v>0.82327623999999999</v>
      </c>
      <c r="J75" s="8">
        <v>0.74120991999999997</v>
      </c>
      <c r="K75" s="8">
        <v>0.66710884000000004</v>
      </c>
      <c r="L75" s="8">
        <v>0.60041140000000004</v>
      </c>
      <c r="M75" s="8">
        <v>0.54037025999999999</v>
      </c>
      <c r="N75" s="8">
        <v>0.56605136</v>
      </c>
      <c r="O75" s="8">
        <v>0.59207496000000004</v>
      </c>
      <c r="P75" s="8">
        <v>0.53286770000000006</v>
      </c>
      <c r="Q75" s="8">
        <v>0.48134851000000001</v>
      </c>
      <c r="R75" s="8">
        <v>0.43322875999999999</v>
      </c>
      <c r="S75" s="8">
        <v>1.56160963</v>
      </c>
      <c r="T75" s="8">
        <v>1.40545071</v>
      </c>
      <c r="U75" s="8">
        <v>1.2649056400000001</v>
      </c>
      <c r="V75" s="8">
        <v>1.13841529</v>
      </c>
      <c r="W75" s="8">
        <v>1.0254684199999999</v>
      </c>
      <c r="X75" s="8">
        <v>0.94137729999999997</v>
      </c>
      <c r="Y75" s="8">
        <v>0.87555207999999995</v>
      </c>
      <c r="Z75" s="8">
        <v>0.78799764000000005</v>
      </c>
      <c r="AA75" s="8">
        <v>0.70971466999999999</v>
      </c>
      <c r="AB75" s="8">
        <v>0.64015683000000001</v>
      </c>
      <c r="AC75" s="8">
        <v>0.57660858999999998</v>
      </c>
    </row>
    <row r="76" spans="1:29" x14ac:dyDescent="0.85">
      <c r="A76" t="s">
        <v>207</v>
      </c>
      <c r="B76" s="8">
        <v>0</v>
      </c>
      <c r="C76" s="8">
        <v>1.0499999999999999E-6</v>
      </c>
      <c r="D76" s="8">
        <v>0</v>
      </c>
      <c r="E76" s="8">
        <v>2E-8</v>
      </c>
      <c r="F76" s="8">
        <v>1.2109999999999999E-5</v>
      </c>
      <c r="G76" s="8">
        <v>1.363E-5</v>
      </c>
      <c r="H76" s="8">
        <v>1.472E-5</v>
      </c>
      <c r="I76" s="8">
        <v>3.3170000000000003E-5</v>
      </c>
      <c r="J76" s="8">
        <v>3.4079999999999999E-5</v>
      </c>
      <c r="K76" s="8">
        <v>1.7280000000000001E-5</v>
      </c>
      <c r="L76" s="8">
        <v>1.7280000000000001E-5</v>
      </c>
      <c r="M76" s="8">
        <v>1.7110000000000001E-5</v>
      </c>
      <c r="N76" s="8">
        <v>1.9550000000000001E-5</v>
      </c>
      <c r="O76" s="8">
        <v>2.209E-5</v>
      </c>
      <c r="P76" s="8">
        <v>2.1469999999999999E-5</v>
      </c>
      <c r="Q76" s="8">
        <v>2.0769999999999999E-5</v>
      </c>
      <c r="R76" s="8">
        <v>1.995E-5</v>
      </c>
      <c r="S76" s="8">
        <v>7.0199999999999999E-5</v>
      </c>
      <c r="T76" s="8">
        <v>7.2810000000000003E-5</v>
      </c>
      <c r="U76" s="8">
        <v>6.9170000000000004E-5</v>
      </c>
      <c r="V76" s="8">
        <v>6.5530000000000004E-5</v>
      </c>
      <c r="W76" s="8">
        <v>6.198E-5</v>
      </c>
      <c r="X76" s="8">
        <v>5.961E-5</v>
      </c>
      <c r="Y76" s="8">
        <v>5.7960000000000001E-5</v>
      </c>
      <c r="Z76" s="8">
        <v>5.4429999999999999E-5</v>
      </c>
      <c r="AA76" s="8">
        <v>5.1069999999999997E-5</v>
      </c>
      <c r="AB76" s="8">
        <v>4.7899999999999999E-5</v>
      </c>
      <c r="AC76" s="8">
        <v>4.481E-5</v>
      </c>
    </row>
    <row r="77" spans="1:29" x14ac:dyDescent="0.85">
      <c r="A77" t="s">
        <v>208</v>
      </c>
      <c r="B77" s="8">
        <v>0</v>
      </c>
      <c r="C77" s="8">
        <v>4.9999999999999998E-8</v>
      </c>
      <c r="D77" s="8">
        <v>0</v>
      </c>
      <c r="E77" s="8">
        <v>0</v>
      </c>
      <c r="F77" s="8">
        <v>1.4999999999999999E-7</v>
      </c>
      <c r="G77" s="8">
        <v>1.4000000000000001E-7</v>
      </c>
      <c r="H77" s="8">
        <v>1.1999999999999999E-7</v>
      </c>
      <c r="I77" s="8">
        <v>2.3999999999999998E-7</v>
      </c>
      <c r="J77" s="8">
        <v>2.1E-7</v>
      </c>
      <c r="K77" s="8">
        <v>9.9999999999999995E-8</v>
      </c>
      <c r="L77" s="8">
        <v>8.9999999999999999E-8</v>
      </c>
      <c r="M77" s="8">
        <v>8.0000000000000002E-8</v>
      </c>
      <c r="N77" s="8">
        <v>8.0000000000000002E-8</v>
      </c>
      <c r="O77" s="8">
        <v>8.0000000000000002E-8</v>
      </c>
      <c r="P77" s="8">
        <v>8.0000000000000002E-8</v>
      </c>
      <c r="Q77" s="8">
        <v>7.0000000000000005E-8</v>
      </c>
      <c r="R77" s="8">
        <v>5.9999999999999995E-8</v>
      </c>
      <c r="S77" s="8">
        <v>2.1E-7</v>
      </c>
      <c r="T77" s="8">
        <v>1.9999999999999999E-7</v>
      </c>
      <c r="U77" s="8">
        <v>1.8E-7</v>
      </c>
      <c r="V77" s="8">
        <v>1.6E-7</v>
      </c>
      <c r="W77" s="8">
        <v>1.4999999999999999E-7</v>
      </c>
      <c r="X77" s="8">
        <v>1.4000000000000001E-7</v>
      </c>
      <c r="Y77" s="8">
        <v>1.3E-7</v>
      </c>
      <c r="Z77" s="8">
        <v>1.1000000000000001E-7</v>
      </c>
      <c r="AA77" s="8">
        <v>9.9999999999999995E-8</v>
      </c>
      <c r="AB77" s="8">
        <v>8.9999999999999999E-8</v>
      </c>
      <c r="AC77" s="8">
        <v>8.0000000000000002E-8</v>
      </c>
    </row>
    <row r="78" spans="1:29" x14ac:dyDescent="0.85">
      <c r="A78" t="s">
        <v>209</v>
      </c>
      <c r="B78" s="8">
        <v>0</v>
      </c>
      <c r="C78" s="8">
        <v>0.36328399</v>
      </c>
      <c r="D78" s="8">
        <v>0.32737434999999998</v>
      </c>
      <c r="E78" s="8">
        <v>0.29731787999999998</v>
      </c>
      <c r="F78" s="8">
        <v>1.0521488800000001</v>
      </c>
      <c r="G78" s="8">
        <v>0.94693400000000005</v>
      </c>
      <c r="H78" s="8">
        <v>0.85224060000000001</v>
      </c>
      <c r="I78" s="8">
        <v>0.82324691000000005</v>
      </c>
      <c r="J78" s="8">
        <v>0.74118355999999996</v>
      </c>
      <c r="K78" s="8">
        <v>0.66709695999999996</v>
      </c>
      <c r="L78" s="8">
        <v>0.60040070999999995</v>
      </c>
      <c r="M78" s="8">
        <v>0.54036063999999995</v>
      </c>
      <c r="N78" s="8">
        <v>0.56604127999999998</v>
      </c>
      <c r="O78" s="8">
        <v>0.59206444999999996</v>
      </c>
      <c r="P78" s="8">
        <v>0.53285821</v>
      </c>
      <c r="Q78" s="8">
        <v>0.48133995000000002</v>
      </c>
      <c r="R78" s="8">
        <v>0.43322105</v>
      </c>
      <c r="S78" s="8">
        <v>1.56158408</v>
      </c>
      <c r="T78" s="8">
        <v>1.40542568</v>
      </c>
      <c r="U78" s="8">
        <v>1.26488311</v>
      </c>
      <c r="V78" s="8">
        <v>1.13839501</v>
      </c>
      <c r="W78" s="8">
        <v>1.0254501600000001</v>
      </c>
      <c r="X78" s="8">
        <v>0.94136054000000002</v>
      </c>
      <c r="Y78" s="8">
        <v>0.87553649</v>
      </c>
      <c r="Z78" s="8">
        <v>0.78798360999999995</v>
      </c>
      <c r="AA78" s="8">
        <v>0.70970202999999998</v>
      </c>
      <c r="AB78" s="8">
        <v>0.64014543000000002</v>
      </c>
      <c r="AC78" s="8">
        <v>0.57659832</v>
      </c>
    </row>
    <row r="79" spans="1:29" x14ac:dyDescent="0.85">
      <c r="A79" t="s">
        <v>210</v>
      </c>
      <c r="B79" s="8">
        <v>0</v>
      </c>
      <c r="C79" s="8">
        <v>6.4699999999999999E-6</v>
      </c>
      <c r="D79" s="8">
        <v>1E-8</v>
      </c>
      <c r="E79" s="8">
        <v>4.9999999999999998E-8</v>
      </c>
      <c r="F79" s="8">
        <v>1.874E-5</v>
      </c>
      <c r="G79" s="8">
        <v>1.6869999999999999E-5</v>
      </c>
      <c r="H79" s="8">
        <v>1.518E-5</v>
      </c>
      <c r="I79" s="8">
        <v>2.9329999999999999E-5</v>
      </c>
      <c r="J79" s="8">
        <v>2.6359999999999998E-5</v>
      </c>
      <c r="K79" s="8">
        <v>1.188E-5</v>
      </c>
      <c r="L79" s="8">
        <v>1.0689999999999999E-5</v>
      </c>
      <c r="M79" s="8">
        <v>9.6199999999999994E-6</v>
      </c>
      <c r="N79" s="8">
        <v>1.008E-5</v>
      </c>
      <c r="O79" s="8">
        <v>1.0519999999999999E-5</v>
      </c>
      <c r="P79" s="8">
        <v>9.4900000000000006E-6</v>
      </c>
      <c r="Q79" s="8">
        <v>8.5699999999999993E-6</v>
      </c>
      <c r="R79" s="8">
        <v>7.7200000000000006E-6</v>
      </c>
      <c r="S79" s="8">
        <v>2.5559999999999999E-5</v>
      </c>
      <c r="T79" s="8">
        <v>2.5029999999999999E-5</v>
      </c>
      <c r="U79" s="8">
        <v>2.2529999999999999E-5</v>
      </c>
      <c r="V79" s="8">
        <v>2.0279999999999999E-5</v>
      </c>
      <c r="W79" s="8">
        <v>1.827E-5</v>
      </c>
      <c r="X79" s="8">
        <v>1.677E-5</v>
      </c>
      <c r="Y79" s="8">
        <v>1.56E-5</v>
      </c>
      <c r="Z79" s="8">
        <v>1.4039999999999999E-5</v>
      </c>
      <c r="AA79" s="8">
        <v>1.2639999999999999E-5</v>
      </c>
      <c r="AB79" s="8">
        <v>1.1399999999999999E-5</v>
      </c>
      <c r="AC79" s="8">
        <v>1.027E-5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1.00190906</v>
      </c>
      <c r="E80" s="8">
        <v>1.00000215</v>
      </c>
      <c r="F80" s="8">
        <v>1.0000133</v>
      </c>
      <c r="G80" s="8">
        <v>1.00372376</v>
      </c>
      <c r="H80" s="8">
        <v>1</v>
      </c>
      <c r="I80" s="8">
        <v>1</v>
      </c>
      <c r="J80" s="8">
        <v>1.0002298000000001</v>
      </c>
      <c r="K80" s="8">
        <v>1.00000102</v>
      </c>
      <c r="L80" s="8">
        <v>1.0000001199999999</v>
      </c>
      <c r="M80" s="8">
        <v>1.0000000499999999</v>
      </c>
      <c r="N80" s="8">
        <v>1</v>
      </c>
      <c r="O80" s="8">
        <v>1.00025871</v>
      </c>
      <c r="P80" s="8">
        <v>1.0002563099999999</v>
      </c>
      <c r="Q80" s="8">
        <v>1</v>
      </c>
      <c r="R80" s="8">
        <v>1.0000050300000001</v>
      </c>
      <c r="S80" s="8">
        <v>1.00000004</v>
      </c>
      <c r="T80" s="8">
        <v>1.0030941099999999</v>
      </c>
      <c r="U80" s="8">
        <v>1</v>
      </c>
      <c r="V80" s="8">
        <v>1</v>
      </c>
      <c r="W80" s="8">
        <v>1</v>
      </c>
      <c r="X80" s="8">
        <v>1.00000215</v>
      </c>
      <c r="Y80" s="8">
        <v>1.0000432400000001</v>
      </c>
      <c r="Z80" s="8">
        <v>1.0000647899999999</v>
      </c>
      <c r="AA80" s="8">
        <v>1</v>
      </c>
      <c r="AB80" s="8">
        <v>1.00000113</v>
      </c>
      <c r="AC80" s="8">
        <v>1.0000030099999999</v>
      </c>
    </row>
    <row r="81" spans="1:29" x14ac:dyDescent="0.85">
      <c r="A81" t="s">
        <v>212</v>
      </c>
      <c r="B81" s="8">
        <v>1</v>
      </c>
      <c r="C81" s="8">
        <v>1.00190906</v>
      </c>
      <c r="D81" s="8">
        <v>1.00000215</v>
      </c>
      <c r="E81" s="8">
        <v>1.0000133</v>
      </c>
      <c r="F81" s="8">
        <v>1.00372376</v>
      </c>
      <c r="G81" s="8">
        <v>1</v>
      </c>
      <c r="H81" s="8">
        <v>1</v>
      </c>
      <c r="I81" s="8">
        <v>1.0002298000000001</v>
      </c>
      <c r="J81" s="8">
        <v>1.00000102</v>
      </c>
      <c r="K81" s="8">
        <v>1.0000001199999999</v>
      </c>
      <c r="L81" s="8">
        <v>1.0000000499999999</v>
      </c>
      <c r="M81" s="8">
        <v>1</v>
      </c>
      <c r="N81" s="8">
        <v>1.00025871</v>
      </c>
      <c r="O81" s="8">
        <v>1.0002563099999999</v>
      </c>
      <c r="P81" s="8">
        <v>1</v>
      </c>
      <c r="Q81" s="8">
        <v>1.0000050300000001</v>
      </c>
      <c r="R81" s="8">
        <v>1.00000004</v>
      </c>
      <c r="S81" s="8">
        <v>1.0030941099999999</v>
      </c>
      <c r="T81" s="8">
        <v>1</v>
      </c>
      <c r="U81" s="8">
        <v>1</v>
      </c>
      <c r="V81" s="8">
        <v>1</v>
      </c>
      <c r="W81" s="8">
        <v>1.00000215</v>
      </c>
      <c r="X81" s="8">
        <v>1.0000432400000001</v>
      </c>
      <c r="Y81" s="8">
        <v>1.0000647899999999</v>
      </c>
      <c r="Z81" s="8">
        <v>1</v>
      </c>
      <c r="AA81" s="8">
        <v>1.00000113</v>
      </c>
      <c r="AB81" s="8">
        <v>1.0000030099999999</v>
      </c>
      <c r="AC81" s="8">
        <v>1.0000009700000001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EDCF-EEF5-4BF5-998B-980528D9B581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45158</v>
      </c>
      <c r="C5" s="8">
        <v>45695.005315870003</v>
      </c>
      <c r="D5" s="8">
        <v>46291.120003219999</v>
      </c>
      <c r="E5" s="8">
        <v>47680.272844059997</v>
      </c>
      <c r="F5" s="8">
        <v>51193.636790379998</v>
      </c>
      <c r="G5" s="8">
        <v>54986.07559162</v>
      </c>
      <c r="H5" s="8">
        <v>59071.599122070002</v>
      </c>
      <c r="I5" s="8">
        <v>63471.842890890002</v>
      </c>
      <c r="J5" s="8">
        <v>65497.426612260002</v>
      </c>
      <c r="K5" s="8">
        <v>67484.807649470007</v>
      </c>
      <c r="L5" s="8">
        <v>69525.532744550001</v>
      </c>
      <c r="M5" s="8">
        <v>71620.670305310006</v>
      </c>
      <c r="N5" s="8">
        <v>73771.312458219996</v>
      </c>
      <c r="O5" s="8">
        <v>75978.575865670005</v>
      </c>
      <c r="P5" s="8">
        <v>78243.602387649997</v>
      </c>
      <c r="Q5" s="8">
        <v>80567.559208580002</v>
      </c>
      <c r="R5" s="8">
        <v>82092.539201499996</v>
      </c>
      <c r="S5" s="8">
        <v>82789.233690690002</v>
      </c>
      <c r="T5" s="8">
        <v>83534.561085270005</v>
      </c>
      <c r="U5" s="8">
        <v>84328.377549049997</v>
      </c>
      <c r="V5" s="8">
        <v>85170.680338809994</v>
      </c>
      <c r="W5" s="8">
        <v>86061.401204349997</v>
      </c>
      <c r="X5" s="8">
        <v>87000.537427289994</v>
      </c>
      <c r="Y5" s="8">
        <v>87628.23622069</v>
      </c>
      <c r="Z5" s="8">
        <v>88809.244545070003</v>
      </c>
      <c r="AA5" s="8">
        <v>90532.622071510006</v>
      </c>
      <c r="AB5" s="8">
        <v>92304.792728090004</v>
      </c>
      <c r="AC5" s="8">
        <v>94224.578800589996</v>
      </c>
    </row>
    <row r="6" spans="1:29" x14ac:dyDescent="0.85">
      <c r="A6" t="s">
        <v>139</v>
      </c>
      <c r="B6" s="8">
        <v>202990326.25</v>
      </c>
      <c r="C6" s="8">
        <v>207324349.578437</v>
      </c>
      <c r="D6" s="8">
        <v>211745062.375442</v>
      </c>
      <c r="E6" s="8">
        <v>216254184.88277099</v>
      </c>
      <c r="F6" s="8">
        <v>220853489.824792</v>
      </c>
      <c r="G6" s="8">
        <v>225544780.89738601</v>
      </c>
      <c r="H6" s="8">
        <v>230329897.77101201</v>
      </c>
      <c r="I6" s="8">
        <v>235210716.99070099</v>
      </c>
      <c r="J6" s="8">
        <v>240192239.56020799</v>
      </c>
      <c r="K6" s="8">
        <v>245343662.07600999</v>
      </c>
      <c r="L6" s="8">
        <v>250846392.262431</v>
      </c>
      <c r="M6" s="8">
        <v>256899624.42216599</v>
      </c>
      <c r="N6" s="8">
        <v>263649200.340801</v>
      </c>
      <c r="O6" s="8">
        <v>271250984.09691501</v>
      </c>
      <c r="P6" s="8">
        <v>279854436.10447598</v>
      </c>
      <c r="Q6" s="8">
        <v>289577048.22359103</v>
      </c>
      <c r="R6" s="8">
        <v>299472948.77051598</v>
      </c>
      <c r="S6" s="8">
        <v>309240923.69741303</v>
      </c>
      <c r="T6" s="8">
        <v>319752250.64726901</v>
      </c>
      <c r="U6" s="8">
        <v>330938296.833866</v>
      </c>
      <c r="V6" s="8">
        <v>342715479.24366897</v>
      </c>
      <c r="W6" s="8">
        <v>354992546.28771698</v>
      </c>
      <c r="X6" s="8">
        <v>367691024.78037399</v>
      </c>
      <c r="Y6" s="8">
        <v>368286758.90560102</v>
      </c>
      <c r="Z6" s="8">
        <v>377081627.38108897</v>
      </c>
      <c r="AA6" s="8">
        <v>386591365.77864599</v>
      </c>
      <c r="AB6" s="8">
        <v>396344762.77997798</v>
      </c>
      <c r="AC6" s="8">
        <v>405974348.43339503</v>
      </c>
    </row>
    <row r="7" spans="1:29" x14ac:dyDescent="0.85">
      <c r="A7" t="s">
        <v>140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</row>
    <row r="8" spans="1:29" x14ac:dyDescent="0.85">
      <c r="A8" t="s">
        <v>141</v>
      </c>
      <c r="B8" s="8">
        <v>11284.75821335</v>
      </c>
      <c r="C8" s="8">
        <v>11167.766474010001</v>
      </c>
      <c r="D8" s="8">
        <v>11057.04040763</v>
      </c>
      <c r="E8" s="8">
        <v>11030.542501940001</v>
      </c>
      <c r="F8" s="8">
        <v>11783.90293661</v>
      </c>
      <c r="G8" s="8">
        <v>12598.40160014</v>
      </c>
      <c r="H8" s="8">
        <v>13478.01383374</v>
      </c>
      <c r="I8" s="8">
        <v>14427.57266853</v>
      </c>
      <c r="J8" s="8">
        <v>15188.90762618</v>
      </c>
      <c r="K8" s="8">
        <v>15964.636799100001</v>
      </c>
      <c r="L8" s="8">
        <v>16763.14224112</v>
      </c>
      <c r="M8" s="8">
        <v>17584.94906925</v>
      </c>
      <c r="N8" s="8">
        <v>18430.593795870001</v>
      </c>
      <c r="O8" s="8">
        <v>19300.624553670001</v>
      </c>
      <c r="P8" s="8">
        <v>20195.601333430001</v>
      </c>
      <c r="Q8" s="8">
        <v>21116.0961747</v>
      </c>
      <c r="R8" s="8">
        <v>21977.975131949999</v>
      </c>
      <c r="S8" s="8">
        <v>22770.180602529999</v>
      </c>
      <c r="T8" s="8">
        <v>23570.771284319999</v>
      </c>
      <c r="U8" s="8">
        <v>24380.083867450001</v>
      </c>
      <c r="V8" s="8">
        <v>25198.706384469999</v>
      </c>
      <c r="W8" s="8">
        <v>26027.01320456</v>
      </c>
      <c r="X8" s="8">
        <v>26865.455558059999</v>
      </c>
      <c r="Y8" s="8">
        <v>26848.476800370001</v>
      </c>
      <c r="Z8" s="8">
        <v>27415.205788750001</v>
      </c>
      <c r="AA8" s="8">
        <v>28033.995915560001</v>
      </c>
      <c r="AB8" s="8">
        <v>28669.519437579998</v>
      </c>
      <c r="AC8" s="8">
        <v>29296.375187909998</v>
      </c>
    </row>
    <row r="9" spans="1:29" x14ac:dyDescent="0.85">
      <c r="A9" t="s">
        <v>142</v>
      </c>
      <c r="B9" s="8">
        <v>3305.6795891800002</v>
      </c>
      <c r="C9" s="8">
        <v>3454.3633982900001</v>
      </c>
      <c r="D9" s="8">
        <v>3604.0406755399999</v>
      </c>
      <c r="E9" s="8">
        <v>3717.0100037799998</v>
      </c>
      <c r="F9" s="8">
        <v>3682.0956435200001</v>
      </c>
      <c r="G9" s="8">
        <v>3639.1425005199999</v>
      </c>
      <c r="H9" s="8">
        <v>3586.0005356800002</v>
      </c>
      <c r="I9" s="8">
        <v>3522.8615561000001</v>
      </c>
      <c r="J9" s="8">
        <v>3437.7801226000001</v>
      </c>
      <c r="K9" s="8">
        <v>3350.8055037700001</v>
      </c>
      <c r="L9" s="8">
        <v>3266.9642627899998</v>
      </c>
      <c r="M9" s="8">
        <v>3190.9670371500001</v>
      </c>
      <c r="N9" s="8">
        <v>3126.2199641000002</v>
      </c>
      <c r="O9" s="8">
        <v>3076.3709667399999</v>
      </c>
      <c r="P9" s="8">
        <v>3044.9088934599999</v>
      </c>
      <c r="Q9" s="8">
        <v>3034.5396734599999</v>
      </c>
      <c r="R9" s="8">
        <v>3058.2662371900001</v>
      </c>
      <c r="S9" s="8">
        <v>3112.0902966600001</v>
      </c>
      <c r="T9" s="8">
        <v>3182.4530486399999</v>
      </c>
      <c r="U9" s="8">
        <v>3267.6039947099998</v>
      </c>
      <c r="V9" s="8">
        <v>3365.3617938500001</v>
      </c>
      <c r="W9" s="8">
        <v>3473.4145328599998</v>
      </c>
      <c r="X9" s="8">
        <v>3589.74189987</v>
      </c>
      <c r="Y9" s="8">
        <v>3638.10952408</v>
      </c>
      <c r="Z9" s="8">
        <v>3728.11196814</v>
      </c>
      <c r="AA9" s="8">
        <v>3814.49685421</v>
      </c>
      <c r="AB9" s="8">
        <v>3903.15927612</v>
      </c>
      <c r="AC9" s="8">
        <v>3990.0465899199999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1283.0126971499999</v>
      </c>
      <c r="D11" s="8">
        <v>2691.4637467299999</v>
      </c>
      <c r="E11" s="8">
        <v>4181.0063625800003</v>
      </c>
      <c r="F11" s="8">
        <v>5136.6172526099999</v>
      </c>
      <c r="G11" s="8">
        <v>5816.1202404200003</v>
      </c>
      <c r="H11" s="8">
        <v>6227.9833281600004</v>
      </c>
      <c r="I11" s="8">
        <v>6310.2497259900001</v>
      </c>
      <c r="J11" s="8">
        <v>6545.7316231499999</v>
      </c>
      <c r="K11" s="8">
        <v>6620.2645738199999</v>
      </c>
      <c r="L11" s="8">
        <v>6529.3205851299999</v>
      </c>
      <c r="M11" s="8">
        <v>6293.2694029200002</v>
      </c>
      <c r="N11" s="8">
        <v>5933.6163522999996</v>
      </c>
      <c r="O11" s="8">
        <v>5478.4528857200003</v>
      </c>
      <c r="P11" s="8">
        <v>4960.6846253699996</v>
      </c>
      <c r="Q11" s="8">
        <v>4413.9499095700003</v>
      </c>
      <c r="R11" s="8">
        <v>3939.8691754000001</v>
      </c>
      <c r="S11" s="8">
        <v>3557.9261365000002</v>
      </c>
      <c r="T11" s="8">
        <v>3217.7344147399999</v>
      </c>
      <c r="U11" s="8">
        <v>2924.66357866</v>
      </c>
      <c r="V11" s="8">
        <v>2677.32847124</v>
      </c>
      <c r="W11" s="8">
        <v>2469.8871253100001</v>
      </c>
      <c r="X11" s="8">
        <v>2295.1169960900002</v>
      </c>
      <c r="Y11" s="8">
        <v>2934.3425464900001</v>
      </c>
      <c r="Z11" s="8">
        <v>3041.5051298399999</v>
      </c>
      <c r="AA11" s="8">
        <v>3116.82257342</v>
      </c>
      <c r="AB11" s="8">
        <v>3189.0211980899999</v>
      </c>
      <c r="AC11" s="8">
        <v>3288.2162910500001</v>
      </c>
    </row>
    <row r="12" spans="1:29" x14ac:dyDescent="0.85">
      <c r="A12" t="s">
        <v>144</v>
      </c>
      <c r="B12" s="8">
        <v>14590.437802529999</v>
      </c>
      <c r="C12" s="8">
        <v>14622.129872289999</v>
      </c>
      <c r="D12" s="8">
        <v>14661.081083159999</v>
      </c>
      <c r="E12" s="8">
        <v>14747.55250571</v>
      </c>
      <c r="F12" s="8">
        <v>15465.998580130001</v>
      </c>
      <c r="G12" s="8">
        <v>16237.544100659999</v>
      </c>
      <c r="H12" s="8">
        <v>17064.014369420001</v>
      </c>
      <c r="I12" s="8">
        <v>17950.43422463</v>
      </c>
      <c r="J12" s="8">
        <v>18626.687748789998</v>
      </c>
      <c r="K12" s="8">
        <v>19315.44230287</v>
      </c>
      <c r="L12" s="8">
        <v>20030.106503909999</v>
      </c>
      <c r="M12" s="8">
        <v>20775.9161064</v>
      </c>
      <c r="N12" s="8">
        <v>21556.813759969999</v>
      </c>
      <c r="O12" s="8">
        <v>22376.995520410001</v>
      </c>
      <c r="P12" s="8">
        <v>23240.51022688</v>
      </c>
      <c r="Q12" s="8">
        <v>24150.63584816</v>
      </c>
      <c r="R12" s="8">
        <v>25036.241369129999</v>
      </c>
      <c r="S12" s="8">
        <v>25882.27089919</v>
      </c>
      <c r="T12" s="8">
        <v>26753.224332959999</v>
      </c>
      <c r="U12" s="8">
        <v>27647.687862160001</v>
      </c>
      <c r="V12" s="8">
        <v>28564.068178320002</v>
      </c>
      <c r="W12" s="8">
        <v>29500.427737419999</v>
      </c>
      <c r="X12" s="8">
        <v>30455.19745793</v>
      </c>
      <c r="Y12" s="8">
        <v>30486.58632445</v>
      </c>
      <c r="Z12" s="8">
        <v>31143.317756889999</v>
      </c>
      <c r="AA12" s="8">
        <v>31848.49276977</v>
      </c>
      <c r="AB12" s="8">
        <v>32572.678713689998</v>
      </c>
      <c r="AC12" s="8">
        <v>33286.421777830001</v>
      </c>
    </row>
    <row r="13" spans="1:29" x14ac:dyDescent="0.85">
      <c r="A13" t="s">
        <v>145</v>
      </c>
      <c r="B13" s="8">
        <v>14590.437802529999</v>
      </c>
      <c r="C13" s="8">
        <v>15905.14256944</v>
      </c>
      <c r="D13" s="8">
        <v>17352.544829890001</v>
      </c>
      <c r="E13" s="8">
        <v>18928.558868290002</v>
      </c>
      <c r="F13" s="8">
        <v>20602.615832740001</v>
      </c>
      <c r="G13" s="8">
        <v>22053.664341070002</v>
      </c>
      <c r="H13" s="8">
        <v>23291.997697579998</v>
      </c>
      <c r="I13" s="8">
        <v>24260.683950620001</v>
      </c>
      <c r="J13" s="8">
        <v>25172.419371939999</v>
      </c>
      <c r="K13" s="8">
        <v>25935.706876699998</v>
      </c>
      <c r="L13" s="8">
        <v>26559.42708904</v>
      </c>
      <c r="M13" s="8">
        <v>27069.185509319999</v>
      </c>
      <c r="N13" s="8">
        <v>27490.430112270002</v>
      </c>
      <c r="O13" s="8">
        <v>27855.448406129999</v>
      </c>
      <c r="P13" s="8">
        <v>28201.194852249999</v>
      </c>
      <c r="Q13" s="8">
        <v>28564.585757730001</v>
      </c>
      <c r="R13" s="8">
        <v>28976.110544530002</v>
      </c>
      <c r="S13" s="8">
        <v>29440.197035689998</v>
      </c>
      <c r="T13" s="8">
        <v>29970.958747699999</v>
      </c>
      <c r="U13" s="8">
        <v>30572.351440819999</v>
      </c>
      <c r="V13" s="8">
        <v>31241.396649549999</v>
      </c>
      <c r="W13" s="8">
        <v>31970.31486273</v>
      </c>
      <c r="X13" s="8">
        <v>32750.314454030002</v>
      </c>
      <c r="Y13" s="8">
        <v>33420.928870939999</v>
      </c>
      <c r="Z13" s="8">
        <v>34184.822886729999</v>
      </c>
      <c r="AA13" s="8">
        <v>34965.315343189999</v>
      </c>
      <c r="AB13" s="8">
        <v>35761.699911789998</v>
      </c>
      <c r="AC13" s="8">
        <v>36574.638068879998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5007</v>
      </c>
      <c r="C17" s="8">
        <v>4840.34494498</v>
      </c>
      <c r="D17" s="8">
        <v>4679.0001361100003</v>
      </c>
      <c r="E17" s="8">
        <v>5406.6346131</v>
      </c>
      <c r="F17" s="8">
        <v>6147.8836049499996</v>
      </c>
      <c r="G17" s="8">
        <v>6938.9522105400001</v>
      </c>
      <c r="H17" s="8">
        <v>7783.8844545100001</v>
      </c>
      <c r="I17" s="8">
        <v>8687.0280855700003</v>
      </c>
      <c r="J17" s="8">
        <v>9652.9203826199991</v>
      </c>
      <c r="K17" s="8">
        <v>10639.996004750001</v>
      </c>
      <c r="L17" s="8">
        <v>11647.303886</v>
      </c>
      <c r="M17" s="8">
        <v>12675.47473057</v>
      </c>
      <c r="N17" s="8">
        <v>13725.14874658</v>
      </c>
      <c r="O17" s="8">
        <v>14796.975891419999</v>
      </c>
      <c r="P17" s="8">
        <v>15891.61615571</v>
      </c>
      <c r="Q17" s="8">
        <v>17009.73965729</v>
      </c>
      <c r="R17" s="8">
        <v>17293.61297215</v>
      </c>
      <c r="S17" s="8">
        <v>16717.165731419998</v>
      </c>
      <c r="T17" s="8">
        <v>16159.92707983</v>
      </c>
      <c r="U17" s="8">
        <v>15621.262847530001</v>
      </c>
      <c r="V17" s="8">
        <v>15100.554086169999</v>
      </c>
      <c r="W17" s="8">
        <v>14597.202283299999</v>
      </c>
      <c r="X17" s="8">
        <v>14110.63058504</v>
      </c>
      <c r="Y17" s="8">
        <v>13640.30293939</v>
      </c>
      <c r="Z17" s="8">
        <v>13463.6438014</v>
      </c>
      <c r="AA17" s="8">
        <v>13799.171807799999</v>
      </c>
      <c r="AB17" s="8">
        <v>14147.23042571</v>
      </c>
      <c r="AC17" s="8">
        <v>14621.479053249999</v>
      </c>
    </row>
    <row r="18" spans="1:29" x14ac:dyDescent="0.85">
      <c r="A18" t="s">
        <v>149</v>
      </c>
      <c r="B18" s="8">
        <v>8664657.5</v>
      </c>
      <c r="C18" s="8">
        <v>8376259.4627668001</v>
      </c>
      <c r="D18" s="8">
        <v>8097050.8531687204</v>
      </c>
      <c r="E18" s="8">
        <v>9356228.7098361105</v>
      </c>
      <c r="F18" s="8">
        <v>10638966.6041006</v>
      </c>
      <c r="G18" s="8">
        <v>12007917.7777531</v>
      </c>
      <c r="H18" s="8">
        <v>13470080.4509487</v>
      </c>
      <c r="I18" s="8">
        <v>15032978.441057101</v>
      </c>
      <c r="J18" s="8">
        <v>16704463.549070399</v>
      </c>
      <c r="K18" s="8">
        <v>18412606.5872867</v>
      </c>
      <c r="L18" s="8">
        <v>20155761.7277015</v>
      </c>
      <c r="M18" s="8">
        <v>21935020.409493402</v>
      </c>
      <c r="N18" s="8">
        <v>23751490.518403899</v>
      </c>
      <c r="O18" s="8">
        <v>25606296.811438501</v>
      </c>
      <c r="P18" s="8">
        <v>27500581.408161599</v>
      </c>
      <c r="Q18" s="8">
        <v>29435503.953377001</v>
      </c>
      <c r="R18" s="8">
        <v>29926749.219348099</v>
      </c>
      <c r="S18" s="8">
        <v>28929202.203605201</v>
      </c>
      <c r="T18" s="8">
        <v>27964895.820186201</v>
      </c>
      <c r="U18" s="8">
        <v>27032732.6325735</v>
      </c>
      <c r="V18" s="8">
        <v>26131641.545215499</v>
      </c>
      <c r="W18" s="8">
        <v>25260586.827041399</v>
      </c>
      <c r="X18" s="8">
        <v>24418570.227361001</v>
      </c>
      <c r="Y18" s="8">
        <v>23604664.103473499</v>
      </c>
      <c r="Z18" s="8">
        <v>23298953.912744001</v>
      </c>
      <c r="AA18" s="8">
        <v>23879588.076339599</v>
      </c>
      <c r="AB18" s="8">
        <v>24481906.5732756</v>
      </c>
      <c r="AC18" s="8">
        <v>25302597.990788098</v>
      </c>
    </row>
    <row r="19" spans="1:29" x14ac:dyDescent="0.85">
      <c r="A19" t="s">
        <v>150</v>
      </c>
      <c r="B19" s="8">
        <v>8664657.5</v>
      </c>
      <c r="C19" s="8">
        <v>8376259.4627668001</v>
      </c>
      <c r="D19" s="8">
        <v>8097050.8531687204</v>
      </c>
      <c r="E19" s="8">
        <v>9356228.7098361105</v>
      </c>
      <c r="F19" s="8">
        <v>10638966.6041006</v>
      </c>
      <c r="G19" s="8">
        <v>12007917.7777531</v>
      </c>
      <c r="H19" s="8">
        <v>13470080.4509487</v>
      </c>
      <c r="I19" s="8">
        <v>15032978.441057101</v>
      </c>
      <c r="J19" s="8">
        <v>16704463.549070399</v>
      </c>
      <c r="K19" s="8">
        <v>18412606.5872867</v>
      </c>
      <c r="L19" s="8">
        <v>20155761.7277015</v>
      </c>
      <c r="M19" s="8">
        <v>21935020.409493402</v>
      </c>
      <c r="N19" s="8">
        <v>23751490.518403899</v>
      </c>
      <c r="O19" s="8">
        <v>25606296.811438501</v>
      </c>
      <c r="P19" s="8">
        <v>27500581.408161599</v>
      </c>
      <c r="Q19" s="8">
        <v>29435503.953377001</v>
      </c>
      <c r="R19" s="8">
        <v>29926749.219348099</v>
      </c>
      <c r="S19" s="8">
        <v>28929202.203605201</v>
      </c>
      <c r="T19" s="8">
        <v>27964895.820186201</v>
      </c>
      <c r="U19" s="8">
        <v>27032732.6325735</v>
      </c>
      <c r="V19" s="8">
        <v>26131641.545215499</v>
      </c>
      <c r="W19" s="8">
        <v>25260586.827041399</v>
      </c>
      <c r="X19" s="8">
        <v>24418570.227361001</v>
      </c>
      <c r="Y19" s="8">
        <v>23604664.103473499</v>
      </c>
      <c r="Z19" s="8">
        <v>23298953.912744001</v>
      </c>
      <c r="AA19" s="8">
        <v>23879588.076339599</v>
      </c>
      <c r="AB19" s="8">
        <v>24481906.5732756</v>
      </c>
      <c r="AC19" s="8">
        <v>25302597.990788098</v>
      </c>
    </row>
    <row r="20" spans="1:29" x14ac:dyDescent="0.85">
      <c r="A20" t="s">
        <v>151</v>
      </c>
      <c r="B20" s="8">
        <v>493.76058919000002</v>
      </c>
      <c r="C20" s="8">
        <v>477.32605790000002</v>
      </c>
      <c r="D20" s="8">
        <v>461.41519153000002</v>
      </c>
      <c r="E20" s="8">
        <v>533.17018016999998</v>
      </c>
      <c r="F20" s="8">
        <v>606.26775136000003</v>
      </c>
      <c r="G20" s="8">
        <v>684.27823682999997</v>
      </c>
      <c r="H20" s="8">
        <v>767.60043427999994</v>
      </c>
      <c r="I20" s="8">
        <v>856.66309282999998</v>
      </c>
      <c r="J20" s="8">
        <v>951.91365198999995</v>
      </c>
      <c r="K20" s="8">
        <v>1049.25318479</v>
      </c>
      <c r="L20" s="8">
        <v>1148.5879027799999</v>
      </c>
      <c r="M20" s="8">
        <v>1249.98000224</v>
      </c>
      <c r="N20" s="8">
        <v>1353.4926167000001</v>
      </c>
      <c r="O20" s="8">
        <v>1459.1898410900001</v>
      </c>
      <c r="P20" s="8">
        <v>1567.13675977</v>
      </c>
      <c r="Q20" s="8">
        <v>1677.3994557799999</v>
      </c>
      <c r="R20" s="8">
        <v>1705.3933553700001</v>
      </c>
      <c r="S20" s="8">
        <v>1648.5475536399999</v>
      </c>
      <c r="T20" s="8">
        <v>1593.5959888499999</v>
      </c>
      <c r="U20" s="8">
        <v>1540.4761229200001</v>
      </c>
      <c r="V20" s="8">
        <v>1489.1269188399999</v>
      </c>
      <c r="W20" s="8">
        <v>1439.4893548800001</v>
      </c>
      <c r="X20" s="8">
        <v>1391.5065451299999</v>
      </c>
      <c r="Y20" s="8">
        <v>1345.12562733</v>
      </c>
      <c r="Z20" s="8">
        <v>1327.7045528199999</v>
      </c>
      <c r="AA20" s="8">
        <v>1360.79233116</v>
      </c>
      <c r="AB20" s="8">
        <v>1395.1158039500001</v>
      </c>
      <c r="AC20" s="8">
        <v>1441.8833856900001</v>
      </c>
    </row>
    <row r="21" spans="1:29" x14ac:dyDescent="0.85">
      <c r="A21" t="s">
        <v>152</v>
      </c>
      <c r="B21" s="8">
        <v>0</v>
      </c>
      <c r="C21" s="8">
        <v>0.83762594999999995</v>
      </c>
      <c r="D21" s="8">
        <v>1.6194101700000001</v>
      </c>
      <c r="E21" s="8">
        <v>2.80686861</v>
      </c>
      <c r="F21" s="8">
        <v>4.2555866399999998</v>
      </c>
      <c r="G21" s="8">
        <v>6.0039588899999998</v>
      </c>
      <c r="H21" s="8">
        <v>8.0820482699999996</v>
      </c>
      <c r="I21" s="8">
        <v>10.52308491</v>
      </c>
      <c r="J21" s="8">
        <v>13.36357084</v>
      </c>
      <c r="K21" s="8">
        <v>16.57134593</v>
      </c>
      <c r="L21" s="8">
        <v>20.155761729999998</v>
      </c>
      <c r="M21" s="8">
        <v>24.128522449999998</v>
      </c>
      <c r="N21" s="8">
        <v>28.501788619999999</v>
      </c>
      <c r="O21" s="8">
        <v>33.288185849999998</v>
      </c>
      <c r="P21" s="8">
        <v>38.500813970000003</v>
      </c>
      <c r="Q21" s="8">
        <v>44.15325593</v>
      </c>
      <c r="R21" s="8">
        <v>47.882798749999999</v>
      </c>
      <c r="S21" s="8">
        <v>49.179643749999997</v>
      </c>
      <c r="T21" s="8">
        <v>50.336812479999999</v>
      </c>
      <c r="U21" s="8">
        <v>51.362192</v>
      </c>
      <c r="V21" s="8">
        <v>52.263283090000002</v>
      </c>
      <c r="W21" s="8">
        <v>53.047232340000001</v>
      </c>
      <c r="X21" s="8">
        <v>53.720854500000002</v>
      </c>
      <c r="Y21" s="8">
        <v>54.290727439999998</v>
      </c>
      <c r="Z21" s="8">
        <v>55.91748939</v>
      </c>
      <c r="AA21" s="8">
        <v>59.698970189999997</v>
      </c>
      <c r="AB21" s="8">
        <v>63.652957090000001</v>
      </c>
      <c r="AC21" s="8">
        <v>68.317014580000006</v>
      </c>
    </row>
    <row r="22" spans="1:29" x14ac:dyDescent="0.85">
      <c r="A22" t="s">
        <v>153</v>
      </c>
      <c r="B22" s="8">
        <v>4.332329E-2</v>
      </c>
      <c r="C22" s="8">
        <v>4.1881300000000003E-2</v>
      </c>
      <c r="D22" s="8">
        <v>4.048525E-2</v>
      </c>
      <c r="E22" s="8">
        <v>4.6781139999999999E-2</v>
      </c>
      <c r="F22" s="8">
        <v>5.3194829999999999E-2</v>
      </c>
      <c r="G22" s="8">
        <v>6.0039589999999997E-2</v>
      </c>
      <c r="H22" s="8">
        <v>6.7350400000000005E-2</v>
      </c>
      <c r="I22" s="8">
        <v>7.5164889999999998E-2</v>
      </c>
      <c r="J22" s="8">
        <v>8.3522319999999997E-2</v>
      </c>
      <c r="K22" s="8">
        <v>9.2063030000000004E-2</v>
      </c>
      <c r="L22" s="8">
        <v>0.10077881</v>
      </c>
      <c r="M22" s="8">
        <v>0.1096751</v>
      </c>
      <c r="N22" s="8">
        <v>0.11875745</v>
      </c>
      <c r="O22" s="8">
        <v>0.12803148</v>
      </c>
      <c r="P22" s="8">
        <v>0.13750291000000001</v>
      </c>
      <c r="Q22" s="8">
        <v>0.14717752000000001</v>
      </c>
      <c r="R22" s="8">
        <v>0.14963375000000001</v>
      </c>
      <c r="S22" s="8">
        <v>0.14464600999999999</v>
      </c>
      <c r="T22" s="8">
        <v>0.13982448</v>
      </c>
      <c r="U22" s="8">
        <v>0.13516365999999999</v>
      </c>
      <c r="V22" s="8">
        <v>0.13065821</v>
      </c>
      <c r="W22" s="8">
        <v>0.12630293000000001</v>
      </c>
      <c r="X22" s="8">
        <v>0.12209285</v>
      </c>
      <c r="Y22" s="8">
        <v>0.11802332</v>
      </c>
      <c r="Z22" s="8">
        <v>0.11649477</v>
      </c>
      <c r="AA22" s="8">
        <v>0.11939793999999999</v>
      </c>
      <c r="AB22" s="8">
        <v>0.12240953</v>
      </c>
      <c r="AC22" s="8">
        <v>0.12651298999999999</v>
      </c>
    </row>
    <row r="23" spans="1:29" x14ac:dyDescent="0.85">
      <c r="A23" t="s">
        <v>154</v>
      </c>
      <c r="B23" s="8">
        <v>493.76058919000002</v>
      </c>
      <c r="C23" s="8">
        <v>477.32605790000002</v>
      </c>
      <c r="D23" s="8">
        <v>461.41519153000002</v>
      </c>
      <c r="E23" s="8">
        <v>533.17018016999998</v>
      </c>
      <c r="F23" s="8">
        <v>606.26775136000003</v>
      </c>
      <c r="G23" s="8">
        <v>684.27823682999997</v>
      </c>
      <c r="H23" s="8">
        <v>767.60043427999994</v>
      </c>
      <c r="I23" s="8">
        <v>856.66309282999998</v>
      </c>
      <c r="J23" s="8">
        <v>951.91365198999995</v>
      </c>
      <c r="K23" s="8">
        <v>1049.25318479</v>
      </c>
      <c r="L23" s="8">
        <v>1148.5879027799999</v>
      </c>
      <c r="M23" s="8">
        <v>1249.98000224</v>
      </c>
      <c r="N23" s="8">
        <v>1353.4926167000001</v>
      </c>
      <c r="O23" s="8">
        <v>1459.1898410900001</v>
      </c>
      <c r="P23" s="8">
        <v>1567.13675977</v>
      </c>
      <c r="Q23" s="8">
        <v>1677.3994557799999</v>
      </c>
      <c r="R23" s="8">
        <v>1705.3933553700001</v>
      </c>
      <c r="S23" s="8">
        <v>1648.5475536399999</v>
      </c>
      <c r="T23" s="8">
        <v>1593.5959888499999</v>
      </c>
      <c r="U23" s="8">
        <v>1540.4761229200001</v>
      </c>
      <c r="V23" s="8">
        <v>1489.1269188399999</v>
      </c>
      <c r="W23" s="8">
        <v>1439.4893548800001</v>
      </c>
      <c r="X23" s="8">
        <v>1391.5065451299999</v>
      </c>
      <c r="Y23" s="8">
        <v>1345.12562733</v>
      </c>
      <c r="Z23" s="8">
        <v>1327.7045528199999</v>
      </c>
      <c r="AA23" s="8">
        <v>1360.79233116</v>
      </c>
      <c r="AB23" s="8">
        <v>1395.1158039500001</v>
      </c>
      <c r="AC23" s="8">
        <v>1441.8833856900001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1.00005061</v>
      </c>
      <c r="E25" s="8">
        <v>1</v>
      </c>
      <c r="F25" s="8">
        <v>1.1763002300000001</v>
      </c>
      <c r="G25" s="8">
        <v>1.1675830899999999</v>
      </c>
      <c r="H25" s="8">
        <v>1.1604441299999999</v>
      </c>
      <c r="I25" s="8">
        <v>1.15450107</v>
      </c>
      <c r="J25" s="8">
        <v>1.1494947099999999</v>
      </c>
      <c r="K25" s="8">
        <v>1.1402555400000001</v>
      </c>
      <c r="L25" s="8">
        <v>1.1324091300000001</v>
      </c>
      <c r="M25" s="8">
        <v>1.1257921799999999</v>
      </c>
      <c r="N25" s="8">
        <v>1.1201397399999999</v>
      </c>
      <c r="O25" s="8">
        <v>1.1152578</v>
      </c>
      <c r="P25" s="8">
        <v>1.1110009999999999</v>
      </c>
      <c r="Q25" s="8">
        <v>1.1072582900000001</v>
      </c>
      <c r="R25" s="8">
        <v>1.10394339</v>
      </c>
      <c r="S25" s="8">
        <v>1.05174711</v>
      </c>
      <c r="T25" s="8">
        <v>1.0000003900000001</v>
      </c>
      <c r="U25" s="8">
        <v>1.0000000099999999</v>
      </c>
      <c r="V25" s="8">
        <v>1</v>
      </c>
      <c r="W25" s="8">
        <v>1</v>
      </c>
      <c r="X25" s="8">
        <v>1</v>
      </c>
      <c r="Y25" s="8">
        <v>1.0000001199999999</v>
      </c>
      <c r="Z25" s="8">
        <v>1.0000019600000001</v>
      </c>
      <c r="AA25" s="8">
        <v>1.0210849</v>
      </c>
      <c r="AB25" s="8">
        <v>1.06026314</v>
      </c>
      <c r="AC25" s="8">
        <v>1.0605756799999999</v>
      </c>
    </row>
    <row r="26" spans="1:29" x14ac:dyDescent="0.85">
      <c r="A26" t="s">
        <v>157</v>
      </c>
      <c r="B26" s="8">
        <v>1</v>
      </c>
      <c r="C26" s="8">
        <v>1.00005061</v>
      </c>
      <c r="D26" s="8">
        <v>1</v>
      </c>
      <c r="E26" s="8">
        <v>1.19535587</v>
      </c>
      <c r="F26" s="8">
        <v>1.1763102299999999</v>
      </c>
      <c r="G26" s="8">
        <v>1.16759309</v>
      </c>
      <c r="H26" s="8">
        <v>1.1604481499999999</v>
      </c>
      <c r="I26" s="8">
        <v>1.1545110700000001</v>
      </c>
      <c r="J26" s="8">
        <v>1.14950471</v>
      </c>
      <c r="K26" s="8">
        <v>1.14026553</v>
      </c>
      <c r="L26" s="8">
        <v>1.1324191299999999</v>
      </c>
      <c r="M26" s="8">
        <v>1.12580218</v>
      </c>
      <c r="N26" s="8">
        <v>1.12014974</v>
      </c>
      <c r="O26" s="8">
        <v>1.1152678</v>
      </c>
      <c r="P26" s="8">
        <v>1.111011</v>
      </c>
      <c r="Q26" s="8">
        <v>1.1072682700000001</v>
      </c>
      <c r="R26" s="8">
        <v>1.05174711</v>
      </c>
      <c r="S26" s="8">
        <v>1.0000003900000001</v>
      </c>
      <c r="T26" s="8">
        <v>1.0000000099999999</v>
      </c>
      <c r="U26" s="8">
        <v>1</v>
      </c>
      <c r="V26" s="8">
        <v>1</v>
      </c>
      <c r="W26" s="8">
        <v>1</v>
      </c>
      <c r="X26" s="8">
        <v>1.0000001199999999</v>
      </c>
      <c r="Y26" s="8">
        <v>1.0000019600000001</v>
      </c>
      <c r="Z26" s="8">
        <v>1.0210849</v>
      </c>
      <c r="AA26" s="8">
        <v>1.06026314</v>
      </c>
      <c r="AB26" s="8">
        <v>1.0605756799999999</v>
      </c>
      <c r="AC26" s="8">
        <v>1.06916107</v>
      </c>
    </row>
    <row r="27" spans="1:29" x14ac:dyDescent="0.85">
      <c r="A27" t="s">
        <v>158</v>
      </c>
      <c r="B27" s="8">
        <v>1</v>
      </c>
      <c r="C27" s="8">
        <v>1.17985742</v>
      </c>
      <c r="D27" s="8">
        <v>1.1873278</v>
      </c>
      <c r="E27" s="8">
        <v>1.19535587</v>
      </c>
      <c r="F27" s="8">
        <v>1.1763102299999999</v>
      </c>
      <c r="G27" s="8">
        <v>1.16759309</v>
      </c>
      <c r="H27" s="8">
        <v>1.16045413</v>
      </c>
      <c r="I27" s="8">
        <v>1.1545110700000001</v>
      </c>
      <c r="J27" s="8">
        <v>1.14950471</v>
      </c>
      <c r="K27" s="8">
        <v>1.1402655399999999</v>
      </c>
      <c r="L27" s="8">
        <v>1.1324191299999999</v>
      </c>
      <c r="M27" s="8">
        <v>1.12580218</v>
      </c>
      <c r="N27" s="8">
        <v>1.12014974</v>
      </c>
      <c r="O27" s="8">
        <v>1.1152678</v>
      </c>
      <c r="P27" s="8">
        <v>1.111011</v>
      </c>
      <c r="Q27" s="8">
        <v>1.1072682899999999</v>
      </c>
      <c r="R27" s="8">
        <v>1.10395339</v>
      </c>
      <c r="S27" s="8">
        <v>1.1041382799999999</v>
      </c>
      <c r="T27" s="8">
        <v>1.10777825</v>
      </c>
      <c r="U27" s="8">
        <v>1.11162257</v>
      </c>
      <c r="V27" s="8">
        <v>1.11568267</v>
      </c>
      <c r="W27" s="8">
        <v>1.1199707400000001</v>
      </c>
      <c r="X27" s="8">
        <v>1.1244995600000001</v>
      </c>
      <c r="Y27" s="8">
        <v>1.12928264</v>
      </c>
      <c r="Z27" s="8">
        <v>1.13386644</v>
      </c>
      <c r="AA27" s="8">
        <v>1.13691527</v>
      </c>
      <c r="AB27" s="8">
        <v>1.13628609</v>
      </c>
      <c r="AC27" s="8">
        <v>1.13564544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2.1E-7</v>
      </c>
      <c r="H36" s="8">
        <v>2.1E-7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1.2300000000000001E-6</v>
      </c>
      <c r="O36" s="8">
        <v>1.08E-6</v>
      </c>
      <c r="P36" s="8">
        <v>1.0499999999999999E-6</v>
      </c>
      <c r="Q36" s="8">
        <v>9.2999999999999999E-7</v>
      </c>
      <c r="R36" s="8">
        <v>8.8000000000000004E-7</v>
      </c>
      <c r="S36" s="8">
        <v>0</v>
      </c>
      <c r="T36" s="8">
        <v>0</v>
      </c>
      <c r="U36" s="8">
        <v>1E-8</v>
      </c>
      <c r="V36" s="8">
        <v>1E-8</v>
      </c>
      <c r="W36" s="8">
        <v>1E-8</v>
      </c>
      <c r="X36" s="8">
        <v>0</v>
      </c>
      <c r="Y36" s="8">
        <v>0</v>
      </c>
      <c r="Z36" s="8">
        <v>9.0799999999999995E-6</v>
      </c>
      <c r="AA36" s="8">
        <v>0</v>
      </c>
      <c r="AB36" s="8">
        <v>3.9159999999999998E-5</v>
      </c>
      <c r="AC36" s="8">
        <v>0</v>
      </c>
    </row>
    <row r="37" spans="1:29" x14ac:dyDescent="0.85">
      <c r="A37" t="s">
        <v>168</v>
      </c>
      <c r="B37" s="8">
        <v>1</v>
      </c>
      <c r="C37" s="8">
        <v>0</v>
      </c>
      <c r="D37" s="8">
        <v>0</v>
      </c>
      <c r="E37" s="8">
        <v>0</v>
      </c>
      <c r="F37" s="8">
        <v>2.1E-7</v>
      </c>
      <c r="G37" s="8">
        <v>2.1E-7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1.2300000000000001E-6</v>
      </c>
      <c r="N37" s="8">
        <v>1.08E-6</v>
      </c>
      <c r="O37" s="8">
        <v>1.0499999999999999E-6</v>
      </c>
      <c r="P37" s="8">
        <v>9.2999999999999999E-7</v>
      </c>
      <c r="Q37" s="8">
        <v>8.8000000000000004E-7</v>
      </c>
      <c r="R37" s="8">
        <v>0</v>
      </c>
      <c r="S37" s="8">
        <v>0</v>
      </c>
      <c r="T37" s="8">
        <v>1E-8</v>
      </c>
      <c r="U37" s="8">
        <v>1E-8</v>
      </c>
      <c r="V37" s="8">
        <v>1E-8</v>
      </c>
      <c r="W37" s="8">
        <v>0</v>
      </c>
      <c r="X37" s="8">
        <v>0</v>
      </c>
      <c r="Y37" s="8">
        <v>9.0799999999999995E-6</v>
      </c>
      <c r="Z37" s="8">
        <v>0</v>
      </c>
      <c r="AA37" s="8">
        <v>3.9159999999999998E-5</v>
      </c>
      <c r="AB37" s="8">
        <v>0</v>
      </c>
      <c r="AC37" s="8">
        <v>0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13455</v>
      </c>
      <c r="C39" s="8">
        <v>13118.62502555</v>
      </c>
      <c r="D39" s="8">
        <v>12790.65940047</v>
      </c>
      <c r="E39" s="8">
        <v>12475.28001991</v>
      </c>
      <c r="F39" s="8">
        <v>13688.622601090001</v>
      </c>
      <c r="G39" s="8">
        <v>14989.76619758</v>
      </c>
      <c r="H39" s="8">
        <v>16385.712049509999</v>
      </c>
      <c r="I39" s="8">
        <v>17883.834529749998</v>
      </c>
      <c r="J39" s="8">
        <v>19492.02564005</v>
      </c>
      <c r="K39" s="8">
        <v>21145.833042959999</v>
      </c>
      <c r="L39" s="8">
        <v>22843.97878139</v>
      </c>
      <c r="M39" s="8">
        <v>24587.65320389</v>
      </c>
      <c r="N39" s="8">
        <v>26378.068877639998</v>
      </c>
      <c r="O39" s="8">
        <v>28216.461064390001</v>
      </c>
      <c r="P39" s="8">
        <v>30104.088254480001</v>
      </c>
      <c r="Q39" s="8">
        <v>32042.232720190001</v>
      </c>
      <c r="R39" s="8">
        <v>34032.201060400002</v>
      </c>
      <c r="S39" s="8">
        <v>36052.226345659998</v>
      </c>
      <c r="T39" s="8">
        <v>38079.873349310001</v>
      </c>
      <c r="U39" s="8">
        <v>40116.134757430002</v>
      </c>
      <c r="V39" s="8">
        <v>42162.635937500003</v>
      </c>
      <c r="W39" s="8">
        <v>44220.447051249997</v>
      </c>
      <c r="X39" s="8">
        <v>46290.824707599997</v>
      </c>
      <c r="Y39" s="8">
        <v>46155.684773519999</v>
      </c>
      <c r="Z39" s="8">
        <v>47432.877742559998</v>
      </c>
      <c r="AA39" s="8">
        <v>48704.59236617</v>
      </c>
      <c r="AB39" s="8">
        <v>50006.663619480001</v>
      </c>
      <c r="AC39" s="8">
        <v>51245.149865630003</v>
      </c>
    </row>
    <row r="40" spans="1:29" x14ac:dyDescent="0.85">
      <c r="A40" t="s">
        <v>171</v>
      </c>
      <c r="B40" s="8">
        <v>97350652.75</v>
      </c>
      <c r="C40" s="8">
        <v>94916886.616146803</v>
      </c>
      <c r="D40" s="8">
        <v>92543964.4547344</v>
      </c>
      <c r="E40" s="8">
        <v>90262107.259576499</v>
      </c>
      <c r="F40" s="8">
        <v>99040976.994782403</v>
      </c>
      <c r="G40" s="8">
        <v>108455111.401269</v>
      </c>
      <c r="H40" s="8">
        <v>118555166.391202</v>
      </c>
      <c r="I40" s="8">
        <v>129394497.595231</v>
      </c>
      <c r="J40" s="8">
        <v>141030205.83267999</v>
      </c>
      <c r="K40" s="8">
        <v>152995960.58524099</v>
      </c>
      <c r="L40" s="8">
        <v>165282515.47941199</v>
      </c>
      <c r="M40" s="8">
        <v>177898483.016646</v>
      </c>
      <c r="N40" s="8">
        <v>190852636.456545</v>
      </c>
      <c r="O40" s="8">
        <v>204153913.25997299</v>
      </c>
      <c r="P40" s="8">
        <v>217811418.953361</v>
      </c>
      <c r="Q40" s="8">
        <v>231834431.13177001</v>
      </c>
      <c r="R40" s="8">
        <v>246232403.40016001</v>
      </c>
      <c r="S40" s="8">
        <v>260847845.99336401</v>
      </c>
      <c r="T40" s="8">
        <v>275518433.83070898</v>
      </c>
      <c r="U40" s="8">
        <v>290251349.27111</v>
      </c>
      <c r="V40" s="8">
        <v>305058352.29848599</v>
      </c>
      <c r="W40" s="8">
        <v>319947185.82947803</v>
      </c>
      <c r="X40" s="8">
        <v>334926941.77781099</v>
      </c>
      <c r="Y40" s="8">
        <v>333949166.91384703</v>
      </c>
      <c r="Z40" s="8">
        <v>343190011.89516503</v>
      </c>
      <c r="AA40" s="8">
        <v>352391219.52950698</v>
      </c>
      <c r="AB40" s="8">
        <v>361812065.79009902</v>
      </c>
      <c r="AC40" s="8">
        <v>370772856.90751499</v>
      </c>
    </row>
    <row r="41" spans="1:29" x14ac:dyDescent="0.85">
      <c r="A41" t="s">
        <v>172</v>
      </c>
      <c r="B41" s="8">
        <v>97350652.75</v>
      </c>
      <c r="C41" s="8">
        <v>94916886.616146803</v>
      </c>
      <c r="D41" s="8">
        <v>92543964.4547344</v>
      </c>
      <c r="E41" s="8">
        <v>90262107.259576499</v>
      </c>
      <c r="F41" s="8">
        <v>99040976.994782403</v>
      </c>
      <c r="G41" s="8">
        <v>108455111.401269</v>
      </c>
      <c r="H41" s="8">
        <v>118555166.391202</v>
      </c>
      <c r="I41" s="8">
        <v>129394497.595231</v>
      </c>
      <c r="J41" s="8">
        <v>141030205.83267999</v>
      </c>
      <c r="K41" s="8">
        <v>152995960.58524099</v>
      </c>
      <c r="L41" s="8">
        <v>165282515.47941199</v>
      </c>
      <c r="M41" s="8">
        <v>177898483.016646</v>
      </c>
      <c r="N41" s="8">
        <v>190852636.456545</v>
      </c>
      <c r="O41" s="8">
        <v>204153913.25997299</v>
      </c>
      <c r="P41" s="8">
        <v>217811418.953361</v>
      </c>
      <c r="Q41" s="8">
        <v>231834431.13177001</v>
      </c>
      <c r="R41" s="8">
        <v>246232403.40016001</v>
      </c>
      <c r="S41" s="8">
        <v>260847845.99336401</v>
      </c>
      <c r="T41" s="8">
        <v>275518433.83070898</v>
      </c>
      <c r="U41" s="8">
        <v>290251349.27111</v>
      </c>
      <c r="V41" s="8">
        <v>305058352.29848599</v>
      </c>
      <c r="W41" s="8">
        <v>319947185.82947803</v>
      </c>
      <c r="X41" s="8">
        <v>334926941.77781099</v>
      </c>
      <c r="Y41" s="8">
        <v>333949166.91384703</v>
      </c>
      <c r="Z41" s="8">
        <v>343190011.89516503</v>
      </c>
      <c r="AA41" s="8">
        <v>352391219.52950698</v>
      </c>
      <c r="AB41" s="8">
        <v>361812065.79009902</v>
      </c>
      <c r="AC41" s="8">
        <v>370772856.90751499</v>
      </c>
    </row>
    <row r="42" spans="1:29" x14ac:dyDescent="0.85">
      <c r="A42" t="s">
        <v>173</v>
      </c>
      <c r="B42" s="8">
        <v>7328.9943649300003</v>
      </c>
      <c r="C42" s="8">
        <v>7145.76951973</v>
      </c>
      <c r="D42" s="8">
        <v>6967.1252820299997</v>
      </c>
      <c r="E42" s="8">
        <v>6795.336824</v>
      </c>
      <c r="F42" s="8">
        <v>7456.2495657400004</v>
      </c>
      <c r="G42" s="8">
        <v>8164.9878850699997</v>
      </c>
      <c r="H42" s="8">
        <v>8925.3653865699998</v>
      </c>
      <c r="I42" s="8">
        <v>9741.3989217300004</v>
      </c>
      <c r="J42" s="8">
        <v>10617.38729669</v>
      </c>
      <c r="K42" s="8">
        <v>11518.223055640001</v>
      </c>
      <c r="L42" s="8">
        <v>12443.210090029999</v>
      </c>
      <c r="M42" s="8">
        <v>13392.996787669999</v>
      </c>
      <c r="N42" s="8">
        <v>14368.243638940001</v>
      </c>
      <c r="O42" s="8">
        <v>15369.62349604</v>
      </c>
      <c r="P42" s="8">
        <v>16397.821863879999</v>
      </c>
      <c r="Q42" s="8">
        <v>17453.537201489999</v>
      </c>
      <c r="R42" s="8">
        <v>18537.48121872</v>
      </c>
      <c r="S42" s="8">
        <v>19637.797378710002</v>
      </c>
      <c r="T42" s="8">
        <v>20742.265120349999</v>
      </c>
      <c r="U42" s="8">
        <v>21851.425163880001</v>
      </c>
      <c r="V42" s="8">
        <v>22966.1628537</v>
      </c>
      <c r="W42" s="8">
        <v>24087.061111359999</v>
      </c>
      <c r="X42" s="8">
        <v>25214.804416939998</v>
      </c>
      <c r="Y42" s="8">
        <v>25141.19313376</v>
      </c>
      <c r="Z42" s="8">
        <v>25836.885446870001</v>
      </c>
      <c r="AA42" s="8">
        <v>26529.593682490002</v>
      </c>
      <c r="AB42" s="8">
        <v>27238.837300340001</v>
      </c>
      <c r="AC42" s="8">
        <v>27913.445900800001</v>
      </c>
    </row>
    <row r="43" spans="1:29" x14ac:dyDescent="0.85">
      <c r="A43" t="s">
        <v>174</v>
      </c>
      <c r="B43" s="8">
        <v>0</v>
      </c>
      <c r="C43" s="8">
        <v>5.6950132</v>
      </c>
      <c r="D43" s="8">
        <v>11.105275730000001</v>
      </c>
      <c r="E43" s="8">
        <v>16.24717931</v>
      </c>
      <c r="F43" s="8">
        <v>23.76983448</v>
      </c>
      <c r="G43" s="8">
        <v>32.536533419999998</v>
      </c>
      <c r="H43" s="8">
        <v>42.679859899999997</v>
      </c>
      <c r="I43" s="8">
        <v>54.345688989999999</v>
      </c>
      <c r="J43" s="8">
        <v>67.694498800000005</v>
      </c>
      <c r="K43" s="8">
        <v>82.617818720000002</v>
      </c>
      <c r="L43" s="8">
        <v>99.169509289999993</v>
      </c>
      <c r="M43" s="8">
        <v>117.41299879</v>
      </c>
      <c r="N43" s="8">
        <v>137.41389824999999</v>
      </c>
      <c r="O43" s="8">
        <v>159.24005234000001</v>
      </c>
      <c r="P43" s="8">
        <v>182.96159191999999</v>
      </c>
      <c r="Q43" s="8">
        <v>208.65098802</v>
      </c>
      <c r="R43" s="8">
        <v>236.38310726</v>
      </c>
      <c r="S43" s="8">
        <v>266.06480291000003</v>
      </c>
      <c r="T43" s="8">
        <v>297.55990853999998</v>
      </c>
      <c r="U43" s="8">
        <v>330.88653816999999</v>
      </c>
      <c r="V43" s="8">
        <v>366.07002275999997</v>
      </c>
      <c r="W43" s="8">
        <v>403.13345414999998</v>
      </c>
      <c r="X43" s="8">
        <v>442.10356315000001</v>
      </c>
      <c r="Y43" s="8">
        <v>460.84985033999999</v>
      </c>
      <c r="Z43" s="8">
        <v>494.19361713000001</v>
      </c>
      <c r="AA43" s="8">
        <v>528.58682928999997</v>
      </c>
      <c r="AB43" s="8">
        <v>564.42682262999995</v>
      </c>
      <c r="AC43" s="8">
        <v>600.65202819000001</v>
      </c>
    </row>
    <row r="44" spans="1:29" x14ac:dyDescent="0.85">
      <c r="A44" t="s">
        <v>175</v>
      </c>
      <c r="B44" s="8">
        <v>0.29205196</v>
      </c>
      <c r="C44" s="8">
        <v>0.28475065999999999</v>
      </c>
      <c r="D44" s="8">
        <v>0.27763188999999999</v>
      </c>
      <c r="E44" s="8">
        <v>0.27078632000000002</v>
      </c>
      <c r="F44" s="8">
        <v>0.29712293000000001</v>
      </c>
      <c r="G44" s="8">
        <v>0.32536533000000001</v>
      </c>
      <c r="H44" s="8">
        <v>0.35566550000000002</v>
      </c>
      <c r="I44" s="8">
        <v>0.38818349000000002</v>
      </c>
      <c r="J44" s="8">
        <v>0.42309061999999997</v>
      </c>
      <c r="K44" s="8">
        <v>0.45898788000000001</v>
      </c>
      <c r="L44" s="8">
        <v>0.49584755000000003</v>
      </c>
      <c r="M44" s="8">
        <v>0.53369544999999996</v>
      </c>
      <c r="N44" s="8">
        <v>0.57255791</v>
      </c>
      <c r="O44" s="8">
        <v>0.61246173999999998</v>
      </c>
      <c r="P44" s="8">
        <v>0.65343426000000004</v>
      </c>
      <c r="Q44" s="8">
        <v>0.69550329</v>
      </c>
      <c r="R44" s="8">
        <v>0.73869720999999999</v>
      </c>
      <c r="S44" s="8">
        <v>0.78254354000000004</v>
      </c>
      <c r="T44" s="8">
        <v>0.82655529999999999</v>
      </c>
      <c r="U44" s="8">
        <v>0.87075404999999995</v>
      </c>
      <c r="V44" s="8">
        <v>0.91517506000000004</v>
      </c>
      <c r="W44" s="8">
        <v>0.95984155999999998</v>
      </c>
      <c r="X44" s="8">
        <v>1.0047808300000001</v>
      </c>
      <c r="Y44" s="8">
        <v>1.0018475</v>
      </c>
      <c r="Z44" s="8">
        <v>1.0295700400000001</v>
      </c>
      <c r="AA44" s="8">
        <v>1.0571736599999999</v>
      </c>
      <c r="AB44" s="8">
        <v>1.0854362</v>
      </c>
      <c r="AC44" s="8">
        <v>1.11231857</v>
      </c>
    </row>
    <row r="45" spans="1:29" x14ac:dyDescent="0.85">
      <c r="A45" t="s">
        <v>176</v>
      </c>
      <c r="B45" s="8">
        <v>6344.7792656299998</v>
      </c>
      <c r="C45" s="8">
        <v>6186.1597960400004</v>
      </c>
      <c r="D45" s="8">
        <v>6031.5058013999997</v>
      </c>
      <c r="E45" s="8">
        <v>5882.7869196000001</v>
      </c>
      <c r="F45" s="8">
        <v>6454.94528833</v>
      </c>
      <c r="G45" s="8">
        <v>7068.5067088100004</v>
      </c>
      <c r="H45" s="8">
        <v>7726.7726543500003</v>
      </c>
      <c r="I45" s="8">
        <v>8433.2205510399999</v>
      </c>
      <c r="J45" s="8">
        <v>9191.5719157299991</v>
      </c>
      <c r="K45" s="8">
        <v>9971.4338941200003</v>
      </c>
      <c r="L45" s="8">
        <v>10772.203858540001</v>
      </c>
      <c r="M45" s="8">
        <v>11594.443124380001</v>
      </c>
      <c r="N45" s="8">
        <v>12438.723484370001</v>
      </c>
      <c r="O45" s="8">
        <v>13305.62743298</v>
      </c>
      <c r="P45" s="8">
        <v>14195.74841826</v>
      </c>
      <c r="Q45" s="8">
        <v>15109.691102749999</v>
      </c>
      <c r="R45" s="8">
        <v>16048.071620340001</v>
      </c>
      <c r="S45" s="8">
        <v>17000.625655719999</v>
      </c>
      <c r="T45" s="8">
        <v>17956.773754319998</v>
      </c>
      <c r="U45" s="8">
        <v>18916.984022749999</v>
      </c>
      <c r="V45" s="8">
        <v>19882.022911960001</v>
      </c>
      <c r="W45" s="8">
        <v>20852.395062619998</v>
      </c>
      <c r="X45" s="8">
        <v>21828.693035569999</v>
      </c>
      <c r="Y45" s="8">
        <v>21764.96705626</v>
      </c>
      <c r="Z45" s="8">
        <v>22367.234426610001</v>
      </c>
      <c r="AA45" s="8">
        <v>22966.918453049999</v>
      </c>
      <c r="AB45" s="8">
        <v>23580.917315210001</v>
      </c>
      <c r="AC45" s="8">
        <v>24164.932317459999</v>
      </c>
    </row>
    <row r="46" spans="1:29" x14ac:dyDescent="0.85">
      <c r="A46" t="s">
        <v>177</v>
      </c>
      <c r="B46" s="8">
        <v>984.21509930000002</v>
      </c>
      <c r="C46" s="8">
        <v>959.60972369000001</v>
      </c>
      <c r="D46" s="8">
        <v>935.61948064000001</v>
      </c>
      <c r="E46" s="8">
        <v>912.54990439000005</v>
      </c>
      <c r="F46" s="8">
        <v>1001.3042774199999</v>
      </c>
      <c r="G46" s="8">
        <v>1096.4811762700001</v>
      </c>
      <c r="H46" s="8">
        <v>1198.59273222</v>
      </c>
      <c r="I46" s="8">
        <v>1308.1783706900001</v>
      </c>
      <c r="J46" s="8">
        <v>1425.81538097</v>
      </c>
      <c r="K46" s="8">
        <v>1546.7891615200001</v>
      </c>
      <c r="L46" s="8">
        <v>1671.0062315</v>
      </c>
      <c r="M46" s="8">
        <v>1798.5536632999999</v>
      </c>
      <c r="N46" s="8">
        <v>1929.5201545800001</v>
      </c>
      <c r="O46" s="8">
        <v>2063.9960630599999</v>
      </c>
      <c r="P46" s="8">
        <v>2202.0734456199998</v>
      </c>
      <c r="Q46" s="8">
        <v>2343.8460987399999</v>
      </c>
      <c r="R46" s="8">
        <v>2489.4095983799998</v>
      </c>
      <c r="S46" s="8">
        <v>2637.17172299</v>
      </c>
      <c r="T46" s="8">
        <v>2785.4913660299999</v>
      </c>
      <c r="U46" s="8">
        <v>2934.4411411299998</v>
      </c>
      <c r="V46" s="8">
        <v>3084.1399417399998</v>
      </c>
      <c r="W46" s="8">
        <v>3234.66604874</v>
      </c>
      <c r="X46" s="8">
        <v>3386.1113813699999</v>
      </c>
      <c r="Y46" s="8">
        <v>3376.2260775</v>
      </c>
      <c r="Z46" s="8">
        <v>3469.6510202600002</v>
      </c>
      <c r="AA46" s="8">
        <v>3562.6752294399998</v>
      </c>
      <c r="AB46" s="8">
        <v>3657.9199851399999</v>
      </c>
      <c r="AC46" s="8">
        <v>3748.5135833300001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1.0003517900000001</v>
      </c>
      <c r="G47" s="8">
        <v>1.1231211999999999</v>
      </c>
      <c r="H47" s="8">
        <v>1.1211460200000001</v>
      </c>
      <c r="I47" s="8">
        <v>1.11940393</v>
      </c>
      <c r="J47" s="8">
        <v>1.11786107</v>
      </c>
      <c r="K47" s="8">
        <v>1.11265188</v>
      </c>
      <c r="L47" s="8">
        <v>1.1079965599999999</v>
      </c>
      <c r="M47" s="8">
        <v>1.1039179100000001</v>
      </c>
      <c r="N47" s="8">
        <v>1.1003158200000001</v>
      </c>
      <c r="O47" s="8">
        <v>1.09711201</v>
      </c>
      <c r="P47" s="8">
        <v>1.0942444499999999</v>
      </c>
      <c r="Q47" s="8">
        <v>1.09166327</v>
      </c>
      <c r="R47" s="8">
        <v>1.0893280000000001</v>
      </c>
      <c r="S47" s="8">
        <v>1.0865092700000001</v>
      </c>
      <c r="T47" s="8">
        <v>1.0833150600000001</v>
      </c>
      <c r="U47" s="8">
        <v>1.0804829199999999</v>
      </c>
      <c r="V47" s="8">
        <v>1.07795803</v>
      </c>
      <c r="W47" s="8">
        <v>1.07569526</v>
      </c>
      <c r="X47" s="8">
        <v>1.0736584600000001</v>
      </c>
      <c r="Y47" s="8">
        <v>1.0718175700000001</v>
      </c>
      <c r="Z47" s="8">
        <v>1.0226468</v>
      </c>
      <c r="AA47" s="8">
        <v>1.05402196</v>
      </c>
      <c r="AB47" s="8">
        <v>1.0531393099999999</v>
      </c>
      <c r="AC47" s="8">
        <v>1.05306057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1.0003517900000001</v>
      </c>
      <c r="F48" s="8">
        <v>1.1253946100000001</v>
      </c>
      <c r="G48" s="8">
        <v>1.1231312</v>
      </c>
      <c r="H48" s="8">
        <v>1.1211554800000001</v>
      </c>
      <c r="I48" s="8">
        <v>1.1194139299999999</v>
      </c>
      <c r="J48" s="8">
        <v>1.1178710700000001</v>
      </c>
      <c r="K48" s="8">
        <v>1.1126618800000001</v>
      </c>
      <c r="L48" s="8">
        <v>1.10800656</v>
      </c>
      <c r="M48" s="8">
        <v>1.1039279099999999</v>
      </c>
      <c r="N48" s="8">
        <v>1.1003258199999999</v>
      </c>
      <c r="O48" s="8">
        <v>1.0971220100000001</v>
      </c>
      <c r="P48" s="8">
        <v>1.09425445</v>
      </c>
      <c r="Q48" s="8">
        <v>1.09167327</v>
      </c>
      <c r="R48" s="8">
        <v>1.0893379999999999</v>
      </c>
      <c r="S48" s="8">
        <v>1.0865192699999999</v>
      </c>
      <c r="T48" s="8">
        <v>1.08332506</v>
      </c>
      <c r="U48" s="8">
        <v>1.08048557</v>
      </c>
      <c r="V48" s="8">
        <v>1.0779635000000001</v>
      </c>
      <c r="W48" s="8">
        <v>1.0756989800000001</v>
      </c>
      <c r="X48" s="8">
        <v>1.07366099</v>
      </c>
      <c r="Y48" s="8">
        <v>1.0226468</v>
      </c>
      <c r="Z48" s="8">
        <v>1.05402196</v>
      </c>
      <c r="AA48" s="8">
        <v>1.0531393099999999</v>
      </c>
      <c r="AB48" s="8">
        <v>1.05306057</v>
      </c>
      <c r="AC48" s="8">
        <v>1.0510424899999999</v>
      </c>
    </row>
    <row r="49" spans="1:29" x14ac:dyDescent="0.85">
      <c r="A49" t="s">
        <v>180</v>
      </c>
      <c r="B49" s="8">
        <v>1</v>
      </c>
      <c r="C49" s="8">
        <v>1.1125518000000001</v>
      </c>
      <c r="D49" s="8">
        <v>1.1160537399999999</v>
      </c>
      <c r="E49" s="8">
        <v>1.11980185</v>
      </c>
      <c r="F49" s="8">
        <v>1.1253955499999999</v>
      </c>
      <c r="G49" s="8">
        <v>1.1231312</v>
      </c>
      <c r="H49" s="8">
        <v>1.1211560199999999</v>
      </c>
      <c r="I49" s="8">
        <v>1.1194139299999999</v>
      </c>
      <c r="J49" s="8">
        <v>1.1178710700000001</v>
      </c>
      <c r="K49" s="8">
        <v>1.1126618800000001</v>
      </c>
      <c r="L49" s="8">
        <v>1.10800656</v>
      </c>
      <c r="M49" s="8">
        <v>1.1039279099999999</v>
      </c>
      <c r="N49" s="8">
        <v>1.1003258199999999</v>
      </c>
      <c r="O49" s="8">
        <v>1.0971220100000001</v>
      </c>
      <c r="P49" s="8">
        <v>1.09425445</v>
      </c>
      <c r="Q49" s="8">
        <v>1.09167327</v>
      </c>
      <c r="R49" s="8">
        <v>1.0893379999999999</v>
      </c>
      <c r="S49" s="8">
        <v>1.0865192699999999</v>
      </c>
      <c r="T49" s="8">
        <v>1.08332506</v>
      </c>
      <c r="U49" s="8">
        <v>1.08049292</v>
      </c>
      <c r="V49" s="8">
        <v>1.0779680300000001</v>
      </c>
      <c r="W49" s="8">
        <v>1.0757052600000001</v>
      </c>
      <c r="X49" s="8">
        <v>1.0736684599999999</v>
      </c>
      <c r="Y49" s="8">
        <v>1.07182757</v>
      </c>
      <c r="Z49" s="8">
        <v>1.07235434</v>
      </c>
      <c r="AA49" s="8">
        <v>1.0716312400000001</v>
      </c>
      <c r="AB49" s="8">
        <v>1.0712588700000001</v>
      </c>
      <c r="AC49" s="8">
        <v>1.07090146</v>
      </c>
    </row>
    <row r="50" spans="1:29" x14ac:dyDescent="0.85">
      <c r="A50" t="s">
        <v>181</v>
      </c>
      <c r="B50" s="8">
        <v>14307</v>
      </c>
      <c r="C50" s="8">
        <v>15656.760345340001</v>
      </c>
      <c r="D50" s="8">
        <v>17044.167341650002</v>
      </c>
      <c r="E50" s="8">
        <v>18315.497414180001</v>
      </c>
      <c r="F50" s="8">
        <v>20161.341307390001</v>
      </c>
      <c r="G50" s="8">
        <v>22141.462638469999</v>
      </c>
      <c r="H50" s="8">
        <v>24259.00543664</v>
      </c>
      <c r="I50" s="8">
        <v>26524.05802371</v>
      </c>
      <c r="J50" s="8">
        <v>26234.981394009999</v>
      </c>
      <c r="K50" s="8">
        <v>25834.416886079998</v>
      </c>
      <c r="L50" s="8">
        <v>25416.302404369999</v>
      </c>
      <c r="M50" s="8">
        <v>24980.04338988</v>
      </c>
      <c r="N50" s="8">
        <v>24525.033327559999</v>
      </c>
      <c r="O50" s="8">
        <v>24050.65394108</v>
      </c>
      <c r="P50" s="8">
        <v>23556.275132890001</v>
      </c>
      <c r="Q50" s="8">
        <v>23041.254557650002</v>
      </c>
      <c r="R50" s="8">
        <v>22504.251202330001</v>
      </c>
      <c r="S50" s="8">
        <v>21963.92949617</v>
      </c>
      <c r="T50" s="8">
        <v>21440.246341620001</v>
      </c>
      <c r="U50" s="8">
        <v>20932.828487440001</v>
      </c>
      <c r="V50" s="8">
        <v>20440.792644910001</v>
      </c>
      <c r="W50" s="8">
        <v>19963.721641330001</v>
      </c>
      <c r="X50" s="8">
        <v>19501.05266188</v>
      </c>
      <c r="Y50" s="8">
        <v>20911.669771820001</v>
      </c>
      <c r="Z50" s="8">
        <v>21165.158733560002</v>
      </c>
      <c r="AA50" s="8">
        <v>21449.982736679998</v>
      </c>
      <c r="AB50" s="8">
        <v>21736.495401060001</v>
      </c>
      <c r="AC50" s="8">
        <v>22103.906681920002</v>
      </c>
    </row>
    <row r="51" spans="1:29" x14ac:dyDescent="0.85">
      <c r="A51" t="s">
        <v>182</v>
      </c>
      <c r="B51" s="8">
        <v>57041176.25</v>
      </c>
      <c r="C51" s="8">
        <v>65095710.500271097</v>
      </c>
      <c r="D51" s="8">
        <v>73141945.681349099</v>
      </c>
      <c r="E51" s="8">
        <v>79622800.599960104</v>
      </c>
      <c r="F51" s="8">
        <v>82742151.555675998</v>
      </c>
      <c r="G51" s="8">
        <v>86034057.357604295</v>
      </c>
      <c r="H51" s="8">
        <v>88281723.016984895</v>
      </c>
      <c r="I51" s="8">
        <v>90401192.845876306</v>
      </c>
      <c r="J51" s="8">
        <v>82457569.926391795</v>
      </c>
      <c r="K51" s="8">
        <v>73935094.903482199</v>
      </c>
      <c r="L51" s="8">
        <v>65408115.055317201</v>
      </c>
      <c r="M51" s="8">
        <v>57066120.996026397</v>
      </c>
      <c r="N51" s="8">
        <v>49045073.365852401</v>
      </c>
      <c r="O51" s="8">
        <v>41490774.025503002</v>
      </c>
      <c r="P51" s="8">
        <v>34542435.742953204</v>
      </c>
      <c r="Q51" s="8">
        <v>28307113.1384435</v>
      </c>
      <c r="R51" s="8">
        <v>23313796.1510075</v>
      </c>
      <c r="S51" s="8">
        <v>19463875.500443298</v>
      </c>
      <c r="T51" s="8">
        <v>16268920.996373899</v>
      </c>
      <c r="U51" s="8">
        <v>13654214.9301819</v>
      </c>
      <c r="V51" s="8">
        <v>11525485.399968</v>
      </c>
      <c r="W51" s="8">
        <v>9784773.6311981808</v>
      </c>
      <c r="X51" s="8">
        <v>8345512.7752020797</v>
      </c>
      <c r="Y51" s="8">
        <v>10732927.888280099</v>
      </c>
      <c r="Z51" s="8">
        <v>10592661.573179699</v>
      </c>
      <c r="AA51" s="8">
        <v>10320558.172799701</v>
      </c>
      <c r="AB51" s="8">
        <v>10050790.416603301</v>
      </c>
      <c r="AC51" s="8">
        <v>9898893.5350922905</v>
      </c>
    </row>
    <row r="52" spans="1:29" x14ac:dyDescent="0.85">
      <c r="A52" t="s">
        <v>183</v>
      </c>
      <c r="B52" s="8">
        <v>57041176.25</v>
      </c>
      <c r="C52" s="8">
        <v>65095710.500271097</v>
      </c>
      <c r="D52" s="8">
        <v>73141945.681349099</v>
      </c>
      <c r="E52" s="8">
        <v>79622800.599960104</v>
      </c>
      <c r="F52" s="8">
        <v>82742151.555675998</v>
      </c>
      <c r="G52" s="8">
        <v>86034057.357604295</v>
      </c>
      <c r="H52" s="8">
        <v>88281723.016984895</v>
      </c>
      <c r="I52" s="8">
        <v>90401192.845876306</v>
      </c>
      <c r="J52" s="8">
        <v>82457569.926391795</v>
      </c>
      <c r="K52" s="8">
        <v>73935094.903482199</v>
      </c>
      <c r="L52" s="8">
        <v>65408115.055317201</v>
      </c>
      <c r="M52" s="8">
        <v>57066120.996026397</v>
      </c>
      <c r="N52" s="8">
        <v>49045073.365852401</v>
      </c>
      <c r="O52" s="8">
        <v>41490774.025503002</v>
      </c>
      <c r="P52" s="8">
        <v>34542435.742953204</v>
      </c>
      <c r="Q52" s="8">
        <v>28307113.1384435</v>
      </c>
      <c r="R52" s="8">
        <v>23313796.1510075</v>
      </c>
      <c r="S52" s="8">
        <v>19463875.500443298</v>
      </c>
      <c r="T52" s="8">
        <v>16268920.996373899</v>
      </c>
      <c r="U52" s="8">
        <v>13654214.9301819</v>
      </c>
      <c r="V52" s="8">
        <v>11525485.399968</v>
      </c>
      <c r="W52" s="8">
        <v>9784773.6311981808</v>
      </c>
      <c r="X52" s="8">
        <v>8345512.7752020797</v>
      </c>
      <c r="Y52" s="8">
        <v>10732927.888280099</v>
      </c>
      <c r="Z52" s="8">
        <v>10592661.573179699</v>
      </c>
      <c r="AA52" s="8">
        <v>10320558.172799701</v>
      </c>
      <c r="AB52" s="8">
        <v>10050790.416603301</v>
      </c>
      <c r="AC52" s="8">
        <v>9898893.5350922905</v>
      </c>
    </row>
    <row r="53" spans="1:29" x14ac:dyDescent="0.85">
      <c r="A53" t="s">
        <v>184</v>
      </c>
      <c r="B53" s="8">
        <v>2780.8512062099999</v>
      </c>
      <c r="C53" s="8">
        <v>3108.42817526</v>
      </c>
      <c r="D53" s="8">
        <v>3439.4577074200001</v>
      </c>
      <c r="E53" s="8">
        <v>3721.0222159199998</v>
      </c>
      <c r="F53" s="8">
        <v>3976.3447664599998</v>
      </c>
      <c r="G53" s="8">
        <v>4248.9144628100003</v>
      </c>
      <c r="H53" s="8">
        <v>4509.3467566299996</v>
      </c>
      <c r="I53" s="8">
        <v>4780.9725901000002</v>
      </c>
      <c r="J53" s="8">
        <v>4559.0821475000002</v>
      </c>
      <c r="K53" s="8">
        <v>4312.2435123100004</v>
      </c>
      <c r="L53" s="8">
        <v>4063.5910570999999</v>
      </c>
      <c r="M53" s="8">
        <v>3817.69062798</v>
      </c>
      <c r="N53" s="8">
        <v>3577.8007788800001</v>
      </c>
      <c r="O53" s="8">
        <v>3347.4190475999999</v>
      </c>
      <c r="P53" s="8">
        <v>3129.8810504200001</v>
      </c>
      <c r="Q53" s="8">
        <v>2927.7365556499999</v>
      </c>
      <c r="R53" s="8">
        <v>2753.7627207400001</v>
      </c>
      <c r="S53" s="8">
        <v>2607.3655824299999</v>
      </c>
      <c r="T53" s="8">
        <v>2478.5650316699998</v>
      </c>
      <c r="U53" s="8">
        <v>2365.5017179299998</v>
      </c>
      <c r="V53" s="8">
        <v>2265.78964954</v>
      </c>
      <c r="W53" s="8">
        <v>2176.9981296999999</v>
      </c>
      <c r="X53" s="8">
        <v>2096.9602843900002</v>
      </c>
      <c r="Y53" s="8">
        <v>2292.16804417</v>
      </c>
      <c r="Z53" s="8">
        <v>2313.35643282</v>
      </c>
      <c r="AA53" s="8">
        <v>2334.3702716799999</v>
      </c>
      <c r="AB53" s="8">
        <v>2355.6050500000001</v>
      </c>
      <c r="AC53" s="8">
        <v>2387.57021055</v>
      </c>
    </row>
    <row r="54" spans="1:29" x14ac:dyDescent="0.85">
      <c r="A54" t="s">
        <v>185</v>
      </c>
      <c r="B54" s="8">
        <v>0</v>
      </c>
      <c r="C54" s="8">
        <v>637.9379629</v>
      </c>
      <c r="D54" s="8">
        <v>1433.58213535</v>
      </c>
      <c r="E54" s="8">
        <v>2340.9103376399999</v>
      </c>
      <c r="F54" s="8">
        <v>3243.4923409799999</v>
      </c>
      <c r="G54" s="8">
        <v>4215.6688105200001</v>
      </c>
      <c r="H54" s="8">
        <v>5190.9653134</v>
      </c>
      <c r="I54" s="8">
        <v>6201.5218292299996</v>
      </c>
      <c r="J54" s="8">
        <v>6464.6734822300004</v>
      </c>
      <c r="K54" s="8">
        <v>6521.0753704899998</v>
      </c>
      <c r="L54" s="8">
        <v>6409.9952754200003</v>
      </c>
      <c r="M54" s="8">
        <v>6151.7278433700003</v>
      </c>
      <c r="N54" s="8">
        <v>5767.7006278199997</v>
      </c>
      <c r="O54" s="8">
        <v>5285.9246108500001</v>
      </c>
      <c r="P54" s="8">
        <v>4739.22218393</v>
      </c>
      <c r="Q54" s="8">
        <v>4161.1456313500003</v>
      </c>
      <c r="R54" s="8">
        <v>3655.6032364799999</v>
      </c>
      <c r="S54" s="8">
        <v>3242.6816583700002</v>
      </c>
      <c r="T54" s="8">
        <v>2869.8376637599999</v>
      </c>
      <c r="U54" s="8">
        <v>2542.41482</v>
      </c>
      <c r="V54" s="8">
        <v>2258.9951383900002</v>
      </c>
      <c r="W54" s="8">
        <v>2013.7064132999999</v>
      </c>
      <c r="X54" s="8">
        <v>1799.29255433</v>
      </c>
      <c r="Y54" s="8">
        <v>2419.2019460199999</v>
      </c>
      <c r="Z54" s="8">
        <v>2491.3940020099999</v>
      </c>
      <c r="AA54" s="8">
        <v>2528.53675234</v>
      </c>
      <c r="AB54" s="8">
        <v>2560.9413981500002</v>
      </c>
      <c r="AC54" s="8">
        <v>2619.24722939</v>
      </c>
    </row>
    <row r="55" spans="1:29" x14ac:dyDescent="0.85">
      <c r="A55" t="s">
        <v>186</v>
      </c>
      <c r="B55" s="8">
        <v>27.95017636</v>
      </c>
      <c r="C55" s="8">
        <v>31.896898149999998</v>
      </c>
      <c r="D55" s="8">
        <v>35.839553379999998</v>
      </c>
      <c r="E55" s="8">
        <v>39.015172290000002</v>
      </c>
      <c r="F55" s="8">
        <v>40.543654259999997</v>
      </c>
      <c r="G55" s="8">
        <v>42.156688109999997</v>
      </c>
      <c r="H55" s="8">
        <v>43.25804428</v>
      </c>
      <c r="I55" s="8">
        <v>44.296584490000001</v>
      </c>
      <c r="J55" s="8">
        <v>40.404209260000002</v>
      </c>
      <c r="K55" s="8">
        <v>36.228196500000003</v>
      </c>
      <c r="L55" s="8">
        <v>32.049976379999997</v>
      </c>
      <c r="M55" s="8">
        <v>27.96239929</v>
      </c>
      <c r="N55" s="8">
        <v>24.032085949999999</v>
      </c>
      <c r="O55" s="8">
        <v>20.330479270000001</v>
      </c>
      <c r="P55" s="8">
        <v>16.925793509999998</v>
      </c>
      <c r="Q55" s="8">
        <v>13.870485439999999</v>
      </c>
      <c r="R55" s="8">
        <v>11.42376011</v>
      </c>
      <c r="S55" s="8">
        <v>9.5372990000000009</v>
      </c>
      <c r="T55" s="8">
        <v>7.9717712900000004</v>
      </c>
      <c r="U55" s="8">
        <v>6.6905653200000001</v>
      </c>
      <c r="V55" s="8">
        <v>5.6474878500000001</v>
      </c>
      <c r="W55" s="8">
        <v>4.7945390799999998</v>
      </c>
      <c r="X55" s="8">
        <v>4.08930126</v>
      </c>
      <c r="Y55" s="8">
        <v>5.2591346699999999</v>
      </c>
      <c r="Z55" s="8">
        <v>5.1904041699999999</v>
      </c>
      <c r="AA55" s="8">
        <v>5.0570735000000004</v>
      </c>
      <c r="AB55" s="8">
        <v>4.9248873</v>
      </c>
      <c r="AC55" s="8">
        <v>4.8504578299999999</v>
      </c>
    </row>
    <row r="56" spans="1:29" x14ac:dyDescent="0.85">
      <c r="A56" t="s">
        <v>187</v>
      </c>
      <c r="B56" s="8">
        <v>1389.04650571</v>
      </c>
      <c r="C56" s="8">
        <v>1520.09283906</v>
      </c>
      <c r="D56" s="8">
        <v>1654.7942327999999</v>
      </c>
      <c r="E56" s="8">
        <v>1778.2258812800001</v>
      </c>
      <c r="F56" s="8">
        <v>1957.4362685000001</v>
      </c>
      <c r="G56" s="8">
        <v>2149.68346329</v>
      </c>
      <c r="H56" s="8">
        <v>2355.2727150199999</v>
      </c>
      <c r="I56" s="8">
        <v>2575.18348466</v>
      </c>
      <c r="J56" s="8">
        <v>2547.1174412999999</v>
      </c>
      <c r="K56" s="8">
        <v>2508.2271966600001</v>
      </c>
      <c r="L56" s="8">
        <v>2467.6330497499998</v>
      </c>
      <c r="M56" s="8">
        <v>2425.27727568</v>
      </c>
      <c r="N56" s="8">
        <v>2381.1009887499999</v>
      </c>
      <c r="O56" s="8">
        <v>2335.0441613799999</v>
      </c>
      <c r="P56" s="8">
        <v>2287.0456182900002</v>
      </c>
      <c r="Q56" s="8">
        <v>2237.04299507</v>
      </c>
      <c r="R56" s="8">
        <v>2184.9060946499999</v>
      </c>
      <c r="S56" s="8">
        <v>2132.44702022</v>
      </c>
      <c r="T56" s="8">
        <v>2081.60335936</v>
      </c>
      <c r="U56" s="8">
        <v>2032.3388736300001</v>
      </c>
      <c r="V56" s="8">
        <v>1984.5678057800001</v>
      </c>
      <c r="W56" s="8">
        <v>1938.24965309</v>
      </c>
      <c r="X56" s="8">
        <v>1893.32977267</v>
      </c>
      <c r="Y56" s="8">
        <v>2030.2846036999999</v>
      </c>
      <c r="Z56" s="8">
        <v>2054.8954904299999</v>
      </c>
      <c r="AA56" s="8">
        <v>2082.5486522599999</v>
      </c>
      <c r="AB56" s="8">
        <v>2110.36576384</v>
      </c>
      <c r="AC56" s="8">
        <v>2146.0372082899999</v>
      </c>
    </row>
    <row r="57" spans="1:29" x14ac:dyDescent="0.85">
      <c r="A57" t="s">
        <v>188</v>
      </c>
      <c r="B57" s="8">
        <v>1391.8047005000001</v>
      </c>
      <c r="C57" s="8">
        <v>1588.3353362099999</v>
      </c>
      <c r="D57" s="8">
        <v>1784.66347462</v>
      </c>
      <c r="E57" s="8">
        <v>1942.7963346399999</v>
      </c>
      <c r="F57" s="8">
        <v>2018.90849796</v>
      </c>
      <c r="G57" s="8">
        <v>2099.2309995300002</v>
      </c>
      <c r="H57" s="8">
        <v>2154.0740416100002</v>
      </c>
      <c r="I57" s="8">
        <v>2205.7891054400002</v>
      </c>
      <c r="J57" s="8">
        <v>2011.9647061999999</v>
      </c>
      <c r="K57" s="8">
        <v>1804.0163156399999</v>
      </c>
      <c r="L57" s="8">
        <v>1595.9580073499999</v>
      </c>
      <c r="M57" s="8">
        <v>1392.4133523</v>
      </c>
      <c r="N57" s="8">
        <v>1196.6997901300001</v>
      </c>
      <c r="O57" s="8">
        <v>1012.37488622</v>
      </c>
      <c r="P57" s="8">
        <v>842.83543212999996</v>
      </c>
      <c r="Q57" s="8">
        <v>690.69356058000005</v>
      </c>
      <c r="R57" s="8">
        <v>568.85662607999996</v>
      </c>
      <c r="S57" s="8">
        <v>474.91856221</v>
      </c>
      <c r="T57" s="8">
        <v>396.96167230999998</v>
      </c>
      <c r="U57" s="8">
        <v>333.16284430000002</v>
      </c>
      <c r="V57" s="8">
        <v>281.22184376000001</v>
      </c>
      <c r="W57" s="8">
        <v>238.7484766</v>
      </c>
      <c r="X57" s="8">
        <v>203.63051171000001</v>
      </c>
      <c r="Y57" s="8">
        <v>261.88344046999998</v>
      </c>
      <c r="Z57" s="8">
        <v>258.46094239000001</v>
      </c>
      <c r="AA57" s="8">
        <v>251.82161941999999</v>
      </c>
      <c r="AB57" s="8">
        <v>245.23928617000001</v>
      </c>
      <c r="AC57" s="8">
        <v>241.53300225999999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1.1399402599999999</v>
      </c>
      <c r="E58" s="8">
        <v>1.13397284</v>
      </c>
      <c r="F58" s="8">
        <v>1.1193649299999999</v>
      </c>
      <c r="G58" s="8">
        <v>1.1440037700000001</v>
      </c>
      <c r="H58" s="8">
        <v>1.1412785400000001</v>
      </c>
      <c r="I58" s="8">
        <v>1.13891662</v>
      </c>
      <c r="J58" s="8">
        <v>1.1368630799999999</v>
      </c>
      <c r="K58" s="8">
        <v>1.0303138999999999</v>
      </c>
      <c r="L58" s="8">
        <v>1.02576215</v>
      </c>
      <c r="M58" s="8">
        <v>1.02480792</v>
      </c>
      <c r="N58" s="8">
        <v>1.0237869399999999</v>
      </c>
      <c r="O58" s="8">
        <v>1.0226927699999999</v>
      </c>
      <c r="P58" s="8">
        <v>1.02151806</v>
      </c>
      <c r="Q58" s="8">
        <v>1.0202544499999999</v>
      </c>
      <c r="R58" s="8">
        <v>1.01889228</v>
      </c>
      <c r="S58" s="8">
        <v>1.01738941</v>
      </c>
      <c r="T58" s="8">
        <v>1.0166565000000001</v>
      </c>
      <c r="U58" s="8">
        <v>1.0168303400000001</v>
      </c>
      <c r="V58" s="8">
        <v>1.0170139499999999</v>
      </c>
      <c r="W58" s="8">
        <v>1.0171818100000001</v>
      </c>
      <c r="X58" s="8">
        <v>1.01735504</v>
      </c>
      <c r="Y58" s="8">
        <v>1.0175255299999999</v>
      </c>
      <c r="Z58" s="8">
        <v>1.11701608</v>
      </c>
      <c r="AA58" s="8">
        <v>1.05429364</v>
      </c>
      <c r="AB58" s="8">
        <v>1.05568459</v>
      </c>
      <c r="AC58" s="8">
        <v>1.0555804600000001</v>
      </c>
    </row>
    <row r="59" spans="1:29" x14ac:dyDescent="0.85">
      <c r="A59" t="s">
        <v>190</v>
      </c>
      <c r="B59" s="8">
        <v>1</v>
      </c>
      <c r="C59" s="8">
        <v>1.1399402599999999</v>
      </c>
      <c r="D59" s="8">
        <v>1.13397284</v>
      </c>
      <c r="E59" s="8">
        <v>1.1193649299999999</v>
      </c>
      <c r="F59" s="8">
        <v>1.1466462900000001</v>
      </c>
      <c r="G59" s="8">
        <v>1.1439726800000001</v>
      </c>
      <c r="H59" s="8">
        <v>1.14128853</v>
      </c>
      <c r="I59" s="8">
        <v>1.1389266199999999</v>
      </c>
      <c r="J59" s="8">
        <v>1.0303138999999999</v>
      </c>
      <c r="K59" s="8">
        <v>1.02576215</v>
      </c>
      <c r="L59" s="8">
        <v>1.02480792</v>
      </c>
      <c r="M59" s="8">
        <v>1.0237869399999999</v>
      </c>
      <c r="N59" s="8">
        <v>1.0226927699999999</v>
      </c>
      <c r="O59" s="8">
        <v>1.02151806</v>
      </c>
      <c r="P59" s="8">
        <v>1.0202544499999999</v>
      </c>
      <c r="Q59" s="8">
        <v>1.01889228</v>
      </c>
      <c r="R59" s="8">
        <v>1.01738941</v>
      </c>
      <c r="S59" s="8">
        <v>1.0166565000000001</v>
      </c>
      <c r="T59" s="8">
        <v>1.0168303400000001</v>
      </c>
      <c r="U59" s="8">
        <v>1.0170139499999999</v>
      </c>
      <c r="V59" s="8">
        <v>1.0171818100000001</v>
      </c>
      <c r="W59" s="8">
        <v>1.01735504</v>
      </c>
      <c r="X59" s="8">
        <v>1.0175255299999999</v>
      </c>
      <c r="Y59" s="8">
        <v>1.11701608</v>
      </c>
      <c r="Z59" s="8">
        <v>1.05429364</v>
      </c>
      <c r="AA59" s="8">
        <v>1.05568459</v>
      </c>
      <c r="AB59" s="8">
        <v>1.0555804600000001</v>
      </c>
      <c r="AC59" s="8">
        <v>1.0592739200000001</v>
      </c>
    </row>
    <row r="60" spans="1:29" x14ac:dyDescent="0.85">
      <c r="A60" t="s">
        <v>191</v>
      </c>
      <c r="B60" s="8">
        <v>1</v>
      </c>
      <c r="C60" s="8">
        <v>1.17415566</v>
      </c>
      <c r="D60" s="8">
        <v>1.16254112</v>
      </c>
      <c r="E60" s="8">
        <v>1.1526463300000001</v>
      </c>
      <c r="F60" s="8">
        <v>1.1471432699999999</v>
      </c>
      <c r="G60" s="8">
        <v>1.1440137699999999</v>
      </c>
      <c r="H60" s="8">
        <v>1.1412885399999999</v>
      </c>
      <c r="I60" s="8">
        <v>1.1389266199999999</v>
      </c>
      <c r="J60" s="8">
        <v>1.13687308</v>
      </c>
      <c r="K60" s="8">
        <v>1.1419317600000001</v>
      </c>
      <c r="L60" s="8">
        <v>1.1475794399999999</v>
      </c>
      <c r="M60" s="8">
        <v>1.1535996500000001</v>
      </c>
      <c r="N60" s="8">
        <v>1.16002918</v>
      </c>
      <c r="O60" s="8">
        <v>1.1669099700000001</v>
      </c>
      <c r="P60" s="8">
        <v>1.17428994</v>
      </c>
      <c r="Q60" s="8">
        <v>1.18222417</v>
      </c>
      <c r="R60" s="8">
        <v>1.1907762399999999</v>
      </c>
      <c r="S60" s="8">
        <v>1.19816093</v>
      </c>
      <c r="T60" s="8">
        <v>1.2040929600000001</v>
      </c>
      <c r="U60" s="8">
        <v>1.2102872899999999</v>
      </c>
      <c r="V60" s="8">
        <v>1.21675201</v>
      </c>
      <c r="W60" s="8">
        <v>1.22350062</v>
      </c>
      <c r="X60" s="8">
        <v>1.23054273</v>
      </c>
      <c r="Y60" s="8">
        <v>1.2378899699999999</v>
      </c>
      <c r="Z60" s="8">
        <v>1.2246579900000001</v>
      </c>
      <c r="AA60" s="8">
        <v>1.2249321</v>
      </c>
      <c r="AB60" s="8">
        <v>1.22613489</v>
      </c>
      <c r="AC60" s="8">
        <v>1.22739968</v>
      </c>
    </row>
    <row r="61" spans="1:29" x14ac:dyDescent="0.85">
      <c r="A61" t="s">
        <v>192</v>
      </c>
      <c r="B61" s="8">
        <v>12389</v>
      </c>
      <c r="C61" s="8">
        <v>12079.275</v>
      </c>
      <c r="D61" s="8">
        <v>11777.293125</v>
      </c>
      <c r="E61" s="8">
        <v>11482.860796880001</v>
      </c>
      <c r="F61" s="8">
        <v>11195.789276949999</v>
      </c>
      <c r="G61" s="8">
        <v>10915.89454503</v>
      </c>
      <c r="H61" s="8">
        <v>10642.9971814</v>
      </c>
      <c r="I61" s="8">
        <v>10376.922251870001</v>
      </c>
      <c r="J61" s="8">
        <v>10117.499195570001</v>
      </c>
      <c r="K61" s="8">
        <v>9864.5617156799999</v>
      </c>
      <c r="L61" s="8">
        <v>9617.9476727900001</v>
      </c>
      <c r="M61" s="8">
        <v>9377.49898097</v>
      </c>
      <c r="N61" s="8">
        <v>9143.0615064499998</v>
      </c>
      <c r="O61" s="8">
        <v>8914.4849687900005</v>
      </c>
      <c r="P61" s="8">
        <v>8691.6228445699999</v>
      </c>
      <c r="Q61" s="8">
        <v>8474.3322734499998</v>
      </c>
      <c r="R61" s="8">
        <v>8262.4739666200003</v>
      </c>
      <c r="S61" s="8">
        <v>8055.9121174499996</v>
      </c>
      <c r="T61" s="8">
        <v>7854.5143145100001</v>
      </c>
      <c r="U61" s="8">
        <v>7658.15145665</v>
      </c>
      <c r="V61" s="8">
        <v>7466.6976702299999</v>
      </c>
      <c r="W61" s="8">
        <v>7280.03022848</v>
      </c>
      <c r="X61" s="8">
        <v>7098.0294727700002</v>
      </c>
      <c r="Y61" s="8">
        <v>6920.57873595</v>
      </c>
      <c r="Z61" s="8">
        <v>6747.5642675500003</v>
      </c>
      <c r="AA61" s="8">
        <v>6578.8751608599996</v>
      </c>
      <c r="AB61" s="8">
        <v>6414.4032818400001</v>
      </c>
      <c r="AC61" s="8">
        <v>6254.0431997899996</v>
      </c>
    </row>
    <row r="62" spans="1:29" x14ac:dyDescent="0.85">
      <c r="A62" t="s">
        <v>193</v>
      </c>
      <c r="B62" s="8">
        <v>39933839.75</v>
      </c>
      <c r="C62" s="8">
        <v>38935492.9992529</v>
      </c>
      <c r="D62" s="8">
        <v>37962101.386190601</v>
      </c>
      <c r="E62" s="8">
        <v>37013048.313398398</v>
      </c>
      <c r="F62" s="8">
        <v>28431394.6702336</v>
      </c>
      <c r="G62" s="8">
        <v>19047694.36076</v>
      </c>
      <c r="H62" s="8">
        <v>10022927.911876399</v>
      </c>
      <c r="I62" s="8">
        <v>382048.10853632999</v>
      </c>
      <c r="J62" s="8">
        <v>0.25206584999999998</v>
      </c>
      <c r="K62" s="8">
        <v>1.1000000000000001E-7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39933839.75</v>
      </c>
      <c r="C63" s="8">
        <v>38935492.9992529</v>
      </c>
      <c r="D63" s="8">
        <v>37962101.386190601</v>
      </c>
      <c r="E63" s="8">
        <v>37013048.313398398</v>
      </c>
      <c r="F63" s="8">
        <v>28431394.6702336</v>
      </c>
      <c r="G63" s="8">
        <v>19047694.36076</v>
      </c>
      <c r="H63" s="8">
        <v>10022927.911876399</v>
      </c>
      <c r="I63" s="8">
        <v>382048.10853632999</v>
      </c>
      <c r="J63" s="8">
        <v>0.25206584999999998</v>
      </c>
      <c r="K63" s="8">
        <v>1.1000000000000001E-7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3986.8316421999998</v>
      </c>
      <c r="C64" s="8">
        <v>3887.1608335199999</v>
      </c>
      <c r="D64" s="8">
        <v>3789.9817128599998</v>
      </c>
      <c r="E64" s="8">
        <v>3695.23215751</v>
      </c>
      <c r="F64" s="8">
        <v>3424.61205088</v>
      </c>
      <c r="G64" s="8">
        <v>3137.0912781000002</v>
      </c>
      <c r="H64" s="8">
        <v>2859.6531913399999</v>
      </c>
      <c r="I64" s="8">
        <v>2569.5555237799999</v>
      </c>
      <c r="J64" s="8">
        <v>2496.6449135799999</v>
      </c>
      <c r="K64" s="8">
        <v>2434.22878502</v>
      </c>
      <c r="L64" s="8">
        <v>2373.3730653900002</v>
      </c>
      <c r="M64" s="8">
        <v>2314.0387387599999</v>
      </c>
      <c r="N64" s="8">
        <v>2256.1877702900001</v>
      </c>
      <c r="O64" s="8">
        <v>2199.7830760299998</v>
      </c>
      <c r="P64" s="8">
        <v>2144.7884991300002</v>
      </c>
      <c r="Q64" s="8">
        <v>2091.1687866500001</v>
      </c>
      <c r="R64" s="8">
        <v>2038.88956699</v>
      </c>
      <c r="S64" s="8">
        <v>1987.91732781</v>
      </c>
      <c r="T64" s="8">
        <v>1938.21939462</v>
      </c>
      <c r="U64" s="8">
        <v>1889.76390975</v>
      </c>
      <c r="V64" s="8">
        <v>1842.5198120099999</v>
      </c>
      <c r="W64" s="8">
        <v>1796.4568167100001</v>
      </c>
      <c r="X64" s="8">
        <v>1751.5453962900001</v>
      </c>
      <c r="Y64" s="8">
        <v>1707.7567613799999</v>
      </c>
      <c r="Z64" s="8">
        <v>1665.06284235</v>
      </c>
      <c r="AA64" s="8">
        <v>1623.4362712899999</v>
      </c>
      <c r="AB64" s="8">
        <v>1582.85036451</v>
      </c>
      <c r="AC64" s="8">
        <v>1543.2791053999999</v>
      </c>
    </row>
    <row r="65" spans="1:29" x14ac:dyDescent="0.85">
      <c r="A65" t="s">
        <v>196</v>
      </c>
      <c r="B65" s="8">
        <v>0</v>
      </c>
      <c r="C65" s="8">
        <v>638.54208518999997</v>
      </c>
      <c r="D65" s="8">
        <v>1245.15692547</v>
      </c>
      <c r="E65" s="8">
        <v>1821.0419770200001</v>
      </c>
      <c r="F65" s="8">
        <v>1865.09949037</v>
      </c>
      <c r="G65" s="8">
        <v>1561.9109375800001</v>
      </c>
      <c r="H65" s="8">
        <v>986.25610653000001</v>
      </c>
      <c r="I65" s="8">
        <v>43.859122859999999</v>
      </c>
      <c r="J65" s="8">
        <v>3.307E-5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32.745748599999999</v>
      </c>
      <c r="C66" s="8">
        <v>31.92710426</v>
      </c>
      <c r="D66" s="8">
        <v>31.128923140000001</v>
      </c>
      <c r="E66" s="8">
        <v>30.35069962</v>
      </c>
      <c r="F66" s="8">
        <v>23.313743630000001</v>
      </c>
      <c r="G66" s="8">
        <v>15.619109379999999</v>
      </c>
      <c r="H66" s="8">
        <v>8.2188008900000007</v>
      </c>
      <c r="I66" s="8">
        <v>0.31327945000000001</v>
      </c>
      <c r="J66" s="8">
        <v>2.1E-7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3057.1718528199999</v>
      </c>
      <c r="C67" s="8">
        <v>2980.7425564999999</v>
      </c>
      <c r="D67" s="8">
        <v>2906.2239925899999</v>
      </c>
      <c r="E67" s="8">
        <v>2833.5683927700002</v>
      </c>
      <c r="F67" s="8">
        <v>2762.7291829599999</v>
      </c>
      <c r="G67" s="8">
        <v>2693.6609533800001</v>
      </c>
      <c r="H67" s="8">
        <v>2626.3194295500002</v>
      </c>
      <c r="I67" s="8">
        <v>2560.66144381</v>
      </c>
      <c r="J67" s="8">
        <v>2496.6449077100001</v>
      </c>
      <c r="K67" s="8">
        <v>2434.22878502</v>
      </c>
      <c r="L67" s="8">
        <v>2373.3730653900002</v>
      </c>
      <c r="M67" s="8">
        <v>2314.0387387599999</v>
      </c>
      <c r="N67" s="8">
        <v>2256.1877702900001</v>
      </c>
      <c r="O67" s="8">
        <v>2199.7830760299998</v>
      </c>
      <c r="P67" s="8">
        <v>2144.7884991300002</v>
      </c>
      <c r="Q67" s="8">
        <v>2091.1687866500001</v>
      </c>
      <c r="R67" s="8">
        <v>2038.88956699</v>
      </c>
      <c r="S67" s="8">
        <v>1987.91732781</v>
      </c>
      <c r="T67" s="8">
        <v>1938.21939462</v>
      </c>
      <c r="U67" s="8">
        <v>1889.76390975</v>
      </c>
      <c r="V67" s="8">
        <v>1842.5198120099999</v>
      </c>
      <c r="W67" s="8">
        <v>1796.4568167100001</v>
      </c>
      <c r="X67" s="8">
        <v>1751.5453962900001</v>
      </c>
      <c r="Y67" s="8">
        <v>1707.7567613799999</v>
      </c>
      <c r="Z67" s="8">
        <v>1665.06284235</v>
      </c>
      <c r="AA67" s="8">
        <v>1623.4362712899999</v>
      </c>
      <c r="AB67" s="8">
        <v>1582.85036451</v>
      </c>
      <c r="AC67" s="8">
        <v>1543.2791053999999</v>
      </c>
    </row>
    <row r="68" spans="1:29" x14ac:dyDescent="0.85">
      <c r="A68" t="s">
        <v>199</v>
      </c>
      <c r="B68" s="8">
        <v>929.65978938000001</v>
      </c>
      <c r="C68" s="8">
        <v>906.41827702</v>
      </c>
      <c r="D68" s="8">
        <v>883.75772027000005</v>
      </c>
      <c r="E68" s="8">
        <v>861.66376474000003</v>
      </c>
      <c r="F68" s="8">
        <v>661.88286791999997</v>
      </c>
      <c r="G68" s="8">
        <v>443.43032471999999</v>
      </c>
      <c r="H68" s="8">
        <v>233.33376179000001</v>
      </c>
      <c r="I68" s="8">
        <v>8.8940799699999999</v>
      </c>
      <c r="J68" s="8">
        <v>5.8699999999999997E-6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0.99999998000000001</v>
      </c>
      <c r="E69" s="8">
        <v>0.99999989</v>
      </c>
      <c r="F69" s="8">
        <v>0.99999998999999995</v>
      </c>
      <c r="G69" s="8">
        <v>0.78784120999999996</v>
      </c>
      <c r="H69" s="8">
        <v>0.68713115000000002</v>
      </c>
      <c r="I69" s="8">
        <v>0.53969398000000002</v>
      </c>
      <c r="J69" s="8">
        <v>3.9094789999999997E-2</v>
      </c>
      <c r="K69" s="8">
        <v>6.7999999999999995E-7</v>
      </c>
      <c r="L69" s="8">
        <v>4.4000000000000002E-7</v>
      </c>
      <c r="M69" s="8">
        <v>4.0999999999999999E-7</v>
      </c>
      <c r="N69" s="8">
        <v>3.3999999999999997E-7</v>
      </c>
      <c r="O69" s="8">
        <v>3.3000000000000002E-7</v>
      </c>
      <c r="P69" s="8">
        <v>3.2000000000000001E-7</v>
      </c>
      <c r="Q69" s="8">
        <v>3.2000000000000001E-7</v>
      </c>
      <c r="R69" s="8">
        <v>3.3000000000000002E-7</v>
      </c>
      <c r="S69" s="8">
        <v>2.9730000000000002E-5</v>
      </c>
      <c r="T69" s="8">
        <v>0</v>
      </c>
      <c r="U69" s="8">
        <v>1.6579100000000001E-3</v>
      </c>
      <c r="V69" s="8">
        <v>1.6669899999999999E-3</v>
      </c>
      <c r="W69" s="8">
        <v>1.5764900000000001E-3</v>
      </c>
      <c r="X69" s="8">
        <v>2.0137160000000001E-2</v>
      </c>
      <c r="Y69" s="8">
        <v>0.99999486000000004</v>
      </c>
      <c r="Z69" s="8">
        <v>0</v>
      </c>
      <c r="AA69" s="8">
        <v>2.0066999999999999E-4</v>
      </c>
      <c r="AB69" s="8">
        <v>1.5567000000000001E-3</v>
      </c>
      <c r="AC69" s="8">
        <v>1.2882E-4</v>
      </c>
    </row>
    <row r="70" spans="1:29" x14ac:dyDescent="0.85">
      <c r="A70" t="s">
        <v>201</v>
      </c>
      <c r="B70" s="8">
        <v>1</v>
      </c>
      <c r="C70" s="8">
        <v>0.99999998000000001</v>
      </c>
      <c r="D70" s="8">
        <v>0.99999989</v>
      </c>
      <c r="E70" s="8">
        <v>0.99999998999999995</v>
      </c>
      <c r="F70" s="8">
        <v>0.78784120999999996</v>
      </c>
      <c r="G70" s="8">
        <v>0.68713115000000002</v>
      </c>
      <c r="H70" s="8">
        <v>0.53969398000000002</v>
      </c>
      <c r="I70" s="8">
        <v>3.9094789999999997E-2</v>
      </c>
      <c r="J70" s="8">
        <v>6.7999999999999995E-7</v>
      </c>
      <c r="K70" s="8">
        <v>4.4000000000000002E-7</v>
      </c>
      <c r="L70" s="8">
        <v>4.0999999999999999E-7</v>
      </c>
      <c r="M70" s="8">
        <v>3.3999999999999997E-7</v>
      </c>
      <c r="N70" s="8">
        <v>3.3000000000000002E-7</v>
      </c>
      <c r="O70" s="8">
        <v>3.2000000000000001E-7</v>
      </c>
      <c r="P70" s="8">
        <v>3.2000000000000001E-7</v>
      </c>
      <c r="Q70" s="8">
        <v>3.3000000000000002E-7</v>
      </c>
      <c r="R70" s="8">
        <v>2.9730000000000002E-5</v>
      </c>
      <c r="S70" s="8">
        <v>0</v>
      </c>
      <c r="T70" s="8">
        <v>1.6579100000000001E-3</v>
      </c>
      <c r="U70" s="8">
        <v>1.6669899999999999E-3</v>
      </c>
      <c r="V70" s="8">
        <v>1.5764900000000001E-3</v>
      </c>
      <c r="W70" s="8">
        <v>2.0137160000000001E-2</v>
      </c>
      <c r="X70" s="8">
        <v>0.99999486000000004</v>
      </c>
      <c r="Y70" s="8">
        <v>0</v>
      </c>
      <c r="Z70" s="8">
        <v>2.0066999999999999E-4</v>
      </c>
      <c r="AA70" s="8">
        <v>1.5567000000000001E-3</v>
      </c>
      <c r="AB70" s="8">
        <v>1.2882E-4</v>
      </c>
      <c r="AC70" s="8">
        <v>7.9000000000000006E-6</v>
      </c>
    </row>
    <row r="71" spans="1:29" x14ac:dyDescent="0.85">
      <c r="A71" t="s">
        <v>202</v>
      </c>
      <c r="B71" s="8">
        <v>1</v>
      </c>
      <c r="C71" s="8">
        <v>1.44713874</v>
      </c>
      <c r="D71" s="8">
        <v>1.46330066</v>
      </c>
      <c r="E71" s="8">
        <v>1.48059871</v>
      </c>
      <c r="F71" s="8">
        <v>1.50658548</v>
      </c>
      <c r="G71" s="8">
        <v>1.5558358699999999</v>
      </c>
      <c r="H71" s="8">
        <v>1.6102879400000001</v>
      </c>
      <c r="I71" s="8">
        <v>1.6704071300000001</v>
      </c>
      <c r="J71" s="8">
        <v>1.7367753500000001</v>
      </c>
      <c r="K71" s="8">
        <v>1.77861526</v>
      </c>
      <c r="L71" s="8">
        <v>1.8216757299999999</v>
      </c>
      <c r="M71" s="8">
        <v>1.86709561</v>
      </c>
      <c r="N71" s="8">
        <v>1.9149976</v>
      </c>
      <c r="O71" s="8">
        <v>1.96551056</v>
      </c>
      <c r="P71" s="8">
        <v>2.0187698100000002</v>
      </c>
      <c r="Q71" s="8">
        <v>2.07491746</v>
      </c>
      <c r="R71" s="8">
        <v>2.13410272</v>
      </c>
      <c r="S71" s="8">
        <v>2.18429786</v>
      </c>
      <c r="T71" s="8">
        <v>2.2242860599999998</v>
      </c>
      <c r="U71" s="8">
        <v>2.2662850200000002</v>
      </c>
      <c r="V71" s="8">
        <v>2.3103879799999998</v>
      </c>
      <c r="W71" s="8">
        <v>2.3566942100000001</v>
      </c>
      <c r="X71" s="8">
        <v>2.4053060999999998</v>
      </c>
      <c r="Y71" s="8">
        <v>2.4563313899999999</v>
      </c>
      <c r="Z71" s="8">
        <v>2.5037890900000002</v>
      </c>
      <c r="AA71" s="8">
        <v>2.5623454699999999</v>
      </c>
      <c r="AB71" s="8">
        <v>2.6325900299999998</v>
      </c>
      <c r="AC71" s="8">
        <v>2.7063142400000002</v>
      </c>
    </row>
    <row r="72" spans="1:29" x14ac:dyDescent="0.85">
      <c r="A72" t="s">
        <v>203</v>
      </c>
      <c r="B72" s="8">
        <v>0</v>
      </c>
      <c r="C72" s="8">
        <v>17.826263600000001</v>
      </c>
      <c r="D72" s="8">
        <v>16.04615836</v>
      </c>
      <c r="E72" s="8">
        <v>14.44184126</v>
      </c>
      <c r="F72" s="8">
        <v>13.06197326</v>
      </c>
      <c r="G72" s="8">
        <v>11.75700174</v>
      </c>
      <c r="H72" s="8">
        <v>10.59985878</v>
      </c>
      <c r="I72" s="8">
        <v>9.5417133399999994</v>
      </c>
      <c r="J72" s="8">
        <v>8.5876604400000005</v>
      </c>
      <c r="K72" s="8">
        <v>7.7288943899999998</v>
      </c>
      <c r="L72" s="8">
        <v>6.9560049499999996</v>
      </c>
      <c r="M72" s="8">
        <v>6.2604044600000002</v>
      </c>
      <c r="N72" s="8">
        <v>5.6343660499999997</v>
      </c>
      <c r="O72" s="8">
        <v>5.0709294500000004</v>
      </c>
      <c r="P72" s="8">
        <v>4.5638364999999999</v>
      </c>
      <c r="Q72" s="8">
        <v>4.1074542300000001</v>
      </c>
      <c r="R72" s="8">
        <v>3.6969344099999999</v>
      </c>
      <c r="S72" s="8">
        <v>3.3272409700000001</v>
      </c>
      <c r="T72" s="8">
        <v>2.99475772</v>
      </c>
      <c r="U72" s="8">
        <v>2.6954368799999999</v>
      </c>
      <c r="V72" s="8">
        <v>2.4263656500000002</v>
      </c>
      <c r="W72" s="8">
        <v>2.1851518400000001</v>
      </c>
      <c r="X72" s="8">
        <v>1.9703769200000001</v>
      </c>
      <c r="Y72" s="8">
        <v>1.7734641600000001</v>
      </c>
      <c r="Z72" s="8">
        <v>1.5961177499999999</v>
      </c>
      <c r="AA72" s="8">
        <v>1.5533337300000001</v>
      </c>
      <c r="AB72" s="8">
        <v>1.3980161600000001</v>
      </c>
      <c r="AC72" s="8">
        <v>1.2582145499999999</v>
      </c>
    </row>
    <row r="73" spans="1:29" x14ac:dyDescent="0.85">
      <c r="A73" t="s">
        <v>204</v>
      </c>
      <c r="B73" s="8">
        <v>0</v>
      </c>
      <c r="C73" s="8">
        <v>4.4565618699999998</v>
      </c>
      <c r="D73" s="8">
        <v>2.5720000000000002E-4</v>
      </c>
      <c r="E73" s="8">
        <v>4.4208000000000002E-4</v>
      </c>
      <c r="F73" s="8">
        <v>1.6085729999999999E-2</v>
      </c>
      <c r="G73" s="8">
        <v>3.0922000000000002E-4</v>
      </c>
      <c r="H73" s="8">
        <v>4.63664E-3</v>
      </c>
      <c r="I73" s="8">
        <v>4.6117E-4</v>
      </c>
      <c r="J73" s="8">
        <v>2.1469147400000002</v>
      </c>
      <c r="K73" s="8">
        <v>1.93220294</v>
      </c>
      <c r="L73" s="8">
        <v>1.7389995700000001</v>
      </c>
      <c r="M73" s="8">
        <v>1.5650995299999999</v>
      </c>
      <c r="N73" s="8">
        <v>1.40858471</v>
      </c>
      <c r="O73" s="8">
        <v>1.2677318900000001</v>
      </c>
      <c r="P73" s="8">
        <v>1.1409559600000001</v>
      </c>
      <c r="Q73" s="8">
        <v>1.0268416899999999</v>
      </c>
      <c r="R73" s="8">
        <v>0.92423359999999999</v>
      </c>
      <c r="S73" s="8">
        <v>0.83180964999999996</v>
      </c>
      <c r="T73" s="8">
        <v>0.74819093000000003</v>
      </c>
      <c r="U73" s="8">
        <v>0.67385874000000001</v>
      </c>
      <c r="V73" s="8">
        <v>0.60659138999999995</v>
      </c>
      <c r="W73" s="8">
        <v>0.54628473</v>
      </c>
      <c r="X73" s="8">
        <v>0.49259422000000003</v>
      </c>
      <c r="Y73" s="8">
        <v>0.44336312</v>
      </c>
      <c r="Z73" s="8">
        <v>0.39902944000000001</v>
      </c>
      <c r="AA73" s="8">
        <v>0.38832534000000002</v>
      </c>
      <c r="AB73" s="8">
        <v>0.34950404000000002</v>
      </c>
      <c r="AC73" s="8">
        <v>0.31455196000000002</v>
      </c>
    </row>
    <row r="74" spans="1:29" x14ac:dyDescent="0.85">
      <c r="A74" t="s">
        <v>205</v>
      </c>
      <c r="B74" s="8">
        <v>0</v>
      </c>
      <c r="C74" s="8">
        <v>4.4565618699999998</v>
      </c>
      <c r="D74" s="8">
        <v>2.5720000000000002E-4</v>
      </c>
      <c r="E74" s="8">
        <v>4.4208000000000002E-4</v>
      </c>
      <c r="F74" s="8">
        <v>1.6085729999999999E-2</v>
      </c>
      <c r="G74" s="8">
        <v>3.0922000000000002E-4</v>
      </c>
      <c r="H74" s="8">
        <v>4.63664E-3</v>
      </c>
      <c r="I74" s="8">
        <v>4.6117E-4</v>
      </c>
      <c r="J74" s="8">
        <v>2.1469147400000002</v>
      </c>
      <c r="K74" s="8">
        <v>1.93220294</v>
      </c>
      <c r="L74" s="8">
        <v>1.7389995700000001</v>
      </c>
      <c r="M74" s="8">
        <v>1.5650995299999999</v>
      </c>
      <c r="N74" s="8">
        <v>1.40858471</v>
      </c>
      <c r="O74" s="8">
        <v>1.2677318900000001</v>
      </c>
      <c r="P74" s="8">
        <v>1.1409559600000001</v>
      </c>
      <c r="Q74" s="8">
        <v>1.0268416899999999</v>
      </c>
      <c r="R74" s="8">
        <v>0.92423359999999999</v>
      </c>
      <c r="S74" s="8">
        <v>0.83180964999999996</v>
      </c>
      <c r="T74" s="8">
        <v>0.74819093000000003</v>
      </c>
      <c r="U74" s="8">
        <v>0.67385874000000001</v>
      </c>
      <c r="V74" s="8">
        <v>0.60659138999999995</v>
      </c>
      <c r="W74" s="8">
        <v>0.54628473</v>
      </c>
      <c r="X74" s="8">
        <v>0.49259422000000003</v>
      </c>
      <c r="Y74" s="8">
        <v>0.44336312</v>
      </c>
      <c r="Z74" s="8">
        <v>0.39902944000000001</v>
      </c>
      <c r="AA74" s="8">
        <v>0.38832534000000002</v>
      </c>
      <c r="AB74" s="8">
        <v>0.34950404000000002</v>
      </c>
      <c r="AC74" s="8">
        <v>0.31455196000000002</v>
      </c>
    </row>
    <row r="75" spans="1:29" x14ac:dyDescent="0.85">
      <c r="A75" t="s">
        <v>206</v>
      </c>
      <c r="B75" s="8">
        <v>0</v>
      </c>
      <c r="C75" s="8">
        <v>3.4452858800000001</v>
      </c>
      <c r="D75" s="8">
        <v>3.1011893100000001</v>
      </c>
      <c r="E75" s="8">
        <v>2.7911281200000002</v>
      </c>
      <c r="F75" s="8">
        <v>2.5244456899999999</v>
      </c>
      <c r="G75" s="8">
        <v>2.2722378399999998</v>
      </c>
      <c r="H75" s="8">
        <v>2.0486006099999998</v>
      </c>
      <c r="I75" s="8">
        <v>1.8440961899999999</v>
      </c>
      <c r="J75" s="8">
        <v>1.65973902</v>
      </c>
      <c r="K75" s="8">
        <v>1.4937651199999999</v>
      </c>
      <c r="L75" s="8">
        <v>1.3443886</v>
      </c>
      <c r="M75" s="8">
        <v>1.2099497400000001</v>
      </c>
      <c r="N75" s="8">
        <v>1.08895516</v>
      </c>
      <c r="O75" s="8">
        <v>0.98005964999999995</v>
      </c>
      <c r="P75" s="8">
        <v>0.88205367999999995</v>
      </c>
      <c r="Q75" s="8">
        <v>0.79384858000000003</v>
      </c>
      <c r="R75" s="8">
        <v>0.71450733</v>
      </c>
      <c r="S75" s="8">
        <v>0.64305659000000004</v>
      </c>
      <c r="T75" s="8">
        <v>0.57879747000000004</v>
      </c>
      <c r="U75" s="8">
        <v>0.52094768000000002</v>
      </c>
      <c r="V75" s="8">
        <v>0.46894422000000002</v>
      </c>
      <c r="W75" s="8">
        <v>0.42232478000000001</v>
      </c>
      <c r="X75" s="8">
        <v>0.38081517999999998</v>
      </c>
      <c r="Y75" s="8">
        <v>0.34275781</v>
      </c>
      <c r="Z75" s="8">
        <v>0.30848203000000002</v>
      </c>
      <c r="AA75" s="8">
        <v>0.30021314999999998</v>
      </c>
      <c r="AB75" s="8">
        <v>0.27019489000000002</v>
      </c>
      <c r="AC75" s="8">
        <v>0.24317540000000001</v>
      </c>
    </row>
    <row r="76" spans="1:29" x14ac:dyDescent="0.85">
      <c r="A76" t="s">
        <v>207</v>
      </c>
      <c r="B76" s="8">
        <v>0</v>
      </c>
      <c r="C76" s="8">
        <v>9.9199999999999999E-6</v>
      </c>
      <c r="D76" s="8">
        <v>0</v>
      </c>
      <c r="E76" s="8">
        <v>0</v>
      </c>
      <c r="F76" s="8">
        <v>1.4000000000000001E-7</v>
      </c>
      <c r="G76" s="8">
        <v>0</v>
      </c>
      <c r="H76" s="8">
        <v>5.9999999999999995E-8</v>
      </c>
      <c r="I76" s="8">
        <v>1E-8</v>
      </c>
      <c r="J76" s="8">
        <v>3.8220000000000003E-5</v>
      </c>
      <c r="K76" s="8">
        <v>3.8689999999999997E-5</v>
      </c>
      <c r="L76" s="8">
        <v>3.8689999999999997E-5</v>
      </c>
      <c r="M76" s="8">
        <v>3.8309999999999997E-5</v>
      </c>
      <c r="N76" s="8">
        <v>3.7610000000000001E-5</v>
      </c>
      <c r="O76" s="8">
        <v>3.667E-5</v>
      </c>
      <c r="P76" s="8">
        <v>3.5540000000000002E-5</v>
      </c>
      <c r="Q76" s="8">
        <v>3.4270000000000002E-5</v>
      </c>
      <c r="R76" s="8">
        <v>3.29E-5</v>
      </c>
      <c r="S76" s="8">
        <v>3.146E-5</v>
      </c>
      <c r="T76" s="8">
        <v>2.9969999999999999E-5</v>
      </c>
      <c r="U76" s="8">
        <v>2.849E-5</v>
      </c>
      <c r="V76" s="8">
        <v>2.6990000000000001E-5</v>
      </c>
      <c r="W76" s="8">
        <v>2.5530000000000001E-5</v>
      </c>
      <c r="X76" s="8">
        <v>2.4110000000000001E-5</v>
      </c>
      <c r="Y76" s="8">
        <v>2.2690000000000001E-5</v>
      </c>
      <c r="Z76" s="8">
        <v>2.1310000000000001E-5</v>
      </c>
      <c r="AA76" s="8">
        <v>2.16E-5</v>
      </c>
      <c r="AB76" s="8">
        <v>2.022E-5</v>
      </c>
      <c r="AC76" s="8">
        <v>1.8899999999999999E-5</v>
      </c>
    </row>
    <row r="77" spans="1:29" x14ac:dyDescent="0.85">
      <c r="A77" t="s">
        <v>208</v>
      </c>
      <c r="B77" s="8">
        <v>0</v>
      </c>
      <c r="C77" s="8">
        <v>4.9999999999999998E-7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2.3999999999999998E-7</v>
      </c>
      <c r="K77" s="8">
        <v>2.1E-7</v>
      </c>
      <c r="L77" s="8">
        <v>1.9000000000000001E-7</v>
      </c>
      <c r="M77" s="8">
        <v>1.6999999999999999E-7</v>
      </c>
      <c r="N77" s="8">
        <v>1.6E-7</v>
      </c>
      <c r="O77" s="8">
        <v>1.4000000000000001E-7</v>
      </c>
      <c r="P77" s="8">
        <v>1.3E-7</v>
      </c>
      <c r="Q77" s="8">
        <v>1.1000000000000001E-7</v>
      </c>
      <c r="R77" s="8">
        <v>9.9999999999999995E-8</v>
      </c>
      <c r="S77" s="8">
        <v>8.9999999999999999E-8</v>
      </c>
      <c r="T77" s="8">
        <v>8.0000000000000002E-8</v>
      </c>
      <c r="U77" s="8">
        <v>7.0000000000000005E-8</v>
      </c>
      <c r="V77" s="8">
        <v>7.0000000000000005E-8</v>
      </c>
      <c r="W77" s="8">
        <v>5.9999999999999995E-8</v>
      </c>
      <c r="X77" s="8">
        <v>4.9999999999999998E-8</v>
      </c>
      <c r="Y77" s="8">
        <v>4.9999999999999998E-8</v>
      </c>
      <c r="Z77" s="8">
        <v>4.0000000000000001E-8</v>
      </c>
      <c r="AA77" s="8">
        <v>4.0000000000000001E-8</v>
      </c>
      <c r="AB77" s="8">
        <v>4.0000000000000001E-8</v>
      </c>
      <c r="AC77" s="8">
        <v>2.9999999999999997E-8</v>
      </c>
    </row>
    <row r="78" spans="1:29" x14ac:dyDescent="0.85">
      <c r="A78" t="s">
        <v>209</v>
      </c>
      <c r="B78" s="8">
        <v>0</v>
      </c>
      <c r="C78" s="8">
        <v>3.4452245100000001</v>
      </c>
      <c r="D78" s="8">
        <v>3.1011893100000001</v>
      </c>
      <c r="E78" s="8">
        <v>2.7911281099999998</v>
      </c>
      <c r="F78" s="8">
        <v>2.5244454699999999</v>
      </c>
      <c r="G78" s="8">
        <v>2.2722378299999999</v>
      </c>
      <c r="H78" s="8">
        <v>2.0486005399999998</v>
      </c>
      <c r="I78" s="8">
        <v>1.84409618</v>
      </c>
      <c r="J78" s="8">
        <v>1.65970945</v>
      </c>
      <c r="K78" s="8">
        <v>1.49373851</v>
      </c>
      <c r="L78" s="8">
        <v>1.3443646600000001</v>
      </c>
      <c r="M78" s="8">
        <v>1.2099281900000001</v>
      </c>
      <c r="N78" s="8">
        <v>1.08893577</v>
      </c>
      <c r="O78" s="8">
        <v>0.98004219000000004</v>
      </c>
      <c r="P78" s="8">
        <v>0.88203796999999995</v>
      </c>
      <c r="Q78" s="8">
        <v>0.79383444000000003</v>
      </c>
      <c r="R78" s="8">
        <v>0.71449459999999998</v>
      </c>
      <c r="S78" s="8">
        <v>0.64304514000000002</v>
      </c>
      <c r="T78" s="8">
        <v>0.57878717000000002</v>
      </c>
      <c r="U78" s="8">
        <v>0.52093840000000002</v>
      </c>
      <c r="V78" s="8">
        <v>0.46893586999999998</v>
      </c>
      <c r="W78" s="8">
        <v>0.42231724999999998</v>
      </c>
      <c r="X78" s="8">
        <v>0.38080839999999999</v>
      </c>
      <c r="Y78" s="8">
        <v>0.34275169999999999</v>
      </c>
      <c r="Z78" s="8">
        <v>0.30847653000000003</v>
      </c>
      <c r="AA78" s="8">
        <v>0.30020780000000002</v>
      </c>
      <c r="AB78" s="8">
        <v>0.27019008</v>
      </c>
      <c r="AC78" s="8">
        <v>0.24317106999999999</v>
      </c>
    </row>
    <row r="79" spans="1:29" x14ac:dyDescent="0.85">
      <c r="A79" t="s">
        <v>210</v>
      </c>
      <c r="B79" s="8">
        <v>0</v>
      </c>
      <c r="C79" s="8">
        <v>6.1370000000000004E-5</v>
      </c>
      <c r="D79" s="8">
        <v>0</v>
      </c>
      <c r="E79" s="8">
        <v>1E-8</v>
      </c>
      <c r="F79" s="8">
        <v>2.2000000000000001E-7</v>
      </c>
      <c r="G79" s="8">
        <v>0</v>
      </c>
      <c r="H79" s="8">
        <v>5.9999999999999995E-8</v>
      </c>
      <c r="I79" s="8">
        <v>1E-8</v>
      </c>
      <c r="J79" s="8">
        <v>2.9560000000000002E-5</v>
      </c>
      <c r="K79" s="8">
        <v>2.6610000000000001E-5</v>
      </c>
      <c r="L79" s="8">
        <v>2.3949999999999999E-5</v>
      </c>
      <c r="M79" s="8">
        <v>2.1549999999999999E-5</v>
      </c>
      <c r="N79" s="8">
        <v>1.9400000000000001E-5</v>
      </c>
      <c r="O79" s="8">
        <v>1.7459999999999999E-5</v>
      </c>
      <c r="P79" s="8">
        <v>1.571E-5</v>
      </c>
      <c r="Q79" s="8">
        <v>1.414E-5</v>
      </c>
      <c r="R79" s="8">
        <v>1.273E-5</v>
      </c>
      <c r="S79" s="8">
        <v>1.145E-5</v>
      </c>
      <c r="T79" s="8">
        <v>1.03E-5</v>
      </c>
      <c r="U79" s="8">
        <v>9.2799999999999992E-6</v>
      </c>
      <c r="V79" s="8">
        <v>8.3499999999999997E-6</v>
      </c>
      <c r="W79" s="8">
        <v>7.52E-6</v>
      </c>
      <c r="X79" s="8">
        <v>6.7800000000000003E-6</v>
      </c>
      <c r="Y79" s="8">
        <v>6.1099999999999999E-6</v>
      </c>
      <c r="Z79" s="8">
        <v>5.49E-6</v>
      </c>
      <c r="AA79" s="8">
        <v>5.3499999999999996E-6</v>
      </c>
      <c r="AB79" s="8">
        <v>4.8099999999999997E-6</v>
      </c>
      <c r="AC79" s="8">
        <v>4.33E-6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1.02338204</v>
      </c>
      <c r="E80" s="8">
        <v>1.0000032700000001</v>
      </c>
      <c r="F80" s="8">
        <v>1.0000003799999999</v>
      </c>
      <c r="G80" s="8">
        <v>1.0000799600000001</v>
      </c>
      <c r="H80" s="8">
        <v>1.00000142</v>
      </c>
      <c r="I80" s="8">
        <v>1.00002002</v>
      </c>
      <c r="J80" s="8">
        <v>1.0000018500000001</v>
      </c>
      <c r="K80" s="8">
        <v>1.00000011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1.0000001700000001</v>
      </c>
      <c r="T80" s="8">
        <v>1</v>
      </c>
      <c r="U80" s="8">
        <v>1.0000001700000001</v>
      </c>
      <c r="V80" s="8">
        <v>1.00000011</v>
      </c>
      <c r="W80" s="8">
        <v>1.00000033</v>
      </c>
      <c r="X80" s="8">
        <v>1.00000099</v>
      </c>
      <c r="Y80" s="8">
        <v>1.0000025699999999</v>
      </c>
      <c r="Z80" s="8">
        <v>1.00000008</v>
      </c>
      <c r="AA80" s="8">
        <v>1</v>
      </c>
      <c r="AB80" s="8">
        <v>1.00007785</v>
      </c>
      <c r="AC80" s="8">
        <v>1.0000000099999999</v>
      </c>
    </row>
    <row r="81" spans="1:29" x14ac:dyDescent="0.85">
      <c r="A81" t="s">
        <v>212</v>
      </c>
      <c r="B81" s="8">
        <v>1</v>
      </c>
      <c r="C81" s="8">
        <v>1.02338204</v>
      </c>
      <c r="D81" s="8">
        <v>1.0000032700000001</v>
      </c>
      <c r="E81" s="8">
        <v>1.0000003799999999</v>
      </c>
      <c r="F81" s="8">
        <v>1.0000799600000001</v>
      </c>
      <c r="G81" s="8">
        <v>1.00000142</v>
      </c>
      <c r="H81" s="8">
        <v>1.00002002</v>
      </c>
      <c r="I81" s="8">
        <v>1.0000018500000001</v>
      </c>
      <c r="J81" s="8">
        <v>1.00000011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1.0000001700000001</v>
      </c>
      <c r="S81" s="8">
        <v>1</v>
      </c>
      <c r="T81" s="8">
        <v>1.0000001700000001</v>
      </c>
      <c r="U81" s="8">
        <v>1.00000011</v>
      </c>
      <c r="V81" s="8">
        <v>1.00000033</v>
      </c>
      <c r="W81" s="8">
        <v>1.00000099</v>
      </c>
      <c r="X81" s="8">
        <v>1.0000025699999999</v>
      </c>
      <c r="Y81" s="8">
        <v>1.00000008</v>
      </c>
      <c r="Z81" s="8">
        <v>1</v>
      </c>
      <c r="AA81" s="8">
        <v>1.00007785</v>
      </c>
      <c r="AB81" s="8">
        <v>1.0000000099999999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9496-0A26-42F9-9593-CAF2C512CF03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72341</v>
      </c>
      <c r="C5" s="8">
        <v>74768.722278129993</v>
      </c>
      <c r="D5" s="8">
        <v>77115.652816059999</v>
      </c>
      <c r="E5" s="8">
        <v>80002.242595720003</v>
      </c>
      <c r="F5" s="8">
        <v>85331.90064557</v>
      </c>
      <c r="G5" s="8">
        <v>91058.699909479998</v>
      </c>
      <c r="H5" s="8">
        <v>97157.227776950007</v>
      </c>
      <c r="I5" s="8">
        <v>106338.22335534</v>
      </c>
      <c r="J5" s="8">
        <v>116437.78573587</v>
      </c>
      <c r="K5" s="8">
        <v>122541.85657174001</v>
      </c>
      <c r="L5" s="8">
        <v>129055.22760842</v>
      </c>
      <c r="M5" s="8">
        <v>133141.65917735</v>
      </c>
      <c r="N5" s="8">
        <v>138108.68526706999</v>
      </c>
      <c r="O5" s="8">
        <v>143194.74128257</v>
      </c>
      <c r="P5" s="8">
        <v>148379.52419880999</v>
      </c>
      <c r="Q5" s="8">
        <v>153715.13791972</v>
      </c>
      <c r="R5" s="8">
        <v>159103.85312935</v>
      </c>
      <c r="S5" s="8">
        <v>164641.96026709001</v>
      </c>
      <c r="T5" s="8">
        <v>170199.69657408999</v>
      </c>
      <c r="U5" s="8">
        <v>175906.8652874</v>
      </c>
      <c r="V5" s="8">
        <v>181767.22071821001</v>
      </c>
      <c r="W5" s="8">
        <v>187608.30818533001</v>
      </c>
      <c r="X5" s="8">
        <v>193687.1693984</v>
      </c>
      <c r="Y5" s="8">
        <v>200005.47233686</v>
      </c>
      <c r="Z5" s="8">
        <v>206342.54000107001</v>
      </c>
      <c r="AA5" s="8">
        <v>212966.74901788999</v>
      </c>
      <c r="AB5" s="8">
        <v>219765.17353512</v>
      </c>
      <c r="AC5" s="8">
        <v>226577.0238926</v>
      </c>
    </row>
    <row r="6" spans="1:29" x14ac:dyDescent="0.85">
      <c r="A6" t="s">
        <v>139</v>
      </c>
      <c r="B6" s="8">
        <v>266857679.25</v>
      </c>
      <c r="C6" s="8">
        <v>272524068.71191198</v>
      </c>
      <c r="D6" s="8">
        <v>278306008.77201098</v>
      </c>
      <c r="E6" s="8">
        <v>284223384.22164297</v>
      </c>
      <c r="F6" s="8">
        <v>290252967.11132199</v>
      </c>
      <c r="G6" s="8">
        <v>296419516.67963201</v>
      </c>
      <c r="H6" s="8">
        <v>302732620.73131901</v>
      </c>
      <c r="I6" s="8">
        <v>309615396.25737399</v>
      </c>
      <c r="J6" s="8">
        <v>317398899.99585497</v>
      </c>
      <c r="K6" s="8">
        <v>328586233.29056102</v>
      </c>
      <c r="L6" s="8">
        <v>343386192.08164799</v>
      </c>
      <c r="M6" s="8">
        <v>353326810.99034899</v>
      </c>
      <c r="N6" s="8">
        <v>365593098.06744403</v>
      </c>
      <c r="O6" s="8">
        <v>378542098.85392499</v>
      </c>
      <c r="P6" s="8">
        <v>392076214.04833102</v>
      </c>
      <c r="Q6" s="8">
        <v>406317983.052302</v>
      </c>
      <c r="R6" s="8">
        <v>420840261.13582301</v>
      </c>
      <c r="S6" s="8">
        <v>435991095.23874801</v>
      </c>
      <c r="T6" s="8">
        <v>451171980.19681901</v>
      </c>
      <c r="U6" s="8">
        <v>466902192.545739</v>
      </c>
      <c r="V6" s="8">
        <v>483179845.60246199</v>
      </c>
      <c r="W6" s="8">
        <v>499162390.49089998</v>
      </c>
      <c r="X6" s="8">
        <v>516071964.02916801</v>
      </c>
      <c r="Y6" s="8">
        <v>533908620.63650602</v>
      </c>
      <c r="Z6" s="8">
        <v>551539836.78682303</v>
      </c>
      <c r="AA6" s="8">
        <v>570336367.20849597</v>
      </c>
      <c r="AB6" s="8">
        <v>589690825.31207895</v>
      </c>
      <c r="AC6" s="8">
        <v>608711411.80547297</v>
      </c>
    </row>
    <row r="7" spans="1:29" x14ac:dyDescent="0.85">
      <c r="A7" t="s">
        <v>140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</row>
    <row r="8" spans="1:29" x14ac:dyDescent="0.85">
      <c r="A8" t="s">
        <v>141</v>
      </c>
      <c r="B8" s="8">
        <v>12705.077176049999</v>
      </c>
      <c r="C8" s="8">
        <v>12912.01419226</v>
      </c>
      <c r="D8" s="8">
        <v>13114.494751599999</v>
      </c>
      <c r="E8" s="8">
        <v>13373.519739089999</v>
      </c>
      <c r="F8" s="8">
        <v>13874.86677377</v>
      </c>
      <c r="G8" s="8">
        <v>14433.80640915</v>
      </c>
      <c r="H8" s="8">
        <v>15027.075864959999</v>
      </c>
      <c r="I8" s="8">
        <v>16924.53855161</v>
      </c>
      <c r="J8" s="8">
        <v>19070.560908480002</v>
      </c>
      <c r="K8" s="8">
        <v>20873.578870879999</v>
      </c>
      <c r="L8" s="8">
        <v>22780.035167279999</v>
      </c>
      <c r="M8" s="8">
        <v>23116.191827620001</v>
      </c>
      <c r="N8" s="8">
        <v>23865.888790879999</v>
      </c>
      <c r="O8" s="8">
        <v>24622.346714430001</v>
      </c>
      <c r="P8" s="8">
        <v>25372.020892699999</v>
      </c>
      <c r="Q8" s="8">
        <v>26145.144935060001</v>
      </c>
      <c r="R8" s="8">
        <v>26881.272601969999</v>
      </c>
      <c r="S8" s="8">
        <v>27637.92216848</v>
      </c>
      <c r="T8" s="8">
        <v>28335.493259449999</v>
      </c>
      <c r="U8" s="8">
        <v>29052.172571359999</v>
      </c>
      <c r="V8" s="8">
        <v>29788.45370641</v>
      </c>
      <c r="W8" s="8">
        <v>30439.116329060002</v>
      </c>
      <c r="X8" s="8">
        <v>31159.32514741</v>
      </c>
      <c r="Y8" s="8">
        <v>31946.930230009999</v>
      </c>
      <c r="Z8" s="8">
        <v>32666.45318706</v>
      </c>
      <c r="AA8" s="8">
        <v>33479.315725679997</v>
      </c>
      <c r="AB8" s="8">
        <v>34313.925208059998</v>
      </c>
      <c r="AC8" s="8">
        <v>35071.857042930002</v>
      </c>
    </row>
    <row r="9" spans="1:29" x14ac:dyDescent="0.85">
      <c r="A9" t="s">
        <v>142</v>
      </c>
      <c r="B9" s="8">
        <v>3815.8964680399999</v>
      </c>
      <c r="C9" s="8">
        <v>3776.9646440199999</v>
      </c>
      <c r="D9" s="8">
        <v>3735.45723744</v>
      </c>
      <c r="E9" s="8">
        <v>3692.9844613599998</v>
      </c>
      <c r="F9" s="8">
        <v>3659.9428507699999</v>
      </c>
      <c r="G9" s="8">
        <v>3615.5762722999998</v>
      </c>
      <c r="H9" s="8">
        <v>3563.2004018799998</v>
      </c>
      <c r="I9" s="8">
        <v>3289.1317208400001</v>
      </c>
      <c r="J9" s="8">
        <v>2996.0282512700001</v>
      </c>
      <c r="K9" s="8">
        <v>2713.2698700800001</v>
      </c>
      <c r="L9" s="8">
        <v>2492.0845746599998</v>
      </c>
      <c r="M9" s="8">
        <v>2437.4336660899999</v>
      </c>
      <c r="N9" s="8">
        <v>2360.2099770200002</v>
      </c>
      <c r="O9" s="8">
        <v>2292.2687595100001</v>
      </c>
      <c r="P9" s="8">
        <v>2233.6167192299999</v>
      </c>
      <c r="Q9" s="8">
        <v>2181.47950223</v>
      </c>
      <c r="R9" s="8">
        <v>2136.54349662</v>
      </c>
      <c r="S9" s="8">
        <v>2096.5382240399999</v>
      </c>
      <c r="T9" s="8">
        <v>2061.5667626200002</v>
      </c>
      <c r="U9" s="8">
        <v>2029.74700222</v>
      </c>
      <c r="V9" s="8">
        <v>2000.73395486</v>
      </c>
      <c r="W9" s="8">
        <v>1973.4760163200001</v>
      </c>
      <c r="X9" s="8">
        <v>1948.91499604</v>
      </c>
      <c r="Y9" s="8">
        <v>1927.0476489099999</v>
      </c>
      <c r="Z9" s="8">
        <v>1905.2248134700001</v>
      </c>
      <c r="AA9" s="8">
        <v>1886.76651292</v>
      </c>
      <c r="AB9" s="8">
        <v>1869.7601452500001</v>
      </c>
      <c r="AC9" s="8">
        <v>1850.6564264799999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2068.1418446600001</v>
      </c>
      <c r="D11" s="8">
        <v>4077.1489294600001</v>
      </c>
      <c r="E11" s="8">
        <v>6026.9169631699997</v>
      </c>
      <c r="F11" s="8">
        <v>7615.8695367800001</v>
      </c>
      <c r="G11" s="8">
        <v>8929.8244716900008</v>
      </c>
      <c r="H11" s="8">
        <v>9957.8713881399999</v>
      </c>
      <c r="I11" s="8">
        <v>9555.8872555399994</v>
      </c>
      <c r="J11" s="8">
        <v>8272.7777537300008</v>
      </c>
      <c r="K11" s="8">
        <v>7642.8178101800004</v>
      </c>
      <c r="L11" s="8">
        <v>6856.3788772199996</v>
      </c>
      <c r="M11" s="8">
        <v>7404.2972100699999</v>
      </c>
      <c r="N11" s="8">
        <v>7576.16565584</v>
      </c>
      <c r="O11" s="8">
        <v>7722.4474276000001</v>
      </c>
      <c r="P11" s="8">
        <v>7866.7084498800004</v>
      </c>
      <c r="Q11" s="8">
        <v>7984.14014537</v>
      </c>
      <c r="R11" s="8">
        <v>8137.7459196</v>
      </c>
      <c r="S11" s="8">
        <v>8278.5687123600001</v>
      </c>
      <c r="T11" s="8">
        <v>8489.0279235100006</v>
      </c>
      <c r="U11" s="8">
        <v>8695.4180696999993</v>
      </c>
      <c r="V11" s="8">
        <v>8899.1185289099994</v>
      </c>
      <c r="W11" s="8">
        <v>9211.46189572</v>
      </c>
      <c r="X11" s="8">
        <v>9480.3434821699993</v>
      </c>
      <c r="Y11" s="8">
        <v>9705.1944421400003</v>
      </c>
      <c r="Z11" s="8">
        <v>10028.43660128</v>
      </c>
      <c r="AA11" s="8">
        <v>10285.90992149</v>
      </c>
      <c r="AB11" s="8">
        <v>10549.915851330001</v>
      </c>
      <c r="AC11" s="8">
        <v>10924.363035140001</v>
      </c>
    </row>
    <row r="12" spans="1:29" x14ac:dyDescent="0.85">
      <c r="A12" t="s">
        <v>144</v>
      </c>
      <c r="B12" s="8">
        <v>16520.973644090001</v>
      </c>
      <c r="C12" s="8">
        <v>16688.978836279999</v>
      </c>
      <c r="D12" s="8">
        <v>16849.951989040001</v>
      </c>
      <c r="E12" s="8">
        <v>17066.504200449999</v>
      </c>
      <c r="F12" s="8">
        <v>17534.809624540001</v>
      </c>
      <c r="G12" s="8">
        <v>18049.382681449999</v>
      </c>
      <c r="H12" s="8">
        <v>18590.276266829998</v>
      </c>
      <c r="I12" s="8">
        <v>20213.670272449999</v>
      </c>
      <c r="J12" s="8">
        <v>22066.589159759998</v>
      </c>
      <c r="K12" s="8">
        <v>23586.848740950001</v>
      </c>
      <c r="L12" s="8">
        <v>25272.119741940001</v>
      </c>
      <c r="M12" s="8">
        <v>25553.625493709998</v>
      </c>
      <c r="N12" s="8">
        <v>26226.098767899999</v>
      </c>
      <c r="O12" s="8">
        <v>26914.615473940001</v>
      </c>
      <c r="P12" s="8">
        <v>27605.63761193</v>
      </c>
      <c r="Q12" s="8">
        <v>28326.62443729</v>
      </c>
      <c r="R12" s="8">
        <v>29017.816098589999</v>
      </c>
      <c r="S12" s="8">
        <v>29734.460392519999</v>
      </c>
      <c r="T12" s="8">
        <v>30397.06002207</v>
      </c>
      <c r="U12" s="8">
        <v>31081.919573589999</v>
      </c>
      <c r="V12" s="8">
        <v>31789.18766127</v>
      </c>
      <c r="W12" s="8">
        <v>32412.592345379999</v>
      </c>
      <c r="X12" s="8">
        <v>33108.240143449999</v>
      </c>
      <c r="Y12" s="8">
        <v>33873.977878919999</v>
      </c>
      <c r="Z12" s="8">
        <v>34571.67800054</v>
      </c>
      <c r="AA12" s="8">
        <v>35366.082238590003</v>
      </c>
      <c r="AB12" s="8">
        <v>36183.685353319997</v>
      </c>
      <c r="AC12" s="8">
        <v>36922.513469409998</v>
      </c>
    </row>
    <row r="13" spans="1:29" x14ac:dyDescent="0.85">
      <c r="A13" t="s">
        <v>145</v>
      </c>
      <c r="B13" s="8">
        <v>16520.973644090001</v>
      </c>
      <c r="C13" s="8">
        <v>18757.12068095</v>
      </c>
      <c r="D13" s="8">
        <v>20927.100918489999</v>
      </c>
      <c r="E13" s="8">
        <v>23093.421163620002</v>
      </c>
      <c r="F13" s="8">
        <v>25150.67916132</v>
      </c>
      <c r="G13" s="8">
        <v>26979.20715314</v>
      </c>
      <c r="H13" s="8">
        <v>28548.147654969998</v>
      </c>
      <c r="I13" s="8">
        <v>29769.55752799</v>
      </c>
      <c r="J13" s="8">
        <v>30339.366913490001</v>
      </c>
      <c r="K13" s="8">
        <v>31229.666551139999</v>
      </c>
      <c r="L13" s="8">
        <v>32128.49861916</v>
      </c>
      <c r="M13" s="8">
        <v>32957.922703780001</v>
      </c>
      <c r="N13" s="8">
        <v>33802.264423729997</v>
      </c>
      <c r="O13" s="8">
        <v>34637.062901539997</v>
      </c>
      <c r="P13" s="8">
        <v>35472.34606181</v>
      </c>
      <c r="Q13" s="8">
        <v>36310.764582659998</v>
      </c>
      <c r="R13" s="8">
        <v>37155.562018190001</v>
      </c>
      <c r="S13" s="8">
        <v>38013.029104890004</v>
      </c>
      <c r="T13" s="8">
        <v>38886.087945580002</v>
      </c>
      <c r="U13" s="8">
        <v>39777.337643289997</v>
      </c>
      <c r="V13" s="8">
        <v>40688.306190169998</v>
      </c>
      <c r="W13" s="8">
        <v>41624.054241099999</v>
      </c>
      <c r="X13" s="8">
        <v>42588.583625610001</v>
      </c>
      <c r="Y13" s="8">
        <v>43579.172321060003</v>
      </c>
      <c r="Z13" s="8">
        <v>44600.114601809997</v>
      </c>
      <c r="AA13" s="8">
        <v>45651.992160089998</v>
      </c>
      <c r="AB13" s="8">
        <v>46733.601204649996</v>
      </c>
      <c r="AC13" s="8">
        <v>47846.876504549997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290</v>
      </c>
      <c r="C17" s="8">
        <v>1525.4126111600001</v>
      </c>
      <c r="D17" s="8">
        <v>2785.1253599199999</v>
      </c>
      <c r="E17" s="8">
        <v>4067.4098472199998</v>
      </c>
      <c r="F17" s="8">
        <v>5381.2045361</v>
      </c>
      <c r="G17" s="8">
        <v>6767.9231281299999</v>
      </c>
      <c r="H17" s="8">
        <v>8233.3492069399999</v>
      </c>
      <c r="I17" s="8">
        <v>9782.7499727100003</v>
      </c>
      <c r="J17" s="8">
        <v>11467.76401105</v>
      </c>
      <c r="K17" s="8">
        <v>13302.231230130001</v>
      </c>
      <c r="L17" s="8">
        <v>15215.601525489999</v>
      </c>
      <c r="M17" s="8">
        <v>17213.783024140001</v>
      </c>
      <c r="N17" s="8">
        <v>19254.005969170001</v>
      </c>
      <c r="O17" s="8">
        <v>21350.769576399998</v>
      </c>
      <c r="P17" s="8">
        <v>23505.321705549999</v>
      </c>
      <c r="Q17" s="8">
        <v>25718.544879360001</v>
      </c>
      <c r="R17" s="8">
        <v>27992.202000500001</v>
      </c>
      <c r="S17" s="8">
        <v>30326.356819119999</v>
      </c>
      <c r="T17" s="8">
        <v>32722.72201587</v>
      </c>
      <c r="U17" s="8">
        <v>35180.762964490001</v>
      </c>
      <c r="V17" s="8">
        <v>37702.176541970002</v>
      </c>
      <c r="W17" s="8">
        <v>40288.700194420002</v>
      </c>
      <c r="X17" s="8">
        <v>42939.092248330002</v>
      </c>
      <c r="Y17" s="8">
        <v>45656.532501989997</v>
      </c>
      <c r="Z17" s="8">
        <v>48444.184815269997</v>
      </c>
      <c r="AA17" s="8">
        <v>51301.387729479997</v>
      </c>
      <c r="AB17" s="8">
        <v>54232.087292949996</v>
      </c>
      <c r="AC17" s="8">
        <v>57238.239620239998</v>
      </c>
    </row>
    <row r="18" spans="1:29" x14ac:dyDescent="0.85">
      <c r="A18" t="s">
        <v>149</v>
      </c>
      <c r="B18" s="8">
        <v>556058</v>
      </c>
      <c r="C18" s="8">
        <v>2924889.2611626498</v>
      </c>
      <c r="D18" s="8">
        <v>5340314.6116722999</v>
      </c>
      <c r="E18" s="8">
        <v>7799019.9476784999</v>
      </c>
      <c r="F18" s="8">
        <v>10318144.248055199</v>
      </c>
      <c r="G18" s="8">
        <v>12977095.8578627</v>
      </c>
      <c r="H18" s="8">
        <v>15786964.4597042</v>
      </c>
      <c r="I18" s="8">
        <v>18757849.6011164</v>
      </c>
      <c r="J18" s="8">
        <v>21988765.242950801</v>
      </c>
      <c r="K18" s="8">
        <v>25506248.5978003</v>
      </c>
      <c r="L18" s="8">
        <v>29175023.976062998</v>
      </c>
      <c r="M18" s="8">
        <v>33006419.864949699</v>
      </c>
      <c r="N18" s="8">
        <v>36918427.762768596</v>
      </c>
      <c r="O18" s="8">
        <v>40938849.065903202</v>
      </c>
      <c r="P18" s="8">
        <v>45070076.4722239</v>
      </c>
      <c r="Q18" s="8">
        <v>49313802.167335197</v>
      </c>
      <c r="R18" s="8">
        <v>53673406.413782001</v>
      </c>
      <c r="S18" s="8">
        <v>58149011.448708497</v>
      </c>
      <c r="T18" s="8">
        <v>62743901.236889601</v>
      </c>
      <c r="U18" s="8">
        <v>67457050.6638273</v>
      </c>
      <c r="V18" s="8">
        <v>72291713.391639695</v>
      </c>
      <c r="W18" s="8">
        <v>77251220.871416196</v>
      </c>
      <c r="X18" s="8">
        <v>82333192.266963199</v>
      </c>
      <c r="Y18" s="8">
        <v>87543724.655133694</v>
      </c>
      <c r="Z18" s="8">
        <v>92888884.551764801</v>
      </c>
      <c r="AA18" s="8">
        <v>98367403.648552597</v>
      </c>
      <c r="AB18" s="8">
        <v>103986848.26188</v>
      </c>
      <c r="AC18" s="8">
        <v>109750969.12672</v>
      </c>
    </row>
    <row r="19" spans="1:29" x14ac:dyDescent="0.85">
      <c r="A19" t="s">
        <v>150</v>
      </c>
      <c r="B19" s="8">
        <v>556058</v>
      </c>
      <c r="C19" s="8">
        <v>2924889.2611626498</v>
      </c>
      <c r="D19" s="8">
        <v>5340314.6116722999</v>
      </c>
      <c r="E19" s="8">
        <v>7799019.9476784999</v>
      </c>
      <c r="F19" s="8">
        <v>10318144.248055199</v>
      </c>
      <c r="G19" s="8">
        <v>12977095.8578627</v>
      </c>
      <c r="H19" s="8">
        <v>15786964.4597042</v>
      </c>
      <c r="I19" s="8">
        <v>18757849.6011164</v>
      </c>
      <c r="J19" s="8">
        <v>21988765.242950801</v>
      </c>
      <c r="K19" s="8">
        <v>25506248.5978003</v>
      </c>
      <c r="L19" s="8">
        <v>29175023.976062998</v>
      </c>
      <c r="M19" s="8">
        <v>33006419.864949699</v>
      </c>
      <c r="N19" s="8">
        <v>36918427.762768596</v>
      </c>
      <c r="O19" s="8">
        <v>40938849.065903202</v>
      </c>
      <c r="P19" s="8">
        <v>45070076.4722239</v>
      </c>
      <c r="Q19" s="8">
        <v>49313802.167335197</v>
      </c>
      <c r="R19" s="8">
        <v>53673406.413782001</v>
      </c>
      <c r="S19" s="8">
        <v>58149011.448708497</v>
      </c>
      <c r="T19" s="8">
        <v>62743901.236889601</v>
      </c>
      <c r="U19" s="8">
        <v>67457050.6638273</v>
      </c>
      <c r="V19" s="8">
        <v>72291713.391639695</v>
      </c>
      <c r="W19" s="8">
        <v>77251220.871416196</v>
      </c>
      <c r="X19" s="8">
        <v>82333192.266963199</v>
      </c>
      <c r="Y19" s="8">
        <v>87543724.655133694</v>
      </c>
      <c r="Z19" s="8">
        <v>92888884.551764801</v>
      </c>
      <c r="AA19" s="8">
        <v>98367403.648552597</v>
      </c>
      <c r="AB19" s="8">
        <v>103986848.26188</v>
      </c>
      <c r="AC19" s="8">
        <v>109750969.12672</v>
      </c>
    </row>
    <row r="20" spans="1:29" x14ac:dyDescent="0.85">
      <c r="A20" t="s">
        <v>151</v>
      </c>
      <c r="B20" s="8">
        <v>28.59807687</v>
      </c>
      <c r="C20" s="8">
        <v>150.42712795</v>
      </c>
      <c r="D20" s="8">
        <v>274.65251422</v>
      </c>
      <c r="E20" s="8">
        <v>401.10379122000001</v>
      </c>
      <c r="F20" s="8">
        <v>530.66241706999995</v>
      </c>
      <c r="G20" s="8">
        <v>667.41236494999998</v>
      </c>
      <c r="H20" s="8">
        <v>811.92397750999999</v>
      </c>
      <c r="I20" s="8">
        <v>964.71667474000003</v>
      </c>
      <c r="J20" s="8">
        <v>1130.8827471100001</v>
      </c>
      <c r="K20" s="8">
        <v>1311.78700413</v>
      </c>
      <c r="L20" s="8">
        <v>1500.47221371</v>
      </c>
      <c r="M20" s="8">
        <v>1697.52100023</v>
      </c>
      <c r="N20" s="8">
        <v>1898.7156643799999</v>
      </c>
      <c r="O20" s="8">
        <v>2105.4860326899998</v>
      </c>
      <c r="P20" s="8">
        <v>2317.9551616499998</v>
      </c>
      <c r="Q20" s="8">
        <v>2536.2100804199999</v>
      </c>
      <c r="R20" s="8">
        <v>2760.4246360000002</v>
      </c>
      <c r="S20" s="8">
        <v>2990.6051150200001</v>
      </c>
      <c r="T20" s="8">
        <v>3226.9204119000001</v>
      </c>
      <c r="U20" s="8">
        <v>3469.3178049600001</v>
      </c>
      <c r="V20" s="8">
        <v>3717.96463012</v>
      </c>
      <c r="W20" s="8">
        <v>3973.0322240099999</v>
      </c>
      <c r="X20" s="8">
        <v>4234.3981401499996</v>
      </c>
      <c r="Y20" s="8">
        <v>4502.3759513599998</v>
      </c>
      <c r="Z20" s="8">
        <v>4777.2776586999998</v>
      </c>
      <c r="AA20" s="8">
        <v>5059.0380330500002</v>
      </c>
      <c r="AB20" s="8">
        <v>5348.0462102399997</v>
      </c>
      <c r="AC20" s="8">
        <v>5644.4950906699996</v>
      </c>
    </row>
    <row r="21" spans="1:29" x14ac:dyDescent="0.85">
      <c r="A21" t="s">
        <v>152</v>
      </c>
      <c r="B21" s="8">
        <v>0</v>
      </c>
      <c r="C21" s="8">
        <v>0.29248892999999998</v>
      </c>
      <c r="D21" s="8">
        <v>1.06806292</v>
      </c>
      <c r="E21" s="8">
        <v>2.3397059800000002</v>
      </c>
      <c r="F21" s="8">
        <v>4.1272577000000004</v>
      </c>
      <c r="G21" s="8">
        <v>6.4885479300000002</v>
      </c>
      <c r="H21" s="8">
        <v>9.4721786800000007</v>
      </c>
      <c r="I21" s="8">
        <v>13.13049472</v>
      </c>
      <c r="J21" s="8">
        <v>17.591012190000001</v>
      </c>
      <c r="K21" s="8">
        <v>22.95562374</v>
      </c>
      <c r="L21" s="8">
        <v>29.175023979999999</v>
      </c>
      <c r="M21" s="8">
        <v>36.307061849999997</v>
      </c>
      <c r="N21" s="8">
        <v>44.302113319999997</v>
      </c>
      <c r="O21" s="8">
        <v>53.220503790000002</v>
      </c>
      <c r="P21" s="8">
        <v>63.098107059999997</v>
      </c>
      <c r="Q21" s="8">
        <v>73.97070325</v>
      </c>
      <c r="R21" s="8">
        <v>85.877450260000003</v>
      </c>
      <c r="S21" s="8">
        <v>98.853319459999994</v>
      </c>
      <c r="T21" s="8">
        <v>112.93902223000001</v>
      </c>
      <c r="U21" s="8">
        <v>128.16839626000001</v>
      </c>
      <c r="V21" s="8">
        <v>144.58342678</v>
      </c>
      <c r="W21" s="8">
        <v>162.22756383000001</v>
      </c>
      <c r="X21" s="8">
        <v>181.13302299</v>
      </c>
      <c r="Y21" s="8">
        <v>201.35056671000001</v>
      </c>
      <c r="Z21" s="8">
        <v>222.93332291999999</v>
      </c>
      <c r="AA21" s="8">
        <v>245.91850912000001</v>
      </c>
      <c r="AB21" s="8">
        <v>270.36580548000001</v>
      </c>
      <c r="AC21" s="8">
        <v>296.32761663999997</v>
      </c>
    </row>
    <row r="22" spans="1:29" x14ac:dyDescent="0.85">
      <c r="A22" t="s">
        <v>153</v>
      </c>
      <c r="B22" s="8">
        <v>2.7802899999999999E-3</v>
      </c>
      <c r="C22" s="8">
        <v>1.4624450000000001E-2</v>
      </c>
      <c r="D22" s="8">
        <v>2.6701570000000001E-2</v>
      </c>
      <c r="E22" s="8">
        <v>3.8995099999999998E-2</v>
      </c>
      <c r="F22" s="8">
        <v>5.159072E-2</v>
      </c>
      <c r="G22" s="8">
        <v>6.4885479999999995E-2</v>
      </c>
      <c r="H22" s="8">
        <v>7.8934820000000003E-2</v>
      </c>
      <c r="I22" s="8">
        <v>9.3789250000000005E-2</v>
      </c>
      <c r="J22" s="8">
        <v>0.10994383000000001</v>
      </c>
      <c r="K22" s="8">
        <v>0.12753123999999999</v>
      </c>
      <c r="L22" s="8">
        <v>0.14587512</v>
      </c>
      <c r="M22" s="8">
        <v>0.16503209999999999</v>
      </c>
      <c r="N22" s="8">
        <v>0.18459213999999999</v>
      </c>
      <c r="O22" s="8">
        <v>0.20469424999999999</v>
      </c>
      <c r="P22" s="8">
        <v>0.22535037999999999</v>
      </c>
      <c r="Q22" s="8">
        <v>0.24656901000000001</v>
      </c>
      <c r="R22" s="8">
        <v>0.26836703000000001</v>
      </c>
      <c r="S22" s="8">
        <v>0.29074506</v>
      </c>
      <c r="T22" s="8">
        <v>0.31371950999999998</v>
      </c>
      <c r="U22" s="8">
        <v>0.33728524999999998</v>
      </c>
      <c r="V22" s="8">
        <v>0.36145856999999998</v>
      </c>
      <c r="W22" s="8">
        <v>0.38625609999999999</v>
      </c>
      <c r="X22" s="8">
        <v>0.41166596</v>
      </c>
      <c r="Y22" s="8">
        <v>0.43771862</v>
      </c>
      <c r="Z22" s="8">
        <v>0.46444442000000002</v>
      </c>
      <c r="AA22" s="8">
        <v>0.49183702000000001</v>
      </c>
      <c r="AB22" s="8">
        <v>0.51993423999999999</v>
      </c>
      <c r="AC22" s="8">
        <v>0.54875485000000002</v>
      </c>
    </row>
    <row r="23" spans="1:29" x14ac:dyDescent="0.85">
      <c r="A23" t="s">
        <v>154</v>
      </c>
      <c r="B23" s="8">
        <v>28.59807687</v>
      </c>
      <c r="C23" s="8">
        <v>150.42712795</v>
      </c>
      <c r="D23" s="8">
        <v>274.65251422</v>
      </c>
      <c r="E23" s="8">
        <v>401.10379122000001</v>
      </c>
      <c r="F23" s="8">
        <v>530.66241706999995</v>
      </c>
      <c r="G23" s="8">
        <v>667.41236494999998</v>
      </c>
      <c r="H23" s="8">
        <v>811.92397750999999</v>
      </c>
      <c r="I23" s="8">
        <v>964.71667474000003</v>
      </c>
      <c r="J23" s="8">
        <v>1130.8827471100001</v>
      </c>
      <c r="K23" s="8">
        <v>1311.78700413</v>
      </c>
      <c r="L23" s="8">
        <v>1500.47221371</v>
      </c>
      <c r="M23" s="8">
        <v>1697.52100023</v>
      </c>
      <c r="N23" s="8">
        <v>1898.7156643799999</v>
      </c>
      <c r="O23" s="8">
        <v>2105.4860326899998</v>
      </c>
      <c r="P23" s="8">
        <v>2317.9551616499998</v>
      </c>
      <c r="Q23" s="8">
        <v>2536.2100804199999</v>
      </c>
      <c r="R23" s="8">
        <v>2760.4246360000002</v>
      </c>
      <c r="S23" s="8">
        <v>2990.6051150200001</v>
      </c>
      <c r="T23" s="8">
        <v>3226.9204119000001</v>
      </c>
      <c r="U23" s="8">
        <v>3469.3178049600001</v>
      </c>
      <c r="V23" s="8">
        <v>3717.96463012</v>
      </c>
      <c r="W23" s="8">
        <v>3973.0322240099999</v>
      </c>
      <c r="X23" s="8">
        <v>4234.3981401499996</v>
      </c>
      <c r="Y23" s="8">
        <v>4502.3759513599998</v>
      </c>
      <c r="Z23" s="8">
        <v>4777.2776586999998</v>
      </c>
      <c r="AA23" s="8">
        <v>5059.0380330500002</v>
      </c>
      <c r="AB23" s="8">
        <v>5348.0462102399997</v>
      </c>
      <c r="AC23" s="8">
        <v>5644.4950906699996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1.8887669899999999</v>
      </c>
      <c r="E25" s="8">
        <v>1.5107548799999999</v>
      </c>
      <c r="F25" s="8">
        <v>1.3686161100000001</v>
      </c>
      <c r="G25" s="8">
        <v>1.3010555399999999</v>
      </c>
      <c r="H25" s="8">
        <v>1.25846437</v>
      </c>
      <c r="I25" s="8">
        <v>1.2291478899999999</v>
      </c>
      <c r="J25" s="8">
        <v>1.2126555800000001</v>
      </c>
      <c r="K25" s="8">
        <v>1.1999561700000001</v>
      </c>
      <c r="L25" s="8">
        <v>1.183271</v>
      </c>
      <c r="M25" s="8">
        <v>1.17032571</v>
      </c>
      <c r="N25" s="8">
        <v>1.1570823800000001</v>
      </c>
      <c r="O25" s="8">
        <v>1.14712806</v>
      </c>
      <c r="P25" s="8">
        <v>1.13886464</v>
      </c>
      <c r="Q25" s="8">
        <v>1.13187799</v>
      </c>
      <c r="R25" s="8">
        <v>1.12592658</v>
      </c>
      <c r="S25" s="8">
        <v>1.1207340299999999</v>
      </c>
      <c r="T25" s="8">
        <v>1.11621678</v>
      </c>
      <c r="U25" s="8">
        <v>1.1121802599999999</v>
      </c>
      <c r="V25" s="8">
        <v>1.1086143799999999</v>
      </c>
      <c r="W25" s="8">
        <v>1.10544251</v>
      </c>
      <c r="X25" s="8">
        <v>1.1025262</v>
      </c>
      <c r="Y25" s="8">
        <v>1.0999409600000001</v>
      </c>
      <c r="Z25" s="8">
        <v>1.0976352</v>
      </c>
      <c r="AA25" s="8">
        <v>1.0954858000000001</v>
      </c>
      <c r="AB25" s="8">
        <v>1.0935697600000001</v>
      </c>
      <c r="AC25" s="8">
        <v>1.09181543</v>
      </c>
    </row>
    <row r="26" spans="1:29" x14ac:dyDescent="0.85">
      <c r="A26" t="s">
        <v>157</v>
      </c>
      <c r="B26" s="8">
        <v>1</v>
      </c>
      <c r="C26" s="8">
        <v>5.4414243000000004</v>
      </c>
      <c r="D26" s="8">
        <v>1.8887769400000001</v>
      </c>
      <c r="E26" s="8">
        <v>1.5107633600000001</v>
      </c>
      <c r="F26" s="8">
        <v>1.3686261099999999</v>
      </c>
      <c r="G26" s="8">
        <v>1.30106554</v>
      </c>
      <c r="H26" s="8">
        <v>1.2584743700000001</v>
      </c>
      <c r="I26" s="8">
        <v>1.22915789</v>
      </c>
      <c r="J26" s="8">
        <v>1.2126655799999999</v>
      </c>
      <c r="K26" s="8">
        <v>1.1999661699999999</v>
      </c>
      <c r="L26" s="8">
        <v>1.183281</v>
      </c>
      <c r="M26" s="8">
        <v>1.17033571</v>
      </c>
      <c r="N26" s="8">
        <v>1.1570923799999999</v>
      </c>
      <c r="O26" s="8">
        <v>1.1471380600000001</v>
      </c>
      <c r="P26" s="8">
        <v>1.13887464</v>
      </c>
      <c r="Q26" s="8">
        <v>1.1318879900000001</v>
      </c>
      <c r="R26" s="8">
        <v>1.1259365800000001</v>
      </c>
      <c r="S26" s="8">
        <v>1.12074403</v>
      </c>
      <c r="T26" s="8">
        <v>1.1162267800000001</v>
      </c>
      <c r="U26" s="8">
        <v>1.11219026</v>
      </c>
      <c r="V26" s="8">
        <v>1.10862438</v>
      </c>
      <c r="W26" s="8">
        <v>1.1054525100000001</v>
      </c>
      <c r="X26" s="8">
        <v>1.1025362000000001</v>
      </c>
      <c r="Y26" s="8">
        <v>1.0999509599999999</v>
      </c>
      <c r="Z26" s="8">
        <v>1.0976452000000001</v>
      </c>
      <c r="AA26" s="8">
        <v>1.0954957999999999</v>
      </c>
      <c r="AB26" s="8">
        <v>1.0935797599999999</v>
      </c>
      <c r="AC26" s="8">
        <v>1.0918254300000001</v>
      </c>
    </row>
    <row r="27" spans="1:29" x14ac:dyDescent="0.85">
      <c r="A27" t="s">
        <v>158</v>
      </c>
      <c r="B27" s="8">
        <v>1</v>
      </c>
      <c r="C27" s="8">
        <v>5.4414243000000004</v>
      </c>
      <c r="D27" s="8">
        <v>1.88877699</v>
      </c>
      <c r="E27" s="8">
        <v>1.51076488</v>
      </c>
      <c r="F27" s="8">
        <v>1.3686261099999999</v>
      </c>
      <c r="G27" s="8">
        <v>1.30106554</v>
      </c>
      <c r="H27" s="8">
        <v>1.2584743700000001</v>
      </c>
      <c r="I27" s="8">
        <v>1.22915789</v>
      </c>
      <c r="J27" s="8">
        <v>1.2126655799999999</v>
      </c>
      <c r="K27" s="8">
        <v>1.1999661699999999</v>
      </c>
      <c r="L27" s="8">
        <v>1.183281</v>
      </c>
      <c r="M27" s="8">
        <v>1.17033571</v>
      </c>
      <c r="N27" s="8">
        <v>1.1570923799999999</v>
      </c>
      <c r="O27" s="8">
        <v>1.1471380600000001</v>
      </c>
      <c r="P27" s="8">
        <v>1.13887464</v>
      </c>
      <c r="Q27" s="8">
        <v>1.1318879900000001</v>
      </c>
      <c r="R27" s="8">
        <v>1.1259365800000001</v>
      </c>
      <c r="S27" s="8">
        <v>1.12074403</v>
      </c>
      <c r="T27" s="8">
        <v>1.1162267800000001</v>
      </c>
      <c r="U27" s="8">
        <v>1.11219026</v>
      </c>
      <c r="V27" s="8">
        <v>1.10862438</v>
      </c>
      <c r="W27" s="8">
        <v>1.1054525100000001</v>
      </c>
      <c r="X27" s="8">
        <v>1.1025362000000001</v>
      </c>
      <c r="Y27" s="8">
        <v>1.0999509599999999</v>
      </c>
      <c r="Z27" s="8">
        <v>1.0976452000000001</v>
      </c>
      <c r="AA27" s="8">
        <v>1.0954957999999999</v>
      </c>
      <c r="AB27" s="8">
        <v>1.0935797599999999</v>
      </c>
      <c r="AC27" s="8">
        <v>1.0918254300000001</v>
      </c>
    </row>
    <row r="28" spans="1:29" x14ac:dyDescent="0.85">
      <c r="A28" t="s">
        <v>159</v>
      </c>
      <c r="B28" s="8">
        <v>23280</v>
      </c>
      <c r="C28" s="8">
        <v>24550.073607670001</v>
      </c>
      <c r="D28" s="8">
        <v>25852.602571560001</v>
      </c>
      <c r="E28" s="8">
        <v>27184.952625639999</v>
      </c>
      <c r="F28" s="8">
        <v>28559.591305940001</v>
      </c>
      <c r="G28" s="8">
        <v>30034.883847540001</v>
      </c>
      <c r="H28" s="8">
        <v>31618.367428360001</v>
      </c>
      <c r="I28" s="8">
        <v>33316.806245079999</v>
      </c>
      <c r="J28" s="8">
        <v>35202.560276130003</v>
      </c>
      <c r="K28" s="8">
        <v>37294.008970089999</v>
      </c>
      <c r="L28" s="8">
        <v>39489.98164179</v>
      </c>
      <c r="M28" s="8">
        <v>41798.229882790001</v>
      </c>
      <c r="N28" s="8">
        <v>44157.564127810001</v>
      </c>
      <c r="O28" s="8">
        <v>46588.276550280003</v>
      </c>
      <c r="P28" s="8">
        <v>49091.769006479997</v>
      </c>
      <c r="Q28" s="8">
        <v>51668.921837740003</v>
      </c>
      <c r="R28" s="8">
        <v>54321.8606144</v>
      </c>
      <c r="S28" s="8">
        <v>57050.296720719998</v>
      </c>
      <c r="T28" s="8">
        <v>59856.28262505</v>
      </c>
      <c r="U28" s="8">
        <v>62738.681306650004</v>
      </c>
      <c r="V28" s="8">
        <v>65699.527171499998</v>
      </c>
      <c r="W28" s="8">
        <v>68740.903361499993</v>
      </c>
      <c r="X28" s="8">
        <v>71860.667587529999</v>
      </c>
      <c r="Y28" s="8">
        <v>75062.955484990001</v>
      </c>
      <c r="Z28" s="8">
        <v>78351.857117220003</v>
      </c>
      <c r="AA28" s="8">
        <v>81726.025970479997</v>
      </c>
      <c r="AB28" s="8">
        <v>85190.651772609999</v>
      </c>
      <c r="AC28" s="8">
        <v>88748.07782192</v>
      </c>
    </row>
    <row r="29" spans="1:29" x14ac:dyDescent="0.85">
      <c r="A29" t="s">
        <v>160</v>
      </c>
      <c r="B29" s="8">
        <v>96432429.5</v>
      </c>
      <c r="C29" s="8">
        <v>101693438.247063</v>
      </c>
      <c r="D29" s="8">
        <v>107088886.37771399</v>
      </c>
      <c r="E29" s="8">
        <v>112607862.00741</v>
      </c>
      <c r="F29" s="8">
        <v>118302009.24223199</v>
      </c>
      <c r="G29" s="8">
        <v>124413093.606895</v>
      </c>
      <c r="H29" s="8">
        <v>130972336.251745</v>
      </c>
      <c r="I29" s="8">
        <v>138007756.41724601</v>
      </c>
      <c r="J29" s="8">
        <v>145819089.864577</v>
      </c>
      <c r="K29" s="8">
        <v>154482469.53525901</v>
      </c>
      <c r="L29" s="8">
        <v>163578817.46683601</v>
      </c>
      <c r="M29" s="8">
        <v>173140242.97238299</v>
      </c>
      <c r="N29" s="8">
        <v>182913281.34221601</v>
      </c>
      <c r="O29" s="8">
        <v>192981988.572236</v>
      </c>
      <c r="P29" s="8">
        <v>203352171.552726</v>
      </c>
      <c r="Q29" s="8">
        <v>214027476.90973601</v>
      </c>
      <c r="R29" s="8">
        <v>225016709.36456099</v>
      </c>
      <c r="S29" s="8">
        <v>236318673.38808799</v>
      </c>
      <c r="T29" s="8">
        <v>247941870.892286</v>
      </c>
      <c r="U29" s="8">
        <v>259881592.01146299</v>
      </c>
      <c r="V29" s="8">
        <v>272146263.838009</v>
      </c>
      <c r="W29" s="8">
        <v>284744515.34252</v>
      </c>
      <c r="X29" s="8">
        <v>297667472.549712</v>
      </c>
      <c r="Y29" s="8">
        <v>310932266.446217</v>
      </c>
      <c r="Z29" s="8">
        <v>324555839.246135</v>
      </c>
      <c r="AA29" s="8">
        <v>338532613.30384302</v>
      </c>
      <c r="AB29" s="8">
        <v>352884085.95883399</v>
      </c>
      <c r="AC29" s="8">
        <v>367619963.82399702</v>
      </c>
    </row>
    <row r="30" spans="1:29" x14ac:dyDescent="0.85">
      <c r="A30" t="s">
        <v>161</v>
      </c>
      <c r="B30" s="8">
        <v>96432429.5</v>
      </c>
      <c r="C30" s="8">
        <v>101693438.247063</v>
      </c>
      <c r="D30" s="8">
        <v>107088886.37771399</v>
      </c>
      <c r="E30" s="8">
        <v>112607862.00741</v>
      </c>
      <c r="F30" s="8">
        <v>118302009.24223199</v>
      </c>
      <c r="G30" s="8">
        <v>124413093.606895</v>
      </c>
      <c r="H30" s="8">
        <v>130972336.251745</v>
      </c>
      <c r="I30" s="8">
        <v>138007756.41724601</v>
      </c>
      <c r="J30" s="8">
        <v>145819089.864577</v>
      </c>
      <c r="K30" s="8">
        <v>154482469.53525901</v>
      </c>
      <c r="L30" s="8">
        <v>163578817.46683601</v>
      </c>
      <c r="M30" s="8">
        <v>173140242.97238299</v>
      </c>
      <c r="N30" s="8">
        <v>182913281.34221601</v>
      </c>
      <c r="O30" s="8">
        <v>192981988.572236</v>
      </c>
      <c r="P30" s="8">
        <v>203352171.552726</v>
      </c>
      <c r="Q30" s="8">
        <v>214027476.90973601</v>
      </c>
      <c r="R30" s="8">
        <v>225016709.36456099</v>
      </c>
      <c r="S30" s="8">
        <v>236318673.38808799</v>
      </c>
      <c r="T30" s="8">
        <v>247941870.892286</v>
      </c>
      <c r="U30" s="8">
        <v>259881592.01146299</v>
      </c>
      <c r="V30" s="8">
        <v>272146263.838009</v>
      </c>
      <c r="W30" s="8">
        <v>284744515.34252</v>
      </c>
      <c r="X30" s="8">
        <v>297667472.549712</v>
      </c>
      <c r="Y30" s="8">
        <v>310932266.446217</v>
      </c>
      <c r="Z30" s="8">
        <v>324555839.246135</v>
      </c>
      <c r="AA30" s="8">
        <v>338532613.30384302</v>
      </c>
      <c r="AB30" s="8">
        <v>352884085.95883399</v>
      </c>
      <c r="AC30" s="8">
        <v>367619963.82399702</v>
      </c>
    </row>
    <row r="31" spans="1:29" x14ac:dyDescent="0.85">
      <c r="A31" t="s">
        <v>162</v>
      </c>
      <c r="B31" s="8">
        <v>3642.73144323</v>
      </c>
      <c r="C31" s="8">
        <v>3841.46585327</v>
      </c>
      <c r="D31" s="8">
        <v>4045.2787060400001</v>
      </c>
      <c r="E31" s="8">
        <v>4253.7578055000004</v>
      </c>
      <c r="F31" s="8">
        <v>4468.8540058299996</v>
      </c>
      <c r="G31" s="8">
        <v>4699.6999907700001</v>
      </c>
      <c r="H31" s="8">
        <v>4947.4751380899997</v>
      </c>
      <c r="I31" s="8">
        <v>5213.2378735700004</v>
      </c>
      <c r="J31" s="8">
        <v>5508.3107044600001</v>
      </c>
      <c r="K31" s="8">
        <v>5835.5695497999995</v>
      </c>
      <c r="L31" s="8">
        <v>6179.1837551099998</v>
      </c>
      <c r="M31" s="8">
        <v>6540.3662485100003</v>
      </c>
      <c r="N31" s="8">
        <v>6909.5424099900001</v>
      </c>
      <c r="O31" s="8">
        <v>7289.8874516899996</v>
      </c>
      <c r="P31" s="8">
        <v>7681.6207286700001</v>
      </c>
      <c r="Q31" s="8">
        <v>8084.8799920900001</v>
      </c>
      <c r="R31" s="8">
        <v>8499.9978399699994</v>
      </c>
      <c r="S31" s="8">
        <v>8926.9291112499996</v>
      </c>
      <c r="T31" s="8">
        <v>9365.9949653299991</v>
      </c>
      <c r="U31" s="8">
        <v>9817.0174872099997</v>
      </c>
      <c r="V31" s="8">
        <v>10280.315009989999</v>
      </c>
      <c r="W31" s="8">
        <v>10756.213492729999</v>
      </c>
      <c r="X31" s="8">
        <v>11244.377721319999</v>
      </c>
      <c r="Y31" s="8">
        <v>11745.454818149999</v>
      </c>
      <c r="Z31" s="8">
        <v>12260.08477474</v>
      </c>
      <c r="AA31" s="8">
        <v>12788.05689573</v>
      </c>
      <c r="AB31" s="8">
        <v>13330.18324231</v>
      </c>
      <c r="AC31" s="8">
        <v>13886.830481430001</v>
      </c>
    </row>
    <row r="32" spans="1:29" x14ac:dyDescent="0.85">
      <c r="A32" t="s">
        <v>163</v>
      </c>
      <c r="B32" s="8">
        <v>0</v>
      </c>
      <c r="C32" s="8">
        <v>8.1354750599999992</v>
      </c>
      <c r="D32" s="8">
        <v>17.13422182</v>
      </c>
      <c r="E32" s="8">
        <v>27.025886880000002</v>
      </c>
      <c r="F32" s="8">
        <v>37.856642960000002</v>
      </c>
      <c r="G32" s="8">
        <v>49.76523744</v>
      </c>
      <c r="H32" s="8">
        <v>62.866721400000003</v>
      </c>
      <c r="I32" s="8">
        <v>77.284343590000006</v>
      </c>
      <c r="J32" s="8">
        <v>93.324217509999997</v>
      </c>
      <c r="K32" s="8">
        <v>111.22737807</v>
      </c>
      <c r="L32" s="8">
        <v>130.86305397000001</v>
      </c>
      <c r="M32" s="8">
        <v>152.36341382000001</v>
      </c>
      <c r="N32" s="8">
        <v>175.59675009</v>
      </c>
      <c r="O32" s="8">
        <v>200.70126812000001</v>
      </c>
      <c r="P32" s="8">
        <v>227.75443214000001</v>
      </c>
      <c r="Q32" s="8">
        <v>256.83297228999999</v>
      </c>
      <c r="R32" s="8">
        <v>288.02138798999999</v>
      </c>
      <c r="S32" s="8">
        <v>321.39339581000002</v>
      </c>
      <c r="T32" s="8">
        <v>357.03629408</v>
      </c>
      <c r="U32" s="8">
        <v>395.02001985999999</v>
      </c>
      <c r="V32" s="8">
        <v>435.43402214000002</v>
      </c>
      <c r="W32" s="8">
        <v>478.37078578000001</v>
      </c>
      <c r="X32" s="8">
        <v>523.89475169000002</v>
      </c>
      <c r="Y32" s="8">
        <v>572.11537025999996</v>
      </c>
      <c r="Z32" s="8">
        <v>623.14721135000002</v>
      </c>
      <c r="AA32" s="8">
        <v>677.06522660999997</v>
      </c>
      <c r="AB32" s="8">
        <v>733.99889879</v>
      </c>
      <c r="AC32" s="8">
        <v>794.05912186</v>
      </c>
    </row>
    <row r="33" spans="1:29" x14ac:dyDescent="0.85">
      <c r="A33" t="s">
        <v>164</v>
      </c>
      <c r="B33" s="8">
        <v>0.38572972</v>
      </c>
      <c r="C33" s="8">
        <v>0.40677374999999999</v>
      </c>
      <c r="D33" s="8">
        <v>0.42835554999999997</v>
      </c>
      <c r="E33" s="8">
        <v>0.45043145000000001</v>
      </c>
      <c r="F33" s="8">
        <v>0.47320804</v>
      </c>
      <c r="G33" s="8">
        <v>0.49765237000000001</v>
      </c>
      <c r="H33" s="8">
        <v>0.52388935000000003</v>
      </c>
      <c r="I33" s="8">
        <v>0.55203102999999998</v>
      </c>
      <c r="J33" s="8">
        <v>0.58327636000000005</v>
      </c>
      <c r="K33" s="8">
        <v>0.61792988000000004</v>
      </c>
      <c r="L33" s="8">
        <v>0.65431527</v>
      </c>
      <c r="M33" s="8">
        <v>0.69256097000000005</v>
      </c>
      <c r="N33" s="8">
        <v>0.73165312999999998</v>
      </c>
      <c r="O33" s="8">
        <v>0.77192795000000003</v>
      </c>
      <c r="P33" s="8">
        <v>0.81340869000000005</v>
      </c>
      <c r="Q33" s="8">
        <v>0.85610991000000003</v>
      </c>
      <c r="R33" s="8">
        <v>0.90006684000000003</v>
      </c>
      <c r="S33" s="8">
        <v>0.94527468999999997</v>
      </c>
      <c r="T33" s="8">
        <v>0.99176748000000003</v>
      </c>
      <c r="U33" s="8">
        <v>1.0395263699999999</v>
      </c>
      <c r="V33" s="8">
        <v>1.08858506</v>
      </c>
      <c r="W33" s="8">
        <v>1.1389780599999999</v>
      </c>
      <c r="X33" s="8">
        <v>1.1906698899999999</v>
      </c>
      <c r="Y33" s="8">
        <v>1.2437290700000001</v>
      </c>
      <c r="Z33" s="8">
        <v>1.2982233599999999</v>
      </c>
      <c r="AA33" s="8">
        <v>1.35413045</v>
      </c>
      <c r="AB33" s="8">
        <v>1.4115363400000001</v>
      </c>
      <c r="AC33" s="8">
        <v>1.47047986</v>
      </c>
    </row>
    <row r="34" spans="1:29" x14ac:dyDescent="0.85">
      <c r="A34" t="s">
        <v>165</v>
      </c>
      <c r="B34" s="8">
        <v>3642.73144323</v>
      </c>
      <c r="C34" s="8">
        <v>3841.46585327</v>
      </c>
      <c r="D34" s="8">
        <v>4045.2787060400001</v>
      </c>
      <c r="E34" s="8">
        <v>4253.7578055000004</v>
      </c>
      <c r="F34" s="8">
        <v>4468.8540058299996</v>
      </c>
      <c r="G34" s="8">
        <v>4699.6999907700001</v>
      </c>
      <c r="H34" s="8">
        <v>4947.4751380899997</v>
      </c>
      <c r="I34" s="8">
        <v>5213.2378735700004</v>
      </c>
      <c r="J34" s="8">
        <v>5508.3107044600001</v>
      </c>
      <c r="K34" s="8">
        <v>5835.5695497999995</v>
      </c>
      <c r="L34" s="8">
        <v>6179.1837551099998</v>
      </c>
      <c r="M34" s="8">
        <v>6540.3662485100003</v>
      </c>
      <c r="N34" s="8">
        <v>6909.5424099900001</v>
      </c>
      <c r="O34" s="8">
        <v>7289.8874516899996</v>
      </c>
      <c r="P34" s="8">
        <v>7681.6207286700001</v>
      </c>
      <c r="Q34" s="8">
        <v>8084.8799920900001</v>
      </c>
      <c r="R34" s="8">
        <v>8499.9978399699994</v>
      </c>
      <c r="S34" s="8">
        <v>8926.9291112499996</v>
      </c>
      <c r="T34" s="8">
        <v>9365.9949653299991</v>
      </c>
      <c r="U34" s="8">
        <v>9817.0174872099997</v>
      </c>
      <c r="V34" s="8">
        <v>10280.315009989999</v>
      </c>
      <c r="W34" s="8">
        <v>10756.213492729999</v>
      </c>
      <c r="X34" s="8">
        <v>11244.377721319999</v>
      </c>
      <c r="Y34" s="8">
        <v>11745.454818149999</v>
      </c>
      <c r="Z34" s="8">
        <v>12260.08477474</v>
      </c>
      <c r="AA34" s="8">
        <v>12788.05689573</v>
      </c>
      <c r="AB34" s="8">
        <v>13330.18324231</v>
      </c>
      <c r="AC34" s="8">
        <v>13886.830481430001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1.0969233599999999</v>
      </c>
      <c r="E36" s="8">
        <v>1.09534044</v>
      </c>
      <c r="F36" s="8">
        <v>1.09432975</v>
      </c>
      <c r="G36" s="8">
        <v>1.0943397500000001</v>
      </c>
      <c r="H36" s="8">
        <v>1.0954756699999999</v>
      </c>
      <c r="I36" s="8">
        <v>1.09658488</v>
      </c>
      <c r="J36" s="8">
        <v>1.0976217100000001</v>
      </c>
      <c r="K36" s="8">
        <v>1.1006257100000001</v>
      </c>
      <c r="L36" s="8">
        <v>1.10299283</v>
      </c>
      <c r="M36" s="8">
        <v>1.10254363</v>
      </c>
      <c r="N36" s="8">
        <v>1.10045437</v>
      </c>
      <c r="O36" s="8">
        <v>1.0989966099999999</v>
      </c>
      <c r="P36" s="8">
        <v>1.0976322199999999</v>
      </c>
      <c r="Q36" s="8">
        <v>1.0963406600000001</v>
      </c>
      <c r="R36" s="8">
        <v>1.0951409999999999</v>
      </c>
      <c r="S36" s="8">
        <v>1.0939766900000001</v>
      </c>
      <c r="T36" s="8">
        <v>1.0928904399999999</v>
      </c>
      <c r="U36" s="8">
        <v>1.09181846</v>
      </c>
      <c r="V36" s="8">
        <v>1.09081636</v>
      </c>
      <c r="W36" s="8">
        <v>1.08987772</v>
      </c>
      <c r="X36" s="8">
        <v>1.08893208</v>
      </c>
      <c r="Y36" s="8">
        <v>1.08807589</v>
      </c>
      <c r="Z36" s="8">
        <v>1.08729754</v>
      </c>
      <c r="AA36" s="8">
        <v>1.0865153299999999</v>
      </c>
      <c r="AB36" s="8">
        <v>1.08581623</v>
      </c>
      <c r="AC36" s="8">
        <v>1.08515501</v>
      </c>
    </row>
    <row r="37" spans="1:29" x14ac:dyDescent="0.85">
      <c r="A37" t="s">
        <v>168</v>
      </c>
      <c r="B37" s="8">
        <v>1</v>
      </c>
      <c r="C37" s="8">
        <v>1.09849628</v>
      </c>
      <c r="D37" s="8">
        <v>1.0969333400000001</v>
      </c>
      <c r="E37" s="8">
        <v>1.0953504199999999</v>
      </c>
      <c r="F37" s="8">
        <v>1.0943397500000001</v>
      </c>
      <c r="G37" s="8">
        <v>1.0954756699999999</v>
      </c>
      <c r="H37" s="8">
        <v>1.09658488</v>
      </c>
      <c r="I37" s="8">
        <v>1.0976217100000001</v>
      </c>
      <c r="J37" s="8">
        <v>1.1006257100000001</v>
      </c>
      <c r="K37" s="8">
        <v>1.10355399</v>
      </c>
      <c r="L37" s="8">
        <v>1.1030028300000001</v>
      </c>
      <c r="M37" s="8">
        <v>1.1025536300000001</v>
      </c>
      <c r="N37" s="8">
        <v>1.1004643700000001</v>
      </c>
      <c r="O37" s="8">
        <v>1.09900661</v>
      </c>
      <c r="P37" s="8">
        <v>1.09764222</v>
      </c>
      <c r="Q37" s="8">
        <v>1.0963506599999999</v>
      </c>
      <c r="R37" s="8">
        <v>1.095151</v>
      </c>
      <c r="S37" s="8">
        <v>1.0939866899999999</v>
      </c>
      <c r="T37" s="8">
        <v>1.09290044</v>
      </c>
      <c r="U37" s="8">
        <v>1.0918284599999999</v>
      </c>
      <c r="V37" s="8">
        <v>1.0908263600000001</v>
      </c>
      <c r="W37" s="8">
        <v>1.0898877199999999</v>
      </c>
      <c r="X37" s="8">
        <v>1.08894208</v>
      </c>
      <c r="Y37" s="8">
        <v>1.0880858899999999</v>
      </c>
      <c r="Z37" s="8">
        <v>1.0873075400000001</v>
      </c>
      <c r="AA37" s="8">
        <v>1.08652533</v>
      </c>
      <c r="AB37" s="8">
        <v>1.08582622</v>
      </c>
      <c r="AC37" s="8">
        <v>1.0851650100000001</v>
      </c>
    </row>
    <row r="38" spans="1:29" x14ac:dyDescent="0.85">
      <c r="A38" t="s">
        <v>169</v>
      </c>
      <c r="B38" s="8">
        <v>1</v>
      </c>
      <c r="C38" s="8">
        <v>1.09849628</v>
      </c>
      <c r="D38" s="8">
        <v>1.09693336</v>
      </c>
      <c r="E38" s="8">
        <v>1.09535044</v>
      </c>
      <c r="F38" s="8">
        <v>1.0943397500000001</v>
      </c>
      <c r="G38" s="8">
        <v>1.0954756699999999</v>
      </c>
      <c r="H38" s="8">
        <v>1.09658488</v>
      </c>
      <c r="I38" s="8">
        <v>1.0976217100000001</v>
      </c>
      <c r="J38" s="8">
        <v>1.1006257100000001</v>
      </c>
      <c r="K38" s="8">
        <v>1.10355399</v>
      </c>
      <c r="L38" s="8">
        <v>1.1030028300000001</v>
      </c>
      <c r="M38" s="8">
        <v>1.1025536300000001</v>
      </c>
      <c r="N38" s="8">
        <v>1.1004643700000001</v>
      </c>
      <c r="O38" s="8">
        <v>1.09900661</v>
      </c>
      <c r="P38" s="8">
        <v>1.09764222</v>
      </c>
      <c r="Q38" s="8">
        <v>1.0963506599999999</v>
      </c>
      <c r="R38" s="8">
        <v>1.095151</v>
      </c>
      <c r="S38" s="8">
        <v>1.0939866899999999</v>
      </c>
      <c r="T38" s="8">
        <v>1.09290044</v>
      </c>
      <c r="U38" s="8">
        <v>1.0918284599999999</v>
      </c>
      <c r="V38" s="8">
        <v>1.0908263600000001</v>
      </c>
      <c r="W38" s="8">
        <v>1.0898877199999999</v>
      </c>
      <c r="X38" s="8">
        <v>1.08894208</v>
      </c>
      <c r="Y38" s="8">
        <v>1.0880858899999999</v>
      </c>
      <c r="Z38" s="8">
        <v>1.0873075400000001</v>
      </c>
      <c r="AA38" s="8">
        <v>1.08652533</v>
      </c>
      <c r="AB38" s="8">
        <v>1.0858262299999999</v>
      </c>
      <c r="AC38" s="8">
        <v>1.0851650100000001</v>
      </c>
    </row>
    <row r="39" spans="1:29" x14ac:dyDescent="0.85">
      <c r="A39" t="s">
        <v>170</v>
      </c>
      <c r="B39" s="8">
        <v>2741</v>
      </c>
      <c r="C39" s="8">
        <v>2672.5459164200001</v>
      </c>
      <c r="D39" s="8">
        <v>2605.7322869599998</v>
      </c>
      <c r="E39" s="8">
        <v>2540.5889797899999</v>
      </c>
      <c r="F39" s="8">
        <v>2477.0742594799999</v>
      </c>
      <c r="G39" s="8">
        <v>2441.3667991799998</v>
      </c>
      <c r="H39" s="8">
        <v>2380.34344771</v>
      </c>
      <c r="I39" s="8">
        <v>4979.49461453</v>
      </c>
      <c r="J39" s="8">
        <v>7811.1976737000005</v>
      </c>
      <c r="K39" s="8">
        <v>10898.87087486</v>
      </c>
      <c r="L39" s="8">
        <v>14133.680559930001</v>
      </c>
      <c r="M39" s="8">
        <v>13780.34716994</v>
      </c>
      <c r="N39" s="8">
        <v>14289.2246784</v>
      </c>
      <c r="O39" s="8">
        <v>14768.435424650001</v>
      </c>
      <c r="P39" s="8">
        <v>15187.06639278</v>
      </c>
      <c r="Q39" s="8">
        <v>15612.40969615</v>
      </c>
      <c r="R39" s="8">
        <v>15908.233594130001</v>
      </c>
      <c r="S39" s="8">
        <v>16203.40021691</v>
      </c>
      <c r="T39" s="8">
        <v>16318.82161112</v>
      </c>
      <c r="U39" s="8">
        <v>16429.98120866</v>
      </c>
      <c r="V39" s="8">
        <v>16537.045531520002</v>
      </c>
      <c r="W39" s="8">
        <v>16403.545559909999</v>
      </c>
      <c r="X39" s="8">
        <v>16377.679155489999</v>
      </c>
      <c r="Y39" s="8">
        <v>16452.73159055</v>
      </c>
      <c r="Z39" s="8">
        <v>16323.587836860001</v>
      </c>
      <c r="AA39" s="8">
        <v>16352.067542819999</v>
      </c>
      <c r="AB39" s="8">
        <v>16375.534138200001</v>
      </c>
      <c r="AC39" s="8">
        <v>16172.56119927</v>
      </c>
    </row>
    <row r="40" spans="1:29" x14ac:dyDescent="0.85">
      <c r="A40" t="s">
        <v>171</v>
      </c>
      <c r="B40" s="8">
        <v>16059542</v>
      </c>
      <c r="C40" s="8">
        <v>15658468.949913399</v>
      </c>
      <c r="D40" s="8">
        <v>15267007.334267201</v>
      </c>
      <c r="E40" s="8">
        <v>14885332.133092299</v>
      </c>
      <c r="F40" s="8">
        <v>14513198.854307599</v>
      </c>
      <c r="G40" s="8">
        <v>14303988.545009101</v>
      </c>
      <c r="H40" s="8">
        <v>13946452.217115801</v>
      </c>
      <c r="I40" s="8">
        <v>29174900.695052799</v>
      </c>
      <c r="J40" s="8">
        <v>45765872.659955002</v>
      </c>
      <c r="K40" s="8">
        <v>63856575.832879901</v>
      </c>
      <c r="L40" s="8">
        <v>82809352.898592606</v>
      </c>
      <c r="M40" s="8">
        <v>80739169.604274705</v>
      </c>
      <c r="N40" s="8">
        <v>83720687.192842007</v>
      </c>
      <c r="O40" s="8">
        <v>86528386.972829103</v>
      </c>
      <c r="P40" s="8">
        <v>88981149.324970305</v>
      </c>
      <c r="Q40" s="8">
        <v>91473239.305516794</v>
      </c>
      <c r="R40" s="8">
        <v>93206474.003976494</v>
      </c>
      <c r="S40" s="8">
        <v>94935857.721563503</v>
      </c>
      <c r="T40" s="8">
        <v>95612112.637949705</v>
      </c>
      <c r="U40" s="8">
        <v>96263397.651892096</v>
      </c>
      <c r="V40" s="8">
        <v>96890688.417180598</v>
      </c>
      <c r="W40" s="8">
        <v>96108510.964210197</v>
      </c>
      <c r="X40" s="8">
        <v>95956959.483838305</v>
      </c>
      <c r="Y40" s="8">
        <v>96396692.330140203</v>
      </c>
      <c r="Z40" s="8">
        <v>95640037.994509801</v>
      </c>
      <c r="AA40" s="8">
        <v>95806900.830527693</v>
      </c>
      <c r="AB40" s="8">
        <v>95944391.809593305</v>
      </c>
      <c r="AC40" s="8">
        <v>94755171.658623204</v>
      </c>
    </row>
    <row r="41" spans="1:29" x14ac:dyDescent="0.85">
      <c r="A41" t="s">
        <v>172</v>
      </c>
      <c r="B41" s="8">
        <v>16059542</v>
      </c>
      <c r="C41" s="8">
        <v>15658468.949913399</v>
      </c>
      <c r="D41" s="8">
        <v>15267007.334267201</v>
      </c>
      <c r="E41" s="8">
        <v>14885332.133092299</v>
      </c>
      <c r="F41" s="8">
        <v>14513198.854307599</v>
      </c>
      <c r="G41" s="8">
        <v>14303988.545009101</v>
      </c>
      <c r="H41" s="8">
        <v>13946452.217115801</v>
      </c>
      <c r="I41" s="8">
        <v>29174900.695052799</v>
      </c>
      <c r="J41" s="8">
        <v>45765872.659955002</v>
      </c>
      <c r="K41" s="8">
        <v>63856575.832879901</v>
      </c>
      <c r="L41" s="8">
        <v>82809352.898592606</v>
      </c>
      <c r="M41" s="8">
        <v>80739169.604274705</v>
      </c>
      <c r="N41" s="8">
        <v>83720687.192842007</v>
      </c>
      <c r="O41" s="8">
        <v>86528386.972829103</v>
      </c>
      <c r="P41" s="8">
        <v>88981149.324970305</v>
      </c>
      <c r="Q41" s="8">
        <v>91473239.305516794</v>
      </c>
      <c r="R41" s="8">
        <v>93206474.003976494</v>
      </c>
      <c r="S41" s="8">
        <v>94935857.721563503</v>
      </c>
      <c r="T41" s="8">
        <v>95612112.637949705</v>
      </c>
      <c r="U41" s="8">
        <v>96263397.651892096</v>
      </c>
      <c r="V41" s="8">
        <v>96890688.417180598</v>
      </c>
      <c r="W41" s="8">
        <v>96108510.964210197</v>
      </c>
      <c r="X41" s="8">
        <v>95956959.483838305</v>
      </c>
      <c r="Y41" s="8">
        <v>96396692.330140203</v>
      </c>
      <c r="Z41" s="8">
        <v>95640037.994509801</v>
      </c>
      <c r="AA41" s="8">
        <v>95806900.830527693</v>
      </c>
      <c r="AB41" s="8">
        <v>95944391.809593305</v>
      </c>
      <c r="AC41" s="8">
        <v>94755171.658623204</v>
      </c>
    </row>
    <row r="42" spans="1:29" x14ac:dyDescent="0.85">
      <c r="A42" t="s">
        <v>173</v>
      </c>
      <c r="B42" s="8">
        <v>1454.89559779</v>
      </c>
      <c r="C42" s="8">
        <v>1418.56084958</v>
      </c>
      <c r="D42" s="8">
        <v>1383.09683814</v>
      </c>
      <c r="E42" s="8">
        <v>1348.519417</v>
      </c>
      <c r="F42" s="8">
        <v>1314.8064337999999</v>
      </c>
      <c r="G42" s="8">
        <v>1295.85326824</v>
      </c>
      <c r="H42" s="8">
        <v>1263.46267889</v>
      </c>
      <c r="I42" s="8">
        <v>2643.0663235900001</v>
      </c>
      <c r="J42" s="8">
        <v>4146.10620483</v>
      </c>
      <c r="K42" s="8">
        <v>5785.0124971400001</v>
      </c>
      <c r="L42" s="8">
        <v>7502.0173748699999</v>
      </c>
      <c r="M42" s="8">
        <v>7314.4715180399999</v>
      </c>
      <c r="N42" s="8">
        <v>7584.5786492999996</v>
      </c>
      <c r="O42" s="8">
        <v>7838.9389575900004</v>
      </c>
      <c r="P42" s="8">
        <v>8061.1441208799997</v>
      </c>
      <c r="Q42" s="8">
        <v>8286.9121250900007</v>
      </c>
      <c r="R42" s="8">
        <v>8443.9325143000005</v>
      </c>
      <c r="S42" s="8">
        <v>8600.6040283599996</v>
      </c>
      <c r="T42" s="8">
        <v>8661.8685589399993</v>
      </c>
      <c r="U42" s="8">
        <v>8720.8709701299995</v>
      </c>
      <c r="V42" s="8">
        <v>8777.6996501699996</v>
      </c>
      <c r="W42" s="8">
        <v>8706.8391901300001</v>
      </c>
      <c r="X42" s="8">
        <v>8693.1095593699993</v>
      </c>
      <c r="Y42" s="8">
        <v>8732.94664706</v>
      </c>
      <c r="Z42" s="8">
        <v>8664.39842426</v>
      </c>
      <c r="AA42" s="8">
        <v>8679.51516954</v>
      </c>
      <c r="AB42" s="8">
        <v>8691.9710054799998</v>
      </c>
      <c r="AC42" s="8">
        <v>8584.2349838499995</v>
      </c>
    </row>
    <row r="43" spans="1:29" x14ac:dyDescent="0.85">
      <c r="A43" t="s">
        <v>174</v>
      </c>
      <c r="B43" s="8">
        <v>0</v>
      </c>
      <c r="C43" s="8">
        <v>0.93950814000000005</v>
      </c>
      <c r="D43" s="8">
        <v>1.8320408800000001</v>
      </c>
      <c r="E43" s="8">
        <v>2.67935978</v>
      </c>
      <c r="F43" s="8">
        <v>3.4831677299999999</v>
      </c>
      <c r="G43" s="8">
        <v>4.2911965600000004</v>
      </c>
      <c r="H43" s="8">
        <v>5.0207227999999997</v>
      </c>
      <c r="I43" s="8">
        <v>12.253458289999999</v>
      </c>
      <c r="J43" s="8">
        <v>21.96761888</v>
      </c>
      <c r="K43" s="8">
        <v>34.482550949999997</v>
      </c>
      <c r="L43" s="8">
        <v>49.685611739999999</v>
      </c>
      <c r="M43" s="8">
        <v>53.287851940000003</v>
      </c>
      <c r="N43" s="8">
        <v>60.278894780000002</v>
      </c>
      <c r="O43" s="8">
        <v>67.492141840000002</v>
      </c>
      <c r="P43" s="8">
        <v>74.744165429999995</v>
      </c>
      <c r="Q43" s="8">
        <v>82.325915370000004</v>
      </c>
      <c r="R43" s="8">
        <v>89.478215039999995</v>
      </c>
      <c r="S43" s="8">
        <v>96.834574880000005</v>
      </c>
      <c r="T43" s="8">
        <v>103.26108164999999</v>
      </c>
      <c r="U43" s="8">
        <v>109.74027332</v>
      </c>
      <c r="V43" s="8">
        <v>116.2688261</v>
      </c>
      <c r="W43" s="8">
        <v>121.09672381</v>
      </c>
      <c r="X43" s="8">
        <v>126.66318652</v>
      </c>
      <c r="Y43" s="8">
        <v>133.02743541999999</v>
      </c>
      <c r="Z43" s="8">
        <v>137.72165471</v>
      </c>
      <c r="AA43" s="8">
        <v>143.71035125</v>
      </c>
      <c r="AB43" s="8">
        <v>149.67325122</v>
      </c>
      <c r="AC43" s="8">
        <v>153.50337809000001</v>
      </c>
    </row>
    <row r="44" spans="1:29" x14ac:dyDescent="0.85">
      <c r="A44" t="s">
        <v>175</v>
      </c>
      <c r="B44" s="8">
        <v>4.817863E-2</v>
      </c>
      <c r="C44" s="8">
        <v>4.6975410000000002E-2</v>
      </c>
      <c r="D44" s="8">
        <v>4.5801019999999998E-2</v>
      </c>
      <c r="E44" s="8">
        <v>4.4656000000000001E-2</v>
      </c>
      <c r="F44" s="8">
        <v>4.3539599999999998E-2</v>
      </c>
      <c r="G44" s="8">
        <v>4.2911970000000001E-2</v>
      </c>
      <c r="H44" s="8">
        <v>4.1839359999999999E-2</v>
      </c>
      <c r="I44" s="8">
        <v>8.7524699999999997E-2</v>
      </c>
      <c r="J44" s="8">
        <v>0.13729762000000001</v>
      </c>
      <c r="K44" s="8">
        <v>0.19156972999999999</v>
      </c>
      <c r="L44" s="8">
        <v>0.24842806000000001</v>
      </c>
      <c r="M44" s="8">
        <v>0.24221751</v>
      </c>
      <c r="N44" s="8">
        <v>0.25116206000000002</v>
      </c>
      <c r="O44" s="8">
        <v>0.25958515999999998</v>
      </c>
      <c r="P44" s="8">
        <v>0.26694345000000003</v>
      </c>
      <c r="Q44" s="8">
        <v>0.27441971999999998</v>
      </c>
      <c r="R44" s="8">
        <v>0.27961942000000001</v>
      </c>
      <c r="S44" s="8">
        <v>0.28480757000000001</v>
      </c>
      <c r="T44" s="8">
        <v>0.28683634000000002</v>
      </c>
      <c r="U44" s="8">
        <v>0.28879019</v>
      </c>
      <c r="V44" s="8">
        <v>0.29067207</v>
      </c>
      <c r="W44" s="8">
        <v>0.28832553</v>
      </c>
      <c r="X44" s="8">
        <v>0.28787088</v>
      </c>
      <c r="Y44" s="8">
        <v>0.28919008000000002</v>
      </c>
      <c r="Z44" s="8">
        <v>0.28692011000000001</v>
      </c>
      <c r="AA44" s="8">
        <v>0.28742069999999997</v>
      </c>
      <c r="AB44" s="8">
        <v>0.28783318000000002</v>
      </c>
      <c r="AC44" s="8">
        <v>0.28426551</v>
      </c>
    </row>
    <row r="45" spans="1:29" x14ac:dyDescent="0.85">
      <c r="A45" t="s">
        <v>176</v>
      </c>
      <c r="B45" s="8">
        <v>1292.5336281699999</v>
      </c>
      <c r="C45" s="8">
        <v>1260.2537285000001</v>
      </c>
      <c r="D45" s="8">
        <v>1228.7473939900001</v>
      </c>
      <c r="E45" s="8">
        <v>1198.02870914</v>
      </c>
      <c r="F45" s="8">
        <v>1168.07799338</v>
      </c>
      <c r="G45" s="8">
        <v>1151.2399440500001</v>
      </c>
      <c r="H45" s="8">
        <v>1122.4640469799999</v>
      </c>
      <c r="I45" s="8">
        <v>2348.1080775599999</v>
      </c>
      <c r="J45" s="8">
        <v>3683.4132322400001</v>
      </c>
      <c r="K45" s="8">
        <v>5139.4225154699998</v>
      </c>
      <c r="L45" s="8">
        <v>6664.8148170699997</v>
      </c>
      <c r="M45" s="8">
        <v>6498.1985133400003</v>
      </c>
      <c r="N45" s="8">
        <v>6738.1625017799997</v>
      </c>
      <c r="O45" s="8">
        <v>6964.1369653000002</v>
      </c>
      <c r="P45" s="8">
        <v>7161.5447012000004</v>
      </c>
      <c r="Q45" s="8">
        <v>7362.1176757100002</v>
      </c>
      <c r="R45" s="8">
        <v>7501.6150621200004</v>
      </c>
      <c r="S45" s="8">
        <v>7640.8025067999997</v>
      </c>
      <c r="T45" s="8">
        <v>7695.2301001699998</v>
      </c>
      <c r="U45" s="8">
        <v>7747.6480198700001</v>
      </c>
      <c r="V45" s="8">
        <v>7798.1347902799998</v>
      </c>
      <c r="W45" s="8">
        <v>7735.1821442800001</v>
      </c>
      <c r="X45" s="8">
        <v>7722.9846989799998</v>
      </c>
      <c r="Y45" s="8">
        <v>7758.3760875999997</v>
      </c>
      <c r="Z45" s="8">
        <v>7697.4776401299996</v>
      </c>
      <c r="AA45" s="8">
        <v>7710.9074021500001</v>
      </c>
      <c r="AB45" s="8">
        <v>7721.9732042799997</v>
      </c>
      <c r="AC45" s="8">
        <v>7626.2601983799996</v>
      </c>
    </row>
    <row r="46" spans="1:29" x14ac:dyDescent="0.85">
      <c r="A46" t="s">
        <v>177</v>
      </c>
      <c r="B46" s="8">
        <v>162.36196962</v>
      </c>
      <c r="C46" s="8">
        <v>158.30712108</v>
      </c>
      <c r="D46" s="8">
        <v>154.34944415000001</v>
      </c>
      <c r="E46" s="8">
        <v>150.49070786999999</v>
      </c>
      <c r="F46" s="8">
        <v>146.72844042</v>
      </c>
      <c r="G46" s="8">
        <v>144.61332418999999</v>
      </c>
      <c r="H46" s="8">
        <v>140.99863192000001</v>
      </c>
      <c r="I46" s="8">
        <v>294.95824603</v>
      </c>
      <c r="J46" s="8">
        <v>462.69297259000001</v>
      </c>
      <c r="K46" s="8">
        <v>645.58998167000004</v>
      </c>
      <c r="L46" s="8">
        <v>837.20255780000002</v>
      </c>
      <c r="M46" s="8">
        <v>816.2730047</v>
      </c>
      <c r="N46" s="8">
        <v>846.41614751999998</v>
      </c>
      <c r="O46" s="8">
        <v>874.80199230000005</v>
      </c>
      <c r="P46" s="8">
        <v>899.59941967999998</v>
      </c>
      <c r="Q46" s="8">
        <v>924.79444937999995</v>
      </c>
      <c r="R46" s="8">
        <v>942.31745218000003</v>
      </c>
      <c r="S46" s="8">
        <v>959.80152156999998</v>
      </c>
      <c r="T46" s="8">
        <v>966.63845877000006</v>
      </c>
      <c r="U46" s="8">
        <v>973.22295025999995</v>
      </c>
      <c r="V46" s="8">
        <v>979.56485989999999</v>
      </c>
      <c r="W46" s="8">
        <v>971.65704585000003</v>
      </c>
      <c r="X46" s="8">
        <v>970.12486037999997</v>
      </c>
      <c r="Y46" s="8">
        <v>974.57055946000003</v>
      </c>
      <c r="Z46" s="8">
        <v>966.92078412000001</v>
      </c>
      <c r="AA46" s="8">
        <v>968.60776739999994</v>
      </c>
      <c r="AB46" s="8">
        <v>969.99780119000002</v>
      </c>
      <c r="AC46" s="8">
        <v>957.97478547000003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1.0000265399999999</v>
      </c>
      <c r="E47" s="8">
        <v>1.0000000099999999</v>
      </c>
      <c r="F47" s="8">
        <v>1</v>
      </c>
      <c r="G47" s="8">
        <v>1</v>
      </c>
      <c r="H47" s="8">
        <v>1.0108562299999999</v>
      </c>
      <c r="I47" s="8">
        <v>1.0000045399999999</v>
      </c>
      <c r="J47" s="8">
        <v>1.60888516</v>
      </c>
      <c r="K47" s="8">
        <v>1.4310546799999999</v>
      </c>
      <c r="L47" s="8">
        <v>1.3300436200000001</v>
      </c>
      <c r="M47" s="8">
        <v>1.2717891100000001</v>
      </c>
      <c r="N47" s="8">
        <v>1.0000006299999999</v>
      </c>
      <c r="O47" s="8">
        <v>1.06351566</v>
      </c>
      <c r="P47" s="8">
        <v>1.06003745</v>
      </c>
      <c r="Q47" s="8">
        <v>1.0547141900000001</v>
      </c>
      <c r="R47" s="8">
        <v>1.0543661</v>
      </c>
      <c r="S47" s="8">
        <v>1.0450748700000001</v>
      </c>
      <c r="T47" s="8">
        <v>1.0446711099999999</v>
      </c>
      <c r="U47" s="8">
        <v>1.0329469600000001</v>
      </c>
      <c r="V47" s="8">
        <v>1.03262743</v>
      </c>
      <c r="W47" s="8">
        <v>1.03232451</v>
      </c>
      <c r="X47" s="8">
        <v>1.01736125</v>
      </c>
      <c r="Y47" s="8">
        <v>1.02402371</v>
      </c>
      <c r="Z47" s="8">
        <v>1.03034113</v>
      </c>
      <c r="AA47" s="8">
        <v>1.0175903799999999</v>
      </c>
      <c r="AB47" s="8">
        <v>1.0274304599999999</v>
      </c>
      <c r="AC47" s="8">
        <v>1.02711291</v>
      </c>
    </row>
    <row r="48" spans="1:29" x14ac:dyDescent="0.85">
      <c r="A48" t="s">
        <v>179</v>
      </c>
      <c r="B48" s="8">
        <v>1</v>
      </c>
      <c r="C48" s="8">
        <v>1.0000265399999999</v>
      </c>
      <c r="D48" s="8">
        <v>1.0000000099999999</v>
      </c>
      <c r="E48" s="8">
        <v>1</v>
      </c>
      <c r="F48" s="8">
        <v>1</v>
      </c>
      <c r="G48" s="8">
        <v>1.0108562299999999</v>
      </c>
      <c r="H48" s="8">
        <v>1.0000045399999999</v>
      </c>
      <c r="I48" s="8">
        <v>2.1455617999999999</v>
      </c>
      <c r="J48" s="8">
        <v>1.6088951600000001</v>
      </c>
      <c r="K48" s="8">
        <v>1.43106468</v>
      </c>
      <c r="L48" s="8">
        <v>1.3300536199999999</v>
      </c>
      <c r="M48" s="8">
        <v>1.0000006299999999</v>
      </c>
      <c r="N48" s="8">
        <v>1.06351566</v>
      </c>
      <c r="O48" s="8">
        <v>1.06003745</v>
      </c>
      <c r="P48" s="8">
        <v>1.0547141900000001</v>
      </c>
      <c r="Q48" s="8">
        <v>1.0543661</v>
      </c>
      <c r="R48" s="8">
        <v>1.0450748700000001</v>
      </c>
      <c r="S48" s="8">
        <v>1.0446711099999999</v>
      </c>
      <c r="T48" s="8">
        <v>1.0329469600000001</v>
      </c>
      <c r="U48" s="8">
        <v>1.03262743</v>
      </c>
      <c r="V48" s="8">
        <v>1.03232451</v>
      </c>
      <c r="W48" s="8">
        <v>1.01736125</v>
      </c>
      <c r="X48" s="8">
        <v>1.02402371</v>
      </c>
      <c r="Y48" s="8">
        <v>1.03034113</v>
      </c>
      <c r="Z48" s="8">
        <v>1.0175903799999999</v>
      </c>
      <c r="AA48" s="8">
        <v>1.0274304599999999</v>
      </c>
      <c r="AB48" s="8">
        <v>1.02711291</v>
      </c>
      <c r="AC48" s="8">
        <v>1.0129283200000001</v>
      </c>
    </row>
    <row r="49" spans="1:29" x14ac:dyDescent="0.85">
      <c r="A49" t="s">
        <v>180</v>
      </c>
      <c r="B49" s="8">
        <v>1</v>
      </c>
      <c r="C49" s="8">
        <v>1.74779543</v>
      </c>
      <c r="D49" s="8">
        <v>1.79148704</v>
      </c>
      <c r="E49" s="8">
        <v>1.8361060499999999</v>
      </c>
      <c r="F49" s="8">
        <v>1.88836359</v>
      </c>
      <c r="G49" s="8">
        <v>1.96996203</v>
      </c>
      <c r="H49" s="8">
        <v>2.0485425500000001</v>
      </c>
      <c r="I49" s="8">
        <v>2.1455617999999999</v>
      </c>
      <c r="J49" s="8">
        <v>1.6088951600000001</v>
      </c>
      <c r="K49" s="8">
        <v>1.43106468</v>
      </c>
      <c r="L49" s="8">
        <v>1.3300536199999999</v>
      </c>
      <c r="M49" s="8">
        <v>1.2717991099999999</v>
      </c>
      <c r="N49" s="8">
        <v>1.2864327799999999</v>
      </c>
      <c r="O49" s="8">
        <v>1.2865300500000001</v>
      </c>
      <c r="P49" s="8">
        <v>1.2873784699999999</v>
      </c>
      <c r="Q49" s="8">
        <v>1.2894225500000001</v>
      </c>
      <c r="R49" s="8">
        <v>1.2915067</v>
      </c>
      <c r="S49" s="8">
        <v>1.2957989400000001</v>
      </c>
      <c r="T49" s="8">
        <v>1.3002000600000001</v>
      </c>
      <c r="U49" s="8">
        <v>1.30760991</v>
      </c>
      <c r="V49" s="8">
        <v>1.3152429800000001</v>
      </c>
      <c r="W49" s="8">
        <v>1.3231038799999999</v>
      </c>
      <c r="X49" s="8">
        <v>1.3353902</v>
      </c>
      <c r="Y49" s="8">
        <v>1.34612369</v>
      </c>
      <c r="Z49" s="8">
        <v>1.3552260199999999</v>
      </c>
      <c r="AA49" s="8">
        <v>1.36858364</v>
      </c>
      <c r="AB49" s="8">
        <v>1.37914761</v>
      </c>
      <c r="AC49" s="8">
        <v>1.39008139</v>
      </c>
    </row>
    <row r="50" spans="1:29" x14ac:dyDescent="0.85">
      <c r="A50" t="s">
        <v>181</v>
      </c>
      <c r="B50" s="8">
        <v>24168</v>
      </c>
      <c r="C50" s="8">
        <v>24705.24014288</v>
      </c>
      <c r="D50" s="8">
        <v>25089.62884763</v>
      </c>
      <c r="E50" s="8">
        <v>25946.291486819999</v>
      </c>
      <c r="F50" s="8">
        <v>29157.60587919</v>
      </c>
      <c r="G50" s="8">
        <v>32552.012086409999</v>
      </c>
      <c r="H50" s="8">
        <v>36144.216496920002</v>
      </c>
      <c r="I50" s="8">
        <v>39947.74510593</v>
      </c>
      <c r="J50" s="8">
        <v>44102.62204332</v>
      </c>
      <c r="K50" s="8">
        <v>43639.444808280001</v>
      </c>
      <c r="L50" s="8">
        <v>43243.845710050002</v>
      </c>
      <c r="M50" s="8">
        <v>43801.483883590001</v>
      </c>
      <c r="N50" s="8">
        <v>44273.770655220003</v>
      </c>
      <c r="O50" s="8">
        <v>44756.492890690002</v>
      </c>
      <c r="P50" s="8">
        <v>45257.869424470002</v>
      </c>
      <c r="Q50" s="8">
        <v>45761.20127867</v>
      </c>
      <c r="R50" s="8">
        <v>46301.348198209998</v>
      </c>
      <c r="S50" s="8">
        <v>46846.203006290001</v>
      </c>
      <c r="T50" s="8">
        <v>47441.559405599997</v>
      </c>
      <c r="U50" s="8">
        <v>48043.636664049998</v>
      </c>
      <c r="V50" s="8">
        <v>48652.513408270002</v>
      </c>
      <c r="W50" s="8">
        <v>49328.599956170001</v>
      </c>
      <c r="X50" s="8">
        <v>49984.335271570002</v>
      </c>
      <c r="Y50" s="8">
        <v>50620.992502230001</v>
      </c>
      <c r="Z50" s="8">
        <v>51315.956481039997</v>
      </c>
      <c r="AA50" s="8">
        <v>51977.987868190001</v>
      </c>
      <c r="AB50" s="8">
        <v>52647.852422119999</v>
      </c>
      <c r="AC50" s="8">
        <v>53382.073539680001</v>
      </c>
    </row>
    <row r="51" spans="1:29" x14ac:dyDescent="0.85">
      <c r="A51" t="s">
        <v>182</v>
      </c>
      <c r="B51" s="8">
        <v>65040939.5</v>
      </c>
      <c r="C51" s="8">
        <v>66375893.385744497</v>
      </c>
      <c r="D51" s="8">
        <v>66885368.139985599</v>
      </c>
      <c r="E51" s="8">
        <v>67300079.375163704</v>
      </c>
      <c r="F51" s="8">
        <v>78812283.113380402</v>
      </c>
      <c r="G51" s="8">
        <v>90854494.114779606</v>
      </c>
      <c r="H51" s="8">
        <v>103407375.078738</v>
      </c>
      <c r="I51" s="8">
        <v>102698233.520098</v>
      </c>
      <c r="J51" s="8">
        <v>103825172.023093</v>
      </c>
      <c r="K51" s="8">
        <v>84740939.324621096</v>
      </c>
      <c r="L51" s="8">
        <v>67822997.740156204</v>
      </c>
      <c r="M51" s="8">
        <v>66440978.548741996</v>
      </c>
      <c r="N51" s="8">
        <v>62040701.769617103</v>
      </c>
      <c r="O51" s="8">
        <v>58092874.242956601</v>
      </c>
      <c r="P51" s="8">
        <v>54672816.698411003</v>
      </c>
      <c r="Q51" s="8">
        <v>51503464.669713996</v>
      </c>
      <c r="R51" s="8">
        <v>48943671.353503697</v>
      </c>
      <c r="S51" s="8">
        <v>46587552.680387303</v>
      </c>
      <c r="T51" s="8">
        <v>44874095.429693997</v>
      </c>
      <c r="U51" s="8">
        <v>43300152.218556598</v>
      </c>
      <c r="V51" s="8">
        <v>41851179.955633096</v>
      </c>
      <c r="W51" s="8">
        <v>41058143.312753901</v>
      </c>
      <c r="X51" s="8">
        <v>40114339.728654496</v>
      </c>
      <c r="Y51" s="8">
        <v>39035937.205015898</v>
      </c>
      <c r="Z51" s="8">
        <v>38455074.9944131</v>
      </c>
      <c r="AA51" s="8">
        <v>37629449.425572902</v>
      </c>
      <c r="AB51" s="8">
        <v>36875499.281771101</v>
      </c>
      <c r="AC51" s="8">
        <v>36585307.196131401</v>
      </c>
    </row>
    <row r="52" spans="1:29" x14ac:dyDescent="0.85">
      <c r="A52" t="s">
        <v>183</v>
      </c>
      <c r="B52" s="8">
        <v>65040939.5</v>
      </c>
      <c r="C52" s="8">
        <v>66375893.385744497</v>
      </c>
      <c r="D52" s="8">
        <v>66885368.139985599</v>
      </c>
      <c r="E52" s="8">
        <v>67300079.375163704</v>
      </c>
      <c r="F52" s="8">
        <v>78812283.113380402</v>
      </c>
      <c r="G52" s="8">
        <v>90854494.114779606</v>
      </c>
      <c r="H52" s="8">
        <v>103407375.078738</v>
      </c>
      <c r="I52" s="8">
        <v>102698233.520098</v>
      </c>
      <c r="J52" s="8">
        <v>103825172.023093</v>
      </c>
      <c r="K52" s="8">
        <v>84740939.324621096</v>
      </c>
      <c r="L52" s="8">
        <v>67822997.740156204</v>
      </c>
      <c r="M52" s="8">
        <v>66440978.548741996</v>
      </c>
      <c r="N52" s="8">
        <v>62040701.769617103</v>
      </c>
      <c r="O52" s="8">
        <v>58092874.242956601</v>
      </c>
      <c r="P52" s="8">
        <v>54672816.698411003</v>
      </c>
      <c r="Q52" s="8">
        <v>51503464.669713996</v>
      </c>
      <c r="R52" s="8">
        <v>48943671.353503697</v>
      </c>
      <c r="S52" s="8">
        <v>46587552.680387303</v>
      </c>
      <c r="T52" s="8">
        <v>44874095.429693997</v>
      </c>
      <c r="U52" s="8">
        <v>43300152.218556598</v>
      </c>
      <c r="V52" s="8">
        <v>41851179.955633096</v>
      </c>
      <c r="W52" s="8">
        <v>41058143.312753901</v>
      </c>
      <c r="X52" s="8">
        <v>40114339.728654496</v>
      </c>
      <c r="Y52" s="8">
        <v>39035937.205015898</v>
      </c>
      <c r="Z52" s="8">
        <v>38455074.9944131</v>
      </c>
      <c r="AA52" s="8">
        <v>37629449.425572902</v>
      </c>
      <c r="AB52" s="8">
        <v>36875499.281771101</v>
      </c>
      <c r="AC52" s="8">
        <v>36585307.196131401</v>
      </c>
    </row>
    <row r="53" spans="1:29" x14ac:dyDescent="0.85">
      <c r="A53" t="s">
        <v>184</v>
      </c>
      <c r="B53" s="8">
        <v>3933.4360489800001</v>
      </c>
      <c r="C53" s="8">
        <v>4018.16881358</v>
      </c>
      <c r="D53" s="8">
        <v>4067.9197562499999</v>
      </c>
      <c r="E53" s="8">
        <v>4161.2108810399995</v>
      </c>
      <c r="F53" s="8">
        <v>4753.8906495600004</v>
      </c>
      <c r="G53" s="8">
        <v>5377.2787220600003</v>
      </c>
      <c r="H53" s="8">
        <v>6032.3310909900001</v>
      </c>
      <c r="I53" s="8">
        <v>6384.3072795500002</v>
      </c>
      <c r="J53" s="8">
        <v>6815.1957365999997</v>
      </c>
      <c r="K53" s="8">
        <v>6304.5712325100003</v>
      </c>
      <c r="L53" s="8">
        <v>5853.3652978600003</v>
      </c>
      <c r="M53" s="8">
        <v>5873.7843354799998</v>
      </c>
      <c r="N53" s="8">
        <v>5812.2712404100002</v>
      </c>
      <c r="O53" s="8">
        <v>5762.8110716000001</v>
      </c>
      <c r="P53" s="8">
        <v>5728.0396099400004</v>
      </c>
      <c r="Q53" s="8">
        <v>5699.57520217</v>
      </c>
      <c r="R53" s="8">
        <v>5689.5583499000004</v>
      </c>
      <c r="S53" s="8">
        <v>5684.9682412000002</v>
      </c>
      <c r="T53" s="8">
        <v>5700.9621996599999</v>
      </c>
      <c r="U53" s="8">
        <v>5721.0128194500003</v>
      </c>
      <c r="V53" s="8">
        <v>5744.77288288</v>
      </c>
      <c r="W53" s="8">
        <v>5791.0630807400003</v>
      </c>
      <c r="X53" s="8">
        <v>5831.6986926999998</v>
      </c>
      <c r="Y53" s="8">
        <v>5867.1978261300001</v>
      </c>
      <c r="Z53" s="8">
        <v>5920.4978633500004</v>
      </c>
      <c r="AA53" s="8">
        <v>5964.6282956300001</v>
      </c>
      <c r="AB53" s="8">
        <v>6011.2681194300003</v>
      </c>
      <c r="AC53" s="8">
        <v>6075.47192808</v>
      </c>
    </row>
    <row r="54" spans="1:29" x14ac:dyDescent="0.85">
      <c r="A54" t="s">
        <v>185</v>
      </c>
      <c r="B54" s="8">
        <v>0</v>
      </c>
      <c r="C54" s="8">
        <v>650.48375518</v>
      </c>
      <c r="D54" s="8">
        <v>1310.95321554</v>
      </c>
      <c r="E54" s="8">
        <v>1978.62233363</v>
      </c>
      <c r="F54" s="8">
        <v>3089.4414980400002</v>
      </c>
      <c r="G54" s="8">
        <v>4451.8702116200002</v>
      </c>
      <c r="H54" s="8">
        <v>6080.3536546300002</v>
      </c>
      <c r="I54" s="8">
        <v>7045.0988194800002</v>
      </c>
      <c r="J54" s="8">
        <v>8139.8934866099999</v>
      </c>
      <c r="K54" s="8">
        <v>7474.1508484300002</v>
      </c>
      <c r="L54" s="8">
        <v>6646.6537785399996</v>
      </c>
      <c r="M54" s="8">
        <v>7162.3374875500003</v>
      </c>
      <c r="N54" s="8">
        <v>7295.9865281100001</v>
      </c>
      <c r="O54" s="8">
        <v>7401.03217855</v>
      </c>
      <c r="P54" s="8">
        <v>7501.1104510200003</v>
      </c>
      <c r="Q54" s="8">
        <v>7571.0093064499997</v>
      </c>
      <c r="R54" s="8">
        <v>7674.3676682300002</v>
      </c>
      <c r="S54" s="8">
        <v>7761.4862765500002</v>
      </c>
      <c r="T54" s="8">
        <v>7915.7904337999998</v>
      </c>
      <c r="U54" s="8">
        <v>8062.4883430999998</v>
      </c>
      <c r="V54" s="8">
        <v>8202.8312712999996</v>
      </c>
      <c r="W54" s="8">
        <v>8449.7658937600008</v>
      </c>
      <c r="X54" s="8">
        <v>8648.6516455000001</v>
      </c>
      <c r="Y54" s="8">
        <v>8798.7002460099993</v>
      </c>
      <c r="Z54" s="8">
        <v>9044.6336386900002</v>
      </c>
      <c r="AA54" s="8">
        <v>9219.2151092700005</v>
      </c>
      <c r="AB54" s="8">
        <v>9395.8772169999993</v>
      </c>
      <c r="AC54" s="8">
        <v>9680.4722841000003</v>
      </c>
    </row>
    <row r="55" spans="1:29" x14ac:dyDescent="0.85">
      <c r="A55" t="s">
        <v>186</v>
      </c>
      <c r="B55" s="8">
        <v>31.870060349999999</v>
      </c>
      <c r="C55" s="8">
        <v>32.524187759999997</v>
      </c>
      <c r="D55" s="8">
        <v>32.773830390000001</v>
      </c>
      <c r="E55" s="8">
        <v>32.977038890000003</v>
      </c>
      <c r="F55" s="8">
        <v>38.618018730000003</v>
      </c>
      <c r="G55" s="8">
        <v>44.51870212</v>
      </c>
      <c r="H55" s="8">
        <v>50.66961379</v>
      </c>
      <c r="I55" s="8">
        <v>50.322134419999998</v>
      </c>
      <c r="J55" s="8">
        <v>50.87433429</v>
      </c>
      <c r="K55" s="8">
        <v>41.523060270000002</v>
      </c>
      <c r="L55" s="8">
        <v>33.233268889999998</v>
      </c>
      <c r="M55" s="8">
        <v>32.556079490000002</v>
      </c>
      <c r="N55" s="8">
        <v>30.399943870000001</v>
      </c>
      <c r="O55" s="8">
        <v>28.465508379999999</v>
      </c>
      <c r="P55" s="8">
        <v>26.789680180000001</v>
      </c>
      <c r="Q55" s="8">
        <v>25.23669769</v>
      </c>
      <c r="R55" s="8">
        <v>23.982398960000001</v>
      </c>
      <c r="S55" s="8">
        <v>22.827900809999999</v>
      </c>
      <c r="T55" s="8">
        <v>21.98830676</v>
      </c>
      <c r="U55" s="8">
        <v>21.217074589999999</v>
      </c>
      <c r="V55" s="8">
        <v>20.507078180000001</v>
      </c>
      <c r="W55" s="8">
        <v>20.118490220000002</v>
      </c>
      <c r="X55" s="8">
        <v>19.65602647</v>
      </c>
      <c r="Y55" s="8">
        <v>19.127609230000001</v>
      </c>
      <c r="Z55" s="8">
        <v>18.842986750000001</v>
      </c>
      <c r="AA55" s="8">
        <v>18.438430220000001</v>
      </c>
      <c r="AB55" s="8">
        <v>18.06899465</v>
      </c>
      <c r="AC55" s="8">
        <v>17.926800530000001</v>
      </c>
    </row>
    <row r="56" spans="1:29" x14ac:dyDescent="0.85">
      <c r="A56" t="s">
        <v>187</v>
      </c>
      <c r="B56" s="8">
        <v>2346.4371251799998</v>
      </c>
      <c r="C56" s="8">
        <v>2398.5970149700001</v>
      </c>
      <c r="D56" s="8">
        <v>2435.9167736300001</v>
      </c>
      <c r="E56" s="8">
        <v>2519.0889442799999</v>
      </c>
      <c r="F56" s="8">
        <v>2830.8709415899998</v>
      </c>
      <c r="G56" s="8">
        <v>3160.4290656600001</v>
      </c>
      <c r="H56" s="8">
        <v>3509.1911390700002</v>
      </c>
      <c r="I56" s="8">
        <v>3878.47038165</v>
      </c>
      <c r="J56" s="8">
        <v>4281.8615392399997</v>
      </c>
      <c r="K56" s="8">
        <v>4236.8923129900004</v>
      </c>
      <c r="L56" s="8">
        <v>4198.4841530000003</v>
      </c>
      <c r="M56" s="8">
        <v>4252.6244588899999</v>
      </c>
      <c r="N56" s="8">
        <v>4298.47811723</v>
      </c>
      <c r="O56" s="8">
        <v>4345.3449400700001</v>
      </c>
      <c r="P56" s="8">
        <v>4394.0228825000004</v>
      </c>
      <c r="Q56" s="8">
        <v>4442.8906642299999</v>
      </c>
      <c r="R56" s="8">
        <v>4495.33276888</v>
      </c>
      <c r="S56" s="8">
        <v>4548.2319557999999</v>
      </c>
      <c r="T56" s="8">
        <v>4606.0342711800004</v>
      </c>
      <c r="U56" s="8">
        <v>4664.48910531</v>
      </c>
      <c r="V56" s="8">
        <v>4723.60409196</v>
      </c>
      <c r="W56" s="8">
        <v>4789.2443839099997</v>
      </c>
      <c r="X56" s="8">
        <v>4852.9088033199996</v>
      </c>
      <c r="Y56" s="8">
        <v>4914.7209583200001</v>
      </c>
      <c r="Z56" s="8">
        <v>4982.19403349</v>
      </c>
      <c r="AA56" s="8">
        <v>5046.4697296499999</v>
      </c>
      <c r="AB56" s="8">
        <v>5111.5059369500004</v>
      </c>
      <c r="AC56" s="8">
        <v>5182.7904325</v>
      </c>
    </row>
    <row r="57" spans="1:29" x14ac:dyDescent="0.85">
      <c r="A57" t="s">
        <v>188</v>
      </c>
      <c r="B57" s="8">
        <v>1586.9989238000001</v>
      </c>
      <c r="C57" s="8">
        <v>1619.5717986100001</v>
      </c>
      <c r="D57" s="8">
        <v>1632.00298262</v>
      </c>
      <c r="E57" s="8">
        <v>1642.12193675</v>
      </c>
      <c r="F57" s="8">
        <v>1923.0197079699999</v>
      </c>
      <c r="G57" s="8">
        <v>2216.8496564000002</v>
      </c>
      <c r="H57" s="8">
        <v>2523.1399519199999</v>
      </c>
      <c r="I57" s="8">
        <v>2505.8368978899998</v>
      </c>
      <c r="J57" s="8">
        <v>2533.33419736</v>
      </c>
      <c r="K57" s="8">
        <v>2067.6789195199999</v>
      </c>
      <c r="L57" s="8">
        <v>1654.8811448599999</v>
      </c>
      <c r="M57" s="8">
        <v>1621.1598765900001</v>
      </c>
      <c r="N57" s="8">
        <v>1513.7931231800001</v>
      </c>
      <c r="O57" s="8">
        <v>1417.46613153</v>
      </c>
      <c r="P57" s="8">
        <v>1334.0167274400001</v>
      </c>
      <c r="Q57" s="8">
        <v>1256.6845379399999</v>
      </c>
      <c r="R57" s="8">
        <v>1194.2255810300001</v>
      </c>
      <c r="S57" s="8">
        <v>1136.7362854</v>
      </c>
      <c r="T57" s="8">
        <v>1094.92792848</v>
      </c>
      <c r="U57" s="8">
        <v>1056.5237141299999</v>
      </c>
      <c r="V57" s="8">
        <v>1021.16879092</v>
      </c>
      <c r="W57" s="8">
        <v>1001.81869683</v>
      </c>
      <c r="X57" s="8">
        <v>978.78988937999998</v>
      </c>
      <c r="Y57" s="8">
        <v>952.47686780000004</v>
      </c>
      <c r="Z57" s="8">
        <v>938.30382985999995</v>
      </c>
      <c r="AA57" s="8">
        <v>918.15856598000005</v>
      </c>
      <c r="AB57" s="8">
        <v>899.76218247999998</v>
      </c>
      <c r="AC57" s="8">
        <v>892.68149559000005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1.0648222899999999</v>
      </c>
      <c r="E58" s="8">
        <v>1.0578739500000001</v>
      </c>
      <c r="F58" s="8">
        <v>1.0772334299999999</v>
      </c>
      <c r="G58" s="8">
        <v>1.16292313</v>
      </c>
      <c r="H58" s="8">
        <v>1.1566108399999999</v>
      </c>
      <c r="I58" s="8">
        <v>1.1512733500000001</v>
      </c>
      <c r="J58" s="8">
        <v>1.14999812</v>
      </c>
      <c r="K58" s="8">
        <v>1.1489345200000001</v>
      </c>
      <c r="L58" s="8">
        <v>1.03072681</v>
      </c>
      <c r="M58" s="8">
        <v>1.03222378</v>
      </c>
      <c r="N58" s="8">
        <v>1.0550991700000001</v>
      </c>
      <c r="O58" s="8">
        <v>1.0528983700000001</v>
      </c>
      <c r="P58" s="8">
        <v>1.0530240799999999</v>
      </c>
      <c r="Q58" s="8">
        <v>1.05333575</v>
      </c>
      <c r="R58" s="8">
        <v>1.0532514799999999</v>
      </c>
      <c r="S58" s="8">
        <v>1.05396208</v>
      </c>
      <c r="T58" s="8">
        <v>1.05392456</v>
      </c>
      <c r="U58" s="8">
        <v>1.0549049399999999</v>
      </c>
      <c r="V58" s="8">
        <v>1.0548863799999999</v>
      </c>
      <c r="W58" s="8">
        <v>1.05486814</v>
      </c>
      <c r="X58" s="8">
        <v>1.05614191</v>
      </c>
      <c r="Y58" s="8">
        <v>1.05551376</v>
      </c>
      <c r="Z58" s="8">
        <v>1.05493452</v>
      </c>
      <c r="AA58" s="8">
        <v>1.0559674699999999</v>
      </c>
      <c r="AB58" s="8">
        <v>1.05510529</v>
      </c>
      <c r="AC58" s="8">
        <v>1.05509111</v>
      </c>
    </row>
    <row r="59" spans="1:29" x14ac:dyDescent="0.85">
      <c r="A59" t="s">
        <v>190</v>
      </c>
      <c r="B59" s="8">
        <v>1</v>
      </c>
      <c r="C59" s="8">
        <v>1.0648222899999999</v>
      </c>
      <c r="D59" s="8">
        <v>1.0578739500000001</v>
      </c>
      <c r="E59" s="8">
        <v>1.0772334299999999</v>
      </c>
      <c r="F59" s="8">
        <v>1.17059142</v>
      </c>
      <c r="G59" s="8">
        <v>1.1629331300000001</v>
      </c>
      <c r="H59" s="8">
        <v>1.1566174600000001</v>
      </c>
      <c r="I59" s="8">
        <v>1.1512833499999999</v>
      </c>
      <c r="J59" s="8">
        <v>1.1500081200000001</v>
      </c>
      <c r="K59" s="8">
        <v>1.03072681</v>
      </c>
      <c r="L59" s="8">
        <v>1.03222378</v>
      </c>
      <c r="M59" s="8">
        <v>1.0550991700000001</v>
      </c>
      <c r="N59" s="8">
        <v>1.0528983700000001</v>
      </c>
      <c r="O59" s="8">
        <v>1.0530240799999999</v>
      </c>
      <c r="P59" s="8">
        <v>1.05333575</v>
      </c>
      <c r="Q59" s="8">
        <v>1.0532514799999999</v>
      </c>
      <c r="R59" s="8">
        <v>1.05396208</v>
      </c>
      <c r="S59" s="8">
        <v>1.05392456</v>
      </c>
      <c r="T59" s="8">
        <v>1.0549049399999999</v>
      </c>
      <c r="U59" s="8">
        <v>1.0548863799999999</v>
      </c>
      <c r="V59" s="8">
        <v>1.05486814</v>
      </c>
      <c r="W59" s="8">
        <v>1.05614191</v>
      </c>
      <c r="X59" s="8">
        <v>1.05551376</v>
      </c>
      <c r="Y59" s="8">
        <v>1.05493452</v>
      </c>
      <c r="Z59" s="8">
        <v>1.0559674699999999</v>
      </c>
      <c r="AA59" s="8">
        <v>1.05510529</v>
      </c>
      <c r="AB59" s="8">
        <v>1.05509111</v>
      </c>
      <c r="AC59" s="8">
        <v>1.0561936300000001</v>
      </c>
    </row>
    <row r="60" spans="1:29" x14ac:dyDescent="0.85">
      <c r="A60" t="s">
        <v>191</v>
      </c>
      <c r="B60" s="8">
        <v>1</v>
      </c>
      <c r="C60" s="8">
        <v>1.16618983</v>
      </c>
      <c r="D60" s="8">
        <v>1.1678101400000001</v>
      </c>
      <c r="E60" s="8">
        <v>1.17011416</v>
      </c>
      <c r="F60" s="8">
        <v>1.17059142</v>
      </c>
      <c r="G60" s="8">
        <v>1.1629331300000001</v>
      </c>
      <c r="H60" s="8">
        <v>1.15662084</v>
      </c>
      <c r="I60" s="8">
        <v>1.1512833499999999</v>
      </c>
      <c r="J60" s="8">
        <v>1.1500081200000001</v>
      </c>
      <c r="K60" s="8">
        <v>1.1489445199999999</v>
      </c>
      <c r="L60" s="8">
        <v>1.1571445600000001</v>
      </c>
      <c r="M60" s="8">
        <v>1.1657554000000001</v>
      </c>
      <c r="N60" s="8">
        <v>1.16845625</v>
      </c>
      <c r="O60" s="8">
        <v>1.1723518900000001</v>
      </c>
      <c r="P60" s="8">
        <v>1.1762587600000001</v>
      </c>
      <c r="Q60" s="8">
        <v>1.18012282</v>
      </c>
      <c r="R60" s="8">
        <v>1.1840561700000001</v>
      </c>
      <c r="S60" s="8">
        <v>1.18782645</v>
      </c>
      <c r="T60" s="8">
        <v>1.1916482900000001</v>
      </c>
      <c r="U60" s="8">
        <v>1.19521576</v>
      </c>
      <c r="V60" s="8">
        <v>1.19882172</v>
      </c>
      <c r="W60" s="8">
        <v>1.2024667099999999</v>
      </c>
      <c r="X60" s="8">
        <v>1.20574906</v>
      </c>
      <c r="Y60" s="8">
        <v>1.20925192</v>
      </c>
      <c r="Z60" s="8">
        <v>1.21296768</v>
      </c>
      <c r="AA60" s="8">
        <v>1.21638563</v>
      </c>
      <c r="AB60" s="8">
        <v>1.2201085700000001</v>
      </c>
      <c r="AC60" s="8">
        <v>1.22386917</v>
      </c>
    </row>
    <row r="61" spans="1:29" x14ac:dyDescent="0.85">
      <c r="A61" t="s">
        <v>192</v>
      </c>
      <c r="B61" s="8">
        <v>21862</v>
      </c>
      <c r="C61" s="8">
        <v>21315.45</v>
      </c>
      <c r="D61" s="8">
        <v>20782.563750000001</v>
      </c>
      <c r="E61" s="8">
        <v>20262.999656249998</v>
      </c>
      <c r="F61" s="8">
        <v>19756.42466484</v>
      </c>
      <c r="G61" s="8">
        <v>19262.51404822</v>
      </c>
      <c r="H61" s="8">
        <v>18780.95119702</v>
      </c>
      <c r="I61" s="8">
        <v>18311.427417089999</v>
      </c>
      <c r="J61" s="8">
        <v>17853.641731659998</v>
      </c>
      <c r="K61" s="8">
        <v>17407.30068837</v>
      </c>
      <c r="L61" s="8">
        <v>16972.11817116</v>
      </c>
      <c r="M61" s="8">
        <v>16547.815216880001</v>
      </c>
      <c r="N61" s="8">
        <v>16134.11983646</v>
      </c>
      <c r="O61" s="8">
        <v>15730.766840550001</v>
      </c>
      <c r="P61" s="8">
        <v>15337.49766954</v>
      </c>
      <c r="Q61" s="8">
        <v>14954.060227800001</v>
      </c>
      <c r="R61" s="8">
        <v>14580.2087221</v>
      </c>
      <c r="S61" s="8">
        <v>14215.70350405</v>
      </c>
      <c r="T61" s="8">
        <v>13860.31091645</v>
      </c>
      <c r="U61" s="8">
        <v>13513.803143540001</v>
      </c>
      <c r="V61" s="8">
        <v>13175.95806495</v>
      </c>
      <c r="W61" s="8">
        <v>12846.55911333</v>
      </c>
      <c r="X61" s="8">
        <v>12525.39513549</v>
      </c>
      <c r="Y61" s="8">
        <v>12212.26025711</v>
      </c>
      <c r="Z61" s="8">
        <v>11906.953750680001</v>
      </c>
      <c r="AA61" s="8">
        <v>11609.27990691</v>
      </c>
      <c r="AB61" s="8">
        <v>11319.04790924</v>
      </c>
      <c r="AC61" s="8">
        <v>11036.07171151</v>
      </c>
    </row>
    <row r="62" spans="1:29" x14ac:dyDescent="0.85">
      <c r="A62" t="s">
        <v>193</v>
      </c>
      <c r="B62" s="8">
        <v>88768710.25</v>
      </c>
      <c r="C62" s="8">
        <v>85871378.8680287</v>
      </c>
      <c r="D62" s="8">
        <v>83724432.308371693</v>
      </c>
      <c r="E62" s="8">
        <v>81631090.758298993</v>
      </c>
      <c r="F62" s="8">
        <v>68307331.653347194</v>
      </c>
      <c r="G62" s="8">
        <v>53870844.555085003</v>
      </c>
      <c r="H62" s="8">
        <v>38619492.724015303</v>
      </c>
      <c r="I62" s="8">
        <v>20976656.023860499</v>
      </c>
      <c r="J62" s="8">
        <v>0.20527808</v>
      </c>
      <c r="K62" s="8">
        <v>4.8999999999999997E-7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88768710.25</v>
      </c>
      <c r="C63" s="8">
        <v>85871378.8680287</v>
      </c>
      <c r="D63" s="8">
        <v>83724432.308371693</v>
      </c>
      <c r="E63" s="8">
        <v>81631090.758298993</v>
      </c>
      <c r="F63" s="8">
        <v>68307331.653347194</v>
      </c>
      <c r="G63" s="8">
        <v>53870844.555085003</v>
      </c>
      <c r="H63" s="8">
        <v>38619492.724015303</v>
      </c>
      <c r="I63" s="8">
        <v>20976656.023860499</v>
      </c>
      <c r="J63" s="8">
        <v>0.20527808</v>
      </c>
      <c r="K63" s="8">
        <v>4.8999999999999997E-7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7461.3124772299998</v>
      </c>
      <c r="C64" s="8">
        <v>7258.9931800900004</v>
      </c>
      <c r="D64" s="8">
        <v>7077.5145771799998</v>
      </c>
      <c r="E64" s="8">
        <v>6900.57134107</v>
      </c>
      <c r="F64" s="8">
        <v>6465.3892403999998</v>
      </c>
      <c r="G64" s="8">
        <v>6007.4279567599997</v>
      </c>
      <c r="H64" s="8">
        <v>5533.54361875</v>
      </c>
      <c r="I64" s="8">
        <v>5006.9563346699997</v>
      </c>
      <c r="J64" s="8">
        <v>4405.6542926499997</v>
      </c>
      <c r="K64" s="8">
        <v>4295.5129306700001</v>
      </c>
      <c r="L64" s="8">
        <v>4188.1251074100001</v>
      </c>
      <c r="M64" s="8">
        <v>4083.4219797199999</v>
      </c>
      <c r="N64" s="8">
        <v>3981.3364302300001</v>
      </c>
      <c r="O64" s="8">
        <v>3881.80301947</v>
      </c>
      <c r="P64" s="8">
        <v>3784.7579439900001</v>
      </c>
      <c r="Q64" s="8">
        <v>3690.1389953900002</v>
      </c>
      <c r="R64" s="8">
        <v>3597.8855205</v>
      </c>
      <c r="S64" s="8">
        <v>3507.9383824900001</v>
      </c>
      <c r="T64" s="8">
        <v>3420.2399229299999</v>
      </c>
      <c r="U64" s="8">
        <v>3334.7339248500002</v>
      </c>
      <c r="V64" s="8">
        <v>3251.3655767300002</v>
      </c>
      <c r="W64" s="8">
        <v>3170.0814373100002</v>
      </c>
      <c r="X64" s="8">
        <v>3090.82940138</v>
      </c>
      <c r="Y64" s="8">
        <v>3013.5586663499998</v>
      </c>
      <c r="Z64" s="8">
        <v>2938.2196996900002</v>
      </c>
      <c r="AA64" s="8">
        <v>2864.7642071999999</v>
      </c>
      <c r="AB64" s="8">
        <v>2793.1451020200002</v>
      </c>
      <c r="AC64" s="8">
        <v>2723.3164744699998</v>
      </c>
    </row>
    <row r="65" spans="1:29" x14ac:dyDescent="0.85">
      <c r="A65" t="s">
        <v>196</v>
      </c>
      <c r="B65" s="8">
        <v>0</v>
      </c>
      <c r="C65" s="8">
        <v>1408.29061344</v>
      </c>
      <c r="D65" s="8">
        <v>2746.1613797099999</v>
      </c>
      <c r="E65" s="8">
        <v>4016.2496653100002</v>
      </c>
      <c r="F65" s="8">
        <v>4480.9609564599996</v>
      </c>
      <c r="G65" s="8">
        <v>4417.4092535199998</v>
      </c>
      <c r="H65" s="8">
        <v>3800.1580840400002</v>
      </c>
      <c r="I65" s="8">
        <v>2408.1201115399999</v>
      </c>
      <c r="J65" s="8">
        <v>2.6930000000000001E-5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72.7903424</v>
      </c>
      <c r="C66" s="8">
        <v>70.414530670000005</v>
      </c>
      <c r="D66" s="8">
        <v>68.654034490000001</v>
      </c>
      <c r="E66" s="8">
        <v>66.937494419999993</v>
      </c>
      <c r="F66" s="8">
        <v>56.012011960000002</v>
      </c>
      <c r="G66" s="8">
        <v>44.174092539999997</v>
      </c>
      <c r="H66" s="8">
        <v>31.66798403</v>
      </c>
      <c r="I66" s="8">
        <v>17.200857939999999</v>
      </c>
      <c r="J66" s="8">
        <v>1.6999999999999999E-7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5394.7769026100004</v>
      </c>
      <c r="C67" s="8">
        <v>5259.9074800400003</v>
      </c>
      <c r="D67" s="8">
        <v>5128.4097930400003</v>
      </c>
      <c r="E67" s="8">
        <v>5000.19954822</v>
      </c>
      <c r="F67" s="8">
        <v>4875.1945595099996</v>
      </c>
      <c r="G67" s="8">
        <v>4753.31469552</v>
      </c>
      <c r="H67" s="8">
        <v>4634.4818281300004</v>
      </c>
      <c r="I67" s="8">
        <v>4518.6197824299998</v>
      </c>
      <c r="J67" s="8">
        <v>4405.6542878700002</v>
      </c>
      <c r="K67" s="8">
        <v>4295.5129306700001</v>
      </c>
      <c r="L67" s="8">
        <v>4188.1251074100001</v>
      </c>
      <c r="M67" s="8">
        <v>4083.4219797199999</v>
      </c>
      <c r="N67" s="8">
        <v>3981.3364302300001</v>
      </c>
      <c r="O67" s="8">
        <v>3881.80301947</v>
      </c>
      <c r="P67" s="8">
        <v>3784.7579439900001</v>
      </c>
      <c r="Q67" s="8">
        <v>3690.1389953900002</v>
      </c>
      <c r="R67" s="8">
        <v>3597.8855205</v>
      </c>
      <c r="S67" s="8">
        <v>3507.9383824900001</v>
      </c>
      <c r="T67" s="8">
        <v>3420.2399229299999</v>
      </c>
      <c r="U67" s="8">
        <v>3334.7339248500002</v>
      </c>
      <c r="V67" s="8">
        <v>3251.3655767300002</v>
      </c>
      <c r="W67" s="8">
        <v>3170.0814373100002</v>
      </c>
      <c r="X67" s="8">
        <v>3090.82940138</v>
      </c>
      <c r="Y67" s="8">
        <v>3013.5586663499998</v>
      </c>
      <c r="Z67" s="8">
        <v>2938.2196996900002</v>
      </c>
      <c r="AA67" s="8">
        <v>2864.7642071999999</v>
      </c>
      <c r="AB67" s="8">
        <v>2793.1451020200002</v>
      </c>
      <c r="AC67" s="8">
        <v>2723.3164744699998</v>
      </c>
    </row>
    <row r="68" spans="1:29" x14ac:dyDescent="0.85">
      <c r="A68" t="s">
        <v>199</v>
      </c>
      <c r="B68" s="8">
        <v>2066.5355746199998</v>
      </c>
      <c r="C68" s="8">
        <v>1999.08570005</v>
      </c>
      <c r="D68" s="8">
        <v>1949.10478414</v>
      </c>
      <c r="E68" s="8">
        <v>1900.37179285</v>
      </c>
      <c r="F68" s="8">
        <v>1590.19468089</v>
      </c>
      <c r="G68" s="8">
        <v>1254.1132612399999</v>
      </c>
      <c r="H68" s="8">
        <v>899.06179062000001</v>
      </c>
      <c r="I68" s="8">
        <v>488.33655224</v>
      </c>
      <c r="J68" s="8">
        <v>4.78E-6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0.99216501999999995</v>
      </c>
      <c r="E69" s="8">
        <v>0.99999806000000002</v>
      </c>
      <c r="F69" s="8">
        <v>0.99999716999999999</v>
      </c>
      <c r="G69" s="8">
        <v>0.85823674999999999</v>
      </c>
      <c r="H69" s="8">
        <v>0.80887580999999997</v>
      </c>
      <c r="I69" s="8">
        <v>0.73527222999999997</v>
      </c>
      <c r="J69" s="8">
        <v>0.55708963</v>
      </c>
      <c r="K69" s="8">
        <v>1E-8</v>
      </c>
      <c r="L69" s="8">
        <v>2.4499999999999998E-6</v>
      </c>
      <c r="M69" s="8">
        <v>1.6199999999999999E-6</v>
      </c>
      <c r="N69" s="8">
        <v>0</v>
      </c>
      <c r="O69" s="8">
        <v>8.2999999999999999E-7</v>
      </c>
      <c r="P69" s="8">
        <v>5.0370000000000001E-5</v>
      </c>
      <c r="Q69" s="8">
        <v>1.4929999999999999E-5</v>
      </c>
      <c r="R69" s="8">
        <v>1.8130000000000001E-5</v>
      </c>
      <c r="S69" s="8">
        <v>4.4780000000000002E-5</v>
      </c>
      <c r="T69" s="8">
        <v>3.3810000000000003E-5</v>
      </c>
      <c r="U69" s="8">
        <v>7.3040000000000005E-5</v>
      </c>
      <c r="V69" s="8">
        <v>6.3579999999999998E-5</v>
      </c>
      <c r="W69" s="8">
        <v>4.3529999999999998E-5</v>
      </c>
      <c r="X69" s="8">
        <v>1.0370000000000001E-5</v>
      </c>
      <c r="Y69" s="8">
        <v>1.257E-5</v>
      </c>
      <c r="Z69" s="8">
        <v>7.0980000000000001E-5</v>
      </c>
      <c r="AA69" s="8">
        <v>8.0499999999999992E-6</v>
      </c>
      <c r="AB69" s="8">
        <v>2.427E-5</v>
      </c>
      <c r="AC69" s="8">
        <v>1.6779999999999999E-5</v>
      </c>
    </row>
    <row r="70" spans="1:29" x14ac:dyDescent="0.85">
      <c r="A70" t="s">
        <v>201</v>
      </c>
      <c r="B70" s="8">
        <v>1</v>
      </c>
      <c r="C70" s="8">
        <v>0.99216501999999995</v>
      </c>
      <c r="D70" s="8">
        <v>0.99999806000000002</v>
      </c>
      <c r="E70" s="8">
        <v>0.99999716999999999</v>
      </c>
      <c r="F70" s="8">
        <v>0.85823674999999999</v>
      </c>
      <c r="G70" s="8">
        <v>0.80887580999999997</v>
      </c>
      <c r="H70" s="8">
        <v>0.73527222999999997</v>
      </c>
      <c r="I70" s="8">
        <v>0.55708963</v>
      </c>
      <c r="J70" s="8">
        <v>1E-8</v>
      </c>
      <c r="K70" s="8">
        <v>2.4499999999999998E-6</v>
      </c>
      <c r="L70" s="8">
        <v>1.6199999999999999E-6</v>
      </c>
      <c r="M70" s="8">
        <v>0</v>
      </c>
      <c r="N70" s="8">
        <v>8.2999999999999999E-7</v>
      </c>
      <c r="O70" s="8">
        <v>5.0370000000000001E-5</v>
      </c>
      <c r="P70" s="8">
        <v>1.4929999999999999E-5</v>
      </c>
      <c r="Q70" s="8">
        <v>1.8130000000000001E-5</v>
      </c>
      <c r="R70" s="8">
        <v>4.4780000000000002E-5</v>
      </c>
      <c r="S70" s="8">
        <v>3.3810000000000003E-5</v>
      </c>
      <c r="T70" s="8">
        <v>7.3040000000000005E-5</v>
      </c>
      <c r="U70" s="8">
        <v>6.3579999999999998E-5</v>
      </c>
      <c r="V70" s="8">
        <v>4.3529999999999998E-5</v>
      </c>
      <c r="W70" s="8">
        <v>1.0370000000000001E-5</v>
      </c>
      <c r="X70" s="8">
        <v>1.257E-5</v>
      </c>
      <c r="Y70" s="8">
        <v>7.0980000000000001E-5</v>
      </c>
      <c r="Z70" s="8">
        <v>8.0499999999999992E-6</v>
      </c>
      <c r="AA70" s="8">
        <v>2.427E-5</v>
      </c>
      <c r="AB70" s="8">
        <v>1.6779999999999999E-5</v>
      </c>
      <c r="AC70" s="8">
        <v>5.1239999999999997E-5</v>
      </c>
    </row>
    <row r="71" spans="1:29" x14ac:dyDescent="0.85">
      <c r="A71" t="s">
        <v>202</v>
      </c>
      <c r="B71" s="8">
        <v>1</v>
      </c>
      <c r="C71" s="8">
        <v>1.4077618999999999</v>
      </c>
      <c r="D71" s="8">
        <v>1.4310512500000001</v>
      </c>
      <c r="E71" s="8">
        <v>1.4548244299999999</v>
      </c>
      <c r="F71" s="8">
        <v>1.4826674399999999</v>
      </c>
      <c r="G71" s="8">
        <v>1.5261434</v>
      </c>
      <c r="H71" s="8">
        <v>1.5739607499999999</v>
      </c>
      <c r="I71" s="8">
        <v>1.6262169099999999</v>
      </c>
      <c r="J71" s="8">
        <v>1.7005150200000001</v>
      </c>
      <c r="K71" s="8">
        <v>1.78425386</v>
      </c>
      <c r="L71" s="8">
        <v>1.84494224</v>
      </c>
      <c r="M71" s="8">
        <v>1.9110663999999999</v>
      </c>
      <c r="N71" s="8">
        <v>1.96285263</v>
      </c>
      <c r="O71" s="8">
        <v>2.0231046199999998</v>
      </c>
      <c r="P71" s="8">
        <v>2.0867132499999999</v>
      </c>
      <c r="Q71" s="8">
        <v>2.1536786800000001</v>
      </c>
      <c r="R71" s="8">
        <v>2.2245588700000001</v>
      </c>
      <c r="S71" s="8">
        <v>2.2987553799999998</v>
      </c>
      <c r="T71" s="8">
        <v>2.3771963600000001</v>
      </c>
      <c r="U71" s="8">
        <v>2.4589851899999999</v>
      </c>
      <c r="V71" s="8">
        <v>2.5453718099999998</v>
      </c>
      <c r="W71" s="8">
        <v>2.6366048599999998</v>
      </c>
      <c r="X71" s="8">
        <v>2.7313378799999999</v>
      </c>
      <c r="Y71" s="8">
        <v>2.8320907100000001</v>
      </c>
      <c r="Z71" s="8">
        <v>2.9391828000000002</v>
      </c>
      <c r="AA71" s="8">
        <v>3.0507601000000002</v>
      </c>
      <c r="AB71" s="8">
        <v>3.1696959300000001</v>
      </c>
      <c r="AC71" s="8">
        <v>3.2951995200000002</v>
      </c>
    </row>
    <row r="72" spans="1:29" x14ac:dyDescent="0.85">
      <c r="A72" t="s">
        <v>203</v>
      </c>
      <c r="B72" s="8">
        <v>0</v>
      </c>
      <c r="C72" s="8">
        <v>7.0523633300000004</v>
      </c>
      <c r="D72" s="8">
        <v>7.7073292799999997</v>
      </c>
      <c r="E72" s="8">
        <v>6.9382889399999996</v>
      </c>
      <c r="F72" s="8">
        <v>6.2445103</v>
      </c>
      <c r="G72" s="8">
        <v>8.8496751400000004</v>
      </c>
      <c r="H72" s="8">
        <v>7.9668901099999996</v>
      </c>
      <c r="I72" s="8">
        <v>7.1702010999999999</v>
      </c>
      <c r="J72" s="8">
        <v>312.72005726999998</v>
      </c>
      <c r="K72" s="8">
        <v>281.44805156000001</v>
      </c>
      <c r="L72" s="8">
        <v>253.30334447000001</v>
      </c>
      <c r="M72" s="8">
        <v>227.97310342</v>
      </c>
      <c r="N72" s="8">
        <v>205.17580874000001</v>
      </c>
      <c r="O72" s="8">
        <v>184.65825204000001</v>
      </c>
      <c r="P72" s="8">
        <v>166.19242682999999</v>
      </c>
      <c r="Q72" s="8">
        <v>149.57318415</v>
      </c>
      <c r="R72" s="8">
        <v>134.61586574</v>
      </c>
      <c r="S72" s="8">
        <v>121.15427955</v>
      </c>
      <c r="T72" s="8">
        <v>109.03885438</v>
      </c>
      <c r="U72" s="8">
        <v>98.134968939999993</v>
      </c>
      <c r="V72" s="8">
        <v>88.321477639999998</v>
      </c>
      <c r="W72" s="8">
        <v>79.489331059999998</v>
      </c>
      <c r="X72" s="8">
        <v>71.54039856</v>
      </c>
      <c r="Y72" s="8">
        <v>64.386380419999995</v>
      </c>
      <c r="Z72" s="8">
        <v>57.947778149999998</v>
      </c>
      <c r="AA72" s="8">
        <v>52.153081210000003</v>
      </c>
      <c r="AB72" s="8">
        <v>46.937773810000003</v>
      </c>
      <c r="AC72" s="8">
        <v>42.244019459999997</v>
      </c>
    </row>
    <row r="73" spans="1:29" x14ac:dyDescent="0.85">
      <c r="A73" t="s">
        <v>204</v>
      </c>
      <c r="B73" s="8">
        <v>0</v>
      </c>
      <c r="C73" s="8">
        <v>1.76308712</v>
      </c>
      <c r="D73" s="8">
        <v>1.9268320000000001</v>
      </c>
      <c r="E73" s="8">
        <v>1.73457006</v>
      </c>
      <c r="F73" s="8">
        <v>1.5611266100000001</v>
      </c>
      <c r="G73" s="8">
        <v>2.21241873</v>
      </c>
      <c r="H73" s="8">
        <v>1.99172086</v>
      </c>
      <c r="I73" s="8">
        <v>1.79254852</v>
      </c>
      <c r="J73" s="8">
        <v>78.180014180000001</v>
      </c>
      <c r="K73" s="8">
        <v>70.362012890000003</v>
      </c>
      <c r="L73" s="8">
        <v>63.32583606</v>
      </c>
      <c r="M73" s="8">
        <v>56.993268329999999</v>
      </c>
      <c r="N73" s="8">
        <v>51.293952179999998</v>
      </c>
      <c r="O73" s="8">
        <v>46.164563010000002</v>
      </c>
      <c r="P73" s="8">
        <v>41.548105249999999</v>
      </c>
      <c r="Q73" s="8">
        <v>37.393284289999997</v>
      </c>
      <c r="R73" s="8">
        <v>33.653966429999997</v>
      </c>
      <c r="S73" s="8">
        <v>30.28856983</v>
      </c>
      <c r="T73" s="8">
        <v>27.25971359</v>
      </c>
      <c r="U73" s="8">
        <v>24.533742010000001</v>
      </c>
      <c r="V73" s="8">
        <v>22.080369399999999</v>
      </c>
      <c r="W73" s="8">
        <v>19.872332740000001</v>
      </c>
      <c r="X73" s="8">
        <v>17.88509956</v>
      </c>
      <c r="Y73" s="8">
        <v>16.096595099999998</v>
      </c>
      <c r="Z73" s="8">
        <v>14.48694454</v>
      </c>
      <c r="AA73" s="8">
        <v>13.038270300000001</v>
      </c>
      <c r="AB73" s="8">
        <v>11.73444317</v>
      </c>
      <c r="AC73" s="8">
        <v>10.56100487</v>
      </c>
    </row>
    <row r="74" spans="1:29" x14ac:dyDescent="0.85">
      <c r="A74" t="s">
        <v>205</v>
      </c>
      <c r="B74" s="8">
        <v>0</v>
      </c>
      <c r="C74" s="8">
        <v>1.76308712</v>
      </c>
      <c r="D74" s="8">
        <v>1.9268320000000001</v>
      </c>
      <c r="E74" s="8">
        <v>1.73457006</v>
      </c>
      <c r="F74" s="8">
        <v>1.5611266100000001</v>
      </c>
      <c r="G74" s="8">
        <v>2.21241873</v>
      </c>
      <c r="H74" s="8">
        <v>1.99172086</v>
      </c>
      <c r="I74" s="8">
        <v>1.79254852</v>
      </c>
      <c r="J74" s="8">
        <v>78.180014180000001</v>
      </c>
      <c r="K74" s="8">
        <v>70.362012890000003</v>
      </c>
      <c r="L74" s="8">
        <v>63.32583606</v>
      </c>
      <c r="M74" s="8">
        <v>56.993268329999999</v>
      </c>
      <c r="N74" s="8">
        <v>51.293952179999998</v>
      </c>
      <c r="O74" s="8">
        <v>46.164563010000002</v>
      </c>
      <c r="P74" s="8">
        <v>41.548105249999999</v>
      </c>
      <c r="Q74" s="8">
        <v>37.393284289999997</v>
      </c>
      <c r="R74" s="8">
        <v>33.653966429999997</v>
      </c>
      <c r="S74" s="8">
        <v>30.28856983</v>
      </c>
      <c r="T74" s="8">
        <v>27.25971359</v>
      </c>
      <c r="U74" s="8">
        <v>24.533742010000001</v>
      </c>
      <c r="V74" s="8">
        <v>22.080369399999999</v>
      </c>
      <c r="W74" s="8">
        <v>19.872332740000001</v>
      </c>
      <c r="X74" s="8">
        <v>17.88509956</v>
      </c>
      <c r="Y74" s="8">
        <v>16.096595099999998</v>
      </c>
      <c r="Z74" s="8">
        <v>14.48694454</v>
      </c>
      <c r="AA74" s="8">
        <v>13.038270300000001</v>
      </c>
      <c r="AB74" s="8">
        <v>11.73444317</v>
      </c>
      <c r="AC74" s="8">
        <v>10.56100487</v>
      </c>
    </row>
    <row r="75" spans="1:29" x14ac:dyDescent="0.85">
      <c r="A75" t="s">
        <v>206</v>
      </c>
      <c r="B75" s="8">
        <v>0</v>
      </c>
      <c r="C75" s="8">
        <v>1.3630118099999999</v>
      </c>
      <c r="D75" s="8">
        <v>1.4895972200000001</v>
      </c>
      <c r="E75" s="8">
        <v>1.34096463</v>
      </c>
      <c r="F75" s="8">
        <v>1.20687788</v>
      </c>
      <c r="G75" s="8">
        <v>1.7103786599999999</v>
      </c>
      <c r="H75" s="8">
        <v>1.5397626</v>
      </c>
      <c r="I75" s="8">
        <v>1.3857863399999999</v>
      </c>
      <c r="J75" s="8">
        <v>60.439474099999998</v>
      </c>
      <c r="K75" s="8">
        <v>54.395526699999998</v>
      </c>
      <c r="L75" s="8">
        <v>48.955992979999998</v>
      </c>
      <c r="M75" s="8">
        <v>44.060411729999998</v>
      </c>
      <c r="N75" s="8">
        <v>39.654373589999999</v>
      </c>
      <c r="O75" s="8">
        <v>35.688940899999999</v>
      </c>
      <c r="P75" s="8">
        <v>32.120046809999998</v>
      </c>
      <c r="Q75" s="8">
        <v>28.908042129999998</v>
      </c>
      <c r="R75" s="8">
        <v>26.017237919999999</v>
      </c>
      <c r="S75" s="8">
        <v>23.4155142</v>
      </c>
      <c r="T75" s="8">
        <v>21.073963320000001</v>
      </c>
      <c r="U75" s="8">
        <v>18.96656698</v>
      </c>
      <c r="V75" s="8">
        <v>17.06991137</v>
      </c>
      <c r="W75" s="8">
        <v>15.36292046</v>
      </c>
      <c r="X75" s="8">
        <v>13.826628530000001</v>
      </c>
      <c r="Y75" s="8">
        <v>12.44396987</v>
      </c>
      <c r="Z75" s="8">
        <v>11.1995798</v>
      </c>
      <c r="AA75" s="8">
        <v>10.07963745</v>
      </c>
      <c r="AB75" s="8">
        <v>9.0716738499999998</v>
      </c>
      <c r="AC75" s="8">
        <v>8.1645109100000006</v>
      </c>
    </row>
    <row r="76" spans="1:29" x14ac:dyDescent="0.85">
      <c r="A76" t="s">
        <v>207</v>
      </c>
      <c r="B76" s="8">
        <v>0</v>
      </c>
      <c r="C76" s="8">
        <v>3.9199999999999997E-6</v>
      </c>
      <c r="D76" s="8">
        <v>8.5699999999999993E-6</v>
      </c>
      <c r="E76" s="8">
        <v>1.1579999999999999E-5</v>
      </c>
      <c r="F76" s="8">
        <v>1.3890000000000001E-5</v>
      </c>
      <c r="G76" s="8">
        <v>2.461E-5</v>
      </c>
      <c r="H76" s="8">
        <v>2.6590000000000001E-5</v>
      </c>
      <c r="I76" s="8">
        <v>2.792E-5</v>
      </c>
      <c r="J76" s="8">
        <v>1.3916E-3</v>
      </c>
      <c r="K76" s="8">
        <v>1.4090000000000001E-3</v>
      </c>
      <c r="L76" s="8">
        <v>1.4090000000000001E-3</v>
      </c>
      <c r="M76" s="8">
        <v>1.3949100000000001E-3</v>
      </c>
      <c r="N76" s="8">
        <v>1.36955E-3</v>
      </c>
      <c r="O76" s="8">
        <v>1.3353099999999999E-3</v>
      </c>
      <c r="P76" s="8">
        <v>1.29422E-3</v>
      </c>
      <c r="Q76" s="8">
        <v>1.248E-3</v>
      </c>
      <c r="R76" s="8">
        <v>1.19808E-3</v>
      </c>
      <c r="S76" s="8">
        <v>1.1456700000000001E-3</v>
      </c>
      <c r="T76" s="8">
        <v>1.0917500000000001E-3</v>
      </c>
      <c r="U76" s="8">
        <v>1.0371600000000001E-3</v>
      </c>
      <c r="V76" s="8">
        <v>9.8258000000000004E-4</v>
      </c>
      <c r="W76" s="8">
        <v>9.2853E-4</v>
      </c>
      <c r="X76" s="8">
        <v>8.7547999999999999E-4</v>
      </c>
      <c r="Y76" s="8">
        <v>8.2374E-4</v>
      </c>
      <c r="Z76" s="8">
        <v>7.7360000000000005E-4</v>
      </c>
      <c r="AA76" s="8">
        <v>7.2524999999999998E-4</v>
      </c>
      <c r="AB76" s="8">
        <v>6.7884E-4</v>
      </c>
      <c r="AC76" s="8">
        <v>6.3445000000000005E-4</v>
      </c>
    </row>
    <row r="77" spans="1:29" x14ac:dyDescent="0.85">
      <c r="A77" t="s">
        <v>208</v>
      </c>
      <c r="B77" s="8">
        <v>0</v>
      </c>
      <c r="C77" s="8">
        <v>1.9999999999999999E-7</v>
      </c>
      <c r="D77" s="8">
        <v>2.1E-7</v>
      </c>
      <c r="E77" s="8">
        <v>1.9000000000000001E-7</v>
      </c>
      <c r="F77" s="8">
        <v>1.6999999999999999E-7</v>
      </c>
      <c r="G77" s="8">
        <v>2.4999999999999999E-7</v>
      </c>
      <c r="H77" s="8">
        <v>2.2000000000000001E-7</v>
      </c>
      <c r="I77" s="8">
        <v>1.9999999999999999E-7</v>
      </c>
      <c r="J77" s="8">
        <v>8.6999999999999997E-6</v>
      </c>
      <c r="K77" s="8">
        <v>7.8299999999999996E-6</v>
      </c>
      <c r="L77" s="8">
        <v>7.0400000000000004E-6</v>
      </c>
      <c r="M77" s="8">
        <v>6.3400000000000003E-6</v>
      </c>
      <c r="N77" s="8">
        <v>5.7100000000000004E-6</v>
      </c>
      <c r="O77" s="8">
        <v>5.1399999999999999E-6</v>
      </c>
      <c r="P77" s="8">
        <v>4.6199999999999998E-6</v>
      </c>
      <c r="Q77" s="8">
        <v>4.16E-6</v>
      </c>
      <c r="R77" s="8">
        <v>3.7400000000000002E-6</v>
      </c>
      <c r="S77" s="8">
        <v>3.3699999999999999E-6</v>
      </c>
      <c r="T77" s="8">
        <v>3.0299999999999998E-6</v>
      </c>
      <c r="U77" s="8">
        <v>2.7300000000000001E-6</v>
      </c>
      <c r="V77" s="8">
        <v>2.4600000000000002E-6</v>
      </c>
      <c r="W77" s="8">
        <v>2.21E-6</v>
      </c>
      <c r="X77" s="8">
        <v>1.99E-6</v>
      </c>
      <c r="Y77" s="8">
        <v>1.79E-6</v>
      </c>
      <c r="Z77" s="8">
        <v>1.61E-6</v>
      </c>
      <c r="AA77" s="8">
        <v>1.4500000000000001E-6</v>
      </c>
      <c r="AB77" s="8">
        <v>1.31E-6</v>
      </c>
      <c r="AC77" s="8">
        <v>1.17E-6</v>
      </c>
    </row>
    <row r="78" spans="1:29" x14ac:dyDescent="0.85">
      <c r="A78" t="s">
        <v>209</v>
      </c>
      <c r="B78" s="8">
        <v>0</v>
      </c>
      <c r="C78" s="8">
        <v>1.3629875300000001</v>
      </c>
      <c r="D78" s="8">
        <v>1.4895706900000001</v>
      </c>
      <c r="E78" s="8">
        <v>1.34094074</v>
      </c>
      <c r="F78" s="8">
        <v>1.2068563800000001</v>
      </c>
      <c r="G78" s="8">
        <v>1.7103481899999999</v>
      </c>
      <c r="H78" s="8">
        <v>1.5397351699999999</v>
      </c>
      <c r="I78" s="8">
        <v>1.38576166</v>
      </c>
      <c r="J78" s="8">
        <v>60.438397559999999</v>
      </c>
      <c r="K78" s="8">
        <v>54.394557810000002</v>
      </c>
      <c r="L78" s="8">
        <v>48.955120979999997</v>
      </c>
      <c r="M78" s="8">
        <v>44.059626940000001</v>
      </c>
      <c r="N78" s="8">
        <v>39.65366727</v>
      </c>
      <c r="O78" s="8">
        <v>35.688305210000003</v>
      </c>
      <c r="P78" s="8">
        <v>32.119474689999997</v>
      </c>
      <c r="Q78" s="8">
        <v>28.907527219999999</v>
      </c>
      <c r="R78" s="8">
        <v>26.0167745</v>
      </c>
      <c r="S78" s="8">
        <v>23.415097129999999</v>
      </c>
      <c r="T78" s="8">
        <v>21.07358795</v>
      </c>
      <c r="U78" s="8">
        <v>18.966229160000001</v>
      </c>
      <c r="V78" s="8">
        <v>17.069607319999999</v>
      </c>
      <c r="W78" s="8">
        <v>15.36264682</v>
      </c>
      <c r="X78" s="8">
        <v>13.82638225</v>
      </c>
      <c r="Y78" s="8">
        <v>12.44374822</v>
      </c>
      <c r="Z78" s="8">
        <v>11.19938032</v>
      </c>
      <c r="AA78" s="8">
        <v>10.07945791</v>
      </c>
      <c r="AB78" s="8">
        <v>9.0715122600000004</v>
      </c>
      <c r="AC78" s="8">
        <v>8.1643654899999998</v>
      </c>
    </row>
    <row r="79" spans="1:29" x14ac:dyDescent="0.85">
      <c r="A79" t="s">
        <v>210</v>
      </c>
      <c r="B79" s="8">
        <v>0</v>
      </c>
      <c r="C79" s="8">
        <v>2.4280000000000001E-5</v>
      </c>
      <c r="D79" s="8">
        <v>2.6529999999999998E-5</v>
      </c>
      <c r="E79" s="8">
        <v>2.389E-5</v>
      </c>
      <c r="F79" s="8">
        <v>2.1500000000000001E-5</v>
      </c>
      <c r="G79" s="8">
        <v>3.0470000000000001E-5</v>
      </c>
      <c r="H79" s="8">
        <v>2.743E-5</v>
      </c>
      <c r="I79" s="8">
        <v>2.4680000000000001E-5</v>
      </c>
      <c r="J79" s="8">
        <v>1.07654E-3</v>
      </c>
      <c r="K79" s="8">
        <v>9.6887999999999998E-4</v>
      </c>
      <c r="L79" s="8">
        <v>8.7200000000000005E-4</v>
      </c>
      <c r="M79" s="8">
        <v>7.8479999999999999E-4</v>
      </c>
      <c r="N79" s="8">
        <v>7.0631999999999997E-4</v>
      </c>
      <c r="O79" s="8">
        <v>6.3568999999999995E-4</v>
      </c>
      <c r="P79" s="8">
        <v>5.7211999999999996E-4</v>
      </c>
      <c r="Q79" s="8">
        <v>5.1491000000000004E-4</v>
      </c>
      <c r="R79" s="8">
        <v>4.6341999999999998E-4</v>
      </c>
      <c r="S79" s="8">
        <v>4.1707000000000002E-4</v>
      </c>
      <c r="T79" s="8">
        <v>3.7536999999999998E-4</v>
      </c>
      <c r="U79" s="8">
        <v>3.3783000000000001E-4</v>
      </c>
      <c r="V79" s="8">
        <v>3.0404999999999999E-4</v>
      </c>
      <c r="W79" s="8">
        <v>2.7364000000000002E-4</v>
      </c>
      <c r="X79" s="8">
        <v>2.4627999999999998E-4</v>
      </c>
      <c r="Y79" s="8">
        <v>2.2164999999999999E-4</v>
      </c>
      <c r="Z79" s="8">
        <v>1.9949E-4</v>
      </c>
      <c r="AA79" s="8">
        <v>1.7954000000000001E-4</v>
      </c>
      <c r="AB79" s="8">
        <v>1.6158000000000001E-4</v>
      </c>
      <c r="AC79" s="8">
        <v>1.4543E-4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1.0057995</v>
      </c>
      <c r="E80" s="8">
        <v>1.0010823499999999</v>
      </c>
      <c r="F80" s="8">
        <v>1.00000131</v>
      </c>
      <c r="G80" s="8">
        <v>1.00000004</v>
      </c>
      <c r="H80" s="8">
        <v>1.00225326</v>
      </c>
      <c r="I80" s="8">
        <v>1.00000143</v>
      </c>
      <c r="J80" s="8">
        <v>1</v>
      </c>
      <c r="K80" s="8">
        <v>1.17154479</v>
      </c>
      <c r="L80" s="8">
        <v>1</v>
      </c>
      <c r="M80" s="8">
        <v>1.0000000499999999</v>
      </c>
      <c r="N80" s="8">
        <v>1.00000004</v>
      </c>
      <c r="O80" s="8">
        <v>1.0000000099999999</v>
      </c>
      <c r="P80" s="8">
        <v>1.0000000099999999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1.0000000099999999</v>
      </c>
      <c r="AA80" s="8">
        <v>1.0000000099999999</v>
      </c>
      <c r="AB80" s="8">
        <v>1.0000000200000001</v>
      </c>
      <c r="AC80" s="8">
        <v>1</v>
      </c>
    </row>
    <row r="81" spans="1:29" x14ac:dyDescent="0.85">
      <c r="A81" t="s">
        <v>212</v>
      </c>
      <c r="B81" s="8">
        <v>1</v>
      </c>
      <c r="C81" s="8">
        <v>1.0057995</v>
      </c>
      <c r="D81" s="8">
        <v>1.0010823499999999</v>
      </c>
      <c r="E81" s="8">
        <v>1.00000131</v>
      </c>
      <c r="F81" s="8">
        <v>1.00000004</v>
      </c>
      <c r="G81" s="8">
        <v>1.00225326</v>
      </c>
      <c r="H81" s="8">
        <v>1.00000143</v>
      </c>
      <c r="I81" s="8">
        <v>1</v>
      </c>
      <c r="J81" s="8">
        <v>1.17154479</v>
      </c>
      <c r="K81" s="8">
        <v>1</v>
      </c>
      <c r="L81" s="8">
        <v>1.0000000499999999</v>
      </c>
      <c r="M81" s="8">
        <v>1.00000004</v>
      </c>
      <c r="N81" s="8">
        <v>1.0000000099999999</v>
      </c>
      <c r="O81" s="8">
        <v>1.0000000099999999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1.0000000099999999</v>
      </c>
      <c r="Z81" s="8">
        <v>1.0000000099999999</v>
      </c>
      <c r="AA81" s="8">
        <v>1.0000000200000001</v>
      </c>
      <c r="AB81" s="8">
        <v>1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F1AB-5505-4FCD-9FEB-C5909E3C4BB7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76953</v>
      </c>
      <c r="C5" s="8">
        <v>76957.1893709</v>
      </c>
      <c r="D5" s="8">
        <v>77019.047238610001</v>
      </c>
      <c r="E5" s="8">
        <v>77115.364898209999</v>
      </c>
      <c r="F5" s="8">
        <v>80173.503673829997</v>
      </c>
      <c r="G5" s="8">
        <v>82187.317892890002</v>
      </c>
      <c r="H5" s="8">
        <v>82970.036506810007</v>
      </c>
      <c r="I5" s="8">
        <v>83805.855367679993</v>
      </c>
      <c r="J5" s="8">
        <v>84695.442848320003</v>
      </c>
      <c r="K5" s="8">
        <v>85638.701494409994</v>
      </c>
      <c r="L5" s="8">
        <v>87425.084610360005</v>
      </c>
      <c r="M5" s="8">
        <v>90394.947168469997</v>
      </c>
      <c r="N5" s="8">
        <v>93446.827886519997</v>
      </c>
      <c r="O5" s="8">
        <v>96576.049330490001</v>
      </c>
      <c r="P5" s="8">
        <v>99784.202311219997</v>
      </c>
      <c r="Q5" s="8">
        <v>103072.91157603</v>
      </c>
      <c r="R5" s="8">
        <v>106443.83653954</v>
      </c>
      <c r="S5" s="8">
        <v>109898.67175922</v>
      </c>
      <c r="T5" s="8">
        <v>113439.14803917</v>
      </c>
      <c r="U5" s="8">
        <v>117067.03272499</v>
      </c>
      <c r="V5" s="8">
        <v>120784.13073675</v>
      </c>
      <c r="W5" s="8">
        <v>125339.73362095001</v>
      </c>
      <c r="X5" s="8">
        <v>128476.57339712</v>
      </c>
      <c r="Y5" s="8">
        <v>132456.65080231999</v>
      </c>
      <c r="Z5" s="8">
        <v>136532.75221567001</v>
      </c>
      <c r="AA5" s="8">
        <v>140706.49764148999</v>
      </c>
      <c r="AB5" s="8">
        <v>143896.32072024999</v>
      </c>
      <c r="AC5" s="8">
        <v>147154.33962330999</v>
      </c>
    </row>
    <row r="6" spans="1:29" x14ac:dyDescent="0.85">
      <c r="A6" t="s">
        <v>139</v>
      </c>
      <c r="B6" s="8">
        <v>223763071.5</v>
      </c>
      <c r="C6" s="8">
        <v>228664191.58386001</v>
      </c>
      <c r="D6" s="8">
        <v>233663342.202178</v>
      </c>
      <c r="E6" s="8">
        <v>238762471.72169799</v>
      </c>
      <c r="F6" s="8">
        <v>243963583.80646801</v>
      </c>
      <c r="G6" s="8">
        <v>249268718.19758299</v>
      </c>
      <c r="H6" s="8">
        <v>254679955.241521</v>
      </c>
      <c r="I6" s="8">
        <v>260199417.026366</v>
      </c>
      <c r="J6" s="8">
        <v>265829268.04689401</v>
      </c>
      <c r="K6" s="8">
        <v>271571716.08780599</v>
      </c>
      <c r="L6" s="8">
        <v>277429013.08932197</v>
      </c>
      <c r="M6" s="8">
        <v>283405437.87402999</v>
      </c>
      <c r="N6" s="8">
        <v>289551993.68467897</v>
      </c>
      <c r="O6" s="8">
        <v>296114633.69494599</v>
      </c>
      <c r="P6" s="8">
        <v>303324047.66115803</v>
      </c>
      <c r="Q6" s="8">
        <v>311291982.76832598</v>
      </c>
      <c r="R6" s="8">
        <v>320305393.80904299</v>
      </c>
      <c r="S6" s="8">
        <v>330672768.52170902</v>
      </c>
      <c r="T6" s="8">
        <v>342569626.363033</v>
      </c>
      <c r="U6" s="8">
        <v>356010551.336169</v>
      </c>
      <c r="V6" s="8">
        <v>370928684.53753501</v>
      </c>
      <c r="W6" s="8">
        <v>387269583.37642801</v>
      </c>
      <c r="X6" s="8">
        <v>404841989.96038401</v>
      </c>
      <c r="Y6" s="8">
        <v>423674811.04220003</v>
      </c>
      <c r="Z6" s="8">
        <v>443749424.10389602</v>
      </c>
      <c r="AA6" s="8">
        <v>465027253.011733</v>
      </c>
      <c r="AB6" s="8">
        <v>475196588.665353</v>
      </c>
      <c r="AC6" s="8">
        <v>485581362.76053703</v>
      </c>
    </row>
    <row r="7" spans="1:29" x14ac:dyDescent="0.85">
      <c r="A7" t="s">
        <v>140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</row>
    <row r="8" spans="1:29" x14ac:dyDescent="0.85">
      <c r="A8" t="s">
        <v>141</v>
      </c>
      <c r="B8" s="8">
        <v>9902.0517528599994</v>
      </c>
      <c r="C8" s="8">
        <v>9844.4172383500008</v>
      </c>
      <c r="D8" s="8">
        <v>9790.4996116500006</v>
      </c>
      <c r="E8" s="8">
        <v>9741.4649369300005</v>
      </c>
      <c r="F8" s="8">
        <v>10515.69416039</v>
      </c>
      <c r="G8" s="8">
        <v>10753.281232380001</v>
      </c>
      <c r="H8" s="8">
        <v>11625.534795289999</v>
      </c>
      <c r="I8" s="8">
        <v>12506.867651070001</v>
      </c>
      <c r="J8" s="8">
        <v>13397.845406689999</v>
      </c>
      <c r="K8" s="8">
        <v>14298.963735920001</v>
      </c>
      <c r="L8" s="8">
        <v>15288.66004771</v>
      </c>
      <c r="M8" s="8">
        <v>16408.750990879998</v>
      </c>
      <c r="N8" s="8">
        <v>17562.528763599999</v>
      </c>
      <c r="O8" s="8">
        <v>18750.215998119998</v>
      </c>
      <c r="P8" s="8">
        <v>19972.593259590001</v>
      </c>
      <c r="Q8" s="8">
        <v>21230.45731872</v>
      </c>
      <c r="R8" s="8">
        <v>22524.62147097</v>
      </c>
      <c r="S8" s="8">
        <v>23855.915841000002</v>
      </c>
      <c r="T8" s="8">
        <v>25225.187787139999</v>
      </c>
      <c r="U8" s="8">
        <v>26633.302161930002</v>
      </c>
      <c r="V8" s="8">
        <v>28081.141724879999</v>
      </c>
      <c r="W8" s="8">
        <v>29642.176200329999</v>
      </c>
      <c r="X8" s="8">
        <v>31102.68550032</v>
      </c>
      <c r="Y8" s="8">
        <v>32671.79016122</v>
      </c>
      <c r="Z8" s="8">
        <v>34284.03772113</v>
      </c>
      <c r="AA8" s="8">
        <v>35940.09120286</v>
      </c>
      <c r="AB8" s="8">
        <v>36719.331847469999</v>
      </c>
      <c r="AC8" s="8">
        <v>37515.855002589997</v>
      </c>
    </row>
    <row r="9" spans="1:29" x14ac:dyDescent="0.85">
      <c r="A9" t="s">
        <v>142</v>
      </c>
      <c r="B9" s="8">
        <v>4766.0564919099997</v>
      </c>
      <c r="C9" s="8">
        <v>4908.1748058499998</v>
      </c>
      <c r="D9" s="8">
        <v>5048.8285752000002</v>
      </c>
      <c r="E9" s="8">
        <v>5191.3833290900002</v>
      </c>
      <c r="F9" s="8">
        <v>5197.0616612200001</v>
      </c>
      <c r="G9" s="8">
        <v>5324.5721223700002</v>
      </c>
      <c r="H9" s="8">
        <v>5232.2519147399998</v>
      </c>
      <c r="I9" s="8">
        <v>5141.29832661</v>
      </c>
      <c r="J9" s="8">
        <v>5051.7213750199999</v>
      </c>
      <c r="K9" s="8">
        <v>4963.4349185299998</v>
      </c>
      <c r="L9" s="8">
        <v>4869.8155822099998</v>
      </c>
      <c r="M9" s="8">
        <v>4766.93286317</v>
      </c>
      <c r="N9" s="8">
        <v>4660.7936241899997</v>
      </c>
      <c r="O9" s="8">
        <v>4557.1976101600003</v>
      </c>
      <c r="P9" s="8">
        <v>4461.5872807699998</v>
      </c>
      <c r="Q9" s="8">
        <v>4376.4992048100003</v>
      </c>
      <c r="R9" s="8">
        <v>4308.74128466</v>
      </c>
      <c r="S9" s="8">
        <v>4265.6430318000002</v>
      </c>
      <c r="T9" s="8">
        <v>4251.2855142099997</v>
      </c>
      <c r="U9" s="8">
        <v>4265.8190998600003</v>
      </c>
      <c r="V9" s="8">
        <v>4307.40282596</v>
      </c>
      <c r="W9" s="8">
        <v>4374.49452793</v>
      </c>
      <c r="X9" s="8">
        <v>4474.4305022799999</v>
      </c>
      <c r="Y9" s="8">
        <v>4591.6383046700003</v>
      </c>
      <c r="Z9" s="8">
        <v>4729.6323529800002</v>
      </c>
      <c r="AA9" s="8">
        <v>4887.3244695200001</v>
      </c>
      <c r="AB9" s="8">
        <v>4990.6163251400003</v>
      </c>
      <c r="AC9" s="8">
        <v>5096.0580959400004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1999.1001600100001</v>
      </c>
      <c r="D11" s="8">
        <v>4109.7122162400001</v>
      </c>
      <c r="E11" s="8">
        <v>6334.2744673099996</v>
      </c>
      <c r="F11" s="8">
        <v>7973.6731058400001</v>
      </c>
      <c r="G11" s="8">
        <v>9912.7669279199999</v>
      </c>
      <c r="H11" s="8">
        <v>11284.61214746</v>
      </c>
      <c r="I11" s="8">
        <v>12454.860088040001</v>
      </c>
      <c r="J11" s="8">
        <v>13424.05778209</v>
      </c>
      <c r="K11" s="8">
        <v>14192.256380180001</v>
      </c>
      <c r="L11" s="8">
        <v>14733.21876754</v>
      </c>
      <c r="M11" s="8">
        <v>15014.764645699999</v>
      </c>
      <c r="N11" s="8">
        <v>15039.94779238</v>
      </c>
      <c r="O11" s="8">
        <v>14828.424443309999</v>
      </c>
      <c r="P11" s="8">
        <v>14406.998362599999</v>
      </c>
      <c r="Q11" s="8">
        <v>13793.49386221</v>
      </c>
      <c r="R11" s="8">
        <v>13037.03739066</v>
      </c>
      <c r="S11" s="8">
        <v>12201.02714416</v>
      </c>
      <c r="T11" s="8">
        <v>11336.91936901</v>
      </c>
      <c r="U11" s="8">
        <v>10472.49270889</v>
      </c>
      <c r="V11" s="8">
        <v>9619.5272727299998</v>
      </c>
      <c r="W11" s="8">
        <v>8789.1155534900008</v>
      </c>
      <c r="X11" s="8">
        <v>8053.6596925200001</v>
      </c>
      <c r="Y11" s="8">
        <v>7327.6261981500002</v>
      </c>
      <c r="Z11" s="8">
        <v>6643.3059510399999</v>
      </c>
      <c r="AA11" s="8">
        <v>6005.84209379</v>
      </c>
      <c r="AB11" s="8">
        <v>6339.1119996799998</v>
      </c>
      <c r="AC11" s="8">
        <v>6680.7617452300001</v>
      </c>
    </row>
    <row r="12" spans="1:29" x14ac:dyDescent="0.85">
      <c r="A12" t="s">
        <v>144</v>
      </c>
      <c r="B12" s="8">
        <v>14668.108244769999</v>
      </c>
      <c r="C12" s="8">
        <v>14752.59204419</v>
      </c>
      <c r="D12" s="8">
        <v>14839.32818685</v>
      </c>
      <c r="E12" s="8">
        <v>14932.848266020001</v>
      </c>
      <c r="F12" s="8">
        <v>15712.755821610001</v>
      </c>
      <c r="G12" s="8">
        <v>16077.853354749999</v>
      </c>
      <c r="H12" s="8">
        <v>16857.786710019998</v>
      </c>
      <c r="I12" s="8">
        <v>17648.165977680001</v>
      </c>
      <c r="J12" s="8">
        <v>18449.56678171</v>
      </c>
      <c r="K12" s="8">
        <v>19262.398654460001</v>
      </c>
      <c r="L12" s="8">
        <v>20158.475629920002</v>
      </c>
      <c r="M12" s="8">
        <v>21175.683854049999</v>
      </c>
      <c r="N12" s="8">
        <v>22223.322387790002</v>
      </c>
      <c r="O12" s="8">
        <v>23307.41360828</v>
      </c>
      <c r="P12" s="8">
        <v>24434.180540360001</v>
      </c>
      <c r="Q12" s="8">
        <v>25606.95652353</v>
      </c>
      <c r="R12" s="8">
        <v>26833.362755630002</v>
      </c>
      <c r="S12" s="8">
        <v>28121.5588728</v>
      </c>
      <c r="T12" s="8">
        <v>29476.473301360002</v>
      </c>
      <c r="U12" s="8">
        <v>30899.121261789998</v>
      </c>
      <c r="V12" s="8">
        <v>32388.544550840001</v>
      </c>
      <c r="W12" s="8">
        <v>34016.670728259996</v>
      </c>
      <c r="X12" s="8">
        <v>35577.1160026</v>
      </c>
      <c r="Y12" s="8">
        <v>37263.42846589</v>
      </c>
      <c r="Z12" s="8">
        <v>39013.670074119997</v>
      </c>
      <c r="AA12" s="8">
        <v>40827.41567237</v>
      </c>
      <c r="AB12" s="8">
        <v>41709.948172609998</v>
      </c>
      <c r="AC12" s="8">
        <v>42611.91309853</v>
      </c>
    </row>
    <row r="13" spans="1:29" x14ac:dyDescent="0.85">
      <c r="A13" t="s">
        <v>145</v>
      </c>
      <c r="B13" s="8">
        <v>14668.108244769999</v>
      </c>
      <c r="C13" s="8">
        <v>16751.692204210001</v>
      </c>
      <c r="D13" s="8">
        <v>18949.040403089999</v>
      </c>
      <c r="E13" s="8">
        <v>21267.122733330001</v>
      </c>
      <c r="F13" s="8">
        <v>23686.428927450001</v>
      </c>
      <c r="G13" s="8">
        <v>25990.620282669999</v>
      </c>
      <c r="H13" s="8">
        <v>28142.398857479999</v>
      </c>
      <c r="I13" s="8">
        <v>30103.026065720001</v>
      </c>
      <c r="J13" s="8">
        <v>31873.624563789999</v>
      </c>
      <c r="K13" s="8">
        <v>33454.655034629999</v>
      </c>
      <c r="L13" s="8">
        <v>34891.694397450003</v>
      </c>
      <c r="M13" s="8">
        <v>36190.448499749997</v>
      </c>
      <c r="N13" s="8">
        <v>37263.270180170002</v>
      </c>
      <c r="O13" s="8">
        <v>38135.838051589999</v>
      </c>
      <c r="P13" s="8">
        <v>38841.178902959997</v>
      </c>
      <c r="Q13" s="8">
        <v>39400.450385739998</v>
      </c>
      <c r="R13" s="8">
        <v>39870.400146300002</v>
      </c>
      <c r="S13" s="8">
        <v>40322.586016970003</v>
      </c>
      <c r="T13" s="8">
        <v>40813.392670369998</v>
      </c>
      <c r="U13" s="8">
        <v>41371.613970680002</v>
      </c>
      <c r="V13" s="8">
        <v>42008.071823569997</v>
      </c>
      <c r="W13" s="8">
        <v>42805.786281749999</v>
      </c>
      <c r="X13" s="8">
        <v>43630.775695119999</v>
      </c>
      <c r="Y13" s="8">
        <v>44591.054664050003</v>
      </c>
      <c r="Z13" s="8">
        <v>45656.976025160002</v>
      </c>
      <c r="AA13" s="8">
        <v>46833.257766169998</v>
      </c>
      <c r="AB13" s="8">
        <v>48049.060172290003</v>
      </c>
      <c r="AC13" s="8">
        <v>49292.674843760004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30200</v>
      </c>
      <c r="C17" s="8">
        <v>29193.33333333</v>
      </c>
      <c r="D17" s="8">
        <v>28220.22222222</v>
      </c>
      <c r="E17" s="8">
        <v>27279.548151139999</v>
      </c>
      <c r="F17" s="8">
        <v>26370.229879440001</v>
      </c>
      <c r="G17" s="8">
        <v>25491.22221679</v>
      </c>
      <c r="H17" s="8">
        <v>24641.514809560002</v>
      </c>
      <c r="I17" s="8">
        <v>23820.130982580002</v>
      </c>
      <c r="J17" s="8">
        <v>23026.126937190002</v>
      </c>
      <c r="K17" s="8">
        <v>22258.58937261</v>
      </c>
      <c r="L17" s="8">
        <v>22361.270733429999</v>
      </c>
      <c r="M17" s="8">
        <v>23546.13014302</v>
      </c>
      <c r="N17" s="8">
        <v>24765.285827420001</v>
      </c>
      <c r="O17" s="8">
        <v>26019.666311450001</v>
      </c>
      <c r="P17" s="8">
        <v>27310.100478299999</v>
      </c>
      <c r="Q17" s="8">
        <v>28637.436651280001</v>
      </c>
      <c r="R17" s="8">
        <v>30002.537771529998</v>
      </c>
      <c r="S17" s="8">
        <v>31406.279323039998</v>
      </c>
      <c r="T17" s="8">
        <v>32849.567783439998</v>
      </c>
      <c r="U17" s="8">
        <v>34333.311569199999</v>
      </c>
      <c r="V17" s="8">
        <v>35858.442483090002</v>
      </c>
      <c r="W17" s="8">
        <v>37425.909335900003</v>
      </c>
      <c r="X17" s="8">
        <v>37183.138449749997</v>
      </c>
      <c r="Y17" s="8">
        <v>37762.628703169998</v>
      </c>
      <c r="Z17" s="8">
        <v>38346.55308338</v>
      </c>
      <c r="AA17" s="8">
        <v>38935.146088699999</v>
      </c>
      <c r="AB17" s="8">
        <v>40136.100427930003</v>
      </c>
      <c r="AC17" s="8">
        <v>41360.507724180003</v>
      </c>
    </row>
    <row r="18" spans="1:29" x14ac:dyDescent="0.85">
      <c r="A18" t="s">
        <v>149</v>
      </c>
      <c r="B18" s="8">
        <v>9723220</v>
      </c>
      <c r="C18" s="8">
        <v>9267562.8880392108</v>
      </c>
      <c r="D18" s="8">
        <v>8958480.7026955001</v>
      </c>
      <c r="E18" s="8">
        <v>8659864.6802219804</v>
      </c>
      <c r="F18" s="8">
        <v>8371202.5063040303</v>
      </c>
      <c r="G18" s="8">
        <v>8092162.4103886997</v>
      </c>
      <c r="H18" s="8">
        <v>7818625.2358633196</v>
      </c>
      <c r="I18" s="8">
        <v>7558004.3945435397</v>
      </c>
      <c r="J18" s="8">
        <v>7306071.0164812896</v>
      </c>
      <c r="K18" s="8">
        <v>7062535.3093862897</v>
      </c>
      <c r="L18" s="8">
        <v>7095115.5742094005</v>
      </c>
      <c r="M18" s="8">
        <v>7471065.3379988996</v>
      </c>
      <c r="N18" s="8">
        <v>7857897.1324379602</v>
      </c>
      <c r="O18" s="8">
        <v>8255905.5736537604</v>
      </c>
      <c r="P18" s="8">
        <v>8665353.6619978007</v>
      </c>
      <c r="Q18" s="8">
        <v>9086510.5660660006</v>
      </c>
      <c r="R18" s="8">
        <v>9519650.0926200897</v>
      </c>
      <c r="S18" s="8">
        <v>9965050.0282083005</v>
      </c>
      <c r="T18" s="8">
        <v>10422997.9934873</v>
      </c>
      <c r="U18" s="8">
        <v>10893782.2243116</v>
      </c>
      <c r="V18" s="8">
        <v>11377698.376878001</v>
      </c>
      <c r="W18" s="8">
        <v>11875047.5039491</v>
      </c>
      <c r="X18" s="8">
        <v>11798017.5571351</v>
      </c>
      <c r="Y18" s="8">
        <v>11981886.818015801</v>
      </c>
      <c r="Z18" s="8">
        <v>12167163.004399201</v>
      </c>
      <c r="AA18" s="8">
        <v>12353920.5213899</v>
      </c>
      <c r="AB18" s="8">
        <v>12734977.123127099</v>
      </c>
      <c r="AC18" s="8">
        <v>13123475.2268526</v>
      </c>
    </row>
    <row r="19" spans="1:29" x14ac:dyDescent="0.85">
      <c r="A19" t="s">
        <v>150</v>
      </c>
      <c r="B19" s="8">
        <v>9723220</v>
      </c>
      <c r="C19" s="8">
        <v>9267562.8880392108</v>
      </c>
      <c r="D19" s="8">
        <v>8958480.7026955001</v>
      </c>
      <c r="E19" s="8">
        <v>8659864.6802219804</v>
      </c>
      <c r="F19" s="8">
        <v>8371202.5063040303</v>
      </c>
      <c r="G19" s="8">
        <v>8092162.4103886997</v>
      </c>
      <c r="H19" s="8">
        <v>7818625.2358633196</v>
      </c>
      <c r="I19" s="8">
        <v>7558004.3945435397</v>
      </c>
      <c r="J19" s="8">
        <v>7306071.0164812896</v>
      </c>
      <c r="K19" s="8">
        <v>7062535.3093862897</v>
      </c>
      <c r="L19" s="8">
        <v>7095115.5742094005</v>
      </c>
      <c r="M19" s="8">
        <v>7471065.3379988996</v>
      </c>
      <c r="N19" s="8">
        <v>7857897.1324379602</v>
      </c>
      <c r="O19" s="8">
        <v>8255905.5736537604</v>
      </c>
      <c r="P19" s="8">
        <v>8665353.6619978007</v>
      </c>
      <c r="Q19" s="8">
        <v>9086510.5660660006</v>
      </c>
      <c r="R19" s="8">
        <v>9519650.0926200897</v>
      </c>
      <c r="S19" s="8">
        <v>9965050.0282083005</v>
      </c>
      <c r="T19" s="8">
        <v>10422997.9934873</v>
      </c>
      <c r="U19" s="8">
        <v>10893782.2243116</v>
      </c>
      <c r="V19" s="8">
        <v>11377698.376878001</v>
      </c>
      <c r="W19" s="8">
        <v>11875047.5039491</v>
      </c>
      <c r="X19" s="8">
        <v>11798017.5571351</v>
      </c>
      <c r="Y19" s="8">
        <v>11981886.818015801</v>
      </c>
      <c r="Z19" s="8">
        <v>12167163.004399201</v>
      </c>
      <c r="AA19" s="8">
        <v>12353920.5213899</v>
      </c>
      <c r="AB19" s="8">
        <v>12734977.123127099</v>
      </c>
      <c r="AC19" s="8">
        <v>13123475.2268526</v>
      </c>
    </row>
    <row r="20" spans="1:29" x14ac:dyDescent="0.85">
      <c r="A20" t="s">
        <v>151</v>
      </c>
      <c r="B20" s="8">
        <v>2978.14455632</v>
      </c>
      <c r="C20" s="8">
        <v>2878.8730711100002</v>
      </c>
      <c r="D20" s="8">
        <v>2782.9106354</v>
      </c>
      <c r="E20" s="8">
        <v>2690.1469478499998</v>
      </c>
      <c r="F20" s="8">
        <v>2600.4753829199999</v>
      </c>
      <c r="G20" s="8">
        <v>2513.7928701599999</v>
      </c>
      <c r="H20" s="8">
        <v>2429.9997744900002</v>
      </c>
      <c r="I20" s="8">
        <v>2348.9997819999999</v>
      </c>
      <c r="J20" s="8">
        <v>2270.69982089</v>
      </c>
      <c r="K20" s="8">
        <v>2195.00982686</v>
      </c>
      <c r="L20" s="8">
        <v>2205.13565255</v>
      </c>
      <c r="M20" s="8">
        <v>2321.9794472799999</v>
      </c>
      <c r="N20" s="8">
        <v>2442.2053368400002</v>
      </c>
      <c r="O20" s="8">
        <v>2565.90488684</v>
      </c>
      <c r="P20" s="8">
        <v>2693.1598368199998</v>
      </c>
      <c r="Q20" s="8">
        <v>2824.0538433699999</v>
      </c>
      <c r="R20" s="8">
        <v>2958.6720046300002</v>
      </c>
      <c r="S20" s="8">
        <v>3097.1006556299999</v>
      </c>
      <c r="T20" s="8">
        <v>3239.4291877999999</v>
      </c>
      <c r="U20" s="8">
        <v>3385.7471837799999</v>
      </c>
      <c r="V20" s="8">
        <v>3536.1465324199999</v>
      </c>
      <c r="W20" s="8">
        <v>3690.7207997999999</v>
      </c>
      <c r="X20" s="8">
        <v>3666.7801775100002</v>
      </c>
      <c r="Y20" s="8">
        <v>3723.9260630600002</v>
      </c>
      <c r="Z20" s="8">
        <v>3781.5092158500001</v>
      </c>
      <c r="AA20" s="8">
        <v>3839.5527607099998</v>
      </c>
      <c r="AB20" s="8">
        <v>3957.9837417600002</v>
      </c>
      <c r="AC20" s="8">
        <v>4078.7275140800002</v>
      </c>
    </row>
    <row r="21" spans="1:29" x14ac:dyDescent="0.85">
      <c r="A21" t="s">
        <v>152</v>
      </c>
      <c r="B21" s="8">
        <v>0</v>
      </c>
      <c r="C21" s="8">
        <v>0.92675629000000004</v>
      </c>
      <c r="D21" s="8">
        <v>1.79169614</v>
      </c>
      <c r="E21" s="8">
        <v>2.5979594000000001</v>
      </c>
      <c r="F21" s="8">
        <v>3.348481</v>
      </c>
      <c r="G21" s="8">
        <v>4.0460812099999997</v>
      </c>
      <c r="H21" s="8">
        <v>4.6911751400000004</v>
      </c>
      <c r="I21" s="8">
        <v>5.2906030800000003</v>
      </c>
      <c r="J21" s="8">
        <v>5.8448568099999996</v>
      </c>
      <c r="K21" s="8">
        <v>6.3562817799999998</v>
      </c>
      <c r="L21" s="8">
        <v>7.0951155699999999</v>
      </c>
      <c r="M21" s="8">
        <v>8.2181718700000008</v>
      </c>
      <c r="N21" s="8">
        <v>9.4294765599999995</v>
      </c>
      <c r="O21" s="8">
        <v>10.73267725</v>
      </c>
      <c r="P21" s="8">
        <v>12.131495129999999</v>
      </c>
      <c r="Q21" s="8">
        <v>13.62976585</v>
      </c>
      <c r="R21" s="8">
        <v>15.231440149999999</v>
      </c>
      <c r="S21" s="8">
        <v>16.940585049999999</v>
      </c>
      <c r="T21" s="8">
        <v>18.761396390000002</v>
      </c>
      <c r="U21" s="8">
        <v>20.698186230000001</v>
      </c>
      <c r="V21" s="8">
        <v>22.755396749999999</v>
      </c>
      <c r="W21" s="8">
        <v>24.937599760000001</v>
      </c>
      <c r="X21" s="8">
        <v>25.955638629999999</v>
      </c>
      <c r="Y21" s="8">
        <v>27.55833968</v>
      </c>
      <c r="Z21" s="8">
        <v>29.201191210000001</v>
      </c>
      <c r="AA21" s="8">
        <v>30.884801299999999</v>
      </c>
      <c r="AB21" s="8">
        <v>33.11094052</v>
      </c>
      <c r="AC21" s="8">
        <v>35.433383110000001</v>
      </c>
    </row>
    <row r="22" spans="1:29" x14ac:dyDescent="0.85">
      <c r="A22" t="s">
        <v>153</v>
      </c>
      <c r="B22" s="8">
        <v>4.8616100000000002E-2</v>
      </c>
      <c r="C22" s="8">
        <v>4.633781E-2</v>
      </c>
      <c r="D22" s="8">
        <v>4.4792400000000003E-2</v>
      </c>
      <c r="E22" s="8">
        <v>4.3299320000000002E-2</v>
      </c>
      <c r="F22" s="8">
        <v>4.1856009999999999E-2</v>
      </c>
      <c r="G22" s="8">
        <v>4.046081E-2</v>
      </c>
      <c r="H22" s="8">
        <v>3.9093129999999997E-2</v>
      </c>
      <c r="I22" s="8">
        <v>3.7790020000000001E-2</v>
      </c>
      <c r="J22" s="8">
        <v>3.6530359999999998E-2</v>
      </c>
      <c r="K22" s="8">
        <v>3.5312679999999999E-2</v>
      </c>
      <c r="L22" s="8">
        <v>3.547558E-2</v>
      </c>
      <c r="M22" s="8">
        <v>3.7355329999999999E-2</v>
      </c>
      <c r="N22" s="8">
        <v>3.9289490000000003E-2</v>
      </c>
      <c r="O22" s="8">
        <v>4.1279530000000002E-2</v>
      </c>
      <c r="P22" s="8">
        <v>4.3326770000000001E-2</v>
      </c>
      <c r="Q22" s="8">
        <v>4.5432550000000002E-2</v>
      </c>
      <c r="R22" s="8">
        <v>4.7598250000000002E-2</v>
      </c>
      <c r="S22" s="8">
        <v>4.9825250000000001E-2</v>
      </c>
      <c r="T22" s="8">
        <v>5.211499E-2</v>
      </c>
      <c r="U22" s="8">
        <v>5.4468910000000002E-2</v>
      </c>
      <c r="V22" s="8">
        <v>5.688849E-2</v>
      </c>
      <c r="W22" s="8">
        <v>5.9375240000000003E-2</v>
      </c>
      <c r="X22" s="8">
        <v>5.8990090000000002E-2</v>
      </c>
      <c r="Y22" s="8">
        <v>5.990943E-2</v>
      </c>
      <c r="Z22" s="8">
        <v>6.0835819999999999E-2</v>
      </c>
      <c r="AA22" s="8">
        <v>6.1769600000000001E-2</v>
      </c>
      <c r="AB22" s="8">
        <v>6.3674889999999998E-2</v>
      </c>
      <c r="AC22" s="8">
        <v>6.5617380000000003E-2</v>
      </c>
    </row>
    <row r="23" spans="1:29" x14ac:dyDescent="0.85">
      <c r="A23" t="s">
        <v>154</v>
      </c>
      <c r="B23" s="8">
        <v>2978.14455632</v>
      </c>
      <c r="C23" s="8">
        <v>2878.8730711100002</v>
      </c>
      <c r="D23" s="8">
        <v>2782.9106354</v>
      </c>
      <c r="E23" s="8">
        <v>2690.1469478499998</v>
      </c>
      <c r="F23" s="8">
        <v>2600.4753829199999</v>
      </c>
      <c r="G23" s="8">
        <v>2513.7928701599999</v>
      </c>
      <c r="H23" s="8">
        <v>2429.9997744900002</v>
      </c>
      <c r="I23" s="8">
        <v>2348.9997819999999</v>
      </c>
      <c r="J23" s="8">
        <v>2270.69982089</v>
      </c>
      <c r="K23" s="8">
        <v>2195.00982686</v>
      </c>
      <c r="L23" s="8">
        <v>2205.13565255</v>
      </c>
      <c r="M23" s="8">
        <v>2321.9794472799999</v>
      </c>
      <c r="N23" s="8">
        <v>2442.2053368400002</v>
      </c>
      <c r="O23" s="8">
        <v>2565.90488684</v>
      </c>
      <c r="P23" s="8">
        <v>2693.1598368199998</v>
      </c>
      <c r="Q23" s="8">
        <v>2824.0538433699999</v>
      </c>
      <c r="R23" s="8">
        <v>2958.6720046300002</v>
      </c>
      <c r="S23" s="8">
        <v>3097.1006556299999</v>
      </c>
      <c r="T23" s="8">
        <v>3239.4291877999999</v>
      </c>
      <c r="U23" s="8">
        <v>3385.7471837799999</v>
      </c>
      <c r="V23" s="8">
        <v>3536.1465324199999</v>
      </c>
      <c r="W23" s="8">
        <v>3690.7207997999999</v>
      </c>
      <c r="X23" s="8">
        <v>3666.7801775100002</v>
      </c>
      <c r="Y23" s="8">
        <v>3723.9260630600002</v>
      </c>
      <c r="Z23" s="8">
        <v>3781.5092158500001</v>
      </c>
      <c r="AA23" s="8">
        <v>3839.5527607099998</v>
      </c>
      <c r="AB23" s="8">
        <v>3957.9837417600002</v>
      </c>
      <c r="AC23" s="8">
        <v>4078.7275140800002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0.98600401999999998</v>
      </c>
      <c r="E25" s="8">
        <v>0.99998176000000005</v>
      </c>
      <c r="F25" s="8">
        <v>1</v>
      </c>
      <c r="G25" s="8">
        <v>1</v>
      </c>
      <c r="H25" s="8">
        <v>1</v>
      </c>
      <c r="I25" s="8">
        <v>0.99951442000000001</v>
      </c>
      <c r="J25" s="8">
        <v>1</v>
      </c>
      <c r="K25" s="8">
        <v>1.0000000099999999</v>
      </c>
      <c r="L25" s="8">
        <v>1</v>
      </c>
      <c r="M25" s="8">
        <v>1.03925494</v>
      </c>
      <c r="N25" s="8">
        <v>1.08803564</v>
      </c>
      <c r="O25" s="8">
        <v>1.0868701000000001</v>
      </c>
      <c r="P25" s="8">
        <v>1.0857775000000001</v>
      </c>
      <c r="Q25" s="8">
        <v>1.0847510899999999</v>
      </c>
      <c r="R25" s="8">
        <v>1.08378492</v>
      </c>
      <c r="S25" s="8">
        <v>1.08287372</v>
      </c>
      <c r="T25" s="8">
        <v>1.08201284</v>
      </c>
      <c r="U25" s="8">
        <v>1.0811981100000001</v>
      </c>
      <c r="V25" s="8">
        <v>1.0804258499999999</v>
      </c>
      <c r="W25" s="8">
        <v>1.0796927199999999</v>
      </c>
      <c r="X25" s="8">
        <v>1.07934975</v>
      </c>
      <c r="Y25" s="8">
        <v>1.0277723700000001</v>
      </c>
      <c r="Z25" s="8">
        <v>1.0506049200000001</v>
      </c>
      <c r="AA25" s="8">
        <v>1.05047899</v>
      </c>
      <c r="AB25" s="8">
        <v>1.05036135</v>
      </c>
      <c r="AC25" s="8">
        <v>1.0663913700000001</v>
      </c>
    </row>
    <row r="26" spans="1:29" x14ac:dyDescent="0.85">
      <c r="A26" t="s">
        <v>157</v>
      </c>
      <c r="B26" s="8">
        <v>1</v>
      </c>
      <c r="C26" s="8">
        <v>0.98600401999999998</v>
      </c>
      <c r="D26" s="8">
        <v>0.99998176000000005</v>
      </c>
      <c r="E26" s="8">
        <v>1</v>
      </c>
      <c r="F26" s="8">
        <v>1</v>
      </c>
      <c r="G26" s="8">
        <v>1</v>
      </c>
      <c r="H26" s="8">
        <v>0.99951442000000001</v>
      </c>
      <c r="I26" s="8">
        <v>1</v>
      </c>
      <c r="J26" s="8">
        <v>1.0000000099999999</v>
      </c>
      <c r="K26" s="8">
        <v>1</v>
      </c>
      <c r="L26" s="8">
        <v>1.03925494</v>
      </c>
      <c r="M26" s="8">
        <v>1.0892970200000001</v>
      </c>
      <c r="N26" s="8">
        <v>1.0880455099999999</v>
      </c>
      <c r="O26" s="8">
        <v>1.08688009</v>
      </c>
      <c r="P26" s="8">
        <v>1.08578749</v>
      </c>
      <c r="Q26" s="8">
        <v>1.08476109</v>
      </c>
      <c r="R26" s="8">
        <v>1.0837949099999999</v>
      </c>
      <c r="S26" s="8">
        <v>1.08288355</v>
      </c>
      <c r="T26" s="8">
        <v>1.08202284</v>
      </c>
      <c r="U26" s="8">
        <v>1.0812081</v>
      </c>
      <c r="V26" s="8">
        <v>1.08043585</v>
      </c>
      <c r="W26" s="8">
        <v>1.07970272</v>
      </c>
      <c r="X26" s="8">
        <v>1.0277723700000001</v>
      </c>
      <c r="Y26" s="8">
        <v>1.0506049200000001</v>
      </c>
      <c r="Z26" s="8">
        <v>1.05047899</v>
      </c>
      <c r="AA26" s="8">
        <v>1.05036135</v>
      </c>
      <c r="AB26" s="8">
        <v>1.0663913700000001</v>
      </c>
      <c r="AC26" s="8">
        <v>1.0660410899999999</v>
      </c>
    </row>
    <row r="27" spans="1:29" x14ac:dyDescent="0.85">
      <c r="A27" t="s">
        <v>158</v>
      </c>
      <c r="B27" s="8">
        <v>1</v>
      </c>
      <c r="C27" s="8">
        <v>1.0651641999999999</v>
      </c>
      <c r="D27" s="8">
        <v>1.0667241300000001</v>
      </c>
      <c r="E27" s="8">
        <v>1.0683741600000001</v>
      </c>
      <c r="F27" s="8">
        <v>1.0701048099999999</v>
      </c>
      <c r="G27" s="8">
        <v>1.07388807</v>
      </c>
      <c r="H27" s="8">
        <v>1.07714653</v>
      </c>
      <c r="I27" s="8">
        <v>1.0796801</v>
      </c>
      <c r="J27" s="8">
        <v>1.0823599699999999</v>
      </c>
      <c r="K27" s="8">
        <v>1.0851950800000001</v>
      </c>
      <c r="L27" s="8">
        <v>1.08819431</v>
      </c>
      <c r="M27" s="8">
        <v>1.0892971300000001</v>
      </c>
      <c r="N27" s="8">
        <v>1.08804564</v>
      </c>
      <c r="O27" s="8">
        <v>1.0868800999999999</v>
      </c>
      <c r="P27" s="8">
        <v>1.0857874999999999</v>
      </c>
      <c r="Q27" s="8">
        <v>1.08476109</v>
      </c>
      <c r="R27" s="8">
        <v>1.0837949200000001</v>
      </c>
      <c r="S27" s="8">
        <v>1.0828837200000001</v>
      </c>
      <c r="T27" s="8">
        <v>1.08202284</v>
      </c>
      <c r="U27" s="8">
        <v>1.0812081099999999</v>
      </c>
      <c r="V27" s="8">
        <v>1.08043585</v>
      </c>
      <c r="W27" s="8">
        <v>1.07970272</v>
      </c>
      <c r="X27" s="8">
        <v>1.0793597500000001</v>
      </c>
      <c r="Y27" s="8">
        <v>1.0812425999999999</v>
      </c>
      <c r="Z27" s="8">
        <v>1.0821709100000001</v>
      </c>
      <c r="AA27" s="8">
        <v>1.0831082599999999</v>
      </c>
      <c r="AB27" s="8">
        <v>1.08405426</v>
      </c>
      <c r="AC27" s="8">
        <v>1.0835462899999999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1.4318999999999999E-4</v>
      </c>
      <c r="F36" s="8">
        <v>2.9999999999999997E-8</v>
      </c>
      <c r="G36" s="8">
        <v>2.516E-5</v>
      </c>
      <c r="H36" s="8">
        <v>4.7999999999999996E-7</v>
      </c>
      <c r="I36" s="8">
        <v>3.6799999999999999E-6</v>
      </c>
      <c r="J36" s="8">
        <v>0</v>
      </c>
      <c r="K36" s="8">
        <v>3.4599999999999999E-6</v>
      </c>
      <c r="L36" s="8">
        <v>3.32E-6</v>
      </c>
      <c r="M36" s="8">
        <v>8.0000000000000002E-8</v>
      </c>
      <c r="N36" s="8">
        <v>8.0000000000000002E-8</v>
      </c>
      <c r="O36" s="8">
        <v>8.0000000000000002E-8</v>
      </c>
      <c r="P36" s="8">
        <v>7.0000000000000005E-8</v>
      </c>
      <c r="Q36" s="8">
        <v>5.9999999999999995E-8</v>
      </c>
      <c r="R36" s="8">
        <v>4.9999999999999998E-8</v>
      </c>
      <c r="S36" s="8">
        <v>4.9999999999999998E-8</v>
      </c>
      <c r="T36" s="8">
        <v>4.9999999999999998E-8</v>
      </c>
      <c r="U36" s="8">
        <v>4.9999999999999998E-8</v>
      </c>
      <c r="V36" s="8">
        <v>4.0000000000000001E-8</v>
      </c>
      <c r="W36" s="8">
        <v>4.9999999999999998E-8</v>
      </c>
      <c r="X36" s="8">
        <v>4.9999999999999998E-8</v>
      </c>
      <c r="Y36" s="8">
        <v>0</v>
      </c>
      <c r="Z36" s="8">
        <v>0</v>
      </c>
      <c r="AA36" s="8">
        <v>4.9999999999999998E-8</v>
      </c>
      <c r="AB36" s="8">
        <v>4.9999999999999998E-8</v>
      </c>
      <c r="AC36" s="8">
        <v>0</v>
      </c>
    </row>
    <row r="37" spans="1:29" x14ac:dyDescent="0.85">
      <c r="A37" t="s">
        <v>168</v>
      </c>
      <c r="B37" s="8">
        <v>1</v>
      </c>
      <c r="C37" s="8">
        <v>0</v>
      </c>
      <c r="D37" s="8">
        <v>1.4318999999999999E-4</v>
      </c>
      <c r="E37" s="8">
        <v>2.9999999999999997E-8</v>
      </c>
      <c r="F37" s="8">
        <v>2.516E-5</v>
      </c>
      <c r="G37" s="8">
        <v>4.7999999999999996E-7</v>
      </c>
      <c r="H37" s="8">
        <v>3.6799999999999999E-6</v>
      </c>
      <c r="I37" s="8">
        <v>0</v>
      </c>
      <c r="J37" s="8">
        <v>3.4599999999999999E-6</v>
      </c>
      <c r="K37" s="8">
        <v>3.32E-6</v>
      </c>
      <c r="L37" s="8">
        <v>8.0000000000000002E-8</v>
      </c>
      <c r="M37" s="8">
        <v>8.0000000000000002E-8</v>
      </c>
      <c r="N37" s="8">
        <v>8.0000000000000002E-8</v>
      </c>
      <c r="O37" s="8">
        <v>7.0000000000000005E-8</v>
      </c>
      <c r="P37" s="8">
        <v>5.9999999999999995E-8</v>
      </c>
      <c r="Q37" s="8">
        <v>4.9999999999999998E-8</v>
      </c>
      <c r="R37" s="8">
        <v>4.9999999999999998E-8</v>
      </c>
      <c r="S37" s="8">
        <v>4.9999999999999998E-8</v>
      </c>
      <c r="T37" s="8">
        <v>4.9999999999999998E-8</v>
      </c>
      <c r="U37" s="8">
        <v>4.0000000000000001E-8</v>
      </c>
      <c r="V37" s="8">
        <v>4.9999999999999998E-8</v>
      </c>
      <c r="W37" s="8">
        <v>4.9999999999999998E-8</v>
      </c>
      <c r="X37" s="8">
        <v>0</v>
      </c>
      <c r="Y37" s="8">
        <v>0</v>
      </c>
      <c r="Z37" s="8">
        <v>4.9999999999999998E-8</v>
      </c>
      <c r="AA37" s="8">
        <v>4.9999999999999998E-8</v>
      </c>
      <c r="AB37" s="8">
        <v>0</v>
      </c>
      <c r="AC37" s="8">
        <v>0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4086</v>
      </c>
      <c r="C39" s="8">
        <v>3983.8500221999998</v>
      </c>
      <c r="D39" s="8">
        <v>3884.2537900900002</v>
      </c>
      <c r="E39" s="8">
        <v>3787.14744673</v>
      </c>
      <c r="F39" s="8">
        <v>5119.0021127399996</v>
      </c>
      <c r="G39" s="8">
        <v>5287.1021368499996</v>
      </c>
      <c r="H39" s="8">
        <v>7467.77375811</v>
      </c>
      <c r="I39" s="8">
        <v>9657.49645289</v>
      </c>
      <c r="J39" s="8">
        <v>11857.648133889999</v>
      </c>
      <c r="K39" s="8">
        <v>14069.61710564</v>
      </c>
      <c r="L39" s="8">
        <v>16294.781416780001</v>
      </c>
      <c r="M39" s="8">
        <v>18555.737378149999</v>
      </c>
      <c r="N39" s="8">
        <v>20884.108063259999</v>
      </c>
      <c r="O39" s="8">
        <v>23281.727893710002</v>
      </c>
      <c r="P39" s="8">
        <v>25750.295440739999</v>
      </c>
      <c r="Q39" s="8">
        <v>28291.542705169999</v>
      </c>
      <c r="R39" s="8">
        <v>30907.235846029998</v>
      </c>
      <c r="S39" s="8">
        <v>33599.175924750001</v>
      </c>
      <c r="T39" s="8">
        <v>36369.199658079997</v>
      </c>
      <c r="U39" s="8">
        <v>39219.180196549998</v>
      </c>
      <c r="V39" s="8">
        <v>42151.02790655</v>
      </c>
      <c r="W39" s="8">
        <v>45166.691175920001</v>
      </c>
      <c r="X39" s="8">
        <v>48288.253698239998</v>
      </c>
      <c r="Y39" s="8">
        <v>51476.987083699998</v>
      </c>
      <c r="Z39" s="8">
        <v>54755.193822020003</v>
      </c>
      <c r="AA39" s="8">
        <v>58124.243550779996</v>
      </c>
      <c r="AB39" s="8">
        <v>59403.621076570002</v>
      </c>
      <c r="AC39" s="8">
        <v>60710.609557180003</v>
      </c>
    </row>
    <row r="40" spans="1:29" x14ac:dyDescent="0.85">
      <c r="A40" t="s">
        <v>171</v>
      </c>
      <c r="B40" s="8">
        <v>30292965.75</v>
      </c>
      <c r="C40" s="8">
        <v>29535641.770826999</v>
      </c>
      <c r="D40" s="8">
        <v>28797250.863350399</v>
      </c>
      <c r="E40" s="8">
        <v>28077319.602024201</v>
      </c>
      <c r="F40" s="8">
        <v>37951482.054644503</v>
      </c>
      <c r="G40" s="8">
        <v>39197749.375511497</v>
      </c>
      <c r="H40" s="8">
        <v>55364908.145648398</v>
      </c>
      <c r="I40" s="8">
        <v>71599170.161083505</v>
      </c>
      <c r="J40" s="8">
        <v>87910751.051234096</v>
      </c>
      <c r="K40" s="8">
        <v>104309943.489143</v>
      </c>
      <c r="L40" s="8">
        <v>120806964.11217199</v>
      </c>
      <c r="M40" s="8">
        <v>137569338.439105</v>
      </c>
      <c r="N40" s="8">
        <v>154831514.99745101</v>
      </c>
      <c r="O40" s="8">
        <v>172607093.902358</v>
      </c>
      <c r="P40" s="8">
        <v>190908668.09559399</v>
      </c>
      <c r="Q40" s="8">
        <v>209749078.36081299</v>
      </c>
      <c r="R40" s="8">
        <v>229141418.725128</v>
      </c>
      <c r="S40" s="8">
        <v>249099041.976652</v>
      </c>
      <c r="T40" s="8">
        <v>269635565.24648702</v>
      </c>
      <c r="U40" s="8">
        <v>290764875.78002697</v>
      </c>
      <c r="V40" s="8">
        <v>312501136.735309</v>
      </c>
      <c r="W40" s="8">
        <v>334858793.155366</v>
      </c>
      <c r="X40" s="8">
        <v>358001570.09498101</v>
      </c>
      <c r="Y40" s="8">
        <v>381642341.32152498</v>
      </c>
      <c r="Z40" s="8">
        <v>405946454.01005697</v>
      </c>
      <c r="AA40" s="8">
        <v>430924062.43968803</v>
      </c>
      <c r="AB40" s="8">
        <v>440409167.57184201</v>
      </c>
      <c r="AC40" s="8">
        <v>450098976.01013601</v>
      </c>
    </row>
    <row r="41" spans="1:29" x14ac:dyDescent="0.85">
      <c r="A41" t="s">
        <v>172</v>
      </c>
      <c r="B41" s="8">
        <v>30292965.75</v>
      </c>
      <c r="C41" s="8">
        <v>29535641.770826999</v>
      </c>
      <c r="D41" s="8">
        <v>28797250.863350399</v>
      </c>
      <c r="E41" s="8">
        <v>28077319.602024201</v>
      </c>
      <c r="F41" s="8">
        <v>37951482.054644503</v>
      </c>
      <c r="G41" s="8">
        <v>39197749.375511497</v>
      </c>
      <c r="H41" s="8">
        <v>55364908.145648398</v>
      </c>
      <c r="I41" s="8">
        <v>71599170.161083505</v>
      </c>
      <c r="J41" s="8">
        <v>87910751.051234096</v>
      </c>
      <c r="K41" s="8">
        <v>104309943.489143</v>
      </c>
      <c r="L41" s="8">
        <v>120806964.11217199</v>
      </c>
      <c r="M41" s="8">
        <v>137569338.439105</v>
      </c>
      <c r="N41" s="8">
        <v>154831514.99745101</v>
      </c>
      <c r="O41" s="8">
        <v>172607093.902358</v>
      </c>
      <c r="P41" s="8">
        <v>190908668.09559399</v>
      </c>
      <c r="Q41" s="8">
        <v>209749078.36081299</v>
      </c>
      <c r="R41" s="8">
        <v>229141418.725128</v>
      </c>
      <c r="S41" s="8">
        <v>249099041.976652</v>
      </c>
      <c r="T41" s="8">
        <v>269635565.24648702</v>
      </c>
      <c r="U41" s="8">
        <v>290764875.78002697</v>
      </c>
      <c r="V41" s="8">
        <v>312501136.735309</v>
      </c>
      <c r="W41" s="8">
        <v>334858793.155366</v>
      </c>
      <c r="X41" s="8">
        <v>358001570.09498101</v>
      </c>
      <c r="Y41" s="8">
        <v>381642341.32152498</v>
      </c>
      <c r="Z41" s="8">
        <v>405946454.01005697</v>
      </c>
      <c r="AA41" s="8">
        <v>430924062.43968803</v>
      </c>
      <c r="AB41" s="8">
        <v>440409167.57184201</v>
      </c>
      <c r="AC41" s="8">
        <v>450098976.01013601</v>
      </c>
    </row>
    <row r="42" spans="1:29" x14ac:dyDescent="0.85">
      <c r="A42" t="s">
        <v>173</v>
      </c>
      <c r="B42" s="8">
        <v>2233.0376607200001</v>
      </c>
      <c r="C42" s="8">
        <v>2177.21173133</v>
      </c>
      <c r="D42" s="8">
        <v>2122.7814481300002</v>
      </c>
      <c r="E42" s="8">
        <v>2069.7119126900002</v>
      </c>
      <c r="F42" s="8">
        <v>2797.5830893399998</v>
      </c>
      <c r="G42" s="8">
        <v>2889.4513430400002</v>
      </c>
      <c r="H42" s="8">
        <v>4081.2090170299998</v>
      </c>
      <c r="I42" s="8">
        <v>5277.9131883399996</v>
      </c>
      <c r="J42" s="8">
        <v>6480.3168992999999</v>
      </c>
      <c r="K42" s="8">
        <v>7689.1788714599998</v>
      </c>
      <c r="L42" s="8">
        <v>8905.2522214500004</v>
      </c>
      <c r="M42" s="8">
        <v>10140.88604695</v>
      </c>
      <c r="N42" s="8">
        <v>11413.362656830001</v>
      </c>
      <c r="O42" s="8">
        <v>12723.68457985</v>
      </c>
      <c r="P42" s="8">
        <v>14072.780101279999</v>
      </c>
      <c r="Q42" s="8">
        <v>15461.595775940001</v>
      </c>
      <c r="R42" s="8">
        <v>16891.096826460001</v>
      </c>
      <c r="S42" s="8">
        <v>18362.26754995</v>
      </c>
      <c r="T42" s="8">
        <v>19876.11172949</v>
      </c>
      <c r="U42" s="8">
        <v>21433.65305958</v>
      </c>
      <c r="V42" s="8">
        <v>23035.93557351</v>
      </c>
      <c r="W42" s="8">
        <v>24684.02408367</v>
      </c>
      <c r="X42" s="8">
        <v>26389.98753758</v>
      </c>
      <c r="Y42" s="8">
        <v>28132.66050374</v>
      </c>
      <c r="Z42" s="8">
        <v>29924.231503809999</v>
      </c>
      <c r="AA42" s="8">
        <v>31765.449057689999</v>
      </c>
      <c r="AB42" s="8">
        <v>32464.640980690001</v>
      </c>
      <c r="AC42" s="8">
        <v>33178.922551739997</v>
      </c>
    </row>
    <row r="43" spans="1:29" x14ac:dyDescent="0.85">
      <c r="A43" t="s">
        <v>174</v>
      </c>
      <c r="B43" s="8">
        <v>0</v>
      </c>
      <c r="C43" s="8">
        <v>1.77213851</v>
      </c>
      <c r="D43" s="8">
        <v>3.4556700999999999</v>
      </c>
      <c r="E43" s="8">
        <v>5.0539175299999997</v>
      </c>
      <c r="F43" s="8">
        <v>9.1083556899999998</v>
      </c>
      <c r="G43" s="8">
        <v>11.759324810000001</v>
      </c>
      <c r="H43" s="8">
        <v>19.931366929999999</v>
      </c>
      <c r="I43" s="8">
        <v>30.071651469999999</v>
      </c>
      <c r="J43" s="8">
        <v>42.197160500000003</v>
      </c>
      <c r="K43" s="8">
        <v>56.327369480000002</v>
      </c>
      <c r="L43" s="8">
        <v>72.484178470000003</v>
      </c>
      <c r="M43" s="8">
        <v>90.795763370000003</v>
      </c>
      <c r="N43" s="8">
        <v>111.4786908</v>
      </c>
      <c r="O43" s="8">
        <v>134.63353323999999</v>
      </c>
      <c r="P43" s="8">
        <v>160.36328119999999</v>
      </c>
      <c r="Q43" s="8">
        <v>188.77417052000001</v>
      </c>
      <c r="R43" s="8">
        <v>219.97576197999999</v>
      </c>
      <c r="S43" s="8">
        <v>254.08102281999999</v>
      </c>
      <c r="T43" s="8">
        <v>291.20641046999998</v>
      </c>
      <c r="U43" s="8">
        <v>331.47195839</v>
      </c>
      <c r="V43" s="8">
        <v>375.00136407999997</v>
      </c>
      <c r="W43" s="8">
        <v>421.92207938000001</v>
      </c>
      <c r="X43" s="8">
        <v>472.56207253000002</v>
      </c>
      <c r="Y43" s="8">
        <v>526.66643102</v>
      </c>
      <c r="Z43" s="8">
        <v>584.56289376999996</v>
      </c>
      <c r="AA43" s="8">
        <v>646.38609366000003</v>
      </c>
      <c r="AB43" s="8">
        <v>687.03830141000003</v>
      </c>
      <c r="AC43" s="8">
        <v>729.16034114000001</v>
      </c>
    </row>
    <row r="44" spans="1:29" x14ac:dyDescent="0.85">
      <c r="A44" t="s">
        <v>175</v>
      </c>
      <c r="B44" s="8">
        <v>9.0878899999999999E-2</v>
      </c>
      <c r="C44" s="8">
        <v>8.860693E-2</v>
      </c>
      <c r="D44" s="8">
        <v>8.6391750000000003E-2</v>
      </c>
      <c r="E44" s="8">
        <v>8.4231959999999995E-2</v>
      </c>
      <c r="F44" s="8">
        <v>0.11385445</v>
      </c>
      <c r="G44" s="8">
        <v>0.11759325</v>
      </c>
      <c r="H44" s="8">
        <v>0.16609472</v>
      </c>
      <c r="I44" s="8">
        <v>0.21479751</v>
      </c>
      <c r="J44" s="8">
        <v>0.26373225</v>
      </c>
      <c r="K44" s="8">
        <v>0.31292983000000002</v>
      </c>
      <c r="L44" s="8">
        <v>0.36242089</v>
      </c>
      <c r="M44" s="8">
        <v>0.41270802000000001</v>
      </c>
      <c r="N44" s="8">
        <v>0.46449454000000001</v>
      </c>
      <c r="O44" s="8">
        <v>0.51782128000000005</v>
      </c>
      <c r="P44" s="8">
        <v>0.57272599999999996</v>
      </c>
      <c r="Q44" s="8">
        <v>0.62924723999999999</v>
      </c>
      <c r="R44" s="8">
        <v>0.68742426000000001</v>
      </c>
      <c r="S44" s="8">
        <v>0.74729712999999998</v>
      </c>
      <c r="T44" s="8">
        <v>0.80890669999999998</v>
      </c>
      <c r="U44" s="8">
        <v>0.87229462999999996</v>
      </c>
      <c r="V44" s="8">
        <v>0.93750341000000004</v>
      </c>
      <c r="W44" s="8">
        <v>1.00457638</v>
      </c>
      <c r="X44" s="8">
        <v>1.0740047100000001</v>
      </c>
      <c r="Y44" s="8">
        <v>1.1449270199999999</v>
      </c>
      <c r="Z44" s="8">
        <v>1.2178393599999999</v>
      </c>
      <c r="AA44" s="8">
        <v>1.29277219</v>
      </c>
      <c r="AB44" s="8">
        <v>1.3212275</v>
      </c>
      <c r="AC44" s="8">
        <v>1.3502969300000001</v>
      </c>
    </row>
    <row r="45" spans="1:29" x14ac:dyDescent="0.85">
      <c r="A45" t="s">
        <v>176</v>
      </c>
      <c r="B45" s="8">
        <v>1926.7757769899999</v>
      </c>
      <c r="C45" s="8">
        <v>1878.6063930299999</v>
      </c>
      <c r="D45" s="8">
        <v>1831.6412419000001</v>
      </c>
      <c r="E45" s="8">
        <v>1785.85021151</v>
      </c>
      <c r="F45" s="8">
        <v>2413.8936057699998</v>
      </c>
      <c r="G45" s="8">
        <v>2493.1620968500001</v>
      </c>
      <c r="H45" s="8">
        <v>3521.4697956800001</v>
      </c>
      <c r="I45" s="8">
        <v>4554.0455780100001</v>
      </c>
      <c r="J45" s="8">
        <v>5591.5392061700004</v>
      </c>
      <c r="K45" s="8">
        <v>6634.6053427799998</v>
      </c>
      <c r="L45" s="8">
        <v>7683.8938142799998</v>
      </c>
      <c r="M45" s="8">
        <v>8750.0600353299997</v>
      </c>
      <c r="N45" s="8">
        <v>9848.0160402000001</v>
      </c>
      <c r="O45" s="8">
        <v>10978.6268605</v>
      </c>
      <c r="P45" s="8">
        <v>12142.69346683</v>
      </c>
      <c r="Q45" s="8">
        <v>13341.032593710001</v>
      </c>
      <c r="R45" s="8">
        <v>14574.477083150001</v>
      </c>
      <c r="S45" s="8">
        <v>15843.87623557</v>
      </c>
      <c r="T45" s="8">
        <v>17150.096164850002</v>
      </c>
      <c r="U45" s="8">
        <v>18494.020165440001</v>
      </c>
      <c r="V45" s="8">
        <v>19876.54908112</v>
      </c>
      <c r="W45" s="8">
        <v>21298.601684869998</v>
      </c>
      <c r="X45" s="8">
        <v>22770.59166392</v>
      </c>
      <c r="Y45" s="8">
        <v>24274.256432980001</v>
      </c>
      <c r="Z45" s="8">
        <v>25820.112853769999</v>
      </c>
      <c r="AA45" s="8">
        <v>27408.806786419998</v>
      </c>
      <c r="AB45" s="8">
        <v>28012.10429653</v>
      </c>
      <c r="AC45" s="8">
        <v>28628.42190428</v>
      </c>
    </row>
    <row r="46" spans="1:29" x14ac:dyDescent="0.85">
      <c r="A46" t="s">
        <v>177</v>
      </c>
      <c r="B46" s="8">
        <v>306.26188373000002</v>
      </c>
      <c r="C46" s="8">
        <v>298.60533830000003</v>
      </c>
      <c r="D46" s="8">
        <v>291.14020622999999</v>
      </c>
      <c r="E46" s="8">
        <v>283.86170118000001</v>
      </c>
      <c r="F46" s="8">
        <v>383.68948356999999</v>
      </c>
      <c r="G46" s="8">
        <v>396.28924618999997</v>
      </c>
      <c r="H46" s="8">
        <v>559.73922134999998</v>
      </c>
      <c r="I46" s="8">
        <v>723.86761033000005</v>
      </c>
      <c r="J46" s="8">
        <v>888.77769312999999</v>
      </c>
      <c r="K46" s="8">
        <v>1054.57352868</v>
      </c>
      <c r="L46" s="8">
        <v>1221.35840717</v>
      </c>
      <c r="M46" s="8">
        <v>1390.8260116199999</v>
      </c>
      <c r="N46" s="8">
        <v>1565.3466166200001</v>
      </c>
      <c r="O46" s="8">
        <v>1745.0577193500001</v>
      </c>
      <c r="P46" s="8">
        <v>1930.08663445</v>
      </c>
      <c r="Q46" s="8">
        <v>2120.5631822300002</v>
      </c>
      <c r="R46" s="8">
        <v>2316.6197433100001</v>
      </c>
      <c r="S46" s="8">
        <v>2518.39131438</v>
      </c>
      <c r="T46" s="8">
        <v>2726.0155646399999</v>
      </c>
      <c r="U46" s="8">
        <v>2939.6328941400002</v>
      </c>
      <c r="V46" s="8">
        <v>3159.3864923900001</v>
      </c>
      <c r="W46" s="8">
        <v>3385.4223987999999</v>
      </c>
      <c r="X46" s="8">
        <v>3619.3958736599998</v>
      </c>
      <c r="Y46" s="8">
        <v>3858.4040707600002</v>
      </c>
      <c r="Z46" s="8">
        <v>4104.1186500399999</v>
      </c>
      <c r="AA46" s="8">
        <v>4356.6422712699996</v>
      </c>
      <c r="AB46" s="8">
        <v>4452.5366841499999</v>
      </c>
      <c r="AC46" s="8">
        <v>4550.5006474600004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1.0000000099999999</v>
      </c>
      <c r="E47" s="8">
        <v>1</v>
      </c>
      <c r="F47" s="8">
        <v>1</v>
      </c>
      <c r="G47" s="8">
        <v>1.38633593</v>
      </c>
      <c r="H47" s="8">
        <v>1.05932147</v>
      </c>
      <c r="I47" s="8">
        <v>1.3263725200000001</v>
      </c>
      <c r="J47" s="8">
        <v>1.2592905299999999</v>
      </c>
      <c r="K47" s="8">
        <v>1.21695785</v>
      </c>
      <c r="L47" s="8">
        <v>1.1878401199999999</v>
      </c>
      <c r="M47" s="8">
        <v>1.1679421800000001</v>
      </c>
      <c r="N47" s="8">
        <v>1.1543282800000001</v>
      </c>
      <c r="O47" s="8">
        <v>1.1433807199999999</v>
      </c>
      <c r="P47" s="8">
        <v>1.1343800100000001</v>
      </c>
      <c r="Q47" s="8">
        <v>1.1268495700000001</v>
      </c>
      <c r="R47" s="8">
        <v>1.12045661</v>
      </c>
      <c r="S47" s="8">
        <v>1.1149617000000001</v>
      </c>
      <c r="T47" s="8">
        <v>1.1101881600000001</v>
      </c>
      <c r="U47" s="8">
        <v>1.1060028</v>
      </c>
      <c r="V47" s="8">
        <v>1.10230329</v>
      </c>
      <c r="W47" s="8">
        <v>1.0990097299999999</v>
      </c>
      <c r="X47" s="8">
        <v>1.0965151799999999</v>
      </c>
      <c r="Y47" s="8">
        <v>1.09335962</v>
      </c>
      <c r="Z47" s="8">
        <v>1.09094688</v>
      </c>
      <c r="AA47" s="8">
        <v>1.08875151</v>
      </c>
      <c r="AB47" s="8">
        <v>1.0867460600000001</v>
      </c>
      <c r="AC47" s="8">
        <v>1.0482164899999999</v>
      </c>
    </row>
    <row r="48" spans="1:29" x14ac:dyDescent="0.85">
      <c r="A48" t="s">
        <v>179</v>
      </c>
      <c r="B48" s="8">
        <v>1</v>
      </c>
      <c r="C48" s="8">
        <v>1.0000000099999999</v>
      </c>
      <c r="D48" s="8">
        <v>1</v>
      </c>
      <c r="E48" s="8">
        <v>1</v>
      </c>
      <c r="F48" s="8">
        <v>1.38633593</v>
      </c>
      <c r="G48" s="8">
        <v>1.05932147</v>
      </c>
      <c r="H48" s="8">
        <v>1.4486679</v>
      </c>
      <c r="I48" s="8">
        <v>1.3263825199999999</v>
      </c>
      <c r="J48" s="8">
        <v>1.25930053</v>
      </c>
      <c r="K48" s="8">
        <v>1.2169678500000001</v>
      </c>
      <c r="L48" s="8">
        <v>1.18785012</v>
      </c>
      <c r="M48" s="8">
        <v>1.1679521799999999</v>
      </c>
      <c r="N48" s="8">
        <v>1.1543382799999999</v>
      </c>
      <c r="O48" s="8">
        <v>1.14339072</v>
      </c>
      <c r="P48" s="8">
        <v>1.1343900099999999</v>
      </c>
      <c r="Q48" s="8">
        <v>1.1268595699999999</v>
      </c>
      <c r="R48" s="8">
        <v>1.12046661</v>
      </c>
      <c r="S48" s="8">
        <v>1.1149716999999999</v>
      </c>
      <c r="T48" s="8">
        <v>1.1101981599999999</v>
      </c>
      <c r="U48" s="8">
        <v>1.1060128</v>
      </c>
      <c r="V48" s="8">
        <v>1.1023132899999999</v>
      </c>
      <c r="W48" s="8">
        <v>1.09901973</v>
      </c>
      <c r="X48" s="8">
        <v>1.09652518</v>
      </c>
      <c r="Y48" s="8">
        <v>1.09336962</v>
      </c>
      <c r="Z48" s="8">
        <v>1.09095688</v>
      </c>
      <c r="AA48" s="8">
        <v>1.0887480199999999</v>
      </c>
      <c r="AB48" s="8">
        <v>1.0482164899999999</v>
      </c>
      <c r="AC48" s="8">
        <v>1.0482070100000001</v>
      </c>
    </row>
    <row r="49" spans="1:29" x14ac:dyDescent="0.85">
      <c r="A49" t="s">
        <v>180</v>
      </c>
      <c r="B49" s="8">
        <v>1</v>
      </c>
      <c r="C49" s="8">
        <v>1.53935109</v>
      </c>
      <c r="D49" s="8">
        <v>1.55269678</v>
      </c>
      <c r="E49" s="8">
        <v>1.5667948300000001</v>
      </c>
      <c r="F49" s="8">
        <v>1.58151654</v>
      </c>
      <c r="G49" s="8">
        <v>1.4518962200000001</v>
      </c>
      <c r="H49" s="8">
        <v>1.4486679</v>
      </c>
      <c r="I49" s="8">
        <v>1.3263825199999999</v>
      </c>
      <c r="J49" s="8">
        <v>1.25930053</v>
      </c>
      <c r="K49" s="8">
        <v>1.2169678500000001</v>
      </c>
      <c r="L49" s="8">
        <v>1.18785012</v>
      </c>
      <c r="M49" s="8">
        <v>1.1679521799999999</v>
      </c>
      <c r="N49" s="8">
        <v>1.1543382799999999</v>
      </c>
      <c r="O49" s="8">
        <v>1.14339072</v>
      </c>
      <c r="P49" s="8">
        <v>1.1343900099999999</v>
      </c>
      <c r="Q49" s="8">
        <v>1.1268595699999999</v>
      </c>
      <c r="R49" s="8">
        <v>1.12046661</v>
      </c>
      <c r="S49" s="8">
        <v>1.1149716999999999</v>
      </c>
      <c r="T49" s="8">
        <v>1.1101981599999999</v>
      </c>
      <c r="U49" s="8">
        <v>1.1060128</v>
      </c>
      <c r="V49" s="8">
        <v>1.1023132899999999</v>
      </c>
      <c r="W49" s="8">
        <v>1.09901973</v>
      </c>
      <c r="X49" s="8">
        <v>1.09652518</v>
      </c>
      <c r="Y49" s="8">
        <v>1.09336962</v>
      </c>
      <c r="Z49" s="8">
        <v>1.09095688</v>
      </c>
      <c r="AA49" s="8">
        <v>1.0887615100000001</v>
      </c>
      <c r="AB49" s="8">
        <v>1.0867560599999999</v>
      </c>
      <c r="AC49" s="8">
        <v>1.0867990999999999</v>
      </c>
    </row>
    <row r="50" spans="1:29" x14ac:dyDescent="0.85">
      <c r="A50" t="s">
        <v>181</v>
      </c>
      <c r="B50" s="8">
        <v>36957</v>
      </c>
      <c r="C50" s="8">
        <v>38212.756015370003</v>
      </c>
      <c r="D50" s="8">
        <v>39486.502476289999</v>
      </c>
      <c r="E50" s="8">
        <v>40756.302269090003</v>
      </c>
      <c r="F50" s="8">
        <v>43524.213826190004</v>
      </c>
      <c r="G50" s="8">
        <v>46377.937130170001</v>
      </c>
      <c r="H50" s="8">
        <v>45955.46794029</v>
      </c>
      <c r="I50" s="8">
        <v>45545.579933330002</v>
      </c>
      <c r="J50" s="8">
        <v>45148.585978329997</v>
      </c>
      <c r="K50" s="8">
        <v>44763.990262220002</v>
      </c>
      <c r="L50" s="8">
        <v>44336.190325060001</v>
      </c>
      <c r="M50" s="8">
        <v>43971.058565589999</v>
      </c>
      <c r="N50" s="8">
        <v>43583.463441170003</v>
      </c>
      <c r="O50" s="8">
        <v>43166.033834529997</v>
      </c>
      <c r="P50" s="8">
        <v>42717.900633650002</v>
      </c>
      <c r="Q50" s="8">
        <v>42238.174105010003</v>
      </c>
      <c r="R50" s="8">
        <v>41725.94876028</v>
      </c>
      <c r="S50" s="8">
        <v>41180.305203770004</v>
      </c>
      <c r="T50" s="8">
        <v>40600.29207268</v>
      </c>
      <c r="U50" s="8">
        <v>39984.954647389997</v>
      </c>
      <c r="V50" s="8">
        <v>39333.313693060001</v>
      </c>
      <c r="W50" s="8">
        <v>39391.820121429999</v>
      </c>
      <c r="X50" s="8">
        <v>39733.751086119999</v>
      </c>
      <c r="Y50" s="8">
        <v>40027.390606519999</v>
      </c>
      <c r="Z50" s="8">
        <v>40321.102011570001</v>
      </c>
      <c r="AA50" s="8">
        <v>40614.952285760002</v>
      </c>
      <c r="AB50" s="8">
        <v>41400.247392420002</v>
      </c>
      <c r="AC50" s="8">
        <v>42200.779314189997</v>
      </c>
    </row>
    <row r="51" spans="1:29" x14ac:dyDescent="0.85">
      <c r="A51" t="s">
        <v>182</v>
      </c>
      <c r="B51" s="8">
        <v>162649203.5</v>
      </c>
      <c r="C51" s="8">
        <v>169290746.86510599</v>
      </c>
      <c r="D51" s="8">
        <v>175856422.64135599</v>
      </c>
      <c r="E51" s="8">
        <v>182475835.94324899</v>
      </c>
      <c r="F51" s="8">
        <v>189546466.72977799</v>
      </c>
      <c r="G51" s="8">
        <v>201978806.17744601</v>
      </c>
      <c r="H51" s="8">
        <v>191496421.85969201</v>
      </c>
      <c r="I51" s="8">
        <v>181042242.47069201</v>
      </c>
      <c r="J51" s="8">
        <v>170612445.97917899</v>
      </c>
      <c r="K51" s="8">
        <v>160199237.289276</v>
      </c>
      <c r="L51" s="8">
        <v>149526933.40294001</v>
      </c>
      <c r="M51" s="8">
        <v>138365034.09692499</v>
      </c>
      <c r="N51" s="8">
        <v>126862581.55478901</v>
      </c>
      <c r="O51" s="8">
        <v>115251634.218934</v>
      </c>
      <c r="P51" s="8">
        <v>103750025.903565</v>
      </c>
      <c r="Q51" s="8">
        <v>92456393.841445997</v>
      </c>
      <c r="R51" s="8">
        <v>81644324.991294295</v>
      </c>
      <c r="S51" s="8">
        <v>71608676.516848207</v>
      </c>
      <c r="T51" s="8">
        <v>62511063.123059101</v>
      </c>
      <c r="U51" s="8">
        <v>54351893.331829898</v>
      </c>
      <c r="V51" s="8">
        <v>47049849.4253482</v>
      </c>
      <c r="W51" s="8">
        <v>40535742.717112198</v>
      </c>
      <c r="X51" s="8">
        <v>35042402.308267698</v>
      </c>
      <c r="Y51" s="8">
        <v>30050582.902658999</v>
      </c>
      <c r="Z51" s="8">
        <v>25635807.0894395</v>
      </c>
      <c r="AA51" s="8">
        <v>21749270.050654501</v>
      </c>
      <c r="AB51" s="8">
        <v>22052443.970384501</v>
      </c>
      <c r="AC51" s="8">
        <v>22358911.5235488</v>
      </c>
    </row>
    <row r="52" spans="1:29" x14ac:dyDescent="0.85">
      <c r="A52" t="s">
        <v>183</v>
      </c>
      <c r="B52" s="8">
        <v>162649203.5</v>
      </c>
      <c r="C52" s="8">
        <v>169290746.86510599</v>
      </c>
      <c r="D52" s="8">
        <v>175856422.64135599</v>
      </c>
      <c r="E52" s="8">
        <v>182475835.94324899</v>
      </c>
      <c r="F52" s="8">
        <v>189546466.72977799</v>
      </c>
      <c r="G52" s="8">
        <v>201978806.17744601</v>
      </c>
      <c r="H52" s="8">
        <v>191496421.85969201</v>
      </c>
      <c r="I52" s="8">
        <v>181042242.47069201</v>
      </c>
      <c r="J52" s="8">
        <v>170612445.97917899</v>
      </c>
      <c r="K52" s="8">
        <v>160199237.289276</v>
      </c>
      <c r="L52" s="8">
        <v>149526933.40294001</v>
      </c>
      <c r="M52" s="8">
        <v>138365034.09692499</v>
      </c>
      <c r="N52" s="8">
        <v>126862581.55478901</v>
      </c>
      <c r="O52" s="8">
        <v>115251634.218934</v>
      </c>
      <c r="P52" s="8">
        <v>103750025.903565</v>
      </c>
      <c r="Q52" s="8">
        <v>92456393.841445997</v>
      </c>
      <c r="R52" s="8">
        <v>81644324.991294295</v>
      </c>
      <c r="S52" s="8">
        <v>71608676.516848207</v>
      </c>
      <c r="T52" s="8">
        <v>62511063.123059101</v>
      </c>
      <c r="U52" s="8">
        <v>54351893.331829898</v>
      </c>
      <c r="V52" s="8">
        <v>47049849.4253482</v>
      </c>
      <c r="W52" s="8">
        <v>40535742.717112198</v>
      </c>
      <c r="X52" s="8">
        <v>35042402.308267698</v>
      </c>
      <c r="Y52" s="8">
        <v>30050582.902658999</v>
      </c>
      <c r="Z52" s="8">
        <v>25635807.0894395</v>
      </c>
      <c r="AA52" s="8">
        <v>21749270.050654501</v>
      </c>
      <c r="AB52" s="8">
        <v>22052443.970384501</v>
      </c>
      <c r="AC52" s="8">
        <v>22358911.5235488</v>
      </c>
    </row>
    <row r="53" spans="1:29" x14ac:dyDescent="0.85">
      <c r="A53" t="s">
        <v>184</v>
      </c>
      <c r="B53" s="8">
        <v>7556.74371152</v>
      </c>
      <c r="C53" s="8">
        <v>7840.7169548000002</v>
      </c>
      <c r="D53" s="8">
        <v>8124.5856959800003</v>
      </c>
      <c r="E53" s="8">
        <v>8409.3824563199996</v>
      </c>
      <c r="F53" s="8">
        <v>8850.6384872300005</v>
      </c>
      <c r="G53" s="8">
        <v>9431.0515512799993</v>
      </c>
      <c r="H53" s="8">
        <v>9134.2644345299996</v>
      </c>
      <c r="I53" s="8">
        <v>8839.3870073899998</v>
      </c>
      <c r="J53" s="8">
        <v>8546.3563883200004</v>
      </c>
      <c r="K53" s="8">
        <v>8254.9342391800001</v>
      </c>
      <c r="L53" s="8">
        <v>7952.9955301999998</v>
      </c>
      <c r="M53" s="8">
        <v>7645.1950582099998</v>
      </c>
      <c r="N53" s="8">
        <v>7326.9041507399997</v>
      </c>
      <c r="O53" s="8">
        <v>7003.0693824</v>
      </c>
      <c r="P53" s="8">
        <v>6678.9215173700004</v>
      </c>
      <c r="Q53" s="8">
        <v>6356.7809211800004</v>
      </c>
      <c r="R53" s="8">
        <v>6043.2352030100001</v>
      </c>
      <c r="S53" s="8">
        <v>5745.3896148399999</v>
      </c>
      <c r="T53" s="8">
        <v>5467.0951889799999</v>
      </c>
      <c r="U53" s="8">
        <v>5208.2692009900002</v>
      </c>
      <c r="V53" s="8">
        <v>4966.8324260199997</v>
      </c>
      <c r="W53" s="8">
        <v>4813.5685291700001</v>
      </c>
      <c r="X53" s="8">
        <v>4712.7286195999995</v>
      </c>
      <c r="Y53" s="8">
        <v>4619.4372740999997</v>
      </c>
      <c r="Z53" s="8">
        <v>4540.2327714399999</v>
      </c>
      <c r="AA53" s="8">
        <v>4473.93077748</v>
      </c>
      <c r="AB53" s="8">
        <v>4557.5714184300004</v>
      </c>
      <c r="AC53" s="8">
        <v>4642.7717449800002</v>
      </c>
    </row>
    <row r="54" spans="1:29" x14ac:dyDescent="0.85">
      <c r="A54" t="s">
        <v>185</v>
      </c>
      <c r="B54" s="8">
        <v>0</v>
      </c>
      <c r="C54" s="8">
        <v>1659.04931928</v>
      </c>
      <c r="D54" s="8">
        <v>3446.7858837700001</v>
      </c>
      <c r="E54" s="8">
        <v>5364.7895767299997</v>
      </c>
      <c r="F54" s="8">
        <v>7430.2214958100003</v>
      </c>
      <c r="G54" s="8">
        <v>9896.9615026899992</v>
      </c>
      <c r="H54" s="8">
        <v>11259.98960535</v>
      </c>
      <c r="I54" s="8">
        <v>12419.497833490001</v>
      </c>
      <c r="J54" s="8">
        <v>13376.01576477</v>
      </c>
      <c r="K54" s="8">
        <v>14129.57272891</v>
      </c>
      <c r="L54" s="8">
        <v>14653.63947349</v>
      </c>
      <c r="M54" s="8">
        <v>14915.750675650001</v>
      </c>
      <c r="N54" s="8">
        <v>14919.039590840001</v>
      </c>
      <c r="O54" s="8">
        <v>14683.05819949</v>
      </c>
      <c r="P54" s="8">
        <v>14234.50355397</v>
      </c>
      <c r="Q54" s="8">
        <v>13591.08989469</v>
      </c>
      <c r="R54" s="8">
        <v>12801.83015863</v>
      </c>
      <c r="S54" s="8">
        <v>11930.005507710001</v>
      </c>
      <c r="T54" s="8">
        <v>11026.95153491</v>
      </c>
      <c r="U54" s="8">
        <v>10120.322538390001</v>
      </c>
      <c r="V54" s="8">
        <v>9221.7704873700004</v>
      </c>
      <c r="W54" s="8">
        <v>8342.2558511799998</v>
      </c>
      <c r="X54" s="8">
        <v>7555.1419376599997</v>
      </c>
      <c r="Y54" s="8">
        <v>6773.4013862600004</v>
      </c>
      <c r="Z54" s="8">
        <v>6029.5418274399999</v>
      </c>
      <c r="AA54" s="8">
        <v>5328.5711624100004</v>
      </c>
      <c r="AB54" s="8">
        <v>5618.96272365</v>
      </c>
      <c r="AC54" s="8">
        <v>5916.16798913</v>
      </c>
    </row>
    <row r="55" spans="1:29" x14ac:dyDescent="0.85">
      <c r="A55" t="s">
        <v>186</v>
      </c>
      <c r="B55" s="8">
        <v>79.698109720000005</v>
      </c>
      <c r="C55" s="8">
        <v>82.952465959999998</v>
      </c>
      <c r="D55" s="8">
        <v>86.169647089999998</v>
      </c>
      <c r="E55" s="8">
        <v>89.413159609999994</v>
      </c>
      <c r="F55" s="8">
        <v>92.877768700000004</v>
      </c>
      <c r="G55" s="8">
        <v>98.96961503</v>
      </c>
      <c r="H55" s="8">
        <v>93.833246709999997</v>
      </c>
      <c r="I55" s="8">
        <v>88.710698809999997</v>
      </c>
      <c r="J55" s="8">
        <v>83.600098529999997</v>
      </c>
      <c r="K55" s="8">
        <v>78.497626269999998</v>
      </c>
      <c r="L55" s="8">
        <v>73.268197369999996</v>
      </c>
      <c r="M55" s="8">
        <v>67.798866709999999</v>
      </c>
      <c r="N55" s="8">
        <v>62.162664960000001</v>
      </c>
      <c r="O55" s="8">
        <v>56.473300770000002</v>
      </c>
      <c r="P55" s="8">
        <v>50.837512689999997</v>
      </c>
      <c r="Q55" s="8">
        <v>45.303632980000003</v>
      </c>
      <c r="R55" s="8">
        <v>40.005719249999999</v>
      </c>
      <c r="S55" s="8">
        <v>35.088251489999998</v>
      </c>
      <c r="T55" s="8">
        <v>30.63042093</v>
      </c>
      <c r="U55" s="8">
        <v>26.63242773</v>
      </c>
      <c r="V55" s="8">
        <v>23.05442622</v>
      </c>
      <c r="W55" s="8">
        <v>19.862513929999999</v>
      </c>
      <c r="X55" s="8">
        <v>17.170777130000001</v>
      </c>
      <c r="Y55" s="8">
        <v>14.72478562</v>
      </c>
      <c r="Z55" s="8">
        <v>12.56154547</v>
      </c>
      <c r="AA55" s="8">
        <v>10.65714232</v>
      </c>
      <c r="AB55" s="8">
        <v>10.80569755</v>
      </c>
      <c r="AC55" s="8">
        <v>10.955866650000001</v>
      </c>
    </row>
    <row r="56" spans="1:29" x14ac:dyDescent="0.85">
      <c r="A56" t="s">
        <v>187</v>
      </c>
      <c r="B56" s="8">
        <v>3588.10314612</v>
      </c>
      <c r="C56" s="8">
        <v>3710.0227313</v>
      </c>
      <c r="D56" s="8">
        <v>3833.6889835299999</v>
      </c>
      <c r="E56" s="8">
        <v>3956.9720593100001</v>
      </c>
      <c r="F56" s="8">
        <v>4225.7046990299996</v>
      </c>
      <c r="G56" s="8">
        <v>4502.7686805499998</v>
      </c>
      <c r="H56" s="8">
        <v>4461.7517411500003</v>
      </c>
      <c r="I56" s="8">
        <v>4421.9562911100002</v>
      </c>
      <c r="J56" s="8">
        <v>4383.4127064300001</v>
      </c>
      <c r="K56" s="8">
        <v>4346.0728493300003</v>
      </c>
      <c r="L56" s="8">
        <v>4304.5383551699997</v>
      </c>
      <c r="M56" s="8">
        <v>4269.08822624</v>
      </c>
      <c r="N56" s="8">
        <v>4231.4571607999997</v>
      </c>
      <c r="O56" s="8">
        <v>4190.9295074499996</v>
      </c>
      <c r="P56" s="8">
        <v>4147.4208853299997</v>
      </c>
      <c r="Q56" s="8">
        <v>4100.8449114499999</v>
      </c>
      <c r="R56" s="8">
        <v>4051.1136732300001</v>
      </c>
      <c r="S56" s="8">
        <v>3998.1379078300001</v>
      </c>
      <c r="T56" s="8">
        <v>3941.82524878</v>
      </c>
      <c r="U56" s="8">
        <v>3882.0830037000001</v>
      </c>
      <c r="V56" s="8">
        <v>3818.81610004</v>
      </c>
      <c r="W56" s="8">
        <v>3824.49640688</v>
      </c>
      <c r="X56" s="8">
        <v>3857.6940032799998</v>
      </c>
      <c r="Y56" s="8">
        <v>3886.2030512800002</v>
      </c>
      <c r="Z56" s="8">
        <v>3914.7190784600002</v>
      </c>
      <c r="AA56" s="8">
        <v>3943.24858825</v>
      </c>
      <c r="AB56" s="8">
        <v>4019.4917855499998</v>
      </c>
      <c r="AC56" s="8">
        <v>4097.2143038100003</v>
      </c>
    </row>
    <row r="57" spans="1:29" x14ac:dyDescent="0.85">
      <c r="A57" t="s">
        <v>188</v>
      </c>
      <c r="B57" s="8">
        <v>3968.6405654</v>
      </c>
      <c r="C57" s="8">
        <v>4130.6942235099996</v>
      </c>
      <c r="D57" s="8">
        <v>4290.8967124500005</v>
      </c>
      <c r="E57" s="8">
        <v>4452.4103970200003</v>
      </c>
      <c r="F57" s="8">
        <v>4624.9337882099999</v>
      </c>
      <c r="G57" s="8">
        <v>4928.2828707299996</v>
      </c>
      <c r="H57" s="8">
        <v>4672.5126933800002</v>
      </c>
      <c r="I57" s="8">
        <v>4417.4307162799996</v>
      </c>
      <c r="J57" s="8">
        <v>4162.9436818900003</v>
      </c>
      <c r="K57" s="8">
        <v>3908.8613898600001</v>
      </c>
      <c r="L57" s="8">
        <v>3648.4571750300001</v>
      </c>
      <c r="M57" s="8">
        <v>3376.1068319599999</v>
      </c>
      <c r="N57" s="8">
        <v>3095.4469899400001</v>
      </c>
      <c r="O57" s="8">
        <v>2812.13987494</v>
      </c>
      <c r="P57" s="8">
        <v>2531.5006320500001</v>
      </c>
      <c r="Q57" s="8">
        <v>2255.93600973</v>
      </c>
      <c r="R57" s="8">
        <v>1992.1215297900001</v>
      </c>
      <c r="S57" s="8">
        <v>1747.25170701</v>
      </c>
      <c r="T57" s="8">
        <v>1525.2699402000001</v>
      </c>
      <c r="U57" s="8">
        <v>1326.1861973</v>
      </c>
      <c r="V57" s="8">
        <v>1148.0163259799999</v>
      </c>
      <c r="W57" s="8">
        <v>989.07212230000005</v>
      </c>
      <c r="X57" s="8">
        <v>855.03461632000005</v>
      </c>
      <c r="Y57" s="8">
        <v>733.23422282000001</v>
      </c>
      <c r="Z57" s="8">
        <v>625.51369297999997</v>
      </c>
      <c r="AA57" s="8">
        <v>530.68218923999996</v>
      </c>
      <c r="AB57" s="8">
        <v>538.07963287999996</v>
      </c>
      <c r="AC57" s="8">
        <v>545.55744116999995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1.0770612900000001</v>
      </c>
      <c r="E58" s="8">
        <v>1.07638856</v>
      </c>
      <c r="F58" s="8">
        <v>1.0751643900000001</v>
      </c>
      <c r="G58" s="8">
        <v>1.1099549399999999</v>
      </c>
      <c r="H58" s="8">
        <v>1.1065399300000001</v>
      </c>
      <c r="I58" s="8">
        <v>1.0321778399999999</v>
      </c>
      <c r="J58" s="8">
        <v>1.0323757899999999</v>
      </c>
      <c r="K58" s="8">
        <v>1.0325870699999999</v>
      </c>
      <c r="L58" s="8">
        <v>1.0327932900000001</v>
      </c>
      <c r="M58" s="8">
        <v>1.0317116799999999</v>
      </c>
      <c r="N58" s="8">
        <v>1.033088</v>
      </c>
      <c r="O58" s="8">
        <v>1.03248461</v>
      </c>
      <c r="P58" s="8">
        <v>1.03168989</v>
      </c>
      <c r="Q58" s="8">
        <v>1.0308524800000001</v>
      </c>
      <c r="R58" s="8">
        <v>1.0299686400000001</v>
      </c>
      <c r="S58" s="8">
        <v>1.0290343</v>
      </c>
      <c r="T58" s="8">
        <v>1.0280449599999999</v>
      </c>
      <c r="U58" s="8">
        <v>1.0269950800000001</v>
      </c>
      <c r="V58" s="8">
        <v>1.02587918</v>
      </c>
      <c r="W58" s="8">
        <v>1.02469046</v>
      </c>
      <c r="X58" s="8">
        <v>1.0432161</v>
      </c>
      <c r="Y58" s="8">
        <v>1.0507086000000001</v>
      </c>
      <c r="Z58" s="8">
        <v>1.0493647699999999</v>
      </c>
      <c r="AA58" s="8">
        <v>1.04931017</v>
      </c>
      <c r="AB58" s="8">
        <v>1.04925808</v>
      </c>
      <c r="AC58" s="8">
        <v>1.0618074200000001</v>
      </c>
    </row>
    <row r="59" spans="1:29" x14ac:dyDescent="0.85">
      <c r="A59" t="s">
        <v>190</v>
      </c>
      <c r="B59" s="8">
        <v>1</v>
      </c>
      <c r="C59" s="8">
        <v>1.0770612900000001</v>
      </c>
      <c r="D59" s="8">
        <v>1.07638856</v>
      </c>
      <c r="E59" s="8">
        <v>1.0751643900000001</v>
      </c>
      <c r="F59" s="8">
        <v>1.1124101099999999</v>
      </c>
      <c r="G59" s="8">
        <v>1.10996494</v>
      </c>
      <c r="H59" s="8">
        <v>1.0321778399999999</v>
      </c>
      <c r="I59" s="8">
        <v>1.0323757899999999</v>
      </c>
      <c r="J59" s="8">
        <v>1.0325870699999999</v>
      </c>
      <c r="K59" s="8">
        <v>1.0327932900000001</v>
      </c>
      <c r="L59" s="8">
        <v>1.0317116799999999</v>
      </c>
      <c r="M59" s="8">
        <v>1.033088</v>
      </c>
      <c r="N59" s="8">
        <v>1.03248461</v>
      </c>
      <c r="O59" s="8">
        <v>1.03168989</v>
      </c>
      <c r="P59" s="8">
        <v>1.0308524800000001</v>
      </c>
      <c r="Q59" s="8">
        <v>1.0299686400000001</v>
      </c>
      <c r="R59" s="8">
        <v>1.0290343</v>
      </c>
      <c r="S59" s="8">
        <v>1.0280449599999999</v>
      </c>
      <c r="T59" s="8">
        <v>1.0269950800000001</v>
      </c>
      <c r="U59" s="8">
        <v>1.02587918</v>
      </c>
      <c r="V59" s="8">
        <v>1.02469046</v>
      </c>
      <c r="W59" s="8">
        <v>1.0432161</v>
      </c>
      <c r="X59" s="8">
        <v>1.0507086000000001</v>
      </c>
      <c r="Y59" s="8">
        <v>1.0493647699999999</v>
      </c>
      <c r="Z59" s="8">
        <v>1.04931017</v>
      </c>
      <c r="AA59" s="8">
        <v>1.04925808</v>
      </c>
      <c r="AB59" s="8">
        <v>1.0618074200000001</v>
      </c>
      <c r="AC59" s="8">
        <v>1.06180875</v>
      </c>
    </row>
    <row r="60" spans="1:29" x14ac:dyDescent="0.85">
      <c r="A60" t="s">
        <v>191</v>
      </c>
      <c r="B60" s="8">
        <v>1</v>
      </c>
      <c r="C60" s="8">
        <v>1.12169561</v>
      </c>
      <c r="D60" s="8">
        <v>1.11835902</v>
      </c>
      <c r="E60" s="8">
        <v>1.11526269</v>
      </c>
      <c r="F60" s="8">
        <v>1.1124101099999999</v>
      </c>
      <c r="G60" s="8">
        <v>1.10996494</v>
      </c>
      <c r="H60" s="8">
        <v>1.1065499299999999</v>
      </c>
      <c r="I60" s="8">
        <v>1.10817743</v>
      </c>
      <c r="J60" s="8">
        <v>1.1098672599999999</v>
      </c>
      <c r="K60" s="8">
        <v>1.1116197800000001</v>
      </c>
      <c r="L60" s="8">
        <v>1.11343609</v>
      </c>
      <c r="M60" s="8">
        <v>1.11630549</v>
      </c>
      <c r="N60" s="8">
        <v>1.1204038999999999</v>
      </c>
      <c r="O60" s="8">
        <v>1.1247167600000001</v>
      </c>
      <c r="P60" s="8">
        <v>1.12926992</v>
      </c>
      <c r="Q60" s="8">
        <v>1.13408413</v>
      </c>
      <c r="R60" s="8">
        <v>1.13918257</v>
      </c>
      <c r="S60" s="8">
        <v>1.14459128</v>
      </c>
      <c r="T60" s="8">
        <v>1.1503395599999999</v>
      </c>
      <c r="U60" s="8">
        <v>1.15646056</v>
      </c>
      <c r="V60" s="8">
        <v>1.1629918699999999</v>
      </c>
      <c r="W60" s="8">
        <v>1.16997632</v>
      </c>
      <c r="X60" s="8">
        <v>1.1754018100000001</v>
      </c>
      <c r="Y60" s="8">
        <v>1.1779202200000001</v>
      </c>
      <c r="Z60" s="8">
        <v>1.18161804</v>
      </c>
      <c r="AA60" s="8">
        <v>1.1853780300000001</v>
      </c>
      <c r="AB60" s="8">
        <v>1.1892004700000001</v>
      </c>
      <c r="AC60" s="8">
        <v>1.18975403</v>
      </c>
    </row>
    <row r="61" spans="1:29" x14ac:dyDescent="0.85">
      <c r="A61" t="s">
        <v>192</v>
      </c>
      <c r="B61" s="8">
        <v>5710</v>
      </c>
      <c r="C61" s="8">
        <v>5567.25</v>
      </c>
      <c r="D61" s="8">
        <v>5428.0687500000004</v>
      </c>
      <c r="E61" s="8">
        <v>5292.3670312499999</v>
      </c>
      <c r="F61" s="8">
        <v>5160.0578554699996</v>
      </c>
      <c r="G61" s="8">
        <v>5031.0564090799999</v>
      </c>
      <c r="H61" s="8">
        <v>4905.2799988500001</v>
      </c>
      <c r="I61" s="8">
        <v>4782.6479988800002</v>
      </c>
      <c r="J61" s="8">
        <v>4663.0817989099996</v>
      </c>
      <c r="K61" s="8">
        <v>4546.5047539400002</v>
      </c>
      <c r="L61" s="8">
        <v>4432.8421350899998</v>
      </c>
      <c r="M61" s="8">
        <v>4322.0210817099996</v>
      </c>
      <c r="N61" s="8">
        <v>4213.9705546699997</v>
      </c>
      <c r="O61" s="8">
        <v>4108.6212907999998</v>
      </c>
      <c r="P61" s="8">
        <v>4005.9057585300002</v>
      </c>
      <c r="Q61" s="8">
        <v>3905.7581145700001</v>
      </c>
      <c r="R61" s="8">
        <v>3808.1141617100002</v>
      </c>
      <c r="S61" s="8">
        <v>3712.9113076600001</v>
      </c>
      <c r="T61" s="8">
        <v>3620.08852497</v>
      </c>
      <c r="U61" s="8">
        <v>3529.5863118500001</v>
      </c>
      <c r="V61" s="8">
        <v>3441.3466540499999</v>
      </c>
      <c r="W61" s="8">
        <v>3355.3129877000001</v>
      </c>
      <c r="X61" s="8">
        <v>3271.4301630099999</v>
      </c>
      <c r="Y61" s="8">
        <v>3189.6444089299998</v>
      </c>
      <c r="Z61" s="8">
        <v>3109.9032987099999</v>
      </c>
      <c r="AA61" s="8">
        <v>3032.1557162399999</v>
      </c>
      <c r="AB61" s="8">
        <v>2956.35182334</v>
      </c>
      <c r="AC61" s="8">
        <v>2882.4430277500001</v>
      </c>
    </row>
    <row r="62" spans="1:29" x14ac:dyDescent="0.85">
      <c r="A62" t="s">
        <v>193</v>
      </c>
      <c r="B62" s="8">
        <v>21097682.25</v>
      </c>
      <c r="C62" s="8">
        <v>20570240.059887901</v>
      </c>
      <c r="D62" s="8">
        <v>20051187.994775601</v>
      </c>
      <c r="E62" s="8">
        <v>19549451.496202599</v>
      </c>
      <c r="F62" s="8">
        <v>8094432.5157413296</v>
      </c>
      <c r="G62" s="8">
        <v>0.23423653999999999</v>
      </c>
      <c r="H62" s="8">
        <v>3.1670999999999999E-4</v>
      </c>
      <c r="I62" s="8">
        <v>4.7379999999999997E-5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21097682.25</v>
      </c>
      <c r="C63" s="8">
        <v>20570240.059887901</v>
      </c>
      <c r="D63" s="8">
        <v>20051187.994775601</v>
      </c>
      <c r="E63" s="8">
        <v>19549451.496202599</v>
      </c>
      <c r="F63" s="8">
        <v>8094432.5157413296</v>
      </c>
      <c r="G63" s="8">
        <v>0.23423653999999999</v>
      </c>
      <c r="H63" s="8">
        <v>3.1670999999999999E-4</v>
      </c>
      <c r="I63" s="8">
        <v>4.7379999999999997E-5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1900.1823162200001</v>
      </c>
      <c r="C64" s="8">
        <v>1852.6777552000001</v>
      </c>
      <c r="D64" s="8">
        <v>1806.24915895</v>
      </c>
      <c r="E64" s="8">
        <v>1761.0822957099999</v>
      </c>
      <c r="F64" s="8">
        <v>1461.7601772200001</v>
      </c>
      <c r="G64" s="8">
        <v>1241.4887490000001</v>
      </c>
      <c r="H64" s="8">
        <v>1210.45152497</v>
      </c>
      <c r="I64" s="8">
        <v>1180.1902368399999</v>
      </c>
      <c r="J64" s="8">
        <v>1150.68548091</v>
      </c>
      <c r="K64" s="8">
        <v>1121.91834389</v>
      </c>
      <c r="L64" s="8">
        <v>1093.8703852900001</v>
      </c>
      <c r="M64" s="8">
        <v>1066.5236256600001</v>
      </c>
      <c r="N64" s="8">
        <v>1039.86053502</v>
      </c>
      <c r="O64" s="8">
        <v>1013.86402164</v>
      </c>
      <c r="P64" s="8">
        <v>988.51742109999998</v>
      </c>
      <c r="Q64" s="8">
        <v>963.80448558000001</v>
      </c>
      <c r="R64" s="8">
        <v>939.70937344000004</v>
      </c>
      <c r="S64" s="8">
        <v>916.21663909999995</v>
      </c>
      <c r="T64" s="8">
        <v>893.31122312000002</v>
      </c>
      <c r="U64" s="8">
        <v>870.97844253999995</v>
      </c>
      <c r="V64" s="8">
        <v>849.20398148000004</v>
      </c>
      <c r="W64" s="8">
        <v>827.97388193999996</v>
      </c>
      <c r="X64" s="8">
        <v>807.27453490000005</v>
      </c>
      <c r="Y64" s="8">
        <v>787.09267151999995</v>
      </c>
      <c r="Z64" s="8">
        <v>767.41535474</v>
      </c>
      <c r="AA64" s="8">
        <v>748.22997086999999</v>
      </c>
      <c r="AB64" s="8">
        <v>729.52422160000003</v>
      </c>
      <c r="AC64" s="8">
        <v>711.28611606000004</v>
      </c>
    </row>
    <row r="65" spans="1:29" x14ac:dyDescent="0.85">
      <c r="A65" t="s">
        <v>196</v>
      </c>
      <c r="B65" s="8">
        <v>0</v>
      </c>
      <c r="C65" s="8">
        <v>337.35193698</v>
      </c>
      <c r="D65" s="8">
        <v>657.67896623000001</v>
      </c>
      <c r="E65" s="8">
        <v>961.83301360999997</v>
      </c>
      <c r="F65" s="8">
        <v>530.99477303000003</v>
      </c>
      <c r="G65" s="8">
        <v>1.9210000000000001E-5</v>
      </c>
      <c r="H65" s="8">
        <v>2.9999999999999997E-8</v>
      </c>
      <c r="I65" s="8">
        <v>1E-8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17.30009944</v>
      </c>
      <c r="C66" s="8">
        <v>16.867596850000002</v>
      </c>
      <c r="D66" s="8">
        <v>16.441974160000001</v>
      </c>
      <c r="E66" s="8">
        <v>16.030550229999999</v>
      </c>
      <c r="F66" s="8">
        <v>6.6374346600000003</v>
      </c>
      <c r="G66" s="8">
        <v>1.9000000000000001E-7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1409.02827344</v>
      </c>
      <c r="C67" s="8">
        <v>1373.8025666000001</v>
      </c>
      <c r="D67" s="8">
        <v>1339.4575024400001</v>
      </c>
      <c r="E67" s="8">
        <v>1305.9710648800001</v>
      </c>
      <c r="F67" s="8">
        <v>1273.3217882500001</v>
      </c>
      <c r="G67" s="8">
        <v>1241.48874355</v>
      </c>
      <c r="H67" s="8">
        <v>1210.4515249599999</v>
      </c>
      <c r="I67" s="8">
        <v>1180.19023683</v>
      </c>
      <c r="J67" s="8">
        <v>1150.68548091</v>
      </c>
      <c r="K67" s="8">
        <v>1121.91834389</v>
      </c>
      <c r="L67" s="8">
        <v>1093.8703852900001</v>
      </c>
      <c r="M67" s="8">
        <v>1066.5236256600001</v>
      </c>
      <c r="N67" s="8">
        <v>1039.86053502</v>
      </c>
      <c r="O67" s="8">
        <v>1013.86402164</v>
      </c>
      <c r="P67" s="8">
        <v>988.51742109999998</v>
      </c>
      <c r="Q67" s="8">
        <v>963.80448558000001</v>
      </c>
      <c r="R67" s="8">
        <v>939.70937344000004</v>
      </c>
      <c r="S67" s="8">
        <v>916.21663909999995</v>
      </c>
      <c r="T67" s="8">
        <v>893.31122312000002</v>
      </c>
      <c r="U67" s="8">
        <v>870.97844253999995</v>
      </c>
      <c r="V67" s="8">
        <v>849.20398148000004</v>
      </c>
      <c r="W67" s="8">
        <v>827.97388193999996</v>
      </c>
      <c r="X67" s="8">
        <v>807.27453490000005</v>
      </c>
      <c r="Y67" s="8">
        <v>787.09267151999995</v>
      </c>
      <c r="Z67" s="8">
        <v>767.41535474</v>
      </c>
      <c r="AA67" s="8">
        <v>748.22997086999999</v>
      </c>
      <c r="AB67" s="8">
        <v>729.52422160000003</v>
      </c>
      <c r="AC67" s="8">
        <v>711.28611606000004</v>
      </c>
    </row>
    <row r="68" spans="1:29" x14ac:dyDescent="0.85">
      <c r="A68" t="s">
        <v>199</v>
      </c>
      <c r="B68" s="8">
        <v>491.15404278</v>
      </c>
      <c r="C68" s="8">
        <v>478.87518858999999</v>
      </c>
      <c r="D68" s="8">
        <v>466.79165652</v>
      </c>
      <c r="E68" s="8">
        <v>455.11123083000001</v>
      </c>
      <c r="F68" s="8">
        <v>188.43838897000001</v>
      </c>
      <c r="G68" s="8">
        <v>5.4500000000000003E-6</v>
      </c>
      <c r="H68" s="8">
        <v>1E-8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0.99999998999999995</v>
      </c>
      <c r="E69" s="8">
        <v>0.99976087000000002</v>
      </c>
      <c r="F69" s="8">
        <v>0.99997663000000003</v>
      </c>
      <c r="G69" s="8">
        <v>0.42466573000000002</v>
      </c>
      <c r="H69" s="8">
        <v>2.9999999999999997E-8</v>
      </c>
      <c r="I69" s="8">
        <v>1.3867700000000001E-3</v>
      </c>
      <c r="J69" s="8">
        <v>0.15343540999999999</v>
      </c>
      <c r="K69" s="8">
        <v>0</v>
      </c>
      <c r="L69" s="8">
        <v>1.995E-5</v>
      </c>
      <c r="M69" s="8">
        <v>2.3329999999999999E-5</v>
      </c>
      <c r="N69" s="8">
        <v>2.4119999999999999E-5</v>
      </c>
      <c r="O69" s="8">
        <v>2.5109999999999998E-5</v>
      </c>
      <c r="P69" s="8">
        <v>2.616E-5</v>
      </c>
      <c r="Q69" s="8">
        <v>2.739E-5</v>
      </c>
      <c r="R69" s="8">
        <v>2.794E-5</v>
      </c>
      <c r="S69" s="8">
        <v>2.6550000000000002E-5</v>
      </c>
      <c r="T69" s="8">
        <v>2.6809999999999999E-5</v>
      </c>
      <c r="U69" s="8">
        <v>2.7739999999999999E-5</v>
      </c>
      <c r="V69" s="8">
        <v>2.7370000000000001E-5</v>
      </c>
      <c r="W69" s="8">
        <v>4.9999999999999998E-8</v>
      </c>
      <c r="X69" s="8">
        <v>4.9999999999999998E-8</v>
      </c>
      <c r="Y69" s="8">
        <v>1.6269999999999998E-5</v>
      </c>
      <c r="Z69" s="8">
        <v>1.6180000000000001E-5</v>
      </c>
      <c r="AA69" s="8">
        <v>1.6730000000000001E-5</v>
      </c>
      <c r="AB69" s="8">
        <v>1.7450000000000001E-5</v>
      </c>
      <c r="AC69" s="8">
        <v>2.81482E-3</v>
      </c>
    </row>
    <row r="70" spans="1:29" x14ac:dyDescent="0.85">
      <c r="A70" t="s">
        <v>201</v>
      </c>
      <c r="B70" s="8">
        <v>1</v>
      </c>
      <c r="C70" s="8">
        <v>0.99999998999999995</v>
      </c>
      <c r="D70" s="8">
        <v>0.99976087000000002</v>
      </c>
      <c r="E70" s="8">
        <v>0.99997663000000003</v>
      </c>
      <c r="F70" s="8">
        <v>0.42466573000000002</v>
      </c>
      <c r="G70" s="8">
        <v>2.9999999999999997E-8</v>
      </c>
      <c r="H70" s="8">
        <v>1.3867700000000001E-3</v>
      </c>
      <c r="I70" s="8">
        <v>0.15343540999999999</v>
      </c>
      <c r="J70" s="8">
        <v>0</v>
      </c>
      <c r="K70" s="8">
        <v>1.995E-5</v>
      </c>
      <c r="L70" s="8">
        <v>2.3329999999999999E-5</v>
      </c>
      <c r="M70" s="8">
        <v>2.4119999999999999E-5</v>
      </c>
      <c r="N70" s="8">
        <v>2.5109999999999998E-5</v>
      </c>
      <c r="O70" s="8">
        <v>2.616E-5</v>
      </c>
      <c r="P70" s="8">
        <v>2.739E-5</v>
      </c>
      <c r="Q70" s="8">
        <v>2.794E-5</v>
      </c>
      <c r="R70" s="8">
        <v>2.6550000000000002E-5</v>
      </c>
      <c r="S70" s="8">
        <v>2.6809999999999999E-5</v>
      </c>
      <c r="T70" s="8">
        <v>2.7739999999999999E-5</v>
      </c>
      <c r="U70" s="8">
        <v>2.7370000000000001E-5</v>
      </c>
      <c r="V70" s="8">
        <v>4.9999999999999998E-8</v>
      </c>
      <c r="W70" s="8">
        <v>4.9999999999999998E-8</v>
      </c>
      <c r="X70" s="8">
        <v>1.6269999999999998E-5</v>
      </c>
      <c r="Y70" s="8">
        <v>1.6180000000000001E-5</v>
      </c>
      <c r="Z70" s="8">
        <v>1.6730000000000001E-5</v>
      </c>
      <c r="AA70" s="8">
        <v>1.7450000000000001E-5</v>
      </c>
      <c r="AB70" s="8">
        <v>2.81482E-3</v>
      </c>
      <c r="AC70" s="8">
        <v>2.8645799999999998E-3</v>
      </c>
    </row>
    <row r="71" spans="1:29" x14ac:dyDescent="0.85">
      <c r="A71" t="s">
        <v>202</v>
      </c>
      <c r="B71" s="8">
        <v>1</v>
      </c>
      <c r="C71" s="8">
        <v>2.5992830100000002</v>
      </c>
      <c r="D71" s="8">
        <v>2.6398656300000001</v>
      </c>
      <c r="E71" s="8">
        <v>2.6827360699999998</v>
      </c>
      <c r="F71" s="8">
        <v>2.7275030099999999</v>
      </c>
      <c r="G71" s="8">
        <v>2.8407352800000001</v>
      </c>
      <c r="H71" s="8">
        <v>2.9343270499999998</v>
      </c>
      <c r="I71" s="8">
        <v>3.00211111</v>
      </c>
      <c r="J71" s="8">
        <v>3.07341373</v>
      </c>
      <c r="K71" s="8">
        <v>3.1484209500000002</v>
      </c>
      <c r="L71" s="8">
        <v>3.2273080099999998</v>
      </c>
      <c r="M71" s="8">
        <v>3.3311296600000002</v>
      </c>
      <c r="N71" s="8">
        <v>3.4709124099999999</v>
      </c>
      <c r="O71" s="8">
        <v>3.61862482</v>
      </c>
      <c r="P71" s="8">
        <v>3.7745067400000001</v>
      </c>
      <c r="Q71" s="8">
        <v>3.9389830799999999</v>
      </c>
      <c r="R71" s="8">
        <v>4.1125000600000003</v>
      </c>
      <c r="S71" s="8">
        <v>4.2955261900000004</v>
      </c>
      <c r="T71" s="8">
        <v>4.4885533899999999</v>
      </c>
      <c r="U71" s="8">
        <v>4.6920981499999996</v>
      </c>
      <c r="V71" s="8">
        <v>4.9067026800000004</v>
      </c>
      <c r="W71" s="8">
        <v>5.1329361899999997</v>
      </c>
      <c r="X71" s="8">
        <v>5.3975009099999998</v>
      </c>
      <c r="Y71" s="8">
        <v>5.6221080099999998</v>
      </c>
      <c r="Z71" s="8">
        <v>5.8863351499999998</v>
      </c>
      <c r="AA71" s="8">
        <v>6.1647049799999998</v>
      </c>
      <c r="AB71" s="8">
        <v>6.4579244300000003</v>
      </c>
      <c r="AC71" s="8">
        <v>6.7237973799999997</v>
      </c>
    </row>
    <row r="72" spans="1:29" x14ac:dyDescent="0.85">
      <c r="A72" t="s">
        <v>203</v>
      </c>
      <c r="B72" s="8">
        <v>0</v>
      </c>
      <c r="C72" s="8">
        <v>16.10455954</v>
      </c>
      <c r="D72" s="8">
        <v>14.494205490000001</v>
      </c>
      <c r="E72" s="8">
        <v>13.063049080000001</v>
      </c>
      <c r="F72" s="8">
        <v>11.89384154</v>
      </c>
      <c r="G72" s="8">
        <v>10.70458827</v>
      </c>
      <c r="H72" s="8">
        <v>9.6341391000000005</v>
      </c>
      <c r="I72" s="8">
        <v>8.6707251900000006</v>
      </c>
      <c r="J72" s="8">
        <v>7.8036810399999998</v>
      </c>
      <c r="K72" s="8">
        <v>7.0233129400000003</v>
      </c>
      <c r="L72" s="8">
        <v>6.3220406000000002</v>
      </c>
      <c r="M72" s="8">
        <v>5.6898365499999999</v>
      </c>
      <c r="N72" s="8">
        <v>5.1208528900000001</v>
      </c>
      <c r="O72" s="8">
        <v>4.6087677200000003</v>
      </c>
      <c r="P72" s="8">
        <v>4.1478909399999999</v>
      </c>
      <c r="Q72" s="8">
        <v>3.7331021</v>
      </c>
      <c r="R72" s="8">
        <v>3.35979384</v>
      </c>
      <c r="S72" s="8">
        <v>3.0238144600000001</v>
      </c>
      <c r="T72" s="8">
        <v>2.7214330100000002</v>
      </c>
      <c r="U72" s="8">
        <v>2.44929044</v>
      </c>
      <c r="V72" s="8">
        <v>2.2043613999999998</v>
      </c>
      <c r="W72" s="8">
        <v>1.9839252599999999</v>
      </c>
      <c r="X72" s="8">
        <v>1.78572193</v>
      </c>
      <c r="Y72" s="8">
        <v>1.6140507399999999</v>
      </c>
      <c r="Z72" s="8">
        <v>1.45507846</v>
      </c>
      <c r="AA72" s="8">
        <v>1.3095712100000001</v>
      </c>
      <c r="AB72" s="8">
        <v>1.1786920999999999</v>
      </c>
      <c r="AC72" s="8">
        <v>1.06156048</v>
      </c>
    </row>
    <row r="73" spans="1:29" x14ac:dyDescent="0.85">
      <c r="A73" t="s">
        <v>204</v>
      </c>
      <c r="B73" s="8">
        <v>0</v>
      </c>
      <c r="C73" s="8">
        <v>4.0261394299999997</v>
      </c>
      <c r="D73" s="8">
        <v>2.0610000000000001E-5</v>
      </c>
      <c r="E73" s="8">
        <v>4.5446699999999998E-3</v>
      </c>
      <c r="F73" s="8">
        <v>3.430068E-2</v>
      </c>
      <c r="G73" s="8">
        <v>0</v>
      </c>
      <c r="H73" s="8">
        <v>1.385E-5</v>
      </c>
      <c r="I73" s="8">
        <v>0</v>
      </c>
      <c r="J73" s="8">
        <v>0</v>
      </c>
      <c r="K73" s="8">
        <v>2.4600000000000002E-5</v>
      </c>
      <c r="L73" s="8">
        <v>2.6680999999999997E-4</v>
      </c>
      <c r="M73" s="8">
        <v>1.4224565600000001</v>
      </c>
      <c r="N73" s="8">
        <v>1.2802127299999999</v>
      </c>
      <c r="O73" s="8">
        <v>1.1521880099999999</v>
      </c>
      <c r="P73" s="8">
        <v>1.03696609</v>
      </c>
      <c r="Q73" s="8">
        <v>0.93327455999999998</v>
      </c>
      <c r="R73" s="8">
        <v>0.83994442999999996</v>
      </c>
      <c r="S73" s="8">
        <v>0.75594715999999995</v>
      </c>
      <c r="T73" s="8">
        <v>0.68035201000000001</v>
      </c>
      <c r="U73" s="8">
        <v>0.61231857000000001</v>
      </c>
      <c r="V73" s="8">
        <v>0.55109008999999998</v>
      </c>
      <c r="W73" s="8">
        <v>0.49598038999999999</v>
      </c>
      <c r="X73" s="8">
        <v>0.89285024000000002</v>
      </c>
      <c r="Y73" s="8">
        <v>0.80488950000000004</v>
      </c>
      <c r="Z73" s="8">
        <v>0.72319299000000004</v>
      </c>
      <c r="AA73" s="8">
        <v>0.65476922999999998</v>
      </c>
      <c r="AB73" s="8">
        <v>0.58933226000000005</v>
      </c>
      <c r="AC73" s="8">
        <v>0.53010767000000003</v>
      </c>
    </row>
    <row r="74" spans="1:29" x14ac:dyDescent="0.85">
      <c r="A74" t="s">
        <v>205</v>
      </c>
      <c r="B74" s="8">
        <v>0</v>
      </c>
      <c r="C74" s="8">
        <v>4.0261394299999997</v>
      </c>
      <c r="D74" s="8">
        <v>2.0610000000000001E-5</v>
      </c>
      <c r="E74" s="8">
        <v>4.5446699999999998E-3</v>
      </c>
      <c r="F74" s="8">
        <v>3.430068E-2</v>
      </c>
      <c r="G74" s="8">
        <v>0</v>
      </c>
      <c r="H74" s="8">
        <v>1.385E-5</v>
      </c>
      <c r="I74" s="8">
        <v>0</v>
      </c>
      <c r="J74" s="8">
        <v>0</v>
      </c>
      <c r="K74" s="8">
        <v>2.4600000000000002E-5</v>
      </c>
      <c r="L74" s="8">
        <v>2.6680999999999997E-4</v>
      </c>
      <c r="M74" s="8">
        <v>1.4224565600000001</v>
      </c>
      <c r="N74" s="8">
        <v>1.2802127299999999</v>
      </c>
      <c r="O74" s="8">
        <v>1.1521880099999999</v>
      </c>
      <c r="P74" s="8">
        <v>1.03696609</v>
      </c>
      <c r="Q74" s="8">
        <v>0.93327455999999998</v>
      </c>
      <c r="R74" s="8">
        <v>0.83994442999999996</v>
      </c>
      <c r="S74" s="8">
        <v>0.75594715999999995</v>
      </c>
      <c r="T74" s="8">
        <v>0.68035201000000001</v>
      </c>
      <c r="U74" s="8">
        <v>0.61231857000000001</v>
      </c>
      <c r="V74" s="8">
        <v>0.55109008999999998</v>
      </c>
      <c r="W74" s="8">
        <v>0.49598038999999999</v>
      </c>
      <c r="X74" s="8">
        <v>0.89285024000000002</v>
      </c>
      <c r="Y74" s="8">
        <v>0.80488950000000004</v>
      </c>
      <c r="Z74" s="8">
        <v>0.72319299000000004</v>
      </c>
      <c r="AA74" s="8">
        <v>0.65476922999999998</v>
      </c>
      <c r="AB74" s="8">
        <v>0.58933226000000005</v>
      </c>
      <c r="AC74" s="8">
        <v>0.53010767000000003</v>
      </c>
    </row>
    <row r="75" spans="1:29" x14ac:dyDescent="0.85">
      <c r="A75" t="s">
        <v>206</v>
      </c>
      <c r="B75" s="8">
        <v>0</v>
      </c>
      <c r="C75" s="8">
        <v>3.11253176</v>
      </c>
      <c r="D75" s="8">
        <v>2.8012483800000001</v>
      </c>
      <c r="E75" s="8">
        <v>2.5246534600000001</v>
      </c>
      <c r="F75" s="8">
        <v>2.2986848900000001</v>
      </c>
      <c r="G75" s="8">
        <v>2.0688412700000001</v>
      </c>
      <c r="H75" s="8">
        <v>1.8619590100000001</v>
      </c>
      <c r="I75" s="8">
        <v>1.6757631099999999</v>
      </c>
      <c r="J75" s="8">
        <v>1.5081922800000001</v>
      </c>
      <c r="K75" s="8">
        <v>1.35737306</v>
      </c>
      <c r="L75" s="8">
        <v>1.22184041</v>
      </c>
      <c r="M75" s="8">
        <v>1.0996759599999999</v>
      </c>
      <c r="N75" s="8">
        <v>0.98970835999999995</v>
      </c>
      <c r="O75" s="8">
        <v>0.89073754999999999</v>
      </c>
      <c r="P75" s="8">
        <v>0.80166378999999999</v>
      </c>
      <c r="Q75" s="8">
        <v>0.72149746000000003</v>
      </c>
      <c r="R75" s="8">
        <v>0.64934809000000004</v>
      </c>
      <c r="S75" s="8">
        <v>0.58441328000000003</v>
      </c>
      <c r="T75" s="8">
        <v>0.52597196000000002</v>
      </c>
      <c r="U75" s="8">
        <v>0.47337489999999999</v>
      </c>
      <c r="V75" s="8">
        <v>0.42603741000000001</v>
      </c>
      <c r="W75" s="8">
        <v>0.38343367</v>
      </c>
      <c r="X75" s="8">
        <v>0.34513302000000001</v>
      </c>
      <c r="Y75" s="8">
        <v>0.31195347000000001</v>
      </c>
      <c r="Z75" s="8">
        <v>0.28122828</v>
      </c>
      <c r="AA75" s="8">
        <v>0.25310561999999998</v>
      </c>
      <c r="AB75" s="8">
        <v>0.22781013999999999</v>
      </c>
      <c r="AC75" s="8">
        <v>0.20517167</v>
      </c>
    </row>
    <row r="76" spans="1:29" x14ac:dyDescent="0.85">
      <c r="A76" t="s">
        <v>207</v>
      </c>
      <c r="B76" s="8">
        <v>0</v>
      </c>
      <c r="C76" s="8">
        <v>8.9600000000000006E-6</v>
      </c>
      <c r="D76" s="8">
        <v>0</v>
      </c>
      <c r="E76" s="8">
        <v>2.9999999999999997E-8</v>
      </c>
      <c r="F76" s="8">
        <v>3.1E-7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1E-8</v>
      </c>
      <c r="M76" s="8">
        <v>3.481E-5</v>
      </c>
      <c r="N76" s="8">
        <v>3.4180000000000001E-5</v>
      </c>
      <c r="O76" s="8">
        <v>3.3330000000000001E-5</v>
      </c>
      <c r="P76" s="8">
        <v>3.2299999999999999E-5</v>
      </c>
      <c r="Q76" s="8">
        <v>3.1149999999999998E-5</v>
      </c>
      <c r="R76" s="8">
        <v>2.9899999999999998E-5</v>
      </c>
      <c r="S76" s="8">
        <v>2.8589999999999999E-5</v>
      </c>
      <c r="T76" s="8">
        <v>2.7250000000000002E-5</v>
      </c>
      <c r="U76" s="8">
        <v>2.5890000000000001E-5</v>
      </c>
      <c r="V76" s="8">
        <v>2.4519999999999999E-5</v>
      </c>
      <c r="W76" s="8">
        <v>2.317E-5</v>
      </c>
      <c r="X76" s="8">
        <v>4.371E-5</v>
      </c>
      <c r="Y76" s="8">
        <v>4.1189999999999997E-5</v>
      </c>
      <c r="Z76" s="8">
        <v>3.862E-5</v>
      </c>
      <c r="AA76" s="8">
        <v>3.642E-5</v>
      </c>
      <c r="AB76" s="8">
        <v>3.4090000000000001E-5</v>
      </c>
      <c r="AC76" s="8">
        <v>3.1850000000000002E-5</v>
      </c>
    </row>
    <row r="77" spans="1:29" x14ac:dyDescent="0.85">
      <c r="A77" t="s">
        <v>208</v>
      </c>
      <c r="B77" s="8">
        <v>0</v>
      </c>
      <c r="C77" s="8">
        <v>4.4999999999999998E-7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1.6E-7</v>
      </c>
      <c r="N77" s="8">
        <v>1.4000000000000001E-7</v>
      </c>
      <c r="O77" s="8">
        <v>1.3E-7</v>
      </c>
      <c r="P77" s="8">
        <v>1.1999999999999999E-7</v>
      </c>
      <c r="Q77" s="8">
        <v>9.9999999999999995E-8</v>
      </c>
      <c r="R77" s="8">
        <v>8.9999999999999999E-8</v>
      </c>
      <c r="S77" s="8">
        <v>8.0000000000000002E-8</v>
      </c>
      <c r="T77" s="8">
        <v>8.0000000000000002E-8</v>
      </c>
      <c r="U77" s="8">
        <v>7.0000000000000005E-8</v>
      </c>
      <c r="V77" s="8">
        <v>5.9999999999999995E-8</v>
      </c>
      <c r="W77" s="8">
        <v>5.9999999999999995E-8</v>
      </c>
      <c r="X77" s="8">
        <v>9.9999999999999995E-8</v>
      </c>
      <c r="Y77" s="8">
        <v>8.9999999999999999E-8</v>
      </c>
      <c r="Z77" s="8">
        <v>8.0000000000000002E-8</v>
      </c>
      <c r="AA77" s="8">
        <v>7.0000000000000005E-8</v>
      </c>
      <c r="AB77" s="8">
        <v>7.0000000000000005E-8</v>
      </c>
      <c r="AC77" s="8">
        <v>5.9999999999999995E-8</v>
      </c>
    </row>
    <row r="78" spans="1:29" x14ac:dyDescent="0.85">
      <c r="A78" t="s">
        <v>209</v>
      </c>
      <c r="B78" s="8">
        <v>0</v>
      </c>
      <c r="C78" s="8">
        <v>3.1124763199999999</v>
      </c>
      <c r="D78" s="8">
        <v>2.8012483800000001</v>
      </c>
      <c r="E78" s="8">
        <v>2.5246533900000001</v>
      </c>
      <c r="F78" s="8">
        <v>2.2986844199999998</v>
      </c>
      <c r="G78" s="8">
        <v>2.0688412700000001</v>
      </c>
      <c r="H78" s="8">
        <v>1.8619590100000001</v>
      </c>
      <c r="I78" s="8">
        <v>1.6757631099999999</v>
      </c>
      <c r="J78" s="8">
        <v>1.5081922800000001</v>
      </c>
      <c r="K78" s="8">
        <v>1.35737306</v>
      </c>
      <c r="L78" s="8">
        <v>1.22184041</v>
      </c>
      <c r="M78" s="8">
        <v>1.0996563699999999</v>
      </c>
      <c r="N78" s="8">
        <v>0.98969072999999996</v>
      </c>
      <c r="O78" s="8">
        <v>0.89072167999999996</v>
      </c>
      <c r="P78" s="8">
        <v>0.80164950999999995</v>
      </c>
      <c r="Q78" s="8">
        <v>0.72148460999999997</v>
      </c>
      <c r="R78" s="8">
        <v>0.64933653000000002</v>
      </c>
      <c r="S78" s="8">
        <v>0.58440287000000002</v>
      </c>
      <c r="T78" s="8">
        <v>0.52596259000000001</v>
      </c>
      <c r="U78" s="8">
        <v>0.47336646999999998</v>
      </c>
      <c r="V78" s="8">
        <v>0.42602982</v>
      </c>
      <c r="W78" s="8">
        <v>0.38342683999999999</v>
      </c>
      <c r="X78" s="8">
        <v>0.34512071999999999</v>
      </c>
      <c r="Y78" s="8">
        <v>0.31194238000000002</v>
      </c>
      <c r="Z78" s="8">
        <v>0.28121833000000002</v>
      </c>
      <c r="AA78" s="8">
        <v>0.25309661</v>
      </c>
      <c r="AB78" s="8">
        <v>0.22780201999999999</v>
      </c>
      <c r="AC78" s="8">
        <v>0.20516437000000001</v>
      </c>
    </row>
    <row r="79" spans="1:29" x14ac:dyDescent="0.85">
      <c r="A79" t="s">
        <v>210</v>
      </c>
      <c r="B79" s="8">
        <v>0</v>
      </c>
      <c r="C79" s="8">
        <v>5.5439999999999998E-5</v>
      </c>
      <c r="D79" s="8">
        <v>0</v>
      </c>
      <c r="E79" s="8">
        <v>5.9999999999999995E-8</v>
      </c>
      <c r="F79" s="8">
        <v>4.7E-7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1.959E-5</v>
      </c>
      <c r="N79" s="8">
        <v>1.7629999999999999E-5</v>
      </c>
      <c r="O79" s="8">
        <v>1.5869999999999999E-5</v>
      </c>
      <c r="P79" s="8">
        <v>1.428E-5</v>
      </c>
      <c r="Q79" s="8">
        <v>1.2850000000000001E-5</v>
      </c>
      <c r="R79" s="8">
        <v>1.1569999999999999E-5</v>
      </c>
      <c r="S79" s="8">
        <v>1.041E-5</v>
      </c>
      <c r="T79" s="8">
        <v>9.3700000000000001E-6</v>
      </c>
      <c r="U79" s="8">
        <v>8.4300000000000006E-6</v>
      </c>
      <c r="V79" s="8">
        <v>7.5900000000000002E-6</v>
      </c>
      <c r="W79" s="8">
        <v>6.8299999999999998E-6</v>
      </c>
      <c r="X79" s="8">
        <v>1.2289999999999999E-5</v>
      </c>
      <c r="Y79" s="8">
        <v>1.1080000000000001E-5</v>
      </c>
      <c r="Z79" s="8">
        <v>9.9599999999999995E-6</v>
      </c>
      <c r="AA79" s="8">
        <v>9.02E-6</v>
      </c>
      <c r="AB79" s="8">
        <v>8.1200000000000002E-6</v>
      </c>
      <c r="AC79" s="8">
        <v>7.3000000000000004E-6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1.0124576199999999</v>
      </c>
      <c r="E80" s="8">
        <v>1.00000008</v>
      </c>
      <c r="F80" s="8">
        <v>1.0000141199999999</v>
      </c>
      <c r="G80" s="8">
        <v>1.0001058599999999</v>
      </c>
      <c r="H80" s="8">
        <v>1.0000001000000001</v>
      </c>
      <c r="I80" s="8">
        <v>1.0000000099999999</v>
      </c>
      <c r="J80" s="8">
        <v>1</v>
      </c>
      <c r="K80" s="8">
        <v>1.0000000200000001</v>
      </c>
      <c r="L80" s="8">
        <v>1</v>
      </c>
      <c r="M80" s="8">
        <v>1.0000007399999999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1.0000000899999999</v>
      </c>
      <c r="Z80" s="8">
        <v>1.0000031899999999</v>
      </c>
      <c r="AA80" s="8">
        <v>1.00000109</v>
      </c>
      <c r="AB80" s="8">
        <v>1</v>
      </c>
      <c r="AC80" s="8">
        <v>1.00000003</v>
      </c>
    </row>
    <row r="81" spans="1:29" x14ac:dyDescent="0.85">
      <c r="A81" t="s">
        <v>212</v>
      </c>
      <c r="B81" s="8">
        <v>1</v>
      </c>
      <c r="C81" s="8">
        <v>1.0124576199999999</v>
      </c>
      <c r="D81" s="8">
        <v>1.00000008</v>
      </c>
      <c r="E81" s="8">
        <v>1.0000141199999999</v>
      </c>
      <c r="F81" s="8">
        <v>1.0001058599999999</v>
      </c>
      <c r="G81" s="8">
        <v>1.0000001000000001</v>
      </c>
      <c r="H81" s="8">
        <v>1.0000000099999999</v>
      </c>
      <c r="I81" s="8">
        <v>1</v>
      </c>
      <c r="J81" s="8">
        <v>1.0000000200000001</v>
      </c>
      <c r="K81" s="8">
        <v>1</v>
      </c>
      <c r="L81" s="8">
        <v>1.0000007399999999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1.0000000899999999</v>
      </c>
      <c r="Y81" s="8">
        <v>1.0000031899999999</v>
      </c>
      <c r="Z81" s="8">
        <v>1.00000109</v>
      </c>
      <c r="AA81" s="8">
        <v>1</v>
      </c>
      <c r="AB81" s="8">
        <v>1.00000003</v>
      </c>
      <c r="AC81" s="8">
        <v>1.0000003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48906-0A39-4280-9D04-91911B599140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178736</v>
      </c>
      <c r="C5" s="8">
        <v>180420.46729177999</v>
      </c>
      <c r="D5" s="8">
        <v>182571.65937611999</v>
      </c>
      <c r="E5" s="8">
        <v>185919.66031549001</v>
      </c>
      <c r="F5" s="8">
        <v>194924.71941580999</v>
      </c>
      <c r="G5" s="8">
        <v>208707.58758518001</v>
      </c>
      <c r="H5" s="8">
        <v>228928.18818614</v>
      </c>
      <c r="I5" s="8">
        <v>251167.64529978001</v>
      </c>
      <c r="J5" s="8">
        <v>267191.44340510998</v>
      </c>
      <c r="K5" s="8">
        <v>281080.15343794</v>
      </c>
      <c r="L5" s="8">
        <v>295529.54196415999</v>
      </c>
      <c r="M5" s="8">
        <v>310751.75415742001</v>
      </c>
      <c r="N5" s="8">
        <v>326584.74072074</v>
      </c>
      <c r="O5" s="8">
        <v>343050.42404194002</v>
      </c>
      <c r="P5" s="8">
        <v>360569.91820207</v>
      </c>
      <c r="Q5" s="8">
        <v>378944.44681474997</v>
      </c>
      <c r="R5" s="8">
        <v>398075.78047008999</v>
      </c>
      <c r="S5" s="8">
        <v>402474.95442768</v>
      </c>
      <c r="T5" s="8">
        <v>403936.80767456</v>
      </c>
      <c r="U5" s="8">
        <v>405738.67429962999</v>
      </c>
      <c r="V5" s="8">
        <v>407973.05764637998</v>
      </c>
      <c r="W5" s="8">
        <v>410752.35660378</v>
      </c>
      <c r="X5" s="8">
        <v>414491.56621481001</v>
      </c>
      <c r="Y5" s="8">
        <v>417855.41004554002</v>
      </c>
      <c r="Z5" s="8">
        <v>426867.65711934998</v>
      </c>
      <c r="AA5" s="8">
        <v>429257.37824031</v>
      </c>
      <c r="AB5" s="8">
        <v>432851.92596065998</v>
      </c>
      <c r="AC5" s="8">
        <v>438251.80862349999</v>
      </c>
    </row>
    <row r="6" spans="1:29" x14ac:dyDescent="0.85">
      <c r="A6" t="s">
        <v>139</v>
      </c>
      <c r="B6" s="8">
        <v>791631557.5</v>
      </c>
      <c r="C6" s="8">
        <v>808051120.59125698</v>
      </c>
      <c r="D6" s="8">
        <v>824799164.18013203</v>
      </c>
      <c r="E6" s="8">
        <v>841882123.58910704</v>
      </c>
      <c r="F6" s="8">
        <v>859306742.16253495</v>
      </c>
      <c r="G6" s="8">
        <v>877079853.12338197</v>
      </c>
      <c r="H6" s="8">
        <v>895208389.06636906</v>
      </c>
      <c r="I6" s="8">
        <v>913699568.77189195</v>
      </c>
      <c r="J6" s="8">
        <v>932560538.51342595</v>
      </c>
      <c r="K6" s="8">
        <v>951798725.40369499</v>
      </c>
      <c r="L6" s="8">
        <v>971469101.78160095</v>
      </c>
      <c r="M6" s="8">
        <v>992202602.08768499</v>
      </c>
      <c r="N6" s="8">
        <v>1015951036.61027</v>
      </c>
      <c r="O6" s="8">
        <v>1044876319.37588</v>
      </c>
      <c r="P6" s="8">
        <v>1080740433.3181701</v>
      </c>
      <c r="Q6" s="8">
        <v>1124707353.6176901</v>
      </c>
      <c r="R6" s="8">
        <v>1177298209.6668999</v>
      </c>
      <c r="S6" s="8">
        <v>1215399358.48206</v>
      </c>
      <c r="T6" s="8">
        <v>1249237412.8912499</v>
      </c>
      <c r="U6" s="8">
        <v>1284793499.1672299</v>
      </c>
      <c r="V6" s="8">
        <v>1322252101.5537701</v>
      </c>
      <c r="W6" s="8">
        <v>1361586565.2007401</v>
      </c>
      <c r="X6" s="8">
        <v>1403840948.5055599</v>
      </c>
      <c r="Y6" s="8">
        <v>1418193497.9774499</v>
      </c>
      <c r="Z6" s="8">
        <v>1446240935.84835</v>
      </c>
      <c r="AA6" s="8">
        <v>1472741369.27145</v>
      </c>
      <c r="AB6" s="8">
        <v>1506541994.4226899</v>
      </c>
      <c r="AC6" s="8">
        <v>1537926874.89712</v>
      </c>
    </row>
    <row r="7" spans="1:29" x14ac:dyDescent="0.85">
      <c r="A7" t="s">
        <v>140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</row>
    <row r="8" spans="1:29" x14ac:dyDescent="0.85">
      <c r="A8" t="s">
        <v>141</v>
      </c>
      <c r="B8" s="8">
        <v>41563.003277800002</v>
      </c>
      <c r="C8" s="8">
        <v>41147.850001079998</v>
      </c>
      <c r="D8" s="8">
        <v>40755.956181740003</v>
      </c>
      <c r="E8" s="8">
        <v>40573.065367579999</v>
      </c>
      <c r="F8" s="8">
        <v>41152.507526310001</v>
      </c>
      <c r="G8" s="8">
        <v>42573.953339959997</v>
      </c>
      <c r="H8" s="8">
        <v>46721.463288489998</v>
      </c>
      <c r="I8" s="8">
        <v>51255.078781069999</v>
      </c>
      <c r="J8" s="8">
        <v>55425.312411010003</v>
      </c>
      <c r="K8" s="8">
        <v>59556.693451120002</v>
      </c>
      <c r="L8" s="8">
        <v>63885.035813950002</v>
      </c>
      <c r="M8" s="8">
        <v>68436.317822669997</v>
      </c>
      <c r="N8" s="8">
        <v>73202.602305249995</v>
      </c>
      <c r="O8" s="8">
        <v>78191.893769760005</v>
      </c>
      <c r="P8" s="8">
        <v>83451.170064610007</v>
      </c>
      <c r="Q8" s="8">
        <v>88972.042945480003</v>
      </c>
      <c r="R8" s="8">
        <v>94753.519387640001</v>
      </c>
      <c r="S8" s="8">
        <v>98808.471650330001</v>
      </c>
      <c r="T8" s="8">
        <v>102439.91625672999</v>
      </c>
      <c r="U8" s="8">
        <v>106076.58090047</v>
      </c>
      <c r="V8" s="8">
        <v>109765.74491356</v>
      </c>
      <c r="W8" s="8">
        <v>113519.68932129</v>
      </c>
      <c r="X8" s="8">
        <v>117410.65684493999</v>
      </c>
      <c r="Y8" s="8">
        <v>118502.00776805999</v>
      </c>
      <c r="Z8" s="8">
        <v>120899.71048682999</v>
      </c>
      <c r="AA8" s="8">
        <v>123162.17423606</v>
      </c>
      <c r="AB8" s="8">
        <v>126113.51580351</v>
      </c>
      <c r="AC8" s="8">
        <v>128795.32046589001</v>
      </c>
    </row>
    <row r="9" spans="1:29" x14ac:dyDescent="0.85">
      <c r="A9" t="s">
        <v>142</v>
      </c>
      <c r="B9" s="8">
        <v>14413.389289520001</v>
      </c>
      <c r="C9" s="8">
        <v>14948.06997294</v>
      </c>
      <c r="D9" s="8">
        <v>15486.431750760001</v>
      </c>
      <c r="E9" s="8">
        <v>15939.336517850001</v>
      </c>
      <c r="F9" s="8">
        <v>16179.276153639999</v>
      </c>
      <c r="G9" s="8">
        <v>16239.28028338</v>
      </c>
      <c r="H9" s="8">
        <v>15846.15732423</v>
      </c>
      <c r="I9" s="8">
        <v>15386.71172958</v>
      </c>
      <c r="J9" s="8">
        <v>14805.735667749999</v>
      </c>
      <c r="K9" s="8">
        <v>14162.32528026</v>
      </c>
      <c r="L9" s="8">
        <v>13480.57088223</v>
      </c>
      <c r="M9" s="8">
        <v>12773.89796187</v>
      </c>
      <c r="N9" s="8">
        <v>12087.0348051</v>
      </c>
      <c r="O9" s="8">
        <v>11470.595417959999</v>
      </c>
      <c r="P9" s="8">
        <v>10965.361394539999</v>
      </c>
      <c r="Q9" s="8">
        <v>10595.66061135</v>
      </c>
      <c r="R9" s="8">
        <v>10371.07540281</v>
      </c>
      <c r="S9" s="8">
        <v>10529.0933683</v>
      </c>
      <c r="T9" s="8">
        <v>10794.89887347</v>
      </c>
      <c r="U9" s="8">
        <v>11098.49634752</v>
      </c>
      <c r="V9" s="8">
        <v>11437.69277177</v>
      </c>
      <c r="W9" s="8">
        <v>11811.49738157</v>
      </c>
      <c r="X9" s="8">
        <v>12212.190441659999</v>
      </c>
      <c r="Y9" s="8">
        <v>12475.30019889</v>
      </c>
      <c r="Z9" s="8">
        <v>12745.573677709999</v>
      </c>
      <c r="AA9" s="8">
        <v>13106.479761140001</v>
      </c>
      <c r="AB9" s="8">
        <v>13495.4830948</v>
      </c>
      <c r="AC9" s="8">
        <v>13851.451376229999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6015.8972812900001</v>
      </c>
      <c r="D11" s="8">
        <v>12462.777893009999</v>
      </c>
      <c r="E11" s="8">
        <v>19231.474424169999</v>
      </c>
      <c r="F11" s="8">
        <v>25677.996022750001</v>
      </c>
      <c r="G11" s="8">
        <v>31434.268920359998</v>
      </c>
      <c r="H11" s="8">
        <v>34119.750817979999</v>
      </c>
      <c r="I11" s="8">
        <v>35123.083126190002</v>
      </c>
      <c r="J11" s="8">
        <v>36433.761263419998</v>
      </c>
      <c r="K11" s="8">
        <v>37217.121070679998</v>
      </c>
      <c r="L11" s="8">
        <v>36929.719192689998</v>
      </c>
      <c r="M11" s="8">
        <v>35557.621731380001</v>
      </c>
      <c r="N11" s="8">
        <v>33256.505827540001</v>
      </c>
      <c r="O11" s="8">
        <v>30284.227416239999</v>
      </c>
      <c r="P11" s="8">
        <v>26923.150721589998</v>
      </c>
      <c r="Q11" s="8">
        <v>23416.68641432</v>
      </c>
      <c r="R11" s="8">
        <v>19952.17303817</v>
      </c>
      <c r="S11" s="8">
        <v>18239.32958139</v>
      </c>
      <c r="T11" s="8">
        <v>16917.800461300001</v>
      </c>
      <c r="U11" s="8">
        <v>15628.56804564</v>
      </c>
      <c r="V11" s="8">
        <v>14392.994190400001</v>
      </c>
      <c r="W11" s="8">
        <v>13241.37675008</v>
      </c>
      <c r="X11" s="8">
        <v>12142.29089672</v>
      </c>
      <c r="Y11" s="8">
        <v>13838.0522007</v>
      </c>
      <c r="Z11" s="8">
        <v>14347.602724169999</v>
      </c>
      <c r="AA11" s="8">
        <v>14953.94111871</v>
      </c>
      <c r="AB11" s="8">
        <v>14904.7769267</v>
      </c>
      <c r="AC11" s="8">
        <v>15237.462494490001</v>
      </c>
    </row>
    <row r="12" spans="1:29" x14ac:dyDescent="0.85">
      <c r="A12" t="s">
        <v>144</v>
      </c>
      <c r="B12" s="8">
        <v>55976.392567319999</v>
      </c>
      <c r="C12" s="8">
        <v>56095.919974019998</v>
      </c>
      <c r="D12" s="8">
        <v>56242.387932489997</v>
      </c>
      <c r="E12" s="8">
        <v>56512.401885430001</v>
      </c>
      <c r="F12" s="8">
        <v>57331.78367995</v>
      </c>
      <c r="G12" s="8">
        <v>58813.233623339998</v>
      </c>
      <c r="H12" s="8">
        <v>62567.620612719998</v>
      </c>
      <c r="I12" s="8">
        <v>66641.790510649997</v>
      </c>
      <c r="J12" s="8">
        <v>70231.048078759995</v>
      </c>
      <c r="K12" s="8">
        <v>73719.018731379998</v>
      </c>
      <c r="L12" s="8">
        <v>77365.606696179995</v>
      </c>
      <c r="M12" s="8">
        <v>81210.215784540007</v>
      </c>
      <c r="N12" s="8">
        <v>85289.637110349999</v>
      </c>
      <c r="O12" s="8">
        <v>89662.489187719999</v>
      </c>
      <c r="P12" s="8">
        <v>94416.531459150006</v>
      </c>
      <c r="Q12" s="8">
        <v>99567.703556830005</v>
      </c>
      <c r="R12" s="8">
        <v>105124.59479046</v>
      </c>
      <c r="S12" s="8">
        <v>109337.56501861999</v>
      </c>
      <c r="T12" s="8">
        <v>113234.8151302</v>
      </c>
      <c r="U12" s="8">
        <v>117175.07724799</v>
      </c>
      <c r="V12" s="8">
        <v>121203.43768533001</v>
      </c>
      <c r="W12" s="8">
        <v>125331.18670287001</v>
      </c>
      <c r="X12" s="8">
        <v>129622.84728659999</v>
      </c>
      <c r="Y12" s="8">
        <v>130977.30796694</v>
      </c>
      <c r="Z12" s="8">
        <v>133645.28416452999</v>
      </c>
      <c r="AA12" s="8">
        <v>136268.65399719999</v>
      </c>
      <c r="AB12" s="8">
        <v>139608.99889831</v>
      </c>
      <c r="AC12" s="8">
        <v>142646.77184212001</v>
      </c>
    </row>
    <row r="13" spans="1:29" x14ac:dyDescent="0.85">
      <c r="A13" t="s">
        <v>145</v>
      </c>
      <c r="B13" s="8">
        <v>55976.392567319999</v>
      </c>
      <c r="C13" s="8">
        <v>62111.817255299997</v>
      </c>
      <c r="D13" s="8">
        <v>68705.165825499993</v>
      </c>
      <c r="E13" s="8">
        <v>75743.876309600004</v>
      </c>
      <c r="F13" s="8">
        <v>83009.779702700005</v>
      </c>
      <c r="G13" s="8">
        <v>90247.5025437</v>
      </c>
      <c r="H13" s="8">
        <v>96687.371430689993</v>
      </c>
      <c r="I13" s="8">
        <v>101764.87363684</v>
      </c>
      <c r="J13" s="8">
        <v>106664.80934218</v>
      </c>
      <c r="K13" s="8">
        <v>110936.13980206</v>
      </c>
      <c r="L13" s="8">
        <v>114295.32588888</v>
      </c>
      <c r="M13" s="8">
        <v>116767.83751593</v>
      </c>
      <c r="N13" s="8">
        <v>118546.14293789001</v>
      </c>
      <c r="O13" s="8">
        <v>119946.71660396</v>
      </c>
      <c r="P13" s="8">
        <v>121339.68218074</v>
      </c>
      <c r="Q13" s="8">
        <v>122984.38997115</v>
      </c>
      <c r="R13" s="8">
        <v>125076.76782863001</v>
      </c>
      <c r="S13" s="8">
        <v>127576.89460001</v>
      </c>
      <c r="T13" s="8">
        <v>130152.6155915</v>
      </c>
      <c r="U13" s="8">
        <v>132803.64529362999</v>
      </c>
      <c r="V13" s="8">
        <v>135596.43187572999</v>
      </c>
      <c r="W13" s="8">
        <v>138572.56345295001</v>
      </c>
      <c r="X13" s="8">
        <v>141765.13818332</v>
      </c>
      <c r="Y13" s="8">
        <v>144815.36016764</v>
      </c>
      <c r="Z13" s="8">
        <v>147992.88688871</v>
      </c>
      <c r="AA13" s="8">
        <v>151222.59511590999</v>
      </c>
      <c r="AB13" s="8">
        <v>154513.77582502001</v>
      </c>
      <c r="AC13" s="8">
        <v>157884.23433661001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4931</v>
      </c>
      <c r="C17" s="8">
        <v>4766.6336205099997</v>
      </c>
      <c r="D17" s="8">
        <v>4619.6613318899999</v>
      </c>
      <c r="E17" s="8">
        <v>4465.6726208299997</v>
      </c>
      <c r="F17" s="8">
        <v>4364.6083431400002</v>
      </c>
      <c r="G17" s="8">
        <v>7643.2941756</v>
      </c>
      <c r="H17" s="8">
        <v>11111.7964133</v>
      </c>
      <c r="I17" s="8">
        <v>14878.625032440001</v>
      </c>
      <c r="J17" s="8">
        <v>18973.767933020001</v>
      </c>
      <c r="K17" s="8">
        <v>23286.126538150002</v>
      </c>
      <c r="L17" s="8">
        <v>27776.07785496</v>
      </c>
      <c r="M17" s="8">
        <v>32450.742028519999</v>
      </c>
      <c r="N17" s="8">
        <v>37320.774518279999</v>
      </c>
      <c r="O17" s="8">
        <v>42393.904987230002</v>
      </c>
      <c r="P17" s="8">
        <v>47678.130531770003</v>
      </c>
      <c r="Q17" s="8">
        <v>53188.551552340003</v>
      </c>
      <c r="R17" s="8">
        <v>58936.607790900001</v>
      </c>
      <c r="S17" s="8">
        <v>56972.056346880003</v>
      </c>
      <c r="T17" s="8">
        <v>55073.032104910002</v>
      </c>
      <c r="U17" s="8">
        <v>53237.264368080003</v>
      </c>
      <c r="V17" s="8">
        <v>51462.751681640002</v>
      </c>
      <c r="W17" s="8">
        <v>49747.327475110003</v>
      </c>
      <c r="X17" s="8">
        <v>48774.02608543</v>
      </c>
      <c r="Y17" s="8">
        <v>50234.409164910001</v>
      </c>
      <c r="Z17" s="8">
        <v>56690.557582399997</v>
      </c>
      <c r="AA17" s="8">
        <v>55182.926548230003</v>
      </c>
      <c r="AB17" s="8">
        <v>54087.830870309997</v>
      </c>
      <c r="AC17" s="8">
        <v>55253.46066397</v>
      </c>
    </row>
    <row r="18" spans="1:29" x14ac:dyDescent="0.85">
      <c r="A18" t="s">
        <v>149</v>
      </c>
      <c r="B18" s="8">
        <v>6301391.75</v>
      </c>
      <c r="C18" s="8">
        <v>6091345.72531862</v>
      </c>
      <c r="D18" s="8">
        <v>5903527.8451796304</v>
      </c>
      <c r="E18" s="8">
        <v>5706743.4205084601</v>
      </c>
      <c r="F18" s="8">
        <v>5577592.01360902</v>
      </c>
      <c r="G18" s="8">
        <v>9767468.9685411099</v>
      </c>
      <c r="H18" s="8">
        <v>14199914.8741569</v>
      </c>
      <c r="I18" s="8">
        <v>19013596.0961539</v>
      </c>
      <c r="J18" s="8">
        <v>24246834.577381302</v>
      </c>
      <c r="K18" s="8">
        <v>29757655.944347199</v>
      </c>
      <c r="L18" s="8">
        <v>35495425.438701198</v>
      </c>
      <c r="M18" s="8">
        <v>41469241.990135103</v>
      </c>
      <c r="N18" s="8">
        <v>47692722.354309998</v>
      </c>
      <c r="O18" s="8">
        <v>54175744.372101597</v>
      </c>
      <c r="P18" s="8">
        <v>60928527.641108803</v>
      </c>
      <c r="Q18" s="8">
        <v>67970369.167217597</v>
      </c>
      <c r="R18" s="8">
        <v>75315887.951356098</v>
      </c>
      <c r="S18" s="8">
        <v>72805361.099218994</v>
      </c>
      <c r="T18" s="8">
        <v>70378572.344559103</v>
      </c>
      <c r="U18" s="8">
        <v>68032619.778310493</v>
      </c>
      <c r="V18" s="8">
        <v>65764946.029084697</v>
      </c>
      <c r="W18" s="8">
        <v>63572782.2470617</v>
      </c>
      <c r="X18" s="8">
        <v>62328987.244454399</v>
      </c>
      <c r="Y18" s="8">
        <v>64195230.522651799</v>
      </c>
      <c r="Z18" s="8">
        <v>72445629.857269406</v>
      </c>
      <c r="AA18" s="8">
        <v>70519007.779092103</v>
      </c>
      <c r="AB18" s="8">
        <v>69119570.209167302</v>
      </c>
      <c r="AC18" s="8">
        <v>70609144.279049605</v>
      </c>
    </row>
    <row r="19" spans="1:29" x14ac:dyDescent="0.85">
      <c r="A19" t="s">
        <v>150</v>
      </c>
      <c r="B19" s="8">
        <v>6301391.75</v>
      </c>
      <c r="C19" s="8">
        <v>6091345.72531862</v>
      </c>
      <c r="D19" s="8">
        <v>5903527.8451796304</v>
      </c>
      <c r="E19" s="8">
        <v>5706743.4205084601</v>
      </c>
      <c r="F19" s="8">
        <v>5577592.01360902</v>
      </c>
      <c r="G19" s="8">
        <v>9767468.9685411099</v>
      </c>
      <c r="H19" s="8">
        <v>14199914.8741569</v>
      </c>
      <c r="I19" s="8">
        <v>19013596.0961539</v>
      </c>
      <c r="J19" s="8">
        <v>24246834.577381302</v>
      </c>
      <c r="K19" s="8">
        <v>29757655.944347199</v>
      </c>
      <c r="L19" s="8">
        <v>35495425.438701198</v>
      </c>
      <c r="M19" s="8">
        <v>41469241.990135103</v>
      </c>
      <c r="N19" s="8">
        <v>47692722.354309998</v>
      </c>
      <c r="O19" s="8">
        <v>54175744.372101597</v>
      </c>
      <c r="P19" s="8">
        <v>60928527.641108803</v>
      </c>
      <c r="Q19" s="8">
        <v>67970369.167217597</v>
      </c>
      <c r="R19" s="8">
        <v>75315887.951356098</v>
      </c>
      <c r="S19" s="8">
        <v>72805361.099218994</v>
      </c>
      <c r="T19" s="8">
        <v>70378572.344559103</v>
      </c>
      <c r="U19" s="8">
        <v>68032619.778310493</v>
      </c>
      <c r="V19" s="8">
        <v>65764946.029084697</v>
      </c>
      <c r="W19" s="8">
        <v>63572782.2470617</v>
      </c>
      <c r="X19" s="8">
        <v>62328987.244454399</v>
      </c>
      <c r="Y19" s="8">
        <v>64195230.522651799</v>
      </c>
      <c r="Z19" s="8">
        <v>72445629.857269406</v>
      </c>
      <c r="AA19" s="8">
        <v>70519007.779092103</v>
      </c>
      <c r="AB19" s="8">
        <v>69119570.209167302</v>
      </c>
      <c r="AC19" s="8">
        <v>70609144.279049605</v>
      </c>
    </row>
    <row r="20" spans="1:29" x14ac:dyDescent="0.85">
      <c r="A20" t="s">
        <v>151</v>
      </c>
      <c r="B20" s="8">
        <v>486.26592076999998</v>
      </c>
      <c r="C20" s="8">
        <v>470.05708506000002</v>
      </c>
      <c r="D20" s="8">
        <v>455.56355123999998</v>
      </c>
      <c r="E20" s="8">
        <v>440.37809953999999</v>
      </c>
      <c r="F20" s="8">
        <v>430.41174097999999</v>
      </c>
      <c r="G20" s="8">
        <v>753.73625633999995</v>
      </c>
      <c r="H20" s="8">
        <v>1095.7793377200001</v>
      </c>
      <c r="I20" s="8">
        <v>1467.2415942299999</v>
      </c>
      <c r="J20" s="8">
        <v>1871.0802543899999</v>
      </c>
      <c r="K20" s="8">
        <v>2296.33943666</v>
      </c>
      <c r="L20" s="8">
        <v>2739.1117569399999</v>
      </c>
      <c r="M20" s="8">
        <v>3200.09936161</v>
      </c>
      <c r="N20" s="8">
        <v>3680.3530287799999</v>
      </c>
      <c r="O20" s="8">
        <v>4180.6350118800001</v>
      </c>
      <c r="P20" s="8">
        <v>4701.7339370399995</v>
      </c>
      <c r="Q20" s="8">
        <v>5245.1389160199997</v>
      </c>
      <c r="R20" s="8">
        <v>5811.9780682199998</v>
      </c>
      <c r="S20" s="8">
        <v>5618.2456778699998</v>
      </c>
      <c r="T20" s="8">
        <v>5430.9751908300004</v>
      </c>
      <c r="U20" s="8">
        <v>5249.9426844700001</v>
      </c>
      <c r="V20" s="8">
        <v>5074.9507872100003</v>
      </c>
      <c r="W20" s="8">
        <v>4905.7858447400004</v>
      </c>
      <c r="X20" s="8">
        <v>4809.8046449000003</v>
      </c>
      <c r="Y20" s="8">
        <v>4953.8189468299997</v>
      </c>
      <c r="Z20" s="8">
        <v>5590.4859423300004</v>
      </c>
      <c r="AA20" s="8">
        <v>5441.8123278499997</v>
      </c>
      <c r="AB20" s="8">
        <v>5333.8204989799997</v>
      </c>
      <c r="AC20" s="8">
        <v>5448.7679832399999</v>
      </c>
    </row>
    <row r="21" spans="1:29" x14ac:dyDescent="0.85">
      <c r="A21" t="s">
        <v>152</v>
      </c>
      <c r="B21" s="8">
        <v>0</v>
      </c>
      <c r="C21" s="8">
        <v>0.60913457000000004</v>
      </c>
      <c r="D21" s="8">
        <v>1.18070557</v>
      </c>
      <c r="E21" s="8">
        <v>1.7120230299999999</v>
      </c>
      <c r="F21" s="8">
        <v>2.23103681</v>
      </c>
      <c r="G21" s="8">
        <v>4.8837344800000002</v>
      </c>
      <c r="H21" s="8">
        <v>8.5199489199999991</v>
      </c>
      <c r="I21" s="8">
        <v>13.309517270000001</v>
      </c>
      <c r="J21" s="8">
        <v>19.39746766</v>
      </c>
      <c r="K21" s="8">
        <v>26.781890350000001</v>
      </c>
      <c r="L21" s="8">
        <v>35.495425439999998</v>
      </c>
      <c r="M21" s="8">
        <v>45.616166190000001</v>
      </c>
      <c r="N21" s="8">
        <v>57.231266830000003</v>
      </c>
      <c r="O21" s="8">
        <v>70.428467679999997</v>
      </c>
      <c r="P21" s="8">
        <v>85.299938699999998</v>
      </c>
      <c r="Q21" s="8">
        <v>101.95555375000001</v>
      </c>
      <c r="R21" s="8">
        <v>120.50542072</v>
      </c>
      <c r="S21" s="8">
        <v>123.76911387</v>
      </c>
      <c r="T21" s="8">
        <v>126.68143022</v>
      </c>
      <c r="U21" s="8">
        <v>129.26197758000001</v>
      </c>
      <c r="V21" s="8">
        <v>131.52989206000001</v>
      </c>
      <c r="W21" s="8">
        <v>133.50284271999999</v>
      </c>
      <c r="X21" s="8">
        <v>137.12377194000001</v>
      </c>
      <c r="Y21" s="8">
        <v>147.6490302</v>
      </c>
      <c r="Z21" s="8">
        <v>173.86951166</v>
      </c>
      <c r="AA21" s="8">
        <v>176.29751945000001</v>
      </c>
      <c r="AB21" s="8">
        <v>179.71088254</v>
      </c>
      <c r="AC21" s="8">
        <v>190.64468955000001</v>
      </c>
    </row>
    <row r="22" spans="1:29" x14ac:dyDescent="0.85">
      <c r="A22" t="s">
        <v>153</v>
      </c>
      <c r="B22" s="8">
        <v>3.1506960000000001E-2</v>
      </c>
      <c r="C22" s="8">
        <v>3.0456730000000001E-2</v>
      </c>
      <c r="D22" s="8">
        <v>2.9517640000000001E-2</v>
      </c>
      <c r="E22" s="8">
        <v>2.8533719999999999E-2</v>
      </c>
      <c r="F22" s="8">
        <v>2.788796E-2</v>
      </c>
      <c r="G22" s="8">
        <v>4.883734E-2</v>
      </c>
      <c r="H22" s="8">
        <v>7.0999569999999998E-2</v>
      </c>
      <c r="I22" s="8">
        <v>9.5067979999999996E-2</v>
      </c>
      <c r="J22" s="8">
        <v>0.12123417</v>
      </c>
      <c r="K22" s="8">
        <v>0.14878827999999999</v>
      </c>
      <c r="L22" s="8">
        <v>0.17747713000000001</v>
      </c>
      <c r="M22" s="8">
        <v>0.20734621</v>
      </c>
      <c r="N22" s="8">
        <v>0.23846360999999999</v>
      </c>
      <c r="O22" s="8">
        <v>0.27087872000000002</v>
      </c>
      <c r="P22" s="8">
        <v>0.30464264000000002</v>
      </c>
      <c r="Q22" s="8">
        <v>0.33985185000000001</v>
      </c>
      <c r="R22" s="8">
        <v>0.37657943999999999</v>
      </c>
      <c r="S22" s="8">
        <v>0.36402680999999998</v>
      </c>
      <c r="T22" s="8">
        <v>0.35189285999999997</v>
      </c>
      <c r="U22" s="8">
        <v>0.3401631</v>
      </c>
      <c r="V22" s="8">
        <v>0.32882473000000001</v>
      </c>
      <c r="W22" s="8">
        <v>0.31786391000000003</v>
      </c>
      <c r="X22" s="8">
        <v>0.31164493999999998</v>
      </c>
      <c r="Y22" s="8">
        <v>0.32097615000000002</v>
      </c>
      <c r="Z22" s="8">
        <v>0.36222815000000003</v>
      </c>
      <c r="AA22" s="8">
        <v>0.35259504000000003</v>
      </c>
      <c r="AB22" s="8">
        <v>0.34559784999999998</v>
      </c>
      <c r="AC22" s="8">
        <v>0.35304572000000001</v>
      </c>
    </row>
    <row r="23" spans="1:29" x14ac:dyDescent="0.85">
      <c r="A23" t="s">
        <v>154</v>
      </c>
      <c r="B23" s="8">
        <v>486.26592076999998</v>
      </c>
      <c r="C23" s="8">
        <v>470.05708506000002</v>
      </c>
      <c r="D23" s="8">
        <v>455.56355123999998</v>
      </c>
      <c r="E23" s="8">
        <v>440.37809953999999</v>
      </c>
      <c r="F23" s="8">
        <v>430.41174097999999</v>
      </c>
      <c r="G23" s="8">
        <v>753.73625633999995</v>
      </c>
      <c r="H23" s="8">
        <v>1095.7793377200001</v>
      </c>
      <c r="I23" s="8">
        <v>1467.2415942299999</v>
      </c>
      <c r="J23" s="8">
        <v>1871.0802543899999</v>
      </c>
      <c r="K23" s="8">
        <v>2296.33943666</v>
      </c>
      <c r="L23" s="8">
        <v>2739.1117569399999</v>
      </c>
      <c r="M23" s="8">
        <v>3200.09936161</v>
      </c>
      <c r="N23" s="8">
        <v>3680.3530287799999</v>
      </c>
      <c r="O23" s="8">
        <v>4180.6350118800001</v>
      </c>
      <c r="P23" s="8">
        <v>4701.7339370399995</v>
      </c>
      <c r="Q23" s="8">
        <v>5245.1389160199997</v>
      </c>
      <c r="R23" s="8">
        <v>5811.9780682199998</v>
      </c>
      <c r="S23" s="8">
        <v>5618.2456778699998</v>
      </c>
      <c r="T23" s="8">
        <v>5430.9751908300004</v>
      </c>
      <c r="U23" s="8">
        <v>5249.9426844700001</v>
      </c>
      <c r="V23" s="8">
        <v>5074.9507872100003</v>
      </c>
      <c r="W23" s="8">
        <v>4905.7858447400004</v>
      </c>
      <c r="X23" s="8">
        <v>4809.8046449000003</v>
      </c>
      <c r="Y23" s="8">
        <v>4953.8189468299997</v>
      </c>
      <c r="Z23" s="8">
        <v>5590.4859423300004</v>
      </c>
      <c r="AA23" s="8">
        <v>5441.8123278499997</v>
      </c>
      <c r="AB23" s="8">
        <v>5333.8204989799997</v>
      </c>
      <c r="AC23" s="8">
        <v>5448.7679832399999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1.0000000600000001</v>
      </c>
      <c r="E25" s="8">
        <v>1.0025859699999999</v>
      </c>
      <c r="F25" s="8">
        <v>0.99999996999999996</v>
      </c>
      <c r="G25" s="8">
        <v>1.0110710000000001</v>
      </c>
      <c r="H25" s="8">
        <v>1.50397661</v>
      </c>
      <c r="I25" s="8">
        <v>1.3851562900000001</v>
      </c>
      <c r="J25" s="8">
        <v>1.3192003299999999</v>
      </c>
      <c r="K25" s="8">
        <v>1.26959004</v>
      </c>
      <c r="L25" s="8">
        <v>1.2339381899999999</v>
      </c>
      <c r="M25" s="8">
        <v>1.2085743600000001</v>
      </c>
      <c r="N25" s="8">
        <v>1.18972236</v>
      </c>
      <c r="O25" s="8">
        <v>1.1750932599999999</v>
      </c>
      <c r="P25" s="8">
        <v>1.16341677</v>
      </c>
      <c r="Q25" s="8">
        <v>1.15403356</v>
      </c>
      <c r="R25" s="8">
        <v>1.1462695599999999</v>
      </c>
      <c r="S25" s="8">
        <v>1.1397071299999999</v>
      </c>
      <c r="T25" s="8">
        <v>1.00000004</v>
      </c>
      <c r="U25" s="8">
        <v>1.0000008</v>
      </c>
      <c r="V25" s="8">
        <v>1</v>
      </c>
      <c r="W25" s="8">
        <v>1.0000012199999999</v>
      </c>
      <c r="X25" s="8">
        <v>1.0000000200000001</v>
      </c>
      <c r="Y25" s="8">
        <v>1.0142432100000001</v>
      </c>
      <c r="Z25" s="8">
        <v>1.06545705</v>
      </c>
      <c r="AA25" s="8">
        <v>1.1534521799999999</v>
      </c>
      <c r="AB25" s="8">
        <v>1.0069716799999999</v>
      </c>
      <c r="AC25" s="8">
        <v>1.0139536300000001</v>
      </c>
    </row>
    <row r="26" spans="1:29" x14ac:dyDescent="0.85">
      <c r="A26" t="s">
        <v>157</v>
      </c>
      <c r="B26" s="8">
        <v>1</v>
      </c>
      <c r="C26" s="8">
        <v>1.0000000600000001</v>
      </c>
      <c r="D26" s="8">
        <v>1.0025859699999999</v>
      </c>
      <c r="E26" s="8">
        <v>0.99999996999999996</v>
      </c>
      <c r="F26" s="8">
        <v>1.0110710000000001</v>
      </c>
      <c r="G26" s="8">
        <v>1.8115843199999999</v>
      </c>
      <c r="H26" s="8">
        <v>1.5039277</v>
      </c>
      <c r="I26" s="8">
        <v>1.3851658600000001</v>
      </c>
      <c r="J26" s="8">
        <v>1.31921033</v>
      </c>
      <c r="K26" s="8">
        <v>1.2696000300000001</v>
      </c>
      <c r="L26" s="8">
        <v>1.23394819</v>
      </c>
      <c r="M26" s="8">
        <v>1.20858435</v>
      </c>
      <c r="N26" s="8">
        <v>1.18973236</v>
      </c>
      <c r="O26" s="8">
        <v>1.17510326</v>
      </c>
      <c r="P26" s="8">
        <v>1.1634267700000001</v>
      </c>
      <c r="Q26" s="8">
        <v>1.1540435600000001</v>
      </c>
      <c r="R26" s="8">
        <v>1.14627872</v>
      </c>
      <c r="S26" s="8">
        <v>1.00000004</v>
      </c>
      <c r="T26" s="8">
        <v>1.0000008</v>
      </c>
      <c r="U26" s="8">
        <v>1</v>
      </c>
      <c r="V26" s="8">
        <v>1.0000012199999999</v>
      </c>
      <c r="W26" s="8">
        <v>1.0000000200000001</v>
      </c>
      <c r="X26" s="8">
        <v>1.0142432100000001</v>
      </c>
      <c r="Y26" s="8">
        <v>1.06545705</v>
      </c>
      <c r="Z26" s="8">
        <v>1.1674349399999999</v>
      </c>
      <c r="AA26" s="8">
        <v>1.0069716799999999</v>
      </c>
      <c r="AB26" s="8">
        <v>1.0139536300000001</v>
      </c>
      <c r="AC26" s="8">
        <v>1.05677657</v>
      </c>
    </row>
    <row r="27" spans="1:29" x14ac:dyDescent="0.85">
      <c r="A27" t="s">
        <v>158</v>
      </c>
      <c r="B27" s="8">
        <v>1</v>
      </c>
      <c r="C27" s="8">
        <v>1.6624698</v>
      </c>
      <c r="D27" s="8">
        <v>1.69088752</v>
      </c>
      <c r="E27" s="8">
        <v>1.72048511</v>
      </c>
      <c r="F27" s="8">
        <v>1.7579282199999999</v>
      </c>
      <c r="G27" s="8">
        <v>1.8115845699999999</v>
      </c>
      <c r="H27" s="8">
        <v>1.5039866099999999</v>
      </c>
      <c r="I27" s="8">
        <v>1.3851662899999999</v>
      </c>
      <c r="J27" s="8">
        <v>1.31921033</v>
      </c>
      <c r="K27" s="8">
        <v>1.26960004</v>
      </c>
      <c r="L27" s="8">
        <v>1.23394819</v>
      </c>
      <c r="M27" s="8">
        <v>1.2085843599999999</v>
      </c>
      <c r="N27" s="8">
        <v>1.18973236</v>
      </c>
      <c r="O27" s="8">
        <v>1.17510326</v>
      </c>
      <c r="P27" s="8">
        <v>1.1634267700000001</v>
      </c>
      <c r="Q27" s="8">
        <v>1.1540435600000001</v>
      </c>
      <c r="R27" s="8">
        <v>1.14627956</v>
      </c>
      <c r="S27" s="8">
        <v>1.13971713</v>
      </c>
      <c r="T27" s="8">
        <v>1.1452139299999999</v>
      </c>
      <c r="U27" s="8">
        <v>1.15000203</v>
      </c>
      <c r="V27" s="8">
        <v>1.15508476</v>
      </c>
      <c r="W27" s="8">
        <v>1.1605122400000001</v>
      </c>
      <c r="X27" s="8">
        <v>1.16634773</v>
      </c>
      <c r="Y27" s="8">
        <v>1.17062698</v>
      </c>
      <c r="Z27" s="8">
        <v>1.1674349399999999</v>
      </c>
      <c r="AA27" s="8">
        <v>1.15346218</v>
      </c>
      <c r="AB27" s="8">
        <v>1.15787602</v>
      </c>
      <c r="AC27" s="8">
        <v>1.16184547</v>
      </c>
    </row>
    <row r="28" spans="1:29" x14ac:dyDescent="0.85">
      <c r="A28" t="s">
        <v>159</v>
      </c>
      <c r="B28" s="8">
        <v>9891</v>
      </c>
      <c r="C28" s="8">
        <v>9495.36</v>
      </c>
      <c r="D28" s="8">
        <v>9115.5461463699994</v>
      </c>
      <c r="E28" s="8">
        <v>10069.403516820001</v>
      </c>
      <c r="F28" s="8">
        <v>14368.577355900001</v>
      </c>
      <c r="G28" s="8">
        <v>18796.60598918</v>
      </c>
      <c r="H28" s="8">
        <v>23466.30630579</v>
      </c>
      <c r="I28" s="8">
        <v>28529.805437989999</v>
      </c>
      <c r="J28" s="8">
        <v>34027.299323539999</v>
      </c>
      <c r="K28" s="8">
        <v>39799.028739230002</v>
      </c>
      <c r="L28" s="8">
        <v>45787.512837440001</v>
      </c>
      <c r="M28" s="8">
        <v>52001.839810630001</v>
      </c>
      <c r="N28" s="8">
        <v>58456.053395570001</v>
      </c>
      <c r="O28" s="8">
        <v>65159.975423190001</v>
      </c>
      <c r="P28" s="8">
        <v>72123.75519317</v>
      </c>
      <c r="Q28" s="8">
        <v>79367.542944960005</v>
      </c>
      <c r="R28" s="8">
        <v>86906.249433189994</v>
      </c>
      <c r="S28" s="8">
        <v>86694.028852699994</v>
      </c>
      <c r="T28" s="8">
        <v>83304.593042039996</v>
      </c>
      <c r="U28" s="8">
        <v>79972.411285449998</v>
      </c>
      <c r="V28" s="8">
        <v>76773.514943389993</v>
      </c>
      <c r="W28" s="8">
        <v>73702.574345650006</v>
      </c>
      <c r="X28" s="8">
        <v>70914.860741059994</v>
      </c>
      <c r="Y28" s="8">
        <v>68637.769952629998</v>
      </c>
      <c r="Z28" s="8">
        <v>65892.259154529995</v>
      </c>
      <c r="AA28" s="8">
        <v>63268.172601949998</v>
      </c>
      <c r="AB28" s="8">
        <v>60737.445702060002</v>
      </c>
      <c r="AC28" s="8">
        <v>58307.947873969999</v>
      </c>
    </row>
    <row r="29" spans="1:29" x14ac:dyDescent="0.85">
      <c r="A29" t="s">
        <v>160</v>
      </c>
      <c r="B29" s="8">
        <v>27966153.5</v>
      </c>
      <c r="C29" s="8">
        <v>26847506.894311398</v>
      </c>
      <c r="D29" s="8">
        <v>25773608.163361099</v>
      </c>
      <c r="E29" s="8">
        <v>28470577.243993901</v>
      </c>
      <c r="F29" s="8">
        <v>40626208.971951798</v>
      </c>
      <c r="G29" s="8">
        <v>53146169.169373199</v>
      </c>
      <c r="H29" s="8">
        <v>66349440.182217799</v>
      </c>
      <c r="I29" s="8">
        <v>80666151.487652004</v>
      </c>
      <c r="J29" s="8">
        <v>96209954.460230693</v>
      </c>
      <c r="K29" s="8">
        <v>112529140.386814</v>
      </c>
      <c r="L29" s="8">
        <v>129461185.945186</v>
      </c>
      <c r="M29" s="8">
        <v>147031787.402771</v>
      </c>
      <c r="N29" s="8">
        <v>165280652.50310901</v>
      </c>
      <c r="O29" s="8">
        <v>184235551.82818699</v>
      </c>
      <c r="P29" s="8">
        <v>203925181.856435</v>
      </c>
      <c r="Q29" s="8">
        <v>224406516.066735</v>
      </c>
      <c r="R29" s="8">
        <v>245721713.63868901</v>
      </c>
      <c r="S29" s="8">
        <v>245121673.882673</v>
      </c>
      <c r="T29" s="8">
        <v>235538266.69278899</v>
      </c>
      <c r="U29" s="8">
        <v>226116741.58123001</v>
      </c>
      <c r="V29" s="8">
        <v>217072072.22718301</v>
      </c>
      <c r="W29" s="8">
        <v>208389189.06129101</v>
      </c>
      <c r="X29" s="8">
        <v>200507111.90790001</v>
      </c>
      <c r="Y29" s="8">
        <v>194068787.23563001</v>
      </c>
      <c r="Z29" s="8">
        <v>186306035.74619299</v>
      </c>
      <c r="AA29" s="8">
        <v>178886603.33729699</v>
      </c>
      <c r="AB29" s="8">
        <v>171731139.21565199</v>
      </c>
      <c r="AC29" s="8">
        <v>164861893.64646301</v>
      </c>
    </row>
    <row r="30" spans="1:29" x14ac:dyDescent="0.85">
      <c r="A30" t="s">
        <v>161</v>
      </c>
      <c r="B30" s="8">
        <v>27966153.5</v>
      </c>
      <c r="C30" s="8">
        <v>26847506.894311398</v>
      </c>
      <c r="D30" s="8">
        <v>25773608.163361099</v>
      </c>
      <c r="E30" s="8">
        <v>28470577.243993901</v>
      </c>
      <c r="F30" s="8">
        <v>40626208.971951798</v>
      </c>
      <c r="G30" s="8">
        <v>53146169.169373199</v>
      </c>
      <c r="H30" s="8">
        <v>66349440.182217799</v>
      </c>
      <c r="I30" s="8">
        <v>80666151.487652004</v>
      </c>
      <c r="J30" s="8">
        <v>96209954.460230693</v>
      </c>
      <c r="K30" s="8">
        <v>112529140.386814</v>
      </c>
      <c r="L30" s="8">
        <v>129461185.945186</v>
      </c>
      <c r="M30" s="8">
        <v>147031787.402771</v>
      </c>
      <c r="N30" s="8">
        <v>165280652.50310901</v>
      </c>
      <c r="O30" s="8">
        <v>184235551.82818699</v>
      </c>
      <c r="P30" s="8">
        <v>203925181.856435</v>
      </c>
      <c r="Q30" s="8">
        <v>224406516.066735</v>
      </c>
      <c r="R30" s="8">
        <v>245721713.63868901</v>
      </c>
      <c r="S30" s="8">
        <v>245121673.882673</v>
      </c>
      <c r="T30" s="8">
        <v>235538266.69278899</v>
      </c>
      <c r="U30" s="8">
        <v>226116741.58123001</v>
      </c>
      <c r="V30" s="8">
        <v>217072072.22718301</v>
      </c>
      <c r="W30" s="8">
        <v>208389189.06129101</v>
      </c>
      <c r="X30" s="8">
        <v>200507111.90790001</v>
      </c>
      <c r="Y30" s="8">
        <v>194068787.23563001</v>
      </c>
      <c r="Z30" s="8">
        <v>186306035.74619299</v>
      </c>
      <c r="AA30" s="8">
        <v>178886603.33729699</v>
      </c>
      <c r="AB30" s="8">
        <v>171731139.21565199</v>
      </c>
      <c r="AC30" s="8">
        <v>164861893.64646301</v>
      </c>
    </row>
    <row r="31" spans="1:29" x14ac:dyDescent="0.85">
      <c r="A31" t="s">
        <v>162</v>
      </c>
      <c r="B31" s="8">
        <v>1547.6914392199999</v>
      </c>
      <c r="C31" s="8">
        <v>1485.78378165</v>
      </c>
      <c r="D31" s="8">
        <v>1426.3525158699999</v>
      </c>
      <c r="E31" s="8">
        <v>1575.6070792600001</v>
      </c>
      <c r="F31" s="8">
        <v>2248.3190948800002</v>
      </c>
      <c r="G31" s="8">
        <v>2941.1936281200001</v>
      </c>
      <c r="H31" s="8">
        <v>3671.8836699499998</v>
      </c>
      <c r="I31" s="8">
        <v>4464.1932705400004</v>
      </c>
      <c r="J31" s="8">
        <v>5324.4120779200002</v>
      </c>
      <c r="K31" s="8">
        <v>6227.54181264</v>
      </c>
      <c r="L31" s="8">
        <v>7164.5881752599998</v>
      </c>
      <c r="M31" s="8">
        <v>8136.97323813</v>
      </c>
      <c r="N31" s="8">
        <v>9146.8944910200007</v>
      </c>
      <c r="O31" s="8">
        <v>10195.88880214</v>
      </c>
      <c r="P31" s="8">
        <v>11285.54428031</v>
      </c>
      <c r="Q31" s="8">
        <v>12419.013928570001</v>
      </c>
      <c r="R31" s="8">
        <v>13598.63090305</v>
      </c>
      <c r="S31" s="8">
        <v>13565.42374749</v>
      </c>
      <c r="T31" s="8">
        <v>13035.06273365</v>
      </c>
      <c r="U31" s="8">
        <v>12513.660531789999</v>
      </c>
      <c r="V31" s="8">
        <v>12013.11412763</v>
      </c>
      <c r="W31" s="8">
        <v>11532.589562519999</v>
      </c>
      <c r="X31" s="8">
        <v>11096.382861399999</v>
      </c>
      <c r="Y31" s="8">
        <v>10740.07572162</v>
      </c>
      <c r="Z31" s="8">
        <v>10310.47269276</v>
      </c>
      <c r="AA31" s="8">
        <v>9899.8694885099994</v>
      </c>
      <c r="AB31" s="8">
        <v>9503.8747096299994</v>
      </c>
      <c r="AC31" s="8">
        <v>9123.7197212400006</v>
      </c>
    </row>
    <row r="32" spans="1:29" x14ac:dyDescent="0.85">
      <c r="A32" t="s">
        <v>163</v>
      </c>
      <c r="B32" s="8">
        <v>0</v>
      </c>
      <c r="C32" s="8">
        <v>2.1478005499999999</v>
      </c>
      <c r="D32" s="8">
        <v>4.1237773100000004</v>
      </c>
      <c r="E32" s="8">
        <v>6.8329385399999998</v>
      </c>
      <c r="F32" s="8">
        <v>13.00038687</v>
      </c>
      <c r="G32" s="8">
        <v>21.258467670000002</v>
      </c>
      <c r="H32" s="8">
        <v>31.847731289999999</v>
      </c>
      <c r="I32" s="8">
        <v>45.173044830000002</v>
      </c>
      <c r="J32" s="8">
        <v>61.574370850000001</v>
      </c>
      <c r="K32" s="8">
        <v>81.020981079999999</v>
      </c>
      <c r="L32" s="8">
        <v>103.56894876</v>
      </c>
      <c r="M32" s="8">
        <v>129.38797291</v>
      </c>
      <c r="N32" s="8">
        <v>158.66942639999999</v>
      </c>
      <c r="O32" s="8">
        <v>191.6049739</v>
      </c>
      <c r="P32" s="8">
        <v>228.39620368000001</v>
      </c>
      <c r="Q32" s="8">
        <v>269.28781928000001</v>
      </c>
      <c r="R32" s="8">
        <v>314.52379345999998</v>
      </c>
      <c r="S32" s="8">
        <v>333.36547647999998</v>
      </c>
      <c r="T32" s="8">
        <v>339.17510404000001</v>
      </c>
      <c r="U32" s="8">
        <v>343.6974472</v>
      </c>
      <c r="V32" s="8">
        <v>347.31531555999999</v>
      </c>
      <c r="W32" s="8">
        <v>350.09383761999999</v>
      </c>
      <c r="X32" s="8">
        <v>352.89251696000002</v>
      </c>
      <c r="Y32" s="8">
        <v>357.08656851000001</v>
      </c>
      <c r="Z32" s="8">
        <v>357.70758862999998</v>
      </c>
      <c r="AA32" s="8">
        <v>357.77320666999998</v>
      </c>
      <c r="AB32" s="8">
        <v>357.20076956999998</v>
      </c>
      <c r="AC32" s="8">
        <v>356.10169028000001</v>
      </c>
    </row>
    <row r="33" spans="1:29" x14ac:dyDescent="0.85">
      <c r="A33" t="s">
        <v>164</v>
      </c>
      <c r="B33" s="8">
        <v>0.11186461</v>
      </c>
      <c r="C33" s="8">
        <v>0.10739003</v>
      </c>
      <c r="D33" s="8">
        <v>0.10309443</v>
      </c>
      <c r="E33" s="8">
        <v>0.11388231</v>
      </c>
      <c r="F33" s="8">
        <v>0.16250484000000001</v>
      </c>
      <c r="G33" s="8">
        <v>0.21258468</v>
      </c>
      <c r="H33" s="8">
        <v>0.26539775999999998</v>
      </c>
      <c r="I33" s="8">
        <v>0.32266461000000002</v>
      </c>
      <c r="J33" s="8">
        <v>0.38483982</v>
      </c>
      <c r="K33" s="8">
        <v>0.45011656</v>
      </c>
      <c r="L33" s="8">
        <v>0.51784474000000003</v>
      </c>
      <c r="M33" s="8">
        <v>0.58812715000000004</v>
      </c>
      <c r="N33" s="8">
        <v>0.66112261000000005</v>
      </c>
      <c r="O33" s="8">
        <v>0.73694221000000004</v>
      </c>
      <c r="P33" s="8">
        <v>0.81570072999999998</v>
      </c>
      <c r="Q33" s="8">
        <v>0.89762606</v>
      </c>
      <c r="R33" s="8">
        <v>0.98288684999999998</v>
      </c>
      <c r="S33" s="8">
        <v>0.98048670000000004</v>
      </c>
      <c r="T33" s="8">
        <v>0.94215307000000004</v>
      </c>
      <c r="U33" s="8">
        <v>0.90446696999999998</v>
      </c>
      <c r="V33" s="8">
        <v>0.86828828999999996</v>
      </c>
      <c r="W33" s="8">
        <v>0.83355676000000001</v>
      </c>
      <c r="X33" s="8">
        <v>0.80202845</v>
      </c>
      <c r="Y33" s="8">
        <v>0.77627515000000002</v>
      </c>
      <c r="Z33" s="8">
        <v>0.74522414000000003</v>
      </c>
      <c r="AA33" s="8">
        <v>0.71554640999999997</v>
      </c>
      <c r="AB33" s="8">
        <v>0.68692456000000002</v>
      </c>
      <c r="AC33" s="8">
        <v>0.65944756999999998</v>
      </c>
    </row>
    <row r="34" spans="1:29" x14ac:dyDescent="0.85">
      <c r="A34" t="s">
        <v>165</v>
      </c>
      <c r="B34" s="8">
        <v>1547.6914392199999</v>
      </c>
      <c r="C34" s="8">
        <v>1485.78378165</v>
      </c>
      <c r="D34" s="8">
        <v>1426.3525158699999</v>
      </c>
      <c r="E34" s="8">
        <v>1575.6070792600001</v>
      </c>
      <c r="F34" s="8">
        <v>2248.3190948800002</v>
      </c>
      <c r="G34" s="8">
        <v>2941.1936281200001</v>
      </c>
      <c r="H34" s="8">
        <v>3671.8836699499998</v>
      </c>
      <c r="I34" s="8">
        <v>4464.1932705400004</v>
      </c>
      <c r="J34" s="8">
        <v>5324.4120779200002</v>
      </c>
      <c r="K34" s="8">
        <v>6227.54181264</v>
      </c>
      <c r="L34" s="8">
        <v>7164.5881752599998</v>
      </c>
      <c r="M34" s="8">
        <v>8136.97323813</v>
      </c>
      <c r="N34" s="8">
        <v>9146.8944910200007</v>
      </c>
      <c r="O34" s="8">
        <v>10195.88880214</v>
      </c>
      <c r="P34" s="8">
        <v>11285.54428031</v>
      </c>
      <c r="Q34" s="8">
        <v>12419.013928570001</v>
      </c>
      <c r="R34" s="8">
        <v>13598.63090305</v>
      </c>
      <c r="S34" s="8">
        <v>13565.42374749</v>
      </c>
      <c r="T34" s="8">
        <v>13035.06273365</v>
      </c>
      <c r="U34" s="8">
        <v>12513.660531789999</v>
      </c>
      <c r="V34" s="8">
        <v>12013.11412763</v>
      </c>
      <c r="W34" s="8">
        <v>11532.589562519999</v>
      </c>
      <c r="X34" s="8">
        <v>11096.382861399999</v>
      </c>
      <c r="Y34" s="8">
        <v>10740.07572162</v>
      </c>
      <c r="Z34" s="8">
        <v>10310.47269276</v>
      </c>
      <c r="AA34" s="8">
        <v>9899.8694885099994</v>
      </c>
      <c r="AB34" s="8">
        <v>9503.8747096299994</v>
      </c>
      <c r="AC34" s="8">
        <v>9123.7197212400006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0.99999998000000001</v>
      </c>
      <c r="E36" s="8">
        <v>1.0000000600000001</v>
      </c>
      <c r="F36" s="8">
        <v>1.15066742</v>
      </c>
      <c r="G36" s="8">
        <v>1.3626794099999999</v>
      </c>
      <c r="H36" s="8">
        <v>1.30047286</v>
      </c>
      <c r="I36" s="8">
        <v>1.2664248199999999</v>
      </c>
      <c r="J36" s="8">
        <v>1.24237855</v>
      </c>
      <c r="K36" s="8">
        <v>1.21834475</v>
      </c>
      <c r="L36" s="8">
        <v>1.1983942700000001</v>
      </c>
      <c r="M36" s="8">
        <v>1.18303271</v>
      </c>
      <c r="N36" s="8">
        <v>1.17094323</v>
      </c>
      <c r="O36" s="8">
        <v>1.16111824</v>
      </c>
      <c r="P36" s="8">
        <v>1.1529817099999999</v>
      </c>
      <c r="Q36" s="8">
        <v>1.1462770099999999</v>
      </c>
      <c r="R36" s="8">
        <v>1.1405991200000001</v>
      </c>
      <c r="S36" s="8">
        <v>1.1356976999999999</v>
      </c>
      <c r="T36" s="8">
        <v>1.03912297</v>
      </c>
      <c r="U36" s="8">
        <v>1.0009411100000001</v>
      </c>
      <c r="V36" s="8">
        <v>1.0000000200000001</v>
      </c>
      <c r="W36" s="8">
        <v>1</v>
      </c>
      <c r="X36" s="8">
        <v>1</v>
      </c>
      <c r="Y36" s="8">
        <v>1.0022668400000001</v>
      </c>
      <c r="Z36" s="8">
        <v>1.0082185400000001</v>
      </c>
      <c r="AA36" s="8">
        <v>1</v>
      </c>
      <c r="AB36" s="8">
        <v>1.00018344</v>
      </c>
      <c r="AC36" s="8">
        <v>1</v>
      </c>
    </row>
    <row r="37" spans="1:29" x14ac:dyDescent="0.85">
      <c r="A37" t="s">
        <v>168</v>
      </c>
      <c r="B37" s="8">
        <v>1</v>
      </c>
      <c r="C37" s="8">
        <v>0.99999998000000001</v>
      </c>
      <c r="D37" s="8">
        <v>1.0000000600000001</v>
      </c>
      <c r="E37" s="8">
        <v>1.15066742</v>
      </c>
      <c r="F37" s="8">
        <v>1.4864105999999999</v>
      </c>
      <c r="G37" s="8">
        <v>1.36268173</v>
      </c>
      <c r="H37" s="8">
        <v>1.3004512100000001</v>
      </c>
      <c r="I37" s="8">
        <v>1.26643482</v>
      </c>
      <c r="J37" s="8">
        <v>1.2423885400000001</v>
      </c>
      <c r="K37" s="8">
        <v>1.21835475</v>
      </c>
      <c r="L37" s="8">
        <v>1.1984042699999999</v>
      </c>
      <c r="M37" s="8">
        <v>1.1830427100000001</v>
      </c>
      <c r="N37" s="8">
        <v>1.1709532300000001</v>
      </c>
      <c r="O37" s="8">
        <v>1.16112824</v>
      </c>
      <c r="P37" s="8">
        <v>1.15299171</v>
      </c>
      <c r="Q37" s="8">
        <v>1.14628701</v>
      </c>
      <c r="R37" s="8">
        <v>1.1406091199999999</v>
      </c>
      <c r="S37" s="8">
        <v>1.03912297</v>
      </c>
      <c r="T37" s="8">
        <v>1.0009411100000001</v>
      </c>
      <c r="U37" s="8">
        <v>1.0000000200000001</v>
      </c>
      <c r="V37" s="8">
        <v>1</v>
      </c>
      <c r="W37" s="8">
        <v>1</v>
      </c>
      <c r="X37" s="8">
        <v>1.0022668400000001</v>
      </c>
      <c r="Y37" s="8">
        <v>1.0082185400000001</v>
      </c>
      <c r="Z37" s="8">
        <v>1</v>
      </c>
      <c r="AA37" s="8">
        <v>1.00018344</v>
      </c>
      <c r="AB37" s="8">
        <v>1</v>
      </c>
      <c r="AC37" s="8">
        <v>1</v>
      </c>
    </row>
    <row r="38" spans="1:29" x14ac:dyDescent="0.85">
      <c r="A38" t="s">
        <v>169</v>
      </c>
      <c r="B38" s="8">
        <v>1</v>
      </c>
      <c r="C38" s="8">
        <v>1.4764774899999999</v>
      </c>
      <c r="D38" s="8">
        <v>1.49997863</v>
      </c>
      <c r="E38" s="8">
        <v>1.5259390500000001</v>
      </c>
      <c r="F38" s="8">
        <v>1.4864113400000001</v>
      </c>
      <c r="G38" s="8">
        <v>1.36268941</v>
      </c>
      <c r="H38" s="8">
        <v>1.30048286</v>
      </c>
      <c r="I38" s="8">
        <v>1.26643482</v>
      </c>
      <c r="J38" s="8">
        <v>1.24238855</v>
      </c>
      <c r="K38" s="8">
        <v>1.21835475</v>
      </c>
      <c r="L38" s="8">
        <v>1.1984042699999999</v>
      </c>
      <c r="M38" s="8">
        <v>1.1830427100000001</v>
      </c>
      <c r="N38" s="8">
        <v>1.1709532300000001</v>
      </c>
      <c r="O38" s="8">
        <v>1.16112824</v>
      </c>
      <c r="P38" s="8">
        <v>1.15299171</v>
      </c>
      <c r="Q38" s="8">
        <v>1.14628701</v>
      </c>
      <c r="R38" s="8">
        <v>1.1406091199999999</v>
      </c>
      <c r="S38" s="8">
        <v>1.1357077</v>
      </c>
      <c r="T38" s="8">
        <v>1.13727278</v>
      </c>
      <c r="U38" s="8">
        <v>1.1424875699999999</v>
      </c>
      <c r="V38" s="8">
        <v>1.14816037</v>
      </c>
      <c r="W38" s="8">
        <v>1.15423556</v>
      </c>
      <c r="X38" s="8">
        <v>1.1607812900000001</v>
      </c>
      <c r="Y38" s="8">
        <v>1.16764746</v>
      </c>
      <c r="Z38" s="8">
        <v>1.17378373</v>
      </c>
      <c r="AA38" s="8">
        <v>1.1836463699999999</v>
      </c>
      <c r="AB38" s="8">
        <v>1.19138784</v>
      </c>
      <c r="AC38" s="8">
        <v>1.2000239800000001</v>
      </c>
    </row>
    <row r="39" spans="1:29" x14ac:dyDescent="0.85">
      <c r="A39" t="s">
        <v>170</v>
      </c>
      <c r="B39" s="8">
        <v>46004</v>
      </c>
      <c r="C39" s="8">
        <v>44853.9</v>
      </c>
      <c r="D39" s="8">
        <v>43735.443075939998</v>
      </c>
      <c r="E39" s="8">
        <v>42642.056999040004</v>
      </c>
      <c r="F39" s="8">
        <v>41576.005575429997</v>
      </c>
      <c r="G39" s="8">
        <v>41474.909253780002</v>
      </c>
      <c r="H39" s="8">
        <v>46858.268010560001</v>
      </c>
      <c r="I39" s="8">
        <v>52755.682797959998</v>
      </c>
      <c r="J39" s="8">
        <v>59218.610093540003</v>
      </c>
      <c r="K39" s="8">
        <v>66076.819924199997</v>
      </c>
      <c r="L39" s="8">
        <v>73270.732012759996</v>
      </c>
      <c r="M39" s="8">
        <v>80813.574824829993</v>
      </c>
      <c r="N39" s="8">
        <v>88724.207965830006</v>
      </c>
      <c r="O39" s="8">
        <v>97017.030332780007</v>
      </c>
      <c r="P39" s="8">
        <v>105706.95104955</v>
      </c>
      <c r="Q39" s="8">
        <v>114820.11963664</v>
      </c>
      <c r="R39" s="8">
        <v>124377.19731037</v>
      </c>
      <c r="S39" s="8">
        <v>134396.09065667001</v>
      </c>
      <c r="T39" s="8">
        <v>144478.15962352001</v>
      </c>
      <c r="U39" s="8">
        <v>154539.01244295001</v>
      </c>
      <c r="V39" s="8">
        <v>164596.52204889999</v>
      </c>
      <c r="W39" s="8">
        <v>174659.85699910001</v>
      </c>
      <c r="X39" s="8">
        <v>184743.02776704001</v>
      </c>
      <c r="Y39" s="8">
        <v>187091.31422624001</v>
      </c>
      <c r="Z39" s="8">
        <v>191845.55890435001</v>
      </c>
      <c r="AA39" s="8">
        <v>197918.59517888</v>
      </c>
      <c r="AB39" s="8">
        <v>205536.91304257</v>
      </c>
      <c r="AC39" s="8">
        <v>211933.11654928001</v>
      </c>
    </row>
    <row r="40" spans="1:29" x14ac:dyDescent="0.85">
      <c r="A40" t="s">
        <v>171</v>
      </c>
      <c r="B40" s="8">
        <v>272337749.25</v>
      </c>
      <c r="C40" s="8">
        <v>265529305.46878001</v>
      </c>
      <c r="D40" s="8">
        <v>258908184.66896999</v>
      </c>
      <c r="E40" s="8">
        <v>252435480.04186699</v>
      </c>
      <c r="F40" s="8">
        <v>246124593.048897</v>
      </c>
      <c r="G40" s="8">
        <v>245526115.85801801</v>
      </c>
      <c r="H40" s="8">
        <v>277394905.67824298</v>
      </c>
      <c r="I40" s="8">
        <v>312306840.92796099</v>
      </c>
      <c r="J40" s="8">
        <v>350566537.32047701</v>
      </c>
      <c r="K40" s="8">
        <v>391166255.36099702</v>
      </c>
      <c r="L40" s="8">
        <v>433753287.48974699</v>
      </c>
      <c r="M40" s="8">
        <v>478405944.51775801</v>
      </c>
      <c r="N40" s="8">
        <v>525235872.877635</v>
      </c>
      <c r="O40" s="8">
        <v>574328312.18350804</v>
      </c>
      <c r="P40" s="8">
        <v>625771522.52659798</v>
      </c>
      <c r="Q40" s="8">
        <v>679720305.69707298</v>
      </c>
      <c r="R40" s="8">
        <v>736296973.43193305</v>
      </c>
      <c r="S40" s="8">
        <v>795607530.41134298</v>
      </c>
      <c r="T40" s="8">
        <v>855292078.91984904</v>
      </c>
      <c r="U40" s="8">
        <v>914851030.57081497</v>
      </c>
      <c r="V40" s="8">
        <v>974390190.82898796</v>
      </c>
      <c r="W40" s="8">
        <v>1033963836.3741</v>
      </c>
      <c r="X40" s="8">
        <v>1093654907.4030299</v>
      </c>
      <c r="Y40" s="8">
        <v>1107556460.50161</v>
      </c>
      <c r="Z40" s="8">
        <v>1135700976.0811601</v>
      </c>
      <c r="AA40" s="8">
        <v>1171652567.89362</v>
      </c>
      <c r="AB40" s="8">
        <v>1216752027.4969599</v>
      </c>
      <c r="AC40" s="8">
        <v>1254616727.66136</v>
      </c>
    </row>
    <row r="41" spans="1:29" x14ac:dyDescent="0.85">
      <c r="A41" t="s">
        <v>172</v>
      </c>
      <c r="B41" s="8">
        <v>272337749.25</v>
      </c>
      <c r="C41" s="8">
        <v>265529305.46878001</v>
      </c>
      <c r="D41" s="8">
        <v>258908184.66896999</v>
      </c>
      <c r="E41" s="8">
        <v>252435480.04186699</v>
      </c>
      <c r="F41" s="8">
        <v>246124593.048897</v>
      </c>
      <c r="G41" s="8">
        <v>245526115.85801801</v>
      </c>
      <c r="H41" s="8">
        <v>277394905.67824298</v>
      </c>
      <c r="I41" s="8">
        <v>312306840.92796099</v>
      </c>
      <c r="J41" s="8">
        <v>350566537.32047701</v>
      </c>
      <c r="K41" s="8">
        <v>391166255.36099702</v>
      </c>
      <c r="L41" s="8">
        <v>433753287.48974699</v>
      </c>
      <c r="M41" s="8">
        <v>478405944.51775801</v>
      </c>
      <c r="N41" s="8">
        <v>525235872.877635</v>
      </c>
      <c r="O41" s="8">
        <v>574328312.18350804</v>
      </c>
      <c r="P41" s="8">
        <v>625771522.52659798</v>
      </c>
      <c r="Q41" s="8">
        <v>679720305.69707298</v>
      </c>
      <c r="R41" s="8">
        <v>736296973.43193305</v>
      </c>
      <c r="S41" s="8">
        <v>795607530.41134298</v>
      </c>
      <c r="T41" s="8">
        <v>855292078.91984904</v>
      </c>
      <c r="U41" s="8">
        <v>914851030.57081497</v>
      </c>
      <c r="V41" s="8">
        <v>974390190.82898796</v>
      </c>
      <c r="W41" s="8">
        <v>1033963836.3741</v>
      </c>
      <c r="X41" s="8">
        <v>1093654907.4030299</v>
      </c>
      <c r="Y41" s="8">
        <v>1107556460.50161</v>
      </c>
      <c r="Z41" s="8">
        <v>1135700976.0811601</v>
      </c>
      <c r="AA41" s="8">
        <v>1171652567.89362</v>
      </c>
      <c r="AB41" s="8">
        <v>1216752027.4969599</v>
      </c>
      <c r="AC41" s="8">
        <v>1254616727.66136</v>
      </c>
    </row>
    <row r="42" spans="1:29" x14ac:dyDescent="0.85">
      <c r="A42" t="s">
        <v>173</v>
      </c>
      <c r="B42" s="8">
        <v>24446.773911799999</v>
      </c>
      <c r="C42" s="8">
        <v>23835.604563500001</v>
      </c>
      <c r="D42" s="8">
        <v>23241.250517069999</v>
      </c>
      <c r="E42" s="8">
        <v>22660.219254039999</v>
      </c>
      <c r="F42" s="8">
        <v>22093.71377341</v>
      </c>
      <c r="G42" s="8">
        <v>22039.990642410001</v>
      </c>
      <c r="H42" s="8">
        <v>24900.736542980001</v>
      </c>
      <c r="I42" s="8">
        <v>28034.654592890001</v>
      </c>
      <c r="J42" s="8">
        <v>31469.089042060001</v>
      </c>
      <c r="K42" s="8">
        <v>35113.57876394</v>
      </c>
      <c r="L42" s="8">
        <v>38936.462477649999</v>
      </c>
      <c r="M42" s="8">
        <v>42944.769861239998</v>
      </c>
      <c r="N42" s="8">
        <v>47148.523010789999</v>
      </c>
      <c r="O42" s="8">
        <v>51555.373577929997</v>
      </c>
      <c r="P42" s="8">
        <v>56173.244351529996</v>
      </c>
      <c r="Q42" s="8">
        <v>61016.03132794</v>
      </c>
      <c r="R42" s="8">
        <v>66094.713989039999</v>
      </c>
      <c r="S42" s="8">
        <v>71418.807991239999</v>
      </c>
      <c r="T42" s="8">
        <v>76776.473859200007</v>
      </c>
      <c r="U42" s="8">
        <v>82122.865351900007</v>
      </c>
      <c r="V42" s="8">
        <v>87467.480242909995</v>
      </c>
      <c r="W42" s="8">
        <v>92815.190753300005</v>
      </c>
      <c r="X42" s="8">
        <v>98173.442124299996</v>
      </c>
      <c r="Y42" s="8">
        <v>99421.334223829996</v>
      </c>
      <c r="Z42" s="8">
        <v>101947.76550728999</v>
      </c>
      <c r="AA42" s="8">
        <v>105175.00976339</v>
      </c>
      <c r="AB42" s="8">
        <v>109223.42499678</v>
      </c>
      <c r="AC42" s="8">
        <v>112622.4020644</v>
      </c>
    </row>
    <row r="43" spans="1:29" x14ac:dyDescent="0.85">
      <c r="A43" t="s">
        <v>174</v>
      </c>
      <c r="B43" s="8">
        <v>0</v>
      </c>
      <c r="C43" s="8">
        <v>15.931758329999999</v>
      </c>
      <c r="D43" s="8">
        <v>31.068982160000001</v>
      </c>
      <c r="E43" s="8">
        <v>45.43838641</v>
      </c>
      <c r="F43" s="8">
        <v>59.069902329999998</v>
      </c>
      <c r="G43" s="8">
        <v>73.65783476</v>
      </c>
      <c r="H43" s="8">
        <v>99.862166040000005</v>
      </c>
      <c r="I43" s="8">
        <v>131.16887319</v>
      </c>
      <c r="J43" s="8">
        <v>168.27193790999999</v>
      </c>
      <c r="K43" s="8">
        <v>211.22977789000001</v>
      </c>
      <c r="L43" s="8">
        <v>260.25197249000001</v>
      </c>
      <c r="M43" s="8">
        <v>315.74792337999997</v>
      </c>
      <c r="N43" s="8">
        <v>378.16982847000003</v>
      </c>
      <c r="O43" s="8">
        <v>447.97608350000002</v>
      </c>
      <c r="P43" s="8">
        <v>525.64807891999999</v>
      </c>
      <c r="Q43" s="8">
        <v>611.74827513000002</v>
      </c>
      <c r="R43" s="8">
        <v>706.84509448999995</v>
      </c>
      <c r="S43" s="8">
        <v>811.51968102000001</v>
      </c>
      <c r="T43" s="8">
        <v>923.71544523</v>
      </c>
      <c r="U43" s="8">
        <v>1042.93017485</v>
      </c>
      <c r="V43" s="8">
        <v>1169.2682289899999</v>
      </c>
      <c r="W43" s="8">
        <v>1302.7944338299999</v>
      </c>
      <c r="X43" s="8">
        <v>1443.6244777700001</v>
      </c>
      <c r="Y43" s="8">
        <v>1528.42791549</v>
      </c>
      <c r="Z43" s="8">
        <v>1635.4094055600001</v>
      </c>
      <c r="AA43" s="8">
        <v>1757.4788518400001</v>
      </c>
      <c r="AB43" s="8">
        <v>1898.1331628999999</v>
      </c>
      <c r="AC43" s="8">
        <v>2032.4790988100001</v>
      </c>
    </row>
    <row r="44" spans="1:29" x14ac:dyDescent="0.85">
      <c r="A44" t="s">
        <v>175</v>
      </c>
      <c r="B44" s="8">
        <v>0.81701325000000002</v>
      </c>
      <c r="C44" s="8">
        <v>0.79658792</v>
      </c>
      <c r="D44" s="8">
        <v>0.77672454999999996</v>
      </c>
      <c r="E44" s="8">
        <v>0.75730644000000003</v>
      </c>
      <c r="F44" s="8">
        <v>0.73837377999999998</v>
      </c>
      <c r="G44" s="8">
        <v>0.73657835000000005</v>
      </c>
      <c r="H44" s="8">
        <v>0.83218471999999999</v>
      </c>
      <c r="I44" s="8">
        <v>0.93692052000000003</v>
      </c>
      <c r="J44" s="8">
        <v>1.05169961</v>
      </c>
      <c r="K44" s="8">
        <v>1.1734987699999999</v>
      </c>
      <c r="L44" s="8">
        <v>1.30125986</v>
      </c>
      <c r="M44" s="8">
        <v>1.43521783</v>
      </c>
      <c r="N44" s="8">
        <v>1.57570762</v>
      </c>
      <c r="O44" s="8">
        <v>1.7229849399999999</v>
      </c>
      <c r="P44" s="8">
        <v>1.87731457</v>
      </c>
      <c r="Q44" s="8">
        <v>2.03916092</v>
      </c>
      <c r="R44" s="8">
        <v>2.20889092</v>
      </c>
      <c r="S44" s="8">
        <v>2.38682259</v>
      </c>
      <c r="T44" s="8">
        <v>2.5658762400000001</v>
      </c>
      <c r="U44" s="8">
        <v>2.7445530900000001</v>
      </c>
      <c r="V44" s="8">
        <v>2.9231705699999999</v>
      </c>
      <c r="W44" s="8">
        <v>3.1018915100000002</v>
      </c>
      <c r="X44" s="8">
        <v>3.2809647200000001</v>
      </c>
      <c r="Y44" s="8">
        <v>3.3226693799999998</v>
      </c>
      <c r="Z44" s="8">
        <v>3.4071029300000002</v>
      </c>
      <c r="AA44" s="8">
        <v>3.5149577000000001</v>
      </c>
      <c r="AB44" s="8">
        <v>3.6502560800000001</v>
      </c>
      <c r="AC44" s="8">
        <v>3.7638501799999999</v>
      </c>
    </row>
    <row r="45" spans="1:29" x14ac:dyDescent="0.85">
      <c r="A45" t="s">
        <v>176</v>
      </c>
      <c r="B45" s="8">
        <v>21693.43926689</v>
      </c>
      <c r="C45" s="8">
        <v>21151.10328521</v>
      </c>
      <c r="D45" s="8">
        <v>20623.688770069999</v>
      </c>
      <c r="E45" s="8">
        <v>20108.096550819999</v>
      </c>
      <c r="F45" s="8">
        <v>19605.39413769</v>
      </c>
      <c r="G45" s="8">
        <v>19557.721611090001</v>
      </c>
      <c r="H45" s="8">
        <v>22096.274046570001</v>
      </c>
      <c r="I45" s="8">
        <v>24877.232431109998</v>
      </c>
      <c r="J45" s="8">
        <v>27924.861349750001</v>
      </c>
      <c r="K45" s="8">
        <v>31158.887922239999</v>
      </c>
      <c r="L45" s="8">
        <v>34551.216741130003</v>
      </c>
      <c r="M45" s="8">
        <v>38108.085762160001</v>
      </c>
      <c r="N45" s="8">
        <v>41838.388336000004</v>
      </c>
      <c r="O45" s="8">
        <v>45748.914341750002</v>
      </c>
      <c r="P45" s="8">
        <v>49846.694258789998</v>
      </c>
      <c r="Q45" s="8">
        <v>54144.059037350002</v>
      </c>
      <c r="R45" s="8">
        <v>58650.751587649997</v>
      </c>
      <c r="S45" s="8">
        <v>63375.21585878</v>
      </c>
      <c r="T45" s="8">
        <v>68129.470941320003</v>
      </c>
      <c r="U45" s="8">
        <v>72873.721432830003</v>
      </c>
      <c r="V45" s="8">
        <v>77616.395413630002</v>
      </c>
      <c r="W45" s="8">
        <v>82361.816367559994</v>
      </c>
      <c r="X45" s="8">
        <v>87116.591010460004</v>
      </c>
      <c r="Y45" s="8">
        <v>88223.93840816</v>
      </c>
      <c r="Z45" s="8">
        <v>90465.828639109997</v>
      </c>
      <c r="AA45" s="8">
        <v>93329.602301990002</v>
      </c>
      <c r="AB45" s="8">
        <v>96922.061998789999</v>
      </c>
      <c r="AC45" s="8">
        <v>99938.226947739997</v>
      </c>
    </row>
    <row r="46" spans="1:29" x14ac:dyDescent="0.85">
      <c r="A46" t="s">
        <v>177</v>
      </c>
      <c r="B46" s="8">
        <v>2753.3346449199998</v>
      </c>
      <c r="C46" s="8">
        <v>2684.5012782899998</v>
      </c>
      <c r="D46" s="8">
        <v>2617.5617470000002</v>
      </c>
      <c r="E46" s="8">
        <v>2552.1227032199999</v>
      </c>
      <c r="F46" s="8">
        <v>2488.31963572</v>
      </c>
      <c r="G46" s="8">
        <v>2482.2690313200001</v>
      </c>
      <c r="H46" s="8">
        <v>2804.4624964099999</v>
      </c>
      <c r="I46" s="8">
        <v>3157.4221617799999</v>
      </c>
      <c r="J46" s="8">
        <v>3544.2276923099998</v>
      </c>
      <c r="K46" s="8">
        <v>3954.6908417</v>
      </c>
      <c r="L46" s="8">
        <v>4385.2457365199998</v>
      </c>
      <c r="M46" s="8">
        <v>4836.6840990700002</v>
      </c>
      <c r="N46" s="8">
        <v>5310.1346747899997</v>
      </c>
      <c r="O46" s="8">
        <v>5806.4592361799996</v>
      </c>
      <c r="P46" s="8">
        <v>6326.5500927399999</v>
      </c>
      <c r="Q46" s="8">
        <v>6871.9722905999997</v>
      </c>
      <c r="R46" s="8">
        <v>7443.9624014000001</v>
      </c>
      <c r="S46" s="8">
        <v>8043.5921324600004</v>
      </c>
      <c r="T46" s="8">
        <v>8647.0029178799996</v>
      </c>
      <c r="U46" s="8">
        <v>9249.1439190700003</v>
      </c>
      <c r="V46" s="8">
        <v>9851.0848292800001</v>
      </c>
      <c r="W46" s="8">
        <v>10453.37438574</v>
      </c>
      <c r="X46" s="8">
        <v>11056.851113840001</v>
      </c>
      <c r="Y46" s="8">
        <v>11197.395815669999</v>
      </c>
      <c r="Z46" s="8">
        <v>11481.936868180001</v>
      </c>
      <c r="AA46" s="8">
        <v>11845.4074614</v>
      </c>
      <c r="AB46" s="8">
        <v>12301.36299799</v>
      </c>
      <c r="AC46" s="8">
        <v>12684.175116660001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1.0000661</v>
      </c>
      <c r="F47" s="8">
        <v>1</v>
      </c>
      <c r="G47" s="8">
        <v>1</v>
      </c>
      <c r="H47" s="8">
        <v>1.02314707</v>
      </c>
      <c r="I47" s="8">
        <v>1.1547145999999999</v>
      </c>
      <c r="J47" s="8">
        <v>1.15127899</v>
      </c>
      <c r="K47" s="8">
        <v>1.14441229</v>
      </c>
      <c r="L47" s="8">
        <v>1.13729456</v>
      </c>
      <c r="M47" s="8">
        <v>1.13121546</v>
      </c>
      <c r="N47" s="8">
        <v>1.1260283900000001</v>
      </c>
      <c r="O47" s="8">
        <v>1.1214950400000001</v>
      </c>
      <c r="P47" s="8">
        <v>1.1174988100000001</v>
      </c>
      <c r="Q47" s="8">
        <v>1.11405321</v>
      </c>
      <c r="R47" s="8">
        <v>1.11100048</v>
      </c>
      <c r="S47" s="8">
        <v>1.10824897</v>
      </c>
      <c r="T47" s="8">
        <v>1.10257213</v>
      </c>
      <c r="U47" s="8">
        <v>1.0970883499999999</v>
      </c>
      <c r="V47" s="8">
        <v>1.0923905899999999</v>
      </c>
      <c r="W47" s="8">
        <v>1.08834097</v>
      </c>
      <c r="X47" s="8">
        <v>1.08484162</v>
      </c>
      <c r="Y47" s="8">
        <v>1.0818601999999999</v>
      </c>
      <c r="Z47" s="8">
        <v>1.0386780499999999</v>
      </c>
      <c r="AA47" s="8">
        <v>1.05170396</v>
      </c>
      <c r="AB47" s="8">
        <v>1.0581085800000001</v>
      </c>
      <c r="AC47" s="8">
        <v>1.0651201800000001</v>
      </c>
    </row>
    <row r="48" spans="1:29" x14ac:dyDescent="0.85">
      <c r="A48" t="s">
        <v>179</v>
      </c>
      <c r="B48" s="8">
        <v>1</v>
      </c>
      <c r="C48" s="8">
        <v>1</v>
      </c>
      <c r="D48" s="8">
        <v>1.0000661</v>
      </c>
      <c r="E48" s="8">
        <v>1</v>
      </c>
      <c r="F48" s="8">
        <v>1</v>
      </c>
      <c r="G48" s="8">
        <v>1.02314707</v>
      </c>
      <c r="H48" s="8">
        <v>1.1587671399999999</v>
      </c>
      <c r="I48" s="8">
        <v>1.1547245500000001</v>
      </c>
      <c r="J48" s="8">
        <v>1.1512889799999999</v>
      </c>
      <c r="K48" s="8">
        <v>1.1444222900000001</v>
      </c>
      <c r="L48" s="8">
        <v>1.13730456</v>
      </c>
      <c r="M48" s="8">
        <v>1.13122546</v>
      </c>
      <c r="N48" s="8">
        <v>1.1260383899999999</v>
      </c>
      <c r="O48" s="8">
        <v>1.12150504</v>
      </c>
      <c r="P48" s="8">
        <v>1.1175088099999999</v>
      </c>
      <c r="Q48" s="8">
        <v>1.1140632100000001</v>
      </c>
      <c r="R48" s="8">
        <v>1.11101048</v>
      </c>
      <c r="S48" s="8">
        <v>1.1082589700000001</v>
      </c>
      <c r="T48" s="8">
        <v>1.10258213</v>
      </c>
      <c r="U48" s="8">
        <v>1.09706236</v>
      </c>
      <c r="V48" s="8">
        <v>1.0923904799999999</v>
      </c>
      <c r="W48" s="8">
        <v>1.08834812</v>
      </c>
      <c r="X48" s="8">
        <v>1.08485162</v>
      </c>
      <c r="Y48" s="8">
        <v>1.0386780499999999</v>
      </c>
      <c r="Z48" s="8">
        <v>1.05170396</v>
      </c>
      <c r="AA48" s="8">
        <v>1.0581085800000001</v>
      </c>
      <c r="AB48" s="8">
        <v>1.0651201800000001</v>
      </c>
      <c r="AC48" s="8">
        <v>1.0575584499999999</v>
      </c>
    </row>
    <row r="49" spans="1:29" x14ac:dyDescent="0.85">
      <c r="A49" t="s">
        <v>180</v>
      </c>
      <c r="B49" s="8">
        <v>1</v>
      </c>
      <c r="C49" s="8">
        <v>1.12713967</v>
      </c>
      <c r="D49" s="8">
        <v>1.1309224499999999</v>
      </c>
      <c r="E49" s="8">
        <v>1.1351154699999999</v>
      </c>
      <c r="F49" s="8">
        <v>1.1402322600000001</v>
      </c>
      <c r="G49" s="8">
        <v>1.14928794</v>
      </c>
      <c r="H49" s="8">
        <v>1.1587671399999999</v>
      </c>
      <c r="I49" s="8">
        <v>1.1547246</v>
      </c>
      <c r="J49" s="8">
        <v>1.1512889900000001</v>
      </c>
      <c r="K49" s="8">
        <v>1.1444222900000001</v>
      </c>
      <c r="L49" s="8">
        <v>1.13730456</v>
      </c>
      <c r="M49" s="8">
        <v>1.13122546</v>
      </c>
      <c r="N49" s="8">
        <v>1.1260383899999999</v>
      </c>
      <c r="O49" s="8">
        <v>1.12150504</v>
      </c>
      <c r="P49" s="8">
        <v>1.1175088099999999</v>
      </c>
      <c r="Q49" s="8">
        <v>1.1140632100000001</v>
      </c>
      <c r="R49" s="8">
        <v>1.11101048</v>
      </c>
      <c r="S49" s="8">
        <v>1.1082589700000001</v>
      </c>
      <c r="T49" s="8">
        <v>1.10258213</v>
      </c>
      <c r="U49" s="8">
        <v>1.09709835</v>
      </c>
      <c r="V49" s="8">
        <v>1.09240059</v>
      </c>
      <c r="W49" s="8">
        <v>1.08835097</v>
      </c>
      <c r="X49" s="8">
        <v>1.08485162</v>
      </c>
      <c r="Y49" s="8">
        <v>1.0818702</v>
      </c>
      <c r="Z49" s="8">
        <v>1.0815894399999999</v>
      </c>
      <c r="AA49" s="8">
        <v>1.08135859</v>
      </c>
      <c r="AB49" s="8">
        <v>1.07980879</v>
      </c>
      <c r="AC49" s="8">
        <v>1.07807422</v>
      </c>
    </row>
    <row r="50" spans="1:29" x14ac:dyDescent="0.85">
      <c r="A50" t="s">
        <v>181</v>
      </c>
      <c r="B50" s="8">
        <v>75232</v>
      </c>
      <c r="C50" s="8">
        <v>79685.045946479993</v>
      </c>
      <c r="D50" s="8">
        <v>84521.969290239998</v>
      </c>
      <c r="E50" s="8">
        <v>89177.963635409993</v>
      </c>
      <c r="F50" s="8">
        <v>96040.07868654</v>
      </c>
      <c r="G50" s="8">
        <v>103181.71494819999</v>
      </c>
      <c r="H50" s="8">
        <v>110821.03081852999</v>
      </c>
      <c r="I50" s="8">
        <v>119249.51505936</v>
      </c>
      <c r="J50" s="8">
        <v>120111.59950729999</v>
      </c>
      <c r="K50" s="8">
        <v>117929.51585234</v>
      </c>
      <c r="L50" s="8">
        <v>115556.27343458</v>
      </c>
      <c r="M50" s="8">
        <v>113175.12531462</v>
      </c>
      <c r="N50" s="8">
        <v>110580.99446671001</v>
      </c>
      <c r="O50" s="8">
        <v>107764.37068375001</v>
      </c>
      <c r="P50" s="8">
        <v>105113.81737796</v>
      </c>
      <c r="Q50" s="8">
        <v>102369.65023244001</v>
      </c>
      <c r="R50" s="8">
        <v>99387.108048470007</v>
      </c>
      <c r="S50" s="8">
        <v>96655.876131450001</v>
      </c>
      <c r="T50" s="8">
        <v>94018.043025110004</v>
      </c>
      <c r="U50" s="8">
        <v>91603.58082114</v>
      </c>
      <c r="V50" s="8">
        <v>89413.523724989995</v>
      </c>
      <c r="W50" s="8">
        <v>87559.021167640007</v>
      </c>
      <c r="X50" s="8">
        <v>85603.164420410001</v>
      </c>
      <c r="Y50" s="8">
        <v>88046.841680910002</v>
      </c>
      <c r="Z50" s="8">
        <v>89190.333332759998</v>
      </c>
      <c r="AA50" s="8">
        <v>90219.959469559995</v>
      </c>
      <c r="AB50" s="8">
        <v>90388.705015080006</v>
      </c>
      <c r="AC50" s="8">
        <v>91208.777988899994</v>
      </c>
    </row>
    <row r="51" spans="1:29" x14ac:dyDescent="0.85">
      <c r="A51" t="s">
        <v>182</v>
      </c>
      <c r="B51" s="8">
        <v>329145751.75</v>
      </c>
      <c r="C51" s="8">
        <v>357568499.31983203</v>
      </c>
      <c r="D51" s="8">
        <v>386046184.76786703</v>
      </c>
      <c r="E51" s="8">
        <v>411199980.28450501</v>
      </c>
      <c r="F51" s="8">
        <v>439018368.96313</v>
      </c>
      <c r="G51" s="8">
        <v>463455128.64339101</v>
      </c>
      <c r="H51" s="8">
        <v>476951256.40301502</v>
      </c>
      <c r="I51" s="8">
        <v>490545854.48622602</v>
      </c>
      <c r="J51" s="8">
        <v>461537211.13239998</v>
      </c>
      <c r="K51" s="8">
        <v>418345673.71153599</v>
      </c>
      <c r="L51" s="8">
        <v>372759202.90796602</v>
      </c>
      <c r="M51" s="8">
        <v>325295628.17702001</v>
      </c>
      <c r="N51" s="8">
        <v>277741788.87522101</v>
      </c>
      <c r="O51" s="8">
        <v>232136710.99208599</v>
      </c>
      <c r="P51" s="8">
        <v>190115201.29403201</v>
      </c>
      <c r="Q51" s="8">
        <v>152610162.686672</v>
      </c>
      <c r="R51" s="8">
        <v>119963634.64493001</v>
      </c>
      <c r="S51" s="8">
        <v>101864793.088827</v>
      </c>
      <c r="T51" s="8">
        <v>88028494.934059396</v>
      </c>
      <c r="U51" s="8">
        <v>75793107.236876607</v>
      </c>
      <c r="V51" s="8">
        <v>65024892.468514897</v>
      </c>
      <c r="W51" s="8">
        <v>55660757.5182897</v>
      </c>
      <c r="X51" s="8">
        <v>47349941.950173303</v>
      </c>
      <c r="Y51" s="8">
        <v>52373019.717557304</v>
      </c>
      <c r="Z51" s="8">
        <v>51788294.163726002</v>
      </c>
      <c r="AA51" s="8">
        <v>51683190.261436</v>
      </c>
      <c r="AB51" s="8">
        <v>48939257.500912301</v>
      </c>
      <c r="AC51" s="8">
        <v>47839109.310246103</v>
      </c>
    </row>
    <row r="52" spans="1:29" x14ac:dyDescent="0.85">
      <c r="A52" t="s">
        <v>183</v>
      </c>
      <c r="B52" s="8">
        <v>329145751.75</v>
      </c>
      <c r="C52" s="8">
        <v>357568499.31983203</v>
      </c>
      <c r="D52" s="8">
        <v>386046184.76786703</v>
      </c>
      <c r="E52" s="8">
        <v>411199980.28450501</v>
      </c>
      <c r="F52" s="8">
        <v>439018368.96313</v>
      </c>
      <c r="G52" s="8">
        <v>463455128.64339101</v>
      </c>
      <c r="H52" s="8">
        <v>476951256.40301502</v>
      </c>
      <c r="I52" s="8">
        <v>490545854.48622602</v>
      </c>
      <c r="J52" s="8">
        <v>461537211.13239998</v>
      </c>
      <c r="K52" s="8">
        <v>418345673.71153599</v>
      </c>
      <c r="L52" s="8">
        <v>372759202.90796602</v>
      </c>
      <c r="M52" s="8">
        <v>325295628.17702001</v>
      </c>
      <c r="N52" s="8">
        <v>277741788.87522101</v>
      </c>
      <c r="O52" s="8">
        <v>232136710.99208599</v>
      </c>
      <c r="P52" s="8">
        <v>190115201.29403201</v>
      </c>
      <c r="Q52" s="8">
        <v>152610162.686672</v>
      </c>
      <c r="R52" s="8">
        <v>119963634.64493001</v>
      </c>
      <c r="S52" s="8">
        <v>101864793.088827</v>
      </c>
      <c r="T52" s="8">
        <v>88028494.934059396</v>
      </c>
      <c r="U52" s="8">
        <v>75793107.236876607</v>
      </c>
      <c r="V52" s="8">
        <v>65024892.468514897</v>
      </c>
      <c r="W52" s="8">
        <v>55660757.5182897</v>
      </c>
      <c r="X52" s="8">
        <v>47349941.950173303</v>
      </c>
      <c r="Y52" s="8">
        <v>52373019.717557304</v>
      </c>
      <c r="Z52" s="8">
        <v>51788294.163726002</v>
      </c>
      <c r="AA52" s="8">
        <v>51683190.261436</v>
      </c>
      <c r="AB52" s="8">
        <v>48939257.500912301</v>
      </c>
      <c r="AC52" s="8">
        <v>47839109.310246103</v>
      </c>
    </row>
    <row r="53" spans="1:29" x14ac:dyDescent="0.85">
      <c r="A53" t="s">
        <v>184</v>
      </c>
      <c r="B53" s="8">
        <v>15335.325401030001</v>
      </c>
      <c r="C53" s="8">
        <v>16461.180409000001</v>
      </c>
      <c r="D53" s="8">
        <v>17625.64601774</v>
      </c>
      <c r="E53" s="8">
        <v>18691.442570169998</v>
      </c>
      <c r="F53" s="8">
        <v>20036.444351959999</v>
      </c>
      <c r="G53" s="8">
        <v>21326.072707349998</v>
      </c>
      <c r="H53" s="8">
        <v>22397.068657039999</v>
      </c>
      <c r="I53" s="8">
        <v>23547.086529669999</v>
      </c>
      <c r="J53" s="8">
        <v>22922.97419827</v>
      </c>
      <c r="K53" s="8">
        <v>21657.245252469998</v>
      </c>
      <c r="L53" s="8">
        <v>20314.52059674</v>
      </c>
      <c r="M53" s="8">
        <v>18925.227051670001</v>
      </c>
      <c r="N53" s="8">
        <v>17513.0528576</v>
      </c>
      <c r="O53" s="8">
        <v>16126.82691604</v>
      </c>
      <c r="P53" s="8">
        <v>14844.163587229999</v>
      </c>
      <c r="Q53" s="8">
        <v>13662.61331701</v>
      </c>
      <c r="R53" s="8">
        <v>12576.467207399999</v>
      </c>
      <c r="S53" s="8">
        <v>11869.684008370001</v>
      </c>
      <c r="T53" s="8">
        <v>11275.974827489999</v>
      </c>
      <c r="U53" s="8">
        <v>10743.01462849</v>
      </c>
      <c r="V53" s="8">
        <v>10267.640625219999</v>
      </c>
      <c r="W53" s="8">
        <v>9859.10468769</v>
      </c>
      <c r="X53" s="8">
        <v>9466.4294073599995</v>
      </c>
      <c r="Y53" s="8">
        <v>9826.2456928200008</v>
      </c>
      <c r="Z53" s="8">
        <v>9922.9983853400008</v>
      </c>
      <c r="AA53" s="8">
        <v>10020.39880347</v>
      </c>
      <c r="AB53" s="8">
        <v>9969.8301117699993</v>
      </c>
      <c r="AC53" s="8">
        <v>10022.60622743</v>
      </c>
    </row>
    <row r="54" spans="1:29" x14ac:dyDescent="0.85">
      <c r="A54" t="s">
        <v>185</v>
      </c>
      <c r="B54" s="8">
        <v>0</v>
      </c>
      <c r="C54" s="8">
        <v>3504.17129333</v>
      </c>
      <c r="D54" s="8">
        <v>7566.5052214500001</v>
      </c>
      <c r="E54" s="8">
        <v>12089.279420360001</v>
      </c>
      <c r="F54" s="8">
        <v>17209.520063349999</v>
      </c>
      <c r="G54" s="8">
        <v>22709.301303529999</v>
      </c>
      <c r="H54" s="8">
        <v>28044.733876499999</v>
      </c>
      <c r="I54" s="8">
        <v>33651.44561776</v>
      </c>
      <c r="J54" s="8">
        <v>36184.51735278</v>
      </c>
      <c r="K54" s="8">
        <v>36898.08842136</v>
      </c>
      <c r="L54" s="8">
        <v>36530.401884979998</v>
      </c>
      <c r="M54" s="8">
        <v>35066.86871748</v>
      </c>
      <c r="N54" s="8">
        <v>32662.43437173</v>
      </c>
      <c r="O54" s="8">
        <v>29574.21698039</v>
      </c>
      <c r="P54" s="8">
        <v>26083.805617540002</v>
      </c>
      <c r="Q54" s="8">
        <v>22433.693914939999</v>
      </c>
      <c r="R54" s="8">
        <v>18810.297912329999</v>
      </c>
      <c r="S54" s="8">
        <v>16970.6745286</v>
      </c>
      <c r="T54" s="8">
        <v>15528.22650637</v>
      </c>
      <c r="U54" s="8">
        <v>14112.67656751</v>
      </c>
      <c r="V54" s="8">
        <v>12744.87892383</v>
      </c>
      <c r="W54" s="8">
        <v>11454.983897259999</v>
      </c>
      <c r="X54" s="8">
        <v>10208.64748446</v>
      </c>
      <c r="Y54" s="8">
        <v>11804.87864434</v>
      </c>
      <c r="Z54" s="8">
        <v>12180.60678731</v>
      </c>
      <c r="AA54" s="8">
        <v>12662.38161405</v>
      </c>
      <c r="AB54" s="8">
        <v>12469.72281123</v>
      </c>
      <c r="AC54" s="8">
        <v>12658.228323490001</v>
      </c>
    </row>
    <row r="55" spans="1:29" x14ac:dyDescent="0.85">
      <c r="A55" t="s">
        <v>186</v>
      </c>
      <c r="B55" s="8">
        <v>161.28141836</v>
      </c>
      <c r="C55" s="8">
        <v>175.20856466999999</v>
      </c>
      <c r="D55" s="8">
        <v>189.16263054000001</v>
      </c>
      <c r="E55" s="8">
        <v>201.48799034000001</v>
      </c>
      <c r="F55" s="8">
        <v>215.11900079</v>
      </c>
      <c r="G55" s="8">
        <v>227.09301303999999</v>
      </c>
      <c r="H55" s="8">
        <v>233.70611564000001</v>
      </c>
      <c r="I55" s="8">
        <v>240.36746869999999</v>
      </c>
      <c r="J55" s="8">
        <v>226.15323344999999</v>
      </c>
      <c r="K55" s="8">
        <v>204.98938011999999</v>
      </c>
      <c r="L55" s="8">
        <v>182.65200942000001</v>
      </c>
      <c r="M55" s="8">
        <v>159.39485780999999</v>
      </c>
      <c r="N55" s="8">
        <v>136.09347654999999</v>
      </c>
      <c r="O55" s="8">
        <v>113.74698839</v>
      </c>
      <c r="P55" s="8">
        <v>93.15644863</v>
      </c>
      <c r="Q55" s="8">
        <v>74.778979719999995</v>
      </c>
      <c r="R55" s="8">
        <v>58.78218098</v>
      </c>
      <c r="S55" s="8">
        <v>49.913748609999999</v>
      </c>
      <c r="T55" s="8">
        <v>43.133962519999997</v>
      </c>
      <c r="U55" s="8">
        <v>37.138622550000001</v>
      </c>
      <c r="V55" s="8">
        <v>31.862197309999999</v>
      </c>
      <c r="W55" s="8">
        <v>27.273771180000001</v>
      </c>
      <c r="X55" s="8">
        <v>23.201471560000002</v>
      </c>
      <c r="Y55" s="8">
        <v>25.662779660000002</v>
      </c>
      <c r="Z55" s="8">
        <v>25.37626414</v>
      </c>
      <c r="AA55" s="8">
        <v>25.324763229999999</v>
      </c>
      <c r="AB55" s="8">
        <v>23.980236179999999</v>
      </c>
      <c r="AC55" s="8">
        <v>23.44116356</v>
      </c>
    </row>
    <row r="56" spans="1:29" x14ac:dyDescent="0.85">
      <c r="A56" t="s">
        <v>187</v>
      </c>
      <c r="B56" s="8">
        <v>7304.1690583299996</v>
      </c>
      <c r="C56" s="8">
        <v>7736.5090255900004</v>
      </c>
      <c r="D56" s="8">
        <v>8206.1191094000005</v>
      </c>
      <c r="E56" s="8">
        <v>8658.1630512299998</v>
      </c>
      <c r="F56" s="8">
        <v>9324.3961492599992</v>
      </c>
      <c r="G56" s="8">
        <v>10017.767568450001</v>
      </c>
      <c r="H56" s="8">
        <v>10759.458000799999</v>
      </c>
      <c r="I56" s="8">
        <v>11577.767680200001</v>
      </c>
      <c r="J56" s="8">
        <v>11661.46624664</v>
      </c>
      <c r="K56" s="8">
        <v>11449.61081391</v>
      </c>
      <c r="L56" s="8">
        <v>11219.19604578</v>
      </c>
      <c r="M56" s="8">
        <v>10988.01372415</v>
      </c>
      <c r="N56" s="8">
        <v>10736.15320904</v>
      </c>
      <c r="O56" s="8">
        <v>10462.69116783</v>
      </c>
      <c r="P56" s="8">
        <v>10205.35267565</v>
      </c>
      <c r="Q56" s="8">
        <v>9938.9253474500001</v>
      </c>
      <c r="R56" s="8">
        <v>9649.3545220699998</v>
      </c>
      <c r="S56" s="8">
        <v>9384.1830570099992</v>
      </c>
      <c r="T56" s="8">
        <v>9128.0795510999997</v>
      </c>
      <c r="U56" s="8">
        <v>8893.6628119100005</v>
      </c>
      <c r="V56" s="8">
        <v>8681.0332489899993</v>
      </c>
      <c r="W56" s="8">
        <v>8500.98220425</v>
      </c>
      <c r="X56" s="8">
        <v>8311.0908237799995</v>
      </c>
      <c r="Y56" s="8">
        <v>8548.3440117099999</v>
      </c>
      <c r="Z56" s="8">
        <v>8659.3640077500004</v>
      </c>
      <c r="AA56" s="8">
        <v>8759.3289610899992</v>
      </c>
      <c r="AB56" s="8">
        <v>8775.7122287500006</v>
      </c>
      <c r="AC56" s="8">
        <v>8855.3319602600004</v>
      </c>
    </row>
    <row r="57" spans="1:29" x14ac:dyDescent="0.85">
      <c r="A57" t="s">
        <v>188</v>
      </c>
      <c r="B57" s="8">
        <v>8031.1563427000001</v>
      </c>
      <c r="C57" s="8">
        <v>8724.6713834000002</v>
      </c>
      <c r="D57" s="8">
        <v>9419.5269083399999</v>
      </c>
      <c r="E57" s="8">
        <v>10033.27951894</v>
      </c>
      <c r="F57" s="8">
        <v>10712.0482027</v>
      </c>
      <c r="G57" s="8">
        <v>11308.305138899999</v>
      </c>
      <c r="H57" s="8">
        <v>11637.610656229999</v>
      </c>
      <c r="I57" s="8">
        <v>11969.31884946</v>
      </c>
      <c r="J57" s="8">
        <v>11261.507951629999</v>
      </c>
      <c r="K57" s="8">
        <v>10207.63443856</v>
      </c>
      <c r="L57" s="8">
        <v>9095.3245509499993</v>
      </c>
      <c r="M57" s="8">
        <v>7937.2133275200003</v>
      </c>
      <c r="N57" s="8">
        <v>6776.8996485600001</v>
      </c>
      <c r="O57" s="8">
        <v>5664.1357482100002</v>
      </c>
      <c r="P57" s="8">
        <v>4638.8109115699999</v>
      </c>
      <c r="Q57" s="8">
        <v>3723.6879695500002</v>
      </c>
      <c r="R57" s="8">
        <v>2927.1126853400001</v>
      </c>
      <c r="S57" s="8">
        <v>2485.5009513700002</v>
      </c>
      <c r="T57" s="8">
        <v>2147.8952763900002</v>
      </c>
      <c r="U57" s="8">
        <v>1849.3518165800001</v>
      </c>
      <c r="V57" s="8">
        <v>1586.60737623</v>
      </c>
      <c r="W57" s="8">
        <v>1358.1224834499999</v>
      </c>
      <c r="X57" s="8">
        <v>1155.33858358</v>
      </c>
      <c r="Y57" s="8">
        <v>1277.90168111</v>
      </c>
      <c r="Z57" s="8">
        <v>1263.63437759</v>
      </c>
      <c r="AA57" s="8">
        <v>1261.06984238</v>
      </c>
      <c r="AB57" s="8">
        <v>1194.1178830199999</v>
      </c>
      <c r="AC57" s="8">
        <v>1167.27426717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1.1033238000000001</v>
      </c>
      <c r="E58" s="8">
        <v>1.1048963700000001</v>
      </c>
      <c r="F58" s="8">
        <v>1.0990481299999999</v>
      </c>
      <c r="G58" s="8">
        <v>1.11911604</v>
      </c>
      <c r="H58" s="8">
        <v>1.11877906</v>
      </c>
      <c r="I58" s="8">
        <v>1.1187890599999999</v>
      </c>
      <c r="J58" s="8">
        <v>1.12089054</v>
      </c>
      <c r="K58" s="8">
        <v>1.04919713</v>
      </c>
      <c r="L58" s="8">
        <v>1.0227425699999999</v>
      </c>
      <c r="M58" s="8">
        <v>1.0207039099999999</v>
      </c>
      <c r="N58" s="8">
        <v>1.02020212</v>
      </c>
      <c r="O58" s="8">
        <v>1.01779022</v>
      </c>
      <c r="P58" s="8">
        <v>1.0151342299999999</v>
      </c>
      <c r="Q58" s="8">
        <v>1.0160460200000001</v>
      </c>
      <c r="R58" s="8">
        <v>1.01447226</v>
      </c>
      <c r="S58" s="8">
        <v>1.0113176800000001</v>
      </c>
      <c r="T58" s="8">
        <v>1.0130408900000001</v>
      </c>
      <c r="U58" s="8">
        <v>1.0132385699999999</v>
      </c>
      <c r="V58" s="8">
        <v>1.0149157900000001</v>
      </c>
      <c r="W58" s="8">
        <v>1.01676251</v>
      </c>
      <c r="X58" s="8">
        <v>1.0200617300000001</v>
      </c>
      <c r="Y58" s="8">
        <v>1.01839835</v>
      </c>
      <c r="Z58" s="8">
        <v>1.0714026800000001</v>
      </c>
      <c r="AA58" s="8">
        <v>1.0551951100000001</v>
      </c>
      <c r="AB58" s="8">
        <v>1.0536918200000001</v>
      </c>
      <c r="AC58" s="8">
        <v>1.0436149800000001</v>
      </c>
    </row>
    <row r="59" spans="1:29" x14ac:dyDescent="0.85">
      <c r="A59" t="s">
        <v>190</v>
      </c>
      <c r="B59" s="8">
        <v>1</v>
      </c>
      <c r="C59" s="8">
        <v>1.1033238000000001</v>
      </c>
      <c r="D59" s="8">
        <v>1.1048963700000001</v>
      </c>
      <c r="E59" s="8">
        <v>1.0990481299999999</v>
      </c>
      <c r="F59" s="8">
        <v>1.1218214099999999</v>
      </c>
      <c r="G59" s="8">
        <v>1.11912604</v>
      </c>
      <c r="H59" s="8">
        <v>1.1187890599999999</v>
      </c>
      <c r="I59" s="8">
        <v>1.12089054</v>
      </c>
      <c r="J59" s="8">
        <v>1.04919713</v>
      </c>
      <c r="K59" s="8">
        <v>1.0227425699999999</v>
      </c>
      <c r="L59" s="8">
        <v>1.0207039099999999</v>
      </c>
      <c r="M59" s="8">
        <v>1.02020212</v>
      </c>
      <c r="N59" s="8">
        <v>1.01779022</v>
      </c>
      <c r="O59" s="8">
        <v>1.0151342299999999</v>
      </c>
      <c r="P59" s="8">
        <v>1.0160460200000001</v>
      </c>
      <c r="Q59" s="8">
        <v>1.01447226</v>
      </c>
      <c r="R59" s="8">
        <v>1.0113176800000001</v>
      </c>
      <c r="S59" s="8">
        <v>1.0130408900000001</v>
      </c>
      <c r="T59" s="8">
        <v>1.0132385699999999</v>
      </c>
      <c r="U59" s="8">
        <v>1.0149157900000001</v>
      </c>
      <c r="V59" s="8">
        <v>1.01676251</v>
      </c>
      <c r="W59" s="8">
        <v>1.0200617300000001</v>
      </c>
      <c r="X59" s="8">
        <v>1.01839835</v>
      </c>
      <c r="Y59" s="8">
        <v>1.0714026800000001</v>
      </c>
      <c r="Z59" s="8">
        <v>1.0551951100000001</v>
      </c>
      <c r="AA59" s="8">
        <v>1.0536918200000001</v>
      </c>
      <c r="AB59" s="8">
        <v>1.0436149800000001</v>
      </c>
      <c r="AC59" s="8">
        <v>1.0511174299999999</v>
      </c>
    </row>
    <row r="60" spans="1:29" x14ac:dyDescent="0.85">
      <c r="A60" t="s">
        <v>191</v>
      </c>
      <c r="B60" s="8">
        <v>1</v>
      </c>
      <c r="C60" s="8">
        <v>1.13603334</v>
      </c>
      <c r="D60" s="8">
        <v>1.1305814599999999</v>
      </c>
      <c r="E60" s="8">
        <v>1.12549627</v>
      </c>
      <c r="F60" s="8">
        <v>1.1218218799999999</v>
      </c>
      <c r="G60" s="8">
        <v>1.11912604</v>
      </c>
      <c r="H60" s="8">
        <v>1.1187890599999999</v>
      </c>
      <c r="I60" s="8">
        <v>1.12089054</v>
      </c>
      <c r="J60" s="8">
        <v>1.12286803</v>
      </c>
      <c r="K60" s="8">
        <v>1.1286453000000001</v>
      </c>
      <c r="L60" s="8">
        <v>1.1364075199999999</v>
      </c>
      <c r="M60" s="8">
        <v>1.14490526</v>
      </c>
      <c r="N60" s="8">
        <v>1.15410222</v>
      </c>
      <c r="O60" s="8">
        <v>1.16424101</v>
      </c>
      <c r="P60" s="8">
        <v>1.1754734099999999</v>
      </c>
      <c r="Q60" s="8">
        <v>1.1875340299999999</v>
      </c>
      <c r="R60" s="8">
        <v>1.20079136</v>
      </c>
      <c r="S60" s="8">
        <v>1.2156181100000001</v>
      </c>
      <c r="T60" s="8">
        <v>1.22336862</v>
      </c>
      <c r="U60" s="8">
        <v>1.2298338600000001</v>
      </c>
      <c r="V60" s="8">
        <v>1.2363253000000001</v>
      </c>
      <c r="W60" s="8">
        <v>1.2428443499999999</v>
      </c>
      <c r="X60" s="8">
        <v>1.2491144700000001</v>
      </c>
      <c r="Y60" s="8">
        <v>1.2564826200000001</v>
      </c>
      <c r="Z60" s="8">
        <v>1.2517851499999999</v>
      </c>
      <c r="AA60" s="8">
        <v>1.25374849</v>
      </c>
      <c r="AB60" s="8">
        <v>1.2523745100000001</v>
      </c>
      <c r="AC60" s="8">
        <v>1.25388294</v>
      </c>
    </row>
    <row r="61" spans="1:29" x14ac:dyDescent="0.85">
      <c r="A61" t="s">
        <v>192</v>
      </c>
      <c r="B61" s="8">
        <v>42678</v>
      </c>
      <c r="C61" s="8">
        <v>41619.527724799998</v>
      </c>
      <c r="D61" s="8">
        <v>40579.039531679999</v>
      </c>
      <c r="E61" s="8">
        <v>39564.563543379998</v>
      </c>
      <c r="F61" s="8">
        <v>38575.4494548</v>
      </c>
      <c r="G61" s="8">
        <v>37611.063218429998</v>
      </c>
      <c r="H61" s="8">
        <v>36670.786637969999</v>
      </c>
      <c r="I61" s="8">
        <v>35754.016972019999</v>
      </c>
      <c r="J61" s="8">
        <v>34860.16654772</v>
      </c>
      <c r="K61" s="8">
        <v>33988.662384030002</v>
      </c>
      <c r="L61" s="8">
        <v>33138.945824429997</v>
      </c>
      <c r="M61" s="8">
        <v>32310.47217881</v>
      </c>
      <c r="N61" s="8">
        <v>31502.71037434</v>
      </c>
      <c r="O61" s="8">
        <v>30715.14261499</v>
      </c>
      <c r="P61" s="8">
        <v>29947.264049609999</v>
      </c>
      <c r="Q61" s="8">
        <v>29198.582448370002</v>
      </c>
      <c r="R61" s="8">
        <v>28468.617887159999</v>
      </c>
      <c r="S61" s="8">
        <v>27756.90243998</v>
      </c>
      <c r="T61" s="8">
        <v>27062.979878980001</v>
      </c>
      <c r="U61" s="8">
        <v>26386.405382010002</v>
      </c>
      <c r="V61" s="8">
        <v>25726.74524746</v>
      </c>
      <c r="W61" s="8">
        <v>25083.576616269998</v>
      </c>
      <c r="X61" s="8">
        <v>24456.48720086</v>
      </c>
      <c r="Y61" s="8">
        <v>23845.075020839999</v>
      </c>
      <c r="Z61" s="8">
        <v>23248.948145319999</v>
      </c>
      <c r="AA61" s="8">
        <v>22667.724441689999</v>
      </c>
      <c r="AB61" s="8">
        <v>22101.031330649999</v>
      </c>
      <c r="AC61" s="8">
        <v>21548.505547379998</v>
      </c>
    </row>
    <row r="62" spans="1:29" x14ac:dyDescent="0.85">
      <c r="A62" t="s">
        <v>193</v>
      </c>
      <c r="B62" s="8">
        <v>155880511.25</v>
      </c>
      <c r="C62" s="8">
        <v>152014463.18301499</v>
      </c>
      <c r="D62" s="8">
        <v>148167658.734754</v>
      </c>
      <c r="E62" s="8">
        <v>144069342.59823301</v>
      </c>
      <c r="F62" s="8">
        <v>127959979.164947</v>
      </c>
      <c r="G62" s="8">
        <v>105184970.48405699</v>
      </c>
      <c r="H62" s="8">
        <v>60312871.928736404</v>
      </c>
      <c r="I62" s="8">
        <v>11167125.773898499</v>
      </c>
      <c r="J62" s="8">
        <v>1.02293641</v>
      </c>
      <c r="K62" s="8">
        <v>8.9999999999999999E-8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155880511.25</v>
      </c>
      <c r="C63" s="8">
        <v>152014463.18301499</v>
      </c>
      <c r="D63" s="8">
        <v>148167658.734754</v>
      </c>
      <c r="E63" s="8">
        <v>144069342.59823301</v>
      </c>
      <c r="F63" s="8">
        <v>127959979.164947</v>
      </c>
      <c r="G63" s="8">
        <v>105184970.48405699</v>
      </c>
      <c r="H63" s="8">
        <v>60312871.928736404</v>
      </c>
      <c r="I63" s="8">
        <v>11167125.773898499</v>
      </c>
      <c r="J63" s="8">
        <v>1.02293641</v>
      </c>
      <c r="K63" s="8">
        <v>8.9999999999999999E-8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14160.3358945</v>
      </c>
      <c r="C64" s="8">
        <v>13809.140361629999</v>
      </c>
      <c r="D64" s="8">
        <v>13462.83066261</v>
      </c>
      <c r="E64" s="8">
        <v>13117.084673769999</v>
      </c>
      <c r="F64" s="8">
        <v>12497.979933590001</v>
      </c>
      <c r="G64" s="8">
        <v>11729.80094103</v>
      </c>
      <c r="H64" s="8">
        <v>10453.15111596</v>
      </c>
      <c r="I64" s="8">
        <v>9082.81145904</v>
      </c>
      <c r="J64" s="8">
        <v>8602.2697755600002</v>
      </c>
      <c r="K64" s="8">
        <v>8387.2130079500002</v>
      </c>
      <c r="L64" s="8">
        <v>8177.5326827600002</v>
      </c>
      <c r="M64" s="8">
        <v>7973.0943656899999</v>
      </c>
      <c r="N64" s="8">
        <v>7773.7670065399998</v>
      </c>
      <c r="O64" s="8">
        <v>7579.4228313800004</v>
      </c>
      <c r="P64" s="8">
        <v>7389.9372605999997</v>
      </c>
      <c r="Q64" s="8">
        <v>7205.1888290799998</v>
      </c>
      <c r="R64" s="8">
        <v>7025.0591083500003</v>
      </c>
      <c r="S64" s="8">
        <v>6849.4326306499997</v>
      </c>
      <c r="T64" s="8">
        <v>6678.1968148799997</v>
      </c>
      <c r="U64" s="8">
        <v>6511.2418945099998</v>
      </c>
      <c r="V64" s="8">
        <v>6348.4608471399997</v>
      </c>
      <c r="W64" s="8">
        <v>6189.7493259700004</v>
      </c>
      <c r="X64" s="8">
        <v>6035.0055928199999</v>
      </c>
      <c r="Y64" s="8">
        <v>5884.1304529999998</v>
      </c>
      <c r="Z64" s="8">
        <v>5737.0271916700003</v>
      </c>
      <c r="AA64" s="8">
        <v>5593.6015118799996</v>
      </c>
      <c r="AB64" s="8">
        <v>5453.76147408</v>
      </c>
      <c r="AC64" s="8">
        <v>5317.4174372300004</v>
      </c>
    </row>
    <row r="65" spans="1:29" x14ac:dyDescent="0.85">
      <c r="A65" t="s">
        <v>196</v>
      </c>
      <c r="B65" s="8">
        <v>0</v>
      </c>
      <c r="C65" s="8">
        <v>2493.0371961999999</v>
      </c>
      <c r="D65" s="8">
        <v>4859.8992065000002</v>
      </c>
      <c r="E65" s="8">
        <v>7088.2116558300004</v>
      </c>
      <c r="F65" s="8">
        <v>8394.17463322</v>
      </c>
      <c r="G65" s="8">
        <v>8625.1675796899999</v>
      </c>
      <c r="H65" s="8">
        <v>5934.7865977900001</v>
      </c>
      <c r="I65" s="8">
        <v>1281.98603884</v>
      </c>
      <c r="J65" s="8">
        <v>1.3421E-4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127.82201922</v>
      </c>
      <c r="C66" s="8">
        <v>124.65185981</v>
      </c>
      <c r="D66" s="8">
        <v>121.49748015999999</v>
      </c>
      <c r="E66" s="8">
        <v>118.13686093</v>
      </c>
      <c r="F66" s="8">
        <v>104.92718292000001</v>
      </c>
      <c r="G66" s="8">
        <v>86.251675800000001</v>
      </c>
      <c r="H66" s="8">
        <v>49.45655498</v>
      </c>
      <c r="I66" s="8">
        <v>9.1570431299999999</v>
      </c>
      <c r="J66" s="8">
        <v>8.4E-7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10531.437592599999</v>
      </c>
      <c r="C67" s="8">
        <v>10270.24365873</v>
      </c>
      <c r="D67" s="8">
        <v>10013.487567259999</v>
      </c>
      <c r="E67" s="8">
        <v>9763.1503780799994</v>
      </c>
      <c r="F67" s="8">
        <v>9519.0716186299996</v>
      </c>
      <c r="G67" s="8">
        <v>9281.0948281599995</v>
      </c>
      <c r="H67" s="8">
        <v>9049.0674574599998</v>
      </c>
      <c r="I67" s="8">
        <v>8822.8407710200008</v>
      </c>
      <c r="J67" s="8">
        <v>8602.2697517500001</v>
      </c>
      <c r="K67" s="8">
        <v>8387.2130079500002</v>
      </c>
      <c r="L67" s="8">
        <v>8177.5326827600002</v>
      </c>
      <c r="M67" s="8">
        <v>7973.0943656899999</v>
      </c>
      <c r="N67" s="8">
        <v>7773.7670065399998</v>
      </c>
      <c r="O67" s="8">
        <v>7579.4228313800004</v>
      </c>
      <c r="P67" s="8">
        <v>7389.9372605999997</v>
      </c>
      <c r="Q67" s="8">
        <v>7205.1888290799998</v>
      </c>
      <c r="R67" s="8">
        <v>7025.0591083500003</v>
      </c>
      <c r="S67" s="8">
        <v>6849.4326306499997</v>
      </c>
      <c r="T67" s="8">
        <v>6678.1968148799997</v>
      </c>
      <c r="U67" s="8">
        <v>6511.2418945099998</v>
      </c>
      <c r="V67" s="8">
        <v>6348.4608471399997</v>
      </c>
      <c r="W67" s="8">
        <v>6189.7493259700004</v>
      </c>
      <c r="X67" s="8">
        <v>6035.0055928199999</v>
      </c>
      <c r="Y67" s="8">
        <v>5884.1304529999998</v>
      </c>
      <c r="Z67" s="8">
        <v>5737.0271916700003</v>
      </c>
      <c r="AA67" s="8">
        <v>5593.6015118799996</v>
      </c>
      <c r="AB67" s="8">
        <v>5453.76147408</v>
      </c>
      <c r="AC67" s="8">
        <v>5317.4174372300004</v>
      </c>
    </row>
    <row r="68" spans="1:29" x14ac:dyDescent="0.85">
      <c r="A68" t="s">
        <v>199</v>
      </c>
      <c r="B68" s="8">
        <v>3628.8983019000002</v>
      </c>
      <c r="C68" s="8">
        <v>3538.8967029</v>
      </c>
      <c r="D68" s="8">
        <v>3449.3430953500001</v>
      </c>
      <c r="E68" s="8">
        <v>3353.93429569</v>
      </c>
      <c r="F68" s="8">
        <v>2978.9083149600001</v>
      </c>
      <c r="G68" s="8">
        <v>2448.7061128700002</v>
      </c>
      <c r="H68" s="8">
        <v>1404.0836585</v>
      </c>
      <c r="I68" s="8">
        <v>259.97068802000001</v>
      </c>
      <c r="J68" s="8">
        <v>2.3810000000000001E-5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1.0002037399999999</v>
      </c>
      <c r="E69" s="8">
        <v>0.99968665000000001</v>
      </c>
      <c r="F69" s="8">
        <v>0.99727180000000004</v>
      </c>
      <c r="G69" s="8">
        <v>0.91095720000000002</v>
      </c>
      <c r="H69" s="8">
        <v>0.84309188999999995</v>
      </c>
      <c r="I69" s="8">
        <v>0.58810070999999997</v>
      </c>
      <c r="J69" s="8">
        <v>0.18990080000000001</v>
      </c>
      <c r="K69" s="8">
        <v>8.9999999999999999E-8</v>
      </c>
      <c r="L69" s="8">
        <v>8.9999999999999999E-8</v>
      </c>
      <c r="M69" s="8">
        <v>8.9999999999999999E-8</v>
      </c>
      <c r="N69" s="8">
        <v>8.0000000000000002E-8</v>
      </c>
      <c r="O69" s="8">
        <v>4.0000000000000001E-8</v>
      </c>
      <c r="P69" s="8">
        <v>4.0000000000000001E-8</v>
      </c>
      <c r="Q69" s="8">
        <v>2.9999999999999997E-8</v>
      </c>
      <c r="R69" s="8">
        <v>2.9999999999999997E-8</v>
      </c>
      <c r="S69" s="8">
        <v>2E-8</v>
      </c>
      <c r="T69" s="8">
        <v>1.3689999999999999E-5</v>
      </c>
      <c r="U69" s="8">
        <v>1.4100000000000001E-5</v>
      </c>
      <c r="V69" s="8">
        <v>1.3020000000000001E-5</v>
      </c>
      <c r="W69" s="8">
        <v>1.326E-5</v>
      </c>
      <c r="X69" s="8">
        <v>1.3570000000000001E-5</v>
      </c>
      <c r="Y69" s="8">
        <v>1.198E-5</v>
      </c>
      <c r="Z69" s="8">
        <v>0</v>
      </c>
      <c r="AA69" s="8">
        <v>2.1892E-4</v>
      </c>
      <c r="AB69" s="8">
        <v>0.29604848</v>
      </c>
      <c r="AC69" s="8">
        <v>1.9056100000000001E-3</v>
      </c>
    </row>
    <row r="70" spans="1:29" x14ac:dyDescent="0.85">
      <c r="A70" t="s">
        <v>201</v>
      </c>
      <c r="B70" s="8">
        <v>1</v>
      </c>
      <c r="C70" s="8">
        <v>1.0002037399999999</v>
      </c>
      <c r="D70" s="8">
        <v>0.99968665000000001</v>
      </c>
      <c r="E70" s="8">
        <v>0.99727180000000004</v>
      </c>
      <c r="F70" s="8">
        <v>0.91095720000000002</v>
      </c>
      <c r="G70" s="8">
        <v>0.84309188999999995</v>
      </c>
      <c r="H70" s="8">
        <v>0.58810070999999997</v>
      </c>
      <c r="I70" s="8">
        <v>0.18990080000000001</v>
      </c>
      <c r="J70" s="8">
        <v>8.9999999999999999E-8</v>
      </c>
      <c r="K70" s="8">
        <v>8.9999999999999999E-8</v>
      </c>
      <c r="L70" s="8">
        <v>8.9999999999999999E-8</v>
      </c>
      <c r="M70" s="8">
        <v>8.0000000000000002E-8</v>
      </c>
      <c r="N70" s="8">
        <v>4.0000000000000001E-8</v>
      </c>
      <c r="O70" s="8">
        <v>4.0000000000000001E-8</v>
      </c>
      <c r="P70" s="8">
        <v>2.9999999999999997E-8</v>
      </c>
      <c r="Q70" s="8">
        <v>2.9999999999999997E-8</v>
      </c>
      <c r="R70" s="8">
        <v>2E-8</v>
      </c>
      <c r="S70" s="8">
        <v>1.3689999999999999E-5</v>
      </c>
      <c r="T70" s="8">
        <v>1.4100000000000001E-5</v>
      </c>
      <c r="U70" s="8">
        <v>1.3020000000000001E-5</v>
      </c>
      <c r="V70" s="8">
        <v>1.326E-5</v>
      </c>
      <c r="W70" s="8">
        <v>1.3570000000000001E-5</v>
      </c>
      <c r="X70" s="8">
        <v>1.198E-5</v>
      </c>
      <c r="Y70" s="8">
        <v>0</v>
      </c>
      <c r="Z70" s="8">
        <v>2.1892E-4</v>
      </c>
      <c r="AA70" s="8">
        <v>0.29604848</v>
      </c>
      <c r="AB70" s="8">
        <v>1.9056100000000001E-3</v>
      </c>
      <c r="AC70" s="8">
        <v>1.4442000000000001E-3</v>
      </c>
    </row>
    <row r="71" spans="1:29" x14ac:dyDescent="0.85">
      <c r="A71" t="s">
        <v>202</v>
      </c>
      <c r="B71" s="8">
        <v>1</v>
      </c>
      <c r="C71" s="8">
        <v>1.5107705499999999</v>
      </c>
      <c r="D71" s="8">
        <v>1.5279946900000001</v>
      </c>
      <c r="E71" s="8">
        <v>1.54723243</v>
      </c>
      <c r="F71" s="8">
        <v>1.57066751</v>
      </c>
      <c r="G71" s="8">
        <v>1.6121427800000001</v>
      </c>
      <c r="H71" s="8">
        <v>1.67026914</v>
      </c>
      <c r="I71" s="8">
        <v>1.75155934</v>
      </c>
      <c r="J71" s="8">
        <v>1.84320759</v>
      </c>
      <c r="K71" s="8">
        <v>1.9181804600000001</v>
      </c>
      <c r="L71" s="8">
        <v>1.9890956099999999</v>
      </c>
      <c r="M71" s="8">
        <v>2.0650395499999998</v>
      </c>
      <c r="N71" s="8">
        <v>2.1470438199999999</v>
      </c>
      <c r="O71" s="8">
        <v>2.2348383300000001</v>
      </c>
      <c r="P71" s="8">
        <v>2.328808</v>
      </c>
      <c r="Q71" s="8">
        <v>2.4309215100000001</v>
      </c>
      <c r="R71" s="8">
        <v>2.5408426899999998</v>
      </c>
      <c r="S71" s="8">
        <v>2.6585884499999999</v>
      </c>
      <c r="T71" s="8">
        <v>2.7191760500000002</v>
      </c>
      <c r="U71" s="8">
        <v>2.7690745899999998</v>
      </c>
      <c r="V71" s="8">
        <v>2.8219249199999998</v>
      </c>
      <c r="W71" s="8">
        <v>2.87830568</v>
      </c>
      <c r="X71" s="8">
        <v>2.93893877</v>
      </c>
      <c r="Y71" s="8">
        <v>3.0060589599999998</v>
      </c>
      <c r="Z71" s="8">
        <v>3.0735148699999999</v>
      </c>
      <c r="AA71" s="8">
        <v>3.1715946599999998</v>
      </c>
      <c r="AB71" s="8">
        <v>3.2391178200000001</v>
      </c>
      <c r="AC71" s="8">
        <v>3.31507737</v>
      </c>
    </row>
    <row r="72" spans="1:29" x14ac:dyDescent="0.85">
      <c r="A72" t="s">
        <v>203</v>
      </c>
      <c r="B72" s="8">
        <v>0</v>
      </c>
      <c r="C72" s="8">
        <v>176.71513628</v>
      </c>
      <c r="D72" s="8">
        <v>159.07890825000001</v>
      </c>
      <c r="E72" s="8">
        <v>143.17105652000001</v>
      </c>
      <c r="F72" s="8">
        <v>128.91395645</v>
      </c>
      <c r="G72" s="8">
        <v>116.10607963</v>
      </c>
      <c r="H72" s="8">
        <v>253.53957235999999</v>
      </c>
      <c r="I72" s="8">
        <v>236.99383144000001</v>
      </c>
      <c r="J72" s="8">
        <v>213.29444828999999</v>
      </c>
      <c r="K72" s="8">
        <v>191.96500454</v>
      </c>
      <c r="L72" s="8">
        <v>172.76850479000001</v>
      </c>
      <c r="M72" s="8">
        <v>155.49165459</v>
      </c>
      <c r="N72" s="8">
        <v>139.94248927000001</v>
      </c>
      <c r="O72" s="8">
        <v>125.94826261</v>
      </c>
      <c r="P72" s="8">
        <v>113.35446564</v>
      </c>
      <c r="Q72" s="8">
        <v>102.01901908000001</v>
      </c>
      <c r="R72" s="8">
        <v>91.817117170000003</v>
      </c>
      <c r="S72" s="8">
        <v>82.635405739999996</v>
      </c>
      <c r="T72" s="8">
        <v>197.29736044000001</v>
      </c>
      <c r="U72" s="8">
        <v>177.7415938</v>
      </c>
      <c r="V72" s="8">
        <v>164.49019050000001</v>
      </c>
      <c r="W72" s="8">
        <v>148.84097881</v>
      </c>
      <c r="X72" s="8">
        <v>216.18776</v>
      </c>
      <c r="Y72" s="8">
        <v>784.92656167999996</v>
      </c>
      <c r="Z72" s="8">
        <v>706.44326639999997</v>
      </c>
      <c r="AA72" s="8">
        <v>713.83011034000003</v>
      </c>
      <c r="AB72" s="8">
        <v>643.07427913000004</v>
      </c>
      <c r="AC72" s="8">
        <v>578.76691443000004</v>
      </c>
    </row>
    <row r="73" spans="1:29" x14ac:dyDescent="0.85">
      <c r="A73" t="s">
        <v>204</v>
      </c>
      <c r="B73" s="8">
        <v>0</v>
      </c>
      <c r="C73" s="8">
        <v>44.178745599999999</v>
      </c>
      <c r="D73" s="8">
        <v>5.2678999999999998E-3</v>
      </c>
      <c r="E73" s="8">
        <v>0</v>
      </c>
      <c r="F73" s="8">
        <v>1.835699E-2</v>
      </c>
      <c r="G73" s="8">
        <v>2.1124690000000002E-2</v>
      </c>
      <c r="H73" s="8">
        <v>37.261026270000002</v>
      </c>
      <c r="I73" s="8">
        <v>2.2020536499999999</v>
      </c>
      <c r="J73" s="8">
        <v>0</v>
      </c>
      <c r="K73" s="8">
        <v>0</v>
      </c>
      <c r="L73" s="8">
        <v>43.192108150000003</v>
      </c>
      <c r="M73" s="8">
        <v>38.872913089999997</v>
      </c>
      <c r="N73" s="8">
        <v>34.985615199999998</v>
      </c>
      <c r="O73" s="8">
        <v>31.48706069</v>
      </c>
      <c r="P73" s="8">
        <v>28.338613349999999</v>
      </c>
      <c r="Q73" s="8">
        <v>25.504750260000002</v>
      </c>
      <c r="R73" s="8">
        <v>22.954276950000001</v>
      </c>
      <c r="S73" s="8">
        <v>20.658850640000001</v>
      </c>
      <c r="T73" s="8">
        <v>49.324339989999999</v>
      </c>
      <c r="U73" s="8">
        <v>44.43520951</v>
      </c>
      <c r="V73" s="8">
        <v>41.122515380000003</v>
      </c>
      <c r="W73" s="8">
        <v>37.210162240000002</v>
      </c>
      <c r="X73" s="8">
        <v>54.046939969999997</v>
      </c>
      <c r="Y73" s="8">
        <v>196.23164027999999</v>
      </c>
      <c r="Z73" s="8">
        <v>176.61081659999999</v>
      </c>
      <c r="AA73" s="8">
        <v>178.45752739</v>
      </c>
      <c r="AB73" s="8">
        <v>160.76856975999999</v>
      </c>
      <c r="AC73" s="8">
        <v>144.69172857000001</v>
      </c>
    </row>
    <row r="74" spans="1:29" x14ac:dyDescent="0.85">
      <c r="A74" t="s">
        <v>205</v>
      </c>
      <c r="B74" s="8">
        <v>0</v>
      </c>
      <c r="C74" s="8">
        <v>44.178745599999999</v>
      </c>
      <c r="D74" s="8">
        <v>5.2678999999999998E-3</v>
      </c>
      <c r="E74" s="8">
        <v>0</v>
      </c>
      <c r="F74" s="8">
        <v>1.835699E-2</v>
      </c>
      <c r="G74" s="8">
        <v>2.1124690000000002E-2</v>
      </c>
      <c r="H74" s="8">
        <v>37.261026270000002</v>
      </c>
      <c r="I74" s="8">
        <v>2.2020536499999999</v>
      </c>
      <c r="J74" s="8">
        <v>0</v>
      </c>
      <c r="K74" s="8">
        <v>0</v>
      </c>
      <c r="L74" s="8">
        <v>43.192108150000003</v>
      </c>
      <c r="M74" s="8">
        <v>38.872913089999997</v>
      </c>
      <c r="N74" s="8">
        <v>34.985615199999998</v>
      </c>
      <c r="O74" s="8">
        <v>31.48706069</v>
      </c>
      <c r="P74" s="8">
        <v>28.338613349999999</v>
      </c>
      <c r="Q74" s="8">
        <v>25.504750260000002</v>
      </c>
      <c r="R74" s="8">
        <v>22.954276950000001</v>
      </c>
      <c r="S74" s="8">
        <v>20.658850640000001</v>
      </c>
      <c r="T74" s="8">
        <v>49.324339989999999</v>
      </c>
      <c r="U74" s="8">
        <v>44.43520951</v>
      </c>
      <c r="V74" s="8">
        <v>41.122515380000003</v>
      </c>
      <c r="W74" s="8">
        <v>37.210162240000002</v>
      </c>
      <c r="X74" s="8">
        <v>54.046939969999997</v>
      </c>
      <c r="Y74" s="8">
        <v>196.23164027999999</v>
      </c>
      <c r="Z74" s="8">
        <v>176.61081659999999</v>
      </c>
      <c r="AA74" s="8">
        <v>178.45752739</v>
      </c>
      <c r="AB74" s="8">
        <v>160.76856975999999</v>
      </c>
      <c r="AC74" s="8">
        <v>144.69172857000001</v>
      </c>
    </row>
    <row r="75" spans="1:29" x14ac:dyDescent="0.85">
      <c r="A75" t="s">
        <v>206</v>
      </c>
      <c r="B75" s="8">
        <v>0</v>
      </c>
      <c r="C75" s="8">
        <v>34.153773170000001</v>
      </c>
      <c r="D75" s="8">
        <v>30.74466795</v>
      </c>
      <c r="E75" s="8">
        <v>27.670208649999999</v>
      </c>
      <c r="F75" s="8">
        <v>24.914785120000001</v>
      </c>
      <c r="G75" s="8">
        <v>22.439448089999999</v>
      </c>
      <c r="H75" s="8">
        <v>49.001289069999999</v>
      </c>
      <c r="I75" s="8">
        <v>45.803064290000002</v>
      </c>
      <c r="J75" s="8">
        <v>41.222730570000003</v>
      </c>
      <c r="K75" s="8">
        <v>37.100457720000001</v>
      </c>
      <c r="L75" s="8">
        <v>33.391006840000003</v>
      </c>
      <c r="M75" s="8">
        <v>30.051906209999999</v>
      </c>
      <c r="N75" s="8">
        <v>27.04671561</v>
      </c>
      <c r="O75" s="8">
        <v>24.34204836</v>
      </c>
      <c r="P75" s="8">
        <v>21.90804245</v>
      </c>
      <c r="Q75" s="8">
        <v>19.717238210000001</v>
      </c>
      <c r="R75" s="8">
        <v>17.74551439</v>
      </c>
      <c r="S75" s="8">
        <v>15.970962999999999</v>
      </c>
      <c r="T75" s="8">
        <v>38.131704149999997</v>
      </c>
      <c r="U75" s="8">
        <v>34.352156839999999</v>
      </c>
      <c r="V75" s="8">
        <v>31.791055220000001</v>
      </c>
      <c r="W75" s="8">
        <v>28.766528640000001</v>
      </c>
      <c r="X75" s="8">
        <v>41.782655820000002</v>
      </c>
      <c r="Y75" s="8">
        <v>151.70292885000001</v>
      </c>
      <c r="Z75" s="8">
        <v>136.53444514</v>
      </c>
      <c r="AA75" s="8">
        <v>137.96210209</v>
      </c>
      <c r="AB75" s="8">
        <v>124.28710707</v>
      </c>
      <c r="AC75" s="8">
        <v>111.85840858</v>
      </c>
    </row>
    <row r="76" spans="1:29" x14ac:dyDescent="0.85">
      <c r="A76" t="s">
        <v>207</v>
      </c>
      <c r="B76" s="8">
        <v>0</v>
      </c>
      <c r="C76" s="8">
        <v>9.8300000000000004E-5</v>
      </c>
      <c r="D76" s="8">
        <v>2E-8</v>
      </c>
      <c r="E76" s="8">
        <v>0</v>
      </c>
      <c r="F76" s="8">
        <v>1.6E-7</v>
      </c>
      <c r="G76" s="8">
        <v>2.3999999999999998E-7</v>
      </c>
      <c r="H76" s="8">
        <v>4.9742999999999999E-4</v>
      </c>
      <c r="I76" s="8">
        <v>3.43E-5</v>
      </c>
      <c r="J76" s="8">
        <v>0</v>
      </c>
      <c r="K76" s="8">
        <v>0</v>
      </c>
      <c r="L76" s="8">
        <v>9.6102000000000004E-4</v>
      </c>
      <c r="M76" s="8">
        <v>9.5140999999999997E-4</v>
      </c>
      <c r="N76" s="8">
        <v>9.3411999999999998E-4</v>
      </c>
      <c r="O76" s="8">
        <v>9.1076000000000004E-4</v>
      </c>
      <c r="P76" s="8">
        <v>8.8274999999999996E-4</v>
      </c>
      <c r="Q76" s="8">
        <v>8.5121999999999997E-4</v>
      </c>
      <c r="R76" s="8">
        <v>8.1716999999999998E-4</v>
      </c>
      <c r="S76" s="8">
        <v>7.8142000000000001E-4</v>
      </c>
      <c r="T76" s="8">
        <v>1.9754400000000002E-3</v>
      </c>
      <c r="U76" s="8">
        <v>1.8785E-3</v>
      </c>
      <c r="V76" s="8">
        <v>1.8299499999999999E-3</v>
      </c>
      <c r="W76" s="8">
        <v>1.7386400000000001E-3</v>
      </c>
      <c r="X76" s="8">
        <v>2.6456000000000001E-3</v>
      </c>
      <c r="Y76" s="8">
        <v>1.004215E-2</v>
      </c>
      <c r="Z76" s="8">
        <v>9.43102E-3</v>
      </c>
      <c r="AA76" s="8">
        <v>9.9267000000000001E-3</v>
      </c>
      <c r="AB76" s="8">
        <v>9.30046E-3</v>
      </c>
      <c r="AC76" s="8">
        <v>8.6923599999999997E-3</v>
      </c>
    </row>
    <row r="77" spans="1:29" x14ac:dyDescent="0.85">
      <c r="A77" t="s">
        <v>208</v>
      </c>
      <c r="B77" s="8">
        <v>0</v>
      </c>
      <c r="C77" s="8">
        <v>4.9100000000000004E-6</v>
      </c>
      <c r="D77" s="8">
        <v>0</v>
      </c>
      <c r="E77" s="8">
        <v>0</v>
      </c>
      <c r="F77" s="8">
        <v>0</v>
      </c>
      <c r="G77" s="8">
        <v>0</v>
      </c>
      <c r="H77" s="8">
        <v>4.1500000000000001E-6</v>
      </c>
      <c r="I77" s="8">
        <v>2.3999999999999998E-7</v>
      </c>
      <c r="J77" s="8">
        <v>0</v>
      </c>
      <c r="K77" s="8">
        <v>0</v>
      </c>
      <c r="L77" s="8">
        <v>4.8099999999999997E-6</v>
      </c>
      <c r="M77" s="8">
        <v>4.3200000000000001E-6</v>
      </c>
      <c r="N77" s="8">
        <v>3.89E-6</v>
      </c>
      <c r="O77" s="8">
        <v>3.4999999999999999E-6</v>
      </c>
      <c r="P77" s="8">
        <v>3.1499999999999999E-6</v>
      </c>
      <c r="Q77" s="8">
        <v>2.8399999999999999E-6</v>
      </c>
      <c r="R77" s="8">
        <v>2.5500000000000001E-6</v>
      </c>
      <c r="S77" s="8">
        <v>2.3E-6</v>
      </c>
      <c r="T77" s="8">
        <v>5.49E-6</v>
      </c>
      <c r="U77" s="8">
        <v>4.9400000000000001E-6</v>
      </c>
      <c r="V77" s="8">
        <v>4.5700000000000003E-6</v>
      </c>
      <c r="W77" s="8">
        <v>4.1400000000000002E-6</v>
      </c>
      <c r="X77" s="8">
        <v>6.0100000000000001E-6</v>
      </c>
      <c r="Y77" s="8">
        <v>2.1829999999999999E-5</v>
      </c>
      <c r="Z77" s="8">
        <v>1.965E-5</v>
      </c>
      <c r="AA77" s="8">
        <v>1.9850000000000001E-5</v>
      </c>
      <c r="AB77" s="8">
        <v>1.789E-5</v>
      </c>
      <c r="AC77" s="8">
        <v>1.6099999999999998E-5</v>
      </c>
    </row>
    <row r="78" spans="1:29" x14ac:dyDescent="0.85">
      <c r="A78" t="s">
        <v>209</v>
      </c>
      <c r="B78" s="8">
        <v>0</v>
      </c>
      <c r="C78" s="8">
        <v>34.153164830000001</v>
      </c>
      <c r="D78" s="8">
        <v>30.744667880000002</v>
      </c>
      <c r="E78" s="8">
        <v>27.670208649999999</v>
      </c>
      <c r="F78" s="8">
        <v>24.914784869999998</v>
      </c>
      <c r="G78" s="8">
        <v>22.4394478</v>
      </c>
      <c r="H78" s="8">
        <v>49.000775990000001</v>
      </c>
      <c r="I78" s="8">
        <v>45.803033970000001</v>
      </c>
      <c r="J78" s="8">
        <v>41.222730570000003</v>
      </c>
      <c r="K78" s="8">
        <v>37.100457720000001</v>
      </c>
      <c r="L78" s="8">
        <v>33.390412079999997</v>
      </c>
      <c r="M78" s="8">
        <v>30.051370930000001</v>
      </c>
      <c r="N78" s="8">
        <v>27.046233860000001</v>
      </c>
      <c r="O78" s="8">
        <v>24.34161478</v>
      </c>
      <c r="P78" s="8">
        <v>21.90765223</v>
      </c>
      <c r="Q78" s="8">
        <v>19.716887010000001</v>
      </c>
      <c r="R78" s="8">
        <v>17.745198309999999</v>
      </c>
      <c r="S78" s="8">
        <v>15.970678530000001</v>
      </c>
      <c r="T78" s="8">
        <v>38.131024959999998</v>
      </c>
      <c r="U78" s="8">
        <v>34.351544969999999</v>
      </c>
      <c r="V78" s="8">
        <v>31.790488960000001</v>
      </c>
      <c r="W78" s="8">
        <v>28.766016260000001</v>
      </c>
      <c r="X78" s="8">
        <v>41.781911600000001</v>
      </c>
      <c r="Y78" s="8">
        <v>151.70022674000001</v>
      </c>
      <c r="Z78" s="8">
        <v>136.53201321</v>
      </c>
      <c r="AA78" s="8">
        <v>137.95964473000001</v>
      </c>
      <c r="AB78" s="8">
        <v>124.28489328000001</v>
      </c>
      <c r="AC78" s="8">
        <v>111.85641617</v>
      </c>
    </row>
    <row r="79" spans="1:29" x14ac:dyDescent="0.85">
      <c r="A79" t="s">
        <v>210</v>
      </c>
      <c r="B79" s="8">
        <v>0</v>
      </c>
      <c r="C79" s="8">
        <v>6.0833999999999997E-4</v>
      </c>
      <c r="D79" s="8">
        <v>7.0000000000000005E-8</v>
      </c>
      <c r="E79" s="8">
        <v>0</v>
      </c>
      <c r="F79" s="8">
        <v>2.4999999999999999E-7</v>
      </c>
      <c r="G79" s="8">
        <v>2.8999999999999998E-7</v>
      </c>
      <c r="H79" s="8">
        <v>5.1307999999999996E-4</v>
      </c>
      <c r="I79" s="8">
        <v>3.0320000000000001E-5</v>
      </c>
      <c r="J79" s="8">
        <v>0</v>
      </c>
      <c r="K79" s="8">
        <v>0</v>
      </c>
      <c r="L79" s="8">
        <v>5.9475999999999995E-4</v>
      </c>
      <c r="M79" s="8">
        <v>5.3527999999999996E-4</v>
      </c>
      <c r="N79" s="8">
        <v>4.8174999999999997E-4</v>
      </c>
      <c r="O79" s="8">
        <v>4.3357999999999998E-4</v>
      </c>
      <c r="P79" s="8">
        <v>3.9021999999999999E-4</v>
      </c>
      <c r="Q79" s="8">
        <v>3.5120000000000003E-4</v>
      </c>
      <c r="R79" s="8">
        <v>3.1608E-4</v>
      </c>
      <c r="S79" s="8">
        <v>2.8446999999999999E-4</v>
      </c>
      <c r="T79" s="8">
        <v>6.7920000000000003E-4</v>
      </c>
      <c r="U79" s="8">
        <v>6.1187000000000004E-4</v>
      </c>
      <c r="V79" s="8">
        <v>5.6625999999999996E-4</v>
      </c>
      <c r="W79" s="8">
        <v>5.1238E-4</v>
      </c>
      <c r="X79" s="8">
        <v>7.4423000000000002E-4</v>
      </c>
      <c r="Y79" s="8">
        <v>2.7021100000000002E-3</v>
      </c>
      <c r="Z79" s="8">
        <v>2.4319300000000001E-3</v>
      </c>
      <c r="AA79" s="8">
        <v>2.45736E-3</v>
      </c>
      <c r="AB79" s="8">
        <v>2.2137799999999998E-3</v>
      </c>
      <c r="AC79" s="8">
        <v>1.99241E-3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1.0586650799999999</v>
      </c>
      <c r="E80" s="8">
        <v>1.0000115999999999</v>
      </c>
      <c r="F80" s="8">
        <v>1.0000000099999999</v>
      </c>
      <c r="G80" s="8">
        <v>1.00001915</v>
      </c>
      <c r="H80" s="8">
        <v>1.0000254399999999</v>
      </c>
      <c r="I80" s="8">
        <v>1.04242602</v>
      </c>
      <c r="J80" s="8">
        <v>1.0022849700000001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1.00000018</v>
      </c>
      <c r="R80" s="8">
        <v>1</v>
      </c>
      <c r="S80" s="8">
        <v>1</v>
      </c>
      <c r="T80" s="8">
        <v>1</v>
      </c>
      <c r="U80" s="8">
        <v>1.0181311399999999</v>
      </c>
      <c r="V80" s="8">
        <v>1.0000255499999999</v>
      </c>
      <c r="W80" s="8">
        <v>1.00066119</v>
      </c>
      <c r="X80" s="8">
        <v>1.00011626</v>
      </c>
      <c r="Y80" s="8">
        <v>1.01186898</v>
      </c>
      <c r="Z80" s="8">
        <v>1.0844072899999999</v>
      </c>
      <c r="AA80" s="8">
        <v>1.0000013299999999</v>
      </c>
      <c r="AB80" s="8">
        <v>1.01082078</v>
      </c>
      <c r="AC80" s="8">
        <v>1.00008648</v>
      </c>
    </row>
    <row r="81" spans="1:29" x14ac:dyDescent="0.85">
      <c r="A81" t="s">
        <v>212</v>
      </c>
      <c r="B81" s="8">
        <v>1</v>
      </c>
      <c r="C81" s="8">
        <v>1.0586650799999999</v>
      </c>
      <c r="D81" s="8">
        <v>1.0000115999999999</v>
      </c>
      <c r="E81" s="8">
        <v>1.0000000099999999</v>
      </c>
      <c r="F81" s="8">
        <v>1.00001915</v>
      </c>
      <c r="G81" s="8">
        <v>1.0000254399999999</v>
      </c>
      <c r="H81" s="8">
        <v>1.04242602</v>
      </c>
      <c r="I81" s="8">
        <v>1.0022849700000001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1.00000018</v>
      </c>
      <c r="Q81" s="8">
        <v>1</v>
      </c>
      <c r="R81" s="8">
        <v>1</v>
      </c>
      <c r="S81" s="8">
        <v>1</v>
      </c>
      <c r="T81" s="8">
        <v>1.0181311399999999</v>
      </c>
      <c r="U81" s="8">
        <v>1.0000255499999999</v>
      </c>
      <c r="V81" s="8">
        <v>1.00066119</v>
      </c>
      <c r="W81" s="8">
        <v>1.00011626</v>
      </c>
      <c r="X81" s="8">
        <v>1.01186898</v>
      </c>
      <c r="Y81" s="8">
        <v>1.0844072899999999</v>
      </c>
      <c r="Z81" s="8">
        <v>1.0000013299999999</v>
      </c>
      <c r="AA81" s="8">
        <v>1.01082078</v>
      </c>
      <c r="AB81" s="8">
        <v>1.00008648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A7019-6E76-4F31-8805-30B92F3702D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151744.6</v>
      </c>
      <c r="C5" s="8">
        <v>153187.41292979999</v>
      </c>
      <c r="D5" s="8">
        <v>158635.21924042999</v>
      </c>
      <c r="E5" s="8">
        <v>169100.03728163001</v>
      </c>
      <c r="F5" s="8">
        <v>185104.31749538</v>
      </c>
      <c r="G5" s="8">
        <v>202711.09835302999</v>
      </c>
      <c r="H5" s="8">
        <v>222079.27216024001</v>
      </c>
      <c r="I5" s="8">
        <v>238757.27837029001</v>
      </c>
      <c r="J5" s="8">
        <v>248712.80111967001</v>
      </c>
      <c r="K5" s="8">
        <v>259340.50517493</v>
      </c>
      <c r="L5" s="8">
        <v>270673.60305481998</v>
      </c>
      <c r="M5" s="8">
        <v>282747.32885400002</v>
      </c>
      <c r="N5" s="8">
        <v>290043.85769805999</v>
      </c>
      <c r="O5" s="8">
        <v>297755.16590014001</v>
      </c>
      <c r="P5" s="8">
        <v>302791.09065431001</v>
      </c>
      <c r="Q5" s="8">
        <v>310319.69015559001</v>
      </c>
      <c r="R5" s="8">
        <v>316209.85916696</v>
      </c>
      <c r="S5" s="8">
        <v>317970.06506673002</v>
      </c>
      <c r="T5" s="8">
        <v>318405.37856396998</v>
      </c>
      <c r="U5" s="8">
        <v>319459.43458982999</v>
      </c>
      <c r="V5" s="8">
        <v>320575.57375192002</v>
      </c>
      <c r="W5" s="8">
        <v>327210.53579176002</v>
      </c>
      <c r="X5" s="8">
        <v>331796.46615674999</v>
      </c>
      <c r="Y5" s="8">
        <v>335755.56683298002</v>
      </c>
      <c r="Z5" s="8">
        <v>340505.86548848002</v>
      </c>
      <c r="AA5" s="8">
        <v>345086.96113875002</v>
      </c>
      <c r="AB5" s="8">
        <v>350444.19507813</v>
      </c>
      <c r="AC5" s="8">
        <v>356157.00509936002</v>
      </c>
    </row>
    <row r="6" spans="1:29" x14ac:dyDescent="0.85">
      <c r="A6" t="s">
        <v>139</v>
      </c>
      <c r="B6" s="8">
        <v>652731210.88752496</v>
      </c>
      <c r="C6" s="8">
        <v>666136451.09527504</v>
      </c>
      <c r="D6" s="8">
        <v>679809788.91963601</v>
      </c>
      <c r="E6" s="8">
        <v>693756608.01932395</v>
      </c>
      <c r="F6" s="8">
        <v>707982355.48091602</v>
      </c>
      <c r="G6" s="8">
        <v>722492619.28307998</v>
      </c>
      <c r="H6" s="8">
        <v>737293051.34729302</v>
      </c>
      <c r="I6" s="8">
        <v>752393922.55457401</v>
      </c>
      <c r="J6" s="8">
        <v>767963881.18623304</v>
      </c>
      <c r="K6" s="8">
        <v>785424432.22065604</v>
      </c>
      <c r="L6" s="8">
        <v>807586483.45971501</v>
      </c>
      <c r="M6" s="8">
        <v>836903014.272861</v>
      </c>
      <c r="N6" s="8">
        <v>872628684.84402704</v>
      </c>
      <c r="O6" s="8">
        <v>915111044.81651402</v>
      </c>
      <c r="P6" s="8">
        <v>952616074.07490504</v>
      </c>
      <c r="Q6" s="8">
        <v>1000371089.95301</v>
      </c>
      <c r="R6" s="8">
        <v>1027213064.07148</v>
      </c>
      <c r="S6" s="8">
        <v>1046275999.64127</v>
      </c>
      <c r="T6" s="8">
        <v>1078268756.77369</v>
      </c>
      <c r="U6" s="8">
        <v>1113406200.07249</v>
      </c>
      <c r="V6" s="8">
        <v>1148814398.10691</v>
      </c>
      <c r="W6" s="8">
        <v>1174973988.5227399</v>
      </c>
      <c r="X6" s="8">
        <v>1180831000.7188301</v>
      </c>
      <c r="Y6" s="8">
        <v>1209032469.66119</v>
      </c>
      <c r="Z6" s="8">
        <v>1236609669.8480899</v>
      </c>
      <c r="AA6" s="8">
        <v>1265816098.4704001</v>
      </c>
      <c r="AB6" s="8">
        <v>1296194528.4823101</v>
      </c>
      <c r="AC6" s="8">
        <v>1326941789.35289</v>
      </c>
    </row>
    <row r="7" spans="1:29" x14ac:dyDescent="0.85">
      <c r="A7" t="s">
        <v>140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</row>
    <row r="8" spans="1:29" x14ac:dyDescent="0.85">
      <c r="A8" t="s">
        <v>141</v>
      </c>
      <c r="B8" s="8">
        <v>28866.66279382</v>
      </c>
      <c r="C8" s="8">
        <v>28633.068459130001</v>
      </c>
      <c r="D8" s="8">
        <v>29045.773480799999</v>
      </c>
      <c r="E8" s="8">
        <v>29959.679048999998</v>
      </c>
      <c r="F8" s="8">
        <v>33224.375933019997</v>
      </c>
      <c r="G8" s="8">
        <v>36819.563074040001</v>
      </c>
      <c r="H8" s="8">
        <v>40806.466742470002</v>
      </c>
      <c r="I8" s="8">
        <v>44712.790595010003</v>
      </c>
      <c r="J8" s="8">
        <v>48145.570634559997</v>
      </c>
      <c r="K8" s="8">
        <v>51743.823701230001</v>
      </c>
      <c r="L8" s="8">
        <v>55517.741792699999</v>
      </c>
      <c r="M8" s="8">
        <v>59478.050348340003</v>
      </c>
      <c r="N8" s="8">
        <v>63088.219707769997</v>
      </c>
      <c r="O8" s="8">
        <v>66804.735716359995</v>
      </c>
      <c r="P8" s="8">
        <v>69170.147060870004</v>
      </c>
      <c r="Q8" s="8">
        <v>72539.196261749996</v>
      </c>
      <c r="R8" s="8">
        <v>74106.285758679995</v>
      </c>
      <c r="S8" s="8">
        <v>75263.861295380004</v>
      </c>
      <c r="T8" s="8">
        <v>77962.252531859995</v>
      </c>
      <c r="U8" s="8">
        <v>80762.046104230001</v>
      </c>
      <c r="V8" s="8">
        <v>83545.853786539999</v>
      </c>
      <c r="W8" s="8">
        <v>85459.851582689997</v>
      </c>
      <c r="X8" s="8">
        <v>85360.643079789996</v>
      </c>
      <c r="Y8" s="8">
        <v>87184.441588689995</v>
      </c>
      <c r="Z8" s="8">
        <v>89109.399317140007</v>
      </c>
      <c r="AA8" s="8">
        <v>91061.456785600007</v>
      </c>
      <c r="AB8" s="8">
        <v>93114.361345509999</v>
      </c>
      <c r="AC8" s="8">
        <v>95183.057350770003</v>
      </c>
    </row>
    <row r="9" spans="1:29" x14ac:dyDescent="0.85">
      <c r="A9" t="s">
        <v>142</v>
      </c>
      <c r="B9" s="8">
        <v>12076.74519249</v>
      </c>
      <c r="C9" s="8">
        <v>12516.0478618</v>
      </c>
      <c r="D9" s="8">
        <v>12580.652479869999</v>
      </c>
      <c r="E9" s="8">
        <v>12637.617336769999</v>
      </c>
      <c r="F9" s="8">
        <v>12230.465945</v>
      </c>
      <c r="G9" s="8">
        <v>11760.894984480001</v>
      </c>
      <c r="H9" s="8">
        <v>11219.8273983</v>
      </c>
      <c r="I9" s="8">
        <v>10575.31100516</v>
      </c>
      <c r="J9" s="8">
        <v>9825.3812648500007</v>
      </c>
      <c r="K9" s="8">
        <v>9083.3667002999991</v>
      </c>
      <c r="L9" s="8">
        <v>8414.7891999099993</v>
      </c>
      <c r="M9" s="8">
        <v>7876.3016052800003</v>
      </c>
      <c r="N9" s="8">
        <v>7586.3400349800004</v>
      </c>
      <c r="O9" s="8">
        <v>7439.3243114699999</v>
      </c>
      <c r="P9" s="8">
        <v>7453.7821288200003</v>
      </c>
      <c r="Q9" s="8">
        <v>7516.9676757999996</v>
      </c>
      <c r="R9" s="8">
        <v>7651.1482173000004</v>
      </c>
      <c r="S9" s="8">
        <v>7877.0263219600001</v>
      </c>
      <c r="T9" s="8">
        <v>8207.7546567200006</v>
      </c>
      <c r="U9" s="8">
        <v>8562.3495831799992</v>
      </c>
      <c r="V9" s="8">
        <v>8952.8446002000001</v>
      </c>
      <c r="W9" s="8">
        <v>9158.6052806600001</v>
      </c>
      <c r="X9" s="8">
        <v>9244.9907578999992</v>
      </c>
      <c r="Y9" s="8">
        <v>9498.8497898500009</v>
      </c>
      <c r="Z9" s="8">
        <v>9761.9102183899995</v>
      </c>
      <c r="AA9" s="8">
        <v>10029.33193006</v>
      </c>
      <c r="AB9" s="8">
        <v>10296.129014300001</v>
      </c>
      <c r="AC9" s="8">
        <v>10562.363288439999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6375.0882744399996</v>
      </c>
      <c r="D11" s="8">
        <v>12736.718379960001</v>
      </c>
      <c r="E11" s="8">
        <v>18539.112563769999</v>
      </c>
      <c r="F11" s="8">
        <v>22100.34131702</v>
      </c>
      <c r="G11" s="8">
        <v>24046.053534589999</v>
      </c>
      <c r="H11" s="8">
        <v>24230.98026163</v>
      </c>
      <c r="I11" s="8">
        <v>23450.823675880001</v>
      </c>
      <c r="J11" s="8">
        <v>23024.7595798</v>
      </c>
      <c r="K11" s="8">
        <v>21625.623493880001</v>
      </c>
      <c r="L11" s="8">
        <v>19502.30469013</v>
      </c>
      <c r="M11" s="8">
        <v>16967.693092540001</v>
      </c>
      <c r="N11" s="8">
        <v>14714.379706469999</v>
      </c>
      <c r="O11" s="8">
        <v>12518.91296487</v>
      </c>
      <c r="P11" s="8">
        <v>11842.4573564</v>
      </c>
      <c r="Q11" s="8">
        <v>10385.80463825</v>
      </c>
      <c r="R11" s="8">
        <v>10838.25945978</v>
      </c>
      <c r="S11" s="8">
        <v>11621.833352559999</v>
      </c>
      <c r="T11" s="8">
        <v>10686.7587036</v>
      </c>
      <c r="U11" s="8">
        <v>9753.7736261099999</v>
      </c>
      <c r="V11" s="8">
        <v>8954.7949985199994</v>
      </c>
      <c r="W11" s="8">
        <v>9139.2433706299998</v>
      </c>
      <c r="X11" s="8">
        <v>11257.14874405</v>
      </c>
      <c r="Y11" s="8">
        <v>11518.151844370001</v>
      </c>
      <c r="Z11" s="8">
        <v>11712.74359326</v>
      </c>
      <c r="AA11" s="8">
        <v>11920.15591582</v>
      </c>
      <c r="AB11" s="8">
        <v>12073.388022880001</v>
      </c>
      <c r="AC11" s="8">
        <v>12259.72995314</v>
      </c>
    </row>
    <row r="12" spans="1:29" x14ac:dyDescent="0.85">
      <c r="A12" t="s">
        <v>144</v>
      </c>
      <c r="B12" s="8">
        <v>40943.407986309998</v>
      </c>
      <c r="C12" s="8">
        <v>41149.116320929999</v>
      </c>
      <c r="D12" s="8">
        <v>41626.42596067</v>
      </c>
      <c r="E12" s="8">
        <v>42597.296385770002</v>
      </c>
      <c r="F12" s="8">
        <v>45454.841878020001</v>
      </c>
      <c r="G12" s="8">
        <v>48580.458058520002</v>
      </c>
      <c r="H12" s="8">
        <v>52026.294140769998</v>
      </c>
      <c r="I12" s="8">
        <v>55288.101600169997</v>
      </c>
      <c r="J12" s="8">
        <v>57970.95189941</v>
      </c>
      <c r="K12" s="8">
        <v>60827.190401530002</v>
      </c>
      <c r="L12" s="8">
        <v>63932.530992599997</v>
      </c>
      <c r="M12" s="8">
        <v>67354.351953630001</v>
      </c>
      <c r="N12" s="8">
        <v>70674.559742750003</v>
      </c>
      <c r="O12" s="8">
        <v>74244.060027829997</v>
      </c>
      <c r="P12" s="8">
        <v>76623.929189689996</v>
      </c>
      <c r="Q12" s="8">
        <v>80056.163937549994</v>
      </c>
      <c r="R12" s="8">
        <v>81757.433975980006</v>
      </c>
      <c r="S12" s="8">
        <v>83140.887617350003</v>
      </c>
      <c r="T12" s="8">
        <v>86170.007188579999</v>
      </c>
      <c r="U12" s="8">
        <v>89324.395687419994</v>
      </c>
      <c r="V12" s="8">
        <v>92498.698386739998</v>
      </c>
      <c r="W12" s="8">
        <v>94618.456863359999</v>
      </c>
      <c r="X12" s="8">
        <v>94605.633837689995</v>
      </c>
      <c r="Y12" s="8">
        <v>96683.291378540001</v>
      </c>
      <c r="Z12" s="8">
        <v>98871.309535530003</v>
      </c>
      <c r="AA12" s="8">
        <v>101090.78871566</v>
      </c>
      <c r="AB12" s="8">
        <v>103410.49035981001</v>
      </c>
      <c r="AC12" s="8">
        <v>105745.42063921</v>
      </c>
    </row>
    <row r="13" spans="1:29" x14ac:dyDescent="0.85">
      <c r="A13" t="s">
        <v>145</v>
      </c>
      <c r="B13" s="8">
        <v>40943.407986309998</v>
      </c>
      <c r="C13" s="8">
        <v>47524.20459537</v>
      </c>
      <c r="D13" s="8">
        <v>54363.144340630002</v>
      </c>
      <c r="E13" s="8">
        <v>61136.408949539997</v>
      </c>
      <c r="F13" s="8">
        <v>67555.183195039994</v>
      </c>
      <c r="G13" s="8">
        <v>72626.511593110001</v>
      </c>
      <c r="H13" s="8">
        <v>76257.274402409996</v>
      </c>
      <c r="I13" s="8">
        <v>78738.925276049995</v>
      </c>
      <c r="J13" s="8">
        <v>80995.711479200007</v>
      </c>
      <c r="K13" s="8">
        <v>82452.81389541</v>
      </c>
      <c r="L13" s="8">
        <v>83434.835682730001</v>
      </c>
      <c r="M13" s="8">
        <v>84322.045046159998</v>
      </c>
      <c r="N13" s="8">
        <v>85388.939449219994</v>
      </c>
      <c r="O13" s="8">
        <v>86762.972992700001</v>
      </c>
      <c r="P13" s="8">
        <v>88466.386546089998</v>
      </c>
      <c r="Q13" s="8">
        <v>90441.968575790001</v>
      </c>
      <c r="R13" s="8">
        <v>92595.693435759997</v>
      </c>
      <c r="S13" s="8">
        <v>94762.720969899994</v>
      </c>
      <c r="T13" s="8">
        <v>96856.76589219</v>
      </c>
      <c r="U13" s="8">
        <v>99078.169313530001</v>
      </c>
      <c r="V13" s="8">
        <v>101453.49338527001</v>
      </c>
      <c r="W13" s="8">
        <v>103757.70023399001</v>
      </c>
      <c r="X13" s="8">
        <v>105862.78258174</v>
      </c>
      <c r="Y13" s="8">
        <v>108201.44322291001</v>
      </c>
      <c r="Z13" s="8">
        <v>110584.05312878</v>
      </c>
      <c r="AA13" s="8">
        <v>113010.94463149</v>
      </c>
      <c r="AB13" s="8">
        <v>115483.87838269</v>
      </c>
      <c r="AC13" s="8">
        <v>118005.15059234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3267.6</v>
      </c>
      <c r="C17" s="8">
        <v>3827.6588583399998</v>
      </c>
      <c r="D17" s="8">
        <v>5553.8827189000003</v>
      </c>
      <c r="E17" s="8">
        <v>8174.7683449400001</v>
      </c>
      <c r="F17" s="8">
        <v>10957.63935752</v>
      </c>
      <c r="G17" s="8">
        <v>13975.761517250001</v>
      </c>
      <c r="H17" s="8">
        <v>17253.30214417</v>
      </c>
      <c r="I17" s="8">
        <v>20816.806650930001</v>
      </c>
      <c r="J17" s="8">
        <v>24616.178884059998</v>
      </c>
      <c r="K17" s="8">
        <v>28532.935344149999</v>
      </c>
      <c r="L17" s="8">
        <v>32576.94963852</v>
      </c>
      <c r="M17" s="8">
        <v>36758.526198940002</v>
      </c>
      <c r="N17" s="8">
        <v>35533.241992310002</v>
      </c>
      <c r="O17" s="8">
        <v>34348.800592569998</v>
      </c>
      <c r="P17" s="8">
        <v>33204.163408820001</v>
      </c>
      <c r="Q17" s="8">
        <v>32097.357992820002</v>
      </c>
      <c r="R17" s="8">
        <v>32703.495065039999</v>
      </c>
      <c r="S17" s="8">
        <v>31613.378564890001</v>
      </c>
      <c r="T17" s="8">
        <v>30580.520793420001</v>
      </c>
      <c r="U17" s="8">
        <v>29561.170164989999</v>
      </c>
      <c r="V17" s="8">
        <v>28575.797826149999</v>
      </c>
      <c r="W17" s="8">
        <v>32201.868017590001</v>
      </c>
      <c r="X17" s="8">
        <v>32591.366239610001</v>
      </c>
      <c r="Y17" s="8">
        <v>32140.855172899999</v>
      </c>
      <c r="Z17" s="8">
        <v>33130.241013300001</v>
      </c>
      <c r="AA17" s="8">
        <v>33339.491323249997</v>
      </c>
      <c r="AB17" s="8">
        <v>34167.606928540001</v>
      </c>
      <c r="AC17" s="8">
        <v>35169.661649280002</v>
      </c>
    </row>
    <row r="18" spans="1:29" x14ac:dyDescent="0.85">
      <c r="A18" t="s">
        <v>149</v>
      </c>
      <c r="B18" s="8">
        <v>3374158.2</v>
      </c>
      <c r="C18" s="8">
        <v>3952480.8800586099</v>
      </c>
      <c r="D18" s="8">
        <v>5734997.8326045098</v>
      </c>
      <c r="E18" s="8">
        <v>8441351.9537803195</v>
      </c>
      <c r="F18" s="8">
        <v>11314973.8924034</v>
      </c>
      <c r="G18" s="8">
        <v>14431518.6450847</v>
      </c>
      <c r="H18" s="8">
        <v>17815941.6412168</v>
      </c>
      <c r="I18" s="8">
        <v>21495653.953684699</v>
      </c>
      <c r="J18" s="8">
        <v>25418925.766404301</v>
      </c>
      <c r="K18" s="8">
        <v>29463409.769110199</v>
      </c>
      <c r="L18" s="8">
        <v>33639301.552761003</v>
      </c>
      <c r="M18" s="8">
        <v>37957241.582226403</v>
      </c>
      <c r="N18" s="8">
        <v>36692000.196154103</v>
      </c>
      <c r="O18" s="8">
        <v>35468933.522949003</v>
      </c>
      <c r="P18" s="8">
        <v>34286969.102704801</v>
      </c>
      <c r="Q18" s="8">
        <v>33144070.164589301</v>
      </c>
      <c r="R18" s="8">
        <v>33769973.693950497</v>
      </c>
      <c r="S18" s="8">
        <v>32644307.9062373</v>
      </c>
      <c r="T18" s="8">
        <v>31577768.085256699</v>
      </c>
      <c r="U18" s="8">
        <v>30525175.8825383</v>
      </c>
      <c r="V18" s="8">
        <v>29507670.019787401</v>
      </c>
      <c r="W18" s="8">
        <v>33251988.317684501</v>
      </c>
      <c r="X18" s="8">
        <v>33654188.286992699</v>
      </c>
      <c r="Y18" s="8">
        <v>33188985.811188299</v>
      </c>
      <c r="Z18" s="8">
        <v>34210636.057964303</v>
      </c>
      <c r="AA18" s="8">
        <v>34426710.133480698</v>
      </c>
      <c r="AB18" s="8">
        <v>35281831.035715602</v>
      </c>
      <c r="AC18" s="8">
        <v>36316563.301852003</v>
      </c>
    </row>
    <row r="19" spans="1:29" x14ac:dyDescent="0.85">
      <c r="A19" t="s">
        <v>150</v>
      </c>
      <c r="B19" s="8">
        <v>3374158.2</v>
      </c>
      <c r="C19" s="8">
        <v>3952480.8800586099</v>
      </c>
      <c r="D19" s="8">
        <v>5734997.8326045098</v>
      </c>
      <c r="E19" s="8">
        <v>8441351.9537803195</v>
      </c>
      <c r="F19" s="8">
        <v>11314973.8924034</v>
      </c>
      <c r="G19" s="8">
        <v>14431518.6450847</v>
      </c>
      <c r="H19" s="8">
        <v>17815941.6412168</v>
      </c>
      <c r="I19" s="8">
        <v>21495653.953684699</v>
      </c>
      <c r="J19" s="8">
        <v>25418925.766404301</v>
      </c>
      <c r="K19" s="8">
        <v>29463409.769110199</v>
      </c>
      <c r="L19" s="8">
        <v>33639301.552761003</v>
      </c>
      <c r="M19" s="8">
        <v>37957241.582226403</v>
      </c>
      <c r="N19" s="8">
        <v>36692000.196154103</v>
      </c>
      <c r="O19" s="8">
        <v>35468933.522949003</v>
      </c>
      <c r="P19" s="8">
        <v>34286969.102704801</v>
      </c>
      <c r="Q19" s="8">
        <v>33144070.164589301</v>
      </c>
      <c r="R19" s="8">
        <v>33769973.693950497</v>
      </c>
      <c r="S19" s="8">
        <v>32644307.9062373</v>
      </c>
      <c r="T19" s="8">
        <v>31577768.085256699</v>
      </c>
      <c r="U19" s="8">
        <v>30525175.8825383</v>
      </c>
      <c r="V19" s="8">
        <v>29507670.019787401</v>
      </c>
      <c r="W19" s="8">
        <v>33251988.317684501</v>
      </c>
      <c r="X19" s="8">
        <v>33654188.286992699</v>
      </c>
      <c r="Y19" s="8">
        <v>33188985.811188299</v>
      </c>
      <c r="Z19" s="8">
        <v>34210636.057964303</v>
      </c>
      <c r="AA19" s="8">
        <v>34426710.133480698</v>
      </c>
      <c r="AB19" s="8">
        <v>35281831.035715602</v>
      </c>
      <c r="AC19" s="8">
        <v>36316563.301852003</v>
      </c>
    </row>
    <row r="20" spans="1:29" x14ac:dyDescent="0.85">
      <c r="A20" t="s">
        <v>151</v>
      </c>
      <c r="B20" s="8">
        <v>322.23129642999999</v>
      </c>
      <c r="C20" s="8">
        <v>377.46097326</v>
      </c>
      <c r="D20" s="8">
        <v>547.69091343000002</v>
      </c>
      <c r="E20" s="8">
        <v>806.14708098000006</v>
      </c>
      <c r="F20" s="8">
        <v>1080.57728486</v>
      </c>
      <c r="G20" s="8">
        <v>1378.20655904</v>
      </c>
      <c r="H20" s="8">
        <v>1701.41814103</v>
      </c>
      <c r="I20" s="8">
        <v>2052.8297816999998</v>
      </c>
      <c r="J20" s="8">
        <v>2427.5012960499998</v>
      </c>
      <c r="K20" s="8">
        <v>2813.7485453899999</v>
      </c>
      <c r="L20" s="8">
        <v>3212.5452061999999</v>
      </c>
      <c r="M20" s="8">
        <v>3624.9074403200002</v>
      </c>
      <c r="N20" s="8">
        <v>3504.0771923100001</v>
      </c>
      <c r="O20" s="8">
        <v>3387.2746192300001</v>
      </c>
      <c r="P20" s="8">
        <v>3274.3973014200001</v>
      </c>
      <c r="Q20" s="8">
        <v>3165.2507277599998</v>
      </c>
      <c r="R20" s="8">
        <v>3225.02436425</v>
      </c>
      <c r="S20" s="8">
        <v>3117.52355231</v>
      </c>
      <c r="T20" s="8">
        <v>3015.66925597</v>
      </c>
      <c r="U20" s="8">
        <v>2915.14695381</v>
      </c>
      <c r="V20" s="8">
        <v>2817.9753886899998</v>
      </c>
      <c r="W20" s="8">
        <v>3175.5568854200001</v>
      </c>
      <c r="X20" s="8">
        <v>3213.9668857400002</v>
      </c>
      <c r="Y20" s="8">
        <v>3169.54016121</v>
      </c>
      <c r="Z20" s="8">
        <v>3267.1075140100002</v>
      </c>
      <c r="AA20" s="8">
        <v>3287.7425362499998</v>
      </c>
      <c r="AB20" s="8">
        <v>3369.4063767100001</v>
      </c>
      <c r="AC20" s="8">
        <v>3468.22305921</v>
      </c>
    </row>
    <row r="21" spans="1:29" x14ac:dyDescent="0.85">
      <c r="A21" t="s">
        <v>152</v>
      </c>
      <c r="B21" s="8">
        <v>0</v>
      </c>
      <c r="C21" s="8">
        <v>0.39524809</v>
      </c>
      <c r="D21" s="8">
        <v>1.14699957</v>
      </c>
      <c r="E21" s="8">
        <v>2.5324055900000002</v>
      </c>
      <c r="F21" s="8">
        <v>4.5259895600000002</v>
      </c>
      <c r="G21" s="8">
        <v>7.2157593200000001</v>
      </c>
      <c r="H21" s="8">
        <v>10.68956498</v>
      </c>
      <c r="I21" s="8">
        <v>15.046957770000001</v>
      </c>
      <c r="J21" s="8">
        <v>20.33514061</v>
      </c>
      <c r="K21" s="8">
        <v>26.51706879</v>
      </c>
      <c r="L21" s="8">
        <v>33.639301549999999</v>
      </c>
      <c r="M21" s="8">
        <v>41.75296574</v>
      </c>
      <c r="N21" s="8">
        <v>44.030400239999999</v>
      </c>
      <c r="O21" s="8">
        <v>46.109613580000001</v>
      </c>
      <c r="P21" s="8">
        <v>48.001756739999998</v>
      </c>
      <c r="Q21" s="8">
        <v>49.716105249999998</v>
      </c>
      <c r="R21" s="8">
        <v>54.031957910000003</v>
      </c>
      <c r="S21" s="8">
        <v>55.49532344</v>
      </c>
      <c r="T21" s="8">
        <v>56.839982550000002</v>
      </c>
      <c r="U21" s="8">
        <v>57.997834179999998</v>
      </c>
      <c r="V21" s="8">
        <v>59.015340039999998</v>
      </c>
      <c r="W21" s="8">
        <v>69.829175469999996</v>
      </c>
      <c r="X21" s="8">
        <v>74.039214229999999</v>
      </c>
      <c r="Y21" s="8">
        <v>76.334667370000005</v>
      </c>
      <c r="Z21" s="8">
        <v>82.10552654</v>
      </c>
      <c r="AA21" s="8">
        <v>86.066775329999999</v>
      </c>
      <c r="AB21" s="8">
        <v>91.732760690000006</v>
      </c>
      <c r="AC21" s="8">
        <v>98.054720919999994</v>
      </c>
    </row>
    <row r="22" spans="1:29" x14ac:dyDescent="0.85">
      <c r="A22" t="s">
        <v>153</v>
      </c>
      <c r="B22" s="8">
        <v>1.687079E-2</v>
      </c>
      <c r="C22" s="8">
        <v>1.9762399999999999E-2</v>
      </c>
      <c r="D22" s="8">
        <v>2.8674990000000001E-2</v>
      </c>
      <c r="E22" s="8">
        <v>4.2206760000000003E-2</v>
      </c>
      <c r="F22" s="8">
        <v>5.6574869999999999E-2</v>
      </c>
      <c r="G22" s="8">
        <v>7.2157589999999994E-2</v>
      </c>
      <c r="H22" s="8">
        <v>8.9079710000000006E-2</v>
      </c>
      <c r="I22" s="8">
        <v>0.10747827</v>
      </c>
      <c r="J22" s="8">
        <v>0.12709462999999999</v>
      </c>
      <c r="K22" s="8">
        <v>0.14731705</v>
      </c>
      <c r="L22" s="8">
        <v>0.16819650999999999</v>
      </c>
      <c r="M22" s="8">
        <v>0.18978621000000001</v>
      </c>
      <c r="N22" s="8">
        <v>0.18346000000000001</v>
      </c>
      <c r="O22" s="8">
        <v>0.17734467000000001</v>
      </c>
      <c r="P22" s="8">
        <v>0.17143485</v>
      </c>
      <c r="Q22" s="8">
        <v>0.16572034999999999</v>
      </c>
      <c r="R22" s="8">
        <v>0.16884987000000001</v>
      </c>
      <c r="S22" s="8">
        <v>0.16322154</v>
      </c>
      <c r="T22" s="8">
        <v>0.15788884</v>
      </c>
      <c r="U22" s="8">
        <v>0.15262587999999999</v>
      </c>
      <c r="V22" s="8">
        <v>0.14753835000000001</v>
      </c>
      <c r="W22" s="8">
        <v>0.16625993999999999</v>
      </c>
      <c r="X22" s="8">
        <v>0.16827094000000001</v>
      </c>
      <c r="Y22" s="8">
        <v>0.16594492999999999</v>
      </c>
      <c r="Z22" s="8">
        <v>0.17105318</v>
      </c>
      <c r="AA22" s="8">
        <v>0.17213355</v>
      </c>
      <c r="AB22" s="8">
        <v>0.17640916000000001</v>
      </c>
      <c r="AC22" s="8">
        <v>0.18158282000000001</v>
      </c>
    </row>
    <row r="23" spans="1:29" x14ac:dyDescent="0.85">
      <c r="A23" t="s">
        <v>154</v>
      </c>
      <c r="B23" s="8">
        <v>322.23129642999999</v>
      </c>
      <c r="C23" s="8">
        <v>377.46097326</v>
      </c>
      <c r="D23" s="8">
        <v>547.69091343000002</v>
      </c>
      <c r="E23" s="8">
        <v>806.14708098000006</v>
      </c>
      <c r="F23" s="8">
        <v>1080.57728486</v>
      </c>
      <c r="G23" s="8">
        <v>1378.20655904</v>
      </c>
      <c r="H23" s="8">
        <v>1701.41814103</v>
      </c>
      <c r="I23" s="8">
        <v>2052.8297816999998</v>
      </c>
      <c r="J23" s="8">
        <v>2427.5012960499998</v>
      </c>
      <c r="K23" s="8">
        <v>2813.7485453899999</v>
      </c>
      <c r="L23" s="8">
        <v>3212.5452061999999</v>
      </c>
      <c r="M23" s="8">
        <v>3624.9074403200002</v>
      </c>
      <c r="N23" s="8">
        <v>3504.0771923100001</v>
      </c>
      <c r="O23" s="8">
        <v>3387.2746192300001</v>
      </c>
      <c r="P23" s="8">
        <v>3274.3973014200001</v>
      </c>
      <c r="Q23" s="8">
        <v>3165.2507277599998</v>
      </c>
      <c r="R23" s="8">
        <v>3225.02436425</v>
      </c>
      <c r="S23" s="8">
        <v>3117.52355231</v>
      </c>
      <c r="T23" s="8">
        <v>3015.66925597</v>
      </c>
      <c r="U23" s="8">
        <v>2915.14695381</v>
      </c>
      <c r="V23" s="8">
        <v>2817.9753886899998</v>
      </c>
      <c r="W23" s="8">
        <v>3175.5568854200001</v>
      </c>
      <c r="X23" s="8">
        <v>3213.9668857400002</v>
      </c>
      <c r="Y23" s="8">
        <v>3169.54016121</v>
      </c>
      <c r="Z23" s="8">
        <v>3267.1075140100002</v>
      </c>
      <c r="AA23" s="8">
        <v>3287.7425362499998</v>
      </c>
      <c r="AB23" s="8">
        <v>3369.4063767100001</v>
      </c>
      <c r="AC23" s="8">
        <v>3468.22305921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1.21179064</v>
      </c>
      <c r="E25" s="8">
        <v>1.5010208899999999</v>
      </c>
      <c r="F25" s="8">
        <v>1.3866334499999999</v>
      </c>
      <c r="G25" s="8">
        <v>1.31940616</v>
      </c>
      <c r="H25" s="8">
        <v>1.2770755899999999</v>
      </c>
      <c r="I25" s="8">
        <v>1.2481352800000001</v>
      </c>
      <c r="J25" s="8">
        <v>1.2232810199999999</v>
      </c>
      <c r="K25" s="8">
        <v>1.1990725099999999</v>
      </c>
      <c r="L25" s="8">
        <v>1.1810915</v>
      </c>
      <c r="M25" s="8">
        <v>1.16725894</v>
      </c>
      <c r="N25" s="8">
        <v>1.15632774</v>
      </c>
      <c r="O25" s="8">
        <v>1</v>
      </c>
      <c r="P25" s="8">
        <v>1</v>
      </c>
      <c r="Q25" s="8">
        <v>1.00000972</v>
      </c>
      <c r="R25" s="8">
        <v>1</v>
      </c>
      <c r="S25" s="8">
        <v>1.05401827</v>
      </c>
      <c r="T25" s="8">
        <v>1</v>
      </c>
      <c r="U25" s="8">
        <v>1.00068461</v>
      </c>
      <c r="V25" s="8">
        <v>1</v>
      </c>
      <c r="W25" s="8">
        <v>1</v>
      </c>
      <c r="X25" s="8">
        <v>1.16575143</v>
      </c>
      <c r="Y25" s="8">
        <v>1.0469953599999999</v>
      </c>
      <c r="Z25" s="8">
        <v>1.02018308</v>
      </c>
      <c r="AA25" s="8">
        <v>1.06632704</v>
      </c>
      <c r="AB25" s="8">
        <v>1.04101654</v>
      </c>
      <c r="AC25" s="8">
        <v>1.06017815</v>
      </c>
    </row>
    <row r="26" spans="1:29" x14ac:dyDescent="0.85">
      <c r="A26" t="s">
        <v>157</v>
      </c>
      <c r="B26" s="8">
        <v>1</v>
      </c>
      <c r="C26" s="8">
        <v>1.21179064</v>
      </c>
      <c r="D26" s="8">
        <v>1.5010208899999999</v>
      </c>
      <c r="E26" s="8">
        <v>1.52265673</v>
      </c>
      <c r="F26" s="8">
        <v>1.38664345</v>
      </c>
      <c r="G26" s="8">
        <v>1.3194159700000001</v>
      </c>
      <c r="H26" s="8">
        <v>1.27708559</v>
      </c>
      <c r="I26" s="8">
        <v>1.2481452799999999</v>
      </c>
      <c r="J26" s="8">
        <v>1.22329102</v>
      </c>
      <c r="K26" s="8">
        <v>1.19908251</v>
      </c>
      <c r="L26" s="8">
        <v>1.1811015</v>
      </c>
      <c r="M26" s="8">
        <v>1.16726894</v>
      </c>
      <c r="N26" s="8">
        <v>1</v>
      </c>
      <c r="O26" s="8">
        <v>1</v>
      </c>
      <c r="P26" s="8">
        <v>1.00000972</v>
      </c>
      <c r="Q26" s="8">
        <v>1</v>
      </c>
      <c r="R26" s="8">
        <v>1.05401827</v>
      </c>
      <c r="S26" s="8">
        <v>1</v>
      </c>
      <c r="T26" s="8">
        <v>1.00068461</v>
      </c>
      <c r="U26" s="8">
        <v>1</v>
      </c>
      <c r="V26" s="8">
        <v>1</v>
      </c>
      <c r="W26" s="8">
        <v>1.16575143</v>
      </c>
      <c r="X26" s="8">
        <v>1.0469953599999999</v>
      </c>
      <c r="Y26" s="8">
        <v>1.02018308</v>
      </c>
      <c r="Z26" s="8">
        <v>1.06632704</v>
      </c>
      <c r="AA26" s="8">
        <v>1.04101654</v>
      </c>
      <c r="AB26" s="8">
        <v>1.06017815</v>
      </c>
      <c r="AC26" s="8">
        <v>1.0648216800000001</v>
      </c>
    </row>
    <row r="27" spans="1:29" x14ac:dyDescent="0.85">
      <c r="A27" t="s">
        <v>158</v>
      </c>
      <c r="B27" s="8">
        <v>1</v>
      </c>
      <c r="C27" s="8">
        <v>1.8431141</v>
      </c>
      <c r="D27" s="8">
        <v>1.7293581099999999</v>
      </c>
      <c r="E27" s="8">
        <v>1.5262658</v>
      </c>
      <c r="F27" s="8">
        <v>1.38664345</v>
      </c>
      <c r="G27" s="8">
        <v>1.3194161600000001</v>
      </c>
      <c r="H27" s="8">
        <v>1.27708559</v>
      </c>
      <c r="I27" s="8">
        <v>1.2481452799999999</v>
      </c>
      <c r="J27" s="8">
        <v>1.22329102</v>
      </c>
      <c r="K27" s="8">
        <v>1.19908251</v>
      </c>
      <c r="L27" s="8">
        <v>1.1811015</v>
      </c>
      <c r="M27" s="8">
        <v>1.16726894</v>
      </c>
      <c r="N27" s="8">
        <v>1.1563377399999999</v>
      </c>
      <c r="O27" s="8">
        <v>1.16467867</v>
      </c>
      <c r="P27" s="8">
        <v>1.17364676</v>
      </c>
      <c r="Q27" s="8">
        <v>1.1816315900000001</v>
      </c>
      <c r="R27" s="8">
        <v>1.19136248</v>
      </c>
      <c r="S27" s="8">
        <v>1.1913787300000001</v>
      </c>
      <c r="T27" s="8">
        <v>1.1982752299999999</v>
      </c>
      <c r="U27" s="8">
        <v>1.20454879</v>
      </c>
      <c r="V27" s="8">
        <v>1.21154454</v>
      </c>
      <c r="W27" s="8">
        <v>1.2188418299999999</v>
      </c>
      <c r="X27" s="8">
        <v>1.20010339</v>
      </c>
      <c r="Y27" s="8">
        <v>1.2004450099999999</v>
      </c>
      <c r="Z27" s="8">
        <v>1.2051575699999999</v>
      </c>
      <c r="AA27" s="8">
        <v>1.2021695100000001</v>
      </c>
      <c r="AB27" s="8">
        <v>1.20346164</v>
      </c>
      <c r="AC27" s="8">
        <v>1.20179419</v>
      </c>
    </row>
    <row r="28" spans="1:29" x14ac:dyDescent="0.85">
      <c r="A28" t="s">
        <v>159</v>
      </c>
      <c r="B28" s="8">
        <v>24984</v>
      </c>
      <c r="C28" s="8">
        <v>23985.25605978</v>
      </c>
      <c r="D28" s="8">
        <v>27037.269543999999</v>
      </c>
      <c r="E28" s="8">
        <v>30321.860589069998</v>
      </c>
      <c r="F28" s="8">
        <v>33791.908080120003</v>
      </c>
      <c r="G28" s="8">
        <v>37577.888652200003</v>
      </c>
      <c r="H28" s="8">
        <v>41712.092166050003</v>
      </c>
      <c r="I28" s="8">
        <v>46229.990053959998</v>
      </c>
      <c r="J28" s="8">
        <v>51058.363854169998</v>
      </c>
      <c r="K28" s="8">
        <v>56027.732808569999</v>
      </c>
      <c r="L28" s="8">
        <v>61151.464878120001</v>
      </c>
      <c r="M28" s="8">
        <v>66443.455386789996</v>
      </c>
      <c r="N28" s="8">
        <v>71918.165076410005</v>
      </c>
      <c r="O28" s="8">
        <v>77455.944489190006</v>
      </c>
      <c r="P28" s="8">
        <v>83065.453429019995</v>
      </c>
      <c r="Q28" s="8">
        <v>88680.436171430003</v>
      </c>
      <c r="R28" s="8">
        <v>91642.366293900006</v>
      </c>
      <c r="S28" s="8">
        <v>91246.762922809998</v>
      </c>
      <c r="T28" s="8">
        <v>87596.893019449999</v>
      </c>
      <c r="U28" s="8">
        <v>84546.765832320001</v>
      </c>
      <c r="V28" s="8">
        <v>81164.895199029997</v>
      </c>
      <c r="W28" s="8">
        <v>81163.274341540004</v>
      </c>
      <c r="X28" s="8">
        <v>83401.210237620006</v>
      </c>
      <c r="Y28" s="8">
        <v>83888.488465870003</v>
      </c>
      <c r="Z28" s="8">
        <v>83449.203012099999</v>
      </c>
      <c r="AA28" s="8">
        <v>83633.341224420001</v>
      </c>
      <c r="AB28" s="8">
        <v>83931.034425189995</v>
      </c>
      <c r="AC28" s="8">
        <v>84384.093823550007</v>
      </c>
    </row>
    <row r="29" spans="1:29" x14ac:dyDescent="0.85">
      <c r="A29" t="s">
        <v>160</v>
      </c>
      <c r="B29" s="8">
        <v>88568191.25</v>
      </c>
      <c r="C29" s="8">
        <v>85027647.529714093</v>
      </c>
      <c r="D29" s="8">
        <v>95847024.489714697</v>
      </c>
      <c r="E29" s="8">
        <v>107490888.076726</v>
      </c>
      <c r="F29" s="8">
        <v>119792194.10591</v>
      </c>
      <c r="G29" s="8">
        <v>133213481.785127</v>
      </c>
      <c r="H29" s="8">
        <v>147869218.55588901</v>
      </c>
      <c r="I29" s="8">
        <v>163885150.51970899</v>
      </c>
      <c r="J29" s="8">
        <v>181001718.48975101</v>
      </c>
      <c r="K29" s="8">
        <v>198618113.78055301</v>
      </c>
      <c r="L29" s="8">
        <v>216781725.76621699</v>
      </c>
      <c r="M29" s="8">
        <v>235541813.32084301</v>
      </c>
      <c r="N29" s="8">
        <v>254949639.72286999</v>
      </c>
      <c r="O29" s="8">
        <v>274581048.06947201</v>
      </c>
      <c r="P29" s="8">
        <v>294466737.33466202</v>
      </c>
      <c r="Q29" s="8">
        <v>314371831.21055198</v>
      </c>
      <c r="R29" s="8">
        <v>324871862.97312802</v>
      </c>
      <c r="S29" s="8">
        <v>323469450.42790902</v>
      </c>
      <c r="T29" s="8">
        <v>310530674.58582002</v>
      </c>
      <c r="U29" s="8">
        <v>299717984.54234302</v>
      </c>
      <c r="V29" s="8">
        <v>287729264.71668601</v>
      </c>
      <c r="W29" s="8">
        <v>287723518.78264701</v>
      </c>
      <c r="X29" s="8">
        <v>295656993.57227898</v>
      </c>
      <c r="Y29" s="8">
        <v>297384393.15779102</v>
      </c>
      <c r="Z29" s="8">
        <v>295827127.78705198</v>
      </c>
      <c r="AA29" s="8">
        <v>296479897.09460402</v>
      </c>
      <c r="AB29" s="8">
        <v>297535218.43222398</v>
      </c>
      <c r="AC29" s="8">
        <v>299141312.38752902</v>
      </c>
    </row>
    <row r="30" spans="1:29" x14ac:dyDescent="0.85">
      <c r="A30" t="s">
        <v>161</v>
      </c>
      <c r="B30" s="8">
        <v>88568191.25</v>
      </c>
      <c r="C30" s="8">
        <v>85027647.529714093</v>
      </c>
      <c r="D30" s="8">
        <v>95847024.489714697</v>
      </c>
      <c r="E30" s="8">
        <v>107490888.076726</v>
      </c>
      <c r="F30" s="8">
        <v>119792194.10591</v>
      </c>
      <c r="G30" s="8">
        <v>133213481.785127</v>
      </c>
      <c r="H30" s="8">
        <v>147869218.55588901</v>
      </c>
      <c r="I30" s="8">
        <v>163885150.51970899</v>
      </c>
      <c r="J30" s="8">
        <v>181001718.48975101</v>
      </c>
      <c r="K30" s="8">
        <v>198618113.78055301</v>
      </c>
      <c r="L30" s="8">
        <v>216781725.76621699</v>
      </c>
      <c r="M30" s="8">
        <v>235541813.32084301</v>
      </c>
      <c r="N30" s="8">
        <v>254949639.72286999</v>
      </c>
      <c r="O30" s="8">
        <v>274581048.06947201</v>
      </c>
      <c r="P30" s="8">
        <v>294466737.33466202</v>
      </c>
      <c r="Q30" s="8">
        <v>314371831.21055198</v>
      </c>
      <c r="R30" s="8">
        <v>324871862.97312802</v>
      </c>
      <c r="S30" s="8">
        <v>323469450.42790902</v>
      </c>
      <c r="T30" s="8">
        <v>310530674.58582002</v>
      </c>
      <c r="U30" s="8">
        <v>299717984.54234302</v>
      </c>
      <c r="V30" s="8">
        <v>287729264.71668601</v>
      </c>
      <c r="W30" s="8">
        <v>287723518.78264701</v>
      </c>
      <c r="X30" s="8">
        <v>295656993.57227898</v>
      </c>
      <c r="Y30" s="8">
        <v>297384393.15779102</v>
      </c>
      <c r="Z30" s="8">
        <v>295827127.78705198</v>
      </c>
      <c r="AA30" s="8">
        <v>296479897.09460402</v>
      </c>
      <c r="AB30" s="8">
        <v>297535218.43222398</v>
      </c>
      <c r="AC30" s="8">
        <v>299141312.38752902</v>
      </c>
    </row>
    <row r="31" spans="1:29" x14ac:dyDescent="0.85">
      <c r="A31" t="s">
        <v>162</v>
      </c>
      <c r="B31" s="8">
        <v>3909.3643633000002</v>
      </c>
      <c r="C31" s="8">
        <v>3753.0861865400002</v>
      </c>
      <c r="D31" s="8">
        <v>4230.6491368899997</v>
      </c>
      <c r="E31" s="8">
        <v>4744.6045955700001</v>
      </c>
      <c r="F31" s="8">
        <v>5287.5792994000003</v>
      </c>
      <c r="G31" s="8">
        <v>5879.9895431000004</v>
      </c>
      <c r="H31" s="8">
        <v>6526.8878735400003</v>
      </c>
      <c r="I31" s="8">
        <v>7233.82467309</v>
      </c>
      <c r="J31" s="8">
        <v>7989.3431035699996</v>
      </c>
      <c r="K31" s="8">
        <v>8766.9237111000002</v>
      </c>
      <c r="L31" s="8">
        <v>9568.65824359</v>
      </c>
      <c r="M31" s="8">
        <v>10396.72096796</v>
      </c>
      <c r="N31" s="8">
        <v>11253.374624689999</v>
      </c>
      <c r="O31" s="8">
        <v>12119.8970986</v>
      </c>
      <c r="P31" s="8">
        <v>12997.64343005</v>
      </c>
      <c r="Q31" s="8">
        <v>13876.24627322</v>
      </c>
      <c r="R31" s="8">
        <v>14339.713454909999</v>
      </c>
      <c r="S31" s="8">
        <v>14277.81152884</v>
      </c>
      <c r="T31" s="8">
        <v>13706.69916369</v>
      </c>
      <c r="U31" s="8">
        <v>13229.43137115</v>
      </c>
      <c r="V31" s="8">
        <v>12700.25411631</v>
      </c>
      <c r="W31" s="8">
        <v>12700.00049309</v>
      </c>
      <c r="X31" s="8">
        <v>13050.180882119999</v>
      </c>
      <c r="Y31" s="8">
        <v>13126.427605639999</v>
      </c>
      <c r="Z31" s="8">
        <v>13057.690537979999</v>
      </c>
      <c r="AA31" s="8">
        <v>13086.50351289</v>
      </c>
      <c r="AB31" s="8">
        <v>13133.084972639999</v>
      </c>
      <c r="AC31" s="8">
        <v>13203.977314399999</v>
      </c>
    </row>
    <row r="32" spans="1:29" x14ac:dyDescent="0.85">
      <c r="A32" t="s">
        <v>163</v>
      </c>
      <c r="B32" s="8">
        <v>0</v>
      </c>
      <c r="C32" s="8">
        <v>6.8022118000000003</v>
      </c>
      <c r="D32" s="8">
        <v>15.33552392</v>
      </c>
      <c r="E32" s="8">
        <v>25.797813139999999</v>
      </c>
      <c r="F32" s="8">
        <v>38.333502109999998</v>
      </c>
      <c r="G32" s="8">
        <v>53.285392710000004</v>
      </c>
      <c r="H32" s="8">
        <v>70.977224910000004</v>
      </c>
      <c r="I32" s="8">
        <v>91.775684290000001</v>
      </c>
      <c r="J32" s="8">
        <v>115.84109983</v>
      </c>
      <c r="K32" s="8">
        <v>143.00504192</v>
      </c>
      <c r="L32" s="8">
        <v>173.42538060999999</v>
      </c>
      <c r="M32" s="8">
        <v>207.27679572</v>
      </c>
      <c r="N32" s="8">
        <v>244.75165412999999</v>
      </c>
      <c r="O32" s="8">
        <v>285.56428999000002</v>
      </c>
      <c r="P32" s="8">
        <v>329.80274580999998</v>
      </c>
      <c r="Q32" s="8">
        <v>377.24619745000001</v>
      </c>
      <c r="R32" s="8">
        <v>415.83598461000003</v>
      </c>
      <c r="S32" s="8">
        <v>439.91845258000001</v>
      </c>
      <c r="T32" s="8">
        <v>447.16417139999999</v>
      </c>
      <c r="U32" s="8">
        <v>455.57133649999997</v>
      </c>
      <c r="V32" s="8">
        <v>460.36682354999999</v>
      </c>
      <c r="W32" s="8">
        <v>483.37551155</v>
      </c>
      <c r="X32" s="8">
        <v>520.35630868999999</v>
      </c>
      <c r="Y32" s="8">
        <v>547.18728340999996</v>
      </c>
      <c r="Z32" s="8">
        <v>567.98808535000001</v>
      </c>
      <c r="AA32" s="8">
        <v>592.95979419000003</v>
      </c>
      <c r="AB32" s="8">
        <v>618.87325434000002</v>
      </c>
      <c r="AC32" s="8">
        <v>646.14523475999999</v>
      </c>
    </row>
    <row r="33" spans="1:29" x14ac:dyDescent="0.85">
      <c r="A33" t="s">
        <v>164</v>
      </c>
      <c r="B33" s="8">
        <v>0.35427277000000001</v>
      </c>
      <c r="C33" s="8">
        <v>0.34011058999999999</v>
      </c>
      <c r="D33" s="8">
        <v>0.38338810000000001</v>
      </c>
      <c r="E33" s="8">
        <v>0.42996355000000003</v>
      </c>
      <c r="F33" s="8">
        <v>0.47916878000000002</v>
      </c>
      <c r="G33" s="8">
        <v>0.53285393000000003</v>
      </c>
      <c r="H33" s="8">
        <v>0.59147687000000004</v>
      </c>
      <c r="I33" s="8">
        <v>0.65554060000000003</v>
      </c>
      <c r="J33" s="8">
        <v>0.72400686999999997</v>
      </c>
      <c r="K33" s="8">
        <v>0.79447246000000005</v>
      </c>
      <c r="L33" s="8">
        <v>0.86712690000000003</v>
      </c>
      <c r="M33" s="8">
        <v>0.94216725000000001</v>
      </c>
      <c r="N33" s="8">
        <v>1.0197985599999999</v>
      </c>
      <c r="O33" s="8">
        <v>1.09832419</v>
      </c>
      <c r="P33" s="8">
        <v>1.1778669500000001</v>
      </c>
      <c r="Q33" s="8">
        <v>1.2574873200000001</v>
      </c>
      <c r="R33" s="8">
        <v>1.29948745</v>
      </c>
      <c r="S33" s="8">
        <v>1.2938778</v>
      </c>
      <c r="T33" s="8">
        <v>1.2421226999999999</v>
      </c>
      <c r="U33" s="8">
        <v>1.1988719400000001</v>
      </c>
      <c r="V33" s="8">
        <v>1.15091706</v>
      </c>
      <c r="W33" s="8">
        <v>1.15089408</v>
      </c>
      <c r="X33" s="8">
        <v>1.18262797</v>
      </c>
      <c r="Y33" s="8">
        <v>1.1895375699999999</v>
      </c>
      <c r="Z33" s="8">
        <v>1.18330851</v>
      </c>
      <c r="AA33" s="8">
        <v>1.1859195899999999</v>
      </c>
      <c r="AB33" s="8">
        <v>1.19014087</v>
      </c>
      <c r="AC33" s="8">
        <v>1.1965652499999999</v>
      </c>
    </row>
    <row r="34" spans="1:29" x14ac:dyDescent="0.85">
      <c r="A34" t="s">
        <v>165</v>
      </c>
      <c r="B34" s="8">
        <v>3909.3643633000002</v>
      </c>
      <c r="C34" s="8">
        <v>3753.0861865400002</v>
      </c>
      <c r="D34" s="8">
        <v>4230.6491368899997</v>
      </c>
      <c r="E34" s="8">
        <v>4744.6045955700001</v>
      </c>
      <c r="F34" s="8">
        <v>5287.5792994000003</v>
      </c>
      <c r="G34" s="8">
        <v>5879.9895431000004</v>
      </c>
      <c r="H34" s="8">
        <v>6526.8878735400003</v>
      </c>
      <c r="I34" s="8">
        <v>7233.82467309</v>
      </c>
      <c r="J34" s="8">
        <v>7989.3431035699996</v>
      </c>
      <c r="K34" s="8">
        <v>8766.9237111000002</v>
      </c>
      <c r="L34" s="8">
        <v>9568.65824359</v>
      </c>
      <c r="M34" s="8">
        <v>10396.72096796</v>
      </c>
      <c r="N34" s="8">
        <v>11253.374624689999</v>
      </c>
      <c r="O34" s="8">
        <v>12119.8970986</v>
      </c>
      <c r="P34" s="8">
        <v>12997.64343005</v>
      </c>
      <c r="Q34" s="8">
        <v>13876.24627322</v>
      </c>
      <c r="R34" s="8">
        <v>14339.713454909999</v>
      </c>
      <c r="S34" s="8">
        <v>14277.81152884</v>
      </c>
      <c r="T34" s="8">
        <v>13706.69916369</v>
      </c>
      <c r="U34" s="8">
        <v>13229.43137115</v>
      </c>
      <c r="V34" s="8">
        <v>12700.25411631</v>
      </c>
      <c r="W34" s="8">
        <v>12700.00049309</v>
      </c>
      <c r="X34" s="8">
        <v>13050.180882119999</v>
      </c>
      <c r="Y34" s="8">
        <v>13126.427605639999</v>
      </c>
      <c r="Z34" s="8">
        <v>13057.690537979999</v>
      </c>
      <c r="AA34" s="8">
        <v>13086.50351289</v>
      </c>
      <c r="AB34" s="8">
        <v>13133.084972639999</v>
      </c>
      <c r="AC34" s="8">
        <v>13203.977314399999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1.00002569</v>
      </c>
      <c r="E36" s="8">
        <v>1.16820232</v>
      </c>
      <c r="F36" s="8">
        <v>1.1608654700000001</v>
      </c>
      <c r="G36" s="8">
        <v>1.158363</v>
      </c>
      <c r="H36" s="8">
        <v>1.1562576200000001</v>
      </c>
      <c r="I36" s="8">
        <v>1.1544811100000001</v>
      </c>
      <c r="J36" s="8">
        <v>1.1504508899999999</v>
      </c>
      <c r="K36" s="8">
        <v>1.1430391900000001</v>
      </c>
      <c r="L36" s="8">
        <v>1.1369170099999999</v>
      </c>
      <c r="M36" s="8">
        <v>1.13180152</v>
      </c>
      <c r="N36" s="8">
        <v>1.1274863799999999</v>
      </c>
      <c r="O36" s="8">
        <v>1.1218661700000001</v>
      </c>
      <c r="P36" s="8">
        <v>1.1170973500000001</v>
      </c>
      <c r="Q36" s="8">
        <v>1.1120710300000001</v>
      </c>
      <c r="R36" s="8">
        <v>1.1083852700000001</v>
      </c>
      <c r="S36" s="8">
        <v>1.07645838</v>
      </c>
      <c r="T36" s="8">
        <v>1.03716998</v>
      </c>
      <c r="U36" s="8">
        <v>1.0000000099999999</v>
      </c>
      <c r="V36" s="8">
        <v>1.0053957899999999</v>
      </c>
      <c r="W36" s="8">
        <v>1</v>
      </c>
      <c r="X36" s="8">
        <v>1.04164586</v>
      </c>
      <c r="Y36" s="8">
        <v>1.0703888100000001</v>
      </c>
      <c r="Z36" s="8">
        <v>1.04775269</v>
      </c>
      <c r="AA36" s="8">
        <v>1.0362119400000001</v>
      </c>
      <c r="AB36" s="8">
        <v>1.0439651999999999</v>
      </c>
      <c r="AC36" s="8">
        <v>1.04537448</v>
      </c>
    </row>
    <row r="37" spans="1:29" x14ac:dyDescent="0.85">
      <c r="A37" t="s">
        <v>168</v>
      </c>
      <c r="B37" s="8">
        <v>1</v>
      </c>
      <c r="C37" s="8">
        <v>1.00002569</v>
      </c>
      <c r="D37" s="8">
        <v>1.1742139599999999</v>
      </c>
      <c r="E37" s="8">
        <v>1.1682123200000001</v>
      </c>
      <c r="F37" s="8">
        <v>1.1608754699999999</v>
      </c>
      <c r="G37" s="8">
        <v>1.1583730000000001</v>
      </c>
      <c r="H37" s="8">
        <v>1.1562676199999999</v>
      </c>
      <c r="I37" s="8">
        <v>1.1544911099999999</v>
      </c>
      <c r="J37" s="8">
        <v>1.15046089</v>
      </c>
      <c r="K37" s="8">
        <v>1.1430491899999999</v>
      </c>
      <c r="L37" s="8">
        <v>1.13692701</v>
      </c>
      <c r="M37" s="8">
        <v>1.1318115200000001</v>
      </c>
      <c r="N37" s="8">
        <v>1.12749638</v>
      </c>
      <c r="O37" s="8">
        <v>1.12187617</v>
      </c>
      <c r="P37" s="8">
        <v>1.1171061799999999</v>
      </c>
      <c r="Q37" s="8">
        <v>1.1120802999999999</v>
      </c>
      <c r="R37" s="8">
        <v>1.07645838</v>
      </c>
      <c r="S37" s="8">
        <v>1.03716998</v>
      </c>
      <c r="T37" s="8">
        <v>1.0000000099999999</v>
      </c>
      <c r="U37" s="8">
        <v>1.0053957899999999</v>
      </c>
      <c r="V37" s="8">
        <v>1</v>
      </c>
      <c r="W37" s="8">
        <v>1.04164586</v>
      </c>
      <c r="X37" s="8">
        <v>1.0703888100000001</v>
      </c>
      <c r="Y37" s="8">
        <v>1.04775269</v>
      </c>
      <c r="Z37" s="8">
        <v>1.0362119400000001</v>
      </c>
      <c r="AA37" s="8">
        <v>1.0439651999999999</v>
      </c>
      <c r="AB37" s="8">
        <v>1.04537448</v>
      </c>
      <c r="AC37" s="8">
        <v>1.0472895799999999</v>
      </c>
    </row>
    <row r="38" spans="1:29" x14ac:dyDescent="0.85">
      <c r="A38" t="s">
        <v>169</v>
      </c>
      <c r="B38" s="8">
        <v>1</v>
      </c>
      <c r="C38" s="8">
        <v>1.17342594</v>
      </c>
      <c r="D38" s="8">
        <v>1.18133413</v>
      </c>
      <c r="E38" s="8">
        <v>1.1682123200000001</v>
      </c>
      <c r="F38" s="8">
        <v>1.1608754699999999</v>
      </c>
      <c r="G38" s="8">
        <v>1.1583730000000001</v>
      </c>
      <c r="H38" s="8">
        <v>1.1562676199999999</v>
      </c>
      <c r="I38" s="8">
        <v>1.1544911099999999</v>
      </c>
      <c r="J38" s="8">
        <v>1.15046089</v>
      </c>
      <c r="K38" s="8">
        <v>1.1430491899999999</v>
      </c>
      <c r="L38" s="8">
        <v>1.13692701</v>
      </c>
      <c r="M38" s="8">
        <v>1.1318115200000001</v>
      </c>
      <c r="N38" s="8">
        <v>1.12749638</v>
      </c>
      <c r="O38" s="8">
        <v>1.12187617</v>
      </c>
      <c r="P38" s="8">
        <v>1.1171073499999999</v>
      </c>
      <c r="Q38" s="8">
        <v>1.1120810299999999</v>
      </c>
      <c r="R38" s="8">
        <v>1.1083952699999999</v>
      </c>
      <c r="S38" s="8">
        <v>1.10716189</v>
      </c>
      <c r="T38" s="8">
        <v>1.1080270800000001</v>
      </c>
      <c r="U38" s="8">
        <v>1.11182041</v>
      </c>
      <c r="V38" s="8">
        <v>1.1154478699999999</v>
      </c>
      <c r="W38" s="8">
        <v>1.1197722400000001</v>
      </c>
      <c r="X38" s="8">
        <v>1.12183926</v>
      </c>
      <c r="Y38" s="8">
        <v>1.1204955700000001</v>
      </c>
      <c r="Z38" s="8">
        <v>1.12110401</v>
      </c>
      <c r="AA38" s="8">
        <v>1.1230741900000001</v>
      </c>
      <c r="AB38" s="8">
        <v>1.12423093</v>
      </c>
      <c r="AC38" s="8">
        <v>1.12547361</v>
      </c>
    </row>
    <row r="39" spans="1:29" x14ac:dyDescent="0.85">
      <c r="A39" t="s">
        <v>170</v>
      </c>
      <c r="B39" s="8">
        <v>13447</v>
      </c>
      <c r="C39" s="8">
        <v>13113.111490249999</v>
      </c>
      <c r="D39" s="8">
        <v>12792.39606005</v>
      </c>
      <c r="E39" s="8">
        <v>12472.58616612</v>
      </c>
      <c r="F39" s="8">
        <v>16950.537386579999</v>
      </c>
      <c r="G39" s="8">
        <v>21834.164763410001</v>
      </c>
      <c r="H39" s="8">
        <v>27164.321487699999</v>
      </c>
      <c r="I39" s="8">
        <v>32985.909788849996</v>
      </c>
      <c r="J39" s="8">
        <v>39223.896902929999</v>
      </c>
      <c r="K39" s="8">
        <v>45695.246837730003</v>
      </c>
      <c r="L39" s="8">
        <v>52416.748875099998</v>
      </c>
      <c r="M39" s="8">
        <v>59405.992932890003</v>
      </c>
      <c r="N39" s="8">
        <v>66681.419515029993</v>
      </c>
      <c r="O39" s="8">
        <v>74113.011270090006</v>
      </c>
      <c r="P39" s="8">
        <v>78608.811463530001</v>
      </c>
      <c r="Q39" s="8">
        <v>85127.84911712</v>
      </c>
      <c r="R39" s="8">
        <v>87650.415973390001</v>
      </c>
      <c r="S39" s="8">
        <v>90695.645129569995</v>
      </c>
      <c r="T39" s="8">
        <v>98706.070750329993</v>
      </c>
      <c r="U39" s="8">
        <v>106723.04271749999</v>
      </c>
      <c r="V39" s="8">
        <v>114725.29509816</v>
      </c>
      <c r="W39" s="8">
        <v>118179.03801015</v>
      </c>
      <c r="X39" s="8">
        <v>116692.91534321</v>
      </c>
      <c r="Y39" s="8">
        <v>120775.50527949</v>
      </c>
      <c r="Z39" s="8">
        <v>125054.73795357</v>
      </c>
      <c r="AA39" s="8">
        <v>129345.33541527</v>
      </c>
      <c r="AB39" s="8">
        <v>133674.45036461999</v>
      </c>
      <c r="AC39" s="8">
        <v>137919.99196931999</v>
      </c>
    </row>
    <row r="40" spans="1:29" x14ac:dyDescent="0.85">
      <c r="A40" t="s">
        <v>171</v>
      </c>
      <c r="B40" s="8">
        <v>92994416.5</v>
      </c>
      <c r="C40" s="8">
        <v>90685368.597867399</v>
      </c>
      <c r="D40" s="8">
        <v>88467420.780933797</v>
      </c>
      <c r="E40" s="8">
        <v>86255735.313793495</v>
      </c>
      <c r="F40" s="8">
        <v>117223569.095456</v>
      </c>
      <c r="G40" s="8">
        <v>150996907.26097301</v>
      </c>
      <c r="H40" s="8">
        <v>187858275.18157899</v>
      </c>
      <c r="I40" s="8">
        <v>228118199.86138099</v>
      </c>
      <c r="J40" s="8">
        <v>271257782.80244303</v>
      </c>
      <c r="K40" s="8">
        <v>316011215.62415498</v>
      </c>
      <c r="L40" s="8">
        <v>362494606.71282101</v>
      </c>
      <c r="M40" s="8">
        <v>410829601.35328001</v>
      </c>
      <c r="N40" s="8">
        <v>461143727.165286</v>
      </c>
      <c r="O40" s="8">
        <v>512537832.834095</v>
      </c>
      <c r="P40" s="8">
        <v>543629103.42899406</v>
      </c>
      <c r="Q40" s="8">
        <v>588712326.65623701</v>
      </c>
      <c r="R40" s="8">
        <v>606157454.40827298</v>
      </c>
      <c r="S40" s="8">
        <v>627217118.90497005</v>
      </c>
      <c r="T40" s="8">
        <v>682614222.83292794</v>
      </c>
      <c r="U40" s="8">
        <v>738056598.84126997</v>
      </c>
      <c r="V40" s="8">
        <v>793397179.70133102</v>
      </c>
      <c r="W40" s="8">
        <v>817281972.35704505</v>
      </c>
      <c r="X40" s="8">
        <v>807004504.50106299</v>
      </c>
      <c r="Y40" s="8">
        <v>835238167.69235897</v>
      </c>
      <c r="Z40" s="8">
        <v>864831738.42143297</v>
      </c>
      <c r="AA40" s="8">
        <v>894503903.76584804</v>
      </c>
      <c r="AB40" s="8">
        <v>924442441.63127804</v>
      </c>
      <c r="AC40" s="8">
        <v>953803017.54083705</v>
      </c>
    </row>
    <row r="41" spans="1:29" x14ac:dyDescent="0.85">
      <c r="A41" t="s">
        <v>172</v>
      </c>
      <c r="B41" s="8">
        <v>92994416.5</v>
      </c>
      <c r="C41" s="8">
        <v>90685368.597867399</v>
      </c>
      <c r="D41" s="8">
        <v>88467420.780933797</v>
      </c>
      <c r="E41" s="8">
        <v>86255735.313793495</v>
      </c>
      <c r="F41" s="8">
        <v>117223569.095456</v>
      </c>
      <c r="G41" s="8">
        <v>150996907.26097301</v>
      </c>
      <c r="H41" s="8">
        <v>187858275.18157899</v>
      </c>
      <c r="I41" s="8">
        <v>228118199.86138099</v>
      </c>
      <c r="J41" s="8">
        <v>271257782.80244303</v>
      </c>
      <c r="K41" s="8">
        <v>316011215.62415498</v>
      </c>
      <c r="L41" s="8">
        <v>362494606.71282101</v>
      </c>
      <c r="M41" s="8">
        <v>410829601.35328001</v>
      </c>
      <c r="N41" s="8">
        <v>461143727.165286</v>
      </c>
      <c r="O41" s="8">
        <v>512537832.834095</v>
      </c>
      <c r="P41" s="8">
        <v>543629103.42899406</v>
      </c>
      <c r="Q41" s="8">
        <v>588712326.65623701</v>
      </c>
      <c r="R41" s="8">
        <v>606157454.40827298</v>
      </c>
      <c r="S41" s="8">
        <v>627217118.90497005</v>
      </c>
      <c r="T41" s="8">
        <v>682614222.83292794</v>
      </c>
      <c r="U41" s="8">
        <v>738056598.84126997</v>
      </c>
      <c r="V41" s="8">
        <v>793397179.70133102</v>
      </c>
      <c r="W41" s="8">
        <v>817281972.35704505</v>
      </c>
      <c r="X41" s="8">
        <v>807004504.50106299</v>
      </c>
      <c r="Y41" s="8">
        <v>835238167.69235897</v>
      </c>
      <c r="Z41" s="8">
        <v>864831738.42143297</v>
      </c>
      <c r="AA41" s="8">
        <v>894503903.76584804</v>
      </c>
      <c r="AB41" s="8">
        <v>924442441.63127804</v>
      </c>
      <c r="AC41" s="8">
        <v>953803017.54083705</v>
      </c>
    </row>
    <row r="42" spans="1:29" x14ac:dyDescent="0.85">
      <c r="A42" t="s">
        <v>173</v>
      </c>
      <c r="B42" s="8">
        <v>7281.1803724399997</v>
      </c>
      <c r="C42" s="8">
        <v>7100.3889346599999</v>
      </c>
      <c r="D42" s="8">
        <v>6926.7303568699999</v>
      </c>
      <c r="E42" s="8">
        <v>6753.5621020500002</v>
      </c>
      <c r="F42" s="8">
        <v>9178.2494326899996</v>
      </c>
      <c r="G42" s="8">
        <v>11822.599235809999</v>
      </c>
      <c r="H42" s="8">
        <v>14708.73238988</v>
      </c>
      <c r="I42" s="8">
        <v>17860.962216219999</v>
      </c>
      <c r="J42" s="8">
        <v>21238.660538420001</v>
      </c>
      <c r="K42" s="8">
        <v>24742.71840473</v>
      </c>
      <c r="L42" s="8">
        <v>28382.226749180001</v>
      </c>
      <c r="M42" s="8">
        <v>32166.710028109999</v>
      </c>
      <c r="N42" s="8">
        <v>36106.153266820002</v>
      </c>
      <c r="O42" s="8">
        <v>40130.155648239997</v>
      </c>
      <c r="P42" s="8">
        <v>42564.507706459997</v>
      </c>
      <c r="Q42" s="8">
        <v>46094.387159899998</v>
      </c>
      <c r="R42" s="8">
        <v>47460.28767913</v>
      </c>
      <c r="S42" s="8">
        <v>49109.195447519996</v>
      </c>
      <c r="T42" s="8">
        <v>53446.62043486</v>
      </c>
      <c r="U42" s="8">
        <v>57787.590088589997</v>
      </c>
      <c r="V42" s="8">
        <v>62120.58949138</v>
      </c>
      <c r="W42" s="8">
        <v>63990.696214230004</v>
      </c>
      <c r="X42" s="8">
        <v>63186.001695489998</v>
      </c>
      <c r="Y42" s="8">
        <v>65396.61177304</v>
      </c>
      <c r="Z42" s="8">
        <v>67713.698480520005</v>
      </c>
      <c r="AA42" s="8">
        <v>70036.938907689997</v>
      </c>
      <c r="AB42" s="8">
        <v>72381.035494230004</v>
      </c>
      <c r="AC42" s="8">
        <v>74679.879415000003</v>
      </c>
    </row>
    <row r="43" spans="1:29" x14ac:dyDescent="0.85">
      <c r="A43" t="s">
        <v>174</v>
      </c>
      <c r="B43" s="8">
        <v>0</v>
      </c>
      <c r="C43" s="8">
        <v>5.4411221200000002</v>
      </c>
      <c r="D43" s="8">
        <v>10.616090489999999</v>
      </c>
      <c r="E43" s="8">
        <v>15.52603236</v>
      </c>
      <c r="F43" s="8">
        <v>28.13365658</v>
      </c>
      <c r="G43" s="8">
        <v>45.299072180000003</v>
      </c>
      <c r="H43" s="8">
        <v>67.62897907</v>
      </c>
      <c r="I43" s="8">
        <v>95.809643940000001</v>
      </c>
      <c r="J43" s="8">
        <v>130.20373574999999</v>
      </c>
      <c r="K43" s="8">
        <v>170.64605644</v>
      </c>
      <c r="L43" s="8">
        <v>217.49676403000001</v>
      </c>
      <c r="M43" s="8">
        <v>271.14753689000003</v>
      </c>
      <c r="N43" s="8">
        <v>332.02348355999999</v>
      </c>
      <c r="O43" s="8">
        <v>399.77950960999999</v>
      </c>
      <c r="P43" s="8">
        <v>456.64844687999999</v>
      </c>
      <c r="Q43" s="8">
        <v>529.84109398999999</v>
      </c>
      <c r="R43" s="8">
        <v>581.91115622999996</v>
      </c>
      <c r="S43" s="8">
        <v>639.76146128000005</v>
      </c>
      <c r="T43" s="8">
        <v>737.22336066000003</v>
      </c>
      <c r="U43" s="8">
        <v>841.38452268000003</v>
      </c>
      <c r="V43" s="8">
        <v>952.07661564</v>
      </c>
      <c r="W43" s="8">
        <v>1029.77528517</v>
      </c>
      <c r="X43" s="8">
        <v>1065.24594594</v>
      </c>
      <c r="Y43" s="8">
        <v>1152.62867142</v>
      </c>
      <c r="Z43" s="8">
        <v>1245.35770333</v>
      </c>
      <c r="AA43" s="8">
        <v>1341.7558556500001</v>
      </c>
      <c r="AB43" s="8">
        <v>1442.1302089400001</v>
      </c>
      <c r="AC43" s="8">
        <v>1545.16088842</v>
      </c>
    </row>
    <row r="44" spans="1:29" x14ac:dyDescent="0.85">
      <c r="A44" t="s">
        <v>175</v>
      </c>
      <c r="B44" s="8">
        <v>0.27898325000000002</v>
      </c>
      <c r="C44" s="8">
        <v>0.27205611000000002</v>
      </c>
      <c r="D44" s="8">
        <v>0.26540226</v>
      </c>
      <c r="E44" s="8">
        <v>0.25876721000000003</v>
      </c>
      <c r="F44" s="8">
        <v>0.35167071</v>
      </c>
      <c r="G44" s="8">
        <v>0.45299072000000001</v>
      </c>
      <c r="H44" s="8">
        <v>0.56357482999999997</v>
      </c>
      <c r="I44" s="8">
        <v>0.68435460000000004</v>
      </c>
      <c r="J44" s="8">
        <v>0.81377334999999995</v>
      </c>
      <c r="K44" s="8">
        <v>0.94803364999999995</v>
      </c>
      <c r="L44" s="8">
        <v>1.0874838200000001</v>
      </c>
      <c r="M44" s="8">
        <v>1.2324888000000001</v>
      </c>
      <c r="N44" s="8">
        <v>1.3834311800000001</v>
      </c>
      <c r="O44" s="8">
        <v>1.5376135</v>
      </c>
      <c r="P44" s="8">
        <v>1.6308873100000001</v>
      </c>
      <c r="Q44" s="8">
        <v>1.76613698</v>
      </c>
      <c r="R44" s="8">
        <v>1.8184723599999999</v>
      </c>
      <c r="S44" s="8">
        <v>1.88165136</v>
      </c>
      <c r="T44" s="8">
        <v>2.0478426700000001</v>
      </c>
      <c r="U44" s="8">
        <v>2.2141698000000001</v>
      </c>
      <c r="V44" s="8">
        <v>2.3801915400000002</v>
      </c>
      <c r="W44" s="8">
        <v>2.4518459199999998</v>
      </c>
      <c r="X44" s="8">
        <v>2.4210135099999999</v>
      </c>
      <c r="Y44" s="8">
        <v>2.5057144999999998</v>
      </c>
      <c r="Z44" s="8">
        <v>2.5944952200000002</v>
      </c>
      <c r="AA44" s="8">
        <v>2.6835117099999999</v>
      </c>
      <c r="AB44" s="8">
        <v>2.7733273199999999</v>
      </c>
      <c r="AC44" s="8">
        <v>2.8614090499999998</v>
      </c>
    </row>
    <row r="45" spans="1:29" x14ac:dyDescent="0.85">
      <c r="A45" t="s">
        <v>176</v>
      </c>
      <c r="B45" s="8">
        <v>6341.0068216199998</v>
      </c>
      <c r="C45" s="8">
        <v>6183.55985814</v>
      </c>
      <c r="D45" s="8">
        <v>6032.32473278</v>
      </c>
      <c r="E45" s="8">
        <v>5881.5166180300002</v>
      </c>
      <c r="F45" s="8">
        <v>7993.1191491400004</v>
      </c>
      <c r="G45" s="8">
        <v>10296.020503399999</v>
      </c>
      <c r="H45" s="8">
        <v>12809.4852278</v>
      </c>
      <c r="I45" s="8">
        <v>15554.687215620001</v>
      </c>
      <c r="J45" s="8">
        <v>18496.244354279999</v>
      </c>
      <c r="K45" s="8">
        <v>21547.845014769999</v>
      </c>
      <c r="L45" s="8">
        <v>24717.406275320001</v>
      </c>
      <c r="M45" s="8">
        <v>28013.222758430002</v>
      </c>
      <c r="N45" s="8">
        <v>31443.990185179999</v>
      </c>
      <c r="O45" s="8">
        <v>34948.398158290001</v>
      </c>
      <c r="P45" s="8">
        <v>37068.417470790002</v>
      </c>
      <c r="Q45" s="8">
        <v>40142.505537409997</v>
      </c>
      <c r="R45" s="8">
        <v>41332.03581506</v>
      </c>
      <c r="S45" s="8">
        <v>42768.030375390001</v>
      </c>
      <c r="T45" s="8">
        <v>46545.390642010003</v>
      </c>
      <c r="U45" s="8">
        <v>50325.837874299999</v>
      </c>
      <c r="V45" s="8">
        <v>54099.344004600003</v>
      </c>
      <c r="W45" s="8">
        <v>55727.975473699997</v>
      </c>
      <c r="X45" s="8">
        <v>55027.186154980001</v>
      </c>
      <c r="Y45" s="8">
        <v>56952.35389767</v>
      </c>
      <c r="Z45" s="8">
        <v>58970.249605079996</v>
      </c>
      <c r="AA45" s="8">
        <v>60993.504440620003</v>
      </c>
      <c r="AB45" s="8">
        <v>63034.922409339997</v>
      </c>
      <c r="AC45" s="8">
        <v>65036.930907659997</v>
      </c>
    </row>
    <row r="46" spans="1:29" x14ac:dyDescent="0.85">
      <c r="A46" t="s">
        <v>177</v>
      </c>
      <c r="B46" s="8">
        <v>940.17355081999995</v>
      </c>
      <c r="C46" s="8">
        <v>916.82907651999994</v>
      </c>
      <c r="D46" s="8">
        <v>894.40562409999995</v>
      </c>
      <c r="E46" s="8">
        <v>872.04548402</v>
      </c>
      <c r="F46" s="8">
        <v>1185.13028356</v>
      </c>
      <c r="G46" s="8">
        <v>1526.5787324099999</v>
      </c>
      <c r="H46" s="8">
        <v>1899.2471620900001</v>
      </c>
      <c r="I46" s="8">
        <v>2306.2750006000001</v>
      </c>
      <c r="J46" s="8">
        <v>2742.4161841300001</v>
      </c>
      <c r="K46" s="8">
        <v>3194.8733899600002</v>
      </c>
      <c r="L46" s="8">
        <v>3664.8204738700001</v>
      </c>
      <c r="M46" s="8">
        <v>4153.4872696800003</v>
      </c>
      <c r="N46" s="8">
        <v>4662.1630816400002</v>
      </c>
      <c r="O46" s="8">
        <v>5181.7574899499996</v>
      </c>
      <c r="P46" s="8">
        <v>5496.0902356699999</v>
      </c>
      <c r="Q46" s="8">
        <v>5951.8816224900002</v>
      </c>
      <c r="R46" s="8">
        <v>6128.25186407</v>
      </c>
      <c r="S46" s="8">
        <v>6341.1650721300002</v>
      </c>
      <c r="T46" s="8">
        <v>6901.2297928400003</v>
      </c>
      <c r="U46" s="8">
        <v>7461.7522142899998</v>
      </c>
      <c r="V46" s="8">
        <v>8021.2454867799997</v>
      </c>
      <c r="W46" s="8">
        <v>8262.7207405299996</v>
      </c>
      <c r="X46" s="8">
        <v>8158.8155405099997</v>
      </c>
      <c r="Y46" s="8">
        <v>8444.25787537</v>
      </c>
      <c r="Z46" s="8">
        <v>8743.4488754400008</v>
      </c>
      <c r="AA46" s="8">
        <v>9043.4344670699993</v>
      </c>
      <c r="AB46" s="8">
        <v>9346.1130848899993</v>
      </c>
      <c r="AC46" s="8">
        <v>9642.9485073399992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1.0001743999999999</v>
      </c>
      <c r="E47" s="8">
        <v>1.00055629</v>
      </c>
      <c r="F47" s="8">
        <v>1</v>
      </c>
      <c r="G47" s="8">
        <v>1.3211289500000001</v>
      </c>
      <c r="H47" s="8">
        <v>1.27601053</v>
      </c>
      <c r="I47" s="8">
        <v>1.24543625</v>
      </c>
      <c r="J47" s="8">
        <v>1.21959068</v>
      </c>
      <c r="K47" s="8">
        <v>1.1948462900000001</v>
      </c>
      <c r="L47" s="8">
        <v>1.1764967900000001</v>
      </c>
      <c r="M47" s="8">
        <v>1.1623899</v>
      </c>
      <c r="N47" s="8">
        <v>1.15124084</v>
      </c>
      <c r="O47" s="8">
        <v>1.13993791</v>
      </c>
      <c r="P47" s="8">
        <v>1.1307795199999999</v>
      </c>
      <c r="Q47" s="8">
        <v>1.08785786</v>
      </c>
      <c r="R47" s="8">
        <v>1.11069755</v>
      </c>
      <c r="S47" s="8">
        <v>1.0560335199999999</v>
      </c>
      <c r="T47" s="8">
        <v>1.0612747600000001</v>
      </c>
      <c r="U47" s="8">
        <v>1.1089450000000001</v>
      </c>
      <c r="V47" s="8">
        <v>1.10253511</v>
      </c>
      <c r="W47" s="8">
        <v>1.0970457600000001</v>
      </c>
      <c r="X47" s="8">
        <v>1.05651739</v>
      </c>
      <c r="Y47" s="8">
        <v>1.0127434099999999</v>
      </c>
      <c r="Z47" s="8">
        <v>1.0615238499999999</v>
      </c>
      <c r="AA47" s="8">
        <v>1.06198082</v>
      </c>
      <c r="AB47" s="8">
        <v>1.0608305200000001</v>
      </c>
      <c r="AC47" s="8">
        <v>1.0599686500000001</v>
      </c>
    </row>
    <row r="48" spans="1:29" x14ac:dyDescent="0.85">
      <c r="A48" t="s">
        <v>179</v>
      </c>
      <c r="B48" s="8">
        <v>1</v>
      </c>
      <c r="C48" s="8">
        <v>1.0001743999999999</v>
      </c>
      <c r="D48" s="8">
        <v>1.00055629</v>
      </c>
      <c r="E48" s="8">
        <v>1</v>
      </c>
      <c r="F48" s="8">
        <v>1.3938702300000001</v>
      </c>
      <c r="G48" s="8">
        <v>1.3211389499999999</v>
      </c>
      <c r="H48" s="8">
        <v>1.27602053</v>
      </c>
      <c r="I48" s="8">
        <v>1.2454462500000001</v>
      </c>
      <c r="J48" s="8">
        <v>1.2196006800000001</v>
      </c>
      <c r="K48" s="8">
        <v>1.1948562899999999</v>
      </c>
      <c r="L48" s="8">
        <v>1.1765067899999999</v>
      </c>
      <c r="M48" s="8">
        <v>1.1623999</v>
      </c>
      <c r="N48" s="8">
        <v>1.1512508400000001</v>
      </c>
      <c r="O48" s="8">
        <v>1.1399479100000001</v>
      </c>
      <c r="P48" s="8">
        <v>1.08785786</v>
      </c>
      <c r="Q48" s="8">
        <v>1.11069755</v>
      </c>
      <c r="R48" s="8">
        <v>1.0560335199999999</v>
      </c>
      <c r="S48" s="8">
        <v>1.0612747600000001</v>
      </c>
      <c r="T48" s="8">
        <v>1.11622775</v>
      </c>
      <c r="U48" s="8">
        <v>1.1089442599999999</v>
      </c>
      <c r="V48" s="8">
        <v>1.1025451100000001</v>
      </c>
      <c r="W48" s="8">
        <v>1.05651739</v>
      </c>
      <c r="X48" s="8">
        <v>1.0127434099999999</v>
      </c>
      <c r="Y48" s="8">
        <v>1.0615238499999999</v>
      </c>
      <c r="Z48" s="8">
        <v>1.06198082</v>
      </c>
      <c r="AA48" s="8">
        <v>1.0608305200000001</v>
      </c>
      <c r="AB48" s="8">
        <v>1.0599686500000001</v>
      </c>
      <c r="AC48" s="8">
        <v>1.0582157000000001</v>
      </c>
    </row>
    <row r="49" spans="1:29" x14ac:dyDescent="0.85">
      <c r="A49" t="s">
        <v>180</v>
      </c>
      <c r="B49" s="8">
        <v>1</v>
      </c>
      <c r="C49" s="8">
        <v>1.3311871799999999</v>
      </c>
      <c r="D49" s="8">
        <v>1.34214484</v>
      </c>
      <c r="E49" s="8">
        <v>1.3619649300000001</v>
      </c>
      <c r="F49" s="8">
        <v>1.3938703699999999</v>
      </c>
      <c r="G49" s="8">
        <v>1.3211389499999999</v>
      </c>
      <c r="H49" s="8">
        <v>1.27602053</v>
      </c>
      <c r="I49" s="8">
        <v>1.2454462500000001</v>
      </c>
      <c r="J49" s="8">
        <v>1.2196006800000001</v>
      </c>
      <c r="K49" s="8">
        <v>1.1948562899999999</v>
      </c>
      <c r="L49" s="8">
        <v>1.1765067899999999</v>
      </c>
      <c r="M49" s="8">
        <v>1.1623999</v>
      </c>
      <c r="N49" s="8">
        <v>1.1512508400000001</v>
      </c>
      <c r="O49" s="8">
        <v>1.1399479100000001</v>
      </c>
      <c r="P49" s="8">
        <v>1.13078952</v>
      </c>
      <c r="Q49" s="8">
        <v>1.12621986</v>
      </c>
      <c r="R49" s="8">
        <v>1.12052441</v>
      </c>
      <c r="S49" s="8">
        <v>1.11948447</v>
      </c>
      <c r="T49" s="8">
        <v>1.1166793399999999</v>
      </c>
      <c r="U49" s="8">
        <v>1.1089549999999999</v>
      </c>
      <c r="V49" s="8">
        <v>1.1025451100000001</v>
      </c>
      <c r="W49" s="8">
        <v>1.0970557599999999</v>
      </c>
      <c r="X49" s="8">
        <v>1.0963520499999999</v>
      </c>
      <c r="Y49" s="8">
        <v>1.0984081299999999</v>
      </c>
      <c r="Z49" s="8">
        <v>1.0966616600000001</v>
      </c>
      <c r="AA49" s="8">
        <v>1.0950858800000001</v>
      </c>
      <c r="AB49" s="8">
        <v>1.0935718400000001</v>
      </c>
      <c r="AC49" s="8">
        <v>1.09229434</v>
      </c>
    </row>
    <row r="50" spans="1:29" x14ac:dyDescent="0.85">
      <c r="A50" t="s">
        <v>181</v>
      </c>
      <c r="B50" s="8">
        <v>59204</v>
      </c>
      <c r="C50" s="8">
        <v>62690.436515349997</v>
      </c>
      <c r="D50" s="8">
        <v>64919.994661559998</v>
      </c>
      <c r="E50" s="8">
        <v>71007.437831970004</v>
      </c>
      <c r="F50" s="8">
        <v>77458.932930370007</v>
      </c>
      <c r="G50" s="8">
        <v>84526.616172900001</v>
      </c>
      <c r="H50" s="8">
        <v>92272.805796229994</v>
      </c>
      <c r="I50" s="8">
        <v>96139.740074610003</v>
      </c>
      <c r="J50" s="8">
        <v>92294.150471629997</v>
      </c>
      <c r="K50" s="8">
        <v>88602.384452760001</v>
      </c>
      <c r="L50" s="8">
        <v>85058.289074650005</v>
      </c>
      <c r="M50" s="8">
        <v>81655.95751167</v>
      </c>
      <c r="N50" s="8">
        <v>78389.719211200005</v>
      </c>
      <c r="O50" s="8">
        <v>75254.13044275</v>
      </c>
      <c r="P50" s="8">
        <v>72243.965225039996</v>
      </c>
      <c r="Q50" s="8">
        <v>69637.067174519994</v>
      </c>
      <c r="R50" s="8">
        <v>70306.026627419997</v>
      </c>
      <c r="S50" s="8">
        <v>71354.412122440001</v>
      </c>
      <c r="T50" s="8">
        <v>69288.524331930006</v>
      </c>
      <c r="U50" s="8">
        <v>67200.920447890006</v>
      </c>
      <c r="V50" s="8">
        <v>65467.738587120002</v>
      </c>
      <c r="W50" s="8">
        <v>65790.554557070005</v>
      </c>
      <c r="X50" s="8">
        <v>69982.068492520004</v>
      </c>
      <c r="Y50" s="8">
        <v>70550.034717029994</v>
      </c>
      <c r="Z50" s="8">
        <v>71181.017391760004</v>
      </c>
      <c r="AA50" s="8">
        <v>71770.393711020006</v>
      </c>
      <c r="AB50" s="8">
        <v>72347.663881600005</v>
      </c>
      <c r="AC50" s="8">
        <v>73017.904165989996</v>
      </c>
    </row>
    <row r="51" spans="1:29" x14ac:dyDescent="0.85">
      <c r="A51" t="s">
        <v>182</v>
      </c>
      <c r="B51" s="8">
        <v>219925860.29367399</v>
      </c>
      <c r="C51" s="8">
        <v>244799084.03026101</v>
      </c>
      <c r="D51" s="8">
        <v>254130273.39209199</v>
      </c>
      <c r="E51" s="8">
        <v>287369717.92519897</v>
      </c>
      <c r="F51" s="8">
        <v>307719621.34699398</v>
      </c>
      <c r="G51" s="8">
        <v>327742576.974675</v>
      </c>
      <c r="H51" s="8">
        <v>345436318.26745802</v>
      </c>
      <c r="I51" s="8">
        <v>338894918.21979803</v>
      </c>
      <c r="J51" s="8">
        <v>290285454.12763399</v>
      </c>
      <c r="K51" s="8">
        <v>241331693.046837</v>
      </c>
      <c r="L51" s="8">
        <v>194670849.42791501</v>
      </c>
      <c r="M51" s="8">
        <v>152574358.01651001</v>
      </c>
      <c r="N51" s="8">
        <v>119843317.759716</v>
      </c>
      <c r="O51" s="8">
        <v>92523230.389997602</v>
      </c>
      <c r="P51" s="8">
        <v>80233264.208544701</v>
      </c>
      <c r="Q51" s="8">
        <v>64142861.921631001</v>
      </c>
      <c r="R51" s="8">
        <v>62413772.9961318</v>
      </c>
      <c r="S51" s="8">
        <v>62945122.402162403</v>
      </c>
      <c r="T51" s="8">
        <v>53546091.269685499</v>
      </c>
      <c r="U51" s="8">
        <v>45106440.806340098</v>
      </c>
      <c r="V51" s="8">
        <v>38180283.669112697</v>
      </c>
      <c r="W51" s="8">
        <v>36716509.065372899</v>
      </c>
      <c r="X51" s="8">
        <v>44515314.3585044</v>
      </c>
      <c r="Y51" s="8">
        <v>43220922.999851801</v>
      </c>
      <c r="Z51" s="8">
        <v>41740167.581645399</v>
      </c>
      <c r="AA51" s="8">
        <v>40405587.476473302</v>
      </c>
      <c r="AB51" s="8">
        <v>38935037.3830989</v>
      </c>
      <c r="AC51" s="8">
        <v>37680896.122676499</v>
      </c>
    </row>
    <row r="52" spans="1:29" x14ac:dyDescent="0.85">
      <c r="A52" t="s">
        <v>183</v>
      </c>
      <c r="B52" s="8">
        <v>219925860.29367399</v>
      </c>
      <c r="C52" s="8">
        <v>244799084.03026101</v>
      </c>
      <c r="D52" s="8">
        <v>254130273.39209199</v>
      </c>
      <c r="E52" s="8">
        <v>287369717.92519897</v>
      </c>
      <c r="F52" s="8">
        <v>307719621.34699398</v>
      </c>
      <c r="G52" s="8">
        <v>327742576.974675</v>
      </c>
      <c r="H52" s="8">
        <v>345436318.26745802</v>
      </c>
      <c r="I52" s="8">
        <v>338894918.21979803</v>
      </c>
      <c r="J52" s="8">
        <v>290285454.12763399</v>
      </c>
      <c r="K52" s="8">
        <v>241331693.046837</v>
      </c>
      <c r="L52" s="8">
        <v>194670849.42791501</v>
      </c>
      <c r="M52" s="8">
        <v>152574358.01651001</v>
      </c>
      <c r="N52" s="8">
        <v>119843317.759716</v>
      </c>
      <c r="O52" s="8">
        <v>92523230.389997602</v>
      </c>
      <c r="P52" s="8">
        <v>80233264.208544701</v>
      </c>
      <c r="Q52" s="8">
        <v>64142861.921631001</v>
      </c>
      <c r="R52" s="8">
        <v>62413772.9961318</v>
      </c>
      <c r="S52" s="8">
        <v>62945122.402162403</v>
      </c>
      <c r="T52" s="8">
        <v>53546091.269685499</v>
      </c>
      <c r="U52" s="8">
        <v>45106440.806340098</v>
      </c>
      <c r="V52" s="8">
        <v>38180283.669112697</v>
      </c>
      <c r="W52" s="8">
        <v>36716509.065372899</v>
      </c>
      <c r="X52" s="8">
        <v>44515314.3585044</v>
      </c>
      <c r="Y52" s="8">
        <v>43220922.999851801</v>
      </c>
      <c r="Z52" s="8">
        <v>41740167.581645399</v>
      </c>
      <c r="AA52" s="8">
        <v>40405587.476473302</v>
      </c>
      <c r="AB52" s="8">
        <v>38935037.3830989</v>
      </c>
      <c r="AC52" s="8">
        <v>37680896.122676499</v>
      </c>
    </row>
    <row r="53" spans="1:29" x14ac:dyDescent="0.85">
      <c r="A53" t="s">
        <v>184</v>
      </c>
      <c r="B53" s="8">
        <v>11114.22407455</v>
      </c>
      <c r="C53" s="8">
        <v>12059.62395096</v>
      </c>
      <c r="D53" s="8">
        <v>12503.7696357</v>
      </c>
      <c r="E53" s="8">
        <v>13905.8333771</v>
      </c>
      <c r="F53" s="8">
        <v>15028.737604989999</v>
      </c>
      <c r="G53" s="8">
        <v>16203.48914688</v>
      </c>
      <c r="H53" s="8">
        <v>17387.28308913</v>
      </c>
      <c r="I53" s="8">
        <v>17603.108137809999</v>
      </c>
      <c r="J53" s="8">
        <v>16043.674328630001</v>
      </c>
      <c r="K53" s="8">
        <v>14490.774188339999</v>
      </c>
      <c r="L53" s="8">
        <v>13008.15836892</v>
      </c>
      <c r="M53" s="8">
        <v>11650.676392769999</v>
      </c>
      <c r="N53" s="8">
        <v>10534.924528220001</v>
      </c>
      <c r="O53" s="8">
        <v>9563.8844934000008</v>
      </c>
      <c r="P53" s="8">
        <v>8971.7566117000006</v>
      </c>
      <c r="Q53" s="8">
        <v>8326.0507310499997</v>
      </c>
      <c r="R53" s="8">
        <v>8348.8092935799996</v>
      </c>
      <c r="S53" s="8">
        <v>8463.5604921400009</v>
      </c>
      <c r="T53" s="8">
        <v>8033.6499928100002</v>
      </c>
      <c r="U53" s="8">
        <v>7625.0399968399997</v>
      </c>
      <c r="V53" s="8">
        <v>7287.76957373</v>
      </c>
      <c r="W53" s="8">
        <v>7283.3952218499999</v>
      </c>
      <c r="X53" s="8">
        <v>7880.6342631899997</v>
      </c>
      <c r="Y53" s="8">
        <v>7904.19415587</v>
      </c>
      <c r="Z53" s="8">
        <v>7929.3249440099999</v>
      </c>
      <c r="AA53" s="8">
        <v>7953.9829072700004</v>
      </c>
      <c r="AB53" s="8">
        <v>7974.14783386</v>
      </c>
      <c r="AC53" s="8">
        <v>8008.6194735500003</v>
      </c>
    </row>
    <row r="54" spans="1:29" x14ac:dyDescent="0.85">
      <c r="A54" t="s">
        <v>185</v>
      </c>
      <c r="B54" s="8">
        <v>0</v>
      </c>
      <c r="C54" s="8">
        <v>2399.0310235000002</v>
      </c>
      <c r="D54" s="8">
        <v>4980.95335849</v>
      </c>
      <c r="E54" s="8">
        <v>8448.6697069999991</v>
      </c>
      <c r="F54" s="8">
        <v>12062.609156799999</v>
      </c>
      <c r="G54" s="8">
        <v>16059.38627176</v>
      </c>
      <c r="H54" s="8">
        <v>20311.655514130001</v>
      </c>
      <c r="I54" s="8">
        <v>23248.191389880001</v>
      </c>
      <c r="J54" s="8">
        <v>22758.379603609999</v>
      </c>
      <c r="K54" s="8">
        <v>21285.45532673</v>
      </c>
      <c r="L54" s="8">
        <v>19077.74324394</v>
      </c>
      <c r="M54" s="8">
        <v>16447.515794179999</v>
      </c>
      <c r="N54" s="8">
        <v>14093.574168540001</v>
      </c>
      <c r="O54" s="8">
        <v>11787.459551690001</v>
      </c>
      <c r="P54" s="8">
        <v>11008.003849410001</v>
      </c>
      <c r="Q54" s="8">
        <v>9429.0007024799997</v>
      </c>
      <c r="R54" s="8">
        <v>9786.4796057900003</v>
      </c>
      <c r="S54" s="8">
        <v>10486.657392200001</v>
      </c>
      <c r="T54" s="8">
        <v>9445.5304999700002</v>
      </c>
      <c r="U54" s="8">
        <v>8398.8192781399994</v>
      </c>
      <c r="V54" s="8">
        <v>7483.3355991500002</v>
      </c>
      <c r="W54" s="8">
        <v>7556.2575656500003</v>
      </c>
      <c r="X54" s="8">
        <v>9597.5017756899997</v>
      </c>
      <c r="Y54" s="8">
        <v>9741.9960441700005</v>
      </c>
      <c r="Z54" s="8">
        <v>9817.2874152000004</v>
      </c>
      <c r="AA54" s="8">
        <v>9899.3689317400003</v>
      </c>
      <c r="AB54" s="8">
        <v>9920.6475252100008</v>
      </c>
      <c r="AC54" s="8">
        <v>9970.3651140599995</v>
      </c>
    </row>
    <row r="55" spans="1:29" x14ac:dyDescent="0.85">
      <c r="A55" t="s">
        <v>186</v>
      </c>
      <c r="B55" s="8">
        <v>107.76367154</v>
      </c>
      <c r="C55" s="8">
        <v>119.95155117</v>
      </c>
      <c r="D55" s="8">
        <v>124.52383396</v>
      </c>
      <c r="E55" s="8">
        <v>140.81116177999999</v>
      </c>
      <c r="F55" s="8">
        <v>150.78261445999999</v>
      </c>
      <c r="G55" s="8">
        <v>160.59386272</v>
      </c>
      <c r="H55" s="8">
        <v>169.26379595</v>
      </c>
      <c r="I55" s="8">
        <v>166.05850993000001</v>
      </c>
      <c r="J55" s="8">
        <v>142.23987252000001</v>
      </c>
      <c r="K55" s="8">
        <v>118.25252958999999</v>
      </c>
      <c r="L55" s="8">
        <v>95.388716220000006</v>
      </c>
      <c r="M55" s="8">
        <v>74.761435430000006</v>
      </c>
      <c r="N55" s="8">
        <v>58.7232257</v>
      </c>
      <c r="O55" s="8">
        <v>45.336382890000003</v>
      </c>
      <c r="P55" s="8">
        <v>39.314299460000001</v>
      </c>
      <c r="Q55" s="8">
        <v>31.430002340000001</v>
      </c>
      <c r="R55" s="8">
        <v>30.582748769999998</v>
      </c>
      <c r="S55" s="8">
        <v>30.843109980000001</v>
      </c>
      <c r="T55" s="8">
        <v>26.237584720000001</v>
      </c>
      <c r="U55" s="8">
        <v>22.102156000000001</v>
      </c>
      <c r="V55" s="8">
        <v>18.708338999999999</v>
      </c>
      <c r="W55" s="8">
        <v>17.99108944</v>
      </c>
      <c r="X55" s="8">
        <v>21.81250404</v>
      </c>
      <c r="Y55" s="8">
        <v>21.178252270000002</v>
      </c>
      <c r="Z55" s="8">
        <v>20.452682119999999</v>
      </c>
      <c r="AA55" s="8">
        <v>19.798737859999999</v>
      </c>
      <c r="AB55" s="8">
        <v>19.07816832</v>
      </c>
      <c r="AC55" s="8">
        <v>18.463639100000002</v>
      </c>
    </row>
    <row r="56" spans="1:29" x14ac:dyDescent="0.85">
      <c r="A56" t="s">
        <v>187</v>
      </c>
      <c r="B56" s="8">
        <v>5748.0330833799999</v>
      </c>
      <c r="C56" s="8">
        <v>6086.5263006200003</v>
      </c>
      <c r="D56" s="8">
        <v>6302.9909649299998</v>
      </c>
      <c r="E56" s="8">
        <v>6894.0122597199997</v>
      </c>
      <c r="F56" s="8">
        <v>7520.3788441200004</v>
      </c>
      <c r="G56" s="8">
        <v>8206.5702686999994</v>
      </c>
      <c r="H56" s="8">
        <v>8958.6369234100002</v>
      </c>
      <c r="I56" s="8">
        <v>9334.0721332499998</v>
      </c>
      <c r="J56" s="8">
        <v>8960.7092479200001</v>
      </c>
      <c r="K56" s="8">
        <v>8602.2808779999996</v>
      </c>
      <c r="L56" s="8">
        <v>8258.1896428799992</v>
      </c>
      <c r="M56" s="8">
        <v>7927.8620571700003</v>
      </c>
      <c r="N56" s="8">
        <v>7610.7475748799998</v>
      </c>
      <c r="O56" s="8">
        <v>7306.3176718799996</v>
      </c>
      <c r="P56" s="8">
        <v>7014.0649650100004</v>
      </c>
      <c r="Q56" s="8">
        <v>6760.9649001600001</v>
      </c>
      <c r="R56" s="8">
        <v>6825.9132324800003</v>
      </c>
      <c r="S56" s="8">
        <v>6927.6995055300004</v>
      </c>
      <c r="T56" s="8">
        <v>6727.1253658300002</v>
      </c>
      <c r="U56" s="8">
        <v>6524.4428411700001</v>
      </c>
      <c r="V56" s="8">
        <v>6356.1706522000004</v>
      </c>
      <c r="W56" s="8">
        <v>6387.51240065</v>
      </c>
      <c r="X56" s="8">
        <v>6794.4605928399997</v>
      </c>
      <c r="Y56" s="8">
        <v>6849.6036346800001</v>
      </c>
      <c r="Z56" s="8">
        <v>6910.8648550199996</v>
      </c>
      <c r="AA56" s="8">
        <v>6968.0865728400004</v>
      </c>
      <c r="AB56" s="8">
        <v>7024.1329217100001</v>
      </c>
      <c r="AC56" s="8">
        <v>7089.2056081600003</v>
      </c>
    </row>
    <row r="57" spans="1:29" x14ac:dyDescent="0.85">
      <c r="A57" t="s">
        <v>188</v>
      </c>
      <c r="B57" s="8">
        <v>5366.1909911700004</v>
      </c>
      <c r="C57" s="8">
        <v>5973.0976503399997</v>
      </c>
      <c r="D57" s="8">
        <v>6200.7786707699997</v>
      </c>
      <c r="E57" s="8">
        <v>7011.8211173700001</v>
      </c>
      <c r="F57" s="8">
        <v>7508.35876087</v>
      </c>
      <c r="G57" s="8">
        <v>7996.9188781800003</v>
      </c>
      <c r="H57" s="8">
        <v>8428.6461657300006</v>
      </c>
      <c r="I57" s="8">
        <v>8269.0360045599991</v>
      </c>
      <c r="J57" s="8">
        <v>7082.9650807099997</v>
      </c>
      <c r="K57" s="8">
        <v>5888.4933103399999</v>
      </c>
      <c r="L57" s="8">
        <v>4749.9687260399996</v>
      </c>
      <c r="M57" s="8">
        <v>3722.8143356</v>
      </c>
      <c r="N57" s="8">
        <v>2924.1769533400002</v>
      </c>
      <c r="O57" s="8">
        <v>2257.5668215199998</v>
      </c>
      <c r="P57" s="8">
        <v>1957.69164669</v>
      </c>
      <c r="Q57" s="8">
        <v>1565.0858308899999</v>
      </c>
      <c r="R57" s="8">
        <v>1522.8960611099999</v>
      </c>
      <c r="S57" s="8">
        <v>1535.8609866100001</v>
      </c>
      <c r="T57" s="8">
        <v>1306.52462698</v>
      </c>
      <c r="U57" s="8">
        <v>1100.5971556699999</v>
      </c>
      <c r="V57" s="8">
        <v>931.59892152999998</v>
      </c>
      <c r="W57" s="8">
        <v>895.88282119999997</v>
      </c>
      <c r="X57" s="8">
        <v>1086.1736703500001</v>
      </c>
      <c r="Y57" s="8">
        <v>1054.5905212</v>
      </c>
      <c r="Z57" s="8">
        <v>1018.46008899</v>
      </c>
      <c r="AA57" s="8">
        <v>985.89633443000002</v>
      </c>
      <c r="AB57" s="8">
        <v>950.01491214999999</v>
      </c>
      <c r="AC57" s="8">
        <v>919.41386538999996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1.1030088899999999</v>
      </c>
      <c r="E58" s="8">
        <v>1.0787130899999999</v>
      </c>
      <c r="F58" s="8">
        <v>1.1362989699999999</v>
      </c>
      <c r="G58" s="8">
        <v>1.13630897</v>
      </c>
      <c r="H58" s="8">
        <v>1.1367127699999999</v>
      </c>
      <c r="I58" s="8">
        <v>1.1371271000000001</v>
      </c>
      <c r="J58" s="8">
        <v>1.0853204400000001</v>
      </c>
      <c r="K58" s="8">
        <v>1</v>
      </c>
      <c r="L58" s="8">
        <v>1</v>
      </c>
      <c r="M58" s="8">
        <v>1</v>
      </c>
      <c r="N58" s="8">
        <v>1</v>
      </c>
      <c r="O58" s="8">
        <v>1</v>
      </c>
      <c r="P58" s="8">
        <v>1</v>
      </c>
      <c r="Q58" s="8">
        <v>1</v>
      </c>
      <c r="R58" s="8">
        <v>1.0040784899999999</v>
      </c>
      <c r="S58" s="8">
        <v>1.0516733</v>
      </c>
      <c r="T58" s="8">
        <v>1.05719973</v>
      </c>
      <c r="U58" s="8">
        <v>1.0115078200000001</v>
      </c>
      <c r="V58" s="8">
        <v>1.0102821399999999</v>
      </c>
      <c r="W58" s="8">
        <v>1.0148010000000001</v>
      </c>
      <c r="X58" s="8">
        <v>1.0468030399999999</v>
      </c>
      <c r="Y58" s="8">
        <v>1.10803121</v>
      </c>
      <c r="Z58" s="8">
        <v>1.0501207100000001</v>
      </c>
      <c r="AA58" s="8">
        <v>1.05098308</v>
      </c>
      <c r="AB58" s="8">
        <v>1.05029163</v>
      </c>
      <c r="AC58" s="8">
        <v>1.05004509</v>
      </c>
    </row>
    <row r="59" spans="1:29" x14ac:dyDescent="0.85">
      <c r="A59" t="s">
        <v>190</v>
      </c>
      <c r="B59" s="8">
        <v>1</v>
      </c>
      <c r="C59" s="8">
        <v>1.1030088899999999</v>
      </c>
      <c r="D59" s="8">
        <v>1.0787130899999999</v>
      </c>
      <c r="E59" s="8">
        <v>1.1393420700000001</v>
      </c>
      <c r="F59" s="8">
        <v>1.13630897</v>
      </c>
      <c r="G59" s="8">
        <v>1.1367127699999999</v>
      </c>
      <c r="H59" s="8">
        <v>1.1371271000000001</v>
      </c>
      <c r="I59" s="8">
        <v>1.0853204400000001</v>
      </c>
      <c r="J59" s="8">
        <v>1</v>
      </c>
      <c r="K59" s="8">
        <v>1</v>
      </c>
      <c r="L59" s="8">
        <v>1</v>
      </c>
      <c r="M59" s="8">
        <v>1</v>
      </c>
      <c r="N59" s="8">
        <v>1</v>
      </c>
      <c r="O59" s="8">
        <v>1</v>
      </c>
      <c r="P59" s="8">
        <v>1</v>
      </c>
      <c r="Q59" s="8">
        <v>1.0040784899999999</v>
      </c>
      <c r="R59" s="8">
        <v>1.0516733</v>
      </c>
      <c r="S59" s="8">
        <v>1.05719973</v>
      </c>
      <c r="T59" s="8">
        <v>1.0115078200000001</v>
      </c>
      <c r="U59" s="8">
        <v>1.0102821399999999</v>
      </c>
      <c r="V59" s="8">
        <v>1.0148010000000001</v>
      </c>
      <c r="W59" s="8">
        <v>1.0468030399999999</v>
      </c>
      <c r="X59" s="8">
        <v>1.10803121</v>
      </c>
      <c r="Y59" s="8">
        <v>1.0501207100000001</v>
      </c>
      <c r="Z59" s="8">
        <v>1.05098308</v>
      </c>
      <c r="AA59" s="8">
        <v>1.05029163</v>
      </c>
      <c r="AB59" s="8">
        <v>1.05004509</v>
      </c>
      <c r="AC59" s="8">
        <v>1.05131683</v>
      </c>
    </row>
    <row r="60" spans="1:29" x14ac:dyDescent="0.85">
      <c r="A60" t="s">
        <v>191</v>
      </c>
      <c r="B60" s="8">
        <v>1</v>
      </c>
      <c r="C60" s="8">
        <v>1.1451801699999999</v>
      </c>
      <c r="D60" s="8">
        <v>1.1393424999999999</v>
      </c>
      <c r="E60" s="8">
        <v>1.1393423199999999</v>
      </c>
      <c r="F60" s="8">
        <v>1.13630897</v>
      </c>
      <c r="G60" s="8">
        <v>1.1367127699999999</v>
      </c>
      <c r="H60" s="8">
        <v>1.1371271000000001</v>
      </c>
      <c r="I60" s="8">
        <v>1.1375459400000001</v>
      </c>
      <c r="J60" s="8">
        <v>1.14129057</v>
      </c>
      <c r="K60" s="8">
        <v>1.1516125500000001</v>
      </c>
      <c r="L60" s="8">
        <v>1.1629546500000001</v>
      </c>
      <c r="M60" s="8">
        <v>1.1754184599999999</v>
      </c>
      <c r="N60" s="8">
        <v>1.18911572</v>
      </c>
      <c r="O60" s="8">
        <v>1.2007082200000001</v>
      </c>
      <c r="P60" s="8">
        <v>1.21324235</v>
      </c>
      <c r="Q60" s="8">
        <v>1.2246986</v>
      </c>
      <c r="R60" s="8">
        <v>1.2376417500000001</v>
      </c>
      <c r="S60" s="8">
        <v>1.2396626399999999</v>
      </c>
      <c r="T60" s="8">
        <v>1.23764002</v>
      </c>
      <c r="U60" s="8">
        <v>1.2444359599999999</v>
      </c>
      <c r="V60" s="8">
        <v>1.2521741399999999</v>
      </c>
      <c r="W60" s="8">
        <v>1.25915333</v>
      </c>
      <c r="X60" s="8">
        <v>1.26290535</v>
      </c>
      <c r="Y60" s="8">
        <v>1.25155722</v>
      </c>
      <c r="Z60" s="8">
        <v>1.25243383</v>
      </c>
      <c r="AA60" s="8">
        <v>1.2536327700000001</v>
      </c>
      <c r="AB60" s="8">
        <v>1.25483162</v>
      </c>
      <c r="AC60" s="8">
        <v>1.25657438</v>
      </c>
    </row>
    <row r="61" spans="1:29" x14ac:dyDescent="0.85">
      <c r="A61" t="s">
        <v>192</v>
      </c>
      <c r="B61" s="8">
        <v>50842</v>
      </c>
      <c r="C61" s="8">
        <v>49570.950006079998</v>
      </c>
      <c r="D61" s="8">
        <v>48331.67625592</v>
      </c>
      <c r="E61" s="8">
        <v>47123.384349530003</v>
      </c>
      <c r="F61" s="8">
        <v>45945.299740789997</v>
      </c>
      <c r="G61" s="8">
        <v>44796.667247270001</v>
      </c>
      <c r="H61" s="8">
        <v>43676.750566089999</v>
      </c>
      <c r="I61" s="8">
        <v>42584.831801929999</v>
      </c>
      <c r="J61" s="8">
        <v>41520.21100689</v>
      </c>
      <c r="K61" s="8">
        <v>40482.205731709997</v>
      </c>
      <c r="L61" s="8">
        <v>39470.150588420001</v>
      </c>
      <c r="M61" s="8">
        <v>38483.396823709998</v>
      </c>
      <c r="N61" s="8">
        <v>37521.311903119997</v>
      </c>
      <c r="O61" s="8">
        <v>36583.279105540001</v>
      </c>
      <c r="P61" s="8">
        <v>35668.697127899999</v>
      </c>
      <c r="Q61" s="8">
        <v>34776.979699700001</v>
      </c>
      <c r="R61" s="8">
        <v>33907.555207210004</v>
      </c>
      <c r="S61" s="8">
        <v>33059.866327030002</v>
      </c>
      <c r="T61" s="8">
        <v>32233.369668849999</v>
      </c>
      <c r="U61" s="8">
        <v>31427.535427129998</v>
      </c>
      <c r="V61" s="8">
        <v>30641.847041460001</v>
      </c>
      <c r="W61" s="8">
        <v>29875.800865419998</v>
      </c>
      <c r="X61" s="8">
        <v>29128.905843780001</v>
      </c>
      <c r="Y61" s="8">
        <v>28400.683197689999</v>
      </c>
      <c r="Z61" s="8">
        <v>27690.666117749999</v>
      </c>
      <c r="AA61" s="8">
        <v>26998.399464800001</v>
      </c>
      <c r="AB61" s="8">
        <v>26323.43947818</v>
      </c>
      <c r="AC61" s="8">
        <v>25665.353491229998</v>
      </c>
    </row>
    <row r="62" spans="1:29" x14ac:dyDescent="0.85">
      <c r="A62" t="s">
        <v>193</v>
      </c>
      <c r="B62" s="8">
        <v>247868584.64385</v>
      </c>
      <c r="C62" s="8">
        <v>241671870.057374</v>
      </c>
      <c r="D62" s="8">
        <v>235630072.42429101</v>
      </c>
      <c r="E62" s="8">
        <v>204198914.74982399</v>
      </c>
      <c r="F62" s="8">
        <v>151931997.040151</v>
      </c>
      <c r="G62" s="8">
        <v>96108134.617219403</v>
      </c>
      <c r="H62" s="8">
        <v>38313297.701149397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247868584.64385</v>
      </c>
      <c r="C63" s="8">
        <v>241671870.057374</v>
      </c>
      <c r="D63" s="8">
        <v>235630072.42429101</v>
      </c>
      <c r="E63" s="8">
        <v>204198914.74982399</v>
      </c>
      <c r="F63" s="8">
        <v>151931997.040151</v>
      </c>
      <c r="G63" s="8">
        <v>96108134.617219403</v>
      </c>
      <c r="H63" s="8">
        <v>38313297.701149397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18316.407879599999</v>
      </c>
      <c r="C64" s="8">
        <v>17858.497684800001</v>
      </c>
      <c r="D64" s="8">
        <v>17412.03522215</v>
      </c>
      <c r="E64" s="8">
        <v>16382.15369309</v>
      </c>
      <c r="F64" s="8">
        <v>14874.669774870001</v>
      </c>
      <c r="G64" s="8">
        <v>13291.647935569999</v>
      </c>
      <c r="H64" s="8">
        <v>11669.827868120001</v>
      </c>
      <c r="I64" s="8">
        <v>10508.446940190001</v>
      </c>
      <c r="J64" s="8">
        <v>10245.735766690001</v>
      </c>
      <c r="K64" s="8">
        <v>9989.5923725199991</v>
      </c>
      <c r="L64" s="8">
        <v>9739.8525632100009</v>
      </c>
      <c r="M64" s="8">
        <v>9496.3562491299999</v>
      </c>
      <c r="N64" s="8">
        <v>9258.9473429000009</v>
      </c>
      <c r="O64" s="8">
        <v>9027.4736593300004</v>
      </c>
      <c r="P64" s="8">
        <v>8801.7868178400004</v>
      </c>
      <c r="Q64" s="8">
        <v>8581.7421474000002</v>
      </c>
      <c r="R64" s="8">
        <v>8367.1985937099998</v>
      </c>
      <c r="S64" s="8">
        <v>8158.0186288699997</v>
      </c>
      <c r="T64" s="8">
        <v>7954.0681631500001</v>
      </c>
      <c r="U64" s="8">
        <v>7755.2164590700004</v>
      </c>
      <c r="V64" s="8">
        <v>7561.3360475899999</v>
      </c>
      <c r="W64" s="8">
        <v>7372.3026464000004</v>
      </c>
      <c r="X64" s="8">
        <v>7187.9950802399999</v>
      </c>
      <c r="Y64" s="8">
        <v>7008.2952032399999</v>
      </c>
      <c r="Z64" s="8">
        <v>6833.08782316</v>
      </c>
      <c r="AA64" s="8">
        <v>6662.2606275799999</v>
      </c>
      <c r="AB64" s="8">
        <v>6495.7041118899997</v>
      </c>
      <c r="AC64" s="8">
        <v>6333.3115090900001</v>
      </c>
    </row>
    <row r="65" spans="1:29" x14ac:dyDescent="0.85">
      <c r="A65" t="s">
        <v>196</v>
      </c>
      <c r="B65" s="8">
        <v>0</v>
      </c>
      <c r="C65" s="8">
        <v>3963.4186689399999</v>
      </c>
      <c r="D65" s="8">
        <v>7728.6663755199997</v>
      </c>
      <c r="E65" s="8">
        <v>10046.586605689999</v>
      </c>
      <c r="F65" s="8">
        <v>9966.7390058300007</v>
      </c>
      <c r="G65" s="8">
        <v>7880.8670386100002</v>
      </c>
      <c r="H65" s="8">
        <v>3770.0284937900001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203.25223940999999</v>
      </c>
      <c r="C66" s="8">
        <v>198.17093345000001</v>
      </c>
      <c r="D66" s="8">
        <v>193.21665938999999</v>
      </c>
      <c r="E66" s="8">
        <v>167.44311009</v>
      </c>
      <c r="F66" s="8">
        <v>124.58423757</v>
      </c>
      <c r="G66" s="8">
        <v>78.808670390000003</v>
      </c>
      <c r="H66" s="8">
        <v>31.416904110000001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12546.027229089999</v>
      </c>
      <c r="C67" s="8">
        <v>12232.376549860001</v>
      </c>
      <c r="D67" s="8">
        <v>11926.56713612</v>
      </c>
      <c r="E67" s="8">
        <v>11628.402957709999</v>
      </c>
      <c r="F67" s="8">
        <v>11337.69288377</v>
      </c>
      <c r="G67" s="8">
        <v>11054.250561680001</v>
      </c>
      <c r="H67" s="8">
        <v>10777.89429763</v>
      </c>
      <c r="I67" s="8">
        <v>10508.446940190001</v>
      </c>
      <c r="J67" s="8">
        <v>10245.735766690001</v>
      </c>
      <c r="K67" s="8">
        <v>9989.5923725199991</v>
      </c>
      <c r="L67" s="8">
        <v>9739.8525632100009</v>
      </c>
      <c r="M67" s="8">
        <v>9496.3562491299999</v>
      </c>
      <c r="N67" s="8">
        <v>9258.9473429000009</v>
      </c>
      <c r="O67" s="8">
        <v>9027.4736593300004</v>
      </c>
      <c r="P67" s="8">
        <v>8801.7868178400004</v>
      </c>
      <c r="Q67" s="8">
        <v>8581.7421474000002</v>
      </c>
      <c r="R67" s="8">
        <v>8367.1985937099998</v>
      </c>
      <c r="S67" s="8">
        <v>8158.0186288699997</v>
      </c>
      <c r="T67" s="8">
        <v>7954.0681631500001</v>
      </c>
      <c r="U67" s="8">
        <v>7755.2164590700004</v>
      </c>
      <c r="V67" s="8">
        <v>7561.3360475899999</v>
      </c>
      <c r="W67" s="8">
        <v>7372.3026464000004</v>
      </c>
      <c r="X67" s="8">
        <v>7187.9950802399999</v>
      </c>
      <c r="Y67" s="8">
        <v>7008.2952032399999</v>
      </c>
      <c r="Z67" s="8">
        <v>6833.08782316</v>
      </c>
      <c r="AA67" s="8">
        <v>6662.2606275799999</v>
      </c>
      <c r="AB67" s="8">
        <v>6495.7041118899997</v>
      </c>
      <c r="AC67" s="8">
        <v>6333.3115090900001</v>
      </c>
    </row>
    <row r="68" spans="1:29" x14ac:dyDescent="0.85">
      <c r="A68" t="s">
        <v>199</v>
      </c>
      <c r="B68" s="8">
        <v>5770.3806505100001</v>
      </c>
      <c r="C68" s="8">
        <v>5626.12113494</v>
      </c>
      <c r="D68" s="8">
        <v>5485.4680860400003</v>
      </c>
      <c r="E68" s="8">
        <v>4753.7507353800002</v>
      </c>
      <c r="F68" s="8">
        <v>3536.9768910900002</v>
      </c>
      <c r="G68" s="8">
        <v>2237.3973738899999</v>
      </c>
      <c r="H68" s="8">
        <v>891.93357047999996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</v>
      </c>
      <c r="E69" s="8">
        <v>1</v>
      </c>
      <c r="F69" s="8">
        <v>0.88882876</v>
      </c>
      <c r="G69" s="8">
        <v>0.76311713000000003</v>
      </c>
      <c r="H69" s="8">
        <v>0.64879319000000002</v>
      </c>
      <c r="I69" s="8">
        <v>0.40886955000000003</v>
      </c>
      <c r="J69" s="8">
        <v>0</v>
      </c>
      <c r="K69" s="8">
        <v>8.3620000000000002E-5</v>
      </c>
      <c r="L69" s="8">
        <v>8.318E-5</v>
      </c>
      <c r="M69" s="8">
        <v>6.2910000000000006E-5</v>
      </c>
      <c r="N69" s="8">
        <v>5.8640000000000001E-5</v>
      </c>
      <c r="O69" s="8">
        <v>1.1225799999999999E-2</v>
      </c>
      <c r="P69" s="8">
        <v>8.5841400000000005E-3</v>
      </c>
      <c r="Q69" s="8">
        <v>0</v>
      </c>
      <c r="R69" s="8">
        <v>0</v>
      </c>
      <c r="S69" s="8">
        <v>8.2421999999999997E-4</v>
      </c>
      <c r="T69" s="8">
        <v>9.7579999999999997E-4</v>
      </c>
      <c r="U69" s="8">
        <v>3.4991999999999998E-4</v>
      </c>
      <c r="V69" s="8">
        <v>2.9074999999999999E-4</v>
      </c>
      <c r="W69" s="8">
        <v>2.9842999999999997E-4</v>
      </c>
      <c r="X69" s="8">
        <v>0</v>
      </c>
      <c r="Y69" s="8">
        <v>1.7564280000000002E-2</v>
      </c>
      <c r="Z69" s="8">
        <v>0</v>
      </c>
      <c r="AA69" s="8">
        <v>6.5879999999999999E-5</v>
      </c>
      <c r="AB69" s="8">
        <v>7.1470000000000005E-5</v>
      </c>
      <c r="AC69" s="8">
        <v>7.0759999999999993E-5</v>
      </c>
    </row>
    <row r="70" spans="1:29" x14ac:dyDescent="0.85">
      <c r="A70" t="s">
        <v>201</v>
      </c>
      <c r="B70" s="8">
        <v>1</v>
      </c>
      <c r="C70" s="8">
        <v>1</v>
      </c>
      <c r="D70" s="8">
        <v>1</v>
      </c>
      <c r="E70" s="8">
        <v>0.88882876</v>
      </c>
      <c r="F70" s="8">
        <v>0.76311713000000003</v>
      </c>
      <c r="G70" s="8">
        <v>0.64879319000000002</v>
      </c>
      <c r="H70" s="8">
        <v>0.40886955000000003</v>
      </c>
      <c r="I70" s="8">
        <v>0</v>
      </c>
      <c r="J70" s="8">
        <v>8.3620000000000002E-5</v>
      </c>
      <c r="K70" s="8">
        <v>8.318E-5</v>
      </c>
      <c r="L70" s="8">
        <v>6.2910000000000006E-5</v>
      </c>
      <c r="M70" s="8">
        <v>5.8640000000000001E-5</v>
      </c>
      <c r="N70" s="8">
        <v>1.1225799999999999E-2</v>
      </c>
      <c r="O70" s="8">
        <v>8.5841400000000005E-3</v>
      </c>
      <c r="P70" s="8">
        <v>0</v>
      </c>
      <c r="Q70" s="8">
        <v>0</v>
      </c>
      <c r="R70" s="8">
        <v>8.2421999999999997E-4</v>
      </c>
      <c r="S70" s="8">
        <v>9.7579999999999997E-4</v>
      </c>
      <c r="T70" s="8">
        <v>3.4991999999999998E-4</v>
      </c>
      <c r="U70" s="8">
        <v>2.9074999999999999E-4</v>
      </c>
      <c r="V70" s="8">
        <v>2.9842999999999997E-4</v>
      </c>
      <c r="W70" s="8">
        <v>0</v>
      </c>
      <c r="X70" s="8">
        <v>1.7564280000000002E-2</v>
      </c>
      <c r="Y70" s="8">
        <v>0</v>
      </c>
      <c r="Z70" s="8">
        <v>6.5879999999999999E-5</v>
      </c>
      <c r="AA70" s="8">
        <v>7.1470000000000005E-5</v>
      </c>
      <c r="AB70" s="8">
        <v>7.0759999999999993E-5</v>
      </c>
      <c r="AC70" s="8">
        <v>0</v>
      </c>
    </row>
    <row r="71" spans="1:29" x14ac:dyDescent="0.85">
      <c r="A71" t="s">
        <v>202</v>
      </c>
      <c r="B71" s="8">
        <v>1</v>
      </c>
      <c r="C71" s="8">
        <v>1.36975275</v>
      </c>
      <c r="D71" s="8">
        <v>1.38213154</v>
      </c>
      <c r="E71" s="8">
        <v>1.4046256699999999</v>
      </c>
      <c r="F71" s="8">
        <v>1.4405113700000001</v>
      </c>
      <c r="G71" s="8">
        <v>1.4921130199999999</v>
      </c>
      <c r="H71" s="8">
        <v>1.5502764499999999</v>
      </c>
      <c r="I71" s="8">
        <v>1.6158380299999999</v>
      </c>
      <c r="J71" s="8">
        <v>1.6770103300000001</v>
      </c>
      <c r="K71" s="8">
        <v>1.72195473</v>
      </c>
      <c r="L71" s="8">
        <v>1.77071778</v>
      </c>
      <c r="M71" s="8">
        <v>1.82361426</v>
      </c>
      <c r="N71" s="8">
        <v>1.8809850800000001</v>
      </c>
      <c r="O71" s="8">
        <v>1.92584976</v>
      </c>
      <c r="P71" s="8">
        <v>1.9737777599999999</v>
      </c>
      <c r="Q71" s="8">
        <v>2.0147784400000002</v>
      </c>
      <c r="R71" s="8">
        <v>2.0656539600000001</v>
      </c>
      <c r="S71" s="8">
        <v>2.1128220400000002</v>
      </c>
      <c r="T71" s="8">
        <v>2.1470823800000001</v>
      </c>
      <c r="U71" s="8">
        <v>2.1775645099999998</v>
      </c>
      <c r="V71" s="8">
        <v>2.21117593</v>
      </c>
      <c r="W71" s="8">
        <v>2.2459873899999998</v>
      </c>
      <c r="X71" s="8">
        <v>2.3034478900000002</v>
      </c>
      <c r="Y71" s="8">
        <v>2.35480585</v>
      </c>
      <c r="Z71" s="8">
        <v>2.4053673600000001</v>
      </c>
      <c r="AA71" s="8">
        <v>2.4609924699999999</v>
      </c>
      <c r="AB71" s="8">
        <v>2.5178248999999999</v>
      </c>
      <c r="AC71" s="8">
        <v>2.58007958</v>
      </c>
    </row>
    <row r="72" spans="1:29" x14ac:dyDescent="0.85">
      <c r="A72" t="s">
        <v>203</v>
      </c>
      <c r="B72" s="8">
        <v>0</v>
      </c>
      <c r="C72" s="8">
        <v>0.30315973000000002</v>
      </c>
      <c r="D72" s="8">
        <v>28.719869660000001</v>
      </c>
      <c r="E72" s="8">
        <v>25.847882689999999</v>
      </c>
      <c r="F72" s="8">
        <v>26.018293539999998</v>
      </c>
      <c r="G72" s="8">
        <v>23.416534380000002</v>
      </c>
      <c r="H72" s="8">
        <v>166.32076949</v>
      </c>
      <c r="I72" s="8">
        <v>149.68869254000001</v>
      </c>
      <c r="J72" s="8">
        <v>134.71982328000001</v>
      </c>
      <c r="K72" s="8">
        <v>121.24784096</v>
      </c>
      <c r="L72" s="8">
        <v>109.12305686000001</v>
      </c>
      <c r="M72" s="8">
        <v>98.210751169999995</v>
      </c>
      <c r="N72" s="8">
        <v>88.389676059999999</v>
      </c>
      <c r="O72" s="8">
        <v>79.550708450000002</v>
      </c>
      <c r="P72" s="8">
        <v>71.595728780000002</v>
      </c>
      <c r="Q72" s="8">
        <v>64.608496059999993</v>
      </c>
      <c r="R72" s="8">
        <v>84.858342010000001</v>
      </c>
      <c r="S72" s="8">
        <v>76.462725120000002</v>
      </c>
      <c r="T72" s="8">
        <v>68.816489899999993</v>
      </c>
      <c r="U72" s="8">
        <v>61.93824369</v>
      </c>
      <c r="V72" s="8">
        <v>55.744589519999998</v>
      </c>
      <c r="W72" s="8">
        <v>499.32888071000002</v>
      </c>
      <c r="X72" s="8">
        <v>449.39686591999998</v>
      </c>
      <c r="Y72" s="8">
        <v>404.73115703000002</v>
      </c>
      <c r="Z72" s="8">
        <v>364.25806326999998</v>
      </c>
      <c r="AA72" s="8">
        <v>327.83231767000001</v>
      </c>
      <c r="AB72" s="8">
        <v>295.50114157000002</v>
      </c>
      <c r="AC72" s="8">
        <v>265.99994607000002</v>
      </c>
    </row>
    <row r="73" spans="1:29" x14ac:dyDescent="0.85">
      <c r="A73" t="s">
        <v>204</v>
      </c>
      <c r="B73" s="8">
        <v>0</v>
      </c>
      <c r="C73" s="8">
        <v>0</v>
      </c>
      <c r="D73" s="8">
        <v>7.1875462900000002</v>
      </c>
      <c r="E73" s="8">
        <v>0</v>
      </c>
      <c r="F73" s="8">
        <v>0.68879323999999997</v>
      </c>
      <c r="G73" s="8">
        <v>2.3669999999999999E-5</v>
      </c>
      <c r="H73" s="8">
        <v>36.311471279999999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17.898890739999999</v>
      </c>
      <c r="Q73" s="8">
        <v>16.152123939999999</v>
      </c>
      <c r="R73" s="8">
        <v>21.21458543</v>
      </c>
      <c r="S73" s="8">
        <v>19.11568128</v>
      </c>
      <c r="T73" s="8">
        <v>17.203877200000001</v>
      </c>
      <c r="U73" s="8">
        <v>15.484560699999999</v>
      </c>
      <c r="V73" s="8">
        <v>13.935915659999999</v>
      </c>
      <c r="W73" s="8">
        <v>124.8322201</v>
      </c>
      <c r="X73" s="8">
        <v>112.34921239000001</v>
      </c>
      <c r="Y73" s="8">
        <v>101.18242201</v>
      </c>
      <c r="Z73" s="8">
        <v>91.064387519999997</v>
      </c>
      <c r="AA73" s="8">
        <v>81.958060779999997</v>
      </c>
      <c r="AB73" s="8">
        <v>73.875285009999999</v>
      </c>
      <c r="AC73" s="8">
        <v>66.499986489999998</v>
      </c>
    </row>
    <row r="74" spans="1:29" x14ac:dyDescent="0.85">
      <c r="A74" t="s">
        <v>205</v>
      </c>
      <c r="B74" s="8">
        <v>0</v>
      </c>
      <c r="C74" s="8">
        <v>0</v>
      </c>
      <c r="D74" s="8">
        <v>7.1875462900000002</v>
      </c>
      <c r="E74" s="8">
        <v>0</v>
      </c>
      <c r="F74" s="8">
        <v>0.68879323999999997</v>
      </c>
      <c r="G74" s="8">
        <v>2.3669999999999999E-5</v>
      </c>
      <c r="H74" s="8">
        <v>36.311471279999999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17.898890739999999</v>
      </c>
      <c r="Q74" s="8">
        <v>16.152123939999999</v>
      </c>
      <c r="R74" s="8">
        <v>21.21458543</v>
      </c>
      <c r="S74" s="8">
        <v>19.11568128</v>
      </c>
      <c r="T74" s="8">
        <v>17.203877200000001</v>
      </c>
      <c r="U74" s="8">
        <v>15.484560699999999</v>
      </c>
      <c r="V74" s="8">
        <v>13.935915659999999</v>
      </c>
      <c r="W74" s="8">
        <v>124.8322201</v>
      </c>
      <c r="X74" s="8">
        <v>112.34921239000001</v>
      </c>
      <c r="Y74" s="8">
        <v>101.18242201</v>
      </c>
      <c r="Z74" s="8">
        <v>91.064387519999997</v>
      </c>
      <c r="AA74" s="8">
        <v>81.958060779999997</v>
      </c>
      <c r="AB74" s="8">
        <v>73.875285009999999</v>
      </c>
      <c r="AC74" s="8">
        <v>66.499986489999998</v>
      </c>
    </row>
    <row r="75" spans="1:29" x14ac:dyDescent="0.85">
      <c r="A75" t="s">
        <v>206</v>
      </c>
      <c r="B75" s="8">
        <v>0</v>
      </c>
      <c r="C75" s="8">
        <v>5.8590700000000003E-2</v>
      </c>
      <c r="D75" s="8">
        <v>5.5506956199999999</v>
      </c>
      <c r="E75" s="8">
        <v>4.9955369799999998</v>
      </c>
      <c r="F75" s="8">
        <v>5.0284812199999998</v>
      </c>
      <c r="G75" s="8">
        <v>4.5256381299999999</v>
      </c>
      <c r="H75" s="8">
        <v>32.144779069999998</v>
      </c>
      <c r="I75" s="8">
        <v>28.929851159999998</v>
      </c>
      <c r="J75" s="8">
        <v>26.03686604</v>
      </c>
      <c r="K75" s="8">
        <v>23.43317944</v>
      </c>
      <c r="L75" s="8">
        <v>21.089861490000001</v>
      </c>
      <c r="M75" s="8">
        <v>18.980875340000001</v>
      </c>
      <c r="N75" s="8">
        <v>17.082787809999999</v>
      </c>
      <c r="O75" s="8">
        <v>15.37450903</v>
      </c>
      <c r="P75" s="8">
        <v>13.83732221</v>
      </c>
      <c r="Q75" s="8">
        <v>12.48689821</v>
      </c>
      <c r="R75" s="8">
        <v>16.400590380000001</v>
      </c>
      <c r="S75" s="8">
        <v>14.777967670000001</v>
      </c>
      <c r="T75" s="8">
        <v>13.3001781</v>
      </c>
      <c r="U75" s="8">
        <v>11.970817950000001</v>
      </c>
      <c r="V75" s="8">
        <v>10.77376905</v>
      </c>
      <c r="W75" s="8">
        <v>96.505402369999999</v>
      </c>
      <c r="X75" s="8">
        <v>86.855030909999996</v>
      </c>
      <c r="Y75" s="8">
        <v>78.222479539999995</v>
      </c>
      <c r="Z75" s="8">
        <v>70.40023583</v>
      </c>
      <c r="AA75" s="8">
        <v>63.360223990000001</v>
      </c>
      <c r="AB75" s="8">
        <v>57.111570489999998</v>
      </c>
      <c r="AC75" s="8">
        <v>51.40986796</v>
      </c>
    </row>
    <row r="76" spans="1:29" x14ac:dyDescent="0.85">
      <c r="A76" t="s">
        <v>207</v>
      </c>
      <c r="B76" s="8">
        <v>0</v>
      </c>
      <c r="C76" s="8">
        <v>0</v>
      </c>
      <c r="D76" s="8">
        <v>3.1980000000000002E-5</v>
      </c>
      <c r="E76" s="8">
        <v>0</v>
      </c>
      <c r="F76" s="8">
        <v>6.1299999999999998E-6</v>
      </c>
      <c r="G76" s="8">
        <v>0</v>
      </c>
      <c r="H76" s="8">
        <v>4.8475999999999999E-4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5.5754999999999997E-4</v>
      </c>
      <c r="Q76" s="8">
        <v>5.3908000000000005E-4</v>
      </c>
      <c r="R76" s="8">
        <v>7.5524000000000001E-4</v>
      </c>
      <c r="S76" s="8">
        <v>7.2305000000000004E-4</v>
      </c>
      <c r="T76" s="8">
        <v>6.8902000000000004E-4</v>
      </c>
      <c r="U76" s="8">
        <v>6.5461000000000002E-4</v>
      </c>
      <c r="V76" s="8">
        <v>6.2014999999999998E-4</v>
      </c>
      <c r="W76" s="8">
        <v>5.83279E-3</v>
      </c>
      <c r="X76" s="8">
        <v>5.4994900000000001E-3</v>
      </c>
      <c r="Y76" s="8">
        <v>5.1780100000000003E-3</v>
      </c>
      <c r="Z76" s="8">
        <v>4.8628400000000002E-3</v>
      </c>
      <c r="AA76" s="8">
        <v>4.5589200000000002E-3</v>
      </c>
      <c r="AB76" s="8">
        <v>4.2736900000000001E-3</v>
      </c>
      <c r="AC76" s="8">
        <v>3.9949900000000003E-3</v>
      </c>
    </row>
    <row r="77" spans="1:29" x14ac:dyDescent="0.85">
      <c r="A77" t="s">
        <v>208</v>
      </c>
      <c r="B77" s="8">
        <v>0</v>
      </c>
      <c r="C77" s="8">
        <v>0</v>
      </c>
      <c r="D77" s="8">
        <v>7.9999999999999996E-7</v>
      </c>
      <c r="E77" s="8">
        <v>0</v>
      </c>
      <c r="F77" s="8">
        <v>8.0000000000000002E-8</v>
      </c>
      <c r="G77" s="8">
        <v>0</v>
      </c>
      <c r="H77" s="8">
        <v>4.0400000000000003E-6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1.99E-6</v>
      </c>
      <c r="Q77" s="8">
        <v>1.7999999999999999E-6</v>
      </c>
      <c r="R77" s="8">
        <v>2.3599999999999999E-6</v>
      </c>
      <c r="S77" s="8">
        <v>2.1299999999999999E-6</v>
      </c>
      <c r="T77" s="8">
        <v>1.9099999999999999E-6</v>
      </c>
      <c r="U77" s="8">
        <v>1.72E-6</v>
      </c>
      <c r="V77" s="8">
        <v>1.55E-6</v>
      </c>
      <c r="W77" s="8">
        <v>1.3890000000000001E-5</v>
      </c>
      <c r="X77" s="8">
        <v>1.2500000000000001E-5</v>
      </c>
      <c r="Y77" s="8">
        <v>1.1260000000000001E-5</v>
      </c>
      <c r="Z77" s="8">
        <v>1.013E-5</v>
      </c>
      <c r="AA77" s="8">
        <v>9.1200000000000008E-6</v>
      </c>
      <c r="AB77" s="8">
        <v>8.2199999999999992E-6</v>
      </c>
      <c r="AC77" s="8">
        <v>7.4000000000000003E-6</v>
      </c>
    </row>
    <row r="78" spans="1:29" x14ac:dyDescent="0.85">
      <c r="A78" t="s">
        <v>209</v>
      </c>
      <c r="B78" s="8">
        <v>0</v>
      </c>
      <c r="C78" s="8">
        <v>5.8590700000000003E-2</v>
      </c>
      <c r="D78" s="8">
        <v>5.5505966400000002</v>
      </c>
      <c r="E78" s="8">
        <v>4.9955369799999998</v>
      </c>
      <c r="F78" s="8">
        <v>5.0284717399999996</v>
      </c>
      <c r="G78" s="8">
        <v>4.5256381299999999</v>
      </c>
      <c r="H78" s="8">
        <v>32.144279060000002</v>
      </c>
      <c r="I78" s="8">
        <v>28.929851159999998</v>
      </c>
      <c r="J78" s="8">
        <v>26.03686604</v>
      </c>
      <c r="K78" s="8">
        <v>23.43317944</v>
      </c>
      <c r="L78" s="8">
        <v>21.089861490000001</v>
      </c>
      <c r="M78" s="8">
        <v>18.980875340000001</v>
      </c>
      <c r="N78" s="8">
        <v>17.082787809999999</v>
      </c>
      <c r="O78" s="8">
        <v>15.37450903</v>
      </c>
      <c r="P78" s="8">
        <v>13.83707575</v>
      </c>
      <c r="Q78" s="8">
        <v>12.4866758</v>
      </c>
      <c r="R78" s="8">
        <v>16.40029826</v>
      </c>
      <c r="S78" s="8">
        <v>14.777704440000001</v>
      </c>
      <c r="T78" s="8">
        <v>13.29994121</v>
      </c>
      <c r="U78" s="8">
        <v>11.97060473</v>
      </c>
      <c r="V78" s="8">
        <v>10.773577149999999</v>
      </c>
      <c r="W78" s="8">
        <v>96.503683429999995</v>
      </c>
      <c r="X78" s="8">
        <v>86.853483859999997</v>
      </c>
      <c r="Y78" s="8">
        <v>78.221086260000007</v>
      </c>
      <c r="Z78" s="8">
        <v>70.398981879999994</v>
      </c>
      <c r="AA78" s="8">
        <v>63.359095430000004</v>
      </c>
      <c r="AB78" s="8">
        <v>57.11055322</v>
      </c>
      <c r="AC78" s="8">
        <v>51.408952249999999</v>
      </c>
    </row>
    <row r="79" spans="1:29" x14ac:dyDescent="0.85">
      <c r="A79" t="s">
        <v>210</v>
      </c>
      <c r="B79" s="8">
        <v>0</v>
      </c>
      <c r="C79" s="8">
        <v>0</v>
      </c>
      <c r="D79" s="8">
        <v>9.8969999999999996E-5</v>
      </c>
      <c r="E79" s="8">
        <v>0</v>
      </c>
      <c r="F79" s="8">
        <v>9.4800000000000007E-6</v>
      </c>
      <c r="G79" s="8">
        <v>0</v>
      </c>
      <c r="H79" s="8">
        <v>5.0000999999999995E-4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2.4646999999999999E-4</v>
      </c>
      <c r="Q79" s="8">
        <v>2.2241000000000001E-4</v>
      </c>
      <c r="R79" s="8">
        <v>2.9211999999999999E-4</v>
      </c>
      <c r="S79" s="8">
        <v>2.6321999999999999E-4</v>
      </c>
      <c r="T79" s="8">
        <v>2.3690000000000001E-4</v>
      </c>
      <c r="U79" s="8">
        <v>2.1321999999999999E-4</v>
      </c>
      <c r="V79" s="8">
        <v>1.919E-4</v>
      </c>
      <c r="W79" s="8">
        <v>1.71894E-3</v>
      </c>
      <c r="X79" s="8">
        <v>1.5470499999999999E-3</v>
      </c>
      <c r="Y79" s="8">
        <v>1.39328E-3</v>
      </c>
      <c r="Z79" s="8">
        <v>1.2539599999999999E-3</v>
      </c>
      <c r="AA79" s="8">
        <v>1.12856E-3</v>
      </c>
      <c r="AB79" s="8">
        <v>1.0172600000000001E-3</v>
      </c>
      <c r="AC79" s="8">
        <v>9.1569999999999998E-4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1.0001186799999999</v>
      </c>
      <c r="E80" s="8">
        <v>1.0110337899999999</v>
      </c>
      <c r="F80" s="8">
        <v>1</v>
      </c>
      <c r="G80" s="8">
        <v>1.0009686600000001</v>
      </c>
      <c r="H80" s="8">
        <v>1.0000000200000001</v>
      </c>
      <c r="I80" s="8">
        <v>1.0426091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1.0000000200000001</v>
      </c>
      <c r="R80" s="8">
        <v>1.0000338099999999</v>
      </c>
      <c r="S80" s="8">
        <v>1.00511237</v>
      </c>
      <c r="T80" s="8">
        <v>1.00001695</v>
      </c>
      <c r="U80" s="8">
        <v>1.0000000099999999</v>
      </c>
      <c r="V80" s="8">
        <v>1.0000006299999999</v>
      </c>
      <c r="W80" s="8">
        <v>1.00000003</v>
      </c>
      <c r="X80" s="8">
        <v>1.08314201</v>
      </c>
      <c r="Y80" s="8">
        <v>1.0000001599999999</v>
      </c>
      <c r="Z80" s="8">
        <v>1.00004895</v>
      </c>
      <c r="AA80" s="8">
        <v>1</v>
      </c>
      <c r="AB80" s="8">
        <v>1.0000000099999999</v>
      </c>
      <c r="AC80" s="8">
        <v>1.00007768</v>
      </c>
    </row>
    <row r="81" spans="1:29" x14ac:dyDescent="0.85">
      <c r="A81" t="s">
        <v>212</v>
      </c>
      <c r="B81" s="8">
        <v>1</v>
      </c>
      <c r="C81" s="8">
        <v>1.0001186799999999</v>
      </c>
      <c r="D81" s="8">
        <v>1.0110337899999999</v>
      </c>
      <c r="E81" s="8">
        <v>1</v>
      </c>
      <c r="F81" s="8">
        <v>1.0009686600000001</v>
      </c>
      <c r="G81" s="8">
        <v>1.0000000200000001</v>
      </c>
      <c r="H81" s="8">
        <v>1.0426091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1.0000000200000001</v>
      </c>
      <c r="Q81" s="8">
        <v>1.0000338099999999</v>
      </c>
      <c r="R81" s="8">
        <v>1.00511237</v>
      </c>
      <c r="S81" s="8">
        <v>1.00001695</v>
      </c>
      <c r="T81" s="8">
        <v>1.0000000099999999</v>
      </c>
      <c r="U81" s="8">
        <v>1.0000006299999999</v>
      </c>
      <c r="V81" s="8">
        <v>1.00000003</v>
      </c>
      <c r="W81" s="8">
        <v>1.08314201</v>
      </c>
      <c r="X81" s="8">
        <v>1.0000001599999999</v>
      </c>
      <c r="Y81" s="8">
        <v>1.00004895</v>
      </c>
      <c r="Z81" s="8">
        <v>1</v>
      </c>
      <c r="AA81" s="8">
        <v>1.0000000099999999</v>
      </c>
      <c r="AB81" s="8">
        <v>1.00007768</v>
      </c>
      <c r="AC81" s="8">
        <v>1.0000082800000001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8D5F4-5EBD-4335-82BB-43A7B7237422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1E-8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22151</v>
      </c>
      <c r="C5" s="8">
        <v>22501.987804519998</v>
      </c>
      <c r="D5" s="8">
        <v>22864.11528871</v>
      </c>
      <c r="E5" s="8">
        <v>23714.52383111</v>
      </c>
      <c r="F5" s="8">
        <v>24583.205854439999</v>
      </c>
      <c r="G5" s="8">
        <v>25570.953909780001</v>
      </c>
      <c r="H5" s="8">
        <v>26625.880471960001</v>
      </c>
      <c r="I5" s="8">
        <v>27698.929344389999</v>
      </c>
      <c r="J5" s="8">
        <v>29239.120705959998</v>
      </c>
      <c r="K5" s="8">
        <v>30834.523516640002</v>
      </c>
      <c r="L5" s="8">
        <v>32486.776183559999</v>
      </c>
      <c r="M5" s="8">
        <v>34197.645850560002</v>
      </c>
      <c r="N5" s="8">
        <v>35968.874112990001</v>
      </c>
      <c r="O5" s="8">
        <v>38017.509207449999</v>
      </c>
      <c r="P5" s="8">
        <v>39918.178995759998</v>
      </c>
      <c r="Q5" s="8">
        <v>41171.679172340002</v>
      </c>
      <c r="R5" s="8">
        <v>42273.281946440002</v>
      </c>
      <c r="S5" s="8">
        <v>42565.781337519998</v>
      </c>
      <c r="T5" s="8">
        <v>42888.588697009996</v>
      </c>
      <c r="U5" s="8">
        <v>43241.978607689998</v>
      </c>
      <c r="V5" s="8">
        <v>43664.221589879999</v>
      </c>
      <c r="W5" s="8">
        <v>44894.784009110001</v>
      </c>
      <c r="X5" s="8">
        <v>45889.752475419999</v>
      </c>
      <c r="Y5" s="8">
        <v>46638.66516846</v>
      </c>
      <c r="Z5" s="8">
        <v>48002.48985631</v>
      </c>
      <c r="AA5" s="8">
        <v>49668.09367627</v>
      </c>
      <c r="AB5" s="8">
        <v>51482.498434449997</v>
      </c>
      <c r="AC5" s="8">
        <v>53317.14785745</v>
      </c>
    </row>
    <row r="6" spans="1:29" x14ac:dyDescent="0.85">
      <c r="A6" t="s">
        <v>139</v>
      </c>
      <c r="B6" s="8">
        <v>83647954.25</v>
      </c>
      <c r="C6" s="8">
        <v>85587749.974999994</v>
      </c>
      <c r="D6" s="8">
        <v>87566341.5424833</v>
      </c>
      <c r="E6" s="8">
        <v>89584505.020692304</v>
      </c>
      <c r="F6" s="8">
        <v>91643031.7866956</v>
      </c>
      <c r="G6" s="8">
        <v>93742729.105096504</v>
      </c>
      <c r="H6" s="8">
        <v>95884507.534621194</v>
      </c>
      <c r="I6" s="8">
        <v>98077789.652342901</v>
      </c>
      <c r="J6" s="8">
        <v>100372996.63354699</v>
      </c>
      <c r="K6" s="8">
        <v>102881919.40157101</v>
      </c>
      <c r="L6" s="8">
        <v>105774607.965359</v>
      </c>
      <c r="M6" s="8">
        <v>109203846.542759</v>
      </c>
      <c r="N6" s="8">
        <v>113294950.208564</v>
      </c>
      <c r="O6" s="8">
        <v>118114056.638592</v>
      </c>
      <c r="P6" s="8">
        <v>123833688.822697</v>
      </c>
      <c r="Q6" s="8">
        <v>130024287.289041</v>
      </c>
      <c r="R6" s="8">
        <v>135875648.13673601</v>
      </c>
      <c r="S6" s="8">
        <v>140588263.085825</v>
      </c>
      <c r="T6" s="8">
        <v>145522487.885719</v>
      </c>
      <c r="U6" s="8">
        <v>150665116.73231101</v>
      </c>
      <c r="V6" s="8">
        <v>156003785.22223699</v>
      </c>
      <c r="W6" s="8">
        <v>159204023.31877401</v>
      </c>
      <c r="X6" s="8">
        <v>162148977.711472</v>
      </c>
      <c r="Y6" s="8">
        <v>165437441.880523</v>
      </c>
      <c r="Z6" s="8">
        <v>169829084.940034</v>
      </c>
      <c r="AA6" s="8">
        <v>174433410.96831799</v>
      </c>
      <c r="AB6" s="8">
        <v>179281479.356552</v>
      </c>
      <c r="AC6" s="8">
        <v>184088791.39097899</v>
      </c>
    </row>
    <row r="7" spans="1:29" x14ac:dyDescent="0.85">
      <c r="A7" t="s">
        <v>140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</row>
    <row r="8" spans="1:29" x14ac:dyDescent="0.85">
      <c r="A8" t="s">
        <v>141</v>
      </c>
      <c r="B8" s="8">
        <v>3768.8976259400001</v>
      </c>
      <c r="C8" s="8">
        <v>3767.5702333700001</v>
      </c>
      <c r="D8" s="8">
        <v>3762.13004662</v>
      </c>
      <c r="E8" s="8">
        <v>3840.30758754</v>
      </c>
      <c r="F8" s="8">
        <v>3920.7859548599999</v>
      </c>
      <c r="G8" s="8">
        <v>4287.0037084699998</v>
      </c>
      <c r="H8" s="8">
        <v>4669.1969047599996</v>
      </c>
      <c r="I8" s="8">
        <v>5063.2888574199997</v>
      </c>
      <c r="J8" s="8">
        <v>5513.7574407800003</v>
      </c>
      <c r="K8" s="8">
        <v>5985.2033530899998</v>
      </c>
      <c r="L8" s="8">
        <v>6478.3123133299996</v>
      </c>
      <c r="M8" s="8">
        <v>6993.7987343900004</v>
      </c>
      <c r="N8" s="8">
        <v>7532.3881577499997</v>
      </c>
      <c r="O8" s="8">
        <v>8115.7294561600002</v>
      </c>
      <c r="P8" s="8">
        <v>8705.6046582899999</v>
      </c>
      <c r="Q8" s="8">
        <v>9249.8987783199991</v>
      </c>
      <c r="R8" s="8">
        <v>9759.6009365800001</v>
      </c>
      <c r="S8" s="8">
        <v>10160.897029760001</v>
      </c>
      <c r="T8" s="8">
        <v>10566.8910177</v>
      </c>
      <c r="U8" s="8">
        <v>10977.8865532</v>
      </c>
      <c r="V8" s="8">
        <v>11397.86129538</v>
      </c>
      <c r="W8" s="8">
        <v>11655.09388611</v>
      </c>
      <c r="X8" s="8">
        <v>11902.645596030001</v>
      </c>
      <c r="Y8" s="8">
        <v>12129.48556254</v>
      </c>
      <c r="Z8" s="8">
        <v>12421.9289451</v>
      </c>
      <c r="AA8" s="8">
        <v>12767.26733053</v>
      </c>
      <c r="AB8" s="8">
        <v>13135.278445800001</v>
      </c>
      <c r="AC8" s="8">
        <v>13510.730282439999</v>
      </c>
    </row>
    <row r="9" spans="1:29" x14ac:dyDescent="0.85">
      <c r="A9" t="s">
        <v>142</v>
      </c>
      <c r="B9" s="8">
        <v>1569.21746136</v>
      </c>
      <c r="C9" s="8">
        <v>1628.2271751999999</v>
      </c>
      <c r="D9" s="8">
        <v>1689.39840671</v>
      </c>
      <c r="E9" s="8">
        <v>1710.5822164000001</v>
      </c>
      <c r="F9" s="8">
        <v>1732.0866280299999</v>
      </c>
      <c r="G9" s="8">
        <v>1683.1703135099999</v>
      </c>
      <c r="H9" s="8">
        <v>1632.1653634300001</v>
      </c>
      <c r="I9" s="8">
        <v>1579.0265710399999</v>
      </c>
      <c r="J9" s="8">
        <v>1513.6645054799999</v>
      </c>
      <c r="K9" s="8">
        <v>1447.6728102699999</v>
      </c>
      <c r="L9" s="8">
        <v>1385.0042148699999</v>
      </c>
      <c r="M9" s="8">
        <v>1329.18465391</v>
      </c>
      <c r="N9" s="8">
        <v>1283.0636343000001</v>
      </c>
      <c r="O9" s="8">
        <v>1248.26533232</v>
      </c>
      <c r="P9" s="8">
        <v>1227.3125017499999</v>
      </c>
      <c r="Q9" s="8">
        <v>1229.87164291</v>
      </c>
      <c r="R9" s="8">
        <v>1250.6138748799999</v>
      </c>
      <c r="S9" s="8">
        <v>1292.9414374400001</v>
      </c>
      <c r="T9" s="8">
        <v>1339.2924106200001</v>
      </c>
      <c r="U9" s="8">
        <v>1389.3042154499999</v>
      </c>
      <c r="V9" s="8">
        <v>1442.6448572899999</v>
      </c>
      <c r="W9" s="8">
        <v>1471.6525182600001</v>
      </c>
      <c r="X9" s="8">
        <v>1508.36803016</v>
      </c>
      <c r="Y9" s="8">
        <v>1543.5026259900001</v>
      </c>
      <c r="Z9" s="8">
        <v>1567.5453719499999</v>
      </c>
      <c r="AA9" s="8">
        <v>1594.2679293399999</v>
      </c>
      <c r="AB9" s="8">
        <v>1621.01172668</v>
      </c>
      <c r="AC9" s="8">
        <v>1650.3843485899999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2E-8</v>
      </c>
      <c r="S10" s="8">
        <v>0</v>
      </c>
      <c r="T10" s="8">
        <v>0</v>
      </c>
      <c r="U10" s="8">
        <v>0</v>
      </c>
      <c r="V10" s="8">
        <v>0</v>
      </c>
      <c r="W10" s="8">
        <v>1.9000000000000001E-7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555.36036392000005</v>
      </c>
      <c r="D11" s="8">
        <v>1164.64132307</v>
      </c>
      <c r="E11" s="8">
        <v>1779.8861252700001</v>
      </c>
      <c r="F11" s="8">
        <v>2417.6339071900002</v>
      </c>
      <c r="G11" s="8">
        <v>2837.2150800499999</v>
      </c>
      <c r="H11" s="8">
        <v>3173.7707699799998</v>
      </c>
      <c r="I11" s="8">
        <v>3423.1081162300002</v>
      </c>
      <c r="J11" s="8">
        <v>3548.2512714200002</v>
      </c>
      <c r="K11" s="8">
        <v>3571.0865739699998</v>
      </c>
      <c r="L11" s="8">
        <v>3503.3656042399998</v>
      </c>
      <c r="M11" s="8">
        <v>3361.1560240899998</v>
      </c>
      <c r="N11" s="8">
        <v>3162.77526274</v>
      </c>
      <c r="O11" s="8">
        <v>2906.1670845399999</v>
      </c>
      <c r="P11" s="8">
        <v>2648.8598170400001</v>
      </c>
      <c r="Q11" s="8">
        <v>2444.8706861599999</v>
      </c>
      <c r="R11" s="8">
        <v>2291.66565068</v>
      </c>
      <c r="S11" s="8">
        <v>2232.4325820600002</v>
      </c>
      <c r="T11" s="8">
        <v>2177.5248967799998</v>
      </c>
      <c r="U11" s="8">
        <v>2128.4375781700001</v>
      </c>
      <c r="V11" s="8">
        <v>2086.2483270799999</v>
      </c>
      <c r="W11" s="8">
        <v>2230.2393873599999</v>
      </c>
      <c r="X11" s="8">
        <v>2387.1996818799998</v>
      </c>
      <c r="Y11" s="8">
        <v>2575.6585648999999</v>
      </c>
      <c r="Z11" s="8">
        <v>2721.6912849199998</v>
      </c>
      <c r="AA11" s="8">
        <v>2823.3118230599998</v>
      </c>
      <c r="AB11" s="8">
        <v>2911.39116754</v>
      </c>
      <c r="AC11" s="8">
        <v>2998.21801</v>
      </c>
    </row>
    <row r="12" spans="1:29" x14ac:dyDescent="0.85">
      <c r="A12" t="s">
        <v>144</v>
      </c>
      <c r="B12" s="8">
        <v>5338.1150872999997</v>
      </c>
      <c r="C12" s="8">
        <v>5395.7974085699998</v>
      </c>
      <c r="D12" s="8">
        <v>5451.52845333</v>
      </c>
      <c r="E12" s="8">
        <v>5550.8898039400001</v>
      </c>
      <c r="F12" s="8">
        <v>5652.8725828899996</v>
      </c>
      <c r="G12" s="8">
        <v>5970.1740219800004</v>
      </c>
      <c r="H12" s="8">
        <v>6301.3622681899997</v>
      </c>
      <c r="I12" s="8">
        <v>6642.3154284599996</v>
      </c>
      <c r="J12" s="8">
        <v>7027.4219462600004</v>
      </c>
      <c r="K12" s="8">
        <v>7432.8761633699996</v>
      </c>
      <c r="L12" s="8">
        <v>7863.3165282099999</v>
      </c>
      <c r="M12" s="8">
        <v>8322.9833882999992</v>
      </c>
      <c r="N12" s="8">
        <v>8815.4517920500002</v>
      </c>
      <c r="O12" s="8">
        <v>9363.9947884800004</v>
      </c>
      <c r="P12" s="8">
        <v>9932.9171600400005</v>
      </c>
      <c r="Q12" s="8">
        <v>10479.77042123</v>
      </c>
      <c r="R12" s="8">
        <v>11010.21481148</v>
      </c>
      <c r="S12" s="8">
        <v>11453.838467199999</v>
      </c>
      <c r="T12" s="8">
        <v>11906.18342831</v>
      </c>
      <c r="U12" s="8">
        <v>12367.19076865</v>
      </c>
      <c r="V12" s="8">
        <v>12840.50615268</v>
      </c>
      <c r="W12" s="8">
        <v>13126.746404560001</v>
      </c>
      <c r="X12" s="8">
        <v>13411.013626190001</v>
      </c>
      <c r="Y12" s="8">
        <v>13672.98818853</v>
      </c>
      <c r="Z12" s="8">
        <v>13989.474317050001</v>
      </c>
      <c r="AA12" s="8">
        <v>14361.535259869999</v>
      </c>
      <c r="AB12" s="8">
        <v>14756.290172479999</v>
      </c>
      <c r="AC12" s="8">
        <v>15161.114631029999</v>
      </c>
    </row>
    <row r="13" spans="1:29" x14ac:dyDescent="0.85">
      <c r="A13" t="s">
        <v>145</v>
      </c>
      <c r="B13" s="8">
        <v>5338.1150872999997</v>
      </c>
      <c r="C13" s="8">
        <v>5951.1577724899998</v>
      </c>
      <c r="D13" s="8">
        <v>6616.1697764</v>
      </c>
      <c r="E13" s="8">
        <v>7330.77592921</v>
      </c>
      <c r="F13" s="8">
        <v>8070.5064900799998</v>
      </c>
      <c r="G13" s="8">
        <v>8807.3891020299998</v>
      </c>
      <c r="H13" s="8">
        <v>9475.1330381600001</v>
      </c>
      <c r="I13" s="8">
        <v>10065.423544679999</v>
      </c>
      <c r="J13" s="8">
        <v>10575.67321768</v>
      </c>
      <c r="K13" s="8">
        <v>11003.962737330001</v>
      </c>
      <c r="L13" s="8">
        <v>11366.682132440001</v>
      </c>
      <c r="M13" s="8">
        <v>11684.139412390001</v>
      </c>
      <c r="N13" s="8">
        <v>11978.227054790001</v>
      </c>
      <c r="O13" s="8">
        <v>12270.161873020001</v>
      </c>
      <c r="P13" s="8">
        <v>12581.776977089999</v>
      </c>
      <c r="Q13" s="8">
        <v>12924.64110739</v>
      </c>
      <c r="R13" s="8">
        <v>13301.880462159999</v>
      </c>
      <c r="S13" s="8">
        <v>13686.27104926</v>
      </c>
      <c r="T13" s="8">
        <v>14083.70832509</v>
      </c>
      <c r="U13" s="8">
        <v>14495.62834682</v>
      </c>
      <c r="V13" s="8">
        <v>14926.75447976</v>
      </c>
      <c r="W13" s="8">
        <v>15356.98579192</v>
      </c>
      <c r="X13" s="8">
        <v>15798.21330806</v>
      </c>
      <c r="Y13" s="8">
        <v>16248.646753430001</v>
      </c>
      <c r="Z13" s="8">
        <v>16711.165601960001</v>
      </c>
      <c r="AA13" s="8">
        <v>17184.847082929999</v>
      </c>
      <c r="AB13" s="8">
        <v>17667.68134001</v>
      </c>
      <c r="AC13" s="8">
        <v>18159.33264103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707</v>
      </c>
      <c r="C17" s="8">
        <v>683.43333332999998</v>
      </c>
      <c r="D17" s="8">
        <v>660.65222222</v>
      </c>
      <c r="E17" s="8">
        <v>638.63048147999996</v>
      </c>
      <c r="F17" s="8">
        <v>617.34281844999998</v>
      </c>
      <c r="G17" s="8">
        <v>596.76473881000004</v>
      </c>
      <c r="H17" s="8">
        <v>576.87274547000004</v>
      </c>
      <c r="I17" s="8">
        <v>557.77259522999998</v>
      </c>
      <c r="J17" s="8">
        <v>1024.54268817</v>
      </c>
      <c r="K17" s="8">
        <v>1511.1709687</v>
      </c>
      <c r="L17" s="8">
        <v>2018.3255934700001</v>
      </c>
      <c r="M17" s="8">
        <v>2546.6893376799999</v>
      </c>
      <c r="N17" s="8">
        <v>3096.9662339000001</v>
      </c>
      <c r="O17" s="8">
        <v>3669.89013114</v>
      </c>
      <c r="P17" s="8">
        <v>4269.8941689599997</v>
      </c>
      <c r="Q17" s="8">
        <v>4127.5644360799997</v>
      </c>
      <c r="R17" s="8">
        <v>4296.8353471</v>
      </c>
      <c r="S17" s="8">
        <v>4153.6075043999999</v>
      </c>
      <c r="T17" s="8">
        <v>4015.1539209299999</v>
      </c>
      <c r="U17" s="8">
        <v>3881.3154568999998</v>
      </c>
      <c r="V17" s="8">
        <v>3751.9738517199999</v>
      </c>
      <c r="W17" s="8">
        <v>4395.1462622700001</v>
      </c>
      <c r="X17" s="8">
        <v>4979.7248145699996</v>
      </c>
      <c r="Y17" s="8">
        <v>4813.73414142</v>
      </c>
      <c r="Z17" s="8">
        <v>4770.5128322399996</v>
      </c>
      <c r="AA17" s="8">
        <v>5300.0767430899996</v>
      </c>
      <c r="AB17" s="8">
        <v>5959.5395286499997</v>
      </c>
      <c r="AC17" s="8">
        <v>6758.1942345199996</v>
      </c>
    </row>
    <row r="18" spans="1:29" x14ac:dyDescent="0.85">
      <c r="A18" t="s">
        <v>149</v>
      </c>
      <c r="B18" s="8">
        <v>675460</v>
      </c>
      <c r="C18" s="8">
        <v>651577.16040507995</v>
      </c>
      <c r="D18" s="8">
        <v>629857.87485169002</v>
      </c>
      <c r="E18" s="8">
        <v>608862.46690305998</v>
      </c>
      <c r="F18" s="8">
        <v>588567.07010805001</v>
      </c>
      <c r="G18" s="8">
        <v>568948.18141069997</v>
      </c>
      <c r="H18" s="8">
        <v>549983.39898177003</v>
      </c>
      <c r="I18" s="8">
        <v>531773.55004395999</v>
      </c>
      <c r="J18" s="8">
        <v>976786.43074064003</v>
      </c>
      <c r="K18" s="8">
        <v>1440731.8638796301</v>
      </c>
      <c r="L18" s="8">
        <v>1924246.8618201499</v>
      </c>
      <c r="M18" s="8">
        <v>2427982.3740605698</v>
      </c>
      <c r="N18" s="8">
        <v>2952609.6166163101</v>
      </c>
      <c r="O18" s="8">
        <v>3498828.2321366202</v>
      </c>
      <c r="P18" s="8">
        <v>4070864.7214817898</v>
      </c>
      <c r="Q18" s="8">
        <v>3935169.3001292199</v>
      </c>
      <c r="R18" s="8">
        <v>4096550.1102320799</v>
      </c>
      <c r="S18" s="8">
        <v>3959998.4419967202</v>
      </c>
      <c r="T18" s="8">
        <v>3827998.4939402002</v>
      </c>
      <c r="U18" s="8">
        <v>3700398.5441423701</v>
      </c>
      <c r="V18" s="8">
        <v>3577085.84441109</v>
      </c>
      <c r="W18" s="8">
        <v>4190278.53077036</v>
      </c>
      <c r="X18" s="8">
        <v>4747608.5514481599</v>
      </c>
      <c r="Y18" s="8">
        <v>4589355.0798900696</v>
      </c>
      <c r="Z18" s="8">
        <v>4548148.4139196305</v>
      </c>
      <c r="AA18" s="8">
        <v>5053028.1503127404</v>
      </c>
      <c r="AB18" s="8">
        <v>5681751.8803744903</v>
      </c>
      <c r="AC18" s="8">
        <v>6443179.4797734702</v>
      </c>
    </row>
    <row r="19" spans="1:29" x14ac:dyDescent="0.85">
      <c r="A19" t="s">
        <v>150</v>
      </c>
      <c r="B19" s="8">
        <v>675460</v>
      </c>
      <c r="C19" s="8">
        <v>651577.16040507995</v>
      </c>
      <c r="D19" s="8">
        <v>629857.87485169002</v>
      </c>
      <c r="E19" s="8">
        <v>608862.46690305998</v>
      </c>
      <c r="F19" s="8">
        <v>588567.07010805001</v>
      </c>
      <c r="G19" s="8">
        <v>568948.18141069997</v>
      </c>
      <c r="H19" s="8">
        <v>549983.39898177003</v>
      </c>
      <c r="I19" s="8">
        <v>531773.55004395999</v>
      </c>
      <c r="J19" s="8">
        <v>976786.43074064003</v>
      </c>
      <c r="K19" s="8">
        <v>1440731.8638796301</v>
      </c>
      <c r="L19" s="8">
        <v>1924246.8618201499</v>
      </c>
      <c r="M19" s="8">
        <v>2427982.3740605698</v>
      </c>
      <c r="N19" s="8">
        <v>2952609.6166163101</v>
      </c>
      <c r="O19" s="8">
        <v>3498828.2321366202</v>
      </c>
      <c r="P19" s="8">
        <v>4070864.7214817898</v>
      </c>
      <c r="Q19" s="8">
        <v>3935169.3001292199</v>
      </c>
      <c r="R19" s="8">
        <v>4096550.1102320799</v>
      </c>
      <c r="S19" s="8">
        <v>3959998.4419967202</v>
      </c>
      <c r="T19" s="8">
        <v>3827998.4939402002</v>
      </c>
      <c r="U19" s="8">
        <v>3700398.5441423701</v>
      </c>
      <c r="V19" s="8">
        <v>3577085.84441109</v>
      </c>
      <c r="W19" s="8">
        <v>4190278.53077036</v>
      </c>
      <c r="X19" s="8">
        <v>4747608.5514481599</v>
      </c>
      <c r="Y19" s="8">
        <v>4589355.0798900696</v>
      </c>
      <c r="Z19" s="8">
        <v>4548148.4139196305</v>
      </c>
      <c r="AA19" s="8">
        <v>5053028.1503127404</v>
      </c>
      <c r="AB19" s="8">
        <v>5681751.8803744903</v>
      </c>
      <c r="AC19" s="8">
        <v>6443179.4797734702</v>
      </c>
    </row>
    <row r="20" spans="1:29" x14ac:dyDescent="0.85">
      <c r="A20" t="s">
        <v>151</v>
      </c>
      <c r="B20" s="8">
        <v>69.720139119999999</v>
      </c>
      <c r="C20" s="8">
        <v>67.396134480000001</v>
      </c>
      <c r="D20" s="8">
        <v>65.14959666</v>
      </c>
      <c r="E20" s="8">
        <v>62.977943439999997</v>
      </c>
      <c r="F20" s="8">
        <v>60.878680600000003</v>
      </c>
      <c r="G20" s="8">
        <v>58.849392659999999</v>
      </c>
      <c r="H20" s="8">
        <v>56.887762469999998</v>
      </c>
      <c r="I20" s="8">
        <v>55.004219139999996</v>
      </c>
      <c r="J20" s="8">
        <v>101.03431223</v>
      </c>
      <c r="K20" s="8">
        <v>149.02270179000001</v>
      </c>
      <c r="L20" s="8">
        <v>199.03527745</v>
      </c>
      <c r="M20" s="8">
        <v>251.13937045</v>
      </c>
      <c r="N20" s="8">
        <v>305.4044083</v>
      </c>
      <c r="O20" s="8">
        <v>361.90275881999997</v>
      </c>
      <c r="P20" s="8">
        <v>421.07159189999999</v>
      </c>
      <c r="Q20" s="8">
        <v>407.03587934000001</v>
      </c>
      <c r="R20" s="8">
        <v>423.72837081</v>
      </c>
      <c r="S20" s="8">
        <v>409.60409199999998</v>
      </c>
      <c r="T20" s="8">
        <v>395.95062225999999</v>
      </c>
      <c r="U20" s="8">
        <v>382.75226819</v>
      </c>
      <c r="V20" s="8">
        <v>369.99736761000003</v>
      </c>
      <c r="W20" s="8">
        <v>433.42320911000002</v>
      </c>
      <c r="X20" s="8">
        <v>491.07087246999998</v>
      </c>
      <c r="Y20" s="8">
        <v>474.70185857000001</v>
      </c>
      <c r="Z20" s="8">
        <v>470.43962986999998</v>
      </c>
      <c r="AA20" s="8">
        <v>522.66207617999999</v>
      </c>
      <c r="AB20" s="8">
        <v>587.69437765999999</v>
      </c>
      <c r="AC20" s="8">
        <v>666.45295926999995</v>
      </c>
    </row>
    <row r="21" spans="1:29" x14ac:dyDescent="0.85">
      <c r="A21" t="s">
        <v>152</v>
      </c>
      <c r="B21" s="8">
        <v>0</v>
      </c>
      <c r="C21" s="8">
        <v>6.5157720000000002E-2</v>
      </c>
      <c r="D21" s="8">
        <v>0.12597157</v>
      </c>
      <c r="E21" s="8">
        <v>0.18265874000000001</v>
      </c>
      <c r="F21" s="8">
        <v>0.23542683</v>
      </c>
      <c r="G21" s="8">
        <v>0.28447409000000001</v>
      </c>
      <c r="H21" s="8">
        <v>0.32999003999999998</v>
      </c>
      <c r="I21" s="8">
        <v>0.37224149000000001</v>
      </c>
      <c r="J21" s="8">
        <v>0.78142913999999997</v>
      </c>
      <c r="K21" s="8">
        <v>1.29665868</v>
      </c>
      <c r="L21" s="8">
        <v>1.92424686</v>
      </c>
      <c r="M21" s="8">
        <v>2.67078061</v>
      </c>
      <c r="N21" s="8">
        <v>3.5431315400000001</v>
      </c>
      <c r="O21" s="8">
        <v>4.5484767000000002</v>
      </c>
      <c r="P21" s="8">
        <v>5.6992106099999997</v>
      </c>
      <c r="Q21" s="8">
        <v>5.9027539500000001</v>
      </c>
      <c r="R21" s="8">
        <v>6.5544801799999997</v>
      </c>
      <c r="S21" s="8">
        <v>6.7319973500000003</v>
      </c>
      <c r="T21" s="8">
        <v>6.8903972900000001</v>
      </c>
      <c r="U21" s="8">
        <v>7.0307572299999999</v>
      </c>
      <c r="V21" s="8">
        <v>7.1541716900000001</v>
      </c>
      <c r="W21" s="8">
        <v>8.7995849100000001</v>
      </c>
      <c r="X21" s="8">
        <v>10.44473881</v>
      </c>
      <c r="Y21" s="8">
        <v>10.55551668</v>
      </c>
      <c r="Z21" s="8">
        <v>10.91555619</v>
      </c>
      <c r="AA21" s="8">
        <v>12.632570380000001</v>
      </c>
      <c r="AB21" s="8">
        <v>14.77255489</v>
      </c>
      <c r="AC21" s="8">
        <v>17.396584600000001</v>
      </c>
    </row>
    <row r="22" spans="1:29" x14ac:dyDescent="0.85">
      <c r="A22" t="s">
        <v>153</v>
      </c>
      <c r="B22" s="8">
        <v>3.3773000000000002E-3</v>
      </c>
      <c r="C22" s="8">
        <v>3.2578899999999998E-3</v>
      </c>
      <c r="D22" s="8">
        <v>3.1492899999999999E-3</v>
      </c>
      <c r="E22" s="8">
        <v>3.0443100000000002E-3</v>
      </c>
      <c r="F22" s="8">
        <v>2.94284E-3</v>
      </c>
      <c r="G22" s="8">
        <v>2.8447400000000001E-3</v>
      </c>
      <c r="H22" s="8">
        <v>2.7499199999999999E-3</v>
      </c>
      <c r="I22" s="8">
        <v>2.6588699999999998E-3</v>
      </c>
      <c r="J22" s="8">
        <v>4.8839299999999999E-3</v>
      </c>
      <c r="K22" s="8">
        <v>7.2036599999999998E-3</v>
      </c>
      <c r="L22" s="8">
        <v>9.6212299999999997E-3</v>
      </c>
      <c r="M22" s="8">
        <v>1.213991E-2</v>
      </c>
      <c r="N22" s="8">
        <v>1.476305E-2</v>
      </c>
      <c r="O22" s="8">
        <v>1.7494139999999998E-2</v>
      </c>
      <c r="P22" s="8">
        <v>2.0354319999999999E-2</v>
      </c>
      <c r="Q22" s="8">
        <v>1.9675850000000002E-2</v>
      </c>
      <c r="R22" s="8">
        <v>2.0482750000000001E-2</v>
      </c>
      <c r="S22" s="8">
        <v>1.979999E-2</v>
      </c>
      <c r="T22" s="8">
        <v>1.9139989999999999E-2</v>
      </c>
      <c r="U22" s="8">
        <v>1.8501989999999999E-2</v>
      </c>
      <c r="V22" s="8">
        <v>1.7885430000000001E-2</v>
      </c>
      <c r="W22" s="8">
        <v>2.095139E-2</v>
      </c>
      <c r="X22" s="8">
        <v>2.3738039999999998E-2</v>
      </c>
      <c r="Y22" s="8">
        <v>2.294678E-2</v>
      </c>
      <c r="Z22" s="8">
        <v>2.2740739999999999E-2</v>
      </c>
      <c r="AA22" s="8">
        <v>2.5265139999999998E-2</v>
      </c>
      <c r="AB22" s="8">
        <v>2.8408760000000002E-2</v>
      </c>
      <c r="AC22" s="8">
        <v>3.2215899999999999E-2</v>
      </c>
    </row>
    <row r="23" spans="1:29" x14ac:dyDescent="0.85">
      <c r="A23" t="s">
        <v>154</v>
      </c>
      <c r="B23" s="8">
        <v>69.720139119999999</v>
      </c>
      <c r="C23" s="8">
        <v>67.396134480000001</v>
      </c>
      <c r="D23" s="8">
        <v>65.14959666</v>
      </c>
      <c r="E23" s="8">
        <v>62.977943439999997</v>
      </c>
      <c r="F23" s="8">
        <v>60.878680600000003</v>
      </c>
      <c r="G23" s="8">
        <v>58.849392659999999</v>
      </c>
      <c r="H23" s="8">
        <v>56.887762469999998</v>
      </c>
      <c r="I23" s="8">
        <v>55.004219139999996</v>
      </c>
      <c r="J23" s="8">
        <v>101.03431223</v>
      </c>
      <c r="K23" s="8">
        <v>149.02270179000001</v>
      </c>
      <c r="L23" s="8">
        <v>199.03527745</v>
      </c>
      <c r="M23" s="8">
        <v>251.13937045</v>
      </c>
      <c r="N23" s="8">
        <v>305.4044083</v>
      </c>
      <c r="O23" s="8">
        <v>361.90275881999997</v>
      </c>
      <c r="P23" s="8">
        <v>421.07159189999999</v>
      </c>
      <c r="Q23" s="8">
        <v>407.03587934000001</v>
      </c>
      <c r="R23" s="8">
        <v>423.72837081</v>
      </c>
      <c r="S23" s="8">
        <v>409.60409199999998</v>
      </c>
      <c r="T23" s="8">
        <v>395.95062225999999</v>
      </c>
      <c r="U23" s="8">
        <v>382.75226819</v>
      </c>
      <c r="V23" s="8">
        <v>369.99736761000003</v>
      </c>
      <c r="W23" s="8">
        <v>433.42320911000002</v>
      </c>
      <c r="X23" s="8">
        <v>491.07087246999998</v>
      </c>
      <c r="Y23" s="8">
        <v>474.70185857000001</v>
      </c>
      <c r="Z23" s="8">
        <v>470.43962986999998</v>
      </c>
      <c r="AA23" s="8">
        <v>522.66207617999999</v>
      </c>
      <c r="AB23" s="8">
        <v>587.69437765999999</v>
      </c>
      <c r="AC23" s="8">
        <v>666.45295926999995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0.99790562999999999</v>
      </c>
      <c r="E25" s="8">
        <v>0.99999992999999998</v>
      </c>
      <c r="F25" s="8">
        <v>0.99999976000000002</v>
      </c>
      <c r="G25" s="8">
        <v>1.00000003</v>
      </c>
      <c r="H25" s="8">
        <v>1.0000000200000001</v>
      </c>
      <c r="I25" s="8">
        <v>1.00000029</v>
      </c>
      <c r="J25" s="8">
        <v>1.00023123</v>
      </c>
      <c r="K25" s="8">
        <v>1.5258262300000001</v>
      </c>
      <c r="L25" s="8">
        <v>1.3816490400000001</v>
      </c>
      <c r="M25" s="8">
        <v>1.3052829699999999</v>
      </c>
      <c r="N25" s="8">
        <v>1.2580003900000001</v>
      </c>
      <c r="O25" s="8">
        <v>1.2258472</v>
      </c>
      <c r="P25" s="8">
        <v>1.20360421</v>
      </c>
      <c r="Q25" s="8">
        <v>1.1856925899999999</v>
      </c>
      <c r="R25" s="8">
        <v>1.0000000200000001</v>
      </c>
      <c r="S25" s="8">
        <v>1.0769067699999999</v>
      </c>
      <c r="T25" s="8">
        <v>1</v>
      </c>
      <c r="U25" s="8">
        <v>1</v>
      </c>
      <c r="V25" s="8">
        <v>1</v>
      </c>
      <c r="W25" s="8">
        <v>1.0000094799999999</v>
      </c>
      <c r="X25" s="8">
        <v>1.2010398799999999</v>
      </c>
      <c r="Y25" s="8">
        <v>1.1720746399999999</v>
      </c>
      <c r="Z25" s="8">
        <v>1.00000003</v>
      </c>
      <c r="AA25" s="8">
        <v>1.0251944</v>
      </c>
      <c r="AB25" s="8">
        <v>1.14931837</v>
      </c>
      <c r="AC25" s="8">
        <v>1.1631984200000001</v>
      </c>
    </row>
    <row r="26" spans="1:29" x14ac:dyDescent="0.85">
      <c r="A26" t="s">
        <v>157</v>
      </c>
      <c r="B26" s="8">
        <v>1</v>
      </c>
      <c r="C26" s="8">
        <v>0.99790562999999999</v>
      </c>
      <c r="D26" s="8">
        <v>0.99999992999999998</v>
      </c>
      <c r="E26" s="8">
        <v>0.99999976000000002</v>
      </c>
      <c r="F26" s="8">
        <v>1.00000003</v>
      </c>
      <c r="G26" s="8">
        <v>1.0000000200000001</v>
      </c>
      <c r="H26" s="8">
        <v>1.00000029</v>
      </c>
      <c r="I26" s="8">
        <v>1.00023123</v>
      </c>
      <c r="J26" s="8">
        <v>1.90018613</v>
      </c>
      <c r="K26" s="8">
        <v>1.5258322900000001</v>
      </c>
      <c r="L26" s="8">
        <v>1.3816590399999999</v>
      </c>
      <c r="M26" s="8">
        <v>1.30529297</v>
      </c>
      <c r="N26" s="8">
        <v>1.25800903</v>
      </c>
      <c r="O26" s="8">
        <v>1.22585711</v>
      </c>
      <c r="P26" s="8">
        <v>1.20361421</v>
      </c>
      <c r="Q26" s="8">
        <v>1.0000000200000001</v>
      </c>
      <c r="R26" s="8">
        <v>1.0769067699999999</v>
      </c>
      <c r="S26" s="8">
        <v>1</v>
      </c>
      <c r="T26" s="8">
        <v>1</v>
      </c>
      <c r="U26" s="8">
        <v>1</v>
      </c>
      <c r="V26" s="8">
        <v>1.0000094799999999</v>
      </c>
      <c r="W26" s="8">
        <v>1.21181629</v>
      </c>
      <c r="X26" s="8">
        <v>1.1720746399999999</v>
      </c>
      <c r="Y26" s="8">
        <v>1.00000003</v>
      </c>
      <c r="Z26" s="8">
        <v>1.0251944</v>
      </c>
      <c r="AA26" s="8">
        <v>1.14931837</v>
      </c>
      <c r="AB26" s="8">
        <v>1.1631984200000001</v>
      </c>
      <c r="AC26" s="8">
        <v>1.17311671</v>
      </c>
    </row>
    <row r="27" spans="1:29" x14ac:dyDescent="0.85">
      <c r="A27" t="s">
        <v>158</v>
      </c>
      <c r="B27" s="8">
        <v>1</v>
      </c>
      <c r="C27" s="8">
        <v>1.57532805</v>
      </c>
      <c r="D27" s="8">
        <v>1.6035800200000001</v>
      </c>
      <c r="E27" s="8">
        <v>1.6334189400000001</v>
      </c>
      <c r="F27" s="8">
        <v>1.6781735900000001</v>
      </c>
      <c r="G27" s="8">
        <v>1.7258099899999999</v>
      </c>
      <c r="H27" s="8">
        <v>1.7794854499999999</v>
      </c>
      <c r="I27" s="8">
        <v>1.8380872800000001</v>
      </c>
      <c r="J27" s="8">
        <v>1.9002002600000001</v>
      </c>
      <c r="K27" s="8">
        <v>1.5258362299999999</v>
      </c>
      <c r="L27" s="8">
        <v>1.3816590399999999</v>
      </c>
      <c r="M27" s="8">
        <v>1.30529297</v>
      </c>
      <c r="N27" s="8">
        <v>1.2580103899999999</v>
      </c>
      <c r="O27" s="8">
        <v>1.2258572000000001</v>
      </c>
      <c r="P27" s="8">
        <v>1.20361421</v>
      </c>
      <c r="Q27" s="8">
        <v>1.18570259</v>
      </c>
      <c r="R27" s="8">
        <v>1.19679924</v>
      </c>
      <c r="S27" s="8">
        <v>1.1943785</v>
      </c>
      <c r="T27" s="8">
        <v>1.2016397299999999</v>
      </c>
      <c r="U27" s="8">
        <v>1.20932817</v>
      </c>
      <c r="V27" s="8">
        <v>1.2174705299999999</v>
      </c>
      <c r="W27" s="8">
        <v>1.22627263</v>
      </c>
      <c r="X27" s="8">
        <v>1.20104988</v>
      </c>
      <c r="Y27" s="8">
        <v>1.18333756</v>
      </c>
      <c r="Z27" s="8">
        <v>1.19172744</v>
      </c>
      <c r="AA27" s="8">
        <v>1.19835052</v>
      </c>
      <c r="AB27" s="8">
        <v>1.18610053</v>
      </c>
      <c r="AC27" s="8">
        <v>1.17311671</v>
      </c>
    </row>
    <row r="28" spans="1:29" x14ac:dyDescent="0.85">
      <c r="A28" t="s">
        <v>159</v>
      </c>
      <c r="B28" s="8">
        <v>1238</v>
      </c>
      <c r="C28" s="8">
        <v>1188.48</v>
      </c>
      <c r="D28" s="8">
        <v>1140.9411106699999</v>
      </c>
      <c r="E28" s="8">
        <v>1671.67329406</v>
      </c>
      <c r="F28" s="8">
        <v>2211.9888062300001</v>
      </c>
      <c r="G28" s="8">
        <v>2762.1314428599999</v>
      </c>
      <c r="H28" s="8">
        <v>3324.7847649700002</v>
      </c>
      <c r="I28" s="8">
        <v>3901.3172806500002</v>
      </c>
      <c r="J28" s="8">
        <v>4491.8797758000001</v>
      </c>
      <c r="K28" s="8">
        <v>5107.5088153099996</v>
      </c>
      <c r="L28" s="8">
        <v>5749.0219143699996</v>
      </c>
      <c r="M28" s="8">
        <v>6417.2593158199998</v>
      </c>
      <c r="N28" s="8">
        <v>7113.0866394000004</v>
      </c>
      <c r="O28" s="8">
        <v>7837.3937343400003</v>
      </c>
      <c r="P28" s="8">
        <v>8596.3154458099998</v>
      </c>
      <c r="Q28" s="8">
        <v>9366.8871238400006</v>
      </c>
      <c r="R28" s="8">
        <v>9616.7483184199991</v>
      </c>
      <c r="S28" s="8">
        <v>9232.1480087500004</v>
      </c>
      <c r="T28" s="8">
        <v>8862.8622532600002</v>
      </c>
      <c r="U28" s="8">
        <v>8508.3751969999994</v>
      </c>
      <c r="V28" s="8">
        <v>8168.0401891499996</v>
      </c>
      <c r="W28" s="8">
        <v>8154.3478456599996</v>
      </c>
      <c r="X28" s="8">
        <v>7828.1739556800003</v>
      </c>
      <c r="Y28" s="8">
        <v>7984.0243470200003</v>
      </c>
      <c r="Z28" s="8">
        <v>8756.8666339499996</v>
      </c>
      <c r="AA28" s="8">
        <v>9224.4939043899994</v>
      </c>
      <c r="AB28" s="8">
        <v>9707.6426221399997</v>
      </c>
      <c r="AC28" s="8">
        <v>10041.14905948</v>
      </c>
    </row>
    <row r="29" spans="1:29" x14ac:dyDescent="0.85">
      <c r="A29" t="s">
        <v>160</v>
      </c>
      <c r="B29" s="8">
        <v>3550049.5</v>
      </c>
      <c r="C29" s="8">
        <v>3408047.3539928598</v>
      </c>
      <c r="D29" s="8">
        <v>3271726.3507131599</v>
      </c>
      <c r="E29" s="8">
        <v>4793637.0376875596</v>
      </c>
      <c r="F29" s="8">
        <v>6343028.5727526704</v>
      </c>
      <c r="G29" s="8">
        <v>7920600.0565561103</v>
      </c>
      <c r="H29" s="8">
        <v>9534046.7831717692</v>
      </c>
      <c r="I29" s="8">
        <v>11187293.042721599</v>
      </c>
      <c r="J29" s="8">
        <v>12880771.2240486</v>
      </c>
      <c r="K29" s="8">
        <v>14646129.4287901</v>
      </c>
      <c r="L29" s="8">
        <v>16485711.9373555</v>
      </c>
      <c r="M29" s="8">
        <v>18401928.203380998</v>
      </c>
      <c r="N29" s="8">
        <v>20397260.450433701</v>
      </c>
      <c r="O29" s="8">
        <v>22474260.381762601</v>
      </c>
      <c r="P29" s="8">
        <v>24650520.083788</v>
      </c>
      <c r="Q29" s="8">
        <v>26860186.8584699</v>
      </c>
      <c r="R29" s="8">
        <v>27576680.853376899</v>
      </c>
      <c r="S29" s="8">
        <v>26473813.2681095</v>
      </c>
      <c r="T29" s="8">
        <v>25414861.2101418</v>
      </c>
      <c r="U29" s="8">
        <v>24398345.430234101</v>
      </c>
      <c r="V29" s="8">
        <v>23422411.613099501</v>
      </c>
      <c r="W29" s="8">
        <v>23383147.885475401</v>
      </c>
      <c r="X29" s="8">
        <v>22447822.0384362</v>
      </c>
      <c r="Y29" s="8">
        <v>22894733.6514512</v>
      </c>
      <c r="Z29" s="8">
        <v>25110911.551824901</v>
      </c>
      <c r="AA29" s="8">
        <v>26451864.602505099</v>
      </c>
      <c r="AB29" s="8">
        <v>27837326.4605847</v>
      </c>
      <c r="AC29" s="8">
        <v>28793678.886654701</v>
      </c>
    </row>
    <row r="30" spans="1:29" x14ac:dyDescent="0.85">
      <c r="A30" t="s">
        <v>161</v>
      </c>
      <c r="B30" s="8">
        <v>3550049.5</v>
      </c>
      <c r="C30" s="8">
        <v>3408047.3539928598</v>
      </c>
      <c r="D30" s="8">
        <v>3271726.3507131599</v>
      </c>
      <c r="E30" s="8">
        <v>4793637.0376875596</v>
      </c>
      <c r="F30" s="8">
        <v>6343028.5727526704</v>
      </c>
      <c r="G30" s="8">
        <v>7920600.0565561103</v>
      </c>
      <c r="H30" s="8">
        <v>9534046.7831717692</v>
      </c>
      <c r="I30" s="8">
        <v>11187293.042721599</v>
      </c>
      <c r="J30" s="8">
        <v>12880771.2240486</v>
      </c>
      <c r="K30" s="8">
        <v>14646129.4287901</v>
      </c>
      <c r="L30" s="8">
        <v>16485711.9373555</v>
      </c>
      <c r="M30" s="8">
        <v>18401928.203380998</v>
      </c>
      <c r="N30" s="8">
        <v>20397260.450433701</v>
      </c>
      <c r="O30" s="8">
        <v>22474260.381762601</v>
      </c>
      <c r="P30" s="8">
        <v>24650520.083788</v>
      </c>
      <c r="Q30" s="8">
        <v>26860186.8584699</v>
      </c>
      <c r="R30" s="8">
        <v>27576680.853376899</v>
      </c>
      <c r="S30" s="8">
        <v>26473813.2681095</v>
      </c>
      <c r="T30" s="8">
        <v>25414861.2101418</v>
      </c>
      <c r="U30" s="8">
        <v>24398345.430234101</v>
      </c>
      <c r="V30" s="8">
        <v>23422411.613099501</v>
      </c>
      <c r="W30" s="8">
        <v>23383147.885475401</v>
      </c>
      <c r="X30" s="8">
        <v>22447822.0384362</v>
      </c>
      <c r="Y30" s="8">
        <v>22894733.6514512</v>
      </c>
      <c r="Z30" s="8">
        <v>25110911.551824901</v>
      </c>
      <c r="AA30" s="8">
        <v>26451864.602505099</v>
      </c>
      <c r="AB30" s="8">
        <v>27837326.4605847</v>
      </c>
      <c r="AC30" s="8">
        <v>28793678.886654701</v>
      </c>
    </row>
    <row r="31" spans="1:29" x14ac:dyDescent="0.85">
      <c r="A31" t="s">
        <v>162</v>
      </c>
      <c r="B31" s="8">
        <v>193.71570131999999</v>
      </c>
      <c r="C31" s="8">
        <v>185.96707326999999</v>
      </c>
      <c r="D31" s="8">
        <v>178.52843895000001</v>
      </c>
      <c r="E31" s="8">
        <v>261.57460786000001</v>
      </c>
      <c r="F31" s="8">
        <v>346.12032545</v>
      </c>
      <c r="G31" s="8">
        <v>432.20373956999998</v>
      </c>
      <c r="H31" s="8">
        <v>520.24475968000002</v>
      </c>
      <c r="I31" s="8">
        <v>610.45752269000002</v>
      </c>
      <c r="J31" s="8">
        <v>702.86562278999997</v>
      </c>
      <c r="K31" s="8">
        <v>799.19600334999996</v>
      </c>
      <c r="L31" s="8">
        <v>899.57658485000002</v>
      </c>
      <c r="M31" s="8">
        <v>1004.13884403</v>
      </c>
      <c r="N31" s="8">
        <v>1113.01822851</v>
      </c>
      <c r="O31" s="8">
        <v>1226.35397719</v>
      </c>
      <c r="P31" s="8">
        <v>1345.1060382400001</v>
      </c>
      <c r="Q31" s="8">
        <v>1465.6810245300001</v>
      </c>
      <c r="R31" s="8">
        <v>1504.7779845800001</v>
      </c>
      <c r="S31" s="8">
        <v>1444.59775945</v>
      </c>
      <c r="T31" s="8">
        <v>1386.8138748700001</v>
      </c>
      <c r="U31" s="8">
        <v>1331.3456125800001</v>
      </c>
      <c r="V31" s="8">
        <v>1278.09178808</v>
      </c>
      <c r="W31" s="8">
        <v>1275.9492824900001</v>
      </c>
      <c r="X31" s="8">
        <v>1224.91131492</v>
      </c>
      <c r="Y31" s="8">
        <v>1249.2979610100001</v>
      </c>
      <c r="Z31" s="8">
        <v>1370.22824019</v>
      </c>
      <c r="AA31" s="8">
        <v>1443.4000856299999</v>
      </c>
      <c r="AB31" s="8">
        <v>1519.00064516</v>
      </c>
      <c r="AC31" s="8">
        <v>1571.18597101</v>
      </c>
    </row>
    <row r="32" spans="1:29" x14ac:dyDescent="0.85">
      <c r="A32" t="s">
        <v>163</v>
      </c>
      <c r="B32" s="8">
        <v>0</v>
      </c>
      <c r="C32" s="8">
        <v>0.27264379</v>
      </c>
      <c r="D32" s="8">
        <v>0.52347622000000005</v>
      </c>
      <c r="E32" s="8">
        <v>1.1504728900000001</v>
      </c>
      <c r="F32" s="8">
        <v>2.02976914</v>
      </c>
      <c r="G32" s="8">
        <v>3.1682400199999998</v>
      </c>
      <c r="H32" s="8">
        <v>4.5763424600000002</v>
      </c>
      <c r="I32" s="8">
        <v>6.2648840999999997</v>
      </c>
      <c r="J32" s="8">
        <v>8.2436935800000004</v>
      </c>
      <c r="K32" s="8">
        <v>10.54521319</v>
      </c>
      <c r="L32" s="8">
        <v>13.18856955</v>
      </c>
      <c r="M32" s="8">
        <v>16.19369682</v>
      </c>
      <c r="N32" s="8">
        <v>19.581370029999999</v>
      </c>
      <c r="O32" s="8">
        <v>23.373230800000002</v>
      </c>
      <c r="P32" s="8">
        <v>27.60858249</v>
      </c>
      <c r="Q32" s="8">
        <v>32.23222423</v>
      </c>
      <c r="R32" s="8">
        <v>35.298151490000002</v>
      </c>
      <c r="S32" s="8">
        <v>36.00438604</v>
      </c>
      <c r="T32" s="8">
        <v>36.597400139999998</v>
      </c>
      <c r="U32" s="8">
        <v>37.085485050000003</v>
      </c>
      <c r="V32" s="8">
        <v>37.475858580000001</v>
      </c>
      <c r="W32" s="8">
        <v>39.28368845</v>
      </c>
      <c r="X32" s="8">
        <v>39.508166789999997</v>
      </c>
      <c r="Y32" s="8">
        <v>42.126309919999997</v>
      </c>
      <c r="Z32" s="8">
        <v>48.21295018</v>
      </c>
      <c r="AA32" s="8">
        <v>52.903729210000002</v>
      </c>
      <c r="AB32" s="8">
        <v>57.901639039999999</v>
      </c>
      <c r="AC32" s="8">
        <v>62.194346400000001</v>
      </c>
    </row>
    <row r="33" spans="1:29" x14ac:dyDescent="0.85">
      <c r="A33" t="s">
        <v>164</v>
      </c>
      <c r="B33" s="8">
        <v>1.42002E-2</v>
      </c>
      <c r="C33" s="8">
        <v>1.3632190000000001E-2</v>
      </c>
      <c r="D33" s="8">
        <v>1.308691E-2</v>
      </c>
      <c r="E33" s="8">
        <v>1.9174549999999999E-2</v>
      </c>
      <c r="F33" s="8">
        <v>2.537211E-2</v>
      </c>
      <c r="G33" s="8">
        <v>3.1682399999999999E-2</v>
      </c>
      <c r="H33" s="8">
        <v>3.813619E-2</v>
      </c>
      <c r="I33" s="8">
        <v>4.4749169999999998E-2</v>
      </c>
      <c r="J33" s="8">
        <v>5.1523079999999999E-2</v>
      </c>
      <c r="K33" s="8">
        <v>5.8584520000000001E-2</v>
      </c>
      <c r="L33" s="8">
        <v>6.5942849999999997E-2</v>
      </c>
      <c r="M33" s="8">
        <v>7.3607710000000007E-2</v>
      </c>
      <c r="N33" s="8">
        <v>8.1589040000000002E-2</v>
      </c>
      <c r="O33" s="8">
        <v>8.9897039999999998E-2</v>
      </c>
      <c r="P33" s="8">
        <v>9.8602079999999995E-2</v>
      </c>
      <c r="Q33" s="8">
        <v>0.10744075</v>
      </c>
      <c r="R33" s="8">
        <v>0.11030672</v>
      </c>
      <c r="S33" s="8">
        <v>0.10589525</v>
      </c>
      <c r="T33" s="8">
        <v>0.10165944</v>
      </c>
      <c r="U33" s="8">
        <v>9.7593379999999993E-2</v>
      </c>
      <c r="V33" s="8">
        <v>9.3689649999999999E-2</v>
      </c>
      <c r="W33" s="8">
        <v>9.3532589999999999E-2</v>
      </c>
      <c r="X33" s="8">
        <v>8.9791289999999996E-2</v>
      </c>
      <c r="Y33" s="8">
        <v>9.1578930000000003E-2</v>
      </c>
      <c r="Z33" s="8">
        <v>0.10044365</v>
      </c>
      <c r="AA33" s="8">
        <v>0.10580746000000001</v>
      </c>
      <c r="AB33" s="8">
        <v>0.11134931000000001</v>
      </c>
      <c r="AC33" s="8">
        <v>0.11517471999999999</v>
      </c>
    </row>
    <row r="34" spans="1:29" x14ac:dyDescent="0.85">
      <c r="A34" t="s">
        <v>165</v>
      </c>
      <c r="B34" s="8">
        <v>193.71570131999999</v>
      </c>
      <c r="C34" s="8">
        <v>185.96707326999999</v>
      </c>
      <c r="D34" s="8">
        <v>178.52843895000001</v>
      </c>
      <c r="E34" s="8">
        <v>261.57460786000001</v>
      </c>
      <c r="F34" s="8">
        <v>346.12032545</v>
      </c>
      <c r="G34" s="8">
        <v>432.20373956999998</v>
      </c>
      <c r="H34" s="8">
        <v>520.24475968000002</v>
      </c>
      <c r="I34" s="8">
        <v>610.45752269000002</v>
      </c>
      <c r="J34" s="8">
        <v>702.86562278999997</v>
      </c>
      <c r="K34" s="8">
        <v>799.19600334999996</v>
      </c>
      <c r="L34" s="8">
        <v>899.57658485000002</v>
      </c>
      <c r="M34" s="8">
        <v>1004.13884403</v>
      </c>
      <c r="N34" s="8">
        <v>1113.01822851</v>
      </c>
      <c r="O34" s="8">
        <v>1226.35397719</v>
      </c>
      <c r="P34" s="8">
        <v>1345.1060382400001</v>
      </c>
      <c r="Q34" s="8">
        <v>1465.6810245300001</v>
      </c>
      <c r="R34" s="8">
        <v>1504.7779845800001</v>
      </c>
      <c r="S34" s="8">
        <v>1444.59775945</v>
      </c>
      <c r="T34" s="8">
        <v>1386.8138748700001</v>
      </c>
      <c r="U34" s="8">
        <v>1331.3456125800001</v>
      </c>
      <c r="V34" s="8">
        <v>1278.09178808</v>
      </c>
      <c r="W34" s="8">
        <v>1275.9492824900001</v>
      </c>
      <c r="X34" s="8">
        <v>1224.91131492</v>
      </c>
      <c r="Y34" s="8">
        <v>1249.2979610100001</v>
      </c>
      <c r="Z34" s="8">
        <v>1370.22824019</v>
      </c>
      <c r="AA34" s="8">
        <v>1443.4000856299999</v>
      </c>
      <c r="AB34" s="8">
        <v>1519.00064516</v>
      </c>
      <c r="AC34" s="8">
        <v>1571.18597101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0.99999994999999997</v>
      </c>
      <c r="E36" s="8">
        <v>1.0000002699999999</v>
      </c>
      <c r="F36" s="8">
        <v>1.37834258</v>
      </c>
      <c r="G36" s="8">
        <v>1.3007292399999999</v>
      </c>
      <c r="H36" s="8">
        <v>1.2538468599999999</v>
      </c>
      <c r="I36" s="8">
        <v>1.22228632</v>
      </c>
      <c r="J36" s="8">
        <v>1.1993391200000001</v>
      </c>
      <c r="K36" s="8">
        <v>1.1844210100000001</v>
      </c>
      <c r="L36" s="8">
        <v>1.1724920400000001</v>
      </c>
      <c r="M36" s="8">
        <v>1.16273476</v>
      </c>
      <c r="N36" s="8">
        <v>1.1546052200000001</v>
      </c>
      <c r="O36" s="8">
        <v>1.1477268700000001</v>
      </c>
      <c r="P36" s="8">
        <v>1.14252482</v>
      </c>
      <c r="Q36" s="8">
        <v>1.1372921300000001</v>
      </c>
      <c r="R36" s="8">
        <v>1.1310226800000001</v>
      </c>
      <c r="S36" s="8">
        <v>1.06945307</v>
      </c>
      <c r="T36" s="8">
        <v>1.0000075399999999</v>
      </c>
      <c r="U36" s="8">
        <v>1.0000000200000001</v>
      </c>
      <c r="V36" s="8">
        <v>1.00000322</v>
      </c>
      <c r="W36" s="8">
        <v>1</v>
      </c>
      <c r="X36" s="8">
        <v>1.0399204900000001</v>
      </c>
      <c r="Y36" s="8">
        <v>1</v>
      </c>
      <c r="Z36" s="8">
        <v>1.06240511</v>
      </c>
      <c r="AA36" s="8">
        <v>1.1424985299999999</v>
      </c>
      <c r="AB36" s="8">
        <v>1.0972929300000001</v>
      </c>
      <c r="AC36" s="8">
        <v>1.0962257500000001</v>
      </c>
    </row>
    <row r="37" spans="1:29" x14ac:dyDescent="0.85">
      <c r="A37" t="s">
        <v>168</v>
      </c>
      <c r="B37" s="8">
        <v>1</v>
      </c>
      <c r="C37" s="8">
        <v>0.99999994999999997</v>
      </c>
      <c r="D37" s="8">
        <v>1.0000002699999999</v>
      </c>
      <c r="E37" s="8">
        <v>1.5262192999999999</v>
      </c>
      <c r="F37" s="8">
        <v>1.3783524700000001</v>
      </c>
      <c r="G37" s="8">
        <v>1.3007390700000001</v>
      </c>
      <c r="H37" s="8">
        <v>1.25385686</v>
      </c>
      <c r="I37" s="8">
        <v>1.2222963200000001</v>
      </c>
      <c r="J37" s="8">
        <v>1.1993491199999999</v>
      </c>
      <c r="K37" s="8">
        <v>1.18443101</v>
      </c>
      <c r="L37" s="8">
        <v>1.1725020399999999</v>
      </c>
      <c r="M37" s="8">
        <v>1.16274476</v>
      </c>
      <c r="N37" s="8">
        <v>1.1546152199999999</v>
      </c>
      <c r="O37" s="8">
        <v>1.1477368699999999</v>
      </c>
      <c r="P37" s="8">
        <v>1.1425348200000001</v>
      </c>
      <c r="Q37" s="8">
        <v>1.1350414200000001</v>
      </c>
      <c r="R37" s="8">
        <v>1.06945307</v>
      </c>
      <c r="S37" s="8">
        <v>1.0000075399999999</v>
      </c>
      <c r="T37" s="8">
        <v>1.0000000200000001</v>
      </c>
      <c r="U37" s="8">
        <v>1.00000322</v>
      </c>
      <c r="V37" s="8">
        <v>1</v>
      </c>
      <c r="W37" s="8">
        <v>1.0399204900000001</v>
      </c>
      <c r="X37" s="8">
        <v>1</v>
      </c>
      <c r="Y37" s="8">
        <v>1.06240511</v>
      </c>
      <c r="Z37" s="8">
        <v>1.1424985299999999</v>
      </c>
      <c r="AA37" s="8">
        <v>1.0972929300000001</v>
      </c>
      <c r="AB37" s="8">
        <v>1.0962257500000001</v>
      </c>
      <c r="AC37" s="8">
        <v>1.0774531700000001</v>
      </c>
    </row>
    <row r="38" spans="1:29" x14ac:dyDescent="0.85">
      <c r="A38" t="s">
        <v>169</v>
      </c>
      <c r="B38" s="8">
        <v>1</v>
      </c>
      <c r="C38" s="8">
        <v>1.4719810499999999</v>
      </c>
      <c r="D38" s="8">
        <v>1.4982737399999999</v>
      </c>
      <c r="E38" s="8">
        <v>1.5262192999999999</v>
      </c>
      <c r="F38" s="8">
        <v>1.37835258</v>
      </c>
      <c r="G38" s="8">
        <v>1.30073924</v>
      </c>
      <c r="H38" s="8">
        <v>1.25385686</v>
      </c>
      <c r="I38" s="8">
        <v>1.2222963200000001</v>
      </c>
      <c r="J38" s="8">
        <v>1.1993491199999999</v>
      </c>
      <c r="K38" s="8">
        <v>1.18443101</v>
      </c>
      <c r="L38" s="8">
        <v>1.1725020399999999</v>
      </c>
      <c r="M38" s="8">
        <v>1.16274476</v>
      </c>
      <c r="N38" s="8">
        <v>1.1546152199999999</v>
      </c>
      <c r="O38" s="8">
        <v>1.1477368699999999</v>
      </c>
      <c r="P38" s="8">
        <v>1.1425348200000001</v>
      </c>
      <c r="Q38" s="8">
        <v>1.1373021299999999</v>
      </c>
      <c r="R38" s="8">
        <v>1.1310326799999999</v>
      </c>
      <c r="S38" s="8">
        <v>1.1310414799999999</v>
      </c>
      <c r="T38" s="8">
        <v>1.13646767</v>
      </c>
      <c r="U38" s="8">
        <v>1.1422405499999999</v>
      </c>
      <c r="V38" s="8">
        <v>1.14838269</v>
      </c>
      <c r="W38" s="8">
        <v>1.1550378100000001</v>
      </c>
      <c r="X38" s="8">
        <v>1.1590766400000001</v>
      </c>
      <c r="Y38" s="8">
        <v>1.1680821699999999</v>
      </c>
      <c r="Z38" s="8">
        <v>1.1675610700000001</v>
      </c>
      <c r="AA38" s="8">
        <v>1.1584721899999999</v>
      </c>
      <c r="AB38" s="8">
        <v>1.1560136400000001</v>
      </c>
      <c r="AC38" s="8">
        <v>1.1539656199999999</v>
      </c>
    </row>
    <row r="39" spans="1:29" x14ac:dyDescent="0.85">
      <c r="A39" t="s">
        <v>170</v>
      </c>
      <c r="B39" s="8">
        <v>3805</v>
      </c>
      <c r="C39" s="8">
        <v>3726.30066265</v>
      </c>
      <c r="D39" s="8">
        <v>3633.14314608</v>
      </c>
      <c r="E39" s="8">
        <v>3544.76880536</v>
      </c>
      <c r="F39" s="8">
        <v>3456.1519719900002</v>
      </c>
      <c r="G39" s="8">
        <v>4098.0682208899998</v>
      </c>
      <c r="H39" s="8">
        <v>4763.0488068900004</v>
      </c>
      <c r="I39" s="8">
        <v>5452.73569262</v>
      </c>
      <c r="J39" s="8">
        <v>6167.4801090800001</v>
      </c>
      <c r="K39" s="8">
        <v>6919.7041811099998</v>
      </c>
      <c r="L39" s="8">
        <v>7710.68623854</v>
      </c>
      <c r="M39" s="8">
        <v>8541.7415781300006</v>
      </c>
      <c r="N39" s="8">
        <v>9414.2258925700007</v>
      </c>
      <c r="O39" s="8">
        <v>10329.534132319999</v>
      </c>
      <c r="P39" s="8">
        <v>11294.88933623</v>
      </c>
      <c r="Q39" s="8">
        <v>12306.03793918</v>
      </c>
      <c r="R39" s="8">
        <v>13345.32778301</v>
      </c>
      <c r="S39" s="8">
        <v>14408.285552969999</v>
      </c>
      <c r="T39" s="8">
        <v>15473.322404320001</v>
      </c>
      <c r="U39" s="8">
        <v>16541.266283770001</v>
      </c>
      <c r="V39" s="8">
        <v>17612.926015630001</v>
      </c>
      <c r="W39" s="8">
        <v>17975.237813389998</v>
      </c>
      <c r="X39" s="8">
        <v>18433.513776529999</v>
      </c>
      <c r="Y39" s="8">
        <v>18826.672193679999</v>
      </c>
      <c r="Z39" s="8">
        <v>19137.021601349999</v>
      </c>
      <c r="AA39" s="8">
        <v>19556.253075709999</v>
      </c>
      <c r="AB39" s="8">
        <v>19994.266871169999</v>
      </c>
      <c r="AC39" s="8">
        <v>20469.561020469999</v>
      </c>
    </row>
    <row r="40" spans="1:29" x14ac:dyDescent="0.85">
      <c r="A40" t="s">
        <v>171</v>
      </c>
      <c r="B40" s="8">
        <v>25776890.75</v>
      </c>
      <c r="C40" s="8">
        <v>25243743.779952001</v>
      </c>
      <c r="D40" s="8">
        <v>24612650.175535101</v>
      </c>
      <c r="E40" s="8">
        <v>24013960.103280101</v>
      </c>
      <c r="F40" s="8">
        <v>23413627.2697898</v>
      </c>
      <c r="G40" s="8">
        <v>27762275.104663402</v>
      </c>
      <c r="H40" s="8">
        <v>32267171.795689199</v>
      </c>
      <c r="I40" s="8">
        <v>36939440.783383302</v>
      </c>
      <c r="J40" s="8">
        <v>41781461.4745377</v>
      </c>
      <c r="K40" s="8">
        <v>46877387.286998004</v>
      </c>
      <c r="L40" s="8">
        <v>52235878.238714099</v>
      </c>
      <c r="M40" s="8">
        <v>57865844.779328898</v>
      </c>
      <c r="N40" s="8">
        <v>63776471.019957297</v>
      </c>
      <c r="O40" s="8">
        <v>69977207.022283196</v>
      </c>
      <c r="P40" s="8">
        <v>76516985.108011797</v>
      </c>
      <c r="Q40" s="8">
        <v>83366989.591555893</v>
      </c>
      <c r="R40" s="8">
        <v>90407636.306716204</v>
      </c>
      <c r="S40" s="8">
        <v>97608620.8788445</v>
      </c>
      <c r="T40" s="8">
        <v>104823690.14323699</v>
      </c>
      <c r="U40" s="8">
        <v>112058453.006962</v>
      </c>
      <c r="V40" s="8">
        <v>119318388.833068</v>
      </c>
      <c r="W40" s="8">
        <v>121772862.321738</v>
      </c>
      <c r="X40" s="8">
        <v>124877442.986818</v>
      </c>
      <c r="Y40" s="8">
        <v>127540886.235715</v>
      </c>
      <c r="Z40" s="8">
        <v>129643341.629343</v>
      </c>
      <c r="AA40" s="8">
        <v>132483416.24410801</v>
      </c>
      <c r="AB40" s="8">
        <v>135450731.28955901</v>
      </c>
      <c r="AC40" s="8">
        <v>138670601.291069</v>
      </c>
    </row>
    <row r="41" spans="1:29" x14ac:dyDescent="0.85">
      <c r="A41" t="s">
        <v>172</v>
      </c>
      <c r="B41" s="8">
        <v>25776890.75</v>
      </c>
      <c r="C41" s="8">
        <v>25243743.779952001</v>
      </c>
      <c r="D41" s="8">
        <v>24612650.175535101</v>
      </c>
      <c r="E41" s="8">
        <v>24013960.103280101</v>
      </c>
      <c r="F41" s="8">
        <v>23413627.2697898</v>
      </c>
      <c r="G41" s="8">
        <v>27762275.104663402</v>
      </c>
      <c r="H41" s="8">
        <v>32267171.795689199</v>
      </c>
      <c r="I41" s="8">
        <v>36939440.783383302</v>
      </c>
      <c r="J41" s="8">
        <v>41781461.4745377</v>
      </c>
      <c r="K41" s="8">
        <v>46877387.286998004</v>
      </c>
      <c r="L41" s="8">
        <v>52235878.238714099</v>
      </c>
      <c r="M41" s="8">
        <v>57865844.779328898</v>
      </c>
      <c r="N41" s="8">
        <v>63776471.019957297</v>
      </c>
      <c r="O41" s="8">
        <v>69977207.022283196</v>
      </c>
      <c r="P41" s="8">
        <v>76516985.108011797</v>
      </c>
      <c r="Q41" s="8">
        <v>83366989.591555893</v>
      </c>
      <c r="R41" s="8">
        <v>90407636.306716204</v>
      </c>
      <c r="S41" s="8">
        <v>97608620.8788445</v>
      </c>
      <c r="T41" s="8">
        <v>104823690.14323699</v>
      </c>
      <c r="U41" s="8">
        <v>112058453.006962</v>
      </c>
      <c r="V41" s="8">
        <v>119318388.833068</v>
      </c>
      <c r="W41" s="8">
        <v>121772862.321738</v>
      </c>
      <c r="X41" s="8">
        <v>124877442.986818</v>
      </c>
      <c r="Y41" s="8">
        <v>127540886.235715</v>
      </c>
      <c r="Z41" s="8">
        <v>129643341.629343</v>
      </c>
      <c r="AA41" s="8">
        <v>132483416.24410801</v>
      </c>
      <c r="AB41" s="8">
        <v>135450731.28955901</v>
      </c>
      <c r="AC41" s="8">
        <v>138670601.291069</v>
      </c>
    </row>
    <row r="42" spans="1:29" x14ac:dyDescent="0.85">
      <c r="A42" t="s">
        <v>173</v>
      </c>
      <c r="B42" s="8">
        <v>2054.8730467</v>
      </c>
      <c r="C42" s="8">
        <v>2012.37182538</v>
      </c>
      <c r="D42" s="8">
        <v>1962.0625296400001</v>
      </c>
      <c r="E42" s="8">
        <v>1914.3363664999999</v>
      </c>
      <c r="F42" s="8">
        <v>1866.4792463000001</v>
      </c>
      <c r="G42" s="8">
        <v>2213.1432142399999</v>
      </c>
      <c r="H42" s="8">
        <v>2572.26297316</v>
      </c>
      <c r="I42" s="8">
        <v>2944.7252575399998</v>
      </c>
      <c r="J42" s="8">
        <v>3330.7197480999998</v>
      </c>
      <c r="K42" s="8">
        <v>3736.9549572000001</v>
      </c>
      <c r="L42" s="8">
        <v>4164.1212410799999</v>
      </c>
      <c r="M42" s="8">
        <v>4612.9289197999997</v>
      </c>
      <c r="N42" s="8">
        <v>5084.1101290799998</v>
      </c>
      <c r="O42" s="8">
        <v>5578.4182056</v>
      </c>
      <c r="P42" s="8">
        <v>6099.7539188500004</v>
      </c>
      <c r="Q42" s="8">
        <v>6645.8201502100001</v>
      </c>
      <c r="R42" s="8">
        <v>7207.0839314599998</v>
      </c>
      <c r="S42" s="8">
        <v>7781.1294692199999</v>
      </c>
      <c r="T42" s="8">
        <v>8356.2978054800005</v>
      </c>
      <c r="U42" s="8">
        <v>8933.0360691099995</v>
      </c>
      <c r="V42" s="8">
        <v>9511.7810620500004</v>
      </c>
      <c r="W42" s="8">
        <v>9707.4459103200006</v>
      </c>
      <c r="X42" s="8">
        <v>9954.9357722299992</v>
      </c>
      <c r="Y42" s="8">
        <v>10167.25919784</v>
      </c>
      <c r="Z42" s="8">
        <v>10334.861992280001</v>
      </c>
      <c r="AA42" s="8">
        <v>10561.26605455</v>
      </c>
      <c r="AB42" s="8">
        <v>10797.81342441</v>
      </c>
      <c r="AC42" s="8">
        <v>11054.49388081</v>
      </c>
    </row>
    <row r="43" spans="1:29" x14ac:dyDescent="0.85">
      <c r="A43" t="s">
        <v>174</v>
      </c>
      <c r="B43" s="8">
        <v>0</v>
      </c>
      <c r="C43" s="8">
        <v>1.5146246299999999</v>
      </c>
      <c r="D43" s="8">
        <v>2.9535180200000002</v>
      </c>
      <c r="E43" s="8">
        <v>4.32251282</v>
      </c>
      <c r="F43" s="8">
        <v>5.6192705399999996</v>
      </c>
      <c r="G43" s="8">
        <v>8.32868253</v>
      </c>
      <c r="H43" s="8">
        <v>11.61618185</v>
      </c>
      <c r="I43" s="8">
        <v>15.514565129999999</v>
      </c>
      <c r="J43" s="8">
        <v>20.05510151</v>
      </c>
      <c r="K43" s="8">
        <v>25.31378913</v>
      </c>
      <c r="L43" s="8">
        <v>31.341526940000001</v>
      </c>
      <c r="M43" s="8">
        <v>38.191457550000003</v>
      </c>
      <c r="N43" s="8">
        <v>45.919059130000001</v>
      </c>
      <c r="O43" s="8">
        <v>54.582221480000001</v>
      </c>
      <c r="P43" s="8">
        <v>64.27426749</v>
      </c>
      <c r="Q43" s="8">
        <v>75.030290629999996</v>
      </c>
      <c r="R43" s="8">
        <v>86.791330849999994</v>
      </c>
      <c r="S43" s="8">
        <v>99.5607933</v>
      </c>
      <c r="T43" s="8">
        <v>113.20958535</v>
      </c>
      <c r="U43" s="8">
        <v>127.74663643</v>
      </c>
      <c r="V43" s="8">
        <v>143.18206660000001</v>
      </c>
      <c r="W43" s="8">
        <v>153.43380653</v>
      </c>
      <c r="X43" s="8">
        <v>164.83822473999999</v>
      </c>
      <c r="Y43" s="8">
        <v>176.00642300999999</v>
      </c>
      <c r="Z43" s="8">
        <v>186.68641195000001</v>
      </c>
      <c r="AA43" s="8">
        <v>198.72512437</v>
      </c>
      <c r="AB43" s="8">
        <v>211.30314081</v>
      </c>
      <c r="AC43" s="8">
        <v>224.64637408999999</v>
      </c>
    </row>
    <row r="44" spans="1:29" x14ac:dyDescent="0.85">
      <c r="A44" t="s">
        <v>175</v>
      </c>
      <c r="B44" s="8">
        <v>7.7330670000000004E-2</v>
      </c>
      <c r="C44" s="8">
        <v>7.5731229999999997E-2</v>
      </c>
      <c r="D44" s="8">
        <v>7.3837949999999999E-2</v>
      </c>
      <c r="E44" s="8">
        <v>7.2041880000000003E-2</v>
      </c>
      <c r="F44" s="8">
        <v>7.0240880000000006E-2</v>
      </c>
      <c r="G44" s="8">
        <v>8.3286830000000006E-2</v>
      </c>
      <c r="H44" s="8">
        <v>9.6801520000000002E-2</v>
      </c>
      <c r="I44" s="8">
        <v>0.11081832</v>
      </c>
      <c r="J44" s="8">
        <v>0.12534438000000001</v>
      </c>
      <c r="K44" s="8">
        <v>0.14063216000000001</v>
      </c>
      <c r="L44" s="8">
        <v>0.15670762999999999</v>
      </c>
      <c r="M44" s="8">
        <v>0.17359753</v>
      </c>
      <c r="N44" s="8">
        <v>0.19132941000000001</v>
      </c>
      <c r="O44" s="8">
        <v>0.20993162000000001</v>
      </c>
      <c r="P44" s="8">
        <v>0.22955096</v>
      </c>
      <c r="Q44" s="8">
        <v>0.25010096999999998</v>
      </c>
      <c r="R44" s="8">
        <v>0.27122290999999998</v>
      </c>
      <c r="S44" s="8">
        <v>0.29282585999999999</v>
      </c>
      <c r="T44" s="8">
        <v>0.31447107000000002</v>
      </c>
      <c r="U44" s="8">
        <v>0.33617535999999998</v>
      </c>
      <c r="V44" s="8">
        <v>0.35795516999999999</v>
      </c>
      <c r="W44" s="8">
        <v>0.36531859</v>
      </c>
      <c r="X44" s="8">
        <v>0.37463233000000001</v>
      </c>
      <c r="Y44" s="8">
        <v>0.38262266</v>
      </c>
      <c r="Z44" s="8">
        <v>0.38893001999999999</v>
      </c>
      <c r="AA44" s="8">
        <v>0.39745025</v>
      </c>
      <c r="AB44" s="8">
        <v>0.40635219</v>
      </c>
      <c r="AC44" s="8">
        <v>0.41601179999999999</v>
      </c>
    </row>
    <row r="45" spans="1:29" x14ac:dyDescent="0.85">
      <c r="A45" t="s">
        <v>176</v>
      </c>
      <c r="B45" s="8">
        <v>1794.2686812100001</v>
      </c>
      <c r="C45" s="8">
        <v>1757.1575757600001</v>
      </c>
      <c r="D45" s="8">
        <v>1713.22863637</v>
      </c>
      <c r="E45" s="8">
        <v>1671.5552298600001</v>
      </c>
      <c r="F45" s="8">
        <v>1629.7674746</v>
      </c>
      <c r="G45" s="8">
        <v>1932.4666129300001</v>
      </c>
      <c r="H45" s="8">
        <v>2246.0418663</v>
      </c>
      <c r="I45" s="8">
        <v>2571.26751122</v>
      </c>
      <c r="J45" s="8">
        <v>2908.3091725999998</v>
      </c>
      <c r="K45" s="8">
        <v>3263.0245717299999</v>
      </c>
      <c r="L45" s="8">
        <v>3636.0165120800002</v>
      </c>
      <c r="M45" s="8">
        <v>4027.90522908</v>
      </c>
      <c r="N45" s="8">
        <v>4439.3300070699997</v>
      </c>
      <c r="O45" s="8">
        <v>4870.9486426100002</v>
      </c>
      <c r="P45" s="8">
        <v>5326.1671994099997</v>
      </c>
      <c r="Q45" s="8">
        <v>5802.9798854399996</v>
      </c>
      <c r="R45" s="8">
        <v>6293.0627284000002</v>
      </c>
      <c r="S45" s="8">
        <v>6794.3063121300002</v>
      </c>
      <c r="T45" s="8">
        <v>7296.5302981300001</v>
      </c>
      <c r="U45" s="8">
        <v>7800.1251092100001</v>
      </c>
      <c r="V45" s="8">
        <v>8305.4721509499996</v>
      </c>
      <c r="W45" s="8">
        <v>8476.3222722499995</v>
      </c>
      <c r="X45" s="8">
        <v>8692.4248236399999</v>
      </c>
      <c r="Y45" s="8">
        <v>8877.8208379900007</v>
      </c>
      <c r="Z45" s="8">
        <v>9024.1678084100004</v>
      </c>
      <c r="AA45" s="8">
        <v>9221.8587163299999</v>
      </c>
      <c r="AB45" s="8">
        <v>9428.4065310799997</v>
      </c>
      <c r="AC45" s="8">
        <v>9652.5341017600003</v>
      </c>
    </row>
    <row r="46" spans="1:29" x14ac:dyDescent="0.85">
      <c r="A46" t="s">
        <v>177</v>
      </c>
      <c r="B46" s="8">
        <v>260.60436548000001</v>
      </c>
      <c r="C46" s="8">
        <v>255.21424962</v>
      </c>
      <c r="D46" s="8">
        <v>248.83389327</v>
      </c>
      <c r="E46" s="8">
        <v>242.78113664</v>
      </c>
      <c r="F46" s="8">
        <v>236.71177170000001</v>
      </c>
      <c r="G46" s="8">
        <v>280.67660131000002</v>
      </c>
      <c r="H46" s="8">
        <v>326.22110685000001</v>
      </c>
      <c r="I46" s="8">
        <v>373.45774632000001</v>
      </c>
      <c r="J46" s="8">
        <v>422.41057551</v>
      </c>
      <c r="K46" s="8">
        <v>473.93038546999998</v>
      </c>
      <c r="L46" s="8">
        <v>528.10472899000001</v>
      </c>
      <c r="M46" s="8">
        <v>585.02369071999999</v>
      </c>
      <c r="N46" s="8">
        <v>644.78012201000001</v>
      </c>
      <c r="O46" s="8">
        <v>707.46956299999999</v>
      </c>
      <c r="P46" s="8">
        <v>773.58671944000002</v>
      </c>
      <c r="Q46" s="8">
        <v>842.84026476999998</v>
      </c>
      <c r="R46" s="8">
        <v>914.02120305999995</v>
      </c>
      <c r="S46" s="8">
        <v>986.82315709</v>
      </c>
      <c r="T46" s="8">
        <v>1059.76750735</v>
      </c>
      <c r="U46" s="8">
        <v>1132.9109599000001</v>
      </c>
      <c r="V46" s="8">
        <v>1206.3089110999999</v>
      </c>
      <c r="W46" s="8">
        <v>1231.12363807</v>
      </c>
      <c r="X46" s="8">
        <v>1262.5109485999999</v>
      </c>
      <c r="Y46" s="8">
        <v>1289.43835984</v>
      </c>
      <c r="Z46" s="8">
        <v>1310.69418387</v>
      </c>
      <c r="AA46" s="8">
        <v>1339.4073382300001</v>
      </c>
      <c r="AB46" s="8">
        <v>1369.4068933399999</v>
      </c>
      <c r="AC46" s="8">
        <v>1401.95977905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1.0044275499999999</v>
      </c>
      <c r="E47" s="8">
        <v>1</v>
      </c>
      <c r="F47" s="8">
        <v>1.00069283</v>
      </c>
      <c r="G47" s="8">
        <v>1.00000069</v>
      </c>
      <c r="H47" s="8">
        <v>1.19205859</v>
      </c>
      <c r="I47" s="8">
        <v>1.17414329</v>
      </c>
      <c r="J47" s="8">
        <v>1.1600720200000001</v>
      </c>
      <c r="K47" s="8">
        <v>1.15072456</v>
      </c>
      <c r="L47" s="8">
        <v>1.14287067</v>
      </c>
      <c r="M47" s="8">
        <v>1.1361743</v>
      </c>
      <c r="N47" s="8">
        <v>1.1303936999999999</v>
      </c>
      <c r="O47" s="8">
        <v>1.12535008</v>
      </c>
      <c r="P47" s="8">
        <v>1.1214831599999999</v>
      </c>
      <c r="Q47" s="8">
        <v>1.11744914</v>
      </c>
      <c r="R47" s="8">
        <v>1.1122501600000001</v>
      </c>
      <c r="S47" s="8">
        <v>1.10734154</v>
      </c>
      <c r="T47" s="8">
        <v>1.1014570800000001</v>
      </c>
      <c r="U47" s="8">
        <v>1.09642496</v>
      </c>
      <c r="V47" s="8">
        <v>1.0920792699999999</v>
      </c>
      <c r="W47" s="8">
        <v>1.0883540899999999</v>
      </c>
      <c r="X47" s="8">
        <v>1.04673927</v>
      </c>
      <c r="Y47" s="8">
        <v>1.0517895900000001</v>
      </c>
      <c r="Z47" s="8">
        <v>1.0475163700000001</v>
      </c>
      <c r="AA47" s="8">
        <v>1.0425482699999999</v>
      </c>
      <c r="AB47" s="8">
        <v>1.04810957</v>
      </c>
      <c r="AC47" s="8">
        <v>1.04861296</v>
      </c>
    </row>
    <row r="48" spans="1:29" x14ac:dyDescent="0.85">
      <c r="A48" t="s">
        <v>179</v>
      </c>
      <c r="B48" s="8">
        <v>1</v>
      </c>
      <c r="C48" s="8">
        <v>1.0044275499999999</v>
      </c>
      <c r="D48" s="8">
        <v>1</v>
      </c>
      <c r="E48" s="8">
        <v>1.00069283</v>
      </c>
      <c r="F48" s="8">
        <v>1.00000069</v>
      </c>
      <c r="G48" s="8">
        <v>1.2161348599999999</v>
      </c>
      <c r="H48" s="8">
        <v>1.1920685600000001</v>
      </c>
      <c r="I48" s="8">
        <v>1.17415329</v>
      </c>
      <c r="J48" s="8">
        <v>1.1600820199999999</v>
      </c>
      <c r="K48" s="8">
        <v>1.1507345600000001</v>
      </c>
      <c r="L48" s="8">
        <v>1.14288067</v>
      </c>
      <c r="M48" s="8">
        <v>1.1361842900000001</v>
      </c>
      <c r="N48" s="8">
        <v>1.1304037</v>
      </c>
      <c r="O48" s="8">
        <v>1.1253600800000001</v>
      </c>
      <c r="P48" s="8">
        <v>1.12149316</v>
      </c>
      <c r="Q48" s="8">
        <v>1.11745914</v>
      </c>
      <c r="R48" s="8">
        <v>1.1122601599999999</v>
      </c>
      <c r="S48" s="8">
        <v>1.1073335200000001</v>
      </c>
      <c r="T48" s="8">
        <v>1.1014547299999999</v>
      </c>
      <c r="U48" s="8">
        <v>1.09642912</v>
      </c>
      <c r="V48" s="8">
        <v>1.09208927</v>
      </c>
      <c r="W48" s="8">
        <v>1.04673927</v>
      </c>
      <c r="X48" s="8">
        <v>1.0517895900000001</v>
      </c>
      <c r="Y48" s="8">
        <v>1.0475163700000001</v>
      </c>
      <c r="Z48" s="8">
        <v>1.0425482699999999</v>
      </c>
      <c r="AA48" s="8">
        <v>1.04810957</v>
      </c>
      <c r="AB48" s="8">
        <v>1.04861296</v>
      </c>
      <c r="AC48" s="8">
        <v>1.05002207</v>
      </c>
    </row>
    <row r="49" spans="1:29" x14ac:dyDescent="0.85">
      <c r="A49" t="s">
        <v>180</v>
      </c>
      <c r="B49" s="8">
        <v>1</v>
      </c>
      <c r="C49" s="8">
        <v>1.1805360300000001</v>
      </c>
      <c r="D49" s="8">
        <v>1.1865239999999999</v>
      </c>
      <c r="E49" s="8">
        <v>1.19354246</v>
      </c>
      <c r="F49" s="8">
        <v>1.2044847000000001</v>
      </c>
      <c r="G49" s="8">
        <v>1.2161460399999999</v>
      </c>
      <c r="H49" s="8">
        <v>1.1920685900000001</v>
      </c>
      <c r="I49" s="8">
        <v>1.17415329</v>
      </c>
      <c r="J49" s="8">
        <v>1.1600820199999999</v>
      </c>
      <c r="K49" s="8">
        <v>1.1507345600000001</v>
      </c>
      <c r="L49" s="8">
        <v>1.14288067</v>
      </c>
      <c r="M49" s="8">
        <v>1.1361843</v>
      </c>
      <c r="N49" s="8">
        <v>1.1304037</v>
      </c>
      <c r="O49" s="8">
        <v>1.1253600800000001</v>
      </c>
      <c r="P49" s="8">
        <v>1.12149316</v>
      </c>
      <c r="Q49" s="8">
        <v>1.11745914</v>
      </c>
      <c r="R49" s="8">
        <v>1.1122601599999999</v>
      </c>
      <c r="S49" s="8">
        <v>1.10735154</v>
      </c>
      <c r="T49" s="8">
        <v>1.1014670799999999</v>
      </c>
      <c r="U49" s="8">
        <v>1.0964349600000001</v>
      </c>
      <c r="V49" s="8">
        <v>1.09208927</v>
      </c>
      <c r="W49" s="8">
        <v>1.08836409</v>
      </c>
      <c r="X49" s="8">
        <v>1.0888739700000001</v>
      </c>
      <c r="Y49" s="8">
        <v>1.0886501399999999</v>
      </c>
      <c r="Z49" s="8">
        <v>1.0883134800000001</v>
      </c>
      <c r="AA49" s="8">
        <v>1.08917088</v>
      </c>
      <c r="AB49" s="8">
        <v>1.0900367</v>
      </c>
      <c r="AC49" s="8">
        <v>1.0910048400000001</v>
      </c>
    </row>
    <row r="50" spans="1:29" x14ac:dyDescent="0.85">
      <c r="A50" t="s">
        <v>181</v>
      </c>
      <c r="B50" s="8">
        <v>15607</v>
      </c>
      <c r="C50" s="8">
        <v>16129.62380854</v>
      </c>
      <c r="D50" s="8">
        <v>16674.582559729999</v>
      </c>
      <c r="E50" s="8">
        <v>17123.524906459999</v>
      </c>
      <c r="F50" s="8">
        <v>17580.194072599999</v>
      </c>
      <c r="G50" s="8">
        <v>17414.399526699999</v>
      </c>
      <c r="H50" s="8">
        <v>17279.073923610002</v>
      </c>
      <c r="I50" s="8">
        <v>17122.05605064</v>
      </c>
      <c r="J50" s="8">
        <v>16906.7966008</v>
      </c>
      <c r="K50" s="8">
        <v>16663.928557700001</v>
      </c>
      <c r="L50" s="8">
        <v>16392.336657849999</v>
      </c>
      <c r="M50" s="8">
        <v>16090.959965</v>
      </c>
      <c r="N50" s="8">
        <v>15758.624549370001</v>
      </c>
      <c r="O50" s="8">
        <v>15609.369681849999</v>
      </c>
      <c r="P50" s="8">
        <v>15200.04155516</v>
      </c>
      <c r="Q50" s="8">
        <v>14828.07714587</v>
      </c>
      <c r="R50" s="8">
        <v>14484.83578372</v>
      </c>
      <c r="S50" s="8">
        <v>14255.443925080001</v>
      </c>
      <c r="T50" s="8">
        <v>14033.86118082</v>
      </c>
      <c r="U50" s="8">
        <v>13820.21745579</v>
      </c>
      <c r="V50" s="8">
        <v>13652.74742451</v>
      </c>
      <c r="W50" s="8">
        <v>13903.48133165</v>
      </c>
      <c r="X50" s="8">
        <v>14193.43344139</v>
      </c>
      <c r="Y50" s="8">
        <v>14570.70066128</v>
      </c>
      <c r="Z50" s="8">
        <v>14905.643309319999</v>
      </c>
      <c r="AA50" s="8">
        <v>15165.635610630001</v>
      </c>
      <c r="AB50" s="8">
        <v>15409.9559286</v>
      </c>
      <c r="AC50" s="8">
        <v>15647.427396180001</v>
      </c>
    </row>
    <row r="51" spans="1:29" x14ac:dyDescent="0.85">
      <c r="A51" t="s">
        <v>182</v>
      </c>
      <c r="B51" s="8">
        <v>53343391.75</v>
      </c>
      <c r="C51" s="8">
        <v>55993321.480281599</v>
      </c>
      <c r="D51" s="8">
        <v>58778087.674278401</v>
      </c>
      <c r="E51" s="8">
        <v>59900876.461247496</v>
      </c>
      <c r="F51" s="8">
        <v>61037379.615001798</v>
      </c>
      <c r="G51" s="8">
        <v>57236987.549135797</v>
      </c>
      <c r="H51" s="8">
        <v>53293661.942757301</v>
      </c>
      <c r="I51" s="8">
        <v>49185653.282866202</v>
      </c>
      <c r="J51" s="8">
        <v>44506189.456260003</v>
      </c>
      <c r="K51" s="8">
        <v>39695577.4785579</v>
      </c>
      <c r="L51" s="8">
        <v>34912229.896501698</v>
      </c>
      <c r="M51" s="8">
        <v>30296963.674086001</v>
      </c>
      <c r="N51" s="8">
        <v>25962759.785102598</v>
      </c>
      <c r="O51" s="8">
        <v>22163760.979331698</v>
      </c>
      <c r="P51" s="8">
        <v>18595318.909416199</v>
      </c>
      <c r="Q51" s="8">
        <v>15861941.5388864</v>
      </c>
      <c r="R51" s="8">
        <v>13794780.866410701</v>
      </c>
      <c r="S51" s="8">
        <v>12545830.496874301</v>
      </c>
      <c r="T51" s="8">
        <v>11455938.0384004</v>
      </c>
      <c r="U51" s="8">
        <v>10507919.750972001</v>
      </c>
      <c r="V51" s="8">
        <v>9685898.9316585008</v>
      </c>
      <c r="W51" s="8">
        <v>9857734.5807906799</v>
      </c>
      <c r="X51" s="8">
        <v>10076104.1347702</v>
      </c>
      <c r="Y51" s="8">
        <v>10412466.9134664</v>
      </c>
      <c r="Z51" s="8">
        <v>10526683.3449471</v>
      </c>
      <c r="AA51" s="8">
        <v>10445101.971391801</v>
      </c>
      <c r="AB51" s="8">
        <v>10311669.726033401</v>
      </c>
      <c r="AC51" s="8">
        <v>10181331.733482299</v>
      </c>
    </row>
    <row r="52" spans="1:29" x14ac:dyDescent="0.85">
      <c r="A52" t="s">
        <v>183</v>
      </c>
      <c r="B52" s="8">
        <v>53343391.75</v>
      </c>
      <c r="C52" s="8">
        <v>55993321.480281599</v>
      </c>
      <c r="D52" s="8">
        <v>58778087.674278401</v>
      </c>
      <c r="E52" s="8">
        <v>59900876.461247496</v>
      </c>
      <c r="F52" s="8">
        <v>61037379.615001798</v>
      </c>
      <c r="G52" s="8">
        <v>57236987.549135797</v>
      </c>
      <c r="H52" s="8">
        <v>53293661.942757301</v>
      </c>
      <c r="I52" s="8">
        <v>49185653.282866202</v>
      </c>
      <c r="J52" s="8">
        <v>44506189.456260003</v>
      </c>
      <c r="K52" s="8">
        <v>39695577.4785579</v>
      </c>
      <c r="L52" s="8">
        <v>34912229.896501698</v>
      </c>
      <c r="M52" s="8">
        <v>30296963.674086001</v>
      </c>
      <c r="N52" s="8">
        <v>25962759.785102598</v>
      </c>
      <c r="O52" s="8">
        <v>22163760.979331698</v>
      </c>
      <c r="P52" s="8">
        <v>18595318.909416199</v>
      </c>
      <c r="Q52" s="8">
        <v>15861941.5388864</v>
      </c>
      <c r="R52" s="8">
        <v>13794780.866410701</v>
      </c>
      <c r="S52" s="8">
        <v>12545830.496874301</v>
      </c>
      <c r="T52" s="8">
        <v>11455938.0384004</v>
      </c>
      <c r="U52" s="8">
        <v>10507919.750972001</v>
      </c>
      <c r="V52" s="8">
        <v>9685898.9316585008</v>
      </c>
      <c r="W52" s="8">
        <v>9857734.5807906799</v>
      </c>
      <c r="X52" s="8">
        <v>10076104.1347702</v>
      </c>
      <c r="Y52" s="8">
        <v>10412466.9134664</v>
      </c>
      <c r="Z52" s="8">
        <v>10526683.3449471</v>
      </c>
      <c r="AA52" s="8">
        <v>10445101.971391801</v>
      </c>
      <c r="AB52" s="8">
        <v>10311669.726033401</v>
      </c>
      <c r="AC52" s="8">
        <v>10181331.733482299</v>
      </c>
    </row>
    <row r="53" spans="1:29" x14ac:dyDescent="0.85">
      <c r="A53" t="s">
        <v>184</v>
      </c>
      <c r="B53" s="8">
        <v>2816.84043582</v>
      </c>
      <c r="C53" s="8">
        <v>2932.2395316900001</v>
      </c>
      <c r="D53" s="8">
        <v>3053.0971054299998</v>
      </c>
      <c r="E53" s="8">
        <v>3124.0803327899998</v>
      </c>
      <c r="F53" s="8">
        <v>3196.1483767300001</v>
      </c>
      <c r="G53" s="8">
        <v>3087.3220510699998</v>
      </c>
      <c r="H53" s="8">
        <v>2977.9663338199998</v>
      </c>
      <c r="I53" s="8">
        <v>2862.4862781000002</v>
      </c>
      <c r="J53" s="8">
        <v>2727.40812353</v>
      </c>
      <c r="K53" s="8">
        <v>2586.4494745900001</v>
      </c>
      <c r="L53" s="8">
        <v>2443.36731805</v>
      </c>
      <c r="M53" s="8">
        <v>2301.4945830299998</v>
      </c>
      <c r="N53" s="8">
        <v>2163.4740301000002</v>
      </c>
      <c r="O53" s="8">
        <v>2056.2875141</v>
      </c>
      <c r="P53" s="8">
        <v>1929.4764355299999</v>
      </c>
      <c r="Q53" s="8">
        <v>1826.6685264</v>
      </c>
      <c r="R53" s="8">
        <v>1742.90498495</v>
      </c>
      <c r="S53" s="8">
        <v>1690.15926304</v>
      </c>
      <c r="T53" s="8">
        <v>1642.0527300900001</v>
      </c>
      <c r="U53" s="8">
        <v>1598.17871513</v>
      </c>
      <c r="V53" s="8">
        <v>1561.8619773600001</v>
      </c>
      <c r="W53" s="8">
        <v>1590.39816956</v>
      </c>
      <c r="X53" s="8">
        <v>1623.8774291699999</v>
      </c>
      <c r="Y53" s="8">
        <v>1668.71302468</v>
      </c>
      <c r="Z53" s="8">
        <v>1704.01901617</v>
      </c>
      <c r="AA53" s="8">
        <v>1727.2707174899999</v>
      </c>
      <c r="AB53" s="8">
        <v>1747.73568671</v>
      </c>
      <c r="AC53" s="8">
        <v>1767.61121045</v>
      </c>
    </row>
    <row r="54" spans="1:29" x14ac:dyDescent="0.85">
      <c r="A54" t="s">
        <v>185</v>
      </c>
      <c r="B54" s="8">
        <v>0</v>
      </c>
      <c r="C54" s="8">
        <v>548.73455050999996</v>
      </c>
      <c r="D54" s="8">
        <v>1152.0505184199999</v>
      </c>
      <c r="E54" s="8">
        <v>1761.0857679600001</v>
      </c>
      <c r="F54" s="8">
        <v>2392.6652809100001</v>
      </c>
      <c r="G54" s="8">
        <v>2804.6123899099998</v>
      </c>
      <c r="H54" s="8">
        <v>3133.6673222300001</v>
      </c>
      <c r="I54" s="8">
        <v>3374.1358151999998</v>
      </c>
      <c r="J54" s="8">
        <v>3489.2852533700002</v>
      </c>
      <c r="K54" s="8">
        <v>3501.1499336100001</v>
      </c>
      <c r="L54" s="8">
        <v>3421.3985298600001</v>
      </c>
      <c r="M54" s="8">
        <v>3266.01268407</v>
      </c>
      <c r="N54" s="8">
        <v>3053.22055073</v>
      </c>
      <c r="O54" s="8">
        <v>2823.6631487700001</v>
      </c>
      <c r="P54" s="8">
        <v>2551.2777543699999</v>
      </c>
      <c r="Q54" s="8">
        <v>2331.70540622</v>
      </c>
      <c r="R54" s="8">
        <v>2163.0216398500002</v>
      </c>
      <c r="S54" s="8">
        <v>2090.1353607800002</v>
      </c>
      <c r="T54" s="8">
        <v>2020.82746997</v>
      </c>
      <c r="U54" s="8">
        <v>1956.57465763</v>
      </c>
      <c r="V54" s="8">
        <v>1898.43619061</v>
      </c>
      <c r="W54" s="8">
        <v>2028.7217767300001</v>
      </c>
      <c r="X54" s="8">
        <v>2172.40805146</v>
      </c>
      <c r="Y54" s="8">
        <v>2346.9700422999999</v>
      </c>
      <c r="Z54" s="8">
        <v>2475.8759227300002</v>
      </c>
      <c r="AA54" s="8">
        <v>2559.04998299</v>
      </c>
      <c r="AB54" s="8">
        <v>2627.4134461899998</v>
      </c>
      <c r="AC54" s="8">
        <v>2693.9803766800001</v>
      </c>
    </row>
    <row r="55" spans="1:29" x14ac:dyDescent="0.85">
      <c r="A55" t="s">
        <v>186</v>
      </c>
      <c r="B55" s="8">
        <v>26.138261960000001</v>
      </c>
      <c r="C55" s="8">
        <v>27.436727529999999</v>
      </c>
      <c r="D55" s="8">
        <v>28.801262959999999</v>
      </c>
      <c r="E55" s="8">
        <v>29.351429469999999</v>
      </c>
      <c r="F55" s="8">
        <v>29.90831601</v>
      </c>
      <c r="G55" s="8">
        <v>28.046123900000001</v>
      </c>
      <c r="H55" s="8">
        <v>26.113894349999999</v>
      </c>
      <c r="I55" s="8">
        <v>24.100970109999999</v>
      </c>
      <c r="J55" s="8">
        <v>21.808032829999998</v>
      </c>
      <c r="K55" s="8">
        <v>19.45083296</v>
      </c>
      <c r="L55" s="8">
        <v>17.106992649999999</v>
      </c>
      <c r="M55" s="8">
        <v>14.8455122</v>
      </c>
      <c r="N55" s="8">
        <v>12.72175229</v>
      </c>
      <c r="O55" s="8">
        <v>10.860242879999999</v>
      </c>
      <c r="P55" s="8">
        <v>9.1117062700000009</v>
      </c>
      <c r="Q55" s="8">
        <v>7.7723513500000001</v>
      </c>
      <c r="R55" s="8">
        <v>6.7594426199999997</v>
      </c>
      <c r="S55" s="8">
        <v>6.1474569399999996</v>
      </c>
      <c r="T55" s="8">
        <v>5.6134096400000004</v>
      </c>
      <c r="U55" s="8">
        <v>5.1488806800000004</v>
      </c>
      <c r="V55" s="8">
        <v>4.7460904800000003</v>
      </c>
      <c r="W55" s="8">
        <v>4.8302899400000001</v>
      </c>
      <c r="X55" s="8">
        <v>4.9372910299999999</v>
      </c>
      <c r="Y55" s="8">
        <v>5.1021087899999999</v>
      </c>
      <c r="Z55" s="8">
        <v>5.1580748400000003</v>
      </c>
      <c r="AA55" s="8">
        <v>5.1180999700000003</v>
      </c>
      <c r="AB55" s="8">
        <v>5.0527181700000003</v>
      </c>
      <c r="AC55" s="8">
        <v>4.9888525499999998</v>
      </c>
    </row>
    <row r="56" spans="1:29" x14ac:dyDescent="0.85">
      <c r="A56" t="s">
        <v>187</v>
      </c>
      <c r="B56" s="8">
        <v>1515.2616771200001</v>
      </c>
      <c r="C56" s="8">
        <v>1566.0024875700001</v>
      </c>
      <c r="D56" s="8">
        <v>1618.9117661800001</v>
      </c>
      <c r="E56" s="8">
        <v>1662.4989471399999</v>
      </c>
      <c r="F56" s="8">
        <v>1706.8363141299999</v>
      </c>
      <c r="G56" s="8">
        <v>1690.7395548699999</v>
      </c>
      <c r="H56" s="8">
        <v>1677.60098242</v>
      </c>
      <c r="I56" s="8">
        <v>1662.3563379899999</v>
      </c>
      <c r="J56" s="8">
        <v>1641.4571007899999</v>
      </c>
      <c r="K56" s="8">
        <v>1617.8773841100001</v>
      </c>
      <c r="L56" s="8">
        <v>1591.50890858</v>
      </c>
      <c r="M56" s="8">
        <v>1562.2486693799999</v>
      </c>
      <c r="N56" s="8">
        <v>1529.9826913500001</v>
      </c>
      <c r="O56" s="8">
        <v>1515.4917462000001</v>
      </c>
      <c r="P56" s="8">
        <v>1475.7506541400001</v>
      </c>
      <c r="Q56" s="8">
        <v>1439.6371528499999</v>
      </c>
      <c r="R56" s="8">
        <v>1406.3123318099999</v>
      </c>
      <c r="S56" s="8">
        <v>1384.0409989100001</v>
      </c>
      <c r="T56" s="8">
        <v>1362.52784195</v>
      </c>
      <c r="U56" s="8">
        <v>1341.7854732000001</v>
      </c>
      <c r="V56" s="8">
        <v>1325.5260434300001</v>
      </c>
      <c r="W56" s="8">
        <v>1349.8694457900001</v>
      </c>
      <c r="X56" s="8">
        <v>1378.0204882800001</v>
      </c>
      <c r="Y56" s="8">
        <v>1414.64883199</v>
      </c>
      <c r="Z56" s="8">
        <v>1447.16794256</v>
      </c>
      <c r="AA56" s="8">
        <v>1472.4102293799999</v>
      </c>
      <c r="AB56" s="8">
        <v>1496.1309453900001</v>
      </c>
      <c r="AC56" s="8">
        <v>1519.1867161499999</v>
      </c>
    </row>
    <row r="57" spans="1:29" x14ac:dyDescent="0.85">
      <c r="A57" t="s">
        <v>188</v>
      </c>
      <c r="B57" s="8">
        <v>1301.5787587</v>
      </c>
      <c r="C57" s="8">
        <v>1366.2370441200001</v>
      </c>
      <c r="D57" s="8">
        <v>1434.18533925</v>
      </c>
      <c r="E57" s="8">
        <v>1461.5813856499999</v>
      </c>
      <c r="F57" s="8">
        <v>1489.3120626100001</v>
      </c>
      <c r="G57" s="8">
        <v>1396.5824961999999</v>
      </c>
      <c r="H57" s="8">
        <v>1300.3653514</v>
      </c>
      <c r="I57" s="8">
        <v>1200.1299401000001</v>
      </c>
      <c r="J57" s="8">
        <v>1085.95102273</v>
      </c>
      <c r="K57" s="8">
        <v>968.57209048000004</v>
      </c>
      <c r="L57" s="8">
        <v>851.85840946999997</v>
      </c>
      <c r="M57" s="8">
        <v>739.24591365000003</v>
      </c>
      <c r="N57" s="8">
        <v>633.49133875999996</v>
      </c>
      <c r="O57" s="8">
        <v>540.79576789999999</v>
      </c>
      <c r="P57" s="8">
        <v>453.72578139000001</v>
      </c>
      <c r="Q57" s="8">
        <v>387.03137355000001</v>
      </c>
      <c r="R57" s="8">
        <v>336.59265313999998</v>
      </c>
      <c r="S57" s="8">
        <v>306.11826411999999</v>
      </c>
      <c r="T57" s="8">
        <v>279.52488813999997</v>
      </c>
      <c r="U57" s="8">
        <v>256.39324191999998</v>
      </c>
      <c r="V57" s="8">
        <v>236.33593393000001</v>
      </c>
      <c r="W57" s="8">
        <v>240.52872377</v>
      </c>
      <c r="X57" s="8">
        <v>245.85694089</v>
      </c>
      <c r="Y57" s="8">
        <v>254.06419269</v>
      </c>
      <c r="Z57" s="8">
        <v>256.85107362000002</v>
      </c>
      <c r="AA57" s="8">
        <v>254.8604881</v>
      </c>
      <c r="AB57" s="8">
        <v>251.60474131999999</v>
      </c>
      <c r="AC57" s="8">
        <v>248.42449429999999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1.0765484400000001</v>
      </c>
      <c r="E58" s="8">
        <v>1.0768606300000001</v>
      </c>
      <c r="F58" s="8">
        <v>1.0697122400000001</v>
      </c>
      <c r="G58" s="8">
        <v>1.0694469900000001</v>
      </c>
      <c r="H58" s="8">
        <v>1.0318429600000001</v>
      </c>
      <c r="I58" s="8">
        <v>1.0335719800000001</v>
      </c>
      <c r="J58" s="8">
        <v>1.03220087</v>
      </c>
      <c r="K58" s="8">
        <v>1.02857077</v>
      </c>
      <c r="L58" s="8">
        <v>1.0267030100000001</v>
      </c>
      <c r="M58" s="8">
        <v>1.0246893800000001</v>
      </c>
      <c r="N58" s="8">
        <v>1.0225154000000001</v>
      </c>
      <c r="O58" s="8">
        <v>1.0201525499999999</v>
      </c>
      <c r="P58" s="8">
        <v>1.0318007199999999</v>
      </c>
      <c r="Q58" s="8">
        <v>1.0143508000000001</v>
      </c>
      <c r="R58" s="8">
        <v>1.0161757499999999</v>
      </c>
      <c r="S58" s="8">
        <v>1.01755409</v>
      </c>
      <c r="T58" s="8">
        <v>1.0251701099999999</v>
      </c>
      <c r="U58" s="8">
        <v>1.02547528</v>
      </c>
      <c r="V58" s="8">
        <v>1.0258089100000001</v>
      </c>
      <c r="W58" s="8">
        <v>1.0290440000000001</v>
      </c>
      <c r="X58" s="8">
        <v>1.06079697</v>
      </c>
      <c r="Y58" s="8">
        <v>1.0633902500000001</v>
      </c>
      <c r="Z58" s="8">
        <v>1.0693545900000001</v>
      </c>
      <c r="AA58" s="8">
        <v>1.0656118800000001</v>
      </c>
      <c r="AB58" s="8">
        <v>1.0598359799999999</v>
      </c>
      <c r="AC58" s="8">
        <v>1.05844805</v>
      </c>
    </row>
    <row r="59" spans="1:29" x14ac:dyDescent="0.85">
      <c r="A59" t="s">
        <v>190</v>
      </c>
      <c r="B59" s="8">
        <v>1</v>
      </c>
      <c r="C59" s="8">
        <v>1.0765484400000001</v>
      </c>
      <c r="D59" s="8">
        <v>1.0768606300000001</v>
      </c>
      <c r="E59" s="8">
        <v>1.0697122400000001</v>
      </c>
      <c r="F59" s="8">
        <v>1.0694469900000001</v>
      </c>
      <c r="G59" s="8">
        <v>1.0318429600000001</v>
      </c>
      <c r="H59" s="8">
        <v>1.0335719800000001</v>
      </c>
      <c r="I59" s="8">
        <v>1.03220087</v>
      </c>
      <c r="J59" s="8">
        <v>1.02857077</v>
      </c>
      <c r="K59" s="8">
        <v>1.0267030100000001</v>
      </c>
      <c r="L59" s="8">
        <v>1.0246893800000001</v>
      </c>
      <c r="M59" s="8">
        <v>1.0225154000000001</v>
      </c>
      <c r="N59" s="8">
        <v>1.0201525499999999</v>
      </c>
      <c r="O59" s="8">
        <v>1.0318007199999999</v>
      </c>
      <c r="P59" s="8">
        <v>1.0143508000000001</v>
      </c>
      <c r="Q59" s="8">
        <v>1.0161757499999999</v>
      </c>
      <c r="R59" s="8">
        <v>1.01755409</v>
      </c>
      <c r="S59" s="8">
        <v>1.0251701099999999</v>
      </c>
      <c r="T59" s="8">
        <v>1.02547528</v>
      </c>
      <c r="U59" s="8">
        <v>1.0258089100000001</v>
      </c>
      <c r="V59" s="8">
        <v>1.0290440000000001</v>
      </c>
      <c r="W59" s="8">
        <v>1.06079697</v>
      </c>
      <c r="X59" s="8">
        <v>1.0633902500000001</v>
      </c>
      <c r="Y59" s="8">
        <v>1.0693545900000001</v>
      </c>
      <c r="Z59" s="8">
        <v>1.0656118800000001</v>
      </c>
      <c r="AA59" s="8">
        <v>1.0598359799999999</v>
      </c>
      <c r="AB59" s="8">
        <v>1.05844805</v>
      </c>
      <c r="AC59" s="8">
        <v>1.05771902</v>
      </c>
    </row>
    <row r="60" spans="1:29" x14ac:dyDescent="0.85">
      <c r="A60" t="s">
        <v>191</v>
      </c>
      <c r="B60" s="8">
        <v>1</v>
      </c>
      <c r="C60" s="8">
        <v>1.0893181999999999</v>
      </c>
      <c r="D60" s="8">
        <v>1.0881349600000001</v>
      </c>
      <c r="E60" s="8">
        <v>1.0869688399999999</v>
      </c>
      <c r="F60" s="8">
        <v>1.0876386</v>
      </c>
      <c r="G60" s="8">
        <v>1.08829489</v>
      </c>
      <c r="H60" s="8">
        <v>1.09171529</v>
      </c>
      <c r="I60" s="8">
        <v>1.0952587300000001</v>
      </c>
      <c r="J60" s="8">
        <v>1.0990097000000001</v>
      </c>
      <c r="K60" s="8">
        <v>1.1044649099999999</v>
      </c>
      <c r="L60" s="8">
        <v>1.1103718600000001</v>
      </c>
      <c r="M60" s="8">
        <v>1.11679192</v>
      </c>
      <c r="N60" s="8">
        <v>1.1237976700000001</v>
      </c>
      <c r="O60" s="8">
        <v>1.13147613</v>
      </c>
      <c r="P60" s="8">
        <v>1.1389519699999999</v>
      </c>
      <c r="Q60" s="8">
        <v>1.14826238</v>
      </c>
      <c r="R60" s="8">
        <v>1.1556085599999999</v>
      </c>
      <c r="S60" s="8">
        <v>1.1625363900000001</v>
      </c>
      <c r="T60" s="8">
        <v>1.1658321300000001</v>
      </c>
      <c r="U60" s="8">
        <v>1.1692581099999999</v>
      </c>
      <c r="V60" s="8">
        <v>1.1728143099999999</v>
      </c>
      <c r="W60" s="8">
        <v>1.1761992800000001</v>
      </c>
      <c r="X60" s="8">
        <v>1.17770508</v>
      </c>
      <c r="Y60" s="8">
        <v>1.17790708</v>
      </c>
      <c r="Z60" s="8">
        <v>1.17632881</v>
      </c>
      <c r="AA60" s="8">
        <v>1.1772846699999999</v>
      </c>
      <c r="AB60" s="8">
        <v>1.1799522</v>
      </c>
      <c r="AC60" s="8">
        <v>1.18316672</v>
      </c>
    </row>
    <row r="61" spans="1:29" x14ac:dyDescent="0.85">
      <c r="A61" t="s">
        <v>192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616.40577932999997</v>
      </c>
      <c r="M61" s="8">
        <v>600.99565394000001</v>
      </c>
      <c r="N61" s="8">
        <v>585.97079774999997</v>
      </c>
      <c r="O61" s="8">
        <v>571.32152780000001</v>
      </c>
      <c r="P61" s="8">
        <v>557.03848961000006</v>
      </c>
      <c r="Q61" s="8">
        <v>543.11252736999995</v>
      </c>
      <c r="R61" s="8">
        <v>529.53471418000004</v>
      </c>
      <c r="S61" s="8">
        <v>516.29634633000001</v>
      </c>
      <c r="T61" s="8">
        <v>503.38893767000002</v>
      </c>
      <c r="U61" s="8">
        <v>490.80421423000001</v>
      </c>
      <c r="V61" s="8">
        <v>478.53410887000001</v>
      </c>
      <c r="W61" s="8">
        <v>466.57075615000002</v>
      </c>
      <c r="X61" s="8">
        <v>454.90648725</v>
      </c>
      <c r="Y61" s="8">
        <v>443.53382506999998</v>
      </c>
      <c r="Z61" s="8">
        <v>432.44547943999999</v>
      </c>
      <c r="AA61" s="8">
        <v>421.63434245000002</v>
      </c>
      <c r="AB61" s="8">
        <v>411.09348389000002</v>
      </c>
      <c r="AC61" s="8">
        <v>400.81614679</v>
      </c>
    </row>
    <row r="62" spans="1:29" x14ac:dyDescent="0.85">
      <c r="A62" t="s">
        <v>193</v>
      </c>
      <c r="B62" s="8">
        <v>302162.25</v>
      </c>
      <c r="C62" s="8">
        <v>291060.20036838</v>
      </c>
      <c r="D62" s="8">
        <v>274019.46710487001</v>
      </c>
      <c r="E62" s="8">
        <v>267168.95157406002</v>
      </c>
      <c r="F62" s="8">
        <v>260429.25904325</v>
      </c>
      <c r="G62" s="8">
        <v>253918.21333051001</v>
      </c>
      <c r="H62" s="8">
        <v>239643.61402112999</v>
      </c>
      <c r="I62" s="8">
        <v>233628.99332772</v>
      </c>
      <c r="J62" s="8">
        <v>227788.04796</v>
      </c>
      <c r="K62" s="8">
        <v>222093.34334521001</v>
      </c>
      <c r="L62" s="8">
        <v>216541.0309676</v>
      </c>
      <c r="M62" s="8">
        <v>211127.51190328001</v>
      </c>
      <c r="N62" s="8">
        <v>205849.33645445999</v>
      </c>
      <c r="O62" s="8">
        <v>2.3078689999999999E-2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302162.25</v>
      </c>
      <c r="C63" s="8">
        <v>291060.20036838</v>
      </c>
      <c r="D63" s="8">
        <v>274019.46710487001</v>
      </c>
      <c r="E63" s="8">
        <v>267168.95157406002</v>
      </c>
      <c r="F63" s="8">
        <v>260429.25904325</v>
      </c>
      <c r="G63" s="8">
        <v>253918.21333051001</v>
      </c>
      <c r="H63" s="8">
        <v>239643.61402112999</v>
      </c>
      <c r="I63" s="8">
        <v>233628.99332772</v>
      </c>
      <c r="J63" s="8">
        <v>227788.04796</v>
      </c>
      <c r="K63" s="8">
        <v>222093.34334521001</v>
      </c>
      <c r="L63" s="8">
        <v>216541.0309676</v>
      </c>
      <c r="M63" s="8">
        <v>211127.51190328001</v>
      </c>
      <c r="N63" s="8">
        <v>205849.33645445999</v>
      </c>
      <c r="O63" s="8">
        <v>2.3078689999999999E-2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202.96576433999999</v>
      </c>
      <c r="C64" s="8">
        <v>197.80902295000001</v>
      </c>
      <c r="D64" s="8">
        <v>192.63648613999999</v>
      </c>
      <c r="E64" s="8">
        <v>187.82057331999999</v>
      </c>
      <c r="F64" s="8">
        <v>183.12365127000001</v>
      </c>
      <c r="G64" s="8">
        <v>178.54555267000001</v>
      </c>
      <c r="H64" s="8">
        <v>173.89738159000001</v>
      </c>
      <c r="I64" s="8">
        <v>169.54939926</v>
      </c>
      <c r="J64" s="8">
        <v>165.31065914000001</v>
      </c>
      <c r="K64" s="8">
        <v>161.17789259</v>
      </c>
      <c r="L64" s="8">
        <v>157.14846066000001</v>
      </c>
      <c r="M64" s="8">
        <v>153.21975401</v>
      </c>
      <c r="N64" s="8">
        <v>149.38926913</v>
      </c>
      <c r="O64" s="8">
        <v>140.98216969999999</v>
      </c>
      <c r="P64" s="8">
        <v>137.45761493000001</v>
      </c>
      <c r="Q64" s="8">
        <v>134.02117455999999</v>
      </c>
      <c r="R64" s="8">
        <v>130.67064518999999</v>
      </c>
      <c r="S64" s="8">
        <v>127.40387905999999</v>
      </c>
      <c r="T64" s="8">
        <v>124.21878209</v>
      </c>
      <c r="U64" s="8">
        <v>121.11331253</v>
      </c>
      <c r="V64" s="8">
        <v>118.08547972</v>
      </c>
      <c r="W64" s="8">
        <v>115.13334273</v>
      </c>
      <c r="X64" s="8">
        <v>112.25500916</v>
      </c>
      <c r="Y64" s="8">
        <v>109.44863393</v>
      </c>
      <c r="Z64" s="8">
        <v>106.71241808000001</v>
      </c>
      <c r="AA64" s="8">
        <v>104.04460763</v>
      </c>
      <c r="AB64" s="8">
        <v>101.44349244</v>
      </c>
      <c r="AC64" s="8">
        <v>98.907405130000001</v>
      </c>
    </row>
    <row r="65" spans="1:29" x14ac:dyDescent="0.85">
      <c r="A65" t="s">
        <v>196</v>
      </c>
      <c r="B65" s="8">
        <v>0</v>
      </c>
      <c r="C65" s="8">
        <v>4.7733872899999996</v>
      </c>
      <c r="D65" s="8">
        <v>8.9878385200000004</v>
      </c>
      <c r="E65" s="8">
        <v>13.144712419999999</v>
      </c>
      <c r="F65" s="8">
        <v>17.08415939</v>
      </c>
      <c r="G65" s="8">
        <v>20.821293489999999</v>
      </c>
      <c r="H65" s="8">
        <v>23.580931620000001</v>
      </c>
      <c r="I65" s="8">
        <v>26.82060843</v>
      </c>
      <c r="J65" s="8">
        <v>29.88579189</v>
      </c>
      <c r="K65" s="8">
        <v>32.780977479999997</v>
      </c>
      <c r="L65" s="8">
        <v>35.51272908</v>
      </c>
      <c r="M65" s="8">
        <v>38.08740315</v>
      </c>
      <c r="N65" s="8">
        <v>40.511149410000002</v>
      </c>
      <c r="O65" s="8">
        <v>4.9200000000000003E-6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0.24777304</v>
      </c>
      <c r="C66" s="8">
        <v>0.23866936</v>
      </c>
      <c r="D66" s="8">
        <v>0.22469596</v>
      </c>
      <c r="E66" s="8">
        <v>0.21907853999999999</v>
      </c>
      <c r="F66" s="8">
        <v>0.21355199</v>
      </c>
      <c r="G66" s="8">
        <v>0.20821292999999999</v>
      </c>
      <c r="H66" s="8">
        <v>0.19650776</v>
      </c>
      <c r="I66" s="8">
        <v>0.19157577000000001</v>
      </c>
      <c r="J66" s="8">
        <v>0.18678620000000001</v>
      </c>
      <c r="K66" s="8">
        <v>0.18211653999999999</v>
      </c>
      <c r="L66" s="8">
        <v>0.17756364999999999</v>
      </c>
      <c r="M66" s="8">
        <v>0.17312456000000001</v>
      </c>
      <c r="N66" s="8">
        <v>0.16879646000000001</v>
      </c>
      <c r="O66" s="8">
        <v>2E-8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195.93142716</v>
      </c>
      <c r="C67" s="8">
        <v>191.03314148999999</v>
      </c>
      <c r="D67" s="8">
        <v>186.25731295</v>
      </c>
      <c r="E67" s="8">
        <v>181.60088012</v>
      </c>
      <c r="F67" s="8">
        <v>177.06085812000001</v>
      </c>
      <c r="G67" s="8">
        <v>172.63433667000001</v>
      </c>
      <c r="H67" s="8">
        <v>168.31847825</v>
      </c>
      <c r="I67" s="8">
        <v>164.1105163</v>
      </c>
      <c r="J67" s="8">
        <v>160.00775339</v>
      </c>
      <c r="K67" s="8">
        <v>156.00755955</v>
      </c>
      <c r="L67" s="8">
        <v>152.10738545999999</v>
      </c>
      <c r="M67" s="8">
        <v>148.30470553999999</v>
      </c>
      <c r="N67" s="8">
        <v>144.59709656999999</v>
      </c>
      <c r="O67" s="8">
        <v>140.98216916000001</v>
      </c>
      <c r="P67" s="8">
        <v>137.45761493000001</v>
      </c>
      <c r="Q67" s="8">
        <v>134.02117455999999</v>
      </c>
      <c r="R67" s="8">
        <v>130.67064518999999</v>
      </c>
      <c r="S67" s="8">
        <v>127.40387905999999</v>
      </c>
      <c r="T67" s="8">
        <v>124.21878209</v>
      </c>
      <c r="U67" s="8">
        <v>121.11331253</v>
      </c>
      <c r="V67" s="8">
        <v>118.08547972</v>
      </c>
      <c r="W67" s="8">
        <v>115.13334273</v>
      </c>
      <c r="X67" s="8">
        <v>112.25500916</v>
      </c>
      <c r="Y67" s="8">
        <v>109.44863393</v>
      </c>
      <c r="Z67" s="8">
        <v>106.71241808000001</v>
      </c>
      <c r="AA67" s="8">
        <v>104.04460763</v>
      </c>
      <c r="AB67" s="8">
        <v>101.44349244</v>
      </c>
      <c r="AC67" s="8">
        <v>98.907405130000001</v>
      </c>
    </row>
    <row r="68" spans="1:29" x14ac:dyDescent="0.85">
      <c r="A68" t="s">
        <v>199</v>
      </c>
      <c r="B68" s="8">
        <v>7.0343371799999996</v>
      </c>
      <c r="C68" s="8">
        <v>6.7758814599999999</v>
      </c>
      <c r="D68" s="8">
        <v>6.3791731900000004</v>
      </c>
      <c r="E68" s="8">
        <v>6.2196931900000001</v>
      </c>
      <c r="F68" s="8">
        <v>6.0627931500000001</v>
      </c>
      <c r="G68" s="8">
        <v>5.9112160100000004</v>
      </c>
      <c r="H68" s="8">
        <v>5.5789033300000002</v>
      </c>
      <c r="I68" s="8">
        <v>5.4388829599999999</v>
      </c>
      <c r="J68" s="8">
        <v>5.3029057599999998</v>
      </c>
      <c r="K68" s="8">
        <v>5.1703330300000001</v>
      </c>
      <c r="L68" s="8">
        <v>5.0410751999999999</v>
      </c>
      <c r="M68" s="8">
        <v>4.9150484800000003</v>
      </c>
      <c r="N68" s="8">
        <v>4.7921725500000001</v>
      </c>
      <c r="O68" s="8">
        <v>5.4000000000000002E-7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0.98795690999999997</v>
      </c>
      <c r="E69" s="8">
        <v>0.96559271000000002</v>
      </c>
      <c r="F69" s="8">
        <v>0.99999989</v>
      </c>
      <c r="G69" s="8">
        <v>0.99976787</v>
      </c>
      <c r="H69" s="8">
        <v>0.99999875999999999</v>
      </c>
      <c r="I69" s="8">
        <v>0.96798223999999999</v>
      </c>
      <c r="J69" s="8">
        <v>0.99989929</v>
      </c>
      <c r="K69" s="8">
        <v>0.99999903000000001</v>
      </c>
      <c r="L69" s="8">
        <v>0.99999998000000001</v>
      </c>
      <c r="M69" s="8">
        <v>1.0000001000000001</v>
      </c>
      <c r="N69" s="8">
        <v>1.00000003</v>
      </c>
      <c r="O69" s="8">
        <v>1.0000000600000001</v>
      </c>
      <c r="P69" s="8">
        <v>1.1000000000000001E-7</v>
      </c>
      <c r="Q69" s="8">
        <v>1.3E-7</v>
      </c>
      <c r="R69" s="8">
        <v>0</v>
      </c>
      <c r="S69" s="8">
        <v>2.791985E-2</v>
      </c>
      <c r="T69" s="8">
        <v>0.32871883000000002</v>
      </c>
      <c r="U69" s="8">
        <v>0.63782808000000002</v>
      </c>
      <c r="V69" s="8">
        <v>0.65184607999999999</v>
      </c>
      <c r="W69" s="8">
        <v>0</v>
      </c>
      <c r="X69" s="8">
        <v>0.97351575999999995</v>
      </c>
      <c r="Y69" s="8">
        <v>0.70915996000000003</v>
      </c>
      <c r="Z69" s="8">
        <v>0.99426439</v>
      </c>
      <c r="AA69" s="8">
        <v>0.91299534999999998</v>
      </c>
      <c r="AB69" s="8">
        <v>0</v>
      </c>
      <c r="AC69" s="8">
        <v>2.138553E-2</v>
      </c>
    </row>
    <row r="70" spans="1:29" x14ac:dyDescent="0.85">
      <c r="A70" t="s">
        <v>201</v>
      </c>
      <c r="B70" s="8">
        <v>1</v>
      </c>
      <c r="C70" s="8">
        <v>0.98795690999999997</v>
      </c>
      <c r="D70" s="8">
        <v>0.96559271000000002</v>
      </c>
      <c r="E70" s="8">
        <v>0.99999989</v>
      </c>
      <c r="F70" s="8">
        <v>0.99976787</v>
      </c>
      <c r="G70" s="8">
        <v>0.99999875999999999</v>
      </c>
      <c r="H70" s="8">
        <v>0.96798223999999999</v>
      </c>
      <c r="I70" s="8">
        <v>0.99989929</v>
      </c>
      <c r="J70" s="8">
        <v>0.99999903000000001</v>
      </c>
      <c r="K70" s="8">
        <v>0.99999998000000001</v>
      </c>
      <c r="L70" s="8">
        <v>1.0000001000000001</v>
      </c>
      <c r="M70" s="8">
        <v>1.00000003</v>
      </c>
      <c r="N70" s="8">
        <v>1.0000000600000001</v>
      </c>
      <c r="O70" s="8">
        <v>1.1000000000000001E-7</v>
      </c>
      <c r="P70" s="8">
        <v>1.3E-7</v>
      </c>
      <c r="Q70" s="8">
        <v>0</v>
      </c>
      <c r="R70" s="8">
        <v>2.791985E-2</v>
      </c>
      <c r="S70" s="8">
        <v>0.32871883000000002</v>
      </c>
      <c r="T70" s="8">
        <v>0.63782808000000002</v>
      </c>
      <c r="U70" s="8">
        <v>0.65184607999999999</v>
      </c>
      <c r="V70" s="8">
        <v>0</v>
      </c>
      <c r="W70" s="8">
        <v>0.97351575999999995</v>
      </c>
      <c r="X70" s="8">
        <v>0.70915996000000003</v>
      </c>
      <c r="Y70" s="8">
        <v>0.99426439</v>
      </c>
      <c r="Z70" s="8">
        <v>0.91299534999999998</v>
      </c>
      <c r="AA70" s="8">
        <v>0</v>
      </c>
      <c r="AB70" s="8">
        <v>2.138553E-2</v>
      </c>
      <c r="AC70" s="8">
        <v>3.9515399999999999E-2</v>
      </c>
    </row>
    <row r="71" spans="1:29" x14ac:dyDescent="0.85">
      <c r="A71" t="s">
        <v>202</v>
      </c>
      <c r="B71" s="8">
        <v>1</v>
      </c>
      <c r="C71" s="8">
        <v>4.2892140000000003</v>
      </c>
      <c r="D71" s="8">
        <v>4.4261697099999999</v>
      </c>
      <c r="E71" s="8">
        <v>4.5697288800000004</v>
      </c>
      <c r="F71" s="8">
        <v>4.7961616300000003</v>
      </c>
      <c r="G71" s="8">
        <v>5.0348568800000004</v>
      </c>
      <c r="H71" s="8">
        <v>5.3032543499999996</v>
      </c>
      <c r="I71" s="8">
        <v>5.5943174200000003</v>
      </c>
      <c r="J71" s="8">
        <v>5.9006839500000003</v>
      </c>
      <c r="K71" s="8">
        <v>6.3041774799999999</v>
      </c>
      <c r="L71" s="8">
        <v>6.7353879399999999</v>
      </c>
      <c r="M71" s="8">
        <v>7.1960446999999998</v>
      </c>
      <c r="N71" s="8">
        <v>7.6879969900000003</v>
      </c>
      <c r="O71" s="8">
        <v>8.2131875999999995</v>
      </c>
      <c r="P71" s="8">
        <v>8.8178268400000004</v>
      </c>
      <c r="Q71" s="8">
        <v>9.4176164100000008</v>
      </c>
      <c r="R71" s="8">
        <v>9.9034011799999995</v>
      </c>
      <c r="S71" s="8">
        <v>10.374962399999999</v>
      </c>
      <c r="T71" s="8">
        <v>10.68122228</v>
      </c>
      <c r="U71" s="8">
        <v>11.00409269</v>
      </c>
      <c r="V71" s="8">
        <v>11.34447057</v>
      </c>
      <c r="W71" s="8">
        <v>11.71260047</v>
      </c>
      <c r="X71" s="8">
        <v>12.295839559999999</v>
      </c>
      <c r="Y71" s="8">
        <v>12.84126902</v>
      </c>
      <c r="Z71" s="8">
        <v>13.342246210000001</v>
      </c>
      <c r="AA71" s="8">
        <v>14.027772089999999</v>
      </c>
      <c r="AB71" s="8">
        <v>14.824225029999999</v>
      </c>
      <c r="AC71" s="8">
        <v>15.69538616</v>
      </c>
    </row>
    <row r="72" spans="1:29" x14ac:dyDescent="0.85">
      <c r="A72" t="s">
        <v>203</v>
      </c>
      <c r="B72" s="8">
        <v>0</v>
      </c>
      <c r="C72" s="8">
        <v>7.1511539999999998E-2</v>
      </c>
      <c r="D72" s="8">
        <v>0.28093555999999997</v>
      </c>
      <c r="E72" s="8">
        <v>0.51731145999999995</v>
      </c>
      <c r="F72" s="8">
        <v>0.63281419999999999</v>
      </c>
      <c r="G72" s="8">
        <v>0.56953277999999996</v>
      </c>
      <c r="H72" s="8">
        <v>0.53322994999999995</v>
      </c>
      <c r="I72" s="8">
        <v>0.47990695999999999</v>
      </c>
      <c r="J72" s="8">
        <v>0.43193651</v>
      </c>
      <c r="K72" s="8">
        <v>0.3887505</v>
      </c>
      <c r="L72" s="8">
        <v>0.35000798</v>
      </c>
      <c r="M72" s="8">
        <v>0.32036500000000001</v>
      </c>
      <c r="N72" s="8">
        <v>0.28833697000000003</v>
      </c>
      <c r="O72" s="8">
        <v>0.25954892000000002</v>
      </c>
      <c r="P72" s="8">
        <v>0.26677978000000002</v>
      </c>
      <c r="Q72" s="8">
        <v>2.8130111499999999</v>
      </c>
      <c r="R72" s="8">
        <v>5.42708792</v>
      </c>
      <c r="S72" s="8">
        <v>4.8843791300000001</v>
      </c>
      <c r="T72" s="8">
        <v>4.3959878100000003</v>
      </c>
      <c r="U72" s="8">
        <v>3.9571078599999998</v>
      </c>
      <c r="V72" s="8">
        <v>3.5622552399999998</v>
      </c>
      <c r="W72" s="8">
        <v>22.747488270000002</v>
      </c>
      <c r="X72" s="8">
        <v>20.50578805</v>
      </c>
      <c r="Y72" s="8">
        <v>18.45862541</v>
      </c>
      <c r="Z72" s="8">
        <v>16.624202239999999</v>
      </c>
      <c r="AA72" s="8">
        <v>14.961782019999999</v>
      </c>
      <c r="AB72" s="8">
        <v>13.46560498</v>
      </c>
      <c r="AC72" s="8">
        <v>12.744710489999999</v>
      </c>
    </row>
    <row r="73" spans="1:29" x14ac:dyDescent="0.85">
      <c r="A73" t="s">
        <v>204</v>
      </c>
      <c r="B73" s="8">
        <v>0</v>
      </c>
      <c r="C73" s="8">
        <v>0</v>
      </c>
      <c r="D73" s="8">
        <v>7.2016960000000005E-2</v>
      </c>
      <c r="E73" s="8">
        <v>6.6097610000000001E-2</v>
      </c>
      <c r="F73" s="8">
        <v>4.1830369999999999E-2</v>
      </c>
      <c r="G73" s="8">
        <v>0</v>
      </c>
      <c r="H73" s="8">
        <v>0.13330165999999999</v>
      </c>
      <c r="I73" s="8">
        <v>0.11997673</v>
      </c>
      <c r="J73" s="8">
        <v>0.10794984000000001</v>
      </c>
      <c r="K73" s="8">
        <v>9.3766299999999997E-2</v>
      </c>
      <c r="L73" s="8">
        <v>8.7478749999999994E-2</v>
      </c>
      <c r="M73" s="8">
        <v>7.7359059999999993E-2</v>
      </c>
      <c r="N73" s="8">
        <v>7.0784399999999997E-2</v>
      </c>
      <c r="O73" s="8">
        <v>6.4882389999999998E-2</v>
      </c>
      <c r="P73" s="8">
        <v>6.6692669999999996E-2</v>
      </c>
      <c r="Q73" s="8">
        <v>0.33351420999999998</v>
      </c>
      <c r="R73" s="8">
        <v>1.35677198</v>
      </c>
      <c r="S73" s="8">
        <v>1.17873512</v>
      </c>
      <c r="T73" s="8">
        <v>1.0989969500000001</v>
      </c>
      <c r="U73" s="8">
        <v>0.98927695999999998</v>
      </c>
      <c r="V73" s="8">
        <v>0.89007813000000002</v>
      </c>
      <c r="W73" s="8">
        <v>11.35894936</v>
      </c>
      <c r="X73" s="8">
        <v>10.216065</v>
      </c>
      <c r="Y73" s="8">
        <v>5.3345589799999997</v>
      </c>
      <c r="Z73" s="8">
        <v>8.3121011199999995</v>
      </c>
      <c r="AA73" s="8">
        <v>7.4808893400000001</v>
      </c>
      <c r="AB73" s="8">
        <v>6.6828553199999998</v>
      </c>
      <c r="AC73" s="8">
        <v>5.4637532599999998</v>
      </c>
    </row>
    <row r="74" spans="1:29" x14ac:dyDescent="0.85">
      <c r="A74" t="s">
        <v>205</v>
      </c>
      <c r="B74" s="8">
        <v>0</v>
      </c>
      <c r="C74" s="8">
        <v>0</v>
      </c>
      <c r="D74" s="8">
        <v>7.2016960000000005E-2</v>
      </c>
      <c r="E74" s="8">
        <v>6.6097610000000001E-2</v>
      </c>
      <c r="F74" s="8">
        <v>4.1830369999999999E-2</v>
      </c>
      <c r="G74" s="8">
        <v>0</v>
      </c>
      <c r="H74" s="8">
        <v>0.13330165999999999</v>
      </c>
      <c r="I74" s="8">
        <v>0.11997673</v>
      </c>
      <c r="J74" s="8">
        <v>0.10794984000000001</v>
      </c>
      <c r="K74" s="8">
        <v>9.3766299999999997E-2</v>
      </c>
      <c r="L74" s="8">
        <v>8.7478749999999994E-2</v>
      </c>
      <c r="M74" s="8">
        <v>7.7359059999999993E-2</v>
      </c>
      <c r="N74" s="8">
        <v>7.0784399999999997E-2</v>
      </c>
      <c r="O74" s="8">
        <v>6.4882389999999998E-2</v>
      </c>
      <c r="P74" s="8">
        <v>6.6692669999999996E-2</v>
      </c>
      <c r="Q74" s="8">
        <v>0.33351420999999998</v>
      </c>
      <c r="R74" s="8">
        <v>1.35677198</v>
      </c>
      <c r="S74" s="8">
        <v>1.17873512</v>
      </c>
      <c r="T74" s="8">
        <v>1.0989969500000001</v>
      </c>
      <c r="U74" s="8">
        <v>0.98927695999999998</v>
      </c>
      <c r="V74" s="8">
        <v>0.89007813000000002</v>
      </c>
      <c r="W74" s="8">
        <v>11.35894936</v>
      </c>
      <c r="X74" s="8">
        <v>10.216065</v>
      </c>
      <c r="Y74" s="8">
        <v>5.3345589799999997</v>
      </c>
      <c r="Z74" s="8">
        <v>8.3121011199999995</v>
      </c>
      <c r="AA74" s="8">
        <v>7.4808893400000001</v>
      </c>
      <c r="AB74" s="8">
        <v>6.6828553199999998</v>
      </c>
      <c r="AC74" s="8">
        <v>5.4637532599999998</v>
      </c>
    </row>
    <row r="75" spans="1:29" x14ac:dyDescent="0.85">
      <c r="A75" t="s">
        <v>206</v>
      </c>
      <c r="B75" s="8">
        <v>0</v>
      </c>
      <c r="C75" s="8">
        <v>1.3820809999999999E-2</v>
      </c>
      <c r="D75" s="8">
        <v>5.4296499999999998E-2</v>
      </c>
      <c r="E75" s="8">
        <v>9.9980029999999998E-2</v>
      </c>
      <c r="F75" s="8">
        <v>0.12230254</v>
      </c>
      <c r="G75" s="8">
        <v>0.11007176</v>
      </c>
      <c r="H75" s="8">
        <v>0.10305747</v>
      </c>
      <c r="I75" s="8">
        <v>9.2751719999999996E-2</v>
      </c>
      <c r="J75" s="8">
        <v>8.3480460000000006E-2</v>
      </c>
      <c r="K75" s="8">
        <v>7.5133850000000002E-2</v>
      </c>
      <c r="L75" s="8">
        <v>6.7646120000000004E-2</v>
      </c>
      <c r="M75" s="8">
        <v>6.1916980000000003E-2</v>
      </c>
      <c r="N75" s="8">
        <v>5.5726930000000001E-2</v>
      </c>
      <c r="O75" s="8">
        <v>5.0163079999999999E-2</v>
      </c>
      <c r="P75" s="8">
        <v>5.1560590000000003E-2</v>
      </c>
      <c r="Q75" s="8">
        <v>0.54366619000000005</v>
      </c>
      <c r="R75" s="8">
        <v>1.04889447</v>
      </c>
      <c r="S75" s="8">
        <v>0.94400443999999994</v>
      </c>
      <c r="T75" s="8">
        <v>0.84961352999999995</v>
      </c>
      <c r="U75" s="8">
        <v>0.76479109999999995</v>
      </c>
      <c r="V75" s="8">
        <v>0.68847784999999995</v>
      </c>
      <c r="W75" s="8">
        <v>4.39649015</v>
      </c>
      <c r="X75" s="8">
        <v>3.9632282399999998</v>
      </c>
      <c r="Y75" s="8">
        <v>3.5675124999999999</v>
      </c>
      <c r="Z75" s="8">
        <v>3.2130204500000001</v>
      </c>
      <c r="AA75" s="8">
        <v>2.8917183999999998</v>
      </c>
      <c r="AB75" s="8">
        <v>2.6025461000000001</v>
      </c>
      <c r="AC75" s="8">
        <v>2.4632043600000002</v>
      </c>
    </row>
    <row r="76" spans="1:29" x14ac:dyDescent="0.85">
      <c r="A76" t="s">
        <v>207</v>
      </c>
      <c r="B76" s="8">
        <v>0</v>
      </c>
      <c r="C76" s="8">
        <v>0</v>
      </c>
      <c r="D76" s="8">
        <v>3.2000000000000001E-7</v>
      </c>
      <c r="E76" s="8">
        <v>4.4000000000000002E-7</v>
      </c>
      <c r="F76" s="8">
        <v>3.7E-7</v>
      </c>
      <c r="G76" s="8">
        <v>0</v>
      </c>
      <c r="H76" s="8">
        <v>1.7799999999999999E-6</v>
      </c>
      <c r="I76" s="8">
        <v>1.8700000000000001E-6</v>
      </c>
      <c r="J76" s="8">
        <v>1.9199999999999998E-6</v>
      </c>
      <c r="K76" s="8">
        <v>1.88E-6</v>
      </c>
      <c r="L76" s="8">
        <v>1.95E-6</v>
      </c>
      <c r="M76" s="8">
        <v>1.8899999999999999E-6</v>
      </c>
      <c r="N76" s="8">
        <v>1.8899999999999999E-6</v>
      </c>
      <c r="O76" s="8">
        <v>1.88E-6</v>
      </c>
      <c r="P76" s="8">
        <v>2.08E-6</v>
      </c>
      <c r="Q76" s="8">
        <v>1.113E-5</v>
      </c>
      <c r="R76" s="8">
        <v>4.8300000000000002E-5</v>
      </c>
      <c r="S76" s="8">
        <v>4.4589999999999998E-5</v>
      </c>
      <c r="T76" s="8">
        <v>4.401E-5</v>
      </c>
      <c r="U76" s="8">
        <v>4.1820000000000003E-5</v>
      </c>
      <c r="V76" s="8">
        <v>3.9610000000000002E-5</v>
      </c>
      <c r="W76" s="8">
        <v>5.3074999999999997E-4</v>
      </c>
      <c r="X76" s="8">
        <v>5.0007999999999997E-4</v>
      </c>
      <c r="Y76" s="8">
        <v>2.7300000000000002E-4</v>
      </c>
      <c r="Z76" s="8">
        <v>4.4387000000000002E-4</v>
      </c>
      <c r="AA76" s="8">
        <v>4.1612000000000002E-4</v>
      </c>
      <c r="AB76" s="8">
        <v>3.8660000000000002E-4</v>
      </c>
      <c r="AC76" s="8">
        <v>3.2822999999999999E-4</v>
      </c>
    </row>
    <row r="77" spans="1:29" x14ac:dyDescent="0.85">
      <c r="A77" t="s">
        <v>208</v>
      </c>
      <c r="B77" s="8">
        <v>0</v>
      </c>
      <c r="C77" s="8">
        <v>0</v>
      </c>
      <c r="D77" s="8">
        <v>1E-8</v>
      </c>
      <c r="E77" s="8">
        <v>1E-8</v>
      </c>
      <c r="F77" s="8">
        <v>0</v>
      </c>
      <c r="G77" s="8">
        <v>0</v>
      </c>
      <c r="H77" s="8">
        <v>1E-8</v>
      </c>
      <c r="I77" s="8">
        <v>1E-8</v>
      </c>
      <c r="J77" s="8">
        <v>1E-8</v>
      </c>
      <c r="K77" s="8">
        <v>1E-8</v>
      </c>
      <c r="L77" s="8">
        <v>1E-8</v>
      </c>
      <c r="M77" s="8">
        <v>1E-8</v>
      </c>
      <c r="N77" s="8">
        <v>1E-8</v>
      </c>
      <c r="O77" s="8">
        <v>1E-8</v>
      </c>
      <c r="P77" s="8">
        <v>1E-8</v>
      </c>
      <c r="Q77" s="8">
        <v>4.0000000000000001E-8</v>
      </c>
      <c r="R77" s="8">
        <v>1.4999999999999999E-7</v>
      </c>
      <c r="S77" s="8">
        <v>1.3E-7</v>
      </c>
      <c r="T77" s="8">
        <v>1.1999999999999999E-7</v>
      </c>
      <c r="U77" s="8">
        <v>1.1000000000000001E-7</v>
      </c>
      <c r="V77" s="8">
        <v>9.9999999999999995E-8</v>
      </c>
      <c r="W77" s="8">
        <v>1.26E-6</v>
      </c>
      <c r="X77" s="8">
        <v>1.1400000000000001E-6</v>
      </c>
      <c r="Y77" s="8">
        <v>5.8999999999999996E-7</v>
      </c>
      <c r="Z77" s="8">
        <v>9.1999999999999998E-7</v>
      </c>
      <c r="AA77" s="8">
        <v>8.2999999999999999E-7</v>
      </c>
      <c r="AB77" s="8">
        <v>7.4000000000000001E-7</v>
      </c>
      <c r="AC77" s="8">
        <v>6.0999999999999998E-7</v>
      </c>
    </row>
    <row r="78" spans="1:29" x14ac:dyDescent="0.85">
      <c r="A78" t="s">
        <v>209</v>
      </c>
      <c r="B78" s="8">
        <v>0</v>
      </c>
      <c r="C78" s="8">
        <v>1.3820809999999999E-2</v>
      </c>
      <c r="D78" s="8">
        <v>5.4295509999999998E-2</v>
      </c>
      <c r="E78" s="8">
        <v>9.9979120000000005E-2</v>
      </c>
      <c r="F78" s="8">
        <v>0.12230196</v>
      </c>
      <c r="G78" s="8">
        <v>0.11007176</v>
      </c>
      <c r="H78" s="8">
        <v>0.10305563</v>
      </c>
      <c r="I78" s="8">
        <v>9.2750070000000004E-2</v>
      </c>
      <c r="J78" s="8">
        <v>8.3478979999999994E-2</v>
      </c>
      <c r="K78" s="8">
        <v>7.5132560000000001E-2</v>
      </c>
      <c r="L78" s="8">
        <v>6.7644910000000003E-2</v>
      </c>
      <c r="M78" s="8">
        <v>6.1915909999999998E-2</v>
      </c>
      <c r="N78" s="8">
        <v>5.5725959999999998E-2</v>
      </c>
      <c r="O78" s="8">
        <v>5.0162180000000001E-2</v>
      </c>
      <c r="P78" s="8">
        <v>5.1559670000000002E-2</v>
      </c>
      <c r="Q78" s="8">
        <v>0.54366159999999997</v>
      </c>
      <c r="R78" s="8">
        <v>1.0488757900000001</v>
      </c>
      <c r="S78" s="8">
        <v>0.94398820999999999</v>
      </c>
      <c r="T78" s="8">
        <v>0.84959839999999998</v>
      </c>
      <c r="U78" s="8">
        <v>0.76477748000000001</v>
      </c>
      <c r="V78" s="8">
        <v>0.68846558999999996</v>
      </c>
      <c r="W78" s="8">
        <v>4.3963337400000002</v>
      </c>
      <c r="X78" s="8">
        <v>3.9630875699999999</v>
      </c>
      <c r="Y78" s="8">
        <v>3.56743904</v>
      </c>
      <c r="Z78" s="8">
        <v>3.2129059899999999</v>
      </c>
      <c r="AA78" s="8">
        <v>2.8916153900000001</v>
      </c>
      <c r="AB78" s="8">
        <v>2.6024540699999998</v>
      </c>
      <c r="AC78" s="8">
        <v>2.4631291200000001</v>
      </c>
    </row>
    <row r="79" spans="1:29" x14ac:dyDescent="0.85">
      <c r="A79" t="s">
        <v>210</v>
      </c>
      <c r="B79" s="8">
        <v>0</v>
      </c>
      <c r="C79" s="8">
        <v>0</v>
      </c>
      <c r="D79" s="8">
        <v>9.9000000000000005E-7</v>
      </c>
      <c r="E79" s="8">
        <v>9.0999999999999997E-7</v>
      </c>
      <c r="F79" s="8">
        <v>5.7999999999999995E-7</v>
      </c>
      <c r="G79" s="8">
        <v>0</v>
      </c>
      <c r="H79" s="8">
        <v>1.84E-6</v>
      </c>
      <c r="I79" s="8">
        <v>1.6500000000000001E-6</v>
      </c>
      <c r="J79" s="8">
        <v>1.4899999999999999E-6</v>
      </c>
      <c r="K79" s="8">
        <v>1.2899999999999999E-6</v>
      </c>
      <c r="L79" s="8">
        <v>1.1999999999999999E-6</v>
      </c>
      <c r="M79" s="8">
        <v>1.0699999999999999E-6</v>
      </c>
      <c r="N79" s="8">
        <v>9.7000000000000003E-7</v>
      </c>
      <c r="O79" s="8">
        <v>8.8999999999999995E-7</v>
      </c>
      <c r="P79" s="8">
        <v>9.1999999999999998E-7</v>
      </c>
      <c r="Q79" s="8">
        <v>4.5900000000000001E-6</v>
      </c>
      <c r="R79" s="8">
        <v>1.8680000000000001E-5</v>
      </c>
      <c r="S79" s="8">
        <v>1.6229999999999999E-5</v>
      </c>
      <c r="T79" s="8">
        <v>1.5130000000000001E-5</v>
      </c>
      <c r="U79" s="8">
        <v>1.362E-5</v>
      </c>
      <c r="V79" s="8">
        <v>1.226E-5</v>
      </c>
      <c r="W79" s="8">
        <v>1.5641E-4</v>
      </c>
      <c r="X79" s="8">
        <v>1.4067999999999999E-4</v>
      </c>
      <c r="Y79" s="8">
        <v>7.3460000000000005E-5</v>
      </c>
      <c r="Z79" s="8">
        <v>1.1446E-4</v>
      </c>
      <c r="AA79" s="8">
        <v>1.0301E-4</v>
      </c>
      <c r="AB79" s="8">
        <v>9.2020000000000003E-5</v>
      </c>
      <c r="AC79" s="8">
        <v>7.5240000000000005E-5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1.0001924099999999</v>
      </c>
      <c r="E80" s="8">
        <v>1.0005737100000001</v>
      </c>
      <c r="F80" s="8">
        <v>1.00068958</v>
      </c>
      <c r="G80" s="8">
        <v>1.00042049</v>
      </c>
      <c r="H80" s="8">
        <v>1</v>
      </c>
      <c r="I80" s="8">
        <v>1.00004815</v>
      </c>
      <c r="J80" s="8">
        <v>1</v>
      </c>
      <c r="K80" s="8">
        <v>1.00000004</v>
      </c>
      <c r="L80" s="8">
        <v>1.0000000200000001</v>
      </c>
      <c r="M80" s="8">
        <v>1.00000026</v>
      </c>
      <c r="N80" s="8">
        <v>1.00000982</v>
      </c>
      <c r="O80" s="8">
        <v>1.0000000099999999</v>
      </c>
      <c r="P80" s="8">
        <v>1.00000008</v>
      </c>
      <c r="Q80" s="8">
        <v>1.0000519400000001</v>
      </c>
      <c r="R80" s="8">
        <v>1.0038342</v>
      </c>
      <c r="S80" s="8">
        <v>1.00418235</v>
      </c>
      <c r="T80" s="8">
        <v>1</v>
      </c>
      <c r="U80" s="8">
        <v>1.00000007</v>
      </c>
      <c r="V80" s="8">
        <v>1.0000009999999999</v>
      </c>
      <c r="W80" s="8">
        <v>1.0000011799999999</v>
      </c>
      <c r="X80" s="8">
        <v>1.0265761900000001</v>
      </c>
      <c r="Y80" s="8">
        <v>1.0000437</v>
      </c>
      <c r="Z80" s="8">
        <v>1.00000442</v>
      </c>
      <c r="AA80" s="8">
        <v>1.0000145600000001</v>
      </c>
      <c r="AB80" s="8">
        <v>1</v>
      </c>
      <c r="AC80" s="8">
        <v>1</v>
      </c>
    </row>
    <row r="81" spans="1:29" x14ac:dyDescent="0.85">
      <c r="A81" t="s">
        <v>212</v>
      </c>
      <c r="B81" s="8">
        <v>1</v>
      </c>
      <c r="C81" s="8">
        <v>1.0001924099999999</v>
      </c>
      <c r="D81" s="8">
        <v>1.0005737100000001</v>
      </c>
      <c r="E81" s="8">
        <v>1.00068958</v>
      </c>
      <c r="F81" s="8">
        <v>1.00042049</v>
      </c>
      <c r="G81" s="8">
        <v>1</v>
      </c>
      <c r="H81" s="8">
        <v>1.00004815</v>
      </c>
      <c r="I81" s="8">
        <v>1</v>
      </c>
      <c r="J81" s="8">
        <v>1.00000004</v>
      </c>
      <c r="K81" s="8">
        <v>1.0000000200000001</v>
      </c>
      <c r="L81" s="8">
        <v>1.00000026</v>
      </c>
      <c r="M81" s="8">
        <v>1.00000982</v>
      </c>
      <c r="N81" s="8">
        <v>1.0000000099999999</v>
      </c>
      <c r="O81" s="8">
        <v>1.00000008</v>
      </c>
      <c r="P81" s="8">
        <v>1.0000519400000001</v>
      </c>
      <c r="Q81" s="8">
        <v>1.0038342</v>
      </c>
      <c r="R81" s="8">
        <v>1.00418235</v>
      </c>
      <c r="S81" s="8">
        <v>1</v>
      </c>
      <c r="T81" s="8">
        <v>1.00000007</v>
      </c>
      <c r="U81" s="8">
        <v>1.0000009999999999</v>
      </c>
      <c r="V81" s="8">
        <v>1.0000011799999999</v>
      </c>
      <c r="W81" s="8">
        <v>1.0265761900000001</v>
      </c>
      <c r="X81" s="8">
        <v>1.0000437</v>
      </c>
      <c r="Y81" s="8">
        <v>1.00000442</v>
      </c>
      <c r="Z81" s="8">
        <v>1.0000145600000001</v>
      </c>
      <c r="AA81" s="8">
        <v>1</v>
      </c>
      <c r="AB81" s="8">
        <v>1</v>
      </c>
      <c r="AC81" s="8">
        <v>1.00072161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0B12-AC69-4390-8842-736FA657C5A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4.9999999999999998E-8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25729</v>
      </c>
      <c r="C5" s="8">
        <v>26194.019086799999</v>
      </c>
      <c r="D5" s="8">
        <v>26665.754943069998</v>
      </c>
      <c r="E5" s="8">
        <v>27154.84608901</v>
      </c>
      <c r="F5" s="8">
        <v>28010.155582259998</v>
      </c>
      <c r="G5" s="8">
        <v>28878.383695659999</v>
      </c>
      <c r="H5" s="8">
        <v>29927.816379129999</v>
      </c>
      <c r="I5" s="8">
        <v>31505.179950109999</v>
      </c>
      <c r="J5" s="8">
        <v>33245.35040286</v>
      </c>
      <c r="K5" s="8">
        <v>35050.145859429998</v>
      </c>
      <c r="L5" s="8">
        <v>36919.65531735</v>
      </c>
      <c r="M5" s="8">
        <v>38860.143320440002</v>
      </c>
      <c r="N5" s="8">
        <v>40871.689931710003</v>
      </c>
      <c r="O5" s="8">
        <v>42956.575829460002</v>
      </c>
      <c r="P5" s="8">
        <v>45117.149196890001</v>
      </c>
      <c r="Q5" s="8">
        <v>47355.828783390003</v>
      </c>
      <c r="R5" s="8">
        <v>49684.619926660002</v>
      </c>
      <c r="S5" s="8">
        <v>52124.88556291</v>
      </c>
      <c r="T5" s="8">
        <v>54654.338752540003</v>
      </c>
      <c r="U5" s="8">
        <v>57275.881302469999</v>
      </c>
      <c r="V5" s="8">
        <v>59992.503601539996</v>
      </c>
      <c r="W5" s="8">
        <v>62807.287510510003</v>
      </c>
      <c r="X5" s="8">
        <v>64115.010086499999</v>
      </c>
      <c r="Y5" s="8">
        <v>65298.98620218</v>
      </c>
      <c r="Z5" s="8">
        <v>66271.296223149999</v>
      </c>
      <c r="AA5" s="8">
        <v>68745.205986870002</v>
      </c>
      <c r="AB5" s="8">
        <v>70957.500554750004</v>
      </c>
      <c r="AC5" s="8">
        <v>73023.102165510005</v>
      </c>
    </row>
    <row r="6" spans="1:29" x14ac:dyDescent="0.85">
      <c r="A6" t="s">
        <v>139</v>
      </c>
      <c r="B6" s="8">
        <v>90406301.25</v>
      </c>
      <c r="C6" s="8">
        <v>92909042.835000098</v>
      </c>
      <c r="D6" s="8">
        <v>95461839.251699701</v>
      </c>
      <c r="E6" s="8">
        <v>98065690.560665101</v>
      </c>
      <c r="F6" s="8">
        <v>100721620.985111</v>
      </c>
      <c r="G6" s="8">
        <v>103430668.96556801</v>
      </c>
      <c r="H6" s="8">
        <v>106193897.907607</v>
      </c>
      <c r="I6" s="8">
        <v>109012391.42596599</v>
      </c>
      <c r="J6" s="8">
        <v>111887254.814475</v>
      </c>
      <c r="K6" s="8">
        <v>114819615.47077601</v>
      </c>
      <c r="L6" s="8">
        <v>117811934.29444399</v>
      </c>
      <c r="M6" s="8">
        <v>120884388.577586</v>
      </c>
      <c r="N6" s="8">
        <v>124097725.62255</v>
      </c>
      <c r="O6" s="8">
        <v>127529188.453871</v>
      </c>
      <c r="P6" s="8">
        <v>131257510.26208</v>
      </c>
      <c r="Q6" s="8">
        <v>135379871.89298099</v>
      </c>
      <c r="R6" s="8">
        <v>139991146.88709801</v>
      </c>
      <c r="S6" s="8">
        <v>145150865.57846799</v>
      </c>
      <c r="T6" s="8">
        <v>150916751.379035</v>
      </c>
      <c r="U6" s="8">
        <v>157326846.47669101</v>
      </c>
      <c r="V6" s="8">
        <v>164398647.642721</v>
      </c>
      <c r="W6" s="8">
        <v>172169797.79053</v>
      </c>
      <c r="X6" s="8">
        <v>178179962.269853</v>
      </c>
      <c r="Y6" s="8">
        <v>184230010.53259599</v>
      </c>
      <c r="Z6" s="8">
        <v>189145086.39677101</v>
      </c>
      <c r="AA6" s="8">
        <v>194876419.41700801</v>
      </c>
      <c r="AB6" s="8">
        <v>200739165.749578</v>
      </c>
      <c r="AC6" s="8">
        <v>206685389.045775</v>
      </c>
    </row>
    <row r="7" spans="1:29" x14ac:dyDescent="0.85">
      <c r="A7" t="s">
        <v>140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</row>
    <row r="8" spans="1:29" x14ac:dyDescent="0.85">
      <c r="A8" t="s">
        <v>141</v>
      </c>
      <c r="B8" s="8">
        <v>4676.4216611100001</v>
      </c>
      <c r="C8" s="8">
        <v>4666.0715996899999</v>
      </c>
      <c r="D8" s="8">
        <v>4656.9771627299997</v>
      </c>
      <c r="E8" s="8">
        <v>4652.6565504299997</v>
      </c>
      <c r="F8" s="8">
        <v>4724.8146795299999</v>
      </c>
      <c r="G8" s="8">
        <v>4799.8903746400001</v>
      </c>
      <c r="H8" s="8">
        <v>4894.1999635399998</v>
      </c>
      <c r="I8" s="8">
        <v>5377.33173085</v>
      </c>
      <c r="J8" s="8">
        <v>5892.0307524099999</v>
      </c>
      <c r="K8" s="8">
        <v>6430.5234477599997</v>
      </c>
      <c r="L8" s="8">
        <v>6993.4396876600003</v>
      </c>
      <c r="M8" s="8">
        <v>7582.0056805499999</v>
      </c>
      <c r="N8" s="8">
        <v>8196.9150578499994</v>
      </c>
      <c r="O8" s="8">
        <v>8839.0713046700002</v>
      </c>
      <c r="P8" s="8">
        <v>9509.4060124000007</v>
      </c>
      <c r="Q8" s="8">
        <v>10208.879810959999</v>
      </c>
      <c r="R8" s="8">
        <v>10939.40691177</v>
      </c>
      <c r="S8" s="8">
        <v>11703.94308852</v>
      </c>
      <c r="T8" s="8">
        <v>12501.445815900001</v>
      </c>
      <c r="U8" s="8">
        <v>13333.053796030001</v>
      </c>
      <c r="V8" s="8">
        <v>14199.94181758</v>
      </c>
      <c r="W8" s="8">
        <v>15103.321868810001</v>
      </c>
      <c r="X8" s="8">
        <v>15789.94788417</v>
      </c>
      <c r="Y8" s="8">
        <v>16464.35200459</v>
      </c>
      <c r="Z8" s="8">
        <v>16968.61350852</v>
      </c>
      <c r="AA8" s="8">
        <v>17491.41792915</v>
      </c>
      <c r="AB8" s="8">
        <v>18060.182996930002</v>
      </c>
      <c r="AC8" s="8">
        <v>18652.375181060001</v>
      </c>
    </row>
    <row r="9" spans="1:29" x14ac:dyDescent="0.85">
      <c r="A9" t="s">
        <v>142</v>
      </c>
      <c r="B9" s="8">
        <v>1681.7490151500001</v>
      </c>
      <c r="C9" s="8">
        <v>1756.8181119799999</v>
      </c>
      <c r="D9" s="8">
        <v>1833.4371828000001</v>
      </c>
      <c r="E9" s="8">
        <v>1910.1511717999999</v>
      </c>
      <c r="F9" s="8">
        <v>1952.7565761799999</v>
      </c>
      <c r="G9" s="8">
        <v>1996.01305553</v>
      </c>
      <c r="H9" s="8">
        <v>2039.94469843</v>
      </c>
      <c r="I9" s="8">
        <v>2016.43090162</v>
      </c>
      <c r="J9" s="8">
        <v>1990.12765749</v>
      </c>
      <c r="K9" s="8">
        <v>1960.57121506</v>
      </c>
      <c r="L9" s="8">
        <v>1927.65719242</v>
      </c>
      <c r="M9" s="8">
        <v>1891.7148487699999</v>
      </c>
      <c r="N9" s="8">
        <v>1854.0444529399999</v>
      </c>
      <c r="O9" s="8">
        <v>1816.35035937</v>
      </c>
      <c r="P9" s="8">
        <v>1780.3676303100001</v>
      </c>
      <c r="Q9" s="8">
        <v>1748.27562775</v>
      </c>
      <c r="R9" s="8">
        <v>1722.1914274600001</v>
      </c>
      <c r="S9" s="8">
        <v>1703.33231335</v>
      </c>
      <c r="T9" s="8">
        <v>1692.8037471</v>
      </c>
      <c r="U9" s="8">
        <v>1691.3073502100001</v>
      </c>
      <c r="V9" s="8">
        <v>1699.0362123299999</v>
      </c>
      <c r="W9" s="8">
        <v>1716.6675420399999</v>
      </c>
      <c r="X9" s="8">
        <v>1769.38005952</v>
      </c>
      <c r="Y9" s="8">
        <v>1829.4817755700001</v>
      </c>
      <c r="Z9" s="8">
        <v>1891.1357074800001</v>
      </c>
      <c r="AA9" s="8">
        <v>1922.78771923</v>
      </c>
      <c r="AB9" s="8">
        <v>1965.3946717399999</v>
      </c>
      <c r="AC9" s="8">
        <v>2015.0468878900001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1.66E-6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592.55771529000003</v>
      </c>
      <c r="D11" s="8">
        <v>1252.30403512</v>
      </c>
      <c r="E11" s="8">
        <v>1979.1495333800001</v>
      </c>
      <c r="F11" s="8">
        <v>2718.5109546100002</v>
      </c>
      <c r="G11" s="8">
        <v>3498.6721321499999</v>
      </c>
      <c r="H11" s="8">
        <v>4320.2874946100001</v>
      </c>
      <c r="I11" s="8">
        <v>4859.34166585</v>
      </c>
      <c r="J11" s="8">
        <v>5331.28065066</v>
      </c>
      <c r="K11" s="8">
        <v>5727.8641583299996</v>
      </c>
      <c r="L11" s="8">
        <v>6041.7578766799998</v>
      </c>
      <c r="M11" s="8">
        <v>6267.2499771100001</v>
      </c>
      <c r="N11" s="8">
        <v>6403.6704272500001</v>
      </c>
      <c r="O11" s="8">
        <v>6454.4098332000003</v>
      </c>
      <c r="P11" s="8">
        <v>6425.6146893799996</v>
      </c>
      <c r="Q11" s="8">
        <v>6328.7347689799999</v>
      </c>
      <c r="R11" s="8">
        <v>6178.1537126699995</v>
      </c>
      <c r="S11" s="8">
        <v>5985.2475377800001</v>
      </c>
      <c r="T11" s="8">
        <v>5762.14660559</v>
      </c>
      <c r="U11" s="8">
        <v>5519.69425013</v>
      </c>
      <c r="V11" s="8">
        <v>5265.5727714499999</v>
      </c>
      <c r="W11" s="8">
        <v>5011.6466738500003</v>
      </c>
      <c r="X11" s="8">
        <v>4980.9816662000003</v>
      </c>
      <c r="Y11" s="8">
        <v>4980.5171922899999</v>
      </c>
      <c r="Z11" s="8">
        <v>5180.90721115</v>
      </c>
      <c r="AA11" s="8">
        <v>5428.5816291199999</v>
      </c>
      <c r="AB11" s="8">
        <v>5637.7065860000002</v>
      </c>
      <c r="AC11" s="8">
        <v>5832.86385969</v>
      </c>
    </row>
    <row r="12" spans="1:29" x14ac:dyDescent="0.85">
      <c r="A12" t="s">
        <v>144</v>
      </c>
      <c r="B12" s="8">
        <v>6358.1706762499998</v>
      </c>
      <c r="C12" s="8">
        <v>6422.88971167</v>
      </c>
      <c r="D12" s="8">
        <v>6490.41434553</v>
      </c>
      <c r="E12" s="8">
        <v>6562.8077222299999</v>
      </c>
      <c r="F12" s="8">
        <v>6677.5712557099996</v>
      </c>
      <c r="G12" s="8">
        <v>6795.9034301700003</v>
      </c>
      <c r="H12" s="8">
        <v>6934.14466197</v>
      </c>
      <c r="I12" s="8">
        <v>7393.7626324700004</v>
      </c>
      <c r="J12" s="8">
        <v>7882.1584115599999</v>
      </c>
      <c r="K12" s="8">
        <v>8391.0946628300007</v>
      </c>
      <c r="L12" s="8">
        <v>8921.0968800800001</v>
      </c>
      <c r="M12" s="8">
        <v>9473.7205293200004</v>
      </c>
      <c r="N12" s="8">
        <v>10050.95951079</v>
      </c>
      <c r="O12" s="8">
        <v>10655.421664040001</v>
      </c>
      <c r="P12" s="8">
        <v>11289.773642710001</v>
      </c>
      <c r="Q12" s="8">
        <v>11957.15543871</v>
      </c>
      <c r="R12" s="8">
        <v>12661.59833923</v>
      </c>
      <c r="S12" s="8">
        <v>13407.275401880001</v>
      </c>
      <c r="T12" s="8">
        <v>14194.24956299</v>
      </c>
      <c r="U12" s="8">
        <v>15024.36114624</v>
      </c>
      <c r="V12" s="8">
        <v>15898.97802991</v>
      </c>
      <c r="W12" s="8">
        <v>16819.98941084</v>
      </c>
      <c r="X12" s="8">
        <v>17559.327943690001</v>
      </c>
      <c r="Y12" s="8">
        <v>18293.833780159999</v>
      </c>
      <c r="Z12" s="8">
        <v>18859.749216010001</v>
      </c>
      <c r="AA12" s="8">
        <v>19414.205648380001</v>
      </c>
      <c r="AB12" s="8">
        <v>20025.577668670001</v>
      </c>
      <c r="AC12" s="8">
        <v>20667.42206895</v>
      </c>
    </row>
    <row r="13" spans="1:29" x14ac:dyDescent="0.85">
      <c r="A13" t="s">
        <v>145</v>
      </c>
      <c r="B13" s="8">
        <v>6358.1706762499998</v>
      </c>
      <c r="C13" s="8">
        <v>7015.4474269599996</v>
      </c>
      <c r="D13" s="8">
        <v>7742.7183806499997</v>
      </c>
      <c r="E13" s="8">
        <v>8541.9572556200001</v>
      </c>
      <c r="F13" s="8">
        <v>9396.0822103200007</v>
      </c>
      <c r="G13" s="8">
        <v>10294.57556232</v>
      </c>
      <c r="H13" s="8">
        <v>11254.43215658</v>
      </c>
      <c r="I13" s="8">
        <v>12253.10429832</v>
      </c>
      <c r="J13" s="8">
        <v>13213.439062220001</v>
      </c>
      <c r="K13" s="8">
        <v>14118.95882116</v>
      </c>
      <c r="L13" s="8">
        <v>14962.854756770001</v>
      </c>
      <c r="M13" s="8">
        <v>15740.97050643</v>
      </c>
      <c r="N13" s="8">
        <v>16454.629938040001</v>
      </c>
      <c r="O13" s="8">
        <v>17109.83149724</v>
      </c>
      <c r="P13" s="8">
        <v>17715.388332089999</v>
      </c>
      <c r="Q13" s="8">
        <v>18285.890207690001</v>
      </c>
      <c r="R13" s="8">
        <v>18839.752051899999</v>
      </c>
      <c r="S13" s="8">
        <v>19392.522939660001</v>
      </c>
      <c r="T13" s="8">
        <v>19956.396168579999</v>
      </c>
      <c r="U13" s="8">
        <v>20544.05539637</v>
      </c>
      <c r="V13" s="8">
        <v>21164.550801360001</v>
      </c>
      <c r="W13" s="8">
        <v>21831.636084689999</v>
      </c>
      <c r="X13" s="8">
        <v>22540.309609889999</v>
      </c>
      <c r="Y13" s="8">
        <v>23274.35097245</v>
      </c>
      <c r="Z13" s="8">
        <v>24040.656427149999</v>
      </c>
      <c r="AA13" s="8">
        <v>24842.7872775</v>
      </c>
      <c r="AB13" s="8">
        <v>25663.284254670001</v>
      </c>
      <c r="AC13" s="8">
        <v>26500.285928640002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</row>
    <row r="18" spans="1:29" x14ac:dyDescent="0.85">
      <c r="A18" t="s">
        <v>149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</row>
    <row r="19" spans="1:29" x14ac:dyDescent="0.85">
      <c r="A19" t="s">
        <v>150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</row>
    <row r="20" spans="1:29" x14ac:dyDescent="0.85">
      <c r="A20" t="s">
        <v>151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</row>
    <row r="23" spans="1:29" x14ac:dyDescent="0.85">
      <c r="A23" t="s">
        <v>154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</v>
      </c>
      <c r="E25" s="8">
        <v>1.0869999999999999E-5</v>
      </c>
      <c r="F25" s="8">
        <v>1.08E-5</v>
      </c>
      <c r="G25" s="8">
        <v>0</v>
      </c>
      <c r="H25" s="8">
        <v>1E-8</v>
      </c>
      <c r="I25" s="8">
        <v>1E-8</v>
      </c>
      <c r="J25" s="8">
        <v>1E-8</v>
      </c>
      <c r="K25" s="8">
        <v>1E-8</v>
      </c>
      <c r="L25" s="8">
        <v>1E-8</v>
      </c>
      <c r="M25" s="8">
        <v>1E-8</v>
      </c>
      <c r="N25" s="8">
        <v>1E-8</v>
      </c>
      <c r="O25" s="8">
        <v>1E-8</v>
      </c>
      <c r="P25" s="8">
        <v>1E-8</v>
      </c>
      <c r="Q25" s="8">
        <v>1E-8</v>
      </c>
      <c r="R25" s="8">
        <v>1E-8</v>
      </c>
      <c r="S25" s="8">
        <v>1E-8</v>
      </c>
      <c r="T25" s="8">
        <v>1E-8</v>
      </c>
      <c r="U25" s="8">
        <v>1E-8</v>
      </c>
      <c r="V25" s="8">
        <v>1E-8</v>
      </c>
      <c r="W25" s="8">
        <v>1E-8</v>
      </c>
      <c r="X25" s="8">
        <v>1E-8</v>
      </c>
      <c r="Y25" s="8">
        <v>8.0000000000000002E-8</v>
      </c>
      <c r="Z25" s="8">
        <v>4.9999999999999998E-8</v>
      </c>
      <c r="AA25" s="8">
        <v>0</v>
      </c>
      <c r="AB25" s="8">
        <v>3.9500000000000003E-6</v>
      </c>
      <c r="AC25" s="8">
        <v>0</v>
      </c>
    </row>
    <row r="26" spans="1:29" x14ac:dyDescent="0.85">
      <c r="A26" t="s">
        <v>157</v>
      </c>
      <c r="B26" s="8">
        <v>1</v>
      </c>
      <c r="C26" s="8">
        <v>0</v>
      </c>
      <c r="D26" s="8">
        <v>1.0869999999999999E-5</v>
      </c>
      <c r="E26" s="8">
        <v>1.08E-5</v>
      </c>
      <c r="F26" s="8">
        <v>0</v>
      </c>
      <c r="G26" s="8">
        <v>1E-8</v>
      </c>
      <c r="H26" s="8">
        <v>1E-8</v>
      </c>
      <c r="I26" s="8">
        <v>1E-8</v>
      </c>
      <c r="J26" s="8">
        <v>1E-8</v>
      </c>
      <c r="K26" s="8">
        <v>1E-8</v>
      </c>
      <c r="L26" s="8">
        <v>1E-8</v>
      </c>
      <c r="M26" s="8">
        <v>1E-8</v>
      </c>
      <c r="N26" s="8">
        <v>1E-8</v>
      </c>
      <c r="O26" s="8">
        <v>1E-8</v>
      </c>
      <c r="P26" s="8">
        <v>1E-8</v>
      </c>
      <c r="Q26" s="8">
        <v>1E-8</v>
      </c>
      <c r="R26" s="8">
        <v>1E-8</v>
      </c>
      <c r="S26" s="8">
        <v>1E-8</v>
      </c>
      <c r="T26" s="8">
        <v>1E-8</v>
      </c>
      <c r="U26" s="8">
        <v>1E-8</v>
      </c>
      <c r="V26" s="8">
        <v>1E-8</v>
      </c>
      <c r="W26" s="8">
        <v>1E-8</v>
      </c>
      <c r="X26" s="8">
        <v>8.0000000000000002E-8</v>
      </c>
      <c r="Y26" s="8">
        <v>4.9999999999999998E-8</v>
      </c>
      <c r="Z26" s="8">
        <v>0</v>
      </c>
      <c r="AA26" s="8">
        <v>3.9500000000000003E-6</v>
      </c>
      <c r="AB26" s="8">
        <v>0</v>
      </c>
      <c r="AC26" s="8">
        <v>0</v>
      </c>
    </row>
    <row r="27" spans="1:29" x14ac:dyDescent="0.85">
      <c r="A27" t="s">
        <v>158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</row>
    <row r="28" spans="1:29" x14ac:dyDescent="0.85">
      <c r="A28" t="s">
        <v>159</v>
      </c>
      <c r="B28" s="8">
        <v>2115</v>
      </c>
      <c r="C28" s="8">
        <v>2044.6566168100001</v>
      </c>
      <c r="D28" s="8">
        <v>1962.8707606999999</v>
      </c>
      <c r="E28" s="8">
        <v>1898.5455069100001</v>
      </c>
      <c r="F28" s="8">
        <v>2517.5713875199999</v>
      </c>
      <c r="G28" s="8">
        <v>3144.4631441900001</v>
      </c>
      <c r="H28" s="8">
        <v>3779.3704357400002</v>
      </c>
      <c r="I28" s="8">
        <v>4426.52080957</v>
      </c>
      <c r="J28" s="8">
        <v>5098.4621405500002</v>
      </c>
      <c r="K28" s="8">
        <v>5798.6269074800002</v>
      </c>
      <c r="L28" s="8">
        <v>6527.9952445500003</v>
      </c>
      <c r="M28" s="8">
        <v>7287.52905741</v>
      </c>
      <c r="N28" s="8">
        <v>8078.3221617199997</v>
      </c>
      <c r="O28" s="8">
        <v>8901.4475633000002</v>
      </c>
      <c r="P28" s="8">
        <v>9758.0112315900005</v>
      </c>
      <c r="Q28" s="8">
        <v>10649.15315192</v>
      </c>
      <c r="R28" s="8">
        <v>11576.048177840001</v>
      </c>
      <c r="S28" s="8">
        <v>12540.13788534</v>
      </c>
      <c r="T28" s="8">
        <v>13543.351925180001</v>
      </c>
      <c r="U28" s="8">
        <v>14587.03933573</v>
      </c>
      <c r="V28" s="8">
        <v>15672.59149128</v>
      </c>
      <c r="W28" s="8">
        <v>16801.44331766</v>
      </c>
      <c r="X28" s="8">
        <v>16312.819106770001</v>
      </c>
      <c r="Y28" s="8">
        <v>15660.308849360001</v>
      </c>
      <c r="Z28" s="8">
        <v>15033.89717538</v>
      </c>
      <c r="AA28" s="8">
        <v>16328.29637819</v>
      </c>
      <c r="AB28" s="8">
        <v>17063.028276919998</v>
      </c>
      <c r="AC28" s="8">
        <v>17473.190073990001</v>
      </c>
    </row>
    <row r="29" spans="1:29" x14ac:dyDescent="0.85">
      <c r="A29" t="s">
        <v>160</v>
      </c>
      <c r="B29" s="8">
        <v>4456405.5</v>
      </c>
      <c r="C29" s="8">
        <v>4308188.6490582498</v>
      </c>
      <c r="D29" s="8">
        <v>4135861.9639570201</v>
      </c>
      <c r="E29" s="8">
        <v>4000325.59764151</v>
      </c>
      <c r="F29" s="8">
        <v>5304642.5427737096</v>
      </c>
      <c r="G29" s="8">
        <v>6625533.2625606405</v>
      </c>
      <c r="H29" s="8">
        <v>7963313.0952036697</v>
      </c>
      <c r="I29" s="8">
        <v>9326889.6839901991</v>
      </c>
      <c r="J29" s="8">
        <v>10742701.9974955</v>
      </c>
      <c r="K29" s="8">
        <v>12217982.431643199</v>
      </c>
      <c r="L29" s="8">
        <v>13754796.175783901</v>
      </c>
      <c r="M29" s="8">
        <v>15355170.0108115</v>
      </c>
      <c r="N29" s="8">
        <v>17021408.658270501</v>
      </c>
      <c r="O29" s="8">
        <v>18755772.992456499</v>
      </c>
      <c r="P29" s="8">
        <v>20560593.343509398</v>
      </c>
      <c r="Q29" s="8">
        <v>22438271.7146862</v>
      </c>
      <c r="R29" s="8">
        <v>24391283.578252099</v>
      </c>
      <c r="S29" s="8">
        <v>26422666.4032957</v>
      </c>
      <c r="T29" s="8">
        <v>28536486.055694401</v>
      </c>
      <c r="U29" s="8">
        <v>30735585.023384899</v>
      </c>
      <c r="V29" s="8">
        <v>33022894.998097502</v>
      </c>
      <c r="W29" s="8">
        <v>35401439.436757401</v>
      </c>
      <c r="X29" s="8">
        <v>34371885.006100699</v>
      </c>
      <c r="Y29" s="8">
        <v>32997014.887944199</v>
      </c>
      <c r="Z29" s="8">
        <v>31677135.725208599</v>
      </c>
      <c r="AA29" s="8">
        <v>34404496.352423899</v>
      </c>
      <c r="AB29" s="8">
        <v>35952611.3758507</v>
      </c>
      <c r="AC29" s="8">
        <v>36816841.772240102</v>
      </c>
    </row>
    <row r="30" spans="1:29" x14ac:dyDescent="0.85">
      <c r="A30" t="s">
        <v>161</v>
      </c>
      <c r="B30" s="8">
        <v>4456405.5</v>
      </c>
      <c r="C30" s="8">
        <v>4308188.6490582498</v>
      </c>
      <c r="D30" s="8">
        <v>4135861.9639570201</v>
      </c>
      <c r="E30" s="8">
        <v>4000325.59764151</v>
      </c>
      <c r="F30" s="8">
        <v>5304642.5427737096</v>
      </c>
      <c r="G30" s="8">
        <v>6625533.2625606405</v>
      </c>
      <c r="H30" s="8">
        <v>7963313.0952036697</v>
      </c>
      <c r="I30" s="8">
        <v>9326889.6839901991</v>
      </c>
      <c r="J30" s="8">
        <v>10742701.9974955</v>
      </c>
      <c r="K30" s="8">
        <v>12217982.431643199</v>
      </c>
      <c r="L30" s="8">
        <v>13754796.175783901</v>
      </c>
      <c r="M30" s="8">
        <v>15355170.0108115</v>
      </c>
      <c r="N30" s="8">
        <v>17021408.658270501</v>
      </c>
      <c r="O30" s="8">
        <v>18755772.992456499</v>
      </c>
      <c r="P30" s="8">
        <v>20560593.343509398</v>
      </c>
      <c r="Q30" s="8">
        <v>22438271.7146862</v>
      </c>
      <c r="R30" s="8">
        <v>24391283.578252099</v>
      </c>
      <c r="S30" s="8">
        <v>26422666.4032957</v>
      </c>
      <c r="T30" s="8">
        <v>28536486.055694401</v>
      </c>
      <c r="U30" s="8">
        <v>30735585.023384899</v>
      </c>
      <c r="V30" s="8">
        <v>33022894.998097502</v>
      </c>
      <c r="W30" s="8">
        <v>35401439.436757401</v>
      </c>
      <c r="X30" s="8">
        <v>34371885.006100699</v>
      </c>
      <c r="Y30" s="8">
        <v>32997014.887944199</v>
      </c>
      <c r="Z30" s="8">
        <v>31677135.725208599</v>
      </c>
      <c r="AA30" s="8">
        <v>34404496.352423899</v>
      </c>
      <c r="AB30" s="8">
        <v>35952611.3758507</v>
      </c>
      <c r="AC30" s="8">
        <v>36816841.772240102</v>
      </c>
    </row>
    <row r="31" spans="1:29" x14ac:dyDescent="0.85">
      <c r="A31" t="s">
        <v>162</v>
      </c>
      <c r="B31" s="8">
        <v>330.94402931000002</v>
      </c>
      <c r="C31" s="8">
        <v>319.93706823999997</v>
      </c>
      <c r="D31" s="8">
        <v>307.13964944000003</v>
      </c>
      <c r="E31" s="8">
        <v>297.07437347000001</v>
      </c>
      <c r="F31" s="8">
        <v>393.93627378999997</v>
      </c>
      <c r="G31" s="8">
        <v>492.02898484999997</v>
      </c>
      <c r="H31" s="8">
        <v>591.37592447999998</v>
      </c>
      <c r="I31" s="8">
        <v>692.63859695999997</v>
      </c>
      <c r="J31" s="8">
        <v>797.78042746999995</v>
      </c>
      <c r="K31" s="8">
        <v>907.33851216999994</v>
      </c>
      <c r="L31" s="8">
        <v>1021.46621729</v>
      </c>
      <c r="M31" s="8">
        <v>1140.3140567400001</v>
      </c>
      <c r="N31" s="8">
        <v>1264.0531850100001</v>
      </c>
      <c r="O31" s="8">
        <v>1392.85150039</v>
      </c>
      <c r="P31" s="8">
        <v>1526.88205913</v>
      </c>
      <c r="Q31" s="8">
        <v>1666.3232401299999</v>
      </c>
      <c r="R31" s="8">
        <v>1811.3588782500001</v>
      </c>
      <c r="S31" s="8">
        <v>1962.2145436999999</v>
      </c>
      <c r="T31" s="8">
        <v>2119.1921780299999</v>
      </c>
      <c r="U31" s="8">
        <v>2282.5028716400002</v>
      </c>
      <c r="V31" s="8">
        <v>2452.3643394400001</v>
      </c>
      <c r="W31" s="8">
        <v>2629.0011110300002</v>
      </c>
      <c r="X31" s="8">
        <v>2552.5437752500002</v>
      </c>
      <c r="Y31" s="8">
        <v>2450.4424165</v>
      </c>
      <c r="Z31" s="8">
        <v>2352.42482625</v>
      </c>
      <c r="AA31" s="8">
        <v>2554.9655769400001</v>
      </c>
      <c r="AB31" s="8">
        <v>2669.9325438599999</v>
      </c>
      <c r="AC31" s="8">
        <v>2734.1124955300002</v>
      </c>
    </row>
    <row r="32" spans="1:29" x14ac:dyDescent="0.85">
      <c r="A32" t="s">
        <v>163</v>
      </c>
      <c r="B32" s="8">
        <v>0</v>
      </c>
      <c r="C32" s="8">
        <v>0.34465509</v>
      </c>
      <c r="D32" s="8">
        <v>0.66173791000000004</v>
      </c>
      <c r="E32" s="8">
        <v>0.96007814000000002</v>
      </c>
      <c r="F32" s="8">
        <v>1.69748561</v>
      </c>
      <c r="G32" s="8">
        <v>2.6502133099999998</v>
      </c>
      <c r="H32" s="8">
        <v>3.82239029</v>
      </c>
      <c r="I32" s="8">
        <v>5.2230582200000004</v>
      </c>
      <c r="J32" s="8">
        <v>6.8753292799999999</v>
      </c>
      <c r="K32" s="8">
        <v>8.7969473499999999</v>
      </c>
      <c r="L32" s="8">
        <v>11.003836939999999</v>
      </c>
      <c r="M32" s="8">
        <v>13.512549610000001</v>
      </c>
      <c r="N32" s="8">
        <v>16.34055231</v>
      </c>
      <c r="O32" s="8">
        <v>19.50600391</v>
      </c>
      <c r="P32" s="8">
        <v>23.027864539999999</v>
      </c>
      <c r="Q32" s="8">
        <v>26.925926059999998</v>
      </c>
      <c r="R32" s="8">
        <v>31.22084298</v>
      </c>
      <c r="S32" s="8">
        <v>35.934826309999998</v>
      </c>
      <c r="T32" s="8">
        <v>41.09253992</v>
      </c>
      <c r="U32" s="8">
        <v>46.718089239999998</v>
      </c>
      <c r="V32" s="8">
        <v>52.836632000000002</v>
      </c>
      <c r="W32" s="8">
        <v>59.474418249999999</v>
      </c>
      <c r="X32" s="8">
        <v>60.494517610000003</v>
      </c>
      <c r="Y32" s="8">
        <v>60.714507390000001</v>
      </c>
      <c r="Z32" s="8">
        <v>60.820100590000003</v>
      </c>
      <c r="AA32" s="8">
        <v>68.808992700000005</v>
      </c>
      <c r="AB32" s="8">
        <v>74.781431659999996</v>
      </c>
      <c r="AC32" s="8">
        <v>79.524378229999996</v>
      </c>
    </row>
    <row r="33" spans="1:29" x14ac:dyDescent="0.85">
      <c r="A33" t="s">
        <v>164</v>
      </c>
      <c r="B33" s="8">
        <v>1.782562E-2</v>
      </c>
      <c r="C33" s="8">
        <v>1.7232750000000002E-2</v>
      </c>
      <c r="D33" s="8">
        <v>1.6543450000000001E-2</v>
      </c>
      <c r="E33" s="8">
        <v>1.60013E-2</v>
      </c>
      <c r="F33" s="8">
        <v>2.1218569999999999E-2</v>
      </c>
      <c r="G33" s="8">
        <v>2.6502129999999999E-2</v>
      </c>
      <c r="H33" s="8">
        <v>3.185325E-2</v>
      </c>
      <c r="I33" s="8">
        <v>3.7307559999999997E-2</v>
      </c>
      <c r="J33" s="8">
        <v>4.2970809999999998E-2</v>
      </c>
      <c r="K33" s="8">
        <v>4.8871930000000001E-2</v>
      </c>
      <c r="L33" s="8">
        <v>5.5019180000000001E-2</v>
      </c>
      <c r="M33" s="8">
        <v>6.1420679999999998E-2</v>
      </c>
      <c r="N33" s="8">
        <v>6.8085629999999994E-2</v>
      </c>
      <c r="O33" s="8">
        <v>7.5023090000000001E-2</v>
      </c>
      <c r="P33" s="8">
        <v>8.2242369999999995E-2</v>
      </c>
      <c r="Q33" s="8">
        <v>8.9753089999999994E-2</v>
      </c>
      <c r="R33" s="8">
        <v>9.756513E-2</v>
      </c>
      <c r="S33" s="8">
        <v>0.10569067</v>
      </c>
      <c r="T33" s="8">
        <v>0.11414594</v>
      </c>
      <c r="U33" s="8">
        <v>0.12294234</v>
      </c>
      <c r="V33" s="8">
        <v>0.13209157999999999</v>
      </c>
      <c r="W33" s="8">
        <v>0.14160576</v>
      </c>
      <c r="X33" s="8">
        <v>0.13748753999999999</v>
      </c>
      <c r="Y33" s="8">
        <v>0.13198805999999999</v>
      </c>
      <c r="Z33" s="8">
        <v>0.12670854000000001</v>
      </c>
      <c r="AA33" s="8">
        <v>0.13761799</v>
      </c>
      <c r="AB33" s="8">
        <v>0.14381045000000001</v>
      </c>
      <c r="AC33" s="8">
        <v>0.14726737000000001</v>
      </c>
    </row>
    <row r="34" spans="1:29" x14ac:dyDescent="0.85">
      <c r="A34" t="s">
        <v>165</v>
      </c>
      <c r="B34" s="8">
        <v>330.94402931000002</v>
      </c>
      <c r="C34" s="8">
        <v>319.93706823999997</v>
      </c>
      <c r="D34" s="8">
        <v>307.13964944000003</v>
      </c>
      <c r="E34" s="8">
        <v>297.07437347000001</v>
      </c>
      <c r="F34" s="8">
        <v>393.93627378999997</v>
      </c>
      <c r="G34" s="8">
        <v>492.02898484999997</v>
      </c>
      <c r="H34" s="8">
        <v>591.37592447999998</v>
      </c>
      <c r="I34" s="8">
        <v>692.63859695999997</v>
      </c>
      <c r="J34" s="8">
        <v>797.78042746999995</v>
      </c>
      <c r="K34" s="8">
        <v>907.33851216999994</v>
      </c>
      <c r="L34" s="8">
        <v>1021.46621729</v>
      </c>
      <c r="M34" s="8">
        <v>1140.3140567400001</v>
      </c>
      <c r="N34" s="8">
        <v>1264.0531850100001</v>
      </c>
      <c r="O34" s="8">
        <v>1392.85150039</v>
      </c>
      <c r="P34" s="8">
        <v>1526.88205913</v>
      </c>
      <c r="Q34" s="8">
        <v>1666.3232401299999</v>
      </c>
      <c r="R34" s="8">
        <v>1811.3588782500001</v>
      </c>
      <c r="S34" s="8">
        <v>1962.2145436999999</v>
      </c>
      <c r="T34" s="8">
        <v>2119.1921780299999</v>
      </c>
      <c r="U34" s="8">
        <v>2282.5028716400002</v>
      </c>
      <c r="V34" s="8">
        <v>2452.3643394400001</v>
      </c>
      <c r="W34" s="8">
        <v>2629.0011110300002</v>
      </c>
      <c r="X34" s="8">
        <v>2552.5437752500002</v>
      </c>
      <c r="Y34" s="8">
        <v>2450.4424165</v>
      </c>
      <c r="Z34" s="8">
        <v>2352.42482625</v>
      </c>
      <c r="AA34" s="8">
        <v>2554.9655769400001</v>
      </c>
      <c r="AB34" s="8">
        <v>2669.9325438599999</v>
      </c>
      <c r="AC34" s="8">
        <v>2734.1124955300002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1.00702158</v>
      </c>
      <c r="E36" s="8">
        <v>1.0000002100000001</v>
      </c>
      <c r="F36" s="8">
        <v>1.0075301999999999</v>
      </c>
      <c r="G36" s="8">
        <v>1.30103849</v>
      </c>
      <c r="H36" s="8">
        <v>1.2519824799999999</v>
      </c>
      <c r="I36" s="8">
        <v>1.22002367</v>
      </c>
      <c r="J36" s="8">
        <v>1.1997806</v>
      </c>
      <c r="K36" s="8">
        <v>1.1847073100000001</v>
      </c>
      <c r="L36" s="8">
        <v>1.1726805600000001</v>
      </c>
      <c r="M36" s="8">
        <v>1.1628548299999999</v>
      </c>
      <c r="N36" s="8">
        <v>1.1546912499999999</v>
      </c>
      <c r="O36" s="8">
        <v>1.1477953299999999</v>
      </c>
      <c r="P36" s="8">
        <v>1.1418936</v>
      </c>
      <c r="Q36" s="8">
        <v>1.13678597</v>
      </c>
      <c r="R36" s="8">
        <v>1.1323226200000001</v>
      </c>
      <c r="S36" s="8">
        <v>1.1284099400000001</v>
      </c>
      <c r="T36" s="8">
        <v>1.12499025</v>
      </c>
      <c r="U36" s="8">
        <v>1.1219303199999999</v>
      </c>
      <c r="V36" s="8">
        <v>1.1191764099999999</v>
      </c>
      <c r="W36" s="8">
        <v>1.1166849299999999</v>
      </c>
      <c r="X36" s="8">
        <v>1.11442021</v>
      </c>
      <c r="Y36" s="8">
        <v>1.0113726300000001</v>
      </c>
      <c r="Z36" s="8">
        <v>1.0000001599999999</v>
      </c>
      <c r="AA36" s="8">
        <v>1.0000000499999999</v>
      </c>
      <c r="AB36" s="8">
        <v>1.12634284</v>
      </c>
      <c r="AC36" s="8">
        <v>1.08853902</v>
      </c>
    </row>
    <row r="37" spans="1:29" x14ac:dyDescent="0.85">
      <c r="A37" t="s">
        <v>168</v>
      </c>
      <c r="B37" s="8">
        <v>1</v>
      </c>
      <c r="C37" s="8">
        <v>1.00702158</v>
      </c>
      <c r="D37" s="8">
        <v>1.0000002100000001</v>
      </c>
      <c r="E37" s="8">
        <v>1.0075301999999999</v>
      </c>
      <c r="F37" s="8">
        <v>1.38130489</v>
      </c>
      <c r="G37" s="8">
        <v>1.3010484899999999</v>
      </c>
      <c r="H37" s="8">
        <v>1.25199248</v>
      </c>
      <c r="I37" s="8">
        <v>1.2200336700000001</v>
      </c>
      <c r="J37" s="8">
        <v>1.1997906</v>
      </c>
      <c r="K37" s="8">
        <v>1.1847173099999999</v>
      </c>
      <c r="L37" s="8">
        <v>1.1726905599999999</v>
      </c>
      <c r="M37" s="8">
        <v>1.16286483</v>
      </c>
      <c r="N37" s="8">
        <v>1.15470125</v>
      </c>
      <c r="O37" s="8">
        <v>1.14780533</v>
      </c>
      <c r="P37" s="8">
        <v>1.1419036</v>
      </c>
      <c r="Q37" s="8">
        <v>1.1367959700000001</v>
      </c>
      <c r="R37" s="8">
        <v>1.1323326199999999</v>
      </c>
      <c r="S37" s="8">
        <v>1.1284199399999999</v>
      </c>
      <c r="T37" s="8">
        <v>1.12500025</v>
      </c>
      <c r="U37" s="8">
        <v>1.12194032</v>
      </c>
      <c r="V37" s="8">
        <v>1.11918641</v>
      </c>
      <c r="W37" s="8">
        <v>1.11669493</v>
      </c>
      <c r="X37" s="8">
        <v>1.0113726300000001</v>
      </c>
      <c r="Y37" s="8">
        <v>1.0000001599999999</v>
      </c>
      <c r="Z37" s="8">
        <v>1.0000000499999999</v>
      </c>
      <c r="AA37" s="8">
        <v>1.13135283</v>
      </c>
      <c r="AB37" s="8">
        <v>1.08853902</v>
      </c>
      <c r="AC37" s="8">
        <v>1.0667062899999999</v>
      </c>
    </row>
    <row r="38" spans="1:29" x14ac:dyDescent="0.85">
      <c r="A38" t="s">
        <v>169</v>
      </c>
      <c r="B38" s="8">
        <v>1</v>
      </c>
      <c r="C38" s="8">
        <v>1.32729823</v>
      </c>
      <c r="D38" s="8">
        <v>1.34361548</v>
      </c>
      <c r="E38" s="8">
        <v>1.3631703100000001</v>
      </c>
      <c r="F38" s="8">
        <v>1.3813049100000001</v>
      </c>
      <c r="G38" s="8">
        <v>1.3010484899999999</v>
      </c>
      <c r="H38" s="8">
        <v>1.25199248</v>
      </c>
      <c r="I38" s="8">
        <v>1.2200336700000001</v>
      </c>
      <c r="J38" s="8">
        <v>1.1997906</v>
      </c>
      <c r="K38" s="8">
        <v>1.1847173099999999</v>
      </c>
      <c r="L38" s="8">
        <v>1.1726905599999999</v>
      </c>
      <c r="M38" s="8">
        <v>1.16286483</v>
      </c>
      <c r="N38" s="8">
        <v>1.15470125</v>
      </c>
      <c r="O38" s="8">
        <v>1.14780533</v>
      </c>
      <c r="P38" s="8">
        <v>1.1419036</v>
      </c>
      <c r="Q38" s="8">
        <v>1.1367959700000001</v>
      </c>
      <c r="R38" s="8">
        <v>1.1323326199999999</v>
      </c>
      <c r="S38" s="8">
        <v>1.1284199399999999</v>
      </c>
      <c r="T38" s="8">
        <v>1.12500025</v>
      </c>
      <c r="U38" s="8">
        <v>1.12194032</v>
      </c>
      <c r="V38" s="8">
        <v>1.11918641</v>
      </c>
      <c r="W38" s="8">
        <v>1.11669493</v>
      </c>
      <c r="X38" s="8">
        <v>1.1144302100000001</v>
      </c>
      <c r="Y38" s="8">
        <v>1.1192837600000001</v>
      </c>
      <c r="Z38" s="8">
        <v>1.1253303800000001</v>
      </c>
      <c r="AA38" s="8">
        <v>1.13135287</v>
      </c>
      <c r="AB38" s="8">
        <v>1.12635284</v>
      </c>
      <c r="AC38" s="8">
        <v>1.1250484700000001</v>
      </c>
    </row>
    <row r="39" spans="1:29" x14ac:dyDescent="0.85">
      <c r="A39" t="s">
        <v>170</v>
      </c>
      <c r="B39" s="8">
        <v>5482</v>
      </c>
      <c r="C39" s="8">
        <v>5344.9500003499998</v>
      </c>
      <c r="D39" s="8">
        <v>5211.3262651100003</v>
      </c>
      <c r="E39" s="8">
        <v>5081.0431233099998</v>
      </c>
      <c r="F39" s="8">
        <v>4954.0176256200002</v>
      </c>
      <c r="G39" s="8">
        <v>4830.1671882600003</v>
      </c>
      <c r="H39" s="8">
        <v>4709.4146148700002</v>
      </c>
      <c r="I39" s="8">
        <v>5488.1612159300003</v>
      </c>
      <c r="J39" s="8">
        <v>6305.0485295999997</v>
      </c>
      <c r="K39" s="8">
        <v>7164.2305167599998</v>
      </c>
      <c r="L39" s="8">
        <v>8067.2121051000004</v>
      </c>
      <c r="M39" s="8">
        <v>9015.4923466300006</v>
      </c>
      <c r="N39" s="8">
        <v>10010.73047902</v>
      </c>
      <c r="O39" s="8">
        <v>11054.57877529</v>
      </c>
      <c r="P39" s="8">
        <v>12148.741732480001</v>
      </c>
      <c r="Q39" s="8">
        <v>13294.977610780001</v>
      </c>
      <c r="R39" s="8">
        <v>14495.100032279999</v>
      </c>
      <c r="S39" s="8">
        <v>15751.235428800001</v>
      </c>
      <c r="T39" s="8">
        <v>17066.072916879999</v>
      </c>
      <c r="U39" s="8">
        <v>18441.687585129999</v>
      </c>
      <c r="V39" s="8">
        <v>19880.221124309999</v>
      </c>
      <c r="W39" s="8">
        <v>21383.883948260001</v>
      </c>
      <c r="X39" s="8">
        <v>22954.957045809999</v>
      </c>
      <c r="Y39" s="8">
        <v>24552.549664239999</v>
      </c>
      <c r="Z39" s="8">
        <v>25746.51152335</v>
      </c>
      <c r="AA39" s="8">
        <v>26296.058438100001</v>
      </c>
      <c r="AB39" s="8">
        <v>27123.05354121</v>
      </c>
      <c r="AC39" s="8">
        <v>28104.15626928</v>
      </c>
    </row>
    <row r="40" spans="1:29" x14ac:dyDescent="0.85">
      <c r="A40" t="s">
        <v>171</v>
      </c>
      <c r="B40" s="8">
        <v>29071269.5</v>
      </c>
      <c r="C40" s="8">
        <v>28344487.764343701</v>
      </c>
      <c r="D40" s="8">
        <v>27635875.648573499</v>
      </c>
      <c r="E40" s="8">
        <v>26944978.8360039</v>
      </c>
      <c r="F40" s="8">
        <v>26271357.4429572</v>
      </c>
      <c r="G40" s="8">
        <v>25614573.524261501</v>
      </c>
      <c r="H40" s="8">
        <v>24974217.704521298</v>
      </c>
      <c r="I40" s="8">
        <v>29103942.6792497</v>
      </c>
      <c r="J40" s="8">
        <v>33435929.407999799</v>
      </c>
      <c r="K40" s="8">
        <v>37992206.514581203</v>
      </c>
      <c r="L40" s="8">
        <v>42780754.691921502</v>
      </c>
      <c r="M40" s="8">
        <v>47809523.4739452</v>
      </c>
      <c r="N40" s="8">
        <v>53087311.865652703</v>
      </c>
      <c r="O40" s="8">
        <v>58622881.938232496</v>
      </c>
      <c r="P40" s="8">
        <v>64425272.7090002</v>
      </c>
      <c r="Q40" s="8">
        <v>70503808.303426698</v>
      </c>
      <c r="R40" s="8">
        <v>76868106.433410302</v>
      </c>
      <c r="S40" s="8">
        <v>83529443.653499499</v>
      </c>
      <c r="T40" s="8">
        <v>90502080.458473399</v>
      </c>
      <c r="U40" s="8">
        <v>97797021.127691105</v>
      </c>
      <c r="V40" s="8">
        <v>105425623.134703</v>
      </c>
      <c r="W40" s="8">
        <v>113399608.394134</v>
      </c>
      <c r="X40" s="8">
        <v>121731073.082765</v>
      </c>
      <c r="Y40" s="8">
        <v>130203171.87181801</v>
      </c>
      <c r="Z40" s="8">
        <v>136534800.28823999</v>
      </c>
      <c r="AA40" s="8">
        <v>139449069.98209801</v>
      </c>
      <c r="AB40" s="8">
        <v>143834658.73029101</v>
      </c>
      <c r="AC40" s="8">
        <v>149037486.49657401</v>
      </c>
    </row>
    <row r="41" spans="1:29" x14ac:dyDescent="0.85">
      <c r="A41" t="s">
        <v>172</v>
      </c>
      <c r="B41" s="8">
        <v>29071269.5</v>
      </c>
      <c r="C41" s="8">
        <v>28344487.764343701</v>
      </c>
      <c r="D41" s="8">
        <v>27635875.648573499</v>
      </c>
      <c r="E41" s="8">
        <v>26944978.8360039</v>
      </c>
      <c r="F41" s="8">
        <v>26271357.4429572</v>
      </c>
      <c r="G41" s="8">
        <v>25614573.524261501</v>
      </c>
      <c r="H41" s="8">
        <v>24974217.704521298</v>
      </c>
      <c r="I41" s="8">
        <v>29103942.6792497</v>
      </c>
      <c r="J41" s="8">
        <v>33435929.407999799</v>
      </c>
      <c r="K41" s="8">
        <v>37992206.514581203</v>
      </c>
      <c r="L41" s="8">
        <v>42780754.691921502</v>
      </c>
      <c r="M41" s="8">
        <v>47809523.4739452</v>
      </c>
      <c r="N41" s="8">
        <v>53087311.865652703</v>
      </c>
      <c r="O41" s="8">
        <v>58622881.938232496</v>
      </c>
      <c r="P41" s="8">
        <v>64425272.7090002</v>
      </c>
      <c r="Q41" s="8">
        <v>70503808.303426698</v>
      </c>
      <c r="R41" s="8">
        <v>76868106.433410302</v>
      </c>
      <c r="S41" s="8">
        <v>83529443.653499499</v>
      </c>
      <c r="T41" s="8">
        <v>90502080.458473399</v>
      </c>
      <c r="U41" s="8">
        <v>97797021.127691105</v>
      </c>
      <c r="V41" s="8">
        <v>105425623.134703</v>
      </c>
      <c r="W41" s="8">
        <v>113399608.394134</v>
      </c>
      <c r="X41" s="8">
        <v>121731073.082765</v>
      </c>
      <c r="Y41" s="8">
        <v>130203171.87181801</v>
      </c>
      <c r="Z41" s="8">
        <v>136534800.28823999</v>
      </c>
      <c r="AA41" s="8">
        <v>139449069.98209801</v>
      </c>
      <c r="AB41" s="8">
        <v>143834658.73029101</v>
      </c>
      <c r="AC41" s="8">
        <v>149037486.49657401</v>
      </c>
    </row>
    <row r="42" spans="1:29" x14ac:dyDescent="0.85">
      <c r="A42" t="s">
        <v>173</v>
      </c>
      <c r="B42" s="8">
        <v>2878.9777909899999</v>
      </c>
      <c r="C42" s="8">
        <v>2807.0033463999998</v>
      </c>
      <c r="D42" s="8">
        <v>2736.8282705000001</v>
      </c>
      <c r="E42" s="8">
        <v>2668.40757153</v>
      </c>
      <c r="F42" s="8">
        <v>2601.6976870399999</v>
      </c>
      <c r="G42" s="8">
        <v>2536.6552465899999</v>
      </c>
      <c r="H42" s="8">
        <v>2473.2397090099998</v>
      </c>
      <c r="I42" s="8">
        <v>2882.2134721000002</v>
      </c>
      <c r="J42" s="8">
        <v>3311.2175643700002</v>
      </c>
      <c r="K42" s="8">
        <v>3762.4335182999998</v>
      </c>
      <c r="L42" s="8">
        <v>4236.6516756299998</v>
      </c>
      <c r="M42" s="8">
        <v>4734.6592923799999</v>
      </c>
      <c r="N42" s="8">
        <v>5257.3277491299996</v>
      </c>
      <c r="O42" s="8">
        <v>5805.5247688500003</v>
      </c>
      <c r="P42" s="8">
        <v>6380.1455009700003</v>
      </c>
      <c r="Q42" s="8">
        <v>6982.1133296600001</v>
      </c>
      <c r="R42" s="8">
        <v>7612.3807134600002</v>
      </c>
      <c r="S42" s="8">
        <v>8272.0643889500006</v>
      </c>
      <c r="T42" s="8">
        <v>8962.5765974400001</v>
      </c>
      <c r="U42" s="8">
        <v>9685.0071116399995</v>
      </c>
      <c r="V42" s="8">
        <v>10440.48068167</v>
      </c>
      <c r="W42" s="8">
        <v>11230.158148889999</v>
      </c>
      <c r="X42" s="8">
        <v>12055.237418479999</v>
      </c>
      <c r="Y42" s="8">
        <v>12894.243924779999</v>
      </c>
      <c r="Z42" s="8">
        <v>13521.275970680001</v>
      </c>
      <c r="AA42" s="8">
        <v>13809.881107990001</v>
      </c>
      <c r="AB42" s="8">
        <v>14244.193500380001</v>
      </c>
      <c r="AC42" s="8">
        <v>14759.438477539999</v>
      </c>
    </row>
    <row r="43" spans="1:29" x14ac:dyDescent="0.85">
      <c r="A43" t="s">
        <v>174</v>
      </c>
      <c r="B43" s="8">
        <v>0</v>
      </c>
      <c r="C43" s="8">
        <v>1.7006692699999999</v>
      </c>
      <c r="D43" s="8">
        <v>3.3163050799999998</v>
      </c>
      <c r="E43" s="8">
        <v>4.8500961900000004</v>
      </c>
      <c r="F43" s="8">
        <v>6.30512579</v>
      </c>
      <c r="G43" s="8">
        <v>7.6843720600000003</v>
      </c>
      <c r="H43" s="8">
        <v>8.9907183699999997</v>
      </c>
      <c r="I43" s="8">
        <v>12.22365593</v>
      </c>
      <c r="J43" s="8">
        <v>16.049246119999999</v>
      </c>
      <c r="K43" s="8">
        <v>20.515791520000001</v>
      </c>
      <c r="L43" s="8">
        <v>25.668452819999999</v>
      </c>
      <c r="M43" s="8">
        <v>31.554285490000002</v>
      </c>
      <c r="N43" s="8">
        <v>38.222864540000003</v>
      </c>
      <c r="O43" s="8">
        <v>45.725847909999999</v>
      </c>
      <c r="P43" s="8">
        <v>54.117229080000001</v>
      </c>
      <c r="Q43" s="8">
        <v>63.453427470000001</v>
      </c>
      <c r="R43" s="8">
        <v>73.793382179999995</v>
      </c>
      <c r="S43" s="8">
        <v>85.200032530000001</v>
      </c>
      <c r="T43" s="8">
        <v>97.742246899999998</v>
      </c>
      <c r="U43" s="8">
        <v>111.48860409</v>
      </c>
      <c r="V43" s="8">
        <v>126.51074776</v>
      </c>
      <c r="W43" s="8">
        <v>142.88350657999999</v>
      </c>
      <c r="X43" s="8">
        <v>160.68501646999999</v>
      </c>
      <c r="Y43" s="8">
        <v>179.68037717999999</v>
      </c>
      <c r="Z43" s="8">
        <v>196.61011242000001</v>
      </c>
      <c r="AA43" s="8">
        <v>209.17360497000001</v>
      </c>
      <c r="AB43" s="8">
        <v>224.38206761999999</v>
      </c>
      <c r="AC43" s="8">
        <v>241.44072811999999</v>
      </c>
    </row>
    <row r="44" spans="1:29" x14ac:dyDescent="0.85">
      <c r="A44" t="s">
        <v>175</v>
      </c>
      <c r="B44" s="8">
        <v>8.7213810000000003E-2</v>
      </c>
      <c r="C44" s="8">
        <v>8.5033460000000005E-2</v>
      </c>
      <c r="D44" s="8">
        <v>8.2907629999999996E-2</v>
      </c>
      <c r="E44" s="8">
        <v>8.0834939999999994E-2</v>
      </c>
      <c r="F44" s="8">
        <v>7.881407E-2</v>
      </c>
      <c r="G44" s="8">
        <v>7.6843720000000004E-2</v>
      </c>
      <c r="H44" s="8">
        <v>7.4922649999999993E-2</v>
      </c>
      <c r="I44" s="8">
        <v>8.7311830000000007E-2</v>
      </c>
      <c r="J44" s="8">
        <v>0.10030778999999999</v>
      </c>
      <c r="K44" s="8">
        <v>0.11397662</v>
      </c>
      <c r="L44" s="8">
        <v>0.12834226000000001</v>
      </c>
      <c r="M44" s="8">
        <v>0.14342857000000001</v>
      </c>
      <c r="N44" s="8">
        <v>0.15926193999999999</v>
      </c>
      <c r="O44" s="8">
        <v>0.17586864999999999</v>
      </c>
      <c r="P44" s="8">
        <v>0.19327581999999999</v>
      </c>
      <c r="Q44" s="8">
        <v>0.21151142000000001</v>
      </c>
      <c r="R44" s="8">
        <v>0.23060432</v>
      </c>
      <c r="S44" s="8">
        <v>0.25058833000000003</v>
      </c>
      <c r="T44" s="8">
        <v>0.27150624000000001</v>
      </c>
      <c r="U44" s="8">
        <v>0.29339105999999998</v>
      </c>
      <c r="V44" s="8">
        <v>0.31627686999999999</v>
      </c>
      <c r="W44" s="8">
        <v>0.34019883000000001</v>
      </c>
      <c r="X44" s="8">
        <v>0.36519321999999999</v>
      </c>
      <c r="Y44" s="8">
        <v>0.39060951999999999</v>
      </c>
      <c r="Z44" s="8">
        <v>0.40960439999999998</v>
      </c>
      <c r="AA44" s="8">
        <v>0.41834721000000002</v>
      </c>
      <c r="AB44" s="8">
        <v>0.43150398000000001</v>
      </c>
      <c r="AC44" s="8">
        <v>0.44711245999999999</v>
      </c>
    </row>
    <row r="45" spans="1:29" x14ac:dyDescent="0.85">
      <c r="A45" t="s">
        <v>176</v>
      </c>
      <c r="B45" s="8">
        <v>2585.0672563500002</v>
      </c>
      <c r="C45" s="8">
        <v>2520.4405750999999</v>
      </c>
      <c r="D45" s="8">
        <v>2457.4295676900001</v>
      </c>
      <c r="E45" s="8">
        <v>2395.99383549</v>
      </c>
      <c r="F45" s="8">
        <v>2336.0942632900001</v>
      </c>
      <c r="G45" s="8">
        <v>2277.6919082600002</v>
      </c>
      <c r="H45" s="8">
        <v>2220.7503680200002</v>
      </c>
      <c r="I45" s="8">
        <v>2587.9726116100001</v>
      </c>
      <c r="J45" s="8">
        <v>2973.1803180500001</v>
      </c>
      <c r="K45" s="8">
        <v>3378.3323104400001</v>
      </c>
      <c r="L45" s="8">
        <v>3804.1382457</v>
      </c>
      <c r="M45" s="8">
        <v>4251.3050100600003</v>
      </c>
      <c r="N45" s="8">
        <v>4720.6150261700004</v>
      </c>
      <c r="O45" s="8">
        <v>5212.8474324600002</v>
      </c>
      <c r="P45" s="8">
        <v>5728.8059938799997</v>
      </c>
      <c r="Q45" s="8">
        <v>6269.31982771</v>
      </c>
      <c r="R45" s="8">
        <v>6835.2441574200002</v>
      </c>
      <c r="S45" s="8">
        <v>7427.5817136100004</v>
      </c>
      <c r="T45" s="8">
        <v>8047.6005640100002</v>
      </c>
      <c r="U45" s="8">
        <v>8696.2792280400008</v>
      </c>
      <c r="V45" s="8">
        <v>9374.6276317800002</v>
      </c>
      <c r="W45" s="8">
        <v>10083.688108030001</v>
      </c>
      <c r="X45" s="8">
        <v>10824.53626961</v>
      </c>
      <c r="Y45" s="8">
        <v>11577.889857149999</v>
      </c>
      <c r="Z45" s="8">
        <v>12140.909139769999</v>
      </c>
      <c r="AA45" s="8">
        <v>12400.051010470001</v>
      </c>
      <c r="AB45" s="8">
        <v>12790.02510062</v>
      </c>
      <c r="AC45" s="8">
        <v>13252.669489059999</v>
      </c>
    </row>
    <row r="46" spans="1:29" x14ac:dyDescent="0.85">
      <c r="A46" t="s">
        <v>177</v>
      </c>
      <c r="B46" s="8">
        <v>293.91053463999998</v>
      </c>
      <c r="C46" s="8">
        <v>286.56277130000001</v>
      </c>
      <c r="D46" s="8">
        <v>279.39870280999997</v>
      </c>
      <c r="E46" s="8">
        <v>272.41373603</v>
      </c>
      <c r="F46" s="8">
        <v>265.60342374999999</v>
      </c>
      <c r="G46" s="8">
        <v>258.96333833</v>
      </c>
      <c r="H46" s="8">
        <v>252.48934098999999</v>
      </c>
      <c r="I46" s="8">
        <v>294.24086048999999</v>
      </c>
      <c r="J46" s="8">
        <v>338.03724631</v>
      </c>
      <c r="K46" s="8">
        <v>384.10120785999999</v>
      </c>
      <c r="L46" s="8">
        <v>432.51342993999998</v>
      </c>
      <c r="M46" s="8">
        <v>483.35428231999998</v>
      </c>
      <c r="N46" s="8">
        <v>536.71272295999995</v>
      </c>
      <c r="O46" s="8">
        <v>592.67733639999994</v>
      </c>
      <c r="P46" s="8">
        <v>651.33950708999998</v>
      </c>
      <c r="Q46" s="8">
        <v>712.79350194999995</v>
      </c>
      <c r="R46" s="8">
        <v>777.13655603999996</v>
      </c>
      <c r="S46" s="8">
        <v>844.48267534000001</v>
      </c>
      <c r="T46" s="8">
        <v>914.97603344000004</v>
      </c>
      <c r="U46" s="8">
        <v>988.72788360000004</v>
      </c>
      <c r="V46" s="8">
        <v>1065.85304989</v>
      </c>
      <c r="W46" s="8">
        <v>1146.4700408599999</v>
      </c>
      <c r="X46" s="8">
        <v>1230.70114887</v>
      </c>
      <c r="Y46" s="8">
        <v>1316.35406762</v>
      </c>
      <c r="Z46" s="8">
        <v>1380.3668309100001</v>
      </c>
      <c r="AA46" s="8">
        <v>1409.83009752</v>
      </c>
      <c r="AB46" s="8">
        <v>1454.1683997600001</v>
      </c>
      <c r="AC46" s="8">
        <v>1506.76898848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1.0000001199999999</v>
      </c>
      <c r="H47" s="8">
        <v>1</v>
      </c>
      <c r="I47" s="8">
        <v>1.0000003399999999</v>
      </c>
      <c r="J47" s="8">
        <v>1.17829293</v>
      </c>
      <c r="K47" s="8">
        <v>1.1653939900000001</v>
      </c>
      <c r="L47" s="8">
        <v>1.1549031000000001</v>
      </c>
      <c r="M47" s="8">
        <v>1.14619252</v>
      </c>
      <c r="N47" s="8">
        <v>1.1388535799999999</v>
      </c>
      <c r="O47" s="8">
        <v>1.1325776299999999</v>
      </c>
      <c r="P47" s="8">
        <v>1.1271471900000001</v>
      </c>
      <c r="Q47" s="8">
        <v>1.1224004299999999</v>
      </c>
      <c r="R47" s="8">
        <v>1.1182144700000001</v>
      </c>
      <c r="S47" s="8">
        <v>1.1145123699999999</v>
      </c>
      <c r="T47" s="8">
        <v>1.11124661</v>
      </c>
      <c r="U47" s="8">
        <v>1.10830305</v>
      </c>
      <c r="V47" s="8">
        <v>1.10563558</v>
      </c>
      <c r="W47" s="8">
        <v>1.10320654</v>
      </c>
      <c r="X47" s="8">
        <v>1.10098483</v>
      </c>
      <c r="Y47" s="8">
        <v>1.09701241</v>
      </c>
      <c r="Z47" s="8">
        <v>1.0933304699999999</v>
      </c>
      <c r="AA47" s="8">
        <v>1.07551675</v>
      </c>
      <c r="AB47" s="8">
        <v>1.0475328399999999</v>
      </c>
      <c r="AC47" s="8">
        <v>1.0578968099999999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</v>
      </c>
      <c r="F48" s="8">
        <v>1.0000001199999999</v>
      </c>
      <c r="G48" s="8">
        <v>1</v>
      </c>
      <c r="H48" s="8">
        <v>1.0000003399999999</v>
      </c>
      <c r="I48" s="8">
        <v>1.1952405500000001</v>
      </c>
      <c r="J48" s="8">
        <v>1.1783029300000001</v>
      </c>
      <c r="K48" s="8">
        <v>1.1654039899999999</v>
      </c>
      <c r="L48" s="8">
        <v>1.1549130999999999</v>
      </c>
      <c r="M48" s="8">
        <v>1.1462025199999999</v>
      </c>
      <c r="N48" s="8">
        <v>1.13886358</v>
      </c>
      <c r="O48" s="8">
        <v>1.13258763</v>
      </c>
      <c r="P48" s="8">
        <v>1.1271571899999999</v>
      </c>
      <c r="Q48" s="8">
        <v>1.12241043</v>
      </c>
      <c r="R48" s="8">
        <v>1.1182244699999999</v>
      </c>
      <c r="S48" s="8">
        <v>1.11452237</v>
      </c>
      <c r="T48" s="8">
        <v>1.1112566100000001</v>
      </c>
      <c r="U48" s="8">
        <v>1.10831305</v>
      </c>
      <c r="V48" s="8">
        <v>1.10564558</v>
      </c>
      <c r="W48" s="8">
        <v>1.10321654</v>
      </c>
      <c r="X48" s="8">
        <v>1.1009948300000001</v>
      </c>
      <c r="Y48" s="8">
        <v>1.0970224099999999</v>
      </c>
      <c r="Z48" s="8">
        <v>1.07551675</v>
      </c>
      <c r="AA48" s="8">
        <v>1.0475328399999999</v>
      </c>
      <c r="AB48" s="8">
        <v>1.0578968099999999</v>
      </c>
      <c r="AC48" s="8">
        <v>1.0627408</v>
      </c>
    </row>
    <row r="49" spans="1:29" x14ac:dyDescent="0.85">
      <c r="A49" t="s">
        <v>180</v>
      </c>
      <c r="B49" s="8">
        <v>1</v>
      </c>
      <c r="C49" s="8">
        <v>1.14942487</v>
      </c>
      <c r="D49" s="8">
        <v>1.1551426199999999</v>
      </c>
      <c r="E49" s="8">
        <v>1.1611040500000001</v>
      </c>
      <c r="F49" s="8">
        <v>1.1673765300000001</v>
      </c>
      <c r="G49" s="8">
        <v>1.1759164099999999</v>
      </c>
      <c r="H49" s="8">
        <v>1.18487111</v>
      </c>
      <c r="I49" s="8">
        <v>1.19524352</v>
      </c>
      <c r="J49" s="8">
        <v>1.1783029300000001</v>
      </c>
      <c r="K49" s="8">
        <v>1.1654039899999999</v>
      </c>
      <c r="L49" s="8">
        <v>1.1549130999999999</v>
      </c>
      <c r="M49" s="8">
        <v>1.1462025199999999</v>
      </c>
      <c r="N49" s="8">
        <v>1.13886358</v>
      </c>
      <c r="O49" s="8">
        <v>1.13258763</v>
      </c>
      <c r="P49" s="8">
        <v>1.1271571899999999</v>
      </c>
      <c r="Q49" s="8">
        <v>1.12241043</v>
      </c>
      <c r="R49" s="8">
        <v>1.1182244699999999</v>
      </c>
      <c r="S49" s="8">
        <v>1.11452237</v>
      </c>
      <c r="T49" s="8">
        <v>1.1112566100000001</v>
      </c>
      <c r="U49" s="8">
        <v>1.10831305</v>
      </c>
      <c r="V49" s="8">
        <v>1.10564558</v>
      </c>
      <c r="W49" s="8">
        <v>1.10321654</v>
      </c>
      <c r="X49" s="8">
        <v>1.1009948300000001</v>
      </c>
      <c r="Y49" s="8">
        <v>1.0970224099999999</v>
      </c>
      <c r="Z49" s="8">
        <v>1.09334047</v>
      </c>
      <c r="AA49" s="8">
        <v>1.09098081</v>
      </c>
      <c r="AB49" s="8">
        <v>1.09209176</v>
      </c>
      <c r="AC49" s="8">
        <v>1.0921429</v>
      </c>
    </row>
    <row r="50" spans="1:29" x14ac:dyDescent="0.85">
      <c r="A50" t="s">
        <v>181</v>
      </c>
      <c r="B50" s="8">
        <v>18132</v>
      </c>
      <c r="C50" s="8">
        <v>18804.412469639999</v>
      </c>
      <c r="D50" s="8">
        <v>19491.557917260001</v>
      </c>
      <c r="E50" s="8">
        <v>20175.257458780001</v>
      </c>
      <c r="F50" s="8">
        <v>20538.566569120001</v>
      </c>
      <c r="G50" s="8">
        <v>20903.753363209998</v>
      </c>
      <c r="H50" s="8">
        <v>21439.031328519999</v>
      </c>
      <c r="I50" s="8">
        <v>21590.497924610001</v>
      </c>
      <c r="J50" s="8">
        <v>21841.839732699998</v>
      </c>
      <c r="K50" s="8">
        <v>22087.288435189999</v>
      </c>
      <c r="L50" s="8">
        <v>22324.447967700002</v>
      </c>
      <c r="M50" s="8">
        <v>22557.121916389999</v>
      </c>
      <c r="N50" s="8">
        <v>22782.637290980001</v>
      </c>
      <c r="O50" s="8">
        <v>23000.549490869998</v>
      </c>
      <c r="P50" s="8">
        <v>23210.39623282</v>
      </c>
      <c r="Q50" s="8">
        <v>23411.698020690001</v>
      </c>
      <c r="R50" s="8">
        <v>23613.47171654</v>
      </c>
      <c r="S50" s="8">
        <v>23833.51224878</v>
      </c>
      <c r="T50" s="8">
        <v>24044.913910480002</v>
      </c>
      <c r="U50" s="8">
        <v>24247.154381609998</v>
      </c>
      <c r="V50" s="8">
        <v>24439.690985950001</v>
      </c>
      <c r="W50" s="8">
        <v>24621.960244599999</v>
      </c>
      <c r="X50" s="8">
        <v>24847.233933920001</v>
      </c>
      <c r="Y50" s="8">
        <v>25086.127688569999</v>
      </c>
      <c r="Z50" s="8">
        <v>25490.887524419999</v>
      </c>
      <c r="AA50" s="8">
        <v>26120.851170580001</v>
      </c>
      <c r="AB50" s="8">
        <v>26771.418736619999</v>
      </c>
      <c r="AC50" s="8">
        <v>27445.75582224</v>
      </c>
    </row>
    <row r="51" spans="1:29" x14ac:dyDescent="0.85">
      <c r="A51" t="s">
        <v>182</v>
      </c>
      <c r="B51" s="8">
        <v>56878626.25</v>
      </c>
      <c r="C51" s="8">
        <v>60256366.421598099</v>
      </c>
      <c r="D51" s="8">
        <v>63690101.639169097</v>
      </c>
      <c r="E51" s="8">
        <v>67120386.127019599</v>
      </c>
      <c r="F51" s="8">
        <v>69145620.999380097</v>
      </c>
      <c r="G51" s="8">
        <v>71190562.178745896</v>
      </c>
      <c r="H51" s="8">
        <v>73256367.107882693</v>
      </c>
      <c r="I51" s="8">
        <v>70581559.062726602</v>
      </c>
      <c r="J51" s="8">
        <v>67708623.408980399</v>
      </c>
      <c r="K51" s="8">
        <v>64609426.524552003</v>
      </c>
      <c r="L51" s="8">
        <v>61276383.426738597</v>
      </c>
      <c r="M51" s="8">
        <v>57719695.0928296</v>
      </c>
      <c r="N51" s="8">
        <v>53989005.0986268</v>
      </c>
      <c r="O51" s="8">
        <v>50150533.523182802</v>
      </c>
      <c r="P51" s="8">
        <v>46271644.209571198</v>
      </c>
      <c r="Q51" s="8">
        <v>42437791.874868102</v>
      </c>
      <c r="R51" s="8">
        <v>38731756.875436403</v>
      </c>
      <c r="S51" s="8">
        <v>35198755.521673404</v>
      </c>
      <c r="T51" s="8">
        <v>31878184.864868</v>
      </c>
      <c r="U51" s="8">
        <v>28794240.3256156</v>
      </c>
      <c r="V51" s="8">
        <v>25950129.509920299</v>
      </c>
      <c r="W51" s="8">
        <v>23368749.959638599</v>
      </c>
      <c r="X51" s="8">
        <v>22077004.180986699</v>
      </c>
      <c r="Y51" s="8">
        <v>21029823.772833701</v>
      </c>
      <c r="Z51" s="8">
        <v>20933150.383322001</v>
      </c>
      <c r="AA51" s="8">
        <v>21022853.082485799</v>
      </c>
      <c r="AB51" s="8">
        <v>20951895.643436301</v>
      </c>
      <c r="AC51" s="8">
        <v>20831060.776960801</v>
      </c>
    </row>
    <row r="52" spans="1:29" x14ac:dyDescent="0.85">
      <c r="A52" t="s">
        <v>183</v>
      </c>
      <c r="B52" s="8">
        <v>56878626.25</v>
      </c>
      <c r="C52" s="8">
        <v>60256366.421598099</v>
      </c>
      <c r="D52" s="8">
        <v>63690101.639169097</v>
      </c>
      <c r="E52" s="8">
        <v>67120386.127019599</v>
      </c>
      <c r="F52" s="8">
        <v>69145620.999380097</v>
      </c>
      <c r="G52" s="8">
        <v>71190562.178745896</v>
      </c>
      <c r="H52" s="8">
        <v>73256367.107882693</v>
      </c>
      <c r="I52" s="8">
        <v>70581559.062726602</v>
      </c>
      <c r="J52" s="8">
        <v>67708623.408980399</v>
      </c>
      <c r="K52" s="8">
        <v>64609426.524552003</v>
      </c>
      <c r="L52" s="8">
        <v>61276383.426738597</v>
      </c>
      <c r="M52" s="8">
        <v>57719695.0928296</v>
      </c>
      <c r="N52" s="8">
        <v>53989005.0986268</v>
      </c>
      <c r="O52" s="8">
        <v>50150533.523182802</v>
      </c>
      <c r="P52" s="8">
        <v>46271644.209571198</v>
      </c>
      <c r="Q52" s="8">
        <v>42437791.874868102</v>
      </c>
      <c r="R52" s="8">
        <v>38731756.875436403</v>
      </c>
      <c r="S52" s="8">
        <v>35198755.521673404</v>
      </c>
      <c r="T52" s="8">
        <v>31878184.864868</v>
      </c>
      <c r="U52" s="8">
        <v>28794240.3256156</v>
      </c>
      <c r="V52" s="8">
        <v>25950129.509920299</v>
      </c>
      <c r="W52" s="8">
        <v>23368749.959638599</v>
      </c>
      <c r="X52" s="8">
        <v>22077004.180986699</v>
      </c>
      <c r="Y52" s="8">
        <v>21029823.772833701</v>
      </c>
      <c r="Z52" s="8">
        <v>20933150.383322001</v>
      </c>
      <c r="AA52" s="8">
        <v>21022853.082485799</v>
      </c>
      <c r="AB52" s="8">
        <v>20951895.643436301</v>
      </c>
      <c r="AC52" s="8">
        <v>20831060.776960801</v>
      </c>
    </row>
    <row r="53" spans="1:29" x14ac:dyDescent="0.85">
      <c r="A53" t="s">
        <v>184</v>
      </c>
      <c r="B53" s="8">
        <v>3148.2488559499998</v>
      </c>
      <c r="C53" s="8">
        <v>3295.9492969900002</v>
      </c>
      <c r="D53" s="8">
        <v>3446.44642127</v>
      </c>
      <c r="E53" s="8">
        <v>3596.52478956</v>
      </c>
      <c r="F53" s="8">
        <v>3681.2136909400001</v>
      </c>
      <c r="G53" s="8">
        <v>3766.5657278799999</v>
      </c>
      <c r="H53" s="8">
        <v>3868.9407528800002</v>
      </c>
      <c r="I53" s="8">
        <v>3818.3811153400002</v>
      </c>
      <c r="J53" s="8">
        <v>3772.683908</v>
      </c>
      <c r="K53" s="8">
        <v>3720.8937732899999</v>
      </c>
      <c r="L53" s="8">
        <v>3662.5930071299999</v>
      </c>
      <c r="M53" s="8">
        <v>3598.3997981799998</v>
      </c>
      <c r="N53" s="8">
        <v>3529.2659328300001</v>
      </c>
      <c r="O53" s="8">
        <v>3456.76401536</v>
      </c>
      <c r="P53" s="8">
        <v>3382.49284111</v>
      </c>
      <c r="Q53" s="8">
        <v>3308.4909515700001</v>
      </c>
      <c r="R53" s="8">
        <v>3237.6536219</v>
      </c>
      <c r="S53" s="8">
        <v>3172.8118146400002</v>
      </c>
      <c r="T53" s="8">
        <v>3112.3145805899999</v>
      </c>
      <c r="U53" s="8">
        <v>3056.7015766999998</v>
      </c>
      <c r="V53" s="8">
        <v>3005.9983808900001</v>
      </c>
      <c r="W53" s="8">
        <v>2960.7089857999999</v>
      </c>
      <c r="X53" s="8">
        <v>2951.0618944299999</v>
      </c>
      <c r="Y53" s="8">
        <v>2948.7045510799999</v>
      </c>
      <c r="Z53" s="8">
        <v>2985.6432835000001</v>
      </c>
      <c r="AA53" s="8">
        <v>3048.99431366</v>
      </c>
      <c r="AB53" s="8">
        <v>3110.4256420400002</v>
      </c>
      <c r="AC53" s="8">
        <v>3172.9477104100001</v>
      </c>
    </row>
    <row r="54" spans="1:29" x14ac:dyDescent="0.85">
      <c r="A54" t="s">
        <v>185</v>
      </c>
      <c r="B54" s="8">
        <v>0</v>
      </c>
      <c r="C54" s="8">
        <v>590.51239093000004</v>
      </c>
      <c r="D54" s="8">
        <v>1248.32599213</v>
      </c>
      <c r="E54" s="8">
        <v>1973.33935213</v>
      </c>
      <c r="F54" s="8">
        <v>2710.5083431799999</v>
      </c>
      <c r="G54" s="8">
        <v>3488.3375467599999</v>
      </c>
      <c r="H54" s="8">
        <v>4307.4743859399996</v>
      </c>
      <c r="I54" s="8">
        <v>4841.8949517000001</v>
      </c>
      <c r="J54" s="8">
        <v>5308.3560752599997</v>
      </c>
      <c r="K54" s="8">
        <v>5698.5514194699999</v>
      </c>
      <c r="L54" s="8">
        <v>6005.0855758199996</v>
      </c>
      <c r="M54" s="8">
        <v>6222.1831310099997</v>
      </c>
      <c r="N54" s="8">
        <v>6349.1069995999997</v>
      </c>
      <c r="O54" s="8">
        <v>6389.1779708499998</v>
      </c>
      <c r="P54" s="8">
        <v>6348.4695855500004</v>
      </c>
      <c r="Q54" s="8">
        <v>6238.3554056100002</v>
      </c>
      <c r="R54" s="8">
        <v>6073.1394780700002</v>
      </c>
      <c r="S54" s="8">
        <v>5864.1126699099996</v>
      </c>
      <c r="T54" s="8">
        <v>5623.3118101600003</v>
      </c>
      <c r="U54" s="8">
        <v>5361.4875486299998</v>
      </c>
      <c r="V54" s="8">
        <v>5086.22538394</v>
      </c>
      <c r="W54" s="8">
        <v>4809.2887416900003</v>
      </c>
      <c r="X54" s="8">
        <v>4759.8021014200003</v>
      </c>
      <c r="Y54" s="8">
        <v>4740.1222784000001</v>
      </c>
      <c r="Z54" s="8">
        <v>4923.4769701599998</v>
      </c>
      <c r="AA54" s="8">
        <v>5150.5990052099996</v>
      </c>
      <c r="AB54" s="8">
        <v>5338.5430099499999</v>
      </c>
      <c r="AC54" s="8">
        <v>5511.8986815799999</v>
      </c>
    </row>
    <row r="55" spans="1:29" x14ac:dyDescent="0.85">
      <c r="A55" t="s">
        <v>186</v>
      </c>
      <c r="B55" s="8">
        <v>27.870526859999998</v>
      </c>
      <c r="C55" s="8">
        <v>29.525619549999998</v>
      </c>
      <c r="D55" s="8">
        <v>31.208149800000001</v>
      </c>
      <c r="E55" s="8">
        <v>32.888989199999997</v>
      </c>
      <c r="F55" s="8">
        <v>33.881354289999997</v>
      </c>
      <c r="G55" s="8">
        <v>34.883375469999997</v>
      </c>
      <c r="H55" s="8">
        <v>35.895619879999998</v>
      </c>
      <c r="I55" s="8">
        <v>34.584963940000002</v>
      </c>
      <c r="J55" s="8">
        <v>33.177225470000003</v>
      </c>
      <c r="K55" s="8">
        <v>31.658619000000002</v>
      </c>
      <c r="L55" s="8">
        <v>30.025427879999999</v>
      </c>
      <c r="M55" s="8">
        <v>28.2826506</v>
      </c>
      <c r="N55" s="8">
        <v>26.4546125</v>
      </c>
      <c r="O55" s="8">
        <v>24.573761430000001</v>
      </c>
      <c r="P55" s="8">
        <v>22.673105660000001</v>
      </c>
      <c r="Q55" s="8">
        <v>20.794518020000002</v>
      </c>
      <c r="R55" s="8">
        <v>18.978560869999999</v>
      </c>
      <c r="S55" s="8">
        <v>17.247390209999999</v>
      </c>
      <c r="T55" s="8">
        <v>15.62031058</v>
      </c>
      <c r="U55" s="8">
        <v>14.10917776</v>
      </c>
      <c r="V55" s="8">
        <v>12.71556346</v>
      </c>
      <c r="W55" s="8">
        <v>11.450687479999999</v>
      </c>
      <c r="X55" s="8">
        <v>10.81773205</v>
      </c>
      <c r="Y55" s="8">
        <v>10.30461365</v>
      </c>
      <c r="Z55" s="8">
        <v>10.257243689999999</v>
      </c>
      <c r="AA55" s="8">
        <v>10.30119801</v>
      </c>
      <c r="AB55" s="8">
        <v>10.26642887</v>
      </c>
      <c r="AC55" s="8">
        <v>10.207219780000001</v>
      </c>
    </row>
    <row r="56" spans="1:29" x14ac:dyDescent="0.85">
      <c r="A56" t="s">
        <v>187</v>
      </c>
      <c r="B56" s="8">
        <v>1760.4103754499999</v>
      </c>
      <c r="C56" s="8">
        <v>1825.69395631</v>
      </c>
      <c r="D56" s="8">
        <v>1892.40794127</v>
      </c>
      <c r="E56" s="8">
        <v>1958.7873680600001</v>
      </c>
      <c r="F56" s="8">
        <v>1994.06053855</v>
      </c>
      <c r="G56" s="8">
        <v>2029.5160107199999</v>
      </c>
      <c r="H56" s="8">
        <v>2081.4853954499999</v>
      </c>
      <c r="I56" s="8">
        <v>2096.1910742099999</v>
      </c>
      <c r="J56" s="8">
        <v>2120.5934968199999</v>
      </c>
      <c r="K56" s="8">
        <v>2144.4237660899998</v>
      </c>
      <c r="L56" s="8">
        <v>2167.4492515100001</v>
      </c>
      <c r="M56" s="8">
        <v>2190.0392379099999</v>
      </c>
      <c r="N56" s="8">
        <v>2211.9342084199998</v>
      </c>
      <c r="O56" s="8">
        <v>2233.0909973900002</v>
      </c>
      <c r="P56" s="8">
        <v>2253.4647224</v>
      </c>
      <c r="Q56" s="8">
        <v>2273.0088298300002</v>
      </c>
      <c r="R56" s="8">
        <v>2292.59875414</v>
      </c>
      <c r="S56" s="8">
        <v>2313.96217991</v>
      </c>
      <c r="T56" s="8">
        <v>2334.4868698800001</v>
      </c>
      <c r="U56" s="8">
        <v>2354.1221127499998</v>
      </c>
      <c r="V56" s="8">
        <v>2372.8152208500001</v>
      </c>
      <c r="W56" s="8">
        <v>2390.5114867900002</v>
      </c>
      <c r="X56" s="8">
        <v>2412.38299241</v>
      </c>
      <c r="Y56" s="8">
        <v>2435.57685102</v>
      </c>
      <c r="Z56" s="8">
        <v>2474.8744141500001</v>
      </c>
      <c r="AA56" s="8">
        <v>2536.0366984399998</v>
      </c>
      <c r="AB56" s="8">
        <v>2599.19938834</v>
      </c>
      <c r="AC56" s="8">
        <v>2664.6698274599999</v>
      </c>
    </row>
    <row r="57" spans="1:29" x14ac:dyDescent="0.85">
      <c r="A57" t="s">
        <v>188</v>
      </c>
      <c r="B57" s="8">
        <v>1387.8384805000001</v>
      </c>
      <c r="C57" s="8">
        <v>1470.2553406899999</v>
      </c>
      <c r="D57" s="8">
        <v>1554.0384799999999</v>
      </c>
      <c r="E57" s="8">
        <v>1637.7374215</v>
      </c>
      <c r="F57" s="8">
        <v>1687.1531523799999</v>
      </c>
      <c r="G57" s="8">
        <v>1737.04971716</v>
      </c>
      <c r="H57" s="8">
        <v>1787.45535743</v>
      </c>
      <c r="I57" s="8">
        <v>1722.1900411300001</v>
      </c>
      <c r="J57" s="8">
        <v>1652.09041118</v>
      </c>
      <c r="K57" s="8">
        <v>1576.4700072000001</v>
      </c>
      <c r="L57" s="8">
        <v>1495.14375561</v>
      </c>
      <c r="M57" s="8">
        <v>1408.36056027</v>
      </c>
      <c r="N57" s="8">
        <v>1317.3317244100001</v>
      </c>
      <c r="O57" s="8">
        <v>1223.67301797</v>
      </c>
      <c r="P57" s="8">
        <v>1129.0281187099999</v>
      </c>
      <c r="Q57" s="8">
        <v>1035.48212175</v>
      </c>
      <c r="R57" s="8">
        <v>945.05486775999998</v>
      </c>
      <c r="S57" s="8">
        <v>858.84963473000005</v>
      </c>
      <c r="T57" s="8">
        <v>777.82771070000001</v>
      </c>
      <c r="U57" s="8">
        <v>702.57946394999999</v>
      </c>
      <c r="V57" s="8">
        <v>633.18316003999996</v>
      </c>
      <c r="W57" s="8">
        <v>570.19749902000001</v>
      </c>
      <c r="X57" s="8">
        <v>538.67890202000001</v>
      </c>
      <c r="Y57" s="8">
        <v>513.12770006000005</v>
      </c>
      <c r="Z57" s="8">
        <v>510.76886934999999</v>
      </c>
      <c r="AA57" s="8">
        <v>512.95761520999997</v>
      </c>
      <c r="AB57" s="8">
        <v>511.22625369999997</v>
      </c>
      <c r="AC57" s="8">
        <v>508.27788296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1.08029614</v>
      </c>
      <c r="E58" s="8">
        <v>1.0797309500000001</v>
      </c>
      <c r="F58" s="8">
        <v>1.0782049</v>
      </c>
      <c r="G58" s="8">
        <v>1.0604246399999999</v>
      </c>
      <c r="H58" s="8">
        <v>1.06018806</v>
      </c>
      <c r="I58" s="8">
        <v>1.0683404000000001</v>
      </c>
      <c r="J58" s="8">
        <v>1.0490260300000001</v>
      </c>
      <c r="K58" s="8">
        <v>1.05379304</v>
      </c>
      <c r="L58" s="8">
        <v>1.05337244</v>
      </c>
      <c r="M58" s="8">
        <v>1.05285143</v>
      </c>
      <c r="N58" s="8">
        <v>1.0525233199999999</v>
      </c>
      <c r="O58" s="8">
        <v>1.05208075</v>
      </c>
      <c r="P58" s="8">
        <v>1.05163004</v>
      </c>
      <c r="Q58" s="8">
        <v>1.0511703699999999</v>
      </c>
      <c r="R58" s="8">
        <v>1.05070095</v>
      </c>
      <c r="S58" s="8">
        <v>1.05064427</v>
      </c>
      <c r="T58" s="8">
        <v>1.0513733700000001</v>
      </c>
      <c r="U58" s="8">
        <v>1.0509061799999999</v>
      </c>
      <c r="V58" s="8">
        <v>1.0504280699999999</v>
      </c>
      <c r="W58" s="8">
        <v>1.04993811</v>
      </c>
      <c r="X58" s="8">
        <v>1.0494353300000001</v>
      </c>
      <c r="Y58" s="8">
        <v>1.0511971899999999</v>
      </c>
      <c r="Z58" s="8">
        <v>1.0516817700000001</v>
      </c>
      <c r="AA58" s="8">
        <v>1.05847376</v>
      </c>
      <c r="AB58" s="8">
        <v>1.0674096799999999</v>
      </c>
      <c r="AC58" s="8">
        <v>1.0676104799999999</v>
      </c>
    </row>
    <row r="59" spans="1:29" x14ac:dyDescent="0.85">
      <c r="A59" t="s">
        <v>190</v>
      </c>
      <c r="B59" s="8">
        <v>1</v>
      </c>
      <c r="C59" s="8">
        <v>1.08029614</v>
      </c>
      <c r="D59" s="8">
        <v>1.0797309500000001</v>
      </c>
      <c r="E59" s="8">
        <v>1.0782049</v>
      </c>
      <c r="F59" s="8">
        <v>1.0604246399999999</v>
      </c>
      <c r="G59" s="8">
        <v>1.06018806</v>
      </c>
      <c r="H59" s="8">
        <v>1.0683404000000001</v>
      </c>
      <c r="I59" s="8">
        <v>1.0490260300000001</v>
      </c>
      <c r="J59" s="8">
        <v>1.05379304</v>
      </c>
      <c r="K59" s="8">
        <v>1.05337244</v>
      </c>
      <c r="L59" s="8">
        <v>1.05285143</v>
      </c>
      <c r="M59" s="8">
        <v>1.0525233199999999</v>
      </c>
      <c r="N59" s="8">
        <v>1.05208075</v>
      </c>
      <c r="O59" s="8">
        <v>1.05163004</v>
      </c>
      <c r="P59" s="8">
        <v>1.0511703699999999</v>
      </c>
      <c r="Q59" s="8">
        <v>1.05070095</v>
      </c>
      <c r="R59" s="8">
        <v>1.05064427</v>
      </c>
      <c r="S59" s="8">
        <v>1.0513733700000001</v>
      </c>
      <c r="T59" s="8">
        <v>1.0509061799999999</v>
      </c>
      <c r="U59" s="8">
        <v>1.0504280699999999</v>
      </c>
      <c r="V59" s="8">
        <v>1.04993811</v>
      </c>
      <c r="W59" s="8">
        <v>1.0494353300000001</v>
      </c>
      <c r="X59" s="8">
        <v>1.0511971899999999</v>
      </c>
      <c r="Y59" s="8">
        <v>1.0516817700000001</v>
      </c>
      <c r="Z59" s="8">
        <v>1.05847376</v>
      </c>
      <c r="AA59" s="8">
        <v>1.0674096799999999</v>
      </c>
      <c r="AB59" s="8">
        <v>1.0676104799999999</v>
      </c>
      <c r="AC59" s="8">
        <v>1.0679048900000001</v>
      </c>
    </row>
    <row r="60" spans="1:29" x14ac:dyDescent="0.85">
      <c r="A60" t="s">
        <v>191</v>
      </c>
      <c r="B60" s="8">
        <v>1</v>
      </c>
      <c r="C60" s="8">
        <v>1.08930276</v>
      </c>
      <c r="D60" s="8">
        <v>1.08803239</v>
      </c>
      <c r="E60" s="8">
        <v>1.08681603</v>
      </c>
      <c r="F60" s="8">
        <v>1.08573575</v>
      </c>
      <c r="G60" s="8">
        <v>1.08660683</v>
      </c>
      <c r="H60" s="8">
        <v>1.08747175</v>
      </c>
      <c r="I60" s="8">
        <v>1.08817784</v>
      </c>
      <c r="J60" s="8">
        <v>1.09126769</v>
      </c>
      <c r="K60" s="8">
        <v>1.0943387200000001</v>
      </c>
      <c r="L60" s="8">
        <v>1.0975033999999999</v>
      </c>
      <c r="M60" s="8">
        <v>1.1007700300000001</v>
      </c>
      <c r="N60" s="8">
        <v>1.1041383600000001</v>
      </c>
      <c r="O60" s="8">
        <v>1.1076177199999999</v>
      </c>
      <c r="P60" s="8">
        <v>1.1112146899999999</v>
      </c>
      <c r="Q60" s="8">
        <v>1.1149363299999999</v>
      </c>
      <c r="R60" s="8">
        <v>1.1187902000000001</v>
      </c>
      <c r="S60" s="8">
        <v>1.1227626900000001</v>
      </c>
      <c r="T60" s="8">
        <v>1.12681455</v>
      </c>
      <c r="U60" s="8">
        <v>1.1310132399999999</v>
      </c>
      <c r="V60" s="8">
        <v>1.13536773</v>
      </c>
      <c r="W60" s="8">
        <v>1.1398877000000001</v>
      </c>
      <c r="X60" s="8">
        <v>1.14458357</v>
      </c>
      <c r="Y60" s="8">
        <v>1.1460245099999999</v>
      </c>
      <c r="Z60" s="8">
        <v>1.14712945</v>
      </c>
      <c r="AA60" s="8">
        <v>1.14697373</v>
      </c>
      <c r="AB60" s="8">
        <v>1.1485370800000001</v>
      </c>
      <c r="AC60" s="8">
        <v>1.14944947</v>
      </c>
    </row>
    <row r="61" spans="1:29" x14ac:dyDescent="0.85">
      <c r="A61" t="s">
        <v>192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</row>
    <row r="62" spans="1:29" x14ac:dyDescent="0.85">
      <c r="A62" t="s">
        <v>193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</row>
    <row r="68" spans="1:29" x14ac:dyDescent="0.85">
      <c r="A68" t="s">
        <v>199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</v>
      </c>
      <c r="E69" s="8">
        <v>0</v>
      </c>
      <c r="F69" s="8">
        <v>0</v>
      </c>
      <c r="G69" s="8">
        <v>1E-8</v>
      </c>
      <c r="H69" s="8">
        <v>1E-8</v>
      </c>
      <c r="I69" s="8">
        <v>1E-8</v>
      </c>
      <c r="J69" s="8">
        <v>1E-8</v>
      </c>
      <c r="K69" s="8">
        <v>1E-8</v>
      </c>
      <c r="L69" s="8">
        <v>1E-8</v>
      </c>
      <c r="M69" s="8">
        <v>1E-8</v>
      </c>
      <c r="N69" s="8">
        <v>1E-8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2.2000000000000001E-7</v>
      </c>
      <c r="Z69" s="8">
        <v>2.1E-7</v>
      </c>
      <c r="AA69" s="8">
        <v>0</v>
      </c>
      <c r="AB69" s="8">
        <v>2E-8</v>
      </c>
      <c r="AC69" s="8">
        <v>1.57E-6</v>
      </c>
    </row>
    <row r="70" spans="1:29" x14ac:dyDescent="0.85">
      <c r="A70" t="s">
        <v>201</v>
      </c>
      <c r="B70" s="8">
        <v>1</v>
      </c>
      <c r="C70" s="8">
        <v>0</v>
      </c>
      <c r="D70" s="8">
        <v>0</v>
      </c>
      <c r="E70" s="8">
        <v>0</v>
      </c>
      <c r="F70" s="8">
        <v>1E-8</v>
      </c>
      <c r="G70" s="8">
        <v>1E-8</v>
      </c>
      <c r="H70" s="8">
        <v>1E-8</v>
      </c>
      <c r="I70" s="8">
        <v>1E-8</v>
      </c>
      <c r="J70" s="8">
        <v>1E-8</v>
      </c>
      <c r="K70" s="8">
        <v>1E-8</v>
      </c>
      <c r="L70" s="8">
        <v>1E-8</v>
      </c>
      <c r="M70" s="8">
        <v>1E-8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2.2000000000000001E-7</v>
      </c>
      <c r="Y70" s="8">
        <v>2.1E-7</v>
      </c>
      <c r="Z70" s="8">
        <v>0</v>
      </c>
      <c r="AA70" s="8">
        <v>2E-8</v>
      </c>
      <c r="AB70" s="8">
        <v>1.57E-6</v>
      </c>
      <c r="AC70" s="8">
        <v>0</v>
      </c>
    </row>
    <row r="71" spans="1:29" x14ac:dyDescent="0.85">
      <c r="A71" t="s">
        <v>202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</row>
    <row r="72" spans="1:29" x14ac:dyDescent="0.85">
      <c r="A72" t="s">
        <v>203</v>
      </c>
      <c r="B72" s="8">
        <v>0</v>
      </c>
      <c r="C72" s="8">
        <v>1.8E-7</v>
      </c>
      <c r="D72" s="8">
        <v>2.2379999999999999E-5</v>
      </c>
      <c r="E72" s="8">
        <v>4.1443926199999996</v>
      </c>
      <c r="F72" s="8">
        <v>3.7440676700000002</v>
      </c>
      <c r="G72" s="8">
        <v>3.3811854100000001</v>
      </c>
      <c r="H72" s="8">
        <v>3.04385269</v>
      </c>
      <c r="I72" s="8">
        <v>2.73946763</v>
      </c>
      <c r="J72" s="8">
        <v>2.4655560300000001</v>
      </c>
      <c r="K72" s="8">
        <v>2.2190004299999999</v>
      </c>
      <c r="L72" s="8">
        <v>1.99710038</v>
      </c>
      <c r="M72" s="8">
        <v>1.7973903499999999</v>
      </c>
      <c r="N72" s="8">
        <v>1.6176513100000001</v>
      </c>
      <c r="O72" s="8">
        <v>1.45588618</v>
      </c>
      <c r="P72" s="8">
        <v>1.31029756</v>
      </c>
      <c r="Q72" s="8">
        <v>1.17926781</v>
      </c>
      <c r="R72" s="8">
        <v>1.0613410299999999</v>
      </c>
      <c r="S72" s="8">
        <v>0.95542187999999995</v>
      </c>
      <c r="T72" s="8">
        <v>0.85997179000000001</v>
      </c>
      <c r="U72" s="8">
        <v>0.77397468000000003</v>
      </c>
      <c r="V72" s="8">
        <v>0.69657864999999997</v>
      </c>
      <c r="W72" s="8">
        <v>0.62692079000000001</v>
      </c>
      <c r="X72" s="8">
        <v>2.5086923900000002</v>
      </c>
      <c r="Y72" s="8">
        <v>2.2915470600000001</v>
      </c>
      <c r="Z72" s="8">
        <v>2.09621316</v>
      </c>
      <c r="AA72" s="8">
        <v>1.8867355800000001</v>
      </c>
      <c r="AB72" s="8">
        <v>5.3085384600000003</v>
      </c>
      <c r="AC72" s="8">
        <v>4.7776913900000002</v>
      </c>
    </row>
    <row r="73" spans="1:29" x14ac:dyDescent="0.85">
      <c r="A73" t="s">
        <v>204</v>
      </c>
      <c r="B73" s="8">
        <v>0</v>
      </c>
      <c r="C73" s="8">
        <v>0</v>
      </c>
      <c r="D73" s="8">
        <v>0</v>
      </c>
      <c r="E73" s="8">
        <v>1.0360688899999999</v>
      </c>
      <c r="F73" s="8">
        <v>3.5576599999999998E-3</v>
      </c>
      <c r="G73" s="8">
        <v>2.8741000000000001E-3</v>
      </c>
      <c r="H73" s="8">
        <v>2.0279E-4</v>
      </c>
      <c r="I73" s="8">
        <v>0</v>
      </c>
      <c r="J73" s="8">
        <v>1.028E-5</v>
      </c>
      <c r="K73" s="8">
        <v>0</v>
      </c>
      <c r="L73" s="8">
        <v>0.49925099000000001</v>
      </c>
      <c r="M73" s="8">
        <v>0.44933442000000001</v>
      </c>
      <c r="N73" s="8">
        <v>0.40440909000000003</v>
      </c>
      <c r="O73" s="8">
        <v>0.36394608000000001</v>
      </c>
      <c r="P73" s="8">
        <v>0.32757278000000001</v>
      </c>
      <c r="Q73" s="8">
        <v>0.29481545999999997</v>
      </c>
      <c r="R73" s="8">
        <v>0.26532475</v>
      </c>
      <c r="S73" s="8">
        <v>0.23885291</v>
      </c>
      <c r="T73" s="8">
        <v>0.21498587</v>
      </c>
      <c r="U73" s="8">
        <v>0.19348467</v>
      </c>
      <c r="V73" s="8">
        <v>0.17414423000000001</v>
      </c>
      <c r="W73" s="8">
        <v>0.15672815000000001</v>
      </c>
      <c r="X73" s="8">
        <v>0.62717308999999999</v>
      </c>
      <c r="Y73" s="8">
        <v>0.57288517999999999</v>
      </c>
      <c r="Z73" s="8">
        <v>0.52400062999999997</v>
      </c>
      <c r="AA73" s="8">
        <v>0.47167886999999997</v>
      </c>
      <c r="AB73" s="8">
        <v>1.3271209100000001</v>
      </c>
      <c r="AC73" s="8">
        <v>1.19442275</v>
      </c>
    </row>
    <row r="74" spans="1:29" x14ac:dyDescent="0.85">
      <c r="A74" t="s">
        <v>205</v>
      </c>
      <c r="B74" s="8">
        <v>0</v>
      </c>
      <c r="C74" s="8">
        <v>0</v>
      </c>
      <c r="D74" s="8">
        <v>0</v>
      </c>
      <c r="E74" s="8">
        <v>1.0360688899999999</v>
      </c>
      <c r="F74" s="8">
        <v>3.5576599999999998E-3</v>
      </c>
      <c r="G74" s="8">
        <v>2.8741000000000001E-3</v>
      </c>
      <c r="H74" s="8">
        <v>2.0279E-4</v>
      </c>
      <c r="I74" s="8">
        <v>0</v>
      </c>
      <c r="J74" s="8">
        <v>1.028E-5</v>
      </c>
      <c r="K74" s="8">
        <v>0</v>
      </c>
      <c r="L74" s="8">
        <v>0.49925099000000001</v>
      </c>
      <c r="M74" s="8">
        <v>0.44933442000000001</v>
      </c>
      <c r="N74" s="8">
        <v>0.40440909000000003</v>
      </c>
      <c r="O74" s="8">
        <v>0.36394608000000001</v>
      </c>
      <c r="P74" s="8">
        <v>0.32757278000000001</v>
      </c>
      <c r="Q74" s="8">
        <v>0.29481545999999997</v>
      </c>
      <c r="R74" s="8">
        <v>0.26532475</v>
      </c>
      <c r="S74" s="8">
        <v>0.23885291</v>
      </c>
      <c r="T74" s="8">
        <v>0.21498587</v>
      </c>
      <c r="U74" s="8">
        <v>0.19348467</v>
      </c>
      <c r="V74" s="8">
        <v>0.17414423000000001</v>
      </c>
      <c r="W74" s="8">
        <v>0.15672815000000001</v>
      </c>
      <c r="X74" s="8">
        <v>0.62717308999999999</v>
      </c>
      <c r="Y74" s="8">
        <v>0.57288517999999999</v>
      </c>
      <c r="Z74" s="8">
        <v>0.52400062999999997</v>
      </c>
      <c r="AA74" s="8">
        <v>0.47167886999999997</v>
      </c>
      <c r="AB74" s="8">
        <v>1.3271209100000001</v>
      </c>
      <c r="AC74" s="8">
        <v>1.19442275</v>
      </c>
    </row>
    <row r="75" spans="1:29" x14ac:dyDescent="0.85">
      <c r="A75" t="s">
        <v>206</v>
      </c>
      <c r="B75" s="8">
        <v>0</v>
      </c>
      <c r="C75" s="8">
        <v>4.0000000000000001E-8</v>
      </c>
      <c r="D75" s="8">
        <v>4.33E-6</v>
      </c>
      <c r="E75" s="8">
        <v>0.80098767000000004</v>
      </c>
      <c r="F75" s="8">
        <v>0.72360393999999995</v>
      </c>
      <c r="G75" s="8">
        <v>0.65347085000000005</v>
      </c>
      <c r="H75" s="8">
        <v>0.58827560000000001</v>
      </c>
      <c r="I75" s="8">
        <v>0.52944807999999999</v>
      </c>
      <c r="J75" s="8">
        <v>0.47651007000000001</v>
      </c>
      <c r="K75" s="8">
        <v>0.42885906000000001</v>
      </c>
      <c r="L75" s="8">
        <v>0.38598002999999997</v>
      </c>
      <c r="M75" s="8">
        <v>0.34738203000000001</v>
      </c>
      <c r="N75" s="8">
        <v>0.31264382000000002</v>
      </c>
      <c r="O75" s="8">
        <v>0.28137943999999998</v>
      </c>
      <c r="P75" s="8">
        <v>0.25324150000000001</v>
      </c>
      <c r="Q75" s="8">
        <v>0.22791734999999999</v>
      </c>
      <c r="R75" s="8">
        <v>0.20512561000000001</v>
      </c>
      <c r="S75" s="8">
        <v>0.1846546</v>
      </c>
      <c r="T75" s="8">
        <v>0.16620694</v>
      </c>
      <c r="U75" s="8">
        <v>0.14958626</v>
      </c>
      <c r="V75" s="8">
        <v>0.13462790999999999</v>
      </c>
      <c r="W75" s="8">
        <v>0.12116512</v>
      </c>
      <c r="X75" s="8">
        <v>0.48485552999999998</v>
      </c>
      <c r="Y75" s="8">
        <v>0.4428878</v>
      </c>
      <c r="Z75" s="8">
        <v>0.40513558</v>
      </c>
      <c r="AA75" s="8">
        <v>0.36464980000000002</v>
      </c>
      <c r="AB75" s="8">
        <v>1.02598239</v>
      </c>
      <c r="AC75" s="8">
        <v>0.92338545999999999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6.9199999999999998E-6</v>
      </c>
      <c r="F76" s="8">
        <v>2.9999999999999997E-8</v>
      </c>
      <c r="G76" s="8">
        <v>2.9999999999999997E-8</v>
      </c>
      <c r="H76" s="8">
        <v>0</v>
      </c>
      <c r="I76" s="8">
        <v>0</v>
      </c>
      <c r="J76" s="8">
        <v>0</v>
      </c>
      <c r="K76" s="8">
        <v>0</v>
      </c>
      <c r="L76" s="8">
        <v>1.111E-5</v>
      </c>
      <c r="M76" s="8">
        <v>1.1E-5</v>
      </c>
      <c r="N76" s="8">
        <v>1.08E-5</v>
      </c>
      <c r="O76" s="8">
        <v>1.0530000000000001E-5</v>
      </c>
      <c r="P76" s="8">
        <v>1.0200000000000001E-5</v>
      </c>
      <c r="Q76" s="8">
        <v>9.8400000000000007E-6</v>
      </c>
      <c r="R76" s="8">
        <v>9.4499999999999993E-6</v>
      </c>
      <c r="S76" s="8">
        <v>9.0299999999999999E-6</v>
      </c>
      <c r="T76" s="8">
        <v>8.6100000000000006E-6</v>
      </c>
      <c r="U76" s="8">
        <v>8.1799999999999996E-6</v>
      </c>
      <c r="V76" s="8">
        <v>7.7500000000000003E-6</v>
      </c>
      <c r="W76" s="8">
        <v>7.3200000000000002E-6</v>
      </c>
      <c r="X76" s="8">
        <v>3.0700000000000001E-5</v>
      </c>
      <c r="Y76" s="8">
        <v>2.932E-5</v>
      </c>
      <c r="Z76" s="8">
        <v>2.798E-5</v>
      </c>
      <c r="AA76" s="8">
        <v>2.6239999999999999E-5</v>
      </c>
      <c r="AB76" s="8">
        <v>7.6769999999999999E-5</v>
      </c>
      <c r="AC76" s="8">
        <v>7.1749999999999996E-5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1.1999999999999999E-7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5.9999999999999995E-8</v>
      </c>
      <c r="M77" s="8">
        <v>4.9999999999999998E-8</v>
      </c>
      <c r="N77" s="8">
        <v>4.0000000000000001E-8</v>
      </c>
      <c r="O77" s="8">
        <v>4.0000000000000001E-8</v>
      </c>
      <c r="P77" s="8">
        <v>4.0000000000000001E-8</v>
      </c>
      <c r="Q77" s="8">
        <v>2.9999999999999997E-8</v>
      </c>
      <c r="R77" s="8">
        <v>2.9999999999999997E-8</v>
      </c>
      <c r="S77" s="8">
        <v>2.9999999999999997E-8</v>
      </c>
      <c r="T77" s="8">
        <v>2E-8</v>
      </c>
      <c r="U77" s="8">
        <v>2E-8</v>
      </c>
      <c r="V77" s="8">
        <v>2E-8</v>
      </c>
      <c r="W77" s="8">
        <v>2E-8</v>
      </c>
      <c r="X77" s="8">
        <v>7.0000000000000005E-8</v>
      </c>
      <c r="Y77" s="8">
        <v>5.9999999999999995E-8</v>
      </c>
      <c r="Z77" s="8">
        <v>5.9999999999999995E-8</v>
      </c>
      <c r="AA77" s="8">
        <v>4.9999999999999998E-8</v>
      </c>
      <c r="AB77" s="8">
        <v>1.4999999999999999E-7</v>
      </c>
      <c r="AC77" s="8">
        <v>1.3E-7</v>
      </c>
    </row>
    <row r="78" spans="1:29" x14ac:dyDescent="0.85">
      <c r="A78" t="s">
        <v>209</v>
      </c>
      <c r="B78" s="8">
        <v>0</v>
      </c>
      <c r="C78" s="8">
        <v>4.0000000000000001E-8</v>
      </c>
      <c r="D78" s="8">
        <v>4.33E-6</v>
      </c>
      <c r="E78" s="8">
        <v>0.80097339999999995</v>
      </c>
      <c r="F78" s="8">
        <v>0.72360389000000003</v>
      </c>
      <c r="G78" s="8">
        <v>0.65347080999999996</v>
      </c>
      <c r="H78" s="8">
        <v>0.58827560000000001</v>
      </c>
      <c r="I78" s="8">
        <v>0.52944807999999999</v>
      </c>
      <c r="J78" s="8">
        <v>0.47651007000000001</v>
      </c>
      <c r="K78" s="8">
        <v>0.42885906000000001</v>
      </c>
      <c r="L78" s="8">
        <v>0.38597314999999999</v>
      </c>
      <c r="M78" s="8">
        <v>0.34737583999999999</v>
      </c>
      <c r="N78" s="8">
        <v>0.31263826</v>
      </c>
      <c r="O78" s="8">
        <v>0.28137443000000001</v>
      </c>
      <c r="P78" s="8">
        <v>0.25323699</v>
      </c>
      <c r="Q78" s="8">
        <v>0.22791328999999999</v>
      </c>
      <c r="R78" s="8">
        <v>0.20512195999999999</v>
      </c>
      <c r="S78" s="8">
        <v>0.18465131000000001</v>
      </c>
      <c r="T78" s="8">
        <v>0.16620398</v>
      </c>
      <c r="U78" s="8">
        <v>0.14958358999999999</v>
      </c>
      <c r="V78" s="8">
        <v>0.13462551</v>
      </c>
      <c r="W78" s="8">
        <v>0.12116296</v>
      </c>
      <c r="X78" s="8">
        <v>0.48484688999999997</v>
      </c>
      <c r="Y78" s="8">
        <v>0.44287990999999999</v>
      </c>
      <c r="Z78" s="8">
        <v>0.40512836000000002</v>
      </c>
      <c r="AA78" s="8">
        <v>0.3646433</v>
      </c>
      <c r="AB78" s="8">
        <v>1.02596412</v>
      </c>
      <c r="AC78" s="8">
        <v>0.92336901999999998</v>
      </c>
    </row>
    <row r="79" spans="1:29" x14ac:dyDescent="0.85">
      <c r="A79" t="s">
        <v>210</v>
      </c>
      <c r="B79" s="8">
        <v>0</v>
      </c>
      <c r="C79" s="8">
        <v>0</v>
      </c>
      <c r="D79" s="8">
        <v>0</v>
      </c>
      <c r="E79" s="8">
        <v>1.4270000000000001E-5</v>
      </c>
      <c r="F79" s="8">
        <v>4.9999999999999998E-8</v>
      </c>
      <c r="G79" s="8">
        <v>4.0000000000000001E-8</v>
      </c>
      <c r="H79" s="8">
        <v>0</v>
      </c>
      <c r="I79" s="8">
        <v>0</v>
      </c>
      <c r="J79" s="8">
        <v>0</v>
      </c>
      <c r="K79" s="8">
        <v>0</v>
      </c>
      <c r="L79" s="8">
        <v>6.8700000000000003E-6</v>
      </c>
      <c r="M79" s="8">
        <v>6.19E-6</v>
      </c>
      <c r="N79" s="8">
        <v>5.57E-6</v>
      </c>
      <c r="O79" s="8">
        <v>5.0100000000000003E-6</v>
      </c>
      <c r="P79" s="8">
        <v>4.51E-6</v>
      </c>
      <c r="Q79" s="8">
        <v>4.0600000000000001E-6</v>
      </c>
      <c r="R79" s="8">
        <v>3.6500000000000002E-6</v>
      </c>
      <c r="S79" s="8">
        <v>3.2899999999999998E-6</v>
      </c>
      <c r="T79" s="8">
        <v>2.96E-6</v>
      </c>
      <c r="U79" s="8">
        <v>2.6599999999999999E-6</v>
      </c>
      <c r="V79" s="8">
        <v>2.3999999999999999E-6</v>
      </c>
      <c r="W79" s="8">
        <v>2.1600000000000001E-6</v>
      </c>
      <c r="X79" s="8">
        <v>8.6400000000000003E-6</v>
      </c>
      <c r="Y79" s="8">
        <v>7.8900000000000007E-6</v>
      </c>
      <c r="Z79" s="8">
        <v>7.2200000000000003E-6</v>
      </c>
      <c r="AA79" s="8">
        <v>6.4999999999999996E-6</v>
      </c>
      <c r="AB79" s="8">
        <v>1.827E-5</v>
      </c>
      <c r="AC79" s="8">
        <v>1.645E-5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1.0000000499999999</v>
      </c>
      <c r="F80" s="8">
        <v>1.00926691</v>
      </c>
      <c r="G80" s="8">
        <v>1.00003099</v>
      </c>
      <c r="H80" s="8">
        <v>1.0000245400000001</v>
      </c>
      <c r="I80" s="8">
        <v>1.0000016199999999</v>
      </c>
      <c r="J80" s="8">
        <v>1</v>
      </c>
      <c r="K80" s="8">
        <v>1.00000007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1.00000026</v>
      </c>
      <c r="U80" s="8">
        <v>1.00000011</v>
      </c>
      <c r="V80" s="8">
        <v>1</v>
      </c>
      <c r="W80" s="8">
        <v>1</v>
      </c>
      <c r="X80" s="8">
        <v>1</v>
      </c>
      <c r="Y80" s="8">
        <v>1.00184177</v>
      </c>
      <c r="Z80" s="8">
        <v>1.00003128</v>
      </c>
      <c r="AA80" s="8">
        <v>1.0000307900000001</v>
      </c>
      <c r="AB80" s="8">
        <v>1.0000001300000001</v>
      </c>
      <c r="AC80" s="8">
        <v>1.0031223199999999</v>
      </c>
    </row>
    <row r="81" spans="1:29" x14ac:dyDescent="0.85">
      <c r="A81" t="s">
        <v>212</v>
      </c>
      <c r="B81" s="8">
        <v>1</v>
      </c>
      <c r="C81" s="8">
        <v>1</v>
      </c>
      <c r="D81" s="8">
        <v>1.0000000499999999</v>
      </c>
      <c r="E81" s="8">
        <v>1.00926691</v>
      </c>
      <c r="F81" s="8">
        <v>1.00003099</v>
      </c>
      <c r="G81" s="8">
        <v>1.0000245400000001</v>
      </c>
      <c r="H81" s="8">
        <v>1.0000016199999999</v>
      </c>
      <c r="I81" s="8">
        <v>1</v>
      </c>
      <c r="J81" s="8">
        <v>1.00000007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1.00000026</v>
      </c>
      <c r="T81" s="8">
        <v>1.00000011</v>
      </c>
      <c r="U81" s="8">
        <v>1</v>
      </c>
      <c r="V81" s="8">
        <v>1</v>
      </c>
      <c r="W81" s="8">
        <v>1</v>
      </c>
      <c r="X81" s="8">
        <v>1.00184177</v>
      </c>
      <c r="Y81" s="8">
        <v>1.00003128</v>
      </c>
      <c r="Z81" s="8">
        <v>1.0000307900000001</v>
      </c>
      <c r="AA81" s="8">
        <v>1.0000001300000001</v>
      </c>
      <c r="AB81" s="8">
        <v>1.0031223199999999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D1E28-4989-404C-8560-BEA7953D7E9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55048</v>
      </c>
      <c r="C5" s="8">
        <v>55895.114381560001</v>
      </c>
      <c r="D5" s="8">
        <v>58452.349877740002</v>
      </c>
      <c r="E5" s="8">
        <v>62389.823529039997</v>
      </c>
      <c r="F5" s="8">
        <v>68299.791874600007</v>
      </c>
      <c r="G5" s="8">
        <v>74800.974830110004</v>
      </c>
      <c r="H5" s="8">
        <v>81951.825695709995</v>
      </c>
      <c r="I5" s="8">
        <v>89816.791827580004</v>
      </c>
      <c r="J5" s="8">
        <v>93600.434152229995</v>
      </c>
      <c r="K5" s="8">
        <v>99169.358504400006</v>
      </c>
      <c r="L5" s="8">
        <v>105282.77051430001</v>
      </c>
      <c r="M5" s="8">
        <v>111721.90397452</v>
      </c>
      <c r="N5" s="8">
        <v>118592.63874378</v>
      </c>
      <c r="O5" s="8">
        <v>124910.61797887999</v>
      </c>
      <c r="P5" s="8">
        <v>129786.08781048001</v>
      </c>
      <c r="Q5" s="8">
        <v>133431.67028131001</v>
      </c>
      <c r="R5" s="8">
        <v>137792.15535931999</v>
      </c>
      <c r="S5" s="8">
        <v>141247.37212438</v>
      </c>
      <c r="T5" s="8">
        <v>145453.68495408999</v>
      </c>
      <c r="U5" s="8">
        <v>150451.59152376</v>
      </c>
      <c r="V5" s="8">
        <v>155642.09555766999</v>
      </c>
      <c r="W5" s="8">
        <v>160898.61890454</v>
      </c>
      <c r="X5" s="8">
        <v>166158.83366755999</v>
      </c>
      <c r="Y5" s="8">
        <v>171747.35465518001</v>
      </c>
      <c r="Z5" s="8">
        <v>177320.56210839999</v>
      </c>
      <c r="AA5" s="8">
        <v>183000.26540809</v>
      </c>
      <c r="AB5" s="8">
        <v>188758.60695968999</v>
      </c>
      <c r="AC5" s="8">
        <v>194724.86506868</v>
      </c>
    </row>
    <row r="6" spans="1:29" x14ac:dyDescent="0.85">
      <c r="A6" t="s">
        <v>139</v>
      </c>
      <c r="B6" s="8">
        <v>234195297.75</v>
      </c>
      <c r="C6" s="8">
        <v>241589558.73130599</v>
      </c>
      <c r="D6" s="8">
        <v>249131704.926384</v>
      </c>
      <c r="E6" s="8">
        <v>256824681.54888901</v>
      </c>
      <c r="F6" s="8">
        <v>264671542.94850299</v>
      </c>
      <c r="G6" s="8">
        <v>272675301.80041301</v>
      </c>
      <c r="H6" s="8">
        <v>280839249.604092</v>
      </c>
      <c r="I6" s="8">
        <v>289196452.43518901</v>
      </c>
      <c r="J6" s="8">
        <v>297969171.77436</v>
      </c>
      <c r="K6" s="8">
        <v>307626518.11888599</v>
      </c>
      <c r="L6" s="8">
        <v>318884154.91303301</v>
      </c>
      <c r="M6" s="8">
        <v>332832396.94413298</v>
      </c>
      <c r="N6" s="8">
        <v>350657981.96474999</v>
      </c>
      <c r="O6" s="8">
        <v>370406278.48532897</v>
      </c>
      <c r="P6" s="8">
        <v>384285512.112858</v>
      </c>
      <c r="Q6" s="8">
        <v>397513909.63176203</v>
      </c>
      <c r="R6" s="8">
        <v>411507345.79427499</v>
      </c>
      <c r="S6" s="8">
        <v>425051198.26646203</v>
      </c>
      <c r="T6" s="8">
        <v>439393472.21152401</v>
      </c>
      <c r="U6" s="8">
        <v>454464848.521263</v>
      </c>
      <c r="V6" s="8">
        <v>470054691.67546701</v>
      </c>
      <c r="W6" s="8">
        <v>485975961.70602602</v>
      </c>
      <c r="X6" s="8">
        <v>502185926.88426203</v>
      </c>
      <c r="Y6" s="8">
        <v>519070844.59436399</v>
      </c>
      <c r="Z6" s="8">
        <v>536037639.19379598</v>
      </c>
      <c r="AA6" s="8">
        <v>553316984.07715905</v>
      </c>
      <c r="AB6" s="8">
        <v>571304751.45037305</v>
      </c>
      <c r="AC6" s="8">
        <v>589657270.97220504</v>
      </c>
    </row>
    <row r="7" spans="1:29" x14ac:dyDescent="0.85">
      <c r="A7" t="s">
        <v>140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</row>
    <row r="8" spans="1:29" x14ac:dyDescent="0.85">
      <c r="A8" t="s">
        <v>141</v>
      </c>
      <c r="B8" s="8">
        <v>8816.18805221</v>
      </c>
      <c r="C8" s="8">
        <v>8802.6492019199995</v>
      </c>
      <c r="D8" s="8">
        <v>9051.7516043399992</v>
      </c>
      <c r="E8" s="8">
        <v>9448.6965570499997</v>
      </c>
      <c r="F8" s="8">
        <v>10668.613566509999</v>
      </c>
      <c r="G8" s="8">
        <v>12031.445734520001</v>
      </c>
      <c r="H8" s="8">
        <v>13554.911030990001</v>
      </c>
      <c r="I8" s="8">
        <v>15171.19955105</v>
      </c>
      <c r="J8" s="8">
        <v>16477.447041740001</v>
      </c>
      <c r="K8" s="8">
        <v>17995.445933930001</v>
      </c>
      <c r="L8" s="8">
        <v>19624.970222929998</v>
      </c>
      <c r="M8" s="8">
        <v>21350.56885575</v>
      </c>
      <c r="N8" s="8">
        <v>23185.75157271</v>
      </c>
      <c r="O8" s="8">
        <v>24820.71510134</v>
      </c>
      <c r="P8" s="8">
        <v>25562.236035689999</v>
      </c>
      <c r="Q8" s="8">
        <v>26279.44659951</v>
      </c>
      <c r="R8" s="8">
        <v>27021.221984479998</v>
      </c>
      <c r="S8" s="8">
        <v>27762.127197180002</v>
      </c>
      <c r="T8" s="8">
        <v>28563.914457020001</v>
      </c>
      <c r="U8" s="8">
        <v>29400.28743144</v>
      </c>
      <c r="V8" s="8">
        <v>30267.290938440001</v>
      </c>
      <c r="W8" s="8">
        <v>31150.423687250001</v>
      </c>
      <c r="X8" s="8">
        <v>32047.562502280001</v>
      </c>
      <c r="Y8" s="8">
        <v>32986.590996619998</v>
      </c>
      <c r="Z8" s="8">
        <v>33921.141898549999</v>
      </c>
      <c r="AA8" s="8">
        <v>34869.642255749997</v>
      </c>
      <c r="AB8" s="8">
        <v>35867.929917449997</v>
      </c>
      <c r="AC8" s="8">
        <v>36882.31523516</v>
      </c>
    </row>
    <row r="9" spans="1:29" x14ac:dyDescent="0.85">
      <c r="A9" t="s">
        <v>142</v>
      </c>
      <c r="B9" s="8">
        <v>4015.3697614799999</v>
      </c>
      <c r="C9" s="8">
        <v>4225.5272987600001</v>
      </c>
      <c r="D9" s="8">
        <v>4287.0659915099995</v>
      </c>
      <c r="E9" s="8">
        <v>4356.6088657</v>
      </c>
      <c r="F9" s="8">
        <v>4246.1188961899998</v>
      </c>
      <c r="G9" s="8">
        <v>4113.0431163100002</v>
      </c>
      <c r="H9" s="8">
        <v>3948.1512432499999</v>
      </c>
      <c r="I9" s="8">
        <v>3733.1497657800001</v>
      </c>
      <c r="J9" s="8">
        <v>3481.97187089</v>
      </c>
      <c r="K9" s="8">
        <v>3235.9704016400001</v>
      </c>
      <c r="L9" s="8">
        <v>3002.5344262100002</v>
      </c>
      <c r="M9" s="8">
        <v>2805.44268418</v>
      </c>
      <c r="N9" s="8">
        <v>2672.1147449199998</v>
      </c>
      <c r="O9" s="8">
        <v>2633.9695330200002</v>
      </c>
      <c r="P9" s="8">
        <v>2645.1656192199998</v>
      </c>
      <c r="Q9" s="8">
        <v>2680.9282942999998</v>
      </c>
      <c r="R9" s="8">
        <v>2709.6026576899999</v>
      </c>
      <c r="S9" s="8">
        <v>2760.10029239</v>
      </c>
      <c r="T9" s="8">
        <v>2806.7600128300001</v>
      </c>
      <c r="U9" s="8">
        <v>2844.49373178</v>
      </c>
      <c r="V9" s="8">
        <v>2883.5980496699999</v>
      </c>
      <c r="W9" s="8">
        <v>2925.2247716500001</v>
      </c>
      <c r="X9" s="8">
        <v>2970.3162884600001</v>
      </c>
      <c r="Y9" s="8">
        <v>3015.0858148000002</v>
      </c>
      <c r="Z9" s="8">
        <v>3061.88349664</v>
      </c>
      <c r="AA9" s="8">
        <v>3110.0297898399999</v>
      </c>
      <c r="AB9" s="8">
        <v>3163.52404652</v>
      </c>
      <c r="AC9" s="8">
        <v>3216.6396945199999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2257.0634737300002</v>
      </c>
      <c r="D11" s="8">
        <v>4536.47679204</v>
      </c>
      <c r="E11" s="8">
        <v>6668.8967997899999</v>
      </c>
      <c r="F11" s="8">
        <v>7938.2035309399998</v>
      </c>
      <c r="G11" s="8">
        <v>8541.2503217699996</v>
      </c>
      <c r="H11" s="8">
        <v>8576.7309432000002</v>
      </c>
      <c r="I11" s="8">
        <v>8676.4724153000006</v>
      </c>
      <c r="J11" s="8">
        <v>8533.9398639400006</v>
      </c>
      <c r="K11" s="8">
        <v>8040.3332410100002</v>
      </c>
      <c r="L11" s="8">
        <v>7209.0763072</v>
      </c>
      <c r="M11" s="8">
        <v>6143.3135533900004</v>
      </c>
      <c r="N11" s="8">
        <v>5002.4215317799999</v>
      </c>
      <c r="O11" s="8">
        <v>4240.4195179899998</v>
      </c>
      <c r="P11" s="8">
        <v>4449.16881964</v>
      </c>
      <c r="Q11" s="8">
        <v>4671.6331047200001</v>
      </c>
      <c r="R11" s="8">
        <v>4903.5875969600002</v>
      </c>
      <c r="S11" s="8">
        <v>5152.5435018400003</v>
      </c>
      <c r="T11" s="8">
        <v>5392.6009782900001</v>
      </c>
      <c r="U11" s="8">
        <v>5634.7346968900001</v>
      </c>
      <c r="V11" s="8">
        <v>5871.4956362499997</v>
      </c>
      <c r="W11" s="8">
        <v>6115.9960949699998</v>
      </c>
      <c r="X11" s="8">
        <v>6370.8955211800003</v>
      </c>
      <c r="Y11" s="8">
        <v>6612.2107091600001</v>
      </c>
      <c r="Z11" s="8">
        <v>6885.2698376799999</v>
      </c>
      <c r="AA11" s="8">
        <v>7174.7011146000004</v>
      </c>
      <c r="AB11" s="8">
        <v>7441.3222426800003</v>
      </c>
      <c r="AC11" s="8">
        <v>7724.6894073399999</v>
      </c>
    </row>
    <row r="12" spans="1:29" x14ac:dyDescent="0.85">
      <c r="A12" t="s">
        <v>144</v>
      </c>
      <c r="B12" s="8">
        <v>12831.55781369</v>
      </c>
      <c r="C12" s="8">
        <v>13028.17650068</v>
      </c>
      <c r="D12" s="8">
        <v>13338.817595840001</v>
      </c>
      <c r="E12" s="8">
        <v>13805.30542275</v>
      </c>
      <c r="F12" s="8">
        <v>14914.7324627</v>
      </c>
      <c r="G12" s="8">
        <v>16144.488850829999</v>
      </c>
      <c r="H12" s="8">
        <v>17503.062274240001</v>
      </c>
      <c r="I12" s="8">
        <v>18904.349316839998</v>
      </c>
      <c r="J12" s="8">
        <v>19959.418912630001</v>
      </c>
      <c r="K12" s="8">
        <v>21231.416335580001</v>
      </c>
      <c r="L12" s="8">
        <v>22627.504649139999</v>
      </c>
      <c r="M12" s="8">
        <v>24156.011539930001</v>
      </c>
      <c r="N12" s="8">
        <v>25857.86631763</v>
      </c>
      <c r="O12" s="8">
        <v>27454.684634360001</v>
      </c>
      <c r="P12" s="8">
        <v>28207.401654900001</v>
      </c>
      <c r="Q12" s="8">
        <v>28960.37489381</v>
      </c>
      <c r="R12" s="8">
        <v>29730.824642169999</v>
      </c>
      <c r="S12" s="8">
        <v>30522.227489569999</v>
      </c>
      <c r="T12" s="8">
        <v>31370.674469850001</v>
      </c>
      <c r="U12" s="8">
        <v>32244.781163219999</v>
      </c>
      <c r="V12" s="8">
        <v>33150.888988120001</v>
      </c>
      <c r="W12" s="8">
        <v>34075.64845891</v>
      </c>
      <c r="X12" s="8">
        <v>35017.878790739996</v>
      </c>
      <c r="Y12" s="8">
        <v>36001.676811429999</v>
      </c>
      <c r="Z12" s="8">
        <v>36983.025395190001</v>
      </c>
      <c r="AA12" s="8">
        <v>37979.672045589999</v>
      </c>
      <c r="AB12" s="8">
        <v>39031.453963979999</v>
      </c>
      <c r="AC12" s="8">
        <v>40098.954929680003</v>
      </c>
    </row>
    <row r="13" spans="1:29" x14ac:dyDescent="0.85">
      <c r="A13" t="s">
        <v>145</v>
      </c>
      <c r="B13" s="8">
        <v>12831.55781369</v>
      </c>
      <c r="C13" s="8">
        <v>15285.239974419999</v>
      </c>
      <c r="D13" s="8">
        <v>17875.29438788</v>
      </c>
      <c r="E13" s="8">
        <v>20474.20222255</v>
      </c>
      <c r="F13" s="8">
        <v>22852.93599364</v>
      </c>
      <c r="G13" s="8">
        <v>24685.739172599999</v>
      </c>
      <c r="H13" s="8">
        <v>26079.793217440001</v>
      </c>
      <c r="I13" s="8">
        <v>27580.82173213</v>
      </c>
      <c r="J13" s="8">
        <v>28493.358776569999</v>
      </c>
      <c r="K13" s="8">
        <v>29271.749576589998</v>
      </c>
      <c r="L13" s="8">
        <v>29836.580956329999</v>
      </c>
      <c r="M13" s="8">
        <v>30299.325093309999</v>
      </c>
      <c r="N13" s="8">
        <v>30860.28784941</v>
      </c>
      <c r="O13" s="8">
        <v>31695.104152349999</v>
      </c>
      <c r="P13" s="8">
        <v>32656.57047454</v>
      </c>
      <c r="Q13" s="8">
        <v>33632.007998530004</v>
      </c>
      <c r="R13" s="8">
        <v>34634.412239129997</v>
      </c>
      <c r="S13" s="8">
        <v>35674.770991409998</v>
      </c>
      <c r="T13" s="8">
        <v>36763.275448139997</v>
      </c>
      <c r="U13" s="8">
        <v>37879.515860109997</v>
      </c>
      <c r="V13" s="8">
        <v>39022.384624359998</v>
      </c>
      <c r="W13" s="8">
        <v>40191.644553880004</v>
      </c>
      <c r="X13" s="8">
        <v>41388.774311920002</v>
      </c>
      <c r="Y13" s="8">
        <v>42613.887520589997</v>
      </c>
      <c r="Z13" s="8">
        <v>43868.295232880002</v>
      </c>
      <c r="AA13" s="8">
        <v>45154.373160199997</v>
      </c>
      <c r="AB13" s="8">
        <v>46472.77620665</v>
      </c>
      <c r="AC13" s="8">
        <v>47823.64433702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7201</v>
      </c>
      <c r="C17" s="8">
        <v>7647.7978251699997</v>
      </c>
      <c r="D17" s="8">
        <v>8498.4215735100006</v>
      </c>
      <c r="E17" s="8">
        <v>9380.3515699300006</v>
      </c>
      <c r="F17" s="8">
        <v>10317.99828892</v>
      </c>
      <c r="G17" s="8">
        <v>11343.77787419</v>
      </c>
      <c r="H17" s="8">
        <v>12466.585990940001</v>
      </c>
      <c r="I17" s="8">
        <v>13696.195448799999</v>
      </c>
      <c r="J17" s="8">
        <v>15043.34717248</v>
      </c>
      <c r="K17" s="8">
        <v>16436.46674846</v>
      </c>
      <c r="L17" s="8">
        <v>17905.49921356</v>
      </c>
      <c r="M17" s="8">
        <v>19458.710896979999</v>
      </c>
      <c r="N17" s="8">
        <v>21100.504120369998</v>
      </c>
      <c r="O17" s="8">
        <v>22435.7545642</v>
      </c>
      <c r="P17" s="8">
        <v>24261.841305260001</v>
      </c>
      <c r="Q17" s="8">
        <v>24387.507824010001</v>
      </c>
      <c r="R17" s="8">
        <v>25372.915944560002</v>
      </c>
      <c r="S17" s="8">
        <v>24915.14407799</v>
      </c>
      <c r="T17" s="8">
        <v>25044.667300509998</v>
      </c>
      <c r="U17" s="8">
        <v>26020.299160679999</v>
      </c>
      <c r="V17" s="8">
        <v>27079.552652319999</v>
      </c>
      <c r="W17" s="8">
        <v>28098.17168829</v>
      </c>
      <c r="X17" s="8">
        <v>29002.207653810001</v>
      </c>
      <c r="Y17" s="8">
        <v>30128.127401450001</v>
      </c>
      <c r="Z17" s="8">
        <v>31160.320303119999</v>
      </c>
      <c r="AA17" s="8">
        <v>32204.213231189999</v>
      </c>
      <c r="AB17" s="8">
        <v>33126.300465150001</v>
      </c>
      <c r="AC17" s="8">
        <v>34180.579504560003</v>
      </c>
    </row>
    <row r="18" spans="1:29" x14ac:dyDescent="0.85">
      <c r="A18" t="s">
        <v>149</v>
      </c>
      <c r="B18" s="8">
        <v>12723958.25</v>
      </c>
      <c r="C18" s="8">
        <v>13513437.0548322</v>
      </c>
      <c r="D18" s="8">
        <v>15016464.559402799</v>
      </c>
      <c r="E18" s="8">
        <v>16574809.296785699</v>
      </c>
      <c r="F18" s="8">
        <v>18231603.867775001</v>
      </c>
      <c r="G18" s="8">
        <v>20044126.6585804</v>
      </c>
      <c r="H18" s="8">
        <v>22028096.051771902</v>
      </c>
      <c r="I18" s="8">
        <v>24200780.318611499</v>
      </c>
      <c r="J18" s="8">
        <v>26581158.361744702</v>
      </c>
      <c r="K18" s="8">
        <v>29042760.267312299</v>
      </c>
      <c r="L18" s="8">
        <v>31638498.047322299</v>
      </c>
      <c r="M18" s="8">
        <v>34382978.065823399</v>
      </c>
      <c r="N18" s="8">
        <v>37283979.0975613</v>
      </c>
      <c r="O18" s="8">
        <v>39643327.924199</v>
      </c>
      <c r="P18" s="8">
        <v>42869970.259169899</v>
      </c>
      <c r="Q18" s="8">
        <v>43092019.354851298</v>
      </c>
      <c r="R18" s="8">
        <v>44833206.937837496</v>
      </c>
      <c r="S18" s="8">
        <v>44024337.319962002</v>
      </c>
      <c r="T18" s="8">
        <v>44253201.099412397</v>
      </c>
      <c r="U18" s="8">
        <v>45977114.313701399</v>
      </c>
      <c r="V18" s="8">
        <v>47848784.5267061</v>
      </c>
      <c r="W18" s="8">
        <v>49648654.834481999</v>
      </c>
      <c r="X18" s="8">
        <v>51246060.1784335</v>
      </c>
      <c r="Y18" s="8">
        <v>53235527.733200997</v>
      </c>
      <c r="Z18" s="8">
        <v>55059382.668175697</v>
      </c>
      <c r="AA18" s="8">
        <v>56903911.210637197</v>
      </c>
      <c r="AB18" s="8">
        <v>58533212.6226267</v>
      </c>
      <c r="AC18" s="8">
        <v>60396093.122741297</v>
      </c>
    </row>
    <row r="19" spans="1:29" x14ac:dyDescent="0.85">
      <c r="A19" t="s">
        <v>150</v>
      </c>
      <c r="B19" s="8">
        <v>12723958.25</v>
      </c>
      <c r="C19" s="8">
        <v>13513437.0548322</v>
      </c>
      <c r="D19" s="8">
        <v>15016464.559402799</v>
      </c>
      <c r="E19" s="8">
        <v>16574809.296785699</v>
      </c>
      <c r="F19" s="8">
        <v>18231603.867775001</v>
      </c>
      <c r="G19" s="8">
        <v>20044126.6585804</v>
      </c>
      <c r="H19" s="8">
        <v>22028096.051771902</v>
      </c>
      <c r="I19" s="8">
        <v>24200780.318611499</v>
      </c>
      <c r="J19" s="8">
        <v>26581158.361744702</v>
      </c>
      <c r="K19" s="8">
        <v>29042760.267312299</v>
      </c>
      <c r="L19" s="8">
        <v>31638498.047322299</v>
      </c>
      <c r="M19" s="8">
        <v>34382978.065823399</v>
      </c>
      <c r="N19" s="8">
        <v>37283979.0975613</v>
      </c>
      <c r="O19" s="8">
        <v>39643327.924199</v>
      </c>
      <c r="P19" s="8">
        <v>42869970.259169899</v>
      </c>
      <c r="Q19" s="8">
        <v>43092019.354851298</v>
      </c>
      <c r="R19" s="8">
        <v>44833206.937837496</v>
      </c>
      <c r="S19" s="8">
        <v>44024337.319962002</v>
      </c>
      <c r="T19" s="8">
        <v>44253201.099412397</v>
      </c>
      <c r="U19" s="8">
        <v>45977114.313701399</v>
      </c>
      <c r="V19" s="8">
        <v>47848784.5267061</v>
      </c>
      <c r="W19" s="8">
        <v>49648654.834481999</v>
      </c>
      <c r="X19" s="8">
        <v>51246060.1784335</v>
      </c>
      <c r="Y19" s="8">
        <v>53235527.733200997</v>
      </c>
      <c r="Z19" s="8">
        <v>55059382.668175697</v>
      </c>
      <c r="AA19" s="8">
        <v>56903911.210637197</v>
      </c>
      <c r="AB19" s="8">
        <v>58533212.6226267</v>
      </c>
      <c r="AC19" s="8">
        <v>60396093.122741297</v>
      </c>
    </row>
    <row r="20" spans="1:29" x14ac:dyDescent="0.85">
      <c r="A20" t="s">
        <v>151</v>
      </c>
      <c r="B20" s="8">
        <v>710.11983278000002</v>
      </c>
      <c r="C20" s="8">
        <v>754.18037949999996</v>
      </c>
      <c r="D20" s="8">
        <v>838.06383929000003</v>
      </c>
      <c r="E20" s="8">
        <v>925.03453523999997</v>
      </c>
      <c r="F20" s="8">
        <v>1017.49968332</v>
      </c>
      <c r="G20" s="8">
        <v>1118.6559709999999</v>
      </c>
      <c r="H20" s="8">
        <v>1229.38063592</v>
      </c>
      <c r="I20" s="8">
        <v>1350.6374145100001</v>
      </c>
      <c r="J20" s="8">
        <v>1483.4855129299999</v>
      </c>
      <c r="K20" s="8">
        <v>1620.86668781</v>
      </c>
      <c r="L20" s="8">
        <v>1765.73394076</v>
      </c>
      <c r="M20" s="8">
        <v>1918.9024480400001</v>
      </c>
      <c r="N20" s="8">
        <v>2080.8063404499999</v>
      </c>
      <c r="O20" s="8">
        <v>2212.4808053699999</v>
      </c>
      <c r="P20" s="8">
        <v>2392.5586294499999</v>
      </c>
      <c r="Q20" s="8">
        <v>2404.9511148400002</v>
      </c>
      <c r="R20" s="8">
        <v>2502.1262085499998</v>
      </c>
      <c r="S20" s="8">
        <v>2456.9834670800001</v>
      </c>
      <c r="T20" s="8">
        <v>2469.7562776700001</v>
      </c>
      <c r="U20" s="8">
        <v>2565.9672946699998</v>
      </c>
      <c r="V20" s="8">
        <v>2670.4245801000002</v>
      </c>
      <c r="W20" s="8">
        <v>2770.8747369500002</v>
      </c>
      <c r="X20" s="8">
        <v>2860.0253922299999</v>
      </c>
      <c r="Y20" s="8">
        <v>2971.0569077</v>
      </c>
      <c r="Z20" s="8">
        <v>3072.84563854</v>
      </c>
      <c r="AA20" s="8">
        <v>3175.7881564499999</v>
      </c>
      <c r="AB20" s="8">
        <v>3266.7189205700001</v>
      </c>
      <c r="AC20" s="8">
        <v>3370.6856550699999</v>
      </c>
    </row>
    <row r="21" spans="1:29" x14ac:dyDescent="0.85">
      <c r="A21" t="s">
        <v>152</v>
      </c>
      <c r="B21" s="8">
        <v>0</v>
      </c>
      <c r="C21" s="8">
        <v>1.3513437100000001</v>
      </c>
      <c r="D21" s="8">
        <v>3.0032929099999999</v>
      </c>
      <c r="E21" s="8">
        <v>4.9724427899999997</v>
      </c>
      <c r="F21" s="8">
        <v>7.2926415499999999</v>
      </c>
      <c r="G21" s="8">
        <v>10.02206333</v>
      </c>
      <c r="H21" s="8">
        <v>13.21685763</v>
      </c>
      <c r="I21" s="8">
        <v>16.940546220000002</v>
      </c>
      <c r="J21" s="8">
        <v>21.264926689999999</v>
      </c>
      <c r="K21" s="8">
        <v>26.13848424</v>
      </c>
      <c r="L21" s="8">
        <v>31.638498049999999</v>
      </c>
      <c r="M21" s="8">
        <v>37.821275870000001</v>
      </c>
      <c r="N21" s="8">
        <v>44.74077492</v>
      </c>
      <c r="O21" s="8">
        <v>51.536326299999999</v>
      </c>
      <c r="P21" s="8">
        <v>60.017958360000002</v>
      </c>
      <c r="Q21" s="8">
        <v>64.638029029999998</v>
      </c>
      <c r="R21" s="8">
        <v>71.733131099999994</v>
      </c>
      <c r="S21" s="8">
        <v>74.841373439999998</v>
      </c>
      <c r="T21" s="8">
        <v>79.655761979999994</v>
      </c>
      <c r="U21" s="8">
        <v>87.356517199999999</v>
      </c>
      <c r="V21" s="8">
        <v>95.697569049999998</v>
      </c>
      <c r="W21" s="8">
        <v>104.26217515</v>
      </c>
      <c r="X21" s="8">
        <v>112.74133239</v>
      </c>
      <c r="Y21" s="8">
        <v>122.44171378999999</v>
      </c>
      <c r="Z21" s="8">
        <v>132.1425184</v>
      </c>
      <c r="AA21" s="8">
        <v>142.25977803000001</v>
      </c>
      <c r="AB21" s="8">
        <v>152.18635282</v>
      </c>
      <c r="AC21" s="8">
        <v>163.06945142999999</v>
      </c>
    </row>
    <row r="22" spans="1:29" x14ac:dyDescent="0.85">
      <c r="A22" t="s">
        <v>153</v>
      </c>
      <c r="B22" s="8">
        <v>6.3619789999999996E-2</v>
      </c>
      <c r="C22" s="8">
        <v>6.7567189999999999E-2</v>
      </c>
      <c r="D22" s="8">
        <v>7.5082319999999994E-2</v>
      </c>
      <c r="E22" s="8">
        <v>8.2874050000000005E-2</v>
      </c>
      <c r="F22" s="8">
        <v>9.1158020000000006E-2</v>
      </c>
      <c r="G22" s="8">
        <v>0.10022063</v>
      </c>
      <c r="H22" s="8">
        <v>0.11014048</v>
      </c>
      <c r="I22" s="8">
        <v>0.1210039</v>
      </c>
      <c r="J22" s="8">
        <v>0.13290579</v>
      </c>
      <c r="K22" s="8">
        <v>0.1452138</v>
      </c>
      <c r="L22" s="8">
        <v>0.15819248999999999</v>
      </c>
      <c r="M22" s="8">
        <v>0.17191488999999999</v>
      </c>
      <c r="N22" s="8">
        <v>0.1864199</v>
      </c>
      <c r="O22" s="8">
        <v>0.19821664</v>
      </c>
      <c r="P22" s="8">
        <v>0.21434985000000001</v>
      </c>
      <c r="Q22" s="8">
        <v>0.21546009999999999</v>
      </c>
      <c r="R22" s="8">
        <v>0.22416602999999999</v>
      </c>
      <c r="S22" s="8">
        <v>0.22012169000000001</v>
      </c>
      <c r="T22" s="8">
        <v>0.22126601000000001</v>
      </c>
      <c r="U22" s="8">
        <v>0.22988557000000001</v>
      </c>
      <c r="V22" s="8">
        <v>0.23924392</v>
      </c>
      <c r="W22" s="8">
        <v>0.24824326999999999</v>
      </c>
      <c r="X22" s="8">
        <v>0.25623030000000002</v>
      </c>
      <c r="Y22" s="8">
        <v>0.26617763999999999</v>
      </c>
      <c r="Z22" s="8">
        <v>0.27529691000000001</v>
      </c>
      <c r="AA22" s="8">
        <v>0.28451956</v>
      </c>
      <c r="AB22" s="8">
        <v>0.29266606000000001</v>
      </c>
      <c r="AC22" s="8">
        <v>0.30198047</v>
      </c>
    </row>
    <row r="23" spans="1:29" x14ac:dyDescent="0.85">
      <c r="A23" t="s">
        <v>154</v>
      </c>
      <c r="B23" s="8">
        <v>710.11983278000002</v>
      </c>
      <c r="C23" s="8">
        <v>754.18037949999996</v>
      </c>
      <c r="D23" s="8">
        <v>838.06383929000003</v>
      </c>
      <c r="E23" s="8">
        <v>925.03453523999997</v>
      </c>
      <c r="F23" s="8">
        <v>1017.49968332</v>
      </c>
      <c r="G23" s="8">
        <v>1118.6559709999999</v>
      </c>
      <c r="H23" s="8">
        <v>1229.38063592</v>
      </c>
      <c r="I23" s="8">
        <v>1350.6374145100001</v>
      </c>
      <c r="J23" s="8">
        <v>1483.4855129299999</v>
      </c>
      <c r="K23" s="8">
        <v>1620.86668781</v>
      </c>
      <c r="L23" s="8">
        <v>1765.73394076</v>
      </c>
      <c r="M23" s="8">
        <v>1918.9024480400001</v>
      </c>
      <c r="N23" s="8">
        <v>2080.8063404499999</v>
      </c>
      <c r="O23" s="8">
        <v>2212.4808053699999</v>
      </c>
      <c r="P23" s="8">
        <v>2392.5586294499999</v>
      </c>
      <c r="Q23" s="8">
        <v>2404.9511148400002</v>
      </c>
      <c r="R23" s="8">
        <v>2502.1262085499998</v>
      </c>
      <c r="S23" s="8">
        <v>2456.9834670800001</v>
      </c>
      <c r="T23" s="8">
        <v>2469.7562776700001</v>
      </c>
      <c r="U23" s="8">
        <v>2565.9672946699998</v>
      </c>
      <c r="V23" s="8">
        <v>2670.4245801000002</v>
      </c>
      <c r="W23" s="8">
        <v>2770.8747369500002</v>
      </c>
      <c r="X23" s="8">
        <v>2860.0253922299999</v>
      </c>
      <c r="Y23" s="8">
        <v>2971.0569077</v>
      </c>
      <c r="Z23" s="8">
        <v>3072.84563854</v>
      </c>
      <c r="AA23" s="8">
        <v>3175.7881564499999</v>
      </c>
      <c r="AB23" s="8">
        <v>3266.7189205700001</v>
      </c>
      <c r="AC23" s="8">
        <v>3370.6856550699999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1.0986689300000001</v>
      </c>
      <c r="E25" s="8">
        <v>1.14190002</v>
      </c>
      <c r="F25" s="8">
        <v>1.1378782000000001</v>
      </c>
      <c r="G25" s="8">
        <v>1.1373174399999999</v>
      </c>
      <c r="H25" s="8">
        <v>1.1368659699999999</v>
      </c>
      <c r="I25" s="8">
        <v>1.13650633</v>
      </c>
      <c r="J25" s="8">
        <v>1.13622402</v>
      </c>
      <c r="K25" s="8">
        <v>1.13027313</v>
      </c>
      <c r="L25" s="8">
        <v>1.1269311200000001</v>
      </c>
      <c r="M25" s="8">
        <v>1.1242089200000001</v>
      </c>
      <c r="N25" s="8">
        <v>1.1217553499999999</v>
      </c>
      <c r="O25" s="8">
        <v>1.1196086300000001</v>
      </c>
      <c r="P25" s="8">
        <v>1.0999453400000001</v>
      </c>
      <c r="Q25" s="8">
        <v>1.11480566</v>
      </c>
      <c r="R25" s="8">
        <v>1.03984096</v>
      </c>
      <c r="S25" s="8">
        <v>1.0762823399999999</v>
      </c>
      <c r="T25" s="8">
        <v>1.0158188800000001</v>
      </c>
      <c r="U25" s="8">
        <v>1.03986059</v>
      </c>
      <c r="V25" s="8">
        <v>1.07478173</v>
      </c>
      <c r="W25" s="8">
        <v>1.0765952400000001</v>
      </c>
      <c r="X25" s="8">
        <v>1.0733956600000001</v>
      </c>
      <c r="Y25" s="8">
        <v>1.0677664099999999</v>
      </c>
      <c r="Z25" s="8">
        <v>1.0746433099999999</v>
      </c>
      <c r="AA25" s="8">
        <v>1.0699242499999999</v>
      </c>
      <c r="AB25" s="8">
        <v>1.0691386700000001</v>
      </c>
      <c r="AC25" s="8">
        <v>1.0641025900000001</v>
      </c>
    </row>
    <row r="26" spans="1:29" x14ac:dyDescent="0.85">
      <c r="A26" t="s">
        <v>157</v>
      </c>
      <c r="B26" s="8">
        <v>1</v>
      </c>
      <c r="C26" s="8">
        <v>1.0986689300000001</v>
      </c>
      <c r="D26" s="8">
        <v>1.1495427600000001</v>
      </c>
      <c r="E26" s="8">
        <v>1.14183697</v>
      </c>
      <c r="F26" s="8">
        <v>1.1378881999999999</v>
      </c>
      <c r="G26" s="8">
        <v>1.13732744</v>
      </c>
      <c r="H26" s="8">
        <v>1.1368759500000001</v>
      </c>
      <c r="I26" s="8">
        <v>1.1365162900000001</v>
      </c>
      <c r="J26" s="8">
        <v>1.1362340200000001</v>
      </c>
      <c r="K26" s="8">
        <v>1.13028313</v>
      </c>
      <c r="L26" s="8">
        <v>1.1269411199999999</v>
      </c>
      <c r="M26" s="8">
        <v>1.1242189199999999</v>
      </c>
      <c r="N26" s="8">
        <v>1.12176535</v>
      </c>
      <c r="O26" s="8">
        <v>1.0999453400000001</v>
      </c>
      <c r="P26" s="8">
        <v>1.11868119</v>
      </c>
      <c r="Q26" s="8">
        <v>1.03984096</v>
      </c>
      <c r="R26" s="8">
        <v>1.0762823399999999</v>
      </c>
      <c r="S26" s="8">
        <v>1.0158188800000001</v>
      </c>
      <c r="T26" s="8">
        <v>1.03986059</v>
      </c>
      <c r="U26" s="8">
        <v>1.07478173</v>
      </c>
      <c r="V26" s="8">
        <v>1.0765952400000001</v>
      </c>
      <c r="W26" s="8">
        <v>1.0733956600000001</v>
      </c>
      <c r="X26" s="8">
        <v>1.0677664099999999</v>
      </c>
      <c r="Y26" s="8">
        <v>1.0746433099999999</v>
      </c>
      <c r="Z26" s="8">
        <v>1.0699242499999999</v>
      </c>
      <c r="AA26" s="8">
        <v>1.0691386700000001</v>
      </c>
      <c r="AB26" s="8">
        <v>1.0641025900000001</v>
      </c>
      <c r="AC26" s="8">
        <v>1.0674062499999999</v>
      </c>
    </row>
    <row r="27" spans="1:29" x14ac:dyDescent="0.85">
      <c r="A27" t="s">
        <v>158</v>
      </c>
      <c r="B27" s="8">
        <v>1</v>
      </c>
      <c r="C27" s="8">
        <v>1.15549536</v>
      </c>
      <c r="D27" s="8">
        <v>1.1495427600000001</v>
      </c>
      <c r="E27" s="8">
        <v>1.1419100200000001</v>
      </c>
      <c r="F27" s="8">
        <v>1.1378881999999999</v>
      </c>
      <c r="G27" s="8">
        <v>1.13732744</v>
      </c>
      <c r="H27" s="8">
        <v>1.13687597</v>
      </c>
      <c r="I27" s="8">
        <v>1.1365163300000001</v>
      </c>
      <c r="J27" s="8">
        <v>1.1362340200000001</v>
      </c>
      <c r="K27" s="8">
        <v>1.13028313</v>
      </c>
      <c r="L27" s="8">
        <v>1.1269411199999999</v>
      </c>
      <c r="M27" s="8">
        <v>1.1242189199999999</v>
      </c>
      <c r="N27" s="8">
        <v>1.12176535</v>
      </c>
      <c r="O27" s="8">
        <v>1.1196186299999999</v>
      </c>
      <c r="P27" s="8">
        <v>1.11868119</v>
      </c>
      <c r="Q27" s="8">
        <v>1.1148156600000001</v>
      </c>
      <c r="R27" s="8">
        <v>1.11697665</v>
      </c>
      <c r="S27" s="8">
        <v>1.1162564399999999</v>
      </c>
      <c r="T27" s="8">
        <v>1.1204830100000001</v>
      </c>
      <c r="U27" s="8">
        <v>1.12294023</v>
      </c>
      <c r="V27" s="8">
        <v>1.1224849699999999</v>
      </c>
      <c r="W27" s="8">
        <v>1.1218735099999999</v>
      </c>
      <c r="X27" s="8">
        <v>1.1214962399999999</v>
      </c>
      <c r="Y27" s="8">
        <v>1.12154723</v>
      </c>
      <c r="Z27" s="8">
        <v>1.1210400599999999</v>
      </c>
      <c r="AA27" s="8">
        <v>1.1208632300000001</v>
      </c>
      <c r="AB27" s="8">
        <v>1.12071977</v>
      </c>
      <c r="AC27" s="8">
        <v>1.1209972399999999</v>
      </c>
    </row>
    <row r="28" spans="1:29" x14ac:dyDescent="0.85">
      <c r="A28" t="s">
        <v>159</v>
      </c>
      <c r="B28" s="8">
        <v>13708</v>
      </c>
      <c r="C28" s="8">
        <v>13196.64421266</v>
      </c>
      <c r="D28" s="8">
        <v>14272.902665170001</v>
      </c>
      <c r="E28" s="8">
        <v>15393.51868759</v>
      </c>
      <c r="F28" s="8">
        <v>16586.125604839999</v>
      </c>
      <c r="G28" s="8">
        <v>17897.430918729999</v>
      </c>
      <c r="H28" s="8">
        <v>19339.1169768</v>
      </c>
      <c r="I28" s="8">
        <v>20924.227241920002</v>
      </c>
      <c r="J28" s="8">
        <v>22667.095725290001</v>
      </c>
      <c r="K28" s="8">
        <v>24465.46735309</v>
      </c>
      <c r="L28" s="8">
        <v>26361.481450269999</v>
      </c>
      <c r="M28" s="8">
        <v>28366.3110911</v>
      </c>
      <c r="N28" s="8">
        <v>30485.59141764</v>
      </c>
      <c r="O28" s="8">
        <v>32727.409093990002</v>
      </c>
      <c r="P28" s="8">
        <v>35075.810435779997</v>
      </c>
      <c r="Q28" s="8">
        <v>37493.597084269997</v>
      </c>
      <c r="R28" s="8">
        <v>39949.500574450001</v>
      </c>
      <c r="S28" s="8">
        <v>42460.064718709997</v>
      </c>
      <c r="T28" s="8">
        <v>45002.199515510001</v>
      </c>
      <c r="U28" s="8">
        <v>47593.462641849997</v>
      </c>
      <c r="V28" s="8">
        <v>50252.028690370003</v>
      </c>
      <c r="W28" s="8">
        <v>52981.168322589998</v>
      </c>
      <c r="X28" s="8">
        <v>55781.014601310002</v>
      </c>
      <c r="Y28" s="8">
        <v>58650.186348310002</v>
      </c>
      <c r="Z28" s="8">
        <v>61595.203147610002</v>
      </c>
      <c r="AA28" s="8">
        <v>64614.116035500003</v>
      </c>
      <c r="AB28" s="8">
        <v>67707.970594209997</v>
      </c>
      <c r="AC28" s="8">
        <v>70877.115017050004</v>
      </c>
    </row>
    <row r="29" spans="1:29" x14ac:dyDescent="0.85">
      <c r="A29" t="s">
        <v>160</v>
      </c>
      <c r="B29" s="8">
        <v>47657998</v>
      </c>
      <c r="C29" s="8">
        <v>45880189.925115898</v>
      </c>
      <c r="D29" s="8">
        <v>49621970.139412299</v>
      </c>
      <c r="E29" s="8">
        <v>53517966.357335702</v>
      </c>
      <c r="F29" s="8">
        <v>57664250.138822399</v>
      </c>
      <c r="G29" s="8">
        <v>62223207.392037198</v>
      </c>
      <c r="H29" s="8">
        <v>67235453.618478</v>
      </c>
      <c r="I29" s="8">
        <v>72746336.449294299</v>
      </c>
      <c r="J29" s="8">
        <v>78805690.307966098</v>
      </c>
      <c r="K29" s="8">
        <v>85058009.4968393</v>
      </c>
      <c r="L29" s="8">
        <v>91649797.945277005</v>
      </c>
      <c r="M29" s="8">
        <v>98619900.587033793</v>
      </c>
      <c r="N29" s="8">
        <v>105987908.871498</v>
      </c>
      <c r="O29" s="8">
        <v>113781937.34654599</v>
      </c>
      <c r="P29" s="8">
        <v>121946520.542524</v>
      </c>
      <c r="Q29" s="8">
        <v>130352332.568931</v>
      </c>
      <c r="R29" s="8">
        <v>138890663.73491901</v>
      </c>
      <c r="S29" s="8">
        <v>147619031.182111</v>
      </c>
      <c r="T29" s="8">
        <v>156457158.922234</v>
      </c>
      <c r="U29" s="8">
        <v>165466088.95523599</v>
      </c>
      <c r="V29" s="8">
        <v>174709008.084463</v>
      </c>
      <c r="W29" s="8">
        <v>184197287.27426699</v>
      </c>
      <c r="X29" s="8">
        <v>193931389.13826799</v>
      </c>
      <c r="Y29" s="8">
        <v>203906511.795102</v>
      </c>
      <c r="Z29" s="8">
        <v>214145321.594585</v>
      </c>
      <c r="AA29" s="8">
        <v>224641042.66060999</v>
      </c>
      <c r="AB29" s="8">
        <v>235397310.12277699</v>
      </c>
      <c r="AC29" s="8">
        <v>246415334.52936399</v>
      </c>
    </row>
    <row r="30" spans="1:29" x14ac:dyDescent="0.85">
      <c r="A30" t="s">
        <v>161</v>
      </c>
      <c r="B30" s="8">
        <v>47657998</v>
      </c>
      <c r="C30" s="8">
        <v>45880189.925115898</v>
      </c>
      <c r="D30" s="8">
        <v>49621970.139412299</v>
      </c>
      <c r="E30" s="8">
        <v>53517966.357335702</v>
      </c>
      <c r="F30" s="8">
        <v>57664250.138822399</v>
      </c>
      <c r="G30" s="8">
        <v>62223207.392037198</v>
      </c>
      <c r="H30" s="8">
        <v>67235453.618478</v>
      </c>
      <c r="I30" s="8">
        <v>72746336.449294299</v>
      </c>
      <c r="J30" s="8">
        <v>78805690.307966098</v>
      </c>
      <c r="K30" s="8">
        <v>85058009.4968393</v>
      </c>
      <c r="L30" s="8">
        <v>91649797.945277005</v>
      </c>
      <c r="M30" s="8">
        <v>98619900.587033793</v>
      </c>
      <c r="N30" s="8">
        <v>105987908.871498</v>
      </c>
      <c r="O30" s="8">
        <v>113781937.34654599</v>
      </c>
      <c r="P30" s="8">
        <v>121946520.542524</v>
      </c>
      <c r="Q30" s="8">
        <v>130352332.568931</v>
      </c>
      <c r="R30" s="8">
        <v>138890663.73491901</v>
      </c>
      <c r="S30" s="8">
        <v>147619031.182111</v>
      </c>
      <c r="T30" s="8">
        <v>156457158.922234</v>
      </c>
      <c r="U30" s="8">
        <v>165466088.95523599</v>
      </c>
      <c r="V30" s="8">
        <v>174709008.084463</v>
      </c>
      <c r="W30" s="8">
        <v>184197287.27426699</v>
      </c>
      <c r="X30" s="8">
        <v>193931389.13826799</v>
      </c>
      <c r="Y30" s="8">
        <v>203906511.795102</v>
      </c>
      <c r="Z30" s="8">
        <v>214145321.594585</v>
      </c>
      <c r="AA30" s="8">
        <v>224641042.66060999</v>
      </c>
      <c r="AB30" s="8">
        <v>235397310.12277699</v>
      </c>
      <c r="AC30" s="8">
        <v>246415334.52936399</v>
      </c>
    </row>
    <row r="31" spans="1:29" x14ac:dyDescent="0.85">
      <c r="A31" t="s">
        <v>162</v>
      </c>
      <c r="B31" s="8">
        <v>2144.95543916</v>
      </c>
      <c r="C31" s="8">
        <v>2064.9411863599998</v>
      </c>
      <c r="D31" s="8">
        <v>2233.3484245899999</v>
      </c>
      <c r="E31" s="8">
        <v>2408.69650108</v>
      </c>
      <c r="F31" s="8">
        <v>2595.3093325599998</v>
      </c>
      <c r="G31" s="8">
        <v>2800.4954622300002</v>
      </c>
      <c r="H31" s="8">
        <v>3026.0828821099999</v>
      </c>
      <c r="I31" s="8">
        <v>3274.1125643999999</v>
      </c>
      <c r="J31" s="8">
        <v>3546.8274194599999</v>
      </c>
      <c r="K31" s="8">
        <v>3828.22711342</v>
      </c>
      <c r="L31" s="8">
        <v>4124.90538526</v>
      </c>
      <c r="M31" s="8">
        <v>4438.6105386500003</v>
      </c>
      <c r="N31" s="8">
        <v>4770.22433086</v>
      </c>
      <c r="O31" s="8">
        <v>5121.0121203600002</v>
      </c>
      <c r="P31" s="8">
        <v>5488.4775588900002</v>
      </c>
      <c r="Q31" s="8">
        <v>5866.8000437500004</v>
      </c>
      <c r="R31" s="8">
        <v>6251.0868506699999</v>
      </c>
      <c r="S31" s="8">
        <v>6643.9266680500004</v>
      </c>
      <c r="T31" s="8">
        <v>7041.7064943900004</v>
      </c>
      <c r="U31" s="8">
        <v>7447.1736622600001</v>
      </c>
      <c r="V31" s="8">
        <v>7863.1720359199999</v>
      </c>
      <c r="W31" s="8">
        <v>8290.2133912200006</v>
      </c>
      <c r="X31" s="8">
        <v>8728.3185491099994</v>
      </c>
      <c r="Y31" s="8">
        <v>9177.2713901200004</v>
      </c>
      <c r="Z31" s="8">
        <v>9638.0920643299996</v>
      </c>
      <c r="AA31" s="8">
        <v>10110.47560819</v>
      </c>
      <c r="AB31" s="8">
        <v>10594.585628889999</v>
      </c>
      <c r="AC31" s="8">
        <v>11090.47660987</v>
      </c>
    </row>
    <row r="32" spans="1:29" x14ac:dyDescent="0.85">
      <c r="A32" t="s">
        <v>163</v>
      </c>
      <c r="B32" s="8">
        <v>0</v>
      </c>
      <c r="C32" s="8">
        <v>3.6704151899999999</v>
      </c>
      <c r="D32" s="8">
        <v>7.9395152199999997</v>
      </c>
      <c r="E32" s="8">
        <v>12.84431193</v>
      </c>
      <c r="F32" s="8">
        <v>18.452560040000002</v>
      </c>
      <c r="G32" s="8">
        <v>24.889282959999999</v>
      </c>
      <c r="H32" s="8">
        <v>32.27301774</v>
      </c>
      <c r="I32" s="8">
        <v>40.737948410000001</v>
      </c>
      <c r="J32" s="8">
        <v>50.435641799999999</v>
      </c>
      <c r="K32" s="8">
        <v>61.241766839999997</v>
      </c>
      <c r="L32" s="8">
        <v>73.319838360000006</v>
      </c>
      <c r="M32" s="8">
        <v>86.785512519999997</v>
      </c>
      <c r="N32" s="8">
        <v>101.74839252</v>
      </c>
      <c r="O32" s="8">
        <v>118.33321484</v>
      </c>
      <c r="P32" s="8">
        <v>136.58010300999999</v>
      </c>
      <c r="Q32" s="8">
        <v>156.42279908</v>
      </c>
      <c r="R32" s="8">
        <v>177.78004958</v>
      </c>
      <c r="S32" s="8">
        <v>200.76188241</v>
      </c>
      <c r="T32" s="8">
        <v>225.29830885000001</v>
      </c>
      <c r="U32" s="8">
        <v>251.50845520999999</v>
      </c>
      <c r="V32" s="8">
        <v>279.53441293999998</v>
      </c>
      <c r="W32" s="8">
        <v>309.45144262000002</v>
      </c>
      <c r="X32" s="8">
        <v>341.31924487999999</v>
      </c>
      <c r="Y32" s="8">
        <v>375.18798170000002</v>
      </c>
      <c r="Z32" s="8">
        <v>411.15901745999997</v>
      </c>
      <c r="AA32" s="8">
        <v>449.28208532000002</v>
      </c>
      <c r="AB32" s="8">
        <v>489.62640506000002</v>
      </c>
      <c r="AC32" s="8">
        <v>532.25712257999999</v>
      </c>
    </row>
    <row r="33" spans="1:29" x14ac:dyDescent="0.85">
      <c r="A33" t="s">
        <v>164</v>
      </c>
      <c r="B33" s="8">
        <v>0.19063199</v>
      </c>
      <c r="C33" s="8">
        <v>0.18352076</v>
      </c>
      <c r="D33" s="8">
        <v>0.19848788000000001</v>
      </c>
      <c r="E33" s="8">
        <v>0.21407187</v>
      </c>
      <c r="F33" s="8">
        <v>0.230657</v>
      </c>
      <c r="G33" s="8">
        <v>0.24889283000000001</v>
      </c>
      <c r="H33" s="8">
        <v>0.26894181</v>
      </c>
      <c r="I33" s="8">
        <v>0.29098534999999998</v>
      </c>
      <c r="J33" s="8">
        <v>0.31522275999999999</v>
      </c>
      <c r="K33" s="8">
        <v>0.34023204000000001</v>
      </c>
      <c r="L33" s="8">
        <v>0.36659919000000002</v>
      </c>
      <c r="M33" s="8">
        <v>0.39447959999999999</v>
      </c>
      <c r="N33" s="8">
        <v>0.42395164000000002</v>
      </c>
      <c r="O33" s="8">
        <v>0.45512775</v>
      </c>
      <c r="P33" s="8">
        <v>0.48778608000000001</v>
      </c>
      <c r="Q33" s="8">
        <v>0.52140933</v>
      </c>
      <c r="R33" s="8">
        <v>0.55556265000000005</v>
      </c>
      <c r="S33" s="8">
        <v>0.59047612000000005</v>
      </c>
      <c r="T33" s="8">
        <v>0.62582864000000005</v>
      </c>
      <c r="U33" s="8">
        <v>0.66186436000000004</v>
      </c>
      <c r="V33" s="8">
        <v>0.69883603000000005</v>
      </c>
      <c r="W33" s="8">
        <v>0.73678915</v>
      </c>
      <c r="X33" s="8">
        <v>0.77572556000000004</v>
      </c>
      <c r="Y33" s="8">
        <v>0.81562604999999999</v>
      </c>
      <c r="Z33" s="8">
        <v>0.85658129000000005</v>
      </c>
      <c r="AA33" s="8">
        <v>0.89856417</v>
      </c>
      <c r="AB33" s="8">
        <v>0.94158923999999999</v>
      </c>
      <c r="AC33" s="8">
        <v>0.98566134000000005</v>
      </c>
    </row>
    <row r="34" spans="1:29" x14ac:dyDescent="0.85">
      <c r="A34" t="s">
        <v>165</v>
      </c>
      <c r="B34" s="8">
        <v>2144.95543916</v>
      </c>
      <c r="C34" s="8">
        <v>2064.9411863599998</v>
      </c>
      <c r="D34" s="8">
        <v>2233.3484245899999</v>
      </c>
      <c r="E34" s="8">
        <v>2408.69650108</v>
      </c>
      <c r="F34" s="8">
        <v>2595.3093325599998</v>
      </c>
      <c r="G34" s="8">
        <v>2800.4954622300002</v>
      </c>
      <c r="H34" s="8">
        <v>3026.0828821099999</v>
      </c>
      <c r="I34" s="8">
        <v>3274.1125643999999</v>
      </c>
      <c r="J34" s="8">
        <v>3546.8274194599999</v>
      </c>
      <c r="K34" s="8">
        <v>3828.22711342</v>
      </c>
      <c r="L34" s="8">
        <v>4124.90538526</v>
      </c>
      <c r="M34" s="8">
        <v>4438.6105386500003</v>
      </c>
      <c r="N34" s="8">
        <v>4770.22433086</v>
      </c>
      <c r="O34" s="8">
        <v>5121.0121203600002</v>
      </c>
      <c r="P34" s="8">
        <v>5488.4775588900002</v>
      </c>
      <c r="Q34" s="8">
        <v>5866.8000437500004</v>
      </c>
      <c r="R34" s="8">
        <v>6251.0868506699999</v>
      </c>
      <c r="S34" s="8">
        <v>6643.9266680500004</v>
      </c>
      <c r="T34" s="8">
        <v>7041.7064943900004</v>
      </c>
      <c r="U34" s="8">
        <v>7447.1736622600001</v>
      </c>
      <c r="V34" s="8">
        <v>7863.1720359199999</v>
      </c>
      <c r="W34" s="8">
        <v>8290.2133912200006</v>
      </c>
      <c r="X34" s="8">
        <v>8728.3185491099994</v>
      </c>
      <c r="Y34" s="8">
        <v>9177.2713901200004</v>
      </c>
      <c r="Z34" s="8">
        <v>9638.0920643299996</v>
      </c>
      <c r="AA34" s="8">
        <v>10110.47560819</v>
      </c>
      <c r="AB34" s="8">
        <v>10594.585628889999</v>
      </c>
      <c r="AC34" s="8">
        <v>11090.47660987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1.0028089</v>
      </c>
      <c r="E36" s="8">
        <v>1.1234416</v>
      </c>
      <c r="F36" s="8">
        <v>1.12237195</v>
      </c>
      <c r="G36" s="8">
        <v>1.12236939</v>
      </c>
      <c r="H36" s="8">
        <v>1.1240212199999999</v>
      </c>
      <c r="I36" s="8">
        <v>1.1255757099999999</v>
      </c>
      <c r="J36" s="8">
        <v>1.1270457700000001</v>
      </c>
      <c r="K36" s="8">
        <v>1.12430086</v>
      </c>
      <c r="L36" s="8">
        <v>1.1223832899999999</v>
      </c>
      <c r="M36" s="8">
        <v>1.1208769599999999</v>
      </c>
      <c r="N36" s="8">
        <v>1.1194808199999999</v>
      </c>
      <c r="O36" s="8">
        <v>1.11825767</v>
      </c>
      <c r="P36" s="8">
        <v>1.11640293</v>
      </c>
      <c r="Q36" s="8">
        <v>1.1134590799999999</v>
      </c>
      <c r="R36" s="8">
        <v>1.1098878599999999</v>
      </c>
      <c r="S36" s="8">
        <v>1.10711859</v>
      </c>
      <c r="T36" s="8">
        <v>1.10402249</v>
      </c>
      <c r="U36" s="8">
        <v>1.1016366799999999</v>
      </c>
      <c r="V36" s="8">
        <v>1.0998440599999999</v>
      </c>
      <c r="W36" s="8">
        <v>1.0982285899999999</v>
      </c>
      <c r="X36" s="8">
        <v>1.0967046499999999</v>
      </c>
      <c r="Y36" s="8">
        <v>1.0952362</v>
      </c>
      <c r="Z36" s="8">
        <v>1.0939621399999999</v>
      </c>
      <c r="AA36" s="8">
        <v>1.0927109800000001</v>
      </c>
      <c r="AB36" s="8">
        <v>1.0915337700000001</v>
      </c>
      <c r="AC36" s="8">
        <v>1.0904130000000001</v>
      </c>
    </row>
    <row r="37" spans="1:29" x14ac:dyDescent="0.85">
      <c r="A37" t="s">
        <v>168</v>
      </c>
      <c r="B37" s="8">
        <v>1</v>
      </c>
      <c r="C37" s="8">
        <v>1.0028089</v>
      </c>
      <c r="D37" s="8">
        <v>1.12662028</v>
      </c>
      <c r="E37" s="8">
        <v>1.1234516000000001</v>
      </c>
      <c r="F37" s="8">
        <v>1.12236939</v>
      </c>
      <c r="G37" s="8">
        <v>1.1240212199999999</v>
      </c>
      <c r="H37" s="8">
        <v>1.1255757099999999</v>
      </c>
      <c r="I37" s="8">
        <v>1.1270457700000001</v>
      </c>
      <c r="J37" s="8">
        <v>1.12843154</v>
      </c>
      <c r="K37" s="8">
        <v>1.12431086</v>
      </c>
      <c r="L37" s="8">
        <v>1.12239329</v>
      </c>
      <c r="M37" s="8">
        <v>1.12088696</v>
      </c>
      <c r="N37" s="8">
        <v>1.1194907999999999</v>
      </c>
      <c r="O37" s="8">
        <v>1.11826767</v>
      </c>
      <c r="P37" s="8">
        <v>1.1164129300000001</v>
      </c>
      <c r="Q37" s="8">
        <v>1.11346908</v>
      </c>
      <c r="R37" s="8">
        <v>1.10989786</v>
      </c>
      <c r="S37" s="8">
        <v>1.1071285900000001</v>
      </c>
      <c r="T37" s="8">
        <v>1.10403249</v>
      </c>
      <c r="U37" s="8">
        <v>1.10164668</v>
      </c>
      <c r="V37" s="8">
        <v>1.09985406</v>
      </c>
      <c r="W37" s="8">
        <v>1.09823859</v>
      </c>
      <c r="X37" s="8">
        <v>1.09671465</v>
      </c>
      <c r="Y37" s="8">
        <v>1.0952462000000001</v>
      </c>
      <c r="Z37" s="8">
        <v>1.09397214</v>
      </c>
      <c r="AA37" s="8">
        <v>1.09272098</v>
      </c>
      <c r="AB37" s="8">
        <v>1.0915437699999999</v>
      </c>
      <c r="AC37" s="8">
        <v>1.0904229999999999</v>
      </c>
    </row>
    <row r="38" spans="1:29" x14ac:dyDescent="0.85">
      <c r="A38" t="s">
        <v>169</v>
      </c>
      <c r="B38" s="8">
        <v>1</v>
      </c>
      <c r="C38" s="8">
        <v>1.1214413400000001</v>
      </c>
      <c r="D38" s="8">
        <v>1.1269936199999999</v>
      </c>
      <c r="E38" s="8">
        <v>1.1234516000000001</v>
      </c>
      <c r="F38" s="8">
        <v>1.1223819500000001</v>
      </c>
      <c r="G38" s="8">
        <v>1.1240212199999999</v>
      </c>
      <c r="H38" s="8">
        <v>1.12557573</v>
      </c>
      <c r="I38" s="8">
        <v>1.1270457700000001</v>
      </c>
      <c r="J38" s="8">
        <v>1.12843154</v>
      </c>
      <c r="K38" s="8">
        <v>1.12431086</v>
      </c>
      <c r="L38" s="8">
        <v>1.12239329</v>
      </c>
      <c r="M38" s="8">
        <v>1.12088696</v>
      </c>
      <c r="N38" s="8">
        <v>1.11949082</v>
      </c>
      <c r="O38" s="8">
        <v>1.11826767</v>
      </c>
      <c r="P38" s="8">
        <v>1.1164129300000001</v>
      </c>
      <c r="Q38" s="8">
        <v>1.11346908</v>
      </c>
      <c r="R38" s="8">
        <v>1.10989786</v>
      </c>
      <c r="S38" s="8">
        <v>1.1071285900000001</v>
      </c>
      <c r="T38" s="8">
        <v>1.10403249</v>
      </c>
      <c r="U38" s="8">
        <v>1.10164668</v>
      </c>
      <c r="V38" s="8">
        <v>1.09985406</v>
      </c>
      <c r="W38" s="8">
        <v>1.09823859</v>
      </c>
      <c r="X38" s="8">
        <v>1.09671465</v>
      </c>
      <c r="Y38" s="8">
        <v>1.0952462000000001</v>
      </c>
      <c r="Z38" s="8">
        <v>1.09397214</v>
      </c>
      <c r="AA38" s="8">
        <v>1.09272098</v>
      </c>
      <c r="AB38" s="8">
        <v>1.0915437699999999</v>
      </c>
      <c r="AC38" s="8">
        <v>1.0904229999999999</v>
      </c>
    </row>
    <row r="39" spans="1:29" x14ac:dyDescent="0.85">
      <c r="A39" t="s">
        <v>170</v>
      </c>
      <c r="B39" s="8">
        <v>1182</v>
      </c>
      <c r="C39" s="8">
        <v>1152.62862002</v>
      </c>
      <c r="D39" s="8">
        <v>1124.13210572</v>
      </c>
      <c r="E39" s="8">
        <v>1096.02880308</v>
      </c>
      <c r="F39" s="8">
        <v>2767.4608500899999</v>
      </c>
      <c r="G39" s="8">
        <v>4588.5998394899998</v>
      </c>
      <c r="H39" s="8">
        <v>6574.5183225700002</v>
      </c>
      <c r="I39" s="8">
        <v>8741.7774783799996</v>
      </c>
      <c r="J39" s="8">
        <v>11108.5802191</v>
      </c>
      <c r="K39" s="8">
        <v>13564.09542749</v>
      </c>
      <c r="L39" s="8">
        <v>16155.835634180001</v>
      </c>
      <c r="M39" s="8">
        <v>18897.691091230001</v>
      </c>
      <c r="N39" s="8">
        <v>21797.5936267</v>
      </c>
      <c r="O39" s="8">
        <v>24282.674636430002</v>
      </c>
      <c r="P39" s="8">
        <v>24734.591646749999</v>
      </c>
      <c r="Q39" s="8">
        <v>25432.762162020001</v>
      </c>
      <c r="R39" s="8">
        <v>25998.170581449998</v>
      </c>
      <c r="S39" s="8">
        <v>26789.867988739999</v>
      </c>
      <c r="T39" s="8">
        <v>27538.845675299999</v>
      </c>
      <c r="U39" s="8">
        <v>28160.674121700002</v>
      </c>
      <c r="V39" s="8">
        <v>28800.441799749999</v>
      </c>
      <c r="W39" s="8">
        <v>29452.34500497</v>
      </c>
      <c r="X39" s="8">
        <v>30127.262828269999</v>
      </c>
      <c r="Y39" s="8">
        <v>30814.44453415</v>
      </c>
      <c r="Z39" s="8">
        <v>31479.50673031</v>
      </c>
      <c r="AA39" s="8">
        <v>32140.04664733</v>
      </c>
      <c r="AB39" s="8">
        <v>32899.454109079998</v>
      </c>
      <c r="AC39" s="8">
        <v>33633.234694710001</v>
      </c>
    </row>
    <row r="40" spans="1:29" x14ac:dyDescent="0.85">
      <c r="A40" t="s">
        <v>171</v>
      </c>
      <c r="B40" s="8">
        <v>9062132.75</v>
      </c>
      <c r="C40" s="8">
        <v>8836948.8714336399</v>
      </c>
      <c r="D40" s="8">
        <v>8618472.3947533909</v>
      </c>
      <c r="E40" s="8">
        <v>8403010.5191099402</v>
      </c>
      <c r="F40" s="8">
        <v>21217510.497166</v>
      </c>
      <c r="G40" s="8">
        <v>35179780.504773103</v>
      </c>
      <c r="H40" s="8">
        <v>50405378.4603284</v>
      </c>
      <c r="I40" s="8">
        <v>67021275.262223803</v>
      </c>
      <c r="J40" s="8">
        <v>85167028.613856003</v>
      </c>
      <c r="K40" s="8">
        <v>103992920.84213001</v>
      </c>
      <c r="L40" s="8">
        <v>123863220.01533499</v>
      </c>
      <c r="M40" s="8">
        <v>144884419.625016</v>
      </c>
      <c r="N40" s="8">
        <v>167117331.243242</v>
      </c>
      <c r="O40" s="8">
        <v>186169897.933965</v>
      </c>
      <c r="P40" s="8">
        <v>189634645.740592</v>
      </c>
      <c r="Q40" s="8">
        <v>194987364.72703701</v>
      </c>
      <c r="R40" s="8">
        <v>199322226.07624</v>
      </c>
      <c r="S40" s="8">
        <v>205391995.066535</v>
      </c>
      <c r="T40" s="8">
        <v>211134241.402628</v>
      </c>
      <c r="U40" s="8">
        <v>215901662.625045</v>
      </c>
      <c r="V40" s="8">
        <v>220806619.97042301</v>
      </c>
      <c r="W40" s="8">
        <v>225804617.71968201</v>
      </c>
      <c r="X40" s="8">
        <v>230979063.457627</v>
      </c>
      <c r="Y40" s="8">
        <v>236247533.671931</v>
      </c>
      <c r="Z40" s="8">
        <v>241346418.49545199</v>
      </c>
      <c r="AA40" s="8">
        <v>246410632.00465399</v>
      </c>
      <c r="AB40" s="8">
        <v>252232841.12126699</v>
      </c>
      <c r="AC40" s="8">
        <v>257858574.64437601</v>
      </c>
    </row>
    <row r="41" spans="1:29" x14ac:dyDescent="0.85">
      <c r="A41" t="s">
        <v>172</v>
      </c>
      <c r="B41" s="8">
        <v>9062132.75</v>
      </c>
      <c r="C41" s="8">
        <v>8836948.8714336399</v>
      </c>
      <c r="D41" s="8">
        <v>8618472.3947533909</v>
      </c>
      <c r="E41" s="8">
        <v>8403010.5191099402</v>
      </c>
      <c r="F41" s="8">
        <v>21217510.497166</v>
      </c>
      <c r="G41" s="8">
        <v>35179780.504773103</v>
      </c>
      <c r="H41" s="8">
        <v>50405378.4603284</v>
      </c>
      <c r="I41" s="8">
        <v>67021275.262223803</v>
      </c>
      <c r="J41" s="8">
        <v>85167028.613856003</v>
      </c>
      <c r="K41" s="8">
        <v>103992920.84213001</v>
      </c>
      <c r="L41" s="8">
        <v>123863220.01533499</v>
      </c>
      <c r="M41" s="8">
        <v>144884419.625016</v>
      </c>
      <c r="N41" s="8">
        <v>167117331.243242</v>
      </c>
      <c r="O41" s="8">
        <v>186169897.933965</v>
      </c>
      <c r="P41" s="8">
        <v>189634645.740592</v>
      </c>
      <c r="Q41" s="8">
        <v>194987364.72703701</v>
      </c>
      <c r="R41" s="8">
        <v>199322226.07624</v>
      </c>
      <c r="S41" s="8">
        <v>205391995.066535</v>
      </c>
      <c r="T41" s="8">
        <v>211134241.402628</v>
      </c>
      <c r="U41" s="8">
        <v>215901662.625045</v>
      </c>
      <c r="V41" s="8">
        <v>220806619.97042301</v>
      </c>
      <c r="W41" s="8">
        <v>225804617.71968201</v>
      </c>
      <c r="X41" s="8">
        <v>230979063.457627</v>
      </c>
      <c r="Y41" s="8">
        <v>236247533.671931</v>
      </c>
      <c r="Z41" s="8">
        <v>241346418.49545199</v>
      </c>
      <c r="AA41" s="8">
        <v>246410632.00465399</v>
      </c>
      <c r="AB41" s="8">
        <v>252232841.12126699</v>
      </c>
      <c r="AC41" s="8">
        <v>257858574.64437601</v>
      </c>
    </row>
    <row r="42" spans="1:29" x14ac:dyDescent="0.85">
      <c r="A42" t="s">
        <v>173</v>
      </c>
      <c r="B42" s="8">
        <v>648.99676425999996</v>
      </c>
      <c r="C42" s="8">
        <v>632.86991943999999</v>
      </c>
      <c r="D42" s="8">
        <v>617.22343419000003</v>
      </c>
      <c r="E42" s="8">
        <v>601.79284767000001</v>
      </c>
      <c r="F42" s="8">
        <v>1519.52041872</v>
      </c>
      <c r="G42" s="8">
        <v>2519.4470769899999</v>
      </c>
      <c r="H42" s="8">
        <v>3609.8486575100001</v>
      </c>
      <c r="I42" s="8">
        <v>4799.8183511400002</v>
      </c>
      <c r="J42" s="8">
        <v>6099.3507696400002</v>
      </c>
      <c r="K42" s="8">
        <v>7447.5922442999999</v>
      </c>
      <c r="L42" s="8">
        <v>8870.6303205099994</v>
      </c>
      <c r="M42" s="8">
        <v>10376.09167222</v>
      </c>
      <c r="N42" s="8">
        <v>11968.33140157</v>
      </c>
      <c r="O42" s="8">
        <v>13332.806471329999</v>
      </c>
      <c r="P42" s="8">
        <v>13580.93902385</v>
      </c>
      <c r="Q42" s="8">
        <v>13964.2811599</v>
      </c>
      <c r="R42" s="8">
        <v>14274.72805862</v>
      </c>
      <c r="S42" s="8">
        <v>14709.422690629999</v>
      </c>
      <c r="T42" s="8">
        <v>15120.66134929</v>
      </c>
      <c r="U42" s="8">
        <v>15462.08660241</v>
      </c>
      <c r="V42" s="8">
        <v>15813.3616891</v>
      </c>
      <c r="W42" s="8">
        <v>16171.29998887</v>
      </c>
      <c r="X42" s="8">
        <v>16541.874847570001</v>
      </c>
      <c r="Y42" s="8">
        <v>16919.183395010001</v>
      </c>
      <c r="Z42" s="8">
        <v>17284.34685767</v>
      </c>
      <c r="AA42" s="8">
        <v>17647.027287730001</v>
      </c>
      <c r="AB42" s="8">
        <v>18063.992587969999</v>
      </c>
      <c r="AC42" s="8">
        <v>18466.887025550001</v>
      </c>
    </row>
    <row r="43" spans="1:29" x14ac:dyDescent="0.85">
      <c r="A43" t="s">
        <v>174</v>
      </c>
      <c r="B43" s="8">
        <v>0</v>
      </c>
      <c r="C43" s="8">
        <v>0.53021693000000003</v>
      </c>
      <c r="D43" s="8">
        <v>1.03421669</v>
      </c>
      <c r="E43" s="8">
        <v>1.5125418900000001</v>
      </c>
      <c r="F43" s="8">
        <v>5.0922025199999998</v>
      </c>
      <c r="G43" s="8">
        <v>10.55393415</v>
      </c>
      <c r="H43" s="8">
        <v>18.145936249999998</v>
      </c>
      <c r="I43" s="8">
        <v>28.148935609999999</v>
      </c>
      <c r="J43" s="8">
        <v>40.880173730000003</v>
      </c>
      <c r="K43" s="8">
        <v>56.156177249999999</v>
      </c>
      <c r="L43" s="8">
        <v>74.317932010000007</v>
      </c>
      <c r="M43" s="8">
        <v>95.623716950000002</v>
      </c>
      <c r="N43" s="8">
        <v>120.3244785</v>
      </c>
      <c r="O43" s="8">
        <v>145.21252039000001</v>
      </c>
      <c r="P43" s="8">
        <v>159.29310242</v>
      </c>
      <c r="Q43" s="8">
        <v>175.48862825</v>
      </c>
      <c r="R43" s="8">
        <v>191.34933702999999</v>
      </c>
      <c r="S43" s="8">
        <v>209.49983496999999</v>
      </c>
      <c r="T43" s="8">
        <v>228.02498070999999</v>
      </c>
      <c r="U43" s="8">
        <v>246.12789538999999</v>
      </c>
      <c r="V43" s="8">
        <v>264.96794396000001</v>
      </c>
      <c r="W43" s="8">
        <v>284.51381832999999</v>
      </c>
      <c r="X43" s="8">
        <v>304.89236376000002</v>
      </c>
      <c r="Y43" s="8">
        <v>326.02159647000002</v>
      </c>
      <c r="Z43" s="8">
        <v>347.53884262999998</v>
      </c>
      <c r="AA43" s="8">
        <v>369.61594801000001</v>
      </c>
      <c r="AB43" s="8">
        <v>393.48323214999999</v>
      </c>
      <c r="AC43" s="8">
        <v>417.73089091999998</v>
      </c>
    </row>
    <row r="44" spans="1:29" x14ac:dyDescent="0.85">
      <c r="A44" t="s">
        <v>175</v>
      </c>
      <c r="B44" s="8">
        <v>2.7186399999999999E-2</v>
      </c>
      <c r="C44" s="8">
        <v>2.6510849999999999E-2</v>
      </c>
      <c r="D44" s="8">
        <v>2.585542E-2</v>
      </c>
      <c r="E44" s="8">
        <v>2.520903E-2</v>
      </c>
      <c r="F44" s="8">
        <v>6.3652529999999999E-2</v>
      </c>
      <c r="G44" s="8">
        <v>0.10553934</v>
      </c>
      <c r="H44" s="8">
        <v>0.15121614</v>
      </c>
      <c r="I44" s="8">
        <v>0.20106383</v>
      </c>
      <c r="J44" s="8">
        <v>0.25550108999999999</v>
      </c>
      <c r="K44" s="8">
        <v>0.31197876000000002</v>
      </c>
      <c r="L44" s="8">
        <v>0.37158965999999999</v>
      </c>
      <c r="M44" s="8">
        <v>0.43465325999999999</v>
      </c>
      <c r="N44" s="8">
        <v>0.50135198999999997</v>
      </c>
      <c r="O44" s="8">
        <v>0.55850968999999995</v>
      </c>
      <c r="P44" s="8">
        <v>0.56890394</v>
      </c>
      <c r="Q44" s="8">
        <v>0.58496208999999999</v>
      </c>
      <c r="R44" s="8">
        <v>0.59796667999999997</v>
      </c>
      <c r="S44" s="8">
        <v>0.61617599000000001</v>
      </c>
      <c r="T44" s="8">
        <v>0.63340271999999997</v>
      </c>
      <c r="U44" s="8">
        <v>0.64770499000000004</v>
      </c>
      <c r="V44" s="8">
        <v>0.66241985999999997</v>
      </c>
      <c r="W44" s="8">
        <v>0.67741384999999998</v>
      </c>
      <c r="X44" s="8">
        <v>0.69293718999999998</v>
      </c>
      <c r="Y44" s="8">
        <v>0.7087426</v>
      </c>
      <c r="Z44" s="8">
        <v>0.72403925999999996</v>
      </c>
      <c r="AA44" s="8">
        <v>0.73923190000000005</v>
      </c>
      <c r="AB44" s="8">
        <v>0.75669852000000004</v>
      </c>
      <c r="AC44" s="8">
        <v>0.77357571999999997</v>
      </c>
    </row>
    <row r="45" spans="1:29" x14ac:dyDescent="0.85">
      <c r="A45" t="s">
        <v>176</v>
      </c>
      <c r="B45" s="8">
        <v>557.37860215000001</v>
      </c>
      <c r="C45" s="8">
        <v>543.52836635000006</v>
      </c>
      <c r="D45" s="8">
        <v>530.09067828000002</v>
      </c>
      <c r="E45" s="8">
        <v>516.83841131999998</v>
      </c>
      <c r="F45" s="8">
        <v>1305.0113876</v>
      </c>
      <c r="G45" s="8">
        <v>2163.7794960900001</v>
      </c>
      <c r="H45" s="8">
        <v>3100.25028127</v>
      </c>
      <c r="I45" s="8">
        <v>4122.2332582400004</v>
      </c>
      <c r="J45" s="8">
        <v>5238.3121103499998</v>
      </c>
      <c r="K45" s="8">
        <v>6396.2238145900001</v>
      </c>
      <c r="L45" s="8">
        <v>7618.3731661600004</v>
      </c>
      <c r="M45" s="8">
        <v>8911.3101898099994</v>
      </c>
      <c r="N45" s="8">
        <v>10278.775182699999</v>
      </c>
      <c r="O45" s="8">
        <v>11450.62880321</v>
      </c>
      <c r="P45" s="8">
        <v>11663.732755409999</v>
      </c>
      <c r="Q45" s="8">
        <v>11992.958902509999</v>
      </c>
      <c r="R45" s="8">
        <v>12259.58035299</v>
      </c>
      <c r="S45" s="8">
        <v>12632.909620500001</v>
      </c>
      <c r="T45" s="8">
        <v>12986.09416871</v>
      </c>
      <c r="U45" s="8">
        <v>13279.320793270001</v>
      </c>
      <c r="V45" s="8">
        <v>13581.0067612</v>
      </c>
      <c r="W45" s="8">
        <v>13888.41530373</v>
      </c>
      <c r="X45" s="8">
        <v>14206.67651601</v>
      </c>
      <c r="Y45" s="8">
        <v>14530.72082959</v>
      </c>
      <c r="Z45" s="8">
        <v>14844.33456668</v>
      </c>
      <c r="AA45" s="8">
        <v>15155.815798170001</v>
      </c>
      <c r="AB45" s="8">
        <v>15513.918564240001</v>
      </c>
      <c r="AC45" s="8">
        <v>15859.9368359</v>
      </c>
    </row>
    <row r="46" spans="1:29" x14ac:dyDescent="0.85">
      <c r="A46" t="s">
        <v>177</v>
      </c>
      <c r="B46" s="8">
        <v>91.618162100000006</v>
      </c>
      <c r="C46" s="8">
        <v>89.341553090000005</v>
      </c>
      <c r="D46" s="8">
        <v>87.13275591</v>
      </c>
      <c r="E46" s="8">
        <v>84.954436349999995</v>
      </c>
      <c r="F46" s="8">
        <v>214.50903113000001</v>
      </c>
      <c r="G46" s="8">
        <v>355.66758090000002</v>
      </c>
      <c r="H46" s="8">
        <v>509.59837622999999</v>
      </c>
      <c r="I46" s="8">
        <v>677.58509289999995</v>
      </c>
      <c r="J46" s="8">
        <v>861.03865929000006</v>
      </c>
      <c r="K46" s="8">
        <v>1051.3684297100001</v>
      </c>
      <c r="L46" s="8">
        <v>1252.25715436</v>
      </c>
      <c r="M46" s="8">
        <v>1464.7814824100001</v>
      </c>
      <c r="N46" s="8">
        <v>1689.5562188700001</v>
      </c>
      <c r="O46" s="8">
        <v>1882.17766811</v>
      </c>
      <c r="P46" s="8">
        <v>1917.20626844</v>
      </c>
      <c r="Q46" s="8">
        <v>1971.32225739</v>
      </c>
      <c r="R46" s="8">
        <v>2015.14770563</v>
      </c>
      <c r="S46" s="8">
        <v>2076.5130701200001</v>
      </c>
      <c r="T46" s="8">
        <v>2134.5671805799998</v>
      </c>
      <c r="U46" s="8">
        <v>2182.7658091399999</v>
      </c>
      <c r="V46" s="8">
        <v>2232.3549278999999</v>
      </c>
      <c r="W46" s="8">
        <v>2282.8846851500002</v>
      </c>
      <c r="X46" s="8">
        <v>2335.19833156</v>
      </c>
      <c r="Y46" s="8">
        <v>2388.4625654199999</v>
      </c>
      <c r="Z46" s="8">
        <v>2440.0122909900001</v>
      </c>
      <c r="AA46" s="8">
        <v>2491.2114895700001</v>
      </c>
      <c r="AB46" s="8">
        <v>2550.07402374</v>
      </c>
      <c r="AC46" s="8">
        <v>2606.9501896500001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1.00015499</v>
      </c>
      <c r="E47" s="8">
        <v>1.00028403</v>
      </c>
      <c r="F47" s="8">
        <v>0.99999998999999995</v>
      </c>
      <c r="G47" s="8">
        <v>1.7005583500000001</v>
      </c>
      <c r="H47" s="8">
        <v>1.46952232</v>
      </c>
      <c r="I47" s="8">
        <v>1.3637287899999999</v>
      </c>
      <c r="J47" s="8">
        <v>1.3033193999999999</v>
      </c>
      <c r="K47" s="8">
        <v>1.2523456100000001</v>
      </c>
      <c r="L47" s="8">
        <v>1.22160392</v>
      </c>
      <c r="M47" s="8">
        <v>1.19969565</v>
      </c>
      <c r="N47" s="8">
        <v>1.18301846</v>
      </c>
      <c r="O47" s="8">
        <v>1.1700216999999999</v>
      </c>
      <c r="P47" s="8">
        <v>1.14257141</v>
      </c>
      <c r="Q47" s="8">
        <v>1.0447289</v>
      </c>
      <c r="R47" s="8">
        <v>1.05459126</v>
      </c>
      <c r="S47" s="8">
        <v>1.04844256</v>
      </c>
      <c r="T47" s="8">
        <v>1.0568738900000001</v>
      </c>
      <c r="U47" s="8">
        <v>1.05431538</v>
      </c>
      <c r="V47" s="8">
        <v>1.0488000500000001</v>
      </c>
      <c r="W47" s="8">
        <v>1.0489420300000001</v>
      </c>
      <c r="X47" s="8">
        <v>1.0488565999999999</v>
      </c>
      <c r="Y47" s="8">
        <v>1.04914419</v>
      </c>
      <c r="Z47" s="8">
        <v>1.04903518</v>
      </c>
      <c r="AA47" s="8">
        <v>1.0477772400000001</v>
      </c>
      <c r="AB47" s="8">
        <v>1.0471622300000001</v>
      </c>
      <c r="AC47" s="8">
        <v>1.04987495</v>
      </c>
    </row>
    <row r="48" spans="1:29" x14ac:dyDescent="0.85">
      <c r="A48" t="s">
        <v>179</v>
      </c>
      <c r="B48" s="8">
        <v>1</v>
      </c>
      <c r="C48" s="8">
        <v>1.00015499</v>
      </c>
      <c r="D48" s="8">
        <v>1.00028403</v>
      </c>
      <c r="E48" s="8">
        <v>0.99999998999999995</v>
      </c>
      <c r="F48" s="8">
        <v>2.58973247</v>
      </c>
      <c r="G48" s="8">
        <v>1.7005683199999999</v>
      </c>
      <c r="H48" s="8">
        <v>1.46953231</v>
      </c>
      <c r="I48" s="8">
        <v>1.36373878</v>
      </c>
      <c r="J48" s="8">
        <v>1.3033294</v>
      </c>
      <c r="K48" s="8">
        <v>1.25235561</v>
      </c>
      <c r="L48" s="8">
        <v>1.22161392</v>
      </c>
      <c r="M48" s="8">
        <v>1.1997056500000001</v>
      </c>
      <c r="N48" s="8">
        <v>1.1830284499999999</v>
      </c>
      <c r="O48" s="8">
        <v>1.14257141</v>
      </c>
      <c r="P48" s="8">
        <v>1.0447289</v>
      </c>
      <c r="Q48" s="8">
        <v>1.05459126</v>
      </c>
      <c r="R48" s="8">
        <v>1.04844256</v>
      </c>
      <c r="S48" s="8">
        <v>1.0568738900000001</v>
      </c>
      <c r="T48" s="8">
        <v>1.05431538</v>
      </c>
      <c r="U48" s="8">
        <v>1.0488000500000001</v>
      </c>
      <c r="V48" s="8">
        <v>1.0489420300000001</v>
      </c>
      <c r="W48" s="8">
        <v>1.0488565999999999</v>
      </c>
      <c r="X48" s="8">
        <v>1.04914419</v>
      </c>
      <c r="Y48" s="8">
        <v>1.04903518</v>
      </c>
      <c r="Z48" s="8">
        <v>1.0477772400000001</v>
      </c>
      <c r="AA48" s="8">
        <v>1.0471622300000001</v>
      </c>
      <c r="AB48" s="8">
        <v>1.04987495</v>
      </c>
      <c r="AC48" s="8">
        <v>1.0485166500000001</v>
      </c>
    </row>
    <row r="49" spans="1:29" x14ac:dyDescent="0.85">
      <c r="A49" t="s">
        <v>180</v>
      </c>
      <c r="B49" s="8">
        <v>1</v>
      </c>
      <c r="C49" s="8">
        <v>2.3042746799999998</v>
      </c>
      <c r="D49" s="8">
        <v>2.3572675400000001</v>
      </c>
      <c r="E49" s="8">
        <v>2.4538987200000002</v>
      </c>
      <c r="F49" s="8">
        <v>2.58973247</v>
      </c>
      <c r="G49" s="8">
        <v>1.70056835</v>
      </c>
      <c r="H49" s="8">
        <v>1.4695323199999999</v>
      </c>
      <c r="I49" s="8">
        <v>1.36373879</v>
      </c>
      <c r="J49" s="8">
        <v>1.3033294</v>
      </c>
      <c r="K49" s="8">
        <v>1.25235561</v>
      </c>
      <c r="L49" s="8">
        <v>1.22161392</v>
      </c>
      <c r="M49" s="8">
        <v>1.1997056500000001</v>
      </c>
      <c r="N49" s="8">
        <v>1.1830284600000001</v>
      </c>
      <c r="O49" s="8">
        <v>1.1700317</v>
      </c>
      <c r="P49" s="8">
        <v>1.1618523999999999</v>
      </c>
      <c r="Q49" s="8">
        <v>1.16469624</v>
      </c>
      <c r="R49" s="8">
        <v>1.16467692</v>
      </c>
      <c r="S49" s="8">
        <v>1.16615563</v>
      </c>
      <c r="T49" s="8">
        <v>1.16539305</v>
      </c>
      <c r="U49" s="8">
        <v>1.1656507899999999</v>
      </c>
      <c r="V49" s="8">
        <v>1.1673287800000001</v>
      </c>
      <c r="W49" s="8">
        <v>1.16902591</v>
      </c>
      <c r="X49" s="8">
        <v>1.17064901</v>
      </c>
      <c r="Y49" s="8">
        <v>1.1720889299999999</v>
      </c>
      <c r="Z49" s="8">
        <v>1.1736984800000001</v>
      </c>
      <c r="AA49" s="8">
        <v>1.17533347</v>
      </c>
      <c r="AB49" s="8">
        <v>1.17701425</v>
      </c>
      <c r="AC49" s="8">
        <v>1.1782165600000001</v>
      </c>
    </row>
    <row r="50" spans="1:29" x14ac:dyDescent="0.85">
      <c r="A50" t="s">
        <v>181</v>
      </c>
      <c r="B50" s="8">
        <v>18232</v>
      </c>
      <c r="C50" s="8">
        <v>19541.168723729999</v>
      </c>
      <c r="D50" s="8">
        <v>20558.94040833</v>
      </c>
      <c r="E50" s="8">
        <v>22871.920171549998</v>
      </c>
      <c r="F50" s="8">
        <v>25321.402941290002</v>
      </c>
      <c r="G50" s="8">
        <v>27997.03211298</v>
      </c>
      <c r="H50" s="8">
        <v>30921.82367279</v>
      </c>
      <c r="I50" s="8">
        <v>34121.055444199999</v>
      </c>
      <c r="J50" s="8">
        <v>32756.213226430002</v>
      </c>
      <c r="K50" s="8">
        <v>32978.761111660002</v>
      </c>
      <c r="L50" s="8">
        <v>33428.500549179997</v>
      </c>
      <c r="M50" s="8">
        <v>33853.523569769997</v>
      </c>
      <c r="N50" s="8">
        <v>34341.923936779996</v>
      </c>
      <c r="O50" s="8">
        <v>34869.429683009999</v>
      </c>
      <c r="P50" s="8">
        <v>35383.378171479999</v>
      </c>
      <c r="Q50" s="8">
        <v>36045.598616080002</v>
      </c>
      <c r="R50" s="8">
        <v>36651.168778799998</v>
      </c>
      <c r="S50" s="8">
        <v>37507.405845879999</v>
      </c>
      <c r="T50" s="8">
        <v>38532.455207029998</v>
      </c>
      <c r="U50" s="8">
        <v>39575.026275199998</v>
      </c>
      <c r="V50" s="8">
        <v>40635.496324</v>
      </c>
      <c r="W50" s="8">
        <v>41714.222199739997</v>
      </c>
      <c r="X50" s="8">
        <v>42811.954687439997</v>
      </c>
      <c r="Y50" s="8">
        <v>43929.112321959998</v>
      </c>
      <c r="Z50" s="8">
        <v>45065.684979290003</v>
      </c>
      <c r="AA50" s="8">
        <v>46222.538719689997</v>
      </c>
      <c r="AB50" s="8">
        <v>47401.01478623</v>
      </c>
      <c r="AC50" s="8">
        <v>48600.665522470001</v>
      </c>
    </row>
    <row r="51" spans="1:29" x14ac:dyDescent="0.85">
      <c r="A51" t="s">
        <v>182</v>
      </c>
      <c r="B51" s="8">
        <v>78878089</v>
      </c>
      <c r="C51" s="8">
        <v>89632700.201429397</v>
      </c>
      <c r="D51" s="8">
        <v>94257091.039895296</v>
      </c>
      <c r="E51" s="8">
        <v>107283547.11090299</v>
      </c>
      <c r="F51" s="8">
        <v>116835241.639864</v>
      </c>
      <c r="G51" s="8">
        <v>128270503.445324</v>
      </c>
      <c r="H51" s="8">
        <v>135809731.275938</v>
      </c>
      <c r="I51" s="8">
        <v>125228059.51181699</v>
      </c>
      <c r="J51" s="8">
        <v>107415294.490793</v>
      </c>
      <c r="K51" s="8">
        <v>89532827.512604207</v>
      </c>
      <c r="L51" s="8">
        <v>71732638.905099005</v>
      </c>
      <c r="M51" s="8">
        <v>54945098.666259199</v>
      </c>
      <c r="N51" s="8">
        <v>40268762.752448499</v>
      </c>
      <c r="O51" s="8">
        <v>30811115.280618001</v>
      </c>
      <c r="P51" s="8">
        <v>29834375.570571002</v>
      </c>
      <c r="Q51" s="8">
        <v>29082192.9809427</v>
      </c>
      <c r="R51" s="8">
        <v>28461249.0452777</v>
      </c>
      <c r="S51" s="8">
        <v>28015834.697853301</v>
      </c>
      <c r="T51" s="8">
        <v>27548870.787249099</v>
      </c>
      <c r="U51" s="8">
        <v>27119982.6272812</v>
      </c>
      <c r="V51" s="8">
        <v>26690279.093874</v>
      </c>
      <c r="W51" s="8">
        <v>26325401.877594501</v>
      </c>
      <c r="X51" s="8">
        <v>26029414.109933399</v>
      </c>
      <c r="Y51" s="8">
        <v>25681271.394128401</v>
      </c>
      <c r="Z51" s="8">
        <v>25486516.4355832</v>
      </c>
      <c r="AA51" s="8">
        <v>25361398.201256901</v>
      </c>
      <c r="AB51" s="8">
        <v>25141387.583702099</v>
      </c>
      <c r="AC51" s="8">
        <v>24987268.675724</v>
      </c>
    </row>
    <row r="52" spans="1:29" x14ac:dyDescent="0.85">
      <c r="A52" t="s">
        <v>183</v>
      </c>
      <c r="B52" s="8">
        <v>78878089</v>
      </c>
      <c r="C52" s="8">
        <v>89632700.201429397</v>
      </c>
      <c r="D52" s="8">
        <v>94257091.039895296</v>
      </c>
      <c r="E52" s="8">
        <v>107283547.11090299</v>
      </c>
      <c r="F52" s="8">
        <v>116835241.639864</v>
      </c>
      <c r="G52" s="8">
        <v>128270503.445324</v>
      </c>
      <c r="H52" s="8">
        <v>135809731.275938</v>
      </c>
      <c r="I52" s="8">
        <v>125228059.51181699</v>
      </c>
      <c r="J52" s="8">
        <v>107415294.490793</v>
      </c>
      <c r="K52" s="8">
        <v>89532827.512604207</v>
      </c>
      <c r="L52" s="8">
        <v>71732638.905099005</v>
      </c>
      <c r="M52" s="8">
        <v>54945098.666259199</v>
      </c>
      <c r="N52" s="8">
        <v>40268762.752448499</v>
      </c>
      <c r="O52" s="8">
        <v>30811115.280618001</v>
      </c>
      <c r="P52" s="8">
        <v>29834375.570571002</v>
      </c>
      <c r="Q52" s="8">
        <v>29082192.9809427</v>
      </c>
      <c r="R52" s="8">
        <v>28461249.0452777</v>
      </c>
      <c r="S52" s="8">
        <v>28015834.697853301</v>
      </c>
      <c r="T52" s="8">
        <v>27548870.787249099</v>
      </c>
      <c r="U52" s="8">
        <v>27119982.6272812</v>
      </c>
      <c r="V52" s="8">
        <v>26690279.093874</v>
      </c>
      <c r="W52" s="8">
        <v>26325401.877594501</v>
      </c>
      <c r="X52" s="8">
        <v>26029414.109933399</v>
      </c>
      <c r="Y52" s="8">
        <v>25681271.394128401</v>
      </c>
      <c r="Z52" s="8">
        <v>25486516.4355832</v>
      </c>
      <c r="AA52" s="8">
        <v>25361398.201256901</v>
      </c>
      <c r="AB52" s="8">
        <v>25141387.583702099</v>
      </c>
      <c r="AC52" s="8">
        <v>24987268.675724</v>
      </c>
    </row>
    <row r="53" spans="1:29" x14ac:dyDescent="0.85">
      <c r="A53" t="s">
        <v>184</v>
      </c>
      <c r="B53" s="8">
        <v>3694.7446063900002</v>
      </c>
      <c r="C53" s="8">
        <v>4084.2624695999998</v>
      </c>
      <c r="D53" s="8">
        <v>4295.9116273199998</v>
      </c>
      <c r="E53" s="8">
        <v>4838.3211072100003</v>
      </c>
      <c r="F53" s="8">
        <v>5309.1992903800001</v>
      </c>
      <c r="G53" s="8">
        <v>5847.9927511599999</v>
      </c>
      <c r="H53" s="8">
        <v>6315.9138087499996</v>
      </c>
      <c r="I53" s="8">
        <v>6368.32993033</v>
      </c>
      <c r="J53" s="8">
        <v>5801.18785269</v>
      </c>
      <c r="K53" s="8">
        <v>5386.4625195600001</v>
      </c>
      <c r="L53" s="8">
        <v>4995.8024869199999</v>
      </c>
      <c r="M53" s="8">
        <v>4627.4513923300001</v>
      </c>
      <c r="N53" s="8">
        <v>4316.7669006699998</v>
      </c>
      <c r="O53" s="8">
        <v>4137.2150932699997</v>
      </c>
      <c r="P53" s="8">
        <v>4163.28118017</v>
      </c>
      <c r="Q53" s="8">
        <v>4209.2219764700003</v>
      </c>
      <c r="R53" s="8">
        <v>4252.8648997399996</v>
      </c>
      <c r="S53" s="8">
        <v>4325.12764212</v>
      </c>
      <c r="T53" s="8">
        <v>4413.2543233300003</v>
      </c>
      <c r="U53" s="8">
        <v>4504.0112107499999</v>
      </c>
      <c r="V53" s="8">
        <v>4596.4859899100002</v>
      </c>
      <c r="W53" s="8">
        <v>4692.3149637699998</v>
      </c>
      <c r="X53" s="8">
        <v>4791.67016539</v>
      </c>
      <c r="Y53" s="8">
        <v>4891.6387464700001</v>
      </c>
      <c r="Z53" s="8">
        <v>4997.2349660700002</v>
      </c>
      <c r="AA53" s="8">
        <v>5106.4993835699997</v>
      </c>
      <c r="AB53" s="8">
        <v>5215.5477081500003</v>
      </c>
      <c r="AC53" s="8">
        <v>5328.2596093499997</v>
      </c>
    </row>
    <row r="54" spans="1:29" x14ac:dyDescent="0.85">
      <c r="A54" t="s">
        <v>185</v>
      </c>
      <c r="B54" s="8">
        <v>0</v>
      </c>
      <c r="C54" s="8">
        <v>878.40046197000004</v>
      </c>
      <c r="D54" s="8">
        <v>1847.43898438</v>
      </c>
      <c r="E54" s="8">
        <v>3154.1362850599999</v>
      </c>
      <c r="F54" s="8">
        <v>4579.9414722800002</v>
      </c>
      <c r="G54" s="8">
        <v>6285.25466882</v>
      </c>
      <c r="H54" s="8">
        <v>7985.6121990299998</v>
      </c>
      <c r="I54" s="8">
        <v>8590.6448825099997</v>
      </c>
      <c r="J54" s="8">
        <v>8421.3590880800002</v>
      </c>
      <c r="K54" s="8">
        <v>7896.7953866099997</v>
      </c>
      <c r="L54" s="8">
        <v>7029.7986127000004</v>
      </c>
      <c r="M54" s="8">
        <v>5923.0816362200003</v>
      </c>
      <c r="N54" s="8">
        <v>4735.6064996900004</v>
      </c>
      <c r="O54" s="8">
        <v>3925.33608675</v>
      </c>
      <c r="P54" s="8">
        <v>4093.2763282800001</v>
      </c>
      <c r="Q54" s="8">
        <v>4275.0823682</v>
      </c>
      <c r="R54" s="8">
        <v>4462.7238502999999</v>
      </c>
      <c r="S54" s="8">
        <v>4667.4380606599998</v>
      </c>
      <c r="T54" s="8">
        <v>4859.6208068699998</v>
      </c>
      <c r="U54" s="8">
        <v>5049.7407652000002</v>
      </c>
      <c r="V54" s="8">
        <v>5231.2947023999996</v>
      </c>
      <c r="W54" s="8">
        <v>5417.7677064099998</v>
      </c>
      <c r="X54" s="8">
        <v>5611.9416821000004</v>
      </c>
      <c r="Y54" s="8">
        <v>5788.5585722400001</v>
      </c>
      <c r="Z54" s="8">
        <v>5994.4286656499999</v>
      </c>
      <c r="AA54" s="8">
        <v>6213.5425593099999</v>
      </c>
      <c r="AB54" s="8">
        <v>6406.0255563299997</v>
      </c>
      <c r="AC54" s="8">
        <v>6611.6312915999997</v>
      </c>
    </row>
    <row r="55" spans="1:29" x14ac:dyDescent="0.85">
      <c r="A55" t="s">
        <v>186</v>
      </c>
      <c r="B55" s="8">
        <v>38.650263610000003</v>
      </c>
      <c r="C55" s="8">
        <v>43.920023100000002</v>
      </c>
      <c r="D55" s="8">
        <v>46.185974610000002</v>
      </c>
      <c r="E55" s="8">
        <v>52.568938080000002</v>
      </c>
      <c r="F55" s="8">
        <v>57.249268399999998</v>
      </c>
      <c r="G55" s="8">
        <v>62.852546689999997</v>
      </c>
      <c r="H55" s="8">
        <v>66.546768330000006</v>
      </c>
      <c r="I55" s="8">
        <v>61.361749160000002</v>
      </c>
      <c r="J55" s="8">
        <v>52.633494300000002</v>
      </c>
      <c r="K55" s="8">
        <v>43.871085479999998</v>
      </c>
      <c r="L55" s="8">
        <v>35.148993060000002</v>
      </c>
      <c r="M55" s="8">
        <v>26.92309835</v>
      </c>
      <c r="N55" s="8">
        <v>19.731693750000002</v>
      </c>
      <c r="O55" s="8">
        <v>15.097446489999999</v>
      </c>
      <c r="P55" s="8">
        <v>14.61884403</v>
      </c>
      <c r="Q55" s="8">
        <v>14.250274559999999</v>
      </c>
      <c r="R55" s="8">
        <v>13.94601203</v>
      </c>
      <c r="S55" s="8">
        <v>13.727759000000001</v>
      </c>
      <c r="T55" s="8">
        <v>13.49894669</v>
      </c>
      <c r="U55" s="8">
        <v>13.288791489999999</v>
      </c>
      <c r="V55" s="8">
        <v>13.078236759999999</v>
      </c>
      <c r="W55" s="8">
        <v>12.899446920000001</v>
      </c>
      <c r="X55" s="8">
        <v>12.754412909999999</v>
      </c>
      <c r="Y55" s="8">
        <v>12.583822980000001</v>
      </c>
      <c r="Z55" s="8">
        <v>12.488393050000001</v>
      </c>
      <c r="AA55" s="8">
        <v>12.427085119999999</v>
      </c>
      <c r="AB55" s="8">
        <v>12.31927992</v>
      </c>
      <c r="AC55" s="8">
        <v>12.24376165</v>
      </c>
    </row>
    <row r="56" spans="1:29" x14ac:dyDescent="0.85">
      <c r="A56" t="s">
        <v>187</v>
      </c>
      <c r="B56" s="8">
        <v>1770.1192347900001</v>
      </c>
      <c r="C56" s="8">
        <v>1897.22458469</v>
      </c>
      <c r="D56" s="8">
        <v>1996.0386059499999</v>
      </c>
      <c r="E56" s="8">
        <v>2220.6025577099999</v>
      </c>
      <c r="F56" s="8">
        <v>2458.4193943700002</v>
      </c>
      <c r="G56" s="8">
        <v>2718.1924671000002</v>
      </c>
      <c r="H56" s="8">
        <v>3002.1563656100002</v>
      </c>
      <c r="I56" s="8">
        <v>3312.76527824</v>
      </c>
      <c r="J56" s="8">
        <v>3180.2546671199998</v>
      </c>
      <c r="K56" s="8">
        <v>3201.8615282599999</v>
      </c>
      <c r="L56" s="8">
        <v>3245.52609764</v>
      </c>
      <c r="M56" s="8">
        <v>3286.7909848700001</v>
      </c>
      <c r="N56" s="8">
        <v>3334.2090895199999</v>
      </c>
      <c r="O56" s="8">
        <v>3385.4238804199999</v>
      </c>
      <c r="P56" s="8">
        <v>3435.3224162500001</v>
      </c>
      <c r="Q56" s="8">
        <v>3499.6164677299998</v>
      </c>
      <c r="R56" s="8">
        <v>3558.4104230299999</v>
      </c>
      <c r="S56" s="8">
        <v>3641.5412754899999</v>
      </c>
      <c r="T56" s="8">
        <v>3741.0618761199999</v>
      </c>
      <c r="U56" s="8">
        <v>3842.2836346499998</v>
      </c>
      <c r="V56" s="8">
        <v>3945.2431800200002</v>
      </c>
      <c r="W56" s="8">
        <v>4049.9751579600002</v>
      </c>
      <c r="X56" s="8">
        <v>4156.55246111</v>
      </c>
      <c r="Y56" s="8">
        <v>4265.0157244499997</v>
      </c>
      <c r="Z56" s="8">
        <v>4375.36396504</v>
      </c>
      <c r="AA56" s="8">
        <v>4487.6812674599996</v>
      </c>
      <c r="AB56" s="8">
        <v>4602.0978511100002</v>
      </c>
      <c r="AC56" s="8">
        <v>4718.5702536600002</v>
      </c>
    </row>
    <row r="57" spans="1:29" x14ac:dyDescent="0.85">
      <c r="A57" t="s">
        <v>188</v>
      </c>
      <c r="B57" s="8">
        <v>1924.6253716000001</v>
      </c>
      <c r="C57" s="8">
        <v>2187.0378849099998</v>
      </c>
      <c r="D57" s="8">
        <v>2299.8730213700001</v>
      </c>
      <c r="E57" s="8">
        <v>2617.7185495099998</v>
      </c>
      <c r="F57" s="8">
        <v>2850.7798960099999</v>
      </c>
      <c r="G57" s="8">
        <v>3129.8002840700001</v>
      </c>
      <c r="H57" s="8">
        <v>3313.75744313</v>
      </c>
      <c r="I57" s="8">
        <v>3055.56465209</v>
      </c>
      <c r="J57" s="8">
        <v>2620.9331855800001</v>
      </c>
      <c r="K57" s="8">
        <v>2184.6009913100002</v>
      </c>
      <c r="L57" s="8">
        <v>1750.2763892800001</v>
      </c>
      <c r="M57" s="8">
        <v>1340.66040746</v>
      </c>
      <c r="N57" s="8">
        <v>982.55781116000003</v>
      </c>
      <c r="O57" s="8">
        <v>751.79121284999997</v>
      </c>
      <c r="P57" s="8">
        <v>727.95876392000002</v>
      </c>
      <c r="Q57" s="8">
        <v>709.60550874</v>
      </c>
      <c r="R57" s="8">
        <v>694.45447669999999</v>
      </c>
      <c r="S57" s="8">
        <v>683.58636663000004</v>
      </c>
      <c r="T57" s="8">
        <v>672.19244720999995</v>
      </c>
      <c r="U57" s="8">
        <v>661.72757610999997</v>
      </c>
      <c r="V57" s="8">
        <v>651.24280988999999</v>
      </c>
      <c r="W57" s="8">
        <v>642.33980581000003</v>
      </c>
      <c r="X57" s="8">
        <v>635.11770428</v>
      </c>
      <c r="Y57" s="8">
        <v>626.62302202000001</v>
      </c>
      <c r="Z57" s="8">
        <v>621.87100103</v>
      </c>
      <c r="AA57" s="8">
        <v>618.81811611000001</v>
      </c>
      <c r="AB57" s="8">
        <v>613.44985703999998</v>
      </c>
      <c r="AC57" s="8">
        <v>609.68935568999996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1.11646468</v>
      </c>
      <c r="E58" s="8">
        <v>1.0959202699999999</v>
      </c>
      <c r="F58" s="8">
        <v>1.15321462</v>
      </c>
      <c r="G58" s="8">
        <v>1.15172615</v>
      </c>
      <c r="H58" s="8">
        <v>1.1504774099999999</v>
      </c>
      <c r="I58" s="8">
        <v>1.14942952</v>
      </c>
      <c r="J58" s="8">
        <v>1.14855076</v>
      </c>
      <c r="K58" s="8">
        <v>1</v>
      </c>
      <c r="L58" s="8">
        <v>1.0487438200000001</v>
      </c>
      <c r="M58" s="8">
        <v>1.05587213</v>
      </c>
      <c r="N58" s="8">
        <v>1.0549108199999999</v>
      </c>
      <c r="O58" s="8">
        <v>1.05669466</v>
      </c>
      <c r="P58" s="8">
        <v>1.05766709</v>
      </c>
      <c r="Q58" s="8">
        <v>1.0570200300000001</v>
      </c>
      <c r="R58" s="8">
        <v>1.06116206</v>
      </c>
      <c r="S58" s="8">
        <v>1.0591667899999999</v>
      </c>
      <c r="T58" s="8">
        <v>1.06600187</v>
      </c>
      <c r="U58" s="8">
        <v>1.07013464</v>
      </c>
      <c r="V58" s="8">
        <v>1.0698510000000001</v>
      </c>
      <c r="W58" s="8">
        <v>1.06957963</v>
      </c>
      <c r="X58" s="8">
        <v>1.06931916</v>
      </c>
      <c r="Y58" s="8">
        <v>1.06907869</v>
      </c>
      <c r="Z58" s="8">
        <v>1.0688484599999999</v>
      </c>
      <c r="AA58" s="8">
        <v>1.06861758</v>
      </c>
      <c r="AB58" s="8">
        <v>1.06840666</v>
      </c>
      <c r="AC58" s="8">
        <v>1.0682246900000001</v>
      </c>
    </row>
    <row r="59" spans="1:29" x14ac:dyDescent="0.85">
      <c r="A59" t="s">
        <v>190</v>
      </c>
      <c r="B59" s="8">
        <v>1</v>
      </c>
      <c r="C59" s="8">
        <v>1.11646468</v>
      </c>
      <c r="D59" s="8">
        <v>1.0959202699999999</v>
      </c>
      <c r="E59" s="8">
        <v>1.1588591800000001</v>
      </c>
      <c r="F59" s="8">
        <v>1.15322462</v>
      </c>
      <c r="G59" s="8">
        <v>1.1517361500000001</v>
      </c>
      <c r="H59" s="8">
        <v>1.15048741</v>
      </c>
      <c r="I59" s="8">
        <v>1.14943952</v>
      </c>
      <c r="J59" s="8">
        <v>1</v>
      </c>
      <c r="K59" s="8">
        <v>1.0487438200000001</v>
      </c>
      <c r="L59" s="8">
        <v>1.05587213</v>
      </c>
      <c r="M59" s="8">
        <v>1.0549108199999999</v>
      </c>
      <c r="N59" s="8">
        <v>1.05669466</v>
      </c>
      <c r="O59" s="8">
        <v>1.05766709</v>
      </c>
      <c r="P59" s="8">
        <v>1.0570200300000001</v>
      </c>
      <c r="Q59" s="8">
        <v>1.06116206</v>
      </c>
      <c r="R59" s="8">
        <v>1.0591667899999999</v>
      </c>
      <c r="S59" s="8">
        <v>1.06600187</v>
      </c>
      <c r="T59" s="8">
        <v>1.07013464</v>
      </c>
      <c r="U59" s="8">
        <v>1.0698510000000001</v>
      </c>
      <c r="V59" s="8">
        <v>1.06957963</v>
      </c>
      <c r="W59" s="8">
        <v>1.06931916</v>
      </c>
      <c r="X59" s="8">
        <v>1.06907869</v>
      </c>
      <c r="Y59" s="8">
        <v>1.0688484599999999</v>
      </c>
      <c r="Z59" s="8">
        <v>1.06861758</v>
      </c>
      <c r="AA59" s="8">
        <v>1.06840666</v>
      </c>
      <c r="AB59" s="8">
        <v>1.0682246900000001</v>
      </c>
      <c r="AC59" s="8">
        <v>1.0680297299999999</v>
      </c>
    </row>
    <row r="60" spans="1:29" x14ac:dyDescent="0.85">
      <c r="A60" t="s">
        <v>191</v>
      </c>
      <c r="B60" s="8">
        <v>1</v>
      </c>
      <c r="C60" s="8">
        <v>1.1674621599999999</v>
      </c>
      <c r="D60" s="8">
        <v>1.1597000799999999</v>
      </c>
      <c r="E60" s="8">
        <v>1.1588591800000001</v>
      </c>
      <c r="F60" s="8">
        <v>1.15322462</v>
      </c>
      <c r="G60" s="8">
        <v>1.1517361500000001</v>
      </c>
      <c r="H60" s="8">
        <v>1.15048741</v>
      </c>
      <c r="I60" s="8">
        <v>1.14943952</v>
      </c>
      <c r="J60" s="8">
        <v>1.1485607600000001</v>
      </c>
      <c r="K60" s="8">
        <v>1.1595588999999999</v>
      </c>
      <c r="L60" s="8">
        <v>1.16686439</v>
      </c>
      <c r="M60" s="8">
        <v>1.17382034</v>
      </c>
      <c r="N60" s="8">
        <v>1.1811787600000001</v>
      </c>
      <c r="O60" s="8">
        <v>1.18865781</v>
      </c>
      <c r="P60" s="8">
        <v>1.1949556100000001</v>
      </c>
      <c r="Q60" s="8">
        <v>1.1991439699999999</v>
      </c>
      <c r="R60" s="8">
        <v>1.20079234</v>
      </c>
      <c r="S60" s="8">
        <v>1.20361579</v>
      </c>
      <c r="T60" s="8">
        <v>1.2039232799999999</v>
      </c>
      <c r="U60" s="8">
        <v>1.20436199</v>
      </c>
      <c r="V60" s="8">
        <v>1.20567307</v>
      </c>
      <c r="W60" s="8">
        <v>1.207066</v>
      </c>
      <c r="X60" s="8">
        <v>1.20838292</v>
      </c>
      <c r="Y60" s="8">
        <v>1.2095534699999999</v>
      </c>
      <c r="Z60" s="8">
        <v>1.2109461800000001</v>
      </c>
      <c r="AA60" s="8">
        <v>1.21217039</v>
      </c>
      <c r="AB60" s="8">
        <v>1.2133620700000001</v>
      </c>
      <c r="AC60" s="8">
        <v>1.21448785</v>
      </c>
    </row>
    <row r="61" spans="1:29" x14ac:dyDescent="0.85">
      <c r="A61" t="s">
        <v>192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13306.80418945</v>
      </c>
      <c r="G61" s="8">
        <v>12974.134084720001</v>
      </c>
      <c r="H61" s="8">
        <v>12649.7807326</v>
      </c>
      <c r="I61" s="8">
        <v>12333.53621428</v>
      </c>
      <c r="J61" s="8">
        <v>12025.197808929999</v>
      </c>
      <c r="K61" s="8">
        <v>11724.5678637</v>
      </c>
      <c r="L61" s="8">
        <v>11431.45366711</v>
      </c>
      <c r="M61" s="8">
        <v>11145.66732543</v>
      </c>
      <c r="N61" s="8">
        <v>10867.025642299999</v>
      </c>
      <c r="O61" s="8">
        <v>10595.35000124</v>
      </c>
      <c r="P61" s="8">
        <v>10330.46625121</v>
      </c>
      <c r="Q61" s="8">
        <v>10072.204594930001</v>
      </c>
      <c r="R61" s="8">
        <v>9820.3994800599994</v>
      </c>
      <c r="S61" s="8">
        <v>9574.8894930499991</v>
      </c>
      <c r="T61" s="8">
        <v>9335.5172557299993</v>
      </c>
      <c r="U61" s="8">
        <v>9102.1293243300006</v>
      </c>
      <c r="V61" s="8">
        <v>8874.5760912299993</v>
      </c>
      <c r="W61" s="8">
        <v>8652.7116889499994</v>
      </c>
      <c r="X61" s="8">
        <v>8436.3938967199992</v>
      </c>
      <c r="Y61" s="8">
        <v>8225.4840492999992</v>
      </c>
      <c r="Z61" s="8">
        <v>8019.8469480699996</v>
      </c>
      <c r="AA61" s="8">
        <v>7819.3507743700002</v>
      </c>
      <c r="AB61" s="8">
        <v>7623.86700501</v>
      </c>
      <c r="AC61" s="8">
        <v>7433.2703298899996</v>
      </c>
    </row>
    <row r="62" spans="1:29" x14ac:dyDescent="0.85">
      <c r="A62" t="s">
        <v>193</v>
      </c>
      <c r="B62" s="8">
        <v>85873119.75</v>
      </c>
      <c r="C62" s="8">
        <v>83726282.678494707</v>
      </c>
      <c r="D62" s="8">
        <v>81617706.792920798</v>
      </c>
      <c r="E62" s="8">
        <v>71045348.264754295</v>
      </c>
      <c r="F62" s="8">
        <v>50722936.804876201</v>
      </c>
      <c r="G62" s="8">
        <v>26957683.799697999</v>
      </c>
      <c r="H62" s="8">
        <v>5360590.1975760898</v>
      </c>
      <c r="I62" s="8">
        <v>0.89324267999999996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85873119.75</v>
      </c>
      <c r="C63" s="8">
        <v>83726282.678494707</v>
      </c>
      <c r="D63" s="8">
        <v>81617706.792920798</v>
      </c>
      <c r="E63" s="8">
        <v>71045348.264754295</v>
      </c>
      <c r="F63" s="8">
        <v>50722936.804876201</v>
      </c>
      <c r="G63" s="8">
        <v>26957683.799697999</v>
      </c>
      <c r="H63" s="8">
        <v>5360590.1975760898</v>
      </c>
      <c r="I63" s="8">
        <v>0.89324267999999996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5632.7411711000004</v>
      </c>
      <c r="C64" s="8">
        <v>5491.9224304899999</v>
      </c>
      <c r="D64" s="8">
        <v>5354.26541963</v>
      </c>
      <c r="E64" s="8">
        <v>5021.7857829599998</v>
      </c>
      <c r="F64" s="8">
        <v>4464.4837922899997</v>
      </c>
      <c r="G64" s="8">
        <v>3829.1373567400001</v>
      </c>
      <c r="H64" s="8">
        <v>3246.3179557399999</v>
      </c>
      <c r="I64" s="8">
        <v>3043.4853513399999</v>
      </c>
      <c r="J64" s="8">
        <v>2967.3981972800002</v>
      </c>
      <c r="K64" s="8">
        <v>2893.2132423500002</v>
      </c>
      <c r="L64" s="8">
        <v>2820.8829112899998</v>
      </c>
      <c r="M64" s="8">
        <v>2750.3608385100001</v>
      </c>
      <c r="N64" s="8">
        <v>2681.60181754</v>
      </c>
      <c r="O64" s="8">
        <v>2614.5617720999999</v>
      </c>
      <c r="P64" s="8">
        <v>2549.1977277999999</v>
      </c>
      <c r="Q64" s="8">
        <v>2485.4677846099999</v>
      </c>
      <c r="R64" s="8">
        <v>2423.3310899899998</v>
      </c>
      <c r="S64" s="8">
        <v>2362.74781274</v>
      </c>
      <c r="T64" s="8">
        <v>2303.6791174199998</v>
      </c>
      <c r="U64" s="8">
        <v>2246.08713949</v>
      </c>
      <c r="V64" s="8">
        <v>2189.9349609999999</v>
      </c>
      <c r="W64" s="8">
        <v>2135.1865869799999</v>
      </c>
      <c r="X64" s="8">
        <v>2081.8069223000002</v>
      </c>
      <c r="Y64" s="8">
        <v>2029.76174924</v>
      </c>
      <c r="Z64" s="8">
        <v>1979.01770551</v>
      </c>
      <c r="AA64" s="8">
        <v>1929.5422628700001</v>
      </c>
      <c r="AB64" s="8">
        <v>1881.3037062999999</v>
      </c>
      <c r="AC64" s="8">
        <v>1834.2711136400001</v>
      </c>
    </row>
    <row r="65" spans="1:29" x14ac:dyDescent="0.85">
      <c r="A65" t="s">
        <v>196</v>
      </c>
      <c r="B65" s="8">
        <v>0</v>
      </c>
      <c r="C65" s="8">
        <v>1373.1110359300001</v>
      </c>
      <c r="D65" s="8">
        <v>2677.0607828100001</v>
      </c>
      <c r="E65" s="8">
        <v>3495.4311346300001</v>
      </c>
      <c r="F65" s="8">
        <v>3327.4246543999998</v>
      </c>
      <c r="G65" s="8">
        <v>2210.5300715799999</v>
      </c>
      <c r="H65" s="8">
        <v>527.48207544000002</v>
      </c>
      <c r="I65" s="8">
        <v>1.0254E-4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70.415958200000006</v>
      </c>
      <c r="C66" s="8">
        <v>68.655551799999998</v>
      </c>
      <c r="D66" s="8">
        <v>66.926519569999996</v>
      </c>
      <c r="E66" s="8">
        <v>58.257185579999998</v>
      </c>
      <c r="F66" s="8">
        <v>41.592808179999999</v>
      </c>
      <c r="G66" s="8">
        <v>22.105300719999999</v>
      </c>
      <c r="H66" s="8">
        <v>4.3956839600000004</v>
      </c>
      <c r="I66" s="8">
        <v>7.3E-7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3633.6149433199998</v>
      </c>
      <c r="C67" s="8">
        <v>3542.7745697400001</v>
      </c>
      <c r="D67" s="8">
        <v>3454.2052054999999</v>
      </c>
      <c r="E67" s="8">
        <v>3367.8500753600001</v>
      </c>
      <c r="F67" s="8">
        <v>3283.6538234700001</v>
      </c>
      <c r="G67" s="8">
        <v>3201.5624778900001</v>
      </c>
      <c r="H67" s="8">
        <v>3121.5234159400002</v>
      </c>
      <c r="I67" s="8">
        <v>3043.4853305400002</v>
      </c>
      <c r="J67" s="8">
        <v>2967.3981972800002</v>
      </c>
      <c r="K67" s="8">
        <v>2893.2132423500002</v>
      </c>
      <c r="L67" s="8">
        <v>2820.8829112899998</v>
      </c>
      <c r="M67" s="8">
        <v>2750.3608385100001</v>
      </c>
      <c r="N67" s="8">
        <v>2681.60181754</v>
      </c>
      <c r="O67" s="8">
        <v>2614.5617720999999</v>
      </c>
      <c r="P67" s="8">
        <v>2549.1977277999999</v>
      </c>
      <c r="Q67" s="8">
        <v>2485.4677846099999</v>
      </c>
      <c r="R67" s="8">
        <v>2423.3310899899998</v>
      </c>
      <c r="S67" s="8">
        <v>2362.74781274</v>
      </c>
      <c r="T67" s="8">
        <v>2303.6791174199998</v>
      </c>
      <c r="U67" s="8">
        <v>2246.08713949</v>
      </c>
      <c r="V67" s="8">
        <v>2189.9349609999999</v>
      </c>
      <c r="W67" s="8">
        <v>2135.1865869799999</v>
      </c>
      <c r="X67" s="8">
        <v>2081.8069223000002</v>
      </c>
      <c r="Y67" s="8">
        <v>2029.76174924</v>
      </c>
      <c r="Z67" s="8">
        <v>1979.01770551</v>
      </c>
      <c r="AA67" s="8">
        <v>1929.5422628700001</v>
      </c>
      <c r="AB67" s="8">
        <v>1881.3037062999999</v>
      </c>
      <c r="AC67" s="8">
        <v>1834.2711136400001</v>
      </c>
    </row>
    <row r="68" spans="1:29" x14ac:dyDescent="0.85">
      <c r="A68" t="s">
        <v>199</v>
      </c>
      <c r="B68" s="8">
        <v>1999.1262277799999</v>
      </c>
      <c r="C68" s="8">
        <v>1949.14786076</v>
      </c>
      <c r="D68" s="8">
        <v>1900.06021414</v>
      </c>
      <c r="E68" s="8">
        <v>1653.9357075999999</v>
      </c>
      <c r="F68" s="8">
        <v>1180.82996882</v>
      </c>
      <c r="G68" s="8">
        <v>627.57487886000001</v>
      </c>
      <c r="H68" s="8">
        <v>124.7945398</v>
      </c>
      <c r="I68" s="8">
        <v>2.0789999999999999E-5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0.99999989</v>
      </c>
      <c r="E69" s="8">
        <v>0.99981112000000005</v>
      </c>
      <c r="F69" s="8">
        <v>0.89278449999999998</v>
      </c>
      <c r="G69" s="8">
        <v>0.73225799999999996</v>
      </c>
      <c r="H69" s="8">
        <v>0.54509671999999998</v>
      </c>
      <c r="I69" s="8">
        <v>0.20395079999999999</v>
      </c>
      <c r="J69" s="8">
        <v>1.6999999999999999E-7</v>
      </c>
      <c r="K69" s="8">
        <v>0</v>
      </c>
      <c r="L69" s="8">
        <v>6.758E-5</v>
      </c>
      <c r="M69" s="8">
        <v>6.5320000000000005E-5</v>
      </c>
      <c r="N69" s="8">
        <v>3.7530000000000002E-5</v>
      </c>
      <c r="O69" s="8">
        <v>3.451E-5</v>
      </c>
      <c r="P69" s="8">
        <v>1.06E-6</v>
      </c>
      <c r="Q69" s="8">
        <v>1.0899999999999999E-6</v>
      </c>
      <c r="R69" s="8">
        <v>0</v>
      </c>
      <c r="S69" s="8">
        <v>9.5400000000000001E-6</v>
      </c>
      <c r="T69" s="8">
        <v>9.38E-6</v>
      </c>
      <c r="U69" s="8">
        <v>8.9700000000000005E-6</v>
      </c>
      <c r="V69" s="8">
        <v>2.9000000000000002E-6</v>
      </c>
      <c r="W69" s="8">
        <v>2.8899999999999999E-6</v>
      </c>
      <c r="X69" s="8">
        <v>3.0800000000000002E-6</v>
      </c>
      <c r="Y69" s="8">
        <v>2.8100000000000002E-6</v>
      </c>
      <c r="Z69" s="8">
        <v>2.6699999999999998E-6</v>
      </c>
      <c r="AA69" s="8">
        <v>2.74E-6</v>
      </c>
      <c r="AB69" s="8">
        <v>2.5299999999999999E-6</v>
      </c>
      <c r="AC69" s="8">
        <v>2.5000000000000002E-6</v>
      </c>
    </row>
    <row r="70" spans="1:29" x14ac:dyDescent="0.85">
      <c r="A70" t="s">
        <v>201</v>
      </c>
      <c r="B70" s="8">
        <v>1</v>
      </c>
      <c r="C70" s="8">
        <v>0.99999989</v>
      </c>
      <c r="D70" s="8">
        <v>0.99981112000000005</v>
      </c>
      <c r="E70" s="8">
        <v>0.89278449999999998</v>
      </c>
      <c r="F70" s="8">
        <v>0.73225799999999996</v>
      </c>
      <c r="G70" s="8">
        <v>0.54509671999999998</v>
      </c>
      <c r="H70" s="8">
        <v>0.20395079999999999</v>
      </c>
      <c r="I70" s="8">
        <v>1.6999999999999999E-7</v>
      </c>
      <c r="J70" s="8">
        <v>0</v>
      </c>
      <c r="K70" s="8">
        <v>6.758E-5</v>
      </c>
      <c r="L70" s="8">
        <v>6.5320000000000005E-5</v>
      </c>
      <c r="M70" s="8">
        <v>3.7530000000000002E-5</v>
      </c>
      <c r="N70" s="8">
        <v>3.451E-5</v>
      </c>
      <c r="O70" s="8">
        <v>1.06E-6</v>
      </c>
      <c r="P70" s="8">
        <v>1.0899999999999999E-6</v>
      </c>
      <c r="Q70" s="8">
        <v>0</v>
      </c>
      <c r="R70" s="8">
        <v>9.5400000000000001E-6</v>
      </c>
      <c r="S70" s="8">
        <v>9.38E-6</v>
      </c>
      <c r="T70" s="8">
        <v>8.9700000000000005E-6</v>
      </c>
      <c r="U70" s="8">
        <v>2.9000000000000002E-6</v>
      </c>
      <c r="V70" s="8">
        <v>2.8899999999999999E-6</v>
      </c>
      <c r="W70" s="8">
        <v>3.0800000000000002E-6</v>
      </c>
      <c r="X70" s="8">
        <v>2.8100000000000002E-6</v>
      </c>
      <c r="Y70" s="8">
        <v>2.6699999999999998E-6</v>
      </c>
      <c r="Z70" s="8">
        <v>2.74E-6</v>
      </c>
      <c r="AA70" s="8">
        <v>2.5299999999999999E-6</v>
      </c>
      <c r="AB70" s="8">
        <v>2.5000000000000002E-6</v>
      </c>
      <c r="AC70" s="8">
        <v>1.6899999999999999E-6</v>
      </c>
    </row>
    <row r="71" spans="1:29" x14ac:dyDescent="0.85">
      <c r="A71" t="s">
        <v>202</v>
      </c>
      <c r="B71" s="8">
        <v>1</v>
      </c>
      <c r="C71" s="8">
        <v>1.4580833600000001</v>
      </c>
      <c r="D71" s="8">
        <v>1.47623064</v>
      </c>
      <c r="E71" s="8">
        <v>1.5093368899999999</v>
      </c>
      <c r="F71" s="8">
        <v>1.5556919499999999</v>
      </c>
      <c r="G71" s="8">
        <v>1.62147299</v>
      </c>
      <c r="H71" s="8">
        <v>1.6956151699999999</v>
      </c>
      <c r="I71" s="8">
        <v>1.77918244</v>
      </c>
      <c r="J71" s="8">
        <v>1.87337603</v>
      </c>
      <c r="K71" s="8">
        <v>1.9321287599999999</v>
      </c>
      <c r="L71" s="8">
        <v>2.0111769100000001</v>
      </c>
      <c r="M71" s="8">
        <v>2.0992606899999999</v>
      </c>
      <c r="N71" s="8">
        <v>2.19463454</v>
      </c>
      <c r="O71" s="8">
        <v>2.2988439600000001</v>
      </c>
      <c r="P71" s="8">
        <v>2.40151169</v>
      </c>
      <c r="Q71" s="8">
        <v>2.49224041</v>
      </c>
      <c r="R71" s="8">
        <v>2.5724045200000001</v>
      </c>
      <c r="S71" s="8">
        <v>2.6642424400000002</v>
      </c>
      <c r="T71" s="8">
        <v>2.7486900099999998</v>
      </c>
      <c r="U71" s="8">
        <v>2.84581537</v>
      </c>
      <c r="V71" s="8">
        <v>2.9569762700000002</v>
      </c>
      <c r="W71" s="8">
        <v>3.0751804900000002</v>
      </c>
      <c r="X71" s="8">
        <v>3.1990670799999998</v>
      </c>
      <c r="Y71" s="8">
        <v>3.3280069000000001</v>
      </c>
      <c r="Z71" s="8">
        <v>3.4668035800000001</v>
      </c>
      <c r="AA71" s="8">
        <v>3.6109768600000001</v>
      </c>
      <c r="AB71" s="8">
        <v>3.7625309599999999</v>
      </c>
      <c r="AC71" s="8">
        <v>3.92136233</v>
      </c>
    </row>
    <row r="72" spans="1:29" x14ac:dyDescent="0.85">
      <c r="A72" t="s">
        <v>203</v>
      </c>
      <c r="B72" s="8">
        <v>0</v>
      </c>
      <c r="C72" s="8">
        <v>5.9650000000000002E-4</v>
      </c>
      <c r="D72" s="8">
        <v>2.509867E-2</v>
      </c>
      <c r="E72" s="8">
        <v>50.057627549999999</v>
      </c>
      <c r="F72" s="8">
        <v>45.118697220000001</v>
      </c>
      <c r="G72" s="8">
        <v>148.8091263</v>
      </c>
      <c r="H72" s="8">
        <v>390.74201636999999</v>
      </c>
      <c r="I72" s="8">
        <v>351.66781472999998</v>
      </c>
      <c r="J72" s="8">
        <v>316.50103325999999</v>
      </c>
      <c r="K72" s="8">
        <v>284.85779280000003</v>
      </c>
      <c r="L72" s="8">
        <v>256.37475099</v>
      </c>
      <c r="M72" s="8">
        <v>230.73730813</v>
      </c>
      <c r="N72" s="8">
        <v>207.66534358000001</v>
      </c>
      <c r="O72" s="8">
        <v>189.41548277000001</v>
      </c>
      <c r="P72" s="8">
        <v>170.47393449</v>
      </c>
      <c r="Q72" s="8">
        <v>153.42671172999999</v>
      </c>
      <c r="R72" s="8">
        <v>138.08404973</v>
      </c>
      <c r="S72" s="8">
        <v>124.27564475</v>
      </c>
      <c r="T72" s="8">
        <v>111.84810467</v>
      </c>
      <c r="U72" s="8">
        <v>100.66348394000001</v>
      </c>
      <c r="V72" s="8">
        <v>90.597155240000006</v>
      </c>
      <c r="W72" s="8">
        <v>81.537606580000002</v>
      </c>
      <c r="X72" s="8">
        <v>73.383856940000001</v>
      </c>
      <c r="Y72" s="8">
        <v>66.045472050000001</v>
      </c>
      <c r="Z72" s="8">
        <v>59.440937699999999</v>
      </c>
      <c r="AA72" s="8">
        <v>53.496843929999997</v>
      </c>
      <c r="AB72" s="8">
        <v>48.147159539999997</v>
      </c>
      <c r="AC72" s="8">
        <v>43.332678020000003</v>
      </c>
    </row>
    <row r="73" spans="1:29" x14ac:dyDescent="0.85">
      <c r="A73" t="s">
        <v>204</v>
      </c>
      <c r="B73" s="8">
        <v>0</v>
      </c>
      <c r="C73" s="8">
        <v>1.4467000000000001E-4</v>
      </c>
      <c r="D73" s="8">
        <v>6.1440599999999998E-3</v>
      </c>
      <c r="E73" s="8">
        <v>12.508740339999999</v>
      </c>
      <c r="F73" s="8">
        <v>1.6728259999999998E-2</v>
      </c>
      <c r="G73" s="8">
        <v>27.050574520000001</v>
      </c>
      <c r="H73" s="8">
        <v>64.2034424</v>
      </c>
      <c r="I73" s="8">
        <v>0</v>
      </c>
      <c r="J73" s="8">
        <v>1.8898820199999999</v>
      </c>
      <c r="K73" s="8">
        <v>71.214447930000006</v>
      </c>
      <c r="L73" s="8">
        <v>64.093685789999995</v>
      </c>
      <c r="M73" s="8">
        <v>57.684326990000002</v>
      </c>
      <c r="N73" s="8">
        <v>51.916331720000002</v>
      </c>
      <c r="O73" s="8">
        <v>47.353870620000002</v>
      </c>
      <c r="P73" s="8">
        <v>42.618471620000001</v>
      </c>
      <c r="Q73" s="8">
        <v>38.356676819999997</v>
      </c>
      <c r="R73" s="8">
        <v>34.521011309999999</v>
      </c>
      <c r="S73" s="8">
        <v>62.137724159999998</v>
      </c>
      <c r="T73" s="8">
        <v>27.9620259</v>
      </c>
      <c r="U73" s="8">
        <v>25.165870980000001</v>
      </c>
      <c r="V73" s="8">
        <v>22.64928853</v>
      </c>
      <c r="W73" s="8">
        <v>20.384396379999998</v>
      </c>
      <c r="X73" s="8">
        <v>18.345963810000001</v>
      </c>
      <c r="Y73" s="8">
        <v>16.511368000000001</v>
      </c>
      <c r="Z73" s="8">
        <v>14.86023277</v>
      </c>
      <c r="AA73" s="8">
        <v>13.374210740000001</v>
      </c>
      <c r="AB73" s="8">
        <v>12.036784239999999</v>
      </c>
      <c r="AC73" s="8">
        <v>10.83316904</v>
      </c>
    </row>
    <row r="74" spans="1:29" x14ac:dyDescent="0.85">
      <c r="A74" t="s">
        <v>205</v>
      </c>
      <c r="B74" s="8">
        <v>0</v>
      </c>
      <c r="C74" s="8">
        <v>1.4467000000000001E-4</v>
      </c>
      <c r="D74" s="8">
        <v>6.1440599999999998E-3</v>
      </c>
      <c r="E74" s="8">
        <v>12.508740339999999</v>
      </c>
      <c r="F74" s="8">
        <v>1.6728259999999998E-2</v>
      </c>
      <c r="G74" s="8">
        <v>27.050574520000001</v>
      </c>
      <c r="H74" s="8">
        <v>64.2034424</v>
      </c>
      <c r="I74" s="8">
        <v>0</v>
      </c>
      <c r="J74" s="8">
        <v>1.8898820199999999</v>
      </c>
      <c r="K74" s="8">
        <v>71.214447930000006</v>
      </c>
      <c r="L74" s="8">
        <v>64.093685789999995</v>
      </c>
      <c r="M74" s="8">
        <v>57.684326990000002</v>
      </c>
      <c r="N74" s="8">
        <v>51.916331720000002</v>
      </c>
      <c r="O74" s="8">
        <v>47.353870620000002</v>
      </c>
      <c r="P74" s="8">
        <v>42.618471620000001</v>
      </c>
      <c r="Q74" s="8">
        <v>38.356676819999997</v>
      </c>
      <c r="R74" s="8">
        <v>34.521011309999999</v>
      </c>
      <c r="S74" s="8">
        <v>62.137724159999998</v>
      </c>
      <c r="T74" s="8">
        <v>27.9620259</v>
      </c>
      <c r="U74" s="8">
        <v>25.165870980000001</v>
      </c>
      <c r="V74" s="8">
        <v>22.64928853</v>
      </c>
      <c r="W74" s="8">
        <v>20.384396379999998</v>
      </c>
      <c r="X74" s="8">
        <v>18.345963810000001</v>
      </c>
      <c r="Y74" s="8">
        <v>16.511368000000001</v>
      </c>
      <c r="Z74" s="8">
        <v>14.86023277</v>
      </c>
      <c r="AA74" s="8">
        <v>13.374210740000001</v>
      </c>
      <c r="AB74" s="8">
        <v>12.036784239999999</v>
      </c>
      <c r="AC74" s="8">
        <v>10.83316904</v>
      </c>
    </row>
    <row r="75" spans="1:29" x14ac:dyDescent="0.85">
      <c r="A75" t="s">
        <v>206</v>
      </c>
      <c r="B75" s="8">
        <v>0</v>
      </c>
      <c r="C75" s="8">
        <v>1.1529E-4</v>
      </c>
      <c r="D75" s="8">
        <v>4.8508199999999996E-3</v>
      </c>
      <c r="E75" s="8">
        <v>9.6746485900000003</v>
      </c>
      <c r="F75" s="8">
        <v>8.7199454200000002</v>
      </c>
      <c r="G75" s="8">
        <v>28.76023271</v>
      </c>
      <c r="H75" s="8">
        <v>75.518334210000006</v>
      </c>
      <c r="I75" s="8">
        <v>67.965705119999996</v>
      </c>
      <c r="J75" s="8">
        <v>61.16916063</v>
      </c>
      <c r="K75" s="8">
        <v>55.054528130000001</v>
      </c>
      <c r="L75" s="8">
        <v>49.549604389999999</v>
      </c>
      <c r="M75" s="8">
        <v>44.594650180000002</v>
      </c>
      <c r="N75" s="8">
        <v>40.13552653</v>
      </c>
      <c r="O75" s="8">
        <v>36.608371929999997</v>
      </c>
      <c r="P75" s="8">
        <v>32.947534730000001</v>
      </c>
      <c r="Q75" s="8">
        <v>29.652814249999999</v>
      </c>
      <c r="R75" s="8">
        <v>26.687534599999999</v>
      </c>
      <c r="S75" s="8">
        <v>24.019208949999999</v>
      </c>
      <c r="T75" s="8">
        <v>21.616907739999998</v>
      </c>
      <c r="U75" s="8">
        <v>19.455253630000001</v>
      </c>
      <c r="V75" s="8">
        <v>17.509732079999999</v>
      </c>
      <c r="W75" s="8">
        <v>15.75879112</v>
      </c>
      <c r="X75" s="8">
        <v>14.182914139999999</v>
      </c>
      <c r="Y75" s="8">
        <v>12.764622879999999</v>
      </c>
      <c r="Z75" s="8">
        <v>11.48816308</v>
      </c>
      <c r="AA75" s="8">
        <v>10.339346770000001</v>
      </c>
      <c r="AB75" s="8">
        <v>9.3054120900000008</v>
      </c>
      <c r="AC75" s="8">
        <v>8.3749161900000004</v>
      </c>
    </row>
    <row r="76" spans="1:29" x14ac:dyDescent="0.85">
      <c r="A76" t="s">
        <v>207</v>
      </c>
      <c r="B76" s="8">
        <v>0</v>
      </c>
      <c r="C76" s="8">
        <v>0</v>
      </c>
      <c r="D76" s="8">
        <v>2.9999999999999997E-8</v>
      </c>
      <c r="E76" s="8">
        <v>8.3499999999999997E-5</v>
      </c>
      <c r="F76" s="8">
        <v>1.4999999999999999E-7</v>
      </c>
      <c r="G76" s="8">
        <v>3.0093999999999997E-4</v>
      </c>
      <c r="H76" s="8">
        <v>8.5711999999999995E-4</v>
      </c>
      <c r="I76" s="8">
        <v>0</v>
      </c>
      <c r="J76" s="8">
        <v>3.3640000000000003E-5</v>
      </c>
      <c r="K76" s="8">
        <v>1.42607E-3</v>
      </c>
      <c r="L76" s="8">
        <v>1.4260799999999999E-3</v>
      </c>
      <c r="M76" s="8">
        <v>1.41182E-3</v>
      </c>
      <c r="N76" s="8">
        <v>1.3861699999999999E-3</v>
      </c>
      <c r="O76" s="8">
        <v>1.3697099999999999E-3</v>
      </c>
      <c r="P76" s="8">
        <v>1.3275699999999999E-3</v>
      </c>
      <c r="Q76" s="8">
        <v>1.2801500000000001E-3</v>
      </c>
      <c r="R76" s="8">
        <v>1.2289499999999999E-3</v>
      </c>
      <c r="S76" s="8">
        <v>2.3503600000000001E-3</v>
      </c>
      <c r="T76" s="8">
        <v>1.11988E-3</v>
      </c>
      <c r="U76" s="8">
        <v>1.0638900000000001E-3</v>
      </c>
      <c r="V76" s="8">
        <v>1.00789E-3</v>
      </c>
      <c r="W76" s="8">
        <v>9.5246000000000003E-4</v>
      </c>
      <c r="X76" s="8">
        <v>8.9802999999999997E-4</v>
      </c>
      <c r="Y76" s="8">
        <v>8.4497000000000001E-4</v>
      </c>
      <c r="Z76" s="8">
        <v>7.9354000000000002E-4</v>
      </c>
      <c r="AA76" s="8">
        <v>7.4394000000000001E-4</v>
      </c>
      <c r="AB76" s="8">
        <v>6.9633E-4</v>
      </c>
      <c r="AC76" s="8">
        <v>6.5079999999999999E-4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1.39E-6</v>
      </c>
      <c r="F77" s="8">
        <v>0</v>
      </c>
      <c r="G77" s="8">
        <v>3.01E-6</v>
      </c>
      <c r="H77" s="8">
        <v>7.1400000000000002E-6</v>
      </c>
      <c r="I77" s="8">
        <v>0</v>
      </c>
      <c r="J77" s="8">
        <v>2.1E-7</v>
      </c>
      <c r="K77" s="8">
        <v>7.9200000000000004E-6</v>
      </c>
      <c r="L77" s="8">
        <v>7.1300000000000003E-6</v>
      </c>
      <c r="M77" s="8">
        <v>6.4200000000000004E-6</v>
      </c>
      <c r="N77" s="8">
        <v>5.7799999999999997E-6</v>
      </c>
      <c r="O77" s="8">
        <v>5.2700000000000004E-6</v>
      </c>
      <c r="P77" s="8">
        <v>4.7400000000000004E-6</v>
      </c>
      <c r="Q77" s="8">
        <v>4.2699999999999998E-6</v>
      </c>
      <c r="R77" s="8">
        <v>3.8399999999999997E-6</v>
      </c>
      <c r="S77" s="8">
        <v>6.9099999999999999E-6</v>
      </c>
      <c r="T77" s="8">
        <v>3.1099999999999999E-6</v>
      </c>
      <c r="U77" s="8">
        <v>2.7999999999999999E-6</v>
      </c>
      <c r="V77" s="8">
        <v>2.52E-6</v>
      </c>
      <c r="W77" s="8">
        <v>2.2699999999999999E-6</v>
      </c>
      <c r="X77" s="8">
        <v>2.04E-6</v>
      </c>
      <c r="Y77" s="8">
        <v>1.84E-6</v>
      </c>
      <c r="Z77" s="8">
        <v>1.6500000000000001E-6</v>
      </c>
      <c r="AA77" s="8">
        <v>1.4899999999999999E-6</v>
      </c>
      <c r="AB77" s="8">
        <v>1.3400000000000001E-6</v>
      </c>
      <c r="AC77" s="8">
        <v>1.2100000000000001E-6</v>
      </c>
    </row>
    <row r="78" spans="1:29" x14ac:dyDescent="0.85">
      <c r="A78" t="s">
        <v>209</v>
      </c>
      <c r="B78" s="8">
        <v>0</v>
      </c>
      <c r="C78" s="8">
        <v>1.1527999999999999E-4</v>
      </c>
      <c r="D78" s="8">
        <v>4.8507400000000001E-3</v>
      </c>
      <c r="E78" s="8">
        <v>9.67447634</v>
      </c>
      <c r="F78" s="8">
        <v>8.7199451900000007</v>
      </c>
      <c r="G78" s="8">
        <v>28.75986022</v>
      </c>
      <c r="H78" s="8">
        <v>75.51745013</v>
      </c>
      <c r="I78" s="8">
        <v>67.965705119999996</v>
      </c>
      <c r="J78" s="8">
        <v>61.16913461</v>
      </c>
      <c r="K78" s="8">
        <v>55.053547510000001</v>
      </c>
      <c r="L78" s="8">
        <v>49.548721819999997</v>
      </c>
      <c r="M78" s="8">
        <v>44.593855869999999</v>
      </c>
      <c r="N78" s="8">
        <v>40.134811640000002</v>
      </c>
      <c r="O78" s="8">
        <v>36.607719860000003</v>
      </c>
      <c r="P78" s="8">
        <v>32.946947880000003</v>
      </c>
      <c r="Q78" s="8">
        <v>29.65228608</v>
      </c>
      <c r="R78" s="8">
        <v>26.68705924</v>
      </c>
      <c r="S78" s="8">
        <v>24.018353319999999</v>
      </c>
      <c r="T78" s="8">
        <v>21.616522700000001</v>
      </c>
      <c r="U78" s="8">
        <v>19.4549071</v>
      </c>
      <c r="V78" s="8">
        <v>17.509420200000001</v>
      </c>
      <c r="W78" s="8">
        <v>15.758510429999999</v>
      </c>
      <c r="X78" s="8">
        <v>14.182661510000001</v>
      </c>
      <c r="Y78" s="8">
        <v>12.764395520000001</v>
      </c>
      <c r="Z78" s="8">
        <v>11.487958450000001</v>
      </c>
      <c r="AA78" s="8">
        <v>10.339162610000001</v>
      </c>
      <c r="AB78" s="8">
        <v>9.3052463400000001</v>
      </c>
      <c r="AC78" s="8">
        <v>8.3747670200000002</v>
      </c>
    </row>
    <row r="79" spans="1:29" x14ac:dyDescent="0.85">
      <c r="A79" t="s">
        <v>210</v>
      </c>
      <c r="B79" s="8">
        <v>0</v>
      </c>
      <c r="C79" s="8">
        <v>0</v>
      </c>
      <c r="D79" s="8">
        <v>8.0000000000000002E-8</v>
      </c>
      <c r="E79" s="8">
        <v>1.7225000000000001E-4</v>
      </c>
      <c r="F79" s="8">
        <v>2.2999999999999999E-7</v>
      </c>
      <c r="G79" s="8">
        <v>3.7249000000000001E-4</v>
      </c>
      <c r="H79" s="8">
        <v>8.8407999999999998E-4</v>
      </c>
      <c r="I79" s="8">
        <v>0</v>
      </c>
      <c r="J79" s="8">
        <v>2.6020000000000002E-5</v>
      </c>
      <c r="K79" s="8">
        <v>9.8061999999999997E-4</v>
      </c>
      <c r="L79" s="8">
        <v>8.8256999999999995E-4</v>
      </c>
      <c r="M79" s="8">
        <v>7.9431E-4</v>
      </c>
      <c r="N79" s="8">
        <v>7.1489000000000003E-4</v>
      </c>
      <c r="O79" s="8">
        <v>6.5205999999999999E-4</v>
      </c>
      <c r="P79" s="8">
        <v>5.8686000000000003E-4</v>
      </c>
      <c r="Q79" s="8">
        <v>5.2817000000000001E-4</v>
      </c>
      <c r="R79" s="8">
        <v>4.7534999999999998E-4</v>
      </c>
      <c r="S79" s="8">
        <v>8.5563999999999996E-4</v>
      </c>
      <c r="T79" s="8">
        <v>3.8504000000000001E-4</v>
      </c>
      <c r="U79" s="8">
        <v>3.4653E-4</v>
      </c>
      <c r="V79" s="8">
        <v>3.1188E-4</v>
      </c>
      <c r="W79" s="8">
        <v>2.8069E-4</v>
      </c>
      <c r="X79" s="8">
        <v>2.5262E-4</v>
      </c>
      <c r="Y79" s="8">
        <v>2.2735999999999999E-4</v>
      </c>
      <c r="Z79" s="8">
        <v>2.0463E-4</v>
      </c>
      <c r="AA79" s="8">
        <v>1.8416E-4</v>
      </c>
      <c r="AB79" s="8">
        <v>1.6574999999999999E-4</v>
      </c>
      <c r="AC79" s="8">
        <v>1.4917000000000001E-4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1.0000006400000001</v>
      </c>
      <c r="E80" s="8">
        <v>1.0000261399999999</v>
      </c>
      <c r="F80" s="8">
        <v>1.0509375400000001</v>
      </c>
      <c r="G80" s="8">
        <v>1.00006372</v>
      </c>
      <c r="H80" s="8">
        <v>1.0942445199999999</v>
      </c>
      <c r="I80" s="8">
        <v>1.2039925300000001</v>
      </c>
      <c r="J80" s="8">
        <v>1</v>
      </c>
      <c r="K80" s="8">
        <v>1</v>
      </c>
      <c r="L80" s="8">
        <v>1.00000435</v>
      </c>
      <c r="M80" s="8">
        <v>1.00000164</v>
      </c>
      <c r="N80" s="8">
        <v>1.0000000200000001</v>
      </c>
      <c r="O80" s="8">
        <v>1.0000009400000001</v>
      </c>
      <c r="P80" s="8">
        <v>1.0012601299999999</v>
      </c>
      <c r="Q80" s="8">
        <v>1</v>
      </c>
      <c r="R80" s="8">
        <v>1.00000008</v>
      </c>
      <c r="S80" s="8">
        <v>1</v>
      </c>
      <c r="T80" s="8">
        <v>1</v>
      </c>
      <c r="U80" s="8">
        <v>1.0000000099999999</v>
      </c>
      <c r="V80" s="8">
        <v>1.00000008</v>
      </c>
      <c r="W80" s="8">
        <v>1.0000000099999999</v>
      </c>
      <c r="X80" s="8">
        <v>1.0000000600000001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</row>
    <row r="81" spans="1:29" x14ac:dyDescent="0.85">
      <c r="A81" t="s">
        <v>212</v>
      </c>
      <c r="B81" s="8">
        <v>1</v>
      </c>
      <c r="C81" s="8">
        <v>1.0000006400000001</v>
      </c>
      <c r="D81" s="8">
        <v>1.0000261399999999</v>
      </c>
      <c r="E81" s="8">
        <v>1.0509375400000001</v>
      </c>
      <c r="F81" s="8">
        <v>1.00006372</v>
      </c>
      <c r="G81" s="8">
        <v>1.0942445199999999</v>
      </c>
      <c r="H81" s="8">
        <v>1.2039925300000001</v>
      </c>
      <c r="I81" s="8">
        <v>1</v>
      </c>
      <c r="J81" s="8">
        <v>1</v>
      </c>
      <c r="K81" s="8">
        <v>1.00000435</v>
      </c>
      <c r="L81" s="8">
        <v>1.00000164</v>
      </c>
      <c r="M81" s="8">
        <v>1.0000000200000001</v>
      </c>
      <c r="N81" s="8">
        <v>1.0000009400000001</v>
      </c>
      <c r="O81" s="8">
        <v>1.0012601299999999</v>
      </c>
      <c r="P81" s="8">
        <v>1</v>
      </c>
      <c r="Q81" s="8">
        <v>1.00000008</v>
      </c>
      <c r="R81" s="8">
        <v>1</v>
      </c>
      <c r="S81" s="8">
        <v>1</v>
      </c>
      <c r="T81" s="8">
        <v>1.0000000099999999</v>
      </c>
      <c r="U81" s="8">
        <v>1.00000008</v>
      </c>
      <c r="V81" s="8">
        <v>1.0000000099999999</v>
      </c>
      <c r="W81" s="8">
        <v>1.0000000600000001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1.00000007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321B-956C-41D2-BB25-CABF332FC7E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53455</v>
      </c>
      <c r="C5" s="8">
        <v>54478.375477629997</v>
      </c>
      <c r="D5" s="8">
        <v>55577.593375420001</v>
      </c>
      <c r="E5" s="8">
        <v>57043.40075827</v>
      </c>
      <c r="F5" s="8">
        <v>59472.001272679998</v>
      </c>
      <c r="G5" s="8">
        <v>63737.92536573</v>
      </c>
      <c r="H5" s="8">
        <v>68332.036935840006</v>
      </c>
      <c r="I5" s="8">
        <v>73284.169399609993</v>
      </c>
      <c r="J5" s="8">
        <v>75599.7391489</v>
      </c>
      <c r="K5" s="8">
        <v>77848.585955810006</v>
      </c>
      <c r="L5" s="8">
        <v>80049.766621629999</v>
      </c>
      <c r="M5" s="8">
        <v>82434.968316130005</v>
      </c>
      <c r="N5" s="8">
        <v>84872.839534879997</v>
      </c>
      <c r="O5" s="8">
        <v>87621.808363889999</v>
      </c>
      <c r="P5" s="8">
        <v>90471.712339799997</v>
      </c>
      <c r="Q5" s="8">
        <v>93448.695885239998</v>
      </c>
      <c r="R5" s="8">
        <v>96588.584199909994</v>
      </c>
      <c r="S5" s="8">
        <v>99819.047308840003</v>
      </c>
      <c r="T5" s="8">
        <v>103142.33265947</v>
      </c>
      <c r="U5" s="8">
        <v>106560.73841238</v>
      </c>
      <c r="V5" s="8">
        <v>110076.61098805</v>
      </c>
      <c r="W5" s="8">
        <v>113692.3471477</v>
      </c>
      <c r="X5" s="8">
        <v>117410.39394179999</v>
      </c>
      <c r="Y5" s="8">
        <v>118762.36620039</v>
      </c>
      <c r="Z5" s="8">
        <v>120191.16409984999</v>
      </c>
      <c r="AA5" s="8">
        <v>121689.15353226999</v>
      </c>
      <c r="AB5" s="8">
        <v>123258.2443962</v>
      </c>
      <c r="AC5" s="8">
        <v>124222.89387735999</v>
      </c>
    </row>
    <row r="6" spans="1:29" x14ac:dyDescent="0.85">
      <c r="A6" t="s">
        <v>139</v>
      </c>
      <c r="B6" s="8">
        <v>228249709.75</v>
      </c>
      <c r="C6" s="8">
        <v>233109960.73694101</v>
      </c>
      <c r="D6" s="8">
        <v>238067422.53768101</v>
      </c>
      <c r="E6" s="8">
        <v>243124030.67844</v>
      </c>
      <c r="F6" s="8">
        <v>248281768.10448799</v>
      </c>
      <c r="G6" s="8">
        <v>253542666.05110499</v>
      </c>
      <c r="H6" s="8">
        <v>258908779.02007499</v>
      </c>
      <c r="I6" s="8">
        <v>264382165.074065</v>
      </c>
      <c r="J6" s="8">
        <v>269965118.24898797</v>
      </c>
      <c r="K6" s="8">
        <v>275659738.628856</v>
      </c>
      <c r="L6" s="8">
        <v>281479694.68597299</v>
      </c>
      <c r="M6" s="8">
        <v>287461410.58779103</v>
      </c>
      <c r="N6" s="8">
        <v>293689332.45408702</v>
      </c>
      <c r="O6" s="8">
        <v>300271957.18265498</v>
      </c>
      <c r="P6" s="8">
        <v>307337546.374524</v>
      </c>
      <c r="Q6" s="8">
        <v>315053754.76582199</v>
      </c>
      <c r="R6" s="8">
        <v>323578480.31410402</v>
      </c>
      <c r="S6" s="8">
        <v>333077508.27766401</v>
      </c>
      <c r="T6" s="8">
        <v>343650713.84065598</v>
      </c>
      <c r="U6" s="8">
        <v>355417508.01914501</v>
      </c>
      <c r="V6" s="8">
        <v>368494594.27259499</v>
      </c>
      <c r="W6" s="8">
        <v>382991641.79964501</v>
      </c>
      <c r="X6" s="8">
        <v>398974184.63117498</v>
      </c>
      <c r="Y6" s="8">
        <v>412852305.72581297</v>
      </c>
      <c r="Z6" s="8">
        <v>427644365.14045101</v>
      </c>
      <c r="AA6" s="8">
        <v>443243926.36181498</v>
      </c>
      <c r="AB6" s="8">
        <v>459563054.23909402</v>
      </c>
      <c r="AC6" s="8">
        <v>467939105.28471601</v>
      </c>
    </row>
    <row r="7" spans="1:29" x14ac:dyDescent="0.85">
      <c r="A7" t="s">
        <v>140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</row>
    <row r="8" spans="1:29" x14ac:dyDescent="0.85">
      <c r="A8" t="s">
        <v>141</v>
      </c>
      <c r="B8" s="8">
        <v>9885.8661343000003</v>
      </c>
      <c r="C8" s="8">
        <v>9871.5101267900009</v>
      </c>
      <c r="D8" s="8">
        <v>9865.0248915899992</v>
      </c>
      <c r="E8" s="8">
        <v>9897.0052193600004</v>
      </c>
      <c r="F8" s="8">
        <v>10027.49759442</v>
      </c>
      <c r="G8" s="8">
        <v>10982.50218829</v>
      </c>
      <c r="H8" s="8">
        <v>12009.44205306</v>
      </c>
      <c r="I8" s="8">
        <v>13154.18870708</v>
      </c>
      <c r="J8" s="8">
        <v>14048.509882320001</v>
      </c>
      <c r="K8" s="8">
        <v>14957.24265151</v>
      </c>
      <c r="L8" s="8">
        <v>15881.38920109</v>
      </c>
      <c r="M8" s="8">
        <v>16842.797189370001</v>
      </c>
      <c r="N8" s="8">
        <v>17830.413505709999</v>
      </c>
      <c r="O8" s="8">
        <v>18869.697397690001</v>
      </c>
      <c r="P8" s="8">
        <v>19943.221669400002</v>
      </c>
      <c r="Q8" s="8">
        <v>21054.366862840001</v>
      </c>
      <c r="R8" s="8">
        <v>22207.717844440001</v>
      </c>
      <c r="S8" s="8">
        <v>23397.713800019999</v>
      </c>
      <c r="T8" s="8">
        <v>24625.300872259999</v>
      </c>
      <c r="U8" s="8">
        <v>25891.450103470001</v>
      </c>
      <c r="V8" s="8">
        <v>27197.158199649999</v>
      </c>
      <c r="W8" s="8">
        <v>28543.447943359999</v>
      </c>
      <c r="X8" s="8">
        <v>29931.368441359999</v>
      </c>
      <c r="Y8" s="8">
        <v>31119.233096989999</v>
      </c>
      <c r="Z8" s="8">
        <v>32321.877106870001</v>
      </c>
      <c r="AA8" s="8">
        <v>33540.214360279999</v>
      </c>
      <c r="AB8" s="8">
        <v>34775.348996269997</v>
      </c>
      <c r="AC8" s="8">
        <v>35354.444173559998</v>
      </c>
    </row>
    <row r="9" spans="1:29" x14ac:dyDescent="0.85">
      <c r="A9" t="s">
        <v>142</v>
      </c>
      <c r="B9" s="8">
        <v>4656.30500407</v>
      </c>
      <c r="C9" s="8">
        <v>4756.4191302299996</v>
      </c>
      <c r="D9" s="8">
        <v>4858.20432265</v>
      </c>
      <c r="E9" s="8">
        <v>4961.6622299399996</v>
      </c>
      <c r="F9" s="8">
        <v>5071.0289372699999</v>
      </c>
      <c r="G9" s="8">
        <v>5018.1977793899996</v>
      </c>
      <c r="H9" s="8">
        <v>4956.0696029000001</v>
      </c>
      <c r="I9" s="8">
        <v>4884.09857121</v>
      </c>
      <c r="J9" s="8">
        <v>4784.83049415</v>
      </c>
      <c r="K9" s="8">
        <v>4682.1592026199996</v>
      </c>
      <c r="L9" s="8">
        <v>4576.6863271000002</v>
      </c>
      <c r="M9" s="8">
        <v>4469.5010648099997</v>
      </c>
      <c r="N9" s="8">
        <v>4362.0816221900004</v>
      </c>
      <c r="O9" s="8">
        <v>4256.9393503299998</v>
      </c>
      <c r="P9" s="8">
        <v>4156.1969723599996</v>
      </c>
      <c r="Q9" s="8">
        <v>4063.65500479</v>
      </c>
      <c r="R9" s="8">
        <v>3982.7898156599999</v>
      </c>
      <c r="S9" s="8">
        <v>3917.1523054999998</v>
      </c>
      <c r="T9" s="8">
        <v>3868.9328715299998</v>
      </c>
      <c r="U9" s="8">
        <v>3840.7928742899999</v>
      </c>
      <c r="V9" s="8">
        <v>3835.3216216800001</v>
      </c>
      <c r="W9" s="8">
        <v>3854.93067453</v>
      </c>
      <c r="X9" s="8">
        <v>3900.94853788</v>
      </c>
      <c r="Y9" s="8">
        <v>3997.14987797</v>
      </c>
      <c r="Z9" s="8">
        <v>4112.2158862200004</v>
      </c>
      <c r="AA9" s="8">
        <v>4243.4621968800002</v>
      </c>
      <c r="AB9" s="8">
        <v>4388.5456209900003</v>
      </c>
      <c r="AC9" s="8">
        <v>4495.5838979600003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2020.90111271</v>
      </c>
      <c r="D11" s="8">
        <v>4118.3850968099996</v>
      </c>
      <c r="E11" s="8">
        <v>6294.6768895100004</v>
      </c>
      <c r="F11" s="8">
        <v>8446.9545424400003</v>
      </c>
      <c r="G11" s="8">
        <v>9858.5517517099997</v>
      </c>
      <c r="H11" s="8">
        <v>10916.07829413</v>
      </c>
      <c r="I11" s="8">
        <v>11537.924821119999</v>
      </c>
      <c r="J11" s="8">
        <v>12448.850581389999</v>
      </c>
      <c r="K11" s="8">
        <v>13150.351335789999</v>
      </c>
      <c r="L11" s="8">
        <v>13637.0505959</v>
      </c>
      <c r="M11" s="8">
        <v>13906.76566506</v>
      </c>
      <c r="N11" s="8">
        <v>13959.051583119999</v>
      </c>
      <c r="O11" s="8">
        <v>13801.992398889999</v>
      </c>
      <c r="P11" s="8">
        <v>13442.72772506</v>
      </c>
      <c r="Q11" s="8">
        <v>12903.376738180001</v>
      </c>
      <c r="R11" s="8">
        <v>12209.51784884</v>
      </c>
      <c r="S11" s="8">
        <v>11392.04437946</v>
      </c>
      <c r="T11" s="8">
        <v>10478.25101801</v>
      </c>
      <c r="U11" s="8">
        <v>9502.2951882100006</v>
      </c>
      <c r="V11" s="8">
        <v>8501.7740833099997</v>
      </c>
      <c r="W11" s="8">
        <v>7516.6810132399996</v>
      </c>
      <c r="X11" s="8">
        <v>6581.0413883399997</v>
      </c>
      <c r="Y11" s="8">
        <v>5927.5681529599997</v>
      </c>
      <c r="Z11" s="8">
        <v>5359.7701695400001</v>
      </c>
      <c r="AA11" s="8">
        <v>4870.8076948199996</v>
      </c>
      <c r="AB11" s="8">
        <v>4452.1487619999998</v>
      </c>
      <c r="AC11" s="8">
        <v>4761.0423103000003</v>
      </c>
    </row>
    <row r="12" spans="1:29" x14ac:dyDescent="0.85">
      <c r="A12" t="s">
        <v>144</v>
      </c>
      <c r="B12" s="8">
        <v>14542.17113837</v>
      </c>
      <c r="C12" s="8">
        <v>14627.929257010001</v>
      </c>
      <c r="D12" s="8">
        <v>14723.22921424</v>
      </c>
      <c r="E12" s="8">
        <v>14858.66744929</v>
      </c>
      <c r="F12" s="8">
        <v>15098.52653169</v>
      </c>
      <c r="G12" s="8">
        <v>16000.699967680001</v>
      </c>
      <c r="H12" s="8">
        <v>16965.511655959999</v>
      </c>
      <c r="I12" s="8">
        <v>18038.287278290001</v>
      </c>
      <c r="J12" s="8">
        <v>18833.340376470002</v>
      </c>
      <c r="K12" s="8">
        <v>19639.401854129999</v>
      </c>
      <c r="L12" s="8">
        <v>20458.075528189998</v>
      </c>
      <c r="M12" s="8">
        <v>21312.298254180001</v>
      </c>
      <c r="N12" s="8">
        <v>22192.495127900002</v>
      </c>
      <c r="O12" s="8">
        <v>23126.636748010002</v>
      </c>
      <c r="P12" s="8">
        <v>24099.418641749999</v>
      </c>
      <c r="Q12" s="8">
        <v>25118.021867629999</v>
      </c>
      <c r="R12" s="8">
        <v>26190.507660089999</v>
      </c>
      <c r="S12" s="8">
        <v>27314.866105519999</v>
      </c>
      <c r="T12" s="8">
        <v>28494.233743789999</v>
      </c>
      <c r="U12" s="8">
        <v>29732.242977760001</v>
      </c>
      <c r="V12" s="8">
        <v>31032.479821320001</v>
      </c>
      <c r="W12" s="8">
        <v>32398.378617890001</v>
      </c>
      <c r="X12" s="8">
        <v>33832.31697924</v>
      </c>
      <c r="Y12" s="8">
        <v>35116.382974959997</v>
      </c>
      <c r="Z12" s="8">
        <v>36434.092993090002</v>
      </c>
      <c r="AA12" s="8">
        <v>37783.676557159997</v>
      </c>
      <c r="AB12" s="8">
        <v>39163.894617259997</v>
      </c>
      <c r="AC12" s="8">
        <v>39850.028071519999</v>
      </c>
    </row>
    <row r="13" spans="1:29" x14ac:dyDescent="0.85">
      <c r="A13" t="s">
        <v>145</v>
      </c>
      <c r="B13" s="8">
        <v>14542.17113837</v>
      </c>
      <c r="C13" s="8">
        <v>16648.83036973</v>
      </c>
      <c r="D13" s="8">
        <v>18841.614311050002</v>
      </c>
      <c r="E13" s="8">
        <v>21153.344338809999</v>
      </c>
      <c r="F13" s="8">
        <v>23545.481074129999</v>
      </c>
      <c r="G13" s="8">
        <v>25859.251719380001</v>
      </c>
      <c r="H13" s="8">
        <v>27881.589950099999</v>
      </c>
      <c r="I13" s="8">
        <v>29576.212099420001</v>
      </c>
      <c r="J13" s="8">
        <v>31282.190957859999</v>
      </c>
      <c r="K13" s="8">
        <v>32789.753189919997</v>
      </c>
      <c r="L13" s="8">
        <v>34095.126124089998</v>
      </c>
      <c r="M13" s="8">
        <v>35219.063919239998</v>
      </c>
      <c r="N13" s="8">
        <v>36151.546711019997</v>
      </c>
      <c r="O13" s="8">
        <v>36928.629146899999</v>
      </c>
      <c r="P13" s="8">
        <v>37542.146366809997</v>
      </c>
      <c r="Q13" s="8">
        <v>38021.398605809998</v>
      </c>
      <c r="R13" s="8">
        <v>38400.025508929997</v>
      </c>
      <c r="S13" s="8">
        <v>38706.910484979999</v>
      </c>
      <c r="T13" s="8">
        <v>38972.484761799999</v>
      </c>
      <c r="U13" s="8">
        <v>39234.53816597</v>
      </c>
      <c r="V13" s="8">
        <v>39534.253904639998</v>
      </c>
      <c r="W13" s="8">
        <v>39915.059631130003</v>
      </c>
      <c r="X13" s="8">
        <v>40413.358367579996</v>
      </c>
      <c r="Y13" s="8">
        <v>41043.951127920001</v>
      </c>
      <c r="Z13" s="8">
        <v>41793.863162640002</v>
      </c>
      <c r="AA13" s="8">
        <v>42654.48425198</v>
      </c>
      <c r="AB13" s="8">
        <v>43616.043379260002</v>
      </c>
      <c r="AC13" s="8">
        <v>44611.070381810001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3796</v>
      </c>
      <c r="C17" s="8">
        <v>4658.7402629300004</v>
      </c>
      <c r="D17" s="8">
        <v>5526.8719755000002</v>
      </c>
      <c r="E17" s="8">
        <v>6401.7255535000004</v>
      </c>
      <c r="F17" s="8">
        <v>7289.46876539</v>
      </c>
      <c r="G17" s="8">
        <v>8206.3946064699994</v>
      </c>
      <c r="H17" s="8">
        <v>9183.5654106500006</v>
      </c>
      <c r="I17" s="8">
        <v>10225.77953503</v>
      </c>
      <c r="J17" s="8">
        <v>11338.251261429999</v>
      </c>
      <c r="K17" s="8">
        <v>12474.82276836</v>
      </c>
      <c r="L17" s="8">
        <v>13634.013461820001</v>
      </c>
      <c r="M17" s="8">
        <v>14814.68996487</v>
      </c>
      <c r="N17" s="8">
        <v>16019.7044465</v>
      </c>
      <c r="O17" s="8">
        <v>17249.618573889999</v>
      </c>
      <c r="P17" s="8">
        <v>18509.414045180001</v>
      </c>
      <c r="Q17" s="8">
        <v>19800.401952870001</v>
      </c>
      <c r="R17" s="8">
        <v>21124.322921769999</v>
      </c>
      <c r="S17" s="8">
        <v>22483.507052540001</v>
      </c>
      <c r="T17" s="8">
        <v>23879.012557670001</v>
      </c>
      <c r="U17" s="8">
        <v>25311.9213275</v>
      </c>
      <c r="V17" s="8">
        <v>26783.33947476</v>
      </c>
      <c r="W17" s="8">
        <v>28294.397859289998</v>
      </c>
      <c r="X17" s="8">
        <v>29846.250707309999</v>
      </c>
      <c r="Y17" s="8">
        <v>28851.375886850001</v>
      </c>
      <c r="Z17" s="8">
        <v>27889.663379009999</v>
      </c>
      <c r="AA17" s="8">
        <v>26960.007933050001</v>
      </c>
      <c r="AB17" s="8">
        <v>26061.341001950001</v>
      </c>
      <c r="AC17" s="8">
        <v>25192.633608060001</v>
      </c>
    </row>
    <row r="18" spans="1:29" x14ac:dyDescent="0.85">
      <c r="A18" t="s">
        <v>149</v>
      </c>
      <c r="B18" s="8">
        <v>6709525</v>
      </c>
      <c r="C18" s="8">
        <v>8234440.0059623299</v>
      </c>
      <c r="D18" s="8">
        <v>9768884.5340890903</v>
      </c>
      <c r="E18" s="8">
        <v>11315210.1275924</v>
      </c>
      <c r="F18" s="8">
        <v>12884318.471582299</v>
      </c>
      <c r="G18" s="8">
        <v>14505007.8429792</v>
      </c>
      <c r="H18" s="8">
        <v>16232181.694392599</v>
      </c>
      <c r="I18" s="8">
        <v>18074321.242039401</v>
      </c>
      <c r="J18" s="8">
        <v>20040642.859556202</v>
      </c>
      <c r="K18" s="8">
        <v>22049563.742093999</v>
      </c>
      <c r="L18" s="8">
        <v>24098460.003267001</v>
      </c>
      <c r="M18" s="8">
        <v>26185335.270434499</v>
      </c>
      <c r="N18" s="8">
        <v>28315228.523815099</v>
      </c>
      <c r="O18" s="8">
        <v>30489132.5242263</v>
      </c>
      <c r="P18" s="8">
        <v>32715852.547815301</v>
      </c>
      <c r="Q18" s="8">
        <v>34997705.983355902</v>
      </c>
      <c r="R18" s="8">
        <v>37337769.428785101</v>
      </c>
      <c r="S18" s="8">
        <v>39740161.395327099</v>
      </c>
      <c r="T18" s="8">
        <v>42206752.300044701</v>
      </c>
      <c r="U18" s="8">
        <v>44739454.411195099</v>
      </c>
      <c r="V18" s="8">
        <v>47340222.810683802</v>
      </c>
      <c r="W18" s="8">
        <v>50011056.321622998</v>
      </c>
      <c r="X18" s="8">
        <v>52753995.067684896</v>
      </c>
      <c r="Y18" s="8">
        <v>50995528.9244534</v>
      </c>
      <c r="Z18" s="8">
        <v>49295677.9987031</v>
      </c>
      <c r="AA18" s="8">
        <v>47652488.7061226</v>
      </c>
      <c r="AB18" s="8">
        <v>46064072.368453301</v>
      </c>
      <c r="AC18" s="8">
        <v>44528610.311604202</v>
      </c>
    </row>
    <row r="19" spans="1:29" x14ac:dyDescent="0.85">
      <c r="A19" t="s">
        <v>150</v>
      </c>
      <c r="B19" s="8">
        <v>6709525</v>
      </c>
      <c r="C19" s="8">
        <v>8234440.0059623299</v>
      </c>
      <c r="D19" s="8">
        <v>9768884.5340890903</v>
      </c>
      <c r="E19" s="8">
        <v>11315210.1275924</v>
      </c>
      <c r="F19" s="8">
        <v>12884318.471582299</v>
      </c>
      <c r="G19" s="8">
        <v>14505007.8429792</v>
      </c>
      <c r="H19" s="8">
        <v>16232181.694392599</v>
      </c>
      <c r="I19" s="8">
        <v>18074321.242039401</v>
      </c>
      <c r="J19" s="8">
        <v>20040642.859556202</v>
      </c>
      <c r="K19" s="8">
        <v>22049561.442274898</v>
      </c>
      <c r="L19" s="8">
        <v>24098460.003267001</v>
      </c>
      <c r="M19" s="8">
        <v>26185335.270434499</v>
      </c>
      <c r="N19" s="8">
        <v>28315228.523815099</v>
      </c>
      <c r="O19" s="8">
        <v>30489132.5242263</v>
      </c>
      <c r="P19" s="8">
        <v>32715852.547815301</v>
      </c>
      <c r="Q19" s="8">
        <v>34997705.983355902</v>
      </c>
      <c r="R19" s="8">
        <v>37337769.428785101</v>
      </c>
      <c r="S19" s="8">
        <v>39740161.395327099</v>
      </c>
      <c r="T19" s="8">
        <v>42206752.300044701</v>
      </c>
      <c r="U19" s="8">
        <v>44739454.411195099</v>
      </c>
      <c r="V19" s="8">
        <v>47340222.810683802</v>
      </c>
      <c r="W19" s="8">
        <v>50011056.321622998</v>
      </c>
      <c r="X19" s="8">
        <v>52753995.067684896</v>
      </c>
      <c r="Y19" s="8">
        <v>50995528.9244534</v>
      </c>
      <c r="Z19" s="8">
        <v>49295677.9987031</v>
      </c>
      <c r="AA19" s="8">
        <v>47652488.7061226</v>
      </c>
      <c r="AB19" s="8">
        <v>46064072.368453301</v>
      </c>
      <c r="AC19" s="8">
        <v>44528610.311604202</v>
      </c>
    </row>
    <row r="20" spans="1:29" x14ac:dyDescent="0.85">
      <c r="A20" t="s">
        <v>151</v>
      </c>
      <c r="B20" s="8">
        <v>374.33896476000001</v>
      </c>
      <c r="C20" s="8">
        <v>459.41728322</v>
      </c>
      <c r="D20" s="8">
        <v>545.02727441000002</v>
      </c>
      <c r="E20" s="8">
        <v>631.30013602999998</v>
      </c>
      <c r="F20" s="8">
        <v>718.84409675999996</v>
      </c>
      <c r="G20" s="8">
        <v>809.26587497000003</v>
      </c>
      <c r="H20" s="8">
        <v>905.62865349000003</v>
      </c>
      <c r="I20" s="8">
        <v>1008.40561776</v>
      </c>
      <c r="J20" s="8">
        <v>1118.1109692800001</v>
      </c>
      <c r="K20" s="8">
        <v>1230.1928979700001</v>
      </c>
      <c r="L20" s="8">
        <v>1344.50539643</v>
      </c>
      <c r="M20" s="8">
        <v>1460.93669776</v>
      </c>
      <c r="N20" s="8">
        <v>1579.7680659299999</v>
      </c>
      <c r="O20" s="8">
        <v>1701.05488922</v>
      </c>
      <c r="P20" s="8">
        <v>1825.2884330899999</v>
      </c>
      <c r="Q20" s="8">
        <v>1952.5979897</v>
      </c>
      <c r="R20" s="8">
        <v>2083.1552091200001</v>
      </c>
      <c r="S20" s="8">
        <v>2217.1898720300001</v>
      </c>
      <c r="T20" s="8">
        <v>2354.8063330700002</v>
      </c>
      <c r="U20" s="8">
        <v>2496.1112818299998</v>
      </c>
      <c r="V20" s="8">
        <v>2641.2137965799998</v>
      </c>
      <c r="W20" s="8">
        <v>2790.2253959899999</v>
      </c>
      <c r="X20" s="8">
        <v>2943.2599029899998</v>
      </c>
      <c r="Y20" s="8">
        <v>2845.1512595899999</v>
      </c>
      <c r="Z20" s="8">
        <v>2750.3128864099999</v>
      </c>
      <c r="AA20" s="8">
        <v>2658.6357902</v>
      </c>
      <c r="AB20" s="8">
        <v>2570.0145971900001</v>
      </c>
      <c r="AC20" s="8">
        <v>2484.34783573</v>
      </c>
    </row>
    <row r="21" spans="1:29" x14ac:dyDescent="0.85">
      <c r="A21" t="s">
        <v>152</v>
      </c>
      <c r="B21" s="8">
        <v>0</v>
      </c>
      <c r="C21" s="8">
        <v>0.82344399999999995</v>
      </c>
      <c r="D21" s="8">
        <v>1.95377691</v>
      </c>
      <c r="E21" s="8">
        <v>3.39456304</v>
      </c>
      <c r="F21" s="8">
        <v>5.1537273900000002</v>
      </c>
      <c r="G21" s="8">
        <v>7.2525039199999997</v>
      </c>
      <c r="H21" s="8">
        <v>9.7393090200000003</v>
      </c>
      <c r="I21" s="8">
        <v>12.65202487</v>
      </c>
      <c r="J21" s="8">
        <v>16.032514290000002</v>
      </c>
      <c r="K21" s="8">
        <v>19.844605300000001</v>
      </c>
      <c r="L21" s="8">
        <v>24.098459999999999</v>
      </c>
      <c r="M21" s="8">
        <v>28.8038688</v>
      </c>
      <c r="N21" s="8">
        <v>33.978274229999997</v>
      </c>
      <c r="O21" s="8">
        <v>39.635872280000001</v>
      </c>
      <c r="P21" s="8">
        <v>45.80219357</v>
      </c>
      <c r="Q21" s="8">
        <v>52.496558980000003</v>
      </c>
      <c r="R21" s="8">
        <v>59.740431090000001</v>
      </c>
      <c r="S21" s="8">
        <v>67.558274370000007</v>
      </c>
      <c r="T21" s="8">
        <v>75.972154140000001</v>
      </c>
      <c r="U21" s="8">
        <v>85.004963380000007</v>
      </c>
      <c r="V21" s="8">
        <v>94.68044562</v>
      </c>
      <c r="W21" s="8">
        <v>105.02321827999999</v>
      </c>
      <c r="X21" s="8">
        <v>116.05878915</v>
      </c>
      <c r="Y21" s="8">
        <v>117.28971653000001</v>
      </c>
      <c r="Z21" s="8">
        <v>118.30962719999999</v>
      </c>
      <c r="AA21" s="8">
        <v>119.13122177</v>
      </c>
      <c r="AB21" s="8">
        <v>119.76658816</v>
      </c>
      <c r="AC21" s="8">
        <v>120.22724784</v>
      </c>
    </row>
    <row r="22" spans="1:29" x14ac:dyDescent="0.85">
      <c r="A22" t="s">
        <v>153</v>
      </c>
      <c r="B22" s="8">
        <v>3.354762E-2</v>
      </c>
      <c r="C22" s="8">
        <v>4.1172199999999999E-2</v>
      </c>
      <c r="D22" s="8">
        <v>4.884442E-2</v>
      </c>
      <c r="E22" s="8">
        <v>5.6576050000000003E-2</v>
      </c>
      <c r="F22" s="8">
        <v>6.4421590000000001E-2</v>
      </c>
      <c r="G22" s="8">
        <v>7.2525039999999999E-2</v>
      </c>
      <c r="H22" s="8">
        <v>8.1160910000000003E-2</v>
      </c>
      <c r="I22" s="8">
        <v>9.0371610000000005E-2</v>
      </c>
      <c r="J22" s="8">
        <v>0.10020321</v>
      </c>
      <c r="K22" s="8">
        <v>0.11024781</v>
      </c>
      <c r="L22" s="8">
        <v>0.1204923</v>
      </c>
      <c r="M22" s="8">
        <v>0.13092667999999999</v>
      </c>
      <c r="N22" s="8">
        <v>0.14157613999999999</v>
      </c>
      <c r="O22" s="8">
        <v>0.15244566000000001</v>
      </c>
      <c r="P22" s="8">
        <v>0.16357926</v>
      </c>
      <c r="Q22" s="8">
        <v>0.17498853</v>
      </c>
      <c r="R22" s="8">
        <v>0.18668884999999999</v>
      </c>
      <c r="S22" s="8">
        <v>0.19870081000000001</v>
      </c>
      <c r="T22" s="8">
        <v>0.21103375999999999</v>
      </c>
      <c r="U22" s="8">
        <v>0.22369727</v>
      </c>
      <c r="V22" s="8">
        <v>0.23670110999999999</v>
      </c>
      <c r="W22" s="8">
        <v>0.25005527999999999</v>
      </c>
      <c r="X22" s="8">
        <v>0.26376998000000001</v>
      </c>
      <c r="Y22" s="8">
        <v>0.25497764000000001</v>
      </c>
      <c r="Z22" s="8">
        <v>0.24647838999999999</v>
      </c>
      <c r="AA22" s="8">
        <v>0.23826243999999999</v>
      </c>
      <c r="AB22" s="8">
        <v>0.23032036</v>
      </c>
      <c r="AC22" s="8">
        <v>0.22264305000000001</v>
      </c>
    </row>
    <row r="23" spans="1:29" x14ac:dyDescent="0.85">
      <c r="A23" t="s">
        <v>154</v>
      </c>
      <c r="B23" s="8">
        <v>374.33896476000001</v>
      </c>
      <c r="C23" s="8">
        <v>459.41728322</v>
      </c>
      <c r="D23" s="8">
        <v>545.02727441000002</v>
      </c>
      <c r="E23" s="8">
        <v>631.30013602999998</v>
      </c>
      <c r="F23" s="8">
        <v>718.84409675999996</v>
      </c>
      <c r="G23" s="8">
        <v>809.26587497000003</v>
      </c>
      <c r="H23" s="8">
        <v>905.62865349000003</v>
      </c>
      <c r="I23" s="8">
        <v>1008.40561776</v>
      </c>
      <c r="J23" s="8">
        <v>1118.1109692800001</v>
      </c>
      <c r="K23" s="8">
        <v>1230.1928979700001</v>
      </c>
      <c r="L23" s="8">
        <v>1344.50539643</v>
      </c>
      <c r="M23" s="8">
        <v>1460.93669776</v>
      </c>
      <c r="N23" s="8">
        <v>1579.7680659299999</v>
      </c>
      <c r="O23" s="8">
        <v>1701.05488922</v>
      </c>
      <c r="P23" s="8">
        <v>1825.2884330899999</v>
      </c>
      <c r="Q23" s="8">
        <v>1952.5979897</v>
      </c>
      <c r="R23" s="8">
        <v>2083.1552091200001</v>
      </c>
      <c r="S23" s="8">
        <v>2217.1898720300001</v>
      </c>
      <c r="T23" s="8">
        <v>2354.8063330700002</v>
      </c>
      <c r="U23" s="8">
        <v>2496.1112818299998</v>
      </c>
      <c r="V23" s="8">
        <v>2641.2137965799998</v>
      </c>
      <c r="W23" s="8">
        <v>2790.2253959899999</v>
      </c>
      <c r="X23" s="8">
        <v>2943.2599029899998</v>
      </c>
      <c r="Y23" s="8">
        <v>2845.1512595899999</v>
      </c>
      <c r="Z23" s="8">
        <v>2750.3128864099999</v>
      </c>
      <c r="AA23" s="8">
        <v>2658.6357902</v>
      </c>
      <c r="AB23" s="8">
        <v>2570.0145971900001</v>
      </c>
      <c r="AC23" s="8">
        <v>2484.34783573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1.22725756</v>
      </c>
      <c r="E25" s="8">
        <v>1.1982262400000001</v>
      </c>
      <c r="F25" s="8">
        <v>1.17792706</v>
      </c>
      <c r="G25" s="8">
        <v>1.16459801</v>
      </c>
      <c r="H25" s="8">
        <v>1.1576542599999999</v>
      </c>
      <c r="I25" s="8">
        <v>1.1518729700000001</v>
      </c>
      <c r="J25" s="8">
        <v>1.1470150699999999</v>
      </c>
      <c r="K25" s="8">
        <v>1.1381716099999999</v>
      </c>
      <c r="L25" s="8">
        <v>1.1305993999999999</v>
      </c>
      <c r="M25" s="8">
        <v>1.12405676</v>
      </c>
      <c r="N25" s="8">
        <v>1.1186167199999999</v>
      </c>
      <c r="O25" s="8">
        <v>1.1138952600000001</v>
      </c>
      <c r="P25" s="8">
        <v>1.11002438</v>
      </c>
      <c r="Q25" s="8">
        <v>1.1066254900000001</v>
      </c>
      <c r="R25" s="8">
        <v>1.1036417300000001</v>
      </c>
      <c r="S25" s="8">
        <v>1.1010335899999999</v>
      </c>
      <c r="T25" s="8">
        <v>1.098681</v>
      </c>
      <c r="U25" s="8">
        <v>1.096549</v>
      </c>
      <c r="V25" s="8">
        <v>1.0946087200000001</v>
      </c>
      <c r="W25" s="8">
        <v>1.0928360500000001</v>
      </c>
      <c r="X25" s="8">
        <v>1.09121074</v>
      </c>
      <c r="Y25" s="8">
        <v>1.0897156299999999</v>
      </c>
      <c r="Z25" s="8">
        <v>1.0000000099999999</v>
      </c>
      <c r="AA25" s="8">
        <v>1</v>
      </c>
      <c r="AB25" s="8">
        <v>1</v>
      </c>
      <c r="AC25" s="8">
        <v>1</v>
      </c>
    </row>
    <row r="26" spans="1:29" x14ac:dyDescent="0.85">
      <c r="A26" t="s">
        <v>157</v>
      </c>
      <c r="B26" s="8">
        <v>1</v>
      </c>
      <c r="C26" s="8">
        <v>1.26959602</v>
      </c>
      <c r="D26" s="8">
        <v>1.22725317</v>
      </c>
      <c r="E26" s="8">
        <v>1.1982319699999999</v>
      </c>
      <c r="F26" s="8">
        <v>1.1779370600000001</v>
      </c>
      <c r="G26" s="8">
        <v>1.16460801</v>
      </c>
      <c r="H26" s="8">
        <v>1.1576630800000001</v>
      </c>
      <c r="I26" s="8">
        <v>1.15188297</v>
      </c>
      <c r="J26" s="8">
        <v>1.14702507</v>
      </c>
      <c r="K26" s="8">
        <v>1.13818161</v>
      </c>
      <c r="L26" s="8">
        <v>1.1306094</v>
      </c>
      <c r="M26" s="8">
        <v>1.1240667600000001</v>
      </c>
      <c r="N26" s="8">
        <v>1.11862672</v>
      </c>
      <c r="O26" s="8">
        <v>1.1139052599999999</v>
      </c>
      <c r="P26" s="8">
        <v>1.1100343800000001</v>
      </c>
      <c r="Q26" s="8">
        <v>1.1066354899999999</v>
      </c>
      <c r="R26" s="8">
        <v>1.1036517299999999</v>
      </c>
      <c r="S26" s="8">
        <v>1.10104359</v>
      </c>
      <c r="T26" s="8">
        <v>1.0986910000000001</v>
      </c>
      <c r="U26" s="8">
        <v>1.0965590000000001</v>
      </c>
      <c r="V26" s="8">
        <v>1.0946187199999999</v>
      </c>
      <c r="W26" s="8">
        <v>1.0928460499999999</v>
      </c>
      <c r="X26" s="8">
        <v>1.09122067</v>
      </c>
      <c r="Y26" s="8">
        <v>1.0000000099999999</v>
      </c>
      <c r="Z26" s="8">
        <v>1</v>
      </c>
      <c r="AA26" s="8">
        <v>1</v>
      </c>
      <c r="AB26" s="8">
        <v>1</v>
      </c>
      <c r="AC26" s="8">
        <v>1.0000001599999999</v>
      </c>
    </row>
    <row r="27" spans="1:29" x14ac:dyDescent="0.85">
      <c r="A27" t="s">
        <v>158</v>
      </c>
      <c r="B27" s="8">
        <v>1</v>
      </c>
      <c r="C27" s="8">
        <v>1.2695961099999999</v>
      </c>
      <c r="D27" s="8">
        <v>1.22726756</v>
      </c>
      <c r="E27" s="8">
        <v>1.19823624</v>
      </c>
      <c r="F27" s="8">
        <v>1.1779370600000001</v>
      </c>
      <c r="G27" s="8">
        <v>1.16460801</v>
      </c>
      <c r="H27" s="8">
        <v>1.15766426</v>
      </c>
      <c r="I27" s="8">
        <v>1.15188297</v>
      </c>
      <c r="J27" s="8">
        <v>1.14702507</v>
      </c>
      <c r="K27" s="8">
        <v>1.13818161</v>
      </c>
      <c r="L27" s="8">
        <v>1.1306094</v>
      </c>
      <c r="M27" s="8">
        <v>1.1240667600000001</v>
      </c>
      <c r="N27" s="8">
        <v>1.11862672</v>
      </c>
      <c r="O27" s="8">
        <v>1.1139052599999999</v>
      </c>
      <c r="P27" s="8">
        <v>1.1100343800000001</v>
      </c>
      <c r="Q27" s="8">
        <v>1.1066354899999999</v>
      </c>
      <c r="R27" s="8">
        <v>1.1036517299999999</v>
      </c>
      <c r="S27" s="8">
        <v>1.10104359</v>
      </c>
      <c r="T27" s="8">
        <v>1.0986910000000001</v>
      </c>
      <c r="U27" s="8">
        <v>1.0965590000000001</v>
      </c>
      <c r="V27" s="8">
        <v>1.0946187199999999</v>
      </c>
      <c r="W27" s="8">
        <v>1.0928460499999999</v>
      </c>
      <c r="X27" s="8">
        <v>1.09122074</v>
      </c>
      <c r="Y27" s="8">
        <v>1.08972563</v>
      </c>
      <c r="Z27" s="8">
        <v>1.09296053</v>
      </c>
      <c r="AA27" s="8">
        <v>1.09638445</v>
      </c>
      <c r="AB27" s="8">
        <v>1.10000323</v>
      </c>
      <c r="AC27" s="8">
        <v>1.1038291200000001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3.3000000000000002E-7</v>
      </c>
      <c r="J36" s="8">
        <v>3.5999999999999999E-7</v>
      </c>
      <c r="K36" s="8">
        <v>0</v>
      </c>
      <c r="L36" s="8">
        <v>0</v>
      </c>
      <c r="M36" s="8">
        <v>1E-8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7.0000000000000005E-8</v>
      </c>
      <c r="AA36" s="8">
        <v>8.0000000000000002E-8</v>
      </c>
      <c r="AB36" s="8">
        <v>8.0000000000000002E-8</v>
      </c>
      <c r="AC36" s="8">
        <v>7.0000000000000005E-8</v>
      </c>
    </row>
    <row r="37" spans="1:29" x14ac:dyDescent="0.85">
      <c r="A37" t="s">
        <v>168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3.3000000000000002E-7</v>
      </c>
      <c r="I37" s="8">
        <v>3.5999999999999999E-7</v>
      </c>
      <c r="J37" s="8">
        <v>0</v>
      </c>
      <c r="K37" s="8">
        <v>0</v>
      </c>
      <c r="L37" s="8">
        <v>1E-8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7.0000000000000005E-8</v>
      </c>
      <c r="Z37" s="8">
        <v>8.0000000000000002E-8</v>
      </c>
      <c r="AA37" s="8">
        <v>8.0000000000000002E-8</v>
      </c>
      <c r="AB37" s="8">
        <v>7.0000000000000005E-8</v>
      </c>
      <c r="AC37" s="8">
        <v>1.1328999999999999E-4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7123</v>
      </c>
      <c r="C39" s="8">
        <v>6944.9250098499997</v>
      </c>
      <c r="D39" s="8">
        <v>6771.3019080000004</v>
      </c>
      <c r="E39" s="8">
        <v>6602.0193602999998</v>
      </c>
      <c r="F39" s="8">
        <v>6436.9696239499999</v>
      </c>
      <c r="G39" s="8">
        <v>8000.57571001</v>
      </c>
      <c r="H39" s="8">
        <v>9667.7479745399996</v>
      </c>
      <c r="I39" s="8">
        <v>11451.80243125</v>
      </c>
      <c r="J39" s="8">
        <v>13359.191385</v>
      </c>
      <c r="K39" s="8">
        <v>15318.34786738</v>
      </c>
      <c r="L39" s="8">
        <v>17327.19319061</v>
      </c>
      <c r="M39" s="8">
        <v>19384.172469599998</v>
      </c>
      <c r="N39" s="8">
        <v>21493.968721500001</v>
      </c>
      <c r="O39" s="8">
        <v>23657.707552129999</v>
      </c>
      <c r="P39" s="8">
        <v>25883.45668408</v>
      </c>
      <c r="Q39" s="8">
        <v>28173.5888739</v>
      </c>
      <c r="R39" s="8">
        <v>30531.166784329998</v>
      </c>
      <c r="S39" s="8">
        <v>32960.199439479999</v>
      </c>
      <c r="T39" s="8">
        <v>35462.729100999997</v>
      </c>
      <c r="U39" s="8">
        <v>38040.847224689998</v>
      </c>
      <c r="V39" s="8">
        <v>40696.695553409998</v>
      </c>
      <c r="W39" s="8">
        <v>43432.467135940002</v>
      </c>
      <c r="X39" s="8">
        <v>46250.40740692</v>
      </c>
      <c r="Y39" s="8">
        <v>49152.805317290004</v>
      </c>
      <c r="Z39" s="8">
        <v>52075.600113230001</v>
      </c>
      <c r="AA39" s="8">
        <v>55020.165102159997</v>
      </c>
      <c r="AB39" s="8">
        <v>57988.978696929997</v>
      </c>
      <c r="AC39" s="8">
        <v>59360.19438193</v>
      </c>
    </row>
    <row r="40" spans="1:29" x14ac:dyDescent="0.85">
      <c r="A40" t="s">
        <v>171</v>
      </c>
      <c r="B40" s="8">
        <v>49003073.5</v>
      </c>
      <c r="C40" s="8">
        <v>47777996.7302882</v>
      </c>
      <c r="D40" s="8">
        <v>46583546.972934902</v>
      </c>
      <c r="E40" s="8">
        <v>45418958.214309201</v>
      </c>
      <c r="F40" s="8">
        <v>44283489.402512997</v>
      </c>
      <c r="G40" s="8">
        <v>55040404.160057902</v>
      </c>
      <c r="H40" s="8">
        <v>66509808.184288703</v>
      </c>
      <c r="I40" s="8">
        <v>78783309.729702398</v>
      </c>
      <c r="J40" s="8">
        <v>91905297.785302207</v>
      </c>
      <c r="K40" s="8">
        <v>105383423.424211</v>
      </c>
      <c r="L40" s="8">
        <v>119203386.198543</v>
      </c>
      <c r="M40" s="8">
        <v>133354489.190143</v>
      </c>
      <c r="N40" s="8">
        <v>147868949.47511399</v>
      </c>
      <c r="O40" s="8">
        <v>162754510.72117901</v>
      </c>
      <c r="P40" s="8">
        <v>178066675.27304199</v>
      </c>
      <c r="Q40" s="8">
        <v>193821766.64104801</v>
      </c>
      <c r="R40" s="8">
        <v>210040854.58324301</v>
      </c>
      <c r="S40" s="8">
        <v>226751519.403303</v>
      </c>
      <c r="T40" s="8">
        <v>243967810.95347899</v>
      </c>
      <c r="U40" s="8">
        <v>261704117.519835</v>
      </c>
      <c r="V40" s="8">
        <v>279975173.34122699</v>
      </c>
      <c r="W40" s="8">
        <v>298796065.618218</v>
      </c>
      <c r="X40" s="8">
        <v>318182241.94295901</v>
      </c>
      <c r="Y40" s="8">
        <v>338149449.280294</v>
      </c>
      <c r="Z40" s="8">
        <v>358256978.12278301</v>
      </c>
      <c r="AA40" s="8">
        <v>378514276.21490002</v>
      </c>
      <c r="AB40" s="8">
        <v>398938393.93529898</v>
      </c>
      <c r="AC40" s="8">
        <v>408371748.26236397</v>
      </c>
    </row>
    <row r="41" spans="1:29" x14ac:dyDescent="0.85">
      <c r="A41" t="s">
        <v>172</v>
      </c>
      <c r="B41" s="8">
        <v>49003073.5</v>
      </c>
      <c r="C41" s="8">
        <v>47777996.7302882</v>
      </c>
      <c r="D41" s="8">
        <v>46583546.972934902</v>
      </c>
      <c r="E41" s="8">
        <v>45418958.214309201</v>
      </c>
      <c r="F41" s="8">
        <v>44283489.402512997</v>
      </c>
      <c r="G41" s="8">
        <v>55040404.160057902</v>
      </c>
      <c r="H41" s="8">
        <v>66509808.184288703</v>
      </c>
      <c r="I41" s="8">
        <v>78783309.729702398</v>
      </c>
      <c r="J41" s="8">
        <v>91905297.785302207</v>
      </c>
      <c r="K41" s="8">
        <v>105383423.424211</v>
      </c>
      <c r="L41" s="8">
        <v>119203386.198543</v>
      </c>
      <c r="M41" s="8">
        <v>133354489.190143</v>
      </c>
      <c r="N41" s="8">
        <v>147868949.47511399</v>
      </c>
      <c r="O41" s="8">
        <v>162754510.72117901</v>
      </c>
      <c r="P41" s="8">
        <v>178066675.27304199</v>
      </c>
      <c r="Q41" s="8">
        <v>193821766.64104801</v>
      </c>
      <c r="R41" s="8">
        <v>210040854.58324301</v>
      </c>
      <c r="S41" s="8">
        <v>226751519.403303</v>
      </c>
      <c r="T41" s="8">
        <v>243967810.95347899</v>
      </c>
      <c r="U41" s="8">
        <v>261704117.519835</v>
      </c>
      <c r="V41" s="8">
        <v>279975173.34122699</v>
      </c>
      <c r="W41" s="8">
        <v>298796065.618218</v>
      </c>
      <c r="X41" s="8">
        <v>318182241.94295901</v>
      </c>
      <c r="Y41" s="8">
        <v>338149449.280294</v>
      </c>
      <c r="Z41" s="8">
        <v>358256978.12278301</v>
      </c>
      <c r="AA41" s="8">
        <v>378514276.21490002</v>
      </c>
      <c r="AB41" s="8">
        <v>398938393.93529898</v>
      </c>
      <c r="AC41" s="8">
        <v>408371748.26236397</v>
      </c>
    </row>
    <row r="42" spans="1:29" x14ac:dyDescent="0.85">
      <c r="A42" t="s">
        <v>173</v>
      </c>
      <c r="B42" s="8">
        <v>3854.3109065399999</v>
      </c>
      <c r="C42" s="8">
        <v>3757.9531391999999</v>
      </c>
      <c r="D42" s="8">
        <v>3664.0043233800002</v>
      </c>
      <c r="E42" s="8">
        <v>3572.40421444</v>
      </c>
      <c r="F42" s="8">
        <v>3483.09451365</v>
      </c>
      <c r="G42" s="8">
        <v>4329.17397308</v>
      </c>
      <c r="H42" s="8">
        <v>5231.2939001900004</v>
      </c>
      <c r="I42" s="8">
        <v>6196.65969391</v>
      </c>
      <c r="J42" s="8">
        <v>7228.7627467900002</v>
      </c>
      <c r="K42" s="8">
        <v>8288.8776135400003</v>
      </c>
      <c r="L42" s="8">
        <v>9375.8794999700003</v>
      </c>
      <c r="M42" s="8">
        <v>10488.92704561</v>
      </c>
      <c r="N42" s="8">
        <v>11630.55426762</v>
      </c>
      <c r="O42" s="8">
        <v>12801.37024007</v>
      </c>
      <c r="P42" s="8">
        <v>14005.740470659999</v>
      </c>
      <c r="Q42" s="8">
        <v>15244.948876459999</v>
      </c>
      <c r="R42" s="8">
        <v>16520.6526882</v>
      </c>
      <c r="S42" s="8">
        <v>17835.02122011</v>
      </c>
      <c r="T42" s="8">
        <v>19189.15955593</v>
      </c>
      <c r="U42" s="8">
        <v>20584.19939871</v>
      </c>
      <c r="V42" s="8">
        <v>22021.299662230002</v>
      </c>
      <c r="W42" s="8">
        <v>23501.6470223</v>
      </c>
      <c r="X42" s="8">
        <v>25026.456501150002</v>
      </c>
      <c r="Y42" s="8">
        <v>26596.966667979999</v>
      </c>
      <c r="Z42" s="8">
        <v>28178.513748829999</v>
      </c>
      <c r="AA42" s="8">
        <v>29771.840851050001</v>
      </c>
      <c r="AB42" s="8">
        <v>31378.289063190001</v>
      </c>
      <c r="AC42" s="8">
        <v>32120.26457472</v>
      </c>
    </row>
    <row r="43" spans="1:29" x14ac:dyDescent="0.85">
      <c r="A43" t="s">
        <v>174</v>
      </c>
      <c r="B43" s="8">
        <v>0</v>
      </c>
      <c r="C43" s="8">
        <v>2.8666798</v>
      </c>
      <c r="D43" s="8">
        <v>5.5900256400000004</v>
      </c>
      <c r="E43" s="8">
        <v>8.1754124800000003</v>
      </c>
      <c r="F43" s="8">
        <v>10.62803746</v>
      </c>
      <c r="G43" s="8">
        <v>16.51212125</v>
      </c>
      <c r="H43" s="8">
        <v>23.94353095</v>
      </c>
      <c r="I43" s="8">
        <v>33.088990090000003</v>
      </c>
      <c r="J43" s="8">
        <v>44.11454294</v>
      </c>
      <c r="K43" s="8">
        <v>56.90704865</v>
      </c>
      <c r="L43" s="8">
        <v>71.522031720000001</v>
      </c>
      <c r="M43" s="8">
        <v>88.01396287</v>
      </c>
      <c r="N43" s="8">
        <v>106.46564361999999</v>
      </c>
      <c r="O43" s="8">
        <v>126.94851835999999</v>
      </c>
      <c r="P43" s="8">
        <v>149.57600722999999</v>
      </c>
      <c r="Q43" s="8">
        <v>174.43958997999999</v>
      </c>
      <c r="R43" s="8">
        <v>201.6392204</v>
      </c>
      <c r="S43" s="8">
        <v>231.28654979000001</v>
      </c>
      <c r="T43" s="8">
        <v>263.48523583000002</v>
      </c>
      <c r="U43" s="8">
        <v>298.34269397000003</v>
      </c>
      <c r="V43" s="8">
        <v>335.97020801000002</v>
      </c>
      <c r="W43" s="8">
        <v>376.48304267999998</v>
      </c>
      <c r="X43" s="8">
        <v>420.00055936000001</v>
      </c>
      <c r="Y43" s="8">
        <v>466.64624000999999</v>
      </c>
      <c r="Z43" s="8">
        <v>515.89004850000003</v>
      </c>
      <c r="AA43" s="8">
        <v>567.77141431999996</v>
      </c>
      <c r="AB43" s="8">
        <v>622.34389453999995</v>
      </c>
      <c r="AC43" s="8">
        <v>661.56223219000003</v>
      </c>
    </row>
    <row r="44" spans="1:29" x14ac:dyDescent="0.85">
      <c r="A44" t="s">
        <v>175</v>
      </c>
      <c r="B44" s="8">
        <v>0.14700922</v>
      </c>
      <c r="C44" s="8">
        <v>0.14333398999999999</v>
      </c>
      <c r="D44" s="8">
        <v>0.13975064000000001</v>
      </c>
      <c r="E44" s="8">
        <v>0.13625687</v>
      </c>
      <c r="F44" s="8">
        <v>0.13285047</v>
      </c>
      <c r="G44" s="8">
        <v>0.16512120999999999</v>
      </c>
      <c r="H44" s="8">
        <v>0.19952942000000001</v>
      </c>
      <c r="I44" s="8">
        <v>0.23634993000000001</v>
      </c>
      <c r="J44" s="8">
        <v>0.27571589000000002</v>
      </c>
      <c r="K44" s="8">
        <v>0.31615027000000001</v>
      </c>
      <c r="L44" s="8">
        <v>0.35761016000000001</v>
      </c>
      <c r="M44" s="8">
        <v>0.40006346999999998</v>
      </c>
      <c r="N44" s="8">
        <v>0.44360685</v>
      </c>
      <c r="O44" s="8">
        <v>0.48826353</v>
      </c>
      <c r="P44" s="8">
        <v>0.53420003000000005</v>
      </c>
      <c r="Q44" s="8">
        <v>0.58146529999999996</v>
      </c>
      <c r="R44" s="8">
        <v>0.63012256</v>
      </c>
      <c r="S44" s="8">
        <v>0.68025455999999995</v>
      </c>
      <c r="T44" s="8">
        <v>0.73190343000000002</v>
      </c>
      <c r="U44" s="8">
        <v>0.78511235000000001</v>
      </c>
      <c r="V44" s="8">
        <v>0.83992551999999998</v>
      </c>
      <c r="W44" s="8">
        <v>0.89638819999999997</v>
      </c>
      <c r="X44" s="8">
        <v>0.95454673000000001</v>
      </c>
      <c r="Y44" s="8">
        <v>1.0144483500000001</v>
      </c>
      <c r="Z44" s="8">
        <v>1.0747709299999999</v>
      </c>
      <c r="AA44" s="8">
        <v>1.1355428299999999</v>
      </c>
      <c r="AB44" s="8">
        <v>1.19681518</v>
      </c>
      <c r="AC44" s="8">
        <v>1.22511524</v>
      </c>
    </row>
    <row r="45" spans="1:29" x14ac:dyDescent="0.85">
      <c r="A45" t="s">
        <v>176</v>
      </c>
      <c r="B45" s="8">
        <v>3358.88983345</v>
      </c>
      <c r="C45" s="8">
        <v>3274.9175922600002</v>
      </c>
      <c r="D45" s="8">
        <v>3193.0446634800001</v>
      </c>
      <c r="E45" s="8">
        <v>3113.2185469000001</v>
      </c>
      <c r="F45" s="8">
        <v>3035.3884357900001</v>
      </c>
      <c r="G45" s="8">
        <v>3772.7154870300001</v>
      </c>
      <c r="H45" s="8">
        <v>4558.8797394399999</v>
      </c>
      <c r="I45" s="8">
        <v>5400.1604325500002</v>
      </c>
      <c r="J45" s="8">
        <v>6299.6001861799996</v>
      </c>
      <c r="K45" s="8">
        <v>7223.4512027199999</v>
      </c>
      <c r="L45" s="8">
        <v>8170.7332655</v>
      </c>
      <c r="M45" s="8">
        <v>9140.7131599000004</v>
      </c>
      <c r="N45" s="8">
        <v>10135.599188419999</v>
      </c>
      <c r="O45" s="8">
        <v>11155.922136679999</v>
      </c>
      <c r="P45" s="8">
        <v>12205.486383650001</v>
      </c>
      <c r="Q45" s="8">
        <v>13285.410815720001</v>
      </c>
      <c r="R45" s="8">
        <v>14397.13964836</v>
      </c>
      <c r="S45" s="8">
        <v>15542.56335894</v>
      </c>
      <c r="T45" s="8">
        <v>16722.64498719</v>
      </c>
      <c r="U45" s="8">
        <v>17938.370770580001</v>
      </c>
      <c r="V45" s="8">
        <v>19190.75065975</v>
      </c>
      <c r="W45" s="8">
        <v>20480.8187989</v>
      </c>
      <c r="X45" s="8">
        <v>21809.6340351</v>
      </c>
      <c r="Y45" s="8">
        <v>23178.275735759998</v>
      </c>
      <c r="Z45" s="8">
        <v>24556.5357</v>
      </c>
      <c r="AA45" s="8">
        <v>25945.06151851</v>
      </c>
      <c r="AB45" s="8">
        <v>27345.0219005</v>
      </c>
      <c r="AC45" s="8">
        <v>27991.62619979</v>
      </c>
    </row>
    <row r="46" spans="1:29" x14ac:dyDescent="0.85">
      <c r="A46" t="s">
        <v>177</v>
      </c>
      <c r="B46" s="8">
        <v>495.42107307999999</v>
      </c>
      <c r="C46" s="8">
        <v>483.03554694000002</v>
      </c>
      <c r="D46" s="8">
        <v>470.95965990000002</v>
      </c>
      <c r="E46" s="8">
        <v>459.18566755000001</v>
      </c>
      <c r="F46" s="8">
        <v>447.70607785999999</v>
      </c>
      <c r="G46" s="8">
        <v>556.45848606000004</v>
      </c>
      <c r="H46" s="8">
        <v>672.41416074000006</v>
      </c>
      <c r="I46" s="8">
        <v>796.49926137</v>
      </c>
      <c r="J46" s="8">
        <v>929.16256061000001</v>
      </c>
      <c r="K46" s="8">
        <v>1065.42641082</v>
      </c>
      <c r="L46" s="8">
        <v>1205.1462344700001</v>
      </c>
      <c r="M46" s="8">
        <v>1348.2138857100001</v>
      </c>
      <c r="N46" s="8">
        <v>1494.9550791900001</v>
      </c>
      <c r="O46" s="8">
        <v>1645.4481033899999</v>
      </c>
      <c r="P46" s="8">
        <v>1800.2540870099999</v>
      </c>
      <c r="Q46" s="8">
        <v>1959.53806074</v>
      </c>
      <c r="R46" s="8">
        <v>2123.5130398400001</v>
      </c>
      <c r="S46" s="8">
        <v>2292.4578611699999</v>
      </c>
      <c r="T46" s="8">
        <v>2466.51456874</v>
      </c>
      <c r="U46" s="8">
        <v>2645.8286281300002</v>
      </c>
      <c r="V46" s="8">
        <v>2830.5490024800001</v>
      </c>
      <c r="W46" s="8">
        <v>3020.8282233999998</v>
      </c>
      <c r="X46" s="8">
        <v>3216.8224660400001</v>
      </c>
      <c r="Y46" s="8">
        <v>3418.6909322199999</v>
      </c>
      <c r="Z46" s="8">
        <v>3621.9780488199999</v>
      </c>
      <c r="AA46" s="8">
        <v>3826.7793325299999</v>
      </c>
      <c r="AB46" s="8">
        <v>4033.2671626900001</v>
      </c>
      <c r="AC46" s="8">
        <v>4128.6383749300003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1.0000001199999999</v>
      </c>
      <c r="H47" s="8">
        <v>1.23968013</v>
      </c>
      <c r="I47" s="8">
        <v>1.2148994500000001</v>
      </c>
      <c r="J47" s="8">
        <v>1.1964597100000001</v>
      </c>
      <c r="K47" s="8">
        <v>1.1760436700000001</v>
      </c>
      <c r="L47" s="8">
        <v>1.1601334000000001</v>
      </c>
      <c r="M47" s="8">
        <v>1.1473889100000001</v>
      </c>
      <c r="N47" s="8">
        <v>1.1372630100000001</v>
      </c>
      <c r="O47" s="8">
        <v>1.1288794900000001</v>
      </c>
      <c r="P47" s="8">
        <v>1.12212472</v>
      </c>
      <c r="Q47" s="8">
        <v>1.1163783199999999</v>
      </c>
      <c r="R47" s="8">
        <v>1.1114571</v>
      </c>
      <c r="S47" s="8">
        <v>1.1072301200000001</v>
      </c>
      <c r="T47" s="8">
        <v>1.1035036499999999</v>
      </c>
      <c r="U47" s="8">
        <v>1.1001944800000001</v>
      </c>
      <c r="V47" s="8">
        <v>1.0972368699999999</v>
      </c>
      <c r="W47" s="8">
        <v>1.0945781400000001</v>
      </c>
      <c r="X47" s="8">
        <v>1.0921756</v>
      </c>
      <c r="Y47" s="8">
        <v>1.08999432</v>
      </c>
      <c r="Z47" s="8">
        <v>1.0866191700000001</v>
      </c>
      <c r="AA47" s="8">
        <v>1.08363615</v>
      </c>
      <c r="AB47" s="8">
        <v>1.0809807300000001</v>
      </c>
      <c r="AC47" s="8">
        <v>1.0786044100000001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</v>
      </c>
      <c r="F48" s="8">
        <v>1.0000001199999999</v>
      </c>
      <c r="G48" s="8">
        <v>1.2747797700000001</v>
      </c>
      <c r="H48" s="8">
        <v>1.2393656799999999</v>
      </c>
      <c r="I48" s="8">
        <v>1.2149094499999999</v>
      </c>
      <c r="J48" s="8">
        <v>1.1964697099999999</v>
      </c>
      <c r="K48" s="8">
        <v>1.1760536699999999</v>
      </c>
      <c r="L48" s="8">
        <v>1.1601433999999999</v>
      </c>
      <c r="M48" s="8">
        <v>1.1473989099999999</v>
      </c>
      <c r="N48" s="8">
        <v>1.1372730099999999</v>
      </c>
      <c r="O48" s="8">
        <v>1.1288894899999999</v>
      </c>
      <c r="P48" s="8">
        <v>1.12213472</v>
      </c>
      <c r="Q48" s="8">
        <v>1.1163883100000001</v>
      </c>
      <c r="R48" s="8">
        <v>1.1114671</v>
      </c>
      <c r="S48" s="8">
        <v>1.1072401199999999</v>
      </c>
      <c r="T48" s="8">
        <v>1.10351365</v>
      </c>
      <c r="U48" s="8">
        <v>1.1002044799999999</v>
      </c>
      <c r="V48" s="8">
        <v>1.09724687</v>
      </c>
      <c r="W48" s="8">
        <v>1.0945881399999999</v>
      </c>
      <c r="X48" s="8">
        <v>1.0921856000000001</v>
      </c>
      <c r="Y48" s="8">
        <v>1.0900041</v>
      </c>
      <c r="Z48" s="8">
        <v>1.0866291699999999</v>
      </c>
      <c r="AA48" s="8">
        <v>1.0836349199999999</v>
      </c>
      <c r="AB48" s="8">
        <v>1.08098323</v>
      </c>
      <c r="AC48" s="8">
        <v>1.0498934799999999</v>
      </c>
    </row>
    <row r="49" spans="1:29" x14ac:dyDescent="0.85">
      <c r="A49" t="s">
        <v>180</v>
      </c>
      <c r="B49" s="8">
        <v>1</v>
      </c>
      <c r="C49" s="8">
        <v>1.2269470499999999</v>
      </c>
      <c r="D49" s="8">
        <v>1.2363169000000001</v>
      </c>
      <c r="E49" s="8">
        <v>1.2463400499999999</v>
      </c>
      <c r="F49" s="8">
        <v>1.2582662200000001</v>
      </c>
      <c r="G49" s="8">
        <v>1.2747797700000001</v>
      </c>
      <c r="H49" s="8">
        <v>1.2396901300000001</v>
      </c>
      <c r="I49" s="8">
        <v>1.2149094499999999</v>
      </c>
      <c r="J49" s="8">
        <v>1.1964697099999999</v>
      </c>
      <c r="K49" s="8">
        <v>1.1760536699999999</v>
      </c>
      <c r="L49" s="8">
        <v>1.1601433999999999</v>
      </c>
      <c r="M49" s="8">
        <v>1.1473989099999999</v>
      </c>
      <c r="N49" s="8">
        <v>1.1372730099999999</v>
      </c>
      <c r="O49" s="8">
        <v>1.1288894899999999</v>
      </c>
      <c r="P49" s="8">
        <v>1.12213472</v>
      </c>
      <c r="Q49" s="8">
        <v>1.11638832</v>
      </c>
      <c r="R49" s="8">
        <v>1.1114671</v>
      </c>
      <c r="S49" s="8">
        <v>1.1072401199999999</v>
      </c>
      <c r="T49" s="8">
        <v>1.10351365</v>
      </c>
      <c r="U49" s="8">
        <v>1.1002044799999999</v>
      </c>
      <c r="V49" s="8">
        <v>1.09724687</v>
      </c>
      <c r="W49" s="8">
        <v>1.0945881399999999</v>
      </c>
      <c r="X49" s="8">
        <v>1.0921856000000001</v>
      </c>
      <c r="Y49" s="8">
        <v>1.09000432</v>
      </c>
      <c r="Z49" s="8">
        <v>1.0866291699999999</v>
      </c>
      <c r="AA49" s="8">
        <v>1.0836461500000001</v>
      </c>
      <c r="AB49" s="8">
        <v>1.0809907299999999</v>
      </c>
      <c r="AC49" s="8">
        <v>1.0786144099999999</v>
      </c>
    </row>
    <row r="50" spans="1:29" x14ac:dyDescent="0.85">
      <c r="A50" t="s">
        <v>181</v>
      </c>
      <c r="B50" s="8">
        <v>29021</v>
      </c>
      <c r="C50" s="8">
        <v>29697.585204840001</v>
      </c>
      <c r="D50" s="8">
        <v>30431.722616930001</v>
      </c>
      <c r="E50" s="8">
        <v>31513.151391349998</v>
      </c>
      <c r="F50" s="8">
        <v>33532.221041539997</v>
      </c>
      <c r="G50" s="8">
        <v>35622.946753509998</v>
      </c>
      <c r="H50" s="8">
        <v>37870.415462279998</v>
      </c>
      <c r="I50" s="8">
        <v>40286.537047179998</v>
      </c>
      <c r="J50" s="8">
        <v>39865.247375970001</v>
      </c>
      <c r="K50" s="8">
        <v>39294.29242174</v>
      </c>
      <c r="L50" s="8">
        <v>38596.465143319998</v>
      </c>
      <c r="M50" s="8">
        <v>38006.313426430002</v>
      </c>
      <c r="N50" s="8">
        <v>37385.118723040003</v>
      </c>
      <c r="O50" s="8">
        <v>36989.785785120002</v>
      </c>
      <c r="P50" s="8">
        <v>36597.262569109997</v>
      </c>
      <c r="Q50" s="8">
        <v>36230.165493070002</v>
      </c>
      <c r="R50" s="8">
        <v>35919.668417549998</v>
      </c>
      <c r="S50" s="8">
        <v>35587.250392469999</v>
      </c>
      <c r="T50" s="8">
        <v>35232.202837049997</v>
      </c>
      <c r="U50" s="8">
        <v>34853.791400529997</v>
      </c>
      <c r="V50" s="8">
        <v>34451.251961720001</v>
      </c>
      <c r="W50" s="8">
        <v>34023.791254249998</v>
      </c>
      <c r="X50" s="8">
        <v>33570.587201820003</v>
      </c>
      <c r="Y50" s="8">
        <v>33208.615086140002</v>
      </c>
      <c r="Z50" s="8">
        <v>32865.069945260002</v>
      </c>
      <c r="AA50" s="8">
        <v>32532.170601270001</v>
      </c>
      <c r="AB50" s="8">
        <v>32210.53504893</v>
      </c>
      <c r="AC50" s="8">
        <v>32847.610980179998</v>
      </c>
    </row>
    <row r="51" spans="1:29" x14ac:dyDescent="0.85">
      <c r="A51" t="s">
        <v>182</v>
      </c>
      <c r="B51" s="8">
        <v>128767840.25</v>
      </c>
      <c r="C51" s="8">
        <v>134422486.53154501</v>
      </c>
      <c r="D51" s="8">
        <v>140106849.36599499</v>
      </c>
      <c r="E51" s="8">
        <v>145821934.998119</v>
      </c>
      <c r="F51" s="8">
        <v>155526630.26324999</v>
      </c>
      <c r="G51" s="8">
        <v>159181445.61841401</v>
      </c>
      <c r="H51" s="8">
        <v>162939813.07169801</v>
      </c>
      <c r="I51" s="8">
        <v>167524534.09880301</v>
      </c>
      <c r="J51" s="8">
        <v>158019177.60413</v>
      </c>
      <c r="K51" s="8">
        <v>148226753.76236901</v>
      </c>
      <c r="L51" s="8">
        <v>138177848.48416299</v>
      </c>
      <c r="M51" s="8">
        <v>127921586.127213</v>
      </c>
      <c r="N51" s="8">
        <v>117505154.455158</v>
      </c>
      <c r="O51" s="8">
        <v>107028313.937249</v>
      </c>
      <c r="P51" s="8">
        <v>96555018.5536668</v>
      </c>
      <c r="Q51" s="8">
        <v>86234282.1414188</v>
      </c>
      <c r="R51" s="8">
        <v>76199856.302076504</v>
      </c>
      <c r="S51" s="8">
        <v>66585827.479033798</v>
      </c>
      <c r="T51" s="8">
        <v>57476150.587132499</v>
      </c>
      <c r="U51" s="8">
        <v>48973936.088114902</v>
      </c>
      <c r="V51" s="8">
        <v>41179198.120684199</v>
      </c>
      <c r="W51" s="8">
        <v>34184519.859803803</v>
      </c>
      <c r="X51" s="8">
        <v>28037947.620530501</v>
      </c>
      <c r="Y51" s="8">
        <v>23707327.521065801</v>
      </c>
      <c r="Z51" s="8">
        <v>20091709.0189647</v>
      </c>
      <c r="AA51" s="8">
        <v>17077161.440791801</v>
      </c>
      <c r="AB51" s="8">
        <v>14560587.9353416</v>
      </c>
      <c r="AC51" s="8">
        <v>15038746.710748199</v>
      </c>
    </row>
    <row r="52" spans="1:29" x14ac:dyDescent="0.85">
      <c r="A52" t="s">
        <v>183</v>
      </c>
      <c r="B52" s="8">
        <v>128767840.25</v>
      </c>
      <c r="C52" s="8">
        <v>134422486.53154501</v>
      </c>
      <c r="D52" s="8">
        <v>140106849.36599499</v>
      </c>
      <c r="E52" s="8">
        <v>145821934.998119</v>
      </c>
      <c r="F52" s="8">
        <v>155526630.26324999</v>
      </c>
      <c r="G52" s="8">
        <v>159181445.61841401</v>
      </c>
      <c r="H52" s="8">
        <v>162939813.07169801</v>
      </c>
      <c r="I52" s="8">
        <v>167524534.09880301</v>
      </c>
      <c r="J52" s="8">
        <v>158019177.60413</v>
      </c>
      <c r="K52" s="8">
        <v>148226753.76236901</v>
      </c>
      <c r="L52" s="8">
        <v>138177848.48416299</v>
      </c>
      <c r="M52" s="8">
        <v>127921586.127213</v>
      </c>
      <c r="N52" s="8">
        <v>117505154.455158</v>
      </c>
      <c r="O52" s="8">
        <v>107028313.937249</v>
      </c>
      <c r="P52" s="8">
        <v>96555018.5536668</v>
      </c>
      <c r="Q52" s="8">
        <v>86234282.1414188</v>
      </c>
      <c r="R52" s="8">
        <v>76199856.302076504</v>
      </c>
      <c r="S52" s="8">
        <v>66585827.479033798</v>
      </c>
      <c r="T52" s="8">
        <v>57476150.587132499</v>
      </c>
      <c r="U52" s="8">
        <v>48973936.088114902</v>
      </c>
      <c r="V52" s="8">
        <v>41179198.120684199</v>
      </c>
      <c r="W52" s="8">
        <v>34184519.859803803</v>
      </c>
      <c r="X52" s="8">
        <v>28037947.620530501</v>
      </c>
      <c r="Y52" s="8">
        <v>23707327.521065801</v>
      </c>
      <c r="Z52" s="8">
        <v>20091709.0189647</v>
      </c>
      <c r="AA52" s="8">
        <v>17077161.440791801</v>
      </c>
      <c r="AB52" s="8">
        <v>14560587.9353416</v>
      </c>
      <c r="AC52" s="8">
        <v>15038746.710748199</v>
      </c>
    </row>
    <row r="53" spans="1:29" x14ac:dyDescent="0.85">
      <c r="A53" t="s">
        <v>184</v>
      </c>
      <c r="B53" s="8">
        <v>5959.5433710300003</v>
      </c>
      <c r="C53" s="8">
        <v>6163.2054461500002</v>
      </c>
      <c r="D53" s="8">
        <v>6373.18026801</v>
      </c>
      <c r="E53" s="8">
        <v>6617.6227559999998</v>
      </c>
      <c r="F53" s="8">
        <v>7050.4459527700001</v>
      </c>
      <c r="G53" s="8">
        <v>7342.6090659900001</v>
      </c>
      <c r="H53" s="8">
        <v>7652.5168074800004</v>
      </c>
      <c r="I53" s="8">
        <v>7998.9618466900001</v>
      </c>
      <c r="J53" s="8">
        <v>7726.1287266299996</v>
      </c>
      <c r="K53" s="8">
        <v>7431.7603714999996</v>
      </c>
      <c r="L53" s="8">
        <v>7118.8160138200001</v>
      </c>
      <c r="M53" s="8">
        <v>6811.2662122199999</v>
      </c>
      <c r="N53" s="8">
        <v>6496.7943594500002</v>
      </c>
      <c r="O53" s="8">
        <v>6202.7771319399999</v>
      </c>
      <c r="P53" s="8">
        <v>5909.1191976700002</v>
      </c>
      <c r="Q53" s="8">
        <v>5621.6522904599997</v>
      </c>
      <c r="R53" s="8">
        <v>5346.6665756599996</v>
      </c>
      <c r="S53" s="8">
        <v>5079.8102738999996</v>
      </c>
      <c r="T53" s="8">
        <v>4823.0630899999996</v>
      </c>
      <c r="U53" s="8">
        <v>4578.8696221299997</v>
      </c>
      <c r="V53" s="8">
        <v>4349.59602782</v>
      </c>
      <c r="W53" s="8">
        <v>4137.4243194299997</v>
      </c>
      <c r="X53" s="8">
        <v>3943.4470128200001</v>
      </c>
      <c r="Y53" s="8">
        <v>3802.63651884</v>
      </c>
      <c r="Z53" s="8">
        <v>3681.06111289</v>
      </c>
      <c r="AA53" s="8">
        <v>3575.1854229300002</v>
      </c>
      <c r="AB53" s="8">
        <v>3482.5538860400002</v>
      </c>
      <c r="AC53" s="8">
        <v>3556.07376621</v>
      </c>
    </row>
    <row r="54" spans="1:29" x14ac:dyDescent="0.85">
      <c r="A54" t="s">
        <v>185</v>
      </c>
      <c r="B54" s="8">
        <v>0</v>
      </c>
      <c r="C54" s="8">
        <v>1317.34036801</v>
      </c>
      <c r="D54" s="8">
        <v>2746.0942475699999</v>
      </c>
      <c r="E54" s="8">
        <v>4287.1648889400003</v>
      </c>
      <c r="F54" s="8">
        <v>6096.6439063199996</v>
      </c>
      <c r="G54" s="8">
        <v>7799.8908352999997</v>
      </c>
      <c r="H54" s="8">
        <v>9580.8610086200006</v>
      </c>
      <c r="I54" s="8">
        <v>11492.183039179999</v>
      </c>
      <c r="J54" s="8">
        <v>12388.703524160001</v>
      </c>
      <c r="K54" s="8">
        <v>13073.59968184</v>
      </c>
      <c r="L54" s="8">
        <v>13541.42915145</v>
      </c>
      <c r="M54" s="8">
        <v>13789.946984509999</v>
      </c>
      <c r="N54" s="8">
        <v>13818.606163930001</v>
      </c>
      <c r="O54" s="8">
        <v>13635.40719561</v>
      </c>
      <c r="P54" s="8">
        <v>13247.34854556</v>
      </c>
      <c r="Q54" s="8">
        <v>12676.439474790001</v>
      </c>
      <c r="R54" s="8">
        <v>11948.13746817</v>
      </c>
      <c r="S54" s="8">
        <v>11093.198858010001</v>
      </c>
      <c r="T54" s="8">
        <v>10138.79296357</v>
      </c>
      <c r="U54" s="8">
        <v>9118.9468996100004</v>
      </c>
      <c r="V54" s="8">
        <v>8071.1228316500001</v>
      </c>
      <c r="W54" s="8">
        <v>7035.1741871499999</v>
      </c>
      <c r="X54" s="8">
        <v>6044.9815069899996</v>
      </c>
      <c r="Y54" s="8">
        <v>5343.6316232500003</v>
      </c>
      <c r="Z54" s="8">
        <v>4725.5699612600001</v>
      </c>
      <c r="AA54" s="8">
        <v>4183.9045529900004</v>
      </c>
      <c r="AB54" s="8">
        <v>3710.0378059300001</v>
      </c>
      <c r="AC54" s="8">
        <v>3979.2523796599999</v>
      </c>
    </row>
    <row r="55" spans="1:29" x14ac:dyDescent="0.85">
      <c r="A55" t="s">
        <v>186</v>
      </c>
      <c r="B55" s="8">
        <v>63.096241720000002</v>
      </c>
      <c r="C55" s="8">
        <v>65.867018400000006</v>
      </c>
      <c r="D55" s="8">
        <v>68.652356190000006</v>
      </c>
      <c r="E55" s="8">
        <v>71.452748150000005</v>
      </c>
      <c r="F55" s="8">
        <v>76.208048829999996</v>
      </c>
      <c r="G55" s="8">
        <v>77.998908349999994</v>
      </c>
      <c r="H55" s="8">
        <v>79.840508409999998</v>
      </c>
      <c r="I55" s="8">
        <v>82.087021710000002</v>
      </c>
      <c r="J55" s="8">
        <v>77.429397030000004</v>
      </c>
      <c r="K55" s="8">
        <v>72.631109339999995</v>
      </c>
      <c r="L55" s="8">
        <v>67.707145760000003</v>
      </c>
      <c r="M55" s="8">
        <v>62.6815772</v>
      </c>
      <c r="N55" s="8">
        <v>57.577525680000001</v>
      </c>
      <c r="O55" s="8">
        <v>52.443873830000001</v>
      </c>
      <c r="P55" s="8">
        <v>47.311959090000002</v>
      </c>
      <c r="Q55" s="8">
        <v>42.25479825</v>
      </c>
      <c r="R55" s="8">
        <v>37.337929590000002</v>
      </c>
      <c r="S55" s="8">
        <v>32.627055460000001</v>
      </c>
      <c r="T55" s="8">
        <v>28.16331379</v>
      </c>
      <c r="U55" s="8">
        <v>23.997228679999999</v>
      </c>
      <c r="V55" s="8">
        <v>20.177807080000001</v>
      </c>
      <c r="W55" s="8">
        <v>16.750414729999999</v>
      </c>
      <c r="X55" s="8">
        <v>13.73859433</v>
      </c>
      <c r="Y55" s="8">
        <v>11.61659049</v>
      </c>
      <c r="Z55" s="8">
        <v>9.8449374200000008</v>
      </c>
      <c r="AA55" s="8">
        <v>8.3678091099999996</v>
      </c>
      <c r="AB55" s="8">
        <v>7.13468809</v>
      </c>
      <c r="AC55" s="8">
        <v>7.3689858900000003</v>
      </c>
    </row>
    <row r="56" spans="1:29" x14ac:dyDescent="0.85">
      <c r="A56" t="s">
        <v>187</v>
      </c>
      <c r="B56" s="8">
        <v>2817.6080689300002</v>
      </c>
      <c r="C56" s="8">
        <v>2883.2967747799999</v>
      </c>
      <c r="D56" s="8">
        <v>2954.57314348</v>
      </c>
      <c r="E56" s="8">
        <v>3059.5675420399998</v>
      </c>
      <c r="F56" s="8">
        <v>3255.5961743500002</v>
      </c>
      <c r="G56" s="8">
        <v>3458.5817929</v>
      </c>
      <c r="H56" s="8">
        <v>3676.7853685300001</v>
      </c>
      <c r="I56" s="8">
        <v>3911.3632146800001</v>
      </c>
      <c r="J56" s="8">
        <v>3870.4607930900002</v>
      </c>
      <c r="K56" s="8">
        <v>3815.0275796999999</v>
      </c>
      <c r="L56" s="8">
        <v>3747.2765107999999</v>
      </c>
      <c r="M56" s="8">
        <v>3689.9795107199998</v>
      </c>
      <c r="N56" s="8">
        <v>3629.6685907400001</v>
      </c>
      <c r="O56" s="8">
        <v>3591.2862718800002</v>
      </c>
      <c r="P56" s="8">
        <v>3553.1767449600002</v>
      </c>
      <c r="Q56" s="8">
        <v>3517.5358062099999</v>
      </c>
      <c r="R56" s="8">
        <v>3487.3900818900001</v>
      </c>
      <c r="S56" s="8">
        <v>3455.11608342</v>
      </c>
      <c r="T56" s="8">
        <v>3420.6450156699998</v>
      </c>
      <c r="U56" s="8">
        <v>3383.9055815800002</v>
      </c>
      <c r="V56" s="8">
        <v>3344.8235936800002</v>
      </c>
      <c r="W56" s="8">
        <v>3303.3220348599998</v>
      </c>
      <c r="X56" s="8">
        <v>3259.3210908800002</v>
      </c>
      <c r="Y56" s="8">
        <v>3224.17772732</v>
      </c>
      <c r="Z56" s="8">
        <v>3190.8234128300001</v>
      </c>
      <c r="AA56" s="8">
        <v>3158.5026837800001</v>
      </c>
      <c r="AB56" s="8">
        <v>3127.2755404099998</v>
      </c>
      <c r="AC56" s="8">
        <v>3189.12834647</v>
      </c>
    </row>
    <row r="57" spans="1:29" x14ac:dyDescent="0.85">
      <c r="A57" t="s">
        <v>188</v>
      </c>
      <c r="B57" s="8">
        <v>3141.9353021000002</v>
      </c>
      <c r="C57" s="8">
        <v>3279.9086713699999</v>
      </c>
      <c r="D57" s="8">
        <v>3418.60712453</v>
      </c>
      <c r="E57" s="8">
        <v>3558.0552139500001</v>
      </c>
      <c r="F57" s="8">
        <v>3794.8497784199999</v>
      </c>
      <c r="G57" s="8">
        <v>3884.0272730900001</v>
      </c>
      <c r="H57" s="8">
        <v>3975.7314389500002</v>
      </c>
      <c r="I57" s="8">
        <v>4087.5986320100001</v>
      </c>
      <c r="J57" s="8">
        <v>3855.6679335399999</v>
      </c>
      <c r="K57" s="8">
        <v>3616.7327918000001</v>
      </c>
      <c r="L57" s="8">
        <v>3371.5395030099999</v>
      </c>
      <c r="M57" s="8">
        <v>3121.2867015000002</v>
      </c>
      <c r="N57" s="8">
        <v>2867.1257687100001</v>
      </c>
      <c r="O57" s="8">
        <v>2611.4908600700001</v>
      </c>
      <c r="P57" s="8">
        <v>2355.94245271</v>
      </c>
      <c r="Q57" s="8">
        <v>2104.1164842500002</v>
      </c>
      <c r="R57" s="8">
        <v>1859.2764937699999</v>
      </c>
      <c r="S57" s="8">
        <v>1624.69419049</v>
      </c>
      <c r="T57" s="8">
        <v>1402.4180743300001</v>
      </c>
      <c r="U57" s="8">
        <v>1194.9640405499999</v>
      </c>
      <c r="V57" s="8">
        <v>1004.77243414</v>
      </c>
      <c r="W57" s="8">
        <v>834.10228457999995</v>
      </c>
      <c r="X57" s="8">
        <v>684.12592194000001</v>
      </c>
      <c r="Y57" s="8">
        <v>578.45879150999997</v>
      </c>
      <c r="Z57" s="8">
        <v>490.23770006000001</v>
      </c>
      <c r="AA57" s="8">
        <v>416.68273915999998</v>
      </c>
      <c r="AB57" s="8">
        <v>355.27834561999998</v>
      </c>
      <c r="AC57" s="8">
        <v>366.94541973999998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1.06595171</v>
      </c>
      <c r="E58" s="8">
        <v>1.0674171299999999</v>
      </c>
      <c r="F58" s="8">
        <v>1.0786835800000001</v>
      </c>
      <c r="G58" s="8">
        <v>1.10661108</v>
      </c>
      <c r="H58" s="8">
        <v>1.10661433</v>
      </c>
      <c r="I58" s="8">
        <v>1.1073859100000001</v>
      </c>
      <c r="J58" s="8">
        <v>1.1081247000000001</v>
      </c>
      <c r="K58" s="8">
        <v>1.03077361</v>
      </c>
      <c r="L58" s="8">
        <v>1.0267477899999999</v>
      </c>
      <c r="M58" s="8">
        <v>1.0231677100000001</v>
      </c>
      <c r="N58" s="8">
        <v>1.0257392700000001</v>
      </c>
      <c r="O58" s="8">
        <v>1.02464113</v>
      </c>
      <c r="P58" s="8">
        <v>1.0306514499999999</v>
      </c>
      <c r="Q58" s="8">
        <v>1.03061285</v>
      </c>
      <c r="R58" s="8">
        <v>1.03121799</v>
      </c>
      <c r="S58" s="8">
        <v>1.03273945</v>
      </c>
      <c r="T58" s="8">
        <v>1.0320265799999999</v>
      </c>
      <c r="U58" s="8">
        <v>1.03127415</v>
      </c>
      <c r="V58" s="8">
        <v>1.0304786500000001</v>
      </c>
      <c r="W58" s="8">
        <v>1.02963607</v>
      </c>
      <c r="X58" s="8">
        <v>1.0287419799999999</v>
      </c>
      <c r="Y58" s="8">
        <v>1.0277914500000001</v>
      </c>
      <c r="Z58" s="8">
        <v>1.0304349799999999</v>
      </c>
      <c r="AA58" s="8">
        <v>1.03089056</v>
      </c>
      <c r="AB58" s="8">
        <v>1.0311153399999999</v>
      </c>
      <c r="AC58" s="8">
        <v>1.0313680300000001</v>
      </c>
    </row>
    <row r="59" spans="1:29" x14ac:dyDescent="0.85">
      <c r="A59" t="s">
        <v>190</v>
      </c>
      <c r="B59" s="8">
        <v>1</v>
      </c>
      <c r="C59" s="8">
        <v>1.06595171</v>
      </c>
      <c r="D59" s="8">
        <v>1.0674171299999999</v>
      </c>
      <c r="E59" s="8">
        <v>1.0786835800000001</v>
      </c>
      <c r="F59" s="8">
        <v>1.10840698</v>
      </c>
      <c r="G59" s="8">
        <v>1.10661433</v>
      </c>
      <c r="H59" s="8">
        <v>1.1073859100000001</v>
      </c>
      <c r="I59" s="8">
        <v>1.1081247000000001</v>
      </c>
      <c r="J59" s="8">
        <v>1.03077361</v>
      </c>
      <c r="K59" s="8">
        <v>1.0267477899999999</v>
      </c>
      <c r="L59" s="8">
        <v>1.0231677100000001</v>
      </c>
      <c r="M59" s="8">
        <v>1.0257392700000001</v>
      </c>
      <c r="N59" s="8">
        <v>1.02464113</v>
      </c>
      <c r="O59" s="8">
        <v>1.0306514499999999</v>
      </c>
      <c r="P59" s="8">
        <v>1.03061285</v>
      </c>
      <c r="Q59" s="8">
        <v>1.03121799</v>
      </c>
      <c r="R59" s="8">
        <v>1.03273945</v>
      </c>
      <c r="S59" s="8">
        <v>1.0320265799999999</v>
      </c>
      <c r="T59" s="8">
        <v>1.03127415</v>
      </c>
      <c r="U59" s="8">
        <v>1.0304786500000001</v>
      </c>
      <c r="V59" s="8">
        <v>1.02963607</v>
      </c>
      <c r="W59" s="8">
        <v>1.0287419799999999</v>
      </c>
      <c r="X59" s="8">
        <v>1.0277914500000001</v>
      </c>
      <c r="Y59" s="8">
        <v>1.0304349799999999</v>
      </c>
      <c r="Z59" s="8">
        <v>1.03089056</v>
      </c>
      <c r="AA59" s="8">
        <v>1.0311153399999999</v>
      </c>
      <c r="AB59" s="8">
        <v>1.0313680300000001</v>
      </c>
      <c r="AC59" s="8">
        <v>1.06226927</v>
      </c>
    </row>
    <row r="60" spans="1:29" x14ac:dyDescent="0.85">
      <c r="A60" t="s">
        <v>191</v>
      </c>
      <c r="B60" s="8">
        <v>1</v>
      </c>
      <c r="C60" s="8">
        <v>1.10995997</v>
      </c>
      <c r="D60" s="8">
        <v>1.1095934700000001</v>
      </c>
      <c r="E60" s="8">
        <v>1.1091962399999999</v>
      </c>
      <c r="F60" s="8">
        <v>1.10840706</v>
      </c>
      <c r="G60" s="8">
        <v>1.10662108</v>
      </c>
      <c r="H60" s="8">
        <v>1.1073859100000001</v>
      </c>
      <c r="I60" s="8">
        <v>1.1081247000000001</v>
      </c>
      <c r="J60" s="8">
        <v>1.10884308</v>
      </c>
      <c r="K60" s="8">
        <v>1.1126188100000001</v>
      </c>
      <c r="L60" s="8">
        <v>1.1167597199999999</v>
      </c>
      <c r="M60" s="8">
        <v>1.12129451</v>
      </c>
      <c r="N60" s="8">
        <v>1.12593247</v>
      </c>
      <c r="O60" s="8">
        <v>1.1308774699999999</v>
      </c>
      <c r="P60" s="8">
        <v>1.1356921099999999</v>
      </c>
      <c r="Q60" s="8">
        <v>1.14073622</v>
      </c>
      <c r="R60" s="8">
        <v>1.14597265</v>
      </c>
      <c r="S60" s="8">
        <v>1.15133087</v>
      </c>
      <c r="T60" s="8">
        <v>1.1569910999999999</v>
      </c>
      <c r="U60" s="8">
        <v>1.16297842</v>
      </c>
      <c r="V60" s="8">
        <v>1.1693208799999999</v>
      </c>
      <c r="W60" s="8">
        <v>1.17604986</v>
      </c>
      <c r="X60" s="8">
        <v>1.1832006500000001</v>
      </c>
      <c r="Y60" s="8">
        <v>1.19081302</v>
      </c>
      <c r="Z60" s="8">
        <v>1.1946632100000001</v>
      </c>
      <c r="AA60" s="8">
        <v>1.19861229</v>
      </c>
      <c r="AB60" s="8">
        <v>1.20268891</v>
      </c>
      <c r="AC60" s="8">
        <v>1.2068922900000001</v>
      </c>
    </row>
    <row r="61" spans="1:29" x14ac:dyDescent="0.85">
      <c r="A61" t="s">
        <v>192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12213.3418418</v>
      </c>
      <c r="G61" s="8">
        <v>11908.00829575</v>
      </c>
      <c r="H61" s="8">
        <v>11610.30808836</v>
      </c>
      <c r="I61" s="8">
        <v>11320.05038615</v>
      </c>
      <c r="J61" s="8">
        <v>11037.0491265</v>
      </c>
      <c r="K61" s="8">
        <v>10761.122898330001</v>
      </c>
      <c r="L61" s="8">
        <v>10492.094825869999</v>
      </c>
      <c r="M61" s="8">
        <v>10229.792455229999</v>
      </c>
      <c r="N61" s="8">
        <v>9974.0476438500009</v>
      </c>
      <c r="O61" s="8">
        <v>9724.6964527500004</v>
      </c>
      <c r="P61" s="8">
        <v>9481.5790414300009</v>
      </c>
      <c r="Q61" s="8">
        <v>9244.5395654000004</v>
      </c>
      <c r="R61" s="8">
        <v>9013.4260762600006</v>
      </c>
      <c r="S61" s="8">
        <v>8788.0904243500008</v>
      </c>
      <c r="T61" s="8">
        <v>8568.3881637499999</v>
      </c>
      <c r="U61" s="8">
        <v>8354.1784596500001</v>
      </c>
      <c r="V61" s="8">
        <v>8145.32399816</v>
      </c>
      <c r="W61" s="8">
        <v>7941.6908982100003</v>
      </c>
      <c r="X61" s="8">
        <v>7743.1486257500001</v>
      </c>
      <c r="Y61" s="8">
        <v>7549.5699101099999</v>
      </c>
      <c r="Z61" s="8">
        <v>7360.8306623600001</v>
      </c>
      <c r="AA61" s="8">
        <v>7176.8098958</v>
      </c>
      <c r="AB61" s="8">
        <v>6997.3896483999997</v>
      </c>
      <c r="AC61" s="8">
        <v>6822.4549071900001</v>
      </c>
    </row>
    <row r="62" spans="1:29" x14ac:dyDescent="0.85">
      <c r="A62" t="s">
        <v>193</v>
      </c>
      <c r="B62" s="8">
        <v>43769271</v>
      </c>
      <c r="C62" s="8">
        <v>42675037.469145298</v>
      </c>
      <c r="D62" s="8">
        <v>41608141.664662197</v>
      </c>
      <c r="E62" s="8">
        <v>40567927.338419303</v>
      </c>
      <c r="F62" s="8">
        <v>35587329.967143297</v>
      </c>
      <c r="G62" s="8">
        <v>24815808.429653902</v>
      </c>
      <c r="H62" s="8">
        <v>13226976.069694901</v>
      </c>
      <c r="I62" s="8">
        <v>3.5205599999999998E-3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43769271</v>
      </c>
      <c r="C63" s="8">
        <v>42675037.469145298</v>
      </c>
      <c r="D63" s="8">
        <v>41608141.664662197</v>
      </c>
      <c r="E63" s="8">
        <v>40567927.338419303</v>
      </c>
      <c r="F63" s="8">
        <v>35587329.967143297</v>
      </c>
      <c r="G63" s="8">
        <v>24815808.429653902</v>
      </c>
      <c r="H63" s="8">
        <v>13226976.069694901</v>
      </c>
      <c r="I63" s="8">
        <v>3.5205599999999998E-3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4353.9778960399999</v>
      </c>
      <c r="C64" s="8">
        <v>4245.1284077700002</v>
      </c>
      <c r="D64" s="8">
        <v>4138.9997350499998</v>
      </c>
      <c r="E64" s="8">
        <v>4035.5244906100002</v>
      </c>
      <c r="F64" s="8">
        <v>3842.29860525</v>
      </c>
      <c r="G64" s="8">
        <v>3516.1919447700002</v>
      </c>
      <c r="H64" s="8">
        <v>3172.9419293199999</v>
      </c>
      <c r="I64" s="8">
        <v>2793.3924783299999</v>
      </c>
      <c r="J64" s="8">
        <v>2723.5576663000002</v>
      </c>
      <c r="K64" s="8">
        <v>2655.4687246399999</v>
      </c>
      <c r="L64" s="8">
        <v>2589.08200652</v>
      </c>
      <c r="M64" s="8">
        <v>2524.35495636</v>
      </c>
      <c r="N64" s="8">
        <v>2461.2460824499999</v>
      </c>
      <c r="O64" s="8">
        <v>2399.7149303900001</v>
      </c>
      <c r="P64" s="8">
        <v>2339.7220571299999</v>
      </c>
      <c r="Q64" s="8">
        <v>2281.2290057</v>
      </c>
      <c r="R64" s="8">
        <v>2224.1982805600001</v>
      </c>
      <c r="S64" s="8">
        <v>2168.5933235500002</v>
      </c>
      <c r="T64" s="8">
        <v>2114.3784904600002</v>
      </c>
      <c r="U64" s="8">
        <v>2061.51902819</v>
      </c>
      <c r="V64" s="8">
        <v>2009.9810524899999</v>
      </c>
      <c r="W64" s="8">
        <v>1959.7315261799999</v>
      </c>
      <c r="X64" s="8">
        <v>1910.7382380199999</v>
      </c>
      <c r="Y64" s="8">
        <v>1862.9697820700001</v>
      </c>
      <c r="Z64" s="8">
        <v>1816.3955375200001</v>
      </c>
      <c r="AA64" s="8">
        <v>1770.98564908</v>
      </c>
      <c r="AB64" s="8">
        <v>1726.7110078600001</v>
      </c>
      <c r="AC64" s="8">
        <v>1683.5432326600001</v>
      </c>
    </row>
    <row r="65" spans="1:29" x14ac:dyDescent="0.85">
      <c r="A65" t="s">
        <v>196</v>
      </c>
      <c r="B65" s="8">
        <v>0</v>
      </c>
      <c r="C65" s="8">
        <v>699.87061448999998</v>
      </c>
      <c r="D65" s="8">
        <v>1364.7470466</v>
      </c>
      <c r="E65" s="8">
        <v>1995.94202505</v>
      </c>
      <c r="F65" s="8">
        <v>2334.52884584</v>
      </c>
      <c r="G65" s="8">
        <v>2034.8962912300001</v>
      </c>
      <c r="H65" s="8">
        <v>1301.53444526</v>
      </c>
      <c r="I65" s="8">
        <v>3.9999999999999998E-7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35.890802219999998</v>
      </c>
      <c r="C66" s="8">
        <v>34.993530720000003</v>
      </c>
      <c r="D66" s="8">
        <v>34.118676170000001</v>
      </c>
      <c r="E66" s="8">
        <v>33.265700420000002</v>
      </c>
      <c r="F66" s="8">
        <v>29.18161057</v>
      </c>
      <c r="G66" s="8">
        <v>20.348962910000001</v>
      </c>
      <c r="H66" s="8">
        <v>10.84612038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3335.02926716</v>
      </c>
      <c r="C67" s="8">
        <v>3251.6535354900002</v>
      </c>
      <c r="D67" s="8">
        <v>3170.3621970999998</v>
      </c>
      <c r="E67" s="8">
        <v>3091.10314217</v>
      </c>
      <c r="F67" s="8">
        <v>3013.8255636200001</v>
      </c>
      <c r="G67" s="8">
        <v>2938.4799245300001</v>
      </c>
      <c r="H67" s="8">
        <v>2865.0179264100002</v>
      </c>
      <c r="I67" s="8">
        <v>2793.3924782499998</v>
      </c>
      <c r="J67" s="8">
        <v>2723.5576663000002</v>
      </c>
      <c r="K67" s="8">
        <v>2655.4687246399999</v>
      </c>
      <c r="L67" s="8">
        <v>2589.08200652</v>
      </c>
      <c r="M67" s="8">
        <v>2524.35495636</v>
      </c>
      <c r="N67" s="8">
        <v>2461.2460824499999</v>
      </c>
      <c r="O67" s="8">
        <v>2399.7149303900001</v>
      </c>
      <c r="P67" s="8">
        <v>2339.7220571299999</v>
      </c>
      <c r="Q67" s="8">
        <v>2281.2290057</v>
      </c>
      <c r="R67" s="8">
        <v>2224.1982805600001</v>
      </c>
      <c r="S67" s="8">
        <v>2168.5933235500002</v>
      </c>
      <c r="T67" s="8">
        <v>2114.3784904600002</v>
      </c>
      <c r="U67" s="8">
        <v>2061.51902819</v>
      </c>
      <c r="V67" s="8">
        <v>2009.9810524899999</v>
      </c>
      <c r="W67" s="8">
        <v>1959.7315261799999</v>
      </c>
      <c r="X67" s="8">
        <v>1910.7382380199999</v>
      </c>
      <c r="Y67" s="8">
        <v>1862.9697820700001</v>
      </c>
      <c r="Z67" s="8">
        <v>1816.3955375200001</v>
      </c>
      <c r="AA67" s="8">
        <v>1770.98564908</v>
      </c>
      <c r="AB67" s="8">
        <v>1726.7110078600001</v>
      </c>
      <c r="AC67" s="8">
        <v>1683.5432326600001</v>
      </c>
    </row>
    <row r="68" spans="1:29" x14ac:dyDescent="0.85">
      <c r="A68" t="s">
        <v>199</v>
      </c>
      <c r="B68" s="8">
        <v>1018.94862888</v>
      </c>
      <c r="C68" s="8">
        <v>993.47487228</v>
      </c>
      <c r="D68" s="8">
        <v>968.63753795000002</v>
      </c>
      <c r="E68" s="8">
        <v>944.42134843999997</v>
      </c>
      <c r="F68" s="8">
        <v>828.47304164000002</v>
      </c>
      <c r="G68" s="8">
        <v>577.71202024000002</v>
      </c>
      <c r="H68" s="8">
        <v>307.9240029</v>
      </c>
      <c r="I68" s="8">
        <v>8.0000000000000002E-8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0.99999996000000002</v>
      </c>
      <c r="E69" s="8">
        <v>0.99999952000000003</v>
      </c>
      <c r="F69" s="8">
        <v>0.99999972999999998</v>
      </c>
      <c r="G69" s="8">
        <v>0.89972123000000004</v>
      </c>
      <c r="H69" s="8">
        <v>0.71520147999999995</v>
      </c>
      <c r="I69" s="8">
        <v>0.54667286999999998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8.0000000000000002E-8</v>
      </c>
      <c r="AA69" s="8">
        <v>8.9999999999999999E-8</v>
      </c>
      <c r="AB69" s="8">
        <v>8.9999999999999999E-8</v>
      </c>
      <c r="AC69" s="8">
        <v>8.9999999999999999E-8</v>
      </c>
    </row>
    <row r="70" spans="1:29" x14ac:dyDescent="0.85">
      <c r="A70" t="s">
        <v>201</v>
      </c>
      <c r="B70" s="8">
        <v>1</v>
      </c>
      <c r="C70" s="8">
        <v>0.99999996000000002</v>
      </c>
      <c r="D70" s="8">
        <v>0.99999952000000003</v>
      </c>
      <c r="E70" s="8">
        <v>0.99999972999999998</v>
      </c>
      <c r="F70" s="8">
        <v>0.89972123000000004</v>
      </c>
      <c r="G70" s="8">
        <v>0.71520147999999995</v>
      </c>
      <c r="H70" s="8">
        <v>0.54667286999999998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8.0000000000000002E-8</v>
      </c>
      <c r="Z70" s="8">
        <v>8.9999999999999999E-8</v>
      </c>
      <c r="AA70" s="8">
        <v>8.9999999999999999E-8</v>
      </c>
      <c r="AB70" s="8">
        <v>8.9999999999999999E-8</v>
      </c>
      <c r="AC70" s="8">
        <v>2.963886E-2</v>
      </c>
    </row>
    <row r="71" spans="1:29" x14ac:dyDescent="0.85">
      <c r="A71" t="s">
        <v>202</v>
      </c>
      <c r="B71" s="8">
        <v>1</v>
      </c>
      <c r="C71" s="8">
        <v>1.48349259</v>
      </c>
      <c r="D71" s="8">
        <v>1.50447793</v>
      </c>
      <c r="E71" s="8">
        <v>1.52692647</v>
      </c>
      <c r="F71" s="8">
        <v>1.5536371200000001</v>
      </c>
      <c r="G71" s="8">
        <v>1.5906220600000001</v>
      </c>
      <c r="H71" s="8">
        <v>1.6472335899999999</v>
      </c>
      <c r="I71" s="8">
        <v>1.70968557</v>
      </c>
      <c r="J71" s="8">
        <v>1.77863404</v>
      </c>
      <c r="K71" s="8">
        <v>1.8226714900000001</v>
      </c>
      <c r="L71" s="8">
        <v>1.8677419099999999</v>
      </c>
      <c r="M71" s="8">
        <v>1.91406353</v>
      </c>
      <c r="N71" s="8">
        <v>1.9643112599999999</v>
      </c>
      <c r="O71" s="8">
        <v>2.0171668</v>
      </c>
      <c r="P71" s="8">
        <v>2.0758608199999999</v>
      </c>
      <c r="Q71" s="8">
        <v>2.1381566599999999</v>
      </c>
      <c r="R71" s="8">
        <v>2.20456385</v>
      </c>
      <c r="S71" s="8">
        <v>2.2757593300000001</v>
      </c>
      <c r="T71" s="8">
        <v>2.3510348300000001</v>
      </c>
      <c r="U71" s="8">
        <v>2.4306144600000001</v>
      </c>
      <c r="V71" s="8">
        <v>2.51473426</v>
      </c>
      <c r="W71" s="8">
        <v>2.6036427</v>
      </c>
      <c r="X71" s="8">
        <v>2.6976013600000002</v>
      </c>
      <c r="Y71" s="8">
        <v>2.79688559</v>
      </c>
      <c r="Z71" s="8">
        <v>2.8634320999999998</v>
      </c>
      <c r="AA71" s="8">
        <v>2.9334460899999999</v>
      </c>
      <c r="AB71" s="8">
        <v>3.0069683199999999</v>
      </c>
      <c r="AC71" s="8">
        <v>3.0841936400000001</v>
      </c>
    </row>
    <row r="72" spans="1:29" x14ac:dyDescent="0.85">
      <c r="A72" t="s">
        <v>203</v>
      </c>
      <c r="B72" s="8">
        <v>0</v>
      </c>
      <c r="C72" s="8">
        <v>11.512278909999999</v>
      </c>
      <c r="D72" s="8">
        <v>10.43952382</v>
      </c>
      <c r="E72" s="8">
        <v>9.3955735300000001</v>
      </c>
      <c r="F72" s="8">
        <v>19.886107549999998</v>
      </c>
      <c r="G72" s="8">
        <v>17.898103930000001</v>
      </c>
      <c r="H72" s="8">
        <v>16.197120040000001</v>
      </c>
      <c r="I72" s="8">
        <v>211.45364186</v>
      </c>
      <c r="J72" s="8">
        <v>190.30827768</v>
      </c>
      <c r="K72" s="8">
        <v>171.27747979</v>
      </c>
      <c r="L72" s="8">
        <v>154.14973180999999</v>
      </c>
      <c r="M72" s="8">
        <v>138.73499135</v>
      </c>
      <c r="N72" s="8">
        <v>124.86149220999999</v>
      </c>
      <c r="O72" s="8">
        <v>112.37921934000001</v>
      </c>
      <c r="P72" s="8">
        <v>101.14542645</v>
      </c>
      <c r="Q72" s="8">
        <v>91.030883799999998</v>
      </c>
      <c r="R72" s="8">
        <v>81.931435699999994</v>
      </c>
      <c r="S72" s="8">
        <v>73.738292240000007</v>
      </c>
      <c r="T72" s="8">
        <v>66.364463009999994</v>
      </c>
      <c r="U72" s="8">
        <v>59.728016709999999</v>
      </c>
      <c r="V72" s="8">
        <v>53.755215040000003</v>
      </c>
      <c r="W72" s="8">
        <v>48.379693539999998</v>
      </c>
      <c r="X72" s="8">
        <v>43.541753479999997</v>
      </c>
      <c r="Y72" s="8">
        <v>44.801245129999998</v>
      </c>
      <c r="Z72" s="8">
        <v>40.408238939999997</v>
      </c>
      <c r="AA72" s="8">
        <v>36.367961489999999</v>
      </c>
      <c r="AB72" s="8">
        <v>32.731700740000001</v>
      </c>
      <c r="AC72" s="8">
        <v>30.002874800000001</v>
      </c>
    </row>
    <row r="73" spans="1:29" x14ac:dyDescent="0.85">
      <c r="A73" t="s">
        <v>204</v>
      </c>
      <c r="B73" s="8">
        <v>0</v>
      </c>
      <c r="C73" s="8">
        <v>2.8780595500000001</v>
      </c>
      <c r="D73" s="8">
        <v>1.961916E-2</v>
      </c>
      <c r="E73" s="8">
        <v>5.75E-6</v>
      </c>
      <c r="F73" s="8">
        <v>2.8575260999999998</v>
      </c>
      <c r="G73" s="8">
        <v>1.5038000000000001E-4</v>
      </c>
      <c r="H73" s="8">
        <v>2.2205880000000001E-2</v>
      </c>
      <c r="I73" s="8">
        <v>49.219060669999998</v>
      </c>
      <c r="J73" s="8">
        <v>0</v>
      </c>
      <c r="K73" s="8">
        <v>2.7800000000000001E-6</v>
      </c>
      <c r="L73" s="8">
        <v>42.81936134</v>
      </c>
      <c r="M73" s="8">
        <v>34.683731549999997</v>
      </c>
      <c r="N73" s="8">
        <v>56.230021559999997</v>
      </c>
      <c r="O73" s="8">
        <v>28.09480263</v>
      </c>
      <c r="P73" s="8">
        <v>31.418866099999999</v>
      </c>
      <c r="Q73" s="8">
        <v>33.391437449999998</v>
      </c>
      <c r="R73" s="8">
        <v>20.482856949999999</v>
      </c>
      <c r="S73" s="8">
        <v>18.434564179999999</v>
      </c>
      <c r="T73" s="8">
        <v>16.591114690000001</v>
      </c>
      <c r="U73" s="8">
        <v>14.93199772</v>
      </c>
      <c r="V73" s="8">
        <v>13.43879652</v>
      </c>
      <c r="W73" s="8">
        <v>12.0949227</v>
      </c>
      <c r="X73" s="8">
        <v>10.885437769999999</v>
      </c>
      <c r="Y73" s="8">
        <v>11.200301019999999</v>
      </c>
      <c r="Z73" s="8">
        <v>9.9736038300000001</v>
      </c>
      <c r="AA73" s="8">
        <v>9.0919744799999993</v>
      </c>
      <c r="AB73" s="8">
        <v>8.1829183400000005</v>
      </c>
      <c r="AC73" s="8">
        <v>7.5007185300000003</v>
      </c>
    </row>
    <row r="74" spans="1:29" x14ac:dyDescent="0.85">
      <c r="A74" t="s">
        <v>205</v>
      </c>
      <c r="B74" s="8">
        <v>0</v>
      </c>
      <c r="C74" s="8">
        <v>2.8780595500000001</v>
      </c>
      <c r="D74" s="8">
        <v>1.961916E-2</v>
      </c>
      <c r="E74" s="8">
        <v>5.75E-6</v>
      </c>
      <c r="F74" s="8">
        <v>2.8575260999999998</v>
      </c>
      <c r="G74" s="8">
        <v>1.5038000000000001E-4</v>
      </c>
      <c r="H74" s="8">
        <v>2.2205880000000001E-2</v>
      </c>
      <c r="I74" s="8">
        <v>49.219060669999998</v>
      </c>
      <c r="J74" s="8">
        <v>0</v>
      </c>
      <c r="K74" s="8">
        <v>2.7800000000000001E-6</v>
      </c>
      <c r="L74" s="8">
        <v>42.81936134</v>
      </c>
      <c r="M74" s="8">
        <v>34.683731549999997</v>
      </c>
      <c r="N74" s="8">
        <v>56.230021559999997</v>
      </c>
      <c r="O74" s="8">
        <v>28.09480263</v>
      </c>
      <c r="P74" s="8">
        <v>31.418866099999999</v>
      </c>
      <c r="Q74" s="8">
        <v>33.391437449999998</v>
      </c>
      <c r="R74" s="8">
        <v>20.482856949999999</v>
      </c>
      <c r="S74" s="8">
        <v>18.434564179999999</v>
      </c>
      <c r="T74" s="8">
        <v>16.591114690000001</v>
      </c>
      <c r="U74" s="8">
        <v>14.93199772</v>
      </c>
      <c r="V74" s="8">
        <v>13.43879652</v>
      </c>
      <c r="W74" s="8">
        <v>12.0949227</v>
      </c>
      <c r="X74" s="8">
        <v>10.885437769999999</v>
      </c>
      <c r="Y74" s="8">
        <v>11.200301019999999</v>
      </c>
      <c r="Z74" s="8">
        <v>9.9736038300000001</v>
      </c>
      <c r="AA74" s="8">
        <v>9.0919744799999993</v>
      </c>
      <c r="AB74" s="8">
        <v>8.1829183400000005</v>
      </c>
      <c r="AC74" s="8">
        <v>7.5007185300000003</v>
      </c>
    </row>
    <row r="75" spans="1:29" x14ac:dyDescent="0.85">
      <c r="A75" t="s">
        <v>206</v>
      </c>
      <c r="B75" s="8">
        <v>0</v>
      </c>
      <c r="C75" s="8">
        <v>2.2249806699999999</v>
      </c>
      <c r="D75" s="8">
        <v>2.0176133900000002</v>
      </c>
      <c r="E75" s="8">
        <v>1.8158522100000001</v>
      </c>
      <c r="F75" s="8">
        <v>3.8433632599999998</v>
      </c>
      <c r="G75" s="8">
        <v>3.4591088600000002</v>
      </c>
      <c r="H75" s="8">
        <v>3.13036549</v>
      </c>
      <c r="I75" s="8">
        <v>40.867641589999998</v>
      </c>
      <c r="J75" s="8">
        <v>36.780267459999997</v>
      </c>
      <c r="K75" s="8">
        <v>33.102246489999999</v>
      </c>
      <c r="L75" s="8">
        <v>29.79261146</v>
      </c>
      <c r="M75" s="8">
        <v>26.81334223</v>
      </c>
      <c r="N75" s="8">
        <v>24.13235246</v>
      </c>
      <c r="O75" s="8">
        <v>21.719556390000001</v>
      </c>
      <c r="P75" s="8">
        <v>19.548483210000001</v>
      </c>
      <c r="Q75" s="8">
        <v>17.593705320000002</v>
      </c>
      <c r="R75" s="8">
        <v>15.83490656</v>
      </c>
      <c r="S75" s="8">
        <v>14.251415919999999</v>
      </c>
      <c r="T75" s="8">
        <v>12.82627433</v>
      </c>
      <c r="U75" s="8">
        <v>11.543646900000001</v>
      </c>
      <c r="V75" s="8">
        <v>10.389282209999999</v>
      </c>
      <c r="W75" s="8">
        <v>9.3503539900000003</v>
      </c>
      <c r="X75" s="8">
        <v>8.4153242499999994</v>
      </c>
      <c r="Y75" s="8">
        <v>8.6587464799999996</v>
      </c>
      <c r="Z75" s="8">
        <v>7.8097074400000004</v>
      </c>
      <c r="AA75" s="8">
        <v>7.0288439</v>
      </c>
      <c r="AB75" s="8">
        <v>6.3260629799999997</v>
      </c>
      <c r="AC75" s="8">
        <v>5.7986621999999999</v>
      </c>
    </row>
    <row r="76" spans="1:29" x14ac:dyDescent="0.85">
      <c r="A76" t="s">
        <v>207</v>
      </c>
      <c r="B76" s="8">
        <v>0</v>
      </c>
      <c r="C76" s="8">
        <v>6.3999999999999997E-6</v>
      </c>
      <c r="D76" s="8">
        <v>8.9999999999999999E-8</v>
      </c>
      <c r="E76" s="8">
        <v>0</v>
      </c>
      <c r="F76" s="8">
        <v>2.5429999999999999E-5</v>
      </c>
      <c r="G76" s="8">
        <v>0</v>
      </c>
      <c r="H76" s="8">
        <v>2.9999999999999999E-7</v>
      </c>
      <c r="I76" s="8">
        <v>7.6659000000000004E-4</v>
      </c>
      <c r="J76" s="8">
        <v>0</v>
      </c>
      <c r="K76" s="8">
        <v>0</v>
      </c>
      <c r="L76" s="8">
        <v>9.5273000000000005E-4</v>
      </c>
      <c r="M76" s="8">
        <v>8.4887999999999999E-4</v>
      </c>
      <c r="N76" s="8">
        <v>1.5013400000000001E-3</v>
      </c>
      <c r="O76" s="8">
        <v>8.1264E-4</v>
      </c>
      <c r="P76" s="8">
        <v>9.787000000000001E-4</v>
      </c>
      <c r="Q76" s="8">
        <v>1.11444E-3</v>
      </c>
      <c r="R76" s="8">
        <v>7.2919E-4</v>
      </c>
      <c r="S76" s="8">
        <v>6.9729000000000004E-4</v>
      </c>
      <c r="T76" s="8">
        <v>6.6447000000000001E-4</v>
      </c>
      <c r="U76" s="8">
        <v>6.3124999999999998E-4</v>
      </c>
      <c r="V76" s="8">
        <v>5.9803000000000005E-4</v>
      </c>
      <c r="W76" s="8">
        <v>5.6514E-4</v>
      </c>
      <c r="X76" s="8">
        <v>5.3284000000000003E-4</v>
      </c>
      <c r="Y76" s="8">
        <v>5.7317999999999996E-4</v>
      </c>
      <c r="Z76" s="8">
        <v>5.3258999999999999E-4</v>
      </c>
      <c r="AA76" s="8">
        <v>5.0573999999999997E-4</v>
      </c>
      <c r="AB76" s="8">
        <v>4.7338000000000002E-4</v>
      </c>
      <c r="AC76" s="8">
        <v>4.5061E-4</v>
      </c>
    </row>
    <row r="77" spans="1:29" x14ac:dyDescent="0.85">
      <c r="A77" t="s">
        <v>208</v>
      </c>
      <c r="B77" s="8">
        <v>0</v>
      </c>
      <c r="C77" s="8">
        <v>3.2000000000000001E-7</v>
      </c>
      <c r="D77" s="8">
        <v>0</v>
      </c>
      <c r="E77" s="8">
        <v>0</v>
      </c>
      <c r="F77" s="8">
        <v>3.2000000000000001E-7</v>
      </c>
      <c r="G77" s="8">
        <v>0</v>
      </c>
      <c r="H77" s="8">
        <v>0</v>
      </c>
      <c r="I77" s="8">
        <v>5.48E-6</v>
      </c>
      <c r="J77" s="8">
        <v>0</v>
      </c>
      <c r="K77" s="8">
        <v>0</v>
      </c>
      <c r="L77" s="8">
        <v>4.7600000000000002E-6</v>
      </c>
      <c r="M77" s="8">
        <v>3.8600000000000003E-6</v>
      </c>
      <c r="N77" s="8">
        <v>6.2600000000000002E-6</v>
      </c>
      <c r="O77" s="8">
        <v>3.1300000000000001E-6</v>
      </c>
      <c r="P77" s="8">
        <v>3.4999999999999999E-6</v>
      </c>
      <c r="Q77" s="8">
        <v>3.7100000000000001E-6</v>
      </c>
      <c r="R77" s="8">
        <v>2.2800000000000002E-6</v>
      </c>
      <c r="S77" s="8">
        <v>2.0499999999999999E-6</v>
      </c>
      <c r="T77" s="8">
        <v>1.8500000000000001E-6</v>
      </c>
      <c r="U77" s="8">
        <v>1.66E-6</v>
      </c>
      <c r="V77" s="8">
        <v>1.5E-6</v>
      </c>
      <c r="W77" s="8">
        <v>1.35E-6</v>
      </c>
      <c r="X77" s="8">
        <v>1.2100000000000001E-6</v>
      </c>
      <c r="Y77" s="8">
        <v>1.2500000000000001E-6</v>
      </c>
      <c r="Z77" s="8">
        <v>1.11E-6</v>
      </c>
      <c r="AA77" s="8">
        <v>1.0100000000000001E-6</v>
      </c>
      <c r="AB77" s="8">
        <v>9.0999999999999997E-7</v>
      </c>
      <c r="AC77" s="8">
        <v>8.2999999999999999E-7</v>
      </c>
    </row>
    <row r="78" spans="1:29" x14ac:dyDescent="0.85">
      <c r="A78" t="s">
        <v>209</v>
      </c>
      <c r="B78" s="8">
        <v>0</v>
      </c>
      <c r="C78" s="8">
        <v>2.22494104</v>
      </c>
      <c r="D78" s="8">
        <v>2.01761312</v>
      </c>
      <c r="E78" s="8">
        <v>1.8158522100000001</v>
      </c>
      <c r="F78" s="8">
        <v>3.8433239100000001</v>
      </c>
      <c r="G78" s="8">
        <v>3.4591088600000002</v>
      </c>
      <c r="H78" s="8">
        <v>3.13036519</v>
      </c>
      <c r="I78" s="8">
        <v>40.866963839999997</v>
      </c>
      <c r="J78" s="8">
        <v>36.780267459999997</v>
      </c>
      <c r="K78" s="8">
        <v>33.102246489999999</v>
      </c>
      <c r="L78" s="8">
        <v>29.79202184</v>
      </c>
      <c r="M78" s="8">
        <v>26.81286463</v>
      </c>
      <c r="N78" s="8">
        <v>24.131578170000001</v>
      </c>
      <c r="O78" s="8">
        <v>21.719169520000001</v>
      </c>
      <c r="P78" s="8">
        <v>19.548050580000002</v>
      </c>
      <c r="Q78" s="8">
        <v>17.59324552</v>
      </c>
      <c r="R78" s="8">
        <v>15.834624509999999</v>
      </c>
      <c r="S78" s="8">
        <v>14.25116208</v>
      </c>
      <c r="T78" s="8">
        <v>12.82604587</v>
      </c>
      <c r="U78" s="8">
        <v>11.543441290000001</v>
      </c>
      <c r="V78" s="8">
        <v>10.38909716</v>
      </c>
      <c r="W78" s="8">
        <v>9.3501874399999991</v>
      </c>
      <c r="X78" s="8">
        <v>8.41517436</v>
      </c>
      <c r="Y78" s="8">
        <v>8.6585922499999999</v>
      </c>
      <c r="Z78" s="8">
        <v>7.8095701000000002</v>
      </c>
      <c r="AA78" s="8">
        <v>7.0287186999999998</v>
      </c>
      <c r="AB78" s="8">
        <v>6.3259503099999996</v>
      </c>
      <c r="AC78" s="8">
        <v>5.7985589099999997</v>
      </c>
    </row>
    <row r="79" spans="1:29" x14ac:dyDescent="0.85">
      <c r="A79" t="s">
        <v>210</v>
      </c>
      <c r="B79" s="8">
        <v>0</v>
      </c>
      <c r="C79" s="8">
        <v>3.9629999999999998E-5</v>
      </c>
      <c r="D79" s="8">
        <v>2.7000000000000001E-7</v>
      </c>
      <c r="E79" s="8">
        <v>0</v>
      </c>
      <c r="F79" s="8">
        <v>3.9350000000000001E-5</v>
      </c>
      <c r="G79" s="8">
        <v>0</v>
      </c>
      <c r="H79" s="8">
        <v>3.1E-7</v>
      </c>
      <c r="I79" s="8">
        <v>6.7774999999999997E-4</v>
      </c>
      <c r="J79" s="8">
        <v>0</v>
      </c>
      <c r="K79" s="8">
        <v>0</v>
      </c>
      <c r="L79" s="8">
        <v>5.8962000000000001E-4</v>
      </c>
      <c r="M79" s="8">
        <v>4.7759000000000001E-4</v>
      </c>
      <c r="N79" s="8">
        <v>7.7428999999999996E-4</v>
      </c>
      <c r="O79" s="8">
        <v>3.8686999999999999E-4</v>
      </c>
      <c r="P79" s="8">
        <v>4.3263999999999998E-4</v>
      </c>
      <c r="Q79" s="8">
        <v>4.5980000000000001E-4</v>
      </c>
      <c r="R79" s="8">
        <v>2.8205E-4</v>
      </c>
      <c r="S79" s="8">
        <v>2.5384000000000002E-4</v>
      </c>
      <c r="T79" s="8">
        <v>2.2845999999999999E-4</v>
      </c>
      <c r="U79" s="8">
        <v>2.0561000000000001E-4</v>
      </c>
      <c r="V79" s="8">
        <v>1.8505E-4</v>
      </c>
      <c r="W79" s="8">
        <v>1.6655000000000001E-4</v>
      </c>
      <c r="X79" s="8">
        <v>1.4988999999999999E-4</v>
      </c>
      <c r="Y79" s="8">
        <v>1.5422999999999999E-4</v>
      </c>
      <c r="Z79" s="8">
        <v>1.3734000000000001E-4</v>
      </c>
      <c r="AA79" s="8">
        <v>1.2520000000000001E-4</v>
      </c>
      <c r="AB79" s="8">
        <v>1.1268E-4</v>
      </c>
      <c r="AC79" s="8">
        <v>1.0328E-4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1.0127968300000001</v>
      </c>
      <c r="E80" s="8">
        <v>1.0000855900000001</v>
      </c>
      <c r="F80" s="8">
        <v>1</v>
      </c>
      <c r="G80" s="8">
        <v>1.0119103899999999</v>
      </c>
      <c r="H80" s="8">
        <v>1.0000006100000001</v>
      </c>
      <c r="I80" s="8">
        <v>1.0000828500000001</v>
      </c>
      <c r="J80" s="8">
        <v>1.1712838000000001</v>
      </c>
      <c r="K80" s="8">
        <v>1</v>
      </c>
      <c r="L80" s="8">
        <v>1.0000000200000001</v>
      </c>
      <c r="M80" s="8">
        <v>1</v>
      </c>
      <c r="N80" s="8">
        <v>1.0000001700000001</v>
      </c>
      <c r="O80" s="8">
        <v>1</v>
      </c>
      <c r="P80" s="8">
        <v>1.00000271</v>
      </c>
      <c r="Q80" s="8">
        <v>1.0000027899999999</v>
      </c>
      <c r="R80" s="8">
        <v>1</v>
      </c>
      <c r="S80" s="8">
        <v>1.0000023099999999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1.0000000200000001</v>
      </c>
      <c r="Z80" s="8">
        <v>1.0028331800000001</v>
      </c>
      <c r="AA80" s="8">
        <v>1.0000434600000001</v>
      </c>
      <c r="AB80" s="8">
        <v>1.0000002699999999</v>
      </c>
      <c r="AC80" s="8">
        <v>1.00000026</v>
      </c>
    </row>
    <row r="81" spans="1:29" x14ac:dyDescent="0.85">
      <c r="A81" t="s">
        <v>212</v>
      </c>
      <c r="B81" s="8">
        <v>1</v>
      </c>
      <c r="C81" s="8">
        <v>1.0127968300000001</v>
      </c>
      <c r="D81" s="8">
        <v>1.0000855900000001</v>
      </c>
      <c r="E81" s="8">
        <v>1</v>
      </c>
      <c r="F81" s="8">
        <v>1.0119103899999999</v>
      </c>
      <c r="G81" s="8">
        <v>1.0000006100000001</v>
      </c>
      <c r="H81" s="8">
        <v>1.0000828500000001</v>
      </c>
      <c r="I81" s="8">
        <v>1.1712838000000001</v>
      </c>
      <c r="J81" s="8">
        <v>1</v>
      </c>
      <c r="K81" s="8">
        <v>1.0000000200000001</v>
      </c>
      <c r="L81" s="8">
        <v>1</v>
      </c>
      <c r="M81" s="8">
        <v>1.0000001700000001</v>
      </c>
      <c r="N81" s="8">
        <v>1</v>
      </c>
      <c r="O81" s="8">
        <v>1.00000271</v>
      </c>
      <c r="P81" s="8">
        <v>1.0000027899999999</v>
      </c>
      <c r="Q81" s="8">
        <v>1</v>
      </c>
      <c r="R81" s="8">
        <v>1.0000023099999999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1.0000000200000001</v>
      </c>
      <c r="Y81" s="8">
        <v>1.0028331800000001</v>
      </c>
      <c r="Z81" s="8">
        <v>1.0000434600000001</v>
      </c>
      <c r="AA81" s="8">
        <v>1.0000002699999999</v>
      </c>
      <c r="AB81" s="8">
        <v>1.00000026</v>
      </c>
      <c r="AC81" s="8">
        <v>1.00026152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0D1E7-BB32-460E-B0F3-9DE48F82B696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31722</v>
      </c>
      <c r="C5" s="8">
        <v>31969.45867615</v>
      </c>
      <c r="D5" s="8">
        <v>32225.57614126</v>
      </c>
      <c r="E5" s="8">
        <v>32512.29553671</v>
      </c>
      <c r="F5" s="8">
        <v>35263.284257669999</v>
      </c>
      <c r="G5" s="8">
        <v>38108.66361702</v>
      </c>
      <c r="H5" s="8">
        <v>39780.995384479997</v>
      </c>
      <c r="I5" s="8">
        <v>41562.73128865</v>
      </c>
      <c r="J5" s="8">
        <v>43491.926237430001</v>
      </c>
      <c r="K5" s="8">
        <v>44643.658331129998</v>
      </c>
      <c r="L5" s="8">
        <v>45825.88503541</v>
      </c>
      <c r="M5" s="8">
        <v>47934.130022099998</v>
      </c>
      <c r="N5" s="8">
        <v>50350.097365640002</v>
      </c>
      <c r="O5" s="8">
        <v>52862.3696719</v>
      </c>
      <c r="P5" s="8">
        <v>53080.333205930001</v>
      </c>
      <c r="Q5" s="8">
        <v>53343.5399703</v>
      </c>
      <c r="R5" s="8">
        <v>53639.784850869997</v>
      </c>
      <c r="S5" s="8">
        <v>53980.158877709997</v>
      </c>
      <c r="T5" s="8">
        <v>54356.694559060001</v>
      </c>
      <c r="U5" s="8">
        <v>54932.370848400002</v>
      </c>
      <c r="V5" s="8">
        <v>55107.796990299998</v>
      </c>
      <c r="W5" s="8">
        <v>55717.008833610002</v>
      </c>
      <c r="X5" s="8">
        <v>56581.789774099998</v>
      </c>
      <c r="Y5" s="8">
        <v>57452.632792299999</v>
      </c>
      <c r="Z5" s="8">
        <v>58363.991562640003</v>
      </c>
      <c r="AA5" s="8">
        <v>59304.80812568</v>
      </c>
      <c r="AB5" s="8">
        <v>60274.217414350001</v>
      </c>
      <c r="AC5" s="8">
        <v>61177.211610749997</v>
      </c>
    </row>
    <row r="6" spans="1:29" x14ac:dyDescent="0.85">
      <c r="A6" t="s">
        <v>139</v>
      </c>
      <c r="B6" s="8">
        <v>122537074.25</v>
      </c>
      <c r="C6" s="8">
        <v>125092989.95063201</v>
      </c>
      <c r="D6" s="8">
        <v>127700023.96513</v>
      </c>
      <c r="E6" s="8">
        <v>130359198.61467201</v>
      </c>
      <c r="F6" s="8">
        <v>133071555.187382</v>
      </c>
      <c r="G6" s="8">
        <v>135838162.20355099</v>
      </c>
      <c r="H6" s="8">
        <v>138660134.780164</v>
      </c>
      <c r="I6" s="8">
        <v>141546431.50835401</v>
      </c>
      <c r="J6" s="8">
        <v>144591720.237616</v>
      </c>
      <c r="K6" s="8">
        <v>147969370.616891</v>
      </c>
      <c r="L6" s="8">
        <v>151934062.280797</v>
      </c>
      <c r="M6" s="8">
        <v>157031404.38079399</v>
      </c>
      <c r="N6" s="8">
        <v>163383177.54083499</v>
      </c>
      <c r="O6" s="8">
        <v>171068809.001463</v>
      </c>
      <c r="P6" s="8">
        <v>177026305.502444</v>
      </c>
      <c r="Q6" s="8">
        <v>183461752.54724699</v>
      </c>
      <c r="R6" s="8">
        <v>190296081.457838</v>
      </c>
      <c r="S6" s="8">
        <v>197499613.747004</v>
      </c>
      <c r="T6" s="8">
        <v>205007917.82131699</v>
      </c>
      <c r="U6" s="8">
        <v>212200514.50449699</v>
      </c>
      <c r="V6" s="8">
        <v>214739844.62454501</v>
      </c>
      <c r="W6" s="8">
        <v>218944438.096246</v>
      </c>
      <c r="X6" s="8">
        <v>224939761.08674401</v>
      </c>
      <c r="Y6" s="8">
        <v>230832628.527051</v>
      </c>
      <c r="Z6" s="8">
        <v>236913192.17177501</v>
      </c>
      <c r="AA6" s="8">
        <v>243070469.66714701</v>
      </c>
      <c r="AB6" s="8">
        <v>249254709.68127301</v>
      </c>
      <c r="AC6" s="8">
        <v>255594164.70330101</v>
      </c>
    </row>
    <row r="7" spans="1:29" x14ac:dyDescent="0.85">
      <c r="A7" t="s">
        <v>140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</row>
    <row r="8" spans="1:29" x14ac:dyDescent="0.85">
      <c r="A8" t="s">
        <v>141</v>
      </c>
      <c r="B8" s="8">
        <v>5417.64431479</v>
      </c>
      <c r="C8" s="8">
        <v>5381.44262351</v>
      </c>
      <c r="D8" s="8">
        <v>5346.9268562200004</v>
      </c>
      <c r="E8" s="8">
        <v>5316.9468870500004</v>
      </c>
      <c r="F8" s="8">
        <v>5934.1716501399997</v>
      </c>
      <c r="G8" s="8">
        <v>6588.2897719900002</v>
      </c>
      <c r="H8" s="8">
        <v>7159.7094803399996</v>
      </c>
      <c r="I8" s="8">
        <v>7758.30040035</v>
      </c>
      <c r="J8" s="8">
        <v>8388.9004820299997</v>
      </c>
      <c r="K8" s="8">
        <v>8961.9297778300006</v>
      </c>
      <c r="L8" s="8">
        <v>9548.0729011200001</v>
      </c>
      <c r="M8" s="8">
        <v>10235.94968419</v>
      </c>
      <c r="N8" s="8">
        <v>10974.74798532</v>
      </c>
      <c r="O8" s="8">
        <v>11747.33966999</v>
      </c>
      <c r="P8" s="8">
        <v>12228.24064093</v>
      </c>
      <c r="Q8" s="8">
        <v>12718.546558120001</v>
      </c>
      <c r="R8" s="8">
        <v>13212.909073770001</v>
      </c>
      <c r="S8" s="8">
        <v>13712.642968100001</v>
      </c>
      <c r="T8" s="8">
        <v>14216.76680089</v>
      </c>
      <c r="U8" s="8">
        <v>14684.60915835</v>
      </c>
      <c r="V8" s="8">
        <v>14804.052137909999</v>
      </c>
      <c r="W8" s="8">
        <v>15051.874516739999</v>
      </c>
      <c r="X8" s="8">
        <v>15441.521230799999</v>
      </c>
      <c r="Y8" s="8">
        <v>15820.41271796</v>
      </c>
      <c r="Z8" s="8">
        <v>16211.65338578</v>
      </c>
      <c r="AA8" s="8">
        <v>16606.713421600001</v>
      </c>
      <c r="AB8" s="8">
        <v>17001.781227200001</v>
      </c>
      <c r="AC8" s="8">
        <v>17411.16848366</v>
      </c>
    </row>
    <row r="9" spans="1:29" x14ac:dyDescent="0.85">
      <c r="A9" t="s">
        <v>142</v>
      </c>
      <c r="B9" s="8">
        <v>2202.4877514200002</v>
      </c>
      <c r="C9" s="8">
        <v>2287.60723968</v>
      </c>
      <c r="D9" s="8">
        <v>2373.9409398600001</v>
      </c>
      <c r="E9" s="8">
        <v>2460.9297379300001</v>
      </c>
      <c r="F9" s="8">
        <v>2395.4107181499999</v>
      </c>
      <c r="G9" s="8">
        <v>2324.4591047899999</v>
      </c>
      <c r="H9" s="8">
        <v>2218.4065257699999</v>
      </c>
      <c r="I9" s="8">
        <v>2107.6605865500001</v>
      </c>
      <c r="J9" s="8">
        <v>1994.46431244</v>
      </c>
      <c r="K9" s="8">
        <v>1902.2072703199999</v>
      </c>
      <c r="L9" s="8">
        <v>1820.8020774700001</v>
      </c>
      <c r="M9" s="8">
        <v>1742.11217076</v>
      </c>
      <c r="N9" s="8">
        <v>1685.91567693</v>
      </c>
      <c r="O9" s="8">
        <v>1652.736877</v>
      </c>
      <c r="P9" s="8">
        <v>1685.8749794</v>
      </c>
      <c r="Q9" s="8">
        <v>1728.23847219</v>
      </c>
      <c r="R9" s="8">
        <v>1779.16672169</v>
      </c>
      <c r="S9" s="8">
        <v>1837.7092685699999</v>
      </c>
      <c r="T9" s="8">
        <v>1902.6219565399999</v>
      </c>
      <c r="U9" s="8">
        <v>1965.32264031</v>
      </c>
      <c r="V9" s="8">
        <v>2012.5940519000001</v>
      </c>
      <c r="W9" s="8">
        <v>2060.0401445699999</v>
      </c>
      <c r="X9" s="8">
        <v>2114.7059995599998</v>
      </c>
      <c r="Y9" s="8">
        <v>2169.59829257</v>
      </c>
      <c r="Z9" s="8">
        <v>2226.0119266400002</v>
      </c>
      <c r="AA9" s="8">
        <v>2283.2959974999999</v>
      </c>
      <c r="AB9" s="8">
        <v>2340.9359544899999</v>
      </c>
      <c r="AC9" s="8">
        <v>2404.5944319999999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934.12930582000001</v>
      </c>
      <c r="D11" s="8">
        <v>1936.80720294</v>
      </c>
      <c r="E11" s="8">
        <v>3007.50634244</v>
      </c>
      <c r="F11" s="8">
        <v>3548.5192724100002</v>
      </c>
      <c r="G11" s="8">
        <v>3811.9598581999999</v>
      </c>
      <c r="H11" s="8">
        <v>4135.4923690300002</v>
      </c>
      <c r="I11" s="8">
        <v>4291.02981912</v>
      </c>
      <c r="J11" s="8">
        <v>4275.7924151699999</v>
      </c>
      <c r="K11" s="8">
        <v>4165.7071262299996</v>
      </c>
      <c r="L11" s="8">
        <v>3948.3201181899999</v>
      </c>
      <c r="M11" s="8">
        <v>3599.1943899799999</v>
      </c>
      <c r="N11" s="8">
        <v>3204.6571663300001</v>
      </c>
      <c r="O11" s="8">
        <v>2786.7143349900002</v>
      </c>
      <c r="P11" s="8">
        <v>2609.45377035</v>
      </c>
      <c r="Q11" s="8">
        <v>2427.3162524999998</v>
      </c>
      <c r="R11" s="8">
        <v>2251.7160610800001</v>
      </c>
      <c r="S11" s="8">
        <v>2085.2836233200001</v>
      </c>
      <c r="T11" s="8">
        <v>1929.46635186</v>
      </c>
      <c r="U11" s="8">
        <v>1837.4774895800001</v>
      </c>
      <c r="V11" s="8">
        <v>2096.9895970399998</v>
      </c>
      <c r="W11" s="8">
        <v>2261.4324299700002</v>
      </c>
      <c r="X11" s="8">
        <v>2287.66200764</v>
      </c>
      <c r="Y11" s="8">
        <v>2332.04735652</v>
      </c>
      <c r="Z11" s="8">
        <v>2371.0821082399998</v>
      </c>
      <c r="AA11" s="8">
        <v>2414.0156075999998</v>
      </c>
      <c r="AB11" s="8">
        <v>2465.79191919</v>
      </c>
      <c r="AC11" s="8">
        <v>2506.9244175200001</v>
      </c>
    </row>
    <row r="12" spans="1:29" x14ac:dyDescent="0.85">
      <c r="A12" t="s">
        <v>144</v>
      </c>
      <c r="B12" s="8">
        <v>7620.1320662099997</v>
      </c>
      <c r="C12" s="8">
        <v>7669.04986319</v>
      </c>
      <c r="D12" s="8">
        <v>7720.8677960799996</v>
      </c>
      <c r="E12" s="8">
        <v>7777.8766249700002</v>
      </c>
      <c r="F12" s="8">
        <v>8329.5823682900009</v>
      </c>
      <c r="G12" s="8">
        <v>8912.7488767800005</v>
      </c>
      <c r="H12" s="8">
        <v>9378.1160061099999</v>
      </c>
      <c r="I12" s="8">
        <v>9865.9609868999996</v>
      </c>
      <c r="J12" s="8">
        <v>10383.364794470001</v>
      </c>
      <c r="K12" s="8">
        <v>10864.13704815</v>
      </c>
      <c r="L12" s="8">
        <v>11368.874978579999</v>
      </c>
      <c r="M12" s="8">
        <v>11978.06185495</v>
      </c>
      <c r="N12" s="8">
        <v>12660.66366224</v>
      </c>
      <c r="O12" s="8">
        <v>13400.07654699</v>
      </c>
      <c r="P12" s="8">
        <v>13914.115620340001</v>
      </c>
      <c r="Q12" s="8">
        <v>14446.78503031</v>
      </c>
      <c r="R12" s="8">
        <v>14992.075795459999</v>
      </c>
      <c r="S12" s="8">
        <v>15550.35223667</v>
      </c>
      <c r="T12" s="8">
        <v>16119.38875742</v>
      </c>
      <c r="U12" s="8">
        <v>16649.93179866</v>
      </c>
      <c r="V12" s="8">
        <v>16816.646189809999</v>
      </c>
      <c r="W12" s="8">
        <v>17111.914661309998</v>
      </c>
      <c r="X12" s="8">
        <v>17556.22723036</v>
      </c>
      <c r="Y12" s="8">
        <v>17990.011010530001</v>
      </c>
      <c r="Z12" s="8">
        <v>18437.665312410001</v>
      </c>
      <c r="AA12" s="8">
        <v>18890.009419099999</v>
      </c>
      <c r="AB12" s="8">
        <v>19342.717181690001</v>
      </c>
      <c r="AC12" s="8">
        <v>19815.762915660001</v>
      </c>
    </row>
    <row r="13" spans="1:29" x14ac:dyDescent="0.85">
      <c r="A13" t="s">
        <v>145</v>
      </c>
      <c r="B13" s="8">
        <v>7620.1320662099997</v>
      </c>
      <c r="C13" s="8">
        <v>8603.1791690099999</v>
      </c>
      <c r="D13" s="8">
        <v>9657.6749990200005</v>
      </c>
      <c r="E13" s="8">
        <v>10785.382967420001</v>
      </c>
      <c r="F13" s="8">
        <v>11878.101640700001</v>
      </c>
      <c r="G13" s="8">
        <v>12724.708734989999</v>
      </c>
      <c r="H13" s="8">
        <v>13513.608375129999</v>
      </c>
      <c r="I13" s="8">
        <v>14156.99080602</v>
      </c>
      <c r="J13" s="8">
        <v>14659.15720964</v>
      </c>
      <c r="K13" s="8">
        <v>15029.844174379999</v>
      </c>
      <c r="L13" s="8">
        <v>15317.19509677</v>
      </c>
      <c r="M13" s="8">
        <v>15577.25624493</v>
      </c>
      <c r="N13" s="8">
        <v>15865.32082857</v>
      </c>
      <c r="O13" s="8">
        <v>16186.79088198</v>
      </c>
      <c r="P13" s="8">
        <v>16523.569390680001</v>
      </c>
      <c r="Q13" s="8">
        <v>16874.101282799998</v>
      </c>
      <c r="R13" s="8">
        <v>17243.79185654</v>
      </c>
      <c r="S13" s="8">
        <v>17635.635859990001</v>
      </c>
      <c r="T13" s="8">
        <v>18048.855109280001</v>
      </c>
      <c r="U13" s="8">
        <v>18487.409288250001</v>
      </c>
      <c r="V13" s="8">
        <v>18913.635786840001</v>
      </c>
      <c r="W13" s="8">
        <v>19373.34709128</v>
      </c>
      <c r="X13" s="8">
        <v>19843.889237989999</v>
      </c>
      <c r="Y13" s="8">
        <v>20322.058367049998</v>
      </c>
      <c r="Z13" s="8">
        <v>20808.747420650001</v>
      </c>
      <c r="AA13" s="8">
        <v>21304.025026700001</v>
      </c>
      <c r="AB13" s="8">
        <v>21808.50910087</v>
      </c>
      <c r="AC13" s="8">
        <v>22322.687333189999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5948</v>
      </c>
      <c r="C17" s="8">
        <v>5749.7333333300003</v>
      </c>
      <c r="D17" s="8">
        <v>5558.0756312800004</v>
      </c>
      <c r="E17" s="8">
        <v>5372.8110170399996</v>
      </c>
      <c r="F17" s="8">
        <v>5465.71630964</v>
      </c>
      <c r="G17" s="8">
        <v>5419.0147975500004</v>
      </c>
      <c r="H17" s="8">
        <v>5996.0929068400001</v>
      </c>
      <c r="I17" s="8">
        <v>6593.7452371400004</v>
      </c>
      <c r="J17" s="8">
        <v>7196.2070101999998</v>
      </c>
      <c r="K17" s="8">
        <v>6956.3347537400005</v>
      </c>
      <c r="L17" s="8">
        <v>6724.4569933700004</v>
      </c>
      <c r="M17" s="8">
        <v>7415.4836495899999</v>
      </c>
      <c r="N17" s="8">
        <v>8132.9464367199998</v>
      </c>
      <c r="O17" s="8">
        <v>8881.6522115299995</v>
      </c>
      <c r="P17" s="8">
        <v>8585.5971378100003</v>
      </c>
      <c r="Q17" s="8">
        <v>8299.4105665499992</v>
      </c>
      <c r="R17" s="8">
        <v>8022.7635476699998</v>
      </c>
      <c r="S17" s="8">
        <v>7755.3380960799996</v>
      </c>
      <c r="T17" s="8">
        <v>7496.82682621</v>
      </c>
      <c r="U17" s="8">
        <v>7246.9325986699996</v>
      </c>
      <c r="V17" s="8">
        <v>7005.3681787100004</v>
      </c>
      <c r="W17" s="8">
        <v>6771.8559060899997</v>
      </c>
      <c r="X17" s="8">
        <v>6546.3233265899999</v>
      </c>
      <c r="Y17" s="8">
        <v>6328.4701871400002</v>
      </c>
      <c r="Z17" s="8">
        <v>6117.52118419</v>
      </c>
      <c r="AA17" s="8">
        <v>5913.6038113900004</v>
      </c>
      <c r="AB17" s="8">
        <v>5716.4836853200004</v>
      </c>
      <c r="AC17" s="8">
        <v>5525.9342291399998</v>
      </c>
    </row>
    <row r="18" spans="1:29" x14ac:dyDescent="0.85">
      <c r="A18" t="s">
        <v>149</v>
      </c>
      <c r="B18" s="8">
        <v>5685817.25</v>
      </c>
      <c r="C18" s="8">
        <v>5496289.9991751201</v>
      </c>
      <c r="D18" s="8">
        <v>5313080.4049235098</v>
      </c>
      <c r="E18" s="8">
        <v>5135982.0966352904</v>
      </c>
      <c r="F18" s="8">
        <v>5224792.2032937398</v>
      </c>
      <c r="G18" s="8">
        <v>5180149.2539610798</v>
      </c>
      <c r="H18" s="8">
        <v>5731790.2531118495</v>
      </c>
      <c r="I18" s="8">
        <v>6303098.5791802397</v>
      </c>
      <c r="J18" s="8">
        <v>6879004.35187806</v>
      </c>
      <c r="K18" s="8">
        <v>6649705.4595937803</v>
      </c>
      <c r="L18" s="8">
        <v>6428048.67284266</v>
      </c>
      <c r="M18" s="8">
        <v>7088615.4643059596</v>
      </c>
      <c r="N18" s="8">
        <v>7774453.10459824</v>
      </c>
      <c r="O18" s="8">
        <v>8490156.5683697909</v>
      </c>
      <c r="P18" s="8">
        <v>8207151.3001683801</v>
      </c>
      <c r="Q18" s="8">
        <v>7933579.5901627103</v>
      </c>
      <c r="R18" s="8">
        <v>7669126.9371572901</v>
      </c>
      <c r="S18" s="8">
        <v>7413489.3725872198</v>
      </c>
      <c r="T18" s="8">
        <v>7166012.1139238495</v>
      </c>
      <c r="U18" s="8">
        <v>6927145.0431398004</v>
      </c>
      <c r="V18" s="8">
        <v>6696240.2083696602</v>
      </c>
      <c r="W18" s="8">
        <v>6473032.2014240799</v>
      </c>
      <c r="X18" s="8">
        <v>6257451.7653011298</v>
      </c>
      <c r="Y18" s="8">
        <v>6049211.8962945603</v>
      </c>
      <c r="Z18" s="8">
        <v>5847571.5028975504</v>
      </c>
      <c r="AA18" s="8">
        <v>5652652.4521814296</v>
      </c>
      <c r="AB18" s="8">
        <v>5464230.7047100104</v>
      </c>
      <c r="AC18" s="8">
        <v>5282089.2720153602</v>
      </c>
    </row>
    <row r="19" spans="1:29" x14ac:dyDescent="0.85">
      <c r="A19" t="s">
        <v>150</v>
      </c>
      <c r="B19" s="8">
        <v>5685817.25</v>
      </c>
      <c r="C19" s="8">
        <v>5496289.9991751201</v>
      </c>
      <c r="D19" s="8">
        <v>5313080.4049235098</v>
      </c>
      <c r="E19" s="8">
        <v>5135982.0966352904</v>
      </c>
      <c r="F19" s="8">
        <v>5224792.2032937398</v>
      </c>
      <c r="G19" s="8">
        <v>5180149.2539610798</v>
      </c>
      <c r="H19" s="8">
        <v>5731790.2531118495</v>
      </c>
      <c r="I19" s="8">
        <v>6303098.5791802397</v>
      </c>
      <c r="J19" s="8">
        <v>6879004.35187806</v>
      </c>
      <c r="K19" s="8">
        <v>6649705.4595937803</v>
      </c>
      <c r="L19" s="8">
        <v>6428048.67284266</v>
      </c>
      <c r="M19" s="8">
        <v>7088615.4643059596</v>
      </c>
      <c r="N19" s="8">
        <v>7774453.10459824</v>
      </c>
      <c r="O19" s="8">
        <v>8490156.5683697909</v>
      </c>
      <c r="P19" s="8">
        <v>8207151.3001683801</v>
      </c>
      <c r="Q19" s="8">
        <v>7933579.5901627103</v>
      </c>
      <c r="R19" s="8">
        <v>7669126.9371572901</v>
      </c>
      <c r="S19" s="8">
        <v>7413489.3725872198</v>
      </c>
      <c r="T19" s="8">
        <v>7166012.1139238495</v>
      </c>
      <c r="U19" s="8">
        <v>6927145.0431398004</v>
      </c>
      <c r="V19" s="8">
        <v>6696240.2083696602</v>
      </c>
      <c r="W19" s="8">
        <v>6473032.2014240799</v>
      </c>
      <c r="X19" s="8">
        <v>6257451.7653011298</v>
      </c>
      <c r="Y19" s="8">
        <v>6049211.8962945603</v>
      </c>
      <c r="Z19" s="8">
        <v>5847571.5028975504</v>
      </c>
      <c r="AA19" s="8">
        <v>5652652.4521814296</v>
      </c>
      <c r="AB19" s="8">
        <v>5464230.7047100104</v>
      </c>
      <c r="AC19" s="8">
        <v>5282089.2720153602</v>
      </c>
    </row>
    <row r="20" spans="1:29" x14ac:dyDescent="0.85">
      <c r="A20" t="s">
        <v>151</v>
      </c>
      <c r="B20" s="8">
        <v>586.55641791000005</v>
      </c>
      <c r="C20" s="8">
        <v>567.00453732000005</v>
      </c>
      <c r="D20" s="8">
        <v>548.10439354000005</v>
      </c>
      <c r="E20" s="8">
        <v>529.83469809999997</v>
      </c>
      <c r="F20" s="8">
        <v>538.99646601999996</v>
      </c>
      <c r="G20" s="8">
        <v>534.39104038999994</v>
      </c>
      <c r="H20" s="8">
        <v>591.29905461999999</v>
      </c>
      <c r="I20" s="8">
        <v>650.23597628000005</v>
      </c>
      <c r="J20" s="8">
        <v>709.64717660999997</v>
      </c>
      <c r="K20" s="8">
        <v>685.99239995999994</v>
      </c>
      <c r="L20" s="8">
        <v>663.12599301</v>
      </c>
      <c r="M20" s="8">
        <v>731.27093588000002</v>
      </c>
      <c r="N20" s="8">
        <v>802.02285288999997</v>
      </c>
      <c r="O20" s="8">
        <v>875.85576771000001</v>
      </c>
      <c r="P20" s="8">
        <v>846.66057545000001</v>
      </c>
      <c r="Q20" s="8">
        <v>818.43855627000005</v>
      </c>
      <c r="R20" s="8">
        <v>791.15727105999997</v>
      </c>
      <c r="S20" s="8">
        <v>764.78536202999999</v>
      </c>
      <c r="T20" s="8">
        <v>739.29251663000002</v>
      </c>
      <c r="U20" s="8">
        <v>714.64943273999995</v>
      </c>
      <c r="V20" s="8">
        <v>690.82778498000005</v>
      </c>
      <c r="W20" s="8">
        <v>667.80019215000004</v>
      </c>
      <c r="X20" s="8">
        <v>645.55950924000001</v>
      </c>
      <c r="Y20" s="8">
        <v>624.07612706999998</v>
      </c>
      <c r="Z20" s="8">
        <v>603.27358982999999</v>
      </c>
      <c r="AA20" s="8">
        <v>583.16447016999996</v>
      </c>
      <c r="AB20" s="8">
        <v>563.72565458999998</v>
      </c>
      <c r="AC20" s="8">
        <v>544.93479944000001</v>
      </c>
    </row>
    <row r="21" spans="1:29" x14ac:dyDescent="0.85">
      <c r="A21" t="s">
        <v>152</v>
      </c>
      <c r="B21" s="8">
        <v>0</v>
      </c>
      <c r="C21" s="8">
        <v>0.54962900000000003</v>
      </c>
      <c r="D21" s="8">
        <v>1.06261608</v>
      </c>
      <c r="E21" s="8">
        <v>1.5407946299999999</v>
      </c>
      <c r="F21" s="8">
        <v>2.0899168800000001</v>
      </c>
      <c r="G21" s="8">
        <v>2.5900746300000002</v>
      </c>
      <c r="H21" s="8">
        <v>3.4390741500000002</v>
      </c>
      <c r="I21" s="8">
        <v>4.4121690100000004</v>
      </c>
      <c r="J21" s="8">
        <v>5.5032034799999998</v>
      </c>
      <c r="K21" s="8">
        <v>5.9847349100000002</v>
      </c>
      <c r="L21" s="8">
        <v>6.4280486699999999</v>
      </c>
      <c r="M21" s="8">
        <v>7.7974770099999997</v>
      </c>
      <c r="N21" s="8">
        <v>9.3293437299999997</v>
      </c>
      <c r="O21" s="8">
        <v>11.03720354</v>
      </c>
      <c r="P21" s="8">
        <v>11.490011819999999</v>
      </c>
      <c r="Q21" s="8">
        <v>11.90036939</v>
      </c>
      <c r="R21" s="8">
        <v>12.270603100000001</v>
      </c>
      <c r="S21" s="8">
        <v>12.60293193</v>
      </c>
      <c r="T21" s="8">
        <v>12.898821809999999</v>
      </c>
      <c r="U21" s="8">
        <v>13.161575579999999</v>
      </c>
      <c r="V21" s="8">
        <v>13.39248042</v>
      </c>
      <c r="W21" s="8">
        <v>13.59336762</v>
      </c>
      <c r="X21" s="8">
        <v>13.766393880000001</v>
      </c>
      <c r="Y21" s="8">
        <v>13.91318736</v>
      </c>
      <c r="Z21" s="8">
        <v>14.03417161</v>
      </c>
      <c r="AA21" s="8">
        <v>14.131631130000001</v>
      </c>
      <c r="AB21" s="8">
        <v>14.206999830000001</v>
      </c>
      <c r="AC21" s="8">
        <v>14.26164103</v>
      </c>
    </row>
    <row r="22" spans="1:29" x14ac:dyDescent="0.85">
      <c r="A22" t="s">
        <v>153</v>
      </c>
      <c r="B22" s="8">
        <v>2.8429090000000001E-2</v>
      </c>
      <c r="C22" s="8">
        <v>2.7481450000000001E-2</v>
      </c>
      <c r="D22" s="8">
        <v>2.6565399999999999E-2</v>
      </c>
      <c r="E22" s="8">
        <v>2.567991E-2</v>
      </c>
      <c r="F22" s="8">
        <v>2.6123960000000002E-2</v>
      </c>
      <c r="G22" s="8">
        <v>2.590075E-2</v>
      </c>
      <c r="H22" s="8">
        <v>2.8658949999999999E-2</v>
      </c>
      <c r="I22" s="8">
        <v>3.151549E-2</v>
      </c>
      <c r="J22" s="8">
        <v>3.4395019999999998E-2</v>
      </c>
      <c r="K22" s="8">
        <v>3.3248529999999998E-2</v>
      </c>
      <c r="L22" s="8">
        <v>3.214024E-2</v>
      </c>
      <c r="M22" s="8">
        <v>3.5443080000000002E-2</v>
      </c>
      <c r="N22" s="8">
        <v>3.887227E-2</v>
      </c>
      <c r="O22" s="8">
        <v>4.245078E-2</v>
      </c>
      <c r="P22" s="8">
        <v>4.1035759999999998E-2</v>
      </c>
      <c r="Q22" s="8">
        <v>3.9667899999999999E-2</v>
      </c>
      <c r="R22" s="8">
        <v>3.8345629999999999E-2</v>
      </c>
      <c r="S22" s="8">
        <v>3.7067450000000002E-2</v>
      </c>
      <c r="T22" s="8">
        <v>3.5830059999999997E-2</v>
      </c>
      <c r="U22" s="8">
        <v>3.4635730000000003E-2</v>
      </c>
      <c r="V22" s="8">
        <v>3.3481200000000003E-2</v>
      </c>
      <c r="W22" s="8">
        <v>3.2365159999999997E-2</v>
      </c>
      <c r="X22" s="8">
        <v>3.1287259999999997E-2</v>
      </c>
      <c r="Y22" s="8">
        <v>3.0246060000000002E-2</v>
      </c>
      <c r="Z22" s="8">
        <v>2.9237860000000001E-2</v>
      </c>
      <c r="AA22" s="8">
        <v>2.8263259999999998E-2</v>
      </c>
      <c r="AB22" s="8">
        <v>2.7321149999999999E-2</v>
      </c>
      <c r="AC22" s="8">
        <v>2.6410449999999999E-2</v>
      </c>
    </row>
    <row r="23" spans="1:29" x14ac:dyDescent="0.85">
      <c r="A23" t="s">
        <v>154</v>
      </c>
      <c r="B23" s="8">
        <v>586.55641791000005</v>
      </c>
      <c r="C23" s="8">
        <v>567.00453732000005</v>
      </c>
      <c r="D23" s="8">
        <v>548.10439354000005</v>
      </c>
      <c r="E23" s="8">
        <v>529.83469809999997</v>
      </c>
      <c r="F23" s="8">
        <v>538.99646601999996</v>
      </c>
      <c r="G23" s="8">
        <v>534.39104038999994</v>
      </c>
      <c r="H23" s="8">
        <v>591.29905461999999</v>
      </c>
      <c r="I23" s="8">
        <v>650.23597628000005</v>
      </c>
      <c r="J23" s="8">
        <v>709.64717660999997</v>
      </c>
      <c r="K23" s="8">
        <v>685.99239995999994</v>
      </c>
      <c r="L23" s="8">
        <v>663.12599301</v>
      </c>
      <c r="M23" s="8">
        <v>731.27093588000002</v>
      </c>
      <c r="N23" s="8">
        <v>802.02285288999997</v>
      </c>
      <c r="O23" s="8">
        <v>875.85576771000001</v>
      </c>
      <c r="P23" s="8">
        <v>846.66057545000001</v>
      </c>
      <c r="Q23" s="8">
        <v>818.43855627000005</v>
      </c>
      <c r="R23" s="8">
        <v>791.15727105999997</v>
      </c>
      <c r="S23" s="8">
        <v>764.78536202999999</v>
      </c>
      <c r="T23" s="8">
        <v>739.29251663000002</v>
      </c>
      <c r="U23" s="8">
        <v>714.64943273999995</v>
      </c>
      <c r="V23" s="8">
        <v>690.82778498000005</v>
      </c>
      <c r="W23" s="8">
        <v>667.80019215000004</v>
      </c>
      <c r="X23" s="8">
        <v>645.55950924000001</v>
      </c>
      <c r="Y23" s="8">
        <v>624.07612706999998</v>
      </c>
      <c r="Z23" s="8">
        <v>603.27358982999999</v>
      </c>
      <c r="AA23" s="8">
        <v>583.16447016999996</v>
      </c>
      <c r="AB23" s="8">
        <v>563.72565458999998</v>
      </c>
      <c r="AC23" s="8">
        <v>544.93479944000001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</v>
      </c>
      <c r="E25" s="8">
        <v>1.0000000099999999</v>
      </c>
      <c r="F25" s="8">
        <v>1.0000008499999999</v>
      </c>
      <c r="G25" s="8">
        <v>1.05237077</v>
      </c>
      <c r="H25" s="8">
        <v>1.0256436799999999</v>
      </c>
      <c r="I25" s="8">
        <v>1.13758341</v>
      </c>
      <c r="J25" s="8">
        <v>1.1317142899999999</v>
      </c>
      <c r="K25" s="8">
        <v>1.12711249</v>
      </c>
      <c r="L25" s="8">
        <v>1.00000019</v>
      </c>
      <c r="M25" s="8">
        <v>1.0000000099999999</v>
      </c>
      <c r="N25" s="8">
        <v>1.13456267</v>
      </c>
      <c r="O25" s="8">
        <v>1.1297206799999999</v>
      </c>
      <c r="P25" s="8">
        <v>1.1254841900000001</v>
      </c>
      <c r="Q25" s="8">
        <v>0.99999998999999995</v>
      </c>
      <c r="R25" s="8">
        <v>1</v>
      </c>
      <c r="S25" s="8">
        <v>1</v>
      </c>
      <c r="T25" s="8">
        <v>1</v>
      </c>
      <c r="U25" s="8">
        <v>0.99994963000000003</v>
      </c>
      <c r="V25" s="8">
        <v>1</v>
      </c>
      <c r="W25" s="8">
        <v>1</v>
      </c>
      <c r="X25" s="8">
        <v>1</v>
      </c>
      <c r="Y25" s="8">
        <v>1.00002993</v>
      </c>
      <c r="Z25" s="8">
        <v>1.00005652</v>
      </c>
      <c r="AA25" s="8">
        <v>1</v>
      </c>
      <c r="AB25" s="8">
        <v>1</v>
      </c>
      <c r="AC25" s="8">
        <v>1</v>
      </c>
    </row>
    <row r="26" spans="1:29" x14ac:dyDescent="0.85">
      <c r="A26" t="s">
        <v>157</v>
      </c>
      <c r="B26" s="8">
        <v>1</v>
      </c>
      <c r="C26" s="8">
        <v>1</v>
      </c>
      <c r="D26" s="8">
        <v>1.0000000099999999</v>
      </c>
      <c r="E26" s="8">
        <v>1.0000008499999999</v>
      </c>
      <c r="F26" s="8">
        <v>1.05237077</v>
      </c>
      <c r="G26" s="8">
        <v>1.0256436799999999</v>
      </c>
      <c r="H26" s="8">
        <v>1.1446462100000001</v>
      </c>
      <c r="I26" s="8">
        <v>1.13759341</v>
      </c>
      <c r="J26" s="8">
        <v>1.12900208</v>
      </c>
      <c r="K26" s="8">
        <v>1.00000019</v>
      </c>
      <c r="L26" s="8">
        <v>1.0000000099999999</v>
      </c>
      <c r="M26" s="8">
        <v>1.1407895100000001</v>
      </c>
      <c r="N26" s="8">
        <v>1.1345710200000001</v>
      </c>
      <c r="O26" s="8">
        <v>1.12971555</v>
      </c>
      <c r="P26" s="8">
        <v>0.99999998999999995</v>
      </c>
      <c r="Q26" s="8">
        <v>1</v>
      </c>
      <c r="R26" s="8">
        <v>1</v>
      </c>
      <c r="S26" s="8">
        <v>1</v>
      </c>
      <c r="T26" s="8">
        <v>0.99994963000000003</v>
      </c>
      <c r="U26" s="8">
        <v>1</v>
      </c>
      <c r="V26" s="8">
        <v>1</v>
      </c>
      <c r="W26" s="8">
        <v>1</v>
      </c>
      <c r="X26" s="8">
        <v>1.00002993</v>
      </c>
      <c r="Y26" s="8">
        <v>1.00005652</v>
      </c>
      <c r="Z26" s="8">
        <v>1</v>
      </c>
      <c r="AA26" s="8">
        <v>1</v>
      </c>
      <c r="AB26" s="8">
        <v>1</v>
      </c>
      <c r="AC26" s="8">
        <v>0.99999992000000004</v>
      </c>
    </row>
    <row r="27" spans="1:29" x14ac:dyDescent="0.85">
      <c r="A27" t="s">
        <v>158</v>
      </c>
      <c r="B27" s="8">
        <v>1</v>
      </c>
      <c r="C27" s="8">
        <v>1.11452905</v>
      </c>
      <c r="D27" s="8">
        <v>1.1185515100000001</v>
      </c>
      <c r="E27" s="8">
        <v>1.12276658</v>
      </c>
      <c r="F27" s="8">
        <v>1.12725604</v>
      </c>
      <c r="G27" s="8">
        <v>1.1343540000000001</v>
      </c>
      <c r="H27" s="8">
        <v>1.1446462100000001</v>
      </c>
      <c r="I27" s="8">
        <v>1.13759341</v>
      </c>
      <c r="J27" s="8">
        <v>1.13172429</v>
      </c>
      <c r="K27" s="8">
        <v>1.1271224900000001</v>
      </c>
      <c r="L27" s="8">
        <v>1.1337509400000001</v>
      </c>
      <c r="M27" s="8">
        <v>1.1407895400000001</v>
      </c>
      <c r="N27" s="8">
        <v>1.1345726700000001</v>
      </c>
      <c r="O27" s="8">
        <v>1.12973068</v>
      </c>
      <c r="P27" s="8">
        <v>1.1254941899999999</v>
      </c>
      <c r="Q27" s="8">
        <v>1.1295819</v>
      </c>
      <c r="R27" s="8">
        <v>1.1339227000000001</v>
      </c>
      <c r="S27" s="8">
        <v>1.13850556</v>
      </c>
      <c r="T27" s="8">
        <v>1.1433698699999999</v>
      </c>
      <c r="U27" s="8">
        <v>1.1485142399999999</v>
      </c>
      <c r="V27" s="8">
        <v>1.1543537500000001</v>
      </c>
      <c r="W27" s="8">
        <v>1.1594304900000001</v>
      </c>
      <c r="X27" s="8">
        <v>1.16583299</v>
      </c>
      <c r="Y27" s="8">
        <v>1.1731986400000001</v>
      </c>
      <c r="Z27" s="8">
        <v>1.1809114199999999</v>
      </c>
      <c r="AA27" s="8">
        <v>1.1891006200000001</v>
      </c>
      <c r="AB27" s="8">
        <v>1.1977515400000001</v>
      </c>
      <c r="AC27" s="8">
        <v>1.2068866599999999</v>
      </c>
    </row>
    <row r="28" spans="1:29" x14ac:dyDescent="0.85">
      <c r="A28" t="s">
        <v>159</v>
      </c>
      <c r="B28" s="8">
        <v>2825</v>
      </c>
      <c r="C28" s="8">
        <v>2722.3952139899998</v>
      </c>
      <c r="D28" s="8">
        <v>2613.5026324599999</v>
      </c>
      <c r="E28" s="8">
        <v>2508.9625850299999</v>
      </c>
      <c r="F28" s="8">
        <v>3245.2120748500001</v>
      </c>
      <c r="G28" s="8">
        <v>4032.8601192699998</v>
      </c>
      <c r="H28" s="8">
        <v>4873.1266600999998</v>
      </c>
      <c r="I28" s="8">
        <v>5736.47035779</v>
      </c>
      <c r="J28" s="8">
        <v>6625.06430069</v>
      </c>
      <c r="K28" s="8">
        <v>7541.95922333</v>
      </c>
      <c r="L28" s="8">
        <v>8467.7126863199992</v>
      </c>
      <c r="M28" s="8">
        <v>9402.8799383000005</v>
      </c>
      <c r="N28" s="8">
        <v>10369.7214788</v>
      </c>
      <c r="O28" s="8">
        <v>11375.0408704</v>
      </c>
      <c r="P28" s="8">
        <v>10920.04134475</v>
      </c>
      <c r="Q28" s="8">
        <v>10483.239690959999</v>
      </c>
      <c r="R28" s="8">
        <v>10063.910103329999</v>
      </c>
      <c r="S28" s="8">
        <v>9661.35369919</v>
      </c>
      <c r="T28" s="8">
        <v>9274.9636085900001</v>
      </c>
      <c r="U28" s="8">
        <v>9134.9460005300007</v>
      </c>
      <c r="V28" s="8">
        <v>8839.4020837499993</v>
      </c>
      <c r="W28" s="8">
        <v>8883.56247558</v>
      </c>
      <c r="X28" s="8">
        <v>8969.0676225799998</v>
      </c>
      <c r="Y28" s="8">
        <v>9066.4479185100008</v>
      </c>
      <c r="Z28" s="8">
        <v>9174.9084249900006</v>
      </c>
      <c r="AA28" s="8">
        <v>9297.6449708</v>
      </c>
      <c r="AB28" s="8">
        <v>9443.9035386600008</v>
      </c>
      <c r="AC28" s="8">
        <v>9397.17547328</v>
      </c>
    </row>
    <row r="29" spans="1:29" x14ac:dyDescent="0.85">
      <c r="A29" t="s">
        <v>160</v>
      </c>
      <c r="B29" s="8">
        <v>7100189.25</v>
      </c>
      <c r="C29" s="8">
        <v>6842308.4009273704</v>
      </c>
      <c r="D29" s="8">
        <v>6568624.1755075697</v>
      </c>
      <c r="E29" s="8">
        <v>6305879.3539516302</v>
      </c>
      <c r="F29" s="8">
        <v>8156325.6240087999</v>
      </c>
      <c r="G29" s="8">
        <v>10135954.0055131</v>
      </c>
      <c r="H29" s="8">
        <v>12247830.628636301</v>
      </c>
      <c r="I29" s="8">
        <v>14417708.0238293</v>
      </c>
      <c r="J29" s="8">
        <v>16651047.903822999</v>
      </c>
      <c r="K29" s="8">
        <v>18955517.805804599</v>
      </c>
      <c r="L29" s="8">
        <v>21282252.243373901</v>
      </c>
      <c r="M29" s="8">
        <v>23632646.745838199</v>
      </c>
      <c r="N29" s="8">
        <v>26062649.546651602</v>
      </c>
      <c r="O29" s="8">
        <v>28589360.320820101</v>
      </c>
      <c r="P29" s="8">
        <v>27445791.209055498</v>
      </c>
      <c r="Q29" s="8">
        <v>26347959.560693599</v>
      </c>
      <c r="R29" s="8">
        <v>25294041.178266801</v>
      </c>
      <c r="S29" s="8">
        <v>24282279.531133</v>
      </c>
      <c r="T29" s="8">
        <v>23311149.347912502</v>
      </c>
      <c r="U29" s="8">
        <v>22959237.306996699</v>
      </c>
      <c r="V29" s="8">
        <v>22216434.566895001</v>
      </c>
      <c r="W29" s="8">
        <v>22327424.704718798</v>
      </c>
      <c r="X29" s="8">
        <v>22542328.324384101</v>
      </c>
      <c r="Y29" s="8">
        <v>22787078.2466201</v>
      </c>
      <c r="Z29" s="8">
        <v>23059676.5199426</v>
      </c>
      <c r="AA29" s="8">
        <v>23368155.352920901</v>
      </c>
      <c r="AB29" s="8">
        <v>23735753.0560196</v>
      </c>
      <c r="AC29" s="8">
        <v>23618309.478133898</v>
      </c>
    </row>
    <row r="30" spans="1:29" x14ac:dyDescent="0.85">
      <c r="A30" t="s">
        <v>161</v>
      </c>
      <c r="B30" s="8">
        <v>7100189.25</v>
      </c>
      <c r="C30" s="8">
        <v>6842308.4009273704</v>
      </c>
      <c r="D30" s="8">
        <v>6568624.1755075697</v>
      </c>
      <c r="E30" s="8">
        <v>6305879.3539516302</v>
      </c>
      <c r="F30" s="8">
        <v>8156325.6240087999</v>
      </c>
      <c r="G30" s="8">
        <v>10135954.0055131</v>
      </c>
      <c r="H30" s="8">
        <v>12247830.628636301</v>
      </c>
      <c r="I30" s="8">
        <v>14417708.0238293</v>
      </c>
      <c r="J30" s="8">
        <v>16651047.903822999</v>
      </c>
      <c r="K30" s="8">
        <v>18955517.805804599</v>
      </c>
      <c r="L30" s="8">
        <v>21282252.243373901</v>
      </c>
      <c r="M30" s="8">
        <v>23632646.745838199</v>
      </c>
      <c r="N30" s="8">
        <v>26062649.546651602</v>
      </c>
      <c r="O30" s="8">
        <v>28589360.320820101</v>
      </c>
      <c r="P30" s="8">
        <v>27445791.209055498</v>
      </c>
      <c r="Q30" s="8">
        <v>26347959.560693599</v>
      </c>
      <c r="R30" s="8">
        <v>25294041.178266801</v>
      </c>
      <c r="S30" s="8">
        <v>24282279.531133</v>
      </c>
      <c r="T30" s="8">
        <v>23311149.347912502</v>
      </c>
      <c r="U30" s="8">
        <v>22959237.306996699</v>
      </c>
      <c r="V30" s="8">
        <v>22216434.566895001</v>
      </c>
      <c r="W30" s="8">
        <v>22327424.704718798</v>
      </c>
      <c r="X30" s="8">
        <v>22542328.324384101</v>
      </c>
      <c r="Y30" s="8">
        <v>22787078.2466201</v>
      </c>
      <c r="Z30" s="8">
        <v>23059676.5199426</v>
      </c>
      <c r="AA30" s="8">
        <v>23368155.352920901</v>
      </c>
      <c r="AB30" s="8">
        <v>23735753.0560196</v>
      </c>
      <c r="AC30" s="8">
        <v>23618309.478133898</v>
      </c>
    </row>
    <row r="31" spans="1:29" x14ac:dyDescent="0.85">
      <c r="A31" t="s">
        <v>162</v>
      </c>
      <c r="B31" s="8">
        <v>442.04107934000001</v>
      </c>
      <c r="C31" s="8">
        <v>425.98602434999998</v>
      </c>
      <c r="D31" s="8">
        <v>408.94708831999998</v>
      </c>
      <c r="E31" s="8">
        <v>392.58921385000002</v>
      </c>
      <c r="F31" s="8">
        <v>507.7936454</v>
      </c>
      <c r="G31" s="8">
        <v>631.04065131000004</v>
      </c>
      <c r="H31" s="8">
        <v>762.52112163000004</v>
      </c>
      <c r="I31" s="8">
        <v>897.61258356999997</v>
      </c>
      <c r="J31" s="8">
        <v>1036.6550705100001</v>
      </c>
      <c r="K31" s="8">
        <v>1180.1259452899999</v>
      </c>
      <c r="L31" s="8">
        <v>1324.9829576699999</v>
      </c>
      <c r="M31" s="8">
        <v>1471.3129900399999</v>
      </c>
      <c r="N31" s="8">
        <v>1622.59924778</v>
      </c>
      <c r="O31" s="8">
        <v>1779.9063164300001</v>
      </c>
      <c r="P31" s="8">
        <v>1708.7103938099999</v>
      </c>
      <c r="Q31" s="8">
        <v>1640.36197806</v>
      </c>
      <c r="R31" s="8">
        <v>1574.7474989299999</v>
      </c>
      <c r="S31" s="8">
        <v>1511.75759898</v>
      </c>
      <c r="T31" s="8">
        <v>1451.29731838</v>
      </c>
      <c r="U31" s="8">
        <v>1429.38810259</v>
      </c>
      <c r="V31" s="8">
        <v>1383.1429514500001</v>
      </c>
      <c r="W31" s="8">
        <v>1390.05293633</v>
      </c>
      <c r="X31" s="8">
        <v>1403.43233012</v>
      </c>
      <c r="Y31" s="8">
        <v>1418.6698845000001</v>
      </c>
      <c r="Z31" s="8">
        <v>1435.6412117</v>
      </c>
      <c r="AA31" s="8">
        <v>1454.8463781400001</v>
      </c>
      <c r="AB31" s="8">
        <v>1477.73214635</v>
      </c>
      <c r="AC31" s="8">
        <v>1470.42038548</v>
      </c>
    </row>
    <row r="32" spans="1:29" x14ac:dyDescent="0.85">
      <c r="A32" t="s">
        <v>163</v>
      </c>
      <c r="B32" s="8">
        <v>0</v>
      </c>
      <c r="C32" s="8">
        <v>0.54738467000000002</v>
      </c>
      <c r="D32" s="8">
        <v>1.0509798699999999</v>
      </c>
      <c r="E32" s="8">
        <v>1.51341104</v>
      </c>
      <c r="F32" s="8">
        <v>2.6100241999999998</v>
      </c>
      <c r="G32" s="8">
        <v>4.0543816000000001</v>
      </c>
      <c r="H32" s="8">
        <v>5.8789587000000001</v>
      </c>
      <c r="I32" s="8">
        <v>8.0739164900000002</v>
      </c>
      <c r="J32" s="8">
        <v>10.65667066</v>
      </c>
      <c r="K32" s="8">
        <v>13.64797282</v>
      </c>
      <c r="L32" s="8">
        <v>17.025801789999999</v>
      </c>
      <c r="M32" s="8">
        <v>20.79672914</v>
      </c>
      <c r="N32" s="8">
        <v>25.020143560000001</v>
      </c>
      <c r="O32" s="8">
        <v>29.73293473</v>
      </c>
      <c r="P32" s="8">
        <v>30.739286150000002</v>
      </c>
      <c r="Q32" s="8">
        <v>31.617551469999999</v>
      </c>
      <c r="R32" s="8">
        <v>32.376372709999998</v>
      </c>
      <c r="S32" s="8">
        <v>33.023900159999997</v>
      </c>
      <c r="T32" s="8">
        <v>33.568055059999999</v>
      </c>
      <c r="U32" s="8">
        <v>34.898040709999997</v>
      </c>
      <c r="V32" s="8">
        <v>35.546295309999998</v>
      </c>
      <c r="W32" s="8">
        <v>37.510073499999997</v>
      </c>
      <c r="X32" s="8">
        <v>39.674497850000002</v>
      </c>
      <c r="Y32" s="8">
        <v>41.928223969999998</v>
      </c>
      <c r="Z32" s="8">
        <v>44.274578920000003</v>
      </c>
      <c r="AA32" s="8">
        <v>46.736310709999998</v>
      </c>
      <c r="AB32" s="8">
        <v>49.370366359999998</v>
      </c>
      <c r="AC32" s="8">
        <v>51.015548469999999</v>
      </c>
    </row>
    <row r="33" spans="1:29" x14ac:dyDescent="0.85">
      <c r="A33" t="s">
        <v>164</v>
      </c>
      <c r="B33" s="8">
        <v>2.8400760000000001E-2</v>
      </c>
      <c r="C33" s="8">
        <v>2.7369230000000001E-2</v>
      </c>
      <c r="D33" s="8">
        <v>2.6274499999999999E-2</v>
      </c>
      <c r="E33" s="8">
        <v>2.5223519999999999E-2</v>
      </c>
      <c r="F33" s="8">
        <v>3.2625300000000003E-2</v>
      </c>
      <c r="G33" s="8">
        <v>4.0543820000000001E-2</v>
      </c>
      <c r="H33" s="8">
        <v>4.8991319999999998E-2</v>
      </c>
      <c r="I33" s="8">
        <v>5.7670829999999999E-2</v>
      </c>
      <c r="J33" s="8">
        <v>6.6604189999999994E-2</v>
      </c>
      <c r="K33" s="8">
        <v>7.5822070000000005E-2</v>
      </c>
      <c r="L33" s="8">
        <v>8.5129010000000005E-2</v>
      </c>
      <c r="M33" s="8">
        <v>9.4530589999999998E-2</v>
      </c>
      <c r="N33" s="8">
        <v>0.1042506</v>
      </c>
      <c r="O33" s="8">
        <v>0.11435744</v>
      </c>
      <c r="P33" s="8">
        <v>0.10978316</v>
      </c>
      <c r="Q33" s="8">
        <v>0.10539184</v>
      </c>
      <c r="R33" s="8">
        <v>0.10117616</v>
      </c>
      <c r="S33" s="8">
        <v>9.7129119999999999E-2</v>
      </c>
      <c r="T33" s="8">
        <v>9.3244599999999997E-2</v>
      </c>
      <c r="U33" s="8">
        <v>9.1836950000000001E-2</v>
      </c>
      <c r="V33" s="8">
        <v>8.8865739999999999E-2</v>
      </c>
      <c r="W33" s="8">
        <v>8.9309700000000006E-2</v>
      </c>
      <c r="X33" s="8">
        <v>9.0169310000000003E-2</v>
      </c>
      <c r="Y33" s="8">
        <v>9.1148309999999996E-2</v>
      </c>
      <c r="Z33" s="8">
        <v>9.2238710000000002E-2</v>
      </c>
      <c r="AA33" s="8">
        <v>9.3472620000000006E-2</v>
      </c>
      <c r="AB33" s="8">
        <v>9.4943009999999994E-2</v>
      </c>
      <c r="AC33" s="8">
        <v>9.447324E-2</v>
      </c>
    </row>
    <row r="34" spans="1:29" x14ac:dyDescent="0.85">
      <c r="A34" t="s">
        <v>165</v>
      </c>
      <c r="B34" s="8">
        <v>442.04107934000001</v>
      </c>
      <c r="C34" s="8">
        <v>425.98602434999998</v>
      </c>
      <c r="D34" s="8">
        <v>408.94708831999998</v>
      </c>
      <c r="E34" s="8">
        <v>392.58921385000002</v>
      </c>
      <c r="F34" s="8">
        <v>507.7936454</v>
      </c>
      <c r="G34" s="8">
        <v>631.04065131000004</v>
      </c>
      <c r="H34" s="8">
        <v>762.52112163000004</v>
      </c>
      <c r="I34" s="8">
        <v>897.61258356999997</v>
      </c>
      <c r="J34" s="8">
        <v>1036.6550705100001</v>
      </c>
      <c r="K34" s="8">
        <v>1180.1259452899999</v>
      </c>
      <c r="L34" s="8">
        <v>1324.9829576699999</v>
      </c>
      <c r="M34" s="8">
        <v>1471.3129900399999</v>
      </c>
      <c r="N34" s="8">
        <v>1622.59924778</v>
      </c>
      <c r="O34" s="8">
        <v>1779.9063164300001</v>
      </c>
      <c r="P34" s="8">
        <v>1708.7103938099999</v>
      </c>
      <c r="Q34" s="8">
        <v>1640.36197806</v>
      </c>
      <c r="R34" s="8">
        <v>1574.7474989299999</v>
      </c>
      <c r="S34" s="8">
        <v>1511.75759898</v>
      </c>
      <c r="T34" s="8">
        <v>1451.29731838</v>
      </c>
      <c r="U34" s="8">
        <v>1429.38810259</v>
      </c>
      <c r="V34" s="8">
        <v>1383.1429514500001</v>
      </c>
      <c r="W34" s="8">
        <v>1390.05293633</v>
      </c>
      <c r="X34" s="8">
        <v>1403.43233012</v>
      </c>
      <c r="Y34" s="8">
        <v>1418.6698845000001</v>
      </c>
      <c r="Z34" s="8">
        <v>1435.6412117</v>
      </c>
      <c r="AA34" s="8">
        <v>1454.8463781400001</v>
      </c>
      <c r="AB34" s="8">
        <v>1477.73214635</v>
      </c>
      <c r="AC34" s="8">
        <v>1470.42038548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1.00383304</v>
      </c>
      <c r="E36" s="8">
        <v>1.0000012300000001</v>
      </c>
      <c r="F36" s="8">
        <v>1.0000000200000001</v>
      </c>
      <c r="G36" s="8">
        <v>1.2944804299999999</v>
      </c>
      <c r="H36" s="8">
        <v>1.25869312</v>
      </c>
      <c r="I36" s="8">
        <v>1.22620273</v>
      </c>
      <c r="J36" s="8">
        <v>1.2030135</v>
      </c>
      <c r="K36" s="8">
        <v>1.1858211400000001</v>
      </c>
      <c r="L36" s="8">
        <v>1.1695182099999999</v>
      </c>
      <c r="M36" s="8">
        <v>1.1566974800000001</v>
      </c>
      <c r="N36" s="8">
        <v>1.1487649799999999</v>
      </c>
      <c r="O36" s="8">
        <v>1.1426437300000001</v>
      </c>
      <c r="P36" s="8">
        <v>1.1373827299999999</v>
      </c>
      <c r="Q36" s="8">
        <v>1.00000019</v>
      </c>
      <c r="R36" s="8">
        <v>1</v>
      </c>
      <c r="S36" s="8">
        <v>1</v>
      </c>
      <c r="T36" s="8">
        <v>1</v>
      </c>
      <c r="U36" s="8">
        <v>1.00000691</v>
      </c>
      <c r="V36" s="8">
        <v>1.02594136</v>
      </c>
      <c r="W36" s="8">
        <v>1.00796551</v>
      </c>
      <c r="X36" s="8">
        <v>1.0468706800000001</v>
      </c>
      <c r="Y36" s="8">
        <v>1.05169281</v>
      </c>
      <c r="Z36" s="8">
        <v>1.0529764100000001</v>
      </c>
      <c r="AA36" s="8">
        <v>1.05412796</v>
      </c>
      <c r="AB36" s="8">
        <v>1.05560147</v>
      </c>
      <c r="AC36" s="8">
        <v>1.0580528199999999</v>
      </c>
    </row>
    <row r="37" spans="1:29" x14ac:dyDescent="0.85">
      <c r="A37" t="s">
        <v>168</v>
      </c>
      <c r="B37" s="8">
        <v>1</v>
      </c>
      <c r="C37" s="8">
        <v>1.00383304</v>
      </c>
      <c r="D37" s="8">
        <v>1.0000012300000001</v>
      </c>
      <c r="E37" s="8">
        <v>1.0000000200000001</v>
      </c>
      <c r="F37" s="8">
        <v>1.34734143</v>
      </c>
      <c r="G37" s="8">
        <v>1.29449042</v>
      </c>
      <c r="H37" s="8">
        <v>1.2587031200000001</v>
      </c>
      <c r="I37" s="8">
        <v>1.2262127300000001</v>
      </c>
      <c r="J37" s="8">
        <v>1.2030235</v>
      </c>
      <c r="K37" s="8">
        <v>1.1858311399999999</v>
      </c>
      <c r="L37" s="8">
        <v>1.16952821</v>
      </c>
      <c r="M37" s="8">
        <v>1.1567074799999999</v>
      </c>
      <c r="N37" s="8">
        <v>1.14877498</v>
      </c>
      <c r="O37" s="8">
        <v>1.1426537299999999</v>
      </c>
      <c r="P37" s="8">
        <v>1.00000019</v>
      </c>
      <c r="Q37" s="8">
        <v>1</v>
      </c>
      <c r="R37" s="8">
        <v>1</v>
      </c>
      <c r="S37" s="8">
        <v>1</v>
      </c>
      <c r="T37" s="8">
        <v>1.00000691</v>
      </c>
      <c r="U37" s="8">
        <v>1.02594136</v>
      </c>
      <c r="V37" s="8">
        <v>1.00796551</v>
      </c>
      <c r="W37" s="8">
        <v>1.0468706800000001</v>
      </c>
      <c r="X37" s="8">
        <v>1.05169281</v>
      </c>
      <c r="Y37" s="8">
        <v>1.0529764100000001</v>
      </c>
      <c r="Z37" s="8">
        <v>1.05412796</v>
      </c>
      <c r="AA37" s="8">
        <v>1.05560147</v>
      </c>
      <c r="AB37" s="8">
        <v>1.0580528199999999</v>
      </c>
      <c r="AC37" s="8">
        <v>1.0365125399999999</v>
      </c>
    </row>
    <row r="38" spans="1:29" x14ac:dyDescent="0.85">
      <c r="A38" t="s">
        <v>169</v>
      </c>
      <c r="B38" s="8">
        <v>1</v>
      </c>
      <c r="C38" s="8">
        <v>1.3036544699999999</v>
      </c>
      <c r="D38" s="8">
        <v>1.31664132</v>
      </c>
      <c r="E38" s="8">
        <v>1.33147649</v>
      </c>
      <c r="F38" s="8">
        <v>1.34734143</v>
      </c>
      <c r="G38" s="8">
        <v>1.29449043</v>
      </c>
      <c r="H38" s="8">
        <v>1.2587031200000001</v>
      </c>
      <c r="I38" s="8">
        <v>1.2262127300000001</v>
      </c>
      <c r="J38" s="8">
        <v>1.2030235</v>
      </c>
      <c r="K38" s="8">
        <v>1.1858311399999999</v>
      </c>
      <c r="L38" s="8">
        <v>1.16952821</v>
      </c>
      <c r="M38" s="8">
        <v>1.1567074799999999</v>
      </c>
      <c r="N38" s="8">
        <v>1.14877498</v>
      </c>
      <c r="O38" s="8">
        <v>1.1426537299999999</v>
      </c>
      <c r="P38" s="8">
        <v>1.13739273</v>
      </c>
      <c r="Q38" s="8">
        <v>1.1427882700000001</v>
      </c>
      <c r="R38" s="8">
        <v>1.1485386799999999</v>
      </c>
      <c r="S38" s="8">
        <v>1.15463805</v>
      </c>
      <c r="T38" s="8">
        <v>1.16113792</v>
      </c>
      <c r="U38" s="8">
        <v>1.1680431600000001</v>
      </c>
      <c r="V38" s="8">
        <v>1.1719042399999999</v>
      </c>
      <c r="W38" s="8">
        <v>1.1774844499999999</v>
      </c>
      <c r="X38" s="8">
        <v>1.17843392</v>
      </c>
      <c r="Y38" s="8">
        <v>1.17935912</v>
      </c>
      <c r="Z38" s="8">
        <v>1.1800738099999999</v>
      </c>
      <c r="AA38" s="8">
        <v>1.1806907099999999</v>
      </c>
      <c r="AB38" s="8">
        <v>1.1811255700000001</v>
      </c>
      <c r="AC38" s="8">
        <v>1.18122321</v>
      </c>
    </row>
    <row r="39" spans="1:29" x14ac:dyDescent="0.85">
      <c r="A39" t="s">
        <v>170</v>
      </c>
      <c r="B39" s="8">
        <v>4096</v>
      </c>
      <c r="C39" s="8">
        <v>3994.1135159300002</v>
      </c>
      <c r="D39" s="8">
        <v>3894.40660093</v>
      </c>
      <c r="E39" s="8">
        <v>3797.0464400199999</v>
      </c>
      <c r="F39" s="8">
        <v>4650.3129684899995</v>
      </c>
      <c r="G39" s="8">
        <v>5572.8517042900003</v>
      </c>
      <c r="H39" s="8">
        <v>6566.8195086899996</v>
      </c>
      <c r="I39" s="8">
        <v>7600.2840728800002</v>
      </c>
      <c r="J39" s="8">
        <v>8675.9696874300007</v>
      </c>
      <c r="K39" s="8">
        <v>9797.6088324800003</v>
      </c>
      <c r="L39" s="8">
        <v>10944.04530528</v>
      </c>
      <c r="M39" s="8">
        <v>12115.96262423</v>
      </c>
      <c r="N39" s="8">
        <v>13338.11827472</v>
      </c>
      <c r="O39" s="8">
        <v>14618.50960302</v>
      </c>
      <c r="P39" s="8">
        <v>15948.09288122</v>
      </c>
      <c r="Q39" s="8">
        <v>17287.53654469</v>
      </c>
      <c r="R39" s="8">
        <v>18625.840721830002</v>
      </c>
      <c r="S39" s="8">
        <v>19965.506113949999</v>
      </c>
      <c r="T39" s="8">
        <v>21304.048148689999</v>
      </c>
      <c r="U39" s="8">
        <v>22454.4083474</v>
      </c>
      <c r="V39" s="8">
        <v>22802.07213072</v>
      </c>
      <c r="W39" s="8">
        <v>23325.50274362</v>
      </c>
      <c r="X39" s="8">
        <v>24154.148090679999</v>
      </c>
      <c r="Y39" s="8">
        <v>24949.934718960001</v>
      </c>
      <c r="Z39" s="8">
        <v>25765.777416379999</v>
      </c>
      <c r="AA39" s="8">
        <v>26581.275539639999</v>
      </c>
      <c r="AB39" s="8">
        <v>27385.026826609999</v>
      </c>
      <c r="AC39" s="8">
        <v>28274.23646412</v>
      </c>
    </row>
    <row r="40" spans="1:29" x14ac:dyDescent="0.85">
      <c r="A40" t="s">
        <v>171</v>
      </c>
      <c r="B40" s="8">
        <v>31697696</v>
      </c>
      <c r="C40" s="8">
        <v>30909227.543288201</v>
      </c>
      <c r="D40" s="8">
        <v>30137626.1075649</v>
      </c>
      <c r="E40" s="8">
        <v>29384185.486721698</v>
      </c>
      <c r="F40" s="8">
        <v>35987355.170930199</v>
      </c>
      <c r="G40" s="8">
        <v>43126601.361223899</v>
      </c>
      <c r="H40" s="8">
        <v>50818615.349965401</v>
      </c>
      <c r="I40" s="8">
        <v>58816282.728478797</v>
      </c>
      <c r="J40" s="8">
        <v>67140685.951483995</v>
      </c>
      <c r="K40" s="8">
        <v>75820709.545626298</v>
      </c>
      <c r="L40" s="8">
        <v>84692632.103795797</v>
      </c>
      <c r="M40" s="8">
        <v>93761743.1665757</v>
      </c>
      <c r="N40" s="8">
        <v>103219633.370138</v>
      </c>
      <c r="O40" s="8">
        <v>113128191.74062499</v>
      </c>
      <c r="P40" s="8">
        <v>123417431.6232</v>
      </c>
      <c r="Q40" s="8">
        <v>133782978.023076</v>
      </c>
      <c r="R40" s="8">
        <v>144139706.28537899</v>
      </c>
      <c r="S40" s="8">
        <v>154506968.57567599</v>
      </c>
      <c r="T40" s="8">
        <v>164865537.545569</v>
      </c>
      <c r="U40" s="8">
        <v>173767824.622996</v>
      </c>
      <c r="V40" s="8">
        <v>176458288.713321</v>
      </c>
      <c r="W40" s="8">
        <v>180508958.74374101</v>
      </c>
      <c r="X40" s="8">
        <v>186921592.60679299</v>
      </c>
      <c r="Y40" s="8">
        <v>193079942.856819</v>
      </c>
      <c r="Z40" s="8">
        <v>199393500.91508701</v>
      </c>
      <c r="AA40" s="8">
        <v>205704392.418863</v>
      </c>
      <c r="AB40" s="8">
        <v>211924378.73575801</v>
      </c>
      <c r="AC40" s="8">
        <v>218805701.18939099</v>
      </c>
    </row>
    <row r="41" spans="1:29" x14ac:dyDescent="0.85">
      <c r="A41" t="s">
        <v>172</v>
      </c>
      <c r="B41" s="8">
        <v>31697696</v>
      </c>
      <c r="C41" s="8">
        <v>30909227.543288201</v>
      </c>
      <c r="D41" s="8">
        <v>30137626.1075649</v>
      </c>
      <c r="E41" s="8">
        <v>29384185.486721698</v>
      </c>
      <c r="F41" s="8">
        <v>35987355.170930199</v>
      </c>
      <c r="G41" s="8">
        <v>43126601.361223899</v>
      </c>
      <c r="H41" s="8">
        <v>50818615.349965401</v>
      </c>
      <c r="I41" s="8">
        <v>58816282.728478797</v>
      </c>
      <c r="J41" s="8">
        <v>67140685.951483995</v>
      </c>
      <c r="K41" s="8">
        <v>75820709.545626298</v>
      </c>
      <c r="L41" s="8">
        <v>84692632.103795797</v>
      </c>
      <c r="M41" s="8">
        <v>93761743.1665757</v>
      </c>
      <c r="N41" s="8">
        <v>103219633.370138</v>
      </c>
      <c r="O41" s="8">
        <v>113128191.74062499</v>
      </c>
      <c r="P41" s="8">
        <v>123417431.6232</v>
      </c>
      <c r="Q41" s="8">
        <v>133782978.023076</v>
      </c>
      <c r="R41" s="8">
        <v>144139706.28537899</v>
      </c>
      <c r="S41" s="8">
        <v>154506968.57567599</v>
      </c>
      <c r="T41" s="8">
        <v>164865537.545569</v>
      </c>
      <c r="U41" s="8">
        <v>173767824.622996</v>
      </c>
      <c r="V41" s="8">
        <v>176458288.713321</v>
      </c>
      <c r="W41" s="8">
        <v>180508958.74374101</v>
      </c>
      <c r="X41" s="8">
        <v>186921592.60679299</v>
      </c>
      <c r="Y41" s="8">
        <v>193079942.856819</v>
      </c>
      <c r="Z41" s="8">
        <v>199393500.91508701</v>
      </c>
      <c r="AA41" s="8">
        <v>205704392.418863</v>
      </c>
      <c r="AB41" s="8">
        <v>211924378.73575801</v>
      </c>
      <c r="AC41" s="8">
        <v>218805701.18939099</v>
      </c>
    </row>
    <row r="42" spans="1:29" x14ac:dyDescent="0.85">
      <c r="A42" t="s">
        <v>173</v>
      </c>
      <c r="B42" s="8">
        <v>2251.95503856</v>
      </c>
      <c r="C42" s="8">
        <v>2195.9384904200001</v>
      </c>
      <c r="D42" s="8">
        <v>2141.1202556500002</v>
      </c>
      <c r="E42" s="8">
        <v>2087.59225152</v>
      </c>
      <c r="F42" s="8">
        <v>2556.7128223300001</v>
      </c>
      <c r="G42" s="8">
        <v>3063.9188170399998</v>
      </c>
      <c r="H42" s="8">
        <v>3610.39606443</v>
      </c>
      <c r="I42" s="8">
        <v>4178.5883819299997</v>
      </c>
      <c r="J42" s="8">
        <v>4769.9935673700002</v>
      </c>
      <c r="K42" s="8">
        <v>5386.6637148700001</v>
      </c>
      <c r="L42" s="8">
        <v>6016.9672772000004</v>
      </c>
      <c r="M42" s="8">
        <v>6661.2800484899999</v>
      </c>
      <c r="N42" s="8">
        <v>7333.2135384800004</v>
      </c>
      <c r="O42" s="8">
        <v>8037.1646378699998</v>
      </c>
      <c r="P42" s="8">
        <v>8768.1611619199994</v>
      </c>
      <c r="Q42" s="8">
        <v>9504.5788637799997</v>
      </c>
      <c r="R42" s="8">
        <v>10240.370083219999</v>
      </c>
      <c r="S42" s="8">
        <v>10976.909690099999</v>
      </c>
      <c r="T42" s="8">
        <v>11712.831682149999</v>
      </c>
      <c r="U42" s="8">
        <v>12345.292484310001</v>
      </c>
      <c r="V42" s="8">
        <v>12536.435845780001</v>
      </c>
      <c r="W42" s="8">
        <v>12824.21470468</v>
      </c>
      <c r="X42" s="8">
        <v>13279.7987048</v>
      </c>
      <c r="Y42" s="8">
        <v>13717.31718799</v>
      </c>
      <c r="Z42" s="8">
        <v>14165.862371859999</v>
      </c>
      <c r="AA42" s="8">
        <v>14614.21811102</v>
      </c>
      <c r="AB42" s="8">
        <v>15056.11551347</v>
      </c>
      <c r="AC42" s="8">
        <v>15544.997379570001</v>
      </c>
    </row>
    <row r="43" spans="1:29" x14ac:dyDescent="0.85">
      <c r="A43" t="s">
        <v>174</v>
      </c>
      <c r="B43" s="8">
        <v>0</v>
      </c>
      <c r="C43" s="8">
        <v>1.8545536499999999</v>
      </c>
      <c r="D43" s="8">
        <v>3.6165151299999998</v>
      </c>
      <c r="E43" s="8">
        <v>5.2891533900000001</v>
      </c>
      <c r="F43" s="8">
        <v>8.6369652400000003</v>
      </c>
      <c r="G43" s="8">
        <v>12.93798041</v>
      </c>
      <c r="H43" s="8">
        <v>18.294701530000001</v>
      </c>
      <c r="I43" s="8">
        <v>24.702838750000002</v>
      </c>
      <c r="J43" s="8">
        <v>32.227529259999997</v>
      </c>
      <c r="K43" s="8">
        <v>40.943183150000003</v>
      </c>
      <c r="L43" s="8">
        <v>50.81557926</v>
      </c>
      <c r="M43" s="8">
        <v>61.882750489999999</v>
      </c>
      <c r="N43" s="8">
        <v>74.318136030000005</v>
      </c>
      <c r="O43" s="8">
        <v>88.239989559999998</v>
      </c>
      <c r="P43" s="8">
        <v>103.67064256</v>
      </c>
      <c r="Q43" s="8">
        <v>120.40468022</v>
      </c>
      <c r="R43" s="8">
        <v>138.37411803000001</v>
      </c>
      <c r="S43" s="8">
        <v>157.59710795000001</v>
      </c>
      <c r="T43" s="8">
        <v>178.05478055</v>
      </c>
      <c r="U43" s="8">
        <v>198.09532007000001</v>
      </c>
      <c r="V43" s="8">
        <v>211.74994645999999</v>
      </c>
      <c r="W43" s="8">
        <v>227.44128802</v>
      </c>
      <c r="X43" s="8">
        <v>246.73650223999999</v>
      </c>
      <c r="Y43" s="8">
        <v>266.45032114000003</v>
      </c>
      <c r="Z43" s="8">
        <v>287.12664131999998</v>
      </c>
      <c r="AA43" s="8">
        <v>308.55658863000002</v>
      </c>
      <c r="AB43" s="8">
        <v>330.60203082999999</v>
      </c>
      <c r="AC43" s="8">
        <v>354.46523593000001</v>
      </c>
    </row>
    <row r="44" spans="1:29" x14ac:dyDescent="0.85">
      <c r="A44" t="s">
        <v>175</v>
      </c>
      <c r="B44" s="8">
        <v>9.5093090000000005E-2</v>
      </c>
      <c r="C44" s="8">
        <v>9.2727680000000007E-2</v>
      </c>
      <c r="D44" s="8">
        <v>9.0412880000000001E-2</v>
      </c>
      <c r="E44" s="8">
        <v>8.8152560000000005E-2</v>
      </c>
      <c r="F44" s="8">
        <v>0.10796206999999999</v>
      </c>
      <c r="G44" s="8">
        <v>0.12937979999999999</v>
      </c>
      <c r="H44" s="8">
        <v>0.15245585</v>
      </c>
      <c r="I44" s="8">
        <v>0.17644884999999999</v>
      </c>
      <c r="J44" s="8">
        <v>0.20142206000000001</v>
      </c>
      <c r="K44" s="8">
        <v>0.22746213000000001</v>
      </c>
      <c r="L44" s="8">
        <v>0.25407790000000002</v>
      </c>
      <c r="M44" s="8">
        <v>0.28128523</v>
      </c>
      <c r="N44" s="8">
        <v>0.30965890000000001</v>
      </c>
      <c r="O44" s="8">
        <v>0.33938457999999999</v>
      </c>
      <c r="P44" s="8">
        <v>0.37025228999999998</v>
      </c>
      <c r="Q44" s="8">
        <v>0.40134892999999999</v>
      </c>
      <c r="R44" s="8">
        <v>0.43241911999999999</v>
      </c>
      <c r="S44" s="8">
        <v>0.46352091000000001</v>
      </c>
      <c r="T44" s="8">
        <v>0.49459660999999999</v>
      </c>
      <c r="U44" s="8">
        <v>0.52130346999999999</v>
      </c>
      <c r="V44" s="8">
        <v>0.52937487000000005</v>
      </c>
      <c r="W44" s="8">
        <v>0.54152688000000004</v>
      </c>
      <c r="X44" s="8">
        <v>0.56076477999999996</v>
      </c>
      <c r="Y44" s="8">
        <v>0.57923983000000001</v>
      </c>
      <c r="Z44" s="8">
        <v>0.5981805</v>
      </c>
      <c r="AA44" s="8">
        <v>0.61711318000000004</v>
      </c>
      <c r="AB44" s="8">
        <v>0.63577313999999996</v>
      </c>
      <c r="AC44" s="8">
        <v>0.65641709999999998</v>
      </c>
    </row>
    <row r="45" spans="1:29" x14ac:dyDescent="0.85">
      <c r="A45" t="s">
        <v>176</v>
      </c>
      <c r="B45" s="8">
        <v>1931.4913320000001</v>
      </c>
      <c r="C45" s="8">
        <v>1883.4461999600001</v>
      </c>
      <c r="D45" s="8">
        <v>1836.4288557</v>
      </c>
      <c r="E45" s="8">
        <v>1790.51813625</v>
      </c>
      <c r="F45" s="8">
        <v>2192.8806615499998</v>
      </c>
      <c r="G45" s="8">
        <v>2627.9088772800001</v>
      </c>
      <c r="H45" s="8">
        <v>3096.6198632400001</v>
      </c>
      <c r="I45" s="8">
        <v>3583.95576355</v>
      </c>
      <c r="J45" s="8">
        <v>4091.2012324000002</v>
      </c>
      <c r="K45" s="8">
        <v>4620.1163413599998</v>
      </c>
      <c r="L45" s="8">
        <v>5160.72476663</v>
      </c>
      <c r="M45" s="8">
        <v>5713.3488250700002</v>
      </c>
      <c r="N45" s="8">
        <v>6289.66304511</v>
      </c>
      <c r="O45" s="8">
        <v>6893.4386193700002</v>
      </c>
      <c r="P45" s="8">
        <v>7520.4109282099998</v>
      </c>
      <c r="Q45" s="8">
        <v>8152.0329559700003</v>
      </c>
      <c r="R45" s="8">
        <v>8783.1176526800009</v>
      </c>
      <c r="S45" s="8">
        <v>9414.8442378</v>
      </c>
      <c r="T45" s="8">
        <v>10046.04109757</v>
      </c>
      <c r="U45" s="8">
        <v>10588.49977737</v>
      </c>
      <c r="V45" s="8">
        <v>10752.442546890001</v>
      </c>
      <c r="W45" s="8">
        <v>10999.26913178</v>
      </c>
      <c r="X45" s="8">
        <v>11390.02140354</v>
      </c>
      <c r="Y45" s="8">
        <v>11765.27896571</v>
      </c>
      <c r="Z45" s="8">
        <v>12149.994077609999</v>
      </c>
      <c r="AA45" s="8">
        <v>12534.546703669999</v>
      </c>
      <c r="AB45" s="8">
        <v>12913.56004445</v>
      </c>
      <c r="AC45" s="8">
        <v>13332.87174054</v>
      </c>
    </row>
    <row r="46" spans="1:29" x14ac:dyDescent="0.85">
      <c r="A46" t="s">
        <v>177</v>
      </c>
      <c r="B46" s="8">
        <v>320.46370655999999</v>
      </c>
      <c r="C46" s="8">
        <v>312.49229045999999</v>
      </c>
      <c r="D46" s="8">
        <v>304.69139995</v>
      </c>
      <c r="E46" s="8">
        <v>297.07411526999999</v>
      </c>
      <c r="F46" s="8">
        <v>363.83216077999998</v>
      </c>
      <c r="G46" s="8">
        <v>436.00993976000001</v>
      </c>
      <c r="H46" s="8">
        <v>513.77620119000005</v>
      </c>
      <c r="I46" s="8">
        <v>594.63261838000005</v>
      </c>
      <c r="J46" s="8">
        <v>678.79233496999996</v>
      </c>
      <c r="K46" s="8">
        <v>766.54737351000006</v>
      </c>
      <c r="L46" s="8">
        <v>856.24251057000004</v>
      </c>
      <c r="M46" s="8">
        <v>947.93122341000003</v>
      </c>
      <c r="N46" s="8">
        <v>1043.5504933699999</v>
      </c>
      <c r="O46" s="8">
        <v>1143.7260185</v>
      </c>
      <c r="P46" s="8">
        <v>1247.75023371</v>
      </c>
      <c r="Q46" s="8">
        <v>1352.54590781</v>
      </c>
      <c r="R46" s="8">
        <v>1457.2524305500001</v>
      </c>
      <c r="S46" s="8">
        <v>1562.0654523000001</v>
      </c>
      <c r="T46" s="8">
        <v>1666.79058459</v>
      </c>
      <c r="U46" s="8">
        <v>1756.79270694</v>
      </c>
      <c r="V46" s="8">
        <v>1783.99329889</v>
      </c>
      <c r="W46" s="8">
        <v>1824.9455728999999</v>
      </c>
      <c r="X46" s="8">
        <v>1889.7773012499999</v>
      </c>
      <c r="Y46" s="8">
        <v>1952.0382222799999</v>
      </c>
      <c r="Z46" s="8">
        <v>2015.86829425</v>
      </c>
      <c r="AA46" s="8">
        <v>2079.6714073500002</v>
      </c>
      <c r="AB46" s="8">
        <v>2142.5554690200001</v>
      </c>
      <c r="AC46" s="8">
        <v>2212.1256390200001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1.0001285799999999</v>
      </c>
      <c r="E47" s="8">
        <v>1.0000374700000001</v>
      </c>
      <c r="F47" s="8">
        <v>1</v>
      </c>
      <c r="G47" s="8">
        <v>1.2290998200000001</v>
      </c>
      <c r="H47" s="8">
        <v>1.2085632500000001</v>
      </c>
      <c r="I47" s="8">
        <v>1.18704305</v>
      </c>
      <c r="J47" s="8">
        <v>1.1707923499999999</v>
      </c>
      <c r="K47" s="8">
        <v>1.15822705</v>
      </c>
      <c r="L47" s="8">
        <v>1.1456431899999999</v>
      </c>
      <c r="M47" s="8">
        <v>1.1354593799999999</v>
      </c>
      <c r="N47" s="8">
        <v>1.129089</v>
      </c>
      <c r="O47" s="8">
        <v>1.1240873300000001</v>
      </c>
      <c r="P47" s="8">
        <v>1.1197088799999999</v>
      </c>
      <c r="Q47" s="8">
        <v>1.11177226</v>
      </c>
      <c r="R47" s="8">
        <v>1.1050807899999999</v>
      </c>
      <c r="S47" s="8">
        <v>1.0994054499999999</v>
      </c>
      <c r="T47" s="8">
        <v>1.0945468700000001</v>
      </c>
      <c r="U47" s="8">
        <v>1.0903498300000001</v>
      </c>
      <c r="V47" s="8">
        <v>1.08102283</v>
      </c>
      <c r="W47" s="8">
        <v>1.04152113</v>
      </c>
      <c r="X47" s="8">
        <v>1.0491850199999999</v>
      </c>
      <c r="Y47" s="8">
        <v>1.0620772199999999</v>
      </c>
      <c r="Z47" s="8">
        <v>1.0594319699999999</v>
      </c>
      <c r="AA47" s="8">
        <v>1.0591786599999999</v>
      </c>
      <c r="AB47" s="8">
        <v>1.05810301</v>
      </c>
      <c r="AC47" s="8">
        <v>1.0566538400000001</v>
      </c>
    </row>
    <row r="48" spans="1:29" x14ac:dyDescent="0.85">
      <c r="A48" t="s">
        <v>179</v>
      </c>
      <c r="B48" s="8">
        <v>1</v>
      </c>
      <c r="C48" s="8">
        <v>1.0001285799999999</v>
      </c>
      <c r="D48" s="8">
        <v>1.0000374700000001</v>
      </c>
      <c r="E48" s="8">
        <v>1</v>
      </c>
      <c r="F48" s="8">
        <v>1.25612152</v>
      </c>
      <c r="G48" s="8">
        <v>1.2291098199999999</v>
      </c>
      <c r="H48" s="8">
        <v>1.2085732499999999</v>
      </c>
      <c r="I48" s="8">
        <v>1.1870530500000001</v>
      </c>
      <c r="J48" s="8">
        <v>1.17080235</v>
      </c>
      <c r="K48" s="8">
        <v>1.1582370500000001</v>
      </c>
      <c r="L48" s="8">
        <v>1.14565319</v>
      </c>
      <c r="M48" s="8">
        <v>1.13546938</v>
      </c>
      <c r="N48" s="8">
        <v>1.1290990000000001</v>
      </c>
      <c r="O48" s="8">
        <v>1.1240973299999999</v>
      </c>
      <c r="P48" s="8">
        <v>1.11892517</v>
      </c>
      <c r="Q48" s="8">
        <v>1.11178226</v>
      </c>
      <c r="R48" s="8">
        <v>1.1050404</v>
      </c>
      <c r="S48" s="8">
        <v>1.09941036</v>
      </c>
      <c r="T48" s="8">
        <v>1.0944027999999999</v>
      </c>
      <c r="U48" s="8">
        <v>1.08102283</v>
      </c>
      <c r="V48" s="8">
        <v>1.04152113</v>
      </c>
      <c r="W48" s="8">
        <v>1.0491850199999999</v>
      </c>
      <c r="X48" s="8">
        <v>1.0620772199999999</v>
      </c>
      <c r="Y48" s="8">
        <v>1.0594319699999999</v>
      </c>
      <c r="Z48" s="8">
        <v>1.0591786599999999</v>
      </c>
      <c r="AA48" s="8">
        <v>1.05810301</v>
      </c>
      <c r="AB48" s="8">
        <v>1.0566538400000001</v>
      </c>
      <c r="AC48" s="8">
        <v>1.0589442600000001</v>
      </c>
    </row>
    <row r="49" spans="1:29" x14ac:dyDescent="0.85">
      <c r="A49" t="s">
        <v>180</v>
      </c>
      <c r="B49" s="8">
        <v>1</v>
      </c>
      <c r="C49" s="8">
        <v>1.23356716</v>
      </c>
      <c r="D49" s="8">
        <v>1.24072358</v>
      </c>
      <c r="E49" s="8">
        <v>1.2481882399999999</v>
      </c>
      <c r="F49" s="8">
        <v>1.25612152</v>
      </c>
      <c r="G49" s="8">
        <v>1.2291098199999999</v>
      </c>
      <c r="H49" s="8">
        <v>1.2085732499999999</v>
      </c>
      <c r="I49" s="8">
        <v>1.1870530500000001</v>
      </c>
      <c r="J49" s="8">
        <v>1.17080235</v>
      </c>
      <c r="K49" s="8">
        <v>1.1582370500000001</v>
      </c>
      <c r="L49" s="8">
        <v>1.14565319</v>
      </c>
      <c r="M49" s="8">
        <v>1.13546938</v>
      </c>
      <c r="N49" s="8">
        <v>1.1290990000000001</v>
      </c>
      <c r="O49" s="8">
        <v>1.1240973299999999</v>
      </c>
      <c r="P49" s="8">
        <v>1.11971888</v>
      </c>
      <c r="Q49" s="8">
        <v>1.11178226</v>
      </c>
      <c r="R49" s="8">
        <v>1.10509079</v>
      </c>
      <c r="S49" s="8">
        <v>1.09941545</v>
      </c>
      <c r="T49" s="8">
        <v>1.0945568699999999</v>
      </c>
      <c r="U49" s="8">
        <v>1.0903598299999999</v>
      </c>
      <c r="V49" s="8">
        <v>1.08746221</v>
      </c>
      <c r="W49" s="8">
        <v>1.0866457700000001</v>
      </c>
      <c r="X49" s="8">
        <v>1.08587045</v>
      </c>
      <c r="Y49" s="8">
        <v>1.08459796</v>
      </c>
      <c r="Z49" s="8">
        <v>1.08350009</v>
      </c>
      <c r="AA49" s="8">
        <v>1.0824648299999999</v>
      </c>
      <c r="AB49" s="8">
        <v>1.0815244799999999</v>
      </c>
      <c r="AC49" s="8">
        <v>1.0806949100000001</v>
      </c>
    </row>
    <row r="50" spans="1:29" x14ac:dyDescent="0.85">
      <c r="A50" t="s">
        <v>181</v>
      </c>
      <c r="B50" s="8">
        <v>14663</v>
      </c>
      <c r="C50" s="8">
        <v>15417.9666129</v>
      </c>
      <c r="D50" s="8">
        <v>16176.4725266</v>
      </c>
      <c r="E50" s="8">
        <v>16949.934713359999</v>
      </c>
      <c r="F50" s="8">
        <v>18115.59064296</v>
      </c>
      <c r="G50" s="8">
        <v>19392.146040740001</v>
      </c>
      <c r="H50" s="8">
        <v>18745.460127549999</v>
      </c>
      <c r="I50" s="8">
        <v>18122.722844069998</v>
      </c>
      <c r="J50" s="8">
        <v>17572.914181780001</v>
      </c>
      <c r="K50" s="8">
        <v>17011.528740670001</v>
      </c>
      <c r="L50" s="8">
        <v>16436.84893905</v>
      </c>
      <c r="M50" s="8">
        <v>15828.30322636</v>
      </c>
      <c r="N50" s="8">
        <v>15417.09810639</v>
      </c>
      <c r="O50" s="8">
        <v>14972.259244659999</v>
      </c>
      <c r="P50" s="8">
        <v>14687.06679341</v>
      </c>
      <c r="Q50" s="8">
        <v>14407.30649558</v>
      </c>
      <c r="R50" s="8">
        <v>14132.87497235</v>
      </c>
      <c r="S50" s="8">
        <v>13873.42535044</v>
      </c>
      <c r="T50" s="8">
        <v>13624.43374796</v>
      </c>
      <c r="U50" s="8">
        <v>13506.07222989</v>
      </c>
      <c r="V50" s="8">
        <v>13935.693216989999</v>
      </c>
      <c r="W50" s="8">
        <v>14273.957862699999</v>
      </c>
      <c r="X50" s="8">
        <v>14511.674134770001</v>
      </c>
      <c r="Y50" s="8">
        <v>14767.2177832</v>
      </c>
      <c r="Z50" s="8">
        <v>15023.736407189999</v>
      </c>
      <c r="AA50" s="8">
        <v>15287.28687722</v>
      </c>
      <c r="AB50" s="8">
        <v>15559.431360299999</v>
      </c>
      <c r="AC50" s="8">
        <v>15864.72774084</v>
      </c>
    </row>
    <row r="51" spans="1:29" x14ac:dyDescent="0.85">
      <c r="A51" t="s">
        <v>182</v>
      </c>
      <c r="B51" s="8">
        <v>57983527.25</v>
      </c>
      <c r="C51" s="8">
        <v>62285295.640612602</v>
      </c>
      <c r="D51" s="8">
        <v>66609821.790387899</v>
      </c>
      <c r="E51" s="8">
        <v>71003438.356578007</v>
      </c>
      <c r="F51" s="8">
        <v>74081054.557776093</v>
      </c>
      <c r="G51" s="8">
        <v>77395457.5828529</v>
      </c>
      <c r="H51" s="8">
        <v>69861898.5484512</v>
      </c>
      <c r="I51" s="8">
        <v>62009342.176865801</v>
      </c>
      <c r="J51" s="8">
        <v>53920982.030431099</v>
      </c>
      <c r="K51" s="8">
        <v>46543437.805866398</v>
      </c>
      <c r="L51" s="8">
        <v>39531129.260785103</v>
      </c>
      <c r="M51" s="8">
        <v>32548399.0040746</v>
      </c>
      <c r="N51" s="8">
        <v>26326441.519446898</v>
      </c>
      <c r="O51" s="8">
        <v>20861100.371648401</v>
      </c>
      <c r="P51" s="8">
        <v>17955931.3700203</v>
      </c>
      <c r="Q51" s="8">
        <v>15397235.373314301</v>
      </c>
      <c r="R51" s="8">
        <v>13193207.057034399</v>
      </c>
      <c r="S51" s="8">
        <v>11296876.267607599</v>
      </c>
      <c r="T51" s="8">
        <v>9665218.8139113598</v>
      </c>
      <c r="U51" s="8">
        <v>8546307.5313643795</v>
      </c>
      <c r="V51" s="8">
        <v>9368881.1359600406</v>
      </c>
      <c r="W51" s="8">
        <v>9635022.4463614002</v>
      </c>
      <c r="X51" s="8">
        <v>9218388.3902656697</v>
      </c>
      <c r="Y51" s="8">
        <v>8916395.5273171291</v>
      </c>
      <c r="Z51" s="8">
        <v>8612443.23384808</v>
      </c>
      <c r="AA51" s="8">
        <v>8345269.4431806803</v>
      </c>
      <c r="AB51" s="8">
        <v>8130347.1847854704</v>
      </c>
      <c r="AC51" s="8">
        <v>7888064.7637612196</v>
      </c>
    </row>
    <row r="52" spans="1:29" x14ac:dyDescent="0.85">
      <c r="A52" t="s">
        <v>183</v>
      </c>
      <c r="B52" s="8">
        <v>57983527.25</v>
      </c>
      <c r="C52" s="8">
        <v>62285295.640612602</v>
      </c>
      <c r="D52" s="8">
        <v>66609821.790387899</v>
      </c>
      <c r="E52" s="8">
        <v>71003438.356578007</v>
      </c>
      <c r="F52" s="8">
        <v>74081054.557776093</v>
      </c>
      <c r="G52" s="8">
        <v>77395457.5828529</v>
      </c>
      <c r="H52" s="8">
        <v>69861898.5484512</v>
      </c>
      <c r="I52" s="8">
        <v>62009342.176865801</v>
      </c>
      <c r="J52" s="8">
        <v>53920982.030431099</v>
      </c>
      <c r="K52" s="8">
        <v>46543437.805866398</v>
      </c>
      <c r="L52" s="8">
        <v>39531129.260785103</v>
      </c>
      <c r="M52" s="8">
        <v>32548399.0040746</v>
      </c>
      <c r="N52" s="8">
        <v>26326441.519446898</v>
      </c>
      <c r="O52" s="8">
        <v>20861100.371648401</v>
      </c>
      <c r="P52" s="8">
        <v>17955931.3700203</v>
      </c>
      <c r="Q52" s="8">
        <v>15397235.373314301</v>
      </c>
      <c r="R52" s="8">
        <v>13193207.057034399</v>
      </c>
      <c r="S52" s="8">
        <v>11296876.267607599</v>
      </c>
      <c r="T52" s="8">
        <v>9665218.8139113598</v>
      </c>
      <c r="U52" s="8">
        <v>8546307.5313643795</v>
      </c>
      <c r="V52" s="8">
        <v>9368881.1359600406</v>
      </c>
      <c r="W52" s="8">
        <v>9635022.4463614002</v>
      </c>
      <c r="X52" s="8">
        <v>9218388.3902656697</v>
      </c>
      <c r="Y52" s="8">
        <v>8916395.5273171291</v>
      </c>
      <c r="Z52" s="8">
        <v>8612443.23384808</v>
      </c>
      <c r="AA52" s="8">
        <v>8345269.4431806803</v>
      </c>
      <c r="AB52" s="8">
        <v>8130347.1847854704</v>
      </c>
      <c r="AC52" s="8">
        <v>7888064.7637612196</v>
      </c>
    </row>
    <row r="53" spans="1:29" x14ac:dyDescent="0.85">
      <c r="A53" t="s">
        <v>184</v>
      </c>
      <c r="B53" s="8">
        <v>2838.40810986</v>
      </c>
      <c r="C53" s="8">
        <v>3016.6699051000001</v>
      </c>
      <c r="D53" s="8">
        <v>3195.8306153899998</v>
      </c>
      <c r="E53" s="8">
        <v>3378.1292153700001</v>
      </c>
      <c r="F53" s="8">
        <v>3566.39494526</v>
      </c>
      <c r="G53" s="8">
        <v>3771.2053470400001</v>
      </c>
      <c r="H53" s="8">
        <v>3524.6006809199998</v>
      </c>
      <c r="I53" s="8">
        <v>3272.53761854</v>
      </c>
      <c r="J53" s="8">
        <v>3021.8014813099999</v>
      </c>
      <c r="K53" s="8">
        <v>2787.2852794</v>
      </c>
      <c r="L53" s="8">
        <v>2560.3900973099999</v>
      </c>
      <c r="M53" s="8">
        <v>2330.9286317800002</v>
      </c>
      <c r="N53" s="8">
        <v>2139.1895424600002</v>
      </c>
      <c r="O53" s="8">
        <v>1962.6464390799999</v>
      </c>
      <c r="P53" s="8">
        <v>1864.07138151</v>
      </c>
      <c r="Q53" s="8">
        <v>1774.47766538</v>
      </c>
      <c r="R53" s="8">
        <v>1694.05520389</v>
      </c>
      <c r="S53" s="8">
        <v>1622.59513378</v>
      </c>
      <c r="T53" s="8">
        <v>1558.60844746</v>
      </c>
      <c r="U53" s="8">
        <v>1519.81545886</v>
      </c>
      <c r="V53" s="8">
        <v>1581.59755215</v>
      </c>
      <c r="W53" s="8">
        <v>1620.9330387699999</v>
      </c>
      <c r="X53" s="8">
        <v>1633.84670628</v>
      </c>
      <c r="Y53" s="8">
        <v>1651.2884538000001</v>
      </c>
      <c r="Z53" s="8">
        <v>1668.7770502200001</v>
      </c>
      <c r="AA53" s="8">
        <v>1687.8457541600001</v>
      </c>
      <c r="AB53" s="8">
        <v>1709.02377611</v>
      </c>
      <c r="AC53" s="8">
        <v>1732.7528812</v>
      </c>
    </row>
    <row r="54" spans="1:29" x14ac:dyDescent="0.85">
      <c r="A54" t="s">
        <v>185</v>
      </c>
      <c r="B54" s="8">
        <v>0</v>
      </c>
      <c r="C54" s="8">
        <v>610.39589727999999</v>
      </c>
      <c r="D54" s="8">
        <v>1305.5525070900001</v>
      </c>
      <c r="E54" s="8">
        <v>2087.5010876800002</v>
      </c>
      <c r="F54" s="8">
        <v>2903.97733866</v>
      </c>
      <c r="G54" s="8">
        <v>3792.3774215600001</v>
      </c>
      <c r="H54" s="8">
        <v>4107.8796346500003</v>
      </c>
      <c r="I54" s="8">
        <v>4253.8408733300002</v>
      </c>
      <c r="J54" s="8">
        <v>4227.4049911900001</v>
      </c>
      <c r="K54" s="8">
        <v>4105.1312144800004</v>
      </c>
      <c r="L54" s="8">
        <v>3874.05066756</v>
      </c>
      <c r="M54" s="8">
        <v>3508.71741264</v>
      </c>
      <c r="N54" s="8">
        <v>3095.9895226899998</v>
      </c>
      <c r="O54" s="8">
        <v>2657.7041873500002</v>
      </c>
      <c r="P54" s="8">
        <v>2463.55378397</v>
      </c>
      <c r="Q54" s="8">
        <v>2263.3935998799998</v>
      </c>
      <c r="R54" s="8">
        <v>2068.69486654</v>
      </c>
      <c r="S54" s="8">
        <v>1882.05958618</v>
      </c>
      <c r="T54" s="8">
        <v>1704.9445987700001</v>
      </c>
      <c r="U54" s="8">
        <v>1591.3224623399999</v>
      </c>
      <c r="V54" s="8">
        <v>1836.3007026499999</v>
      </c>
      <c r="W54" s="8">
        <v>1982.88761946</v>
      </c>
      <c r="X54" s="8">
        <v>1987.48453694</v>
      </c>
      <c r="Y54" s="8">
        <v>2009.75555186</v>
      </c>
      <c r="Z54" s="8">
        <v>2025.6466485999999</v>
      </c>
      <c r="AA54" s="8">
        <v>2044.59101358</v>
      </c>
      <c r="AB54" s="8">
        <v>2071.6124626800001</v>
      </c>
      <c r="AC54" s="8">
        <v>2087.1819364900002</v>
      </c>
    </row>
    <row r="55" spans="1:29" x14ac:dyDescent="0.85">
      <c r="A55" t="s">
        <v>186</v>
      </c>
      <c r="B55" s="8">
        <v>28.41192835</v>
      </c>
      <c r="C55" s="8">
        <v>30.519794860000001</v>
      </c>
      <c r="D55" s="8">
        <v>32.638812680000001</v>
      </c>
      <c r="E55" s="8">
        <v>34.791684789999998</v>
      </c>
      <c r="F55" s="8">
        <v>36.29971673</v>
      </c>
      <c r="G55" s="8">
        <v>37.923774219999999</v>
      </c>
      <c r="H55" s="8">
        <v>34.23233029</v>
      </c>
      <c r="I55" s="8">
        <v>30.384577669999999</v>
      </c>
      <c r="J55" s="8">
        <v>26.421281189999998</v>
      </c>
      <c r="K55" s="8">
        <v>22.806284519999998</v>
      </c>
      <c r="L55" s="8">
        <v>19.370253340000001</v>
      </c>
      <c r="M55" s="8">
        <v>15.94871551</v>
      </c>
      <c r="N55" s="8">
        <v>12.899956339999999</v>
      </c>
      <c r="O55" s="8">
        <v>10.22193918</v>
      </c>
      <c r="P55" s="8">
        <v>8.7984063700000004</v>
      </c>
      <c r="Q55" s="8">
        <v>7.5446453299999998</v>
      </c>
      <c r="R55" s="8">
        <v>6.4646714599999999</v>
      </c>
      <c r="S55" s="8">
        <v>5.5354693700000004</v>
      </c>
      <c r="T55" s="8">
        <v>4.7359572200000004</v>
      </c>
      <c r="U55" s="8">
        <v>4.1876906900000002</v>
      </c>
      <c r="V55" s="8">
        <v>4.5907517599999998</v>
      </c>
      <c r="W55" s="8">
        <v>4.7211610000000004</v>
      </c>
      <c r="X55" s="8">
        <v>4.5170103099999999</v>
      </c>
      <c r="Y55" s="8">
        <v>4.3690338100000004</v>
      </c>
      <c r="Z55" s="8">
        <v>4.2200971799999998</v>
      </c>
      <c r="AA55" s="8">
        <v>4.0891820299999999</v>
      </c>
      <c r="AB55" s="8">
        <v>3.9838701200000002</v>
      </c>
      <c r="AC55" s="8">
        <v>3.86515173</v>
      </c>
    </row>
    <row r="56" spans="1:29" x14ac:dyDescent="0.85">
      <c r="A56" t="s">
        <v>187</v>
      </c>
      <c r="B56" s="8">
        <v>1423.6100449600001</v>
      </c>
      <c r="C56" s="8">
        <v>1496.90869146</v>
      </c>
      <c r="D56" s="8">
        <v>1570.5509637099999</v>
      </c>
      <c r="E56" s="8">
        <v>1645.6453194600001</v>
      </c>
      <c r="F56" s="8">
        <v>1758.8172140500001</v>
      </c>
      <c r="G56" s="8">
        <v>1882.75618201</v>
      </c>
      <c r="H56" s="8">
        <v>1819.97035633</v>
      </c>
      <c r="I56" s="8">
        <v>1759.50966943</v>
      </c>
      <c r="J56" s="8">
        <v>1706.1295197699999</v>
      </c>
      <c r="K56" s="8">
        <v>1651.62539694</v>
      </c>
      <c r="L56" s="8">
        <v>1595.83054335</v>
      </c>
      <c r="M56" s="8">
        <v>1536.74769608</v>
      </c>
      <c r="N56" s="8">
        <v>1496.8243693899999</v>
      </c>
      <c r="O56" s="8">
        <v>1453.6355900200001</v>
      </c>
      <c r="P56" s="8">
        <v>1425.9466560799999</v>
      </c>
      <c r="Q56" s="8">
        <v>1398.7851222700001</v>
      </c>
      <c r="R56" s="8">
        <v>1372.1409517</v>
      </c>
      <c r="S56" s="8">
        <v>1346.9513528499999</v>
      </c>
      <c r="T56" s="8">
        <v>1322.7771084000001</v>
      </c>
      <c r="U56" s="8">
        <v>1311.2855551</v>
      </c>
      <c r="V56" s="8">
        <v>1352.99685243</v>
      </c>
      <c r="W56" s="8">
        <v>1385.83849108</v>
      </c>
      <c r="X56" s="8">
        <v>1408.9180295599999</v>
      </c>
      <c r="Y56" s="8">
        <v>1433.7284029299999</v>
      </c>
      <c r="Z56" s="8">
        <v>1458.63343532</v>
      </c>
      <c r="AA56" s="8">
        <v>1484.22117974</v>
      </c>
      <c r="AB56" s="8">
        <v>1510.6433047999999</v>
      </c>
      <c r="AC56" s="8">
        <v>1540.2841009599999</v>
      </c>
    </row>
    <row r="57" spans="1:29" x14ac:dyDescent="0.85">
      <c r="A57" t="s">
        <v>188</v>
      </c>
      <c r="B57" s="8">
        <v>1414.7980649000001</v>
      </c>
      <c r="C57" s="8">
        <v>1519.7612136299999</v>
      </c>
      <c r="D57" s="8">
        <v>1625.27965169</v>
      </c>
      <c r="E57" s="8">
        <v>1732.4838959000001</v>
      </c>
      <c r="F57" s="8">
        <v>1807.5777312099999</v>
      </c>
      <c r="G57" s="8">
        <v>1888.44916502</v>
      </c>
      <c r="H57" s="8">
        <v>1704.63032458</v>
      </c>
      <c r="I57" s="8">
        <v>1513.0279491199999</v>
      </c>
      <c r="J57" s="8">
        <v>1315.67196154</v>
      </c>
      <c r="K57" s="8">
        <v>1135.6598824600001</v>
      </c>
      <c r="L57" s="8">
        <v>964.55955396000002</v>
      </c>
      <c r="M57" s="8">
        <v>794.18093569999996</v>
      </c>
      <c r="N57" s="8">
        <v>642.36517306999997</v>
      </c>
      <c r="O57" s="8">
        <v>509.01084907000001</v>
      </c>
      <c r="P57" s="8">
        <v>438.12472543000001</v>
      </c>
      <c r="Q57" s="8">
        <v>375.69254310999997</v>
      </c>
      <c r="R57" s="8">
        <v>321.91425219000001</v>
      </c>
      <c r="S57" s="8">
        <v>275.64378092999999</v>
      </c>
      <c r="T57" s="8">
        <v>235.83133906</v>
      </c>
      <c r="U57" s="8">
        <v>208.52990377</v>
      </c>
      <c r="V57" s="8">
        <v>228.60069971999999</v>
      </c>
      <c r="W57" s="8">
        <v>235.09454769000001</v>
      </c>
      <c r="X57" s="8">
        <v>224.92867672</v>
      </c>
      <c r="Y57" s="8">
        <v>217.56005087</v>
      </c>
      <c r="Z57" s="8">
        <v>210.14361491</v>
      </c>
      <c r="AA57" s="8">
        <v>203.62457441000001</v>
      </c>
      <c r="AB57" s="8">
        <v>198.38047130999999</v>
      </c>
      <c r="AC57" s="8">
        <v>192.46878024</v>
      </c>
    </row>
    <row r="58" spans="1:29" x14ac:dyDescent="0.85">
      <c r="A58" t="s">
        <v>189</v>
      </c>
      <c r="B58" s="8">
        <v>1</v>
      </c>
      <c r="C58" s="8">
        <v>1.04</v>
      </c>
      <c r="D58" s="8">
        <v>1.0952998599999999</v>
      </c>
      <c r="E58" s="8">
        <v>1.09291275</v>
      </c>
      <c r="F58" s="8">
        <v>1.0914729400000001</v>
      </c>
      <c r="G58" s="8">
        <v>1.11330263</v>
      </c>
      <c r="H58" s="8">
        <v>1.11507003</v>
      </c>
      <c r="I58" s="8">
        <v>1.0069293500000001</v>
      </c>
      <c r="J58" s="8">
        <v>1.00706177</v>
      </c>
      <c r="K58" s="8">
        <v>1.0100644999999999</v>
      </c>
      <c r="L58" s="8">
        <v>1.0083895199999999</v>
      </c>
      <c r="M58" s="8">
        <v>1.00647731</v>
      </c>
      <c r="N58" s="8">
        <v>1.0031007700000001</v>
      </c>
      <c r="O58" s="8">
        <v>1.0146051</v>
      </c>
      <c r="P58" s="8">
        <v>1.01161083</v>
      </c>
      <c r="Q58" s="8">
        <v>1.0218249399999999</v>
      </c>
      <c r="R58" s="8">
        <v>1.02182493</v>
      </c>
      <c r="S58" s="8">
        <v>1.02182492</v>
      </c>
      <c r="T58" s="8">
        <v>1.02254388</v>
      </c>
      <c r="U58" s="8">
        <v>1.02297148</v>
      </c>
      <c r="V58" s="8">
        <v>1.03261724</v>
      </c>
      <c r="W58" s="8">
        <v>1.07480153</v>
      </c>
      <c r="X58" s="8">
        <v>1.0669513100000001</v>
      </c>
      <c r="Y58" s="8">
        <v>1.05901442</v>
      </c>
      <c r="Z58" s="8">
        <v>1.0600099199999999</v>
      </c>
      <c r="AA58" s="8">
        <v>1.0597612700000001</v>
      </c>
      <c r="AB58" s="8">
        <v>1.05993987</v>
      </c>
      <c r="AC58" s="8">
        <v>1.0602104299999999</v>
      </c>
    </row>
    <row r="59" spans="1:29" x14ac:dyDescent="0.85">
      <c r="A59" t="s">
        <v>190</v>
      </c>
      <c r="B59" s="8">
        <v>1</v>
      </c>
      <c r="C59" s="8">
        <v>1.0952998599999999</v>
      </c>
      <c r="D59" s="8">
        <v>1.09291275</v>
      </c>
      <c r="E59" s="8">
        <v>1.0914729400000001</v>
      </c>
      <c r="F59" s="8">
        <v>1.11330263</v>
      </c>
      <c r="G59" s="8">
        <v>1.11507003</v>
      </c>
      <c r="H59" s="8">
        <v>1.0069293500000001</v>
      </c>
      <c r="I59" s="8">
        <v>1.00706177</v>
      </c>
      <c r="J59" s="8">
        <v>1.0100644999999999</v>
      </c>
      <c r="K59" s="8">
        <v>1.0083895199999999</v>
      </c>
      <c r="L59" s="8">
        <v>1.00647731</v>
      </c>
      <c r="M59" s="8">
        <v>1.0031007700000001</v>
      </c>
      <c r="N59" s="8">
        <v>1.0146051</v>
      </c>
      <c r="O59" s="8">
        <v>1.01161083</v>
      </c>
      <c r="P59" s="8">
        <v>1.0218249399999999</v>
      </c>
      <c r="Q59" s="8">
        <v>1.02182493</v>
      </c>
      <c r="R59" s="8">
        <v>1.02182492</v>
      </c>
      <c r="S59" s="8">
        <v>1.02254388</v>
      </c>
      <c r="T59" s="8">
        <v>1.02297148</v>
      </c>
      <c r="U59" s="8">
        <v>1.03261724</v>
      </c>
      <c r="V59" s="8">
        <v>1.07480153</v>
      </c>
      <c r="W59" s="8">
        <v>1.0669513100000001</v>
      </c>
      <c r="X59" s="8">
        <v>1.05901442</v>
      </c>
      <c r="Y59" s="8">
        <v>1.0600099199999999</v>
      </c>
      <c r="Z59" s="8">
        <v>1.0597612700000001</v>
      </c>
      <c r="AA59" s="8">
        <v>1.05993987</v>
      </c>
      <c r="AB59" s="8">
        <v>1.0602104299999999</v>
      </c>
      <c r="AC59" s="8">
        <v>1.06210553</v>
      </c>
    </row>
    <row r="60" spans="1:29" x14ac:dyDescent="0.85">
      <c r="A60" t="s">
        <v>191</v>
      </c>
      <c r="B60" s="8">
        <v>1</v>
      </c>
      <c r="C60" s="8">
        <v>1.1256601100000001</v>
      </c>
      <c r="D60" s="8">
        <v>1.1212701700000001</v>
      </c>
      <c r="E60" s="8">
        <v>1.1172949299999999</v>
      </c>
      <c r="F60" s="8">
        <v>1.11368131</v>
      </c>
      <c r="G60" s="8">
        <v>1.11507003</v>
      </c>
      <c r="H60" s="8">
        <v>1.1159778899999999</v>
      </c>
      <c r="I60" s="8">
        <v>1.1236460800000001</v>
      </c>
      <c r="J60" s="8">
        <v>1.13200927</v>
      </c>
      <c r="K60" s="8">
        <v>1.1408754800000001</v>
      </c>
      <c r="L60" s="8">
        <v>1.1481710000000001</v>
      </c>
      <c r="M60" s="8">
        <v>1.15616505</v>
      </c>
      <c r="N60" s="8">
        <v>1.1679053399999999</v>
      </c>
      <c r="O60" s="8">
        <v>1.1795038</v>
      </c>
      <c r="P60" s="8">
        <v>1.19243787</v>
      </c>
      <c r="Q60" s="8">
        <v>1.19651106</v>
      </c>
      <c r="R60" s="8">
        <v>1.2008307899999999</v>
      </c>
      <c r="S60" s="8">
        <v>1.20536591</v>
      </c>
      <c r="T60" s="8">
        <v>1.21003072</v>
      </c>
      <c r="U60" s="8">
        <v>1.2148533699999999</v>
      </c>
      <c r="V60" s="8">
        <v>1.2186427099999999</v>
      </c>
      <c r="W60" s="8">
        <v>1.2131335999999999</v>
      </c>
      <c r="X60" s="8">
        <v>1.21064119</v>
      </c>
      <c r="Y60" s="8">
        <v>1.2104287499999999</v>
      </c>
      <c r="Z60" s="8">
        <v>1.2100135700000001</v>
      </c>
      <c r="AA60" s="8">
        <v>1.2097319099999999</v>
      </c>
      <c r="AB60" s="8">
        <v>1.20946668</v>
      </c>
      <c r="AC60" s="8">
        <v>1.2091956800000001</v>
      </c>
    </row>
    <row r="61" spans="1:29" x14ac:dyDescent="0.85">
      <c r="A61" t="s">
        <v>192</v>
      </c>
      <c r="B61" s="8">
        <v>4190</v>
      </c>
      <c r="C61" s="8">
        <v>4085.25</v>
      </c>
      <c r="D61" s="8">
        <v>3983.1187500000001</v>
      </c>
      <c r="E61" s="8">
        <v>3883.5407812499998</v>
      </c>
      <c r="F61" s="8">
        <v>3786.45226172</v>
      </c>
      <c r="G61" s="8">
        <v>3691.7909551799999</v>
      </c>
      <c r="H61" s="8">
        <v>3599.4961813</v>
      </c>
      <c r="I61" s="8">
        <v>3509.5087767599998</v>
      </c>
      <c r="J61" s="8">
        <v>3421.77105734</v>
      </c>
      <c r="K61" s="8">
        <v>3336.2267809099999</v>
      </c>
      <c r="L61" s="8">
        <v>3252.8211113900002</v>
      </c>
      <c r="M61" s="8">
        <v>3171.5005836</v>
      </c>
      <c r="N61" s="8">
        <v>3092.2130690099998</v>
      </c>
      <c r="O61" s="8">
        <v>3014.90774229</v>
      </c>
      <c r="P61" s="8">
        <v>2939.5350487300002</v>
      </c>
      <c r="Q61" s="8">
        <v>2866.04667251</v>
      </c>
      <c r="R61" s="8">
        <v>2794.3955056999998</v>
      </c>
      <c r="S61" s="8">
        <v>2724.5356180600002</v>
      </c>
      <c r="T61" s="8">
        <v>2656.4222276099999</v>
      </c>
      <c r="U61" s="8">
        <v>2590.01167192</v>
      </c>
      <c r="V61" s="8">
        <v>2525.26138012</v>
      </c>
      <c r="W61" s="8">
        <v>2462.1298456200002</v>
      </c>
      <c r="X61" s="8">
        <v>2400.57659947</v>
      </c>
      <c r="Y61" s="8">
        <v>2340.5621844900002</v>
      </c>
      <c r="Z61" s="8">
        <v>2282.04812988</v>
      </c>
      <c r="AA61" s="8">
        <v>2224.99692663</v>
      </c>
      <c r="AB61" s="8">
        <v>2169.3720034600001</v>
      </c>
      <c r="AC61" s="8">
        <v>2115.1377033799999</v>
      </c>
    </row>
    <row r="62" spans="1:29" x14ac:dyDescent="0.85">
      <c r="A62" t="s">
        <v>193</v>
      </c>
      <c r="B62" s="8">
        <v>20069844.5</v>
      </c>
      <c r="C62" s="8">
        <v>19559868.366628699</v>
      </c>
      <c r="D62" s="8">
        <v>19070871.4867469</v>
      </c>
      <c r="E62" s="8">
        <v>18529713.320785899</v>
      </c>
      <c r="F62" s="8">
        <v>9622027.6313731894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20069844.5</v>
      </c>
      <c r="C63" s="8">
        <v>19559868.366628699</v>
      </c>
      <c r="D63" s="8">
        <v>19070871.4867469</v>
      </c>
      <c r="E63" s="8">
        <v>18529713.320785899</v>
      </c>
      <c r="F63" s="8">
        <v>9622027.6313731894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1501.1714205400001</v>
      </c>
      <c r="C64" s="8">
        <v>1463.4505401399999</v>
      </c>
      <c r="D64" s="8">
        <v>1426.8642726600001</v>
      </c>
      <c r="E64" s="8">
        <v>1389.6937509500001</v>
      </c>
      <c r="F64" s="8">
        <v>1158.3647774799999</v>
      </c>
      <c r="G64" s="8">
        <v>911.00487485999997</v>
      </c>
      <c r="H64" s="8">
        <v>888.22975298999995</v>
      </c>
      <c r="I64" s="8">
        <v>866.02400917</v>
      </c>
      <c r="J64" s="8">
        <v>844.37340893999999</v>
      </c>
      <c r="K64" s="8">
        <v>823.26407371000005</v>
      </c>
      <c r="L64" s="8">
        <v>802.68247186999997</v>
      </c>
      <c r="M64" s="8">
        <v>782.61541007000005</v>
      </c>
      <c r="N64" s="8">
        <v>763.05002481999998</v>
      </c>
      <c r="O64" s="8">
        <v>743.97377419999998</v>
      </c>
      <c r="P64" s="8">
        <v>725.37442984999996</v>
      </c>
      <c r="Q64" s="8">
        <v>707.24006910000003</v>
      </c>
      <c r="R64" s="8">
        <v>689.55906736999998</v>
      </c>
      <c r="S64" s="8">
        <v>672.32009069000003</v>
      </c>
      <c r="T64" s="8">
        <v>655.51208842000005</v>
      </c>
      <c r="U64" s="8">
        <v>639.12428621000004</v>
      </c>
      <c r="V64" s="8">
        <v>623.14617906000001</v>
      </c>
      <c r="W64" s="8">
        <v>607.56752458000005</v>
      </c>
      <c r="X64" s="8">
        <v>592.37833646000001</v>
      </c>
      <c r="Y64" s="8">
        <v>577.56887804999997</v>
      </c>
      <c r="Z64" s="8">
        <v>563.12965610000003</v>
      </c>
      <c r="AA64" s="8">
        <v>549.05141470000001</v>
      </c>
      <c r="AB64" s="8">
        <v>535.32512932999998</v>
      </c>
      <c r="AC64" s="8">
        <v>521.94200109999997</v>
      </c>
    </row>
    <row r="65" spans="1:29" x14ac:dyDescent="0.85">
      <c r="A65" t="s">
        <v>196</v>
      </c>
      <c r="B65" s="8">
        <v>0</v>
      </c>
      <c r="C65" s="8">
        <v>320.78184120999998</v>
      </c>
      <c r="D65" s="8">
        <v>625.52458477000005</v>
      </c>
      <c r="E65" s="8">
        <v>911.66189538000003</v>
      </c>
      <c r="F65" s="8">
        <v>631.20501262000005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16.457272490000001</v>
      </c>
      <c r="C66" s="8">
        <v>16.039092060000002</v>
      </c>
      <c r="D66" s="8">
        <v>15.63811462</v>
      </c>
      <c r="E66" s="8">
        <v>15.19436492</v>
      </c>
      <c r="F66" s="8">
        <v>7.8900626599999999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1033.94544058</v>
      </c>
      <c r="C67" s="8">
        <v>1008.09680456</v>
      </c>
      <c r="D67" s="8">
        <v>982.89438444999996</v>
      </c>
      <c r="E67" s="8">
        <v>958.32202484000004</v>
      </c>
      <c r="F67" s="8">
        <v>934.36397422000005</v>
      </c>
      <c r="G67" s="8">
        <v>911.00487485999997</v>
      </c>
      <c r="H67" s="8">
        <v>888.22975298999995</v>
      </c>
      <c r="I67" s="8">
        <v>866.02400917</v>
      </c>
      <c r="J67" s="8">
        <v>844.37340893999999</v>
      </c>
      <c r="K67" s="8">
        <v>823.26407371000005</v>
      </c>
      <c r="L67" s="8">
        <v>802.68247186999997</v>
      </c>
      <c r="M67" s="8">
        <v>782.61541007000005</v>
      </c>
      <c r="N67" s="8">
        <v>763.05002481999998</v>
      </c>
      <c r="O67" s="8">
        <v>743.97377419999998</v>
      </c>
      <c r="P67" s="8">
        <v>725.37442984999996</v>
      </c>
      <c r="Q67" s="8">
        <v>707.24006910000003</v>
      </c>
      <c r="R67" s="8">
        <v>689.55906736999998</v>
      </c>
      <c r="S67" s="8">
        <v>672.32009069000003</v>
      </c>
      <c r="T67" s="8">
        <v>655.51208842000005</v>
      </c>
      <c r="U67" s="8">
        <v>639.12428621000004</v>
      </c>
      <c r="V67" s="8">
        <v>623.14617906000001</v>
      </c>
      <c r="W67" s="8">
        <v>607.56752458000005</v>
      </c>
      <c r="X67" s="8">
        <v>592.37833646000001</v>
      </c>
      <c r="Y67" s="8">
        <v>577.56887804999997</v>
      </c>
      <c r="Z67" s="8">
        <v>563.12965610000003</v>
      </c>
      <c r="AA67" s="8">
        <v>549.05141470000001</v>
      </c>
      <c r="AB67" s="8">
        <v>535.32512932999998</v>
      </c>
      <c r="AC67" s="8">
        <v>521.94200109999997</v>
      </c>
    </row>
    <row r="68" spans="1:29" x14ac:dyDescent="0.85">
      <c r="A68" t="s">
        <v>199</v>
      </c>
      <c r="B68" s="8">
        <v>467.22597996000002</v>
      </c>
      <c r="C68" s="8">
        <v>455.35373557999998</v>
      </c>
      <c r="D68" s="8">
        <v>443.96988821000002</v>
      </c>
      <c r="E68" s="8">
        <v>431.37172611</v>
      </c>
      <c r="F68" s="8">
        <v>224.00080326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0.99957942</v>
      </c>
      <c r="E69" s="8">
        <v>0.99999998999999995</v>
      </c>
      <c r="F69" s="8">
        <v>0.99653727000000003</v>
      </c>
      <c r="G69" s="8">
        <v>0.53259034000000005</v>
      </c>
      <c r="H69" s="8">
        <v>0</v>
      </c>
      <c r="I69" s="8">
        <v>9.7940100000000006E-3</v>
      </c>
      <c r="J69" s="8">
        <v>3.9642289999999997E-2</v>
      </c>
      <c r="K69" s="8">
        <v>0.76337054999999998</v>
      </c>
      <c r="L69" s="8">
        <v>5.8149999999999997E-5</v>
      </c>
      <c r="M69" s="8">
        <v>9.0550000000000005E-5</v>
      </c>
      <c r="N69" s="8">
        <v>9.3430000000000005E-5</v>
      </c>
      <c r="O69" s="8">
        <v>9.1379999999999996E-5</v>
      </c>
      <c r="P69" s="8">
        <v>0</v>
      </c>
      <c r="Q69" s="8">
        <v>0.80700612999999999</v>
      </c>
      <c r="R69" s="8">
        <v>0.80431202000000002</v>
      </c>
      <c r="S69" s="8">
        <v>0.87052401000000001</v>
      </c>
      <c r="T69" s="8">
        <v>0.87792462999999998</v>
      </c>
      <c r="U69" s="8">
        <v>0.99202100999999998</v>
      </c>
      <c r="V69" s="8">
        <v>0.78060183000000005</v>
      </c>
      <c r="W69" s="8">
        <v>0.44702705999999998</v>
      </c>
      <c r="X69" s="8">
        <v>0.49520936999999998</v>
      </c>
      <c r="Y69" s="8">
        <v>0.99947006000000005</v>
      </c>
      <c r="Z69" s="8">
        <v>0.99479914000000003</v>
      </c>
      <c r="AA69" s="8">
        <v>0.99639023999999998</v>
      </c>
      <c r="AB69" s="8">
        <v>0.99519168000000002</v>
      </c>
      <c r="AC69" s="8">
        <v>0.99273544000000002</v>
      </c>
    </row>
    <row r="70" spans="1:29" x14ac:dyDescent="0.85">
      <c r="A70" t="s">
        <v>201</v>
      </c>
      <c r="B70" s="8">
        <v>1</v>
      </c>
      <c r="C70" s="8">
        <v>0.99957942</v>
      </c>
      <c r="D70" s="8">
        <v>0.99999998999999995</v>
      </c>
      <c r="E70" s="8">
        <v>0.99653727000000003</v>
      </c>
      <c r="F70" s="8">
        <v>0.53259034000000005</v>
      </c>
      <c r="G70" s="8">
        <v>0</v>
      </c>
      <c r="H70" s="8">
        <v>9.7940100000000006E-3</v>
      </c>
      <c r="I70" s="8">
        <v>3.9642289999999997E-2</v>
      </c>
      <c r="J70" s="8">
        <v>0.76337054999999998</v>
      </c>
      <c r="K70" s="8">
        <v>5.8149999999999997E-5</v>
      </c>
      <c r="L70" s="8">
        <v>9.0550000000000005E-5</v>
      </c>
      <c r="M70" s="8">
        <v>9.3430000000000005E-5</v>
      </c>
      <c r="N70" s="8">
        <v>9.1379999999999996E-5</v>
      </c>
      <c r="O70" s="8">
        <v>0</v>
      </c>
      <c r="P70" s="8">
        <v>0.80700612999999999</v>
      </c>
      <c r="Q70" s="8">
        <v>0.80431202000000002</v>
      </c>
      <c r="R70" s="8">
        <v>0.87052401000000001</v>
      </c>
      <c r="S70" s="8">
        <v>0.87792462999999998</v>
      </c>
      <c r="T70" s="8">
        <v>0.99202100999999998</v>
      </c>
      <c r="U70" s="8">
        <v>0.78060183000000005</v>
      </c>
      <c r="V70" s="8">
        <v>0.44702705999999998</v>
      </c>
      <c r="W70" s="8">
        <v>0.49520936999999998</v>
      </c>
      <c r="X70" s="8">
        <v>0.99947006000000005</v>
      </c>
      <c r="Y70" s="8">
        <v>0.99479914000000003</v>
      </c>
      <c r="Z70" s="8">
        <v>0.99639023999999998</v>
      </c>
      <c r="AA70" s="8">
        <v>0.99519168000000002</v>
      </c>
      <c r="AB70" s="8">
        <v>0.99273544000000002</v>
      </c>
      <c r="AC70" s="8">
        <v>0.99697564999999999</v>
      </c>
    </row>
    <row r="71" spans="1:29" x14ac:dyDescent="0.85">
      <c r="A71" t="s">
        <v>202</v>
      </c>
      <c r="B71" s="8">
        <v>1</v>
      </c>
      <c r="C71" s="8">
        <v>1.9071908500000001</v>
      </c>
      <c r="D71" s="8">
        <v>1.93703764</v>
      </c>
      <c r="E71" s="8">
        <v>1.96808648</v>
      </c>
      <c r="F71" s="8">
        <v>2.0010480500000001</v>
      </c>
      <c r="G71" s="8">
        <v>2.1113417999999999</v>
      </c>
      <c r="H71" s="8">
        <v>2.2296427699999999</v>
      </c>
      <c r="I71" s="8">
        <v>2.3151033999999999</v>
      </c>
      <c r="J71" s="8">
        <v>2.4078044099999998</v>
      </c>
      <c r="K71" s="8">
        <v>2.5094578200000002</v>
      </c>
      <c r="L71" s="8">
        <v>2.5881035099999998</v>
      </c>
      <c r="M71" s="8">
        <v>2.6709016299999999</v>
      </c>
      <c r="N71" s="8">
        <v>2.7911305300000002</v>
      </c>
      <c r="O71" s="8">
        <v>2.92810126</v>
      </c>
      <c r="P71" s="8">
        <v>3.0746749000000002</v>
      </c>
      <c r="Q71" s="8">
        <v>3.1360479899999998</v>
      </c>
      <c r="R71" s="8">
        <v>3.2010674200000002</v>
      </c>
      <c r="S71" s="8">
        <v>3.26941543</v>
      </c>
      <c r="T71" s="8">
        <v>3.3417325199999999</v>
      </c>
      <c r="U71" s="8">
        <v>3.4178744999999999</v>
      </c>
      <c r="V71" s="8">
        <v>3.5054048299999998</v>
      </c>
      <c r="W71" s="8">
        <v>3.5772737999999999</v>
      </c>
      <c r="X71" s="8">
        <v>3.6718402399999999</v>
      </c>
      <c r="Y71" s="8">
        <v>3.7820505899999999</v>
      </c>
      <c r="Z71" s="8">
        <v>3.8964727699999999</v>
      </c>
      <c r="AA71" s="8">
        <v>4.0170273200000004</v>
      </c>
      <c r="AB71" s="8">
        <v>4.1434244500000004</v>
      </c>
      <c r="AC71" s="8">
        <v>4.2758775599999996</v>
      </c>
    </row>
    <row r="72" spans="1:29" x14ac:dyDescent="0.85">
      <c r="A72" t="s">
        <v>203</v>
      </c>
      <c r="B72" s="8">
        <v>0</v>
      </c>
      <c r="C72" s="8">
        <v>1.8930500000000001E-3</v>
      </c>
      <c r="D72" s="8">
        <v>6.0563500000000003E-3</v>
      </c>
      <c r="E72" s="8">
        <v>0.19400411000000001</v>
      </c>
      <c r="F72" s="8">
        <v>6.8283277099999999</v>
      </c>
      <c r="G72" s="8">
        <v>6.1476998199999997</v>
      </c>
      <c r="H72" s="8">
        <v>5.5329298400000004</v>
      </c>
      <c r="I72" s="8">
        <v>4.9796368500000003</v>
      </c>
      <c r="J72" s="8">
        <v>4.6261122500000003</v>
      </c>
      <c r="K72" s="8">
        <v>4.1684379399999996</v>
      </c>
      <c r="L72" s="8">
        <v>3.7573378499999999</v>
      </c>
      <c r="M72" s="8">
        <v>3.38302864</v>
      </c>
      <c r="N72" s="8">
        <v>3.0447308899999999</v>
      </c>
      <c r="O72" s="8">
        <v>2.74026536</v>
      </c>
      <c r="P72" s="8">
        <v>5.8864619899999999</v>
      </c>
      <c r="Q72" s="8">
        <v>8.73340198</v>
      </c>
      <c r="R72" s="8">
        <v>11.31406061</v>
      </c>
      <c r="S72" s="8">
        <v>10.26728853</v>
      </c>
      <c r="T72" s="8">
        <v>9.5550385000000002</v>
      </c>
      <c r="U72" s="8">
        <v>8.5995346500000007</v>
      </c>
      <c r="V72" s="8">
        <v>7.7396805100000003</v>
      </c>
      <c r="W72" s="8">
        <v>6.9657126600000003</v>
      </c>
      <c r="X72" s="8">
        <v>6.2691679100000002</v>
      </c>
      <c r="Y72" s="8">
        <v>5.6422511200000001</v>
      </c>
      <c r="Z72" s="8">
        <v>5.0780337299999996</v>
      </c>
      <c r="AA72" s="8">
        <v>4.5702380800000002</v>
      </c>
      <c r="AB72" s="8">
        <v>4.1132142700000003</v>
      </c>
      <c r="AC72" s="8">
        <v>3.7019096</v>
      </c>
    </row>
    <row r="73" spans="1:29" x14ac:dyDescent="0.85">
      <c r="A73" t="s">
        <v>204</v>
      </c>
      <c r="B73" s="8">
        <v>0</v>
      </c>
      <c r="C73" s="8">
        <v>4.6768999999999999E-4</v>
      </c>
      <c r="D73" s="8">
        <v>1.0915899999999999E-3</v>
      </c>
      <c r="E73" s="8">
        <v>4.697374E-2</v>
      </c>
      <c r="F73" s="8">
        <v>1.6635971599999999</v>
      </c>
      <c r="G73" s="8">
        <v>5.4808000000000005E-4</v>
      </c>
      <c r="H73" s="8">
        <v>3.7100000000000001E-6</v>
      </c>
      <c r="I73" s="8">
        <v>1.3832324600000001</v>
      </c>
      <c r="J73" s="8">
        <v>1.1565280600000001</v>
      </c>
      <c r="K73" s="8">
        <v>1.0421076</v>
      </c>
      <c r="L73" s="8">
        <v>0.93933073</v>
      </c>
      <c r="M73" s="8">
        <v>0.84575666000000005</v>
      </c>
      <c r="N73" s="8">
        <v>0.76118246000000001</v>
      </c>
      <c r="O73" s="8">
        <v>0.68506321999999997</v>
      </c>
      <c r="P73" s="8">
        <v>1.4716152</v>
      </c>
      <c r="Q73" s="8">
        <v>1.54424253</v>
      </c>
      <c r="R73" s="8">
        <v>2.8285151499999999</v>
      </c>
      <c r="S73" s="8">
        <v>2.5668221299999998</v>
      </c>
      <c r="T73" s="8">
        <v>2.38875949</v>
      </c>
      <c r="U73" s="8">
        <v>2.1498600099999998</v>
      </c>
      <c r="V73" s="8">
        <v>3.8698402500000002</v>
      </c>
      <c r="W73" s="8">
        <v>1.7414281700000001</v>
      </c>
      <c r="X73" s="8">
        <v>1.56729151</v>
      </c>
      <c r="Y73" s="8">
        <v>1.4105626899999999</v>
      </c>
      <c r="Z73" s="8">
        <v>1.2695083</v>
      </c>
      <c r="AA73" s="8">
        <v>1.1425591799999999</v>
      </c>
      <c r="AB73" s="8">
        <v>1.02830325</v>
      </c>
      <c r="AC73" s="8">
        <v>0.92547736999999997</v>
      </c>
    </row>
    <row r="74" spans="1:29" x14ac:dyDescent="0.85">
      <c r="A74" t="s">
        <v>205</v>
      </c>
      <c r="B74" s="8">
        <v>0</v>
      </c>
      <c r="C74" s="8">
        <v>4.6768999999999999E-4</v>
      </c>
      <c r="D74" s="8">
        <v>1.0915899999999999E-3</v>
      </c>
      <c r="E74" s="8">
        <v>4.697374E-2</v>
      </c>
      <c r="F74" s="8">
        <v>1.6635971599999999</v>
      </c>
      <c r="G74" s="8">
        <v>5.4808000000000005E-4</v>
      </c>
      <c r="H74" s="8">
        <v>3.7100000000000001E-6</v>
      </c>
      <c r="I74" s="8">
        <v>1.3832324600000001</v>
      </c>
      <c r="J74" s="8">
        <v>1.1565280600000001</v>
      </c>
      <c r="K74" s="8">
        <v>1.0421076</v>
      </c>
      <c r="L74" s="8">
        <v>0.93933073</v>
      </c>
      <c r="M74" s="8">
        <v>0.84575666000000005</v>
      </c>
      <c r="N74" s="8">
        <v>0.76118246000000001</v>
      </c>
      <c r="O74" s="8">
        <v>0.68506321999999997</v>
      </c>
      <c r="P74" s="8">
        <v>1.4716152</v>
      </c>
      <c r="Q74" s="8">
        <v>1.54424253</v>
      </c>
      <c r="R74" s="8">
        <v>2.8285151499999999</v>
      </c>
      <c r="S74" s="8">
        <v>2.5668221299999998</v>
      </c>
      <c r="T74" s="8">
        <v>2.38875949</v>
      </c>
      <c r="U74" s="8">
        <v>2.1498600099999998</v>
      </c>
      <c r="V74" s="8">
        <v>3.8698402500000002</v>
      </c>
      <c r="W74" s="8">
        <v>1.7414281700000001</v>
      </c>
      <c r="X74" s="8">
        <v>1.56729151</v>
      </c>
      <c r="Y74" s="8">
        <v>1.4105626899999999</v>
      </c>
      <c r="Z74" s="8">
        <v>1.2695083</v>
      </c>
      <c r="AA74" s="8">
        <v>1.1425591799999999</v>
      </c>
      <c r="AB74" s="8">
        <v>1.02830325</v>
      </c>
      <c r="AC74" s="8">
        <v>0.92547736999999997</v>
      </c>
    </row>
    <row r="75" spans="1:29" x14ac:dyDescent="0.85">
      <c r="A75" t="s">
        <v>206</v>
      </c>
      <c r="B75" s="8">
        <v>0</v>
      </c>
      <c r="C75" s="8">
        <v>3.6587000000000002E-4</v>
      </c>
      <c r="D75" s="8">
        <v>1.17051E-3</v>
      </c>
      <c r="E75" s="8">
        <v>3.7495199999999999E-2</v>
      </c>
      <c r="F75" s="8">
        <v>1.3197118000000001</v>
      </c>
      <c r="G75" s="8">
        <v>1.18814614</v>
      </c>
      <c r="H75" s="8">
        <v>1.06933152</v>
      </c>
      <c r="I75" s="8">
        <v>0.96241741000000003</v>
      </c>
      <c r="J75" s="8">
        <v>0.89408973000000003</v>
      </c>
      <c r="K75" s="8">
        <v>0.80563492000000003</v>
      </c>
      <c r="L75" s="8">
        <v>0.72618150999999997</v>
      </c>
      <c r="M75" s="8">
        <v>0.65383868999999994</v>
      </c>
      <c r="N75" s="8">
        <v>0.58845581000000002</v>
      </c>
      <c r="O75" s="8">
        <v>0.52961168999999997</v>
      </c>
      <c r="P75" s="8">
        <v>1.1376778000000001</v>
      </c>
      <c r="Q75" s="8">
        <v>1.68789772</v>
      </c>
      <c r="R75" s="8">
        <v>2.1866709800000002</v>
      </c>
      <c r="S75" s="8">
        <v>1.98436111</v>
      </c>
      <c r="T75" s="8">
        <v>1.84670439</v>
      </c>
      <c r="U75" s="8">
        <v>1.6620339500000001</v>
      </c>
      <c r="V75" s="8">
        <v>1.4958764</v>
      </c>
      <c r="W75" s="8">
        <v>1.34626482</v>
      </c>
      <c r="X75" s="8">
        <v>1.2116434599999999</v>
      </c>
      <c r="Y75" s="8">
        <v>1.09047911</v>
      </c>
      <c r="Z75" s="8">
        <v>0.98143269</v>
      </c>
      <c r="AA75" s="8">
        <v>0.88329091999999998</v>
      </c>
      <c r="AB75" s="8">
        <v>0.79496182000000004</v>
      </c>
      <c r="AC75" s="8">
        <v>0.71546887999999997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3.1E-7</v>
      </c>
      <c r="F76" s="8">
        <v>1.4810000000000001E-5</v>
      </c>
      <c r="G76" s="8">
        <v>1E-8</v>
      </c>
      <c r="H76" s="8">
        <v>0</v>
      </c>
      <c r="I76" s="8">
        <v>2.154E-5</v>
      </c>
      <c r="J76" s="8">
        <v>2.0590000000000001E-5</v>
      </c>
      <c r="K76" s="8">
        <v>2.0869999999999998E-5</v>
      </c>
      <c r="L76" s="8">
        <v>2.09E-5</v>
      </c>
      <c r="M76" s="8">
        <v>2.0699999999999998E-5</v>
      </c>
      <c r="N76" s="8">
        <v>2.0319999999999999E-5</v>
      </c>
      <c r="O76" s="8">
        <v>1.982E-5</v>
      </c>
      <c r="P76" s="8">
        <v>4.5840000000000002E-5</v>
      </c>
      <c r="Q76" s="8">
        <v>5.1539999999999998E-5</v>
      </c>
      <c r="R76" s="8">
        <v>1.0069999999999999E-4</v>
      </c>
      <c r="S76" s="8">
        <v>9.7089999999999994E-5</v>
      </c>
      <c r="T76" s="8">
        <v>9.5669999999999997E-5</v>
      </c>
      <c r="U76" s="8">
        <v>9.0890000000000006E-5</v>
      </c>
      <c r="V76" s="8">
        <v>1.7221000000000001E-4</v>
      </c>
      <c r="W76" s="8">
        <v>8.1370000000000002E-5</v>
      </c>
      <c r="X76" s="8">
        <v>7.6719999999999997E-5</v>
      </c>
      <c r="Y76" s="8">
        <v>7.2189999999999998E-5</v>
      </c>
      <c r="Z76" s="8">
        <v>6.779E-5</v>
      </c>
      <c r="AA76" s="8">
        <v>6.355E-5</v>
      </c>
      <c r="AB76" s="8">
        <v>5.9490000000000001E-5</v>
      </c>
      <c r="AC76" s="8">
        <v>5.5600000000000003E-5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1E-8</v>
      </c>
      <c r="F77" s="8">
        <v>1.9000000000000001E-7</v>
      </c>
      <c r="G77" s="8">
        <v>0</v>
      </c>
      <c r="H77" s="8">
        <v>0</v>
      </c>
      <c r="I77" s="8">
        <v>1.4999999999999999E-7</v>
      </c>
      <c r="J77" s="8">
        <v>1.3E-7</v>
      </c>
      <c r="K77" s="8">
        <v>1.1999999999999999E-7</v>
      </c>
      <c r="L77" s="8">
        <v>9.9999999999999995E-8</v>
      </c>
      <c r="M77" s="8">
        <v>8.9999999999999999E-8</v>
      </c>
      <c r="N77" s="8">
        <v>8.0000000000000002E-8</v>
      </c>
      <c r="O77" s="8">
        <v>8.0000000000000002E-8</v>
      </c>
      <c r="P77" s="8">
        <v>1.6E-7</v>
      </c>
      <c r="Q77" s="8">
        <v>1.6999999999999999E-7</v>
      </c>
      <c r="R77" s="8">
        <v>3.1E-7</v>
      </c>
      <c r="S77" s="8">
        <v>2.8999999999999998E-7</v>
      </c>
      <c r="T77" s="8">
        <v>2.7000000000000001E-7</v>
      </c>
      <c r="U77" s="8">
        <v>2.3999999999999998E-7</v>
      </c>
      <c r="V77" s="8">
        <v>4.3000000000000001E-7</v>
      </c>
      <c r="W77" s="8">
        <v>1.9000000000000001E-7</v>
      </c>
      <c r="X77" s="8">
        <v>1.6999999999999999E-7</v>
      </c>
      <c r="Y77" s="8">
        <v>1.6E-7</v>
      </c>
      <c r="Z77" s="8">
        <v>1.4000000000000001E-7</v>
      </c>
      <c r="AA77" s="8">
        <v>1.3E-7</v>
      </c>
      <c r="AB77" s="8">
        <v>1.1000000000000001E-7</v>
      </c>
      <c r="AC77" s="8">
        <v>9.9999999999999995E-8</v>
      </c>
    </row>
    <row r="78" spans="1:29" x14ac:dyDescent="0.85">
      <c r="A78" t="s">
        <v>209</v>
      </c>
      <c r="B78" s="8">
        <v>0</v>
      </c>
      <c r="C78" s="8">
        <v>3.6586000000000002E-4</v>
      </c>
      <c r="D78" s="8">
        <v>1.1704899999999999E-3</v>
      </c>
      <c r="E78" s="8">
        <v>3.7494550000000001E-2</v>
      </c>
      <c r="F78" s="8">
        <v>1.3196888899999999</v>
      </c>
      <c r="G78" s="8">
        <v>1.18814613</v>
      </c>
      <c r="H78" s="8">
        <v>1.06933152</v>
      </c>
      <c r="I78" s="8">
        <v>0.96239836000000001</v>
      </c>
      <c r="J78" s="8">
        <v>0.89407380000000003</v>
      </c>
      <c r="K78" s="8">
        <v>0.80562056999999998</v>
      </c>
      <c r="L78" s="8">
        <v>0.72616857999999995</v>
      </c>
      <c r="M78" s="8">
        <v>0.65382704000000003</v>
      </c>
      <c r="N78" s="8">
        <v>0.58844532999999999</v>
      </c>
      <c r="O78" s="8">
        <v>0.52960225000000005</v>
      </c>
      <c r="P78" s="8">
        <v>1.13765754</v>
      </c>
      <c r="Q78" s="8">
        <v>1.6878764500000001</v>
      </c>
      <c r="R78" s="8">
        <v>2.1866320300000002</v>
      </c>
      <c r="S78" s="8">
        <v>1.9843257599999999</v>
      </c>
      <c r="T78" s="8">
        <v>1.8466715</v>
      </c>
      <c r="U78" s="8">
        <v>1.6620043499999999</v>
      </c>
      <c r="V78" s="8">
        <v>1.4958231099999999</v>
      </c>
      <c r="W78" s="8">
        <v>1.3462408400000001</v>
      </c>
      <c r="X78" s="8">
        <v>1.21162188</v>
      </c>
      <c r="Y78" s="8">
        <v>1.0904596900000001</v>
      </c>
      <c r="Z78" s="8">
        <v>0.98141520999999998</v>
      </c>
      <c r="AA78" s="8">
        <v>0.88327518000000005</v>
      </c>
      <c r="AB78" s="8">
        <v>0.79494765999999994</v>
      </c>
      <c r="AC78" s="8">
        <v>0.71545614000000002</v>
      </c>
    </row>
    <row r="79" spans="1:29" x14ac:dyDescent="0.85">
      <c r="A79" t="s">
        <v>210</v>
      </c>
      <c r="B79" s="8">
        <v>0</v>
      </c>
      <c r="C79" s="8">
        <v>1E-8</v>
      </c>
      <c r="D79" s="8">
        <v>2E-8</v>
      </c>
      <c r="E79" s="8">
        <v>6.5000000000000002E-7</v>
      </c>
      <c r="F79" s="8">
        <v>2.2909999999999999E-5</v>
      </c>
      <c r="G79" s="8">
        <v>1E-8</v>
      </c>
      <c r="H79" s="8">
        <v>0</v>
      </c>
      <c r="I79" s="8">
        <v>1.9049999999999999E-5</v>
      </c>
      <c r="J79" s="8">
        <v>1.5930000000000002E-5</v>
      </c>
      <c r="K79" s="8">
        <v>1.435E-5</v>
      </c>
      <c r="L79" s="8">
        <v>1.293E-5</v>
      </c>
      <c r="M79" s="8">
        <v>1.165E-5</v>
      </c>
      <c r="N79" s="8">
        <v>1.048E-5</v>
      </c>
      <c r="O79" s="8">
        <v>9.4299999999999995E-6</v>
      </c>
      <c r="P79" s="8">
        <v>2.0259999999999999E-5</v>
      </c>
      <c r="Q79" s="8">
        <v>2.126E-5</v>
      </c>
      <c r="R79" s="8">
        <v>3.8949999999999998E-5</v>
      </c>
      <c r="S79" s="8">
        <v>3.5349999999999999E-5</v>
      </c>
      <c r="T79" s="8">
        <v>3.2889999999999999E-5</v>
      </c>
      <c r="U79" s="8">
        <v>2.9600000000000001E-5</v>
      </c>
      <c r="V79" s="8">
        <v>5.329E-5</v>
      </c>
      <c r="W79" s="8">
        <v>2.3980000000000001E-5</v>
      </c>
      <c r="X79" s="8">
        <v>2.158E-5</v>
      </c>
      <c r="Y79" s="8">
        <v>1.942E-5</v>
      </c>
      <c r="Z79" s="8">
        <v>1.7479999999999999E-5</v>
      </c>
      <c r="AA79" s="8">
        <v>1.573E-5</v>
      </c>
      <c r="AB79" s="8">
        <v>1.416E-5</v>
      </c>
      <c r="AC79" s="8">
        <v>1.274E-5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1.00000355</v>
      </c>
      <c r="E80" s="8">
        <v>1.0000081000000001</v>
      </c>
      <c r="F80" s="8">
        <v>1.00034819</v>
      </c>
      <c r="G80" s="8">
        <v>1.01218071</v>
      </c>
      <c r="H80" s="8">
        <v>1.00000372</v>
      </c>
      <c r="I80" s="8">
        <v>1</v>
      </c>
      <c r="J80" s="8">
        <v>1</v>
      </c>
      <c r="K80" s="8">
        <v>1.0002067299999999</v>
      </c>
      <c r="L80" s="8">
        <v>1.0000067500000001</v>
      </c>
      <c r="M80" s="8">
        <v>1.0000076499999999</v>
      </c>
      <c r="N80" s="8">
        <v>1.0000018500000001</v>
      </c>
      <c r="O80" s="8">
        <v>1.0000000099999999</v>
      </c>
      <c r="P80" s="8">
        <v>1.0000000099999999</v>
      </c>
      <c r="Q80" s="8">
        <v>1.0038448499999999</v>
      </c>
      <c r="R80" s="8">
        <v>1.0038448900000001</v>
      </c>
      <c r="S80" s="8">
        <v>1.00384509</v>
      </c>
      <c r="T80" s="8">
        <v>1.00009367</v>
      </c>
      <c r="U80" s="8">
        <v>1.0003457499999999</v>
      </c>
      <c r="V80" s="8">
        <v>1</v>
      </c>
      <c r="W80" s="8">
        <v>1.00000011</v>
      </c>
      <c r="X80" s="8">
        <v>1</v>
      </c>
      <c r="Y80" s="8">
        <v>1.00000003</v>
      </c>
      <c r="Z80" s="8">
        <v>1</v>
      </c>
      <c r="AA80" s="8">
        <v>1.0000000099999999</v>
      </c>
      <c r="AB80" s="8">
        <v>1.0000000099999999</v>
      </c>
      <c r="AC80" s="8">
        <v>1</v>
      </c>
    </row>
    <row r="81" spans="1:29" x14ac:dyDescent="0.85">
      <c r="A81" t="s">
        <v>212</v>
      </c>
      <c r="B81" s="8">
        <v>1</v>
      </c>
      <c r="C81" s="8">
        <v>1.00000355</v>
      </c>
      <c r="D81" s="8">
        <v>1.0000081000000001</v>
      </c>
      <c r="E81" s="8">
        <v>1.00034819</v>
      </c>
      <c r="F81" s="8">
        <v>1.01218071</v>
      </c>
      <c r="G81" s="8">
        <v>1.00000372</v>
      </c>
      <c r="H81" s="8">
        <v>1</v>
      </c>
      <c r="I81" s="8">
        <v>1</v>
      </c>
      <c r="J81" s="8">
        <v>1.0002067299999999</v>
      </c>
      <c r="K81" s="8">
        <v>1.0000067500000001</v>
      </c>
      <c r="L81" s="8">
        <v>1.0000076499999999</v>
      </c>
      <c r="M81" s="8">
        <v>1.0000018500000001</v>
      </c>
      <c r="N81" s="8">
        <v>1.0000000099999999</v>
      </c>
      <c r="O81" s="8">
        <v>1.0000000099999999</v>
      </c>
      <c r="P81" s="8">
        <v>1.0038448499999999</v>
      </c>
      <c r="Q81" s="8">
        <v>1.0038448900000001</v>
      </c>
      <c r="R81" s="8">
        <v>1.00384509</v>
      </c>
      <c r="S81" s="8">
        <v>1.00009367</v>
      </c>
      <c r="T81" s="8">
        <v>1.0003457499999999</v>
      </c>
      <c r="U81" s="8">
        <v>1</v>
      </c>
      <c r="V81" s="8">
        <v>1.00000011</v>
      </c>
      <c r="W81" s="8">
        <v>1</v>
      </c>
      <c r="X81" s="8">
        <v>1.00000003</v>
      </c>
      <c r="Y81" s="8">
        <v>1</v>
      </c>
      <c r="Z81" s="8">
        <v>1.0000000099999999</v>
      </c>
      <c r="AA81" s="8">
        <v>1.0000000099999999</v>
      </c>
      <c r="AB81" s="8">
        <v>1</v>
      </c>
      <c r="AC81" s="8">
        <v>1.0000000200000001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B4067-9BD9-4C94-87FA-568D8CC7196C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28265.27</v>
      </c>
      <c r="C5" s="8">
        <v>28680.57943899</v>
      </c>
      <c r="D5" s="8">
        <v>29350.923687250001</v>
      </c>
      <c r="E5" s="8">
        <v>30048.778339150002</v>
      </c>
      <c r="F5" s="8">
        <v>31614.78846879</v>
      </c>
      <c r="G5" s="8">
        <v>33378.371209980003</v>
      </c>
      <c r="H5" s="8">
        <v>35248.897888009997</v>
      </c>
      <c r="I5" s="8">
        <v>36191.060403629999</v>
      </c>
      <c r="J5" s="8">
        <v>36830.579852609997</v>
      </c>
      <c r="K5" s="8">
        <v>37484.758270569997</v>
      </c>
      <c r="L5" s="8">
        <v>38117.307353340002</v>
      </c>
      <c r="M5" s="8">
        <v>38899.488212550001</v>
      </c>
      <c r="N5" s="8">
        <v>39702.609271059999</v>
      </c>
      <c r="O5" s="8">
        <v>40527.072402320002</v>
      </c>
      <c r="P5" s="8">
        <v>42034.167630989999</v>
      </c>
      <c r="Q5" s="8">
        <v>43586.832336250001</v>
      </c>
      <c r="R5" s="8">
        <v>45182.568748940001</v>
      </c>
      <c r="S5" s="8">
        <v>46822.424675030001</v>
      </c>
      <c r="T5" s="8">
        <v>48507.478074229999</v>
      </c>
      <c r="U5" s="8">
        <v>50238.821743150002</v>
      </c>
      <c r="V5" s="8">
        <v>52017.569233399998</v>
      </c>
      <c r="W5" s="8">
        <v>53844.854622029998</v>
      </c>
      <c r="X5" s="8">
        <v>54732.539903479999</v>
      </c>
      <c r="Y5" s="8">
        <v>55658.992139330003</v>
      </c>
      <c r="Z5" s="8">
        <v>56615.927516590004</v>
      </c>
      <c r="AA5" s="8">
        <v>57603.863930189997</v>
      </c>
      <c r="AB5" s="8">
        <v>58622.474569830003</v>
      </c>
      <c r="AC5" s="8">
        <v>59672.726350669996</v>
      </c>
    </row>
    <row r="6" spans="1:29" x14ac:dyDescent="0.85">
      <c r="A6" t="s">
        <v>139</v>
      </c>
      <c r="B6" s="8">
        <v>135995476.894999</v>
      </c>
      <c r="C6" s="8">
        <v>139101861.08226001</v>
      </c>
      <c r="D6" s="8">
        <v>142270372.95011199</v>
      </c>
      <c r="E6" s="8">
        <v>145502255.06164399</v>
      </c>
      <c r="F6" s="8">
        <v>148798746.20951599</v>
      </c>
      <c r="G6" s="8">
        <v>152161224.95794401</v>
      </c>
      <c r="H6" s="8">
        <v>155590904.50047699</v>
      </c>
      <c r="I6" s="8">
        <v>159089217.239308</v>
      </c>
      <c r="J6" s="8">
        <v>162657476.23249301</v>
      </c>
      <c r="K6" s="8">
        <v>166297100.40496099</v>
      </c>
      <c r="L6" s="8">
        <v>170010533.57478601</v>
      </c>
      <c r="M6" s="8">
        <v>173805524.95788801</v>
      </c>
      <c r="N6" s="8">
        <v>177694960.88751799</v>
      </c>
      <c r="O6" s="8">
        <v>181699587.431954</v>
      </c>
      <c r="P6" s="8">
        <v>185847207.817835</v>
      </c>
      <c r="Q6" s="8">
        <v>190179096.49038699</v>
      </c>
      <c r="R6" s="8">
        <v>194752553.01684901</v>
      </c>
      <c r="S6" s="8">
        <v>199631458.34060001</v>
      </c>
      <c r="T6" s="8">
        <v>204902351.33851501</v>
      </c>
      <c r="U6" s="8">
        <v>210637543.348573</v>
      </c>
      <c r="V6" s="8">
        <v>216913317.82101399</v>
      </c>
      <c r="W6" s="8">
        <v>223788818.965801</v>
      </c>
      <c r="X6" s="8">
        <v>231056711.66009799</v>
      </c>
      <c r="Y6" s="8">
        <v>238782877.21991301</v>
      </c>
      <c r="Z6" s="8">
        <v>246949369.41038001</v>
      </c>
      <c r="AA6" s="8">
        <v>255525255.548787</v>
      </c>
      <c r="AB6" s="8">
        <v>264485422.48009101</v>
      </c>
      <c r="AC6" s="8">
        <v>273807379.32030499</v>
      </c>
    </row>
    <row r="7" spans="1:29" x14ac:dyDescent="0.85">
      <c r="A7" t="s">
        <v>140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</row>
    <row r="8" spans="1:29" x14ac:dyDescent="0.85">
      <c r="A8" t="s">
        <v>141</v>
      </c>
      <c r="B8" s="8">
        <v>6921.0847708299998</v>
      </c>
      <c r="C8" s="8">
        <v>6857.28199356</v>
      </c>
      <c r="D8" s="8">
        <v>6822.3426264299997</v>
      </c>
      <c r="E8" s="8">
        <v>6795.4952509300001</v>
      </c>
      <c r="F8" s="8">
        <v>7194.89396545</v>
      </c>
      <c r="G8" s="8">
        <v>7642.76547476</v>
      </c>
      <c r="H8" s="8">
        <v>8133.0426574000003</v>
      </c>
      <c r="I8" s="8">
        <v>8452.6724999300004</v>
      </c>
      <c r="J8" s="8">
        <v>8833.5236961499995</v>
      </c>
      <c r="K8" s="8">
        <v>9221.1580003300005</v>
      </c>
      <c r="L8" s="8">
        <v>9612.1309789400002</v>
      </c>
      <c r="M8" s="8">
        <v>10022.78598411</v>
      </c>
      <c r="N8" s="8">
        <v>10442.076230119999</v>
      </c>
      <c r="O8" s="8">
        <v>10870.18600383</v>
      </c>
      <c r="P8" s="8">
        <v>11373.198774029999</v>
      </c>
      <c r="Q8" s="8">
        <v>11893.666720929999</v>
      </c>
      <c r="R8" s="8">
        <v>12432.41413442</v>
      </c>
      <c r="S8" s="8">
        <v>12989.87780864</v>
      </c>
      <c r="T8" s="8">
        <v>13566.50705995</v>
      </c>
      <c r="U8" s="8">
        <v>14162.76379666</v>
      </c>
      <c r="V8" s="8">
        <v>14779.122115239999</v>
      </c>
      <c r="W8" s="8">
        <v>15416.068530639999</v>
      </c>
      <c r="X8" s="8">
        <v>15977.945489170001</v>
      </c>
      <c r="Y8" s="8">
        <v>16548.607073470001</v>
      </c>
      <c r="Z8" s="8">
        <v>17129.26302455</v>
      </c>
      <c r="AA8" s="8">
        <v>17720.217370679999</v>
      </c>
      <c r="AB8" s="8">
        <v>18321.696947100001</v>
      </c>
      <c r="AC8" s="8">
        <v>18934.05069783</v>
      </c>
    </row>
    <row r="9" spans="1:29" x14ac:dyDescent="0.85">
      <c r="A9" t="s">
        <v>142</v>
      </c>
      <c r="B9" s="8">
        <v>2317.9515254500002</v>
      </c>
      <c r="C9" s="8">
        <v>2418.9735572300001</v>
      </c>
      <c r="D9" s="8">
        <v>2522.9790536999999</v>
      </c>
      <c r="E9" s="8">
        <v>2627.1881809299998</v>
      </c>
      <c r="F9" s="8">
        <v>2642.5008252299999</v>
      </c>
      <c r="G9" s="8">
        <v>2642.0200799200002</v>
      </c>
      <c r="H9" s="8">
        <v>2638.9794920499999</v>
      </c>
      <c r="I9" s="8">
        <v>2651.3113711000001</v>
      </c>
      <c r="J9" s="8">
        <v>2638.4133461400002</v>
      </c>
      <c r="K9" s="8">
        <v>2625.8740290800001</v>
      </c>
      <c r="L9" s="8">
        <v>2613.7354987099998</v>
      </c>
      <c r="M9" s="8">
        <v>2602.2580114900002</v>
      </c>
      <c r="N9" s="8">
        <v>2591.3210454700002</v>
      </c>
      <c r="O9" s="8">
        <v>2581.3788126899999</v>
      </c>
      <c r="P9" s="8">
        <v>2562.77140796</v>
      </c>
      <c r="Q9" s="8">
        <v>2544.5623327200001</v>
      </c>
      <c r="R9" s="8">
        <v>2528.0279088100001</v>
      </c>
      <c r="S9" s="8">
        <v>2514.6137892400002</v>
      </c>
      <c r="T9" s="8">
        <v>2506.3157987499999</v>
      </c>
      <c r="U9" s="8">
        <v>2504.7798477800002</v>
      </c>
      <c r="V9" s="8">
        <v>2511.7459727800001</v>
      </c>
      <c r="W9" s="8">
        <v>2528.5331692999998</v>
      </c>
      <c r="X9" s="8">
        <v>2565.1549933400001</v>
      </c>
      <c r="Y9" s="8">
        <v>2611.0065110599999</v>
      </c>
      <c r="Z9" s="8">
        <v>2665.5484705600002</v>
      </c>
      <c r="AA9" s="8">
        <v>2727.9500505699998</v>
      </c>
      <c r="AB9" s="8">
        <v>2797.5212115300001</v>
      </c>
      <c r="AC9" s="8">
        <v>2873.6372081999998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875.27142445000004</v>
      </c>
      <c r="D11" s="8">
        <v>1805.2142978899999</v>
      </c>
      <c r="E11" s="8">
        <v>2786.8220495999999</v>
      </c>
      <c r="F11" s="8">
        <v>3482.7040017499999</v>
      </c>
      <c r="G11" s="8">
        <v>4063.69915907</v>
      </c>
      <c r="H11" s="8">
        <v>4493.1152113500002</v>
      </c>
      <c r="I11" s="8">
        <v>5084.2344471799997</v>
      </c>
      <c r="J11" s="8">
        <v>5542.6682611200004</v>
      </c>
      <c r="K11" s="8">
        <v>5933.1415911000004</v>
      </c>
      <c r="L11" s="8">
        <v>6254.1730879200004</v>
      </c>
      <c r="M11" s="8">
        <v>6506.4614698200003</v>
      </c>
      <c r="N11" s="8">
        <v>6687.6564220999999</v>
      </c>
      <c r="O11" s="8">
        <v>6799.1259017100001</v>
      </c>
      <c r="P11" s="8">
        <v>6786.6238316899999</v>
      </c>
      <c r="Q11" s="8">
        <v>6683.8100802299996</v>
      </c>
      <c r="R11" s="8">
        <v>6495.61496902</v>
      </c>
      <c r="S11" s="8">
        <v>6230.0863030999999</v>
      </c>
      <c r="T11" s="8">
        <v>5901.4407627099999</v>
      </c>
      <c r="U11" s="8">
        <v>5524.2961348199997</v>
      </c>
      <c r="V11" s="8">
        <v>5116.5316949600001</v>
      </c>
      <c r="W11" s="8">
        <v>4695.1281383400001</v>
      </c>
      <c r="X11" s="8">
        <v>4354.4934799800003</v>
      </c>
      <c r="Y11" s="8">
        <v>4035.9929785899999</v>
      </c>
      <c r="Z11" s="8">
        <v>3743.3010278100001</v>
      </c>
      <c r="AA11" s="8">
        <v>3476.3566752800002</v>
      </c>
      <c r="AB11" s="8">
        <v>3235.1370369900001</v>
      </c>
      <c r="AC11" s="8">
        <v>3019.1390253899999</v>
      </c>
    </row>
    <row r="12" spans="1:29" x14ac:dyDescent="0.85">
      <c r="A12" t="s">
        <v>144</v>
      </c>
      <c r="B12" s="8">
        <v>9239.0362962800009</v>
      </c>
      <c r="C12" s="8">
        <v>9276.2555507899997</v>
      </c>
      <c r="D12" s="8">
        <v>9345.3216801300005</v>
      </c>
      <c r="E12" s="8">
        <v>9422.6834318599995</v>
      </c>
      <c r="F12" s="8">
        <v>9837.3947906800004</v>
      </c>
      <c r="G12" s="8">
        <v>10284.78555468</v>
      </c>
      <c r="H12" s="8">
        <v>10772.02214945</v>
      </c>
      <c r="I12" s="8">
        <v>11103.983871029999</v>
      </c>
      <c r="J12" s="8">
        <v>11471.937042289999</v>
      </c>
      <c r="K12" s="8">
        <v>11847.032029419999</v>
      </c>
      <c r="L12" s="8">
        <v>12225.866477650001</v>
      </c>
      <c r="M12" s="8">
        <v>12625.043995599999</v>
      </c>
      <c r="N12" s="8">
        <v>13033.397275589999</v>
      </c>
      <c r="O12" s="8">
        <v>13451.56481652</v>
      </c>
      <c r="P12" s="8">
        <v>13935.97018199</v>
      </c>
      <c r="Q12" s="8">
        <v>14438.22905365</v>
      </c>
      <c r="R12" s="8">
        <v>14960.442043229999</v>
      </c>
      <c r="S12" s="8">
        <v>15504.49159788</v>
      </c>
      <c r="T12" s="8">
        <v>16072.82285871</v>
      </c>
      <c r="U12" s="8">
        <v>16667.54364444</v>
      </c>
      <c r="V12" s="8">
        <v>17290.868088030002</v>
      </c>
      <c r="W12" s="8">
        <v>17944.601699930001</v>
      </c>
      <c r="X12" s="8">
        <v>18543.100482500002</v>
      </c>
      <c r="Y12" s="8">
        <v>19159.613584530001</v>
      </c>
      <c r="Z12" s="8">
        <v>19794.81149511</v>
      </c>
      <c r="AA12" s="8">
        <v>20448.16742125</v>
      </c>
      <c r="AB12" s="8">
        <v>21119.218158629999</v>
      </c>
      <c r="AC12" s="8">
        <v>21807.687906039999</v>
      </c>
    </row>
    <row r="13" spans="1:29" x14ac:dyDescent="0.85">
      <c r="A13" t="s">
        <v>145</v>
      </c>
      <c r="B13" s="8">
        <v>9239.0362962800009</v>
      </c>
      <c r="C13" s="8">
        <v>10151.52697524</v>
      </c>
      <c r="D13" s="8">
        <v>11150.53597802</v>
      </c>
      <c r="E13" s="8">
        <v>12209.505481460001</v>
      </c>
      <c r="F13" s="8">
        <v>13320.098792430001</v>
      </c>
      <c r="G13" s="8">
        <v>14348.48471375</v>
      </c>
      <c r="H13" s="8">
        <v>15265.137360799999</v>
      </c>
      <c r="I13" s="8">
        <v>16188.21831821</v>
      </c>
      <c r="J13" s="8">
        <v>17014.60530341</v>
      </c>
      <c r="K13" s="8">
        <v>17780.17362052</v>
      </c>
      <c r="L13" s="8">
        <v>18480.03956556</v>
      </c>
      <c r="M13" s="8">
        <v>19131.505465419999</v>
      </c>
      <c r="N13" s="8">
        <v>19721.05369769</v>
      </c>
      <c r="O13" s="8">
        <v>20250.690718239999</v>
      </c>
      <c r="P13" s="8">
        <v>20722.594013680002</v>
      </c>
      <c r="Q13" s="8">
        <v>21122.03913388</v>
      </c>
      <c r="R13" s="8">
        <v>21456.057012249999</v>
      </c>
      <c r="S13" s="8">
        <v>21734.577900979999</v>
      </c>
      <c r="T13" s="8">
        <v>21974.263621409998</v>
      </c>
      <c r="U13" s="8">
        <v>22191.839779260001</v>
      </c>
      <c r="V13" s="8">
        <v>22407.39978299</v>
      </c>
      <c r="W13" s="8">
        <v>22639.72983828</v>
      </c>
      <c r="X13" s="8">
        <v>22897.593962480001</v>
      </c>
      <c r="Y13" s="8">
        <v>23195.60656312</v>
      </c>
      <c r="Z13" s="8">
        <v>23538.112522920001</v>
      </c>
      <c r="AA13" s="8">
        <v>23924.524096519999</v>
      </c>
      <c r="AB13" s="8">
        <v>24354.355195609998</v>
      </c>
      <c r="AC13" s="8">
        <v>24826.826931430001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1743.02</v>
      </c>
      <c r="C17" s="8">
        <v>1684.9938069499999</v>
      </c>
      <c r="D17" s="8">
        <v>1628.8273467199999</v>
      </c>
      <c r="E17" s="8">
        <v>1574.5331165299999</v>
      </c>
      <c r="F17" s="8">
        <v>1522.04868698</v>
      </c>
      <c r="G17" s="8">
        <v>1471.3137307500001</v>
      </c>
      <c r="H17" s="8">
        <v>1422.2795713999999</v>
      </c>
      <c r="I17" s="8">
        <v>1422.36910382</v>
      </c>
      <c r="J17" s="8">
        <v>1375.1038657199999</v>
      </c>
      <c r="K17" s="8">
        <v>1329.26961469</v>
      </c>
      <c r="L17" s="8">
        <v>1284.9606275399999</v>
      </c>
      <c r="M17" s="8">
        <v>1242.12860662</v>
      </c>
      <c r="N17" s="8">
        <v>1200.7243197299999</v>
      </c>
      <c r="O17" s="8">
        <v>1160.7021892099999</v>
      </c>
      <c r="P17" s="8">
        <v>1838.83308668</v>
      </c>
      <c r="Q17" s="8">
        <v>2533.29234451</v>
      </c>
      <c r="R17" s="8">
        <v>3244.6321416800001</v>
      </c>
      <c r="S17" s="8">
        <v>3973.3541278799999</v>
      </c>
      <c r="T17" s="8">
        <v>4719.9708904299996</v>
      </c>
      <c r="U17" s="8">
        <v>5485.0063020300004</v>
      </c>
      <c r="V17" s="8">
        <v>6268.9956275200002</v>
      </c>
      <c r="W17" s="8">
        <v>7072.4857173199998</v>
      </c>
      <c r="X17" s="8">
        <v>6836.7574722899999</v>
      </c>
      <c r="Y17" s="8">
        <v>6608.8655565400004</v>
      </c>
      <c r="Z17" s="8">
        <v>6388.5700379899999</v>
      </c>
      <c r="AA17" s="8">
        <v>6175.6177411999997</v>
      </c>
      <c r="AB17" s="8">
        <v>5969.7638519100001</v>
      </c>
      <c r="AC17" s="8">
        <v>5770.7717235199998</v>
      </c>
    </row>
    <row r="18" spans="1:29" x14ac:dyDescent="0.85">
      <c r="A18" t="s">
        <v>149</v>
      </c>
      <c r="B18" s="8">
        <v>1025020.675</v>
      </c>
      <c r="C18" s="8">
        <v>990897.11498941004</v>
      </c>
      <c r="D18" s="8">
        <v>957867.20645857998</v>
      </c>
      <c r="E18" s="8">
        <v>925938.30822225998</v>
      </c>
      <c r="F18" s="8">
        <v>895073.70245981996</v>
      </c>
      <c r="G18" s="8">
        <v>865237.91080425004</v>
      </c>
      <c r="H18" s="8">
        <v>836402.31122922001</v>
      </c>
      <c r="I18" s="8">
        <v>836454.96270488005</v>
      </c>
      <c r="J18" s="8">
        <v>808659.61558492004</v>
      </c>
      <c r="K18" s="8">
        <v>781705.79141402</v>
      </c>
      <c r="L18" s="8">
        <v>755648.93139776005</v>
      </c>
      <c r="M18" s="8">
        <v>730460.63356273004</v>
      </c>
      <c r="N18" s="8">
        <v>706111.94564954005</v>
      </c>
      <c r="O18" s="8">
        <v>682576.06485794997</v>
      </c>
      <c r="P18" s="8">
        <v>1081365.6284173699</v>
      </c>
      <c r="Q18" s="8">
        <v>1489757.4379747601</v>
      </c>
      <c r="R18" s="8">
        <v>1908076.2143532101</v>
      </c>
      <c r="S18" s="8">
        <v>2336616.9635159099</v>
      </c>
      <c r="T18" s="8">
        <v>2775681.1235335199</v>
      </c>
      <c r="U18" s="8">
        <v>3225576.7691049799</v>
      </c>
      <c r="V18" s="8">
        <v>3686618.6743043498</v>
      </c>
      <c r="W18" s="8">
        <v>4159128.4263730901</v>
      </c>
      <c r="X18" s="8">
        <v>4020503.3256636201</v>
      </c>
      <c r="Y18" s="8">
        <v>3886486.5481415298</v>
      </c>
      <c r="Z18" s="8">
        <v>3756936.9965367801</v>
      </c>
      <c r="AA18" s="8">
        <v>3631705.7855500998</v>
      </c>
      <c r="AB18" s="8">
        <v>3510648.9468642599</v>
      </c>
      <c r="AC18" s="8">
        <v>3393627.2097394699</v>
      </c>
    </row>
    <row r="19" spans="1:29" x14ac:dyDescent="0.85">
      <c r="A19" t="s">
        <v>150</v>
      </c>
      <c r="B19" s="8">
        <v>1025020.675</v>
      </c>
      <c r="C19" s="8">
        <v>990897.11498941004</v>
      </c>
      <c r="D19" s="8">
        <v>957867.20645857998</v>
      </c>
      <c r="E19" s="8">
        <v>925938.30822225998</v>
      </c>
      <c r="F19" s="8">
        <v>895073.70245981996</v>
      </c>
      <c r="G19" s="8">
        <v>865237.91080425004</v>
      </c>
      <c r="H19" s="8">
        <v>836402.31122922001</v>
      </c>
      <c r="I19" s="8">
        <v>836454.96270488005</v>
      </c>
      <c r="J19" s="8">
        <v>808659.61558492004</v>
      </c>
      <c r="K19" s="8">
        <v>781705.79141402</v>
      </c>
      <c r="L19" s="8">
        <v>755648.93139776005</v>
      </c>
      <c r="M19" s="8">
        <v>730460.63356273004</v>
      </c>
      <c r="N19" s="8">
        <v>706111.94564954005</v>
      </c>
      <c r="O19" s="8">
        <v>682576.06485794997</v>
      </c>
      <c r="P19" s="8">
        <v>1081365.6284173699</v>
      </c>
      <c r="Q19" s="8">
        <v>1489757.4379747601</v>
      </c>
      <c r="R19" s="8">
        <v>1908076.2143532101</v>
      </c>
      <c r="S19" s="8">
        <v>2336616.9635159099</v>
      </c>
      <c r="T19" s="8">
        <v>2775681.1235335199</v>
      </c>
      <c r="U19" s="8">
        <v>3225576.7691049799</v>
      </c>
      <c r="V19" s="8">
        <v>3686618.6743043498</v>
      </c>
      <c r="W19" s="8">
        <v>4159128.4263730901</v>
      </c>
      <c r="X19" s="8">
        <v>4020503.3256636201</v>
      </c>
      <c r="Y19" s="8">
        <v>3886486.5481415298</v>
      </c>
      <c r="Z19" s="8">
        <v>3756936.9965367801</v>
      </c>
      <c r="AA19" s="8">
        <v>3631705.7855500998</v>
      </c>
      <c r="AB19" s="8">
        <v>3510648.9468642599</v>
      </c>
      <c r="AC19" s="8">
        <v>3393627.2097394699</v>
      </c>
    </row>
    <row r="20" spans="1:29" x14ac:dyDescent="0.85">
      <c r="A20" t="s">
        <v>151</v>
      </c>
      <c r="B20" s="8">
        <v>171.88627564999999</v>
      </c>
      <c r="C20" s="8">
        <v>166.16407727000001</v>
      </c>
      <c r="D20" s="8">
        <v>160.62527470000001</v>
      </c>
      <c r="E20" s="8">
        <v>155.27110031999999</v>
      </c>
      <c r="F20" s="8">
        <v>150.09539773</v>
      </c>
      <c r="G20" s="8">
        <v>145.09221780999999</v>
      </c>
      <c r="H20" s="8">
        <v>140.25676036999999</v>
      </c>
      <c r="I20" s="8">
        <v>140.26558951999999</v>
      </c>
      <c r="J20" s="8">
        <v>135.60457258</v>
      </c>
      <c r="K20" s="8">
        <v>131.08467109</v>
      </c>
      <c r="L20" s="8">
        <v>126.71518205</v>
      </c>
      <c r="M20" s="8">
        <v>122.49134265000001</v>
      </c>
      <c r="N20" s="8">
        <v>118.40829789999999</v>
      </c>
      <c r="O20" s="8">
        <v>114.46155319</v>
      </c>
      <c r="P20" s="8">
        <v>181.33479295000001</v>
      </c>
      <c r="Q20" s="8">
        <v>249.81823858999999</v>
      </c>
      <c r="R20" s="8">
        <v>319.96634270999999</v>
      </c>
      <c r="S20" s="8">
        <v>391.82857503999998</v>
      </c>
      <c r="T20" s="8">
        <v>465.45548387999997</v>
      </c>
      <c r="U20" s="8">
        <v>540.89873046000002</v>
      </c>
      <c r="V20" s="8">
        <v>618.21109938999996</v>
      </c>
      <c r="W20" s="8">
        <v>697.44651783999996</v>
      </c>
      <c r="X20" s="8">
        <v>674.20039897000004</v>
      </c>
      <c r="Y20" s="8">
        <v>651.72705234</v>
      </c>
      <c r="Z20" s="8">
        <v>630.00281726000003</v>
      </c>
      <c r="AA20" s="8">
        <v>609.00272708</v>
      </c>
      <c r="AB20" s="8">
        <v>588.70263967000005</v>
      </c>
      <c r="AC20" s="8">
        <v>569.07921835000002</v>
      </c>
    </row>
    <row r="21" spans="1:29" x14ac:dyDescent="0.85">
      <c r="A21" t="s">
        <v>152</v>
      </c>
      <c r="B21" s="8">
        <v>0</v>
      </c>
      <c r="C21" s="8">
        <v>9.9089709999999998E-2</v>
      </c>
      <c r="D21" s="8">
        <v>0.19157344000000001</v>
      </c>
      <c r="E21" s="8">
        <v>0.27778149000000002</v>
      </c>
      <c r="F21" s="8">
        <v>0.35802948000000001</v>
      </c>
      <c r="G21" s="8">
        <v>0.43261896</v>
      </c>
      <c r="H21" s="8">
        <v>0.50184139000000005</v>
      </c>
      <c r="I21" s="8">
        <v>0.58551847000000001</v>
      </c>
      <c r="J21" s="8">
        <v>0.64692769000000006</v>
      </c>
      <c r="K21" s="8">
        <v>0.70353520999999997</v>
      </c>
      <c r="L21" s="8">
        <v>0.75564893</v>
      </c>
      <c r="M21" s="8">
        <v>0.80350670000000002</v>
      </c>
      <c r="N21" s="8">
        <v>0.84733433000000002</v>
      </c>
      <c r="O21" s="8">
        <v>0.88734888000000001</v>
      </c>
      <c r="P21" s="8">
        <v>1.51391188</v>
      </c>
      <c r="Q21" s="8">
        <v>2.23463616</v>
      </c>
      <c r="R21" s="8">
        <v>3.0529219400000001</v>
      </c>
      <c r="S21" s="8">
        <v>3.9722488399999998</v>
      </c>
      <c r="T21" s="8">
        <v>4.9962260199999999</v>
      </c>
      <c r="U21" s="8">
        <v>6.1285958599999999</v>
      </c>
      <c r="V21" s="8">
        <v>7.3732373500000001</v>
      </c>
      <c r="W21" s="8">
        <v>8.7341697000000007</v>
      </c>
      <c r="X21" s="8">
        <v>8.8451073200000003</v>
      </c>
      <c r="Y21" s="8">
        <v>8.9389190599999999</v>
      </c>
      <c r="Z21" s="8">
        <v>9.0166487899999996</v>
      </c>
      <c r="AA21" s="8">
        <v>9.0792644599999992</v>
      </c>
      <c r="AB21" s="8">
        <v>9.1276872600000001</v>
      </c>
      <c r="AC21" s="8">
        <v>9.1627934700000004</v>
      </c>
    </row>
    <row r="22" spans="1:29" x14ac:dyDescent="0.85">
      <c r="A22" t="s">
        <v>153</v>
      </c>
      <c r="B22" s="8">
        <v>5.1250999999999996E-3</v>
      </c>
      <c r="C22" s="8">
        <v>4.9544899999999998E-3</v>
      </c>
      <c r="D22" s="8">
        <v>4.7893399999999996E-3</v>
      </c>
      <c r="E22" s="8">
        <v>4.6296899999999997E-3</v>
      </c>
      <c r="F22" s="8">
        <v>4.4753700000000002E-3</v>
      </c>
      <c r="G22" s="8">
        <v>4.3261899999999997E-3</v>
      </c>
      <c r="H22" s="8">
        <v>4.1820099999999999E-3</v>
      </c>
      <c r="I22" s="8">
        <v>4.1822700000000001E-3</v>
      </c>
      <c r="J22" s="8">
        <v>4.0432999999999997E-3</v>
      </c>
      <c r="K22" s="8">
        <v>3.9085300000000003E-3</v>
      </c>
      <c r="L22" s="8">
        <v>3.77824E-3</v>
      </c>
      <c r="M22" s="8">
        <v>3.6522999999999998E-3</v>
      </c>
      <c r="N22" s="8">
        <v>3.5305599999999999E-3</v>
      </c>
      <c r="O22" s="8">
        <v>3.4128800000000001E-3</v>
      </c>
      <c r="P22" s="8">
        <v>5.4068299999999996E-3</v>
      </c>
      <c r="Q22" s="8">
        <v>7.4487900000000003E-3</v>
      </c>
      <c r="R22" s="8">
        <v>9.5403799999999993E-3</v>
      </c>
      <c r="S22" s="8">
        <v>1.168308E-2</v>
      </c>
      <c r="T22" s="8">
        <v>1.3878410000000001E-2</v>
      </c>
      <c r="U22" s="8">
        <v>1.6127880000000001E-2</v>
      </c>
      <c r="V22" s="8">
        <v>1.8433089999999999E-2</v>
      </c>
      <c r="W22" s="8">
        <v>2.0795640000000001E-2</v>
      </c>
      <c r="X22" s="8">
        <v>2.0102519999999999E-2</v>
      </c>
      <c r="Y22" s="8">
        <v>1.9432430000000001E-2</v>
      </c>
      <c r="Z22" s="8">
        <v>1.8784680000000002E-2</v>
      </c>
      <c r="AA22" s="8">
        <v>1.8158529999999999E-2</v>
      </c>
      <c r="AB22" s="8">
        <v>1.7553240000000001E-2</v>
      </c>
      <c r="AC22" s="8">
        <v>1.696814E-2</v>
      </c>
    </row>
    <row r="23" spans="1:29" x14ac:dyDescent="0.85">
      <c r="A23" t="s">
        <v>154</v>
      </c>
      <c r="B23" s="8">
        <v>171.88627564999999</v>
      </c>
      <c r="C23" s="8">
        <v>166.16407727000001</v>
      </c>
      <c r="D23" s="8">
        <v>160.62527470000001</v>
      </c>
      <c r="E23" s="8">
        <v>155.27110031999999</v>
      </c>
      <c r="F23" s="8">
        <v>150.09539773</v>
      </c>
      <c r="G23" s="8">
        <v>145.09221780999999</v>
      </c>
      <c r="H23" s="8">
        <v>140.25676036999999</v>
      </c>
      <c r="I23" s="8">
        <v>140.26558951999999</v>
      </c>
      <c r="J23" s="8">
        <v>135.60457258</v>
      </c>
      <c r="K23" s="8">
        <v>131.08467109</v>
      </c>
      <c r="L23" s="8">
        <v>126.71518205</v>
      </c>
      <c r="M23" s="8">
        <v>122.49134265000001</v>
      </c>
      <c r="N23" s="8">
        <v>118.40829789999999</v>
      </c>
      <c r="O23" s="8">
        <v>114.46155319</v>
      </c>
      <c r="P23" s="8">
        <v>181.33479295000001</v>
      </c>
      <c r="Q23" s="8">
        <v>249.81823858999999</v>
      </c>
      <c r="R23" s="8">
        <v>319.96634270999999</v>
      </c>
      <c r="S23" s="8">
        <v>391.82857503999998</v>
      </c>
      <c r="T23" s="8">
        <v>465.45548387999997</v>
      </c>
      <c r="U23" s="8">
        <v>540.89873046000002</v>
      </c>
      <c r="V23" s="8">
        <v>618.21109938999996</v>
      </c>
      <c r="W23" s="8">
        <v>697.44651783999996</v>
      </c>
      <c r="X23" s="8">
        <v>674.20039897000004</v>
      </c>
      <c r="Y23" s="8">
        <v>651.72705234</v>
      </c>
      <c r="Z23" s="8">
        <v>630.00281726000003</v>
      </c>
      <c r="AA23" s="8">
        <v>609.00272708</v>
      </c>
      <c r="AB23" s="8">
        <v>588.70263967000005</v>
      </c>
      <c r="AC23" s="8">
        <v>569.07921835000002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1.0000442</v>
      </c>
      <c r="E25" s="8">
        <v>1</v>
      </c>
      <c r="F25" s="8">
        <v>1.0000000099999999</v>
      </c>
      <c r="G25" s="8">
        <v>1.0000000099999999</v>
      </c>
      <c r="H25" s="8">
        <v>1</v>
      </c>
      <c r="I25" s="8">
        <v>1.0000067699999999</v>
      </c>
      <c r="J25" s="8">
        <v>1.0345478800000001</v>
      </c>
      <c r="K25" s="8">
        <v>1.0001069600000001</v>
      </c>
      <c r="L25" s="8">
        <v>1.0000019099999999</v>
      </c>
      <c r="M25" s="8">
        <v>1</v>
      </c>
      <c r="N25" s="8">
        <v>1</v>
      </c>
      <c r="O25" s="8">
        <v>1</v>
      </c>
      <c r="P25" s="8">
        <v>1.0000017299999999</v>
      </c>
      <c r="Q25" s="8">
        <v>1.42515864</v>
      </c>
      <c r="R25" s="8">
        <v>1.3249519700000001</v>
      </c>
      <c r="S25" s="8">
        <v>1.2668104499999999</v>
      </c>
      <c r="T25" s="8">
        <v>1.22885819</v>
      </c>
      <c r="U25" s="8">
        <v>1.2021466599999999</v>
      </c>
      <c r="V25" s="8">
        <v>1.18233466</v>
      </c>
      <c r="W25" s="8">
        <v>1.1670612499999999</v>
      </c>
      <c r="X25" s="8">
        <v>1.1549322099999999</v>
      </c>
      <c r="Y25" s="8">
        <v>1.00000311</v>
      </c>
      <c r="Z25" s="8">
        <v>1</v>
      </c>
      <c r="AA25" s="8">
        <v>1</v>
      </c>
      <c r="AB25" s="8">
        <v>1.0000000099999999</v>
      </c>
      <c r="AC25" s="8">
        <v>1.0000000099999999</v>
      </c>
    </row>
    <row r="26" spans="1:29" x14ac:dyDescent="0.85">
      <c r="A26" t="s">
        <v>157</v>
      </c>
      <c r="B26" s="8">
        <v>1</v>
      </c>
      <c r="C26" s="8">
        <v>1.0000442</v>
      </c>
      <c r="D26" s="8">
        <v>1</v>
      </c>
      <c r="E26" s="8">
        <v>1.0000000099999999</v>
      </c>
      <c r="F26" s="8">
        <v>1.0000000099999999</v>
      </c>
      <c r="G26" s="8">
        <v>1</v>
      </c>
      <c r="H26" s="8">
        <v>1.0000067699999999</v>
      </c>
      <c r="I26" s="8">
        <v>1.0345478800000001</v>
      </c>
      <c r="J26" s="8">
        <v>1.0001069600000001</v>
      </c>
      <c r="K26" s="8">
        <v>1.0000019099999999</v>
      </c>
      <c r="L26" s="8">
        <v>1</v>
      </c>
      <c r="M26" s="8">
        <v>1</v>
      </c>
      <c r="N26" s="8">
        <v>1</v>
      </c>
      <c r="O26" s="8">
        <v>1.0000017299999999</v>
      </c>
      <c r="P26" s="8">
        <v>1.6388709699999999</v>
      </c>
      <c r="Q26" s="8">
        <v>1.4251686400000001</v>
      </c>
      <c r="R26" s="8">
        <v>1.3249619699999999</v>
      </c>
      <c r="S26" s="8">
        <v>1.26682045</v>
      </c>
      <c r="T26" s="8">
        <v>1.22886819</v>
      </c>
      <c r="U26" s="8">
        <v>1.20215666</v>
      </c>
      <c r="V26" s="8">
        <v>1.18234466</v>
      </c>
      <c r="W26" s="8">
        <v>1.16707125</v>
      </c>
      <c r="X26" s="8">
        <v>1.00000311</v>
      </c>
      <c r="Y26" s="8">
        <v>1</v>
      </c>
      <c r="Z26" s="8">
        <v>1</v>
      </c>
      <c r="AA26" s="8">
        <v>1.0000000099999999</v>
      </c>
      <c r="AB26" s="8">
        <v>1.0000000099999999</v>
      </c>
      <c r="AC26" s="8">
        <v>0.99999996999999996</v>
      </c>
    </row>
    <row r="27" spans="1:29" x14ac:dyDescent="0.85">
      <c r="A27" t="s">
        <v>158</v>
      </c>
      <c r="B27" s="8">
        <v>1</v>
      </c>
      <c r="C27" s="8">
        <v>1.30742626</v>
      </c>
      <c r="D27" s="8">
        <v>1.32169304</v>
      </c>
      <c r="E27" s="8">
        <v>1.3393908000000001</v>
      </c>
      <c r="F27" s="8">
        <v>1.3582600499999999</v>
      </c>
      <c r="G27" s="8">
        <v>1.3881606900000001</v>
      </c>
      <c r="H27" s="8">
        <v>1.4221013499999999</v>
      </c>
      <c r="I27" s="8">
        <v>1.45927476</v>
      </c>
      <c r="J27" s="8">
        <v>1.4709876799999999</v>
      </c>
      <c r="K27" s="8">
        <v>1.49473225</v>
      </c>
      <c r="L27" s="8">
        <v>1.5198242500000001</v>
      </c>
      <c r="M27" s="8">
        <v>1.5457848599999999</v>
      </c>
      <c r="N27" s="8">
        <v>1.57507671</v>
      </c>
      <c r="O27" s="8">
        <v>1.60607261</v>
      </c>
      <c r="P27" s="8">
        <v>1.6388709699999999</v>
      </c>
      <c r="Q27" s="8">
        <v>1.4251686400000001</v>
      </c>
      <c r="R27" s="8">
        <v>1.3249619699999999</v>
      </c>
      <c r="S27" s="8">
        <v>1.26682045</v>
      </c>
      <c r="T27" s="8">
        <v>1.22886819</v>
      </c>
      <c r="U27" s="8">
        <v>1.20215666</v>
      </c>
      <c r="V27" s="8">
        <v>1.18234466</v>
      </c>
      <c r="W27" s="8">
        <v>1.16707125</v>
      </c>
      <c r="X27" s="8">
        <v>1.15494221</v>
      </c>
      <c r="Y27" s="8">
        <v>1.1618963099999999</v>
      </c>
      <c r="Z27" s="8">
        <v>1.16927398</v>
      </c>
      <c r="AA27" s="8">
        <v>1.1770763</v>
      </c>
      <c r="AB27" s="8">
        <v>1.18532818</v>
      </c>
      <c r="AC27" s="8">
        <v>1.1940534700000001</v>
      </c>
    </row>
    <row r="28" spans="1:29" x14ac:dyDescent="0.85">
      <c r="A28" t="s">
        <v>159</v>
      </c>
      <c r="B28" s="8">
        <v>17</v>
      </c>
      <c r="C28" s="8">
        <v>16.320007149999999</v>
      </c>
      <c r="D28" s="8">
        <v>15.667206869999999</v>
      </c>
      <c r="E28" s="8">
        <v>15.04052057</v>
      </c>
      <c r="F28" s="8">
        <v>14.438899749999999</v>
      </c>
      <c r="G28" s="8">
        <v>13.86134376</v>
      </c>
      <c r="H28" s="8">
        <v>13.30689001</v>
      </c>
      <c r="I28" s="8">
        <v>12.77461441</v>
      </c>
      <c r="J28" s="8">
        <v>12.263629829999999</v>
      </c>
      <c r="K28" s="8">
        <v>11.77308464</v>
      </c>
      <c r="L28" s="8">
        <v>11.302161249999999</v>
      </c>
      <c r="M28" s="8">
        <v>10.8500748</v>
      </c>
      <c r="N28" s="8">
        <v>10.41607181</v>
      </c>
      <c r="O28" s="8">
        <v>9.9994289399999996</v>
      </c>
      <c r="P28" s="8">
        <v>9.5994517800000008</v>
      </c>
      <c r="Q28" s="8">
        <v>9.2154737099999995</v>
      </c>
      <c r="R28" s="8">
        <v>8.8468547599999994</v>
      </c>
      <c r="S28" s="8">
        <v>8.4929805700000003</v>
      </c>
      <c r="T28" s="8">
        <v>8.1532613499999993</v>
      </c>
      <c r="U28" s="8">
        <v>7.8271308900000003</v>
      </c>
      <c r="V28" s="8">
        <v>7.5140456599999998</v>
      </c>
      <c r="W28" s="8">
        <v>7.2134838300000004</v>
      </c>
      <c r="X28" s="8">
        <v>6.9249444799999997</v>
      </c>
      <c r="Y28" s="8">
        <v>6.6479467000000003</v>
      </c>
      <c r="Z28" s="8">
        <v>6.3820288300000003</v>
      </c>
      <c r="AA28" s="8">
        <v>6.1267476800000003</v>
      </c>
      <c r="AB28" s="8">
        <v>5.8816777699999996</v>
      </c>
      <c r="AC28" s="8">
        <v>5.6464106599999999</v>
      </c>
    </row>
    <row r="29" spans="1:29" x14ac:dyDescent="0.85">
      <c r="A29" t="s">
        <v>160</v>
      </c>
      <c r="B29" s="8">
        <v>6067.75</v>
      </c>
      <c r="C29" s="8">
        <v>5825.0425531600004</v>
      </c>
      <c r="D29" s="8">
        <v>5592.0394809899999</v>
      </c>
      <c r="E29" s="8">
        <v>5368.3586074100003</v>
      </c>
      <c r="F29" s="8">
        <v>5153.6219824199998</v>
      </c>
      <c r="G29" s="8">
        <v>4781.6518129699998</v>
      </c>
      <c r="H29" s="8">
        <v>4590.38239462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6067.75</v>
      </c>
      <c r="C30" s="8">
        <v>5825.0425531600004</v>
      </c>
      <c r="D30" s="8">
        <v>5592.0394809899999</v>
      </c>
      <c r="E30" s="8">
        <v>5368.3586074100003</v>
      </c>
      <c r="F30" s="8">
        <v>5153.6219824199998</v>
      </c>
      <c r="G30" s="8">
        <v>4781.6518129699998</v>
      </c>
      <c r="H30" s="8">
        <v>4590.38239462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2.6600702100000002</v>
      </c>
      <c r="C31" s="8">
        <v>2.55366852</v>
      </c>
      <c r="D31" s="8">
        <v>2.4515217800000002</v>
      </c>
      <c r="E31" s="8">
        <v>2.3534612199999998</v>
      </c>
      <c r="F31" s="8">
        <v>2.2593227699999998</v>
      </c>
      <c r="G31" s="8">
        <v>2.1689498600000001</v>
      </c>
      <c r="H31" s="8">
        <v>2.0821918699999999</v>
      </c>
      <c r="I31" s="8">
        <v>1.99890419</v>
      </c>
      <c r="J31" s="8">
        <v>1.91894802</v>
      </c>
      <c r="K31" s="8">
        <v>1.8421901000000001</v>
      </c>
      <c r="L31" s="8">
        <v>1.7685025000000001</v>
      </c>
      <c r="M31" s="8">
        <v>1.6977624</v>
      </c>
      <c r="N31" s="8">
        <v>1.6298519</v>
      </c>
      <c r="O31" s="8">
        <v>1.56465783</v>
      </c>
      <c r="P31" s="8">
        <v>1.5020715099999999</v>
      </c>
      <c r="Q31" s="8">
        <v>1.4419886500000001</v>
      </c>
      <c r="R31" s="8">
        <v>1.38430911</v>
      </c>
      <c r="S31" s="8">
        <v>1.3289367400000001</v>
      </c>
      <c r="T31" s="8">
        <v>1.2757792699999999</v>
      </c>
      <c r="U31" s="8">
        <v>1.2247481</v>
      </c>
      <c r="V31" s="8">
        <v>1.1757581800000001</v>
      </c>
      <c r="W31" s="8">
        <v>1.12872785</v>
      </c>
      <c r="X31" s="8">
        <v>1.0835787400000001</v>
      </c>
      <c r="Y31" s="8">
        <v>1.04023559</v>
      </c>
      <c r="Z31" s="8">
        <v>0.99862616000000004</v>
      </c>
      <c r="AA31" s="8">
        <v>0.95868112000000005</v>
      </c>
      <c r="AB31" s="8">
        <v>0.92033387</v>
      </c>
      <c r="AC31" s="8">
        <v>0.88352052000000003</v>
      </c>
    </row>
    <row r="32" spans="1:29" x14ac:dyDescent="0.85">
      <c r="A32" t="s">
        <v>163</v>
      </c>
      <c r="B32" s="8">
        <v>0</v>
      </c>
      <c r="C32" s="8">
        <v>4.66E-4</v>
      </c>
      <c r="D32" s="8">
        <v>8.9473000000000005E-4</v>
      </c>
      <c r="E32" s="8">
        <v>1.28841E-3</v>
      </c>
      <c r="F32" s="8">
        <v>1.64916E-3</v>
      </c>
      <c r="G32" s="8">
        <v>1.9126600000000001E-3</v>
      </c>
      <c r="H32" s="8">
        <v>2.20338E-3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2.427E-5</v>
      </c>
      <c r="C33" s="8">
        <v>2.3300000000000001E-5</v>
      </c>
      <c r="D33" s="8">
        <v>2.2370000000000001E-5</v>
      </c>
      <c r="E33" s="8">
        <v>2.1469999999999999E-5</v>
      </c>
      <c r="F33" s="8">
        <v>2.0610000000000001E-5</v>
      </c>
      <c r="G33" s="8">
        <v>1.9130000000000001E-5</v>
      </c>
      <c r="H33" s="8">
        <v>1.836E-5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2.6600702100000002</v>
      </c>
      <c r="C34" s="8">
        <v>2.55366852</v>
      </c>
      <c r="D34" s="8">
        <v>2.4515217800000002</v>
      </c>
      <c r="E34" s="8">
        <v>2.3534612199999998</v>
      </c>
      <c r="F34" s="8">
        <v>2.2593227699999998</v>
      </c>
      <c r="G34" s="8">
        <v>2.1689498600000001</v>
      </c>
      <c r="H34" s="8">
        <v>2.0821918699999999</v>
      </c>
      <c r="I34" s="8">
        <v>1.99890419</v>
      </c>
      <c r="J34" s="8">
        <v>1.91894802</v>
      </c>
      <c r="K34" s="8">
        <v>1.8421901000000001</v>
      </c>
      <c r="L34" s="8">
        <v>1.7685025000000001</v>
      </c>
      <c r="M34" s="8">
        <v>1.6977624</v>
      </c>
      <c r="N34" s="8">
        <v>1.6298519</v>
      </c>
      <c r="O34" s="8">
        <v>1.56465783</v>
      </c>
      <c r="P34" s="8">
        <v>1.5020715099999999</v>
      </c>
      <c r="Q34" s="8">
        <v>1.4419886500000001</v>
      </c>
      <c r="R34" s="8">
        <v>1.38430911</v>
      </c>
      <c r="S34" s="8">
        <v>1.3289367400000001</v>
      </c>
      <c r="T34" s="8">
        <v>1.2757792699999999</v>
      </c>
      <c r="U34" s="8">
        <v>1.2247481</v>
      </c>
      <c r="V34" s="8">
        <v>1.1757581800000001</v>
      </c>
      <c r="W34" s="8">
        <v>1.12872785</v>
      </c>
      <c r="X34" s="8">
        <v>1.0835787400000001</v>
      </c>
      <c r="Y34" s="8">
        <v>1.04023559</v>
      </c>
      <c r="Z34" s="8">
        <v>0.99862616000000004</v>
      </c>
      <c r="AA34" s="8">
        <v>0.95868112000000005</v>
      </c>
      <c r="AB34" s="8">
        <v>0.92033387</v>
      </c>
      <c r="AC34" s="8">
        <v>0.88352052000000003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1.00000044</v>
      </c>
      <c r="E36" s="8">
        <v>0.99999976000000002</v>
      </c>
      <c r="F36" s="8">
        <v>1.0000001300000001</v>
      </c>
      <c r="G36" s="8">
        <v>0.99999956000000001</v>
      </c>
      <c r="H36" s="8">
        <v>0.96648286000000005</v>
      </c>
      <c r="I36" s="8">
        <v>0.99999927</v>
      </c>
      <c r="J36" s="8">
        <v>0</v>
      </c>
      <c r="K36" s="8">
        <v>1.3302500000000001E-3</v>
      </c>
      <c r="L36" s="8">
        <v>1.3699199999999999E-3</v>
      </c>
      <c r="M36" s="8">
        <v>1.2680899999999999E-3</v>
      </c>
      <c r="N36" s="8">
        <v>1.3081E-3</v>
      </c>
      <c r="O36" s="8">
        <v>5.308E-5</v>
      </c>
      <c r="P36" s="8">
        <v>5.1560000000000001E-5</v>
      </c>
      <c r="Q36" s="8">
        <v>0.99999970000000005</v>
      </c>
      <c r="R36" s="8">
        <v>0.99981788000000005</v>
      </c>
      <c r="S36" s="8">
        <v>0.80281988999999998</v>
      </c>
      <c r="T36" s="8">
        <v>3.8E-6</v>
      </c>
      <c r="U36" s="8">
        <v>3.3299999999999999E-6</v>
      </c>
      <c r="V36" s="8">
        <v>3.54E-6</v>
      </c>
      <c r="W36" s="8">
        <v>3.2899999999999998E-6</v>
      </c>
      <c r="X36" s="8">
        <v>3.4999999999999999E-6</v>
      </c>
      <c r="Y36" s="8">
        <v>7.1920000000000003E-4</v>
      </c>
      <c r="Z36" s="8">
        <v>7.0684999999999997E-4</v>
      </c>
      <c r="AA36" s="8">
        <v>7.5243E-4</v>
      </c>
      <c r="AB36" s="8">
        <v>8.0462999999999997E-4</v>
      </c>
      <c r="AC36" s="8">
        <v>8.8029999999999998E-4</v>
      </c>
    </row>
    <row r="37" spans="1:29" x14ac:dyDescent="0.85">
      <c r="A37" t="s">
        <v>168</v>
      </c>
      <c r="B37" s="8">
        <v>1</v>
      </c>
      <c r="C37" s="8">
        <v>1.00000044</v>
      </c>
      <c r="D37" s="8">
        <v>0.99999976000000002</v>
      </c>
      <c r="E37" s="8">
        <v>1.0000001300000001</v>
      </c>
      <c r="F37" s="8">
        <v>0.99999956000000001</v>
      </c>
      <c r="G37" s="8">
        <v>0.96648286000000005</v>
      </c>
      <c r="H37" s="8">
        <v>0.99999927</v>
      </c>
      <c r="I37" s="8">
        <v>0</v>
      </c>
      <c r="J37" s="8">
        <v>1.3302500000000001E-3</v>
      </c>
      <c r="K37" s="8">
        <v>1.3699199999999999E-3</v>
      </c>
      <c r="L37" s="8">
        <v>1.2680899999999999E-3</v>
      </c>
      <c r="M37" s="8">
        <v>1.3081E-3</v>
      </c>
      <c r="N37" s="8">
        <v>5.308E-5</v>
      </c>
      <c r="O37" s="8">
        <v>5.1560000000000001E-5</v>
      </c>
      <c r="P37" s="8">
        <v>0.99999970000000005</v>
      </c>
      <c r="Q37" s="8">
        <v>0.99981788000000005</v>
      </c>
      <c r="R37" s="8">
        <v>0.80281988999999998</v>
      </c>
      <c r="S37" s="8">
        <v>3.8E-6</v>
      </c>
      <c r="T37" s="8">
        <v>3.3299999999999999E-6</v>
      </c>
      <c r="U37" s="8">
        <v>3.54E-6</v>
      </c>
      <c r="V37" s="8">
        <v>3.2899999999999998E-6</v>
      </c>
      <c r="W37" s="8">
        <v>3.4999999999999999E-6</v>
      </c>
      <c r="X37" s="8">
        <v>7.1920000000000003E-4</v>
      </c>
      <c r="Y37" s="8">
        <v>7.0684999999999997E-4</v>
      </c>
      <c r="Z37" s="8">
        <v>7.5243E-4</v>
      </c>
      <c r="AA37" s="8">
        <v>8.0462999999999997E-4</v>
      </c>
      <c r="AB37" s="8">
        <v>8.8029999999999998E-4</v>
      </c>
      <c r="AC37" s="8">
        <v>1.1187300000000001E-3</v>
      </c>
    </row>
    <row r="38" spans="1:29" x14ac:dyDescent="0.85">
      <c r="A38" t="s">
        <v>169</v>
      </c>
      <c r="B38" s="8">
        <v>1</v>
      </c>
      <c r="C38" s="8">
        <v>43.020237590000001</v>
      </c>
      <c r="D38" s="8">
        <v>45.413062529999998</v>
      </c>
      <c r="E38" s="8">
        <v>48.343594639999999</v>
      </c>
      <c r="F38" s="8">
        <v>51.48746405</v>
      </c>
      <c r="G38" s="8">
        <v>56.330006509999997</v>
      </c>
      <c r="H38" s="8">
        <v>61.848532120000002</v>
      </c>
      <c r="I38" s="8">
        <v>67.933925079999995</v>
      </c>
      <c r="J38" s="8">
        <v>72.585059759999993</v>
      </c>
      <c r="K38" s="8">
        <v>76.884229860000005</v>
      </c>
      <c r="L38" s="8">
        <v>81.448872129999998</v>
      </c>
      <c r="M38" s="8">
        <v>86.213850019999995</v>
      </c>
      <c r="N38" s="8">
        <v>91.584644240000003</v>
      </c>
      <c r="O38" s="8">
        <v>97.305882359999998</v>
      </c>
      <c r="P38" s="8">
        <v>103.40057495000001</v>
      </c>
      <c r="Q38" s="8">
        <v>111.63233255</v>
      </c>
      <c r="R38" s="8">
        <v>120.49723783</v>
      </c>
      <c r="S38" s="8">
        <v>130.03183451000001</v>
      </c>
      <c r="T38" s="8">
        <v>140.28478061999999</v>
      </c>
      <c r="U38" s="8">
        <v>151.30819299999999</v>
      </c>
      <c r="V38" s="8">
        <v>163.15783845000001</v>
      </c>
      <c r="W38" s="8">
        <v>175.8934002</v>
      </c>
      <c r="X38" s="8">
        <v>189.57874383000001</v>
      </c>
      <c r="Y38" s="8">
        <v>200.67345813</v>
      </c>
      <c r="Z38" s="8">
        <v>212.51267945000001</v>
      </c>
      <c r="AA38" s="8">
        <v>225.11253783999999</v>
      </c>
      <c r="AB38" s="8">
        <v>238.52302814999999</v>
      </c>
      <c r="AC38" s="8">
        <v>252.79375045</v>
      </c>
    </row>
    <row r="39" spans="1:29" x14ac:dyDescent="0.85">
      <c r="A39" t="s">
        <v>170</v>
      </c>
      <c r="B39" s="8">
        <v>8601</v>
      </c>
      <c r="C39" s="8">
        <v>8386.8595696600005</v>
      </c>
      <c r="D39" s="8">
        <v>8182.0796292799996</v>
      </c>
      <c r="E39" s="8">
        <v>7990.2149183700003</v>
      </c>
      <c r="F39" s="8">
        <v>8650.9646822899995</v>
      </c>
      <c r="G39" s="8">
        <v>9453.4036033899993</v>
      </c>
      <c r="H39" s="8">
        <v>10298.844384260001</v>
      </c>
      <c r="I39" s="8">
        <v>10971.666057820001</v>
      </c>
      <c r="J39" s="8">
        <v>11884.3822461</v>
      </c>
      <c r="K39" s="8">
        <v>12809.273101229999</v>
      </c>
      <c r="L39" s="8">
        <v>13746.66579447</v>
      </c>
      <c r="M39" s="8">
        <v>14695.910023439999</v>
      </c>
      <c r="N39" s="8">
        <v>15660.96371812</v>
      </c>
      <c r="O39" s="8">
        <v>16642.302940540001</v>
      </c>
      <c r="P39" s="8">
        <v>17640.411939500002</v>
      </c>
      <c r="Q39" s="8">
        <v>18673.552246089999</v>
      </c>
      <c r="R39" s="8">
        <v>19742.756404560001</v>
      </c>
      <c r="S39" s="8">
        <v>20848.984121959998</v>
      </c>
      <c r="T39" s="8">
        <v>21993.2179994</v>
      </c>
      <c r="U39" s="8">
        <v>23176.464216740002</v>
      </c>
      <c r="V39" s="8">
        <v>24399.752801340001</v>
      </c>
      <c r="W39" s="8">
        <v>25664.1380555</v>
      </c>
      <c r="X39" s="8">
        <v>26970.698974260002</v>
      </c>
      <c r="Y39" s="8">
        <v>28293.940789010001</v>
      </c>
      <c r="Z39" s="8">
        <v>29634.814072590001</v>
      </c>
      <c r="AA39" s="8">
        <v>30994.041443720002</v>
      </c>
      <c r="AB39" s="8">
        <v>32372.35547459</v>
      </c>
      <c r="AC39" s="8">
        <v>33770.47577176</v>
      </c>
    </row>
    <row r="40" spans="1:29" x14ac:dyDescent="0.85">
      <c r="A40" t="s">
        <v>171</v>
      </c>
      <c r="B40" s="8">
        <v>66380828.814999998</v>
      </c>
      <c r="C40" s="8">
        <v>64728135.029506303</v>
      </c>
      <c r="D40" s="8">
        <v>63147683.667217098</v>
      </c>
      <c r="E40" s="8">
        <v>61666909.509493701</v>
      </c>
      <c r="F40" s="8">
        <v>66766446.420150697</v>
      </c>
      <c r="G40" s="8">
        <v>72959512.418968797</v>
      </c>
      <c r="H40" s="8">
        <v>79484458.326243401</v>
      </c>
      <c r="I40" s="8">
        <v>84677163.864636496</v>
      </c>
      <c r="J40" s="8">
        <v>91721328.153781593</v>
      </c>
      <c r="K40" s="8">
        <v>98859454.130571499</v>
      </c>
      <c r="L40" s="8">
        <v>106094066.838689</v>
      </c>
      <c r="M40" s="8">
        <v>113420147.37201899</v>
      </c>
      <c r="N40" s="8">
        <v>120868242.256741</v>
      </c>
      <c r="O40" s="8">
        <v>128442025.646258</v>
      </c>
      <c r="P40" s="8">
        <v>136145234.87757501</v>
      </c>
      <c r="Q40" s="8">
        <v>144118808.861265</v>
      </c>
      <c r="R40" s="8">
        <v>152370716.571051</v>
      </c>
      <c r="S40" s="8">
        <v>160908364.83737701</v>
      </c>
      <c r="T40" s="8">
        <v>169739337.18275499</v>
      </c>
      <c r="U40" s="8">
        <v>178871399.10569701</v>
      </c>
      <c r="V40" s="8">
        <v>188312500.15513399</v>
      </c>
      <c r="W40" s="8">
        <v>198070777.22897601</v>
      </c>
      <c r="X40" s="8">
        <v>208154557.79926801</v>
      </c>
      <c r="Y40" s="8">
        <v>218367078.24867299</v>
      </c>
      <c r="Z40" s="8">
        <v>228715674.91189399</v>
      </c>
      <c r="AA40" s="8">
        <v>239205924.818131</v>
      </c>
      <c r="AB40" s="8">
        <v>249843481.81569201</v>
      </c>
      <c r="AC40" s="8">
        <v>260633899.686829</v>
      </c>
    </row>
    <row r="41" spans="1:29" x14ac:dyDescent="0.85">
      <c r="A41" t="s">
        <v>172</v>
      </c>
      <c r="B41" s="8">
        <v>66380828.814999998</v>
      </c>
      <c r="C41" s="8">
        <v>64728135.029506303</v>
      </c>
      <c r="D41" s="8">
        <v>63147683.667217098</v>
      </c>
      <c r="E41" s="8">
        <v>61666909.509493701</v>
      </c>
      <c r="F41" s="8">
        <v>66766446.420150697</v>
      </c>
      <c r="G41" s="8">
        <v>72959512.418968797</v>
      </c>
      <c r="H41" s="8">
        <v>79484458.326243401</v>
      </c>
      <c r="I41" s="8">
        <v>84677163.864636496</v>
      </c>
      <c r="J41" s="8">
        <v>91721328.153781593</v>
      </c>
      <c r="K41" s="8">
        <v>98859454.130571499</v>
      </c>
      <c r="L41" s="8">
        <v>106094066.838689</v>
      </c>
      <c r="M41" s="8">
        <v>113420147.37201899</v>
      </c>
      <c r="N41" s="8">
        <v>120868242.256741</v>
      </c>
      <c r="O41" s="8">
        <v>128442025.646258</v>
      </c>
      <c r="P41" s="8">
        <v>136145234.87757501</v>
      </c>
      <c r="Q41" s="8">
        <v>144118808.861265</v>
      </c>
      <c r="R41" s="8">
        <v>152370716.571051</v>
      </c>
      <c r="S41" s="8">
        <v>160908364.83737701</v>
      </c>
      <c r="T41" s="8">
        <v>169739337.18275499</v>
      </c>
      <c r="U41" s="8">
        <v>178871399.10569701</v>
      </c>
      <c r="V41" s="8">
        <v>188312500.15513399</v>
      </c>
      <c r="W41" s="8">
        <v>198070777.22897601</v>
      </c>
      <c r="X41" s="8">
        <v>208154557.79926801</v>
      </c>
      <c r="Y41" s="8">
        <v>218367078.24867299</v>
      </c>
      <c r="Z41" s="8">
        <v>228715674.91189399</v>
      </c>
      <c r="AA41" s="8">
        <v>239205924.818131</v>
      </c>
      <c r="AB41" s="8">
        <v>249843481.81569201</v>
      </c>
      <c r="AC41" s="8">
        <v>260633899.686829</v>
      </c>
    </row>
    <row r="42" spans="1:29" x14ac:dyDescent="0.85">
      <c r="A42" t="s">
        <v>173</v>
      </c>
      <c r="B42" s="8">
        <v>4726.9590432100003</v>
      </c>
      <c r="C42" s="8">
        <v>4609.2712111299998</v>
      </c>
      <c r="D42" s="8">
        <v>4496.7277404799997</v>
      </c>
      <c r="E42" s="8">
        <v>4391.2822538700002</v>
      </c>
      <c r="F42" s="8">
        <v>4754.4187579899999</v>
      </c>
      <c r="G42" s="8">
        <v>5195.4251426800001</v>
      </c>
      <c r="H42" s="8">
        <v>5660.0645967700002</v>
      </c>
      <c r="I42" s="8">
        <v>6029.8356111100002</v>
      </c>
      <c r="J42" s="8">
        <v>6531.4484514799997</v>
      </c>
      <c r="K42" s="8">
        <v>7039.7522756400003</v>
      </c>
      <c r="L42" s="8">
        <v>7554.9268911999998</v>
      </c>
      <c r="M42" s="8">
        <v>8076.6149033299998</v>
      </c>
      <c r="N42" s="8">
        <v>8606.9915210700001</v>
      </c>
      <c r="O42" s="8">
        <v>9146.3183797999991</v>
      </c>
      <c r="P42" s="8">
        <v>9694.8616141599996</v>
      </c>
      <c r="Q42" s="8">
        <v>10262.657441990001</v>
      </c>
      <c r="R42" s="8">
        <v>10850.273331529999</v>
      </c>
      <c r="S42" s="8">
        <v>11458.236720970001</v>
      </c>
      <c r="T42" s="8">
        <v>12087.087630690001</v>
      </c>
      <c r="U42" s="8">
        <v>12737.37903953</v>
      </c>
      <c r="V42" s="8">
        <v>13409.677032490001</v>
      </c>
      <c r="W42" s="8">
        <v>14104.56103565</v>
      </c>
      <c r="X42" s="8">
        <v>14822.624045820001</v>
      </c>
      <c r="Y42" s="8">
        <v>15549.854584430001</v>
      </c>
      <c r="Z42" s="8">
        <v>16286.775069679999</v>
      </c>
      <c r="AA42" s="8">
        <v>17033.78264017</v>
      </c>
      <c r="AB42" s="8">
        <v>17791.27990474</v>
      </c>
      <c r="AC42" s="8">
        <v>18559.66234658</v>
      </c>
    </row>
    <row r="43" spans="1:29" x14ac:dyDescent="0.85">
      <c r="A43" t="s">
        <v>174</v>
      </c>
      <c r="B43" s="8">
        <v>0</v>
      </c>
      <c r="C43" s="8">
        <v>3.8836881000000001</v>
      </c>
      <c r="D43" s="8">
        <v>7.5777220400000003</v>
      </c>
      <c r="E43" s="8">
        <v>11.10004371</v>
      </c>
      <c r="F43" s="8">
        <v>16.023947140000001</v>
      </c>
      <c r="G43" s="8">
        <v>21.88785373</v>
      </c>
      <c r="H43" s="8">
        <v>28.614405000000001</v>
      </c>
      <c r="I43" s="8">
        <v>35.564408819999997</v>
      </c>
      <c r="J43" s="8">
        <v>44.026237510000001</v>
      </c>
      <c r="K43" s="8">
        <v>53.384105230000003</v>
      </c>
      <c r="L43" s="8">
        <v>63.656440099999998</v>
      </c>
      <c r="M43" s="8">
        <v>74.857297270000004</v>
      </c>
      <c r="N43" s="8">
        <v>87.025134420000001</v>
      </c>
      <c r="O43" s="8">
        <v>100.18478</v>
      </c>
      <c r="P43" s="8">
        <v>114.3619973</v>
      </c>
      <c r="Q43" s="8">
        <v>129.70692797999999</v>
      </c>
      <c r="R43" s="8">
        <v>146.27588790999999</v>
      </c>
      <c r="S43" s="8">
        <v>164.12653212999999</v>
      </c>
      <c r="T43" s="8">
        <v>183.31848416</v>
      </c>
      <c r="U43" s="8">
        <v>203.91339497999999</v>
      </c>
      <c r="V43" s="8">
        <v>225.97500019</v>
      </c>
      <c r="W43" s="8">
        <v>249.56917931000001</v>
      </c>
      <c r="X43" s="8">
        <v>274.76401629999998</v>
      </c>
      <c r="Y43" s="8">
        <v>301.34656797999997</v>
      </c>
      <c r="Z43" s="8">
        <v>329.35057187000001</v>
      </c>
      <c r="AA43" s="8">
        <v>358.80888722999998</v>
      </c>
      <c r="AB43" s="8">
        <v>389.75583162999999</v>
      </c>
      <c r="AC43" s="8">
        <v>422.22691749000001</v>
      </c>
    </row>
    <row r="44" spans="1:29" x14ac:dyDescent="0.85">
      <c r="A44" t="s">
        <v>175</v>
      </c>
      <c r="B44" s="8">
        <v>0.19914249000000001</v>
      </c>
      <c r="C44" s="8">
        <v>0.19418441</v>
      </c>
      <c r="D44" s="8">
        <v>0.18944305</v>
      </c>
      <c r="E44" s="8">
        <v>0.18500073</v>
      </c>
      <c r="F44" s="8">
        <v>0.20029933999999999</v>
      </c>
      <c r="G44" s="8">
        <v>0.21887854000000001</v>
      </c>
      <c r="H44" s="8">
        <v>0.23845337</v>
      </c>
      <c r="I44" s="8">
        <v>0.25403149000000003</v>
      </c>
      <c r="J44" s="8">
        <v>0.27516397999999997</v>
      </c>
      <c r="K44" s="8">
        <v>0.29657835999999999</v>
      </c>
      <c r="L44" s="8">
        <v>0.31828220000000002</v>
      </c>
      <c r="M44" s="8">
        <v>0.34026044</v>
      </c>
      <c r="N44" s="8">
        <v>0.36260472999999999</v>
      </c>
      <c r="O44" s="8">
        <v>0.38532608000000002</v>
      </c>
      <c r="P44" s="8">
        <v>0.40843570000000001</v>
      </c>
      <c r="Q44" s="8">
        <v>0.43235643000000001</v>
      </c>
      <c r="R44" s="8">
        <v>0.45711214999999999</v>
      </c>
      <c r="S44" s="8">
        <v>0.48272509000000002</v>
      </c>
      <c r="T44" s="8">
        <v>0.50921801</v>
      </c>
      <c r="U44" s="8">
        <v>0.53661420000000004</v>
      </c>
      <c r="V44" s="8">
        <v>0.56493749999999998</v>
      </c>
      <c r="W44" s="8">
        <v>0.59421232999999996</v>
      </c>
      <c r="X44" s="8">
        <v>0.62446367000000003</v>
      </c>
      <c r="Y44" s="8">
        <v>0.65510122999999998</v>
      </c>
      <c r="Z44" s="8">
        <v>0.68614702000000005</v>
      </c>
      <c r="AA44" s="8">
        <v>0.71761777000000004</v>
      </c>
      <c r="AB44" s="8">
        <v>0.74953044999999996</v>
      </c>
      <c r="AC44" s="8">
        <v>0.78190170000000003</v>
      </c>
    </row>
    <row r="45" spans="1:29" x14ac:dyDescent="0.85">
      <c r="A45" t="s">
        <v>176</v>
      </c>
      <c r="B45" s="8">
        <v>4055.8488638899998</v>
      </c>
      <c r="C45" s="8">
        <v>3954.86976598</v>
      </c>
      <c r="D45" s="8">
        <v>3858.3046586099999</v>
      </c>
      <c r="E45" s="8">
        <v>3767.8297987300002</v>
      </c>
      <c r="F45" s="8">
        <v>4079.40998468</v>
      </c>
      <c r="G45" s="8">
        <v>4457.8044721200004</v>
      </c>
      <c r="H45" s="8">
        <v>4856.4767230899997</v>
      </c>
      <c r="I45" s="8">
        <v>5173.7494844399998</v>
      </c>
      <c r="J45" s="8">
        <v>5604.1458238499999</v>
      </c>
      <c r="K45" s="8">
        <v>6040.2831943800002</v>
      </c>
      <c r="L45" s="8">
        <v>6482.3158754599999</v>
      </c>
      <c r="M45" s="8">
        <v>6929.9372133999996</v>
      </c>
      <c r="N45" s="8">
        <v>7385.0135918599999</v>
      </c>
      <c r="O45" s="8">
        <v>7847.7695005200003</v>
      </c>
      <c r="P45" s="8">
        <v>8318.4332895499992</v>
      </c>
      <c r="Q45" s="8">
        <v>8805.6162843999991</v>
      </c>
      <c r="R45" s="8">
        <v>9309.8053870000003</v>
      </c>
      <c r="S45" s="8">
        <v>9831.4531524600006</v>
      </c>
      <c r="T45" s="8">
        <v>10371.02293177</v>
      </c>
      <c r="U45" s="8">
        <v>10928.98919457</v>
      </c>
      <c r="V45" s="8">
        <v>11505.837655920001</v>
      </c>
      <c r="W45" s="8">
        <v>12102.065477870001</v>
      </c>
      <c r="X45" s="8">
        <v>12718.18146647</v>
      </c>
      <c r="Y45" s="8">
        <v>13342.16342334</v>
      </c>
      <c r="Z45" s="8">
        <v>13974.459596320001</v>
      </c>
      <c r="AA45" s="8">
        <v>14615.41074026</v>
      </c>
      <c r="AB45" s="8">
        <v>15265.362303579999</v>
      </c>
      <c r="AC45" s="8">
        <v>15924.65362074</v>
      </c>
    </row>
    <row r="46" spans="1:29" x14ac:dyDescent="0.85">
      <c r="A46" t="s">
        <v>177</v>
      </c>
      <c r="B46" s="8">
        <v>671.11017932000004</v>
      </c>
      <c r="C46" s="8">
        <v>654.40144514999997</v>
      </c>
      <c r="D46" s="8">
        <v>638.42308188000004</v>
      </c>
      <c r="E46" s="8">
        <v>623.45245513999998</v>
      </c>
      <c r="F46" s="8">
        <v>675.00877331000004</v>
      </c>
      <c r="G46" s="8">
        <v>737.62067056000001</v>
      </c>
      <c r="H46" s="8">
        <v>803.58787368000003</v>
      </c>
      <c r="I46" s="8">
        <v>856.08612667</v>
      </c>
      <c r="J46" s="8">
        <v>927.30262762999996</v>
      </c>
      <c r="K46" s="8">
        <v>999.46908126000005</v>
      </c>
      <c r="L46" s="8">
        <v>1072.6110157400001</v>
      </c>
      <c r="M46" s="8">
        <v>1146.67768993</v>
      </c>
      <c r="N46" s="8">
        <v>1221.9779292200001</v>
      </c>
      <c r="O46" s="8">
        <v>1298.5488792799999</v>
      </c>
      <c r="P46" s="8">
        <v>1376.4283246099999</v>
      </c>
      <c r="Q46" s="8">
        <v>1457.04115759</v>
      </c>
      <c r="R46" s="8">
        <v>1540.4679445300001</v>
      </c>
      <c r="S46" s="8">
        <v>1626.7835685099999</v>
      </c>
      <c r="T46" s="8">
        <v>1716.06469892</v>
      </c>
      <c r="U46" s="8">
        <v>1808.3898449599999</v>
      </c>
      <c r="V46" s="8">
        <v>1903.83937657</v>
      </c>
      <c r="W46" s="8">
        <v>2002.4955577799999</v>
      </c>
      <c r="X46" s="8">
        <v>2104.44257935</v>
      </c>
      <c r="Y46" s="8">
        <v>2207.6911610900002</v>
      </c>
      <c r="Z46" s="8">
        <v>2312.3154733599999</v>
      </c>
      <c r="AA46" s="8">
        <v>2418.3718999100001</v>
      </c>
      <c r="AB46" s="8">
        <v>2525.9176011599998</v>
      </c>
      <c r="AC46" s="8">
        <v>2635.00872583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1.00010548</v>
      </c>
      <c r="E47" s="8">
        <v>1.0005981900000001</v>
      </c>
      <c r="F47" s="8">
        <v>1.0015903799999999</v>
      </c>
      <c r="G47" s="8">
        <v>1.11045627</v>
      </c>
      <c r="H47" s="8">
        <v>1.1173567799999999</v>
      </c>
      <c r="I47" s="8">
        <v>1.1143723699999999</v>
      </c>
      <c r="J47" s="8">
        <v>1.09264597</v>
      </c>
      <c r="K47" s="8">
        <v>1.1054505699999999</v>
      </c>
      <c r="L47" s="8">
        <v>1.10068824</v>
      </c>
      <c r="M47" s="8">
        <v>1.0964543</v>
      </c>
      <c r="N47" s="8">
        <v>1.09298301</v>
      </c>
      <c r="O47" s="8">
        <v>1.08989921</v>
      </c>
      <c r="P47" s="8">
        <v>1.0871430399999999</v>
      </c>
      <c r="Q47" s="8">
        <v>1.0856994099999999</v>
      </c>
      <c r="R47" s="8">
        <v>1.0843568400000001</v>
      </c>
      <c r="S47" s="8">
        <v>1.0830998300000001</v>
      </c>
      <c r="T47" s="8">
        <v>1.08192025</v>
      </c>
      <c r="U47" s="8">
        <v>1.08081103</v>
      </c>
      <c r="V47" s="8">
        <v>1.0797658999999999</v>
      </c>
      <c r="W47" s="8">
        <v>1.0787793299999999</v>
      </c>
      <c r="X47" s="8">
        <v>1.0778464000000001</v>
      </c>
      <c r="Y47" s="8">
        <v>1.07595123</v>
      </c>
      <c r="Z47" s="8">
        <v>1.0742370000000001</v>
      </c>
      <c r="AA47" s="8">
        <v>1.0726729699999999</v>
      </c>
      <c r="AB47" s="8">
        <v>1.0712415799999999</v>
      </c>
      <c r="AC47" s="8">
        <v>1.0699271400000001</v>
      </c>
    </row>
    <row r="48" spans="1:29" x14ac:dyDescent="0.85">
      <c r="A48" t="s">
        <v>179</v>
      </c>
      <c r="B48" s="8">
        <v>1</v>
      </c>
      <c r="C48" s="8">
        <v>1.00010548</v>
      </c>
      <c r="D48" s="8">
        <v>1.0005981900000001</v>
      </c>
      <c r="E48" s="8">
        <v>1.0015903799999999</v>
      </c>
      <c r="F48" s="8">
        <v>1.11045627</v>
      </c>
      <c r="G48" s="8">
        <v>1.12077658</v>
      </c>
      <c r="H48" s="8">
        <v>1.11736659</v>
      </c>
      <c r="I48" s="8">
        <v>1.09264597</v>
      </c>
      <c r="J48" s="8">
        <v>1.1109625400000001</v>
      </c>
      <c r="K48" s="8">
        <v>1.10546057</v>
      </c>
      <c r="L48" s="8">
        <v>1.10069824</v>
      </c>
      <c r="M48" s="8">
        <v>1.0964643000000001</v>
      </c>
      <c r="N48" s="8">
        <v>1.09299301</v>
      </c>
      <c r="O48" s="8">
        <v>1.0899092100000001</v>
      </c>
      <c r="P48" s="8">
        <v>1.08715304</v>
      </c>
      <c r="Q48" s="8">
        <v>1.08570941</v>
      </c>
      <c r="R48" s="8">
        <v>1.0843668399999999</v>
      </c>
      <c r="S48" s="8">
        <v>1.0831098299999999</v>
      </c>
      <c r="T48" s="8">
        <v>1.0819302500000001</v>
      </c>
      <c r="U48" s="8">
        <v>1.0808210300000001</v>
      </c>
      <c r="V48" s="8">
        <v>1.0797759</v>
      </c>
      <c r="W48" s="8">
        <v>1.07878933</v>
      </c>
      <c r="X48" s="8">
        <v>1.0778563999999999</v>
      </c>
      <c r="Y48" s="8">
        <v>1.0759612300000001</v>
      </c>
      <c r="Z48" s="8">
        <v>1.074247</v>
      </c>
      <c r="AA48" s="8">
        <v>1.07268297</v>
      </c>
      <c r="AB48" s="8">
        <v>1.07125158</v>
      </c>
      <c r="AC48" s="8">
        <v>1.06993714</v>
      </c>
    </row>
    <row r="49" spans="1:29" x14ac:dyDescent="0.85">
      <c r="A49" t="s">
        <v>180</v>
      </c>
      <c r="B49" s="8">
        <v>1</v>
      </c>
      <c r="C49" s="8">
        <v>1.11062292</v>
      </c>
      <c r="D49" s="8">
        <v>1.1143023299999999</v>
      </c>
      <c r="E49" s="8">
        <v>1.11892178</v>
      </c>
      <c r="F49" s="8">
        <v>1.1237056000000001</v>
      </c>
      <c r="G49" s="8">
        <v>1.12077658</v>
      </c>
      <c r="H49" s="8">
        <v>1.11736678</v>
      </c>
      <c r="I49" s="8">
        <v>1.11438237</v>
      </c>
      <c r="J49" s="8">
        <v>1.1109625400000001</v>
      </c>
      <c r="K49" s="8">
        <v>1.10546057</v>
      </c>
      <c r="L49" s="8">
        <v>1.10069824</v>
      </c>
      <c r="M49" s="8">
        <v>1.0964643000000001</v>
      </c>
      <c r="N49" s="8">
        <v>1.09299301</v>
      </c>
      <c r="O49" s="8">
        <v>1.0899092100000001</v>
      </c>
      <c r="P49" s="8">
        <v>1.08715304</v>
      </c>
      <c r="Q49" s="8">
        <v>1.08570941</v>
      </c>
      <c r="R49" s="8">
        <v>1.0843668399999999</v>
      </c>
      <c r="S49" s="8">
        <v>1.0831098299999999</v>
      </c>
      <c r="T49" s="8">
        <v>1.0819302500000001</v>
      </c>
      <c r="U49" s="8">
        <v>1.0808210300000001</v>
      </c>
      <c r="V49" s="8">
        <v>1.0797759</v>
      </c>
      <c r="W49" s="8">
        <v>1.07878933</v>
      </c>
      <c r="X49" s="8">
        <v>1.0778563999999999</v>
      </c>
      <c r="Y49" s="8">
        <v>1.0759612300000001</v>
      </c>
      <c r="Z49" s="8">
        <v>1.074247</v>
      </c>
      <c r="AA49" s="8">
        <v>1.07268297</v>
      </c>
      <c r="AB49" s="8">
        <v>1.07125158</v>
      </c>
      <c r="AC49" s="8">
        <v>1.06993714</v>
      </c>
    </row>
    <row r="50" spans="1:29" x14ac:dyDescent="0.85">
      <c r="A50" t="s">
        <v>181</v>
      </c>
      <c r="B50" s="8">
        <v>11541.25</v>
      </c>
      <c r="C50" s="8">
        <v>12388.481055239999</v>
      </c>
      <c r="D50" s="8">
        <v>13475.52262939</v>
      </c>
      <c r="E50" s="8">
        <v>14571.383580559999</v>
      </c>
      <c r="F50" s="8">
        <v>15677.17015172</v>
      </c>
      <c r="G50" s="8">
        <v>16833.380635239999</v>
      </c>
      <c r="H50" s="8">
        <v>18048.215442910001</v>
      </c>
      <c r="I50" s="8">
        <v>18454.655318140001</v>
      </c>
      <c r="J50" s="8">
        <v>18362.47468426</v>
      </c>
      <c r="K50" s="8">
        <v>18267.995928969998</v>
      </c>
      <c r="L50" s="8">
        <v>18134.593392579998</v>
      </c>
      <c r="M50" s="8">
        <v>18134.30876462</v>
      </c>
      <c r="N50" s="8">
        <v>18134.621686909999</v>
      </c>
      <c r="O50" s="8">
        <v>18135.581456</v>
      </c>
      <c r="P50" s="8">
        <v>18081.298925079998</v>
      </c>
      <c r="Q50" s="8">
        <v>18018.348649700001</v>
      </c>
      <c r="R50" s="8">
        <v>17942.720316250001</v>
      </c>
      <c r="S50" s="8">
        <v>17854.070738729999</v>
      </c>
      <c r="T50" s="8">
        <v>17752.051284820001</v>
      </c>
      <c r="U50" s="8">
        <v>17636.291571199999</v>
      </c>
      <c r="V50" s="8">
        <v>17506.405049640001</v>
      </c>
      <c r="W50" s="8">
        <v>17361.98819887</v>
      </c>
      <c r="X50" s="8">
        <v>17272.605075110001</v>
      </c>
      <c r="Y50" s="8">
        <v>17195.123245670002</v>
      </c>
      <c r="Z50" s="8">
        <v>17120.607140799999</v>
      </c>
      <c r="AA50" s="8">
        <v>17049.162617130001</v>
      </c>
      <c r="AB50" s="8">
        <v>16980.031069600002</v>
      </c>
      <c r="AC50" s="8">
        <v>16913.75101118</v>
      </c>
    </row>
    <row r="51" spans="1:29" x14ac:dyDescent="0.85">
      <c r="A51" t="s">
        <v>182</v>
      </c>
      <c r="B51" s="8">
        <v>44835783.357500002</v>
      </c>
      <c r="C51" s="8">
        <v>50317376.250201397</v>
      </c>
      <c r="D51" s="8">
        <v>58043836.1780582</v>
      </c>
      <c r="E51" s="8">
        <v>65830089.756026603</v>
      </c>
      <c r="F51" s="8">
        <v>70300902.738667101</v>
      </c>
      <c r="G51" s="8">
        <v>72176425.768048897</v>
      </c>
      <c r="H51" s="8">
        <v>74296063.703573599</v>
      </c>
      <c r="I51" s="8">
        <v>73558315.537139401</v>
      </c>
      <c r="J51" s="8">
        <v>70127488.455915794</v>
      </c>
      <c r="K51" s="8">
        <v>66655940.482975498</v>
      </c>
      <c r="L51" s="8">
        <v>63160817.804699004</v>
      </c>
      <c r="M51" s="8">
        <v>59654916.952306703</v>
      </c>
      <c r="N51" s="8">
        <v>56120606.6851274</v>
      </c>
      <c r="O51" s="8">
        <v>52574985.720837697</v>
      </c>
      <c r="P51" s="8">
        <v>48620607.311843097</v>
      </c>
      <c r="Q51" s="8">
        <v>44570530.191147201</v>
      </c>
      <c r="R51" s="8">
        <v>40473760.2314445</v>
      </c>
      <c r="S51" s="8">
        <v>36386476.539707199</v>
      </c>
      <c r="T51" s="8">
        <v>32387333.0322273</v>
      </c>
      <c r="U51" s="8">
        <v>28540567.4737707</v>
      </c>
      <c r="V51" s="8">
        <v>24914198.9915759</v>
      </c>
      <c r="W51" s="8">
        <v>21558913.3104521</v>
      </c>
      <c r="X51" s="8">
        <v>18881650.535166699</v>
      </c>
      <c r="Y51" s="8">
        <v>16529312.423098899</v>
      </c>
      <c r="Z51" s="8">
        <v>14476757.5019492</v>
      </c>
      <c r="AA51" s="8">
        <v>12687624.9451057</v>
      </c>
      <c r="AB51" s="8">
        <v>11131291.717534799</v>
      </c>
      <c r="AC51" s="8">
        <v>9779852.4237363301</v>
      </c>
    </row>
    <row r="52" spans="1:29" x14ac:dyDescent="0.85">
      <c r="A52" t="s">
        <v>183</v>
      </c>
      <c r="B52" s="8">
        <v>44835783.357500002</v>
      </c>
      <c r="C52" s="8">
        <v>50317376.250201397</v>
      </c>
      <c r="D52" s="8">
        <v>58043836.1780582</v>
      </c>
      <c r="E52" s="8">
        <v>65830089.756026603</v>
      </c>
      <c r="F52" s="8">
        <v>70300902.738667101</v>
      </c>
      <c r="G52" s="8">
        <v>72176425.768048897</v>
      </c>
      <c r="H52" s="8">
        <v>74296063.703573599</v>
      </c>
      <c r="I52" s="8">
        <v>73558315.537139401</v>
      </c>
      <c r="J52" s="8">
        <v>70127488.455915794</v>
      </c>
      <c r="K52" s="8">
        <v>66655940.482975498</v>
      </c>
      <c r="L52" s="8">
        <v>63160817.804699004</v>
      </c>
      <c r="M52" s="8">
        <v>59654916.952306703</v>
      </c>
      <c r="N52" s="8">
        <v>56120606.6851274</v>
      </c>
      <c r="O52" s="8">
        <v>52574985.720837697</v>
      </c>
      <c r="P52" s="8">
        <v>48620607.311843097</v>
      </c>
      <c r="Q52" s="8">
        <v>44570530.191147201</v>
      </c>
      <c r="R52" s="8">
        <v>40473760.2314445</v>
      </c>
      <c r="S52" s="8">
        <v>36386476.539707199</v>
      </c>
      <c r="T52" s="8">
        <v>32387333.0322273</v>
      </c>
      <c r="U52" s="8">
        <v>28540567.4737707</v>
      </c>
      <c r="V52" s="8">
        <v>24914198.9915759</v>
      </c>
      <c r="W52" s="8">
        <v>21558913.3104521</v>
      </c>
      <c r="X52" s="8">
        <v>18881650.535166699</v>
      </c>
      <c r="Y52" s="8">
        <v>16529312.423098899</v>
      </c>
      <c r="Z52" s="8">
        <v>14476757.5019492</v>
      </c>
      <c r="AA52" s="8">
        <v>12687624.9451057</v>
      </c>
      <c r="AB52" s="8">
        <v>11131291.717534799</v>
      </c>
      <c r="AC52" s="8">
        <v>9779852.4237363301</v>
      </c>
    </row>
    <row r="53" spans="1:29" x14ac:dyDescent="0.85">
      <c r="A53" t="s">
        <v>184</v>
      </c>
      <c r="B53" s="8">
        <v>2214.5168424499998</v>
      </c>
      <c r="C53" s="8">
        <v>2430.52418046</v>
      </c>
      <c r="D53" s="8">
        <v>2724.5891400999999</v>
      </c>
      <c r="E53" s="8">
        <v>3020.9693257099998</v>
      </c>
      <c r="F53" s="8">
        <v>3237.4164252800001</v>
      </c>
      <c r="G53" s="8">
        <v>3395.4340367099999</v>
      </c>
      <c r="H53" s="8">
        <v>3565.0998050200001</v>
      </c>
      <c r="I53" s="8">
        <v>3586.5594255400001</v>
      </c>
      <c r="J53" s="8">
        <v>3493.89755668</v>
      </c>
      <c r="K53" s="8">
        <v>3400.0189766799999</v>
      </c>
      <c r="L53" s="8">
        <v>3301.7861187200001</v>
      </c>
      <c r="M53" s="8">
        <v>3216.21450379</v>
      </c>
      <c r="N53" s="8">
        <v>3130.00771446</v>
      </c>
      <c r="O53" s="8">
        <v>3043.5877455599998</v>
      </c>
      <c r="P53" s="8">
        <v>2941.8306978099999</v>
      </c>
      <c r="Q53" s="8">
        <v>2836.8970623700002</v>
      </c>
      <c r="R53" s="8">
        <v>2729.5932268400002</v>
      </c>
      <c r="S53" s="8">
        <v>2621.2566419700001</v>
      </c>
      <c r="T53" s="8">
        <v>2513.7726151100001</v>
      </c>
      <c r="U53" s="8">
        <v>2408.6725877200001</v>
      </c>
      <c r="V53" s="8">
        <v>2307.5786970700001</v>
      </c>
      <c r="W53" s="8">
        <v>2211.6884975500002</v>
      </c>
      <c r="X53" s="8">
        <v>2137.6852040799999</v>
      </c>
      <c r="Y53" s="8">
        <v>2072.7655523100002</v>
      </c>
      <c r="Z53" s="8">
        <v>2015.44854842</v>
      </c>
      <c r="AA53" s="8">
        <v>1964.8572657300001</v>
      </c>
      <c r="AB53" s="8">
        <v>1920.1708502700001</v>
      </c>
      <c r="AC53" s="8">
        <v>1880.7606938599999</v>
      </c>
    </row>
    <row r="54" spans="1:29" x14ac:dyDescent="0.85">
      <c r="A54" t="s">
        <v>185</v>
      </c>
      <c r="B54" s="8">
        <v>0</v>
      </c>
      <c r="C54" s="8">
        <v>493.11028725</v>
      </c>
      <c r="D54" s="8">
        <v>1137.6591890899999</v>
      </c>
      <c r="E54" s="8">
        <v>1935.4046388300001</v>
      </c>
      <c r="F54" s="8">
        <v>2755.7953873599999</v>
      </c>
      <c r="G54" s="8">
        <v>3536.6448626299998</v>
      </c>
      <c r="H54" s="8">
        <v>4368.6085457700001</v>
      </c>
      <c r="I54" s="8">
        <v>5046.1004458500001</v>
      </c>
      <c r="J54" s="8">
        <v>5497.9950949399999</v>
      </c>
      <c r="K54" s="8">
        <v>5879.0539505999996</v>
      </c>
      <c r="L54" s="8">
        <v>6189.7601448599999</v>
      </c>
      <c r="M54" s="8">
        <v>6430.8000474600003</v>
      </c>
      <c r="N54" s="8">
        <v>6599.7833461700002</v>
      </c>
      <c r="O54" s="8">
        <v>6698.0531808300002</v>
      </c>
      <c r="P54" s="8">
        <v>6670.7473231800004</v>
      </c>
      <c r="Q54" s="8">
        <v>6551.8679381000002</v>
      </c>
      <c r="R54" s="8">
        <v>6346.2856042900003</v>
      </c>
      <c r="S54" s="8">
        <v>6061.9869915199997</v>
      </c>
      <c r="T54" s="8">
        <v>5713.12554688</v>
      </c>
      <c r="U54" s="8">
        <v>5314.2536636200002</v>
      </c>
      <c r="V54" s="8">
        <v>4883.1830023499997</v>
      </c>
      <c r="W54" s="8">
        <v>4436.8243592899998</v>
      </c>
      <c r="X54" s="8">
        <v>4070.8838553800001</v>
      </c>
      <c r="Y54" s="8">
        <v>3725.7070201699999</v>
      </c>
      <c r="Z54" s="8">
        <v>3404.9333644600001</v>
      </c>
      <c r="AA54" s="8">
        <v>3108.4681115499998</v>
      </c>
      <c r="AB54" s="8">
        <v>2836.2531296299999</v>
      </c>
      <c r="AC54" s="8">
        <v>2587.7489513199998</v>
      </c>
    </row>
    <row r="55" spans="1:29" x14ac:dyDescent="0.85">
      <c r="A55" t="s">
        <v>186</v>
      </c>
      <c r="B55" s="8">
        <v>21.969533850000001</v>
      </c>
      <c r="C55" s="8">
        <v>24.655514360000002</v>
      </c>
      <c r="D55" s="8">
        <v>28.441479730000001</v>
      </c>
      <c r="E55" s="8">
        <v>32.256743980000003</v>
      </c>
      <c r="F55" s="8">
        <v>34.447442340000002</v>
      </c>
      <c r="G55" s="8">
        <v>35.366448630000001</v>
      </c>
      <c r="H55" s="8">
        <v>36.405071210000003</v>
      </c>
      <c r="I55" s="8">
        <v>36.04357461</v>
      </c>
      <c r="J55" s="8">
        <v>34.362469339999997</v>
      </c>
      <c r="K55" s="8">
        <v>32.661410840000002</v>
      </c>
      <c r="L55" s="8">
        <v>30.948800720000001</v>
      </c>
      <c r="M55" s="8">
        <v>29.230909310000001</v>
      </c>
      <c r="N55" s="8">
        <v>27.499097280000001</v>
      </c>
      <c r="O55" s="8">
        <v>25.761742999999999</v>
      </c>
      <c r="P55" s="8">
        <v>23.82409758</v>
      </c>
      <c r="Q55" s="8">
        <v>21.839559789999999</v>
      </c>
      <c r="R55" s="8">
        <v>19.832142510000001</v>
      </c>
      <c r="S55" s="8">
        <v>17.829373499999999</v>
      </c>
      <c r="T55" s="8">
        <v>15.869793189999999</v>
      </c>
      <c r="U55" s="8">
        <v>13.98487806</v>
      </c>
      <c r="V55" s="8">
        <v>12.20795751</v>
      </c>
      <c r="W55" s="8">
        <v>10.563867520000001</v>
      </c>
      <c r="X55" s="8">
        <v>9.2520087600000007</v>
      </c>
      <c r="Y55" s="8">
        <v>8.0993630900000007</v>
      </c>
      <c r="Z55" s="8">
        <v>7.0936111799999999</v>
      </c>
      <c r="AA55" s="8">
        <v>6.21693622</v>
      </c>
      <c r="AB55" s="8">
        <v>5.4543329399999996</v>
      </c>
      <c r="AC55" s="8">
        <v>4.7921276900000001</v>
      </c>
    </row>
    <row r="56" spans="1:29" x14ac:dyDescent="0.85">
      <c r="A56" t="s">
        <v>187</v>
      </c>
      <c r="B56" s="8">
        <v>1120.52372853</v>
      </c>
      <c r="C56" s="8">
        <v>1202.7801999599999</v>
      </c>
      <c r="D56" s="8">
        <v>1308.3195373599999</v>
      </c>
      <c r="E56" s="8">
        <v>1414.71513566</v>
      </c>
      <c r="F56" s="8">
        <v>1522.07439845</v>
      </c>
      <c r="G56" s="8">
        <v>1634.3292479700001</v>
      </c>
      <c r="H56" s="8">
        <v>1752.2758506499999</v>
      </c>
      <c r="I56" s="8">
        <v>1791.73652644</v>
      </c>
      <c r="J56" s="8">
        <v>1782.7868383499999</v>
      </c>
      <c r="K56" s="8">
        <v>1773.6140289</v>
      </c>
      <c r="L56" s="8">
        <v>1760.6621642800001</v>
      </c>
      <c r="M56" s="8">
        <v>1760.6345301599999</v>
      </c>
      <c r="N56" s="8">
        <v>1760.6649113399999</v>
      </c>
      <c r="O56" s="8">
        <v>1760.7580939699999</v>
      </c>
      <c r="P56" s="8">
        <v>1755.4878794000001</v>
      </c>
      <c r="Q56" s="8">
        <v>1749.37612571</v>
      </c>
      <c r="R56" s="8">
        <v>1742.03347719</v>
      </c>
      <c r="S56" s="8">
        <v>1733.42661441</v>
      </c>
      <c r="T56" s="8">
        <v>1723.5216891299999</v>
      </c>
      <c r="U56" s="8">
        <v>1712.28274136</v>
      </c>
      <c r="V56" s="8">
        <v>1699.6722416800001</v>
      </c>
      <c r="W56" s="8">
        <v>1685.65101278</v>
      </c>
      <c r="X56" s="8">
        <v>1676.97293102</v>
      </c>
      <c r="Y56" s="8">
        <v>1669.4503291799999</v>
      </c>
      <c r="Z56" s="8">
        <v>1662.21566538</v>
      </c>
      <c r="AA56" s="8">
        <v>1655.27921707</v>
      </c>
      <c r="AB56" s="8">
        <v>1648.5673323599999</v>
      </c>
      <c r="AC56" s="8">
        <v>1642.1322947199999</v>
      </c>
    </row>
    <row r="57" spans="1:29" x14ac:dyDescent="0.85">
      <c r="A57" t="s">
        <v>188</v>
      </c>
      <c r="B57" s="8">
        <v>1093.99311392</v>
      </c>
      <c r="C57" s="8">
        <v>1227.7439804999999</v>
      </c>
      <c r="D57" s="8">
        <v>1416.26960274</v>
      </c>
      <c r="E57" s="8">
        <v>1606.25419005</v>
      </c>
      <c r="F57" s="8">
        <v>1715.34202682</v>
      </c>
      <c r="G57" s="8">
        <v>1761.10478874</v>
      </c>
      <c r="H57" s="8">
        <v>1812.8239543699999</v>
      </c>
      <c r="I57" s="8">
        <v>1794.82289911</v>
      </c>
      <c r="J57" s="8">
        <v>1711.1107183199999</v>
      </c>
      <c r="K57" s="8">
        <v>1626.4049477799999</v>
      </c>
      <c r="L57" s="8">
        <v>1541.1239544299999</v>
      </c>
      <c r="M57" s="8">
        <v>1455.5799736399999</v>
      </c>
      <c r="N57" s="8">
        <v>1369.3428031200001</v>
      </c>
      <c r="O57" s="8">
        <v>1282.8296515899999</v>
      </c>
      <c r="P57" s="8">
        <v>1186.3428184100001</v>
      </c>
      <c r="Q57" s="8">
        <v>1087.52093666</v>
      </c>
      <c r="R57" s="8">
        <v>987.55974964999996</v>
      </c>
      <c r="S57" s="8">
        <v>887.83002756999997</v>
      </c>
      <c r="T57" s="8">
        <v>790.25092599000004</v>
      </c>
      <c r="U57" s="8">
        <v>696.38984635999998</v>
      </c>
      <c r="V57" s="8">
        <v>607.90645539000002</v>
      </c>
      <c r="W57" s="8">
        <v>526.03748478</v>
      </c>
      <c r="X57" s="8">
        <v>460.71227305999997</v>
      </c>
      <c r="Y57" s="8">
        <v>403.31522311999998</v>
      </c>
      <c r="Z57" s="8">
        <v>353.23288305</v>
      </c>
      <c r="AA57" s="8">
        <v>309.57804865999998</v>
      </c>
      <c r="AB57" s="8">
        <v>271.60351790999999</v>
      </c>
      <c r="AC57" s="8">
        <v>238.62839914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1.11813432</v>
      </c>
      <c r="E58" s="8">
        <v>1.1263674299999999</v>
      </c>
      <c r="F58" s="8">
        <v>1.12070621</v>
      </c>
      <c r="G58" s="8">
        <v>1.11848087</v>
      </c>
      <c r="H58" s="8">
        <v>1.1168327600000001</v>
      </c>
      <c r="I58" s="8">
        <v>1.1153759999999999</v>
      </c>
      <c r="J58" s="8">
        <v>1.0651246599999999</v>
      </c>
      <c r="K58" s="8">
        <v>1.0364635600000001</v>
      </c>
      <c r="L58" s="8">
        <v>1.0363070700000001</v>
      </c>
      <c r="M58" s="8">
        <v>1.0340598700000001</v>
      </c>
      <c r="N58" s="8">
        <v>1.04165032</v>
      </c>
      <c r="O58" s="8">
        <v>1.0416846399999999</v>
      </c>
      <c r="P58" s="8">
        <v>1.0417217999999999</v>
      </c>
      <c r="Q58" s="8">
        <v>1.0385488</v>
      </c>
      <c r="R58" s="8">
        <v>1.03804009</v>
      </c>
      <c r="S58" s="8">
        <v>1.0372944799999999</v>
      </c>
      <c r="T58" s="8">
        <v>1.0365201100000001</v>
      </c>
      <c r="U58" s="8">
        <v>1.03571451</v>
      </c>
      <c r="V58" s="8">
        <v>1.0348740400000001</v>
      </c>
      <c r="W58" s="8">
        <v>1.03399507</v>
      </c>
      <c r="X58" s="8">
        <v>1.03307357</v>
      </c>
      <c r="Y58" s="8">
        <v>1.03630395</v>
      </c>
      <c r="Z58" s="8">
        <v>1.0369939399999999</v>
      </c>
      <c r="AA58" s="8">
        <v>1.0371525399999999</v>
      </c>
      <c r="AB58" s="8">
        <v>1.03731978</v>
      </c>
      <c r="AC58" s="8">
        <v>1.03744288</v>
      </c>
    </row>
    <row r="59" spans="1:29" x14ac:dyDescent="0.85">
      <c r="A59" t="s">
        <v>190</v>
      </c>
      <c r="B59" s="8">
        <v>1</v>
      </c>
      <c r="C59" s="8">
        <v>1.11813432</v>
      </c>
      <c r="D59" s="8">
        <v>1.13306891</v>
      </c>
      <c r="E59" s="8">
        <v>1.12637743</v>
      </c>
      <c r="F59" s="8">
        <v>1.1207161999999999</v>
      </c>
      <c r="G59" s="8">
        <v>1.1184908600000001</v>
      </c>
      <c r="H59" s="8">
        <v>1.11684188</v>
      </c>
      <c r="I59" s="8">
        <v>1.0651246599999999</v>
      </c>
      <c r="J59" s="8">
        <v>1.0364635600000001</v>
      </c>
      <c r="K59" s="8">
        <v>1.0363070700000001</v>
      </c>
      <c r="L59" s="8">
        <v>1.0340598700000001</v>
      </c>
      <c r="M59" s="8">
        <v>1.04165032</v>
      </c>
      <c r="N59" s="8">
        <v>1.0416846399999999</v>
      </c>
      <c r="O59" s="8">
        <v>1.0417217999999999</v>
      </c>
      <c r="P59" s="8">
        <v>1.0385488</v>
      </c>
      <c r="Q59" s="8">
        <v>1.03804009</v>
      </c>
      <c r="R59" s="8">
        <v>1.0372944799999999</v>
      </c>
      <c r="S59" s="8">
        <v>1.0365201100000001</v>
      </c>
      <c r="T59" s="8">
        <v>1.03571451</v>
      </c>
      <c r="U59" s="8">
        <v>1.0348740400000001</v>
      </c>
      <c r="V59" s="8">
        <v>1.03399507</v>
      </c>
      <c r="W59" s="8">
        <v>1.03307357</v>
      </c>
      <c r="X59" s="8">
        <v>1.03630395</v>
      </c>
      <c r="Y59" s="8">
        <v>1.0369939399999999</v>
      </c>
      <c r="Z59" s="8">
        <v>1.0371525399999999</v>
      </c>
      <c r="AA59" s="8">
        <v>1.03731978</v>
      </c>
      <c r="AB59" s="8">
        <v>1.03744288</v>
      </c>
      <c r="AC59" s="8">
        <v>1.0376006099999999</v>
      </c>
    </row>
    <row r="60" spans="1:29" x14ac:dyDescent="0.85">
      <c r="A60" t="s">
        <v>191</v>
      </c>
      <c r="B60" s="8">
        <v>1</v>
      </c>
      <c r="C60" s="8">
        <v>1.13961169</v>
      </c>
      <c r="D60" s="8">
        <v>1.13306891</v>
      </c>
      <c r="E60" s="8">
        <v>1.12637743</v>
      </c>
      <c r="F60" s="8">
        <v>1.1207162100000001</v>
      </c>
      <c r="G60" s="8">
        <v>1.11849087</v>
      </c>
      <c r="H60" s="8">
        <v>1.1168427599999999</v>
      </c>
      <c r="I60" s="8">
        <v>1.115386</v>
      </c>
      <c r="J60" s="8">
        <v>1.11577865</v>
      </c>
      <c r="K60" s="8">
        <v>1.1179604299999999</v>
      </c>
      <c r="L60" s="8">
        <v>1.12021602</v>
      </c>
      <c r="M60" s="8">
        <v>1.1226568100000001</v>
      </c>
      <c r="N60" s="8">
        <v>1.124765</v>
      </c>
      <c r="O60" s="8">
        <v>1.1269261399999999</v>
      </c>
      <c r="P60" s="8">
        <v>1.1291407899999999</v>
      </c>
      <c r="Q60" s="8">
        <v>1.1335392900000001</v>
      </c>
      <c r="R60" s="8">
        <v>1.1381445400000001</v>
      </c>
      <c r="S60" s="8">
        <v>1.14298609</v>
      </c>
      <c r="T60" s="8">
        <v>1.14808256</v>
      </c>
      <c r="U60" s="8">
        <v>1.1534545899999999</v>
      </c>
      <c r="V60" s="8">
        <v>1.15912511</v>
      </c>
      <c r="W60" s="8">
        <v>1.1651197200000001</v>
      </c>
      <c r="X60" s="8">
        <v>1.1714670300000001</v>
      </c>
      <c r="Y60" s="8">
        <v>1.17476085</v>
      </c>
      <c r="Z60" s="8">
        <v>1.17808964</v>
      </c>
      <c r="AA60" s="8">
        <v>1.1815075500000001</v>
      </c>
      <c r="AB60" s="8">
        <v>1.1850144300000001</v>
      </c>
      <c r="AC60" s="8">
        <v>1.18861609</v>
      </c>
    </row>
    <row r="61" spans="1:29" x14ac:dyDescent="0.85">
      <c r="A61" t="s">
        <v>192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5329.5953094400002</v>
      </c>
      <c r="J61" s="8">
        <v>5196.3554267</v>
      </c>
      <c r="K61" s="8">
        <v>5066.4465410399998</v>
      </c>
      <c r="L61" s="8">
        <v>4939.7853775100002</v>
      </c>
      <c r="M61" s="8">
        <v>4816.2907430699997</v>
      </c>
      <c r="N61" s="8">
        <v>4695.8834744899996</v>
      </c>
      <c r="O61" s="8">
        <v>4578.4863876299996</v>
      </c>
      <c r="P61" s="8">
        <v>4464.0242279399999</v>
      </c>
      <c r="Q61" s="8">
        <v>4352.4236222400004</v>
      </c>
      <c r="R61" s="8">
        <v>4243.6130316899998</v>
      </c>
      <c r="S61" s="8">
        <v>4137.52270589</v>
      </c>
      <c r="T61" s="8">
        <v>4034.0846382499999</v>
      </c>
      <c r="U61" s="8">
        <v>3933.2325222899999</v>
      </c>
      <c r="V61" s="8">
        <v>3834.9017092300001</v>
      </c>
      <c r="W61" s="8">
        <v>3739.0291665</v>
      </c>
      <c r="X61" s="8">
        <v>3645.5534373400001</v>
      </c>
      <c r="Y61" s="8">
        <v>3554.4146014100002</v>
      </c>
      <c r="Z61" s="8">
        <v>3465.5542363700001</v>
      </c>
      <c r="AA61" s="8">
        <v>3378.9153804600001</v>
      </c>
      <c r="AB61" s="8">
        <v>3294.4424959500002</v>
      </c>
      <c r="AC61" s="8">
        <v>3212.0814335499999</v>
      </c>
    </row>
    <row r="62" spans="1:29" x14ac:dyDescent="0.85">
      <c r="A62" t="s">
        <v>193</v>
      </c>
      <c r="B62" s="8">
        <v>23747776.297499999</v>
      </c>
      <c r="C62" s="8">
        <v>23059627.645010602</v>
      </c>
      <c r="D62" s="8">
        <v>20115393.858897202</v>
      </c>
      <c r="E62" s="8">
        <v>17073949.1292945</v>
      </c>
      <c r="F62" s="8">
        <v>10831169.7262567</v>
      </c>
      <c r="G62" s="8">
        <v>6155267.2083093096</v>
      </c>
      <c r="H62" s="8">
        <v>969389.77703641006</v>
      </c>
      <c r="I62" s="8">
        <v>17282.874827840002</v>
      </c>
      <c r="J62" s="8">
        <v>7.2109000000000001E-3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23747776.297499999</v>
      </c>
      <c r="C63" s="8">
        <v>23059627.645010602</v>
      </c>
      <c r="D63" s="8">
        <v>20115393.858897202</v>
      </c>
      <c r="E63" s="8">
        <v>17073949.1292945</v>
      </c>
      <c r="F63" s="8">
        <v>10831169.7262567</v>
      </c>
      <c r="G63" s="8">
        <v>6155267.2083093096</v>
      </c>
      <c r="H63" s="8">
        <v>969389.77703641006</v>
      </c>
      <c r="I63" s="8">
        <v>17282.874827840002</v>
      </c>
      <c r="J63" s="8">
        <v>7.2109000000000001E-3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2123.0140647600001</v>
      </c>
      <c r="C64" s="8">
        <v>2067.7398183199998</v>
      </c>
      <c r="D64" s="8">
        <v>1960.92526361</v>
      </c>
      <c r="E64" s="8">
        <v>1852.80445794</v>
      </c>
      <c r="F64" s="8">
        <v>1671.0894803799999</v>
      </c>
      <c r="G64" s="8">
        <v>1526.76097353</v>
      </c>
      <c r="H64" s="8">
        <v>1371.4470881100001</v>
      </c>
      <c r="I64" s="8">
        <v>1315.5600470700001</v>
      </c>
      <c r="J64" s="8">
        <v>1282.27875937</v>
      </c>
      <c r="K64" s="8">
        <v>1250.22179022</v>
      </c>
      <c r="L64" s="8">
        <v>1218.9662454700001</v>
      </c>
      <c r="M64" s="8">
        <v>1188.49208933</v>
      </c>
      <c r="N64" s="8">
        <v>1158.7797871</v>
      </c>
      <c r="O64" s="8">
        <v>1129.81029242</v>
      </c>
      <c r="P64" s="8">
        <v>1101.5650351100001</v>
      </c>
      <c r="Q64" s="8">
        <v>1074.02590923</v>
      </c>
      <c r="R64" s="8">
        <v>1047.1752615</v>
      </c>
      <c r="S64" s="8">
        <v>1020.99587996</v>
      </c>
      <c r="T64" s="8">
        <v>995.47098297000002</v>
      </c>
      <c r="U64" s="8">
        <v>970.58420838999996</v>
      </c>
      <c r="V64" s="8">
        <v>946.31960317999994</v>
      </c>
      <c r="W64" s="8">
        <v>922.66161309999995</v>
      </c>
      <c r="X64" s="8">
        <v>899.59507277</v>
      </c>
      <c r="Y64" s="8">
        <v>877.10519595000005</v>
      </c>
      <c r="Z64" s="8">
        <v>855.17756606</v>
      </c>
      <c r="AA64" s="8">
        <v>833.79812690000006</v>
      </c>
      <c r="AB64" s="8">
        <v>812.95317373</v>
      </c>
      <c r="AC64" s="8">
        <v>792.62934439000003</v>
      </c>
    </row>
    <row r="65" spans="1:29" x14ac:dyDescent="0.85">
      <c r="A65" t="s">
        <v>196</v>
      </c>
      <c r="B65" s="8">
        <v>0</v>
      </c>
      <c r="C65" s="8">
        <v>378.17789338</v>
      </c>
      <c r="D65" s="8">
        <v>659.78491856999995</v>
      </c>
      <c r="E65" s="8">
        <v>840.03829715999996</v>
      </c>
      <c r="F65" s="8">
        <v>710.52473404</v>
      </c>
      <c r="G65" s="8">
        <v>504.73191107999997</v>
      </c>
      <c r="H65" s="8">
        <v>95.387954059999998</v>
      </c>
      <c r="I65" s="8">
        <v>1.9840740299999999</v>
      </c>
      <c r="J65" s="8">
        <v>9.5000000000000001E-7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19.473176559999999</v>
      </c>
      <c r="C66" s="8">
        <v>18.908894669999999</v>
      </c>
      <c r="D66" s="8">
        <v>16.494622960000001</v>
      </c>
      <c r="E66" s="8">
        <v>14.000638289999999</v>
      </c>
      <c r="F66" s="8">
        <v>8.88155918</v>
      </c>
      <c r="G66" s="8">
        <v>5.0473191100000001</v>
      </c>
      <c r="H66" s="8">
        <v>0.79489962000000003</v>
      </c>
      <c r="I66" s="8">
        <v>1.4171960000000001E-2</v>
      </c>
      <c r="J66" s="8">
        <v>1E-8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1570.16583255</v>
      </c>
      <c r="C67" s="8">
        <v>1530.9116867400001</v>
      </c>
      <c r="D67" s="8">
        <v>1492.63889457</v>
      </c>
      <c r="E67" s="8">
        <v>1455.3229222099999</v>
      </c>
      <c r="F67" s="8">
        <v>1418.9398491500001</v>
      </c>
      <c r="G67" s="8">
        <v>1383.46635292</v>
      </c>
      <c r="H67" s="8">
        <v>1348.8796941000001</v>
      </c>
      <c r="I67" s="8">
        <v>1315.1577017499999</v>
      </c>
      <c r="J67" s="8">
        <v>1282.2787592</v>
      </c>
      <c r="K67" s="8">
        <v>1250.22179022</v>
      </c>
      <c r="L67" s="8">
        <v>1218.9662454700001</v>
      </c>
      <c r="M67" s="8">
        <v>1188.49208933</v>
      </c>
      <c r="N67" s="8">
        <v>1158.7797871</v>
      </c>
      <c r="O67" s="8">
        <v>1129.81029242</v>
      </c>
      <c r="P67" s="8">
        <v>1101.5650351100001</v>
      </c>
      <c r="Q67" s="8">
        <v>1074.02590923</v>
      </c>
      <c r="R67" s="8">
        <v>1047.1752615</v>
      </c>
      <c r="S67" s="8">
        <v>1020.99587996</v>
      </c>
      <c r="T67" s="8">
        <v>995.47098297000002</v>
      </c>
      <c r="U67" s="8">
        <v>970.58420838999996</v>
      </c>
      <c r="V67" s="8">
        <v>946.31960317999994</v>
      </c>
      <c r="W67" s="8">
        <v>922.66161309999995</v>
      </c>
      <c r="X67" s="8">
        <v>899.59507277</v>
      </c>
      <c r="Y67" s="8">
        <v>877.10519595000005</v>
      </c>
      <c r="Z67" s="8">
        <v>855.17756606</v>
      </c>
      <c r="AA67" s="8">
        <v>833.79812690000006</v>
      </c>
      <c r="AB67" s="8">
        <v>812.95317373</v>
      </c>
      <c r="AC67" s="8">
        <v>792.62934439000003</v>
      </c>
    </row>
    <row r="68" spans="1:29" x14ac:dyDescent="0.85">
      <c r="A68" t="s">
        <v>199</v>
      </c>
      <c r="B68" s="8">
        <v>552.84823220999999</v>
      </c>
      <c r="C68" s="8">
        <v>536.82813157999999</v>
      </c>
      <c r="D68" s="8">
        <v>468.28636904000001</v>
      </c>
      <c r="E68" s="8">
        <v>397.48153573000002</v>
      </c>
      <c r="F68" s="8">
        <v>252.14963123000001</v>
      </c>
      <c r="G68" s="8">
        <v>143.29462061000001</v>
      </c>
      <c r="H68" s="8">
        <v>22.567394010000001</v>
      </c>
      <c r="I68" s="8">
        <v>0.40234533</v>
      </c>
      <c r="J68" s="8">
        <v>1.6999999999999999E-7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0.99592062000000003</v>
      </c>
      <c r="E69" s="8">
        <v>0.89468804999999996</v>
      </c>
      <c r="F69" s="8">
        <v>0.87056425000000004</v>
      </c>
      <c r="G69" s="8">
        <v>0.65063400999999998</v>
      </c>
      <c r="H69" s="8">
        <v>0.58286360000000004</v>
      </c>
      <c r="I69" s="8">
        <v>0.16152765999999999</v>
      </c>
      <c r="J69" s="8">
        <v>1.8285760000000002E-2</v>
      </c>
      <c r="K69" s="8">
        <v>4.3000000000000001E-7</v>
      </c>
      <c r="L69" s="8">
        <v>3.3000000000000002E-7</v>
      </c>
      <c r="M69" s="8">
        <v>3.2000000000000001E-7</v>
      </c>
      <c r="N69" s="8">
        <v>3.1E-7</v>
      </c>
      <c r="O69" s="8">
        <v>1.9099999999999999E-6</v>
      </c>
      <c r="P69" s="8">
        <v>1.95E-6</v>
      </c>
      <c r="Q69" s="8">
        <v>0.99999093999999999</v>
      </c>
      <c r="R69" s="8">
        <v>0.9994092</v>
      </c>
      <c r="S69" s="8">
        <v>0.99999983000000003</v>
      </c>
      <c r="T69" s="8">
        <v>0.99999791999999998</v>
      </c>
      <c r="U69" s="8">
        <v>0.99962443000000001</v>
      </c>
      <c r="V69" s="8">
        <v>0.99983659999999996</v>
      </c>
      <c r="W69" s="8">
        <v>0.99999360000000004</v>
      </c>
      <c r="X69" s="8">
        <v>0.99977771000000004</v>
      </c>
      <c r="Y69" s="8">
        <v>0.97954083000000003</v>
      </c>
      <c r="Z69" s="8">
        <v>0.91207828999999996</v>
      </c>
      <c r="AA69" s="8">
        <v>0.99778480000000003</v>
      </c>
      <c r="AB69" s="8">
        <v>0.99089115999999999</v>
      </c>
      <c r="AC69" s="8">
        <v>0.98062505</v>
      </c>
    </row>
    <row r="70" spans="1:29" x14ac:dyDescent="0.85">
      <c r="A70" t="s">
        <v>201</v>
      </c>
      <c r="B70" s="8">
        <v>1</v>
      </c>
      <c r="C70" s="8">
        <v>0.99592062000000003</v>
      </c>
      <c r="D70" s="8">
        <v>0.89468804999999996</v>
      </c>
      <c r="E70" s="8">
        <v>0.87056425000000004</v>
      </c>
      <c r="F70" s="8">
        <v>0.65063400999999998</v>
      </c>
      <c r="G70" s="8">
        <v>0.58286360000000004</v>
      </c>
      <c r="H70" s="8">
        <v>0.16152765999999999</v>
      </c>
      <c r="I70" s="8">
        <v>1.8285760000000002E-2</v>
      </c>
      <c r="J70" s="8">
        <v>4.3000000000000001E-7</v>
      </c>
      <c r="K70" s="8">
        <v>3.3000000000000002E-7</v>
      </c>
      <c r="L70" s="8">
        <v>3.2000000000000001E-7</v>
      </c>
      <c r="M70" s="8">
        <v>3.1E-7</v>
      </c>
      <c r="N70" s="8">
        <v>1.9099999999999999E-6</v>
      </c>
      <c r="O70" s="8">
        <v>1.95E-6</v>
      </c>
      <c r="P70" s="8">
        <v>0.99999093999999999</v>
      </c>
      <c r="Q70" s="8">
        <v>0.9994092</v>
      </c>
      <c r="R70" s="8">
        <v>0.99999983000000003</v>
      </c>
      <c r="S70" s="8">
        <v>0.99999791999999998</v>
      </c>
      <c r="T70" s="8">
        <v>0.99962443000000001</v>
      </c>
      <c r="U70" s="8">
        <v>0.99983659999999996</v>
      </c>
      <c r="V70" s="8">
        <v>0.99999360000000004</v>
      </c>
      <c r="W70" s="8">
        <v>0.99977771000000004</v>
      </c>
      <c r="X70" s="8">
        <v>0.97954083000000003</v>
      </c>
      <c r="Y70" s="8">
        <v>0.91207828999999996</v>
      </c>
      <c r="Z70" s="8">
        <v>0.99778480000000003</v>
      </c>
      <c r="AA70" s="8">
        <v>0.99089115999999999</v>
      </c>
      <c r="AB70" s="8">
        <v>0.98062505</v>
      </c>
      <c r="AC70" s="8">
        <v>0.96526670999999997</v>
      </c>
    </row>
    <row r="71" spans="1:29" x14ac:dyDescent="0.85">
      <c r="A71" t="s">
        <v>202</v>
      </c>
      <c r="B71" s="8">
        <v>1</v>
      </c>
      <c r="C71" s="8">
        <v>1.54054914</v>
      </c>
      <c r="D71" s="8">
        <v>1.5617412399999999</v>
      </c>
      <c r="E71" s="8">
        <v>1.5886187000000001</v>
      </c>
      <c r="F71" s="8">
        <v>1.61706493</v>
      </c>
      <c r="G71" s="8">
        <v>1.66428855</v>
      </c>
      <c r="H71" s="8">
        <v>1.7176709699999999</v>
      </c>
      <c r="I71" s="8">
        <v>1.77566001</v>
      </c>
      <c r="J71" s="8">
        <v>1.8157517299999999</v>
      </c>
      <c r="K71" s="8">
        <v>1.8505776199999999</v>
      </c>
      <c r="L71" s="8">
        <v>1.88700533</v>
      </c>
      <c r="M71" s="8">
        <v>1.9242419500000001</v>
      </c>
      <c r="N71" s="8">
        <v>1.9664587899999999</v>
      </c>
      <c r="O71" s="8">
        <v>2.0107686500000002</v>
      </c>
      <c r="P71" s="8">
        <v>2.0572747900000001</v>
      </c>
      <c r="Q71" s="8">
        <v>2.12343416</v>
      </c>
      <c r="R71" s="8">
        <v>2.1935312699999998</v>
      </c>
      <c r="S71" s="8">
        <v>2.2676870299999998</v>
      </c>
      <c r="T71" s="8">
        <v>2.3461236699999999</v>
      </c>
      <c r="U71" s="8">
        <v>2.42907531</v>
      </c>
      <c r="V71" s="8">
        <v>2.5167881599999999</v>
      </c>
      <c r="W71" s="8">
        <v>2.6095212299999999</v>
      </c>
      <c r="X71" s="8">
        <v>2.70754698</v>
      </c>
      <c r="Y71" s="8">
        <v>2.7793516399999998</v>
      </c>
      <c r="Z71" s="8">
        <v>2.8550071899999998</v>
      </c>
      <c r="AA71" s="8">
        <v>2.9344165599999998</v>
      </c>
      <c r="AB71" s="8">
        <v>3.0177669100000002</v>
      </c>
      <c r="AC71" s="8">
        <v>3.1052240800000002</v>
      </c>
    </row>
    <row r="72" spans="1:29" x14ac:dyDescent="0.85">
      <c r="A72" t="s">
        <v>203</v>
      </c>
      <c r="B72" s="8">
        <v>0</v>
      </c>
      <c r="C72" s="8">
        <v>1.342747E-2</v>
      </c>
      <c r="D72" s="8">
        <v>1.4174279999999999E-2</v>
      </c>
      <c r="E72" s="8">
        <v>1.4657389999999999E-2</v>
      </c>
      <c r="F72" s="8">
        <v>114.42738894999999</v>
      </c>
      <c r="G72" s="8">
        <v>102.98838938999999</v>
      </c>
      <c r="H72" s="8">
        <v>171.11806718</v>
      </c>
      <c r="I72" s="8">
        <v>154.00626045999999</v>
      </c>
      <c r="J72" s="8">
        <v>138.61023893000001</v>
      </c>
      <c r="K72" s="8">
        <v>124.76084100999999</v>
      </c>
      <c r="L72" s="8">
        <v>112.29560259</v>
      </c>
      <c r="M72" s="8">
        <v>101.06779078</v>
      </c>
      <c r="N72" s="8">
        <v>90.961262469999994</v>
      </c>
      <c r="O72" s="8">
        <v>81.865627149999995</v>
      </c>
      <c r="P72" s="8">
        <v>76.969801750000002</v>
      </c>
      <c r="Q72" s="8">
        <v>69.273025369999999</v>
      </c>
      <c r="R72" s="8">
        <v>62.345722840000001</v>
      </c>
      <c r="S72" s="8">
        <v>56.112334429999997</v>
      </c>
      <c r="T72" s="8">
        <v>50.501141910000001</v>
      </c>
      <c r="U72" s="8">
        <v>45.451028469999997</v>
      </c>
      <c r="V72" s="8">
        <v>40.90592814</v>
      </c>
      <c r="W72" s="8">
        <v>36.815335330000003</v>
      </c>
      <c r="X72" s="8">
        <v>40.938444339999997</v>
      </c>
      <c r="Y72" s="8">
        <v>36.844599899999999</v>
      </c>
      <c r="Z72" s="8">
        <v>33.160139909999998</v>
      </c>
      <c r="AA72" s="8">
        <v>29.844127060000002</v>
      </c>
      <c r="AB72" s="8">
        <v>26.860094440000001</v>
      </c>
      <c r="AC72" s="8">
        <v>24.177456639999999</v>
      </c>
    </row>
    <row r="73" spans="1:29" x14ac:dyDescent="0.85">
      <c r="A73" t="s">
        <v>204</v>
      </c>
      <c r="B73" s="8">
        <v>0</v>
      </c>
      <c r="C73" s="8">
        <v>1.8848000000000001E-4</v>
      </c>
      <c r="D73" s="8">
        <v>3.5371000000000001E-3</v>
      </c>
      <c r="E73" s="8">
        <v>6.2750999999999996E-4</v>
      </c>
      <c r="F73" s="8">
        <v>28.603550479999999</v>
      </c>
      <c r="G73" s="8">
        <v>9.3461E-4</v>
      </c>
      <c r="H73" s="8">
        <v>19.60712917</v>
      </c>
      <c r="I73" s="8">
        <v>0</v>
      </c>
      <c r="J73" s="8">
        <v>1.1514299999999999E-3</v>
      </c>
      <c r="K73" s="8">
        <v>2.9065699999999998E-3</v>
      </c>
      <c r="L73" s="8">
        <v>38.382947399999999</v>
      </c>
      <c r="M73" s="8">
        <v>25.26643863</v>
      </c>
      <c r="N73" s="8">
        <v>22.740312230000001</v>
      </c>
      <c r="O73" s="8">
        <v>20.466406039999999</v>
      </c>
      <c r="P73" s="8">
        <v>19.240170289999998</v>
      </c>
      <c r="Q73" s="8">
        <v>17.318255860000001</v>
      </c>
      <c r="R73" s="8">
        <v>15.58643071</v>
      </c>
      <c r="S73" s="8">
        <v>14.028083609999999</v>
      </c>
      <c r="T73" s="8">
        <v>12.62528242</v>
      </c>
      <c r="U73" s="8">
        <v>11.362756389999999</v>
      </c>
      <c r="V73" s="8">
        <v>10.226480110000001</v>
      </c>
      <c r="W73" s="8">
        <v>9.2038285900000005</v>
      </c>
      <c r="X73" s="8">
        <v>10.234611080000001</v>
      </c>
      <c r="Y73" s="8">
        <v>9.2111495100000003</v>
      </c>
      <c r="Z73" s="8">
        <v>8.2900349700000007</v>
      </c>
      <c r="AA73" s="8">
        <v>7.40734374</v>
      </c>
      <c r="AB73" s="8">
        <v>6.71502292</v>
      </c>
      <c r="AC73" s="8">
        <v>6.0443604100000003</v>
      </c>
    </row>
    <row r="74" spans="1:29" x14ac:dyDescent="0.85">
      <c r="A74" t="s">
        <v>205</v>
      </c>
      <c r="B74" s="8">
        <v>0</v>
      </c>
      <c r="C74" s="8">
        <v>1.8848000000000001E-4</v>
      </c>
      <c r="D74" s="8">
        <v>3.5371000000000001E-3</v>
      </c>
      <c r="E74" s="8">
        <v>6.2750999999999996E-4</v>
      </c>
      <c r="F74" s="8">
        <v>28.603550479999999</v>
      </c>
      <c r="G74" s="8">
        <v>9.3461E-4</v>
      </c>
      <c r="H74" s="8">
        <v>19.60712917</v>
      </c>
      <c r="I74" s="8">
        <v>0</v>
      </c>
      <c r="J74" s="8">
        <v>1.1514299999999999E-3</v>
      </c>
      <c r="K74" s="8">
        <v>2.9065699999999998E-3</v>
      </c>
      <c r="L74" s="8">
        <v>38.382947399999999</v>
      </c>
      <c r="M74" s="8">
        <v>25.26643863</v>
      </c>
      <c r="N74" s="8">
        <v>22.740312230000001</v>
      </c>
      <c r="O74" s="8">
        <v>20.466406039999999</v>
      </c>
      <c r="P74" s="8">
        <v>19.240170289999998</v>
      </c>
      <c r="Q74" s="8">
        <v>17.318255860000001</v>
      </c>
      <c r="R74" s="8">
        <v>15.58643071</v>
      </c>
      <c r="S74" s="8">
        <v>14.028083609999999</v>
      </c>
      <c r="T74" s="8">
        <v>12.62528242</v>
      </c>
      <c r="U74" s="8">
        <v>11.362756389999999</v>
      </c>
      <c r="V74" s="8">
        <v>10.226480110000001</v>
      </c>
      <c r="W74" s="8">
        <v>9.2038285900000005</v>
      </c>
      <c r="X74" s="8">
        <v>10.234611080000001</v>
      </c>
      <c r="Y74" s="8">
        <v>9.2111495100000003</v>
      </c>
      <c r="Z74" s="8">
        <v>8.2900349700000007</v>
      </c>
      <c r="AA74" s="8">
        <v>7.40734374</v>
      </c>
      <c r="AB74" s="8">
        <v>6.71502292</v>
      </c>
      <c r="AC74" s="8">
        <v>6.0443604100000003</v>
      </c>
    </row>
    <row r="75" spans="1:29" x14ac:dyDescent="0.85">
      <c r="A75" t="s">
        <v>206</v>
      </c>
      <c r="B75" s="8">
        <v>0</v>
      </c>
      <c r="C75" s="8">
        <v>2.59509E-3</v>
      </c>
      <c r="D75" s="8">
        <v>2.7394699999999999E-3</v>
      </c>
      <c r="E75" s="8">
        <v>2.8327999999999999E-3</v>
      </c>
      <c r="F75" s="8">
        <v>22.115406530000001</v>
      </c>
      <c r="G75" s="8">
        <v>19.9042341</v>
      </c>
      <c r="H75" s="8">
        <v>33.071707320000002</v>
      </c>
      <c r="I75" s="8">
        <v>29.764293590000001</v>
      </c>
      <c r="J75" s="8">
        <v>26.788754149999999</v>
      </c>
      <c r="K75" s="8">
        <v>24.112125679999998</v>
      </c>
      <c r="L75" s="8">
        <v>21.70353772</v>
      </c>
      <c r="M75" s="8">
        <v>19.533394099999999</v>
      </c>
      <c r="N75" s="8">
        <v>17.58010316</v>
      </c>
      <c r="O75" s="8">
        <v>15.82218773</v>
      </c>
      <c r="P75" s="8">
        <v>14.875970450000001</v>
      </c>
      <c r="Q75" s="8">
        <v>13.388412819999999</v>
      </c>
      <c r="R75" s="8">
        <v>12.049571540000001</v>
      </c>
      <c r="S75" s="8">
        <v>10.844843190000001</v>
      </c>
      <c r="T75" s="8">
        <v>9.76036678</v>
      </c>
      <c r="U75" s="8">
        <v>8.78433025</v>
      </c>
      <c r="V75" s="8">
        <v>7.9058977099999996</v>
      </c>
      <c r="W75" s="8">
        <v>7.1153079400000001</v>
      </c>
      <c r="X75" s="8">
        <v>7.9121821199999998</v>
      </c>
      <c r="Y75" s="8">
        <v>7.1209639100000004</v>
      </c>
      <c r="Z75" s="8">
        <v>6.4088675200000003</v>
      </c>
      <c r="AA75" s="8">
        <v>5.7679802499999999</v>
      </c>
      <c r="AB75" s="8">
        <v>5.1912563499999997</v>
      </c>
      <c r="AC75" s="8">
        <v>4.6727823500000003</v>
      </c>
    </row>
    <row r="76" spans="1:29" x14ac:dyDescent="0.85">
      <c r="A76" t="s">
        <v>207</v>
      </c>
      <c r="B76" s="8">
        <v>0</v>
      </c>
      <c r="C76" s="8">
        <v>0</v>
      </c>
      <c r="D76" s="8">
        <v>2E-8</v>
      </c>
      <c r="E76" s="8">
        <v>0</v>
      </c>
      <c r="F76" s="8">
        <v>2.5457000000000002E-4</v>
      </c>
      <c r="G76" s="8">
        <v>1E-8</v>
      </c>
      <c r="H76" s="8">
        <v>2.6175999999999999E-4</v>
      </c>
      <c r="I76" s="8">
        <v>0</v>
      </c>
      <c r="J76" s="8">
        <v>2E-8</v>
      </c>
      <c r="K76" s="8">
        <v>5.9999999999999995E-8</v>
      </c>
      <c r="L76" s="8">
        <v>8.5402000000000004E-4</v>
      </c>
      <c r="M76" s="8">
        <v>6.1839999999999996E-4</v>
      </c>
      <c r="N76" s="8">
        <v>6.0716999999999998E-4</v>
      </c>
      <c r="O76" s="8">
        <v>5.9199000000000003E-4</v>
      </c>
      <c r="P76" s="8">
        <v>5.9933000000000002E-4</v>
      </c>
      <c r="Q76" s="8">
        <v>5.7799999999999995E-4</v>
      </c>
      <c r="R76" s="8">
        <v>5.5488E-4</v>
      </c>
      <c r="S76" s="8">
        <v>5.3061000000000004E-4</v>
      </c>
      <c r="T76" s="8">
        <v>5.0564000000000002E-4</v>
      </c>
      <c r="U76" s="8">
        <v>4.8035999999999999E-4</v>
      </c>
      <c r="V76" s="8">
        <v>4.5508000000000001E-4</v>
      </c>
      <c r="W76" s="8">
        <v>4.3005000000000002E-4</v>
      </c>
      <c r="X76" s="8">
        <v>5.0098000000000005E-4</v>
      </c>
      <c r="Y76" s="8">
        <v>4.7137999999999998E-4</v>
      </c>
      <c r="Z76" s="8">
        <v>4.4268999999999998E-4</v>
      </c>
      <c r="AA76" s="8">
        <v>4.1203000000000002E-4</v>
      </c>
      <c r="AB76" s="8">
        <v>3.8845999999999998E-4</v>
      </c>
      <c r="AC76" s="8">
        <v>3.6310999999999998E-4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0</v>
      </c>
      <c r="F77" s="8">
        <v>3.18E-6</v>
      </c>
      <c r="G77" s="8">
        <v>0</v>
      </c>
      <c r="H77" s="8">
        <v>2.1799999999999999E-6</v>
      </c>
      <c r="I77" s="8">
        <v>0</v>
      </c>
      <c r="J77" s="8">
        <v>0</v>
      </c>
      <c r="K77" s="8">
        <v>0</v>
      </c>
      <c r="L77" s="8">
        <v>4.2699999999999998E-6</v>
      </c>
      <c r="M77" s="8">
        <v>2.8100000000000002E-6</v>
      </c>
      <c r="N77" s="8">
        <v>2.5299999999999999E-6</v>
      </c>
      <c r="O77" s="8">
        <v>2.2800000000000002E-6</v>
      </c>
      <c r="P77" s="8">
        <v>2.1399999999999998E-6</v>
      </c>
      <c r="Q77" s="8">
        <v>1.9300000000000002E-6</v>
      </c>
      <c r="R77" s="8">
        <v>1.73E-6</v>
      </c>
      <c r="S77" s="8">
        <v>1.5600000000000001E-6</v>
      </c>
      <c r="T77" s="8">
        <v>1.3999999999999999E-6</v>
      </c>
      <c r="U77" s="8">
        <v>1.26E-6</v>
      </c>
      <c r="V77" s="8">
        <v>1.1400000000000001E-6</v>
      </c>
      <c r="W77" s="8">
        <v>1.02E-6</v>
      </c>
      <c r="X77" s="8">
        <v>1.1400000000000001E-6</v>
      </c>
      <c r="Y77" s="8">
        <v>1.02E-6</v>
      </c>
      <c r="Z77" s="8">
        <v>9.1999999999999998E-7</v>
      </c>
      <c r="AA77" s="8">
        <v>8.1999999999999998E-7</v>
      </c>
      <c r="AB77" s="8">
        <v>7.5000000000000002E-7</v>
      </c>
      <c r="AC77" s="8">
        <v>6.7000000000000004E-7</v>
      </c>
    </row>
    <row r="78" spans="1:29" x14ac:dyDescent="0.85">
      <c r="A78" t="s">
        <v>209</v>
      </c>
      <c r="B78" s="8">
        <v>0</v>
      </c>
      <c r="C78" s="8">
        <v>2.59508E-3</v>
      </c>
      <c r="D78" s="8">
        <v>2.7394199999999998E-3</v>
      </c>
      <c r="E78" s="8">
        <v>2.83279E-3</v>
      </c>
      <c r="F78" s="8">
        <v>22.115012660000001</v>
      </c>
      <c r="G78" s="8">
        <v>19.904234079999998</v>
      </c>
      <c r="H78" s="8">
        <v>33.071437330000002</v>
      </c>
      <c r="I78" s="8">
        <v>29.764293590000001</v>
      </c>
      <c r="J78" s="8">
        <v>26.788754130000001</v>
      </c>
      <c r="K78" s="8">
        <v>24.112125639999999</v>
      </c>
      <c r="L78" s="8">
        <v>21.703009179999999</v>
      </c>
      <c r="M78" s="8">
        <v>19.533046179999999</v>
      </c>
      <c r="N78" s="8">
        <v>17.579790030000002</v>
      </c>
      <c r="O78" s="8">
        <v>15.821905900000001</v>
      </c>
      <c r="P78" s="8">
        <v>14.87570551</v>
      </c>
      <c r="Q78" s="8">
        <v>13.38817435</v>
      </c>
      <c r="R78" s="8">
        <v>12.04935691</v>
      </c>
      <c r="S78" s="8">
        <v>10.84465002</v>
      </c>
      <c r="T78" s="8">
        <v>9.7601929300000005</v>
      </c>
      <c r="U78" s="8">
        <v>8.7841737799999997</v>
      </c>
      <c r="V78" s="8">
        <v>7.9057568900000001</v>
      </c>
      <c r="W78" s="8">
        <v>7.1151812000000003</v>
      </c>
      <c r="X78" s="8">
        <v>7.9120411900000001</v>
      </c>
      <c r="Y78" s="8">
        <v>7.1208370700000003</v>
      </c>
      <c r="Z78" s="8">
        <v>6.4087533700000003</v>
      </c>
      <c r="AA78" s="8">
        <v>5.7678782499999999</v>
      </c>
      <c r="AB78" s="8">
        <v>5.1911638800000004</v>
      </c>
      <c r="AC78" s="8">
        <v>4.6726991199999999</v>
      </c>
    </row>
    <row r="79" spans="1:29" x14ac:dyDescent="0.85">
      <c r="A79" t="s">
        <v>210</v>
      </c>
      <c r="B79" s="8">
        <v>0</v>
      </c>
      <c r="C79" s="8">
        <v>0</v>
      </c>
      <c r="D79" s="8">
        <v>4.9999999999999998E-8</v>
      </c>
      <c r="E79" s="8">
        <v>1E-8</v>
      </c>
      <c r="F79" s="8">
        <v>3.9386999999999999E-4</v>
      </c>
      <c r="G79" s="8">
        <v>1E-8</v>
      </c>
      <c r="H79" s="8">
        <v>2.6999000000000001E-4</v>
      </c>
      <c r="I79" s="8">
        <v>0</v>
      </c>
      <c r="J79" s="8">
        <v>2E-8</v>
      </c>
      <c r="K79" s="8">
        <v>4.0000000000000001E-8</v>
      </c>
      <c r="L79" s="8">
        <v>5.2853000000000004E-4</v>
      </c>
      <c r="M79" s="8">
        <v>3.4791999999999999E-4</v>
      </c>
      <c r="N79" s="8">
        <v>3.1313000000000001E-4</v>
      </c>
      <c r="O79" s="8">
        <v>2.8182000000000001E-4</v>
      </c>
      <c r="P79" s="8">
        <v>2.6494000000000002E-4</v>
      </c>
      <c r="Q79" s="8">
        <v>2.3847000000000001E-4</v>
      </c>
      <c r="R79" s="8">
        <v>2.1463E-4</v>
      </c>
      <c r="S79" s="8">
        <v>1.9317E-4</v>
      </c>
      <c r="T79" s="8">
        <v>1.7385E-4</v>
      </c>
      <c r="U79" s="8">
        <v>1.5647E-4</v>
      </c>
      <c r="V79" s="8">
        <v>1.4082E-4</v>
      </c>
      <c r="W79" s="8">
        <v>1.2674E-4</v>
      </c>
      <c r="X79" s="8">
        <v>1.4092999999999999E-4</v>
      </c>
      <c r="Y79" s="8">
        <v>1.2684E-4</v>
      </c>
      <c r="Z79" s="8">
        <v>1.1415E-4</v>
      </c>
      <c r="AA79" s="8">
        <v>1.02E-4</v>
      </c>
      <c r="AB79" s="8">
        <v>9.2470000000000001E-5</v>
      </c>
      <c r="AC79" s="8">
        <v>8.3230000000000001E-5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1.00002817</v>
      </c>
      <c r="E80" s="8">
        <v>1.0000043199999999</v>
      </c>
      <c r="F80" s="8">
        <v>1.00000384</v>
      </c>
      <c r="G80" s="8">
        <v>1.2260088600000001</v>
      </c>
      <c r="H80" s="8">
        <v>1.0000070000000001</v>
      </c>
      <c r="I80" s="8">
        <v>1.1391025400000001</v>
      </c>
      <c r="J80" s="8">
        <v>1</v>
      </c>
      <c r="K80" s="8">
        <v>1.00000752</v>
      </c>
      <c r="L80" s="8">
        <v>1.00001867</v>
      </c>
      <c r="M80" s="8">
        <v>1.0000171200000001</v>
      </c>
      <c r="N80" s="8">
        <v>1.00000271</v>
      </c>
      <c r="O80" s="8">
        <v>1.0000003799999999</v>
      </c>
      <c r="P80" s="8">
        <v>1.00000073</v>
      </c>
      <c r="Q80" s="8">
        <v>1.0048068800000001</v>
      </c>
      <c r="R80" s="8">
        <v>1.00000029</v>
      </c>
      <c r="S80" s="8">
        <v>1</v>
      </c>
      <c r="T80" s="8">
        <v>1.0000015499999999</v>
      </c>
      <c r="U80" s="8">
        <v>1.0000000499999999</v>
      </c>
      <c r="V80" s="8">
        <v>1</v>
      </c>
      <c r="W80" s="8">
        <v>1</v>
      </c>
      <c r="X80" s="8">
        <v>1</v>
      </c>
      <c r="Y80" s="8">
        <v>1.0085823300000001</v>
      </c>
      <c r="Z80" s="8">
        <v>1</v>
      </c>
      <c r="AA80" s="8">
        <v>1</v>
      </c>
      <c r="AB80" s="8">
        <v>1</v>
      </c>
      <c r="AC80" s="8">
        <v>1.0000003900000001</v>
      </c>
    </row>
    <row r="81" spans="1:29" x14ac:dyDescent="0.85">
      <c r="A81" t="s">
        <v>212</v>
      </c>
      <c r="B81" s="8">
        <v>1</v>
      </c>
      <c r="C81" s="8">
        <v>1.00002817</v>
      </c>
      <c r="D81" s="8">
        <v>1.0000043199999999</v>
      </c>
      <c r="E81" s="8">
        <v>1.00000384</v>
      </c>
      <c r="F81" s="8">
        <v>1.2260088600000001</v>
      </c>
      <c r="G81" s="8">
        <v>1.0000070000000001</v>
      </c>
      <c r="H81" s="8">
        <v>1.1391025400000001</v>
      </c>
      <c r="I81" s="8">
        <v>1</v>
      </c>
      <c r="J81" s="8">
        <v>1.00000752</v>
      </c>
      <c r="K81" s="8">
        <v>1.00001867</v>
      </c>
      <c r="L81" s="8">
        <v>1.0000171200000001</v>
      </c>
      <c r="M81" s="8">
        <v>1.00000271</v>
      </c>
      <c r="N81" s="8">
        <v>1.0000003799999999</v>
      </c>
      <c r="O81" s="8">
        <v>1.00000073</v>
      </c>
      <c r="P81" s="8">
        <v>1.0048068800000001</v>
      </c>
      <c r="Q81" s="8">
        <v>1.00000029</v>
      </c>
      <c r="R81" s="8">
        <v>1</v>
      </c>
      <c r="S81" s="8">
        <v>1.0000015499999999</v>
      </c>
      <c r="T81" s="8">
        <v>1.0000000499999999</v>
      </c>
      <c r="U81" s="8">
        <v>1</v>
      </c>
      <c r="V81" s="8">
        <v>1</v>
      </c>
      <c r="W81" s="8">
        <v>1</v>
      </c>
      <c r="X81" s="8">
        <v>1.0085823300000001</v>
      </c>
      <c r="Y81" s="8">
        <v>1</v>
      </c>
      <c r="Z81" s="8">
        <v>1</v>
      </c>
      <c r="AA81" s="8">
        <v>1</v>
      </c>
      <c r="AB81" s="8">
        <v>1.0000003900000001</v>
      </c>
      <c r="AC81" s="8">
        <v>1.0000034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C5B3E-2F04-4F38-BCE3-970F47C8B470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110677</v>
      </c>
      <c r="C5" s="8">
        <v>110926.70467593</v>
      </c>
      <c r="D5" s="8">
        <v>113825.5886852</v>
      </c>
      <c r="E5" s="8">
        <v>119804.41115581999</v>
      </c>
      <c r="F5" s="8">
        <v>131220.23114023</v>
      </c>
      <c r="G5" s="8">
        <v>138149.35656345001</v>
      </c>
      <c r="H5" s="8">
        <v>143743.70886876</v>
      </c>
      <c r="I5" s="8">
        <v>149723.53243970999</v>
      </c>
      <c r="J5" s="8">
        <v>156107.60608950001</v>
      </c>
      <c r="K5" s="8">
        <v>162915.86433420001</v>
      </c>
      <c r="L5" s="8">
        <v>169543.86421828001</v>
      </c>
      <c r="M5" s="8">
        <v>174676.45663115001</v>
      </c>
      <c r="N5" s="8">
        <v>181489.96705800999</v>
      </c>
      <c r="O5" s="8">
        <v>185055.65106721001</v>
      </c>
      <c r="P5" s="8">
        <v>184157.08769613001</v>
      </c>
      <c r="Q5" s="8">
        <v>183805.83149958</v>
      </c>
      <c r="R5" s="8">
        <v>183093.56327926001</v>
      </c>
      <c r="S5" s="8">
        <v>182483.49290508</v>
      </c>
      <c r="T5" s="8">
        <v>183556.23522092</v>
      </c>
      <c r="U5" s="8">
        <v>188174.5227722</v>
      </c>
      <c r="V5" s="8">
        <v>195750.74107242</v>
      </c>
      <c r="W5" s="8">
        <v>203616.54620481</v>
      </c>
      <c r="X5" s="8">
        <v>210660.16676255999</v>
      </c>
      <c r="Y5" s="8">
        <v>217385.17153665001</v>
      </c>
      <c r="Z5" s="8">
        <v>221373.11735526999</v>
      </c>
      <c r="AA5" s="8">
        <v>225018.35799859001</v>
      </c>
      <c r="AB5" s="8">
        <v>229833.25193128001</v>
      </c>
      <c r="AC5" s="8">
        <v>234625.48588997</v>
      </c>
    </row>
    <row r="6" spans="1:29" x14ac:dyDescent="0.85">
      <c r="A6" t="s">
        <v>139</v>
      </c>
      <c r="B6" s="8">
        <v>409950380.25</v>
      </c>
      <c r="C6" s="8">
        <v>418180402.44035</v>
      </c>
      <c r="D6" s="8">
        <v>426575037.89473403</v>
      </c>
      <c r="E6" s="8">
        <v>435137559.69246399</v>
      </c>
      <c r="F6" s="8">
        <v>443871347.31997901</v>
      </c>
      <c r="G6" s="8">
        <v>452869629.368011</v>
      </c>
      <c r="H6" s="8">
        <v>463191451.53330499</v>
      </c>
      <c r="I6" s="8">
        <v>476431499.67147601</v>
      </c>
      <c r="J6" s="8">
        <v>493631416.06125998</v>
      </c>
      <c r="K6" s="8">
        <v>515379262.36732101</v>
      </c>
      <c r="L6" s="8">
        <v>540033271.34346497</v>
      </c>
      <c r="M6" s="8">
        <v>561143911.160267</v>
      </c>
      <c r="N6" s="8">
        <v>589963712.53562903</v>
      </c>
      <c r="O6" s="8">
        <v>614177172.66783202</v>
      </c>
      <c r="P6" s="8">
        <v>633842856.27388597</v>
      </c>
      <c r="Q6" s="8">
        <v>654614980.15245295</v>
      </c>
      <c r="R6" s="8">
        <v>674614904.31738603</v>
      </c>
      <c r="S6" s="8">
        <v>696395496.65688598</v>
      </c>
      <c r="T6" s="8">
        <v>719746027.32171202</v>
      </c>
      <c r="U6" s="8">
        <v>717100241.26336002</v>
      </c>
      <c r="V6" s="8">
        <v>730248224.00442195</v>
      </c>
      <c r="W6" s="8">
        <v>752612372.77137995</v>
      </c>
      <c r="X6" s="8">
        <v>772521567.86643004</v>
      </c>
      <c r="Y6" s="8">
        <v>791552087.82254505</v>
      </c>
      <c r="Z6" s="8">
        <v>810900482.12796605</v>
      </c>
      <c r="AA6" s="8">
        <v>831849256.59983099</v>
      </c>
      <c r="AB6" s="8">
        <v>851959475.01363206</v>
      </c>
      <c r="AC6" s="8">
        <v>872233243.24075198</v>
      </c>
    </row>
    <row r="7" spans="1:29" x14ac:dyDescent="0.85">
      <c r="A7" t="s">
        <v>140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</row>
    <row r="8" spans="1:29" x14ac:dyDescent="0.85">
      <c r="A8" t="s">
        <v>141</v>
      </c>
      <c r="B8" s="8">
        <v>16351.67630951</v>
      </c>
      <c r="C8" s="8">
        <v>16216.81337641</v>
      </c>
      <c r="D8" s="8">
        <v>16527.404663379999</v>
      </c>
      <c r="E8" s="8">
        <v>17323.440462440001</v>
      </c>
      <c r="F8" s="8">
        <v>19717.21040588</v>
      </c>
      <c r="G8" s="8">
        <v>21798.85602517</v>
      </c>
      <c r="H8" s="8">
        <v>23821.724286159999</v>
      </c>
      <c r="I8" s="8">
        <v>25936.913023550002</v>
      </c>
      <c r="J8" s="8">
        <v>28150.28969795</v>
      </c>
      <c r="K8" s="8">
        <v>30468.02219358</v>
      </c>
      <c r="L8" s="8">
        <v>32601.594598690001</v>
      </c>
      <c r="M8" s="8">
        <v>33935.864645889997</v>
      </c>
      <c r="N8" s="8">
        <v>35992.001411539997</v>
      </c>
      <c r="O8" s="8">
        <v>37763.899293909999</v>
      </c>
      <c r="P8" s="8">
        <v>39141.06949034</v>
      </c>
      <c r="Q8" s="8">
        <v>40557.133907720003</v>
      </c>
      <c r="R8" s="8">
        <v>41883.391942360002</v>
      </c>
      <c r="S8" s="8">
        <v>43254.319601149997</v>
      </c>
      <c r="T8" s="8">
        <v>44762.955641890003</v>
      </c>
      <c r="U8" s="8">
        <v>44628.218711840003</v>
      </c>
      <c r="V8" s="8">
        <v>45273.144770469997</v>
      </c>
      <c r="W8" s="8">
        <v>46502.173845969999</v>
      </c>
      <c r="X8" s="8">
        <v>47641.965566649997</v>
      </c>
      <c r="Y8" s="8">
        <v>48758.279276100002</v>
      </c>
      <c r="Z8" s="8">
        <v>50007.804732659999</v>
      </c>
      <c r="AA8" s="8">
        <v>51214.470381270003</v>
      </c>
      <c r="AB8" s="8">
        <v>52368.591226470002</v>
      </c>
      <c r="AC8" s="8">
        <v>53533.753324719997</v>
      </c>
    </row>
    <row r="9" spans="1:29" x14ac:dyDescent="0.85">
      <c r="A9" t="s">
        <v>142</v>
      </c>
      <c r="B9" s="8">
        <v>6426.6911513599998</v>
      </c>
      <c r="C9" s="8">
        <v>6760.3884408100002</v>
      </c>
      <c r="D9" s="8">
        <v>6802.9637138600001</v>
      </c>
      <c r="E9" s="8">
        <v>6809.6849120200004</v>
      </c>
      <c r="F9" s="8">
        <v>6428.8873525600002</v>
      </c>
      <c r="G9" s="8">
        <v>5963.56131852</v>
      </c>
      <c r="H9" s="8">
        <v>5487.0879163600002</v>
      </c>
      <c r="I9" s="8">
        <v>5057.3090041599999</v>
      </c>
      <c r="J9" s="8">
        <v>4697.6486014100001</v>
      </c>
      <c r="K9" s="8">
        <v>4420.3766280099999</v>
      </c>
      <c r="L9" s="8">
        <v>4254.7171608099998</v>
      </c>
      <c r="M9" s="8">
        <v>4192.5953314899998</v>
      </c>
      <c r="N9" s="8">
        <v>4142.3305422399999</v>
      </c>
      <c r="O9" s="8">
        <v>4233.87223713</v>
      </c>
      <c r="P9" s="8">
        <v>4448.71431209</v>
      </c>
      <c r="Q9" s="8">
        <v>4673.8682035800002</v>
      </c>
      <c r="R9" s="8">
        <v>4912.1881786399999</v>
      </c>
      <c r="S9" s="8">
        <v>5172.6717130799998</v>
      </c>
      <c r="T9" s="8">
        <v>5421.4880482500002</v>
      </c>
      <c r="U9" s="8">
        <v>5424.5125609799998</v>
      </c>
      <c r="V9" s="8">
        <v>5405.5926454700002</v>
      </c>
      <c r="W9" s="8">
        <v>5431.1987071200001</v>
      </c>
      <c r="X9" s="8">
        <v>5484.4199170299999</v>
      </c>
      <c r="Y9" s="8">
        <v>5552.1429656099999</v>
      </c>
      <c r="Z9" s="8">
        <v>5718.4952265800002</v>
      </c>
      <c r="AA9" s="8">
        <v>5874.6363887500002</v>
      </c>
      <c r="AB9" s="8">
        <v>5999.4991264999999</v>
      </c>
      <c r="AC9" s="8">
        <v>6130.0092036100004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3041.3293200399999</v>
      </c>
      <c r="D11" s="8">
        <v>6102.1760077299996</v>
      </c>
      <c r="E11" s="8">
        <v>8728.9854774100004</v>
      </c>
      <c r="F11" s="8">
        <v>9563.6745272600001</v>
      </c>
      <c r="G11" s="8">
        <v>10130.505208320001</v>
      </c>
      <c r="H11" s="8">
        <v>10314.844027409999</v>
      </c>
      <c r="I11" s="8">
        <v>9987.6007017800002</v>
      </c>
      <c r="J11" s="8">
        <v>9265.4554661500006</v>
      </c>
      <c r="K11" s="8">
        <v>8261.0507438099994</v>
      </c>
      <c r="L11" s="8">
        <v>7373.4461729499999</v>
      </c>
      <c r="M11" s="8">
        <v>7203.6229168700002</v>
      </c>
      <c r="N11" s="8">
        <v>6358.6304068999998</v>
      </c>
      <c r="O11" s="8">
        <v>5753.8838354500003</v>
      </c>
      <c r="P11" s="8">
        <v>5438.5102611900002</v>
      </c>
      <c r="Q11" s="8">
        <v>5105.7468668700003</v>
      </c>
      <c r="R11" s="8">
        <v>4899.64169244</v>
      </c>
      <c r="S11" s="8">
        <v>4668.3870698700002</v>
      </c>
      <c r="T11" s="8">
        <v>4371.1529267100004</v>
      </c>
      <c r="U11" s="8">
        <v>5542.7488132199996</v>
      </c>
      <c r="V11" s="8">
        <v>6179.4456719899999</v>
      </c>
      <c r="W11" s="8">
        <v>6243.0896784500001</v>
      </c>
      <c r="X11" s="8">
        <v>6404.8364512500002</v>
      </c>
      <c r="Y11" s="8">
        <v>6607.1987715499999</v>
      </c>
      <c r="Z11" s="8">
        <v>6602.5974326100004</v>
      </c>
      <c r="AA11" s="8">
        <v>6680.8910390299998</v>
      </c>
      <c r="AB11" s="8">
        <v>6870.3626081900002</v>
      </c>
      <c r="AC11" s="8">
        <v>7069.4455559300004</v>
      </c>
    </row>
    <row r="12" spans="1:29" x14ac:dyDescent="0.85">
      <c r="A12" t="s">
        <v>144</v>
      </c>
      <c r="B12" s="8">
        <v>22778.367460869998</v>
      </c>
      <c r="C12" s="8">
        <v>22977.201817220001</v>
      </c>
      <c r="D12" s="8">
        <v>23330.36837724</v>
      </c>
      <c r="E12" s="8">
        <v>24133.12537446</v>
      </c>
      <c r="F12" s="8">
        <v>26146.097758430002</v>
      </c>
      <c r="G12" s="8">
        <v>27762.417343689998</v>
      </c>
      <c r="H12" s="8">
        <v>29308.812202519999</v>
      </c>
      <c r="I12" s="8">
        <v>30994.222027700001</v>
      </c>
      <c r="J12" s="8">
        <v>32847.938299360001</v>
      </c>
      <c r="K12" s="8">
        <v>34888.398821590003</v>
      </c>
      <c r="L12" s="8">
        <v>36856.311759509998</v>
      </c>
      <c r="M12" s="8">
        <v>38128.45997738</v>
      </c>
      <c r="N12" s="8">
        <v>40134.331953779998</v>
      </c>
      <c r="O12" s="8">
        <v>41997.771531040002</v>
      </c>
      <c r="P12" s="8">
        <v>43589.78380243</v>
      </c>
      <c r="Q12" s="8">
        <v>45231.002111299997</v>
      </c>
      <c r="R12" s="8">
        <v>46795.580120999999</v>
      </c>
      <c r="S12" s="8">
        <v>48426.991314229999</v>
      </c>
      <c r="T12" s="8">
        <v>50184.443690139997</v>
      </c>
      <c r="U12" s="8">
        <v>50052.731272819998</v>
      </c>
      <c r="V12" s="8">
        <v>50678.737415950003</v>
      </c>
      <c r="W12" s="8">
        <v>51933.372553089997</v>
      </c>
      <c r="X12" s="8">
        <v>53126.385483689999</v>
      </c>
      <c r="Y12" s="8">
        <v>54310.422241710003</v>
      </c>
      <c r="Z12" s="8">
        <v>55726.299959229997</v>
      </c>
      <c r="AA12" s="8">
        <v>57089.10677002</v>
      </c>
      <c r="AB12" s="8">
        <v>58368.090352970001</v>
      </c>
      <c r="AC12" s="8">
        <v>59663.76252833</v>
      </c>
    </row>
    <row r="13" spans="1:29" x14ac:dyDescent="0.85">
      <c r="A13" t="s">
        <v>145</v>
      </c>
      <c r="B13" s="8">
        <v>22778.367460869998</v>
      </c>
      <c r="C13" s="8">
        <v>26018.531137260001</v>
      </c>
      <c r="D13" s="8">
        <v>29432.544384979999</v>
      </c>
      <c r="E13" s="8">
        <v>32862.110851869998</v>
      </c>
      <c r="F13" s="8">
        <v>35709.77228569</v>
      </c>
      <c r="G13" s="8">
        <v>37892.922552010001</v>
      </c>
      <c r="H13" s="8">
        <v>39623.656229929999</v>
      </c>
      <c r="I13" s="8">
        <v>40981.822729480002</v>
      </c>
      <c r="J13" s="8">
        <v>42113.393765499997</v>
      </c>
      <c r="K13" s="8">
        <v>43149.449565390001</v>
      </c>
      <c r="L13" s="8">
        <v>44229.757932449997</v>
      </c>
      <c r="M13" s="8">
        <v>45332.082894250001</v>
      </c>
      <c r="N13" s="8">
        <v>46492.962360689999</v>
      </c>
      <c r="O13" s="8">
        <v>47751.655366489998</v>
      </c>
      <c r="P13" s="8">
        <v>49028.29406362</v>
      </c>
      <c r="Q13" s="8">
        <v>50336.748978169999</v>
      </c>
      <c r="R13" s="8">
        <v>51695.221813440003</v>
      </c>
      <c r="S13" s="8">
        <v>53095.378384099997</v>
      </c>
      <c r="T13" s="8">
        <v>54555.596616850002</v>
      </c>
      <c r="U13" s="8">
        <v>55595.480086039999</v>
      </c>
      <c r="V13" s="8">
        <v>56858.18308794</v>
      </c>
      <c r="W13" s="8">
        <v>58176.462231539997</v>
      </c>
      <c r="X13" s="8">
        <v>59531.221934929999</v>
      </c>
      <c r="Y13" s="8">
        <v>60917.621013260003</v>
      </c>
      <c r="Z13" s="8">
        <v>62328.897391840001</v>
      </c>
      <c r="AA13" s="8">
        <v>63769.997809050001</v>
      </c>
      <c r="AB13" s="8">
        <v>65238.452961160001</v>
      </c>
      <c r="AC13" s="8">
        <v>66733.208084259997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13741</v>
      </c>
      <c r="C17" s="8">
        <v>13282.96666667</v>
      </c>
      <c r="D17" s="8">
        <v>12840.20133134</v>
      </c>
      <c r="E17" s="8">
        <v>12412.199864710001</v>
      </c>
      <c r="F17" s="8">
        <v>14291.125727770001</v>
      </c>
      <c r="G17" s="8">
        <v>16339.344599759999</v>
      </c>
      <c r="H17" s="8">
        <v>18477.610317989998</v>
      </c>
      <c r="I17" s="8">
        <v>20681.79255016</v>
      </c>
      <c r="J17" s="8">
        <v>22957.573033389999</v>
      </c>
      <c r="K17" s="8">
        <v>25310.875711960001</v>
      </c>
      <c r="L17" s="8">
        <v>27747.88314795</v>
      </c>
      <c r="M17" s="8">
        <v>30264.33497308</v>
      </c>
      <c r="N17" s="8">
        <v>32833.497028079997</v>
      </c>
      <c r="O17" s="8">
        <v>34803.233297179999</v>
      </c>
      <c r="P17" s="8">
        <v>33799.37488874</v>
      </c>
      <c r="Q17" s="8">
        <v>33233.279488749999</v>
      </c>
      <c r="R17" s="8">
        <v>32416.49075035</v>
      </c>
      <c r="S17" s="8">
        <v>31349.418158730001</v>
      </c>
      <c r="T17" s="8">
        <v>31950.970728110002</v>
      </c>
      <c r="U17" s="8">
        <v>34648.663789259997</v>
      </c>
      <c r="V17" s="8">
        <v>37387.717717569998</v>
      </c>
      <c r="W17" s="8">
        <v>40218.233935889999</v>
      </c>
      <c r="X17" s="8">
        <v>43143.893666119999</v>
      </c>
      <c r="Y17" s="8">
        <v>46149.27762239</v>
      </c>
      <c r="Z17" s="8">
        <v>48349.68032164</v>
      </c>
      <c r="AA17" s="8">
        <v>48984.796439149999</v>
      </c>
      <c r="AB17" s="8">
        <v>50369.528673300003</v>
      </c>
      <c r="AC17" s="8">
        <v>51718.706314490002</v>
      </c>
    </row>
    <row r="18" spans="1:29" x14ac:dyDescent="0.85">
      <c r="A18" t="s">
        <v>149</v>
      </c>
      <c r="B18" s="8">
        <v>19768701.75</v>
      </c>
      <c r="C18" s="8">
        <v>18987904.323846601</v>
      </c>
      <c r="D18" s="8">
        <v>18354974.494536899</v>
      </c>
      <c r="E18" s="8">
        <v>17743149.508242</v>
      </c>
      <c r="F18" s="8">
        <v>20429060.375493899</v>
      </c>
      <c r="G18" s="8">
        <v>23356975.080963001</v>
      </c>
      <c r="H18" s="8">
        <v>26413609.674393099</v>
      </c>
      <c r="I18" s="8">
        <v>29564472.157680798</v>
      </c>
      <c r="J18" s="8">
        <v>32817683.8205573</v>
      </c>
      <c r="K18" s="8">
        <v>36181712.898332097</v>
      </c>
      <c r="L18" s="8">
        <v>39665397.318560697</v>
      </c>
      <c r="M18" s="8">
        <v>43262646.915749498</v>
      </c>
      <c r="N18" s="8">
        <v>46935245.4035016</v>
      </c>
      <c r="O18" s="8">
        <v>49750969.086269498</v>
      </c>
      <c r="P18" s="8">
        <v>48315960.786355801</v>
      </c>
      <c r="Q18" s="8">
        <v>47506731.525843099</v>
      </c>
      <c r="R18" s="8">
        <v>46339137.9598355</v>
      </c>
      <c r="S18" s="8">
        <v>44813765.444435202</v>
      </c>
      <c r="T18" s="8">
        <v>45673680.470937803</v>
      </c>
      <c r="U18" s="8">
        <v>49530013.097940497</v>
      </c>
      <c r="V18" s="8">
        <v>53445470.783994801</v>
      </c>
      <c r="W18" s="8">
        <v>57491673.148982704</v>
      </c>
      <c r="X18" s="8">
        <v>61673882.472821496</v>
      </c>
      <c r="Y18" s="8">
        <v>65970056.998451903</v>
      </c>
      <c r="Z18" s="8">
        <v>69115516.666900799</v>
      </c>
      <c r="AA18" s="8">
        <v>70023410.541547999</v>
      </c>
      <c r="AB18" s="8">
        <v>72002875.207531795</v>
      </c>
      <c r="AC18" s="8">
        <v>73931514.841264799</v>
      </c>
    </row>
    <row r="19" spans="1:29" x14ac:dyDescent="0.85">
      <c r="A19" t="s">
        <v>150</v>
      </c>
      <c r="B19" s="8">
        <v>19768701.75</v>
      </c>
      <c r="C19" s="8">
        <v>18987904.323846601</v>
      </c>
      <c r="D19" s="8">
        <v>18354974.494536899</v>
      </c>
      <c r="E19" s="8">
        <v>17743149.508242</v>
      </c>
      <c r="F19" s="8">
        <v>20429060.375493899</v>
      </c>
      <c r="G19" s="8">
        <v>23356974.3687765</v>
      </c>
      <c r="H19" s="8">
        <v>26413609.674393099</v>
      </c>
      <c r="I19" s="8">
        <v>29564472.157680798</v>
      </c>
      <c r="J19" s="8">
        <v>32817683.8205573</v>
      </c>
      <c r="K19" s="8">
        <v>36181712.898332097</v>
      </c>
      <c r="L19" s="8">
        <v>39665397.318560697</v>
      </c>
      <c r="M19" s="8">
        <v>43262646.915749498</v>
      </c>
      <c r="N19" s="8">
        <v>46935245.4035016</v>
      </c>
      <c r="O19" s="8">
        <v>49750969.086269498</v>
      </c>
      <c r="P19" s="8">
        <v>48315960.786355801</v>
      </c>
      <c r="Q19" s="8">
        <v>47506731.525843099</v>
      </c>
      <c r="R19" s="8">
        <v>46339137.9598355</v>
      </c>
      <c r="S19" s="8">
        <v>44813765.444435202</v>
      </c>
      <c r="T19" s="8">
        <v>45673680.470937803</v>
      </c>
      <c r="U19" s="8">
        <v>49530013.097940497</v>
      </c>
      <c r="V19" s="8">
        <v>53445470.783994801</v>
      </c>
      <c r="W19" s="8">
        <v>57491673.148982704</v>
      </c>
      <c r="X19" s="8">
        <v>61673882.472821496</v>
      </c>
      <c r="Y19" s="8">
        <v>65970056.998451903</v>
      </c>
      <c r="Z19" s="8">
        <v>69115516.666900799</v>
      </c>
      <c r="AA19" s="8">
        <v>70023410.541547999</v>
      </c>
      <c r="AB19" s="8">
        <v>72002875.207531795</v>
      </c>
      <c r="AC19" s="8">
        <v>73931514.841264799</v>
      </c>
    </row>
    <row r="20" spans="1:29" x14ac:dyDescent="0.85">
      <c r="A20" t="s">
        <v>151</v>
      </c>
      <c r="B20" s="8">
        <v>1355.0557731199999</v>
      </c>
      <c r="C20" s="8">
        <v>1309.8872473500001</v>
      </c>
      <c r="D20" s="8">
        <v>1266.22436083</v>
      </c>
      <c r="E20" s="8">
        <v>1224.0173993000001</v>
      </c>
      <c r="F20" s="8">
        <v>1409.30590364</v>
      </c>
      <c r="G20" s="8">
        <v>1611.2890785899999</v>
      </c>
      <c r="H20" s="8">
        <v>1822.1521384800001</v>
      </c>
      <c r="I20" s="8">
        <v>2039.51549331</v>
      </c>
      <c r="J20" s="8">
        <v>2263.9394422400001</v>
      </c>
      <c r="K20" s="8">
        <v>2496.0081694400001</v>
      </c>
      <c r="L20" s="8">
        <v>2736.33136246</v>
      </c>
      <c r="M20" s="8">
        <v>2984.4888890900002</v>
      </c>
      <c r="N20" s="8">
        <v>3237.8443854000002</v>
      </c>
      <c r="O20" s="8">
        <v>3432.08807239</v>
      </c>
      <c r="P20" s="8">
        <v>3333.0935209200002</v>
      </c>
      <c r="Q20" s="8">
        <v>3277.2685562199999</v>
      </c>
      <c r="R20" s="8">
        <v>3196.7217040700002</v>
      </c>
      <c r="S20" s="8">
        <v>3091.4933454699999</v>
      </c>
      <c r="T20" s="8">
        <v>3150.8148855300001</v>
      </c>
      <c r="U20" s="8">
        <v>3416.8453459500001</v>
      </c>
      <c r="V20" s="8">
        <v>3686.9545693300001</v>
      </c>
      <c r="W20" s="8">
        <v>3966.08326029</v>
      </c>
      <c r="X20" s="8">
        <v>4254.5944390699997</v>
      </c>
      <c r="Y20" s="8">
        <v>4550.9675473200004</v>
      </c>
      <c r="Z20" s="8">
        <v>4767.9581870700003</v>
      </c>
      <c r="AA20" s="8">
        <v>4830.5895648200003</v>
      </c>
      <c r="AB20" s="8">
        <v>4967.1436298899998</v>
      </c>
      <c r="AC20" s="8">
        <v>5100.1915122600003</v>
      </c>
    </row>
    <row r="21" spans="1:29" x14ac:dyDescent="0.85">
      <c r="A21" t="s">
        <v>152</v>
      </c>
      <c r="B21" s="8">
        <v>0</v>
      </c>
      <c r="C21" s="8">
        <v>1.89879043</v>
      </c>
      <c r="D21" s="8">
        <v>3.6709949000000002</v>
      </c>
      <c r="E21" s="8">
        <v>5.3229448499999998</v>
      </c>
      <c r="F21" s="8">
        <v>8.1716241499999995</v>
      </c>
      <c r="G21" s="8">
        <v>11.678487179999999</v>
      </c>
      <c r="H21" s="8">
        <v>15.8481658</v>
      </c>
      <c r="I21" s="8">
        <v>20.695130509999998</v>
      </c>
      <c r="J21" s="8">
        <v>26.254147060000001</v>
      </c>
      <c r="K21" s="8">
        <v>32.563541610000001</v>
      </c>
      <c r="L21" s="8">
        <v>39.665397319999997</v>
      </c>
      <c r="M21" s="8">
        <v>47.588911609999997</v>
      </c>
      <c r="N21" s="8">
        <v>56.322294479999996</v>
      </c>
      <c r="O21" s="8">
        <v>64.676259810000005</v>
      </c>
      <c r="P21" s="8">
        <v>67.6423451</v>
      </c>
      <c r="Q21" s="8">
        <v>71.260097290000004</v>
      </c>
      <c r="R21" s="8">
        <v>74.142620739999998</v>
      </c>
      <c r="S21" s="8">
        <v>76.183401259999997</v>
      </c>
      <c r="T21" s="8">
        <v>82.212624849999997</v>
      </c>
      <c r="U21" s="8">
        <v>94.107024890000005</v>
      </c>
      <c r="V21" s="8">
        <v>106.89094157</v>
      </c>
      <c r="W21" s="8">
        <v>120.73251361</v>
      </c>
      <c r="X21" s="8">
        <v>135.68254143999999</v>
      </c>
      <c r="Y21" s="8">
        <v>151.7311311</v>
      </c>
      <c r="Z21" s="8">
        <v>165.87724</v>
      </c>
      <c r="AA21" s="8">
        <v>175.05852634999999</v>
      </c>
      <c r="AB21" s="8">
        <v>187.20747553999999</v>
      </c>
      <c r="AC21" s="8">
        <v>199.61509007000001</v>
      </c>
    </row>
    <row r="22" spans="1:29" x14ac:dyDescent="0.85">
      <c r="A22" t="s">
        <v>153</v>
      </c>
      <c r="B22" s="8">
        <v>9.8843509999999996E-2</v>
      </c>
      <c r="C22" s="8">
        <v>9.4939519999999999E-2</v>
      </c>
      <c r="D22" s="8">
        <v>9.1774869999999995E-2</v>
      </c>
      <c r="E22" s="8">
        <v>8.8715749999999996E-2</v>
      </c>
      <c r="F22" s="8">
        <v>0.10214529999999999</v>
      </c>
      <c r="G22" s="8">
        <v>0.11678487</v>
      </c>
      <c r="H22" s="8">
        <v>0.13206804999999999</v>
      </c>
      <c r="I22" s="8">
        <v>0.14782236000000001</v>
      </c>
      <c r="J22" s="8">
        <v>0.16408842000000001</v>
      </c>
      <c r="K22" s="8">
        <v>0.18090856</v>
      </c>
      <c r="L22" s="8">
        <v>0.19832699000000001</v>
      </c>
      <c r="M22" s="8">
        <v>0.21631323</v>
      </c>
      <c r="N22" s="8">
        <v>0.23467623000000001</v>
      </c>
      <c r="O22" s="8">
        <v>0.24875485</v>
      </c>
      <c r="P22" s="8">
        <v>0.24157980000000001</v>
      </c>
      <c r="Q22" s="8">
        <v>0.23753366000000001</v>
      </c>
      <c r="R22" s="8">
        <v>0.23169569000000001</v>
      </c>
      <c r="S22" s="8">
        <v>0.22406883</v>
      </c>
      <c r="T22" s="8">
        <v>0.2283684</v>
      </c>
      <c r="U22" s="8">
        <v>0.24765007</v>
      </c>
      <c r="V22" s="8">
        <v>0.26722734999999997</v>
      </c>
      <c r="W22" s="8">
        <v>0.28745837000000002</v>
      </c>
      <c r="X22" s="8">
        <v>0.30836941000000001</v>
      </c>
      <c r="Y22" s="8">
        <v>0.32985028</v>
      </c>
      <c r="Z22" s="8">
        <v>0.34557758</v>
      </c>
      <c r="AA22" s="8">
        <v>0.35011704999999999</v>
      </c>
      <c r="AB22" s="8">
        <v>0.36001438000000002</v>
      </c>
      <c r="AC22" s="8">
        <v>0.36965756999999999</v>
      </c>
    </row>
    <row r="23" spans="1:29" x14ac:dyDescent="0.85">
      <c r="A23" t="s">
        <v>154</v>
      </c>
      <c r="B23" s="8">
        <v>1355.0557731199999</v>
      </c>
      <c r="C23" s="8">
        <v>1309.8872473500001</v>
      </c>
      <c r="D23" s="8">
        <v>1266.22436083</v>
      </c>
      <c r="E23" s="8">
        <v>1224.0173993000001</v>
      </c>
      <c r="F23" s="8">
        <v>1409.30590364</v>
      </c>
      <c r="G23" s="8">
        <v>1611.2890785899999</v>
      </c>
      <c r="H23" s="8">
        <v>1822.1521384800001</v>
      </c>
      <c r="I23" s="8">
        <v>2039.51549331</v>
      </c>
      <c r="J23" s="8">
        <v>2263.9394422400001</v>
      </c>
      <c r="K23" s="8">
        <v>2496.0081694400001</v>
      </c>
      <c r="L23" s="8">
        <v>2736.33136246</v>
      </c>
      <c r="M23" s="8">
        <v>2984.4888890900002</v>
      </c>
      <c r="N23" s="8">
        <v>3237.8443854000002</v>
      </c>
      <c r="O23" s="8">
        <v>3432.08807239</v>
      </c>
      <c r="P23" s="8">
        <v>3333.0935209200002</v>
      </c>
      <c r="Q23" s="8">
        <v>3277.2685562199999</v>
      </c>
      <c r="R23" s="8">
        <v>3196.7217040700002</v>
      </c>
      <c r="S23" s="8">
        <v>3091.4933454699999</v>
      </c>
      <c r="T23" s="8">
        <v>3150.8148855300001</v>
      </c>
      <c r="U23" s="8">
        <v>3416.8453459500001</v>
      </c>
      <c r="V23" s="8">
        <v>3686.9545693300001</v>
      </c>
      <c r="W23" s="8">
        <v>3966.08326029</v>
      </c>
      <c r="X23" s="8">
        <v>4254.5944390699997</v>
      </c>
      <c r="Y23" s="8">
        <v>4550.9675473200004</v>
      </c>
      <c r="Z23" s="8">
        <v>4767.9581870700003</v>
      </c>
      <c r="AA23" s="8">
        <v>4830.5895648200003</v>
      </c>
      <c r="AB23" s="8">
        <v>4967.1436298899998</v>
      </c>
      <c r="AC23" s="8">
        <v>5100.1915122600003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0.99362415999999998</v>
      </c>
      <c r="E25" s="8">
        <v>1.0000000200000001</v>
      </c>
      <c r="F25" s="8">
        <v>1.0000004199999999</v>
      </c>
      <c r="G25" s="8">
        <v>1.18273589</v>
      </c>
      <c r="H25" s="8">
        <v>1.1698514499999999</v>
      </c>
      <c r="I25" s="8">
        <v>1.15787554</v>
      </c>
      <c r="J25" s="8">
        <v>1.1483050400000001</v>
      </c>
      <c r="K25" s="8">
        <v>1.14051407</v>
      </c>
      <c r="L25" s="8">
        <v>1.1340758799999999</v>
      </c>
      <c r="M25" s="8">
        <v>1.12828986</v>
      </c>
      <c r="N25" s="8">
        <v>1.12229077</v>
      </c>
      <c r="O25" s="8">
        <v>1.11796407</v>
      </c>
      <c r="P25" s="8">
        <v>1.09654311</v>
      </c>
      <c r="Q25" s="8">
        <v>1.0046443199999999</v>
      </c>
      <c r="R25" s="8">
        <v>1.0171565199999999</v>
      </c>
      <c r="S25" s="8">
        <v>1.0090578299999999</v>
      </c>
      <c r="T25" s="8">
        <v>1.0004300800000001</v>
      </c>
      <c r="U25" s="8">
        <v>1.05433307</v>
      </c>
      <c r="V25" s="8">
        <v>1.1162509199999999</v>
      </c>
      <c r="W25" s="8">
        <v>1.11279046</v>
      </c>
      <c r="X25" s="8">
        <v>1.1097258000000001</v>
      </c>
      <c r="Y25" s="8">
        <v>1.1065343599999999</v>
      </c>
      <c r="Z25" s="8">
        <v>1.1034812000000001</v>
      </c>
      <c r="AA25" s="8">
        <v>1.0838070099999999</v>
      </c>
      <c r="AB25" s="8">
        <v>1.04807161</v>
      </c>
      <c r="AC25" s="8">
        <v>1.0637261499999999</v>
      </c>
    </row>
    <row r="26" spans="1:29" x14ac:dyDescent="0.85">
      <c r="A26" t="s">
        <v>157</v>
      </c>
      <c r="B26" s="8">
        <v>1</v>
      </c>
      <c r="C26" s="8">
        <v>0.99362415999999998</v>
      </c>
      <c r="D26" s="8">
        <v>1.0000000200000001</v>
      </c>
      <c r="E26" s="8">
        <v>1.0000004199999999</v>
      </c>
      <c r="F26" s="8">
        <v>1.1910800100000001</v>
      </c>
      <c r="G26" s="8">
        <v>1.1827458900000001</v>
      </c>
      <c r="H26" s="8">
        <v>1.16986145</v>
      </c>
      <c r="I26" s="8">
        <v>1.1578855400000001</v>
      </c>
      <c r="J26" s="8">
        <v>1.14831504</v>
      </c>
      <c r="K26" s="8">
        <v>1.1405240699999999</v>
      </c>
      <c r="L26" s="8">
        <v>1.13408588</v>
      </c>
      <c r="M26" s="8">
        <v>1.12829986</v>
      </c>
      <c r="N26" s="8">
        <v>1.1223007700000001</v>
      </c>
      <c r="O26" s="8">
        <v>1.09654311</v>
      </c>
      <c r="P26" s="8">
        <v>1.0046443199999999</v>
      </c>
      <c r="Q26" s="8">
        <v>1.0171565199999999</v>
      </c>
      <c r="R26" s="8">
        <v>1.0090578299999999</v>
      </c>
      <c r="S26" s="8">
        <v>1.0004300800000001</v>
      </c>
      <c r="T26" s="8">
        <v>1.05433307</v>
      </c>
      <c r="U26" s="8">
        <v>1.1218264899999999</v>
      </c>
      <c r="V26" s="8">
        <v>1.11626092</v>
      </c>
      <c r="W26" s="8">
        <v>1.1128004600000001</v>
      </c>
      <c r="X26" s="8">
        <v>1.1097357999999999</v>
      </c>
      <c r="Y26" s="8">
        <v>1.10654436</v>
      </c>
      <c r="Z26" s="8">
        <v>1.0838070099999999</v>
      </c>
      <c r="AA26" s="8">
        <v>1.04807161</v>
      </c>
      <c r="AB26" s="8">
        <v>1.0637261499999999</v>
      </c>
      <c r="AC26" s="8">
        <v>1.0621919900000001</v>
      </c>
    </row>
    <row r="27" spans="1:29" x14ac:dyDescent="0.85">
      <c r="A27" t="s">
        <v>158</v>
      </c>
      <c r="B27" s="8">
        <v>1</v>
      </c>
      <c r="C27" s="8">
        <v>1.1627626900000001</v>
      </c>
      <c r="D27" s="8">
        <v>1.1680187399999999</v>
      </c>
      <c r="E27" s="8">
        <v>1.17712444</v>
      </c>
      <c r="F27" s="8">
        <v>1.1910801900000001</v>
      </c>
      <c r="G27" s="8">
        <v>1.1827458900000001</v>
      </c>
      <c r="H27" s="8">
        <v>1.16986145</v>
      </c>
      <c r="I27" s="8">
        <v>1.1578855400000001</v>
      </c>
      <c r="J27" s="8">
        <v>1.14831504</v>
      </c>
      <c r="K27" s="8">
        <v>1.1405240699999999</v>
      </c>
      <c r="L27" s="8">
        <v>1.13408588</v>
      </c>
      <c r="M27" s="8">
        <v>1.12829986</v>
      </c>
      <c r="N27" s="8">
        <v>1.1223007700000001</v>
      </c>
      <c r="O27" s="8">
        <v>1.11797407</v>
      </c>
      <c r="P27" s="8">
        <v>1.11424503</v>
      </c>
      <c r="Q27" s="8">
        <v>1.11657294</v>
      </c>
      <c r="R27" s="8">
        <v>1.1180306200000001</v>
      </c>
      <c r="S27" s="8">
        <v>1.1201112200000001</v>
      </c>
      <c r="T27" s="8">
        <v>1.12317388</v>
      </c>
      <c r="U27" s="8">
        <v>1.1218264899999999</v>
      </c>
      <c r="V27" s="8">
        <v>1.11626092</v>
      </c>
      <c r="W27" s="8">
        <v>1.1128004600000001</v>
      </c>
      <c r="X27" s="8">
        <v>1.1097357999999999</v>
      </c>
      <c r="Y27" s="8">
        <v>1.10654436</v>
      </c>
      <c r="Z27" s="8">
        <v>1.1034911999999999</v>
      </c>
      <c r="AA27" s="8">
        <v>1.10115344</v>
      </c>
      <c r="AB27" s="8">
        <v>1.10142023</v>
      </c>
      <c r="AC27" s="8">
        <v>1.1008761899999999</v>
      </c>
    </row>
    <row r="28" spans="1:29" x14ac:dyDescent="0.85">
      <c r="A28" t="s">
        <v>159</v>
      </c>
      <c r="B28" s="8">
        <v>26871</v>
      </c>
      <c r="C28" s="8">
        <v>25796.160015580001</v>
      </c>
      <c r="D28" s="8">
        <v>27943.656030099999</v>
      </c>
      <c r="E28" s="8">
        <v>30122.743129840001</v>
      </c>
      <c r="F28" s="8">
        <v>32401.494006600002</v>
      </c>
      <c r="G28" s="8">
        <v>34909.684974739997</v>
      </c>
      <c r="H28" s="8">
        <v>37533.739578480003</v>
      </c>
      <c r="I28" s="8">
        <v>40238.879082840002</v>
      </c>
      <c r="J28" s="8">
        <v>43032.764751210001</v>
      </c>
      <c r="K28" s="8">
        <v>45923.353886240002</v>
      </c>
      <c r="L28" s="8">
        <v>48918.921698530001</v>
      </c>
      <c r="M28" s="8">
        <v>52012.913295680002</v>
      </c>
      <c r="N28" s="8">
        <v>55167.015586950001</v>
      </c>
      <c r="O28" s="8">
        <v>55018.90096906</v>
      </c>
      <c r="P28" s="8">
        <v>52818.14500764</v>
      </c>
      <c r="Q28" s="8">
        <v>50705.419207799998</v>
      </c>
      <c r="R28" s="8">
        <v>48677.20250005</v>
      </c>
      <c r="S28" s="8">
        <v>46730.114400899998</v>
      </c>
      <c r="T28" s="8">
        <v>44860.90982814</v>
      </c>
      <c r="U28" s="8">
        <v>44939.819969880002</v>
      </c>
      <c r="V28" s="8">
        <v>48568.377010789998</v>
      </c>
      <c r="W28" s="8">
        <v>52305.186974260003</v>
      </c>
      <c r="X28" s="8">
        <v>54829.603079580003</v>
      </c>
      <c r="Y28" s="8">
        <v>56792.070893839998</v>
      </c>
      <c r="Z28" s="8">
        <v>56198.657134300003</v>
      </c>
      <c r="AA28" s="8">
        <v>57078.605982120003</v>
      </c>
      <c r="AB28" s="8">
        <v>58468.549815769999</v>
      </c>
      <c r="AC28" s="8">
        <v>59788.039535249998</v>
      </c>
    </row>
    <row r="29" spans="1:29" x14ac:dyDescent="0.85">
      <c r="A29" t="s">
        <v>160</v>
      </c>
      <c r="B29" s="8">
        <v>99460984</v>
      </c>
      <c r="C29" s="8">
        <v>95482544.697673902</v>
      </c>
      <c r="D29" s="8">
        <v>103431339.559811</v>
      </c>
      <c r="E29" s="8">
        <v>111497066.446091</v>
      </c>
      <c r="F29" s="8">
        <v>119931691.30162799</v>
      </c>
      <c r="G29" s="8">
        <v>129215575.326123</v>
      </c>
      <c r="H29" s="8">
        <v>138928311.997132</v>
      </c>
      <c r="I29" s="8">
        <v>148941182.26477399</v>
      </c>
      <c r="J29" s="8">
        <v>159282539.77878699</v>
      </c>
      <c r="K29" s="8">
        <v>169981837.89606801</v>
      </c>
      <c r="L29" s="8">
        <v>181069706.68580499</v>
      </c>
      <c r="M29" s="8">
        <v>192521883.70717099</v>
      </c>
      <c r="N29" s="8">
        <v>204196555.938411</v>
      </c>
      <c r="O29" s="8">
        <v>203648320.82843801</v>
      </c>
      <c r="P29" s="8">
        <v>195502388.28158</v>
      </c>
      <c r="Q29" s="8">
        <v>187682292.75204301</v>
      </c>
      <c r="R29" s="8">
        <v>180175001.266137</v>
      </c>
      <c r="S29" s="8">
        <v>172968001.21862701</v>
      </c>
      <c r="T29" s="8">
        <v>166049281.182019</v>
      </c>
      <c r="U29" s="8">
        <v>166341361.13234901</v>
      </c>
      <c r="V29" s="8">
        <v>179772191.90859401</v>
      </c>
      <c r="W29" s="8">
        <v>193603712.72984999</v>
      </c>
      <c r="X29" s="8">
        <v>202947648.93841499</v>
      </c>
      <c r="Y29" s="8">
        <v>210211575.84380499</v>
      </c>
      <c r="Z29" s="8">
        <v>208015099.47737601</v>
      </c>
      <c r="AA29" s="8">
        <v>211272163.90643001</v>
      </c>
      <c r="AB29" s="8">
        <v>216416936.38978401</v>
      </c>
      <c r="AC29" s="8">
        <v>221300928.27236199</v>
      </c>
    </row>
    <row r="30" spans="1:29" x14ac:dyDescent="0.85">
      <c r="A30" t="s">
        <v>161</v>
      </c>
      <c r="B30" s="8">
        <v>99460984</v>
      </c>
      <c r="C30" s="8">
        <v>95482544.697673902</v>
      </c>
      <c r="D30" s="8">
        <v>103431339.559811</v>
      </c>
      <c r="E30" s="8">
        <v>111497066.446091</v>
      </c>
      <c r="F30" s="8">
        <v>119931691.30162799</v>
      </c>
      <c r="G30" s="8">
        <v>129215571.386161</v>
      </c>
      <c r="H30" s="8">
        <v>138928311.997132</v>
      </c>
      <c r="I30" s="8">
        <v>148941182.26477399</v>
      </c>
      <c r="J30" s="8">
        <v>159282539.77878699</v>
      </c>
      <c r="K30" s="8">
        <v>169981837.89606801</v>
      </c>
      <c r="L30" s="8">
        <v>181069706.68580499</v>
      </c>
      <c r="M30" s="8">
        <v>192521883.70717099</v>
      </c>
      <c r="N30" s="8">
        <v>204196555.938411</v>
      </c>
      <c r="O30" s="8">
        <v>203648320.82843801</v>
      </c>
      <c r="P30" s="8">
        <v>195502388.28158</v>
      </c>
      <c r="Q30" s="8">
        <v>187682292.75204301</v>
      </c>
      <c r="R30" s="8">
        <v>180175001.266137</v>
      </c>
      <c r="S30" s="8">
        <v>172968001.21862701</v>
      </c>
      <c r="T30" s="8">
        <v>166049281.182019</v>
      </c>
      <c r="U30" s="8">
        <v>166341361.13234901</v>
      </c>
      <c r="V30" s="8">
        <v>179772191.90859401</v>
      </c>
      <c r="W30" s="8">
        <v>193603712.72984999</v>
      </c>
      <c r="X30" s="8">
        <v>202947648.93841499</v>
      </c>
      <c r="Y30" s="8">
        <v>210211575.84380499</v>
      </c>
      <c r="Z30" s="8">
        <v>208015099.47737601</v>
      </c>
      <c r="AA30" s="8">
        <v>211272163.90643001</v>
      </c>
      <c r="AB30" s="8">
        <v>216416936.38978401</v>
      </c>
      <c r="AC30" s="8">
        <v>221300928.27236199</v>
      </c>
    </row>
    <row r="31" spans="1:29" x14ac:dyDescent="0.85">
      <c r="A31" t="s">
        <v>162</v>
      </c>
      <c r="B31" s="8">
        <v>4204.63215683</v>
      </c>
      <c r="C31" s="8">
        <v>4036.44687299</v>
      </c>
      <c r="D31" s="8">
        <v>4372.4757070200003</v>
      </c>
      <c r="E31" s="8">
        <v>4713.4477472199997</v>
      </c>
      <c r="F31" s="8">
        <v>5070.0146488500004</v>
      </c>
      <c r="G31" s="8">
        <v>5462.4831241700003</v>
      </c>
      <c r="H31" s="8">
        <v>5873.08132922</v>
      </c>
      <c r="I31" s="8">
        <v>6296.3672712699999</v>
      </c>
      <c r="J31" s="8">
        <v>6733.5397443399997</v>
      </c>
      <c r="K31" s="8">
        <v>7185.8438651099996</v>
      </c>
      <c r="L31" s="8">
        <v>7654.5744948399997</v>
      </c>
      <c r="M31" s="8">
        <v>8138.7059585899997</v>
      </c>
      <c r="N31" s="8">
        <v>8632.2432262700004</v>
      </c>
      <c r="O31" s="8">
        <v>8609.0670331500005</v>
      </c>
      <c r="P31" s="8">
        <v>8264.7043639200001</v>
      </c>
      <c r="Q31" s="8">
        <v>7934.1161894400002</v>
      </c>
      <c r="R31" s="8">
        <v>7616.7515513400003</v>
      </c>
      <c r="S31" s="8">
        <v>7312.0814894200003</v>
      </c>
      <c r="T31" s="8">
        <v>7019.5982303500004</v>
      </c>
      <c r="U31" s="8">
        <v>7031.9456725600003</v>
      </c>
      <c r="V31" s="8">
        <v>7599.7231135599995</v>
      </c>
      <c r="W31" s="8">
        <v>8184.4394001299997</v>
      </c>
      <c r="X31" s="8">
        <v>8579.4466992100006</v>
      </c>
      <c r="Y31" s="8">
        <v>8886.5232977199994</v>
      </c>
      <c r="Z31" s="8">
        <v>8793.6690468300003</v>
      </c>
      <c r="AA31" s="8">
        <v>8931.3587949499997</v>
      </c>
      <c r="AB31" s="8">
        <v>9148.8498648500008</v>
      </c>
      <c r="AC31" s="8">
        <v>9355.3166470699998</v>
      </c>
    </row>
    <row r="32" spans="1:29" x14ac:dyDescent="0.85">
      <c r="A32" t="s">
        <v>163</v>
      </c>
      <c r="B32" s="8">
        <v>0</v>
      </c>
      <c r="C32" s="8">
        <v>7.6386035799999998</v>
      </c>
      <c r="D32" s="8">
        <v>16.549014329999999</v>
      </c>
      <c r="E32" s="8">
        <v>26.759295949999998</v>
      </c>
      <c r="F32" s="8">
        <v>38.378141220000003</v>
      </c>
      <c r="G32" s="8">
        <v>51.686228550000003</v>
      </c>
      <c r="H32" s="8">
        <v>66.685589759999999</v>
      </c>
      <c r="I32" s="8">
        <v>83.407062069999995</v>
      </c>
      <c r="J32" s="8">
        <v>101.94082546</v>
      </c>
      <c r="K32" s="8">
        <v>122.38692329</v>
      </c>
      <c r="L32" s="8">
        <v>144.85576535000001</v>
      </c>
      <c r="M32" s="8">
        <v>169.41925766</v>
      </c>
      <c r="N32" s="8">
        <v>196.02869369999999</v>
      </c>
      <c r="O32" s="8">
        <v>211.79425366000001</v>
      </c>
      <c r="P32" s="8">
        <v>218.96267488000001</v>
      </c>
      <c r="Q32" s="8">
        <v>225.21875130000001</v>
      </c>
      <c r="R32" s="8">
        <v>230.62400162</v>
      </c>
      <c r="S32" s="8">
        <v>235.23648166000001</v>
      </c>
      <c r="T32" s="8">
        <v>239.1109649</v>
      </c>
      <c r="U32" s="8">
        <v>252.83886892000001</v>
      </c>
      <c r="V32" s="8">
        <v>287.63550705</v>
      </c>
      <c r="W32" s="8">
        <v>325.25423739000001</v>
      </c>
      <c r="X32" s="8">
        <v>357.18786212999998</v>
      </c>
      <c r="Y32" s="8">
        <v>386.78929955000001</v>
      </c>
      <c r="Z32" s="8">
        <v>399.38899099999998</v>
      </c>
      <c r="AA32" s="8">
        <v>422.54432781000003</v>
      </c>
      <c r="AB32" s="8">
        <v>450.14722769000002</v>
      </c>
      <c r="AC32" s="8">
        <v>478.01000506999998</v>
      </c>
    </row>
    <row r="33" spans="1:29" x14ac:dyDescent="0.85">
      <c r="A33" t="s">
        <v>164</v>
      </c>
      <c r="B33" s="8">
        <v>0.39784394000000001</v>
      </c>
      <c r="C33" s="8">
        <v>0.38193018000000001</v>
      </c>
      <c r="D33" s="8">
        <v>0.41372535999999999</v>
      </c>
      <c r="E33" s="8">
        <v>0.44598827000000002</v>
      </c>
      <c r="F33" s="8">
        <v>0.47972677000000002</v>
      </c>
      <c r="G33" s="8">
        <v>0.51686228999999995</v>
      </c>
      <c r="H33" s="8">
        <v>0.55571325000000005</v>
      </c>
      <c r="I33" s="8">
        <v>0.59576472999999996</v>
      </c>
      <c r="J33" s="8">
        <v>0.63713016</v>
      </c>
      <c r="K33" s="8">
        <v>0.67992735000000004</v>
      </c>
      <c r="L33" s="8">
        <v>0.72427883000000004</v>
      </c>
      <c r="M33" s="8">
        <v>0.77008752999999996</v>
      </c>
      <c r="N33" s="8">
        <v>0.81678622000000001</v>
      </c>
      <c r="O33" s="8">
        <v>0.81459327999999998</v>
      </c>
      <c r="P33" s="8">
        <v>0.78200955000000005</v>
      </c>
      <c r="Q33" s="8">
        <v>0.75072916999999995</v>
      </c>
      <c r="R33" s="8">
        <v>0.72070000999999995</v>
      </c>
      <c r="S33" s="8">
        <v>0.69187200000000004</v>
      </c>
      <c r="T33" s="8">
        <v>0.66419711999999997</v>
      </c>
      <c r="U33" s="8">
        <v>0.66536543999999997</v>
      </c>
      <c r="V33" s="8">
        <v>0.71908877000000004</v>
      </c>
      <c r="W33" s="8">
        <v>0.77441484999999999</v>
      </c>
      <c r="X33" s="8">
        <v>0.81179060000000003</v>
      </c>
      <c r="Y33" s="8">
        <v>0.84084630000000005</v>
      </c>
      <c r="Z33" s="8">
        <v>0.83206040000000003</v>
      </c>
      <c r="AA33" s="8">
        <v>0.84508866000000005</v>
      </c>
      <c r="AB33" s="8">
        <v>0.86566774999999996</v>
      </c>
      <c r="AC33" s="8">
        <v>0.88520370999999998</v>
      </c>
    </row>
    <row r="34" spans="1:29" x14ac:dyDescent="0.85">
      <c r="A34" t="s">
        <v>165</v>
      </c>
      <c r="B34" s="8">
        <v>4204.63215683</v>
      </c>
      <c r="C34" s="8">
        <v>4036.44687299</v>
      </c>
      <c r="D34" s="8">
        <v>4372.4757070200003</v>
      </c>
      <c r="E34" s="8">
        <v>4713.4477472199997</v>
      </c>
      <c r="F34" s="8">
        <v>5070.0146488500004</v>
      </c>
      <c r="G34" s="8">
        <v>5462.4831241700003</v>
      </c>
      <c r="H34" s="8">
        <v>5873.08132922</v>
      </c>
      <c r="I34" s="8">
        <v>6296.3672712699999</v>
      </c>
      <c r="J34" s="8">
        <v>6733.5397443399997</v>
      </c>
      <c r="K34" s="8">
        <v>7185.8438651099996</v>
      </c>
      <c r="L34" s="8">
        <v>7654.5744948399997</v>
      </c>
      <c r="M34" s="8">
        <v>8138.7059585899997</v>
      </c>
      <c r="N34" s="8">
        <v>8632.2432262700004</v>
      </c>
      <c r="O34" s="8">
        <v>8609.0670331500005</v>
      </c>
      <c r="P34" s="8">
        <v>8264.7043639200001</v>
      </c>
      <c r="Q34" s="8">
        <v>7934.1161894400002</v>
      </c>
      <c r="R34" s="8">
        <v>7616.7515513400003</v>
      </c>
      <c r="S34" s="8">
        <v>7312.0814894200003</v>
      </c>
      <c r="T34" s="8">
        <v>7019.5982303500004</v>
      </c>
      <c r="U34" s="8">
        <v>7031.9456725600003</v>
      </c>
      <c r="V34" s="8">
        <v>7599.7231135599995</v>
      </c>
      <c r="W34" s="8">
        <v>8184.4394001299997</v>
      </c>
      <c r="X34" s="8">
        <v>8579.4466992100006</v>
      </c>
      <c r="Y34" s="8">
        <v>8886.5232977199994</v>
      </c>
      <c r="Z34" s="8">
        <v>8793.6690468300003</v>
      </c>
      <c r="AA34" s="8">
        <v>8931.3587949499997</v>
      </c>
      <c r="AB34" s="8">
        <v>9148.8498648500008</v>
      </c>
      <c r="AC34" s="8">
        <v>9355.3166470699998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1.1228873500000001</v>
      </c>
      <c r="F36" s="8">
        <v>1.12045755</v>
      </c>
      <c r="G36" s="8">
        <v>1.1204675500000001</v>
      </c>
      <c r="H36" s="8">
        <v>1.1199555699999999</v>
      </c>
      <c r="I36" s="8">
        <v>1.1167318799999999</v>
      </c>
      <c r="J36" s="8">
        <v>1.11398218</v>
      </c>
      <c r="K36" s="8">
        <v>1.11162731</v>
      </c>
      <c r="L36" s="8">
        <v>1.1096043</v>
      </c>
      <c r="M36" s="8">
        <v>1.1075393099999999</v>
      </c>
      <c r="N36" s="8">
        <v>1.10482415</v>
      </c>
      <c r="O36" s="8">
        <v>1.1030937599999999</v>
      </c>
      <c r="P36" s="8">
        <v>1.03886996</v>
      </c>
      <c r="Q36" s="8">
        <v>1</v>
      </c>
      <c r="R36" s="8">
        <v>1</v>
      </c>
      <c r="S36" s="8">
        <v>1</v>
      </c>
      <c r="T36" s="8">
        <v>1</v>
      </c>
      <c r="U36" s="8">
        <v>1</v>
      </c>
      <c r="V36" s="8">
        <v>1.04349895</v>
      </c>
      <c r="W36" s="8">
        <v>1.1218016200000001</v>
      </c>
      <c r="X36" s="8">
        <v>1.11832675</v>
      </c>
      <c r="Y36" s="8">
        <v>1.0919408399999999</v>
      </c>
      <c r="Z36" s="8">
        <v>1.07895013</v>
      </c>
      <c r="AA36" s="8">
        <v>1.03078241</v>
      </c>
      <c r="AB36" s="8">
        <v>1.0579769000000001</v>
      </c>
      <c r="AC36" s="8">
        <v>1.0670327100000001</v>
      </c>
    </row>
    <row r="37" spans="1:29" x14ac:dyDescent="0.85">
      <c r="A37" t="s">
        <v>168</v>
      </c>
      <c r="B37" s="8">
        <v>1</v>
      </c>
      <c r="C37" s="8">
        <v>1</v>
      </c>
      <c r="D37" s="8">
        <v>1.1283840300000001</v>
      </c>
      <c r="E37" s="8">
        <v>1.1228973499999999</v>
      </c>
      <c r="F37" s="8">
        <v>1.1204675500000001</v>
      </c>
      <c r="G37" s="8">
        <v>1.1223018</v>
      </c>
      <c r="H37" s="8">
        <v>1.11996557</v>
      </c>
      <c r="I37" s="8">
        <v>1.11674188</v>
      </c>
      <c r="J37" s="8">
        <v>1.1139921800000001</v>
      </c>
      <c r="K37" s="8">
        <v>1.1116373100000001</v>
      </c>
      <c r="L37" s="8">
        <v>1.1096143000000001</v>
      </c>
      <c r="M37" s="8">
        <v>1.10754931</v>
      </c>
      <c r="N37" s="8">
        <v>1.10483412</v>
      </c>
      <c r="O37" s="8">
        <v>1.03886996</v>
      </c>
      <c r="P37" s="8">
        <v>1</v>
      </c>
      <c r="Q37" s="8">
        <v>1</v>
      </c>
      <c r="R37" s="8">
        <v>1</v>
      </c>
      <c r="S37" s="8">
        <v>1</v>
      </c>
      <c r="T37" s="8">
        <v>1</v>
      </c>
      <c r="U37" s="8">
        <v>1.04349895</v>
      </c>
      <c r="V37" s="8">
        <v>1.1257735200000001</v>
      </c>
      <c r="W37" s="8">
        <v>1.1218116199999999</v>
      </c>
      <c r="X37" s="8">
        <v>1.0919408399999999</v>
      </c>
      <c r="Y37" s="8">
        <v>1.07895013</v>
      </c>
      <c r="Z37" s="8">
        <v>1.03078241</v>
      </c>
      <c r="AA37" s="8">
        <v>1.0579769000000001</v>
      </c>
      <c r="AB37" s="8">
        <v>1.0670327100000001</v>
      </c>
      <c r="AC37" s="8">
        <v>1.06517449</v>
      </c>
    </row>
    <row r="38" spans="1:29" x14ac:dyDescent="0.85">
      <c r="A38" t="s">
        <v>169</v>
      </c>
      <c r="B38" s="8">
        <v>1</v>
      </c>
      <c r="C38" s="8">
        <v>1.1240449699999999</v>
      </c>
      <c r="D38" s="8">
        <v>1.1286247</v>
      </c>
      <c r="E38" s="8">
        <v>1.1228973499999999</v>
      </c>
      <c r="F38" s="8">
        <v>1.1204675500000001</v>
      </c>
      <c r="G38" s="8">
        <v>1.1223018</v>
      </c>
      <c r="H38" s="8">
        <v>1.11996557</v>
      </c>
      <c r="I38" s="8">
        <v>1.11674188</v>
      </c>
      <c r="J38" s="8">
        <v>1.1139921800000001</v>
      </c>
      <c r="K38" s="8">
        <v>1.1116373100000001</v>
      </c>
      <c r="L38" s="8">
        <v>1.1096143000000001</v>
      </c>
      <c r="M38" s="8">
        <v>1.10754931</v>
      </c>
      <c r="N38" s="8">
        <v>1.1048341500000001</v>
      </c>
      <c r="O38" s="8">
        <v>1.10310376</v>
      </c>
      <c r="P38" s="8">
        <v>1.10496459</v>
      </c>
      <c r="Q38" s="8">
        <v>1.10807503</v>
      </c>
      <c r="R38" s="8">
        <v>1.11156984</v>
      </c>
      <c r="S38" s="8">
        <v>1.1150156200000001</v>
      </c>
      <c r="T38" s="8">
        <v>1.1186448200000001</v>
      </c>
      <c r="U38" s="8">
        <v>1.12335907</v>
      </c>
      <c r="V38" s="8">
        <v>1.12577354</v>
      </c>
      <c r="W38" s="8">
        <v>1.1218116199999999</v>
      </c>
      <c r="X38" s="8">
        <v>1.1183367500000001</v>
      </c>
      <c r="Y38" s="8">
        <v>1.11705432</v>
      </c>
      <c r="Z38" s="8">
        <v>1.11669182</v>
      </c>
      <c r="AA38" s="8">
        <v>1.11950536</v>
      </c>
      <c r="AB38" s="8">
        <v>1.1195845900000001</v>
      </c>
      <c r="AC38" s="8">
        <v>1.11929744</v>
      </c>
    </row>
    <row r="39" spans="1:29" x14ac:dyDescent="0.85">
      <c r="A39" t="s">
        <v>170</v>
      </c>
      <c r="B39" s="8">
        <v>5157</v>
      </c>
      <c r="C39" s="8">
        <v>5028.0749999999998</v>
      </c>
      <c r="D39" s="8">
        <v>4902.3731492799998</v>
      </c>
      <c r="E39" s="8">
        <v>5265.4863508600001</v>
      </c>
      <c r="F39" s="8">
        <v>8457.6785867399994</v>
      </c>
      <c r="G39" s="8">
        <v>11939.248203200001</v>
      </c>
      <c r="H39" s="8">
        <v>15587.970918339999</v>
      </c>
      <c r="I39" s="8">
        <v>19367.039665780001</v>
      </c>
      <c r="J39" s="8">
        <v>23286.101615709998</v>
      </c>
      <c r="K39" s="8">
        <v>27355.255780309999</v>
      </c>
      <c r="L39" s="8">
        <v>30959.488113629999</v>
      </c>
      <c r="M39" s="8">
        <v>32798.198680349997</v>
      </c>
      <c r="N39" s="8">
        <v>36116.341240870002</v>
      </c>
      <c r="O39" s="8">
        <v>40003.09142407</v>
      </c>
      <c r="P39" s="8">
        <v>44369.930991699999</v>
      </c>
      <c r="Q39" s="8">
        <v>48679.563737010001</v>
      </c>
      <c r="R39" s="8">
        <v>52718.703938450002</v>
      </c>
      <c r="S39" s="8">
        <v>56956.468606319999</v>
      </c>
      <c r="T39" s="8">
        <v>61060.629544919997</v>
      </c>
      <c r="U39" s="8">
        <v>59582.729333199997</v>
      </c>
      <c r="V39" s="8">
        <v>58851.511983370001</v>
      </c>
      <c r="W39" s="8">
        <v>59585.739418220001</v>
      </c>
      <c r="X39" s="8">
        <v>60483.359149700002</v>
      </c>
      <c r="Y39" s="8">
        <v>61486.302737270002</v>
      </c>
      <c r="Z39" s="8">
        <v>63960.440986709997</v>
      </c>
      <c r="AA39" s="8">
        <v>66178.847360140004</v>
      </c>
      <c r="AB39" s="8">
        <v>67859.788364890002</v>
      </c>
      <c r="AC39" s="8">
        <v>69592.790866690004</v>
      </c>
    </row>
    <row r="40" spans="1:29" x14ac:dyDescent="0.85">
      <c r="A40" t="s">
        <v>171</v>
      </c>
      <c r="B40" s="8">
        <v>41219508.75</v>
      </c>
      <c r="C40" s="8">
        <v>40189020.681529</v>
      </c>
      <c r="D40" s="8">
        <v>39184295.358567901</v>
      </c>
      <c r="E40" s="8">
        <v>42086631.5345034</v>
      </c>
      <c r="F40" s="8">
        <v>67601581.050418198</v>
      </c>
      <c r="G40" s="8">
        <v>95429501.938671201</v>
      </c>
      <c r="H40" s="8">
        <v>124593464.81911001</v>
      </c>
      <c r="I40" s="8">
        <v>154799273.61228499</v>
      </c>
      <c r="J40" s="8">
        <v>186124037.415075</v>
      </c>
      <c r="K40" s="8">
        <v>218648476.86310801</v>
      </c>
      <c r="L40" s="8">
        <v>247456831.508746</v>
      </c>
      <c r="M40" s="8">
        <v>262153505.085262</v>
      </c>
      <c r="N40" s="8">
        <v>288675165.95725</v>
      </c>
      <c r="O40" s="8">
        <v>319741664.26853198</v>
      </c>
      <c r="P40" s="8">
        <v>354645480.47983402</v>
      </c>
      <c r="Q40" s="8">
        <v>389092046.915483</v>
      </c>
      <c r="R40" s="8">
        <v>421376587.04093498</v>
      </c>
      <c r="S40" s="8">
        <v>455248717.40502399</v>
      </c>
      <c r="T40" s="8">
        <v>488052963.33252001</v>
      </c>
      <c r="U40" s="8">
        <v>476240219.45451897</v>
      </c>
      <c r="V40" s="8">
        <v>470395654.84585702</v>
      </c>
      <c r="W40" s="8">
        <v>476264278.83493501</v>
      </c>
      <c r="X40" s="8">
        <v>483438885.01182199</v>
      </c>
      <c r="Y40" s="8">
        <v>491455336.75188899</v>
      </c>
      <c r="Z40" s="8">
        <v>511230935.42054898</v>
      </c>
      <c r="AA40" s="8">
        <v>528962488.67339998</v>
      </c>
      <c r="AB40" s="8">
        <v>542398122.15225101</v>
      </c>
      <c r="AC40" s="8">
        <v>556249879.21356797</v>
      </c>
    </row>
    <row r="41" spans="1:29" x14ac:dyDescent="0.85">
      <c r="A41" t="s">
        <v>172</v>
      </c>
      <c r="B41" s="8">
        <v>41219508.75</v>
      </c>
      <c r="C41" s="8">
        <v>40189020.681529</v>
      </c>
      <c r="D41" s="8">
        <v>39184295.358567901</v>
      </c>
      <c r="E41" s="8">
        <v>42086631.5345034</v>
      </c>
      <c r="F41" s="8">
        <v>67601581.050418198</v>
      </c>
      <c r="G41" s="8">
        <v>95429501.938671201</v>
      </c>
      <c r="H41" s="8">
        <v>124593464.81911001</v>
      </c>
      <c r="I41" s="8">
        <v>154799273.61228499</v>
      </c>
      <c r="J41" s="8">
        <v>186124037.415075</v>
      </c>
      <c r="K41" s="8">
        <v>218648476.86310801</v>
      </c>
      <c r="L41" s="8">
        <v>247456831.508746</v>
      </c>
      <c r="M41" s="8">
        <v>262153505.085262</v>
      </c>
      <c r="N41" s="8">
        <v>288675165.95725</v>
      </c>
      <c r="O41" s="8">
        <v>319741664.26853198</v>
      </c>
      <c r="P41" s="8">
        <v>354645480.47983402</v>
      </c>
      <c r="Q41" s="8">
        <v>389092046.915483</v>
      </c>
      <c r="R41" s="8">
        <v>421376587.04093498</v>
      </c>
      <c r="S41" s="8">
        <v>455248717.40502399</v>
      </c>
      <c r="T41" s="8">
        <v>488052963.33252001</v>
      </c>
      <c r="U41" s="8">
        <v>476240219.45451897</v>
      </c>
      <c r="V41" s="8">
        <v>470395654.84585702</v>
      </c>
      <c r="W41" s="8">
        <v>476264278.83493501</v>
      </c>
      <c r="X41" s="8">
        <v>483438885.01182199</v>
      </c>
      <c r="Y41" s="8">
        <v>491455336.75188899</v>
      </c>
      <c r="Z41" s="8">
        <v>511230935.42054898</v>
      </c>
      <c r="AA41" s="8">
        <v>528962488.67339998</v>
      </c>
      <c r="AB41" s="8">
        <v>542398122.15225101</v>
      </c>
      <c r="AC41" s="8">
        <v>556249879.21356797</v>
      </c>
    </row>
    <row r="42" spans="1:29" x14ac:dyDescent="0.85">
      <c r="A42" t="s">
        <v>173</v>
      </c>
      <c r="B42" s="8">
        <v>2848.5409519899999</v>
      </c>
      <c r="C42" s="8">
        <v>2777.3274246599999</v>
      </c>
      <c r="D42" s="8">
        <v>2707.8942524499998</v>
      </c>
      <c r="E42" s="8">
        <v>2908.4648988700001</v>
      </c>
      <c r="F42" s="8">
        <v>4671.7168474800001</v>
      </c>
      <c r="G42" s="8">
        <v>6594.8104323300004</v>
      </c>
      <c r="H42" s="8">
        <v>8610.2333649200009</v>
      </c>
      <c r="I42" s="8">
        <v>10697.654748229999</v>
      </c>
      <c r="J42" s="8">
        <v>12862.40333143</v>
      </c>
      <c r="K42" s="8">
        <v>15110.057444890001</v>
      </c>
      <c r="L42" s="8">
        <v>17100.90549393</v>
      </c>
      <c r="M42" s="8">
        <v>18116.542946230002</v>
      </c>
      <c r="N42" s="8">
        <v>19949.365315079998</v>
      </c>
      <c r="O42" s="8">
        <v>22096.266042809999</v>
      </c>
      <c r="P42" s="8">
        <v>24508.350844699999</v>
      </c>
      <c r="Q42" s="8">
        <v>26888.836659600001</v>
      </c>
      <c r="R42" s="8">
        <v>29119.912141469998</v>
      </c>
      <c r="S42" s="8">
        <v>31460.700620430001</v>
      </c>
      <c r="T42" s="8">
        <v>33727.691214240003</v>
      </c>
      <c r="U42" s="8">
        <v>32911.352398900002</v>
      </c>
      <c r="V42" s="8">
        <v>32507.45428699</v>
      </c>
      <c r="W42" s="8">
        <v>32913.015061389997</v>
      </c>
      <c r="X42" s="8">
        <v>33408.827852000002</v>
      </c>
      <c r="Y42" s="8">
        <v>33962.817744979999</v>
      </c>
      <c r="Z42" s="8">
        <v>35329.442549220003</v>
      </c>
      <c r="AA42" s="8">
        <v>36554.810281400001</v>
      </c>
      <c r="AB42" s="8">
        <v>37483.301513470004</v>
      </c>
      <c r="AC42" s="8">
        <v>38440.549640290003</v>
      </c>
    </row>
    <row r="43" spans="1:29" x14ac:dyDescent="0.85">
      <c r="A43" t="s">
        <v>174</v>
      </c>
      <c r="B43" s="8">
        <v>0</v>
      </c>
      <c r="C43" s="8">
        <v>2.4113412400000001</v>
      </c>
      <c r="D43" s="8">
        <v>4.70211544</v>
      </c>
      <c r="E43" s="8">
        <v>7.5755936799999999</v>
      </c>
      <c r="F43" s="8">
        <v>16.224379450000001</v>
      </c>
      <c r="G43" s="8">
        <v>28.628850580000002</v>
      </c>
      <c r="H43" s="8">
        <v>44.853647330000001</v>
      </c>
      <c r="I43" s="8">
        <v>65.015694920000001</v>
      </c>
      <c r="J43" s="8">
        <v>89.339537960000001</v>
      </c>
      <c r="K43" s="8">
        <v>118.07017750999999</v>
      </c>
      <c r="L43" s="8">
        <v>148.47409891000001</v>
      </c>
      <c r="M43" s="8">
        <v>173.02131335999999</v>
      </c>
      <c r="N43" s="8">
        <v>207.84611949000001</v>
      </c>
      <c r="O43" s="8">
        <v>249.39849813000001</v>
      </c>
      <c r="P43" s="8">
        <v>297.90220360000001</v>
      </c>
      <c r="Q43" s="8">
        <v>350.18284222</v>
      </c>
      <c r="R43" s="8">
        <v>404.52152355999999</v>
      </c>
      <c r="S43" s="8">
        <v>464.35369175</v>
      </c>
      <c r="T43" s="8">
        <v>527.09720040000002</v>
      </c>
      <c r="U43" s="8">
        <v>542.91385018000005</v>
      </c>
      <c r="V43" s="8">
        <v>564.47478581999997</v>
      </c>
      <c r="W43" s="8">
        <v>600.09299133000002</v>
      </c>
      <c r="X43" s="8">
        <v>638.13932822000004</v>
      </c>
      <c r="Y43" s="8">
        <v>678.20836471999996</v>
      </c>
      <c r="Z43" s="8">
        <v>736.17254701000002</v>
      </c>
      <c r="AA43" s="8">
        <v>793.44373300999996</v>
      </c>
      <c r="AB43" s="8">
        <v>846.14107056</v>
      </c>
      <c r="AC43" s="8">
        <v>901.12480432999996</v>
      </c>
    </row>
    <row r="44" spans="1:29" x14ac:dyDescent="0.85">
      <c r="A44" t="s">
        <v>175</v>
      </c>
      <c r="B44" s="8">
        <v>0.12365853</v>
      </c>
      <c r="C44" s="8">
        <v>0.12056706</v>
      </c>
      <c r="D44" s="8">
        <v>0.11755288999999999</v>
      </c>
      <c r="E44" s="8">
        <v>0.12625989000000001</v>
      </c>
      <c r="F44" s="8">
        <v>0.20280474000000001</v>
      </c>
      <c r="G44" s="8">
        <v>0.28628851</v>
      </c>
      <c r="H44" s="8">
        <v>0.37378039000000002</v>
      </c>
      <c r="I44" s="8">
        <v>0.46439782000000002</v>
      </c>
      <c r="J44" s="8">
        <v>0.55837210999999998</v>
      </c>
      <c r="K44" s="8">
        <v>0.65594543000000005</v>
      </c>
      <c r="L44" s="8">
        <v>0.74237048999999999</v>
      </c>
      <c r="M44" s="8">
        <v>0.78646052</v>
      </c>
      <c r="N44" s="8">
        <v>0.8660255</v>
      </c>
      <c r="O44" s="8">
        <v>0.95922499000000006</v>
      </c>
      <c r="P44" s="8">
        <v>1.06393644</v>
      </c>
      <c r="Q44" s="8">
        <v>1.16727614</v>
      </c>
      <c r="R44" s="8">
        <v>1.2641297600000001</v>
      </c>
      <c r="S44" s="8">
        <v>1.3657461500000001</v>
      </c>
      <c r="T44" s="8">
        <v>1.46415889</v>
      </c>
      <c r="U44" s="8">
        <v>1.42872066</v>
      </c>
      <c r="V44" s="8">
        <v>1.41118696</v>
      </c>
      <c r="W44" s="8">
        <v>1.4287928400000001</v>
      </c>
      <c r="X44" s="8">
        <v>1.4503166599999999</v>
      </c>
      <c r="Y44" s="8">
        <v>1.47436601</v>
      </c>
      <c r="Z44" s="8">
        <v>1.53369281</v>
      </c>
      <c r="AA44" s="8">
        <v>1.58688747</v>
      </c>
      <c r="AB44" s="8">
        <v>1.62719437</v>
      </c>
      <c r="AC44" s="8">
        <v>1.6687496399999999</v>
      </c>
    </row>
    <row r="45" spans="1:29" x14ac:dyDescent="0.85">
      <c r="A45" t="s">
        <v>176</v>
      </c>
      <c r="B45" s="8">
        <v>2431.8117185299998</v>
      </c>
      <c r="C45" s="8">
        <v>2371.0164255700001</v>
      </c>
      <c r="D45" s="8">
        <v>2311.7410263800002</v>
      </c>
      <c r="E45" s="8">
        <v>2482.96905406</v>
      </c>
      <c r="F45" s="8">
        <v>3988.2648630600002</v>
      </c>
      <c r="G45" s="8">
        <v>5630.0181677299997</v>
      </c>
      <c r="H45" s="8">
        <v>7350.5934355899999</v>
      </c>
      <c r="I45" s="8">
        <v>9132.6340920099992</v>
      </c>
      <c r="J45" s="8">
        <v>10980.68931317</v>
      </c>
      <c r="K45" s="8">
        <v>12899.521343799999</v>
      </c>
      <c r="L45" s="8">
        <v>14599.116927380001</v>
      </c>
      <c r="M45" s="8">
        <v>15466.171009809999</v>
      </c>
      <c r="N45" s="8">
        <v>17030.859387249999</v>
      </c>
      <c r="O45" s="8">
        <v>18863.67781705</v>
      </c>
      <c r="P45" s="8">
        <v>20922.88503705</v>
      </c>
      <c r="Q45" s="8">
        <v>22955.11606529</v>
      </c>
      <c r="R45" s="8">
        <v>24859.79484649</v>
      </c>
      <c r="S45" s="8">
        <v>26858.13608746</v>
      </c>
      <c r="T45" s="8">
        <v>28793.475754949999</v>
      </c>
      <c r="U45" s="8">
        <v>28096.56378022</v>
      </c>
      <c r="V45" s="8">
        <v>27751.754216500001</v>
      </c>
      <c r="W45" s="8">
        <v>28097.98320237</v>
      </c>
      <c r="X45" s="8">
        <v>28521.260724529999</v>
      </c>
      <c r="Y45" s="8">
        <v>28994.204290419999</v>
      </c>
      <c r="Z45" s="8">
        <v>30160.897792119998</v>
      </c>
      <c r="AA45" s="8">
        <v>31206.999520910002</v>
      </c>
      <c r="AB45" s="8">
        <v>31999.656498510001</v>
      </c>
      <c r="AC45" s="8">
        <v>32816.863361440002</v>
      </c>
    </row>
    <row r="46" spans="1:29" x14ac:dyDescent="0.85">
      <c r="A46" t="s">
        <v>177</v>
      </c>
      <c r="B46" s="8">
        <v>416.72923345999999</v>
      </c>
      <c r="C46" s="8">
        <v>406.31099909</v>
      </c>
      <c r="D46" s="8">
        <v>396.15322608000002</v>
      </c>
      <c r="E46" s="8">
        <v>425.49584480999999</v>
      </c>
      <c r="F46" s="8">
        <v>683.45198442000003</v>
      </c>
      <c r="G46" s="8">
        <v>964.79226459999995</v>
      </c>
      <c r="H46" s="8">
        <v>1259.63992932</v>
      </c>
      <c r="I46" s="8">
        <v>1565.0206562200001</v>
      </c>
      <c r="J46" s="8">
        <v>1881.71401827</v>
      </c>
      <c r="K46" s="8">
        <v>2210.5361010900001</v>
      </c>
      <c r="L46" s="8">
        <v>2501.7885665499998</v>
      </c>
      <c r="M46" s="8">
        <v>2650.3719364100002</v>
      </c>
      <c r="N46" s="8">
        <v>2918.50592783</v>
      </c>
      <c r="O46" s="8">
        <v>3232.5882257500002</v>
      </c>
      <c r="P46" s="8">
        <v>3585.46580765</v>
      </c>
      <c r="Q46" s="8">
        <v>3933.7205943200001</v>
      </c>
      <c r="R46" s="8">
        <v>4260.1172949800002</v>
      </c>
      <c r="S46" s="8">
        <v>4602.5645329600002</v>
      </c>
      <c r="T46" s="8">
        <v>4934.2154592899997</v>
      </c>
      <c r="U46" s="8">
        <v>4814.7886186899996</v>
      </c>
      <c r="V46" s="8">
        <v>4755.7000704900001</v>
      </c>
      <c r="W46" s="8">
        <v>4815.0318590200004</v>
      </c>
      <c r="X46" s="8">
        <v>4887.5671274699998</v>
      </c>
      <c r="Y46" s="8">
        <v>4968.6134545599998</v>
      </c>
      <c r="Z46" s="8">
        <v>5168.5447571000004</v>
      </c>
      <c r="AA46" s="8">
        <v>5347.8107604899997</v>
      </c>
      <c r="AB46" s="8">
        <v>5483.6450149599996</v>
      </c>
      <c r="AC46" s="8">
        <v>5623.6862788500002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0.99999998999999995</v>
      </c>
      <c r="E47" s="8">
        <v>1</v>
      </c>
      <c r="F47" s="8">
        <v>1.10160909</v>
      </c>
      <c r="G47" s="8">
        <v>1.4478320600000001</v>
      </c>
      <c r="H47" s="8">
        <v>1.33907452</v>
      </c>
      <c r="I47" s="8">
        <v>1.27428224</v>
      </c>
      <c r="J47" s="8">
        <v>1.2331769800000001</v>
      </c>
      <c r="K47" s="8">
        <v>1.20485774</v>
      </c>
      <c r="L47" s="8">
        <v>1.1842215</v>
      </c>
      <c r="M47" s="8">
        <v>1.1607758800000001</v>
      </c>
      <c r="N47" s="8">
        <v>1.08655473</v>
      </c>
      <c r="O47" s="8">
        <v>1.12940353</v>
      </c>
      <c r="P47" s="8">
        <v>1.1360179399999999</v>
      </c>
      <c r="Q47" s="8">
        <v>1.1344446800000001</v>
      </c>
      <c r="R47" s="8">
        <v>1.12411295</v>
      </c>
      <c r="S47" s="8">
        <v>1.11074261</v>
      </c>
      <c r="T47" s="8">
        <v>1.1080866300000001</v>
      </c>
      <c r="U47" s="8">
        <v>1.0995465200000001</v>
      </c>
      <c r="V47" s="8">
        <v>1.0008166000000001</v>
      </c>
      <c r="W47" s="8">
        <v>1.01305405</v>
      </c>
      <c r="X47" s="8">
        <v>1.0384368500000001</v>
      </c>
      <c r="Y47" s="8">
        <v>1.0410916299999999</v>
      </c>
      <c r="Z47" s="8">
        <v>1.0426483499999999</v>
      </c>
      <c r="AA47" s="8">
        <v>1.06691164</v>
      </c>
      <c r="AB47" s="8">
        <v>1.0612143999999999</v>
      </c>
      <c r="AC47" s="8">
        <v>1.0516922799999999</v>
      </c>
    </row>
    <row r="48" spans="1:29" x14ac:dyDescent="0.85">
      <c r="A48" t="s">
        <v>179</v>
      </c>
      <c r="B48" s="8">
        <v>1</v>
      </c>
      <c r="C48" s="8">
        <v>0.99999998999999995</v>
      </c>
      <c r="D48" s="8">
        <v>1</v>
      </c>
      <c r="E48" s="8">
        <v>1.10160909</v>
      </c>
      <c r="F48" s="8">
        <v>1.6474341699999999</v>
      </c>
      <c r="G48" s="8">
        <v>1.4478420599999999</v>
      </c>
      <c r="H48" s="8">
        <v>1.3390845199999999</v>
      </c>
      <c r="I48" s="8">
        <v>1.2742922400000001</v>
      </c>
      <c r="J48" s="8">
        <v>1.2331869799999999</v>
      </c>
      <c r="K48" s="8">
        <v>1.2048677400000001</v>
      </c>
      <c r="L48" s="8">
        <v>1.1607758800000001</v>
      </c>
      <c r="M48" s="8">
        <v>1.08655473</v>
      </c>
      <c r="N48" s="8">
        <v>1.12940353</v>
      </c>
      <c r="O48" s="8">
        <v>1.1360179399999999</v>
      </c>
      <c r="P48" s="8">
        <v>1.13760262</v>
      </c>
      <c r="Q48" s="8">
        <v>1.1252611100000001</v>
      </c>
      <c r="R48" s="8">
        <v>1.11074261</v>
      </c>
      <c r="S48" s="8">
        <v>1.1080866300000001</v>
      </c>
      <c r="T48" s="8">
        <v>1.0995465200000001</v>
      </c>
      <c r="U48" s="8">
        <v>1.0008166000000001</v>
      </c>
      <c r="V48" s="8">
        <v>1.01305405</v>
      </c>
      <c r="W48" s="8">
        <v>1.0384368500000001</v>
      </c>
      <c r="X48" s="8">
        <v>1.0410916299999999</v>
      </c>
      <c r="Y48" s="8">
        <v>1.0426483499999999</v>
      </c>
      <c r="Z48" s="8">
        <v>1.06691164</v>
      </c>
      <c r="AA48" s="8">
        <v>1.0612143999999999</v>
      </c>
      <c r="AB48" s="8">
        <v>1.0516922799999999</v>
      </c>
      <c r="AC48" s="8">
        <v>1.0518338300000001</v>
      </c>
    </row>
    <row r="49" spans="1:29" x14ac:dyDescent="0.85">
      <c r="A49" t="s">
        <v>180</v>
      </c>
      <c r="B49" s="8">
        <v>1</v>
      </c>
      <c r="C49" s="8">
        <v>1.6118260799999999</v>
      </c>
      <c r="D49" s="8">
        <v>1.6283706</v>
      </c>
      <c r="E49" s="8">
        <v>1.6602762499999999</v>
      </c>
      <c r="F49" s="8">
        <v>1.6474341800000001</v>
      </c>
      <c r="G49" s="8">
        <v>1.4478420599999999</v>
      </c>
      <c r="H49" s="8">
        <v>1.3390845199999999</v>
      </c>
      <c r="I49" s="8">
        <v>1.2742922400000001</v>
      </c>
      <c r="J49" s="8">
        <v>1.2331869799999999</v>
      </c>
      <c r="K49" s="8">
        <v>1.2048677400000001</v>
      </c>
      <c r="L49" s="8">
        <v>1.1842315000000001</v>
      </c>
      <c r="M49" s="8">
        <v>1.17101572</v>
      </c>
      <c r="N49" s="8">
        <v>1.16686497</v>
      </c>
      <c r="O49" s="8">
        <v>1.1585743100000001</v>
      </c>
      <c r="P49" s="8">
        <v>1.1475682700000001</v>
      </c>
      <c r="Q49" s="8">
        <v>1.1344546799999999</v>
      </c>
      <c r="R49" s="8">
        <v>1.1241229500000001</v>
      </c>
      <c r="S49" s="8">
        <v>1.1157728</v>
      </c>
      <c r="T49" s="8">
        <v>1.1083515900000001</v>
      </c>
      <c r="U49" s="8">
        <v>1.10289755</v>
      </c>
      <c r="V49" s="8">
        <v>1.1070911999999999</v>
      </c>
      <c r="W49" s="8">
        <v>1.11172329</v>
      </c>
      <c r="X49" s="8">
        <v>1.11423334</v>
      </c>
      <c r="Y49" s="8">
        <v>1.11604624</v>
      </c>
      <c r="Z49" s="8">
        <v>1.11749568</v>
      </c>
      <c r="AA49" s="8">
        <v>1.1154436999999999</v>
      </c>
      <c r="AB49" s="8">
        <v>1.1137632399999999</v>
      </c>
      <c r="AC49" s="8">
        <v>1.11339728</v>
      </c>
    </row>
    <row r="50" spans="1:29" x14ac:dyDescent="0.85">
      <c r="A50" t="s">
        <v>181</v>
      </c>
      <c r="B50" s="8">
        <v>51156</v>
      </c>
      <c r="C50" s="8">
        <v>53411.302993680001</v>
      </c>
      <c r="D50" s="8">
        <v>55066.36317448</v>
      </c>
      <c r="E50" s="8">
        <v>59257.811685410001</v>
      </c>
      <c r="F50" s="8">
        <v>63642.41694725</v>
      </c>
      <c r="G50" s="8">
        <v>62844.250810680001</v>
      </c>
      <c r="H50" s="8">
        <v>60330.480778249999</v>
      </c>
      <c r="I50" s="8">
        <v>57917.261547119997</v>
      </c>
      <c r="J50" s="8">
        <v>55600.571085230004</v>
      </c>
      <c r="K50" s="8">
        <v>53376.548241819997</v>
      </c>
      <c r="L50" s="8">
        <v>51241.486312150002</v>
      </c>
      <c r="M50" s="8">
        <v>49191.82685967</v>
      </c>
      <c r="N50" s="8">
        <v>47224.159950300003</v>
      </c>
      <c r="O50" s="8">
        <v>45335.195956399999</v>
      </c>
      <c r="P50" s="8">
        <v>43521.788123049999</v>
      </c>
      <c r="Q50" s="8">
        <v>41780.91659814</v>
      </c>
      <c r="R50" s="8">
        <v>40109.67993423</v>
      </c>
      <c r="S50" s="8">
        <v>38505.292736859999</v>
      </c>
      <c r="T50" s="8">
        <v>36965.081092519998</v>
      </c>
      <c r="U50" s="8">
        <v>40502.631753330003</v>
      </c>
      <c r="V50" s="8">
        <v>42654.651963030003</v>
      </c>
      <c r="W50" s="8">
        <v>43426.115538710001</v>
      </c>
      <c r="X50" s="8">
        <v>44324.072287880001</v>
      </c>
      <c r="Y50" s="8">
        <v>45275.262668349998</v>
      </c>
      <c r="Z50" s="8">
        <v>45374.137738179998</v>
      </c>
      <c r="AA50" s="8">
        <v>45473.162072109997</v>
      </c>
      <c r="AB50" s="8">
        <v>46015.012585880002</v>
      </c>
      <c r="AC50" s="8">
        <v>46583.585994380002</v>
      </c>
    </row>
    <row r="51" spans="1:29" x14ac:dyDescent="0.85">
      <c r="A51" t="s">
        <v>182</v>
      </c>
      <c r="B51" s="8">
        <v>179977065.75</v>
      </c>
      <c r="C51" s="8">
        <v>195812534.31858701</v>
      </c>
      <c r="D51" s="8">
        <v>199588740.325073</v>
      </c>
      <c r="E51" s="8">
        <v>216674717.14054599</v>
      </c>
      <c r="F51" s="8">
        <v>226315568.97068</v>
      </c>
      <c r="G51" s="8">
        <v>204867579.001802</v>
      </c>
      <c r="H51" s="8">
        <v>173256065.04266801</v>
      </c>
      <c r="I51" s="8">
        <v>143126571.63673601</v>
      </c>
      <c r="J51" s="8">
        <v>115407155.046841</v>
      </c>
      <c r="K51" s="8">
        <v>90567234.709811598</v>
      </c>
      <c r="L51" s="8">
        <v>71841335.830351904</v>
      </c>
      <c r="M51" s="8">
        <v>63205875.452084303</v>
      </c>
      <c r="N51" s="8">
        <v>50156745.236465603</v>
      </c>
      <c r="O51" s="8">
        <v>41036218.484592699</v>
      </c>
      <c r="P51" s="8">
        <v>35379026.726115398</v>
      </c>
      <c r="Q51" s="8">
        <v>30333908.959084</v>
      </c>
      <c r="R51" s="8">
        <v>26724178.050478399</v>
      </c>
      <c r="S51" s="8">
        <v>23365012.588799499</v>
      </c>
      <c r="T51" s="8">
        <v>19970102.336234</v>
      </c>
      <c r="U51" s="8">
        <v>24988647.578550398</v>
      </c>
      <c r="V51" s="8">
        <v>26634906.465975501</v>
      </c>
      <c r="W51" s="8">
        <v>25252708.057611901</v>
      </c>
      <c r="X51" s="8">
        <v>24461151.4433707</v>
      </c>
      <c r="Y51" s="8">
        <v>23915118.228399199</v>
      </c>
      <c r="Z51" s="8">
        <v>22538930.563139498</v>
      </c>
      <c r="AA51" s="8">
        <v>21591193.478452999</v>
      </c>
      <c r="AB51" s="8">
        <v>21141541.264064301</v>
      </c>
      <c r="AC51" s="8">
        <v>20750920.913556501</v>
      </c>
    </row>
    <row r="52" spans="1:29" x14ac:dyDescent="0.85">
      <c r="A52" t="s">
        <v>183</v>
      </c>
      <c r="B52" s="8">
        <v>179977065.75</v>
      </c>
      <c r="C52" s="8">
        <v>195812534.31858701</v>
      </c>
      <c r="D52" s="8">
        <v>199588740.325073</v>
      </c>
      <c r="E52" s="8">
        <v>216674717.14054599</v>
      </c>
      <c r="F52" s="8">
        <v>226315568.97068</v>
      </c>
      <c r="G52" s="8">
        <v>204867579.001802</v>
      </c>
      <c r="H52" s="8">
        <v>173256065.04266801</v>
      </c>
      <c r="I52" s="8">
        <v>143126571.63673601</v>
      </c>
      <c r="J52" s="8">
        <v>115407155.046841</v>
      </c>
      <c r="K52" s="8">
        <v>90567234.709811598</v>
      </c>
      <c r="L52" s="8">
        <v>71841335.830351904</v>
      </c>
      <c r="M52" s="8">
        <v>63205875.452084303</v>
      </c>
      <c r="N52" s="8">
        <v>50156745.236465603</v>
      </c>
      <c r="O52" s="8">
        <v>41036218.484592699</v>
      </c>
      <c r="P52" s="8">
        <v>35379026.726115398</v>
      </c>
      <c r="Q52" s="8">
        <v>30333908.959084</v>
      </c>
      <c r="R52" s="8">
        <v>26724178.050478399</v>
      </c>
      <c r="S52" s="8">
        <v>23365012.588799499</v>
      </c>
      <c r="T52" s="8">
        <v>19970102.336234</v>
      </c>
      <c r="U52" s="8">
        <v>24988647.578550398</v>
      </c>
      <c r="V52" s="8">
        <v>26634906.465975501</v>
      </c>
      <c r="W52" s="8">
        <v>25252708.057611901</v>
      </c>
      <c r="X52" s="8">
        <v>24461151.4433707</v>
      </c>
      <c r="Y52" s="8">
        <v>23915118.228399199</v>
      </c>
      <c r="Z52" s="8">
        <v>22538930.563139498</v>
      </c>
      <c r="AA52" s="8">
        <v>21591193.478452999</v>
      </c>
      <c r="AB52" s="8">
        <v>21141541.264064301</v>
      </c>
      <c r="AC52" s="8">
        <v>20750920.913556501</v>
      </c>
    </row>
    <row r="53" spans="1:29" x14ac:dyDescent="0.85">
      <c r="A53" t="s">
        <v>184</v>
      </c>
      <c r="B53" s="8">
        <v>9358.1044880400004</v>
      </c>
      <c r="C53" s="8">
        <v>9963.4541164500006</v>
      </c>
      <c r="D53" s="8">
        <v>10216.281007940001</v>
      </c>
      <c r="E53" s="8">
        <v>11040.120682459999</v>
      </c>
      <c r="F53" s="8">
        <v>11701.052624579999</v>
      </c>
      <c r="G53" s="8">
        <v>11100.22884184</v>
      </c>
      <c r="H53" s="8">
        <v>10084.849504670001</v>
      </c>
      <c r="I53" s="8">
        <v>9115.3938048599994</v>
      </c>
      <c r="J53" s="8">
        <v>8214.1158217899992</v>
      </c>
      <c r="K53" s="8">
        <v>7392.0945160199999</v>
      </c>
      <c r="L53" s="8">
        <v>6727.8924238</v>
      </c>
      <c r="M53" s="8">
        <v>6318.1886373899997</v>
      </c>
      <c r="N53" s="8">
        <v>5808.7518476300002</v>
      </c>
      <c r="O53" s="8">
        <v>5402.8141377399998</v>
      </c>
      <c r="P53" s="8">
        <v>5088.71744304</v>
      </c>
      <c r="Q53" s="8">
        <v>4796.5978018899996</v>
      </c>
      <c r="R53" s="8">
        <v>4546.2623507899998</v>
      </c>
      <c r="S53" s="8">
        <v>4308.5310172700001</v>
      </c>
      <c r="T53" s="8">
        <v>4076.1582250299998</v>
      </c>
      <c r="U53" s="8">
        <v>4542.0665466600003</v>
      </c>
      <c r="V53" s="8">
        <v>4791.1718786299998</v>
      </c>
      <c r="W53" s="8">
        <v>4832.3465508899999</v>
      </c>
      <c r="X53" s="8">
        <v>4900.2139272100003</v>
      </c>
      <c r="Y53" s="8">
        <v>4979.2404528500001</v>
      </c>
      <c r="Z53" s="8">
        <v>4955.2611152700001</v>
      </c>
      <c r="AA53" s="8">
        <v>4941.7504637000002</v>
      </c>
      <c r="AB53" s="8">
        <v>4983.3864538799999</v>
      </c>
      <c r="AC53" s="8">
        <v>5029.0573098000004</v>
      </c>
    </row>
    <row r="54" spans="1:29" x14ac:dyDescent="0.85">
      <c r="A54" t="s">
        <v>185</v>
      </c>
      <c r="B54" s="8">
        <v>0</v>
      </c>
      <c r="C54" s="8">
        <v>1918.96283632</v>
      </c>
      <c r="D54" s="8">
        <v>3911.9393103699999</v>
      </c>
      <c r="E54" s="8">
        <v>6370.2366839300003</v>
      </c>
      <c r="F54" s="8">
        <v>8871.5703036499999</v>
      </c>
      <c r="G54" s="8">
        <v>10038.51137109</v>
      </c>
      <c r="H54" s="8">
        <v>10187.45662451</v>
      </c>
      <c r="I54" s="8">
        <v>9818.4828142799997</v>
      </c>
      <c r="J54" s="8">
        <v>9047.9209556700007</v>
      </c>
      <c r="K54" s="8">
        <v>7988.0301014099996</v>
      </c>
      <c r="L54" s="8">
        <v>7040.4509113699996</v>
      </c>
      <c r="M54" s="8">
        <v>6813.5933737300002</v>
      </c>
      <c r="N54" s="8">
        <v>5898.4332398099996</v>
      </c>
      <c r="O54" s="8">
        <v>5228.0142349400003</v>
      </c>
      <c r="P54" s="8">
        <v>4854.0024668200003</v>
      </c>
      <c r="Q54" s="8">
        <v>4459.0846169899996</v>
      </c>
      <c r="R54" s="8">
        <v>4190.3511183199998</v>
      </c>
      <c r="S54" s="8">
        <v>3892.6110972900001</v>
      </c>
      <c r="T54" s="8">
        <v>3522.7260521100002</v>
      </c>
      <c r="U54" s="8">
        <v>4652.8861791299996</v>
      </c>
      <c r="V54" s="8">
        <v>5220.4416673300002</v>
      </c>
      <c r="W54" s="8">
        <v>5197.0073182599999</v>
      </c>
      <c r="X54" s="8">
        <v>5273.8242511899998</v>
      </c>
      <c r="Y54" s="8">
        <v>5390.4676486799999</v>
      </c>
      <c r="Z54" s="8">
        <v>5301.1564684499999</v>
      </c>
      <c r="AA54" s="8">
        <v>5289.8424022199997</v>
      </c>
      <c r="AB54" s="8">
        <v>5386.8647140800003</v>
      </c>
      <c r="AC54" s="8">
        <v>5490.6936737300002</v>
      </c>
    </row>
    <row r="55" spans="1:29" x14ac:dyDescent="0.85">
      <c r="A55" t="s">
        <v>186</v>
      </c>
      <c r="B55" s="8">
        <v>88.188762220000001</v>
      </c>
      <c r="C55" s="8">
        <v>95.948141820000004</v>
      </c>
      <c r="D55" s="8">
        <v>97.798482759999999</v>
      </c>
      <c r="E55" s="8">
        <v>106.1706114</v>
      </c>
      <c r="F55" s="8">
        <v>110.89462880000001</v>
      </c>
      <c r="G55" s="8">
        <v>100.38511371</v>
      </c>
      <c r="H55" s="8">
        <v>84.895471869999994</v>
      </c>
      <c r="I55" s="8">
        <v>70.132020100000005</v>
      </c>
      <c r="J55" s="8">
        <v>56.549505969999998</v>
      </c>
      <c r="K55" s="8">
        <v>44.377945009999998</v>
      </c>
      <c r="L55" s="8">
        <v>35.20225456</v>
      </c>
      <c r="M55" s="8">
        <v>30.970878970000001</v>
      </c>
      <c r="N55" s="8">
        <v>24.57680517</v>
      </c>
      <c r="O55" s="8">
        <v>20.107747060000001</v>
      </c>
      <c r="P55" s="8">
        <v>17.335723099999999</v>
      </c>
      <c r="Q55" s="8">
        <v>14.86361539</v>
      </c>
      <c r="R55" s="8">
        <v>13.09484724</v>
      </c>
      <c r="S55" s="8">
        <v>11.448856170000001</v>
      </c>
      <c r="T55" s="8">
        <v>9.7853501400000003</v>
      </c>
      <c r="U55" s="8">
        <v>12.24443731</v>
      </c>
      <c r="V55" s="8">
        <v>13.05110417</v>
      </c>
      <c r="W55" s="8">
        <v>12.37382695</v>
      </c>
      <c r="X55" s="8">
        <v>11.985964210000001</v>
      </c>
      <c r="Y55" s="8">
        <v>11.71840793</v>
      </c>
      <c r="Z55" s="8">
        <v>11.044075980000001</v>
      </c>
      <c r="AA55" s="8">
        <v>10.579684800000001</v>
      </c>
      <c r="AB55" s="8">
        <v>10.359355219999999</v>
      </c>
      <c r="AC55" s="8">
        <v>10.16795125</v>
      </c>
    </row>
    <row r="56" spans="1:29" x14ac:dyDescent="0.85">
      <c r="A56" t="s">
        <v>187</v>
      </c>
      <c r="B56" s="8">
        <v>4966.66408374</v>
      </c>
      <c r="C56" s="8">
        <v>5185.6282790699997</v>
      </c>
      <c r="D56" s="8">
        <v>5346.3157440100003</v>
      </c>
      <c r="E56" s="8">
        <v>5753.2575842300002</v>
      </c>
      <c r="F56" s="8">
        <v>6178.95274169</v>
      </c>
      <c r="G56" s="8">
        <v>6101.4599141999997</v>
      </c>
      <c r="H56" s="8">
        <v>5857.4015176299999</v>
      </c>
      <c r="I56" s="8">
        <v>5623.1054569300004</v>
      </c>
      <c r="J56" s="8">
        <v>5398.1812386499996</v>
      </c>
      <c r="K56" s="8">
        <v>5182.2539890999997</v>
      </c>
      <c r="L56" s="8">
        <v>4974.96382954</v>
      </c>
      <c r="M56" s="8">
        <v>4775.9652763599997</v>
      </c>
      <c r="N56" s="8">
        <v>4584.9272638599996</v>
      </c>
      <c r="O56" s="8">
        <v>4401.5304067099996</v>
      </c>
      <c r="P56" s="8">
        <v>4225.4691909200001</v>
      </c>
      <c r="Q56" s="8">
        <v>4056.4504232899999</v>
      </c>
      <c r="R56" s="8">
        <v>3894.1924063599999</v>
      </c>
      <c r="S56" s="8">
        <v>3738.4247101000001</v>
      </c>
      <c r="T56" s="8">
        <v>3588.8877280199999</v>
      </c>
      <c r="U56" s="8">
        <v>3932.3435457400001</v>
      </c>
      <c r="V56" s="8">
        <v>4141.2801608600003</v>
      </c>
      <c r="W56" s="8">
        <v>4216.1804742800005</v>
      </c>
      <c r="X56" s="8">
        <v>4303.3618319899997</v>
      </c>
      <c r="Y56" s="8">
        <v>4395.7115680799998</v>
      </c>
      <c r="Z56" s="8">
        <v>4405.3112095300003</v>
      </c>
      <c r="AA56" s="8">
        <v>4414.92534282</v>
      </c>
      <c r="AB56" s="8">
        <v>4467.53284704</v>
      </c>
      <c r="AC56" s="8">
        <v>4522.7348395099998</v>
      </c>
    </row>
    <row r="57" spans="1:29" x14ac:dyDescent="0.85">
      <c r="A57" t="s">
        <v>188</v>
      </c>
      <c r="B57" s="8">
        <v>4391.4404043000004</v>
      </c>
      <c r="C57" s="8">
        <v>4777.82583737</v>
      </c>
      <c r="D57" s="8">
        <v>4869.9652639300002</v>
      </c>
      <c r="E57" s="8">
        <v>5286.8630982300001</v>
      </c>
      <c r="F57" s="8">
        <v>5522.0998828800002</v>
      </c>
      <c r="G57" s="8">
        <v>4998.7689276399997</v>
      </c>
      <c r="H57" s="8">
        <v>4227.44798704</v>
      </c>
      <c r="I57" s="8">
        <v>3492.2883479400002</v>
      </c>
      <c r="J57" s="8">
        <v>2815.9345831400001</v>
      </c>
      <c r="K57" s="8">
        <v>2209.8405269199998</v>
      </c>
      <c r="L57" s="8">
        <v>1752.92859426</v>
      </c>
      <c r="M57" s="8">
        <v>1542.22336103</v>
      </c>
      <c r="N57" s="8">
        <v>1223.8245837699999</v>
      </c>
      <c r="O57" s="8">
        <v>1001.28373102</v>
      </c>
      <c r="P57" s="8">
        <v>863.24825211999996</v>
      </c>
      <c r="Q57" s="8">
        <v>740.14737860000002</v>
      </c>
      <c r="R57" s="8">
        <v>652.06994442999996</v>
      </c>
      <c r="S57" s="8">
        <v>570.10630717000004</v>
      </c>
      <c r="T57" s="8">
        <v>487.27049699999998</v>
      </c>
      <c r="U57" s="8">
        <v>609.72300092</v>
      </c>
      <c r="V57" s="8">
        <v>649.89171777000001</v>
      </c>
      <c r="W57" s="8">
        <v>616.16607661</v>
      </c>
      <c r="X57" s="8">
        <v>596.85209522000002</v>
      </c>
      <c r="Y57" s="8">
        <v>583.52888476999999</v>
      </c>
      <c r="Z57" s="8">
        <v>549.94990573999996</v>
      </c>
      <c r="AA57" s="8">
        <v>526.82512086999998</v>
      </c>
      <c r="AB57" s="8">
        <v>515.85360684</v>
      </c>
      <c r="AC57" s="8">
        <v>506.32247029000001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1.0875903899999999</v>
      </c>
      <c r="E58" s="8">
        <v>1.0739448700000001</v>
      </c>
      <c r="F58" s="8">
        <v>1.1187316899999999</v>
      </c>
      <c r="G58" s="8">
        <v>1.11874169</v>
      </c>
      <c r="H58" s="8">
        <v>1.02860269</v>
      </c>
      <c r="I58" s="8">
        <v>1</v>
      </c>
      <c r="J58" s="8">
        <v>1</v>
      </c>
      <c r="K58" s="8">
        <v>1</v>
      </c>
      <c r="L58" s="8">
        <v>1</v>
      </c>
      <c r="M58" s="8">
        <v>1</v>
      </c>
      <c r="N58" s="8">
        <v>1</v>
      </c>
      <c r="O58" s="8">
        <v>1.0000001300000001</v>
      </c>
      <c r="P58" s="8">
        <v>1.0000000499999999</v>
      </c>
      <c r="Q58" s="8">
        <v>1</v>
      </c>
      <c r="R58" s="8">
        <v>1</v>
      </c>
      <c r="S58" s="8">
        <v>1</v>
      </c>
      <c r="T58" s="8">
        <v>1</v>
      </c>
      <c r="U58" s="8">
        <v>1</v>
      </c>
      <c r="V58" s="8">
        <v>1.1413539500000001</v>
      </c>
      <c r="W58" s="8">
        <v>1.0970133799999999</v>
      </c>
      <c r="X58" s="8">
        <v>1.0605065300000001</v>
      </c>
      <c r="Y58" s="8">
        <v>1.06320605</v>
      </c>
      <c r="Z58" s="8">
        <v>1.06402073</v>
      </c>
      <c r="AA58" s="8">
        <v>1.0439415299999999</v>
      </c>
      <c r="AB58" s="8">
        <v>1.0439400000000001</v>
      </c>
      <c r="AC58" s="8">
        <v>1.05407899</v>
      </c>
    </row>
    <row r="59" spans="1:29" x14ac:dyDescent="0.85">
      <c r="A59" t="s">
        <v>190</v>
      </c>
      <c r="B59" s="8">
        <v>1</v>
      </c>
      <c r="C59" s="8">
        <v>1.0875903899999999</v>
      </c>
      <c r="D59" s="8">
        <v>1.0739448700000001</v>
      </c>
      <c r="E59" s="8">
        <v>1.1209544899999999</v>
      </c>
      <c r="F59" s="8">
        <v>1.11874169</v>
      </c>
      <c r="G59" s="8">
        <v>1.02860269</v>
      </c>
      <c r="H59" s="8">
        <v>1</v>
      </c>
      <c r="I59" s="8">
        <v>1</v>
      </c>
      <c r="J59" s="8">
        <v>1</v>
      </c>
      <c r="K59" s="8">
        <v>1</v>
      </c>
      <c r="L59" s="8">
        <v>1</v>
      </c>
      <c r="M59" s="8">
        <v>1</v>
      </c>
      <c r="N59" s="8">
        <v>1.0000001300000001</v>
      </c>
      <c r="O59" s="8">
        <v>1.0000000499999999</v>
      </c>
      <c r="P59" s="8">
        <v>1</v>
      </c>
      <c r="Q59" s="8">
        <v>1</v>
      </c>
      <c r="R59" s="8">
        <v>1</v>
      </c>
      <c r="S59" s="8">
        <v>1</v>
      </c>
      <c r="T59" s="8">
        <v>1</v>
      </c>
      <c r="U59" s="8">
        <v>1.1413539500000001</v>
      </c>
      <c r="V59" s="8">
        <v>1.0970133799999999</v>
      </c>
      <c r="W59" s="8">
        <v>1.0605065300000001</v>
      </c>
      <c r="X59" s="8">
        <v>1.06320605</v>
      </c>
      <c r="Y59" s="8">
        <v>1.06402073</v>
      </c>
      <c r="Z59" s="8">
        <v>1.0439415299999999</v>
      </c>
      <c r="AA59" s="8">
        <v>1.0439400000000001</v>
      </c>
      <c r="AB59" s="8">
        <v>1.05407899</v>
      </c>
      <c r="AC59" s="8">
        <v>1.05453777</v>
      </c>
    </row>
    <row r="60" spans="1:29" x14ac:dyDescent="0.85">
      <c r="A60" t="s">
        <v>191</v>
      </c>
      <c r="B60" s="8">
        <v>1</v>
      </c>
      <c r="C60" s="8">
        <v>1.1256657299999999</v>
      </c>
      <c r="D60" s="8">
        <v>1.1214322999999999</v>
      </c>
      <c r="E60" s="8">
        <v>1.12095477</v>
      </c>
      <c r="F60" s="8">
        <v>1.11874169</v>
      </c>
      <c r="G60" s="8">
        <v>1.1206995399999999</v>
      </c>
      <c r="H60" s="8">
        <v>1.1273635</v>
      </c>
      <c r="I60" s="8">
        <v>1.13636581</v>
      </c>
      <c r="J60" s="8">
        <v>1.14625698</v>
      </c>
      <c r="K60" s="8">
        <v>1.1571254799999999</v>
      </c>
      <c r="L60" s="8">
        <v>1.16906862</v>
      </c>
      <c r="M60" s="8">
        <v>1.1815971599999999</v>
      </c>
      <c r="N60" s="8">
        <v>1.19342623</v>
      </c>
      <c r="O60" s="8">
        <v>1.2076989</v>
      </c>
      <c r="P60" s="8">
        <v>1.2193609999999999</v>
      </c>
      <c r="Q60" s="8">
        <v>1.22665935</v>
      </c>
      <c r="R60" s="8">
        <v>1.2348595600000001</v>
      </c>
      <c r="S60" s="8">
        <v>1.24294474</v>
      </c>
      <c r="T60" s="8">
        <v>1.2514603</v>
      </c>
      <c r="U60" s="8">
        <v>1.2625218300000001</v>
      </c>
      <c r="V60" s="8">
        <v>1.2469085900000001</v>
      </c>
      <c r="W60" s="8">
        <v>1.2441353500000001</v>
      </c>
      <c r="X60" s="8">
        <v>1.24899998</v>
      </c>
      <c r="Y60" s="8">
        <v>1.2521218999999999</v>
      </c>
      <c r="Z60" s="8">
        <v>1.2544997</v>
      </c>
      <c r="AA60" s="8">
        <v>1.2582812400000001</v>
      </c>
      <c r="AB60" s="8">
        <v>1.26167746</v>
      </c>
      <c r="AC60" s="8">
        <v>1.26394205</v>
      </c>
    </row>
    <row r="61" spans="1:29" x14ac:dyDescent="0.85">
      <c r="A61" t="s">
        <v>192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12116.827975079999</v>
      </c>
      <c r="H61" s="8">
        <v>11813.907275699999</v>
      </c>
      <c r="I61" s="8">
        <v>11518.55959381</v>
      </c>
      <c r="J61" s="8">
        <v>11230.595603960001</v>
      </c>
      <c r="K61" s="8">
        <v>10949.830713859999</v>
      </c>
      <c r="L61" s="8">
        <v>10676.084946020001</v>
      </c>
      <c r="M61" s="8">
        <v>10409.182822369999</v>
      </c>
      <c r="N61" s="8">
        <v>10148.95325181</v>
      </c>
      <c r="O61" s="8">
        <v>9895.2294205100006</v>
      </c>
      <c r="P61" s="8">
        <v>9647.8486850000008</v>
      </c>
      <c r="Q61" s="8">
        <v>9406.6524678799997</v>
      </c>
      <c r="R61" s="8">
        <v>9171.4861561800008</v>
      </c>
      <c r="S61" s="8">
        <v>8942.1990022699993</v>
      </c>
      <c r="T61" s="8">
        <v>8718.6440272199998</v>
      </c>
      <c r="U61" s="8">
        <v>8500.67792654</v>
      </c>
      <c r="V61" s="8">
        <v>8288.4823976700009</v>
      </c>
      <c r="W61" s="8">
        <v>8081.2703377199996</v>
      </c>
      <c r="X61" s="8">
        <v>7879.2385792799996</v>
      </c>
      <c r="Y61" s="8">
        <v>7682.2576147999998</v>
      </c>
      <c r="Z61" s="8">
        <v>7490.2011744299998</v>
      </c>
      <c r="AA61" s="8">
        <v>7302.9461450700001</v>
      </c>
      <c r="AB61" s="8">
        <v>7120.37249144</v>
      </c>
      <c r="AC61" s="8">
        <v>6942.3631791600001</v>
      </c>
    </row>
    <row r="62" spans="1:29" x14ac:dyDescent="0.85">
      <c r="A62" t="s">
        <v>193</v>
      </c>
      <c r="B62" s="8">
        <v>69524120</v>
      </c>
      <c r="C62" s="8">
        <v>67708398.418712705</v>
      </c>
      <c r="D62" s="8">
        <v>66015688.156745203</v>
      </c>
      <c r="E62" s="8">
        <v>47135995.063081697</v>
      </c>
      <c r="F62" s="8">
        <v>9593445.6217590999</v>
      </c>
      <c r="G62" s="8">
        <v>2.6726004300000001</v>
      </c>
      <c r="H62" s="8">
        <v>6.8999999999999996E-7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69524120</v>
      </c>
      <c r="C63" s="8">
        <v>67708398.418712705</v>
      </c>
      <c r="D63" s="8">
        <v>66015688.156745203</v>
      </c>
      <c r="E63" s="8">
        <v>47135995.063081697</v>
      </c>
      <c r="F63" s="8">
        <v>9593445.6217590999</v>
      </c>
      <c r="G63" s="8">
        <v>2.6726003500000002</v>
      </c>
      <c r="H63" s="8">
        <v>6.8999999999999996E-7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5012.0340908899998</v>
      </c>
      <c r="C64" s="8">
        <v>4884.9262780400004</v>
      </c>
      <c r="D64" s="8">
        <v>4762.8031140700004</v>
      </c>
      <c r="E64" s="8">
        <v>4242.6349115100002</v>
      </c>
      <c r="F64" s="8">
        <v>3290.0116368499998</v>
      </c>
      <c r="G64" s="8">
        <v>2990.0093794300001</v>
      </c>
      <c r="H64" s="8">
        <v>2915.25908428</v>
      </c>
      <c r="I64" s="8">
        <v>2842.3776071699999</v>
      </c>
      <c r="J64" s="8">
        <v>2771.31816699</v>
      </c>
      <c r="K64" s="8">
        <v>2702.0352128200002</v>
      </c>
      <c r="L64" s="8">
        <v>2634.4843325000002</v>
      </c>
      <c r="M64" s="8">
        <v>2568.6222241800001</v>
      </c>
      <c r="N64" s="8">
        <v>2504.4066685799999</v>
      </c>
      <c r="O64" s="8">
        <v>2441.7965018700002</v>
      </c>
      <c r="P64" s="8">
        <v>2380.7515893200002</v>
      </c>
      <c r="Q64" s="8">
        <v>2321.23279959</v>
      </c>
      <c r="R64" s="8">
        <v>2263.2019796</v>
      </c>
      <c r="S64" s="8">
        <v>2206.62193011</v>
      </c>
      <c r="T64" s="8">
        <v>2151.4563818500001</v>
      </c>
      <c r="U64" s="8">
        <v>2097.66997231</v>
      </c>
      <c r="V64" s="8">
        <v>2045.3075380400001</v>
      </c>
      <c r="W64" s="8">
        <v>1994.1748495899999</v>
      </c>
      <c r="X64" s="8">
        <v>1944.32047835</v>
      </c>
      <c r="Y64" s="8">
        <v>1895.7124663899999</v>
      </c>
      <c r="Z64" s="8">
        <v>1848.3196547299999</v>
      </c>
      <c r="AA64" s="8">
        <v>1802.11166336</v>
      </c>
      <c r="AB64" s="8">
        <v>1757.0588717799999</v>
      </c>
      <c r="AC64" s="8">
        <v>1713.1323999799999</v>
      </c>
    </row>
    <row r="65" spans="1:29" x14ac:dyDescent="0.85">
      <c r="A65" t="s">
        <v>196</v>
      </c>
      <c r="B65" s="8">
        <v>0</v>
      </c>
      <c r="C65" s="8">
        <v>1110.4177340700001</v>
      </c>
      <c r="D65" s="8">
        <v>2165.3145715400001</v>
      </c>
      <c r="E65" s="8">
        <v>2319.0909571000002</v>
      </c>
      <c r="F65" s="8">
        <v>629.33003279000002</v>
      </c>
      <c r="G65" s="8">
        <v>2.1914999999999999E-4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57.009778400000002</v>
      </c>
      <c r="C66" s="8">
        <v>55.520886699999998</v>
      </c>
      <c r="D66" s="8">
        <v>54.132864290000001</v>
      </c>
      <c r="E66" s="8">
        <v>38.651515949999997</v>
      </c>
      <c r="F66" s="8">
        <v>7.8666254100000002</v>
      </c>
      <c r="G66" s="8">
        <v>2.1900000000000002E-6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3393.5125772900001</v>
      </c>
      <c r="C67" s="8">
        <v>3308.6747628600001</v>
      </c>
      <c r="D67" s="8">
        <v>3225.9578937800002</v>
      </c>
      <c r="E67" s="8">
        <v>3145.30894644</v>
      </c>
      <c r="F67" s="8">
        <v>3066.67622278</v>
      </c>
      <c r="G67" s="8">
        <v>2990.0093172100001</v>
      </c>
      <c r="H67" s="8">
        <v>2915.25908428</v>
      </c>
      <c r="I67" s="8">
        <v>2842.3776071699999</v>
      </c>
      <c r="J67" s="8">
        <v>2771.31816699</v>
      </c>
      <c r="K67" s="8">
        <v>2702.0352128200002</v>
      </c>
      <c r="L67" s="8">
        <v>2634.4843325000002</v>
      </c>
      <c r="M67" s="8">
        <v>2568.6222241800001</v>
      </c>
      <c r="N67" s="8">
        <v>2504.4066685799999</v>
      </c>
      <c r="O67" s="8">
        <v>2441.7965018700002</v>
      </c>
      <c r="P67" s="8">
        <v>2380.7515893200002</v>
      </c>
      <c r="Q67" s="8">
        <v>2321.23279959</v>
      </c>
      <c r="R67" s="8">
        <v>2263.2019796</v>
      </c>
      <c r="S67" s="8">
        <v>2206.62193011</v>
      </c>
      <c r="T67" s="8">
        <v>2151.4563818500001</v>
      </c>
      <c r="U67" s="8">
        <v>2097.66997231</v>
      </c>
      <c r="V67" s="8">
        <v>2045.3075380400001</v>
      </c>
      <c r="W67" s="8">
        <v>1994.1748495899999</v>
      </c>
      <c r="X67" s="8">
        <v>1944.32047835</v>
      </c>
      <c r="Y67" s="8">
        <v>1895.7124663899999</v>
      </c>
      <c r="Z67" s="8">
        <v>1848.3196547299999</v>
      </c>
      <c r="AA67" s="8">
        <v>1802.11166336</v>
      </c>
      <c r="AB67" s="8">
        <v>1757.0588717799999</v>
      </c>
      <c r="AC67" s="8">
        <v>1713.1323999799999</v>
      </c>
    </row>
    <row r="68" spans="1:29" x14ac:dyDescent="0.85">
      <c r="A68" t="s">
        <v>199</v>
      </c>
      <c r="B68" s="8">
        <v>1618.5215135999999</v>
      </c>
      <c r="C68" s="8">
        <v>1576.25151519</v>
      </c>
      <c r="D68" s="8">
        <v>1536.84522029</v>
      </c>
      <c r="E68" s="8">
        <v>1097.3259650699999</v>
      </c>
      <c r="F68" s="8">
        <v>223.33541407000001</v>
      </c>
      <c r="G68" s="8">
        <v>6.2219999999999997E-5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0.99885495000000002</v>
      </c>
      <c r="E69" s="8">
        <v>1</v>
      </c>
      <c r="F69" s="8">
        <v>0.73232001999999996</v>
      </c>
      <c r="G69" s="8">
        <v>0.2087456</v>
      </c>
      <c r="H69" s="8">
        <v>2.8999999999999998E-7</v>
      </c>
      <c r="I69" s="8">
        <v>2.7000000000000001E-7</v>
      </c>
      <c r="J69" s="8">
        <v>2.6E-7</v>
      </c>
      <c r="K69" s="8">
        <v>2.6E-7</v>
      </c>
      <c r="L69" s="8">
        <v>2.6E-7</v>
      </c>
      <c r="M69" s="8">
        <v>1.503E-5</v>
      </c>
      <c r="N69" s="8">
        <v>2.2569999999999999E-5</v>
      </c>
      <c r="O69" s="8">
        <v>2.0630000000000001E-5</v>
      </c>
      <c r="P69" s="8">
        <v>1.8747200000000001E-3</v>
      </c>
      <c r="Q69" s="8">
        <v>3.5874000000000002E-4</v>
      </c>
      <c r="R69" s="8">
        <v>0</v>
      </c>
      <c r="S69" s="8">
        <v>0.80618449000000003</v>
      </c>
      <c r="T69" s="8">
        <v>0.93469250000000004</v>
      </c>
      <c r="U69" s="8">
        <v>0.95799195999999998</v>
      </c>
      <c r="V69" s="8">
        <v>0.47845070000000001</v>
      </c>
      <c r="W69" s="8">
        <v>1.0000387799999999</v>
      </c>
      <c r="X69" s="8">
        <v>0.97962742000000003</v>
      </c>
      <c r="Y69" s="8">
        <v>0.99768486000000001</v>
      </c>
      <c r="Z69" s="8">
        <v>0.99945161000000005</v>
      </c>
      <c r="AA69" s="8">
        <v>0.87253413999999996</v>
      </c>
      <c r="AB69" s="8">
        <v>0.47717094999999998</v>
      </c>
      <c r="AC69" s="8">
        <v>0.99999903999999995</v>
      </c>
    </row>
    <row r="70" spans="1:29" x14ac:dyDescent="0.85">
      <c r="A70" t="s">
        <v>201</v>
      </c>
      <c r="B70" s="8">
        <v>1</v>
      </c>
      <c r="C70" s="8">
        <v>0.99885495000000002</v>
      </c>
      <c r="D70" s="8">
        <v>1</v>
      </c>
      <c r="E70" s="8">
        <v>0.73232001999999996</v>
      </c>
      <c r="F70" s="8">
        <v>0.2087456</v>
      </c>
      <c r="G70" s="8">
        <v>2.8999999999999998E-7</v>
      </c>
      <c r="H70" s="8">
        <v>2.7000000000000001E-7</v>
      </c>
      <c r="I70" s="8">
        <v>2.6E-7</v>
      </c>
      <c r="J70" s="8">
        <v>2.6E-7</v>
      </c>
      <c r="K70" s="8">
        <v>2.6E-7</v>
      </c>
      <c r="L70" s="8">
        <v>1.503E-5</v>
      </c>
      <c r="M70" s="8">
        <v>2.2569999999999999E-5</v>
      </c>
      <c r="N70" s="8">
        <v>2.0630000000000001E-5</v>
      </c>
      <c r="O70" s="8">
        <v>1.8747200000000001E-3</v>
      </c>
      <c r="P70" s="8">
        <v>3.5874000000000002E-4</v>
      </c>
      <c r="Q70" s="8">
        <v>0</v>
      </c>
      <c r="R70" s="8">
        <v>0.80618449000000003</v>
      </c>
      <c r="S70" s="8">
        <v>0.93469250000000004</v>
      </c>
      <c r="T70" s="8">
        <v>0.95799195999999998</v>
      </c>
      <c r="U70" s="8">
        <v>0.47845070000000001</v>
      </c>
      <c r="V70" s="8">
        <v>1.0000387799999999</v>
      </c>
      <c r="W70" s="8">
        <v>0.97962742000000003</v>
      </c>
      <c r="X70" s="8">
        <v>0.99768486000000001</v>
      </c>
      <c r="Y70" s="8">
        <v>0.99945161000000005</v>
      </c>
      <c r="Z70" s="8">
        <v>0.87253413999999996</v>
      </c>
      <c r="AA70" s="8">
        <v>0.47717094999999998</v>
      </c>
      <c r="AB70" s="8">
        <v>0.99999903999999995</v>
      </c>
      <c r="AC70" s="8">
        <v>0.99793597999999994</v>
      </c>
    </row>
    <row r="71" spans="1:29" x14ac:dyDescent="0.85">
      <c r="A71" t="s">
        <v>202</v>
      </c>
      <c r="B71" s="8">
        <v>1</v>
      </c>
      <c r="C71" s="8">
        <v>1.9631093100000001</v>
      </c>
      <c r="D71" s="8">
        <v>1.98947396</v>
      </c>
      <c r="E71" s="8">
        <v>2.0403174800000001</v>
      </c>
      <c r="F71" s="8">
        <v>2.1214470200000002</v>
      </c>
      <c r="G71" s="8">
        <v>2.2573341199999999</v>
      </c>
      <c r="H71" s="8">
        <v>2.35607378</v>
      </c>
      <c r="I71" s="8">
        <v>2.4458236200000001</v>
      </c>
      <c r="J71" s="8">
        <v>2.5432192100000002</v>
      </c>
      <c r="K71" s="8">
        <v>2.6488901299999998</v>
      </c>
      <c r="L71" s="8">
        <v>2.76351821</v>
      </c>
      <c r="M71" s="8">
        <v>2.8809751399999999</v>
      </c>
      <c r="N71" s="8">
        <v>2.9864742</v>
      </c>
      <c r="O71" s="8">
        <v>3.1155686199999999</v>
      </c>
      <c r="P71" s="8">
        <v>3.2115278799999998</v>
      </c>
      <c r="Q71" s="8">
        <v>3.2568067799999998</v>
      </c>
      <c r="R71" s="8">
        <v>3.3097849799999999</v>
      </c>
      <c r="S71" s="8">
        <v>3.3593967299999998</v>
      </c>
      <c r="T71" s="8">
        <v>3.4113864899999999</v>
      </c>
      <c r="U71" s="8">
        <v>3.48712248</v>
      </c>
      <c r="V71" s="8">
        <v>3.6140466199999999</v>
      </c>
      <c r="W71" s="8">
        <v>3.7875718900000002</v>
      </c>
      <c r="X71" s="8">
        <v>3.97259546</v>
      </c>
      <c r="Y71" s="8">
        <v>4.1530598300000001</v>
      </c>
      <c r="Z71" s="8">
        <v>4.3359774299999998</v>
      </c>
      <c r="AA71" s="8">
        <v>4.4833941099999999</v>
      </c>
      <c r="AB71" s="8">
        <v>4.63069138</v>
      </c>
      <c r="AC71" s="8">
        <v>4.8025150500000002</v>
      </c>
    </row>
    <row r="72" spans="1:29" x14ac:dyDescent="0.85">
      <c r="A72" t="s">
        <v>203</v>
      </c>
      <c r="B72" s="8">
        <v>0</v>
      </c>
      <c r="C72" s="8">
        <v>26.697752439999999</v>
      </c>
      <c r="D72" s="8">
        <v>24.266619599999999</v>
      </c>
      <c r="E72" s="8">
        <v>22.972035129999998</v>
      </c>
      <c r="F72" s="8">
        <v>20.676217179999998</v>
      </c>
      <c r="G72" s="8">
        <v>18.608595470000001</v>
      </c>
      <c r="H72" s="8">
        <v>16.74773592</v>
      </c>
      <c r="I72" s="8">
        <v>15.072962329999999</v>
      </c>
      <c r="J72" s="8">
        <v>13.5656661</v>
      </c>
      <c r="K72" s="8">
        <v>12.20909949</v>
      </c>
      <c r="L72" s="8">
        <v>10.98818954</v>
      </c>
      <c r="M72" s="8">
        <v>9.8893761500000004</v>
      </c>
      <c r="N72" s="8">
        <v>8.9021000899999994</v>
      </c>
      <c r="O72" s="8">
        <v>81.439050120000005</v>
      </c>
      <c r="P72" s="8">
        <v>73.296551160000007</v>
      </c>
      <c r="Q72" s="8">
        <v>67.005173360000001</v>
      </c>
      <c r="R72" s="8">
        <v>272.83248228000002</v>
      </c>
      <c r="S72" s="8">
        <v>246.09526448</v>
      </c>
      <c r="T72" s="8">
        <v>303.84250258999998</v>
      </c>
      <c r="U72" s="8">
        <v>273.45825232999999</v>
      </c>
      <c r="V72" s="8">
        <v>249.00902754000001</v>
      </c>
      <c r="W72" s="8">
        <v>224.10814726000001</v>
      </c>
      <c r="X72" s="8">
        <v>201.69733317000001</v>
      </c>
      <c r="Y72" s="8">
        <v>181.9252472</v>
      </c>
      <c r="Z72" s="8">
        <v>163.75728346</v>
      </c>
      <c r="AA72" s="8">
        <v>147.38950403999999</v>
      </c>
      <c r="AB72" s="8">
        <v>146.68591701</v>
      </c>
      <c r="AC72" s="8">
        <v>132.01733300999999</v>
      </c>
    </row>
    <row r="73" spans="1:29" x14ac:dyDescent="0.85">
      <c r="A73" t="s">
        <v>204</v>
      </c>
      <c r="B73" s="8">
        <v>0</v>
      </c>
      <c r="C73" s="8">
        <v>6.4746508800000004</v>
      </c>
      <c r="D73" s="8">
        <v>0.25856443000000001</v>
      </c>
      <c r="E73" s="8">
        <v>0.28390177</v>
      </c>
      <c r="F73" s="8">
        <v>5.1690516400000002</v>
      </c>
      <c r="G73" s="8">
        <v>4.6521487400000003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2.4723255200000001</v>
      </c>
      <c r="N73" s="8">
        <v>2.22552482</v>
      </c>
      <c r="O73" s="8">
        <v>20.359762530000001</v>
      </c>
      <c r="P73" s="8">
        <v>18.323991100000001</v>
      </c>
      <c r="Q73" s="8">
        <v>16.751292790000001</v>
      </c>
      <c r="R73" s="8">
        <v>68.208120559999998</v>
      </c>
      <c r="S73" s="8">
        <v>63.394819439999999</v>
      </c>
      <c r="T73" s="8">
        <v>151.92122526</v>
      </c>
      <c r="U73" s="8">
        <v>68.364562530000001</v>
      </c>
      <c r="V73" s="8">
        <v>62.252255830000003</v>
      </c>
      <c r="W73" s="8">
        <v>56.027036449999997</v>
      </c>
      <c r="X73" s="8">
        <v>50.424332679999999</v>
      </c>
      <c r="Y73" s="8">
        <v>45.481311759999997</v>
      </c>
      <c r="Z73" s="8">
        <v>40.939320819999999</v>
      </c>
      <c r="AA73" s="8">
        <v>36.847376009999998</v>
      </c>
      <c r="AB73" s="8">
        <v>36.651964300000003</v>
      </c>
      <c r="AC73" s="8">
        <v>33.004332300000002</v>
      </c>
    </row>
    <row r="74" spans="1:29" x14ac:dyDescent="0.85">
      <c r="A74" t="s">
        <v>205</v>
      </c>
      <c r="B74" s="8">
        <v>0</v>
      </c>
      <c r="C74" s="8">
        <v>6.4746508800000004</v>
      </c>
      <c r="D74" s="8">
        <v>0.25856443000000001</v>
      </c>
      <c r="E74" s="8">
        <v>0.28390177</v>
      </c>
      <c r="F74" s="8">
        <v>5.1690516400000002</v>
      </c>
      <c r="G74" s="8">
        <v>4.6521487400000003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2.4723255200000001</v>
      </c>
      <c r="N74" s="8">
        <v>2.22552482</v>
      </c>
      <c r="O74" s="8">
        <v>20.359762530000001</v>
      </c>
      <c r="P74" s="8">
        <v>18.323991100000001</v>
      </c>
      <c r="Q74" s="8">
        <v>16.751292790000001</v>
      </c>
      <c r="R74" s="8">
        <v>68.208120559999998</v>
      </c>
      <c r="S74" s="8">
        <v>63.394819439999999</v>
      </c>
      <c r="T74" s="8">
        <v>151.92122526</v>
      </c>
      <c r="U74" s="8">
        <v>68.364562530000001</v>
      </c>
      <c r="V74" s="8">
        <v>62.252255830000003</v>
      </c>
      <c r="W74" s="8">
        <v>56.027036449999997</v>
      </c>
      <c r="X74" s="8">
        <v>50.424332679999999</v>
      </c>
      <c r="Y74" s="8">
        <v>45.481311759999997</v>
      </c>
      <c r="Z74" s="8">
        <v>40.939320819999999</v>
      </c>
      <c r="AA74" s="8">
        <v>36.847376009999998</v>
      </c>
      <c r="AB74" s="8">
        <v>36.651964300000003</v>
      </c>
      <c r="AC74" s="8">
        <v>33.004332300000002</v>
      </c>
    </row>
    <row r="75" spans="1:29" x14ac:dyDescent="0.85">
      <c r="A75" t="s">
        <v>206</v>
      </c>
      <c r="B75" s="8">
        <v>0</v>
      </c>
      <c r="C75" s="8">
        <v>5.1598777199999999</v>
      </c>
      <c r="D75" s="8">
        <v>4.6899349199999998</v>
      </c>
      <c r="E75" s="8">
        <v>4.4397351</v>
      </c>
      <c r="F75" s="8">
        <v>3.99609703</v>
      </c>
      <c r="G75" s="8">
        <v>3.59648733</v>
      </c>
      <c r="H75" s="8">
        <v>3.2367809400000001</v>
      </c>
      <c r="I75" s="8">
        <v>2.91310285</v>
      </c>
      <c r="J75" s="8">
        <v>2.6217925599999998</v>
      </c>
      <c r="K75" s="8">
        <v>2.3596133099999999</v>
      </c>
      <c r="L75" s="8">
        <v>2.12365198</v>
      </c>
      <c r="M75" s="8">
        <v>1.9113218999999999</v>
      </c>
      <c r="N75" s="8">
        <v>1.72051084</v>
      </c>
      <c r="O75" s="8">
        <v>15.739743089999999</v>
      </c>
      <c r="P75" s="8">
        <v>14.16604053</v>
      </c>
      <c r="Q75" s="8">
        <v>12.95010456</v>
      </c>
      <c r="R75" s="8">
        <v>52.730393730000003</v>
      </c>
      <c r="S75" s="8">
        <v>47.562911540000002</v>
      </c>
      <c r="T75" s="8">
        <v>58.724753139999997</v>
      </c>
      <c r="U75" s="8">
        <v>52.851336439999997</v>
      </c>
      <c r="V75" s="8">
        <v>48.1260294</v>
      </c>
      <c r="W75" s="8">
        <v>43.31343081</v>
      </c>
      <c r="X75" s="8">
        <v>38.982087849999999</v>
      </c>
      <c r="Y75" s="8">
        <v>35.160732459999998</v>
      </c>
      <c r="Z75" s="8">
        <v>31.649406110000001</v>
      </c>
      <c r="AA75" s="8">
        <v>28.4860018</v>
      </c>
      <c r="AB75" s="8">
        <v>28.350019110000002</v>
      </c>
      <c r="AC75" s="8">
        <v>25.51501893</v>
      </c>
    </row>
    <row r="76" spans="1:29" x14ac:dyDescent="0.85">
      <c r="A76" t="s">
        <v>207</v>
      </c>
      <c r="B76" s="8">
        <v>0</v>
      </c>
      <c r="C76" s="8">
        <v>1.4409999999999999E-5</v>
      </c>
      <c r="D76" s="8">
        <v>1.15E-6</v>
      </c>
      <c r="E76" s="8">
        <v>1.9E-6</v>
      </c>
      <c r="F76" s="8">
        <v>4.6E-5</v>
      </c>
      <c r="G76" s="8">
        <v>5.1759999999999999E-5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6.0510000000000002E-5</v>
      </c>
      <c r="N76" s="8">
        <v>5.9419999999999997E-5</v>
      </c>
      <c r="O76" s="8">
        <v>5.8891E-4</v>
      </c>
      <c r="P76" s="8">
        <v>5.7078999999999995E-4</v>
      </c>
      <c r="Q76" s="8">
        <v>5.5907000000000005E-4</v>
      </c>
      <c r="R76" s="8">
        <v>2.4282100000000001E-3</v>
      </c>
      <c r="S76" s="8">
        <v>2.3979100000000001E-3</v>
      </c>
      <c r="T76" s="8">
        <v>6.0844499999999999E-3</v>
      </c>
      <c r="U76" s="8">
        <v>2.89011E-3</v>
      </c>
      <c r="V76" s="8">
        <v>2.7702299999999998E-3</v>
      </c>
      <c r="W76" s="8">
        <v>2.6178600000000001E-3</v>
      </c>
      <c r="X76" s="8">
        <v>2.4682699999999998E-3</v>
      </c>
      <c r="Y76" s="8">
        <v>2.3275100000000001E-3</v>
      </c>
      <c r="Z76" s="8">
        <v>2.1861599999999999E-3</v>
      </c>
      <c r="AA76" s="8">
        <v>2.0496400000000001E-3</v>
      </c>
      <c r="AB76" s="8">
        <v>2.1203200000000002E-3</v>
      </c>
      <c r="AC76" s="8">
        <v>1.9827400000000002E-3</v>
      </c>
    </row>
    <row r="77" spans="1:29" x14ac:dyDescent="0.85">
      <c r="A77" t="s">
        <v>208</v>
      </c>
      <c r="B77" s="8">
        <v>0</v>
      </c>
      <c r="C77" s="8">
        <v>7.1999999999999999E-7</v>
      </c>
      <c r="D77" s="8">
        <v>2.9999999999999997E-8</v>
      </c>
      <c r="E77" s="8">
        <v>2.9999999999999997E-8</v>
      </c>
      <c r="F77" s="8">
        <v>5.7999999999999995E-7</v>
      </c>
      <c r="G77" s="8">
        <v>5.2E-7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2.8000000000000002E-7</v>
      </c>
      <c r="N77" s="8">
        <v>2.4999999999999999E-7</v>
      </c>
      <c r="O77" s="8">
        <v>2.2699999999999999E-6</v>
      </c>
      <c r="P77" s="8">
        <v>2.04E-6</v>
      </c>
      <c r="Q77" s="8">
        <v>1.86E-6</v>
      </c>
      <c r="R77" s="8">
        <v>7.5900000000000002E-6</v>
      </c>
      <c r="S77" s="8">
        <v>7.0500000000000003E-6</v>
      </c>
      <c r="T77" s="8">
        <v>1.6900000000000001E-5</v>
      </c>
      <c r="U77" s="8">
        <v>7.61E-6</v>
      </c>
      <c r="V77" s="8">
        <v>6.9299999999999997E-6</v>
      </c>
      <c r="W77" s="8">
        <v>6.2299999999999996E-6</v>
      </c>
      <c r="X77" s="8">
        <v>5.6099999999999997E-6</v>
      </c>
      <c r="Y77" s="8">
        <v>5.0599999999999998E-6</v>
      </c>
      <c r="Z77" s="8">
        <v>4.5499999999999996E-6</v>
      </c>
      <c r="AA77" s="8">
        <v>4.0999999999999997E-6</v>
      </c>
      <c r="AB77" s="8">
        <v>4.0799999999999999E-6</v>
      </c>
      <c r="AC77" s="8">
        <v>3.67E-6</v>
      </c>
    </row>
    <row r="78" spans="1:29" x14ac:dyDescent="0.85">
      <c r="A78" t="s">
        <v>209</v>
      </c>
      <c r="B78" s="8">
        <v>0</v>
      </c>
      <c r="C78" s="8">
        <v>5.1597885699999999</v>
      </c>
      <c r="D78" s="8">
        <v>4.6899313600000001</v>
      </c>
      <c r="E78" s="8">
        <v>4.4397311899999998</v>
      </c>
      <c r="F78" s="8">
        <v>3.9960258500000001</v>
      </c>
      <c r="G78" s="8">
        <v>3.5964232699999998</v>
      </c>
      <c r="H78" s="8">
        <v>3.2367809400000001</v>
      </c>
      <c r="I78" s="8">
        <v>2.91310285</v>
      </c>
      <c r="J78" s="8">
        <v>2.6217925599999998</v>
      </c>
      <c r="K78" s="8">
        <v>2.3596133099999999</v>
      </c>
      <c r="L78" s="8">
        <v>2.12365198</v>
      </c>
      <c r="M78" s="8">
        <v>1.9112878499999999</v>
      </c>
      <c r="N78" s="8">
        <v>1.72048019</v>
      </c>
      <c r="O78" s="8">
        <v>15.73946274</v>
      </c>
      <c r="P78" s="8">
        <v>14.165788210000001</v>
      </c>
      <c r="Q78" s="8">
        <v>12.9498739</v>
      </c>
      <c r="R78" s="8">
        <v>52.729454509999997</v>
      </c>
      <c r="S78" s="8">
        <v>47.562038600000001</v>
      </c>
      <c r="T78" s="8">
        <v>58.722661180000003</v>
      </c>
      <c r="U78" s="8">
        <v>52.850395059999997</v>
      </c>
      <c r="V78" s="8">
        <v>48.125172190000001</v>
      </c>
      <c r="W78" s="8">
        <v>43.312659320000002</v>
      </c>
      <c r="X78" s="8">
        <v>38.981393509999997</v>
      </c>
      <c r="Y78" s="8">
        <v>35.16010618</v>
      </c>
      <c r="Z78" s="8">
        <v>31.648842380000001</v>
      </c>
      <c r="AA78" s="8">
        <v>28.485494410000001</v>
      </c>
      <c r="AB78" s="8">
        <v>28.349514410000001</v>
      </c>
      <c r="AC78" s="8">
        <v>25.514564459999999</v>
      </c>
    </row>
    <row r="79" spans="1:29" x14ac:dyDescent="0.85">
      <c r="A79" t="s">
        <v>210</v>
      </c>
      <c r="B79" s="8">
        <v>0</v>
      </c>
      <c r="C79" s="8">
        <v>8.9159999999999993E-5</v>
      </c>
      <c r="D79" s="8">
        <v>3.5599999999999998E-6</v>
      </c>
      <c r="E79" s="8">
        <v>3.9099999999999998E-6</v>
      </c>
      <c r="F79" s="8">
        <v>7.1180000000000006E-5</v>
      </c>
      <c r="G79" s="8">
        <v>6.4060000000000007E-5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3.4039999999999999E-5</v>
      </c>
      <c r="N79" s="8">
        <v>3.065E-5</v>
      </c>
      <c r="O79" s="8">
        <v>2.8035000000000001E-4</v>
      </c>
      <c r="P79" s="8">
        <v>2.5232E-4</v>
      </c>
      <c r="Q79" s="8">
        <v>2.3067000000000001E-4</v>
      </c>
      <c r="R79" s="8">
        <v>9.3922999999999999E-4</v>
      </c>
      <c r="S79" s="8">
        <v>8.7295000000000005E-4</v>
      </c>
      <c r="T79" s="8">
        <v>2.0919599999999999E-3</v>
      </c>
      <c r="U79" s="8">
        <v>9.4138000000000002E-4</v>
      </c>
      <c r="V79" s="8">
        <v>8.5720999999999996E-4</v>
      </c>
      <c r="W79" s="8">
        <v>7.7149E-4</v>
      </c>
      <c r="X79" s="8">
        <v>6.9434E-4</v>
      </c>
      <c r="Y79" s="8">
        <v>6.2628E-4</v>
      </c>
      <c r="Z79" s="8">
        <v>5.6373000000000003E-4</v>
      </c>
      <c r="AA79" s="8">
        <v>5.0739000000000003E-4</v>
      </c>
      <c r="AB79" s="8">
        <v>5.0469999999999996E-4</v>
      </c>
      <c r="AC79" s="8">
        <v>4.5447E-4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1.0143760900000001</v>
      </c>
      <c r="E80" s="8">
        <v>1.0001282</v>
      </c>
      <c r="F80" s="8">
        <v>1.0005927800000001</v>
      </c>
      <c r="G80" s="8">
        <v>1.00000069</v>
      </c>
      <c r="H80" s="8">
        <v>1</v>
      </c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1.0000005700000001</v>
      </c>
      <c r="P80" s="8">
        <v>1.02406961</v>
      </c>
      <c r="Q80" s="8">
        <v>1.0000004499999999</v>
      </c>
      <c r="R80" s="8">
        <v>1.00033511</v>
      </c>
      <c r="S80" s="8">
        <v>1.0687039899999999</v>
      </c>
      <c r="T80" s="8">
        <v>1.0001769599999999</v>
      </c>
      <c r="U80" s="8">
        <v>1.02677482</v>
      </c>
      <c r="V80" s="8">
        <v>1</v>
      </c>
      <c r="W80" s="8">
        <v>1.0009130500000001</v>
      </c>
      <c r="X80" s="8">
        <v>1.0000000099999999</v>
      </c>
      <c r="Y80" s="8">
        <v>1</v>
      </c>
      <c r="Z80" s="8">
        <v>1.0001120699999999</v>
      </c>
      <c r="AA80" s="8">
        <v>1.0000067100000001</v>
      </c>
      <c r="AB80" s="8">
        <v>1.0000021299999999</v>
      </c>
      <c r="AC80" s="8">
        <v>1.0037036699999999</v>
      </c>
    </row>
    <row r="81" spans="1:29" x14ac:dyDescent="0.85">
      <c r="A81" t="s">
        <v>212</v>
      </c>
      <c r="B81" s="8">
        <v>1</v>
      </c>
      <c r="C81" s="8">
        <v>1.0143760900000001</v>
      </c>
      <c r="D81" s="8">
        <v>1.0001282</v>
      </c>
      <c r="E81" s="8">
        <v>1.0005927800000001</v>
      </c>
      <c r="F81" s="8">
        <v>1.00000069</v>
      </c>
      <c r="G81" s="8">
        <v>1</v>
      </c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1.0000005700000001</v>
      </c>
      <c r="O81" s="8">
        <v>1.02406961</v>
      </c>
      <c r="P81" s="8">
        <v>1.0000004499999999</v>
      </c>
      <c r="Q81" s="8">
        <v>1.00033511</v>
      </c>
      <c r="R81" s="8">
        <v>1.0687039899999999</v>
      </c>
      <c r="S81" s="8">
        <v>1.0001769599999999</v>
      </c>
      <c r="T81" s="8">
        <v>1.02677482</v>
      </c>
      <c r="U81" s="8">
        <v>1</v>
      </c>
      <c r="V81" s="8">
        <v>1.0009130500000001</v>
      </c>
      <c r="W81" s="8">
        <v>1.0000000099999999</v>
      </c>
      <c r="X81" s="8">
        <v>1</v>
      </c>
      <c r="Y81" s="8">
        <v>1.0001120699999999</v>
      </c>
      <c r="Z81" s="8">
        <v>1.0000067100000001</v>
      </c>
      <c r="AA81" s="8">
        <v>1.0000021299999999</v>
      </c>
      <c r="AB81" s="8">
        <v>1.0037036699999999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2025-01-24T02:39:37Z</dcterms:modified>
</cp:coreProperties>
</file>