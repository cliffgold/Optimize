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51" documentId="13_ncr:1_{4B2B8139-C58D-4114-B474-42A19BD8D167}" xr6:coauthVersionLast="47" xr6:coauthVersionMax="47" xr10:uidLastSave="{3BEDB359-015C-4BAB-B3A2-2A2B1B52F2FA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<sst xmlns="http://schemas.openxmlformats.org/spreadsheetml/2006/main" count="89" uniqueCount="65">
  <si>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</si>
  <si>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</si>
  <si>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</si>
  <si>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</si>
  <si>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</si>
  <si>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</si>
  <si>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</si>
  <si>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</si>
  <si>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</si>
  <si>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</si>
  <si>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</si>
  <si>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Default Default CO2_20_20</t>
  </si>
  <si>
    <t>Default\Default\Increasing_CO2\Lib-Default-CO2_20_20.xlsm</t>
  </si>
  <si>
    <t>Cheap_Nuclear 5pct_Per_Year CO2_20_20</t>
  </si>
  <si>
    <t>Cheap_Nuclear\5pct_Per_Year\Increasing_CO2\Lib-5pct_Per_Year-CO2_20_20-Nuke_Cap$_0.95_0.95.xlsm</t>
  </si>
  <si>
    <t>Interest_Rate 3pct_Interest CO2_20_20</t>
  </si>
  <si>
    <t>Interest_Rate\3pct_Interest\Increasing_CO2\Lib-3pct_Interest-CO2_20_20-Int_0.03_1.xlsm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</si>
  <si>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</si>
  <si>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</si>
  <si>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</si>
  <si>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</si>
  <si>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</si>
  <si>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</si>
  <si>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</si>
  <si>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</si>
  <si>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</si>
  <si>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</si>
  <si>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</si>
  <si>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</si>
  <si>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Analysis+Case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</si>
  <si>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</si>
  <si>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</si>
  <si>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</si>
  <si>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</si>
  <si>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</si>
  <si>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</si>
  <si>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</si>
  <si>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</si>
  <si>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</si>
  <si>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</si>
  <si>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</si>
  <si>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</si>
  <si>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</si>
  <si>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</si>
  <si>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</si>
  <si>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</si>
  <si>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</si>
  <si>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</si>
  <si>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</si>
  <si>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</si>
  <si>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</si>
  <si>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</si>
  <si>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</si>
  <si>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</si>
  <si>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</si>
  <si>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</si>
  <si>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</si>
  <si>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</si>
  <si>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</si>
  <si>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</si>
  <si>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</si>
  <si>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</si>
  <si>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</si>
  <si>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</si>
  <si>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2025-01-24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</si>
</sst>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64</v>
      </c>
      <c r="C2" s="15" t="s">
        <v>6</v>
      </c>
      <c r="D2" s="11" t="s">
        <v>7</v>
      </c>
      <c r="E2" s="12" t="s">
        <v>8</v>
      </c>
      <c r="F2" s="12" t="s">
        <v>9</v>
      </c>
      <c r="G2" s="13">
        <v>20</v>
      </c>
    </row>
    <row r="9" spans="1:8" x14ac:dyDescent="0.85">
      <c r="G9" s="3"/>
    </row>
    <row r="10" spans="1:8" x14ac:dyDescent="0.85">
      <c r="B10" s="1" t="s">
        <v>10</v>
      </c>
      <c r="C10">
        <v>3</v>
      </c>
    </row>
    <row r="11" spans="1:8" x14ac:dyDescent="0.85">
      <c r="B11" t="s">
        <v>11</v>
      </c>
      <c r="C11" s="17" t="s">
        <v>12</v>
      </c>
      <c r="D11" s="17"/>
      <c r="E11" s="17"/>
      <c r="F11" s="17"/>
      <c r="G11" s="17"/>
      <c r="H11" s="17"/>
    </row>
    <row r="12" spans="1:8" x14ac:dyDescent="0.85">
      <c r="B12" t="s">
        <v>13</v>
      </c>
      <c r="C12" s="17" t="s">
        <v>14</v>
      </c>
      <c r="D12" s="17"/>
      <c r="E12" s="17"/>
      <c r="F12" s="17"/>
      <c r="G12" s="17"/>
      <c r="H12" s="17"/>
    </row>
    <row r="13" spans="1:8" x14ac:dyDescent="0.85">
      <c r="B13" t="s">
        <v>15</v>
      </c>
      <c r="C13" s="17" t="s">
        <v>16</v>
      </c>
      <c r="D13" s="17"/>
      <c r="E13" s="17"/>
      <c r="F13" s="17"/>
      <c r="G13" s="17"/>
      <c r="H13" s="17"/>
    </row>
    <row r="14" spans="1:8" x14ac:dyDescent="0.85">
      <c r="C14" s="17"/>
      <c r="D14" s="17"/>
      <c r="E14" s="17"/>
      <c r="F14" s="17"/>
      <c r="G14" s="17"/>
      <c r="H14" s="17"/>
    </row>
    <row r="15" spans="1:8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8"/>
  <sheetViews>
    <sheetView workbookViewId="0">
      <selection activeCell="B3" sqref="B3"/>
    </sheetView>
  </sheetViews>
  <sheetFormatPr defaultRowHeight="14.6" x14ac:dyDescent="0.85"/>
  <cols>
    <col min="1" max="1" width="21.69140625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17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18</v>
      </c>
      <c r="B3" t="s">
        <v>8</v>
      </c>
      <c r="C3" t="s">
        <v>19</v>
      </c>
      <c r="D3" s="4">
        <v>0</v>
      </c>
    </row>
    <row r="4" spans="1:4" x14ac:dyDescent="0.85">
      <c r="A4" t="s">
        <v>20</v>
      </c>
      <c r="B4" t="s">
        <v>21</v>
      </c>
      <c r="C4" t="s">
        <v>9</v>
      </c>
      <c r="D4" s="4">
        <v>10</v>
      </c>
    </row>
    <row r="5" spans="1:4" x14ac:dyDescent="0.85">
      <c r="A5" t="s">
        <v>22</v>
      </c>
      <c r="D5" s="4">
        <v>15</v>
      </c>
    </row>
    <row r="6" spans="1:4" x14ac:dyDescent="0.85">
      <c r="A6" t="e">
        <v>#N/A</v>
      </c>
      <c r="D6" s="4">
        <v>20</v>
      </c>
    </row>
    <row r="7" spans="1:4" x14ac:dyDescent="0.85">
      <c r="A7" t="s">
        <v>23</v>
      </c>
      <c r="D7" s="4">
        <v>30</v>
      </c>
    </row>
    <row r="8" spans="1:4" x14ac:dyDescent="0.85">
      <c r="A8" t="s">
        <v>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I4" sqref="I4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7.15234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24</v>
      </c>
      <c r="B1" s="5" t="s">
        <v>25</v>
      </c>
      <c r="C1" s="5" t="s">
        <v>26</v>
      </c>
      <c r="D1" s="8"/>
      <c r="E1" s="5" t="s">
        <v>2</v>
      </c>
      <c r="F1" s="5" t="s">
        <v>27</v>
      </c>
      <c r="G1" s="5" t="s">
        <v>28</v>
      </c>
      <c r="H1" s="8"/>
      <c r="I1" s="5" t="s">
        <v>29</v>
      </c>
      <c r="J1" s="5" t="s">
        <v>30</v>
      </c>
      <c r="K1" s="8"/>
      <c r="L1" s="5" t="s">
        <v>31</v>
      </c>
      <c r="M1" s="5" t="s">
        <v>32</v>
      </c>
    </row>
    <row r="2" spans="1:13" x14ac:dyDescent="0.85">
      <c r="A2" s="7" t="s">
        <v>33</v>
      </c>
      <c r="B2" s="7" t="s">
        <v>33</v>
      </c>
      <c r="C2" s="6" t="str">
        <f>A2</f>
        <v>-&lt;0&gt;-</v>
      </c>
      <c r="E2" s="7" t="s">
        <v>33</v>
      </c>
      <c r="F2" s="7" t="s">
        <v>33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33</v>
      </c>
      <c r="M2" s="7" t="s">
        <v>33</v>
      </c>
    </row>
    <row r="3" spans="1:13" x14ac:dyDescent="0.85">
      <c r="A3" s="6" t="s">
        <v>34</v>
      </c>
      <c r="B3" s="6" t="s">
        <v>22</v>
      </c>
      <c r="C3" s="6" t="str">
        <f>A3</f>
        <v>Default</v>
      </c>
      <c r="E3" s="6" t="s">
        <v>34</v>
      </c>
      <c r="F3" s="6" t="s">
        <v>22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x14ac:dyDescent="0.85">
      <c r="A4" s="6" t="s">
        <v>35</v>
      </c>
      <c r="B4" s="6" t="s">
        <v>35</v>
      </c>
      <c r="C4" s="6" t="s">
        <v>35</v>
      </c>
      <c r="E4" s="6" t="s">
        <v>36</v>
      </c>
      <c r="F4" s="6" t="s">
        <v>37</v>
      </c>
      <c r="G4" s="6" t="str">
        <f t="shared" si="0"/>
        <v>3_Qtr_Cap</v>
      </c>
      <c r="I4" s="6" t="s">
        <v>38</v>
      </c>
      <c r="J4" s="6" t="s">
        <v>39</v>
      </c>
      <c r="L4" s="6">
        <v>100</v>
      </c>
      <c r="M4" s="6">
        <v>10</v>
      </c>
    </row>
    <row r="5" spans="1:13" x14ac:dyDescent="0.85">
      <c r="A5" s="6" t="s">
        <v>40</v>
      </c>
      <c r="B5" s="6" t="s">
        <v>18</v>
      </c>
      <c r="C5" s="6" t="str">
        <f t="shared" ref="C5:C8" si="1">A5</f>
        <v>Cheap_Nuclear</v>
      </c>
      <c r="E5" s="6" t="s">
        <v>41</v>
      </c>
      <c r="F5" s="6" t="s">
        <v>42</v>
      </c>
      <c r="G5" s="6" t="str">
        <f t="shared" si="0"/>
        <v>Half_Cap</v>
      </c>
      <c r="I5" s="6" t="str">
        <f>A5 &amp; "_" &amp; E4</f>
        <v>Cheap_Nuclear_3_Qtr_Cap</v>
      </c>
      <c r="J5" s="6" t="s">
        <v>43</v>
      </c>
      <c r="L5" s="6">
        <v>200</v>
      </c>
      <c r="M5" s="6">
        <v>15</v>
      </c>
    </row>
    <row r="6" spans="1:13" ht="29.15" x14ac:dyDescent="0.85">
      <c r="A6" s="6" t="s">
        <v>44</v>
      </c>
      <c r="B6" s="6" t="s">
        <v>23</v>
      </c>
      <c r="C6" s="6" t="str">
        <f t="shared" si="1"/>
        <v>Fast_Build</v>
      </c>
      <c r="E6" s="6" t="s">
        <v>45</v>
      </c>
      <c r="F6" s="6" t="s">
        <v>46</v>
      </c>
      <c r="G6" s="6" t="str">
        <f t="shared" si="0"/>
        <v>Double_All</v>
      </c>
      <c r="I6" s="6" t="str">
        <f>A5 &amp; "_" &amp; E5</f>
        <v>Cheap_Nuclear_Half_Cap</v>
      </c>
      <c r="J6" s="6" t="s">
        <v>47</v>
      </c>
      <c r="L6" s="6">
        <v>350</v>
      </c>
      <c r="M6" s="6">
        <v>20</v>
      </c>
    </row>
    <row r="7" spans="1:13" ht="29.15" x14ac:dyDescent="0.85">
      <c r="A7" s="6" t="s">
        <v>48</v>
      </c>
      <c r="B7" s="6" t="s">
        <v>20</v>
      </c>
      <c r="C7" s="6" t="str">
        <f t="shared" si="1"/>
        <v>Cheap_Renewable</v>
      </c>
      <c r="E7" s="6" t="s">
        <v>49</v>
      </c>
      <c r="F7" s="6" t="s">
        <v>50</v>
      </c>
      <c r="G7" s="6" t="str">
        <f t="shared" si="0"/>
        <v>Quad_All</v>
      </c>
      <c r="I7" s="6" t="str">
        <f>A5 &amp; "_" &amp; E10</f>
        <v>Cheap_Nuclear_5pct_Per_Year</v>
      </c>
      <c r="J7" s="6" t="s">
        <v>39</v>
      </c>
      <c r="L7" s="6">
        <v>500</v>
      </c>
      <c r="M7" s="6">
        <v>30</v>
      </c>
    </row>
    <row r="8" spans="1:13" x14ac:dyDescent="0.85">
      <c r="A8" s="6" t="s">
        <v>51</v>
      </c>
      <c r="B8" s="6" t="s">
        <v>7</v>
      </c>
      <c r="C8" s="6" t="str">
        <f t="shared" si="1"/>
        <v>Interest_Rate</v>
      </c>
      <c r="E8" s="6" t="s">
        <v>52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53</v>
      </c>
    </row>
    <row r="9" spans="1:13" x14ac:dyDescent="0.85">
      <c r="E9" s="6" t="s">
        <v>54</v>
      </c>
      <c r="F9" s="6" t="s">
        <v>21</v>
      </c>
      <c r="G9" s="6" t="str">
        <f t="shared" si="0"/>
        <v>6pct_Interest</v>
      </c>
      <c r="I9" s="6" t="str">
        <f>A6 &amp; "_" &amp;E7</f>
        <v>Fast_Build_Quad_All</v>
      </c>
      <c r="J9" s="6" t="s">
        <v>55</v>
      </c>
    </row>
    <row r="10" spans="1:13" ht="43.75" x14ac:dyDescent="0.85">
      <c r="E10" s="6" t="s">
        <v>56</v>
      </c>
      <c r="F10" s="6" t="s">
        <v>57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58</v>
      </c>
    </row>
    <row r="11" spans="1:13" ht="43.75" x14ac:dyDescent="0.85">
      <c r="I11" s="6" t="str">
        <f>C7 &amp; "_" &amp; E5</f>
        <v>Cheap_Renewable_Half_Cap</v>
      </c>
      <c r="J11" s="6" t="s">
        <v>59</v>
      </c>
    </row>
    <row r="12" spans="1:13" ht="43.75" x14ac:dyDescent="0.85">
      <c r="I12" s="6" t="s">
        <v>60</v>
      </c>
      <c r="J12" s="6" t="s">
        <v>61</v>
      </c>
    </row>
    <row r="13" spans="1:13" x14ac:dyDescent="0.85">
      <c r="I13" s="6" t="str">
        <f>A8 &amp; "_" &amp; E8</f>
        <v>Interest_Rate_3pct_Interest</v>
      </c>
      <c r="J13" s="6" t="s">
        <v>62</v>
      </c>
    </row>
    <row r="14" spans="1:13" x14ac:dyDescent="0.85">
      <c r="I14" s="6" t="str">
        <f>A8 &amp; "_" &amp; E9</f>
        <v>Interest_Rate_6pct_Interest</v>
      </c>
      <c r="J14" s="6" t="s">
        <v>63</v>
      </c>
    </row>
    <row r="17" spans="3:3" x14ac:dyDescent="0.85">
      <c r="C17" s="6">
        <f t="shared" ref="C17" si="2">A17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2025-01-24T15:51:10Z</dcterms:modified>
  <cp:category/>
  <cp:contentStatus/>
</cp:coreProperties>
</file>