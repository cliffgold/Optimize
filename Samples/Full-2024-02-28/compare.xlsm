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cliff\OneDrive\Documents\GenAtomic\Optimize\Results\Full-2024-02-28\"/>
    </mc:Choice>
  </mc:AlternateContent>
  <xr:revisionPtr revIDLastSave="0" documentId="13_ncr:1_{2CB8F9D6-010A-49B0-B936-362DE507B146}" xr6:coauthVersionLast="47" xr6:coauthVersionMax="47" xr10:uidLastSave="{00000000-0000-0000-0000-000000000000}"/>
  <bookViews>
    <workbookView xWindow="-90" yWindow="-90" windowWidth="16637" windowHeight="9437" activeTab="2" xr2:uid="{8C7994C1-A10A-4AD4-8C33-2FA8764EDF37}"/>
  </bookViews>
  <sheets>
    <sheet name="Cases" sheetId="1" r:id="rId1"/>
    <sheet name="Reference" sheetId="4" r:id="rId2"/>
    <sheet name="Graph" sheetId="3" r:id="rId3"/>
    <sheet name="Calc" sheetId="5" r:id="rId4"/>
  </sheets>
  <externalReferences>
    <externalReference r:id="rId5"/>
    <externalReference r:id="rId6"/>
    <externalReference r:id="rId7"/>
    <externalReference r:id="rId8"/>
    <externalReference r:id="rId9"/>
  </externalReferences>
  <definedNames>
    <definedName name="_1st_ref">Reference!$H$2</definedName>
    <definedName name="Case_Count">Cases!$B$1</definedName>
    <definedName name="First_Case">Cases!$A$2</definedName>
    <definedName name="NRG_Selections">Reference!$I$2:$I$8</definedName>
    <definedName name="NRG_Table">Reference!$I$2:$K$8</definedName>
    <definedName name="NRGs">Reference!$I$2</definedName>
    <definedName name="Param_Count">Reference!$G$2</definedName>
    <definedName name="Param_Table">Reference!$D$2:$F$7</definedName>
    <definedName name="Params">Reference!$D$2:$D$7</definedName>
    <definedName name="Parm_Count">Reference!$G$2</definedName>
    <definedName name="Region">Graph!$A$1</definedName>
    <definedName name="Region_abbr">Reference!$D$10</definedName>
    <definedName name="Region_lookup">Reference!$A$2:$B$15</definedName>
    <definedName name="Regions">Reference!$A$2:$A$15</definedName>
    <definedName name="Selected_NRG">Calc!$B$3</definedName>
    <definedName name="Table_Corner">Calc!$B$5</definedName>
    <definedName name="To_Long">Reference!$B$2:$C$16</definedName>
    <definedName name="Years">Cases!$D$1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7" i="5" l="1"/>
  <c r="B8" i="5"/>
  <c r="B9" i="5" s="1"/>
  <c r="B10" i="5" s="1"/>
  <c r="B11" i="5" s="1"/>
  <c r="B12" i="5" s="1"/>
  <c r="B13" i="5" s="1"/>
  <c r="B14" i="5" s="1"/>
  <c r="B15" i="5" s="1"/>
  <c r="B16" i="5" s="1"/>
  <c r="B17" i="5" s="1"/>
  <c r="B18" i="5" s="1"/>
  <c r="B19" i="5" s="1"/>
  <c r="B20" i="5" s="1"/>
  <c r="B21" i="5" s="1"/>
  <c r="B22" i="5" s="1"/>
  <c r="B23" i="5" s="1"/>
  <c r="B24" i="5" s="1"/>
  <c r="B25" i="5" s="1"/>
  <c r="B26" i="5" s="1"/>
  <c r="B27" i="5" s="1"/>
  <c r="B28" i="5" s="1"/>
  <c r="B29" i="5" s="1"/>
  <c r="B30" i="5" s="1"/>
  <c r="B31" i="5" s="1"/>
  <c r="B32" i="5" s="1"/>
  <c r="B33" i="5" s="1"/>
  <c r="C15" i="4" l="1"/>
  <c r="C2" i="4"/>
  <c r="C3" i="4"/>
  <c r="C4" i="4"/>
  <c r="C5" i="4"/>
  <c r="C6" i="4"/>
  <c r="C7" i="4"/>
  <c r="C8" i="4"/>
  <c r="C9" i="4"/>
  <c r="C10" i="4"/>
  <c r="C11" i="4"/>
  <c r="C12" i="4"/>
  <c r="C13" i="4"/>
  <c r="C14" i="4"/>
  <c r="C1" i="4"/>
  <c r="D10" i="4"/>
  <c r="A3" i="5"/>
  <c r="B3" i="5" s="1"/>
  <c r="G28" i="5" l="1"/>
  <c r="G25" i="5"/>
  <c r="G16" i="5"/>
  <c r="G9" i="5"/>
  <c r="G30" i="5"/>
  <c r="G8" i="5"/>
  <c r="G29" i="5"/>
  <c r="G31" i="5"/>
  <c r="G19" i="5"/>
  <c r="G17" i="5"/>
  <c r="G15" i="5"/>
  <c r="G12" i="5"/>
  <c r="G10" i="5"/>
  <c r="G21" i="5"/>
  <c r="G11" i="5"/>
  <c r="G7" i="5"/>
  <c r="G22" i="5"/>
  <c r="G18" i="5"/>
  <c r="G32" i="5"/>
  <c r="G33" i="5"/>
  <c r="G23" i="5"/>
  <c r="G20" i="5"/>
  <c r="G27" i="5"/>
  <c r="G24" i="5"/>
  <c r="G13" i="5"/>
  <c r="G26" i="5"/>
  <c r="G14" i="5"/>
  <c r="G6" i="5"/>
  <c r="F17" i="5"/>
  <c r="F30" i="5"/>
  <c r="F15" i="5"/>
  <c r="F21" i="5"/>
  <c r="F13" i="5"/>
  <c r="F8" i="5"/>
  <c r="F25" i="5"/>
  <c r="F11" i="5"/>
  <c r="F26" i="5"/>
  <c r="F22" i="5"/>
  <c r="F10" i="5"/>
  <c r="F18" i="5"/>
  <c r="F24" i="5"/>
  <c r="F14" i="5"/>
  <c r="F23" i="5"/>
  <c r="F7" i="5"/>
  <c r="F31" i="5"/>
  <c r="F27" i="5"/>
  <c r="F29" i="5"/>
  <c r="F19" i="5"/>
  <c r="F12" i="5"/>
  <c r="F28" i="5"/>
  <c r="F33" i="5"/>
  <c r="F9" i="5"/>
  <c r="F32" i="5"/>
  <c r="F20" i="5"/>
  <c r="F16" i="5"/>
  <c r="F6" i="5"/>
  <c r="E32" i="5"/>
  <c r="E18" i="5"/>
  <c r="E30" i="5"/>
  <c r="E8" i="5"/>
  <c r="E16" i="5"/>
  <c r="E12" i="5"/>
  <c r="E19" i="5"/>
  <c r="E22" i="5"/>
  <c r="E10" i="5"/>
  <c r="E13" i="5"/>
  <c r="E9" i="5"/>
  <c r="E20" i="5"/>
  <c r="E26" i="5"/>
  <c r="E21" i="5"/>
  <c r="E11" i="5"/>
  <c r="E17" i="5"/>
  <c r="E25" i="5"/>
  <c r="E7" i="5"/>
  <c r="E28" i="5"/>
  <c r="E15" i="5"/>
  <c r="E24" i="5"/>
  <c r="E23" i="5"/>
  <c r="E33" i="5"/>
  <c r="E14" i="5"/>
  <c r="E31" i="5"/>
  <c r="E27" i="5"/>
  <c r="E29" i="5"/>
  <c r="E6" i="5"/>
  <c r="D24" i="5"/>
  <c r="D22" i="5"/>
  <c r="D28" i="5"/>
  <c r="D14" i="5"/>
  <c r="D32" i="5"/>
  <c r="D17" i="5"/>
  <c r="D19" i="5"/>
  <c r="D7" i="5"/>
  <c r="D16" i="5"/>
  <c r="D20" i="5"/>
  <c r="D8" i="5"/>
  <c r="D11" i="5"/>
  <c r="D9" i="5"/>
  <c r="D12" i="5"/>
  <c r="D33" i="5"/>
  <c r="D29" i="5"/>
  <c r="D10" i="5"/>
  <c r="D31" i="5"/>
  <c r="D13" i="5"/>
  <c r="D15" i="5"/>
  <c r="D30" i="5"/>
  <c r="D26" i="5"/>
  <c r="D25" i="5"/>
  <c r="D18" i="5"/>
  <c r="D21" i="5"/>
  <c r="D23" i="5"/>
  <c r="D27" i="5"/>
  <c r="D6" i="5"/>
  <c r="C24" i="5"/>
  <c r="C13" i="5"/>
  <c r="C32" i="5"/>
  <c r="C31" i="5"/>
  <c r="C22" i="5"/>
  <c r="C7" i="5"/>
  <c r="C8" i="5"/>
  <c r="C33" i="5"/>
  <c r="C12" i="5"/>
  <c r="C20" i="5"/>
  <c r="C25" i="5"/>
  <c r="C29" i="5"/>
  <c r="C17" i="5"/>
  <c r="C21" i="5"/>
  <c r="C15" i="5"/>
  <c r="C10" i="5"/>
  <c r="C26" i="5"/>
  <c r="C9" i="5"/>
  <c r="C11" i="5"/>
  <c r="C18" i="5"/>
  <c r="C16" i="5"/>
  <c r="C23" i="5"/>
  <c r="C28" i="5"/>
  <c r="C27" i="5"/>
  <c r="C19" i="5"/>
  <c r="C30" i="5"/>
  <c r="C14" i="5"/>
  <c r="C6" i="5"/>
  <c r="J3" i="4"/>
  <c r="J4" i="4" s="1"/>
  <c r="J5" i="4" s="1"/>
  <c r="J6" i="4" s="1"/>
  <c r="J7" i="4" s="1"/>
  <c r="A2" i="5"/>
  <c r="A1" i="5"/>
  <c r="D3" i="5" l="1"/>
  <c r="B6" i="5"/>
  <c r="J8" i="4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Cliff Gold</author>
  </authors>
  <commentList>
    <comment ref="G2" authorId="0" shapeId="0" xr:uid="{E38691D2-B902-4CD9-9ED5-DF23D2F2979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per NRG</t>
        </r>
      </text>
    </comment>
    <comment ref="H2" authorId="0" shapeId="0" xr:uid="{6F162621-69E0-45CC-9AD0-8CD3526EB08D}">
      <text>
        <r>
          <rPr>
            <b/>
            <sz val="9"/>
            <color indexed="81"/>
            <rFont val="Tahoma"/>
            <family val="2"/>
          </rPr>
          <t>Cliff Gold:</t>
        </r>
        <r>
          <rPr>
            <sz val="9"/>
            <color indexed="81"/>
            <rFont val="Tahoma"/>
            <family val="2"/>
          </rPr>
          <t xml:space="preserve">
Number of Globals</t>
        </r>
      </text>
    </comment>
  </commentList>
</comments>
</file>

<file path=xl/sharedStrings.xml><?xml version="1.0" encoding="utf-8"?>
<sst xmlns="http://schemas.openxmlformats.org/spreadsheetml/2006/main" count="75" uniqueCount="68">
  <si>
    <t>Cases</t>
  </si>
  <si>
    <t>Sum_All</t>
  </si>
  <si>
    <t>Solar</t>
  </si>
  <si>
    <t>Wind</t>
  </si>
  <si>
    <t>Nuclear</t>
  </si>
  <si>
    <t>Gas</t>
  </si>
  <si>
    <t>Coal</t>
  </si>
  <si>
    <t>Storage</t>
  </si>
  <si>
    <t>Regions</t>
  </si>
  <si>
    <t>Params</t>
  </si>
  <si>
    <t>Units</t>
  </si>
  <si>
    <t>Parm_Count</t>
  </si>
  <si>
    <t>1st ref</t>
  </si>
  <si>
    <t>NRG_Table</t>
  </si>
  <si>
    <t>CAL</t>
  </si>
  <si>
    <t>MW</t>
  </si>
  <si>
    <t>CAR</t>
  </si>
  <si>
    <t>CENT</t>
  </si>
  <si>
    <t>MWh</t>
  </si>
  <si>
    <t>FLA</t>
  </si>
  <si>
    <t>MIDA</t>
  </si>
  <si>
    <t>MIDW</t>
  </si>
  <si>
    <t>NE</t>
  </si>
  <si>
    <t>NY</t>
  </si>
  <si>
    <t>NW</t>
  </si>
  <si>
    <t>SE</t>
  </si>
  <si>
    <t>SW</t>
  </si>
  <si>
    <t>TEN</t>
  </si>
  <si>
    <t>TEX</t>
  </si>
  <si>
    <t>Years</t>
  </si>
  <si>
    <t>Be Sure To Match Results_Template.xlsx</t>
  </si>
  <si>
    <t>Capacity</t>
  </si>
  <si>
    <t>Energy</t>
  </si>
  <si>
    <t>Cost</t>
  </si>
  <si>
    <t>M$</t>
  </si>
  <si>
    <t>All_NRGs</t>
  </si>
  <si>
    <t>Results Offset</t>
  </si>
  <si>
    <t>CSV Offset</t>
  </si>
  <si>
    <t>CO2_Cost</t>
  </si>
  <si>
    <t>CO2_MTons</t>
  </si>
  <si>
    <t>MTons</t>
  </si>
  <si>
    <t>Supply</t>
  </si>
  <si>
    <t>Regions_abbrs</t>
  </si>
  <si>
    <t>Region_abbr</t>
  </si>
  <si>
    <t>California</t>
  </si>
  <si>
    <t>Carolinas</t>
  </si>
  <si>
    <t>Central</t>
  </si>
  <si>
    <t>Florida</t>
  </si>
  <si>
    <t>Mid Atlantic</t>
  </si>
  <si>
    <t>Mid West</t>
  </si>
  <si>
    <t>North East</t>
  </si>
  <si>
    <t>New York</t>
  </si>
  <si>
    <t>North West</t>
  </si>
  <si>
    <t>South East</t>
  </si>
  <si>
    <t>South West</t>
  </si>
  <si>
    <t>Tennessee</t>
  </si>
  <si>
    <t>Texas</t>
  </si>
  <si>
    <t>All</t>
  </si>
  <si>
    <t>Results_CO2-0_All.xlsm</t>
  </si>
  <si>
    <t>Results_CO2-100_All.xlsm</t>
  </si>
  <si>
    <t>Results_CO2-200_All.xlsm</t>
  </si>
  <si>
    <t>Results_CO2-350_All.xlsm</t>
  </si>
  <si>
    <t>Results_CO2-500_All.xlsm</t>
  </si>
  <si>
    <t>CO2-0</t>
  </si>
  <si>
    <t>CO2-100</t>
  </si>
  <si>
    <t>CO2-200</t>
  </si>
  <si>
    <t>CO2-350</t>
  </si>
  <si>
    <t>CO2-500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</si>
</sst>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9">
    <xf numFmtId="0" fontId="0" fillId="0" borderId="0" xfId="0"/>
    <xf numFmtId="0" fontId="1" fillId="0" borderId="0" xfId="0" applyFont="1"/>
    <xf numFmtId="0" fontId="0" fillId="0" borderId="0" xfId="0" applyAlignment="1">
      <alignment wrapText="1"/>
    </xf>
    <xf numFmtId="3" fontId="0" fillId="0" borderId="0" xfId="0" applyNumberFormat="1"/>
    <xf numFmtId="0" fontId="1" fillId="2" borderId="0" xfId="0" applyFont="1" applyFill="1"/>
    <xf numFmtId="3" fontId="0" fillId="0" borderId="0" xfId="0" applyNumberFormat="1" applyProtection="1">
      <protection locked="0"/>
    </xf>
    <xf numFmtId="0" fontId="1" fillId="0" borderId="0" xfId="0" applyFont="1"/>
    <xf numFmtId="0" fontId="0" fillId="0" borderId="0" xfId="0"/>
    <xf numFmtId="3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tyles" Target="styles.xml"/><Relationship Id="rId5" Type="http://schemas.openxmlformats.org/officeDocument/2006/relationships/externalLink" Target="externalLinks/externalLink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5.xml"/><Relationship Id="rId14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Calc!$D$3</c:f>
          <c:strCache>
            <c:ptCount val="1"/>
            <c:pt idx="0">
              <c:v>Sum_All - CO2_MTons (MTons) - All_NRGs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1423351424214021E-2"/>
          <c:y val="0.15319444444444447"/>
          <c:w val="0.63571587002328933"/>
          <c:h val="0.72088764946048411"/>
        </c:manualLayout>
      </c:layout>
      <c:lineChart>
        <c:grouping val="standard"/>
        <c:varyColors val="0"/>
        <c:ser>
          <c:idx val="1"/>
          <c:order val="0"/>
          <c:tx>
            <c:strRef>
              <c:f>Calc!$G$5</c:f>
              <c:strCache>
                <c:ptCount val="1"/>
                <c:pt idx="0">
                  <c:v>CO2-500</c:v>
                </c:pt>
              </c:strCache>
            </c:strRef>
          </c:tx>
          <c:marker>
            <c:symbol val="none"/>
          </c:marker>
          <c:cat>
            <c:numRef>
              <c:f>Calc!$B$6:$B$33</c:f>
              <c:numCache>
                <c:formatCode>#,##0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cat>
          <c:val>
            <c:numRef>
              <c:f>Calc!$G$6:$G$33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1255.6858152</c:v>
                </c:pt>
                <c:pt idx="2">
                  <c:v>1101.8131955600002</c:v>
                </c:pt>
                <c:pt idx="3">
                  <c:v>956.60049888999981</c:v>
                </c:pt>
                <c:pt idx="4">
                  <c:v>820.85212290999993</c:v>
                </c:pt>
                <c:pt idx="5">
                  <c:v>714.46821076000015</c:v>
                </c:pt>
                <c:pt idx="6">
                  <c:v>622.47458666</c:v>
                </c:pt>
                <c:pt idx="7">
                  <c:v>541.07707409</c:v>
                </c:pt>
                <c:pt idx="8">
                  <c:v>473.53948858999996</c:v>
                </c:pt>
                <c:pt idx="9">
                  <c:v>411.69633785000008</c:v>
                </c:pt>
                <c:pt idx="10">
                  <c:v>364.81506824000002</c:v>
                </c:pt>
                <c:pt idx="11">
                  <c:v>332.58055783999998</c:v>
                </c:pt>
                <c:pt idx="12">
                  <c:v>317.06041488999989</c:v>
                </c:pt>
                <c:pt idx="13">
                  <c:v>305.01811499999997</c:v>
                </c:pt>
                <c:pt idx="14">
                  <c:v>295.01935262000001</c:v>
                </c:pt>
                <c:pt idx="15">
                  <c:v>288.48763768999999</c:v>
                </c:pt>
                <c:pt idx="16">
                  <c:v>297.53569619999996</c:v>
                </c:pt>
                <c:pt idx="17">
                  <c:v>314.53208085000006</c:v>
                </c:pt>
                <c:pt idx="18">
                  <c:v>327.62873192000001</c:v>
                </c:pt>
                <c:pt idx="19">
                  <c:v>344.63070217000001</c:v>
                </c:pt>
                <c:pt idx="20">
                  <c:v>358.76220706000004</c:v>
                </c:pt>
                <c:pt idx="21">
                  <c:v>370.47213872000003</c:v>
                </c:pt>
                <c:pt idx="22">
                  <c:v>383.05121505</c:v>
                </c:pt>
                <c:pt idx="23">
                  <c:v>393.44734806000008</c:v>
                </c:pt>
                <c:pt idx="24">
                  <c:v>404.41012598999998</c:v>
                </c:pt>
                <c:pt idx="25">
                  <c:v>417.87480360000001</c:v>
                </c:pt>
                <c:pt idx="26">
                  <c:v>430.66692475000002</c:v>
                </c:pt>
                <c:pt idx="27">
                  <c:v>444.91445275999996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106-4B01-8BFD-FFC9BCD425D3}"/>
            </c:ext>
          </c:extLst>
        </c:ser>
        <c:ser>
          <c:idx val="0"/>
          <c:order val="1"/>
          <c:tx>
            <c:strRef>
              <c:f>Calc!$F$5</c:f>
              <c:strCache>
                <c:ptCount val="1"/>
                <c:pt idx="0">
                  <c:v>CO2-350</c:v>
                </c:pt>
              </c:strCache>
            </c:strRef>
          </c:tx>
          <c:marker>
            <c:symbol val="none"/>
          </c:marker>
          <c:val>
            <c:numRef>
              <c:f>Calc!$F$6:$F$33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1257.6948801600001</c:v>
                </c:pt>
                <c:pt idx="2">
                  <c:v>1107.3020005999999</c:v>
                </c:pt>
                <c:pt idx="3">
                  <c:v>963.95452800999988</c:v>
                </c:pt>
                <c:pt idx="4">
                  <c:v>830.4500979799999</c:v>
                </c:pt>
                <c:pt idx="5">
                  <c:v>736.06650984000009</c:v>
                </c:pt>
                <c:pt idx="6">
                  <c:v>661.30953657999999</c:v>
                </c:pt>
                <c:pt idx="7">
                  <c:v>585.23698076999995</c:v>
                </c:pt>
                <c:pt idx="8">
                  <c:v>523.12638602000004</c:v>
                </c:pt>
                <c:pt idx="9">
                  <c:v>493.08616350000005</c:v>
                </c:pt>
                <c:pt idx="10">
                  <c:v>477.66486158000009</c:v>
                </c:pt>
                <c:pt idx="11">
                  <c:v>465.88540700999994</c:v>
                </c:pt>
                <c:pt idx="12">
                  <c:v>459.97132953000005</c:v>
                </c:pt>
                <c:pt idx="13">
                  <c:v>469.90529918999999</c:v>
                </c:pt>
                <c:pt idx="14">
                  <c:v>484.08100592999989</c:v>
                </c:pt>
                <c:pt idx="15">
                  <c:v>499.46721622999996</c:v>
                </c:pt>
                <c:pt idx="16">
                  <c:v>523.18068969000001</c:v>
                </c:pt>
                <c:pt idx="17">
                  <c:v>545.53983043000005</c:v>
                </c:pt>
                <c:pt idx="18">
                  <c:v>568.62863468</c:v>
                </c:pt>
                <c:pt idx="19">
                  <c:v>587.07892083000002</c:v>
                </c:pt>
                <c:pt idx="20">
                  <c:v>609.24712273000023</c:v>
                </c:pt>
                <c:pt idx="21">
                  <c:v>631.68918135999991</c:v>
                </c:pt>
                <c:pt idx="22">
                  <c:v>655.57441397000002</c:v>
                </c:pt>
                <c:pt idx="23">
                  <c:v>679.23009330000002</c:v>
                </c:pt>
                <c:pt idx="24">
                  <c:v>701.33317542000009</c:v>
                </c:pt>
                <c:pt idx="25">
                  <c:v>722.90364934000002</c:v>
                </c:pt>
                <c:pt idx="26">
                  <c:v>743.32483350999996</c:v>
                </c:pt>
                <c:pt idx="27">
                  <c:v>765.25107208999998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2B5-4EA8-A4AA-1457081368E9}"/>
            </c:ext>
          </c:extLst>
        </c:ser>
        <c:ser>
          <c:idx val="2"/>
          <c:order val="2"/>
          <c:tx>
            <c:strRef>
              <c:f>Calc!$E$5</c:f>
              <c:strCache>
                <c:ptCount val="1"/>
                <c:pt idx="0">
                  <c:v>CO2-200</c:v>
                </c:pt>
              </c:strCache>
            </c:strRef>
          </c:tx>
          <c:marker>
            <c:symbol val="none"/>
          </c:marker>
          <c:val>
            <c:numRef>
              <c:f>Calc!$E$6:$E$33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1330.8424287100001</c:v>
                </c:pt>
                <c:pt idx="2">
                  <c:v>1243.6293734400001</c:v>
                </c:pt>
                <c:pt idx="3">
                  <c:v>1171.0311866399998</c:v>
                </c:pt>
                <c:pt idx="4">
                  <c:v>1098.8079897</c:v>
                </c:pt>
                <c:pt idx="5">
                  <c:v>1076.3273622199999</c:v>
                </c:pt>
                <c:pt idx="6">
                  <c:v>1070.55723341</c:v>
                </c:pt>
                <c:pt idx="7">
                  <c:v>1078.2016747300004</c:v>
                </c:pt>
                <c:pt idx="8">
                  <c:v>1098.8133212200003</c:v>
                </c:pt>
                <c:pt idx="9">
                  <c:v>1119.7136671699998</c:v>
                </c:pt>
                <c:pt idx="10">
                  <c:v>1143.58294931</c:v>
                </c:pt>
                <c:pt idx="11">
                  <c:v>1168.8599261500001</c:v>
                </c:pt>
                <c:pt idx="12">
                  <c:v>1192.7249632099999</c:v>
                </c:pt>
                <c:pt idx="13">
                  <c:v>1215.93089259</c:v>
                </c:pt>
                <c:pt idx="14">
                  <c:v>1240.9933245799998</c:v>
                </c:pt>
                <c:pt idx="15">
                  <c:v>1265.2412092099999</c:v>
                </c:pt>
                <c:pt idx="16">
                  <c:v>1294.5550276899999</c:v>
                </c:pt>
                <c:pt idx="17">
                  <c:v>1323.2858308599998</c:v>
                </c:pt>
                <c:pt idx="18">
                  <c:v>1351.6197640600005</c:v>
                </c:pt>
                <c:pt idx="19">
                  <c:v>1380.99831176</c:v>
                </c:pt>
                <c:pt idx="20">
                  <c:v>1410.3813414399999</c:v>
                </c:pt>
                <c:pt idx="21">
                  <c:v>1442.25072703</c:v>
                </c:pt>
                <c:pt idx="22">
                  <c:v>1476.4647831600003</c:v>
                </c:pt>
                <c:pt idx="23">
                  <c:v>1511.0751571999999</c:v>
                </c:pt>
                <c:pt idx="24">
                  <c:v>1544.2684651299999</c:v>
                </c:pt>
                <c:pt idx="25">
                  <c:v>1577.5862501400002</c:v>
                </c:pt>
                <c:pt idx="26">
                  <c:v>1612.2023291599999</c:v>
                </c:pt>
                <c:pt idx="27">
                  <c:v>1647.7351669600005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2B5-4EA8-A4AA-1457081368E9}"/>
            </c:ext>
          </c:extLst>
        </c:ser>
        <c:ser>
          <c:idx val="3"/>
          <c:order val="3"/>
          <c:tx>
            <c:strRef>
              <c:f>Calc!$D$5</c:f>
              <c:strCache>
                <c:ptCount val="1"/>
                <c:pt idx="0">
                  <c:v>CO2-100</c:v>
                </c:pt>
              </c:strCache>
            </c:strRef>
          </c:tx>
          <c:marker>
            <c:symbol val="none"/>
          </c:marker>
          <c:val>
            <c:numRef>
              <c:f>Calc!$D$6:$D$33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1439.7109404099999</c:v>
                </c:pt>
                <c:pt idx="2">
                  <c:v>1467.4946008899999</c:v>
                </c:pt>
                <c:pt idx="3">
                  <c:v>1494.6201539799999</c:v>
                </c:pt>
                <c:pt idx="4">
                  <c:v>1519.8406162700001</c:v>
                </c:pt>
                <c:pt idx="5">
                  <c:v>1550.2387528999998</c:v>
                </c:pt>
                <c:pt idx="6">
                  <c:v>1582.1630147600001</c:v>
                </c:pt>
                <c:pt idx="7">
                  <c:v>1619.03515563</c:v>
                </c:pt>
                <c:pt idx="8">
                  <c:v>1650.8025519500002</c:v>
                </c:pt>
                <c:pt idx="9">
                  <c:v>1687.0106742299999</c:v>
                </c:pt>
                <c:pt idx="10">
                  <c:v>1722.85935569</c:v>
                </c:pt>
                <c:pt idx="11">
                  <c:v>1755.0795827700001</c:v>
                </c:pt>
                <c:pt idx="12">
                  <c:v>1785.2376360200001</c:v>
                </c:pt>
                <c:pt idx="13">
                  <c:v>1819.6720838599999</c:v>
                </c:pt>
                <c:pt idx="14">
                  <c:v>1863.8818729</c:v>
                </c:pt>
                <c:pt idx="15">
                  <c:v>1909.8238507800002</c:v>
                </c:pt>
                <c:pt idx="16">
                  <c:v>1957.3826543799998</c:v>
                </c:pt>
                <c:pt idx="17">
                  <c:v>2010.2116687099999</c:v>
                </c:pt>
                <c:pt idx="18">
                  <c:v>2064.1168790000002</c:v>
                </c:pt>
                <c:pt idx="19">
                  <c:v>2123.85460633</c:v>
                </c:pt>
                <c:pt idx="20">
                  <c:v>2180.1809345300003</c:v>
                </c:pt>
                <c:pt idx="21">
                  <c:v>2235.99046082</c:v>
                </c:pt>
                <c:pt idx="22">
                  <c:v>2287.9171161900003</c:v>
                </c:pt>
                <c:pt idx="23">
                  <c:v>2341.4664101300004</c:v>
                </c:pt>
                <c:pt idx="24">
                  <c:v>2396.2912535199998</c:v>
                </c:pt>
                <c:pt idx="25">
                  <c:v>2450.6708243999997</c:v>
                </c:pt>
                <c:pt idx="26">
                  <c:v>2506.0290092699997</c:v>
                </c:pt>
                <c:pt idx="27">
                  <c:v>2563.45740058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2B5-4EA8-A4AA-1457081368E9}"/>
            </c:ext>
          </c:extLst>
        </c:ser>
        <c:ser>
          <c:idx val="4"/>
          <c:order val="4"/>
          <c:tx>
            <c:strRef>
              <c:f>Calc!$C$5</c:f>
              <c:strCache>
                <c:ptCount val="1"/>
                <c:pt idx="0">
                  <c:v>CO2-0</c:v>
                </c:pt>
              </c:strCache>
            </c:strRef>
          </c:tx>
          <c:marker>
            <c:symbol val="none"/>
          </c:marker>
          <c:val>
            <c:numRef>
              <c:f>Calc!$C$6:$C$33</c:f>
              <c:numCache>
                <c:formatCode>#,##0</c:formatCode>
                <c:ptCount val="28"/>
                <c:pt idx="0">
                  <c:v>1414.2395687399999</c:v>
                </c:pt>
                <c:pt idx="1">
                  <c:v>1465.03349961</c:v>
                </c:pt>
                <c:pt idx="2">
                  <c:v>1516.54427087</c:v>
                </c:pt>
                <c:pt idx="3">
                  <c:v>1568.3797020300001</c:v>
                </c:pt>
                <c:pt idx="4">
                  <c:v>1620.7321389699996</c:v>
                </c:pt>
                <c:pt idx="5">
                  <c:v>1673.5434450800001</c:v>
                </c:pt>
                <c:pt idx="6">
                  <c:v>1726.6442626300002</c:v>
                </c:pt>
                <c:pt idx="7">
                  <c:v>1780.2472521700001</c:v>
                </c:pt>
                <c:pt idx="8">
                  <c:v>1834.52518057</c:v>
                </c:pt>
                <c:pt idx="9">
                  <c:v>1889.3202130900002</c:v>
                </c:pt>
                <c:pt idx="10">
                  <c:v>1944.7558861600003</c:v>
                </c:pt>
                <c:pt idx="11">
                  <c:v>2000.8507541900003</c:v>
                </c:pt>
                <c:pt idx="12">
                  <c:v>2057.5462312500003</c:v>
                </c:pt>
                <c:pt idx="13">
                  <c:v>2114.8881069399999</c:v>
                </c:pt>
                <c:pt idx="14">
                  <c:v>2172.9709010299998</c:v>
                </c:pt>
                <c:pt idx="15">
                  <c:v>2231.76489692</c:v>
                </c:pt>
                <c:pt idx="16">
                  <c:v>2291.3504517000001</c:v>
                </c:pt>
                <c:pt idx="17">
                  <c:v>2351.7204950099995</c:v>
                </c:pt>
                <c:pt idx="18">
                  <c:v>2412.9199408100003</c:v>
                </c:pt>
                <c:pt idx="19">
                  <c:v>2474.9356009599992</c:v>
                </c:pt>
                <c:pt idx="20">
                  <c:v>2537.8128616999998</c:v>
                </c:pt>
                <c:pt idx="21">
                  <c:v>2601.6521784200004</c:v>
                </c:pt>
                <c:pt idx="22">
                  <c:v>2666.4536432300001</c:v>
                </c:pt>
                <c:pt idx="23">
                  <c:v>2732.2374984400003</c:v>
                </c:pt>
                <c:pt idx="24">
                  <c:v>2799.0359089299996</c:v>
                </c:pt>
                <c:pt idx="25">
                  <c:v>2866.8788775500007</c:v>
                </c:pt>
                <c:pt idx="26">
                  <c:v>2935.7781474099997</c:v>
                </c:pt>
                <c:pt idx="27">
                  <c:v>3005.7794595200007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32B5-4EA8-A4AA-1457081368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49876352"/>
        <c:axId val="26624208"/>
      </c:lineChart>
      <c:catAx>
        <c:axId val="249876352"/>
        <c:scaling>
          <c:orientation val="minMax"/>
        </c:scaling>
        <c:delete val="0"/>
        <c:axPos val="b"/>
        <c:numFmt formatCode="#,##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624208"/>
        <c:crosses val="autoZero"/>
        <c:auto val="1"/>
        <c:lblAlgn val="ctr"/>
        <c:lblOffset val="100"/>
        <c:noMultiLvlLbl val="0"/>
      </c:catAx>
      <c:valAx>
        <c:axId val="26624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9876352"/>
        <c:crosses val="autoZero"/>
        <c:crossBetween val="between"/>
      </c:valAx>
    </c:plotArea>
    <c:legend>
      <c:legendPos val="r"/>
      <c:layout>
        <c:manualLayout>
          <c:xMode val="edge"/>
          <c:yMode val="edge"/>
          <c:x val="0.81031941805679941"/>
          <c:y val="0.52133056284631085"/>
          <c:w val="9.6643254100279713E-2"/>
          <c:h val="0.3906277340332458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348020</xdr:colOff>
      <xdr:row>7</xdr:row>
      <xdr:rowOff>121504</xdr:rowOff>
    </xdr:from>
    <xdr:to>
      <xdr:col>2</xdr:col>
      <xdr:colOff>25290</xdr:colOff>
      <xdr:row>8</xdr:row>
      <xdr:rowOff>143275</xdr:rowOff>
    </xdr:to>
    <xdr:sp macro="[0]!Line_Bar" textlink="">
      <xdr:nvSpPr>
        <xdr:cNvPr id="3" name="Rectangle 2">
          <a:extLst>
            <a:ext uri="{FF2B5EF4-FFF2-40B4-BE49-F238E27FC236}">
              <a16:creationId xmlns:a16="http://schemas.microsoft.com/office/drawing/2014/main" id="{4FAC2F9A-9352-8EC7-A994-E8B5D0092ECE}"/>
            </a:ext>
          </a:extLst>
        </xdr:cNvPr>
        <xdr:cNvSpPr/>
      </xdr:nvSpPr>
      <xdr:spPr>
        <a:xfrm>
          <a:off x="348020" y="1421386"/>
          <a:ext cx="884304" cy="207469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l"/>
          <a:r>
            <a:rPr lang="en-US" sz="1100"/>
            <a:t>     To Bar</a:t>
          </a:r>
        </a:p>
      </xdr:txBody>
    </xdr:sp>
    <xdr:clientData/>
  </xdr:twoCellAnchor>
  <xdr:twoCellAnchor>
    <xdr:from>
      <xdr:col>3</xdr:col>
      <xdr:colOff>95250</xdr:colOff>
      <xdr:row>1</xdr:row>
      <xdr:rowOff>17689</xdr:rowOff>
    </xdr:from>
    <xdr:to>
      <xdr:col>14</xdr:col>
      <xdr:colOff>560614</xdr:colOff>
      <xdr:row>15</xdr:row>
      <xdr:rowOff>170089</xdr:rowOff>
    </xdr:to>
    <xdr:graphicFrame macro="">
      <xdr:nvGraphicFramePr>
        <xdr:cNvPr id="5" name="Comparison">
          <a:extLst>
            <a:ext uri="{FF2B5EF4-FFF2-40B4-BE49-F238E27FC236}">
              <a16:creationId xmlns:a16="http://schemas.microsoft.com/office/drawing/2014/main" id="{0FA16ADE-0337-5D3E-AFBC-A583082E128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-2024-02-28\Results_CO2-0_All.xlsm" TargetMode="External"/><Relationship Id="rId1" Type="http://schemas.openxmlformats.org/officeDocument/2006/relationships/externalLinkPath" Target="Results_CO2-0_All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-2024-02-28\Results_CO2-100_All.xlsm" TargetMode="External"/><Relationship Id="rId1" Type="http://schemas.openxmlformats.org/officeDocument/2006/relationships/externalLinkPath" Target="Results_CO2-100_All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-2024-02-28\Results_CO2-200_All.xlsm" TargetMode="External"/><Relationship Id="rId1" Type="http://schemas.openxmlformats.org/officeDocument/2006/relationships/externalLinkPath" Target="Results_CO2-200_All.xlsm" TargetMode="External"/></Relationships>
</file>

<file path=xl/externalLinks/_rels/externalLink4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-2024-02-28\Results_CO2-350_All.xlsm" TargetMode="External"/><Relationship Id="rId1" Type="http://schemas.openxmlformats.org/officeDocument/2006/relationships/externalLinkPath" Target="Results_CO2-350_All.xlsm" TargetMode="External"/></Relationships>
</file>

<file path=xl/externalLinks/_rels/externalLink5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cliff\OneDrive\Documents\GenAtomic\Optimize\Results\Full-2024-02-28\Results_CO2-500_All.xlsm" TargetMode="External"/><Relationship Id="rId1" Type="http://schemas.openxmlformats.org/officeDocument/2006/relationships/externalLinkPath" Target="Results_CO2-500_Al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>
        <row r="5">
          <cell r="J5">
            <v>47</v>
          </cell>
        </row>
      </sheetData>
      <sheetData sheetId="2">
        <row r="5">
          <cell r="J5">
            <v>973896.36372631998</v>
          </cell>
        </row>
      </sheetData>
      <sheetData sheetId="3">
        <row r="5">
          <cell r="J5">
            <v>62637.656557479997</v>
          </cell>
        </row>
      </sheetData>
      <sheetData sheetId="4">
        <row r="5">
          <cell r="J5">
            <v>49473.504174690002</v>
          </cell>
        </row>
      </sheetData>
      <sheetData sheetId="5">
        <row r="5">
          <cell r="J5">
            <v>75095.415617139995</v>
          </cell>
        </row>
      </sheetData>
      <sheetData sheetId="6">
        <row r="5">
          <cell r="J5">
            <v>74984.05975452</v>
          </cell>
        </row>
      </sheetData>
      <sheetData sheetId="7">
        <row r="5">
          <cell r="J5">
            <v>194301.73361595999</v>
          </cell>
        </row>
      </sheetData>
      <sheetData sheetId="8">
        <row r="5">
          <cell r="J5">
            <v>164063.59983153999</v>
          </cell>
        </row>
      </sheetData>
      <sheetData sheetId="9">
        <row r="5">
          <cell r="J5">
            <v>24926.52827744</v>
          </cell>
        </row>
      </sheetData>
      <sheetData sheetId="10">
        <row r="5">
          <cell r="J5">
            <v>29040.79330849</v>
          </cell>
        </row>
      </sheetData>
      <sheetData sheetId="11">
        <row r="5">
          <cell r="J5">
            <v>59679.498573080004</v>
          </cell>
        </row>
      </sheetData>
      <sheetData sheetId="12">
        <row r="5">
          <cell r="J5">
            <v>59806.325459530002</v>
          </cell>
        </row>
      </sheetData>
      <sheetData sheetId="13">
        <row r="5">
          <cell r="J5">
            <v>33387.376032050001</v>
          </cell>
        </row>
      </sheetData>
      <sheetData sheetId="14">
        <row r="5">
          <cell r="J5">
            <v>31345.422200019999</v>
          </cell>
        </row>
      </sheetData>
      <sheetData sheetId="15">
        <row r="5">
          <cell r="J5">
            <v>115154.45032438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>
        <row r="5">
          <cell r="J5">
            <v>47</v>
          </cell>
        </row>
      </sheetData>
      <sheetData sheetId="2">
        <row r="5">
          <cell r="J5">
            <v>1057037.10771423</v>
          </cell>
        </row>
      </sheetData>
      <sheetData sheetId="3">
        <row r="5">
          <cell r="J5">
            <v>65051.38572939</v>
          </cell>
        </row>
      </sheetData>
      <sheetData sheetId="4">
        <row r="5">
          <cell r="J5">
            <v>50042.611273449998</v>
          </cell>
        </row>
      </sheetData>
      <sheetData sheetId="5">
        <row r="5">
          <cell r="J5">
            <v>91552.058765599999</v>
          </cell>
        </row>
      </sheetData>
      <sheetData sheetId="6">
        <row r="5">
          <cell r="J5">
            <v>75184.409599470004</v>
          </cell>
        </row>
      </sheetData>
      <sheetData sheetId="7">
        <row r="5">
          <cell r="J5">
            <v>194664.63191533001</v>
          </cell>
        </row>
      </sheetData>
      <sheetData sheetId="8">
        <row r="5">
          <cell r="J5">
            <v>192428.20887097999</v>
          </cell>
        </row>
      </sheetData>
      <sheetData sheetId="9">
        <row r="5">
          <cell r="J5">
            <v>24925.214629710001</v>
          </cell>
        </row>
      </sheetData>
      <sheetData sheetId="10">
        <row r="5">
          <cell r="J5">
            <v>29067.598174229999</v>
          </cell>
        </row>
      </sheetData>
      <sheetData sheetId="11">
        <row r="5">
          <cell r="J5">
            <v>65199.081400310002</v>
          </cell>
        </row>
      </sheetData>
      <sheetData sheetId="12">
        <row r="5">
          <cell r="J5">
            <v>62088.430619710001</v>
          </cell>
        </row>
      </sheetData>
      <sheetData sheetId="13">
        <row r="5">
          <cell r="J5">
            <v>34080.318540330001</v>
          </cell>
        </row>
      </sheetData>
      <sheetData sheetId="14">
        <row r="5">
          <cell r="J5">
            <v>32753.211629400001</v>
          </cell>
        </row>
      </sheetData>
      <sheetData sheetId="15">
        <row r="5">
          <cell r="J5">
            <v>139999.94656632</v>
          </cell>
        </row>
      </sheetData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>
        <row r="5">
          <cell r="J5">
            <v>47</v>
          </cell>
        </row>
      </sheetData>
      <sheetData sheetId="2">
        <row r="5">
          <cell r="J5">
            <v>1305975.2262146201</v>
          </cell>
        </row>
      </sheetData>
      <sheetData sheetId="3">
        <row r="5">
          <cell r="J5">
            <v>82705.197193560001</v>
          </cell>
        </row>
      </sheetData>
      <sheetData sheetId="4">
        <row r="5">
          <cell r="J5">
            <v>62888.82762923</v>
          </cell>
        </row>
      </sheetData>
      <sheetData sheetId="5">
        <row r="5">
          <cell r="J5">
            <v>111346.36703577</v>
          </cell>
        </row>
      </sheetData>
      <sheetData sheetId="6">
        <row r="5">
          <cell r="J5">
            <v>78538.92022606</v>
          </cell>
        </row>
      </sheetData>
      <sheetData sheetId="7">
        <row r="5">
          <cell r="J5">
            <v>270923.80162493</v>
          </cell>
        </row>
      </sheetData>
      <sheetData sheetId="8">
        <row r="5">
          <cell r="J5">
            <v>247127.23377540999</v>
          </cell>
        </row>
      </sheetData>
      <sheetData sheetId="9">
        <row r="5">
          <cell r="J5">
            <v>28859.530052890001</v>
          </cell>
        </row>
      </sheetData>
      <sheetData sheetId="10">
        <row r="5">
          <cell r="J5">
            <v>30585.2498065</v>
          </cell>
        </row>
      </sheetData>
      <sheetData sheetId="11">
        <row r="5">
          <cell r="J5">
            <v>90804.193336550001</v>
          </cell>
        </row>
      </sheetData>
      <sheetData sheetId="12">
        <row r="5">
          <cell r="J5">
            <v>72792.073050060004</v>
          </cell>
        </row>
      </sheetData>
      <sheetData sheetId="13">
        <row r="5">
          <cell r="J5">
            <v>42718.920759219996</v>
          </cell>
        </row>
      </sheetData>
      <sheetData sheetId="14">
        <row r="5">
          <cell r="J5">
            <v>36273.91977103</v>
          </cell>
        </row>
      </sheetData>
      <sheetData sheetId="15">
        <row r="5">
          <cell r="J5">
            <v>150410.99195341</v>
          </cell>
        </row>
      </sheetData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>
        <row r="5">
          <cell r="J5">
            <v>47</v>
          </cell>
        </row>
      </sheetData>
      <sheetData sheetId="2">
        <row r="5">
          <cell r="J5">
            <v>1391323.6878701199</v>
          </cell>
        </row>
      </sheetData>
      <sheetData sheetId="3">
        <row r="5">
          <cell r="J5">
            <v>82863.804517340002</v>
          </cell>
        </row>
      </sheetData>
      <sheetData sheetId="4">
        <row r="5">
          <cell r="J5">
            <v>67665.801750819999</v>
          </cell>
        </row>
      </sheetData>
      <sheetData sheetId="5">
        <row r="5">
          <cell r="J5">
            <v>118791.16439758</v>
          </cell>
        </row>
      </sheetData>
      <sheetData sheetId="6">
        <row r="5">
          <cell r="J5">
            <v>83570.003780169995</v>
          </cell>
        </row>
      </sheetData>
      <sheetData sheetId="7">
        <row r="5">
          <cell r="J5">
            <v>303634.57952600002</v>
          </cell>
        </row>
      </sheetData>
      <sheetData sheetId="8">
        <row r="5">
          <cell r="J5">
            <v>251805.11067327001</v>
          </cell>
        </row>
      </sheetData>
      <sheetData sheetId="9">
        <row r="5">
          <cell r="J5">
            <v>30520.84135875</v>
          </cell>
        </row>
      </sheetData>
      <sheetData sheetId="10">
        <row r="5">
          <cell r="J5">
            <v>33768.106116019997</v>
          </cell>
        </row>
      </sheetData>
      <sheetData sheetId="11">
        <row r="5">
          <cell r="J5">
            <v>101114.73742377</v>
          </cell>
        </row>
      </sheetData>
      <sheetData sheetId="12">
        <row r="5">
          <cell r="J5">
            <v>76272.232095009997</v>
          </cell>
        </row>
      </sheetData>
      <sheetData sheetId="13">
        <row r="5">
          <cell r="J5">
            <v>44271.19103568</v>
          </cell>
        </row>
      </sheetData>
      <sheetData sheetId="14">
        <row r="5">
          <cell r="J5">
            <v>37148.097666369998</v>
          </cell>
        </row>
      </sheetData>
      <sheetData sheetId="15">
        <row r="5">
          <cell r="J5">
            <v>159898.01752934</v>
          </cell>
        </row>
      </sheetData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Graph"/>
      <sheetName val="Reference"/>
      <sheetName val="Sum_All"/>
      <sheetName val="CAL"/>
      <sheetName val="CAR"/>
      <sheetName val="CENT"/>
      <sheetName val="FLA"/>
      <sheetName val="MIDA"/>
      <sheetName val="MIDW"/>
      <sheetName val="NE"/>
      <sheetName val="NY"/>
      <sheetName val="NW"/>
      <sheetName val="SE"/>
      <sheetName val="SW"/>
      <sheetName val="TEN"/>
      <sheetName val="TEX"/>
    </sheetNames>
    <definedNames>
      <definedName name="Table_Corner" refersTo="='Graph'!$J$5"/>
    </definedNames>
    <sheetDataSet>
      <sheetData sheetId="0">
        <row r="5">
          <cell r="J5">
            <v>-1</v>
          </cell>
        </row>
      </sheetData>
      <sheetData sheetId="1">
        <row r="5">
          <cell r="J5">
            <v>47</v>
          </cell>
        </row>
      </sheetData>
      <sheetData sheetId="2">
        <row r="5">
          <cell r="J5">
            <v>1420294.45419099</v>
          </cell>
        </row>
      </sheetData>
      <sheetData sheetId="3">
        <row r="5">
          <cell r="J5">
            <v>84047.019047709997</v>
          </cell>
        </row>
      </sheetData>
      <sheetData sheetId="4">
        <row r="5">
          <cell r="J5">
            <v>67666.291186799994</v>
          </cell>
        </row>
      </sheetData>
      <sheetData sheetId="5">
        <row r="5">
          <cell r="J5">
            <v>122636.65755796</v>
          </cell>
        </row>
      </sheetData>
      <sheetData sheetId="6">
        <row r="5">
          <cell r="J5">
            <v>83371.492074659996</v>
          </cell>
        </row>
      </sheetData>
      <sheetData sheetId="7">
        <row r="5">
          <cell r="J5">
            <v>303868.69169811998</v>
          </cell>
        </row>
      </sheetData>
      <sheetData sheetId="8">
        <row r="5">
          <cell r="J5">
            <v>260416.21023883001</v>
          </cell>
        </row>
      </sheetData>
      <sheetData sheetId="9">
        <row r="5">
          <cell r="J5">
            <v>33358.061260360002</v>
          </cell>
        </row>
      </sheetData>
      <sheetData sheetId="10">
        <row r="5">
          <cell r="J5">
            <v>38094.056577000003</v>
          </cell>
        </row>
      </sheetData>
      <sheetData sheetId="11">
        <row r="5">
          <cell r="J5">
            <v>100870.10323855</v>
          </cell>
        </row>
      </sheetData>
      <sheetData sheetId="12">
        <row r="5">
          <cell r="J5">
            <v>76239.064594209995</v>
          </cell>
        </row>
      </sheetData>
      <sheetData sheetId="13">
        <row r="5">
          <cell r="J5">
            <v>46433.750498120004</v>
          </cell>
        </row>
      </sheetData>
      <sheetData sheetId="14">
        <row r="5">
          <cell r="J5">
            <v>38556.165396670003</v>
          </cell>
        </row>
      </sheetData>
      <sheetData sheetId="15">
        <row r="5">
          <cell r="J5">
            <v>164736.89082199999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6A9A7B-A228-4F75-941F-BBF6AD6C26D0}">
  <sheetPr codeName="Sheet1"/>
  <dimension ref="A1:D6"/>
  <sheetViews>
    <sheetView workbookViewId="0">
      <selection activeCell="A2" sqref="A2"/>
    </sheetView>
  </sheetViews>
  <sheetFormatPr defaultRowHeight="14.6" x14ac:dyDescent="0.85"/>
  <sheetData>
    <row r="1" spans="1:4" x14ac:dyDescent="0.85">
      <c r="A1" t="s">
        <v>0</v>
      </c>
      <c r="B1">
        <v>5</v>
      </c>
      <c r="C1" t="s">
        <v>29</v>
      </c>
      <c r="D1">
        <v>27</v>
      </c>
    </row>
    <row r="2" spans="1:4" x14ac:dyDescent="0.85">
      <c r="A2" t="s">
        <v>58</v>
      </c>
    </row>
    <row r="3" spans="1:4" x14ac:dyDescent="0.85">
      <c r="A3" t="s">
        <v>59</v>
      </c>
    </row>
    <row r="4" spans="1:4" x14ac:dyDescent="0.85">
      <c r="A4" t="s">
        <v>60</v>
      </c>
    </row>
    <row r="5" spans="1:4" x14ac:dyDescent="0.85">
      <c r="A5" t="s">
        <v>61</v>
      </c>
    </row>
    <row r="6" spans="1:4" x14ac:dyDescent="0.85">
      <c r="A6" t="s">
        <v>62</v>
      </c>
    </row>
  </sheetData>
  <sheetProtection sheet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26BA2E1-F421-4E99-BD52-4ED1AAC9DD52}">
  <sheetPr codeName="Sheet16"/>
  <dimension ref="A1:K16"/>
  <sheetViews>
    <sheetView workbookViewId="0">
      <selection activeCell="C16" sqref="C16"/>
    </sheetView>
  </sheetViews>
  <sheetFormatPr defaultRowHeight="14.6" x14ac:dyDescent="0.85"/>
  <cols>
    <col min="1" max="3" width="12.07421875" customWidth="1"/>
    <col min="4" max="4" width="14.69140625" customWidth="1"/>
    <col min="5" max="5" width="1.65234375" bestFit="1" customWidth="1"/>
    <col min="6" max="6" width="9.15234375" customWidth="1"/>
    <col min="7" max="7" width="10.73046875" bestFit="1" customWidth="1"/>
    <col min="9" max="9" width="9.765625" bestFit="1" customWidth="1"/>
    <col min="10" max="10" width="9.73046875" bestFit="1" customWidth="1"/>
    <col min="11" max="11" width="12" bestFit="1" customWidth="1"/>
  </cols>
  <sheetData>
    <row r="1" spans="1:11" s="1" customFormat="1" x14ac:dyDescent="0.85">
      <c r="A1" s="1" t="s">
        <v>8</v>
      </c>
      <c r="B1" s="1" t="s">
        <v>42</v>
      </c>
      <c r="C1" s="1" t="str">
        <f>A1</f>
        <v>Regions</v>
      </c>
      <c r="D1" s="6" t="s">
        <v>9</v>
      </c>
      <c r="E1" s="7"/>
      <c r="F1" s="1" t="s">
        <v>10</v>
      </c>
      <c r="G1" s="1" t="s">
        <v>11</v>
      </c>
      <c r="H1" s="1" t="s">
        <v>12</v>
      </c>
      <c r="I1" s="1" t="s">
        <v>13</v>
      </c>
      <c r="J1" s="1" t="s">
        <v>37</v>
      </c>
      <c r="K1" s="1" t="s">
        <v>36</v>
      </c>
    </row>
    <row r="2" spans="1:11" x14ac:dyDescent="0.85">
      <c r="A2" t="s">
        <v>1</v>
      </c>
      <c r="B2" t="s">
        <v>1</v>
      </c>
      <c r="C2" t="str">
        <f t="shared" ref="C2:C14" si="0">A2</f>
        <v>Sum_All</v>
      </c>
      <c r="D2" s="2" t="s">
        <v>31</v>
      </c>
      <c r="E2" s="2">
        <v>0</v>
      </c>
      <c r="F2" s="2" t="s">
        <v>15</v>
      </c>
      <c r="G2" s="2">
        <v>11</v>
      </c>
      <c r="H2">
        <v>14</v>
      </c>
      <c r="I2" t="s">
        <v>35</v>
      </c>
      <c r="K2">
        <v>7</v>
      </c>
    </row>
    <row r="3" spans="1:11" x14ac:dyDescent="0.85">
      <c r="A3" t="s">
        <v>44</v>
      </c>
      <c r="B3" t="s">
        <v>14</v>
      </c>
      <c r="C3" t="str">
        <f t="shared" si="0"/>
        <v>California</v>
      </c>
      <c r="D3" s="2" t="s">
        <v>32</v>
      </c>
      <c r="E3" s="2">
        <v>1</v>
      </c>
      <c r="F3" s="2" t="s">
        <v>18</v>
      </c>
      <c r="G3" s="2"/>
      <c r="I3" t="s">
        <v>2</v>
      </c>
      <c r="J3">
        <f>_1st_ref</f>
        <v>14</v>
      </c>
      <c r="K3">
        <v>1</v>
      </c>
    </row>
    <row r="4" spans="1:11" x14ac:dyDescent="0.85">
      <c r="A4" t="s">
        <v>45</v>
      </c>
      <c r="B4" t="s">
        <v>16</v>
      </c>
      <c r="C4" t="str">
        <f t="shared" si="0"/>
        <v>Carolinas</v>
      </c>
      <c r="D4" s="2" t="s">
        <v>41</v>
      </c>
      <c r="E4" s="2">
        <v>2</v>
      </c>
      <c r="F4" s="2" t="s">
        <v>18</v>
      </c>
      <c r="G4" s="2"/>
      <c r="I4" t="s">
        <v>3</v>
      </c>
      <c r="J4">
        <f>J3+Param_Count</f>
        <v>25</v>
      </c>
      <c r="K4">
        <v>2</v>
      </c>
    </row>
    <row r="5" spans="1:11" x14ac:dyDescent="0.85">
      <c r="A5" t="s">
        <v>46</v>
      </c>
      <c r="B5" t="s">
        <v>17</v>
      </c>
      <c r="C5" t="str">
        <f t="shared" si="0"/>
        <v>Central</v>
      </c>
      <c r="D5" s="2" t="s">
        <v>33</v>
      </c>
      <c r="E5" s="2">
        <v>3</v>
      </c>
      <c r="F5" s="2" t="s">
        <v>34</v>
      </c>
      <c r="G5" s="2"/>
      <c r="I5" t="s">
        <v>4</v>
      </c>
      <c r="J5">
        <f>J4+Param_Count</f>
        <v>36</v>
      </c>
      <c r="K5">
        <v>3</v>
      </c>
    </row>
    <row r="6" spans="1:11" x14ac:dyDescent="0.85">
      <c r="A6" t="s">
        <v>47</v>
      </c>
      <c r="B6" t="s">
        <v>19</v>
      </c>
      <c r="C6" t="str">
        <f t="shared" si="0"/>
        <v>Florida</v>
      </c>
      <c r="D6" s="2" t="s">
        <v>38</v>
      </c>
      <c r="E6" s="2">
        <v>4</v>
      </c>
      <c r="F6" s="2" t="s">
        <v>34</v>
      </c>
      <c r="G6" s="2"/>
      <c r="I6" t="s">
        <v>5</v>
      </c>
      <c r="J6">
        <f>J5+Param_Count</f>
        <v>47</v>
      </c>
      <c r="K6">
        <v>4</v>
      </c>
    </row>
    <row r="7" spans="1:11" x14ac:dyDescent="0.85">
      <c r="A7" t="s">
        <v>48</v>
      </c>
      <c r="B7" t="s">
        <v>20</v>
      </c>
      <c r="C7" t="str">
        <f t="shared" si="0"/>
        <v>Mid Atlantic</v>
      </c>
      <c r="D7" s="2" t="s">
        <v>39</v>
      </c>
      <c r="E7" s="2">
        <v>5</v>
      </c>
      <c r="F7" s="2" t="s">
        <v>40</v>
      </c>
      <c r="G7" s="2"/>
      <c r="I7" t="s">
        <v>6</v>
      </c>
      <c r="J7">
        <f>J6+Param_Count</f>
        <v>58</v>
      </c>
      <c r="K7">
        <v>5</v>
      </c>
    </row>
    <row r="8" spans="1:11" x14ac:dyDescent="0.85">
      <c r="A8" t="s">
        <v>49</v>
      </c>
      <c r="B8" t="s">
        <v>21</v>
      </c>
      <c r="C8" t="str">
        <f t="shared" si="0"/>
        <v>Mid West</v>
      </c>
      <c r="D8" s="2"/>
      <c r="E8" s="2"/>
      <c r="F8" s="2"/>
      <c r="I8" t="s">
        <v>7</v>
      </c>
      <c r="J8">
        <f>J7+Param_Count</f>
        <v>69</v>
      </c>
      <c r="K8">
        <v>6</v>
      </c>
    </row>
    <row r="9" spans="1:11" x14ac:dyDescent="0.85">
      <c r="A9" t="s">
        <v>50</v>
      </c>
      <c r="B9" t="s">
        <v>22</v>
      </c>
      <c r="C9" t="str">
        <f t="shared" si="0"/>
        <v>North East</v>
      </c>
      <c r="D9" s="1" t="s">
        <v>43</v>
      </c>
    </row>
    <row r="10" spans="1:11" x14ac:dyDescent="0.85">
      <c r="A10" t="s">
        <v>51</v>
      </c>
      <c r="B10" t="s">
        <v>23</v>
      </c>
      <c r="C10" t="str">
        <f t="shared" si="0"/>
        <v>New York</v>
      </c>
      <c r="D10" t="str">
        <f>VLOOKUP(Region,Region_lookup,2,FALSE)</f>
        <v>Sum_All</v>
      </c>
    </row>
    <row r="11" spans="1:11" x14ac:dyDescent="0.85">
      <c r="A11" t="s">
        <v>52</v>
      </c>
      <c r="B11" t="s">
        <v>24</v>
      </c>
      <c r="C11" t="str">
        <f t="shared" si="0"/>
        <v>North West</v>
      </c>
    </row>
    <row r="12" spans="1:11" x14ac:dyDescent="0.85">
      <c r="A12" t="s">
        <v>53</v>
      </c>
      <c r="B12" t="s">
        <v>25</v>
      </c>
      <c r="C12" t="str">
        <f t="shared" si="0"/>
        <v>South East</v>
      </c>
      <c r="F12" s="4" t="s">
        <v>30</v>
      </c>
      <c r="G12" s="4"/>
      <c r="H12" s="4"/>
      <c r="I12" s="4"/>
    </row>
    <row r="13" spans="1:11" x14ac:dyDescent="0.85">
      <c r="A13" t="s">
        <v>54</v>
      </c>
      <c r="B13" t="s">
        <v>26</v>
      </c>
      <c r="C13" t="str">
        <f t="shared" si="0"/>
        <v>South West</v>
      </c>
    </row>
    <row r="14" spans="1:11" x14ac:dyDescent="0.85">
      <c r="A14" t="s">
        <v>55</v>
      </c>
      <c r="B14" t="s">
        <v>27</v>
      </c>
      <c r="C14" t="str">
        <f t="shared" si="0"/>
        <v>Tennessee</v>
      </c>
    </row>
    <row r="15" spans="1:11" x14ac:dyDescent="0.85">
      <c r="A15" t="s">
        <v>56</v>
      </c>
      <c r="B15" t="s">
        <v>28</v>
      </c>
      <c r="C15" t="str">
        <f>A14</f>
        <v>Tennessee</v>
      </c>
    </row>
    <row r="16" spans="1:11" x14ac:dyDescent="0.85">
      <c r="B16" t="s">
        <v>57</v>
      </c>
      <c r="C16" t="s">
        <v>1</v>
      </c>
    </row>
  </sheetData>
  <sheetProtection sheet="1" scenarios="1"/>
  <mergeCells count="1">
    <mergeCell ref="D1:E1"/>
  </mergeCells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B56FB76-2A1F-47E5-A2EC-0F2EEF9A49A6}">
  <sheetPr codeName="Sheet3"/>
  <dimension ref="A1:K33"/>
  <sheetViews>
    <sheetView tabSelected="1" zoomScaleNormal="100" workbookViewId="0">
      <selection activeCell="A2" sqref="A2"/>
    </sheetView>
  </sheetViews>
  <sheetFormatPr defaultRowHeight="14.6" x14ac:dyDescent="0.85"/>
  <cols>
    <col min="1" max="1" width="9.5" style="3" customWidth="1"/>
    <col min="2" max="11" width="7.53515625" style="3" customWidth="1"/>
    <col min="12" max="12" width="14.69140625" style="3" bestFit="1" customWidth="1"/>
    <col min="13" max="13" width="17.421875" style="3" customWidth="1"/>
    <col min="14" max="15" width="15.69140625" style="3" bestFit="1" customWidth="1"/>
    <col min="16" max="16" width="6.73046875" style="3" bestFit="1" customWidth="1"/>
    <col min="17" max="17" width="13.19140625" style="3" bestFit="1" customWidth="1"/>
    <col min="18" max="16384" width="8.921875" style="3"/>
  </cols>
  <sheetData>
    <row r="1" spans="1:11" x14ac:dyDescent="0.85">
      <c r="A1" s="5" t="s">
        <v>1</v>
      </c>
    </row>
    <row r="2" spans="1:11" x14ac:dyDescent="0.85">
      <c r="A2" s="5" t="s">
        <v>39</v>
      </c>
      <c r="D2" s="8"/>
      <c r="E2" s="7"/>
      <c r="F2" s="7"/>
      <c r="G2" s="7"/>
      <c r="H2" s="7"/>
      <c r="I2" s="7"/>
      <c r="J2" s="7"/>
      <c r="K2" s="7"/>
    </row>
    <row r="3" spans="1:11" x14ac:dyDescent="0.85">
      <c r="A3" s="5" t="s">
        <v>35</v>
      </c>
    </row>
    <row r="4" spans="1:11" x14ac:dyDescent="0.85"/>
    <row r="5" spans="1:11" x14ac:dyDescent="0.85"/>
    <row r="6" spans="1:11" x14ac:dyDescent="0.85"/>
    <row r="7" spans="1:11" x14ac:dyDescent="0.85"/>
    <row r="8" spans="1:11" x14ac:dyDescent="0.85"/>
    <row r="9" spans="1:11" x14ac:dyDescent="0.85"/>
    <row r="10" spans="1:11" x14ac:dyDescent="0.85"/>
    <row r="11" spans="1:11" x14ac:dyDescent="0.85"/>
    <row r="12" spans="1:11" x14ac:dyDescent="0.85"/>
    <row r="13" spans="1:11" x14ac:dyDescent="0.85"/>
    <row r="14" spans="1:11" x14ac:dyDescent="0.85"/>
    <row r="15" spans="1:11" x14ac:dyDescent="0.85"/>
    <row r="16" spans="1:11" x14ac:dyDescent="0.85"/>
    <row r="17" x14ac:dyDescent="0.85"/>
    <row r="18" x14ac:dyDescent="0.85"/>
    <row r="19" x14ac:dyDescent="0.85"/>
    <row r="20" x14ac:dyDescent="0.85"/>
    <row r="21" x14ac:dyDescent="0.85"/>
    <row r="22" x14ac:dyDescent="0.85"/>
    <row r="23" x14ac:dyDescent="0.85"/>
    <row r="24" x14ac:dyDescent="0.85"/>
    <row r="25" x14ac:dyDescent="0.85"/>
    <row r="26" x14ac:dyDescent="0.85"/>
    <row r="27" x14ac:dyDescent="0.85"/>
    <row r="28" x14ac:dyDescent="0.85"/>
    <row r="29" x14ac:dyDescent="0.85"/>
    <row r="30" x14ac:dyDescent="0.85"/>
    <row r="31" x14ac:dyDescent="0.85"/>
    <row r="32" x14ac:dyDescent="0.85"/>
    <row r="33" x14ac:dyDescent="0.85"/>
  </sheetData>
  <mergeCells count="1">
    <mergeCell ref="D2:K2"/>
  </mergeCells>
  <dataValidations count="3">
    <dataValidation type="list" allowBlank="1" showInputMessage="1" showErrorMessage="1" sqref="A2" xr:uid="{2906BB6A-E169-4BB4-B5C9-4A048FA3A3EB}">
      <formula1>Params</formula1>
    </dataValidation>
    <dataValidation type="list" showInputMessage="1" showErrorMessage="1" sqref="A1" xr:uid="{E29B4DE8-1DCE-428B-9D97-BB9A7749BE8B}">
      <formula1>Regions</formula1>
    </dataValidation>
    <dataValidation type="list" allowBlank="1" showInputMessage="1" showErrorMessage="1" sqref="A3" xr:uid="{6814C036-4AA4-4AD5-BE43-F52ACDE110A7}">
      <formula1>NRG_Selections</formula1>
    </dataValidation>
  </dataValidations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8C4687-86D3-401A-8461-46BD18D54FFA}">
  <sheetPr codeName="Sheet2"/>
  <dimension ref="A1:G33"/>
  <sheetViews>
    <sheetView workbookViewId="0">
      <selection activeCell="B7" sqref="B7"/>
    </sheetView>
  </sheetViews>
  <sheetFormatPr defaultColWidth="15.03515625" defaultRowHeight="14.6" x14ac:dyDescent="0.85"/>
  <cols>
    <col min="1" max="16384" width="15.03515625" style="3"/>
  </cols>
  <sheetData>
    <row r="1" spans="1:7" x14ac:dyDescent="0.85">
      <c r="A1" s="3" t="str">
        <f>Graph!$A$1</f>
        <v>Sum_All</v>
      </c>
    </row>
    <row r="2" spans="1:7" x14ac:dyDescent="0.85">
      <c r="A2" s="3" t="str">
        <f>Graph!$A$2</f>
        <v>CO2_MTons</v>
      </c>
    </row>
    <row r="3" spans="1:7" x14ac:dyDescent="0.85">
      <c r="A3" s="3" t="str">
        <f>Graph!$A$3</f>
        <v>All_NRGs</v>
      </c>
      <c r="B3" s="3">
        <f>VLOOKUP($A$3,NRG_Table,3,FALSE)</f>
        <v>7</v>
      </c>
      <c r="D3" s="3" t="str">
        <f>$A$1 &amp; " - " &amp; $A$2 &amp; " (" &amp; VLOOKUP(A2,Param_Table,3,FALSE) &amp; ") - " &amp; A3</f>
        <v>Sum_All - CO2_MTons (MTons) - All_NRGs</v>
      </c>
    </row>
    <row r="4" spans="1:7" x14ac:dyDescent="0.85"/>
    <row r="5" spans="1:7" x14ac:dyDescent="0.85">
      <c r="B5" s="3">
        <v>-1</v>
      </c>
      <c r="C5" s="3" t="s">
        <v>63</v>
      </c>
      <c r="D5" s="3" t="s">
        <v>64</v>
      </c>
      <c r="E5" s="3" t="s">
        <v>65</v>
      </c>
      <c r="F5" s="3" t="s">
        <v>66</v>
      </c>
      <c r="G5" s="3" t="s">
        <v>67</v>
      </c>
    </row>
    <row r="6" spans="1:7" x14ac:dyDescent="0.85">
      <c r="B6" s="3">
        <f>B5+1</f>
        <v>0</v>
      </c>
      <c r="C6" s="3">
        <f ca="1">OFFSET([1]!Table_Corner, 1,Selected_NRG)</f>
        <v>1414.2395687399999</v>
      </c>
      <c r="D6" s="3">
        <f ca="1">OFFSET([2]!Table_Corner, 1,Selected_NRG)</f>
        <v>1414.2395687399999</v>
      </c>
      <c r="E6" s="3">
        <f ca="1">OFFSET([3]!Table_Corner, 1,Selected_NRG)</f>
        <v>1414.2395687399999</v>
      </c>
      <c r="F6" s="3">
        <f ca="1">OFFSET([4]!Table_Corner, 1,Selected_NRG)</f>
        <v>1414.2395687399999</v>
      </c>
      <c r="G6" s="3">
        <f ca="1">OFFSET([5]!Table_Corner, 1,Selected_NRG)</f>
        <v>1414.2395687399999</v>
      </c>
    </row>
    <row r="7" spans="1:7" x14ac:dyDescent="0.85">
      <c r="B7" s="3">
        <f t="shared" ref="B7:B33" si="0">B6+1</f>
        <v>1</v>
      </c>
      <c r="C7" s="3">
        <f ca="1">OFFSET([1]!Table_Corner, 2,Selected_NRG)</f>
        <v>1465.03349961</v>
      </c>
      <c r="D7" s="3">
        <f ca="1">OFFSET([2]!Table_Corner, 2,Selected_NRG)</f>
        <v>1439.7109404099999</v>
      </c>
      <c r="E7" s="3">
        <f ca="1">OFFSET([3]!Table_Corner, 2,Selected_NRG)</f>
        <v>1330.8424287100001</v>
      </c>
      <c r="F7" s="3">
        <f ca="1">OFFSET([4]!Table_Corner, 2,Selected_NRG)</f>
        <v>1257.6948801600001</v>
      </c>
      <c r="G7" s="3">
        <f ca="1">OFFSET([5]!Table_Corner, 2,Selected_NRG)</f>
        <v>1255.6858152</v>
      </c>
    </row>
    <row r="8" spans="1:7" x14ac:dyDescent="0.85">
      <c r="B8" s="3">
        <f t="shared" si="0"/>
        <v>2</v>
      </c>
      <c r="C8" s="3">
        <f ca="1">OFFSET([1]!Table_Corner, 3,Selected_NRG)</f>
        <v>1516.54427087</v>
      </c>
      <c r="D8" s="3">
        <f ca="1">OFFSET([2]!Table_Corner, 3,Selected_NRG)</f>
        <v>1467.4946008899999</v>
      </c>
      <c r="E8" s="3">
        <f ca="1">OFFSET([3]!Table_Corner, 3,Selected_NRG)</f>
        <v>1243.6293734400001</v>
      </c>
      <c r="F8" s="3">
        <f ca="1">OFFSET([4]!Table_Corner, 3,Selected_NRG)</f>
        <v>1107.3020005999999</v>
      </c>
      <c r="G8" s="3">
        <f ca="1">OFFSET([5]!Table_Corner, 3,Selected_NRG)</f>
        <v>1101.8131955600002</v>
      </c>
    </row>
    <row r="9" spans="1:7" x14ac:dyDescent="0.85">
      <c r="B9" s="3">
        <f t="shared" si="0"/>
        <v>3</v>
      </c>
      <c r="C9" s="3">
        <f ca="1">OFFSET([1]!Table_Corner, 4,Selected_NRG)</f>
        <v>1568.3797020300001</v>
      </c>
      <c r="D9" s="3">
        <f ca="1">OFFSET([2]!Table_Corner, 4,Selected_NRG)</f>
        <v>1494.6201539799999</v>
      </c>
      <c r="E9" s="3">
        <f ca="1">OFFSET([3]!Table_Corner, 4,Selected_NRG)</f>
        <v>1171.0311866399998</v>
      </c>
      <c r="F9" s="3">
        <f ca="1">OFFSET([4]!Table_Corner, 4,Selected_NRG)</f>
        <v>963.95452800999988</v>
      </c>
      <c r="G9" s="3">
        <f ca="1">OFFSET([5]!Table_Corner, 4,Selected_NRG)</f>
        <v>956.60049888999981</v>
      </c>
    </row>
    <row r="10" spans="1:7" x14ac:dyDescent="0.85">
      <c r="B10" s="3">
        <f t="shared" si="0"/>
        <v>4</v>
      </c>
      <c r="C10" s="3">
        <f ca="1">OFFSET([1]!Table_Corner, 5,Selected_NRG)</f>
        <v>1620.7321389699996</v>
      </c>
      <c r="D10" s="3">
        <f ca="1">OFFSET([2]!Table_Corner, 5,Selected_NRG)</f>
        <v>1519.8406162700001</v>
      </c>
      <c r="E10" s="3">
        <f ca="1">OFFSET([3]!Table_Corner, 5,Selected_NRG)</f>
        <v>1098.8079897</v>
      </c>
      <c r="F10" s="3">
        <f ca="1">OFFSET([4]!Table_Corner, 5,Selected_NRG)</f>
        <v>830.4500979799999</v>
      </c>
      <c r="G10" s="3">
        <f ca="1">OFFSET([5]!Table_Corner, 5,Selected_NRG)</f>
        <v>820.85212290999993</v>
      </c>
    </row>
    <row r="11" spans="1:7" x14ac:dyDescent="0.85">
      <c r="B11" s="3">
        <f t="shared" si="0"/>
        <v>5</v>
      </c>
      <c r="C11" s="3">
        <f ca="1">OFFSET([1]!Table_Corner, 6,Selected_NRG)</f>
        <v>1673.5434450800001</v>
      </c>
      <c r="D11" s="3">
        <f ca="1">OFFSET([2]!Table_Corner, 6,Selected_NRG)</f>
        <v>1550.2387528999998</v>
      </c>
      <c r="E11" s="3">
        <f ca="1">OFFSET([3]!Table_Corner, 6,Selected_NRG)</f>
        <v>1076.3273622199999</v>
      </c>
      <c r="F11" s="3">
        <f ca="1">OFFSET([4]!Table_Corner, 6,Selected_NRG)</f>
        <v>736.06650984000009</v>
      </c>
      <c r="G11" s="3">
        <f ca="1">OFFSET([5]!Table_Corner, 6,Selected_NRG)</f>
        <v>714.46821076000015</v>
      </c>
    </row>
    <row r="12" spans="1:7" x14ac:dyDescent="0.85">
      <c r="B12" s="3">
        <f t="shared" si="0"/>
        <v>6</v>
      </c>
      <c r="C12" s="3">
        <f ca="1">OFFSET([1]!Table_Corner, 7,Selected_NRG)</f>
        <v>1726.6442626300002</v>
      </c>
      <c r="D12" s="3">
        <f ca="1">OFFSET([2]!Table_Corner, 7,Selected_NRG)</f>
        <v>1582.1630147600001</v>
      </c>
      <c r="E12" s="3">
        <f ca="1">OFFSET([3]!Table_Corner, 7,Selected_NRG)</f>
        <v>1070.55723341</v>
      </c>
      <c r="F12" s="3">
        <f ca="1">OFFSET([4]!Table_Corner, 7,Selected_NRG)</f>
        <v>661.30953657999999</v>
      </c>
      <c r="G12" s="3">
        <f ca="1">OFFSET([5]!Table_Corner, 7,Selected_NRG)</f>
        <v>622.47458666</v>
      </c>
    </row>
    <row r="13" spans="1:7" x14ac:dyDescent="0.85">
      <c r="B13" s="3">
        <f t="shared" si="0"/>
        <v>7</v>
      </c>
      <c r="C13" s="3">
        <f ca="1">OFFSET([1]!Table_Corner, 8,Selected_NRG)</f>
        <v>1780.2472521700001</v>
      </c>
      <c r="D13" s="3">
        <f ca="1">OFFSET([2]!Table_Corner, 8,Selected_NRG)</f>
        <v>1619.03515563</v>
      </c>
      <c r="E13" s="3">
        <f ca="1">OFFSET([3]!Table_Corner, 8,Selected_NRG)</f>
        <v>1078.2016747300004</v>
      </c>
      <c r="F13" s="3">
        <f ca="1">OFFSET([4]!Table_Corner, 8,Selected_NRG)</f>
        <v>585.23698076999995</v>
      </c>
      <c r="G13" s="3">
        <f ca="1">OFFSET([5]!Table_Corner, 8,Selected_NRG)</f>
        <v>541.07707409</v>
      </c>
    </row>
    <row r="14" spans="1:7" x14ac:dyDescent="0.85">
      <c r="B14" s="3">
        <f t="shared" si="0"/>
        <v>8</v>
      </c>
      <c r="C14" s="3">
        <f ca="1">OFFSET([1]!Table_Corner, 9,Selected_NRG)</f>
        <v>1834.52518057</v>
      </c>
      <c r="D14" s="3">
        <f ca="1">OFFSET([2]!Table_Corner, 9,Selected_NRG)</f>
        <v>1650.8025519500002</v>
      </c>
      <c r="E14" s="3">
        <f ca="1">OFFSET([3]!Table_Corner, 9,Selected_NRG)</f>
        <v>1098.8133212200003</v>
      </c>
      <c r="F14" s="3">
        <f ca="1">OFFSET([4]!Table_Corner, 9,Selected_NRG)</f>
        <v>523.12638602000004</v>
      </c>
      <c r="G14" s="3">
        <f ca="1">OFFSET([5]!Table_Corner, 9,Selected_NRG)</f>
        <v>473.53948858999996</v>
      </c>
    </row>
    <row r="15" spans="1:7" x14ac:dyDescent="0.85">
      <c r="B15" s="3">
        <f t="shared" si="0"/>
        <v>9</v>
      </c>
      <c r="C15" s="3">
        <f ca="1">OFFSET([1]!Table_Corner, 10,Selected_NRG)</f>
        <v>1889.3202130900002</v>
      </c>
      <c r="D15" s="3">
        <f ca="1">OFFSET([2]!Table_Corner, 10,Selected_NRG)</f>
        <v>1687.0106742299999</v>
      </c>
      <c r="E15" s="3">
        <f ca="1">OFFSET([3]!Table_Corner, 10,Selected_NRG)</f>
        <v>1119.7136671699998</v>
      </c>
      <c r="F15" s="3">
        <f ca="1">OFFSET([4]!Table_Corner, 10,Selected_NRG)</f>
        <v>493.08616350000005</v>
      </c>
      <c r="G15" s="3">
        <f ca="1">OFFSET([5]!Table_Corner, 10,Selected_NRG)</f>
        <v>411.69633785000008</v>
      </c>
    </row>
    <row r="16" spans="1:7" x14ac:dyDescent="0.85">
      <c r="B16" s="3">
        <f t="shared" si="0"/>
        <v>10</v>
      </c>
      <c r="C16" s="3">
        <f ca="1">OFFSET([1]!Table_Corner, 11,Selected_NRG)</f>
        <v>1944.7558861600003</v>
      </c>
      <c r="D16" s="3">
        <f ca="1">OFFSET([2]!Table_Corner, 11,Selected_NRG)</f>
        <v>1722.85935569</v>
      </c>
      <c r="E16" s="3">
        <f ca="1">OFFSET([3]!Table_Corner, 11,Selected_NRG)</f>
        <v>1143.58294931</v>
      </c>
      <c r="F16" s="3">
        <f ca="1">OFFSET([4]!Table_Corner, 11,Selected_NRG)</f>
        <v>477.66486158000009</v>
      </c>
      <c r="G16" s="3">
        <f ca="1">OFFSET([5]!Table_Corner, 11,Selected_NRG)</f>
        <v>364.81506824000002</v>
      </c>
    </row>
    <row r="17" spans="2:7" x14ac:dyDescent="0.85">
      <c r="B17" s="3">
        <f t="shared" si="0"/>
        <v>11</v>
      </c>
      <c r="C17" s="3">
        <f ca="1">OFFSET([1]!Table_Corner, 12,Selected_NRG)</f>
        <v>2000.8507541900003</v>
      </c>
      <c r="D17" s="3">
        <f ca="1">OFFSET([2]!Table_Corner, 12,Selected_NRG)</f>
        <v>1755.0795827700001</v>
      </c>
      <c r="E17" s="3">
        <f ca="1">OFFSET([3]!Table_Corner, 12,Selected_NRG)</f>
        <v>1168.8599261500001</v>
      </c>
      <c r="F17" s="3">
        <f ca="1">OFFSET([4]!Table_Corner, 12,Selected_NRG)</f>
        <v>465.88540700999994</v>
      </c>
      <c r="G17" s="3">
        <f ca="1">OFFSET([5]!Table_Corner, 12,Selected_NRG)</f>
        <v>332.58055783999998</v>
      </c>
    </row>
    <row r="18" spans="2:7" x14ac:dyDescent="0.85">
      <c r="B18" s="3">
        <f t="shared" si="0"/>
        <v>12</v>
      </c>
      <c r="C18" s="3">
        <f ca="1">OFFSET([1]!Table_Corner, 13,Selected_NRG)</f>
        <v>2057.5462312500003</v>
      </c>
      <c r="D18" s="3">
        <f ca="1">OFFSET([2]!Table_Corner, 13,Selected_NRG)</f>
        <v>1785.2376360200001</v>
      </c>
      <c r="E18" s="3">
        <f ca="1">OFFSET([3]!Table_Corner, 13,Selected_NRG)</f>
        <v>1192.7249632099999</v>
      </c>
      <c r="F18" s="3">
        <f ca="1">OFFSET([4]!Table_Corner, 13,Selected_NRG)</f>
        <v>459.97132953000005</v>
      </c>
      <c r="G18" s="3">
        <f ca="1">OFFSET([5]!Table_Corner, 13,Selected_NRG)</f>
        <v>317.06041488999989</v>
      </c>
    </row>
    <row r="19" spans="2:7" x14ac:dyDescent="0.85">
      <c r="B19" s="3">
        <f t="shared" si="0"/>
        <v>13</v>
      </c>
      <c r="C19" s="3">
        <f ca="1">OFFSET([1]!Table_Corner, 14,Selected_NRG)</f>
        <v>2114.8881069399999</v>
      </c>
      <c r="D19" s="3">
        <f ca="1">OFFSET([2]!Table_Corner, 14,Selected_NRG)</f>
        <v>1819.6720838599999</v>
      </c>
      <c r="E19" s="3">
        <f ca="1">OFFSET([3]!Table_Corner, 14,Selected_NRG)</f>
        <v>1215.93089259</v>
      </c>
      <c r="F19" s="3">
        <f ca="1">OFFSET([4]!Table_Corner, 14,Selected_NRG)</f>
        <v>469.90529918999999</v>
      </c>
      <c r="G19" s="3">
        <f ca="1">OFFSET([5]!Table_Corner, 14,Selected_NRG)</f>
        <v>305.01811499999997</v>
      </c>
    </row>
    <row r="20" spans="2:7" x14ac:dyDescent="0.85">
      <c r="B20" s="3">
        <f t="shared" si="0"/>
        <v>14</v>
      </c>
      <c r="C20" s="3">
        <f ca="1">OFFSET([1]!Table_Corner, 15,Selected_NRG)</f>
        <v>2172.9709010299998</v>
      </c>
      <c r="D20" s="3">
        <f ca="1">OFFSET([2]!Table_Corner, 15,Selected_NRG)</f>
        <v>1863.8818729</v>
      </c>
      <c r="E20" s="3">
        <f ca="1">OFFSET([3]!Table_Corner, 15,Selected_NRG)</f>
        <v>1240.9933245799998</v>
      </c>
      <c r="F20" s="3">
        <f ca="1">OFFSET([4]!Table_Corner, 15,Selected_NRG)</f>
        <v>484.08100592999989</v>
      </c>
      <c r="G20" s="3">
        <f ca="1">OFFSET([5]!Table_Corner, 15,Selected_NRG)</f>
        <v>295.01935262000001</v>
      </c>
    </row>
    <row r="21" spans="2:7" x14ac:dyDescent="0.85">
      <c r="B21" s="3">
        <f t="shared" si="0"/>
        <v>15</v>
      </c>
      <c r="C21" s="3">
        <f ca="1">OFFSET([1]!Table_Corner, 16,Selected_NRG)</f>
        <v>2231.76489692</v>
      </c>
      <c r="D21" s="3">
        <f ca="1">OFFSET([2]!Table_Corner, 16,Selected_NRG)</f>
        <v>1909.8238507800002</v>
      </c>
      <c r="E21" s="3">
        <f ca="1">OFFSET([3]!Table_Corner, 16,Selected_NRG)</f>
        <v>1265.2412092099999</v>
      </c>
      <c r="F21" s="3">
        <f ca="1">OFFSET([4]!Table_Corner, 16,Selected_NRG)</f>
        <v>499.46721622999996</v>
      </c>
      <c r="G21" s="3">
        <f ca="1">OFFSET([5]!Table_Corner, 16,Selected_NRG)</f>
        <v>288.48763768999999</v>
      </c>
    </row>
    <row r="22" spans="2:7" x14ac:dyDescent="0.85">
      <c r="B22" s="3">
        <f t="shared" si="0"/>
        <v>16</v>
      </c>
      <c r="C22" s="3">
        <f ca="1">OFFSET([1]!Table_Corner, 17,Selected_NRG)</f>
        <v>2291.3504517000001</v>
      </c>
      <c r="D22" s="3">
        <f ca="1">OFFSET([2]!Table_Corner, 17,Selected_NRG)</f>
        <v>1957.3826543799998</v>
      </c>
      <c r="E22" s="3">
        <f ca="1">OFFSET([3]!Table_Corner, 17,Selected_NRG)</f>
        <v>1294.5550276899999</v>
      </c>
      <c r="F22" s="3">
        <f ca="1">OFFSET([4]!Table_Corner, 17,Selected_NRG)</f>
        <v>523.18068969000001</v>
      </c>
      <c r="G22" s="3">
        <f ca="1">OFFSET([5]!Table_Corner, 17,Selected_NRG)</f>
        <v>297.53569619999996</v>
      </c>
    </row>
    <row r="23" spans="2:7" x14ac:dyDescent="0.85">
      <c r="B23" s="3">
        <f t="shared" si="0"/>
        <v>17</v>
      </c>
      <c r="C23" s="3">
        <f ca="1">OFFSET([1]!Table_Corner, 18,Selected_NRG)</f>
        <v>2351.7204950099995</v>
      </c>
      <c r="D23" s="3">
        <f ca="1">OFFSET([2]!Table_Corner, 18,Selected_NRG)</f>
        <v>2010.2116687099999</v>
      </c>
      <c r="E23" s="3">
        <f ca="1">OFFSET([3]!Table_Corner, 18,Selected_NRG)</f>
        <v>1323.2858308599998</v>
      </c>
      <c r="F23" s="3">
        <f ca="1">OFFSET([4]!Table_Corner, 18,Selected_NRG)</f>
        <v>545.53983043000005</v>
      </c>
      <c r="G23" s="3">
        <f ca="1">OFFSET([5]!Table_Corner, 18,Selected_NRG)</f>
        <v>314.53208085000006</v>
      </c>
    </row>
    <row r="24" spans="2:7" x14ac:dyDescent="0.85">
      <c r="B24" s="3">
        <f t="shared" si="0"/>
        <v>18</v>
      </c>
      <c r="C24" s="3">
        <f ca="1">OFFSET([1]!Table_Corner, 19,Selected_NRG)</f>
        <v>2412.9199408100003</v>
      </c>
      <c r="D24" s="3">
        <f ca="1">OFFSET([2]!Table_Corner, 19,Selected_NRG)</f>
        <v>2064.1168790000002</v>
      </c>
      <c r="E24" s="3">
        <f ca="1">OFFSET([3]!Table_Corner, 19,Selected_NRG)</f>
        <v>1351.6197640600005</v>
      </c>
      <c r="F24" s="3">
        <f ca="1">OFFSET([4]!Table_Corner, 19,Selected_NRG)</f>
        <v>568.62863468</v>
      </c>
      <c r="G24" s="3">
        <f ca="1">OFFSET([5]!Table_Corner, 19,Selected_NRG)</f>
        <v>327.62873192000001</v>
      </c>
    </row>
    <row r="25" spans="2:7" x14ac:dyDescent="0.85">
      <c r="B25" s="3">
        <f t="shared" si="0"/>
        <v>19</v>
      </c>
      <c r="C25" s="3">
        <f ca="1">OFFSET([1]!Table_Corner, 20,Selected_NRG)</f>
        <v>2474.9356009599992</v>
      </c>
      <c r="D25" s="3">
        <f ca="1">OFFSET([2]!Table_Corner, 20,Selected_NRG)</f>
        <v>2123.85460633</v>
      </c>
      <c r="E25" s="3">
        <f ca="1">OFFSET([3]!Table_Corner, 20,Selected_NRG)</f>
        <v>1380.99831176</v>
      </c>
      <c r="F25" s="3">
        <f ca="1">OFFSET([4]!Table_Corner, 20,Selected_NRG)</f>
        <v>587.07892083000002</v>
      </c>
      <c r="G25" s="3">
        <f ca="1">OFFSET([5]!Table_Corner, 20,Selected_NRG)</f>
        <v>344.63070217000001</v>
      </c>
    </row>
    <row r="26" spans="2:7" x14ac:dyDescent="0.85">
      <c r="B26" s="3">
        <f t="shared" si="0"/>
        <v>20</v>
      </c>
      <c r="C26" s="3">
        <f ca="1">OFFSET([1]!Table_Corner, 21,Selected_NRG)</f>
        <v>2537.8128616999998</v>
      </c>
      <c r="D26" s="3">
        <f ca="1">OFFSET([2]!Table_Corner, 21,Selected_NRG)</f>
        <v>2180.1809345300003</v>
      </c>
      <c r="E26" s="3">
        <f ca="1">OFFSET([3]!Table_Corner, 21,Selected_NRG)</f>
        <v>1410.3813414399999</v>
      </c>
      <c r="F26" s="3">
        <f ca="1">OFFSET([4]!Table_Corner, 21,Selected_NRG)</f>
        <v>609.24712273000023</v>
      </c>
      <c r="G26" s="3">
        <f ca="1">OFFSET([5]!Table_Corner, 21,Selected_NRG)</f>
        <v>358.76220706000004</v>
      </c>
    </row>
    <row r="27" spans="2:7" x14ac:dyDescent="0.85">
      <c r="B27" s="3">
        <f t="shared" si="0"/>
        <v>21</v>
      </c>
      <c r="C27" s="3">
        <f ca="1">OFFSET([1]!Table_Corner, 22,Selected_NRG)</f>
        <v>2601.6521784200004</v>
      </c>
      <c r="D27" s="3">
        <f ca="1">OFFSET([2]!Table_Corner, 22,Selected_NRG)</f>
        <v>2235.99046082</v>
      </c>
      <c r="E27" s="3">
        <f ca="1">OFFSET([3]!Table_Corner, 22,Selected_NRG)</f>
        <v>1442.25072703</v>
      </c>
      <c r="F27" s="3">
        <f ca="1">OFFSET([4]!Table_Corner, 22,Selected_NRG)</f>
        <v>631.68918135999991</v>
      </c>
      <c r="G27" s="3">
        <f ca="1">OFFSET([5]!Table_Corner, 22,Selected_NRG)</f>
        <v>370.47213872000003</v>
      </c>
    </row>
    <row r="28" spans="2:7" x14ac:dyDescent="0.85">
      <c r="B28" s="3">
        <f t="shared" si="0"/>
        <v>22</v>
      </c>
      <c r="C28" s="3">
        <f ca="1">OFFSET([1]!Table_Corner, 23,Selected_NRG)</f>
        <v>2666.4536432300001</v>
      </c>
      <c r="D28" s="3">
        <f ca="1">OFFSET([2]!Table_Corner, 23,Selected_NRG)</f>
        <v>2287.9171161900003</v>
      </c>
      <c r="E28" s="3">
        <f ca="1">OFFSET([3]!Table_Corner, 23,Selected_NRG)</f>
        <v>1476.4647831600003</v>
      </c>
      <c r="F28" s="3">
        <f ca="1">OFFSET([4]!Table_Corner, 23,Selected_NRG)</f>
        <v>655.57441397000002</v>
      </c>
      <c r="G28" s="3">
        <f ca="1">OFFSET([5]!Table_Corner, 23,Selected_NRG)</f>
        <v>383.05121505</v>
      </c>
    </row>
    <row r="29" spans="2:7" x14ac:dyDescent="0.85">
      <c r="B29" s="3">
        <f t="shared" si="0"/>
        <v>23</v>
      </c>
      <c r="C29" s="3">
        <f ca="1">OFFSET([1]!Table_Corner, 24,Selected_NRG)</f>
        <v>2732.2374984400003</v>
      </c>
      <c r="D29" s="3">
        <f ca="1">OFFSET([2]!Table_Corner, 24,Selected_NRG)</f>
        <v>2341.4664101300004</v>
      </c>
      <c r="E29" s="3">
        <f ca="1">OFFSET([3]!Table_Corner, 24,Selected_NRG)</f>
        <v>1511.0751571999999</v>
      </c>
      <c r="F29" s="3">
        <f ca="1">OFFSET([4]!Table_Corner, 24,Selected_NRG)</f>
        <v>679.23009330000002</v>
      </c>
      <c r="G29" s="3">
        <f ca="1">OFFSET([5]!Table_Corner, 24,Selected_NRG)</f>
        <v>393.44734806000008</v>
      </c>
    </row>
    <row r="30" spans="2:7" x14ac:dyDescent="0.85">
      <c r="B30" s="3">
        <f t="shared" si="0"/>
        <v>24</v>
      </c>
      <c r="C30" s="3">
        <f ca="1">OFFSET([1]!Table_Corner, 25,Selected_NRG)</f>
        <v>2799.0359089299996</v>
      </c>
      <c r="D30" s="3">
        <f ca="1">OFFSET([2]!Table_Corner, 25,Selected_NRG)</f>
        <v>2396.2912535199998</v>
      </c>
      <c r="E30" s="3">
        <f ca="1">OFFSET([3]!Table_Corner, 25,Selected_NRG)</f>
        <v>1544.2684651299999</v>
      </c>
      <c r="F30" s="3">
        <f ca="1">OFFSET([4]!Table_Corner, 25,Selected_NRG)</f>
        <v>701.33317542000009</v>
      </c>
      <c r="G30" s="3">
        <f ca="1">OFFSET([5]!Table_Corner, 25,Selected_NRG)</f>
        <v>404.41012598999998</v>
      </c>
    </row>
    <row r="31" spans="2:7" x14ac:dyDescent="0.85">
      <c r="B31" s="3">
        <f t="shared" si="0"/>
        <v>25</v>
      </c>
      <c r="C31" s="3">
        <f ca="1">OFFSET([1]!Table_Corner, 26,Selected_NRG)</f>
        <v>2866.8788775500007</v>
      </c>
      <c r="D31" s="3">
        <f ca="1">OFFSET([2]!Table_Corner, 26,Selected_NRG)</f>
        <v>2450.6708243999997</v>
      </c>
      <c r="E31" s="3">
        <f ca="1">OFFSET([3]!Table_Corner, 26,Selected_NRG)</f>
        <v>1577.5862501400002</v>
      </c>
      <c r="F31" s="3">
        <f ca="1">OFFSET([4]!Table_Corner, 26,Selected_NRG)</f>
        <v>722.90364934000002</v>
      </c>
      <c r="G31" s="3">
        <f ca="1">OFFSET([5]!Table_Corner, 26,Selected_NRG)</f>
        <v>417.87480360000001</v>
      </c>
    </row>
    <row r="32" spans="2:7" x14ac:dyDescent="0.85">
      <c r="B32" s="3">
        <f t="shared" si="0"/>
        <v>26</v>
      </c>
      <c r="C32" s="3">
        <f ca="1">OFFSET([1]!Table_Corner, 27,Selected_NRG)</f>
        <v>2935.7781474099997</v>
      </c>
      <c r="D32" s="3">
        <f ca="1">OFFSET([2]!Table_Corner, 27,Selected_NRG)</f>
        <v>2506.0290092699997</v>
      </c>
      <c r="E32" s="3">
        <f ca="1">OFFSET([3]!Table_Corner, 27,Selected_NRG)</f>
        <v>1612.2023291599999</v>
      </c>
      <c r="F32" s="3">
        <f ca="1">OFFSET([4]!Table_Corner, 27,Selected_NRG)</f>
        <v>743.32483350999996</v>
      </c>
      <c r="G32" s="3">
        <f ca="1">OFFSET([5]!Table_Corner, 27,Selected_NRG)</f>
        <v>430.66692475000002</v>
      </c>
    </row>
    <row r="33" spans="2:7" x14ac:dyDescent="0.85">
      <c r="B33" s="3">
        <f t="shared" si="0"/>
        <v>27</v>
      </c>
      <c r="C33" s="3">
        <f ca="1">OFFSET([1]!Table_Corner, 28,Selected_NRG)</f>
        <v>3005.7794595200007</v>
      </c>
      <c r="D33" s="3">
        <f ca="1">OFFSET([2]!Table_Corner, 28,Selected_NRG)</f>
        <v>2563.45740058</v>
      </c>
      <c r="E33" s="3">
        <f ca="1">OFFSET([3]!Table_Corner, 28,Selected_NRG)</f>
        <v>1647.7351669600005</v>
      </c>
      <c r="F33" s="3">
        <f ca="1">OFFSET([4]!Table_Corner, 28,Selected_NRG)</f>
        <v>765.25107208999998</v>
      </c>
      <c r="G33" s="3">
        <f ca="1">OFFSET([5]!Table_Corner, 28,Selected_NRG)</f>
        <v>444.91445275999996</v>
      </c>
    </row>
  </sheetData>
  <sheetProtection sheet="1" scenarios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18</vt:i4>
      </vt:variant>
    </vt:vector>
  </HeadingPairs>
  <TitlesOfParts>
    <vt:vector size="22" baseType="lpstr">
      <vt:lpstr>Cases</vt:lpstr>
      <vt:lpstr>Reference</vt:lpstr>
      <vt:lpstr>Graph</vt:lpstr>
      <vt:lpstr>Calc</vt:lpstr>
      <vt:lpstr>_1st_ref</vt:lpstr>
      <vt:lpstr>Case_Count</vt:lpstr>
      <vt:lpstr>First_Case</vt:lpstr>
      <vt:lpstr>NRG_Selections</vt:lpstr>
      <vt:lpstr>NRG_Table</vt:lpstr>
      <vt:lpstr>NRGs</vt:lpstr>
      <vt:lpstr>Param_Count</vt:lpstr>
      <vt:lpstr>Param_Table</vt:lpstr>
      <vt:lpstr>Params</vt:lpstr>
      <vt:lpstr>Parm_Count</vt:lpstr>
      <vt:lpstr>Region</vt:lpstr>
      <vt:lpstr>Region_abbr</vt:lpstr>
      <vt:lpstr>Region_lookup</vt:lpstr>
      <vt:lpstr>Regions</vt:lpstr>
      <vt:lpstr>Selected_NRG</vt:lpstr>
      <vt:lpstr>Table_Corner</vt:lpstr>
      <vt:lpstr>To_Long</vt:lpstr>
      <vt:lpstr>Years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Cliff Gold</dc:creator>
  <cp:lastModifiedBy>Cliff Gold</cp:lastModifiedBy>
  <dcterms:created xsi:type="dcterms:W3CDTF">2023-10-26T21:09:11Z</dcterms:created>
  <dcterms:modified xsi:type="dcterms:W3CDTF">2024-02-29T06:45:53Z</dcterms:modified>
</cp:coreProperties>
</file>