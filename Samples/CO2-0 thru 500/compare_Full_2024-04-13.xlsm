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Results\Full_2024-04-13\"/>
    </mc:Choice>
  </mc:AlternateContent>
  <xr:revisionPtr revIDLastSave="0" documentId="13_ncr:1_{E87734AB-A92D-4C61-ACC4-1745B508C799}" xr6:coauthVersionLast="47" xr6:coauthVersionMax="47" xr10:uidLastSave="{00000000-0000-0000-0000-000000000000}"/>
  <bookViews>
    <workbookView xWindow="1080" yWindow="1080" windowWidth="12343" windowHeight="6677" firstSheet="2" activeTab="2" xr2:uid="{8C7994C1-A10A-4AD4-8C33-2FA8764EDF37}"/>
  </bookViews>
  <sheets>
    <sheet name="Cases" sheetId="1" r:id="rId1"/>
    <sheet name="Reference" sheetId="8" r:id="rId2"/>
    <sheet name="Graph" sheetId="3" r:id="rId3"/>
    <sheet name="Graph_1y" sheetId="6" r:id="rId4"/>
    <sheet name="Calc" sheetId="5" r:id="rId5"/>
    <sheet name="Calc_1y" sheetId="7" r:id="rId6"/>
  </sheets>
  <externalReferences>
    <externalReference r:id="rId7"/>
    <externalReference r:id="rId8"/>
    <externalReference r:id="rId9"/>
    <externalReference r:id="rId10"/>
  </externalReferences>
  <definedNames>
    <definedName name="_1st_ref">Reference!$I$2</definedName>
    <definedName name="Case_Count">Cases!$B$1</definedName>
    <definedName name="First_Case">Cases!$A$2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1y">Graph_1y!$A$1</definedName>
    <definedName name="Region_abbr">Reference!$D$10</definedName>
    <definedName name="Region_lookup">Reference!$A$2:$B$15</definedName>
    <definedName name="Regions">Reference!$A$2:$A$15</definedName>
    <definedName name="Selected_NRG">Calc!$B$3</definedName>
    <definedName name="Selected_Year">Graph_1y!$B$3</definedName>
    <definedName name="Table_Corner">Calc!$B$5</definedName>
    <definedName name="Table_Corner_1y">Calc_1y!$B$5</definedName>
    <definedName name="To_Long">Reference!$B$2:$C$16</definedName>
    <definedName name="Year_1y">Calc_1y!$A$3</definedName>
    <definedName name="Years">Cases!$D$1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7" l="1"/>
  <c r="G5" i="7"/>
  <c r="F5" i="7"/>
  <c r="E5" i="7"/>
  <c r="D5" i="7"/>
  <c r="C5" i="7"/>
  <c r="F9" i="7" l="1"/>
  <c r="E9" i="7"/>
  <c r="C9" i="7"/>
  <c r="H9" i="7"/>
  <c r="G9" i="7" l="1"/>
  <c r="D9" i="7"/>
  <c r="G8" i="7" l="1"/>
  <c r="E8" i="7"/>
  <c r="C8" i="7"/>
  <c r="H8" i="7" l="1"/>
  <c r="F8" i="7"/>
  <c r="D8" i="7"/>
  <c r="G7" i="7" l="1"/>
  <c r="F7" i="7"/>
  <c r="E7" i="7"/>
  <c r="D7" i="7"/>
  <c r="C7" i="7"/>
  <c r="H7" i="7" l="1"/>
  <c r="C6" i="7" l="1"/>
  <c r="F6" i="7"/>
  <c r="G6" i="7"/>
  <c r="H6" i="7"/>
  <c r="E6" i="7" l="1"/>
  <c r="D6" i="7"/>
  <c r="G6" i="8" l="1"/>
  <c r="G5" i="8"/>
  <c r="G4" i="8"/>
  <c r="G3" i="8"/>
  <c r="K2" i="8"/>
  <c r="K3" i="8" s="1"/>
  <c r="K4" i="8" s="1"/>
  <c r="K5" i="8" s="1"/>
  <c r="K6" i="8" s="1"/>
  <c r="K7" i="8" s="1"/>
  <c r="G2" i="8"/>
  <c r="C1" i="8"/>
  <c r="D3" i="7"/>
  <c r="B3" i="7"/>
  <c r="A2" i="7" l="1"/>
  <c r="A1" i="7"/>
  <c r="A3" i="5"/>
  <c r="B3" i="5" s="1"/>
  <c r="F30" i="5" l="1"/>
  <c r="F23" i="5"/>
  <c r="F24" i="5"/>
  <c r="F7" i="5"/>
  <c r="F22" i="5"/>
  <c r="F33" i="5"/>
  <c r="F15" i="5"/>
  <c r="F25" i="5"/>
  <c r="F9" i="5"/>
  <c r="F17" i="5"/>
  <c r="F10" i="5"/>
  <c r="F31" i="5"/>
  <c r="F28" i="5"/>
  <c r="F16" i="5"/>
  <c r="F20" i="5"/>
  <c r="F14" i="5"/>
  <c r="F21" i="5"/>
  <c r="F12" i="5"/>
  <c r="F19" i="5"/>
  <c r="F26" i="5"/>
  <c r="F18" i="5"/>
  <c r="F8" i="5"/>
  <c r="F13" i="5"/>
  <c r="F29" i="5"/>
  <c r="F11" i="5"/>
  <c r="F32" i="5"/>
  <c r="F27" i="5"/>
  <c r="F6" i="5"/>
  <c r="E18" i="5"/>
  <c r="E26" i="5"/>
  <c r="E32" i="5"/>
  <c r="E15" i="5"/>
  <c r="E31" i="5"/>
  <c r="E29" i="5"/>
  <c r="E9" i="5"/>
  <c r="E23" i="5"/>
  <c r="E14" i="5"/>
  <c r="E22" i="5"/>
  <c r="E17" i="5"/>
  <c r="E10" i="5"/>
  <c r="E20" i="5"/>
  <c r="E25" i="5"/>
  <c r="E21" i="5"/>
  <c r="E16" i="5"/>
  <c r="E13" i="5"/>
  <c r="E33" i="5"/>
  <c r="E7" i="5"/>
  <c r="E12" i="5"/>
  <c r="E11" i="5"/>
  <c r="E27" i="5"/>
  <c r="E8" i="5"/>
  <c r="E28" i="5"/>
  <c r="E30" i="5"/>
  <c r="E24" i="5"/>
  <c r="E19" i="5"/>
  <c r="E6" i="5"/>
  <c r="D8" i="5"/>
  <c r="D28" i="5"/>
  <c r="D26" i="5"/>
  <c r="D13" i="5"/>
  <c r="D14" i="5"/>
  <c r="D17" i="5"/>
  <c r="D20" i="5"/>
  <c r="D33" i="5"/>
  <c r="D23" i="5"/>
  <c r="D11" i="5"/>
  <c r="D31" i="5"/>
  <c r="D7" i="5"/>
  <c r="D21" i="5"/>
  <c r="D25" i="5"/>
  <c r="D16" i="5"/>
  <c r="D32" i="5"/>
  <c r="D15" i="5"/>
  <c r="D19" i="5"/>
  <c r="D22" i="5"/>
  <c r="D9" i="5"/>
  <c r="D24" i="5"/>
  <c r="D18" i="5"/>
  <c r="D27" i="5"/>
  <c r="D30" i="5"/>
  <c r="D10" i="5"/>
  <c r="D29" i="5"/>
  <c r="D12" i="5"/>
  <c r="D6" i="5"/>
  <c r="C13" i="5"/>
  <c r="C24" i="5"/>
  <c r="C18" i="5"/>
  <c r="C12" i="5"/>
  <c r="C23" i="5"/>
  <c r="C16" i="5"/>
  <c r="C9" i="5"/>
  <c r="C27" i="5"/>
  <c r="C19" i="5"/>
  <c r="C7" i="5"/>
  <c r="C20" i="5"/>
  <c r="C17" i="5"/>
  <c r="C14" i="5"/>
  <c r="C11" i="5"/>
  <c r="C8" i="5"/>
  <c r="C30" i="5"/>
  <c r="C31" i="5"/>
  <c r="C26" i="5"/>
  <c r="C15" i="5"/>
  <c r="C22" i="5"/>
  <c r="C10" i="5"/>
  <c r="C29" i="5"/>
  <c r="C32" i="5"/>
  <c r="C28" i="5"/>
  <c r="C21" i="5"/>
  <c r="C33" i="5"/>
  <c r="C25" i="5"/>
  <c r="C6" i="5"/>
  <c r="A2" i="5"/>
  <c r="A1" i="5"/>
  <c r="D3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F4AB56AF-D332-4187-96B9-3B60B763EA1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C8419149-C1C9-4C6F-A91C-45E525C2289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sharedStrings.xml><?xml version="1.0" encoding="utf-8"?>
<sst xmlns="http://schemas.openxmlformats.org/spreadsheetml/2006/main" count="94" uniqueCount="67">
  <si>
    <t>Cases</t>
  </si>
  <si>
    <t>Years</t>
  </si>
  <si>
    <t>All_NRGs</t>
  </si>
  <si>
    <t>CO2_MTons</t>
  </si>
  <si>
    <t>Year</t>
  </si>
  <si>
    <t>Entire US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</si>
  <si>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</si>
  <si>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</si>
  <si>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</si>
  <si>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</si>
  <si>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</si>
  <si>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</si>
  <si>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</si>
  <si>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</si>
  <si>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</si>
  <si>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</si>
  <si>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</si>
  <si>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US</t>
  </si>
  <si>
    <t>Capacity</t>
  </si>
  <si>
    <t>GW</t>
  </si>
  <si>
    <t>Solar</t>
  </si>
  <si>
    <t>California</t>
  </si>
  <si>
    <t>CAL</t>
  </si>
  <si>
    <t>Energy</t>
  </si>
  <si>
    <t>TWh</t>
  </si>
  <si>
    <t>Wind</t>
  </si>
  <si>
    <t>Carolinas</t>
  </si>
  <si>
    <t>CAR</t>
  </si>
  <si>
    <t>Supply</t>
  </si>
  <si>
    <t>Nuclear</t>
  </si>
  <si>
    <t>Central</t>
  </si>
  <si>
    <t>CENT</t>
  </si>
  <si>
    <t>Cost</t>
  </si>
  <si>
    <t>B$</t>
  </si>
  <si>
    <t>Gas</t>
  </si>
  <si>
    <t>Florida</t>
  </si>
  <si>
    <t>FLA</t>
  </si>
  <si>
    <t>CO2_Cost</t>
  </si>
  <si>
    <t>Coal</t>
  </si>
  <si>
    <t>Mid Atlantic</t>
  </si>
  <si>
    <t>MIDA</t>
  </si>
  <si>
    <t>MTons</t>
  </si>
  <si>
    <t>Storage</t>
  </si>
  <si>
    <t>Mid West</t>
  </si>
  <si>
    <t>MIDW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</si>
  <si>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</si>
  <si>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</si>
  <si>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</si>
  <si>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</si>
  <si>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</si>
  <si>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</si>
  <si>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</si>
  <si>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</si>
  <si>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</si>
  <si>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</si>
  <si>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</si>
  <si>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</si>
  <si>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</si>
  <si>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</si>
  <si>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Results_CO2-0-0_US.xlsm</t>
  </si>
  <si>
    <t>Results_CO2-100-0_US.xlsm</t>
  </si>
  <si>
    <t>Results_CO2-200-0_US.xlsm</t>
  </si>
  <si>
    <t>Results_CO2-500-0_US.xlsm</t>
  </si>
  <si>
    <t>CO2-0-0</t>
  </si>
  <si>
    <t>CO2-100-0</t>
  </si>
  <si>
    <t>CO2-200-0</t>
  </si>
  <si>
    <t>CO2-500-0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</si>
</sst>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3" fontId="0" fillId="0" borderId="0" xfId="0" applyNumberFormat="1"/>
    <xf numFmtId="3" fontId="0" fillId="0" borderId="0" xfId="0" applyNumberFormat="1" applyAlignment="1" applyProtection="1">
      <alignment horizontal="right"/>
      <protection locked="0"/>
    </xf>
    <xf numFmtId="3" fontId="0" fillId="2" borderId="0" xfId="0" applyNumberFormat="1" applyFill="1" applyProtection="1">
      <protection locked="0"/>
    </xf>
    <xf numFmtId="3" fontId="0" fillId="2" borderId="0" xfId="0" applyNumberFormat="1" applyFill="1"/>
    <xf numFmtId="3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/>
    <xf numFmtId="0" fontId="0" fillId="0" borderId="0" xfId="0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Entire US - CO2_MTons (MTons) - All_NRGs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51424214021E-2"/>
          <c:y val="0.15319444444444447"/>
          <c:w val="0.68697916813829929"/>
          <c:h val="0.72088764946048411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Calc!$F$5</c:f>
              <c:strCache>
                <c:ptCount val="1"/>
                <c:pt idx="0">
                  <c:v>CO2-500-0</c:v>
                </c:pt>
              </c:strCache>
            </c:strRef>
          </c:tx>
          <c:invertIfNegative val="0"/>
          <c:cat>
            <c:numRef>
              <c:f>Calc!$B$6:$B$33</c:f>
              <c:numCache>
                <c:formatCode>#,##0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Calc!$F$6:$F$33</c:f>
              <c:numCache>
                <c:formatCode>#,##0</c:formatCode>
                <c:ptCount val="28"/>
                <c:pt idx="0">
                  <c:v>1414.2395687399999</c:v>
                </c:pt>
                <c:pt idx="1">
                  <c:v>1258.0392166699999</c:v>
                </c:pt>
                <c:pt idx="2">
                  <c:v>1105.4651382099999</c:v>
                </c:pt>
                <c:pt idx="3">
                  <c:v>964.03473633999999</c:v>
                </c:pt>
                <c:pt idx="4">
                  <c:v>823.99948441999993</c:v>
                </c:pt>
                <c:pt idx="5">
                  <c:v>712.73396975999992</c:v>
                </c:pt>
                <c:pt idx="6">
                  <c:v>620.18664997999997</c:v>
                </c:pt>
                <c:pt idx="7">
                  <c:v>537.60296322000011</c:v>
                </c:pt>
                <c:pt idx="8">
                  <c:v>466.61544731999993</c:v>
                </c:pt>
                <c:pt idx="9">
                  <c:v>403.27424924999997</c:v>
                </c:pt>
                <c:pt idx="10">
                  <c:v>361.03233354000002</c:v>
                </c:pt>
                <c:pt idx="11">
                  <c:v>333.51705291999997</c:v>
                </c:pt>
                <c:pt idx="12">
                  <c:v>318.24275672999994</c:v>
                </c:pt>
                <c:pt idx="13">
                  <c:v>309.44511595999995</c:v>
                </c:pt>
                <c:pt idx="14">
                  <c:v>313.64178115999994</c:v>
                </c:pt>
                <c:pt idx="15">
                  <c:v>321.76699431999998</c:v>
                </c:pt>
                <c:pt idx="16">
                  <c:v>333.55094301999998</c:v>
                </c:pt>
                <c:pt idx="17">
                  <c:v>340.53450824999993</c:v>
                </c:pt>
                <c:pt idx="18">
                  <c:v>348.62694150000004</c:v>
                </c:pt>
                <c:pt idx="19">
                  <c:v>360.82479677999999</c:v>
                </c:pt>
                <c:pt idx="20">
                  <c:v>372.33269844999995</c:v>
                </c:pt>
                <c:pt idx="21">
                  <c:v>384.10172937999999</c:v>
                </c:pt>
                <c:pt idx="22">
                  <c:v>395.80799122999991</c:v>
                </c:pt>
                <c:pt idx="23">
                  <c:v>409.16563939999998</c:v>
                </c:pt>
                <c:pt idx="24">
                  <c:v>422.06391327999995</c:v>
                </c:pt>
                <c:pt idx="25">
                  <c:v>435.33438273000002</c:v>
                </c:pt>
                <c:pt idx="26">
                  <c:v>448.41523528000005</c:v>
                </c:pt>
                <c:pt idx="27">
                  <c:v>462.90689132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ser>
          <c:idx val="0"/>
          <c:order val="1"/>
          <c:tx>
            <c:strRef>
              <c:f>Calc!$E$5</c:f>
              <c:strCache>
                <c:ptCount val="1"/>
                <c:pt idx="0">
                  <c:v>CO2-200-0</c:v>
                </c:pt>
              </c:strCache>
            </c:strRef>
          </c:tx>
          <c:invertIfNegative val="0"/>
          <c:val>
            <c:numRef>
              <c:f>Calc!$E$6:$E$33</c:f>
              <c:numCache>
                <c:formatCode>#,##0</c:formatCode>
                <c:ptCount val="28"/>
                <c:pt idx="0">
                  <c:v>1414.2395687399999</c:v>
                </c:pt>
                <c:pt idx="1">
                  <c:v>1356.4876194999997</c:v>
                </c:pt>
                <c:pt idx="2">
                  <c:v>1298.7536979900001</c:v>
                </c:pt>
                <c:pt idx="3">
                  <c:v>1259.69634301</c:v>
                </c:pt>
                <c:pt idx="4">
                  <c:v>1223.1348210499998</c:v>
                </c:pt>
                <c:pt idx="5">
                  <c:v>1164.61329748</c:v>
                </c:pt>
                <c:pt idx="6">
                  <c:v>1108.3676790600002</c:v>
                </c:pt>
                <c:pt idx="7">
                  <c:v>1104.4666666099999</c:v>
                </c:pt>
                <c:pt idx="8">
                  <c:v>1115.9785238899997</c:v>
                </c:pt>
                <c:pt idx="9">
                  <c:v>1139.92055725</c:v>
                </c:pt>
                <c:pt idx="10">
                  <c:v>1162.1106993800001</c:v>
                </c:pt>
                <c:pt idx="11">
                  <c:v>1184.7200197499999</c:v>
                </c:pt>
                <c:pt idx="12">
                  <c:v>1208.7317025999998</c:v>
                </c:pt>
                <c:pt idx="13">
                  <c:v>1233.1376129600001</c:v>
                </c:pt>
                <c:pt idx="14">
                  <c:v>1258.74347926</c:v>
                </c:pt>
                <c:pt idx="15">
                  <c:v>1287.04296783</c:v>
                </c:pt>
                <c:pt idx="16">
                  <c:v>1315.0874184699999</c:v>
                </c:pt>
                <c:pt idx="17">
                  <c:v>1341.6008922400001</c:v>
                </c:pt>
                <c:pt idx="18">
                  <c:v>1369.35026182</c:v>
                </c:pt>
                <c:pt idx="19">
                  <c:v>1396.3911396599999</c:v>
                </c:pt>
                <c:pt idx="20">
                  <c:v>1424.68165017</c:v>
                </c:pt>
                <c:pt idx="21">
                  <c:v>1452.93284801</c:v>
                </c:pt>
                <c:pt idx="22">
                  <c:v>1481.7926403400004</c:v>
                </c:pt>
                <c:pt idx="23">
                  <c:v>1514.4902548099999</c:v>
                </c:pt>
                <c:pt idx="24">
                  <c:v>1548.3577618600002</c:v>
                </c:pt>
                <c:pt idx="25">
                  <c:v>1581.2150941900002</c:v>
                </c:pt>
                <c:pt idx="26">
                  <c:v>1613.6161245599997</c:v>
                </c:pt>
                <c:pt idx="27">
                  <c:v>1646.8212507000001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F8-44ED-934F-43EF28B13068}"/>
            </c:ext>
          </c:extLst>
        </c:ser>
        <c:ser>
          <c:idx val="2"/>
          <c:order val="2"/>
          <c:tx>
            <c:strRef>
              <c:f>Calc!$D$5</c:f>
              <c:strCache>
                <c:ptCount val="1"/>
                <c:pt idx="0">
                  <c:v>CO2-100-0</c:v>
                </c:pt>
              </c:strCache>
            </c:strRef>
          </c:tx>
          <c:invertIfNegative val="0"/>
          <c:val>
            <c:numRef>
              <c:f>Calc!$D$6:$D$33</c:f>
              <c:numCache>
                <c:formatCode>#,##0</c:formatCode>
                <c:ptCount val="28"/>
                <c:pt idx="0">
                  <c:v>1414.2395687399999</c:v>
                </c:pt>
                <c:pt idx="1">
                  <c:v>1440.8574207899999</c:v>
                </c:pt>
                <c:pt idx="2">
                  <c:v>1469.7524269400001</c:v>
                </c:pt>
                <c:pt idx="3">
                  <c:v>1501.2930543299999</c:v>
                </c:pt>
                <c:pt idx="4">
                  <c:v>1533.7940348099999</c:v>
                </c:pt>
                <c:pt idx="5">
                  <c:v>1567.35143965</c:v>
                </c:pt>
                <c:pt idx="6">
                  <c:v>1602.0700496300003</c:v>
                </c:pt>
                <c:pt idx="7">
                  <c:v>1638.1634501600001</c:v>
                </c:pt>
                <c:pt idx="8">
                  <c:v>1675.72351658</c:v>
                </c:pt>
                <c:pt idx="9">
                  <c:v>1712.4946735400001</c:v>
                </c:pt>
                <c:pt idx="10">
                  <c:v>1751.4137394299999</c:v>
                </c:pt>
                <c:pt idx="11">
                  <c:v>1799.0995850199999</c:v>
                </c:pt>
                <c:pt idx="12">
                  <c:v>1849.1770068500002</c:v>
                </c:pt>
                <c:pt idx="13">
                  <c:v>1898.8731006199998</c:v>
                </c:pt>
                <c:pt idx="14">
                  <c:v>1948.3180496600003</c:v>
                </c:pt>
                <c:pt idx="15">
                  <c:v>1996.4438794300002</c:v>
                </c:pt>
                <c:pt idx="16">
                  <c:v>2044.1904248999999</c:v>
                </c:pt>
                <c:pt idx="17">
                  <c:v>2095.1333248000005</c:v>
                </c:pt>
                <c:pt idx="18">
                  <c:v>2146.8575786899996</c:v>
                </c:pt>
                <c:pt idx="19">
                  <c:v>2197.3456028799997</c:v>
                </c:pt>
                <c:pt idx="20">
                  <c:v>2250.0098796700004</c:v>
                </c:pt>
                <c:pt idx="21">
                  <c:v>2303.15706714</c:v>
                </c:pt>
                <c:pt idx="22">
                  <c:v>2356.0750216400002</c:v>
                </c:pt>
                <c:pt idx="23">
                  <c:v>2410.7595906300003</c:v>
                </c:pt>
                <c:pt idx="24">
                  <c:v>2463.1840918299999</c:v>
                </c:pt>
                <c:pt idx="25">
                  <c:v>2516.5963010999999</c:v>
                </c:pt>
                <c:pt idx="26">
                  <c:v>2571.63407452</c:v>
                </c:pt>
                <c:pt idx="27">
                  <c:v>2626.1107659700006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F8-44ED-934F-43EF28B13068}"/>
            </c:ext>
          </c:extLst>
        </c:ser>
        <c:ser>
          <c:idx val="3"/>
          <c:order val="3"/>
          <c:tx>
            <c:strRef>
              <c:f>Calc!$C$5</c:f>
              <c:strCache>
                <c:ptCount val="1"/>
                <c:pt idx="0">
                  <c:v>CO2-0-0</c:v>
                </c:pt>
              </c:strCache>
            </c:strRef>
          </c:tx>
          <c:invertIfNegative val="0"/>
          <c:val>
            <c:numRef>
              <c:f>Calc!$C$6:$C$33</c:f>
              <c:numCache>
                <c:formatCode>#,##0</c:formatCode>
                <c:ptCount val="28"/>
                <c:pt idx="0">
                  <c:v>1414.2395687399999</c:v>
                </c:pt>
                <c:pt idx="1">
                  <c:v>1465.5271901499998</c:v>
                </c:pt>
                <c:pt idx="2">
                  <c:v>1516.9221285399999</c:v>
                </c:pt>
                <c:pt idx="3">
                  <c:v>1568.7267333000002</c:v>
                </c:pt>
                <c:pt idx="4">
                  <c:v>1620.8436320000003</c:v>
                </c:pt>
                <c:pt idx="5">
                  <c:v>1673.6479631299999</c:v>
                </c:pt>
                <c:pt idx="6">
                  <c:v>1726.8681940000001</c:v>
                </c:pt>
                <c:pt idx="7">
                  <c:v>1780.64167066</c:v>
                </c:pt>
                <c:pt idx="8">
                  <c:v>1834.8959330900002</c:v>
                </c:pt>
                <c:pt idx="9">
                  <c:v>1889.7283960899997</c:v>
                </c:pt>
                <c:pt idx="10">
                  <c:v>1945.14903992</c:v>
                </c:pt>
                <c:pt idx="11">
                  <c:v>2001.2095735899998</c:v>
                </c:pt>
                <c:pt idx="12">
                  <c:v>2057.8594767</c:v>
                </c:pt>
                <c:pt idx="13">
                  <c:v>2115.1972649300001</c:v>
                </c:pt>
                <c:pt idx="14">
                  <c:v>2173.2451331699999</c:v>
                </c:pt>
                <c:pt idx="15">
                  <c:v>2232.0332111399998</c:v>
                </c:pt>
                <c:pt idx="16">
                  <c:v>2291.5871869499997</c:v>
                </c:pt>
                <c:pt idx="17">
                  <c:v>2351.9164356199999</c:v>
                </c:pt>
                <c:pt idx="18">
                  <c:v>2413.0106191800005</c:v>
                </c:pt>
                <c:pt idx="19">
                  <c:v>2475.0264312099998</c:v>
                </c:pt>
                <c:pt idx="20">
                  <c:v>2537.9766267700002</c:v>
                </c:pt>
                <c:pt idx="21">
                  <c:v>2601.8181281600005</c:v>
                </c:pt>
                <c:pt idx="22">
                  <c:v>2666.6110859599999</c:v>
                </c:pt>
                <c:pt idx="23">
                  <c:v>2732.3807072899995</c:v>
                </c:pt>
                <c:pt idx="24">
                  <c:v>2799.15492262</c:v>
                </c:pt>
                <c:pt idx="25">
                  <c:v>2866.9795701000003</c:v>
                </c:pt>
                <c:pt idx="26">
                  <c:v>2935.8218563900004</c:v>
                </c:pt>
                <c:pt idx="27">
                  <c:v>3005.8252719399993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F8-44ED-934F-43EF28B13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031941805679941"/>
          <c:y val="0.20651574803149605"/>
          <c:w val="7.222417094432472E-2"/>
          <c:h val="0.587384806065908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Calc_1y!$D$3</c:f>
          <c:strCache>
            <c:ptCount val="1"/>
            <c:pt idx="0">
              <c:v>Entire US - CO2_MTons (MTons) - Year 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258475637534283E-2"/>
          <c:y val="0.18097222222222226"/>
          <c:w val="0.75668559883316"/>
          <c:h val="0.72088764946048411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Calc_1y!$C$5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rgbClr val="FFFF00"/>
              </a:solidFill>
            </a:ln>
          </c:spPr>
          <c:invertIfNegative val="0"/>
          <c:cat>
            <c:strRef>
              <c:f>Calc_1y!$B$6:$B$9</c:f>
              <c:strCache>
                <c:ptCount val="4"/>
                <c:pt idx="0">
                  <c:v>CO2-0-0</c:v>
                </c:pt>
                <c:pt idx="1">
                  <c:v>CO2-100-0</c:v>
                </c:pt>
                <c:pt idx="2">
                  <c:v>CO2-200-0</c:v>
                </c:pt>
                <c:pt idx="3">
                  <c:v>CO2-500-0</c:v>
                </c:pt>
              </c:strCache>
            </c:strRef>
          </c:cat>
          <c:val>
            <c:numRef>
              <c:f>Calc_1y!$C$6:$C$9</c:f>
              <c:numCache>
                <c:formatCode>#,##0</c:formatCode>
                <c:ptCount val="4"/>
                <c:pt idx="0">
                  <c:v>0.53273645000000003</c:v>
                </c:pt>
                <c:pt idx="1">
                  <c:v>0.60131471000000003</c:v>
                </c:pt>
                <c:pt idx="2">
                  <c:v>0.70255646000000005</c:v>
                </c:pt>
                <c:pt idx="3">
                  <c:v>0.7522057900000001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F1-4948-9D13-A8AFB5A0B7E5}"/>
            </c:ext>
          </c:extLst>
        </c:ser>
        <c:ser>
          <c:idx val="0"/>
          <c:order val="1"/>
          <c:tx>
            <c:strRef>
              <c:f>Calc_1y!$D$5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</c:spPr>
          <c:invertIfNegative val="0"/>
          <c:cat>
            <c:strRef>
              <c:f>Calc_1y!$B$6:$B$9</c:f>
              <c:strCache>
                <c:ptCount val="4"/>
                <c:pt idx="0">
                  <c:v>CO2-0-0</c:v>
                </c:pt>
                <c:pt idx="1">
                  <c:v>CO2-100-0</c:v>
                </c:pt>
                <c:pt idx="2">
                  <c:v>CO2-200-0</c:v>
                </c:pt>
                <c:pt idx="3">
                  <c:v>CO2-500-0</c:v>
                </c:pt>
              </c:strCache>
            </c:strRef>
          </c:cat>
          <c:val>
            <c:numRef>
              <c:f>Calc_1y!$D$6:$D$9</c:f>
              <c:numCache>
                <c:formatCode>#,##0</c:formatCode>
                <c:ptCount val="4"/>
                <c:pt idx="0">
                  <c:v>1.44787501</c:v>
                </c:pt>
                <c:pt idx="1">
                  <c:v>1.6675585699999997</c:v>
                </c:pt>
                <c:pt idx="2">
                  <c:v>1.9608196099999999</c:v>
                </c:pt>
                <c:pt idx="3">
                  <c:v>1.9721759300000001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F1-4948-9D13-A8AFB5A0B7E5}"/>
            </c:ext>
          </c:extLst>
        </c:ser>
        <c:ser>
          <c:idx val="2"/>
          <c:order val="2"/>
          <c:tx>
            <c:strRef>
              <c:f>Calc_1y!$E$5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rgbClr val="92D050"/>
              </a:solidFill>
            </a:ln>
          </c:spPr>
          <c:invertIfNegative val="0"/>
          <c:cat>
            <c:strRef>
              <c:f>Calc_1y!$B$6:$B$9</c:f>
              <c:strCache>
                <c:ptCount val="4"/>
                <c:pt idx="0">
                  <c:v>CO2-0-0</c:v>
                </c:pt>
                <c:pt idx="1">
                  <c:v>CO2-100-0</c:v>
                </c:pt>
                <c:pt idx="2">
                  <c:v>CO2-200-0</c:v>
                </c:pt>
                <c:pt idx="3">
                  <c:v>CO2-500-0</c:v>
                </c:pt>
              </c:strCache>
            </c:strRef>
          </c:cat>
          <c:val>
            <c:numRef>
              <c:f>Calc_1y!$E$6:$E$9</c:f>
              <c:numCache>
                <c:formatCode>#,##0</c:formatCode>
                <c:ptCount val="4"/>
                <c:pt idx="0">
                  <c:v>2.2184381600000007</c:v>
                </c:pt>
                <c:pt idx="1">
                  <c:v>2.2197064999999996</c:v>
                </c:pt>
                <c:pt idx="2">
                  <c:v>2.5250191100000001</c:v>
                </c:pt>
                <c:pt idx="3">
                  <c:v>3.3638380499999996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7F1-4948-9D13-A8AFB5A0B7E5}"/>
            </c:ext>
          </c:extLst>
        </c:ser>
        <c:ser>
          <c:idx val="3"/>
          <c:order val="3"/>
          <c:tx>
            <c:strRef>
              <c:f>Calc_1y!$F$5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cat>
            <c:strRef>
              <c:f>Calc_1y!$B$6:$B$9</c:f>
              <c:strCache>
                <c:ptCount val="4"/>
                <c:pt idx="0">
                  <c:v>CO2-0-0</c:v>
                </c:pt>
                <c:pt idx="1">
                  <c:v>CO2-100-0</c:v>
                </c:pt>
                <c:pt idx="2">
                  <c:v>CO2-200-0</c:v>
                </c:pt>
                <c:pt idx="3">
                  <c:v>CO2-500-0</c:v>
                </c:pt>
              </c:strCache>
            </c:strRef>
          </c:cat>
          <c:val>
            <c:numRef>
              <c:f>Calc_1y!$F$6:$F$9</c:f>
              <c:numCache>
                <c:formatCode>#,##0</c:formatCode>
                <c:ptCount val="4"/>
                <c:pt idx="0">
                  <c:v>887.42996010999991</c:v>
                </c:pt>
                <c:pt idx="1">
                  <c:v>873.8152747900001</c:v>
                </c:pt>
                <c:pt idx="2">
                  <c:v>890.96822680999992</c:v>
                </c:pt>
                <c:pt idx="3">
                  <c:v>823.48472382999989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7F1-4948-9D13-A8AFB5A0B7E5}"/>
            </c:ext>
          </c:extLst>
        </c:ser>
        <c:ser>
          <c:idx val="4"/>
          <c:order val="4"/>
          <c:tx>
            <c:strRef>
              <c:f>Calc_1y!$G$5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solidFill>
                <a:schemeClr val="accent4">
                  <a:lumMod val="75000"/>
                </a:schemeClr>
              </a:solidFill>
            </a:ln>
          </c:spPr>
          <c:invertIfNegative val="0"/>
          <c:cat>
            <c:strRef>
              <c:f>Calc_1y!$B$6:$B$9</c:f>
              <c:strCache>
                <c:ptCount val="4"/>
                <c:pt idx="0">
                  <c:v>CO2-0-0</c:v>
                </c:pt>
                <c:pt idx="1">
                  <c:v>CO2-100-0</c:v>
                </c:pt>
                <c:pt idx="2">
                  <c:v>CO2-200-0</c:v>
                </c:pt>
                <c:pt idx="3">
                  <c:v>CO2-500-0</c:v>
                </c:pt>
              </c:strCache>
            </c:strRef>
          </c:cat>
          <c:val>
            <c:numRef>
              <c:f>Calc_1y!$G$6:$G$9</c:f>
              <c:numCache>
                <c:formatCode>#,##0</c:formatCode>
                <c:ptCount val="4"/>
                <c:pt idx="0">
                  <c:v>625.2931033399999</c:v>
                </c:pt>
                <c:pt idx="1">
                  <c:v>591.44855332999998</c:v>
                </c:pt>
                <c:pt idx="2">
                  <c:v>402.59703837000006</c:v>
                </c:pt>
                <c:pt idx="3">
                  <c:v>275.89184173999996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F1-4948-9D13-A8AFB5A0B7E5}"/>
            </c:ext>
          </c:extLst>
        </c:ser>
        <c:ser>
          <c:idx val="5"/>
          <c:order val="5"/>
          <c:tx>
            <c:strRef>
              <c:f>Calc_1y!$H$5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</c:spPr>
          <c:invertIfNegative val="0"/>
          <c:cat>
            <c:strRef>
              <c:f>Calc_1y!$B$6:$B$9</c:f>
              <c:strCache>
                <c:ptCount val="4"/>
                <c:pt idx="0">
                  <c:v>CO2-0-0</c:v>
                </c:pt>
                <c:pt idx="1">
                  <c:v>CO2-100-0</c:v>
                </c:pt>
                <c:pt idx="2">
                  <c:v>CO2-200-0</c:v>
                </c:pt>
                <c:pt idx="3">
                  <c:v>CO2-500-0</c:v>
                </c:pt>
              </c:strCache>
            </c:strRef>
          </c:cat>
          <c:val>
            <c:numRef>
              <c:f>Calc_1y!$H$6:$H$9</c:f>
              <c:numCache>
                <c:formatCode>#,##0</c:formatCode>
                <c:ptCount val="4"/>
                <c:pt idx="0">
                  <c:v>1.5469999999999999E-5</c:v>
                </c:pt>
                <c:pt idx="1">
                  <c:v>1.9039999999999997E-5</c:v>
                </c:pt>
                <c:pt idx="2">
                  <c:v>3.7629999999999997E-5</c:v>
                </c:pt>
                <c:pt idx="3">
                  <c:v>3.5286999999999992E-4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7F1-4948-9D13-A8AFB5A0B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9876352"/>
        <c:axId val="26624208"/>
      </c:barChart>
      <c:catAx>
        <c:axId val="24987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831708918590157"/>
          <c:y val="0.22040463692038495"/>
          <c:w val="8.1128488466650509E-2"/>
          <c:h val="0.468753280839895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Line4Bar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13</xdr:col>
      <xdr:colOff>987878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2" name="Line4Bar">
          <a:extLst>
            <a:ext uri="{FF2B5EF4-FFF2-40B4-BE49-F238E27FC236}">
              <a16:creationId xmlns:a16="http://schemas.microsoft.com/office/drawing/2014/main" id="{A7D38CE4-CB3C-4360-8F17-A31313805921}"/>
            </a:ext>
          </a:extLst>
        </xdr:cNvPr>
        <xdr:cNvSpPr/>
      </xdr:nvSpPr>
      <xdr:spPr>
        <a:xfrm>
          <a:off x="348020" y="1416904"/>
          <a:ext cx="882863" cy="2068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3</xdr:col>
      <xdr:colOff>95251</xdr:colOff>
      <xdr:row>1</xdr:row>
      <xdr:rowOff>17689</xdr:rowOff>
    </xdr:from>
    <xdr:to>
      <xdr:col>13</xdr:col>
      <xdr:colOff>478972</xdr:colOff>
      <xdr:row>15</xdr:row>
      <xdr:rowOff>170089</xdr:rowOff>
    </xdr:to>
    <xdr:graphicFrame macro="">
      <xdr:nvGraphicFramePr>
        <xdr:cNvPr id="3" name="Comparison">
          <a:extLst>
            <a:ext uri="{FF2B5EF4-FFF2-40B4-BE49-F238E27FC236}">
              <a16:creationId xmlns:a16="http://schemas.microsoft.com/office/drawing/2014/main" id="{FEE04F21-1E33-4F38-A8A9-AA1EF0F281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liff\OneDrive\Documents\GenAtomic\Optimize\Results\Full_2024-04-13\Results_CO2-0-0_US.xlsm" TargetMode="External"/><Relationship Id="rId1" Type="http://schemas.openxmlformats.org/officeDocument/2006/relationships/externalLinkPath" Target="Results_CO2-0-0_U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liff\OneDrive\Documents\GenAtomic\Optimize\Results\Full_2024-04-13\Results_CO2-100-0_US.xlsm" TargetMode="External"/><Relationship Id="rId1" Type="http://schemas.openxmlformats.org/officeDocument/2006/relationships/externalLinkPath" Target="Results_CO2-100-0_US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liff\OneDrive\Documents\GenAtomic\Optimize\Results\Full_2024-04-13\Results_CO2-200-0_US.xlsm" TargetMode="External"/><Relationship Id="rId1" Type="http://schemas.openxmlformats.org/officeDocument/2006/relationships/externalLinkPath" Target="Results_CO2-200-0_US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liff\OneDrive\Documents\GenAtomic\Optimize\Results\Full_2024-04-13\Results_CO2-500-0_US.xlsm" TargetMode="External"/><Relationship Id="rId1" Type="http://schemas.openxmlformats.org/officeDocument/2006/relationships/externalLinkPath" Target="Results_CO2-500-0_U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erence"/>
      <sheetName val="Graph"/>
      <sheetName val="US"/>
      <sheetName val="CAL"/>
      <sheetName val="CAR"/>
      <sheetName val="CENT"/>
      <sheetName val="FLA"/>
      <sheetName val="MIDA"/>
      <sheetName val="MIDW"/>
      <sheetName val="NE"/>
      <sheetName val="NY"/>
      <sheetName val="NW"/>
      <sheetName val="SE"/>
      <sheetName val="SW"/>
      <sheetName val="TEN"/>
      <sheetName val="TEX"/>
    </sheetNames>
    <definedNames>
      <definedName name="Table_Corner" refersTo="='Graph'!$J$5"/>
    </definedNames>
    <sheetDataSet>
      <sheetData sheetId="0">
        <row r="5">
          <cell r="J5" t="str">
            <v>Gas</v>
          </cell>
        </row>
      </sheetData>
      <sheetData sheetId="1">
        <row r="5">
          <cell r="J5">
            <v>-1</v>
          </cell>
        </row>
      </sheetData>
      <sheetData sheetId="2">
        <row r="5">
          <cell r="J5">
            <v>991850.47956286988</v>
          </cell>
        </row>
      </sheetData>
      <sheetData sheetId="3">
        <row r="5">
          <cell r="J5">
            <v>63760.218227379999</v>
          </cell>
        </row>
      </sheetData>
      <sheetData sheetId="4">
        <row r="5">
          <cell r="J5">
            <v>50534.566454139996</v>
          </cell>
        </row>
      </sheetData>
      <sheetData sheetId="5">
        <row r="5">
          <cell r="J5">
            <v>76417.709851730004</v>
          </cell>
        </row>
      </sheetData>
      <sheetData sheetId="6">
        <row r="5">
          <cell r="J5">
            <v>78353.570152150001</v>
          </cell>
        </row>
      </sheetData>
      <sheetData sheetId="7">
        <row r="5">
          <cell r="J5">
            <v>196857.69704426001</v>
          </cell>
        </row>
      </sheetData>
      <sheetData sheetId="8">
        <row r="5">
          <cell r="J5">
            <v>166423.11590424</v>
          </cell>
        </row>
      </sheetData>
      <sheetData sheetId="9">
        <row r="5">
          <cell r="J5">
            <v>25309.44585674</v>
          </cell>
        </row>
      </sheetData>
      <sheetData sheetId="10">
        <row r="5">
          <cell r="J5">
            <v>29792.390104329999</v>
          </cell>
        </row>
      </sheetData>
      <sheetData sheetId="11">
        <row r="5">
          <cell r="J5">
            <v>60486.756687020003</v>
          </cell>
        </row>
      </sheetData>
      <sheetData sheetId="12">
        <row r="5">
          <cell r="J5">
            <v>60823.845215870002</v>
          </cell>
        </row>
      </sheetData>
      <sheetData sheetId="13">
        <row r="5">
          <cell r="J5">
            <v>34171.677673680002</v>
          </cell>
        </row>
      </sheetData>
      <sheetData sheetId="14">
        <row r="5">
          <cell r="J5">
            <v>31958.923837900002</v>
          </cell>
        </row>
      </sheetData>
      <sheetData sheetId="15">
        <row r="5">
          <cell r="J5">
            <v>116960.56255343001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erence"/>
      <sheetName val="Graph"/>
      <sheetName val="US"/>
      <sheetName val="CAL"/>
      <sheetName val="CAR"/>
      <sheetName val="CENT"/>
      <sheetName val="FLA"/>
      <sheetName val="MIDA"/>
      <sheetName val="MIDW"/>
      <sheetName val="NE"/>
      <sheetName val="NY"/>
      <sheetName val="NW"/>
      <sheetName val="SE"/>
      <sheetName val="SW"/>
      <sheetName val="TEN"/>
      <sheetName val="TEX"/>
    </sheetNames>
    <definedNames>
      <definedName name="Table_Corner" refersTo="='Graph'!$J$5"/>
    </definedNames>
    <sheetDataSet>
      <sheetData sheetId="0">
        <row r="5">
          <cell r="J5" t="str">
            <v>Gas</v>
          </cell>
        </row>
      </sheetData>
      <sheetData sheetId="1">
        <row r="5">
          <cell r="J5">
            <v>-1</v>
          </cell>
        </row>
      </sheetData>
      <sheetData sheetId="2">
        <row r="5">
          <cell r="J5">
            <v>1063741.1800133397</v>
          </cell>
        </row>
      </sheetData>
      <sheetData sheetId="3">
        <row r="5">
          <cell r="J5">
            <v>67718.348669690007</v>
          </cell>
        </row>
      </sheetData>
      <sheetData sheetId="4">
        <row r="5">
          <cell r="J5">
            <v>50556.730960690002</v>
          </cell>
        </row>
      </sheetData>
      <sheetData sheetId="5">
        <row r="5">
          <cell r="J5">
            <v>95035.351883819996</v>
          </cell>
        </row>
      </sheetData>
      <sheetData sheetId="6">
        <row r="5">
          <cell r="J5">
            <v>78325.567667919997</v>
          </cell>
        </row>
      </sheetData>
      <sheetData sheetId="7">
        <row r="5">
          <cell r="J5">
            <v>197060.47741334999</v>
          </cell>
        </row>
      </sheetData>
      <sheetData sheetId="8">
        <row r="5">
          <cell r="J5">
            <v>175263.43448900001</v>
          </cell>
        </row>
      </sheetData>
      <sheetData sheetId="9">
        <row r="5">
          <cell r="J5">
            <v>25311.34049798</v>
          </cell>
        </row>
      </sheetData>
      <sheetData sheetId="10">
        <row r="5">
          <cell r="J5">
            <v>29815.293478669999</v>
          </cell>
        </row>
      </sheetData>
      <sheetData sheetId="11">
        <row r="5">
          <cell r="J5">
            <v>72531.084086179995</v>
          </cell>
        </row>
      </sheetData>
      <sheetData sheetId="12">
        <row r="5">
          <cell r="J5">
            <v>62553.178966580002</v>
          </cell>
        </row>
      </sheetData>
      <sheetData sheetId="13">
        <row r="5">
          <cell r="J5">
            <v>37040.684465300001</v>
          </cell>
        </row>
      </sheetData>
      <sheetData sheetId="14">
        <row r="5">
          <cell r="J5">
            <v>32936.818434760004</v>
          </cell>
        </row>
      </sheetData>
      <sheetData sheetId="15">
        <row r="5">
          <cell r="J5">
            <v>139592.8689994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erence"/>
      <sheetName val="Graph"/>
      <sheetName val="US"/>
      <sheetName val="CAL"/>
      <sheetName val="CAR"/>
      <sheetName val="CENT"/>
      <sheetName val="FLA"/>
      <sheetName val="MIDA"/>
      <sheetName val="MIDW"/>
      <sheetName val="NE"/>
      <sheetName val="NY"/>
      <sheetName val="NW"/>
      <sheetName val="SE"/>
      <sheetName val="SW"/>
      <sheetName val="TEN"/>
      <sheetName val="TEX"/>
    </sheetNames>
    <definedNames>
      <definedName name="Table_Corner" refersTo="='Graph'!$J$5"/>
    </definedNames>
    <sheetDataSet>
      <sheetData sheetId="0">
        <row r="5">
          <cell r="J5" t="str">
            <v>Gas</v>
          </cell>
        </row>
      </sheetData>
      <sheetData sheetId="1">
        <row r="5">
          <cell r="J5">
            <v>-1</v>
          </cell>
        </row>
      </sheetData>
      <sheetData sheetId="2">
        <row r="5">
          <cell r="J5">
            <v>1320453.0906790402</v>
          </cell>
        </row>
      </sheetData>
      <sheetData sheetId="3">
        <row r="5">
          <cell r="J5">
            <v>84327.698787479996</v>
          </cell>
        </row>
      </sheetData>
      <sheetData sheetId="4">
        <row r="5">
          <cell r="J5">
            <v>62888.975990829997</v>
          </cell>
        </row>
      </sheetData>
      <sheetData sheetId="5">
        <row r="5">
          <cell r="J5">
            <v>113501.12922646001</v>
          </cell>
        </row>
      </sheetData>
      <sheetData sheetId="6">
        <row r="5">
          <cell r="J5">
            <v>82269.923059020002</v>
          </cell>
        </row>
      </sheetData>
      <sheetData sheetId="7">
        <row r="5">
          <cell r="J5">
            <v>273248.08709787001</v>
          </cell>
        </row>
      </sheetData>
      <sheetData sheetId="8">
        <row r="5">
          <cell r="J5">
            <v>241820.46157332999</v>
          </cell>
        </row>
      </sheetData>
      <sheetData sheetId="9">
        <row r="5">
          <cell r="J5">
            <v>29339.801018999999</v>
          </cell>
        </row>
      </sheetData>
      <sheetData sheetId="10">
        <row r="5">
          <cell r="J5">
            <v>30795.738213699999</v>
          </cell>
        </row>
      </sheetData>
      <sheetData sheetId="11">
        <row r="5">
          <cell r="J5">
            <v>96479.094506359994</v>
          </cell>
        </row>
      </sheetData>
      <sheetData sheetId="12">
        <row r="5">
          <cell r="J5">
            <v>74674.682755960006</v>
          </cell>
        </row>
      </sheetData>
      <sheetData sheetId="13">
        <row r="5">
          <cell r="J5">
            <v>42854.770340590003</v>
          </cell>
        </row>
      </sheetData>
      <sheetData sheetId="14">
        <row r="5">
          <cell r="J5">
            <v>34872.422355729999</v>
          </cell>
        </row>
      </sheetData>
      <sheetData sheetId="15">
        <row r="5">
          <cell r="J5">
            <v>153380.30575271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erence"/>
      <sheetName val="Graph"/>
      <sheetName val="US"/>
      <sheetName val="CAL"/>
      <sheetName val="CAR"/>
      <sheetName val="CENT"/>
      <sheetName val="FLA"/>
      <sheetName val="MIDA"/>
      <sheetName val="MIDW"/>
      <sheetName val="NE"/>
      <sheetName val="NY"/>
      <sheetName val="NW"/>
      <sheetName val="SE"/>
      <sheetName val="SW"/>
      <sheetName val="TEN"/>
      <sheetName val="TEX"/>
    </sheetNames>
    <definedNames>
      <definedName name="Table_Corner" refersTo="='Graph'!$J$5"/>
    </definedNames>
    <sheetDataSet>
      <sheetData sheetId="0">
        <row r="5">
          <cell r="J5" t="str">
            <v>Gas</v>
          </cell>
        </row>
      </sheetData>
      <sheetData sheetId="1">
        <row r="5">
          <cell r="J5">
            <v>-1</v>
          </cell>
        </row>
      </sheetData>
      <sheetData sheetId="2">
        <row r="5">
          <cell r="J5">
            <v>1441908.2702309298</v>
          </cell>
        </row>
      </sheetData>
      <sheetData sheetId="3">
        <row r="5">
          <cell r="J5">
            <v>87167.613479580003</v>
          </cell>
        </row>
      </sheetData>
      <sheetData sheetId="4">
        <row r="5">
          <cell r="J5">
            <v>68340.427718399995</v>
          </cell>
        </row>
      </sheetData>
      <sheetData sheetId="5">
        <row r="5">
          <cell r="J5">
            <v>124597.91240582999</v>
          </cell>
        </row>
      </sheetData>
      <sheetData sheetId="6">
        <row r="5">
          <cell r="J5">
            <v>85992.729579260005</v>
          </cell>
        </row>
      </sheetData>
      <sheetData sheetId="7">
        <row r="5">
          <cell r="J5">
            <v>309292.75890315999</v>
          </cell>
        </row>
      </sheetData>
      <sheetData sheetId="8">
        <row r="5">
          <cell r="J5">
            <v>262709.79954795999</v>
          </cell>
        </row>
      </sheetData>
      <sheetData sheetId="9">
        <row r="5">
          <cell r="J5">
            <v>33155.222634309997</v>
          </cell>
        </row>
      </sheetData>
      <sheetData sheetId="10">
        <row r="5">
          <cell r="J5">
            <v>38823.060160779998</v>
          </cell>
        </row>
      </sheetData>
      <sheetData sheetId="11">
        <row r="5">
          <cell r="J5">
            <v>101794.18901628</v>
          </cell>
        </row>
      </sheetData>
      <sheetData sheetId="12">
        <row r="5">
          <cell r="J5">
            <v>77299.656381139997</v>
          </cell>
        </row>
      </sheetData>
      <sheetData sheetId="13">
        <row r="5">
          <cell r="J5">
            <v>47075.729474419997</v>
          </cell>
        </row>
      </sheetData>
      <sheetData sheetId="14">
        <row r="5">
          <cell r="J5">
            <v>38819.228527560001</v>
          </cell>
        </row>
      </sheetData>
      <sheetData sheetId="15">
        <row r="5">
          <cell r="J5">
            <v>166839.94240224999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6"/>
  <sheetViews>
    <sheetView workbookViewId="0">
      <selection activeCell="A2" sqref="A2"/>
    </sheetView>
  </sheetViews>
  <sheetFormatPr defaultRowHeight="14.6" x14ac:dyDescent="0.85"/>
  <sheetData>
    <row r="1" spans="1:4" x14ac:dyDescent="0.85">
      <c r="A1" t="s">
        <v>0</v>
      </c>
      <c r="B1">
        <v>4</v>
      </c>
      <c r="C1" t="s">
        <v>1</v>
      </c>
      <c r="D1">
        <v>27</v>
      </c>
    </row>
    <row r="2" spans="1:4" x14ac:dyDescent="0.85">
      <c r="A2" t="s">
        <v>59</v>
      </c>
    </row>
    <row r="3" spans="1:4" x14ac:dyDescent="0.85">
      <c r="A3" t="s">
        <v>60</v>
      </c>
    </row>
    <row r="4" spans="1:4" x14ac:dyDescent="0.85">
      <c r="A4" t="s">
        <v>61</v>
      </c>
    </row>
    <row r="5" spans="1:4" x14ac:dyDescent="0.85">
      <c r="A5" t="s">
        <v>62</v>
      </c>
    </row>
    <row r="6" spans="1:4" x14ac:dyDescent="0.8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07582-A0D7-453C-AE02-1423EEBA214C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7" customFormat="1" x14ac:dyDescent="0.85">
      <c r="A1" s="7" t="s">
        <v>6</v>
      </c>
      <c r="B1" s="7" t="s">
        <v>7</v>
      </c>
      <c r="C1" s="7" t="str">
        <f>A1</f>
        <v>Regions</v>
      </c>
      <c r="D1" s="9" t="s">
        <v>8</v>
      </c>
      <c r="E1" s="10"/>
      <c r="F1" s="7" t="s">
        <v>9</v>
      </c>
      <c r="G1" s="7" t="s">
        <v>10</v>
      </c>
      <c r="H1" s="7" t="s">
        <v>11</v>
      </c>
      <c r="I1" s="7" t="s">
        <v>12</v>
      </c>
      <c r="J1" s="7" t="s">
        <v>13</v>
      </c>
      <c r="K1" s="7" t="s">
        <v>14</v>
      </c>
      <c r="L1" s="7" t="s">
        <v>15</v>
      </c>
      <c r="M1" s="7" t="s">
        <v>16</v>
      </c>
    </row>
    <row r="2" spans="1:13" x14ac:dyDescent="0.85">
      <c r="A2" t="s">
        <v>5</v>
      </c>
      <c r="B2" t="s">
        <v>17</v>
      </c>
      <c r="C2" t="s">
        <v>5</v>
      </c>
      <c r="D2" s="8" t="s">
        <v>18</v>
      </c>
      <c r="E2" s="8">
        <v>0</v>
      </c>
      <c r="F2" s="8" t="s">
        <v>19</v>
      </c>
      <c r="G2" s="8">
        <f>1/1000</f>
        <v>1E-3</v>
      </c>
      <c r="H2" s="8">
        <v>11</v>
      </c>
      <c r="I2">
        <v>16</v>
      </c>
      <c r="J2" t="s">
        <v>20</v>
      </c>
      <c r="K2">
        <f>_1st_ref</f>
        <v>16</v>
      </c>
      <c r="L2">
        <v>1</v>
      </c>
    </row>
    <row r="3" spans="1:13" x14ac:dyDescent="0.85">
      <c r="A3" t="s">
        <v>21</v>
      </c>
      <c r="B3" t="s">
        <v>22</v>
      </c>
      <c r="C3" t="s">
        <v>21</v>
      </c>
      <c r="D3" s="8" t="s">
        <v>23</v>
      </c>
      <c r="E3" s="8">
        <v>1</v>
      </c>
      <c r="F3" s="8" t="s">
        <v>24</v>
      </c>
      <c r="G3" s="8">
        <f>1/1000000</f>
        <v>9.9999999999999995E-7</v>
      </c>
      <c r="H3" s="8"/>
      <c r="J3" t="s">
        <v>25</v>
      </c>
      <c r="K3">
        <f>K2+Param_Count</f>
        <v>27</v>
      </c>
      <c r="L3">
        <v>2</v>
      </c>
    </row>
    <row r="4" spans="1:13" x14ac:dyDescent="0.85">
      <c r="A4" t="s">
        <v>26</v>
      </c>
      <c r="B4" t="s">
        <v>27</v>
      </c>
      <c r="C4" t="s">
        <v>26</v>
      </c>
      <c r="D4" s="8" t="s">
        <v>28</v>
      </c>
      <c r="E4" s="8">
        <v>2</v>
      </c>
      <c r="F4" s="8" t="s">
        <v>24</v>
      </c>
      <c r="G4" s="8">
        <f>1/1000000</f>
        <v>9.9999999999999995E-7</v>
      </c>
      <c r="H4" s="8"/>
      <c r="J4" t="s">
        <v>29</v>
      </c>
      <c r="K4">
        <f>K3+Param_Count</f>
        <v>38</v>
      </c>
      <c r="L4">
        <v>3</v>
      </c>
    </row>
    <row r="5" spans="1:13" x14ac:dyDescent="0.85">
      <c r="A5" t="s">
        <v>30</v>
      </c>
      <c r="B5" t="s">
        <v>31</v>
      </c>
      <c r="C5" t="s">
        <v>30</v>
      </c>
      <c r="D5" s="8" t="s">
        <v>32</v>
      </c>
      <c r="E5" s="8">
        <v>3</v>
      </c>
      <c r="F5" s="8" t="s">
        <v>33</v>
      </c>
      <c r="G5" s="8">
        <f>1/1000</f>
        <v>1E-3</v>
      </c>
      <c r="H5" s="8"/>
      <c r="J5" t="s">
        <v>34</v>
      </c>
      <c r="K5">
        <f>K4+Param_Count</f>
        <v>49</v>
      </c>
      <c r="L5">
        <v>4</v>
      </c>
    </row>
    <row r="6" spans="1:13" x14ac:dyDescent="0.85">
      <c r="A6" t="s">
        <v>35</v>
      </c>
      <c r="B6" t="s">
        <v>36</v>
      </c>
      <c r="C6" t="s">
        <v>35</v>
      </c>
      <c r="D6" s="8" t="s">
        <v>37</v>
      </c>
      <c r="E6" s="8">
        <v>4</v>
      </c>
      <c r="F6" s="8" t="s">
        <v>33</v>
      </c>
      <c r="G6" s="8">
        <f>1/1000</f>
        <v>1E-3</v>
      </c>
      <c r="H6" s="8"/>
      <c r="J6" t="s">
        <v>38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8" t="s">
        <v>3</v>
      </c>
      <c r="E7" s="8">
        <v>5</v>
      </c>
      <c r="F7" s="8" t="s">
        <v>41</v>
      </c>
      <c r="G7" s="8">
        <v>1</v>
      </c>
      <c r="H7" s="8"/>
      <c r="J7" t="s">
        <v>42</v>
      </c>
      <c r="K7">
        <f>K6+Param_Count</f>
        <v>71</v>
      </c>
      <c r="L7">
        <v>6</v>
      </c>
    </row>
    <row r="8" spans="1:13" x14ac:dyDescent="0.85">
      <c r="A8" t="s">
        <v>43</v>
      </c>
      <c r="B8" t="s">
        <v>44</v>
      </c>
      <c r="C8" t="s">
        <v>43</v>
      </c>
      <c r="D8" s="8"/>
      <c r="E8" s="8"/>
      <c r="F8" s="8"/>
      <c r="G8" s="8"/>
      <c r="J8" t="s">
        <v>2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7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tabSelected="1" zoomScaleNormal="100" workbookViewId="0">
      <selection activeCell="A2" sqref="A2"/>
    </sheetView>
  </sheetViews>
  <sheetFormatPr defaultRowHeight="14.6" x14ac:dyDescent="0.85"/>
  <cols>
    <col min="1" max="1" width="10.765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5</v>
      </c>
    </row>
    <row r="2" spans="1:11" x14ac:dyDescent="0.85">
      <c r="A2" s="3" t="s">
        <v>3</v>
      </c>
      <c r="D2" s="11"/>
      <c r="E2" s="10"/>
      <c r="F2" s="10"/>
      <c r="G2" s="10"/>
      <c r="H2" s="10"/>
      <c r="I2" s="10"/>
      <c r="J2" s="10"/>
      <c r="K2" s="10"/>
    </row>
    <row r="3" spans="1:11" x14ac:dyDescent="0.85">
      <c r="A3" s="3" t="s">
        <v>2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36304-3C25-4609-B384-BC67A8B4038C}">
  <sheetPr codeName="Sheet4"/>
  <dimension ref="A1:K33"/>
  <sheetViews>
    <sheetView zoomScaleNormal="100" workbookViewId="0">
      <selection activeCell="B3" sqref="B3"/>
    </sheetView>
  </sheetViews>
  <sheetFormatPr defaultRowHeight="14.6" x14ac:dyDescent="0.85"/>
  <cols>
    <col min="1" max="1" width="10.69140625" style="1" customWidth="1"/>
    <col min="2" max="11" width="7.53515625" style="1" customWidth="1"/>
    <col min="12" max="12" width="14.69140625" style="1" bestFit="1" customWidth="1"/>
    <col min="13" max="13" width="17.421875" style="1" customWidth="1"/>
    <col min="14" max="15" width="15.69140625" style="1" bestFit="1" customWidth="1"/>
    <col min="16" max="16" width="6.73046875" style="1" bestFit="1" customWidth="1"/>
    <col min="17" max="17" width="13.19140625" style="1" bestFit="1" customWidth="1"/>
    <col min="18" max="16384" width="8.921875" style="1"/>
  </cols>
  <sheetData>
    <row r="1" spans="1:11" x14ac:dyDescent="0.85">
      <c r="A1" s="3" t="s">
        <v>5</v>
      </c>
    </row>
    <row r="2" spans="1:11" x14ac:dyDescent="0.85">
      <c r="A2" s="3" t="s">
        <v>3</v>
      </c>
      <c r="D2" s="11"/>
      <c r="E2" s="10"/>
      <c r="F2" s="10"/>
      <c r="G2" s="10"/>
      <c r="H2" s="10"/>
      <c r="I2" s="10"/>
      <c r="J2" s="10"/>
      <c r="K2" s="10"/>
    </row>
    <row r="3" spans="1:11" x14ac:dyDescent="0.85">
      <c r="A3" s="2" t="s">
        <v>4</v>
      </c>
      <c r="B3" s="4">
        <v>3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mergeCells count="1">
    <mergeCell ref="D2:K2"/>
  </mergeCells>
  <dataValidations count="3">
    <dataValidation type="list" showInputMessage="1" showErrorMessage="1" sqref="A1" xr:uid="{1D0B8FAF-690E-4641-AD6A-66D54438218F}">
      <formula1>Regions</formula1>
    </dataValidation>
    <dataValidation type="list" allowBlank="1" showInputMessage="1" showErrorMessage="1" sqref="A2" xr:uid="{E5F8F2AC-C890-43A2-BD9E-6608C9249705}">
      <formula1>Params</formula1>
    </dataValidation>
    <dataValidation type="custom" allowBlank="1" showInputMessage="1" showErrorMessage="1" sqref="B3" xr:uid="{EA6DC2BC-95ED-43F0-96D2-AB094A0EC61D}">
      <formula1>AND(B3&gt;=0,B3&lt;=Years)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Z33"/>
  <sheetViews>
    <sheetView workbookViewId="0">
      <selection activeCell="B5" sqref="B5"/>
    </sheetView>
  </sheetViews>
  <sheetFormatPr defaultColWidth="15.03515625" defaultRowHeight="14.6" x14ac:dyDescent="0.85"/>
  <cols>
    <col min="1" max="1" width="15.03515625" style="1"/>
    <col min="2" max="2" width="4.19140625" style="5" bestFit="1" customWidth="1"/>
    <col min="3" max="26" width="15.03515625" style="5"/>
    <col min="27" max="16384" width="15.03515625" style="1"/>
  </cols>
  <sheetData>
    <row r="1" spans="1:6" x14ac:dyDescent="0.85">
      <c r="A1" s="1" t="str">
        <f>Graph!$A$1</f>
        <v>Entire US</v>
      </c>
    </row>
    <row r="2" spans="1:6" x14ac:dyDescent="0.85">
      <c r="A2" s="1" t="str">
        <f>Graph!$A$2</f>
        <v>CO2_MTons</v>
      </c>
    </row>
    <row r="3" spans="1:6" x14ac:dyDescent="0.85">
      <c r="A3" s="1" t="str">
        <f>Graph!$A$3</f>
        <v>All_NRGs</v>
      </c>
      <c r="B3" s="1">
        <f>VLOOKUP($A$3,NRG_Table,3,FALSE)</f>
        <v>7</v>
      </c>
      <c r="D3" s="5" t="str">
        <f>$A$1 &amp; " - " &amp; $A$2 &amp; " (" &amp; VLOOKUP(A2,Param_Table,3,FALSE) &amp; ") - " &amp; A3</f>
        <v>Entire US - CO2_MTons (MTons) - All_NRGs</v>
      </c>
    </row>
    <row r="4" spans="1:6" x14ac:dyDescent="0.85"/>
    <row r="5" spans="1:6" x14ac:dyDescent="0.85">
      <c r="B5" s="5" t="s">
        <v>4</v>
      </c>
      <c r="C5" s="5" t="s">
        <v>63</v>
      </c>
      <c r="D5" s="5" t="s">
        <v>64</v>
      </c>
      <c r="E5" s="5" t="s">
        <v>65</v>
      </c>
      <c r="F5" s="5" t="s">
        <v>66</v>
      </c>
    </row>
    <row r="6" spans="1:6" x14ac:dyDescent="0.85">
      <c r="B6" s="5">
        <v>0</v>
      </c>
      <c r="C6" s="5">
        <f ca="1">OFFSET([1]!Table_Corner, 1,Selected_NRG)</f>
        <v>1414.2395687399999</v>
      </c>
      <c r="D6" s="5">
        <f ca="1">OFFSET([2]!Table_Corner, 1,Selected_NRG)</f>
        <v>1414.2395687399999</v>
      </c>
      <c r="E6" s="5">
        <f ca="1">OFFSET([3]!Table_Corner, 1,Selected_NRG)</f>
        <v>1414.2395687399999</v>
      </c>
      <c r="F6" s="5">
        <f ca="1">OFFSET([4]!Table_Corner, 1,Selected_NRG)</f>
        <v>1414.2395687399999</v>
      </c>
    </row>
    <row r="7" spans="1:6" x14ac:dyDescent="0.85">
      <c r="B7" s="5">
        <v>1</v>
      </c>
      <c r="C7" s="5">
        <f ca="1">OFFSET([1]!Table_Corner, 2,Selected_NRG)</f>
        <v>1465.5271901499998</v>
      </c>
      <c r="D7" s="5">
        <f ca="1">OFFSET([2]!Table_Corner, 2,Selected_NRG)</f>
        <v>1440.8574207899999</v>
      </c>
      <c r="E7" s="5">
        <f ca="1">OFFSET([3]!Table_Corner, 2,Selected_NRG)</f>
        <v>1356.4876194999997</v>
      </c>
      <c r="F7" s="5">
        <f ca="1">OFFSET([4]!Table_Corner, 2,Selected_NRG)</f>
        <v>1258.0392166699999</v>
      </c>
    </row>
    <row r="8" spans="1:6" x14ac:dyDescent="0.85">
      <c r="B8" s="5">
        <v>2</v>
      </c>
      <c r="C8" s="5">
        <f ca="1">OFFSET([1]!Table_Corner, 3,Selected_NRG)</f>
        <v>1516.9221285399999</v>
      </c>
      <c r="D8" s="5">
        <f ca="1">OFFSET([2]!Table_Corner, 3,Selected_NRG)</f>
        <v>1469.7524269400001</v>
      </c>
      <c r="E8" s="5">
        <f ca="1">OFFSET([3]!Table_Corner, 3,Selected_NRG)</f>
        <v>1298.7536979900001</v>
      </c>
      <c r="F8" s="5">
        <f ca="1">OFFSET([4]!Table_Corner, 3,Selected_NRG)</f>
        <v>1105.4651382099999</v>
      </c>
    </row>
    <row r="9" spans="1:6" x14ac:dyDescent="0.85">
      <c r="B9" s="5">
        <v>3</v>
      </c>
      <c r="C9" s="5">
        <f ca="1">OFFSET([1]!Table_Corner, 4,Selected_NRG)</f>
        <v>1568.7267333000002</v>
      </c>
      <c r="D9" s="5">
        <f ca="1">OFFSET([2]!Table_Corner, 4,Selected_NRG)</f>
        <v>1501.2930543299999</v>
      </c>
      <c r="E9" s="5">
        <f ca="1">OFFSET([3]!Table_Corner, 4,Selected_NRG)</f>
        <v>1259.69634301</v>
      </c>
      <c r="F9" s="5">
        <f ca="1">OFFSET([4]!Table_Corner, 4,Selected_NRG)</f>
        <v>964.03473633999999</v>
      </c>
    </row>
    <row r="10" spans="1:6" x14ac:dyDescent="0.85">
      <c r="B10" s="5">
        <v>4</v>
      </c>
      <c r="C10" s="5">
        <f ca="1">OFFSET([1]!Table_Corner, 5,Selected_NRG)</f>
        <v>1620.8436320000003</v>
      </c>
      <c r="D10" s="5">
        <f ca="1">OFFSET([2]!Table_Corner, 5,Selected_NRG)</f>
        <v>1533.7940348099999</v>
      </c>
      <c r="E10" s="5">
        <f ca="1">OFFSET([3]!Table_Corner, 5,Selected_NRG)</f>
        <v>1223.1348210499998</v>
      </c>
      <c r="F10" s="5">
        <f ca="1">OFFSET([4]!Table_Corner, 5,Selected_NRG)</f>
        <v>823.99948441999993</v>
      </c>
    </row>
    <row r="11" spans="1:6" x14ac:dyDescent="0.85">
      <c r="B11" s="5">
        <v>5</v>
      </c>
      <c r="C11" s="5">
        <f ca="1">OFFSET([1]!Table_Corner, 6,Selected_NRG)</f>
        <v>1673.6479631299999</v>
      </c>
      <c r="D11" s="5">
        <f ca="1">OFFSET([2]!Table_Corner, 6,Selected_NRG)</f>
        <v>1567.35143965</v>
      </c>
      <c r="E11" s="5">
        <f ca="1">OFFSET([3]!Table_Corner, 6,Selected_NRG)</f>
        <v>1164.61329748</v>
      </c>
      <c r="F11" s="5">
        <f ca="1">OFFSET([4]!Table_Corner, 6,Selected_NRG)</f>
        <v>712.73396975999992</v>
      </c>
    </row>
    <row r="12" spans="1:6" x14ac:dyDescent="0.85">
      <c r="B12" s="5">
        <v>6</v>
      </c>
      <c r="C12" s="5">
        <f ca="1">OFFSET([1]!Table_Corner, 7,Selected_NRG)</f>
        <v>1726.8681940000001</v>
      </c>
      <c r="D12" s="5">
        <f ca="1">OFFSET([2]!Table_Corner, 7,Selected_NRG)</f>
        <v>1602.0700496300003</v>
      </c>
      <c r="E12" s="5">
        <f ca="1">OFFSET([3]!Table_Corner, 7,Selected_NRG)</f>
        <v>1108.3676790600002</v>
      </c>
      <c r="F12" s="5">
        <f ca="1">OFFSET([4]!Table_Corner, 7,Selected_NRG)</f>
        <v>620.18664997999997</v>
      </c>
    </row>
    <row r="13" spans="1:6" x14ac:dyDescent="0.85">
      <c r="B13" s="5">
        <v>7</v>
      </c>
      <c r="C13" s="5">
        <f ca="1">OFFSET([1]!Table_Corner, 8,Selected_NRG)</f>
        <v>1780.64167066</v>
      </c>
      <c r="D13" s="5">
        <f ca="1">OFFSET([2]!Table_Corner, 8,Selected_NRG)</f>
        <v>1638.1634501600001</v>
      </c>
      <c r="E13" s="5">
        <f ca="1">OFFSET([3]!Table_Corner, 8,Selected_NRG)</f>
        <v>1104.4666666099999</v>
      </c>
      <c r="F13" s="5">
        <f ca="1">OFFSET([4]!Table_Corner, 8,Selected_NRG)</f>
        <v>537.60296322000011</v>
      </c>
    </row>
    <row r="14" spans="1:6" x14ac:dyDescent="0.85">
      <c r="B14" s="5">
        <v>8</v>
      </c>
      <c r="C14" s="5">
        <f ca="1">OFFSET([1]!Table_Corner, 9,Selected_NRG)</f>
        <v>1834.8959330900002</v>
      </c>
      <c r="D14" s="5">
        <f ca="1">OFFSET([2]!Table_Corner, 9,Selected_NRG)</f>
        <v>1675.72351658</v>
      </c>
      <c r="E14" s="5">
        <f ca="1">OFFSET([3]!Table_Corner, 9,Selected_NRG)</f>
        <v>1115.9785238899997</v>
      </c>
      <c r="F14" s="5">
        <f ca="1">OFFSET([4]!Table_Corner, 9,Selected_NRG)</f>
        <v>466.61544731999993</v>
      </c>
    </row>
    <row r="15" spans="1:6" x14ac:dyDescent="0.85">
      <c r="B15" s="5">
        <v>9</v>
      </c>
      <c r="C15" s="5">
        <f ca="1">OFFSET([1]!Table_Corner, 10,Selected_NRG)</f>
        <v>1889.7283960899997</v>
      </c>
      <c r="D15" s="5">
        <f ca="1">OFFSET([2]!Table_Corner, 10,Selected_NRG)</f>
        <v>1712.4946735400001</v>
      </c>
      <c r="E15" s="5">
        <f ca="1">OFFSET([3]!Table_Corner, 10,Selected_NRG)</f>
        <v>1139.92055725</v>
      </c>
      <c r="F15" s="5">
        <f ca="1">OFFSET([4]!Table_Corner, 10,Selected_NRG)</f>
        <v>403.27424924999997</v>
      </c>
    </row>
    <row r="16" spans="1:6" x14ac:dyDescent="0.85">
      <c r="B16" s="5">
        <v>10</v>
      </c>
      <c r="C16" s="5">
        <f ca="1">OFFSET([1]!Table_Corner, 11,Selected_NRG)</f>
        <v>1945.14903992</v>
      </c>
      <c r="D16" s="5">
        <f ca="1">OFFSET([2]!Table_Corner, 11,Selected_NRG)</f>
        <v>1751.4137394299999</v>
      </c>
      <c r="E16" s="5">
        <f ca="1">OFFSET([3]!Table_Corner, 11,Selected_NRG)</f>
        <v>1162.1106993800001</v>
      </c>
      <c r="F16" s="5">
        <f ca="1">OFFSET([4]!Table_Corner, 11,Selected_NRG)</f>
        <v>361.03233354000002</v>
      </c>
    </row>
    <row r="17" spans="2:6" x14ac:dyDescent="0.85">
      <c r="B17" s="5">
        <v>11</v>
      </c>
      <c r="C17" s="5">
        <f ca="1">OFFSET([1]!Table_Corner, 12,Selected_NRG)</f>
        <v>2001.2095735899998</v>
      </c>
      <c r="D17" s="5">
        <f ca="1">OFFSET([2]!Table_Corner, 12,Selected_NRG)</f>
        <v>1799.0995850199999</v>
      </c>
      <c r="E17" s="5">
        <f ca="1">OFFSET([3]!Table_Corner, 12,Selected_NRG)</f>
        <v>1184.7200197499999</v>
      </c>
      <c r="F17" s="5">
        <f ca="1">OFFSET([4]!Table_Corner, 12,Selected_NRG)</f>
        <v>333.51705291999997</v>
      </c>
    </row>
    <row r="18" spans="2:6" x14ac:dyDescent="0.85">
      <c r="B18" s="5">
        <v>12</v>
      </c>
      <c r="C18" s="5">
        <f ca="1">OFFSET([1]!Table_Corner, 13,Selected_NRG)</f>
        <v>2057.8594767</v>
      </c>
      <c r="D18" s="5">
        <f ca="1">OFFSET([2]!Table_Corner, 13,Selected_NRG)</f>
        <v>1849.1770068500002</v>
      </c>
      <c r="E18" s="5">
        <f ca="1">OFFSET([3]!Table_Corner, 13,Selected_NRG)</f>
        <v>1208.7317025999998</v>
      </c>
      <c r="F18" s="5">
        <f ca="1">OFFSET([4]!Table_Corner, 13,Selected_NRG)</f>
        <v>318.24275672999994</v>
      </c>
    </row>
    <row r="19" spans="2:6" x14ac:dyDescent="0.85">
      <c r="B19" s="5">
        <v>13</v>
      </c>
      <c r="C19" s="5">
        <f ca="1">OFFSET([1]!Table_Corner, 14,Selected_NRG)</f>
        <v>2115.1972649300001</v>
      </c>
      <c r="D19" s="5">
        <f ca="1">OFFSET([2]!Table_Corner, 14,Selected_NRG)</f>
        <v>1898.8731006199998</v>
      </c>
      <c r="E19" s="5">
        <f ca="1">OFFSET([3]!Table_Corner, 14,Selected_NRG)</f>
        <v>1233.1376129600001</v>
      </c>
      <c r="F19" s="5">
        <f ca="1">OFFSET([4]!Table_Corner, 14,Selected_NRG)</f>
        <v>309.44511595999995</v>
      </c>
    </row>
    <row r="20" spans="2:6" x14ac:dyDescent="0.85">
      <c r="B20" s="5">
        <v>14</v>
      </c>
      <c r="C20" s="5">
        <f ca="1">OFFSET([1]!Table_Corner, 15,Selected_NRG)</f>
        <v>2173.2451331699999</v>
      </c>
      <c r="D20" s="5">
        <f ca="1">OFFSET([2]!Table_Corner, 15,Selected_NRG)</f>
        <v>1948.3180496600003</v>
      </c>
      <c r="E20" s="5">
        <f ca="1">OFFSET([3]!Table_Corner, 15,Selected_NRG)</f>
        <v>1258.74347926</v>
      </c>
      <c r="F20" s="5">
        <f ca="1">OFFSET([4]!Table_Corner, 15,Selected_NRG)</f>
        <v>313.64178115999994</v>
      </c>
    </row>
    <row r="21" spans="2:6" x14ac:dyDescent="0.85">
      <c r="B21" s="5">
        <v>15</v>
      </c>
      <c r="C21" s="5">
        <f ca="1">OFFSET([1]!Table_Corner, 16,Selected_NRG)</f>
        <v>2232.0332111399998</v>
      </c>
      <c r="D21" s="5">
        <f ca="1">OFFSET([2]!Table_Corner, 16,Selected_NRG)</f>
        <v>1996.4438794300002</v>
      </c>
      <c r="E21" s="5">
        <f ca="1">OFFSET([3]!Table_Corner, 16,Selected_NRG)</f>
        <v>1287.04296783</v>
      </c>
      <c r="F21" s="5">
        <f ca="1">OFFSET([4]!Table_Corner, 16,Selected_NRG)</f>
        <v>321.76699431999998</v>
      </c>
    </row>
    <row r="22" spans="2:6" x14ac:dyDescent="0.85">
      <c r="B22" s="5">
        <v>16</v>
      </c>
      <c r="C22" s="5">
        <f ca="1">OFFSET([1]!Table_Corner, 17,Selected_NRG)</f>
        <v>2291.5871869499997</v>
      </c>
      <c r="D22" s="5">
        <f ca="1">OFFSET([2]!Table_Corner, 17,Selected_NRG)</f>
        <v>2044.1904248999999</v>
      </c>
      <c r="E22" s="5">
        <f ca="1">OFFSET([3]!Table_Corner, 17,Selected_NRG)</f>
        <v>1315.0874184699999</v>
      </c>
      <c r="F22" s="5">
        <f ca="1">OFFSET([4]!Table_Corner, 17,Selected_NRG)</f>
        <v>333.55094301999998</v>
      </c>
    </row>
    <row r="23" spans="2:6" x14ac:dyDescent="0.85">
      <c r="B23" s="5">
        <v>17</v>
      </c>
      <c r="C23" s="5">
        <f ca="1">OFFSET([1]!Table_Corner, 18,Selected_NRG)</f>
        <v>2351.9164356199999</v>
      </c>
      <c r="D23" s="5">
        <f ca="1">OFFSET([2]!Table_Corner, 18,Selected_NRG)</f>
        <v>2095.1333248000005</v>
      </c>
      <c r="E23" s="5">
        <f ca="1">OFFSET([3]!Table_Corner, 18,Selected_NRG)</f>
        <v>1341.6008922400001</v>
      </c>
      <c r="F23" s="5">
        <f ca="1">OFFSET([4]!Table_Corner, 18,Selected_NRG)</f>
        <v>340.53450824999993</v>
      </c>
    </row>
    <row r="24" spans="2:6" x14ac:dyDescent="0.85">
      <c r="B24" s="5">
        <v>18</v>
      </c>
      <c r="C24" s="5">
        <f ca="1">OFFSET([1]!Table_Corner, 19,Selected_NRG)</f>
        <v>2413.0106191800005</v>
      </c>
      <c r="D24" s="5">
        <f ca="1">OFFSET([2]!Table_Corner, 19,Selected_NRG)</f>
        <v>2146.8575786899996</v>
      </c>
      <c r="E24" s="5">
        <f ca="1">OFFSET([3]!Table_Corner, 19,Selected_NRG)</f>
        <v>1369.35026182</v>
      </c>
      <c r="F24" s="5">
        <f ca="1">OFFSET([4]!Table_Corner, 19,Selected_NRG)</f>
        <v>348.62694150000004</v>
      </c>
    </row>
    <row r="25" spans="2:6" x14ac:dyDescent="0.85">
      <c r="B25" s="5">
        <v>19</v>
      </c>
      <c r="C25" s="5">
        <f ca="1">OFFSET([1]!Table_Corner, 20,Selected_NRG)</f>
        <v>2475.0264312099998</v>
      </c>
      <c r="D25" s="5">
        <f ca="1">OFFSET([2]!Table_Corner, 20,Selected_NRG)</f>
        <v>2197.3456028799997</v>
      </c>
      <c r="E25" s="5">
        <f ca="1">OFFSET([3]!Table_Corner, 20,Selected_NRG)</f>
        <v>1396.3911396599999</v>
      </c>
      <c r="F25" s="5">
        <f ca="1">OFFSET([4]!Table_Corner, 20,Selected_NRG)</f>
        <v>360.82479677999999</v>
      </c>
    </row>
    <row r="26" spans="2:6" x14ac:dyDescent="0.85">
      <c r="B26" s="5">
        <v>20</v>
      </c>
      <c r="C26" s="5">
        <f ca="1">OFFSET([1]!Table_Corner, 21,Selected_NRG)</f>
        <v>2537.9766267700002</v>
      </c>
      <c r="D26" s="5">
        <f ca="1">OFFSET([2]!Table_Corner, 21,Selected_NRG)</f>
        <v>2250.0098796700004</v>
      </c>
      <c r="E26" s="5">
        <f ca="1">OFFSET([3]!Table_Corner, 21,Selected_NRG)</f>
        <v>1424.68165017</v>
      </c>
      <c r="F26" s="5">
        <f ca="1">OFFSET([4]!Table_Corner, 21,Selected_NRG)</f>
        <v>372.33269844999995</v>
      </c>
    </row>
    <row r="27" spans="2:6" x14ac:dyDescent="0.85">
      <c r="B27" s="5">
        <v>21</v>
      </c>
      <c r="C27" s="5">
        <f ca="1">OFFSET([1]!Table_Corner, 22,Selected_NRG)</f>
        <v>2601.8181281600005</v>
      </c>
      <c r="D27" s="5">
        <f ca="1">OFFSET([2]!Table_Corner, 22,Selected_NRG)</f>
        <v>2303.15706714</v>
      </c>
      <c r="E27" s="5">
        <f ca="1">OFFSET([3]!Table_Corner, 22,Selected_NRG)</f>
        <v>1452.93284801</v>
      </c>
      <c r="F27" s="5">
        <f ca="1">OFFSET([4]!Table_Corner, 22,Selected_NRG)</f>
        <v>384.10172937999999</v>
      </c>
    </row>
    <row r="28" spans="2:6" x14ac:dyDescent="0.85">
      <c r="B28" s="5">
        <v>22</v>
      </c>
      <c r="C28" s="5">
        <f ca="1">OFFSET([1]!Table_Corner, 23,Selected_NRG)</f>
        <v>2666.6110859599999</v>
      </c>
      <c r="D28" s="5">
        <f ca="1">OFFSET([2]!Table_Corner, 23,Selected_NRG)</f>
        <v>2356.0750216400002</v>
      </c>
      <c r="E28" s="5">
        <f ca="1">OFFSET([3]!Table_Corner, 23,Selected_NRG)</f>
        <v>1481.7926403400004</v>
      </c>
      <c r="F28" s="5">
        <f ca="1">OFFSET([4]!Table_Corner, 23,Selected_NRG)</f>
        <v>395.80799122999991</v>
      </c>
    </row>
    <row r="29" spans="2:6" x14ac:dyDescent="0.85">
      <c r="B29" s="5">
        <v>23</v>
      </c>
      <c r="C29" s="5">
        <f ca="1">OFFSET([1]!Table_Corner, 24,Selected_NRG)</f>
        <v>2732.3807072899995</v>
      </c>
      <c r="D29" s="5">
        <f ca="1">OFFSET([2]!Table_Corner, 24,Selected_NRG)</f>
        <v>2410.7595906300003</v>
      </c>
      <c r="E29" s="5">
        <f ca="1">OFFSET([3]!Table_Corner, 24,Selected_NRG)</f>
        <v>1514.4902548099999</v>
      </c>
      <c r="F29" s="5">
        <f ca="1">OFFSET([4]!Table_Corner, 24,Selected_NRG)</f>
        <v>409.16563939999998</v>
      </c>
    </row>
    <row r="30" spans="2:6" x14ac:dyDescent="0.85">
      <c r="B30" s="5">
        <v>24</v>
      </c>
      <c r="C30" s="5">
        <f ca="1">OFFSET([1]!Table_Corner, 25,Selected_NRG)</f>
        <v>2799.15492262</v>
      </c>
      <c r="D30" s="5">
        <f ca="1">OFFSET([2]!Table_Corner, 25,Selected_NRG)</f>
        <v>2463.1840918299999</v>
      </c>
      <c r="E30" s="5">
        <f ca="1">OFFSET([3]!Table_Corner, 25,Selected_NRG)</f>
        <v>1548.3577618600002</v>
      </c>
      <c r="F30" s="5">
        <f ca="1">OFFSET([4]!Table_Corner, 25,Selected_NRG)</f>
        <v>422.06391327999995</v>
      </c>
    </row>
    <row r="31" spans="2:6" x14ac:dyDescent="0.85">
      <c r="B31" s="5">
        <v>25</v>
      </c>
      <c r="C31" s="5">
        <f ca="1">OFFSET([1]!Table_Corner, 26,Selected_NRG)</f>
        <v>2866.9795701000003</v>
      </c>
      <c r="D31" s="5">
        <f ca="1">OFFSET([2]!Table_Corner, 26,Selected_NRG)</f>
        <v>2516.5963010999999</v>
      </c>
      <c r="E31" s="5">
        <f ca="1">OFFSET([3]!Table_Corner, 26,Selected_NRG)</f>
        <v>1581.2150941900002</v>
      </c>
      <c r="F31" s="5">
        <f ca="1">OFFSET([4]!Table_Corner, 26,Selected_NRG)</f>
        <v>435.33438273000002</v>
      </c>
    </row>
    <row r="32" spans="2:6" x14ac:dyDescent="0.85">
      <c r="B32" s="5">
        <v>26</v>
      </c>
      <c r="C32" s="5">
        <f ca="1">OFFSET([1]!Table_Corner, 27,Selected_NRG)</f>
        <v>2935.8218563900004</v>
      </c>
      <c r="D32" s="5">
        <f ca="1">OFFSET([2]!Table_Corner, 27,Selected_NRG)</f>
        <v>2571.63407452</v>
      </c>
      <c r="E32" s="5">
        <f ca="1">OFFSET([3]!Table_Corner, 27,Selected_NRG)</f>
        <v>1613.6161245599997</v>
      </c>
      <c r="F32" s="5">
        <f ca="1">OFFSET([4]!Table_Corner, 27,Selected_NRG)</f>
        <v>448.41523528000005</v>
      </c>
    </row>
    <row r="33" spans="2:6" x14ac:dyDescent="0.85">
      <c r="B33" s="5">
        <v>27</v>
      </c>
      <c r="C33" s="5">
        <f ca="1">OFFSET([1]!Table_Corner, 28,Selected_NRG)</f>
        <v>3005.8252719399993</v>
      </c>
      <c r="D33" s="5">
        <f ca="1">OFFSET([2]!Table_Corner, 28,Selected_NRG)</f>
        <v>2626.1107659700006</v>
      </c>
      <c r="E33" s="5">
        <f ca="1">OFFSET([3]!Table_Corner, 28,Selected_NRG)</f>
        <v>1646.8212507000001</v>
      </c>
      <c r="F33" s="5">
        <f ca="1">OFFSET([4]!Table_Corner, 28,Selected_NRG)</f>
        <v>462.90689132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98066-5324-40CB-9EB9-1929A513EC1C}">
  <sheetPr codeName="Sheet5"/>
  <dimension ref="A1:Z33"/>
  <sheetViews>
    <sheetView workbookViewId="0">
      <selection activeCell="D4" sqref="D4"/>
    </sheetView>
  </sheetViews>
  <sheetFormatPr defaultColWidth="15.03515625" defaultRowHeight="14.6" x14ac:dyDescent="0.85"/>
  <cols>
    <col min="1" max="1" width="15.03515625" style="1"/>
    <col min="2" max="2" width="12.8828125" style="5" customWidth="1"/>
    <col min="3" max="26" width="15.03515625" style="5"/>
    <col min="27" max="16384" width="15.03515625" style="1"/>
  </cols>
  <sheetData>
    <row r="1" spans="1:8" x14ac:dyDescent="0.85">
      <c r="A1" s="1" t="str">
        <f>Graph_1y!$A$1</f>
        <v>Entire US</v>
      </c>
    </row>
    <row r="2" spans="1:8" x14ac:dyDescent="0.85">
      <c r="A2" s="1" t="str">
        <f>Graph_1y!$A$2</f>
        <v>CO2_MTons</v>
      </c>
    </row>
    <row r="3" spans="1:8" x14ac:dyDescent="0.85">
      <c r="A3" s="1" t="s">
        <v>4</v>
      </c>
      <c r="B3" s="1">
        <f>Graph_1y!$B$3</f>
        <v>3</v>
      </c>
      <c r="D3" s="5" t="str">
        <f>$A$1 &amp; " - " &amp; $A$2 &amp; " (" &amp; VLOOKUP(A2,Param_Table,3,FALSE) &amp; ") - Year " &amp; $B$3</f>
        <v>Entire US - CO2_MTons (MTons) - Year 3</v>
      </c>
    </row>
    <row r="4" spans="1:8" x14ac:dyDescent="0.85"/>
    <row r="5" spans="1:8" x14ac:dyDescent="0.85">
      <c r="B5" s="5">
        <v>-1</v>
      </c>
      <c r="C5" s="5" t="str">
        <f ca="1">OFFSET([1]!Table_Corner, 0, 1)</f>
        <v>Solar</v>
      </c>
      <c r="D5" s="5" t="str">
        <f ca="1">OFFSET([1]!Table_Corner, 0, 2)</f>
        <v>Wind</v>
      </c>
      <c r="E5" s="5" t="str">
        <f ca="1">OFFSET([1]!Table_Corner, 0, 3)</f>
        <v>Nuclear</v>
      </c>
      <c r="F5" s="5" t="str">
        <f ca="1">OFFSET([1]!Table_Corner, 0, 4)</f>
        <v>Gas</v>
      </c>
      <c r="G5" s="5" t="str">
        <f ca="1">OFFSET([1]!Table_Corner, 0, 5)</f>
        <v>Coal</v>
      </c>
      <c r="H5" s="5" t="str">
        <f ca="1">OFFSET([1]!Table_Corner, 0, 6)</f>
        <v>Storage</v>
      </c>
    </row>
    <row r="6" spans="1:8" x14ac:dyDescent="0.85">
      <c r="B6" s="6" t="s">
        <v>63</v>
      </c>
      <c r="C6" s="5">
        <f ca="1">OFFSET([1]!Table_Corner, Selected_Year, 1)</f>
        <v>0.53273645000000003</v>
      </c>
      <c r="D6" s="5">
        <f ca="1">OFFSET([1]!Table_Corner, Selected_Year, 2)</f>
        <v>1.44787501</v>
      </c>
      <c r="E6" s="5">
        <f ca="1">OFFSET([1]!Table_Corner, Selected_Year, 3)</f>
        <v>2.2184381600000007</v>
      </c>
      <c r="F6" s="5">
        <f ca="1">OFFSET([1]!Table_Corner, Selected_Year, 4)</f>
        <v>887.42996010999991</v>
      </c>
      <c r="G6" s="5">
        <f ca="1">OFFSET([1]!Table_Corner, Selected_Year, 5)</f>
        <v>625.2931033399999</v>
      </c>
      <c r="H6" s="5">
        <f ca="1">OFFSET([1]!Table_Corner, Selected_Year, 6)</f>
        <v>1.5469999999999999E-5</v>
      </c>
    </row>
    <row r="7" spans="1:8" x14ac:dyDescent="0.85">
      <c r="B7" s="6" t="s">
        <v>64</v>
      </c>
      <c r="C7" s="5">
        <f ca="1">OFFSET([2]!Table_Corner, Selected_Year, 1)</f>
        <v>0.60131471000000003</v>
      </c>
      <c r="D7" s="5">
        <f ca="1">OFFSET([2]!Table_Corner, Selected_Year, 2)</f>
        <v>1.6675585699999997</v>
      </c>
      <c r="E7" s="5">
        <f ca="1">OFFSET([2]!Table_Corner, Selected_Year, 3)</f>
        <v>2.2197064999999996</v>
      </c>
      <c r="F7" s="5">
        <f ca="1">OFFSET([2]!Table_Corner, Selected_Year, 4)</f>
        <v>873.8152747900001</v>
      </c>
      <c r="G7" s="5">
        <f ca="1">OFFSET([2]!Table_Corner, Selected_Year, 5)</f>
        <v>591.44855332999998</v>
      </c>
      <c r="H7" s="5">
        <f ca="1">OFFSET([2]!Table_Corner, Selected_Year, 6)</f>
        <v>1.9039999999999997E-5</v>
      </c>
    </row>
    <row r="8" spans="1:8" x14ac:dyDescent="0.85">
      <c r="B8" s="6" t="s">
        <v>65</v>
      </c>
      <c r="C8" s="5">
        <f ca="1">OFFSET([3]!Table_Corner, Selected_Year, 1)</f>
        <v>0.70255646000000005</v>
      </c>
      <c r="D8" s="5">
        <f ca="1">OFFSET([3]!Table_Corner, Selected_Year, 2)</f>
        <v>1.9608196099999999</v>
      </c>
      <c r="E8" s="5">
        <f ca="1">OFFSET([3]!Table_Corner, Selected_Year, 3)</f>
        <v>2.5250191100000001</v>
      </c>
      <c r="F8" s="5">
        <f ca="1">OFFSET([3]!Table_Corner, Selected_Year, 4)</f>
        <v>890.96822680999992</v>
      </c>
      <c r="G8" s="5">
        <f ca="1">OFFSET([3]!Table_Corner, Selected_Year, 5)</f>
        <v>402.59703837000006</v>
      </c>
      <c r="H8" s="5">
        <f ca="1">OFFSET([3]!Table_Corner, Selected_Year, 6)</f>
        <v>3.7629999999999997E-5</v>
      </c>
    </row>
    <row r="9" spans="1:8" x14ac:dyDescent="0.85">
      <c r="B9" s="6" t="s">
        <v>66</v>
      </c>
      <c r="C9" s="5">
        <f ca="1">OFFSET([4]!Table_Corner, Selected_Year, 1)</f>
        <v>0.7522057900000001</v>
      </c>
      <c r="D9" s="5">
        <f ca="1">OFFSET([4]!Table_Corner, Selected_Year, 2)</f>
        <v>1.9721759300000001</v>
      </c>
      <c r="E9" s="5">
        <f ca="1">OFFSET([4]!Table_Corner, Selected_Year, 3)</f>
        <v>3.3638380499999996</v>
      </c>
      <c r="F9" s="5">
        <f ca="1">OFFSET([4]!Table_Corner, Selected_Year, 4)</f>
        <v>823.48472382999989</v>
      </c>
      <c r="G9" s="5">
        <f ca="1">OFFSET([4]!Table_Corner, Selected_Year, 5)</f>
        <v>275.89184173999996</v>
      </c>
      <c r="H9" s="5">
        <f ca="1">OFFSET([4]!Table_Corner, Selected_Year, 6)</f>
        <v>3.5286999999999992E-4</v>
      </c>
    </row>
    <row r="10" spans="1:8" x14ac:dyDescent="0.85">
      <c r="B10" s="6"/>
    </row>
    <row r="11" spans="1:8" x14ac:dyDescent="0.85">
      <c r="B11" s="6"/>
    </row>
    <row r="12" spans="1:8" x14ac:dyDescent="0.85"/>
    <row r="13" spans="1:8" x14ac:dyDescent="0.85"/>
    <row r="14" spans="1:8" x14ac:dyDescent="0.85"/>
    <row r="15" spans="1:8" x14ac:dyDescent="0.85"/>
    <row r="16" spans="1:8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20</vt:i4>
      </vt:variant>
    </vt:vector>
  </HeadingPairs>
  <TitlesOfParts>
    <vt:vector size="26" baseType="lpstr">
      <vt:lpstr>Cases</vt:lpstr>
      <vt:lpstr>Reference</vt:lpstr>
      <vt:lpstr>Graph</vt:lpstr>
      <vt:lpstr>Graph_1y</vt:lpstr>
      <vt:lpstr>Calc</vt:lpstr>
      <vt:lpstr>Calc_1y</vt:lpstr>
      <vt:lpstr>_1st_ref</vt:lpstr>
      <vt:lpstr>Case_Count</vt:lpstr>
      <vt:lpstr>First_Case</vt:lpstr>
      <vt:lpstr>NRG_Selections</vt:lpstr>
      <vt:lpstr>NRG_Table</vt:lpstr>
      <vt:lpstr>Param_Count</vt:lpstr>
      <vt:lpstr>Param_Table</vt:lpstr>
      <vt:lpstr>Params</vt:lpstr>
      <vt:lpstr>Region</vt:lpstr>
      <vt:lpstr>Region_1y</vt:lpstr>
      <vt:lpstr>Region_abbr</vt:lpstr>
      <vt:lpstr>Region_lookup</vt:lpstr>
      <vt:lpstr>Regions</vt:lpstr>
      <vt:lpstr>Selected_NRG</vt:lpstr>
      <vt:lpstr>Selected_Year</vt:lpstr>
      <vt:lpstr>Table_Corner</vt:lpstr>
      <vt:lpstr>Table_Corner_1y</vt:lpstr>
      <vt:lpstr>To_Long</vt:lpstr>
      <vt:lpstr>Year_1y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2024-04-13T17:10:30Z</dcterms:modified>
</cp:coreProperties>
</file>