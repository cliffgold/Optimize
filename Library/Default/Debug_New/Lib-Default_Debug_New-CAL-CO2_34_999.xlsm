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bug_New/"/>
    </mc:Choice>
  </mc:AlternateContent>
  <xr:revisionPtr revIDLastSave="1" documentId="8_{6F7104EC-D11A-4AF6-BAF8-EF48897902FD}" xr6:coauthVersionLast="47" xr6:coauthVersionMax="47" xr10:uidLastSave="{1895078E-2742-4090-BCA4-0E64FBE6A2B3}"/>
  <bookViews>
    <workbookView xWindow="-90" yWindow="-90" windowWidth="16637" windowHeight="9437" xr2:uid="{F4D4EDAC-D9BE-40D7-9520-4AD57ED7D8EC}"/>
  </bookViews>
  <sheets>
    <sheet name="Graph" sheetId="1" r:id="rId1"/>
    <sheet name="Reference" sheetId="8" r:id="rId2"/>
    <sheet name="Cost_Graph" sheetId="6" r:id="rId3"/>
    <sheet name="Calc" sheetId="5" r:id="rId4"/>
    <sheet name="Cost_Calc" sheetId="7" r:id="rId5"/>
    <sheet name="Inbox" sheetId="9" r:id="rId6"/>
    <sheet name="CAL" sheetId="10" r:id="rId7"/>
  </sheets>
  <externalReferences>
    <externalReference r:id="rId8"/>
  </externalReferences>
  <definedNames>
    <definedName name="_1st_ref">Reference!$I$2</definedName>
    <definedName name="_xleta.VALUE" hidden="1" xlm="1">#NAME?</definedName>
    <definedName name="Battery_Cost">Cost_Graph!$B$14</definedName>
    <definedName name="Billion">Reference!$N$4</definedName>
    <definedName name="Capital">Cost_Graph!$B$4</definedName>
    <definedName name="CO2_">Cost_Graph!$B$7</definedName>
    <definedName name="Coal_Cost">Cost_Graph!$B$13</definedName>
    <definedName name="Delta_Corner">Calc!$K$12</definedName>
    <definedName name="filename_">Graph!$C$1</definedName>
    <definedName name="Fixed">Cost_Graph!$B$5</definedName>
    <definedName name="Gas_Cost">Cost_Graph!$B$12</definedName>
    <definedName name="Inbox">Inbox!$A$1</definedName>
    <definedName name="Include_Battery">Cost_Graph!$B$14</definedName>
    <definedName name="Include_Capital">Cost_Graph!$B$4</definedName>
    <definedName name="Include_CO2">Cost_Graph!$B$7</definedName>
    <definedName name="Include_Coal">Cost_Graph!$B$13</definedName>
    <definedName name="Include_Fixed">Cost_Graph!$B$5</definedName>
    <definedName name="Include_Gas">Cost_Graph!$B$12</definedName>
    <definedName name="Include_Nuclear">Cost_Graph!$B$11</definedName>
    <definedName name="Include_Solar">Cost_Graph!$B$9</definedName>
    <definedName name="Include_Variable">Cost_Graph!$B$6</definedName>
    <definedName name="Include_Wind">Cost_Graph!$B$10</definedName>
    <definedName name="Million">Reference!$N$3</definedName>
    <definedName name="Mult" localSheetId="1">[1]Calc!$C$4</definedName>
    <definedName name="Mult">Calc!$C$4</definedName>
    <definedName name="NRG_Selections">Reference!$J$2:$J$8</definedName>
    <definedName name="NRG_Table">Reference!$J$2:$L$8</definedName>
    <definedName name="Nuclear_Cost">Cost_Graph!$B$11</definedName>
    <definedName name="Param_Count">Reference!$H$2</definedName>
    <definedName name="Param_offset" localSheetId="1">[1]Calc!$C$5</definedName>
    <definedName name="Param_offset">Calc!$C$5</definedName>
    <definedName name="Param_Table">Reference!$D$2:$G$8</definedName>
    <definedName name="Parameter" localSheetId="1">[1]Graph!$A$2</definedName>
    <definedName name="Parameter">Graph!$A$2</definedName>
    <definedName name="Params">Reference!$D$2:$D$4</definedName>
    <definedName name="Region" localSheetId="1">[1]Graph!$A$1</definedName>
    <definedName name="Region">Graph!$A$1</definedName>
    <definedName name="Region_abbr" localSheetId="1">[1]Calc!$C$3</definedName>
    <definedName name="Region_abbr">Calc!$C$3</definedName>
    <definedName name="Region_Abbr_Cost">Cost_Calc!$C$1</definedName>
    <definedName name="Region_Cost" localSheetId="1">[1]Cost_Graph!$A$1</definedName>
    <definedName name="Region_Cost">Cost_Graph!$A$1</definedName>
    <definedName name="Region_lookup">Reference!$A$2:$B$15</definedName>
    <definedName name="Regions">Reference!$A$2:$A$15</definedName>
    <definedName name="Solar_Cost">Cost_Graph!$B$9</definedName>
    <definedName name="Table_Corner">Calc!$B$12</definedName>
    <definedName name="Thousand">Reference!$N$2</definedName>
    <definedName name="To_Long">Reference!$B$2:$C$16</definedName>
    <definedName name="Variable">Cost_Graph!$B$6</definedName>
    <definedName name="Wind_Cost">Cost_Graph!$B$10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5" l="1"/>
  <c r="K14" i="5"/>
  <c r="J15" i="5"/>
  <c r="J16" i="5" s="1"/>
  <c r="J17" i="5" s="1"/>
  <c r="J18" i="5" s="1"/>
  <c r="J19" i="5" s="1"/>
  <c r="J20" i="5" s="1"/>
  <c r="J21" i="5" s="1"/>
  <c r="J22" i="5" s="1"/>
  <c r="J23" i="5" s="1"/>
  <c r="J24" i="5" s="1"/>
  <c r="J25" i="5" s="1"/>
  <c r="J26" i="5" s="1"/>
  <c r="J27" i="5" s="1"/>
  <c r="J28" i="5" s="1"/>
  <c r="J29" i="5" s="1"/>
  <c r="J30" i="5" s="1"/>
  <c r="J31" i="5" s="1"/>
  <c r="J32" i="5" s="1"/>
  <c r="J33" i="5" s="1"/>
  <c r="J34" i="5" s="1"/>
  <c r="J35" i="5" s="1"/>
  <c r="J36" i="5" s="1"/>
  <c r="J37" i="5" s="1"/>
  <c r="J38" i="5" s="1"/>
  <c r="K15" i="5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A14" i="5"/>
  <c r="B14" i="5"/>
  <c r="A15" i="5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15" i="5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G8" i="8"/>
  <c r="G7" i="8"/>
  <c r="G6" i="8"/>
  <c r="G5" i="8"/>
  <c r="G3" i="8"/>
  <c r="K2" i="8"/>
  <c r="K3" i="8" s="1"/>
  <c r="K4" i="8" s="1"/>
  <c r="K5" i="8" s="1"/>
  <c r="K6" i="8" s="1"/>
  <c r="K7" i="8" s="1"/>
  <c r="G2" i="8" a="1"/>
  <c r="G2" i="8" s="1"/>
  <c r="C1" i="8"/>
  <c r="J13" i="5"/>
  <c r="J12" i="5"/>
  <c r="C5" i="5"/>
  <c r="H18" i="5" a="1"/>
  <c r="E20" i="5" a="1"/>
  <c r="H26" i="5" a="1"/>
  <c r="E28" i="5" a="1"/>
  <c r="H34" i="5" a="1"/>
  <c r="E36" i="5" a="1"/>
  <c r="D17" i="5" a="1"/>
  <c r="G23" i="5" a="1"/>
  <c r="D25" i="5" a="1"/>
  <c r="G31" i="5" a="1"/>
  <c r="D33" i="5" a="1"/>
  <c r="G39" i="5" a="1"/>
  <c r="F20" i="5" a="1"/>
  <c r="F28" i="5" a="1"/>
  <c r="C30" i="5" a="1"/>
  <c r="F36" i="5" a="1"/>
  <c r="E25" i="5" a="1"/>
  <c r="G15" i="5" a="1"/>
  <c r="C38" i="5" a="1"/>
  <c r="C14" i="5" a="1"/>
  <c r="C22" i="5" a="1"/>
  <c r="H15" i="5" a="1"/>
  <c r="E17" i="5" a="1"/>
  <c r="D14" i="5" a="1"/>
  <c r="G20" i="5" a="1"/>
  <c r="D22" i="5" a="1"/>
  <c r="G28" i="5" a="1"/>
  <c r="D30" i="5" a="1"/>
  <c r="G36" i="5" a="1"/>
  <c r="D38" i="5" a="1"/>
  <c r="E14" i="5" a="1"/>
  <c r="E22" i="5" a="1"/>
  <c r="H28" i="5" a="1"/>
  <c r="E38" i="5" a="1"/>
  <c r="D19" i="5" a="1"/>
  <c r="G25" i="5" a="1"/>
  <c r="D35" i="5" a="1"/>
  <c r="C16" i="5" a="1"/>
  <c r="F22" i="5" a="1"/>
  <c r="F30" i="5" a="1"/>
  <c r="H33" i="5" a="1"/>
  <c r="G14" i="5" a="1"/>
  <c r="G22" i="5" a="1"/>
  <c r="G30" i="5" a="1"/>
  <c r="C31" i="5" a="1"/>
  <c r="C39" i="5" a="1"/>
  <c r="G34" i="5" a="1"/>
  <c r="C33" i="5" a="1"/>
  <c r="F17" i="5" a="1"/>
  <c r="C19" i="5" a="1"/>
  <c r="F25" i="5" a="1"/>
  <c r="C27" i="5" a="1"/>
  <c r="F33" i="5" a="1"/>
  <c r="C35" i="5" a="1"/>
  <c r="H20" i="5" a="1"/>
  <c r="E30" i="5" a="1"/>
  <c r="H36" i="5" a="1"/>
  <c r="G17" i="5" a="1"/>
  <c r="D27" i="5" a="1"/>
  <c r="G33" i="5" a="1"/>
  <c r="F14" i="5" a="1"/>
  <c r="C24" i="5" a="1"/>
  <c r="C32" i="5" a="1"/>
  <c r="F38" i="5" a="1"/>
  <c r="H17" i="5" a="1"/>
  <c r="E19" i="5" a="1"/>
  <c r="E27" i="5" a="1"/>
  <c r="E35" i="5" a="1"/>
  <c r="D16" i="5" a="1"/>
  <c r="D24" i="5" a="1"/>
  <c r="D32" i="5" a="1"/>
  <c r="G38" i="5" a="1"/>
  <c r="G32" i="5" a="1"/>
  <c r="C23" i="5" a="1"/>
  <c r="E33" i="5" a="1"/>
  <c r="H25" i="5" a="1"/>
  <c r="E39" i="5" a="1"/>
  <c r="F15" i="5" a="1"/>
  <c r="F19" i="5" a="1"/>
  <c r="C21" i="5" a="1"/>
  <c r="F27" i="5" a="1"/>
  <c r="C29" i="5" a="1"/>
  <c r="F35" i="5" a="1"/>
  <c r="C37" i="5" a="1"/>
  <c r="H14" i="5" a="1"/>
  <c r="E16" i="5" a="1"/>
  <c r="H22" i="5" a="1"/>
  <c r="E24" i="5" a="1"/>
  <c r="H30" i="5" a="1"/>
  <c r="E32" i="5" a="1"/>
  <c r="H38" i="5" a="1"/>
  <c r="G19" i="5" a="1"/>
  <c r="D21" i="5" a="1"/>
  <c r="G27" i="5" a="1"/>
  <c r="D29" i="5" a="1"/>
  <c r="G35" i="5" a="1"/>
  <c r="D37" i="5" a="1"/>
  <c r="E29" i="5" a="1"/>
  <c r="H35" i="5" a="1"/>
  <c r="G16" i="5" a="1"/>
  <c r="G24" i="5" a="1"/>
  <c r="D34" i="5" a="1"/>
  <c r="F29" i="5" a="1"/>
  <c r="F37" i="5" a="1"/>
  <c r="C17" i="5" a="1"/>
  <c r="F16" i="5" a="1"/>
  <c r="C18" i="5" a="1"/>
  <c r="F24" i="5" a="1"/>
  <c r="C26" i="5" a="1"/>
  <c r="F32" i="5" a="1"/>
  <c r="C34" i="5" a="1"/>
  <c r="E21" i="5" a="1"/>
  <c r="H27" i="5" a="1"/>
  <c r="E37" i="5" a="1"/>
  <c r="D18" i="5" a="1"/>
  <c r="D26" i="5" a="1"/>
  <c r="F21" i="5" a="1"/>
  <c r="H19" i="5" a="1"/>
  <c r="F23" i="5" a="1"/>
  <c r="C15" i="5" a="1"/>
  <c r="H31" i="5" a="1"/>
  <c r="H16" i="5" a="1"/>
  <c r="E18" i="5" a="1"/>
  <c r="H24" i="5" a="1"/>
  <c r="E26" i="5" a="1"/>
  <c r="H32" i="5" a="1"/>
  <c r="E34" i="5" a="1"/>
  <c r="C20" i="5" a="1"/>
  <c r="F26" i="5" a="1"/>
  <c r="F34" i="5" a="1"/>
  <c r="D15" i="5" a="1"/>
  <c r="G21" i="5" a="1"/>
  <c r="D23" i="5" a="1"/>
  <c r="G29" i="5" a="1"/>
  <c r="D31" i="5" a="1"/>
  <c r="G37" i="5" a="1"/>
  <c r="D39" i="5" a="1"/>
  <c r="C28" i="5" a="1"/>
  <c r="C36" i="5" a="1"/>
  <c r="F18" i="5" a="1"/>
  <c r="H23" i="5" a="1"/>
  <c r="E15" i="5" a="1"/>
  <c r="H21" i="5" a="1"/>
  <c r="E23" i="5" a="1"/>
  <c r="H29" i="5" a="1"/>
  <c r="E31" i="5" a="1"/>
  <c r="H37" i="5" a="1"/>
  <c r="D36" i="5" a="1"/>
  <c r="C25" i="5" a="1"/>
  <c r="F39" i="5" a="1"/>
  <c r="H39" i="5" a="1"/>
  <c r="G18" i="5" a="1"/>
  <c r="D20" i="5" a="1"/>
  <c r="G26" i="5" a="1"/>
  <c r="D28" i="5" a="1"/>
  <c r="F31" i="5" a="1"/>
  <c r="F31" i="5" l="1"/>
  <c r="D28" i="5"/>
  <c r="G26" i="5"/>
  <c r="P25" i="5" s="1"/>
  <c r="D20" i="5"/>
  <c r="M19" i="5" s="1"/>
  <c r="G18" i="5"/>
  <c r="P17" i="5" s="1"/>
  <c r="H39" i="5"/>
  <c r="F39" i="5"/>
  <c r="C25" i="5"/>
  <c r="D36" i="5"/>
  <c r="H37" i="5"/>
  <c r="Q36" i="5" s="1"/>
  <c r="E31" i="5"/>
  <c r="N30" i="5" s="1"/>
  <c r="H29" i="5"/>
  <c r="Q28" i="5" s="1"/>
  <c r="E23" i="5"/>
  <c r="N22" i="5" s="1"/>
  <c r="H21" i="5"/>
  <c r="Q20" i="5" s="1"/>
  <c r="E15" i="5"/>
  <c r="N14" i="5" s="1"/>
  <c r="H23" i="5"/>
  <c r="F18" i="5"/>
  <c r="O17" i="5" s="1"/>
  <c r="C36" i="5"/>
  <c r="L35" i="5" s="1"/>
  <c r="C28" i="5"/>
  <c r="L27" i="5" s="1"/>
  <c r="D39" i="5"/>
  <c r="M38" i="5" s="1"/>
  <c r="G37" i="5"/>
  <c r="P36" i="5" s="1"/>
  <c r="D31" i="5"/>
  <c r="M30" i="5" s="1"/>
  <c r="G29" i="5"/>
  <c r="P28" i="5" s="1"/>
  <c r="D23" i="5"/>
  <c r="M22" i="5" s="1"/>
  <c r="G21" i="5"/>
  <c r="D15" i="5"/>
  <c r="F34" i="5"/>
  <c r="F26" i="5"/>
  <c r="C20" i="5"/>
  <c r="E34" i="5"/>
  <c r="H32" i="5"/>
  <c r="E26" i="5"/>
  <c r="H24" i="5"/>
  <c r="E18" i="5"/>
  <c r="H16" i="5"/>
  <c r="H31" i="5"/>
  <c r="C15" i="5"/>
  <c r="F23" i="5"/>
  <c r="H19" i="5"/>
  <c r="Q18" i="5" s="1"/>
  <c r="F21" i="5"/>
  <c r="D26" i="5"/>
  <c r="M25" i="5" s="1"/>
  <c r="D18" i="5"/>
  <c r="M17" i="5" s="1"/>
  <c r="E37" i="5"/>
  <c r="N36" i="5" s="1"/>
  <c r="H27" i="5"/>
  <c r="Q26" i="5" s="1"/>
  <c r="E21" i="5"/>
  <c r="N20" i="5" s="1"/>
  <c r="C34" i="5"/>
  <c r="F32" i="5"/>
  <c r="O31" i="5" s="1"/>
  <c r="C26" i="5"/>
  <c r="F24" i="5"/>
  <c r="C18" i="5"/>
  <c r="F16" i="5"/>
  <c r="C17" i="5"/>
  <c r="F37" i="5"/>
  <c r="F29" i="5"/>
  <c r="D34" i="5"/>
  <c r="M33" i="5" s="1"/>
  <c r="G24" i="5"/>
  <c r="P23" i="5" s="1"/>
  <c r="G16" i="5"/>
  <c r="H35" i="5"/>
  <c r="Q34" i="5" s="1"/>
  <c r="E29" i="5"/>
  <c r="N28" i="5" s="1"/>
  <c r="D37" i="5"/>
  <c r="M36" i="5" s="1"/>
  <c r="G35" i="5"/>
  <c r="D29" i="5"/>
  <c r="M28" i="5" s="1"/>
  <c r="G27" i="5"/>
  <c r="P26" i="5" s="1"/>
  <c r="D21" i="5"/>
  <c r="M20" i="5" s="1"/>
  <c r="G19" i="5"/>
  <c r="P18" i="5" s="1"/>
  <c r="H38" i="5"/>
  <c r="Q37" i="5" s="1"/>
  <c r="E32" i="5"/>
  <c r="N31" i="5" s="1"/>
  <c r="H30" i="5"/>
  <c r="Q29" i="5" s="1"/>
  <c r="E24" i="5"/>
  <c r="N23" i="5" s="1"/>
  <c r="H22" i="5"/>
  <c r="Q21" i="5" s="1"/>
  <c r="E16" i="5"/>
  <c r="N15" i="5" s="1"/>
  <c r="H14" i="5"/>
  <c r="C37" i="5"/>
  <c r="F35" i="5"/>
  <c r="C29" i="5"/>
  <c r="F27" i="5"/>
  <c r="O26" i="5" s="1"/>
  <c r="C21" i="5"/>
  <c r="L20" i="5" s="1"/>
  <c r="F19" i="5"/>
  <c r="F15" i="5"/>
  <c r="E39" i="5"/>
  <c r="N38" i="5" s="1"/>
  <c r="H25" i="5"/>
  <c r="Q24" i="5" s="1"/>
  <c r="E33" i="5"/>
  <c r="C23" i="5"/>
  <c r="G32" i="5"/>
  <c r="P31" i="5" s="1"/>
  <c r="G38" i="5"/>
  <c r="D32" i="5"/>
  <c r="D24" i="5"/>
  <c r="D16" i="5"/>
  <c r="M15" i="5" s="1"/>
  <c r="E35" i="5"/>
  <c r="N34" i="5" s="1"/>
  <c r="E27" i="5"/>
  <c r="N26" i="5" s="1"/>
  <c r="E19" i="5"/>
  <c r="N18" i="5" s="1"/>
  <c r="H17" i="5"/>
  <c r="Q16" i="5" s="1"/>
  <c r="F38" i="5"/>
  <c r="O37" i="5" s="1"/>
  <c r="C32" i="5"/>
  <c r="L31" i="5" s="1"/>
  <c r="C24" i="5"/>
  <c r="L23" i="5" s="1"/>
  <c r="F14" i="5"/>
  <c r="G33" i="5"/>
  <c r="D27" i="5"/>
  <c r="G17" i="5"/>
  <c r="H36" i="5"/>
  <c r="E30" i="5"/>
  <c r="H20" i="5"/>
  <c r="C35" i="5"/>
  <c r="F33" i="5"/>
  <c r="C27" i="5"/>
  <c r="F25" i="5"/>
  <c r="O24" i="5" s="1"/>
  <c r="C19" i="5"/>
  <c r="L18" i="5" s="1"/>
  <c r="F17" i="5"/>
  <c r="O16" i="5" s="1"/>
  <c r="C33" i="5"/>
  <c r="G34" i="5"/>
  <c r="P33" i="5" s="1"/>
  <c r="C39" i="5"/>
  <c r="C31" i="5"/>
  <c r="G30" i="5"/>
  <c r="G22" i="5"/>
  <c r="P21" i="5" s="1"/>
  <c r="G14" i="5"/>
  <c r="H33" i="5"/>
  <c r="Q32" i="5" s="1"/>
  <c r="F30" i="5"/>
  <c r="O29" i="5" s="1"/>
  <c r="F22" i="5"/>
  <c r="O21" i="5" s="1"/>
  <c r="C16" i="5"/>
  <c r="D35" i="5"/>
  <c r="M34" i="5" s="1"/>
  <c r="G25" i="5"/>
  <c r="D19" i="5"/>
  <c r="E38" i="5"/>
  <c r="H28" i="5"/>
  <c r="E22" i="5"/>
  <c r="E14" i="5"/>
  <c r="D38" i="5"/>
  <c r="G36" i="5"/>
  <c r="D30" i="5"/>
  <c r="G28" i="5"/>
  <c r="D22" i="5"/>
  <c r="G20" i="5"/>
  <c r="D14" i="5"/>
  <c r="E17" i="5"/>
  <c r="H15" i="5"/>
  <c r="C22" i="5"/>
  <c r="L21" i="5" s="1"/>
  <c r="C14" i="5"/>
  <c r="C38" i="5"/>
  <c r="L37" i="5" s="1"/>
  <c r="G15" i="5"/>
  <c r="E25" i="5"/>
  <c r="F36" i="5"/>
  <c r="O35" i="5" s="1"/>
  <c r="C30" i="5"/>
  <c r="F28" i="5"/>
  <c r="O27" i="5" s="1"/>
  <c r="F20" i="5"/>
  <c r="O19" i="5" s="1"/>
  <c r="G39" i="5"/>
  <c r="D33" i="5"/>
  <c r="G31" i="5"/>
  <c r="D25" i="5"/>
  <c r="G23" i="5"/>
  <c r="D17" i="5"/>
  <c r="E36" i="5"/>
  <c r="H34" i="5"/>
  <c r="E28" i="5"/>
  <c r="H26" i="5"/>
  <c r="Q25" i="5" s="1"/>
  <c r="E20" i="5"/>
  <c r="H18" i="5"/>
  <c r="AF5" i="7"/>
  <c r="AF4" i="7"/>
  <c r="V5" i="7"/>
  <c r="V4" i="7"/>
  <c r="L5" i="7"/>
  <c r="B5" i="7"/>
  <c r="L4" i="7"/>
  <c r="B4" i="7"/>
  <c r="AF8" i="7"/>
  <c r="AE8" i="7"/>
  <c r="V8" i="7"/>
  <c r="U8" i="7"/>
  <c r="P14" i="5" l="1"/>
  <c r="I26" i="5"/>
  <c r="L25" i="5"/>
  <c r="I16" i="5"/>
  <c r="R15" i="5" s="1"/>
  <c r="L15" i="5"/>
  <c r="I34" i="5"/>
  <c r="L33" i="5"/>
  <c r="I30" i="5"/>
  <c r="L29" i="5"/>
  <c r="N24" i="5"/>
  <c r="P29" i="5"/>
  <c r="L30" i="5"/>
  <c r="O20" i="5"/>
  <c r="Q22" i="5"/>
  <c r="Q14" i="5"/>
  <c r="L38" i="5"/>
  <c r="M23" i="5"/>
  <c r="N16" i="5"/>
  <c r="M31" i="5"/>
  <c r="O22" i="5"/>
  <c r="L32" i="5"/>
  <c r="P37" i="5"/>
  <c r="P34" i="5"/>
  <c r="L14" i="5"/>
  <c r="Q17" i="5"/>
  <c r="P19" i="5"/>
  <c r="Q30" i="5"/>
  <c r="N19" i="5"/>
  <c r="M21" i="5"/>
  <c r="L22" i="5"/>
  <c r="Q15" i="5"/>
  <c r="P27" i="5"/>
  <c r="N32" i="5"/>
  <c r="N17" i="5"/>
  <c r="N27" i="5"/>
  <c r="M29" i="5"/>
  <c r="L26" i="5"/>
  <c r="P15" i="5"/>
  <c r="Q23" i="5"/>
  <c r="M35" i="5"/>
  <c r="Q33" i="5"/>
  <c r="P35" i="5"/>
  <c r="O32" i="5"/>
  <c r="N25" i="5"/>
  <c r="L24" i="5"/>
  <c r="N35" i="5"/>
  <c r="M37" i="5"/>
  <c r="L34" i="5"/>
  <c r="O14" i="5"/>
  <c r="Q31" i="5"/>
  <c r="O38" i="5"/>
  <c r="M16" i="5"/>
  <c r="Q19" i="5"/>
  <c r="O18" i="5"/>
  <c r="O28" i="5"/>
  <c r="N33" i="5"/>
  <c r="Q38" i="5"/>
  <c r="P22" i="5"/>
  <c r="N21" i="5"/>
  <c r="N29" i="5"/>
  <c r="O36" i="5"/>
  <c r="L19" i="5"/>
  <c r="M24" i="5"/>
  <c r="Q27" i="5"/>
  <c r="Q35" i="5"/>
  <c r="L16" i="5"/>
  <c r="O25" i="5"/>
  <c r="P30" i="5"/>
  <c r="N37" i="5"/>
  <c r="P16" i="5"/>
  <c r="L28" i="5"/>
  <c r="O15" i="5"/>
  <c r="O33" i="5"/>
  <c r="M32" i="5"/>
  <c r="M18" i="5"/>
  <c r="M26" i="5"/>
  <c r="O34" i="5"/>
  <c r="I18" i="5"/>
  <c r="L17" i="5"/>
  <c r="M14" i="5"/>
  <c r="M27" i="5"/>
  <c r="P38" i="5"/>
  <c r="P24" i="5"/>
  <c r="P32" i="5"/>
  <c r="I37" i="5"/>
  <c r="L36" i="5"/>
  <c r="O23" i="5"/>
  <c r="P20" i="5"/>
  <c r="O30" i="5"/>
  <c r="I24" i="5"/>
  <c r="R23" i="5" s="1"/>
  <c r="I36" i="5"/>
  <c r="R35" i="5" s="1"/>
  <c r="I32" i="5"/>
  <c r="I38" i="5"/>
  <c r="R37" i="5" s="1"/>
  <c r="I14" i="5"/>
  <c r="I31" i="5"/>
  <c r="R30" i="5" s="1"/>
  <c r="I39" i="5"/>
  <c r="R38" i="5" s="1"/>
  <c r="I33" i="5"/>
  <c r="I15" i="5"/>
  <c r="I23" i="5"/>
  <c r="I27" i="5"/>
  <c r="R26" i="5" s="1"/>
  <c r="I20" i="5"/>
  <c r="I28" i="5"/>
  <c r="R27" i="5" s="1"/>
  <c r="I22" i="5"/>
  <c r="I19" i="5"/>
  <c r="R18" i="5" s="1"/>
  <c r="I25" i="5"/>
  <c r="I35" i="5"/>
  <c r="R34" i="5" s="1"/>
  <c r="I21" i="5"/>
  <c r="R20" i="5" s="1"/>
  <c r="I17" i="5"/>
  <c r="R16" i="5" s="1"/>
  <c r="I29" i="5"/>
  <c r="R28" i="5" s="1"/>
  <c r="L8" i="7"/>
  <c r="K8" i="7"/>
  <c r="C1" i="7"/>
  <c r="B8" i="7"/>
  <c r="A8" i="7"/>
  <c r="E3" i="5"/>
  <c r="B6" i="5"/>
  <c r="I6" i="6"/>
  <c r="I7" i="6" s="1"/>
  <c r="I8" i="6" s="1"/>
  <c r="I9" i="6" s="1"/>
  <c r="I10" i="6" s="1"/>
  <c r="I11" i="6" s="1"/>
  <c r="I12" i="6" s="1"/>
  <c r="I13" i="6" s="1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K13" i="5"/>
  <c r="B13" i="5"/>
  <c r="A13" i="5"/>
  <c r="C3" i="5"/>
  <c r="R32" i="5" l="1"/>
  <c r="R31" i="5"/>
  <c r="R36" i="5"/>
  <c r="R24" i="5"/>
  <c r="R29" i="5"/>
  <c r="R21" i="5"/>
  <c r="R17" i="5"/>
  <c r="R33" i="5"/>
  <c r="R19" i="5"/>
  <c r="R22" i="5"/>
  <c r="R14" i="5"/>
  <c r="R25" i="5"/>
  <c r="AG6" i="7"/>
  <c r="W6" i="7"/>
  <c r="C11" i="5"/>
  <c r="C6" i="7"/>
  <c r="M6" i="7"/>
  <c r="C4" i="5"/>
  <c r="AG8" i="7" a="1"/>
  <c r="C13" i="5" a="1"/>
  <c r="C8" i="7" a="1"/>
  <c r="W8" i="7" a="1"/>
  <c r="M8" i="7" a="1"/>
  <c r="M8" i="7" l="1"/>
  <c r="W8" i="7"/>
  <c r="AG8" i="7"/>
  <c r="C8" i="7"/>
  <c r="D11" i="5"/>
  <c r="AH6" i="7"/>
  <c r="X6" i="7"/>
  <c r="N6" i="7"/>
  <c r="D6" i="7"/>
  <c r="C13" i="5"/>
  <c r="D8" i="7" a="1"/>
  <c r="D13" i="5" a="1"/>
  <c r="N8" i="7" a="1"/>
  <c r="X8" i="7" a="1"/>
  <c r="AH8" i="7" a="1"/>
  <c r="X8" i="7" l="1"/>
  <c r="N8" i="7"/>
  <c r="AH8" i="7"/>
  <c r="D8" i="7"/>
  <c r="D13" i="5"/>
  <c r="E11" i="5"/>
  <c r="AI6" i="7"/>
  <c r="Y6" i="7"/>
  <c r="O6" i="7"/>
  <c r="E6" i="7"/>
  <c r="L13" i="5"/>
  <c r="E8" i="7" a="1"/>
  <c r="E13" i="5" a="1"/>
  <c r="O8" i="7" a="1"/>
  <c r="AI8" i="7" a="1"/>
  <c r="Y8" i="7" a="1"/>
  <c r="AI8" i="7" l="1"/>
  <c r="Y8" i="7"/>
  <c r="O8" i="7"/>
  <c r="E8" i="7"/>
  <c r="M13" i="5"/>
  <c r="E13" i="5"/>
  <c r="F11" i="5"/>
  <c r="AJ6" i="7"/>
  <c r="Z6" i="7"/>
  <c r="F6" i="7"/>
  <c r="P6" i="7"/>
  <c r="F13" i="5" a="1"/>
  <c r="Z8" i="7" a="1"/>
  <c r="F8" i="7" a="1"/>
  <c r="P8" i="7" a="1"/>
  <c r="AJ8" i="7" a="1"/>
  <c r="Z8" i="7" l="1"/>
  <c r="AJ8" i="7"/>
  <c r="P8" i="7"/>
  <c r="F8" i="7"/>
  <c r="N13" i="5"/>
  <c r="F13" i="5"/>
  <c r="G11" i="5"/>
  <c r="AK6" i="7"/>
  <c r="AA6" i="7"/>
  <c r="G6" i="7"/>
  <c r="Q6" i="7"/>
  <c r="Q8" i="7" a="1"/>
  <c r="AA8" i="7" a="1"/>
  <c r="G13" i="5" a="1"/>
  <c r="AK8" i="7" a="1"/>
  <c r="G8" i="7" a="1"/>
  <c r="AK8" i="7" l="1"/>
  <c r="AA8" i="7"/>
  <c r="Q8" i="7"/>
  <c r="G8" i="7"/>
  <c r="O13" i="5"/>
  <c r="G13" i="5"/>
  <c r="H11" i="5"/>
  <c r="AL6" i="7"/>
  <c r="AB6" i="7"/>
  <c r="H6" i="7"/>
  <c r="R6" i="7"/>
  <c r="H13" i="5" a="1"/>
  <c r="AB8" i="7" a="1"/>
  <c r="AL8" i="7" a="1"/>
  <c r="R8" i="7" a="1"/>
  <c r="H8" i="7" a="1"/>
  <c r="AL8" i="7" l="1"/>
  <c r="AM8" i="7" s="1"/>
  <c r="R8" i="7"/>
  <c r="S8" i="7" s="1"/>
  <c r="AB8" i="7"/>
  <c r="AC8" i="7" s="1"/>
  <c r="H8" i="7"/>
  <c r="P13" i="5"/>
  <c r="H13" i="5"/>
  <c r="I13" i="5" s="1"/>
  <c r="R13" i="5" l="1"/>
  <c r="Q13" i="5"/>
  <c r="I8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F56791B-585C-42B8-BD1A-84EC27EA44C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98A57A7-C206-420E-8B82-15BCF42C333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<sst xmlns="http://schemas.openxmlformats.org/spreadsheetml/2006/main" count="285" uniqueCount="202">
  <si>
    <t>Solar</t>
  </si>
  <si>
    <t>Wind</t>
  </si>
  <si>
    <t>Nuclear</t>
  </si>
  <si>
    <t>Gas</t>
  </si>
  <si>
    <t>Coal</t>
  </si>
  <si>
    <t>Sum</t>
  </si>
  <si>
    <t>Lib-Default_Debug_New-CAL-CO2_40_40.xlsm</t>
  </si>
  <si>
    <t>Offset</t>
  </si>
  <si>
    <t>California</t>
  </si>
  <si>
    <t>Cost</t>
  </si>
  <si>
    <t>Year</t>
  </si>
  <si>
    <t>Battery</t>
  </si>
  <si>
    <t>Region_abbr</t>
  </si>
  <si>
    <t>Mult</t>
  </si>
  <si>
    <t>Capital</t>
  </si>
  <si>
    <t>Fixed</t>
  </si>
  <si>
    <t>Variable</t>
  </si>
  <si>
    <t>CO2</t>
  </si>
  <si>
    <t>Yearly Change</t>
  </si>
  <si>
    <t>Capacity GW</t>
  </si>
  <si>
    <t>Param_offset</t>
  </si>
  <si>
    <t>Offsets</t>
  </si>
  <si>
    <t>Include_Capital</t>
  </si>
  <si>
    <t>Include_Fixed</t>
  </si>
  <si>
    <t>Include_Variable</t>
  </si>
  <si>
    <t>Include_CO2</t>
  </si>
  <si>
    <t>Include_Solar</t>
  </si>
  <si>
    <t>Include_Wind</t>
  </si>
  <si>
    <t>Include_Nuclear</t>
  </si>
  <si>
    <t>Include_Gas</t>
  </si>
  <si>
    <t>Include_Coal</t>
  </si>
  <si>
    <t>Include_Battery</t>
  </si>
  <si>
    <t>Region_Abbr_Cost</t>
  </si>
  <si>
    <t>Offsets -&gt;</t>
  </si>
  <si>
    <t>Changes year-to-year:</t>
  </si>
  <si>
    <t>Multiplier</t>
  </si>
  <si>
    <t>Lib-Default_Debug_New-CAL-CO2_34_999.xlsm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</si>
  <si>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</si>
  <si>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</si>
  <si>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</si>
  <si>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</si>
  <si>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</si>
  <si>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</si>
  <si>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</si>
  <si>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</si>
  <si>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</si>
  <si>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Entire US</t>
  </si>
  <si>
    <t>US</t>
  </si>
  <si>
    <t>GW</t>
  </si>
  <si>
    <t>Thousand</t>
  </si>
  <si>
    <t>CAL</t>
  </si>
  <si>
    <t>Energy TWh</t>
  </si>
  <si>
    <t>TWh</t>
  </si>
  <si>
    <t>Million</t>
  </si>
  <si>
    <t>Carolinas</t>
  </si>
  <si>
    <t>CAR</t>
  </si>
  <si>
    <t>CO2_MTons</t>
  </si>
  <si>
    <t>MTons</t>
  </si>
  <si>
    <t>Billion</t>
  </si>
  <si>
    <t>Central</t>
  </si>
  <si>
    <t>CENT</t>
  </si>
  <si>
    <t>Capital Cost</t>
  </si>
  <si>
    <t>B$</t>
  </si>
  <si>
    <t>Florida</t>
  </si>
  <si>
    <t>FLA</t>
  </si>
  <si>
    <t>Fixed Cost</t>
  </si>
  <si>
    <t>Mid Atlantic</t>
  </si>
  <si>
    <t>MIDA</t>
  </si>
  <si>
    <t>Variable Cost</t>
  </si>
  <si>
    <t>Mid West</t>
  </si>
  <si>
    <t>MIDW</t>
  </si>
  <si>
    <t>CO2 Cost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</si>
  <si>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</si>
  <si>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</si>
  <si>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</si>
  <si>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</si>
  <si>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</si>
  <si>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</si>
  <si>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</si>
  <si>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</si>
  <si>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</si>
  <si>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</si>
  <si>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</si>
  <si>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</si>
  <si>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</si>
  <si>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</si>
  <si>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</si>
  <si>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</si>
  <si>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</si>
  <si>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</si>
  <si>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</si>
  <si>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</si>
  <si>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</si>
  <si>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</si>
  <si>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</si>
  <si>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Debug_New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</si>
  <si>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</si>
  <si>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</si>
  <si>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</si>
  <si>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</si>
  <si>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</si>
  <si>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</si>
  <si>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</si>
  <si>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</si>
  <si>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</si>
  <si>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</si>
  <si>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</si>
  <si>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</si>
  <si>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</si>
  <si>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</si>
  <si>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</si>
  <si>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</si>
  <si>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</si>
  <si>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</si>
  <si>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</si>
  <si>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</si>
  <si>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</si>
  <si>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</si>
  <si>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</si>
  <si>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</si>
  <si>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</si>
  <si>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</si>
  <si>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</si>
  <si>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</si>
  <si>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</si>
  <si>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</si>
  <si>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</si>
  <si>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</si>
  <si>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</si>
  <si>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</si>
  <si>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</si>
  <si>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CO2_M$_MT</t>
  </si>
  <si>
    <t>Target_MWh</t>
  </si>
  <si>
    <t>Outage_MWh</t>
  </si>
  <si>
    <t>Outage_M$_MWh</t>
  </si>
  <si>
    <t>Iterations</t>
  </si>
  <si>
    <t>Solar_MW</t>
  </si>
  <si>
    <t>Solar_MWh</t>
  </si>
  <si>
    <t>Solar_Capital_M$</t>
  </si>
  <si>
    <t>Solar_Fixed_M$</t>
  </si>
  <si>
    <t>Solar_Variable_M$</t>
  </si>
  <si>
    <t>Solar_CO2_M$</t>
  </si>
  <si>
    <t>Solar_Start_Knob</t>
  </si>
  <si>
    <t>Solar_Optimized_Knob</t>
  </si>
  <si>
    <t>Solar_Max_Knob</t>
  </si>
  <si>
    <t>Solar_Decadence</t>
  </si>
  <si>
    <t>Solar_Avg_Cap_Factor</t>
  </si>
  <si>
    <t>Wind_MW</t>
  </si>
  <si>
    <t>Wind_MWh</t>
  </si>
  <si>
    <t>Wind_Capital_M$</t>
  </si>
  <si>
    <t>Wind_Fixed_M$</t>
  </si>
  <si>
    <t>Wind_Variable_M$</t>
  </si>
  <si>
    <t>Wind_CO2_M$</t>
  </si>
  <si>
    <t>Wind_Start_Knob</t>
  </si>
  <si>
    <t>Wind_Optimized_Knob</t>
  </si>
  <si>
    <t>Wind_Max_Knob</t>
  </si>
  <si>
    <t>Wind_Decadence</t>
  </si>
  <si>
    <t>Wind_Avg_Cap_Factor</t>
  </si>
  <si>
    <t>Nuclear_MW</t>
  </si>
  <si>
    <t>Nuclear_MWh</t>
  </si>
  <si>
    <t>Nuclear_Capital_M$</t>
  </si>
  <si>
    <t>Nuclear_Fixed_M$</t>
  </si>
  <si>
    <t>Nuclear_Variable_M$</t>
  </si>
  <si>
    <t>Nuclear_CO2_M$</t>
  </si>
  <si>
    <t>Nuclear_Start_Knob</t>
  </si>
  <si>
    <t>Nuclear_Optimized_Knob</t>
  </si>
  <si>
    <t>Nuclear_Max_Knob</t>
  </si>
  <si>
    <t>Nuclear_Decadence</t>
  </si>
  <si>
    <t>Nuclear_Avg_Cap_Factor</t>
  </si>
  <si>
    <t>Gas_MW</t>
  </si>
  <si>
    <t>Gas_MWh</t>
  </si>
  <si>
    <t>Gas_Capital_M$</t>
  </si>
  <si>
    <t>Gas_Fixed_M$</t>
  </si>
  <si>
    <t>Gas_Variable_M$</t>
  </si>
  <si>
    <t>Gas_CO2_M$</t>
  </si>
  <si>
    <t>Gas_Start_Knob</t>
  </si>
  <si>
    <t>Gas_Optimized_Knob</t>
  </si>
  <si>
    <t>Gas_Max_Knob</t>
  </si>
  <si>
    <t>Gas_Decadence</t>
  </si>
  <si>
    <t>Gas_Avg_Cap_Factor</t>
  </si>
  <si>
    <t>Coal_MW</t>
  </si>
  <si>
    <t>Coal_MWh</t>
  </si>
  <si>
    <t>Coal_Capital_M$</t>
  </si>
  <si>
    <t>Coal_Fixed_M$</t>
  </si>
  <si>
    <t>Coal_Variable_M$</t>
  </si>
  <si>
    <t>Coal_CO2_M$</t>
  </si>
  <si>
    <t>Coal_Start_Knob</t>
  </si>
  <si>
    <t>Coal_Optimized_Knob</t>
  </si>
  <si>
    <t>Coal_Max_Knob</t>
  </si>
  <si>
    <t>Coal_Decadence</t>
  </si>
  <si>
    <t>Coal_Avg_Cap_Factor</t>
  </si>
  <si>
    <t>Battery_MW</t>
  </si>
  <si>
    <t>Battery_MWh</t>
  </si>
  <si>
    <t>Battery_Capital_M$</t>
  </si>
  <si>
    <t>Battery_Fixed_M$</t>
  </si>
  <si>
    <t>Battery_Variable_M$</t>
  </si>
  <si>
    <t>Battery_CO2_M$</t>
  </si>
  <si>
    <t>Battery_Start_Knob</t>
  </si>
  <si>
    <t>Battery_Optimized_Knob</t>
  </si>
  <si>
    <t>Battery_Max_Knob</t>
  </si>
  <si>
    <t>Battery_Decadence</t>
  </si>
  <si>
    <t>Battery_Avg_Cap_Factor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</si>
</sst>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000"/>
    <numFmt numFmtId="165" formatCode="#,##0.00000"/>
    <numFmt numFmtId="166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3" fontId="0" fillId="0" borderId="0" xfId="0" applyNumberFormat="1"/>
    <xf numFmtId="164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165" fontId="0" fillId="0" borderId="0" xfId="0" applyNumberFormat="1"/>
    <xf numFmtId="1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4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2">
    <dxf>
      <numFmt numFmtId="167" formatCode="0.0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Capacity GW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Calc!$C$12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Calc!$C$13:$C$39</c:f>
              <c:numCache>
                <c:formatCode>#,##0.00000</c:formatCode>
                <c:ptCount val="27"/>
                <c:pt idx="0">
                  <c:v>19.202000000000002</c:v>
                </c:pt>
                <c:pt idx="1">
                  <c:v>20.648364775120001</c:v>
                </c:pt>
                <c:pt idx="2">
                  <c:v>22.191599545960003</c:v>
                </c:pt>
                <c:pt idx="3">
                  <c:v>23.83739906441</c:v>
                </c:pt>
                <c:pt idx="4">
                  <c:v>25.59178198136</c:v>
                </c:pt>
                <c:pt idx="5">
                  <c:v>27.461108893630001</c:v>
                </c:pt>
                <c:pt idx="6">
                  <c:v>29.45210140479</c:v>
                </c:pt>
                <c:pt idx="7">
                  <c:v>31.571862254119999</c:v>
                </c:pt>
                <c:pt idx="8">
                  <c:v>33.827896573140002</c:v>
                </c:pt>
                <c:pt idx="9">
                  <c:v>36.228145899239998</c:v>
                </c:pt>
                <c:pt idx="10">
                  <c:v>38.780966327889999</c:v>
                </c:pt>
                <c:pt idx="11">
                  <c:v>41.495220811630006</c:v>
                </c:pt>
                <c:pt idx="12">
                  <c:v>44.380261406679999</c:v>
                </c:pt>
                <c:pt idx="13">
                  <c:v>47.445968048959998</c:v>
                </c:pt>
                <c:pt idx="14">
                  <c:v>50.702778010670002</c:v>
                </c:pt>
                <c:pt idx="15">
                  <c:v>54.161716992000002</c:v>
                </c:pt>
                <c:pt idx="16">
                  <c:v>57.834431957450001</c:v>
                </c:pt>
                <c:pt idx="17">
                  <c:v>61.733225918279999</c:v>
                </c:pt>
                <c:pt idx="18">
                  <c:v>65.871093965699998</c:v>
                </c:pt>
                <c:pt idx="19">
                  <c:v>70.261762529210003</c:v>
                </c:pt>
                <c:pt idx="20">
                  <c:v>74.919730028549992</c:v>
                </c:pt>
                <c:pt idx="21">
                  <c:v>79.860309929850004</c:v>
                </c:pt>
                <c:pt idx="22">
                  <c:v>85.099676158770009</c:v>
                </c:pt>
                <c:pt idx="23">
                  <c:v>90.654911413700006</c:v>
                </c:pt>
                <c:pt idx="24">
                  <c:v>96.539010926300008</c:v>
                </c:pt>
                <c:pt idx="25">
                  <c:v>102.67253680815001</c:v>
                </c:pt>
                <c:pt idx="26">
                  <c:v>109.0727198331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Calc!$D$12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Calc!$D$13:$D$39</c:f>
              <c:numCache>
                <c:formatCode>#,##0.00000</c:formatCode>
                <c:ptCount val="27"/>
                <c:pt idx="0">
                  <c:v>5.9729999999999999</c:v>
                </c:pt>
                <c:pt idx="1">
                  <c:v>6.7511615018100004</c:v>
                </c:pt>
                <c:pt idx="2">
                  <c:v>7.5808478797099994</c:v>
                </c:pt>
                <c:pt idx="3">
                  <c:v>8.4651135405000009</c:v>
                </c:pt>
                <c:pt idx="4">
                  <c:v>9.4071849734299988</c:v>
                </c:pt>
                <c:pt idx="5">
                  <c:v>10.41047047112</c:v>
                </c:pt>
                <c:pt idx="6">
                  <c:v>11.478570383370002</c:v>
                </c:pt>
                <c:pt idx="7">
                  <c:v>12.61528793373</c:v>
                </c:pt>
                <c:pt idx="8">
                  <c:v>13.824640631759999</c:v>
                </c:pt>
                <c:pt idx="9">
                  <c:v>15.110879058390001</c:v>
                </c:pt>
                <c:pt idx="10">
                  <c:v>16.478472981700001</c:v>
                </c:pt>
                <c:pt idx="11">
                  <c:v>17.932164094720001</c:v>
                </c:pt>
                <c:pt idx="12">
                  <c:v>19.47695430476</c:v>
                </c:pt>
                <c:pt idx="13">
                  <c:v>21.118127052769999</c:v>
                </c:pt>
                <c:pt idx="14">
                  <c:v>22.861263069570001</c:v>
                </c:pt>
                <c:pt idx="15">
                  <c:v>24.71225701793</c:v>
                </c:pt>
                <c:pt idx="16">
                  <c:v>26.677335055660002</c:v>
                </c:pt>
                <c:pt idx="17">
                  <c:v>28.763073430879999</c:v>
                </c:pt>
                <c:pt idx="18">
                  <c:v>30.97641778421</c:v>
                </c:pt>
                <c:pt idx="19">
                  <c:v>33.32470408967</c:v>
                </c:pt>
                <c:pt idx="20">
                  <c:v>35.815680407720002</c:v>
                </c:pt>
                <c:pt idx="21">
                  <c:v>38.457529910830004</c:v>
                </c:pt>
                <c:pt idx="22">
                  <c:v>41.258895132029998</c:v>
                </c:pt>
                <c:pt idx="23">
                  <c:v>44.228903783460005</c:v>
                </c:pt>
                <c:pt idx="24">
                  <c:v>47.374500238640003</c:v>
                </c:pt>
                <c:pt idx="25">
                  <c:v>50.653256410970002</c:v>
                </c:pt>
                <c:pt idx="26">
                  <c:v>54.074378253770007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Calc!$E$12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Calc!$E$13:$E$39</c:f>
              <c:numCache>
                <c:formatCode>#,##0.00000</c:formatCode>
                <c:ptCount val="27"/>
                <c:pt idx="0">
                  <c:v>2.286</c:v>
                </c:pt>
                <c:pt idx="1">
                  <c:v>3.4456396835800001</c:v>
                </c:pt>
                <c:pt idx="2">
                  <c:v>4.68183816217</c:v>
                </c:pt>
                <c:pt idx="3">
                  <c:v>5.9991212550900004</c:v>
                </c:pt>
                <c:pt idx="4">
                  <c:v>7.4022699260500007</c:v>
                </c:pt>
                <c:pt idx="5">
                  <c:v>8.8963346756600004</c:v>
                </c:pt>
                <c:pt idx="6">
                  <c:v>10.48665072493</c:v>
                </c:pt>
                <c:pt idx="7">
                  <c:v>12.17885403373</c:v>
                </c:pt>
                <c:pt idx="8">
                  <c:v>13.97889820286</c:v>
                </c:pt>
                <c:pt idx="9">
                  <c:v>15.893084213270001</c:v>
                </c:pt>
                <c:pt idx="10">
                  <c:v>17.928032200480001</c:v>
                </c:pt>
                <c:pt idx="11">
                  <c:v>20.090771063040002</c:v>
                </c:pt>
                <c:pt idx="12">
                  <c:v>22.388713459600002</c:v>
                </c:pt>
                <c:pt idx="13">
                  <c:v>24.829689296460003</c:v>
                </c:pt>
                <c:pt idx="14">
                  <c:v>27.421969084240001</c:v>
                </c:pt>
                <c:pt idx="15">
                  <c:v>30.174288583080003</c:v>
                </c:pt>
                <c:pt idx="16">
                  <c:v>33.095874822029998</c:v>
                </c:pt>
                <c:pt idx="17">
                  <c:v>36.196473604539996</c:v>
                </c:pt>
                <c:pt idx="18">
                  <c:v>39.48637831405</c:v>
                </c:pt>
                <c:pt idx="19">
                  <c:v>42.976460649120007</c:v>
                </c:pt>
                <c:pt idx="20">
                  <c:v>46.678202971749997</c:v>
                </c:pt>
                <c:pt idx="21">
                  <c:v>50.603732508890005</c:v>
                </c:pt>
                <c:pt idx="22">
                  <c:v>54.765857102750005</c:v>
                </c:pt>
                <c:pt idx="23">
                  <c:v>58.971725746760001</c:v>
                </c:pt>
                <c:pt idx="24">
                  <c:v>59.417043014739995</c:v>
                </c:pt>
                <c:pt idx="25">
                  <c:v>60.174582415669995</c:v>
                </c:pt>
                <c:pt idx="26">
                  <c:v>60.914482063450002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Calc!$F$12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Calc!$F$13:$F$39</c:f>
              <c:numCache>
                <c:formatCode>#,##0.00000</c:formatCode>
                <c:ptCount val="27"/>
                <c:pt idx="0">
                  <c:v>31.948</c:v>
                </c:pt>
                <c:pt idx="1">
                  <c:v>32.208173539100002</c:v>
                </c:pt>
                <c:pt idx="2">
                  <c:v>32.453784146559997</c:v>
                </c:pt>
                <c:pt idx="3">
                  <c:v>32.683428039870002</c:v>
                </c:pt>
                <c:pt idx="4">
                  <c:v>32.895612342139998</c:v>
                </c:pt>
                <c:pt idx="5">
                  <c:v>33.088749906890001</c:v>
                </c:pt>
                <c:pt idx="6">
                  <c:v>33.261153753640002</c:v>
                </c:pt>
                <c:pt idx="7">
                  <c:v>33.411031261120002</c:v>
                </c:pt>
                <c:pt idx="8">
                  <c:v>33.53748416218</c:v>
                </c:pt>
                <c:pt idx="9">
                  <c:v>33.635466979899995</c:v>
                </c:pt>
                <c:pt idx="10">
                  <c:v>33.705858307470002</c:v>
                </c:pt>
                <c:pt idx="11">
                  <c:v>33.745367697119995</c:v>
                </c:pt>
                <c:pt idx="12">
                  <c:v>33.751574571359996</c:v>
                </c:pt>
                <c:pt idx="13">
                  <c:v>33.721910531200002</c:v>
                </c:pt>
                <c:pt idx="14">
                  <c:v>33.653650170029998</c:v>
                </c:pt>
                <c:pt idx="15">
                  <c:v>33.54390193631</c:v>
                </c:pt>
                <c:pt idx="16">
                  <c:v>33.389592992689998</c:v>
                </c:pt>
                <c:pt idx="17">
                  <c:v>33.187494647560001</c:v>
                </c:pt>
                <c:pt idx="18">
                  <c:v>32.93415357149</c:v>
                </c:pt>
                <c:pt idx="19">
                  <c:v>32.625908698399996</c:v>
                </c:pt>
                <c:pt idx="20">
                  <c:v>32.258870066250005</c:v>
                </c:pt>
                <c:pt idx="21">
                  <c:v>31.828938150499997</c:v>
                </c:pt>
                <c:pt idx="22">
                  <c:v>31.331746876260002</c:v>
                </c:pt>
                <c:pt idx="23">
                  <c:v>30.76300146246</c:v>
                </c:pt>
                <c:pt idx="24">
                  <c:v>30.118948377829998</c:v>
                </c:pt>
                <c:pt idx="25">
                  <c:v>29.424104284960002</c:v>
                </c:pt>
                <c:pt idx="26">
                  <c:v>28.67155722947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Calc!$G$12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Calc!$G$13:$G$39</c:f>
              <c:numCache>
                <c:formatCode>#,##0.00000</c:formatCode>
                <c:ptCount val="27"/>
                <c:pt idx="0">
                  <c:v>1.821</c:v>
                </c:pt>
                <c:pt idx="1">
                  <c:v>2.16237264452</c:v>
                </c:pt>
                <c:pt idx="2">
                  <c:v>2.5262927576199998</c:v>
                </c:pt>
                <c:pt idx="3">
                  <c:v>2.9140961670999999</c:v>
                </c:pt>
                <c:pt idx="4">
                  <c:v>3.3271939187100004</c:v>
                </c:pt>
                <c:pt idx="5">
                  <c:v>3.76707652744</c:v>
                </c:pt>
                <c:pt idx="6">
                  <c:v>4.2353184616899995</c:v>
                </c:pt>
                <c:pt idx="7">
                  <c:v>4.7335828733099996</c:v>
                </c:pt>
                <c:pt idx="8">
                  <c:v>5.2636265879400002</c:v>
                </c:pt>
                <c:pt idx="9">
                  <c:v>5.8273086168500008</c:v>
                </c:pt>
                <c:pt idx="10">
                  <c:v>6.4265828946700001</c:v>
                </c:pt>
                <c:pt idx="11">
                  <c:v>7.0635231264499998</c:v>
                </c:pt>
                <c:pt idx="12">
                  <c:v>7.7403164756000002</c:v>
                </c:pt>
                <c:pt idx="13">
                  <c:v>8.4592731807400003</c:v>
                </c:pt>
                <c:pt idx="14">
                  <c:v>9.2228334487600012</c:v>
                </c:pt>
                <c:pt idx="15">
                  <c:v>10.033574728129999</c:v>
                </c:pt>
                <c:pt idx="16">
                  <c:v>10.894219387830001</c:v>
                </c:pt>
                <c:pt idx="17">
                  <c:v>11.807642840590001</c:v>
                </c:pt>
                <c:pt idx="18">
                  <c:v>12.77686399756</c:v>
                </c:pt>
                <c:pt idx="19">
                  <c:v>13.805097919760001</c:v>
                </c:pt>
                <c:pt idx="20">
                  <c:v>14.89577136614</c:v>
                </c:pt>
                <c:pt idx="21">
                  <c:v>16.05243372879</c:v>
                </c:pt>
                <c:pt idx="22">
                  <c:v>17.278861922529998</c:v>
                </c:pt>
                <c:pt idx="23">
                  <c:v>18.578768658480001</c:v>
                </c:pt>
                <c:pt idx="24">
                  <c:v>19.955753709870002</c:v>
                </c:pt>
                <c:pt idx="25">
                  <c:v>21.391017512130002</c:v>
                </c:pt>
                <c:pt idx="26">
                  <c:v>22.887872949150001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Calc!$H$12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Calc!$H$13:$H$39</c:f>
              <c:numCache>
                <c:formatCode>#,##0.00000</c:formatCode>
                <c:ptCount val="27"/>
                <c:pt idx="0">
                  <c:v>0</c:v>
                </c:pt>
                <c:pt idx="1">
                  <c:v>7.9336145439999992E-2</c:v>
                </c:pt>
                <c:pt idx="2">
                  <c:v>0.16427652261</c:v>
                </c:pt>
                <c:pt idx="3">
                  <c:v>0.25515934607000001</c:v>
                </c:pt>
                <c:pt idx="4">
                  <c:v>0.35234199847000003</c:v>
                </c:pt>
                <c:pt idx="5">
                  <c:v>0.45620209480000001</c:v>
                </c:pt>
                <c:pt idx="6">
                  <c:v>0.56713864102</c:v>
                </c:pt>
                <c:pt idx="7">
                  <c:v>0.68557323278000004</c:v>
                </c:pt>
                <c:pt idx="8">
                  <c:v>0.81159713032000003</c:v>
                </c:pt>
                <c:pt idx="9">
                  <c:v>0.94674455870999996</c:v>
                </c:pt>
                <c:pt idx="10">
                  <c:v>1.09044846896</c:v>
                </c:pt>
                <c:pt idx="11">
                  <c:v>1.2435893634399999</c:v>
                </c:pt>
                <c:pt idx="12">
                  <c:v>1.40672244222</c:v>
                </c:pt>
                <c:pt idx="13">
                  <c:v>1.58043416241</c:v>
                </c:pt>
                <c:pt idx="14">
                  <c:v>1.76534422831</c:v>
                </c:pt>
                <c:pt idx="15">
                  <c:v>1.9621078355800001</c:v>
                </c:pt>
                <c:pt idx="16">
                  <c:v>2.1714245027500003</c:v>
                </c:pt>
                <c:pt idx="17">
                  <c:v>2.3939980479999998</c:v>
                </c:pt>
                <c:pt idx="18">
                  <c:v>2.6306220468000001</c:v>
                </c:pt>
                <c:pt idx="19">
                  <c:v>2.8821134818800003</c:v>
                </c:pt>
                <c:pt idx="20">
                  <c:v>3.14932127275</c:v>
                </c:pt>
                <c:pt idx="21">
                  <c:v>3.4331715159099998</c:v>
                </c:pt>
                <c:pt idx="22">
                  <c:v>3.7346473611800004</c:v>
                </c:pt>
                <c:pt idx="23">
                  <c:v>4.0546255452000004</c:v>
                </c:pt>
                <c:pt idx="24">
                  <c:v>4.3939552020700008</c:v>
                </c:pt>
                <c:pt idx="25">
                  <c:v>4.7477088027900001</c:v>
                </c:pt>
                <c:pt idx="26">
                  <c:v>5.1178738914799995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Calc!$E$3</c:f>
          <c:strCache>
            <c:ptCount val="1"/>
            <c:pt idx="0">
              <c:v>California - Capacity GW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Calc!$L$12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Calc!$J$13:$J$38</c:f>
              <c:numCache>
                <c:formatCode>0</c:formatCode>
                <c:ptCount val="26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</c:numCache>
            </c:numRef>
          </c:cat>
          <c:val>
            <c:numRef>
              <c:f>Calc!$L$13:$L$38</c:f>
              <c:numCache>
                <c:formatCode>#,##0.00</c:formatCode>
                <c:ptCount val="26"/>
                <c:pt idx="0">
                  <c:v>1.4463647751199993</c:v>
                </c:pt>
                <c:pt idx="1">
                  <c:v>1.5432347708400016</c:v>
                </c:pt>
                <c:pt idx="2">
                  <c:v>1.6457995184499978</c:v>
                </c:pt>
                <c:pt idx="3">
                  <c:v>1.75438291695</c:v>
                </c:pt>
                <c:pt idx="4">
                  <c:v>1.8693269122700009</c:v>
                </c:pt>
                <c:pt idx="5">
                  <c:v>1.9909925111599982</c:v>
                </c:pt>
                <c:pt idx="6">
                  <c:v>2.1197608493299995</c:v>
                </c:pt>
                <c:pt idx="7">
                  <c:v>2.256034319020003</c:v>
                </c:pt>
                <c:pt idx="8">
                  <c:v>2.4002493260999955</c:v>
                </c:pt>
                <c:pt idx="9">
                  <c:v>2.5528204286500014</c:v>
                </c:pt>
                <c:pt idx="10">
                  <c:v>2.7142544837400067</c:v>
                </c:pt>
                <c:pt idx="11">
                  <c:v>2.8850405950499933</c:v>
                </c:pt>
                <c:pt idx="12">
                  <c:v>3.0657066422799986</c:v>
                </c:pt>
                <c:pt idx="13">
                  <c:v>3.2568099617100046</c:v>
                </c:pt>
                <c:pt idx="14">
                  <c:v>3.4589389813300002</c:v>
                </c:pt>
                <c:pt idx="15">
                  <c:v>3.6727149654499982</c:v>
                </c:pt>
                <c:pt idx="16">
                  <c:v>3.8987939608299982</c:v>
                </c:pt>
                <c:pt idx="17">
                  <c:v>4.1378680474199996</c:v>
                </c:pt>
                <c:pt idx="18">
                  <c:v>4.3906685635100047</c:v>
                </c:pt>
                <c:pt idx="19">
                  <c:v>4.6579674993399891</c:v>
                </c:pt>
                <c:pt idx="20">
                  <c:v>4.940579901300012</c:v>
                </c:pt>
                <c:pt idx="21">
                  <c:v>5.2393662289200051</c:v>
                </c:pt>
                <c:pt idx="22">
                  <c:v>5.5552352549299968</c:v>
                </c:pt>
                <c:pt idx="23">
                  <c:v>5.8840995126000024</c:v>
                </c:pt>
                <c:pt idx="24">
                  <c:v>6.1335258818500051</c:v>
                </c:pt>
                <c:pt idx="25">
                  <c:v>6.4001830249499818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B4-46B8-A186-1E17D9D988DF}"/>
            </c:ext>
          </c:extLst>
        </c:ser>
        <c:ser>
          <c:idx val="1"/>
          <c:order val="1"/>
          <c:tx>
            <c:strRef>
              <c:f>Calc!$M$12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Calc!$M$13:$M$38</c:f>
              <c:numCache>
                <c:formatCode>#,##0.00</c:formatCode>
                <c:ptCount val="26"/>
                <c:pt idx="0">
                  <c:v>0.77816150181000054</c:v>
                </c:pt>
                <c:pt idx="1">
                  <c:v>0.82968637789999899</c:v>
                </c:pt>
                <c:pt idx="2">
                  <c:v>0.88426566079000146</c:v>
                </c:pt>
                <c:pt idx="3">
                  <c:v>0.94207143292999795</c:v>
                </c:pt>
                <c:pt idx="4">
                  <c:v>1.0032854976900012</c:v>
                </c:pt>
                <c:pt idx="5">
                  <c:v>1.0680999122500019</c:v>
                </c:pt>
                <c:pt idx="6">
                  <c:v>1.1367175503599984</c:v>
                </c:pt>
                <c:pt idx="7">
                  <c:v>1.2093526980299991</c:v>
                </c:pt>
                <c:pt idx="8">
                  <c:v>1.2862384266300015</c:v>
                </c:pt>
                <c:pt idx="9">
                  <c:v>1.3675939233100003</c:v>
                </c:pt>
                <c:pt idx="10">
                  <c:v>1.4536911130199996</c:v>
                </c:pt>
                <c:pt idx="11">
                  <c:v>1.5447902100399986</c:v>
                </c:pt>
                <c:pt idx="12">
                  <c:v>1.6411727480099998</c:v>
                </c:pt>
                <c:pt idx="13">
                  <c:v>1.7431360168000012</c:v>
                </c:pt>
                <c:pt idx="14">
                  <c:v>1.8509939483599993</c:v>
                </c:pt>
                <c:pt idx="15">
                  <c:v>1.9650780377300023</c:v>
                </c:pt>
                <c:pt idx="16">
                  <c:v>2.0857383752199965</c:v>
                </c:pt>
                <c:pt idx="17">
                  <c:v>2.213344353330001</c:v>
                </c:pt>
                <c:pt idx="18">
                  <c:v>2.3482863054600003</c:v>
                </c:pt>
                <c:pt idx="19">
                  <c:v>2.4909763180500022</c:v>
                </c:pt>
                <c:pt idx="20">
                  <c:v>2.6418495031100022</c:v>
                </c:pt>
                <c:pt idx="21">
                  <c:v>2.801365221199994</c:v>
                </c:pt>
                <c:pt idx="22">
                  <c:v>2.9700086514300068</c:v>
                </c:pt>
                <c:pt idx="23">
                  <c:v>3.145596455179998</c:v>
                </c:pt>
                <c:pt idx="24">
                  <c:v>3.2787561723299987</c:v>
                </c:pt>
                <c:pt idx="25">
                  <c:v>3.4211218428000052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B4-46B8-A186-1E17D9D988DF}"/>
            </c:ext>
          </c:extLst>
        </c:ser>
        <c:ser>
          <c:idx val="2"/>
          <c:order val="2"/>
          <c:tx>
            <c:strRef>
              <c:f>Calc!$N$12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Calc!$N$13:$N$38</c:f>
              <c:numCache>
                <c:formatCode>#,##0.00</c:formatCode>
                <c:ptCount val="26"/>
                <c:pt idx="0">
                  <c:v>1.15963968358</c:v>
                </c:pt>
                <c:pt idx="1">
                  <c:v>1.23619847859</c:v>
                </c:pt>
                <c:pt idx="2">
                  <c:v>1.3172830929200003</c:v>
                </c:pt>
                <c:pt idx="3">
                  <c:v>1.4031486709600003</c:v>
                </c:pt>
                <c:pt idx="4">
                  <c:v>1.4940647496099997</c:v>
                </c:pt>
                <c:pt idx="5">
                  <c:v>1.5903160492699993</c:v>
                </c:pt>
                <c:pt idx="6">
                  <c:v>1.6922033087999999</c:v>
                </c:pt>
                <c:pt idx="7">
                  <c:v>1.8000441691300004</c:v>
                </c:pt>
                <c:pt idx="8">
                  <c:v>1.9141860104100008</c:v>
                </c:pt>
                <c:pt idx="9">
                  <c:v>2.0349479872099998</c:v>
                </c:pt>
                <c:pt idx="10">
                  <c:v>2.1627388625600013</c:v>
                </c:pt>
                <c:pt idx="11">
                  <c:v>2.2979423965599999</c:v>
                </c:pt>
                <c:pt idx="12">
                  <c:v>2.4409758368600016</c:v>
                </c:pt>
                <c:pt idx="13">
                  <c:v>2.5922797877799972</c:v>
                </c:pt>
                <c:pt idx="14">
                  <c:v>2.7523194988400022</c:v>
                </c:pt>
                <c:pt idx="15">
                  <c:v>2.9215862389499954</c:v>
                </c:pt>
                <c:pt idx="16">
                  <c:v>3.1005987825099979</c:v>
                </c:pt>
                <c:pt idx="17">
                  <c:v>3.2899047095100045</c:v>
                </c:pt>
                <c:pt idx="18">
                  <c:v>3.4900823350700065</c:v>
                </c:pt>
                <c:pt idx="19">
                  <c:v>3.7017423226299897</c:v>
                </c:pt>
                <c:pt idx="20">
                  <c:v>3.9255295371400081</c:v>
                </c:pt>
                <c:pt idx="21">
                  <c:v>4.1621245938599998</c:v>
                </c:pt>
                <c:pt idx="22">
                  <c:v>4.2058686440099962</c:v>
                </c:pt>
                <c:pt idx="23">
                  <c:v>0.44531726797999482</c:v>
                </c:pt>
                <c:pt idx="24">
                  <c:v>0.75753940092999983</c:v>
                </c:pt>
                <c:pt idx="25">
                  <c:v>0.73989964778000683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4-46B8-A186-1E17D9D988DF}"/>
            </c:ext>
          </c:extLst>
        </c:ser>
        <c:ser>
          <c:idx val="3"/>
          <c:order val="3"/>
          <c:tx>
            <c:strRef>
              <c:f>Calc!$O$12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Calc!$O$13:$O$38</c:f>
              <c:numCache>
                <c:formatCode>#,##0.00</c:formatCode>
                <c:ptCount val="26"/>
                <c:pt idx="0">
                  <c:v>0.26017353910000196</c:v>
                </c:pt>
                <c:pt idx="1">
                  <c:v>0.24561060745999441</c:v>
                </c:pt>
                <c:pt idx="2">
                  <c:v>0.2296438933100049</c:v>
                </c:pt>
                <c:pt idx="3">
                  <c:v>0.21218430226999629</c:v>
                </c:pt>
                <c:pt idx="4">
                  <c:v>0.19313756475000332</c:v>
                </c:pt>
                <c:pt idx="5">
                  <c:v>0.17240384675000087</c:v>
                </c:pt>
                <c:pt idx="6">
                  <c:v>0.14987750747999939</c:v>
                </c:pt>
                <c:pt idx="7">
                  <c:v>0.12645290105999862</c:v>
                </c:pt>
                <c:pt idx="8">
                  <c:v>9.7982817719994841E-2</c:v>
                </c:pt>
                <c:pt idx="9">
                  <c:v>7.0391327570007434E-2</c:v>
                </c:pt>
                <c:pt idx="10">
                  <c:v>3.9509389649992954E-2</c:v>
                </c:pt>
                <c:pt idx="11">
                  <c:v>6.2068742400001042E-3</c:v>
                </c:pt>
                <c:pt idx="12">
                  <c:v>-2.9664040159993021E-2</c:v>
                </c:pt>
                <c:pt idx="13">
                  <c:v>-6.8260361170004558E-2</c:v>
                </c:pt>
                <c:pt idx="14">
                  <c:v>-0.10974823371999776</c:v>
                </c:pt>
                <c:pt idx="15">
                  <c:v>-0.15430894362000203</c:v>
                </c:pt>
                <c:pt idx="16">
                  <c:v>-0.20209834512999691</c:v>
                </c:pt>
                <c:pt idx="17">
                  <c:v>-0.25334107607000078</c:v>
                </c:pt>
                <c:pt idx="18">
                  <c:v>-0.30824487309000403</c:v>
                </c:pt>
                <c:pt idx="19">
                  <c:v>-0.36703863214999188</c:v>
                </c:pt>
                <c:pt idx="20">
                  <c:v>-0.42993191575000722</c:v>
                </c:pt>
                <c:pt idx="21">
                  <c:v>-0.4971912742399951</c:v>
                </c:pt>
                <c:pt idx="22">
                  <c:v>-0.5687454138000021</c:v>
                </c:pt>
                <c:pt idx="23">
                  <c:v>-0.6440530846300021</c:v>
                </c:pt>
                <c:pt idx="24">
                  <c:v>-0.69484409286999593</c:v>
                </c:pt>
                <c:pt idx="25">
                  <c:v>-0.75254705549000178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B4-46B8-A186-1E17D9D988DF}"/>
            </c:ext>
          </c:extLst>
        </c:ser>
        <c:ser>
          <c:idx val="4"/>
          <c:order val="4"/>
          <c:tx>
            <c:strRef>
              <c:f>Calc!$P$12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Calc!$P$13:$P$38</c:f>
              <c:numCache>
                <c:formatCode>#,##0.00</c:formatCode>
                <c:ptCount val="26"/>
                <c:pt idx="0">
                  <c:v>0.34137264452000005</c:v>
                </c:pt>
                <c:pt idx="1">
                  <c:v>0.36392011309999983</c:v>
                </c:pt>
                <c:pt idx="2">
                  <c:v>0.38780340948000003</c:v>
                </c:pt>
                <c:pt idx="3">
                  <c:v>0.41309775161000051</c:v>
                </c:pt>
                <c:pt idx="4">
                  <c:v>0.43988260872999962</c:v>
                </c:pt>
                <c:pt idx="5">
                  <c:v>0.46824193424999949</c:v>
                </c:pt>
                <c:pt idx="6">
                  <c:v>0.49826441162000012</c:v>
                </c:pt>
                <c:pt idx="7">
                  <c:v>0.53004371463000055</c:v>
                </c:pt>
                <c:pt idx="8">
                  <c:v>0.56368202891000063</c:v>
                </c:pt>
                <c:pt idx="9">
                  <c:v>0.59927427781999931</c:v>
                </c:pt>
                <c:pt idx="10">
                  <c:v>0.6369402317799997</c:v>
                </c:pt>
                <c:pt idx="11">
                  <c:v>0.67679334915000045</c:v>
                </c:pt>
                <c:pt idx="12">
                  <c:v>0.7189567051400001</c:v>
                </c:pt>
                <c:pt idx="13">
                  <c:v>0.76356026802000088</c:v>
                </c:pt>
                <c:pt idx="14">
                  <c:v>0.81074127936999751</c:v>
                </c:pt>
                <c:pt idx="15">
                  <c:v>0.86064465970000192</c:v>
                </c:pt>
                <c:pt idx="16">
                  <c:v>0.91342345276000003</c:v>
                </c:pt>
                <c:pt idx="17">
                  <c:v>0.96922115696999889</c:v>
                </c:pt>
                <c:pt idx="18">
                  <c:v>1.0282339222000019</c:v>
                </c:pt>
                <c:pt idx="19">
                  <c:v>1.0906734463799985</c:v>
                </c:pt>
                <c:pt idx="20">
                  <c:v>1.1566623626499997</c:v>
                </c:pt>
                <c:pt idx="21">
                  <c:v>1.2264281937399986</c:v>
                </c:pt>
                <c:pt idx="22">
                  <c:v>1.2999067359500032</c:v>
                </c:pt>
                <c:pt idx="23">
                  <c:v>1.376985051390001</c:v>
                </c:pt>
                <c:pt idx="24">
                  <c:v>1.4352638022599997</c:v>
                </c:pt>
                <c:pt idx="25">
                  <c:v>1.4968554370199989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B4-46B8-A186-1E17D9D988DF}"/>
            </c:ext>
          </c:extLst>
        </c:ser>
        <c:ser>
          <c:idx val="5"/>
          <c:order val="5"/>
          <c:tx>
            <c:strRef>
              <c:f>Calc!$Q$12</c:f>
              <c:strCache>
                <c:ptCount val="1"/>
                <c:pt idx="0">
                  <c:v>Battery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Calc!$A$13:$A$39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Calc!$Q$13:$Q$38</c:f>
              <c:numCache>
                <c:formatCode>#,##0.00</c:formatCode>
                <c:ptCount val="26"/>
                <c:pt idx="0">
                  <c:v>7.9336145439999992E-2</c:v>
                </c:pt>
                <c:pt idx="1">
                  <c:v>8.4940377170000012E-2</c:v>
                </c:pt>
                <c:pt idx="2">
                  <c:v>9.0882823460000012E-2</c:v>
                </c:pt>
                <c:pt idx="3">
                  <c:v>9.7182652400000014E-2</c:v>
                </c:pt>
                <c:pt idx="4">
                  <c:v>0.10386009632999998</c:v>
                </c:pt>
                <c:pt idx="5">
                  <c:v>0.11093654621999999</c:v>
                </c:pt>
                <c:pt idx="6">
                  <c:v>0.11843459176000004</c:v>
                </c:pt>
                <c:pt idx="7">
                  <c:v>0.12602389753999999</c:v>
                </c:pt>
                <c:pt idx="8">
                  <c:v>0.13514742838999994</c:v>
                </c:pt>
                <c:pt idx="9">
                  <c:v>0.14370391025000007</c:v>
                </c:pt>
                <c:pt idx="10">
                  <c:v>0.1531408944799999</c:v>
                </c:pt>
                <c:pt idx="11">
                  <c:v>0.16313307878000005</c:v>
                </c:pt>
                <c:pt idx="12">
                  <c:v>0.17371172019000003</c:v>
                </c:pt>
                <c:pt idx="13">
                  <c:v>0.18491006590000003</c:v>
                </c:pt>
                <c:pt idx="14">
                  <c:v>0.19676360727000008</c:v>
                </c:pt>
                <c:pt idx="15">
                  <c:v>0.20931666717000019</c:v>
                </c:pt>
                <c:pt idx="16">
                  <c:v>0.2225735452499995</c:v>
                </c:pt>
                <c:pt idx="17">
                  <c:v>0.23662399880000029</c:v>
                </c:pt>
                <c:pt idx="18">
                  <c:v>0.25149143508000016</c:v>
                </c:pt>
                <c:pt idx="19">
                  <c:v>0.26720779086999968</c:v>
                </c:pt>
                <c:pt idx="20">
                  <c:v>0.28385024315999985</c:v>
                </c:pt>
                <c:pt idx="21">
                  <c:v>0.3014758452700006</c:v>
                </c:pt>
                <c:pt idx="22">
                  <c:v>0.31997818402</c:v>
                </c:pt>
                <c:pt idx="23">
                  <c:v>0.33932965687000038</c:v>
                </c:pt>
                <c:pt idx="24">
                  <c:v>0.35375360071999928</c:v>
                </c:pt>
                <c:pt idx="25">
                  <c:v>0.37016508868999942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B4-46B8-A186-1E17D9D98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Costs</a:t>
            </a:r>
            <a:r>
              <a:rPr lang="en-US" baseline="0"/>
              <a:t> B$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Cost_Calc!$A$3</c:f>
              <c:strCache>
                <c:ptCount val="1"/>
                <c:pt idx="0">
                  <c:v>Capital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Cost_Calc!$I$8:$I$34</c:f>
              <c:numCache>
                <c:formatCode>#,##0</c:formatCode>
                <c:ptCount val="27"/>
                <c:pt idx="0">
                  <c:v>2.8244074993000003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5-49B1-839A-E0836CD573E2}"/>
            </c:ext>
          </c:extLst>
        </c:ser>
        <c:ser>
          <c:idx val="1"/>
          <c:order val="1"/>
          <c:tx>
            <c:strRef>
              <c:f>Cost_Calc!$K$3</c:f>
              <c:strCache>
                <c:ptCount val="1"/>
                <c:pt idx="0">
                  <c:v>Fixed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Cost_Calc!$S$8:$S$34</c:f>
              <c:numCache>
                <c:formatCode>#,##0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75-49B1-839A-E0836CD573E2}"/>
            </c:ext>
          </c:extLst>
        </c:ser>
        <c:ser>
          <c:idx val="2"/>
          <c:order val="2"/>
          <c:tx>
            <c:strRef>
              <c:f>Cost_Calc!$U$3</c:f>
              <c:strCache>
                <c:ptCount val="1"/>
                <c:pt idx="0">
                  <c:v>Variable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Cost_Calc!$AC$8:$AC$34</c:f>
              <c:numCache>
                <c:formatCode>#,##0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75-49B1-839A-E0836CD573E2}"/>
            </c:ext>
          </c:extLst>
        </c:ser>
        <c:ser>
          <c:idx val="3"/>
          <c:order val="3"/>
          <c:tx>
            <c:strRef>
              <c:f>Cost_Calc!$AE$3</c:f>
              <c:strCache>
                <c:ptCount val="1"/>
                <c:pt idx="0">
                  <c:v>CO2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Cost_Calc!$A$8:$A$34</c:f>
              <c:numCache>
                <c:formatCode>General</c:formatCode>
                <c:ptCount val="27"/>
                <c:pt idx="0">
                  <c:v>2024</c:v>
                </c:pt>
              </c:numCache>
            </c:numRef>
          </c:cat>
          <c:val>
            <c:numRef>
              <c:f>Cost_Calc!$AM$8:$AM$34</c:f>
              <c:numCache>
                <c:formatCode>#,##0</c:formatCode>
                <c:ptCount val="2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75-49B1-839A-E0836CD57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Cost_Graph!#REF!</c:f>
          <c:strCache>
            <c:ptCount val="1"/>
            <c:pt idx="0">
              <c:v>#REF!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B46-454E-BED4-5145489F483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B46-454E-BED4-5145489F483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B46-454E-BED4-5145489F4833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4B46-454E-BED4-5145489F4833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B46-454E-BED4-5145489F4833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Cost_Graph!#REF!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Cost_Graph!#REF!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4B46-454E-BED4-5145489F4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10</xdr:col>
      <xdr:colOff>165999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32658</xdr:colOff>
      <xdr:row>3</xdr:row>
      <xdr:rowOff>40822</xdr:rowOff>
    </xdr:from>
    <xdr:to>
      <xdr:col>1</xdr:col>
      <xdr:colOff>19050</xdr:colOff>
      <xdr:row>4</xdr:row>
      <xdr:rowOff>24493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32658" y="615043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9</xdr:col>
      <xdr:colOff>179613</xdr:colOff>
      <xdr:row>36</xdr:row>
      <xdr:rowOff>117021</xdr:rowOff>
    </xdr:to>
    <xdr:graphicFrame macro="">
      <xdr:nvGraphicFramePr>
        <xdr:cNvPr id="7" name="Delta_Chart">
          <a:extLst>
            <a:ext uri="{FF2B5EF4-FFF2-40B4-BE49-F238E27FC236}">
              <a16:creationId xmlns:a16="http://schemas.microsoft.com/office/drawing/2014/main" id="{C4ACE980-5439-48D5-B37B-88B62B6B1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244922</xdr:colOff>
      <xdr:row>2</xdr:row>
      <xdr:rowOff>43544</xdr:rowOff>
    </xdr:from>
    <xdr:to>
      <xdr:col>9</xdr:col>
      <xdr:colOff>0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471CDF07-5B44-4BD9-B978-170343838F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A92104C0-8527-4EB3-B1B3-9C94F8DA5161}"/>
            </a:ext>
          </a:extLst>
        </xdr:cNvPr>
        <xdr:cNvSpPr/>
      </xdr:nvSpPr>
      <xdr:spPr>
        <a:xfrm>
          <a:off x="1518558" y="223157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4" name="Delta_Chart">
          <a:extLst>
            <a:ext uri="{FF2B5EF4-FFF2-40B4-BE49-F238E27FC236}">
              <a16:creationId xmlns:a16="http://schemas.microsoft.com/office/drawing/2014/main" id="{000DB447-8296-417D-856A-81AA9DD88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7cd0e7a053322a97/Documents/GenAtomic/Optimize/Library/Default/Debug_New/Lib-Default_Debug_New-CAL-CO2_40_40.xlsm" TargetMode="External"/><Relationship Id="rId1" Type="http://schemas.openxmlformats.org/officeDocument/2006/relationships/externalLinkPath" Target="Lib-Default_Debug_New-CAL-CO2_40_4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Cost_Graph"/>
      <sheetName val="Calc"/>
      <sheetName val="Cost_Calc"/>
      <sheetName val="Reference"/>
      <sheetName val="Inbox"/>
      <sheetName val="CAL"/>
    </sheetNames>
    <sheetDataSet>
      <sheetData sheetId="0">
        <row r="1">
          <cell r="A1" t="str">
            <v>California</v>
          </cell>
        </row>
        <row r="2">
          <cell r="A2" t="str">
            <v>Capacity GW</v>
          </cell>
        </row>
      </sheetData>
      <sheetData sheetId="1">
        <row r="1">
          <cell r="A1" t="str">
            <v>California</v>
          </cell>
        </row>
      </sheetData>
      <sheetData sheetId="2">
        <row r="3">
          <cell r="C3" t="str">
            <v>CAL</v>
          </cell>
        </row>
        <row r="4">
          <cell r="C4">
            <v>1E-3</v>
          </cell>
        </row>
        <row r="5">
          <cell r="C5">
            <v>0</v>
          </cell>
        </row>
      </sheetData>
      <sheetData sheetId="3"/>
      <sheetData sheetId="4"/>
      <sheetData sheetId="5"/>
      <sheetData sheetId="6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11.92187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10" t="s">
        <v>36</v>
      </c>
      <c r="D1" s="9"/>
      <c r="E1" s="9"/>
      <c r="F1" s="9"/>
      <c r="G1" s="9"/>
      <c r="H1" s="9"/>
      <c r="I1" s="9"/>
    </row>
    <row r="2" spans="1:27" ht="14.65" x14ac:dyDescent="0.85">
      <c r="A2" s="2" t="s">
        <v>19</v>
      </c>
      <c r="K2" s="4"/>
    </row>
    <row r="3" spans="1:27" ht="14.65" x14ac:dyDescent="0.85">
      <c r="M3" s="9"/>
      <c r="N3" s="9"/>
      <c r="O3" s="9"/>
    </row>
    <row r="4" spans="1:27" ht="14.65" customHeight="1" x14ac:dyDescent="0.85"/>
    <row r="5" spans="1:27" ht="14.65" x14ac:dyDescent="0.85"/>
    <row r="6" spans="1:27" ht="14.65" x14ac:dyDescent="0.85">
      <c r="K6" s="1"/>
      <c r="L6" s="1"/>
      <c r="M6" s="1"/>
      <c r="N6" s="1"/>
      <c r="O6" s="1"/>
      <c r="P6" s="1"/>
      <c r="Q6" s="1"/>
      <c r="U6" s="1"/>
      <c r="V6" s="1"/>
      <c r="W6" s="1"/>
      <c r="X6" s="1"/>
      <c r="Y6" s="1"/>
      <c r="Z6" s="1"/>
      <c r="AA6" s="1"/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  <row r="17" spans="1:27" ht="14.65" x14ac:dyDescent="0.85">
      <c r="K17" s="1"/>
      <c r="L17" s="1"/>
      <c r="M17" s="1"/>
      <c r="N17" s="1"/>
      <c r="O17" s="1"/>
      <c r="P17" s="1"/>
      <c r="Q17" s="1"/>
      <c r="U17" s="1"/>
      <c r="V17" s="1"/>
      <c r="W17" s="1"/>
      <c r="X17" s="1"/>
      <c r="Y17" s="1"/>
      <c r="Z17" s="1"/>
      <c r="AA17" s="1"/>
    </row>
    <row r="18" spans="1:27" ht="14.65" x14ac:dyDescent="0.85">
      <c r="K18" s="1"/>
      <c r="L18" s="1"/>
      <c r="M18" s="1"/>
      <c r="N18" s="1"/>
      <c r="O18" s="1"/>
      <c r="P18" s="1"/>
      <c r="Q18" s="1"/>
      <c r="U18" s="1"/>
      <c r="V18" s="1"/>
      <c r="W18" s="1"/>
      <c r="X18" s="1"/>
      <c r="Y18" s="1"/>
      <c r="Z18" s="1"/>
      <c r="AA18" s="1"/>
    </row>
    <row r="19" spans="1:27" ht="14.65" x14ac:dyDescent="0.85">
      <c r="K19" s="1"/>
      <c r="L19" s="1"/>
      <c r="M19" s="1"/>
      <c r="N19" s="1"/>
      <c r="O19" s="1"/>
      <c r="P19" s="1"/>
      <c r="Q19" s="1"/>
      <c r="U19" s="1"/>
      <c r="V19" s="1"/>
      <c r="W19" s="1"/>
      <c r="X19" s="1"/>
      <c r="Y19" s="1"/>
      <c r="Z19" s="1"/>
      <c r="AA19" s="1"/>
    </row>
    <row r="20" spans="1:27" x14ac:dyDescent="0.85">
      <c r="K20" s="1"/>
      <c r="L20" s="1"/>
      <c r="M20" s="1"/>
      <c r="N20" s="1"/>
      <c r="O20" s="1"/>
      <c r="P20" s="1"/>
      <c r="Q20" s="1"/>
      <c r="U20" s="1"/>
      <c r="V20" s="1"/>
      <c r="W20" s="1"/>
      <c r="X20" s="1"/>
      <c r="Y20" s="1"/>
      <c r="Z20" s="1"/>
      <c r="AA20" s="1"/>
    </row>
    <row r="21" spans="1:27" x14ac:dyDescent="0.85">
      <c r="K21" s="1"/>
      <c r="L21" s="1"/>
      <c r="M21" s="1"/>
      <c r="N21" s="1"/>
      <c r="O21" s="1"/>
      <c r="P21" s="1"/>
      <c r="Q21" s="1"/>
      <c r="U21" s="1"/>
      <c r="V21" s="1"/>
      <c r="W21" s="1"/>
      <c r="X21" s="1"/>
      <c r="Y21" s="1"/>
      <c r="Z21" s="1"/>
      <c r="AA21" s="1"/>
    </row>
    <row r="22" spans="1:27" x14ac:dyDescent="0.85">
      <c r="A22" s="6" t="s">
        <v>34</v>
      </c>
      <c r="K22" s="1"/>
      <c r="L22" s="1"/>
      <c r="M22" s="1"/>
      <c r="N22" s="1"/>
      <c r="O22" s="1"/>
      <c r="P22" s="1"/>
      <c r="Q22" s="1"/>
      <c r="U22" s="1"/>
      <c r="V22" s="1"/>
      <c r="W22" s="1"/>
      <c r="X22" s="1"/>
      <c r="Y22" s="1"/>
      <c r="Z22" s="1"/>
      <c r="AA22" s="1"/>
    </row>
    <row r="23" spans="1:27" x14ac:dyDescent="0.85">
      <c r="K23" s="1"/>
      <c r="L23" s="1"/>
      <c r="M23" s="1"/>
      <c r="N23" s="1"/>
      <c r="O23" s="1"/>
      <c r="P23" s="1"/>
      <c r="Q23" s="1"/>
      <c r="U23" s="1"/>
      <c r="V23" s="1"/>
      <c r="W23" s="1"/>
      <c r="X23" s="1"/>
      <c r="Y23" s="1"/>
      <c r="Z23" s="1"/>
      <c r="AA23" s="1"/>
    </row>
    <row r="24" spans="1:27" x14ac:dyDescent="0.85">
      <c r="K24" s="1"/>
      <c r="L24" s="1"/>
      <c r="M24" s="1"/>
      <c r="N24" s="1"/>
      <c r="O24" s="1"/>
      <c r="P24" s="1"/>
      <c r="Q24" s="1"/>
      <c r="U24" s="1"/>
      <c r="V24" s="1"/>
      <c r="W24" s="1"/>
      <c r="X24" s="1"/>
      <c r="Y24" s="1"/>
      <c r="Z24" s="1"/>
      <c r="AA24" s="1"/>
    </row>
    <row r="25" spans="1:27" x14ac:dyDescent="0.85">
      <c r="K25" s="1"/>
      <c r="L25" s="1"/>
      <c r="M25" s="1"/>
      <c r="N25" s="1"/>
      <c r="O25" s="1"/>
      <c r="P25" s="1"/>
      <c r="Q25" s="1"/>
      <c r="U25" s="1"/>
      <c r="V25" s="1"/>
      <c r="W25" s="1"/>
      <c r="X25" s="1"/>
      <c r="Y25" s="1"/>
      <c r="Z25" s="1"/>
      <c r="AA25" s="1"/>
    </row>
    <row r="26" spans="1:27" x14ac:dyDescent="0.85">
      <c r="K26" s="1"/>
      <c r="L26" s="1"/>
      <c r="M26" s="1"/>
      <c r="N26" s="1"/>
      <c r="O26" s="1"/>
      <c r="P26" s="1"/>
      <c r="Q26" s="1"/>
      <c r="U26" s="1"/>
      <c r="V26" s="1"/>
      <c r="W26" s="1"/>
      <c r="X26" s="1"/>
      <c r="Y26" s="1"/>
      <c r="Z26" s="1"/>
      <c r="AA26" s="1"/>
    </row>
    <row r="27" spans="1:27" x14ac:dyDescent="0.85">
      <c r="K27" s="1"/>
      <c r="L27" s="1"/>
      <c r="M27" s="1"/>
      <c r="N27" s="1"/>
      <c r="O27" s="1"/>
      <c r="P27" s="1"/>
      <c r="Q27" s="1"/>
      <c r="U27" s="1"/>
      <c r="V27" s="1"/>
      <c r="W27" s="1"/>
      <c r="X27" s="1"/>
      <c r="Y27" s="1"/>
      <c r="Z27" s="1"/>
      <c r="AA27" s="1"/>
    </row>
    <row r="28" spans="1:27" x14ac:dyDescent="0.85">
      <c r="K28" s="1"/>
      <c r="L28" s="1"/>
      <c r="M28" s="1"/>
      <c r="N28" s="1"/>
      <c r="O28" s="1"/>
      <c r="P28" s="1"/>
      <c r="Q28" s="1"/>
      <c r="U28" s="1"/>
      <c r="V28" s="1"/>
      <c r="W28" s="1"/>
      <c r="X28" s="1"/>
      <c r="Y28" s="1"/>
      <c r="Z28" s="1"/>
      <c r="AA28" s="1"/>
    </row>
    <row r="29" spans="1:27" x14ac:dyDescent="0.85">
      <c r="K29" s="1"/>
      <c r="L29" s="1"/>
      <c r="M29" s="1"/>
      <c r="N29" s="1"/>
      <c r="O29" s="1"/>
      <c r="P29" s="1"/>
      <c r="Q29" s="1"/>
      <c r="U29" s="1"/>
      <c r="V29" s="1"/>
      <c r="W29" s="1"/>
      <c r="X29" s="1"/>
      <c r="Y29" s="1"/>
      <c r="Z29" s="1"/>
      <c r="AA29" s="1"/>
    </row>
    <row r="30" spans="1:27" x14ac:dyDescent="0.85">
      <c r="K30" s="1"/>
      <c r="L30" s="1"/>
      <c r="M30" s="1"/>
      <c r="N30" s="1"/>
      <c r="O30" s="1"/>
      <c r="P30" s="1"/>
      <c r="Q30" s="1"/>
      <c r="U30" s="1"/>
      <c r="V30" s="1"/>
      <c r="W30" s="1"/>
      <c r="X30" s="1"/>
      <c r="Y30" s="1"/>
      <c r="Z30" s="1"/>
      <c r="AA30" s="1"/>
    </row>
    <row r="31" spans="1:27" x14ac:dyDescent="0.85">
      <c r="K31" s="1"/>
      <c r="L31" s="1"/>
      <c r="M31" s="1"/>
      <c r="N31" s="1"/>
      <c r="O31" s="1"/>
      <c r="P31" s="1"/>
      <c r="Q31" s="1"/>
      <c r="U31" s="1"/>
      <c r="V31" s="1"/>
      <c r="W31" s="1"/>
      <c r="X31" s="1"/>
      <c r="Y31" s="1"/>
      <c r="Z31" s="1"/>
      <c r="AA31" s="1"/>
    </row>
    <row r="32" spans="1:27" x14ac:dyDescent="0.85">
      <c r="K32" s="1"/>
      <c r="L32" s="1"/>
      <c r="M32" s="1"/>
      <c r="N32" s="1"/>
      <c r="O32" s="1"/>
      <c r="P32" s="1"/>
      <c r="Q32" s="1"/>
    </row>
  </sheetData>
  <mergeCells count="2">
    <mergeCell ref="M3:O3"/>
    <mergeCell ref="C1:I1"/>
  </mergeCells>
  <conditionalFormatting sqref="K6:Q32">
    <cfRule type="expression" dxfId="11" priority="5">
      <formula>$Q6 &gt; 10000</formula>
    </cfRule>
  </conditionalFormatting>
  <conditionalFormatting sqref="U6:AA31">
    <cfRule type="expression" dxfId="10" priority="3">
      <formula>$Q6 &gt; 10000</formula>
    </cfRule>
  </conditionalFormatting>
  <conditionalFormatting sqref="K2">
    <cfRule type="expression" dxfId="9" priority="2">
      <formula>$Q2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2404-5615-4F49-8F93-ABFF7135EE09}">
  <dimension ref="A1:N19"/>
  <sheetViews>
    <sheetView workbookViewId="0">
      <selection activeCell="M5" sqref="M5"/>
    </sheetView>
  </sheetViews>
  <sheetFormatPr defaultRowHeight="14.6" x14ac:dyDescent="0.85"/>
  <cols>
    <col min="1" max="3" width="12.07421875" style="12" customWidth="1"/>
    <col min="4" max="4" width="14.69140625" style="12" customWidth="1"/>
    <col min="5" max="5" width="1.65234375" style="12" bestFit="1" customWidth="1"/>
    <col min="6" max="6" width="8.265625" style="12" customWidth="1"/>
    <col min="7" max="7" width="9.15234375" style="12" customWidth="1"/>
    <col min="8" max="8" width="10.73046875" style="12" bestFit="1" customWidth="1"/>
    <col min="9" max="13" width="8.921875" style="12"/>
    <col min="14" max="14" width="12.15234375" style="14" bestFit="1" customWidth="1"/>
    <col min="15" max="16384" width="8.921875" style="12"/>
  </cols>
  <sheetData>
    <row r="1" spans="1:14" s="11" customFormat="1" ht="29.15" x14ac:dyDescent="0.85">
      <c r="A1" s="11" t="s">
        <v>37</v>
      </c>
      <c r="B1" s="11" t="s">
        <v>38</v>
      </c>
      <c r="C1" s="11" t="str">
        <f>A1</f>
        <v>Regions</v>
      </c>
      <c r="D1" s="11" t="s">
        <v>39</v>
      </c>
      <c r="E1" s="12"/>
      <c r="F1" s="11" t="s">
        <v>40</v>
      </c>
      <c r="G1" s="11" t="s">
        <v>41</v>
      </c>
      <c r="H1" s="11" t="s">
        <v>42</v>
      </c>
      <c r="I1" s="11" t="s">
        <v>43</v>
      </c>
      <c r="J1" s="11" t="s">
        <v>44</v>
      </c>
      <c r="K1" s="11" t="s">
        <v>45</v>
      </c>
      <c r="L1" s="11" t="s">
        <v>7</v>
      </c>
      <c r="N1" s="13"/>
    </row>
    <row r="2" spans="1:14" x14ac:dyDescent="0.85">
      <c r="A2" s="12" t="s">
        <v>46</v>
      </c>
      <c r="B2" s="12" t="s">
        <v>47</v>
      </c>
      <c r="C2" s="12" t="s">
        <v>46</v>
      </c>
      <c r="D2" s="12" t="s">
        <v>19</v>
      </c>
      <c r="E2" s="12">
        <v>0</v>
      </c>
      <c r="F2" s="12" t="s">
        <v>48</v>
      </c>
      <c r="G2" s="12" cm="1">
        <f t="array" ref="G2">1/Thousand</f>
        <v>1E-3</v>
      </c>
      <c r="H2" s="12">
        <v>12</v>
      </c>
      <c r="I2" s="12">
        <v>8</v>
      </c>
      <c r="J2" s="12" t="s">
        <v>0</v>
      </c>
      <c r="K2" s="12">
        <f>_1st_ref</f>
        <v>8</v>
      </c>
      <c r="L2" s="12">
        <v>1</v>
      </c>
      <c r="M2" s="12" t="s">
        <v>49</v>
      </c>
      <c r="N2" s="14">
        <v>1000</v>
      </c>
    </row>
    <row r="3" spans="1:14" x14ac:dyDescent="0.85">
      <c r="A3" s="12" t="s">
        <v>8</v>
      </c>
      <c r="B3" s="12" t="s">
        <v>50</v>
      </c>
      <c r="C3" s="12" t="s">
        <v>8</v>
      </c>
      <c r="D3" s="12" t="s">
        <v>51</v>
      </c>
      <c r="E3" s="12">
        <v>1</v>
      </c>
      <c r="F3" s="12" t="s">
        <v>52</v>
      </c>
      <c r="G3" s="12">
        <f>1/Million</f>
        <v>9.9999999999999995E-7</v>
      </c>
      <c r="J3" s="12" t="s">
        <v>1</v>
      </c>
      <c r="K3" s="12">
        <f>K2+Param_Count</f>
        <v>20</v>
      </c>
      <c r="L3" s="12">
        <v>2</v>
      </c>
      <c r="M3" s="12" t="s">
        <v>53</v>
      </c>
      <c r="N3" s="14">
        <v>1000000</v>
      </c>
    </row>
    <row r="4" spans="1:14" x14ac:dyDescent="0.85">
      <c r="A4" s="12" t="s">
        <v>54</v>
      </c>
      <c r="B4" s="12" t="s">
        <v>55</v>
      </c>
      <c r="C4" s="12" t="s">
        <v>54</v>
      </c>
      <c r="D4" s="12" t="s">
        <v>56</v>
      </c>
      <c r="E4" s="12">
        <v>2</v>
      </c>
      <c r="F4" s="12" t="s">
        <v>57</v>
      </c>
      <c r="G4" s="12">
        <v>1</v>
      </c>
      <c r="J4" s="12" t="s">
        <v>2</v>
      </c>
      <c r="K4" s="12">
        <f>K3+Param_Count</f>
        <v>32</v>
      </c>
      <c r="L4" s="12">
        <v>3</v>
      </c>
      <c r="M4" s="12" t="s">
        <v>58</v>
      </c>
      <c r="N4" s="14">
        <v>1000000000</v>
      </c>
    </row>
    <row r="5" spans="1:14" x14ac:dyDescent="0.85">
      <c r="A5" s="12" t="s">
        <v>59</v>
      </c>
      <c r="B5" s="12" t="s">
        <v>60</v>
      </c>
      <c r="C5" s="12" t="s">
        <v>59</v>
      </c>
      <c r="D5" s="12" t="s">
        <v>61</v>
      </c>
      <c r="E5" s="12">
        <v>3</v>
      </c>
      <c r="F5" s="12" t="s">
        <v>62</v>
      </c>
      <c r="G5" s="12">
        <f>1/Thousand</f>
        <v>1E-3</v>
      </c>
      <c r="J5" s="12" t="s">
        <v>3</v>
      </c>
      <c r="K5" s="12">
        <f>K4+Param_Count</f>
        <v>44</v>
      </c>
      <c r="L5" s="12">
        <v>4</v>
      </c>
    </row>
    <row r="6" spans="1:14" x14ac:dyDescent="0.85">
      <c r="A6" s="12" t="s">
        <v>63</v>
      </c>
      <c r="B6" s="12" t="s">
        <v>64</v>
      </c>
      <c r="C6" s="12" t="s">
        <v>63</v>
      </c>
      <c r="D6" s="12" t="s">
        <v>65</v>
      </c>
      <c r="E6" s="12">
        <v>4</v>
      </c>
      <c r="F6" s="12" t="s">
        <v>62</v>
      </c>
      <c r="G6" s="12">
        <f>1/Thousand</f>
        <v>1E-3</v>
      </c>
      <c r="J6" s="12" t="s">
        <v>4</v>
      </c>
      <c r="K6" s="12">
        <f>K5+Param_Count</f>
        <v>56</v>
      </c>
      <c r="L6" s="12">
        <v>5</v>
      </c>
    </row>
    <row r="7" spans="1:14" x14ac:dyDescent="0.85">
      <c r="A7" s="12" t="s">
        <v>66</v>
      </c>
      <c r="B7" s="12" t="s">
        <v>67</v>
      </c>
      <c r="C7" s="12" t="s">
        <v>66</v>
      </c>
      <c r="D7" s="12" t="s">
        <v>68</v>
      </c>
      <c r="E7" s="12">
        <v>5</v>
      </c>
      <c r="F7" s="12" t="s">
        <v>62</v>
      </c>
      <c r="G7" s="12">
        <f>1/Thousand</f>
        <v>1E-3</v>
      </c>
      <c r="J7" s="12" t="s">
        <v>11</v>
      </c>
      <c r="K7" s="12">
        <f>K6+Param_Count</f>
        <v>68</v>
      </c>
      <c r="L7" s="12">
        <v>6</v>
      </c>
    </row>
    <row r="8" spans="1:14" x14ac:dyDescent="0.85">
      <c r="A8" s="12" t="s">
        <v>69</v>
      </c>
      <c r="B8" s="12" t="s">
        <v>70</v>
      </c>
      <c r="C8" s="12" t="s">
        <v>69</v>
      </c>
      <c r="D8" s="12" t="s">
        <v>71</v>
      </c>
      <c r="E8" s="12">
        <v>6</v>
      </c>
      <c r="F8" s="12" t="s">
        <v>62</v>
      </c>
      <c r="G8" s="12">
        <f>1/Thousand</f>
        <v>1E-3</v>
      </c>
      <c r="J8" s="12" t="s">
        <v>72</v>
      </c>
      <c r="L8" s="12">
        <v>7</v>
      </c>
    </row>
    <row r="9" spans="1:14" x14ac:dyDescent="0.85">
      <c r="A9" s="12" t="s">
        <v>73</v>
      </c>
      <c r="B9" s="12" t="s">
        <v>74</v>
      </c>
      <c r="C9" s="12" t="s">
        <v>73</v>
      </c>
    </row>
    <row r="10" spans="1:14" x14ac:dyDescent="0.85">
      <c r="A10" s="12" t="s">
        <v>75</v>
      </c>
      <c r="B10" s="12" t="s">
        <v>76</v>
      </c>
      <c r="C10" s="12" t="s">
        <v>75</v>
      </c>
      <c r="G10"/>
    </row>
    <row r="11" spans="1:14" x14ac:dyDescent="0.85">
      <c r="A11" s="12" t="s">
        <v>77</v>
      </c>
      <c r="B11" s="12" t="s">
        <v>78</v>
      </c>
      <c r="C11" s="12" t="s">
        <v>77</v>
      </c>
      <c r="G11"/>
    </row>
    <row r="12" spans="1:14" x14ac:dyDescent="0.85">
      <c r="A12" s="12" t="s">
        <v>79</v>
      </c>
      <c r="B12" s="12" t="s">
        <v>80</v>
      </c>
      <c r="C12" s="12" t="s">
        <v>79</v>
      </c>
      <c r="G12"/>
    </row>
    <row r="13" spans="1:14" x14ac:dyDescent="0.85">
      <c r="A13" s="12" t="s">
        <v>81</v>
      </c>
      <c r="B13" s="12" t="s">
        <v>82</v>
      </c>
      <c r="C13" s="12" t="s">
        <v>81</v>
      </c>
      <c r="G13"/>
    </row>
    <row r="14" spans="1:14" x14ac:dyDescent="0.85">
      <c r="A14" s="12" t="s">
        <v>83</v>
      </c>
      <c r="B14" s="12" t="s">
        <v>84</v>
      </c>
      <c r="C14" s="12" t="s">
        <v>83</v>
      </c>
      <c r="G14"/>
    </row>
    <row r="15" spans="1:14" x14ac:dyDescent="0.85">
      <c r="A15" s="12" t="s">
        <v>85</v>
      </c>
      <c r="B15" s="12" t="s">
        <v>86</v>
      </c>
      <c r="C15" s="12" t="s">
        <v>85</v>
      </c>
      <c r="G15"/>
    </row>
    <row r="16" spans="1:14" x14ac:dyDescent="0.85">
      <c r="G16"/>
    </row>
    <row r="17" spans="7:7" x14ac:dyDescent="0.85">
      <c r="G17"/>
    </row>
    <row r="18" spans="7:7" x14ac:dyDescent="0.85">
      <c r="G18"/>
    </row>
    <row r="19" spans="7:7" x14ac:dyDescent="0.85">
      <c r="G19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6B7B-C308-4369-B725-05C64C64DE0D}">
  <sheetPr codeName="Sheet5"/>
  <dimension ref="A1:I32"/>
  <sheetViews>
    <sheetView workbookViewId="0">
      <selection activeCell="B7" sqref="B7"/>
    </sheetView>
  </sheetViews>
  <sheetFormatPr defaultRowHeight="14.6" x14ac:dyDescent="0.85"/>
  <cols>
    <col min="1" max="1" width="14.11328125" bestFit="1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</cols>
  <sheetData>
    <row r="1" spans="1:9" ht="16.149999999999999" x14ac:dyDescent="0.85">
      <c r="A1" s="2" t="s">
        <v>8</v>
      </c>
      <c r="C1" s="10" t="s">
        <v>6</v>
      </c>
      <c r="D1" s="9"/>
      <c r="E1" s="9"/>
      <c r="F1" s="9"/>
      <c r="G1" s="9"/>
      <c r="H1" s="9"/>
      <c r="I1" s="9"/>
    </row>
    <row r="2" spans="1:9" ht="14.65" x14ac:dyDescent="0.85">
      <c r="A2" s="2" t="s">
        <v>9</v>
      </c>
    </row>
    <row r="4" spans="1:9" ht="14.65" customHeight="1" x14ac:dyDescent="0.85">
      <c r="A4" t="s">
        <v>22</v>
      </c>
      <c r="B4" s="5" t="b">
        <v>1</v>
      </c>
    </row>
    <row r="5" spans="1:9" ht="14.65" x14ac:dyDescent="0.85">
      <c r="A5" t="s">
        <v>23</v>
      </c>
      <c r="B5" s="5" t="b">
        <v>0</v>
      </c>
      <c r="I5">
        <v>2023</v>
      </c>
    </row>
    <row r="6" spans="1:9" ht="14.65" x14ac:dyDescent="0.85">
      <c r="A6" t="s">
        <v>24</v>
      </c>
      <c r="B6" s="5" t="b">
        <v>0</v>
      </c>
      <c r="I6">
        <f>I5+1</f>
        <v>2024</v>
      </c>
    </row>
    <row r="7" spans="1:9" ht="14.65" x14ac:dyDescent="0.85">
      <c r="A7" t="s">
        <v>25</v>
      </c>
      <c r="B7" s="5" t="b">
        <v>0</v>
      </c>
      <c r="I7">
        <f t="shared" ref="I7:I22" si="0">I6+1</f>
        <v>2025</v>
      </c>
    </row>
    <row r="8" spans="1:9" ht="14.65" x14ac:dyDescent="0.85">
      <c r="I8">
        <f t="shared" si="0"/>
        <v>2026</v>
      </c>
    </row>
    <row r="9" spans="1:9" ht="14.65" x14ac:dyDescent="0.85">
      <c r="A9" t="s">
        <v>26</v>
      </c>
      <c r="B9" s="5" t="b">
        <v>1</v>
      </c>
      <c r="I9">
        <f t="shared" si="0"/>
        <v>2027</v>
      </c>
    </row>
    <row r="10" spans="1:9" ht="14.65" x14ac:dyDescent="0.85">
      <c r="A10" t="s">
        <v>27</v>
      </c>
      <c r="B10" s="5" t="b">
        <v>1</v>
      </c>
      <c r="I10">
        <f t="shared" si="0"/>
        <v>2028</v>
      </c>
    </row>
    <row r="11" spans="1:9" ht="14.65" x14ac:dyDescent="0.85">
      <c r="A11" t="s">
        <v>28</v>
      </c>
      <c r="B11" s="5" t="b">
        <v>1</v>
      </c>
      <c r="I11">
        <f t="shared" si="0"/>
        <v>2029</v>
      </c>
    </row>
    <row r="12" spans="1:9" ht="14.65" x14ac:dyDescent="0.85">
      <c r="A12" t="s">
        <v>29</v>
      </c>
      <c r="B12" s="5" t="b">
        <v>1</v>
      </c>
      <c r="I12">
        <f t="shared" si="0"/>
        <v>2030</v>
      </c>
    </row>
    <row r="13" spans="1:9" ht="14.65" x14ac:dyDescent="0.85">
      <c r="A13" t="s">
        <v>30</v>
      </c>
      <c r="B13" s="5" t="b">
        <v>1</v>
      </c>
      <c r="I13">
        <f t="shared" si="0"/>
        <v>2031</v>
      </c>
    </row>
    <row r="14" spans="1:9" ht="14.65" x14ac:dyDescent="0.85">
      <c r="A14" t="s">
        <v>31</v>
      </c>
      <c r="B14" s="5" t="b">
        <v>1</v>
      </c>
      <c r="I14">
        <f t="shared" si="0"/>
        <v>2032</v>
      </c>
    </row>
    <row r="15" spans="1:9" ht="14.65" x14ac:dyDescent="0.85">
      <c r="I15">
        <f t="shared" si="0"/>
        <v>2033</v>
      </c>
    </row>
    <row r="16" spans="1:9" ht="14.65" x14ac:dyDescent="0.85">
      <c r="I16">
        <f t="shared" si="0"/>
        <v>2034</v>
      </c>
    </row>
    <row r="17" spans="9:9" ht="14.65" x14ac:dyDescent="0.85">
      <c r="I17">
        <f t="shared" si="0"/>
        <v>2035</v>
      </c>
    </row>
    <row r="18" spans="9:9" ht="14.65" x14ac:dyDescent="0.85">
      <c r="I18">
        <f t="shared" si="0"/>
        <v>2036</v>
      </c>
    </row>
    <row r="19" spans="9:9" ht="14.65" x14ac:dyDescent="0.85">
      <c r="I19">
        <f t="shared" si="0"/>
        <v>2037</v>
      </c>
    </row>
    <row r="20" spans="9:9" x14ac:dyDescent="0.85">
      <c r="I20">
        <f t="shared" si="0"/>
        <v>2038</v>
      </c>
    </row>
    <row r="21" spans="9:9" x14ac:dyDescent="0.85">
      <c r="I21">
        <f t="shared" si="0"/>
        <v>2039</v>
      </c>
    </row>
    <row r="22" spans="9:9" x14ac:dyDescent="0.85">
      <c r="I22">
        <f t="shared" si="0"/>
        <v>2040</v>
      </c>
    </row>
    <row r="23" spans="9:9" x14ac:dyDescent="0.85">
      <c r="I23">
        <f t="shared" ref="I23:I32" si="1">I22+1</f>
        <v>2041</v>
      </c>
    </row>
    <row r="24" spans="9:9" x14ac:dyDescent="0.85">
      <c r="I24">
        <f t="shared" si="1"/>
        <v>2042</v>
      </c>
    </row>
    <row r="25" spans="9:9" x14ac:dyDescent="0.85">
      <c r="I25">
        <f t="shared" si="1"/>
        <v>2043</v>
      </c>
    </row>
    <row r="26" spans="9:9" x14ac:dyDescent="0.85">
      <c r="I26">
        <f t="shared" si="1"/>
        <v>2044</v>
      </c>
    </row>
    <row r="27" spans="9:9" x14ac:dyDescent="0.85">
      <c r="I27">
        <f t="shared" si="1"/>
        <v>2045</v>
      </c>
    </row>
    <row r="28" spans="9:9" x14ac:dyDescent="0.85">
      <c r="I28">
        <f t="shared" si="1"/>
        <v>2046</v>
      </c>
    </row>
    <row r="29" spans="9:9" x14ac:dyDescent="0.85">
      <c r="I29">
        <f t="shared" si="1"/>
        <v>2047</v>
      </c>
    </row>
    <row r="30" spans="9:9" x14ac:dyDescent="0.85">
      <c r="I30">
        <f t="shared" si="1"/>
        <v>2048</v>
      </c>
    </row>
    <row r="31" spans="9:9" x14ac:dyDescent="0.85">
      <c r="I31">
        <f t="shared" si="1"/>
        <v>2049</v>
      </c>
    </row>
    <row r="32" spans="9:9" x14ac:dyDescent="0.85">
      <c r="I32">
        <f t="shared" si="1"/>
        <v>2050</v>
      </c>
    </row>
  </sheetData>
  <mergeCells count="1">
    <mergeCell ref="C1:I1"/>
  </mergeCells>
  <dataValidations count="1">
    <dataValidation type="list" allowBlank="1" showInputMessage="1" showErrorMessage="1" sqref="A2" xr:uid="{88D65C1F-558A-4663-B549-55B891711BDC}">
      <formula1>Params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EDE5-8FEE-47AB-9518-62B7C472B416}">
  <sheetPr codeName="Sheet2"/>
  <dimension ref="A2:R39"/>
  <sheetViews>
    <sheetView topLeftCell="A5" workbookViewId="0">
      <selection activeCell="J13" sqref="J13:R38"/>
    </sheetView>
  </sheetViews>
  <sheetFormatPr defaultRowHeight="14.6" x14ac:dyDescent="0.85"/>
  <cols>
    <col min="1" max="1" width="11.53515625" customWidth="1"/>
    <col min="2" max="2" width="10.8046875" bestFit="1" customWidth="1"/>
    <col min="3" max="9" width="12.69140625" customWidth="1"/>
    <col min="10" max="10" width="10.65234375" style="8" bestFit="1" customWidth="1"/>
    <col min="11" max="11" width="3.11328125" customWidth="1"/>
  </cols>
  <sheetData>
    <row r="2" spans="1:18" x14ac:dyDescent="0.85">
      <c r="C2" s="4"/>
    </row>
    <row r="3" spans="1:18" x14ac:dyDescent="0.85">
      <c r="B3" t="s">
        <v>12</v>
      </c>
      <c r="C3" t="str">
        <f>VLOOKUP(Region, Region_lookup,2,FALSE)</f>
        <v>CAL</v>
      </c>
      <c r="E3" s="9" t="str">
        <f>Graph!$A$1 &amp; " - " &amp; Graph!$A$2</f>
        <v>California - Capacity GW</v>
      </c>
      <c r="F3" s="9"/>
      <c r="G3" s="9"/>
    </row>
    <row r="4" spans="1:18" x14ac:dyDescent="0.85">
      <c r="B4" t="s">
        <v>13</v>
      </c>
      <c r="C4">
        <f>VLOOKUP(Parameter,Param_Table,4,FALSE)</f>
        <v>1E-3</v>
      </c>
    </row>
    <row r="5" spans="1:18" x14ac:dyDescent="0.85">
      <c r="B5" t="s">
        <v>20</v>
      </c>
      <c r="C5">
        <f>VLOOKUP(Parameter,Param_Table,2,FALSE)</f>
        <v>0</v>
      </c>
    </row>
    <row r="6" spans="1:18" x14ac:dyDescent="0.85">
      <c r="B6" t="str">
        <f>Parameter</f>
        <v>Capacity GW</v>
      </c>
    </row>
    <row r="11" spans="1:18" x14ac:dyDescent="0.85">
      <c r="A11" t="s">
        <v>21</v>
      </c>
      <c r="B11" t="s">
        <v>10</v>
      </c>
      <c r="C11">
        <f t="shared" ref="C11:H11" si="0">VLOOKUP(C$12,NRG_Table,2,FALSE)</f>
        <v>8</v>
      </c>
      <c r="D11">
        <f t="shared" si="0"/>
        <v>20</v>
      </c>
      <c r="E11">
        <f t="shared" si="0"/>
        <v>32</v>
      </c>
      <c r="F11">
        <f t="shared" si="0"/>
        <v>44</v>
      </c>
      <c r="G11">
        <f t="shared" si="0"/>
        <v>56</v>
      </c>
      <c r="H11">
        <f t="shared" si="0"/>
        <v>68</v>
      </c>
      <c r="L11" s="6" t="s">
        <v>18</v>
      </c>
    </row>
    <row r="12" spans="1:18" x14ac:dyDescent="0.85">
      <c r="A12">
        <v>2023</v>
      </c>
      <c r="B12">
        <v>-1</v>
      </c>
      <c r="C12" t="s">
        <v>0</v>
      </c>
      <c r="D12" t="s">
        <v>1</v>
      </c>
      <c r="E12" t="s">
        <v>2</v>
      </c>
      <c r="F12" t="s">
        <v>3</v>
      </c>
      <c r="G12" t="s">
        <v>4</v>
      </c>
      <c r="H12" t="s">
        <v>11</v>
      </c>
      <c r="I12" t="s">
        <v>5</v>
      </c>
      <c r="J12" s="8">
        <f>2023</f>
        <v>2023</v>
      </c>
      <c r="K12">
        <v>0</v>
      </c>
      <c r="L12" t="s">
        <v>0</v>
      </c>
      <c r="M12" t="s">
        <v>1</v>
      </c>
      <c r="N12" t="s">
        <v>2</v>
      </c>
      <c r="O12" t="s">
        <v>3</v>
      </c>
      <c r="P12" t="s">
        <v>4</v>
      </c>
      <c r="Q12" t="s">
        <v>11</v>
      </c>
      <c r="R12" t="s">
        <v>5</v>
      </c>
    </row>
    <row r="13" spans="1:18" x14ac:dyDescent="0.85">
      <c r="A13">
        <f>A12+1</f>
        <v>2024</v>
      </c>
      <c r="B13">
        <f>B12+1</f>
        <v>0</v>
      </c>
      <c r="C13" s="7" cm="1">
        <f t="array" aca="1" ref="C13" ca="1" xml:space="preserve"> Mult * OFFSET(INDIRECT(Region_abbr &amp; "!A1"), Param_offset + C$11,$B13+1)</f>
        <v>19.202000000000002</v>
      </c>
      <c r="D13" s="7" cm="1">
        <f t="array" aca="1" ref="D13" ca="1" xml:space="preserve"> Mult * OFFSET(INDIRECT(Region_abbr &amp; "!A1"), Param_offset + D$11,$B13+1)</f>
        <v>5.9729999999999999</v>
      </c>
      <c r="E13" s="7" cm="1">
        <f t="array" aca="1" ref="E13" ca="1" xml:space="preserve"> Mult * OFFSET(INDIRECT(Region_abbr &amp; "!A1"), Param_offset + E$11,$B13+1)</f>
        <v>2.286</v>
      </c>
      <c r="F13" s="7" cm="1">
        <f t="array" aca="1" ref="F13" ca="1" xml:space="preserve"> Mult * OFFSET(INDIRECT(Region_abbr &amp; "!A1"), Param_offset + F$11,$B13+1)</f>
        <v>31.948</v>
      </c>
      <c r="G13" s="7" cm="1">
        <f t="array" aca="1" ref="G13" ca="1" xml:space="preserve"> Mult * OFFSET(INDIRECT(Region_abbr &amp; "!A1"), Param_offset + G$11,$B13+1)</f>
        <v>1.821</v>
      </c>
      <c r="H13" s="7" cm="1">
        <f t="array" aca="1" ref="H13" ca="1" xml:space="preserve"> Mult * OFFSET(INDIRECT(Region_abbr &amp; "!A1"), Param_offset + H$11,$B13+1)</f>
        <v>0</v>
      </c>
      <c r="I13" s="1">
        <f ca="1">SUM(C13:H13)</f>
        <v>61.230000000000004</v>
      </c>
      <c r="J13" s="8">
        <f>J12+1</f>
        <v>2024</v>
      </c>
      <c r="K13">
        <f>K12+1</f>
        <v>1</v>
      </c>
      <c r="L13" s="1">
        <f t="shared" ref="L13:R13" ca="1" si="1">C14-C13</f>
        <v>1.4463647751199993</v>
      </c>
      <c r="M13" s="1">
        <f t="shared" ca="1" si="1"/>
        <v>0.77816150181000054</v>
      </c>
      <c r="N13" s="1">
        <f t="shared" ca="1" si="1"/>
        <v>1.15963968358</v>
      </c>
      <c r="O13" s="1">
        <f t="shared" ca="1" si="1"/>
        <v>0.26017353910000196</v>
      </c>
      <c r="P13" s="1">
        <f t="shared" ca="1" si="1"/>
        <v>0.34137264452000005</v>
      </c>
      <c r="Q13" s="1">
        <f t="shared" ca="1" si="1"/>
        <v>7.9336145439999992E-2</v>
      </c>
      <c r="R13" s="1">
        <f t="shared" ca="1" si="1"/>
        <v>4.0650482895700009</v>
      </c>
    </row>
    <row r="14" spans="1:18" x14ac:dyDescent="0.85">
      <c r="A14">
        <f t="shared" ref="A14:A39" si="2">A13+1</f>
        <v>2025</v>
      </c>
      <c r="B14">
        <f t="shared" ref="B14:B39" si="3">B13+1</f>
        <v>1</v>
      </c>
      <c r="C14" s="7" cm="1">
        <f t="array" aca="1" ref="C14" ca="1" xml:space="preserve"> Mult * OFFSET(INDIRECT(Region_abbr &amp; "!A1"), Param_offset + C$11,$B14+1)</f>
        <v>20.648364775120001</v>
      </c>
      <c r="D14" s="7" cm="1">
        <f t="array" aca="1" ref="D14" ca="1" xml:space="preserve"> Mult * OFFSET(INDIRECT(Region_abbr &amp; "!A1"), Param_offset + D$11,$B14+1)</f>
        <v>6.7511615018100004</v>
      </c>
      <c r="E14" s="7" cm="1">
        <f t="array" aca="1" ref="E14" ca="1" xml:space="preserve"> Mult * OFFSET(INDIRECT(Region_abbr &amp; "!A1"), Param_offset + E$11,$B14+1)</f>
        <v>3.4456396835800001</v>
      </c>
      <c r="F14" s="7" cm="1">
        <f t="array" aca="1" ref="F14" ca="1" xml:space="preserve"> Mult * OFFSET(INDIRECT(Region_abbr &amp; "!A1"), Param_offset + F$11,$B14+1)</f>
        <v>32.208173539100002</v>
      </c>
      <c r="G14" s="7" cm="1">
        <f t="array" aca="1" ref="G14" ca="1" xml:space="preserve"> Mult * OFFSET(INDIRECT(Region_abbr &amp; "!A1"), Param_offset + G$11,$B14+1)</f>
        <v>2.16237264452</v>
      </c>
      <c r="H14" s="7" cm="1">
        <f t="array" aca="1" ref="H14" ca="1" xml:space="preserve"> Mult * OFFSET(INDIRECT(Region_abbr &amp; "!A1"), Param_offset + H$11,$B14+1)</f>
        <v>7.9336145439999992E-2</v>
      </c>
      <c r="I14" s="1">
        <f t="shared" ref="I14:I39" ca="1" si="4">SUM(C14:H14)</f>
        <v>65.295048289570005</v>
      </c>
      <c r="J14" s="8">
        <f t="shared" ref="J14:J38" si="5">J13+1</f>
        <v>2025</v>
      </c>
      <c r="K14">
        <f t="shared" ref="K14:K38" si="6">K13+1</f>
        <v>2</v>
      </c>
      <c r="L14" s="1">
        <f t="shared" ref="L14:L38" ca="1" si="7">C15-C14</f>
        <v>1.5432347708400016</v>
      </c>
      <c r="M14" s="1">
        <f t="shared" ref="M14:M38" ca="1" si="8">D15-D14</f>
        <v>0.82968637789999899</v>
      </c>
      <c r="N14" s="1">
        <f t="shared" ref="N14:N38" ca="1" si="9">E15-E14</f>
        <v>1.23619847859</v>
      </c>
      <c r="O14" s="1">
        <f t="shared" ref="O14:O38" ca="1" si="10">F15-F14</f>
        <v>0.24561060745999441</v>
      </c>
      <c r="P14" s="1">
        <f t="shared" ref="P14:P38" ca="1" si="11">G15-G14</f>
        <v>0.36392011309999983</v>
      </c>
      <c r="Q14" s="1">
        <f t="shared" ref="Q14:Q38" ca="1" si="12">H15-H14</f>
        <v>8.4940377170000012E-2</v>
      </c>
      <c r="R14" s="1">
        <f t="shared" ref="R14:R38" ca="1" si="13">I15-I14</f>
        <v>4.3035907250599905</v>
      </c>
    </row>
    <row r="15" spans="1:18" x14ac:dyDescent="0.85">
      <c r="A15">
        <f t="shared" si="2"/>
        <v>2026</v>
      </c>
      <c r="B15">
        <f t="shared" si="3"/>
        <v>2</v>
      </c>
      <c r="C15" s="7" cm="1">
        <f t="array" aca="1" ref="C15" ca="1" xml:space="preserve"> Mult * OFFSET(INDIRECT(Region_abbr &amp; "!A1"), Param_offset + C$11,$B15+1)</f>
        <v>22.191599545960003</v>
      </c>
      <c r="D15" s="7" cm="1">
        <f t="array" aca="1" ref="D15" ca="1" xml:space="preserve"> Mult * OFFSET(INDIRECT(Region_abbr &amp; "!A1"), Param_offset + D$11,$B15+1)</f>
        <v>7.5808478797099994</v>
      </c>
      <c r="E15" s="7" cm="1">
        <f t="array" aca="1" ref="E15" ca="1" xml:space="preserve"> Mult * OFFSET(INDIRECT(Region_abbr &amp; "!A1"), Param_offset + E$11,$B15+1)</f>
        <v>4.68183816217</v>
      </c>
      <c r="F15" s="7" cm="1">
        <f t="array" aca="1" ref="F15" ca="1" xml:space="preserve"> Mult * OFFSET(INDIRECT(Region_abbr &amp; "!A1"), Param_offset + F$11,$B15+1)</f>
        <v>32.453784146559997</v>
      </c>
      <c r="G15" s="7" cm="1">
        <f t="array" aca="1" ref="G15" ca="1" xml:space="preserve"> Mult * OFFSET(INDIRECT(Region_abbr &amp; "!A1"), Param_offset + G$11,$B15+1)</f>
        <v>2.5262927576199998</v>
      </c>
      <c r="H15" s="7" cm="1">
        <f t="array" aca="1" ref="H15" ca="1" xml:space="preserve"> Mult * OFFSET(INDIRECT(Region_abbr &amp; "!A1"), Param_offset + H$11,$B15+1)</f>
        <v>0.16427652261</v>
      </c>
      <c r="I15" s="1">
        <f t="shared" ca="1" si="4"/>
        <v>69.598639014629995</v>
      </c>
      <c r="J15" s="8">
        <f t="shared" si="5"/>
        <v>2026</v>
      </c>
      <c r="K15">
        <f t="shared" si="6"/>
        <v>3</v>
      </c>
      <c r="L15" s="1">
        <f t="shared" ca="1" si="7"/>
        <v>1.6457995184499978</v>
      </c>
      <c r="M15" s="1">
        <f t="shared" ca="1" si="8"/>
        <v>0.88426566079000146</v>
      </c>
      <c r="N15" s="1">
        <f t="shared" ca="1" si="9"/>
        <v>1.3172830929200003</v>
      </c>
      <c r="O15" s="1">
        <f t="shared" ca="1" si="10"/>
        <v>0.2296438933100049</v>
      </c>
      <c r="P15" s="1">
        <f t="shared" ca="1" si="11"/>
        <v>0.38780340948000003</v>
      </c>
      <c r="Q15" s="1">
        <f t="shared" ca="1" si="12"/>
        <v>9.0882823460000012E-2</v>
      </c>
      <c r="R15" s="1">
        <f t="shared" ca="1" si="13"/>
        <v>4.5556783984100093</v>
      </c>
    </row>
    <row r="16" spans="1:18" x14ac:dyDescent="0.85">
      <c r="A16">
        <f t="shared" si="2"/>
        <v>2027</v>
      </c>
      <c r="B16">
        <f t="shared" si="3"/>
        <v>3</v>
      </c>
      <c r="C16" s="7" cm="1">
        <f t="array" aca="1" ref="C16" ca="1" xml:space="preserve"> Mult * OFFSET(INDIRECT(Region_abbr &amp; "!A1"), Param_offset + C$11,$B16+1)</f>
        <v>23.83739906441</v>
      </c>
      <c r="D16" s="7" cm="1">
        <f t="array" aca="1" ref="D16" ca="1" xml:space="preserve"> Mult * OFFSET(INDIRECT(Region_abbr &amp; "!A1"), Param_offset + D$11,$B16+1)</f>
        <v>8.4651135405000009</v>
      </c>
      <c r="E16" s="7" cm="1">
        <f t="array" aca="1" ref="E16" ca="1" xml:space="preserve"> Mult * OFFSET(INDIRECT(Region_abbr &amp; "!A1"), Param_offset + E$11,$B16+1)</f>
        <v>5.9991212550900004</v>
      </c>
      <c r="F16" s="7" cm="1">
        <f t="array" aca="1" ref="F16" ca="1" xml:space="preserve"> Mult * OFFSET(INDIRECT(Region_abbr &amp; "!A1"), Param_offset + F$11,$B16+1)</f>
        <v>32.683428039870002</v>
      </c>
      <c r="G16" s="7" cm="1">
        <f t="array" aca="1" ref="G16" ca="1" xml:space="preserve"> Mult * OFFSET(INDIRECT(Region_abbr &amp; "!A1"), Param_offset + G$11,$B16+1)</f>
        <v>2.9140961670999999</v>
      </c>
      <c r="H16" s="7" cm="1">
        <f t="array" aca="1" ref="H16" ca="1" xml:space="preserve"> Mult * OFFSET(INDIRECT(Region_abbr &amp; "!A1"), Param_offset + H$11,$B16+1)</f>
        <v>0.25515934607000001</v>
      </c>
      <c r="I16" s="1">
        <f t="shared" ca="1" si="4"/>
        <v>74.154317413040005</v>
      </c>
      <c r="J16" s="8">
        <f t="shared" si="5"/>
        <v>2027</v>
      </c>
      <c r="K16">
        <f t="shared" si="6"/>
        <v>4</v>
      </c>
      <c r="L16" s="1">
        <f t="shared" ca="1" si="7"/>
        <v>1.75438291695</v>
      </c>
      <c r="M16" s="1">
        <f t="shared" ca="1" si="8"/>
        <v>0.94207143292999795</v>
      </c>
      <c r="N16" s="1">
        <f t="shared" ca="1" si="9"/>
        <v>1.4031486709600003</v>
      </c>
      <c r="O16" s="1">
        <f t="shared" ca="1" si="10"/>
        <v>0.21218430226999629</v>
      </c>
      <c r="P16" s="1">
        <f t="shared" ca="1" si="11"/>
        <v>0.41309775161000051</v>
      </c>
      <c r="Q16" s="1">
        <f t="shared" ca="1" si="12"/>
        <v>9.7182652400000014E-2</v>
      </c>
      <c r="R16" s="1">
        <f t="shared" ca="1" si="13"/>
        <v>4.8220677271199861</v>
      </c>
    </row>
    <row r="17" spans="1:18" x14ac:dyDescent="0.85">
      <c r="A17">
        <f t="shared" si="2"/>
        <v>2028</v>
      </c>
      <c r="B17">
        <f t="shared" si="3"/>
        <v>4</v>
      </c>
      <c r="C17" s="7" cm="1">
        <f t="array" aca="1" ref="C17" ca="1" xml:space="preserve"> Mult * OFFSET(INDIRECT(Region_abbr &amp; "!A1"), Param_offset + C$11,$B17+1)</f>
        <v>25.59178198136</v>
      </c>
      <c r="D17" s="7" cm="1">
        <f t="array" aca="1" ref="D17" ca="1" xml:space="preserve"> Mult * OFFSET(INDIRECT(Region_abbr &amp; "!A1"), Param_offset + D$11,$B17+1)</f>
        <v>9.4071849734299988</v>
      </c>
      <c r="E17" s="7" cm="1">
        <f t="array" aca="1" ref="E17" ca="1" xml:space="preserve"> Mult * OFFSET(INDIRECT(Region_abbr &amp; "!A1"), Param_offset + E$11,$B17+1)</f>
        <v>7.4022699260500007</v>
      </c>
      <c r="F17" s="7" cm="1">
        <f t="array" aca="1" ref="F17" ca="1" xml:space="preserve"> Mult * OFFSET(INDIRECT(Region_abbr &amp; "!A1"), Param_offset + F$11,$B17+1)</f>
        <v>32.895612342139998</v>
      </c>
      <c r="G17" s="7" cm="1">
        <f t="array" aca="1" ref="G17" ca="1" xml:space="preserve"> Mult * OFFSET(INDIRECT(Region_abbr &amp; "!A1"), Param_offset + G$11,$B17+1)</f>
        <v>3.3271939187100004</v>
      </c>
      <c r="H17" s="7" cm="1">
        <f t="array" aca="1" ref="H17" ca="1" xml:space="preserve"> Mult * OFFSET(INDIRECT(Region_abbr &amp; "!A1"), Param_offset + H$11,$B17+1)</f>
        <v>0.35234199847000003</v>
      </c>
      <c r="I17" s="1">
        <f t="shared" ca="1" si="4"/>
        <v>78.976385140159991</v>
      </c>
      <c r="J17" s="8">
        <f t="shared" si="5"/>
        <v>2028</v>
      </c>
      <c r="K17">
        <f t="shared" si="6"/>
        <v>5</v>
      </c>
      <c r="L17" s="1">
        <f t="shared" ca="1" si="7"/>
        <v>1.8693269122700009</v>
      </c>
      <c r="M17" s="1">
        <f t="shared" ca="1" si="8"/>
        <v>1.0032854976900012</v>
      </c>
      <c r="N17" s="1">
        <f t="shared" ca="1" si="9"/>
        <v>1.4940647496099997</v>
      </c>
      <c r="O17" s="1">
        <f t="shared" ca="1" si="10"/>
        <v>0.19313756475000332</v>
      </c>
      <c r="P17" s="1">
        <f t="shared" ca="1" si="11"/>
        <v>0.43988260872999962</v>
      </c>
      <c r="Q17" s="1">
        <f t="shared" ca="1" si="12"/>
        <v>0.10386009632999998</v>
      </c>
      <c r="R17" s="1">
        <f t="shared" ca="1" si="13"/>
        <v>5.1035574293800181</v>
      </c>
    </row>
    <row r="18" spans="1:18" x14ac:dyDescent="0.85">
      <c r="A18">
        <f t="shared" si="2"/>
        <v>2029</v>
      </c>
      <c r="B18">
        <f t="shared" si="3"/>
        <v>5</v>
      </c>
      <c r="C18" s="7" cm="1">
        <f t="array" aca="1" ref="C18" ca="1" xml:space="preserve"> Mult * OFFSET(INDIRECT(Region_abbr &amp; "!A1"), Param_offset + C$11,$B18+1)</f>
        <v>27.461108893630001</v>
      </c>
      <c r="D18" s="7" cm="1">
        <f t="array" aca="1" ref="D18" ca="1" xml:space="preserve"> Mult * OFFSET(INDIRECT(Region_abbr &amp; "!A1"), Param_offset + D$11,$B18+1)</f>
        <v>10.41047047112</v>
      </c>
      <c r="E18" s="7" cm="1">
        <f t="array" aca="1" ref="E18" ca="1" xml:space="preserve"> Mult * OFFSET(INDIRECT(Region_abbr &amp; "!A1"), Param_offset + E$11,$B18+1)</f>
        <v>8.8963346756600004</v>
      </c>
      <c r="F18" s="7" cm="1">
        <f t="array" aca="1" ref="F18" ca="1" xml:space="preserve"> Mult * OFFSET(INDIRECT(Region_abbr &amp; "!A1"), Param_offset + F$11,$B18+1)</f>
        <v>33.088749906890001</v>
      </c>
      <c r="G18" s="7" cm="1">
        <f t="array" aca="1" ref="G18" ca="1" xml:space="preserve"> Mult * OFFSET(INDIRECT(Region_abbr &amp; "!A1"), Param_offset + G$11,$B18+1)</f>
        <v>3.76707652744</v>
      </c>
      <c r="H18" s="7" cm="1">
        <f t="array" aca="1" ref="H18" ca="1" xml:space="preserve"> Mult * OFFSET(INDIRECT(Region_abbr &amp; "!A1"), Param_offset + H$11,$B18+1)</f>
        <v>0.45620209480000001</v>
      </c>
      <c r="I18" s="1">
        <f t="shared" ca="1" si="4"/>
        <v>84.079942569540009</v>
      </c>
      <c r="J18" s="8">
        <f t="shared" si="5"/>
        <v>2029</v>
      </c>
      <c r="K18">
        <f t="shared" si="6"/>
        <v>6</v>
      </c>
      <c r="L18" s="1">
        <f t="shared" ca="1" si="7"/>
        <v>1.9909925111599982</v>
      </c>
      <c r="M18" s="1">
        <f t="shared" ca="1" si="8"/>
        <v>1.0680999122500019</v>
      </c>
      <c r="N18" s="1">
        <f t="shared" ca="1" si="9"/>
        <v>1.5903160492699993</v>
      </c>
      <c r="O18" s="1">
        <f t="shared" ca="1" si="10"/>
        <v>0.17240384675000087</v>
      </c>
      <c r="P18" s="1">
        <f t="shared" ca="1" si="11"/>
        <v>0.46824193424999949</v>
      </c>
      <c r="Q18" s="1">
        <f t="shared" ca="1" si="12"/>
        <v>0.11093654621999999</v>
      </c>
      <c r="R18" s="1">
        <f t="shared" ca="1" si="13"/>
        <v>5.4009907998999864</v>
      </c>
    </row>
    <row r="19" spans="1:18" x14ac:dyDescent="0.85">
      <c r="A19">
        <f t="shared" si="2"/>
        <v>2030</v>
      </c>
      <c r="B19">
        <f t="shared" si="3"/>
        <v>6</v>
      </c>
      <c r="C19" s="7" cm="1">
        <f t="array" aca="1" ref="C19" ca="1" xml:space="preserve"> Mult * OFFSET(INDIRECT(Region_abbr &amp; "!A1"), Param_offset + C$11,$B19+1)</f>
        <v>29.45210140479</v>
      </c>
      <c r="D19" s="7" cm="1">
        <f t="array" aca="1" ref="D19" ca="1" xml:space="preserve"> Mult * OFFSET(INDIRECT(Region_abbr &amp; "!A1"), Param_offset + D$11,$B19+1)</f>
        <v>11.478570383370002</v>
      </c>
      <c r="E19" s="7" cm="1">
        <f t="array" aca="1" ref="E19" ca="1" xml:space="preserve"> Mult * OFFSET(INDIRECT(Region_abbr &amp; "!A1"), Param_offset + E$11,$B19+1)</f>
        <v>10.48665072493</v>
      </c>
      <c r="F19" s="7" cm="1">
        <f t="array" aca="1" ref="F19" ca="1" xml:space="preserve"> Mult * OFFSET(INDIRECT(Region_abbr &amp; "!A1"), Param_offset + F$11,$B19+1)</f>
        <v>33.261153753640002</v>
      </c>
      <c r="G19" s="7" cm="1">
        <f t="array" aca="1" ref="G19" ca="1" xml:space="preserve"> Mult * OFFSET(INDIRECT(Region_abbr &amp; "!A1"), Param_offset + G$11,$B19+1)</f>
        <v>4.2353184616899995</v>
      </c>
      <c r="H19" s="7" cm="1">
        <f t="array" aca="1" ref="H19" ca="1" xml:space="preserve"> Mult * OFFSET(INDIRECT(Region_abbr &amp; "!A1"), Param_offset + H$11,$B19+1)</f>
        <v>0.56713864102</v>
      </c>
      <c r="I19" s="1">
        <f t="shared" ca="1" si="4"/>
        <v>89.480933369439995</v>
      </c>
      <c r="J19" s="8">
        <f t="shared" si="5"/>
        <v>2030</v>
      </c>
      <c r="K19">
        <f t="shared" si="6"/>
        <v>7</v>
      </c>
      <c r="L19" s="1">
        <f t="shared" ca="1" si="7"/>
        <v>2.1197608493299995</v>
      </c>
      <c r="M19" s="1">
        <f t="shared" ca="1" si="8"/>
        <v>1.1367175503599984</v>
      </c>
      <c r="N19" s="1">
        <f t="shared" ca="1" si="9"/>
        <v>1.6922033087999999</v>
      </c>
      <c r="O19" s="1">
        <f t="shared" ca="1" si="10"/>
        <v>0.14987750747999939</v>
      </c>
      <c r="P19" s="1">
        <f t="shared" ca="1" si="11"/>
        <v>0.49826441162000012</v>
      </c>
      <c r="Q19" s="1">
        <f t="shared" ca="1" si="12"/>
        <v>0.11843459176000004</v>
      </c>
      <c r="R19" s="1">
        <f t="shared" ca="1" si="13"/>
        <v>5.7152582193500052</v>
      </c>
    </row>
    <row r="20" spans="1:18" x14ac:dyDescent="0.85">
      <c r="A20">
        <f t="shared" si="2"/>
        <v>2031</v>
      </c>
      <c r="B20">
        <f t="shared" si="3"/>
        <v>7</v>
      </c>
      <c r="C20" s="7" cm="1">
        <f t="array" aca="1" ref="C20" ca="1" xml:space="preserve"> Mult * OFFSET(INDIRECT(Region_abbr &amp; "!A1"), Param_offset + C$11,$B20+1)</f>
        <v>31.571862254119999</v>
      </c>
      <c r="D20" s="7" cm="1">
        <f t="array" aca="1" ref="D20" ca="1" xml:space="preserve"> Mult * OFFSET(INDIRECT(Region_abbr &amp; "!A1"), Param_offset + D$11,$B20+1)</f>
        <v>12.61528793373</v>
      </c>
      <c r="E20" s="7" cm="1">
        <f t="array" aca="1" ref="E20" ca="1" xml:space="preserve"> Mult * OFFSET(INDIRECT(Region_abbr &amp; "!A1"), Param_offset + E$11,$B20+1)</f>
        <v>12.17885403373</v>
      </c>
      <c r="F20" s="7" cm="1">
        <f t="array" aca="1" ref="F20" ca="1" xml:space="preserve"> Mult * OFFSET(INDIRECT(Region_abbr &amp; "!A1"), Param_offset + F$11,$B20+1)</f>
        <v>33.411031261120002</v>
      </c>
      <c r="G20" s="7" cm="1">
        <f t="array" aca="1" ref="G20" ca="1" xml:space="preserve"> Mult * OFFSET(INDIRECT(Region_abbr &amp; "!A1"), Param_offset + G$11,$B20+1)</f>
        <v>4.7335828733099996</v>
      </c>
      <c r="H20" s="7" cm="1">
        <f t="array" aca="1" ref="H20" ca="1" xml:space="preserve"> Mult * OFFSET(INDIRECT(Region_abbr &amp; "!A1"), Param_offset + H$11,$B20+1)</f>
        <v>0.68557323278000004</v>
      </c>
      <c r="I20" s="1">
        <f t="shared" ca="1" si="4"/>
        <v>95.196191588790001</v>
      </c>
      <c r="J20" s="8">
        <f t="shared" si="5"/>
        <v>2031</v>
      </c>
      <c r="K20">
        <f t="shared" si="6"/>
        <v>8</v>
      </c>
      <c r="L20" s="1">
        <f t="shared" ca="1" si="7"/>
        <v>2.256034319020003</v>
      </c>
      <c r="M20" s="1">
        <f t="shared" ca="1" si="8"/>
        <v>1.2093526980299991</v>
      </c>
      <c r="N20" s="1">
        <f t="shared" ca="1" si="9"/>
        <v>1.8000441691300004</v>
      </c>
      <c r="O20" s="1">
        <f t="shared" ca="1" si="10"/>
        <v>0.12645290105999862</v>
      </c>
      <c r="P20" s="1">
        <f t="shared" ca="1" si="11"/>
        <v>0.53004371463000055</v>
      </c>
      <c r="Q20" s="1">
        <f t="shared" ca="1" si="12"/>
        <v>0.12602389753999999</v>
      </c>
      <c r="R20" s="1">
        <f t="shared" ca="1" si="13"/>
        <v>6.0479516994099924</v>
      </c>
    </row>
    <row r="21" spans="1:18" x14ac:dyDescent="0.85">
      <c r="A21">
        <f t="shared" si="2"/>
        <v>2032</v>
      </c>
      <c r="B21">
        <f t="shared" si="3"/>
        <v>8</v>
      </c>
      <c r="C21" s="7" cm="1">
        <f t="array" aca="1" ref="C21" ca="1" xml:space="preserve"> Mult * OFFSET(INDIRECT(Region_abbr &amp; "!A1"), Param_offset + C$11,$B21+1)</f>
        <v>33.827896573140002</v>
      </c>
      <c r="D21" s="7" cm="1">
        <f t="array" aca="1" ref="D21" ca="1" xml:space="preserve"> Mult * OFFSET(INDIRECT(Region_abbr &amp; "!A1"), Param_offset + D$11,$B21+1)</f>
        <v>13.824640631759999</v>
      </c>
      <c r="E21" s="7" cm="1">
        <f t="array" aca="1" ref="E21" ca="1" xml:space="preserve"> Mult * OFFSET(INDIRECT(Region_abbr &amp; "!A1"), Param_offset + E$11,$B21+1)</f>
        <v>13.97889820286</v>
      </c>
      <c r="F21" s="7" cm="1">
        <f t="array" aca="1" ref="F21" ca="1" xml:space="preserve"> Mult * OFFSET(INDIRECT(Region_abbr &amp; "!A1"), Param_offset + F$11,$B21+1)</f>
        <v>33.53748416218</v>
      </c>
      <c r="G21" s="7" cm="1">
        <f t="array" aca="1" ref="G21" ca="1" xml:space="preserve"> Mult * OFFSET(INDIRECT(Region_abbr &amp; "!A1"), Param_offset + G$11,$B21+1)</f>
        <v>5.2636265879400002</v>
      </c>
      <c r="H21" s="7" cm="1">
        <f t="array" aca="1" ref="H21" ca="1" xml:space="preserve"> Mult * OFFSET(INDIRECT(Region_abbr &amp; "!A1"), Param_offset + H$11,$B21+1)</f>
        <v>0.81159713032000003</v>
      </c>
      <c r="I21" s="1">
        <f t="shared" ca="1" si="4"/>
        <v>101.24414328819999</v>
      </c>
      <c r="J21" s="8">
        <f t="shared" si="5"/>
        <v>2032</v>
      </c>
      <c r="K21">
        <f t="shared" si="6"/>
        <v>9</v>
      </c>
      <c r="L21" s="1">
        <f t="shared" ca="1" si="7"/>
        <v>2.4002493260999955</v>
      </c>
      <c r="M21" s="1">
        <f t="shared" ca="1" si="8"/>
        <v>1.2862384266300015</v>
      </c>
      <c r="N21" s="1">
        <f t="shared" ca="1" si="9"/>
        <v>1.9141860104100008</v>
      </c>
      <c r="O21" s="1">
        <f t="shared" ca="1" si="10"/>
        <v>9.7982817719994841E-2</v>
      </c>
      <c r="P21" s="1">
        <f t="shared" ca="1" si="11"/>
        <v>0.56368202891000063</v>
      </c>
      <c r="Q21" s="1">
        <f t="shared" ca="1" si="12"/>
        <v>0.13514742838999994</v>
      </c>
      <c r="R21" s="1">
        <f t="shared" ca="1" si="13"/>
        <v>6.3974860381600109</v>
      </c>
    </row>
    <row r="22" spans="1:18" x14ac:dyDescent="0.85">
      <c r="A22">
        <f t="shared" si="2"/>
        <v>2033</v>
      </c>
      <c r="B22">
        <f t="shared" si="3"/>
        <v>9</v>
      </c>
      <c r="C22" s="7" cm="1">
        <f t="array" aca="1" ref="C22" ca="1" xml:space="preserve"> Mult * OFFSET(INDIRECT(Region_abbr &amp; "!A1"), Param_offset + C$11,$B22+1)</f>
        <v>36.228145899239998</v>
      </c>
      <c r="D22" s="7" cm="1">
        <f t="array" aca="1" ref="D22" ca="1" xml:space="preserve"> Mult * OFFSET(INDIRECT(Region_abbr &amp; "!A1"), Param_offset + D$11,$B22+1)</f>
        <v>15.110879058390001</v>
      </c>
      <c r="E22" s="7" cm="1">
        <f t="array" aca="1" ref="E22" ca="1" xml:space="preserve"> Mult * OFFSET(INDIRECT(Region_abbr &amp; "!A1"), Param_offset + E$11,$B22+1)</f>
        <v>15.893084213270001</v>
      </c>
      <c r="F22" s="7" cm="1">
        <f t="array" aca="1" ref="F22" ca="1" xml:space="preserve"> Mult * OFFSET(INDIRECT(Region_abbr &amp; "!A1"), Param_offset + F$11,$B22+1)</f>
        <v>33.635466979899995</v>
      </c>
      <c r="G22" s="7" cm="1">
        <f t="array" aca="1" ref="G22" ca="1" xml:space="preserve"> Mult * OFFSET(INDIRECT(Region_abbr &amp; "!A1"), Param_offset + G$11,$B22+1)</f>
        <v>5.8273086168500008</v>
      </c>
      <c r="H22" s="7" cm="1">
        <f t="array" aca="1" ref="H22" ca="1" xml:space="preserve"> Mult * OFFSET(INDIRECT(Region_abbr &amp; "!A1"), Param_offset + H$11,$B22+1)</f>
        <v>0.94674455870999996</v>
      </c>
      <c r="I22" s="1">
        <f t="shared" ca="1" si="4"/>
        <v>107.64162932636</v>
      </c>
      <c r="J22" s="8">
        <f t="shared" si="5"/>
        <v>2033</v>
      </c>
      <c r="K22">
        <f t="shared" si="6"/>
        <v>10</v>
      </c>
      <c r="L22" s="1">
        <f t="shared" ca="1" si="7"/>
        <v>2.5528204286500014</v>
      </c>
      <c r="M22" s="1">
        <f t="shared" ca="1" si="8"/>
        <v>1.3675939233100003</v>
      </c>
      <c r="N22" s="1">
        <f t="shared" ca="1" si="9"/>
        <v>2.0349479872099998</v>
      </c>
      <c r="O22" s="1">
        <f t="shared" ca="1" si="10"/>
        <v>7.0391327570007434E-2</v>
      </c>
      <c r="P22" s="1">
        <f t="shared" ca="1" si="11"/>
        <v>0.59927427781999931</v>
      </c>
      <c r="Q22" s="1">
        <f t="shared" ca="1" si="12"/>
        <v>0.14370391025000007</v>
      </c>
      <c r="R22" s="1">
        <f t="shared" ca="1" si="13"/>
        <v>6.7687318548100137</v>
      </c>
    </row>
    <row r="23" spans="1:18" x14ac:dyDescent="0.85">
      <c r="A23">
        <f t="shared" si="2"/>
        <v>2034</v>
      </c>
      <c r="B23">
        <f t="shared" si="3"/>
        <v>10</v>
      </c>
      <c r="C23" s="7" cm="1">
        <f t="array" aca="1" ref="C23" ca="1" xml:space="preserve"> Mult * OFFSET(INDIRECT(Region_abbr &amp; "!A1"), Param_offset + C$11,$B23+1)</f>
        <v>38.780966327889999</v>
      </c>
      <c r="D23" s="7" cm="1">
        <f t="array" aca="1" ref="D23" ca="1" xml:space="preserve"> Mult * OFFSET(INDIRECT(Region_abbr &amp; "!A1"), Param_offset + D$11,$B23+1)</f>
        <v>16.478472981700001</v>
      </c>
      <c r="E23" s="7" cm="1">
        <f t="array" aca="1" ref="E23" ca="1" xml:space="preserve"> Mult * OFFSET(INDIRECT(Region_abbr &amp; "!A1"), Param_offset + E$11,$B23+1)</f>
        <v>17.928032200480001</v>
      </c>
      <c r="F23" s="7" cm="1">
        <f t="array" aca="1" ref="F23" ca="1" xml:space="preserve"> Mult * OFFSET(INDIRECT(Region_abbr &amp; "!A1"), Param_offset + F$11,$B23+1)</f>
        <v>33.705858307470002</v>
      </c>
      <c r="G23" s="7" cm="1">
        <f t="array" aca="1" ref="G23" ca="1" xml:space="preserve"> Mult * OFFSET(INDIRECT(Region_abbr &amp; "!A1"), Param_offset + G$11,$B23+1)</f>
        <v>6.4265828946700001</v>
      </c>
      <c r="H23" s="7" cm="1">
        <f t="array" aca="1" ref="H23" ca="1" xml:space="preserve"> Mult * OFFSET(INDIRECT(Region_abbr &amp; "!A1"), Param_offset + H$11,$B23+1)</f>
        <v>1.09044846896</v>
      </c>
      <c r="I23" s="1">
        <f t="shared" ca="1" si="4"/>
        <v>114.41036118117002</v>
      </c>
      <c r="J23" s="8">
        <f t="shared" si="5"/>
        <v>2034</v>
      </c>
      <c r="K23">
        <f t="shared" si="6"/>
        <v>11</v>
      </c>
      <c r="L23" s="1">
        <f t="shared" ca="1" si="7"/>
        <v>2.7142544837400067</v>
      </c>
      <c r="M23" s="1">
        <f t="shared" ca="1" si="8"/>
        <v>1.4536911130199996</v>
      </c>
      <c r="N23" s="1">
        <f t="shared" ca="1" si="9"/>
        <v>2.1627388625600013</v>
      </c>
      <c r="O23" s="1">
        <f t="shared" ca="1" si="10"/>
        <v>3.9509389649992954E-2</v>
      </c>
      <c r="P23" s="1">
        <f t="shared" ca="1" si="11"/>
        <v>0.6369402317799997</v>
      </c>
      <c r="Q23" s="1">
        <f t="shared" ca="1" si="12"/>
        <v>0.1531408944799999</v>
      </c>
      <c r="R23" s="1">
        <f t="shared" ca="1" si="13"/>
        <v>7.1602749752299673</v>
      </c>
    </row>
    <row r="24" spans="1:18" x14ac:dyDescent="0.85">
      <c r="A24">
        <f t="shared" si="2"/>
        <v>2035</v>
      </c>
      <c r="B24">
        <f t="shared" si="3"/>
        <v>11</v>
      </c>
      <c r="C24" s="7" cm="1">
        <f t="array" aca="1" ref="C24" ca="1" xml:space="preserve"> Mult * OFFSET(INDIRECT(Region_abbr &amp; "!A1"), Param_offset + C$11,$B24+1)</f>
        <v>41.495220811630006</v>
      </c>
      <c r="D24" s="7" cm="1">
        <f t="array" aca="1" ref="D24" ca="1" xml:space="preserve"> Mult * OFFSET(INDIRECT(Region_abbr &amp; "!A1"), Param_offset + D$11,$B24+1)</f>
        <v>17.932164094720001</v>
      </c>
      <c r="E24" s="7" cm="1">
        <f t="array" aca="1" ref="E24" ca="1" xml:space="preserve"> Mult * OFFSET(INDIRECT(Region_abbr &amp; "!A1"), Param_offset + E$11,$B24+1)</f>
        <v>20.090771063040002</v>
      </c>
      <c r="F24" s="7" cm="1">
        <f t="array" aca="1" ref="F24" ca="1" xml:space="preserve"> Mult * OFFSET(INDIRECT(Region_abbr &amp; "!A1"), Param_offset + F$11,$B24+1)</f>
        <v>33.745367697119995</v>
      </c>
      <c r="G24" s="7" cm="1">
        <f t="array" aca="1" ref="G24" ca="1" xml:space="preserve"> Mult * OFFSET(INDIRECT(Region_abbr &amp; "!A1"), Param_offset + G$11,$B24+1)</f>
        <v>7.0635231264499998</v>
      </c>
      <c r="H24" s="7" cm="1">
        <f t="array" aca="1" ref="H24" ca="1" xml:space="preserve"> Mult * OFFSET(INDIRECT(Region_abbr &amp; "!A1"), Param_offset + H$11,$B24+1)</f>
        <v>1.2435893634399999</v>
      </c>
      <c r="I24" s="1">
        <f t="shared" ca="1" si="4"/>
        <v>121.57063615639998</v>
      </c>
      <c r="J24" s="8">
        <f t="shared" si="5"/>
        <v>2035</v>
      </c>
      <c r="K24">
        <f t="shared" si="6"/>
        <v>12</v>
      </c>
      <c r="L24" s="1">
        <f t="shared" ca="1" si="7"/>
        <v>2.8850405950499933</v>
      </c>
      <c r="M24" s="1">
        <f t="shared" ca="1" si="8"/>
        <v>1.5447902100399986</v>
      </c>
      <c r="N24" s="1">
        <f t="shared" ca="1" si="9"/>
        <v>2.2979423965599999</v>
      </c>
      <c r="O24" s="1">
        <f t="shared" ca="1" si="10"/>
        <v>6.2068742400001042E-3</v>
      </c>
      <c r="P24" s="1">
        <f t="shared" ca="1" si="11"/>
        <v>0.67679334915000045</v>
      </c>
      <c r="Q24" s="1">
        <f t="shared" ca="1" si="12"/>
        <v>0.16313307878000005</v>
      </c>
      <c r="R24" s="1">
        <f t="shared" ca="1" si="13"/>
        <v>7.5739065038200124</v>
      </c>
    </row>
    <row r="25" spans="1:18" x14ac:dyDescent="0.85">
      <c r="A25">
        <f t="shared" si="2"/>
        <v>2036</v>
      </c>
      <c r="B25">
        <f t="shared" si="3"/>
        <v>12</v>
      </c>
      <c r="C25" s="7" cm="1">
        <f t="array" aca="1" ref="C25" ca="1" xml:space="preserve"> Mult * OFFSET(INDIRECT(Region_abbr &amp; "!A1"), Param_offset + C$11,$B25+1)</f>
        <v>44.380261406679999</v>
      </c>
      <c r="D25" s="7" cm="1">
        <f t="array" aca="1" ref="D25" ca="1" xml:space="preserve"> Mult * OFFSET(INDIRECT(Region_abbr &amp; "!A1"), Param_offset + D$11,$B25+1)</f>
        <v>19.47695430476</v>
      </c>
      <c r="E25" s="7" cm="1">
        <f t="array" aca="1" ref="E25" ca="1" xml:space="preserve"> Mult * OFFSET(INDIRECT(Region_abbr &amp; "!A1"), Param_offset + E$11,$B25+1)</f>
        <v>22.388713459600002</v>
      </c>
      <c r="F25" s="7" cm="1">
        <f t="array" aca="1" ref="F25" ca="1" xml:space="preserve"> Mult * OFFSET(INDIRECT(Region_abbr &amp; "!A1"), Param_offset + F$11,$B25+1)</f>
        <v>33.751574571359996</v>
      </c>
      <c r="G25" s="7" cm="1">
        <f t="array" aca="1" ref="G25" ca="1" xml:space="preserve"> Mult * OFFSET(INDIRECT(Region_abbr &amp; "!A1"), Param_offset + G$11,$B25+1)</f>
        <v>7.7403164756000002</v>
      </c>
      <c r="H25" s="7" cm="1">
        <f t="array" aca="1" ref="H25" ca="1" xml:space="preserve"> Mult * OFFSET(INDIRECT(Region_abbr &amp; "!A1"), Param_offset + H$11,$B25+1)</f>
        <v>1.40672244222</v>
      </c>
      <c r="I25" s="1">
        <f t="shared" ca="1" si="4"/>
        <v>129.14454266022</v>
      </c>
      <c r="J25" s="8">
        <f t="shared" si="5"/>
        <v>2036</v>
      </c>
      <c r="K25">
        <f t="shared" si="6"/>
        <v>13</v>
      </c>
      <c r="L25" s="1">
        <f t="shared" ca="1" si="7"/>
        <v>3.0657066422799986</v>
      </c>
      <c r="M25" s="1">
        <f t="shared" ca="1" si="8"/>
        <v>1.6411727480099998</v>
      </c>
      <c r="N25" s="1">
        <f t="shared" ca="1" si="9"/>
        <v>2.4409758368600016</v>
      </c>
      <c r="O25" s="1">
        <f t="shared" ca="1" si="10"/>
        <v>-2.9664040159993021E-2</v>
      </c>
      <c r="P25" s="1">
        <f t="shared" ca="1" si="11"/>
        <v>0.7189567051400001</v>
      </c>
      <c r="Q25" s="1">
        <f t="shared" ca="1" si="12"/>
        <v>0.17371172019000003</v>
      </c>
      <c r="R25" s="1">
        <f t="shared" ca="1" si="13"/>
        <v>8.0108596123200186</v>
      </c>
    </row>
    <row r="26" spans="1:18" x14ac:dyDescent="0.85">
      <c r="A26">
        <f t="shared" si="2"/>
        <v>2037</v>
      </c>
      <c r="B26">
        <f t="shared" si="3"/>
        <v>13</v>
      </c>
      <c r="C26" s="7" cm="1">
        <f t="array" aca="1" ref="C26" ca="1" xml:space="preserve"> Mult * OFFSET(INDIRECT(Region_abbr &amp; "!A1"), Param_offset + C$11,$B26+1)</f>
        <v>47.445968048959998</v>
      </c>
      <c r="D26" s="7" cm="1">
        <f t="array" aca="1" ref="D26" ca="1" xml:space="preserve"> Mult * OFFSET(INDIRECT(Region_abbr &amp; "!A1"), Param_offset + D$11,$B26+1)</f>
        <v>21.118127052769999</v>
      </c>
      <c r="E26" s="7" cm="1">
        <f t="array" aca="1" ref="E26" ca="1" xml:space="preserve"> Mult * OFFSET(INDIRECT(Region_abbr &amp; "!A1"), Param_offset + E$11,$B26+1)</f>
        <v>24.829689296460003</v>
      </c>
      <c r="F26" s="7" cm="1">
        <f t="array" aca="1" ref="F26" ca="1" xml:space="preserve"> Mult * OFFSET(INDIRECT(Region_abbr &amp; "!A1"), Param_offset + F$11,$B26+1)</f>
        <v>33.721910531200002</v>
      </c>
      <c r="G26" s="7" cm="1">
        <f t="array" aca="1" ref="G26" ca="1" xml:space="preserve"> Mult * OFFSET(INDIRECT(Region_abbr &amp; "!A1"), Param_offset + G$11,$B26+1)</f>
        <v>8.4592731807400003</v>
      </c>
      <c r="H26" s="7" cm="1">
        <f t="array" aca="1" ref="H26" ca="1" xml:space="preserve"> Mult * OFFSET(INDIRECT(Region_abbr &amp; "!A1"), Param_offset + H$11,$B26+1)</f>
        <v>1.58043416241</v>
      </c>
      <c r="I26" s="1">
        <f t="shared" ca="1" si="4"/>
        <v>137.15540227254002</v>
      </c>
      <c r="J26" s="8">
        <f t="shared" si="5"/>
        <v>2037</v>
      </c>
      <c r="K26">
        <f t="shared" si="6"/>
        <v>14</v>
      </c>
      <c r="L26" s="1">
        <f t="shared" ca="1" si="7"/>
        <v>3.2568099617100046</v>
      </c>
      <c r="M26" s="1">
        <f t="shared" ca="1" si="8"/>
        <v>1.7431360168000012</v>
      </c>
      <c r="N26" s="1">
        <f t="shared" ca="1" si="9"/>
        <v>2.5922797877799972</v>
      </c>
      <c r="O26" s="1">
        <f t="shared" ca="1" si="10"/>
        <v>-6.8260361170004558E-2</v>
      </c>
      <c r="P26" s="1">
        <f t="shared" ca="1" si="11"/>
        <v>0.76356026802000088</v>
      </c>
      <c r="Q26" s="1">
        <f t="shared" ca="1" si="12"/>
        <v>0.18491006590000003</v>
      </c>
      <c r="R26" s="1">
        <f t="shared" ca="1" si="13"/>
        <v>8.4724357390400087</v>
      </c>
    </row>
    <row r="27" spans="1:18" x14ac:dyDescent="0.85">
      <c r="A27">
        <f t="shared" si="2"/>
        <v>2038</v>
      </c>
      <c r="B27">
        <f t="shared" si="3"/>
        <v>14</v>
      </c>
      <c r="C27" s="7" cm="1">
        <f t="array" aca="1" ref="C27" ca="1" xml:space="preserve"> Mult * OFFSET(INDIRECT(Region_abbr &amp; "!A1"), Param_offset + C$11,$B27+1)</f>
        <v>50.702778010670002</v>
      </c>
      <c r="D27" s="7" cm="1">
        <f t="array" aca="1" ref="D27" ca="1" xml:space="preserve"> Mult * OFFSET(INDIRECT(Region_abbr &amp; "!A1"), Param_offset + D$11,$B27+1)</f>
        <v>22.861263069570001</v>
      </c>
      <c r="E27" s="7" cm="1">
        <f t="array" aca="1" ref="E27" ca="1" xml:space="preserve"> Mult * OFFSET(INDIRECT(Region_abbr &amp; "!A1"), Param_offset + E$11,$B27+1)</f>
        <v>27.421969084240001</v>
      </c>
      <c r="F27" s="7" cm="1">
        <f t="array" aca="1" ref="F27" ca="1" xml:space="preserve"> Mult * OFFSET(INDIRECT(Region_abbr &amp; "!A1"), Param_offset + F$11,$B27+1)</f>
        <v>33.653650170029998</v>
      </c>
      <c r="G27" s="7" cm="1">
        <f t="array" aca="1" ref="G27" ca="1" xml:space="preserve"> Mult * OFFSET(INDIRECT(Region_abbr &amp; "!A1"), Param_offset + G$11,$B27+1)</f>
        <v>9.2228334487600012</v>
      </c>
      <c r="H27" s="7" cm="1">
        <f t="array" aca="1" ref="H27" ca="1" xml:space="preserve"> Mult * OFFSET(INDIRECT(Region_abbr &amp; "!A1"), Param_offset + H$11,$B27+1)</f>
        <v>1.76534422831</v>
      </c>
      <c r="I27" s="1">
        <f t="shared" ca="1" si="4"/>
        <v>145.62783801158002</v>
      </c>
      <c r="J27" s="8">
        <f t="shared" si="5"/>
        <v>2038</v>
      </c>
      <c r="K27">
        <f t="shared" si="6"/>
        <v>15</v>
      </c>
      <c r="L27" s="1">
        <f t="shared" ca="1" si="7"/>
        <v>3.4589389813300002</v>
      </c>
      <c r="M27" s="1">
        <f t="shared" ca="1" si="8"/>
        <v>1.8509939483599993</v>
      </c>
      <c r="N27" s="1">
        <f t="shared" ca="1" si="9"/>
        <v>2.7523194988400022</v>
      </c>
      <c r="O27" s="1">
        <f t="shared" ca="1" si="10"/>
        <v>-0.10974823371999776</v>
      </c>
      <c r="P27" s="1">
        <f t="shared" ca="1" si="11"/>
        <v>0.81074127936999751</v>
      </c>
      <c r="Q27" s="1">
        <f t="shared" ca="1" si="12"/>
        <v>0.19676360727000008</v>
      </c>
      <c r="R27" s="1">
        <f t="shared" ca="1" si="13"/>
        <v>8.9600090814499822</v>
      </c>
    </row>
    <row r="28" spans="1:18" x14ac:dyDescent="0.85">
      <c r="A28">
        <f t="shared" si="2"/>
        <v>2039</v>
      </c>
      <c r="B28">
        <f t="shared" si="3"/>
        <v>15</v>
      </c>
      <c r="C28" s="7" cm="1">
        <f t="array" aca="1" ref="C28" ca="1" xml:space="preserve"> Mult * OFFSET(INDIRECT(Region_abbr &amp; "!A1"), Param_offset + C$11,$B28+1)</f>
        <v>54.161716992000002</v>
      </c>
      <c r="D28" s="7" cm="1">
        <f t="array" aca="1" ref="D28" ca="1" xml:space="preserve"> Mult * OFFSET(INDIRECT(Region_abbr &amp; "!A1"), Param_offset + D$11,$B28+1)</f>
        <v>24.71225701793</v>
      </c>
      <c r="E28" s="7" cm="1">
        <f t="array" aca="1" ref="E28" ca="1" xml:space="preserve"> Mult * OFFSET(INDIRECT(Region_abbr &amp; "!A1"), Param_offset + E$11,$B28+1)</f>
        <v>30.174288583080003</v>
      </c>
      <c r="F28" s="7" cm="1">
        <f t="array" aca="1" ref="F28" ca="1" xml:space="preserve"> Mult * OFFSET(INDIRECT(Region_abbr &amp; "!A1"), Param_offset + F$11,$B28+1)</f>
        <v>33.54390193631</v>
      </c>
      <c r="G28" s="7" cm="1">
        <f t="array" aca="1" ref="G28" ca="1" xml:space="preserve"> Mult * OFFSET(INDIRECT(Region_abbr &amp; "!A1"), Param_offset + G$11,$B28+1)</f>
        <v>10.033574728129999</v>
      </c>
      <c r="H28" s="7" cm="1">
        <f t="array" aca="1" ref="H28" ca="1" xml:space="preserve"> Mult * OFFSET(INDIRECT(Region_abbr &amp; "!A1"), Param_offset + H$11,$B28+1)</f>
        <v>1.9621078355800001</v>
      </c>
      <c r="I28" s="1">
        <f t="shared" ca="1" si="4"/>
        <v>154.58784709303001</v>
      </c>
      <c r="J28" s="8">
        <f t="shared" si="5"/>
        <v>2039</v>
      </c>
      <c r="K28">
        <f t="shared" si="6"/>
        <v>16</v>
      </c>
      <c r="L28" s="1">
        <f t="shared" ca="1" si="7"/>
        <v>3.6727149654499982</v>
      </c>
      <c r="M28" s="1">
        <f t="shared" ca="1" si="8"/>
        <v>1.9650780377300023</v>
      </c>
      <c r="N28" s="1">
        <f t="shared" ca="1" si="9"/>
        <v>2.9215862389499954</v>
      </c>
      <c r="O28" s="1">
        <f t="shared" ca="1" si="10"/>
        <v>-0.15430894362000203</v>
      </c>
      <c r="P28" s="1">
        <f t="shared" ca="1" si="11"/>
        <v>0.86064465970000192</v>
      </c>
      <c r="Q28" s="1">
        <f t="shared" ca="1" si="12"/>
        <v>0.20931666717000019</v>
      </c>
      <c r="R28" s="1">
        <f t="shared" ca="1" si="13"/>
        <v>9.4750316253799838</v>
      </c>
    </row>
    <row r="29" spans="1:18" x14ac:dyDescent="0.85">
      <c r="A29">
        <f t="shared" si="2"/>
        <v>2040</v>
      </c>
      <c r="B29">
        <f t="shared" si="3"/>
        <v>16</v>
      </c>
      <c r="C29" s="7" cm="1">
        <f t="array" aca="1" ref="C29" ca="1" xml:space="preserve"> Mult * OFFSET(INDIRECT(Region_abbr &amp; "!A1"), Param_offset + C$11,$B29+1)</f>
        <v>57.834431957450001</v>
      </c>
      <c r="D29" s="7" cm="1">
        <f t="array" aca="1" ref="D29" ca="1" xml:space="preserve"> Mult * OFFSET(INDIRECT(Region_abbr &amp; "!A1"), Param_offset + D$11,$B29+1)</f>
        <v>26.677335055660002</v>
      </c>
      <c r="E29" s="7" cm="1">
        <f t="array" aca="1" ref="E29" ca="1" xml:space="preserve"> Mult * OFFSET(INDIRECT(Region_abbr &amp; "!A1"), Param_offset + E$11,$B29+1)</f>
        <v>33.095874822029998</v>
      </c>
      <c r="F29" s="7" cm="1">
        <f t="array" aca="1" ref="F29" ca="1" xml:space="preserve"> Mult * OFFSET(INDIRECT(Region_abbr &amp; "!A1"), Param_offset + F$11,$B29+1)</f>
        <v>33.389592992689998</v>
      </c>
      <c r="G29" s="7" cm="1">
        <f t="array" aca="1" ref="G29" ca="1" xml:space="preserve"> Mult * OFFSET(INDIRECT(Region_abbr &amp; "!A1"), Param_offset + G$11,$B29+1)</f>
        <v>10.894219387830001</v>
      </c>
      <c r="H29" s="7" cm="1">
        <f t="array" aca="1" ref="H29" ca="1" xml:space="preserve"> Mult * OFFSET(INDIRECT(Region_abbr &amp; "!A1"), Param_offset + H$11,$B29+1)</f>
        <v>2.1714245027500003</v>
      </c>
      <c r="I29" s="1">
        <f t="shared" ca="1" si="4"/>
        <v>164.06287871840999</v>
      </c>
      <c r="J29" s="8">
        <f t="shared" si="5"/>
        <v>2040</v>
      </c>
      <c r="K29">
        <f t="shared" si="6"/>
        <v>17</v>
      </c>
      <c r="L29" s="1">
        <f t="shared" ca="1" si="7"/>
        <v>3.8987939608299982</v>
      </c>
      <c r="M29" s="1">
        <f t="shared" ca="1" si="8"/>
        <v>2.0857383752199965</v>
      </c>
      <c r="N29" s="1">
        <f t="shared" ca="1" si="9"/>
        <v>3.1005987825099979</v>
      </c>
      <c r="O29" s="1">
        <f t="shared" ca="1" si="10"/>
        <v>-0.20209834512999691</v>
      </c>
      <c r="P29" s="1">
        <f t="shared" ca="1" si="11"/>
        <v>0.91342345276000003</v>
      </c>
      <c r="Q29" s="1">
        <f t="shared" ca="1" si="12"/>
        <v>0.2225735452499995</v>
      </c>
      <c r="R29" s="1">
        <f t="shared" ca="1" si="13"/>
        <v>10.019029771440017</v>
      </c>
    </row>
    <row r="30" spans="1:18" x14ac:dyDescent="0.85">
      <c r="A30">
        <f t="shared" si="2"/>
        <v>2041</v>
      </c>
      <c r="B30">
        <f t="shared" si="3"/>
        <v>17</v>
      </c>
      <c r="C30" s="7" cm="1">
        <f t="array" aca="1" ref="C30" ca="1" xml:space="preserve"> Mult * OFFSET(INDIRECT(Region_abbr &amp; "!A1"), Param_offset + C$11,$B30+1)</f>
        <v>61.733225918279999</v>
      </c>
      <c r="D30" s="7" cm="1">
        <f t="array" aca="1" ref="D30" ca="1" xml:space="preserve"> Mult * OFFSET(INDIRECT(Region_abbr &amp; "!A1"), Param_offset + D$11,$B30+1)</f>
        <v>28.763073430879999</v>
      </c>
      <c r="E30" s="7" cm="1">
        <f t="array" aca="1" ref="E30" ca="1" xml:space="preserve"> Mult * OFFSET(INDIRECT(Region_abbr &amp; "!A1"), Param_offset + E$11,$B30+1)</f>
        <v>36.196473604539996</v>
      </c>
      <c r="F30" s="7" cm="1">
        <f t="array" aca="1" ref="F30" ca="1" xml:space="preserve"> Mult * OFFSET(INDIRECT(Region_abbr &amp; "!A1"), Param_offset + F$11,$B30+1)</f>
        <v>33.187494647560001</v>
      </c>
      <c r="G30" s="7" cm="1">
        <f t="array" aca="1" ref="G30" ca="1" xml:space="preserve"> Mult * OFFSET(INDIRECT(Region_abbr &amp; "!A1"), Param_offset + G$11,$B30+1)</f>
        <v>11.807642840590001</v>
      </c>
      <c r="H30" s="7" cm="1">
        <f t="array" aca="1" ref="H30" ca="1" xml:space="preserve"> Mult * OFFSET(INDIRECT(Region_abbr &amp; "!A1"), Param_offset + H$11,$B30+1)</f>
        <v>2.3939980479999998</v>
      </c>
      <c r="I30" s="1">
        <f t="shared" ca="1" si="4"/>
        <v>174.08190848985001</v>
      </c>
      <c r="J30" s="8">
        <f t="shared" si="5"/>
        <v>2041</v>
      </c>
      <c r="K30">
        <f t="shared" si="6"/>
        <v>18</v>
      </c>
      <c r="L30" s="1">
        <f t="shared" ca="1" si="7"/>
        <v>4.1378680474199996</v>
      </c>
      <c r="M30" s="1">
        <f t="shared" ca="1" si="8"/>
        <v>2.213344353330001</v>
      </c>
      <c r="N30" s="1">
        <f t="shared" ca="1" si="9"/>
        <v>3.2899047095100045</v>
      </c>
      <c r="O30" s="1">
        <f t="shared" ca="1" si="10"/>
        <v>-0.25334107607000078</v>
      </c>
      <c r="P30" s="1">
        <f t="shared" ca="1" si="11"/>
        <v>0.96922115696999889</v>
      </c>
      <c r="Q30" s="1">
        <f t="shared" ca="1" si="12"/>
        <v>0.23662399880000029</v>
      </c>
      <c r="R30" s="1">
        <f t="shared" ca="1" si="13"/>
        <v>10.593621189959975</v>
      </c>
    </row>
    <row r="31" spans="1:18" x14ac:dyDescent="0.85">
      <c r="A31">
        <f t="shared" si="2"/>
        <v>2042</v>
      </c>
      <c r="B31">
        <f t="shared" si="3"/>
        <v>18</v>
      </c>
      <c r="C31" s="7" cm="1">
        <f t="array" aca="1" ref="C31" ca="1" xml:space="preserve"> Mult * OFFSET(INDIRECT(Region_abbr &amp; "!A1"), Param_offset + C$11,$B31+1)</f>
        <v>65.871093965699998</v>
      </c>
      <c r="D31" s="7" cm="1">
        <f t="array" aca="1" ref="D31" ca="1" xml:space="preserve"> Mult * OFFSET(INDIRECT(Region_abbr &amp; "!A1"), Param_offset + D$11,$B31+1)</f>
        <v>30.97641778421</v>
      </c>
      <c r="E31" s="7" cm="1">
        <f t="array" aca="1" ref="E31" ca="1" xml:space="preserve"> Mult * OFFSET(INDIRECT(Region_abbr &amp; "!A1"), Param_offset + E$11,$B31+1)</f>
        <v>39.48637831405</v>
      </c>
      <c r="F31" s="7" cm="1">
        <f t="array" aca="1" ref="F31" ca="1" xml:space="preserve"> Mult * OFFSET(INDIRECT(Region_abbr &amp; "!A1"), Param_offset + F$11,$B31+1)</f>
        <v>32.93415357149</v>
      </c>
      <c r="G31" s="7" cm="1">
        <f t="array" aca="1" ref="G31" ca="1" xml:space="preserve"> Mult * OFFSET(INDIRECT(Region_abbr &amp; "!A1"), Param_offset + G$11,$B31+1)</f>
        <v>12.77686399756</v>
      </c>
      <c r="H31" s="7" cm="1">
        <f t="array" aca="1" ref="H31" ca="1" xml:space="preserve"> Mult * OFFSET(INDIRECT(Region_abbr &amp; "!A1"), Param_offset + H$11,$B31+1)</f>
        <v>2.6306220468000001</v>
      </c>
      <c r="I31" s="1">
        <f t="shared" ca="1" si="4"/>
        <v>184.67552967980998</v>
      </c>
      <c r="J31" s="8">
        <f t="shared" si="5"/>
        <v>2042</v>
      </c>
      <c r="K31">
        <f t="shared" si="6"/>
        <v>19</v>
      </c>
      <c r="L31" s="1">
        <f t="shared" ca="1" si="7"/>
        <v>4.3906685635100047</v>
      </c>
      <c r="M31" s="1">
        <f t="shared" ca="1" si="8"/>
        <v>2.3482863054600003</v>
      </c>
      <c r="N31" s="1">
        <f t="shared" ca="1" si="9"/>
        <v>3.4900823350700065</v>
      </c>
      <c r="O31" s="1">
        <f t="shared" ca="1" si="10"/>
        <v>-0.30824487309000403</v>
      </c>
      <c r="P31" s="1">
        <f t="shared" ca="1" si="11"/>
        <v>1.0282339222000019</v>
      </c>
      <c r="Q31" s="1">
        <f t="shared" ca="1" si="12"/>
        <v>0.25149143508000016</v>
      </c>
      <c r="R31" s="1">
        <f t="shared" ca="1" si="13"/>
        <v>11.200517688230008</v>
      </c>
    </row>
    <row r="32" spans="1:18" x14ac:dyDescent="0.85">
      <c r="A32">
        <f t="shared" si="2"/>
        <v>2043</v>
      </c>
      <c r="B32">
        <f t="shared" si="3"/>
        <v>19</v>
      </c>
      <c r="C32" s="7" cm="1">
        <f t="array" aca="1" ref="C32" ca="1" xml:space="preserve"> Mult * OFFSET(INDIRECT(Region_abbr &amp; "!A1"), Param_offset + C$11,$B32+1)</f>
        <v>70.261762529210003</v>
      </c>
      <c r="D32" s="7" cm="1">
        <f t="array" aca="1" ref="D32" ca="1" xml:space="preserve"> Mult * OFFSET(INDIRECT(Region_abbr &amp; "!A1"), Param_offset + D$11,$B32+1)</f>
        <v>33.32470408967</v>
      </c>
      <c r="E32" s="7" cm="1">
        <f t="array" aca="1" ref="E32" ca="1" xml:space="preserve"> Mult * OFFSET(INDIRECT(Region_abbr &amp; "!A1"), Param_offset + E$11,$B32+1)</f>
        <v>42.976460649120007</v>
      </c>
      <c r="F32" s="7" cm="1">
        <f t="array" aca="1" ref="F32" ca="1" xml:space="preserve"> Mult * OFFSET(INDIRECT(Region_abbr &amp; "!A1"), Param_offset + F$11,$B32+1)</f>
        <v>32.625908698399996</v>
      </c>
      <c r="G32" s="7" cm="1">
        <f t="array" aca="1" ref="G32" ca="1" xml:space="preserve"> Mult * OFFSET(INDIRECT(Region_abbr &amp; "!A1"), Param_offset + G$11,$B32+1)</f>
        <v>13.805097919760001</v>
      </c>
      <c r="H32" s="7" cm="1">
        <f t="array" aca="1" ref="H32" ca="1" xml:space="preserve"> Mult * OFFSET(INDIRECT(Region_abbr &amp; "!A1"), Param_offset + H$11,$B32+1)</f>
        <v>2.8821134818800003</v>
      </c>
      <c r="I32" s="1">
        <f t="shared" ca="1" si="4"/>
        <v>195.87604736803999</v>
      </c>
      <c r="J32" s="8">
        <f t="shared" si="5"/>
        <v>2043</v>
      </c>
      <c r="K32">
        <f t="shared" si="6"/>
        <v>20</v>
      </c>
      <c r="L32" s="1">
        <f t="shared" ca="1" si="7"/>
        <v>4.6579674993399891</v>
      </c>
      <c r="M32" s="1">
        <f t="shared" ca="1" si="8"/>
        <v>2.4909763180500022</v>
      </c>
      <c r="N32" s="1">
        <f t="shared" ca="1" si="9"/>
        <v>3.7017423226299897</v>
      </c>
      <c r="O32" s="1">
        <f t="shared" ca="1" si="10"/>
        <v>-0.36703863214999188</v>
      </c>
      <c r="P32" s="1">
        <f t="shared" ca="1" si="11"/>
        <v>1.0906734463799985</v>
      </c>
      <c r="Q32" s="1">
        <f t="shared" ca="1" si="12"/>
        <v>0.26720779086999968</v>
      </c>
      <c r="R32" s="1">
        <f t="shared" ca="1" si="13"/>
        <v>11.84152874512003</v>
      </c>
    </row>
    <row r="33" spans="1:18" x14ac:dyDescent="0.85">
      <c r="A33">
        <f t="shared" si="2"/>
        <v>2044</v>
      </c>
      <c r="B33">
        <f t="shared" si="3"/>
        <v>20</v>
      </c>
      <c r="C33" s="7" cm="1">
        <f t="array" aca="1" ref="C33" ca="1" xml:space="preserve"> Mult * OFFSET(INDIRECT(Region_abbr &amp; "!A1"), Param_offset + C$11,$B33+1)</f>
        <v>74.919730028549992</v>
      </c>
      <c r="D33" s="7" cm="1">
        <f t="array" aca="1" ref="D33" ca="1" xml:space="preserve"> Mult * OFFSET(INDIRECT(Region_abbr &amp; "!A1"), Param_offset + D$11,$B33+1)</f>
        <v>35.815680407720002</v>
      </c>
      <c r="E33" s="7" cm="1">
        <f t="array" aca="1" ref="E33" ca="1" xml:space="preserve"> Mult * OFFSET(INDIRECT(Region_abbr &amp; "!A1"), Param_offset + E$11,$B33+1)</f>
        <v>46.678202971749997</v>
      </c>
      <c r="F33" s="7" cm="1">
        <f t="array" aca="1" ref="F33" ca="1" xml:space="preserve"> Mult * OFFSET(INDIRECT(Region_abbr &amp; "!A1"), Param_offset + F$11,$B33+1)</f>
        <v>32.258870066250005</v>
      </c>
      <c r="G33" s="7" cm="1">
        <f t="array" aca="1" ref="G33" ca="1" xml:space="preserve"> Mult * OFFSET(INDIRECT(Region_abbr &amp; "!A1"), Param_offset + G$11,$B33+1)</f>
        <v>14.89577136614</v>
      </c>
      <c r="H33" s="7" cm="1">
        <f t="array" aca="1" ref="H33" ca="1" xml:space="preserve"> Mult * OFFSET(INDIRECT(Region_abbr &amp; "!A1"), Param_offset + H$11,$B33+1)</f>
        <v>3.14932127275</v>
      </c>
      <c r="I33" s="1">
        <f t="shared" ca="1" si="4"/>
        <v>207.71757611316002</v>
      </c>
      <c r="J33" s="8">
        <f t="shared" si="5"/>
        <v>2044</v>
      </c>
      <c r="K33">
        <f t="shared" si="6"/>
        <v>21</v>
      </c>
      <c r="L33" s="1">
        <f t="shared" ca="1" si="7"/>
        <v>4.940579901300012</v>
      </c>
      <c r="M33" s="1">
        <f t="shared" ca="1" si="8"/>
        <v>2.6418495031100022</v>
      </c>
      <c r="N33" s="1">
        <f t="shared" ca="1" si="9"/>
        <v>3.9255295371400081</v>
      </c>
      <c r="O33" s="1">
        <f t="shared" ca="1" si="10"/>
        <v>-0.42993191575000722</v>
      </c>
      <c r="P33" s="1">
        <f t="shared" ca="1" si="11"/>
        <v>1.1566623626499997</v>
      </c>
      <c r="Q33" s="1">
        <f t="shared" ca="1" si="12"/>
        <v>0.28385024315999985</v>
      </c>
      <c r="R33" s="1">
        <f t="shared" ca="1" si="13"/>
        <v>12.518539631609968</v>
      </c>
    </row>
    <row r="34" spans="1:18" x14ac:dyDescent="0.85">
      <c r="A34">
        <f t="shared" si="2"/>
        <v>2045</v>
      </c>
      <c r="B34">
        <f t="shared" si="3"/>
        <v>21</v>
      </c>
      <c r="C34" s="7" cm="1">
        <f t="array" aca="1" ref="C34" ca="1" xml:space="preserve"> Mult * OFFSET(INDIRECT(Region_abbr &amp; "!A1"), Param_offset + C$11,$B34+1)</f>
        <v>79.860309929850004</v>
      </c>
      <c r="D34" s="7" cm="1">
        <f t="array" aca="1" ref="D34" ca="1" xml:space="preserve"> Mult * OFFSET(INDIRECT(Region_abbr &amp; "!A1"), Param_offset + D$11,$B34+1)</f>
        <v>38.457529910830004</v>
      </c>
      <c r="E34" s="7" cm="1">
        <f t="array" aca="1" ref="E34" ca="1" xml:space="preserve"> Mult * OFFSET(INDIRECT(Region_abbr &amp; "!A1"), Param_offset + E$11,$B34+1)</f>
        <v>50.603732508890005</v>
      </c>
      <c r="F34" s="7" cm="1">
        <f t="array" aca="1" ref="F34" ca="1" xml:space="preserve"> Mult * OFFSET(INDIRECT(Region_abbr &amp; "!A1"), Param_offset + F$11,$B34+1)</f>
        <v>31.828938150499997</v>
      </c>
      <c r="G34" s="7" cm="1">
        <f t="array" aca="1" ref="G34" ca="1" xml:space="preserve"> Mult * OFFSET(INDIRECT(Region_abbr &amp; "!A1"), Param_offset + G$11,$B34+1)</f>
        <v>16.05243372879</v>
      </c>
      <c r="H34" s="7" cm="1">
        <f t="array" aca="1" ref="H34" ca="1" xml:space="preserve"> Mult * OFFSET(INDIRECT(Region_abbr &amp; "!A1"), Param_offset + H$11,$B34+1)</f>
        <v>3.4331715159099998</v>
      </c>
      <c r="I34" s="1">
        <f t="shared" ca="1" si="4"/>
        <v>220.23611574476999</v>
      </c>
      <c r="J34" s="8">
        <f t="shared" si="5"/>
        <v>2045</v>
      </c>
      <c r="K34">
        <f t="shared" si="6"/>
        <v>22</v>
      </c>
      <c r="L34" s="1">
        <f t="shared" ca="1" si="7"/>
        <v>5.2393662289200051</v>
      </c>
      <c r="M34" s="1">
        <f t="shared" ca="1" si="8"/>
        <v>2.801365221199994</v>
      </c>
      <c r="N34" s="1">
        <f t="shared" ca="1" si="9"/>
        <v>4.1621245938599998</v>
      </c>
      <c r="O34" s="1">
        <f t="shared" ca="1" si="10"/>
        <v>-0.4971912742399951</v>
      </c>
      <c r="P34" s="1">
        <f t="shared" ca="1" si="11"/>
        <v>1.2264281937399986</v>
      </c>
      <c r="Q34" s="1">
        <f t="shared" ca="1" si="12"/>
        <v>0.3014758452700006</v>
      </c>
      <c r="R34" s="1">
        <f t="shared" ca="1" si="13"/>
        <v>13.23356880875005</v>
      </c>
    </row>
    <row r="35" spans="1:18" x14ac:dyDescent="0.85">
      <c r="A35">
        <f t="shared" si="2"/>
        <v>2046</v>
      </c>
      <c r="B35">
        <f t="shared" si="3"/>
        <v>22</v>
      </c>
      <c r="C35" s="7" cm="1">
        <f t="array" aca="1" ref="C35" ca="1" xml:space="preserve"> Mult * OFFSET(INDIRECT(Region_abbr &amp; "!A1"), Param_offset + C$11,$B35+1)</f>
        <v>85.099676158770009</v>
      </c>
      <c r="D35" s="7" cm="1">
        <f t="array" aca="1" ref="D35" ca="1" xml:space="preserve"> Mult * OFFSET(INDIRECT(Region_abbr &amp; "!A1"), Param_offset + D$11,$B35+1)</f>
        <v>41.258895132029998</v>
      </c>
      <c r="E35" s="7" cm="1">
        <f t="array" aca="1" ref="E35" ca="1" xml:space="preserve"> Mult * OFFSET(INDIRECT(Region_abbr &amp; "!A1"), Param_offset + E$11,$B35+1)</f>
        <v>54.765857102750005</v>
      </c>
      <c r="F35" s="7" cm="1">
        <f t="array" aca="1" ref="F35" ca="1" xml:space="preserve"> Mult * OFFSET(INDIRECT(Region_abbr &amp; "!A1"), Param_offset + F$11,$B35+1)</f>
        <v>31.331746876260002</v>
      </c>
      <c r="G35" s="7" cm="1">
        <f t="array" aca="1" ref="G35" ca="1" xml:space="preserve"> Mult * OFFSET(INDIRECT(Region_abbr &amp; "!A1"), Param_offset + G$11,$B35+1)</f>
        <v>17.278861922529998</v>
      </c>
      <c r="H35" s="7" cm="1">
        <f t="array" aca="1" ref="H35" ca="1" xml:space="preserve"> Mult * OFFSET(INDIRECT(Region_abbr &amp; "!A1"), Param_offset + H$11,$B35+1)</f>
        <v>3.7346473611800004</v>
      </c>
      <c r="I35" s="1">
        <f t="shared" ca="1" si="4"/>
        <v>233.46968455352004</v>
      </c>
      <c r="J35" s="8">
        <f t="shared" si="5"/>
        <v>2046</v>
      </c>
      <c r="K35">
        <f t="shared" si="6"/>
        <v>23</v>
      </c>
      <c r="L35" s="1">
        <f t="shared" ca="1" si="7"/>
        <v>5.5552352549299968</v>
      </c>
      <c r="M35" s="1">
        <f t="shared" ca="1" si="8"/>
        <v>2.9700086514300068</v>
      </c>
      <c r="N35" s="1">
        <f t="shared" ca="1" si="9"/>
        <v>4.2058686440099962</v>
      </c>
      <c r="O35" s="1">
        <f t="shared" ca="1" si="10"/>
        <v>-0.5687454138000021</v>
      </c>
      <c r="P35" s="1">
        <f t="shared" ca="1" si="11"/>
        <v>1.2999067359500032</v>
      </c>
      <c r="Q35" s="1">
        <f t="shared" ca="1" si="12"/>
        <v>0.31997818402</v>
      </c>
      <c r="R35" s="1">
        <f t="shared" ca="1" si="13"/>
        <v>13.78225205653996</v>
      </c>
    </row>
    <row r="36" spans="1:18" x14ac:dyDescent="0.85">
      <c r="A36">
        <f t="shared" si="2"/>
        <v>2047</v>
      </c>
      <c r="B36">
        <f t="shared" si="3"/>
        <v>23</v>
      </c>
      <c r="C36" s="7" cm="1">
        <f t="array" aca="1" ref="C36" ca="1" xml:space="preserve"> Mult * OFFSET(INDIRECT(Region_abbr &amp; "!A1"), Param_offset + C$11,$B36+1)</f>
        <v>90.654911413700006</v>
      </c>
      <c r="D36" s="7" cm="1">
        <f t="array" aca="1" ref="D36" ca="1" xml:space="preserve"> Mult * OFFSET(INDIRECT(Region_abbr &amp; "!A1"), Param_offset + D$11,$B36+1)</f>
        <v>44.228903783460005</v>
      </c>
      <c r="E36" s="7" cm="1">
        <f t="array" aca="1" ref="E36" ca="1" xml:space="preserve"> Mult * OFFSET(INDIRECT(Region_abbr &amp; "!A1"), Param_offset + E$11,$B36+1)</f>
        <v>58.971725746760001</v>
      </c>
      <c r="F36" s="7" cm="1">
        <f t="array" aca="1" ref="F36" ca="1" xml:space="preserve"> Mult * OFFSET(INDIRECT(Region_abbr &amp; "!A1"), Param_offset + F$11,$B36+1)</f>
        <v>30.76300146246</v>
      </c>
      <c r="G36" s="7" cm="1">
        <f t="array" aca="1" ref="G36" ca="1" xml:space="preserve"> Mult * OFFSET(INDIRECT(Region_abbr &amp; "!A1"), Param_offset + G$11,$B36+1)</f>
        <v>18.578768658480001</v>
      </c>
      <c r="H36" s="7" cm="1">
        <f t="array" aca="1" ref="H36" ca="1" xml:space="preserve"> Mult * OFFSET(INDIRECT(Region_abbr &amp; "!A1"), Param_offset + H$11,$B36+1)</f>
        <v>4.0546255452000004</v>
      </c>
      <c r="I36" s="1">
        <f t="shared" ca="1" si="4"/>
        <v>247.25193661006</v>
      </c>
      <c r="J36" s="8">
        <f t="shared" si="5"/>
        <v>2047</v>
      </c>
      <c r="K36">
        <f t="shared" si="6"/>
        <v>24</v>
      </c>
      <c r="L36" s="1">
        <f t="shared" ca="1" si="7"/>
        <v>5.8840995126000024</v>
      </c>
      <c r="M36" s="1">
        <f t="shared" ca="1" si="8"/>
        <v>3.145596455179998</v>
      </c>
      <c r="N36" s="1">
        <f t="shared" ca="1" si="9"/>
        <v>0.44531726797999482</v>
      </c>
      <c r="O36" s="1">
        <f t="shared" ca="1" si="10"/>
        <v>-0.6440530846300021</v>
      </c>
      <c r="P36" s="1">
        <f t="shared" ca="1" si="11"/>
        <v>1.376985051390001</v>
      </c>
      <c r="Q36" s="1">
        <f t="shared" ca="1" si="12"/>
        <v>0.33932965687000038</v>
      </c>
      <c r="R36" s="1">
        <f t="shared" ca="1" si="13"/>
        <v>10.547274859390029</v>
      </c>
    </row>
    <row r="37" spans="1:18" x14ac:dyDescent="0.85">
      <c r="A37">
        <f t="shared" si="2"/>
        <v>2048</v>
      </c>
      <c r="B37">
        <f t="shared" si="3"/>
        <v>24</v>
      </c>
      <c r="C37" s="7" cm="1">
        <f t="array" aca="1" ref="C37" ca="1" xml:space="preserve"> Mult * OFFSET(INDIRECT(Region_abbr &amp; "!A1"), Param_offset + C$11,$B37+1)</f>
        <v>96.539010926300008</v>
      </c>
      <c r="D37" s="7" cm="1">
        <f t="array" aca="1" ref="D37" ca="1" xml:space="preserve"> Mult * OFFSET(INDIRECT(Region_abbr &amp; "!A1"), Param_offset + D$11,$B37+1)</f>
        <v>47.374500238640003</v>
      </c>
      <c r="E37" s="7" cm="1">
        <f t="array" aca="1" ref="E37" ca="1" xml:space="preserve"> Mult * OFFSET(INDIRECT(Region_abbr &amp; "!A1"), Param_offset + E$11,$B37+1)</f>
        <v>59.417043014739995</v>
      </c>
      <c r="F37" s="7" cm="1">
        <f t="array" aca="1" ref="F37" ca="1" xml:space="preserve"> Mult * OFFSET(INDIRECT(Region_abbr &amp; "!A1"), Param_offset + F$11,$B37+1)</f>
        <v>30.118948377829998</v>
      </c>
      <c r="G37" s="7" cm="1">
        <f t="array" aca="1" ref="G37" ca="1" xml:space="preserve"> Mult * OFFSET(INDIRECT(Region_abbr &amp; "!A1"), Param_offset + G$11,$B37+1)</f>
        <v>19.955753709870002</v>
      </c>
      <c r="H37" s="7" cm="1">
        <f t="array" aca="1" ref="H37" ca="1" xml:space="preserve"> Mult * OFFSET(INDIRECT(Region_abbr &amp; "!A1"), Param_offset + H$11,$B37+1)</f>
        <v>4.3939552020700008</v>
      </c>
      <c r="I37" s="1">
        <f t="shared" ca="1" si="4"/>
        <v>257.79921146945003</v>
      </c>
      <c r="J37" s="8">
        <f t="shared" si="5"/>
        <v>2048</v>
      </c>
      <c r="K37">
        <f t="shared" si="6"/>
        <v>25</v>
      </c>
      <c r="L37" s="1">
        <f t="shared" ca="1" si="7"/>
        <v>6.1335258818500051</v>
      </c>
      <c r="M37" s="1">
        <f t="shared" ca="1" si="8"/>
        <v>3.2787561723299987</v>
      </c>
      <c r="N37" s="1">
        <f t="shared" ca="1" si="9"/>
        <v>0.75753940092999983</v>
      </c>
      <c r="O37" s="1">
        <f t="shared" ca="1" si="10"/>
        <v>-0.69484409286999593</v>
      </c>
      <c r="P37" s="1">
        <f t="shared" ca="1" si="11"/>
        <v>1.4352638022599997</v>
      </c>
      <c r="Q37" s="1">
        <f t="shared" ca="1" si="12"/>
        <v>0.35375360071999928</v>
      </c>
      <c r="R37" s="1">
        <f t="shared" ca="1" si="13"/>
        <v>11.263994765219991</v>
      </c>
    </row>
    <row r="38" spans="1:18" x14ac:dyDescent="0.85">
      <c r="A38">
        <f t="shared" si="2"/>
        <v>2049</v>
      </c>
      <c r="B38">
        <f t="shared" si="3"/>
        <v>25</v>
      </c>
      <c r="C38" s="7" cm="1">
        <f t="array" aca="1" ref="C38" ca="1" xml:space="preserve"> Mult * OFFSET(INDIRECT(Region_abbr &amp; "!A1"), Param_offset + C$11,$B38+1)</f>
        <v>102.67253680815001</v>
      </c>
      <c r="D38" s="7" cm="1">
        <f t="array" aca="1" ref="D38" ca="1" xml:space="preserve"> Mult * OFFSET(INDIRECT(Region_abbr &amp; "!A1"), Param_offset + D$11,$B38+1)</f>
        <v>50.653256410970002</v>
      </c>
      <c r="E38" s="7" cm="1">
        <f t="array" aca="1" ref="E38" ca="1" xml:space="preserve"> Mult * OFFSET(INDIRECT(Region_abbr &amp; "!A1"), Param_offset + E$11,$B38+1)</f>
        <v>60.174582415669995</v>
      </c>
      <c r="F38" s="7" cm="1">
        <f t="array" aca="1" ref="F38" ca="1" xml:space="preserve"> Mult * OFFSET(INDIRECT(Region_abbr &amp; "!A1"), Param_offset + F$11,$B38+1)</f>
        <v>29.424104284960002</v>
      </c>
      <c r="G38" s="7" cm="1">
        <f t="array" aca="1" ref="G38" ca="1" xml:space="preserve"> Mult * OFFSET(INDIRECT(Region_abbr &amp; "!A1"), Param_offset + G$11,$B38+1)</f>
        <v>21.391017512130002</v>
      </c>
      <c r="H38" s="7" cm="1">
        <f t="array" aca="1" ref="H38" ca="1" xml:space="preserve"> Mult * OFFSET(INDIRECT(Region_abbr &amp; "!A1"), Param_offset + H$11,$B38+1)</f>
        <v>4.7477088027900001</v>
      </c>
      <c r="I38" s="1">
        <f t="shared" ca="1" si="4"/>
        <v>269.06320623467002</v>
      </c>
      <c r="J38" s="8">
        <f t="shared" si="5"/>
        <v>2049</v>
      </c>
      <c r="K38">
        <f t="shared" si="6"/>
        <v>26</v>
      </c>
      <c r="L38" s="1">
        <f t="shared" ca="1" si="7"/>
        <v>6.4001830249499818</v>
      </c>
      <c r="M38" s="1">
        <f t="shared" ca="1" si="8"/>
        <v>3.4211218428000052</v>
      </c>
      <c r="N38" s="1">
        <f t="shared" ca="1" si="9"/>
        <v>0.73989964778000683</v>
      </c>
      <c r="O38" s="1">
        <f t="shared" ca="1" si="10"/>
        <v>-0.75254705549000178</v>
      </c>
      <c r="P38" s="1">
        <f t="shared" ca="1" si="11"/>
        <v>1.4968554370199989</v>
      </c>
      <c r="Q38" s="1">
        <f t="shared" ca="1" si="12"/>
        <v>0.37016508868999942</v>
      </c>
      <c r="R38" s="1">
        <f t="shared" ca="1" si="13"/>
        <v>11.675677985749985</v>
      </c>
    </row>
    <row r="39" spans="1:18" x14ac:dyDescent="0.85">
      <c r="A39">
        <f t="shared" si="2"/>
        <v>2050</v>
      </c>
      <c r="B39">
        <f t="shared" si="3"/>
        <v>26</v>
      </c>
      <c r="C39" s="7" cm="1">
        <f t="array" aca="1" ref="C39" ca="1" xml:space="preserve"> Mult * OFFSET(INDIRECT(Region_abbr &amp; "!A1"), Param_offset + C$11,$B39+1)</f>
        <v>109.0727198331</v>
      </c>
      <c r="D39" s="7" cm="1">
        <f t="array" aca="1" ref="D39" ca="1" xml:space="preserve"> Mult * OFFSET(INDIRECT(Region_abbr &amp; "!A1"), Param_offset + D$11,$B39+1)</f>
        <v>54.074378253770007</v>
      </c>
      <c r="E39" s="7" cm="1">
        <f t="array" aca="1" ref="E39" ca="1" xml:space="preserve"> Mult * OFFSET(INDIRECT(Region_abbr &amp; "!A1"), Param_offset + E$11,$B39+1)</f>
        <v>60.914482063450002</v>
      </c>
      <c r="F39" s="7" cm="1">
        <f t="array" aca="1" ref="F39" ca="1" xml:space="preserve"> Mult * OFFSET(INDIRECT(Region_abbr &amp; "!A1"), Param_offset + F$11,$B39+1)</f>
        <v>28.67155722947</v>
      </c>
      <c r="G39" s="7" cm="1">
        <f t="array" aca="1" ref="G39" ca="1" xml:space="preserve"> Mult * OFFSET(INDIRECT(Region_abbr &amp; "!A1"), Param_offset + G$11,$B39+1)</f>
        <v>22.887872949150001</v>
      </c>
      <c r="H39" s="7" cm="1">
        <f t="array" aca="1" ref="H39" ca="1" xml:space="preserve"> Mult * OFFSET(INDIRECT(Region_abbr &amp; "!A1"), Param_offset + H$11,$B39+1)</f>
        <v>5.1178738914799995</v>
      </c>
      <c r="I39" s="1">
        <f t="shared" ca="1" si="4"/>
        <v>280.73888422042</v>
      </c>
    </row>
  </sheetData>
  <mergeCells count="1">
    <mergeCell ref="E3:G3"/>
  </mergeCells>
  <conditionalFormatting sqref="C13:J13 C14:I39 J14:J38">
    <cfRule type="expression" dxfId="8" priority="3">
      <formula>$P13 &gt; 10000</formula>
    </cfRule>
  </conditionalFormatting>
  <conditionalFormatting sqref="L13:R38">
    <cfRule type="expression" dxfId="7" priority="2">
      <formula>$P13 &gt; 10000</formula>
    </cfRule>
  </conditionalFormatting>
  <conditionalFormatting sqref="C2">
    <cfRule type="expression" dxfId="6" priority="1">
      <formula>$P2 &gt; 10000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6A7E-D8DB-44EB-B1D7-64960F4154EB}">
  <sheetPr codeName="Sheet3"/>
  <dimension ref="A1:AM34"/>
  <sheetViews>
    <sheetView workbookViewId="0">
      <selection activeCell="A7" sqref="A7"/>
    </sheetView>
  </sheetViews>
  <sheetFormatPr defaultRowHeight="14.6" x14ac:dyDescent="0.85"/>
  <cols>
    <col min="1" max="1" width="11.765625" customWidth="1"/>
    <col min="3" max="4" width="5.15234375" style="3" bestFit="1" customWidth="1"/>
    <col min="5" max="5" width="6.84375" style="3" bestFit="1" customWidth="1"/>
    <col min="6" max="6" width="5.15234375" style="3" bestFit="1" customWidth="1"/>
    <col min="7" max="7" width="4.11328125" style="3" bestFit="1" customWidth="1"/>
    <col min="8" max="8" width="6.5" style="3" bestFit="1" customWidth="1"/>
    <col min="9" max="9" width="6.15234375" style="3" bestFit="1" customWidth="1"/>
  </cols>
  <sheetData>
    <row r="1" spans="1:39" x14ac:dyDescent="0.85">
      <c r="A1" s="9" t="s">
        <v>32</v>
      </c>
      <c r="B1" s="9"/>
      <c r="C1" s="3" t="str">
        <f>VLOOKUP(Region_Cost,Region_lookup,2,FALSE)</f>
        <v>CAL</v>
      </c>
    </row>
    <row r="2" spans="1:39" x14ac:dyDescent="0.85"/>
    <row r="3" spans="1:39" x14ac:dyDescent="0.85">
      <c r="A3" s="6" t="s">
        <v>14</v>
      </c>
      <c r="K3" s="6" t="s">
        <v>15</v>
      </c>
      <c r="U3" s="6" t="s">
        <v>16</v>
      </c>
      <c r="AE3" s="6" t="s">
        <v>17</v>
      </c>
    </row>
    <row r="4" spans="1:39" x14ac:dyDescent="0.85">
      <c r="A4" t="s">
        <v>35</v>
      </c>
      <c r="B4">
        <f>VLOOKUP(A3 &amp; " Cost",Param_Table,4,FALSE)</f>
        <v>1E-3</v>
      </c>
      <c r="K4" t="s">
        <v>35</v>
      </c>
      <c r="L4">
        <f>VLOOKUP(K3 &amp; " Cost",Param_Table,4,FALSE)</f>
        <v>1E-3</v>
      </c>
      <c r="U4" t="s">
        <v>35</v>
      </c>
      <c r="V4">
        <f>VLOOKUP(U3 &amp; " Cost",Param_Table,4,FALSE)</f>
        <v>1E-3</v>
      </c>
      <c r="AE4" t="s">
        <v>35</v>
      </c>
      <c r="AF4">
        <f>VLOOKUP(AE3 &amp; " Cost",Param_Table,4,FALSE)</f>
        <v>1E-3</v>
      </c>
    </row>
    <row r="5" spans="1:39" x14ac:dyDescent="0.85">
      <c r="A5" t="s">
        <v>7</v>
      </c>
      <c r="B5">
        <f>VLOOKUP(A3 &amp; " Cost",Param_Table,2,FALSE)</f>
        <v>3</v>
      </c>
      <c r="K5" t="s">
        <v>7</v>
      </c>
      <c r="L5">
        <f>VLOOKUP(K3 &amp; " Cost",Param_Table,2,FALSE)</f>
        <v>4</v>
      </c>
      <c r="M5" s="3"/>
      <c r="N5" s="3"/>
      <c r="O5" s="3"/>
      <c r="P5" s="3"/>
      <c r="Q5" s="3"/>
      <c r="R5" s="3"/>
      <c r="S5" s="3"/>
      <c r="U5" t="s">
        <v>7</v>
      </c>
      <c r="V5">
        <f>VLOOKUP(U3 &amp; " Cost",Param_Table,2,FALSE)</f>
        <v>5</v>
      </c>
      <c r="W5" s="3"/>
      <c r="X5" s="3"/>
      <c r="Y5" s="3"/>
      <c r="Z5" s="3"/>
      <c r="AA5" s="3"/>
      <c r="AB5" s="3"/>
      <c r="AC5" s="3"/>
      <c r="AE5" t="s">
        <v>7</v>
      </c>
      <c r="AF5">
        <f>VLOOKUP(AE3 &amp; " Cost",Param_Table,2,FALSE)</f>
        <v>6</v>
      </c>
      <c r="AG5" s="3"/>
      <c r="AH5" s="3"/>
      <c r="AI5" s="3"/>
      <c r="AJ5" s="3"/>
      <c r="AK5" s="3"/>
      <c r="AL5" s="3"/>
      <c r="AM5" s="3"/>
    </row>
    <row r="6" spans="1:39" x14ac:dyDescent="0.85">
      <c r="A6" t="s">
        <v>10</v>
      </c>
      <c r="B6" t="s">
        <v>33</v>
      </c>
      <c r="C6" s="3">
        <f t="shared" ref="C6:H6" si="0">VALUE(VLOOKUP(C$7,NRG_Table,2,FALSE))</f>
        <v>8</v>
      </c>
      <c r="D6" s="3">
        <f t="shared" si="0"/>
        <v>20</v>
      </c>
      <c r="E6" s="3">
        <f t="shared" si="0"/>
        <v>32</v>
      </c>
      <c r="F6" s="3">
        <f t="shared" si="0"/>
        <v>44</v>
      </c>
      <c r="G6" s="3">
        <f t="shared" si="0"/>
        <v>56</v>
      </c>
      <c r="H6" s="3">
        <f t="shared" si="0"/>
        <v>68</v>
      </c>
      <c r="K6" t="s">
        <v>10</v>
      </c>
      <c r="L6" t="s">
        <v>33</v>
      </c>
      <c r="M6" s="3">
        <f t="shared" ref="M6:R6" si="1">VALUE(VLOOKUP(M$7,NRG_Table,2,FALSE))</f>
        <v>8</v>
      </c>
      <c r="N6" s="3">
        <f t="shared" si="1"/>
        <v>20</v>
      </c>
      <c r="O6" s="3">
        <f t="shared" si="1"/>
        <v>32</v>
      </c>
      <c r="P6" s="3">
        <f t="shared" si="1"/>
        <v>44</v>
      </c>
      <c r="Q6" s="3">
        <f t="shared" si="1"/>
        <v>56</v>
      </c>
      <c r="R6" s="3">
        <f t="shared" si="1"/>
        <v>68</v>
      </c>
      <c r="S6" s="3"/>
      <c r="U6" t="s">
        <v>10</v>
      </c>
      <c r="V6" t="s">
        <v>33</v>
      </c>
      <c r="W6" s="3">
        <f t="shared" ref="W6:AB6" si="2">VALUE(VLOOKUP(W$7,NRG_Table,2,FALSE))</f>
        <v>8</v>
      </c>
      <c r="X6" s="3">
        <f t="shared" si="2"/>
        <v>20</v>
      </c>
      <c r="Y6" s="3">
        <f t="shared" si="2"/>
        <v>32</v>
      </c>
      <c r="Z6" s="3">
        <f t="shared" si="2"/>
        <v>44</v>
      </c>
      <c r="AA6" s="3">
        <f t="shared" si="2"/>
        <v>56</v>
      </c>
      <c r="AB6" s="3">
        <f t="shared" si="2"/>
        <v>68</v>
      </c>
      <c r="AC6" s="3"/>
      <c r="AE6" t="s">
        <v>10</v>
      </c>
      <c r="AF6" t="s">
        <v>33</v>
      </c>
      <c r="AG6" s="3">
        <f t="shared" ref="AG6:AL6" si="3">VALUE(VLOOKUP(AG$7,NRG_Table,2,FALSE))</f>
        <v>8</v>
      </c>
      <c r="AH6" s="3">
        <f t="shared" si="3"/>
        <v>20</v>
      </c>
      <c r="AI6" s="3">
        <f t="shared" si="3"/>
        <v>32</v>
      </c>
      <c r="AJ6" s="3">
        <f t="shared" si="3"/>
        <v>44</v>
      </c>
      <c r="AK6" s="3">
        <f t="shared" si="3"/>
        <v>56</v>
      </c>
      <c r="AL6" s="3">
        <f t="shared" si="3"/>
        <v>68</v>
      </c>
      <c r="AM6" s="3"/>
    </row>
    <row r="7" spans="1:39" x14ac:dyDescent="0.85">
      <c r="A7">
        <v>2023</v>
      </c>
      <c r="B7">
        <v>-1</v>
      </c>
      <c r="C7" s="3" t="s">
        <v>0</v>
      </c>
      <c r="D7" s="3" t="s">
        <v>1</v>
      </c>
      <c r="E7" s="3" t="s">
        <v>2</v>
      </c>
      <c r="F7" s="3" t="s">
        <v>3</v>
      </c>
      <c r="G7" s="3" t="s">
        <v>4</v>
      </c>
      <c r="H7" s="3" t="s">
        <v>11</v>
      </c>
      <c r="I7" s="3" t="s">
        <v>5</v>
      </c>
      <c r="K7">
        <v>2023</v>
      </c>
      <c r="L7">
        <v>-1</v>
      </c>
      <c r="M7" s="3" t="s">
        <v>0</v>
      </c>
      <c r="N7" s="3" t="s">
        <v>1</v>
      </c>
      <c r="O7" s="3" t="s">
        <v>2</v>
      </c>
      <c r="P7" s="3" t="s">
        <v>3</v>
      </c>
      <c r="Q7" s="3" t="s">
        <v>4</v>
      </c>
      <c r="R7" s="3" t="s">
        <v>11</v>
      </c>
      <c r="S7" s="3" t="s">
        <v>5</v>
      </c>
      <c r="U7">
        <v>2023</v>
      </c>
      <c r="V7">
        <v>-1</v>
      </c>
      <c r="W7" s="3" t="s">
        <v>0</v>
      </c>
      <c r="X7" s="3" t="s">
        <v>1</v>
      </c>
      <c r="Y7" s="3" t="s">
        <v>2</v>
      </c>
      <c r="Z7" s="3" t="s">
        <v>3</v>
      </c>
      <c r="AA7" s="3" t="s">
        <v>4</v>
      </c>
      <c r="AB7" s="3" t="s">
        <v>11</v>
      </c>
      <c r="AC7" s="3" t="s">
        <v>5</v>
      </c>
      <c r="AE7">
        <v>2023</v>
      </c>
      <c r="AF7">
        <v>-1</v>
      </c>
      <c r="AG7" s="3" t="s">
        <v>0</v>
      </c>
      <c r="AH7" s="3" t="s">
        <v>1</v>
      </c>
      <c r="AI7" s="3" t="s">
        <v>2</v>
      </c>
      <c r="AJ7" s="3" t="s">
        <v>3</v>
      </c>
      <c r="AK7" s="3" t="s">
        <v>4</v>
      </c>
      <c r="AL7" s="3" t="s">
        <v>11</v>
      </c>
      <c r="AM7" s="3" t="s">
        <v>5</v>
      </c>
    </row>
    <row r="8" spans="1:39" x14ac:dyDescent="0.85">
      <c r="A8">
        <f>A7+1</f>
        <v>2024</v>
      </c>
      <c r="B8">
        <f>B7+1</f>
        <v>0</v>
      </c>
      <c r="C8" s="3" cm="1">
        <f t="array" aca="1" ref="C8" ca="1">$B$4 *
INDIRECT("Include_" &amp; $A$3)*INDIRECT("Include_" &amp; C$7)*
OFFSET(INDIRECT(Region_abbr &amp; "!A1"), $B$5 + C$6,$B8+1)</f>
        <v>0.85586956618999999</v>
      </c>
      <c r="D8" s="3" cm="1">
        <f t="array" aca="1" ref="D8" ca="1">$B$4 *
INDIRECT("Include_" &amp; $A$3)*INDIRECT("Include_" &amp; D$7)*
OFFSET(INDIRECT(Region_abbr &amp; "!A1"), $B$5 + D$6,$B8+1)</f>
        <v>0.32095624018000002</v>
      </c>
      <c r="E8" s="3" cm="1">
        <f t="array" aca="1" ref="E8" ca="1">$B$4 *
INDIRECT("Include_" &amp; $A$3)*INDIRECT("Include_" &amp; E$7)*
OFFSET(INDIRECT(Region_abbr &amp; "!A1"), $B$5 + E$6,$B8+1)</f>
        <v>0.38514992286999999</v>
      </c>
      <c r="F8" s="3" cm="1">
        <f t="array" aca="1" ref="F8" ca="1">$B$4 *
INDIRECT("Include_" &amp; $A$3)*INDIRECT("Include_" &amp; F$7)*
OFFSET(INDIRECT(Region_abbr &amp; "!A1"), $B$5 + F$6,$B8+1)</f>
        <v>0.97267075738000008</v>
      </c>
      <c r="G8" s="3" cm="1">
        <f t="array" aca="1" ref="G8" ca="1">$B$4 *
INDIRECT("Include_" &amp; $A$3)*INDIRECT("Include_" &amp; G$7)*
OFFSET(INDIRECT(Region_abbr &amp; "!A1"), $B$5 + G$6,$B8+1)</f>
        <v>0.28976101268000004</v>
      </c>
      <c r="H8" s="3" cm="1">
        <f t="array" aca="1" ref="H8" ca="1">$B$4 *
INDIRECT("Include_" &amp; $A$3)*INDIRECT("Include_" &amp; H$7)*
OFFSET(INDIRECT(Region_abbr &amp; "!A1"), $B$5 + H$6,$B8+1)</f>
        <v>0</v>
      </c>
      <c r="I8" s="3">
        <f ca="1">SUM(C8:H8)</f>
        <v>2.8244074993000003</v>
      </c>
      <c r="K8">
        <f>K7+1</f>
        <v>2024</v>
      </c>
      <c r="L8">
        <f>L7+1</f>
        <v>0</v>
      </c>
      <c r="M8" s="3" cm="1">
        <f t="array" aca="1" ref="M8" ca="1">$L$4 *
INDIRECT("Include_" &amp; $K$3)*INDIRECT("Include_" &amp; M$7)*
OFFSET(INDIRECT(Region_abbr &amp; "!A1"), $L$5 + M$6,$L8+1)</f>
        <v>0</v>
      </c>
      <c r="N8" s="3" cm="1">
        <f t="array" aca="1" ref="N8" ca="1">$L$4 *
INDIRECT("Include_" &amp; $K$3)*INDIRECT("Include_" &amp; N$7)*
OFFSET(INDIRECT(Region_abbr &amp; "!A1"), $L$5 + N$6,$L8+1)</f>
        <v>0</v>
      </c>
      <c r="O8" s="3" cm="1">
        <f t="array" aca="1" ref="O8" ca="1">$L$4 *
INDIRECT("Include_" &amp; $K$3)*INDIRECT("Include_" &amp; O$7)*
OFFSET(INDIRECT(Region_abbr &amp; "!A1"), $L$5 + O$6,$L8+1)</f>
        <v>0</v>
      </c>
      <c r="P8" s="3" cm="1">
        <f t="array" aca="1" ref="P8" ca="1">$L$4 *
INDIRECT("Include_" &amp; $K$3)*INDIRECT("Include_" &amp; P$7)*
OFFSET(INDIRECT(Region_abbr &amp; "!A1"), $L$5 + P$6,$L8+1)</f>
        <v>0</v>
      </c>
      <c r="Q8" s="3" cm="1">
        <f t="array" aca="1" ref="Q8" ca="1">$L$4 *
INDIRECT("Include_" &amp; $K$3)*INDIRECT("Include_" &amp; Q$7)*
OFFSET(INDIRECT(Region_abbr &amp; "!A1"), $L$5 + Q$6,$L8+1)</f>
        <v>0</v>
      </c>
      <c r="R8" s="3" cm="1">
        <f t="array" aca="1" ref="R8" ca="1">$L$4 *
INDIRECT("Include_" &amp; $K$3)*INDIRECT("Include_" &amp; R$7)*
OFFSET(INDIRECT(Region_abbr &amp; "!A1"), $L$5 + R$6,$L8+1)</f>
        <v>0</v>
      </c>
      <c r="S8" s="3">
        <f ca="1">SUM(M8:R8)</f>
        <v>0</v>
      </c>
      <c r="U8">
        <f>U7+1</f>
        <v>2024</v>
      </c>
      <c r="V8">
        <f>V7+1</f>
        <v>0</v>
      </c>
      <c r="W8" s="3" cm="1">
        <f t="array" aca="1" ref="W8" ca="1">$V$4 *
INDIRECT("Include_" &amp; $U$3)*INDIRECT("Include_" &amp; W$7)*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W$6,$V8+1)</f>
        <v>0</v>
      </c>
      <c r="X8" s="3" cm="1">
        <f t="array" aca="1" ref="X8" ca="1">$V$4 *
INDIRECT("Include_" &amp; $U$3)*INDIRECT("Include_" &amp; X$7)*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X$6,$V8+1)</f>
        <v>0</v>
      </c>
      <c r="Y8" s="3" cm="1">
        <f t="array" aca="1" ref="Y8" ca="1">$V$4 *
INDIRECT("Include_" &amp; $U$3)*INDIRECT("Include_" &amp; Y$7)*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Y$6,$V8+1)</f>
        <v>0</v>
      </c>
      <c r="Z8" s="3" cm="1">
        <f t="array" aca="1" ref="Z8" ca="1">$V$4 *
INDIRECT("Include_" &amp; $U$3)*INDIRECT("Include_" &amp; Z$7)*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Z$6,$V8+1)</f>
        <v>0</v>
      </c>
      <c r="AA8" s="3" cm="1">
        <f t="array" aca="1" ref="AA8" ca="1">$V$4 *
INDIRECT("Include_" &amp; $U$3)*INDIRECT("Include_" &amp; AA$7)*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AA$6,$V8+1)</f>
        <v>0</v>
      </c>
      <c r="AB8" s="3" cm="1">
        <f t="array" aca="1" ref="AB8" ca="1">$V$4 *
INDIRECT("Include_" &amp; $U$3)*INDIRECT("Include_" &amp; AB$7)*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$V$5 + AB$6,$V8+1)</f>
        <v>0</v>
      </c>
      <c r="AC8" s="3">
        <f ca="1">SUM(W8:AB8)</f>
        <v>0</v>
      </c>
      <c r="AE8">
        <f>AE7+1</f>
        <v>2024</v>
      </c>
      <c r="AF8">
        <f>AF7+1</f>
        <v>0</v>
      </c>
      <c r="AG8" s="3" cm="1">
        <f t="array" aca="1" ref="AG8" ca="1">$AF$4 *
INDIRECT("Include_" &amp; $AE$3)*INDIRECT("Include_" &amp; AG$7)*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AG$6,$AF8+1)</f>
        <v>0</v>
      </c>
      <c r="AH8" s="3" cm="1">
        <f t="array" aca="1" ref="AH8" ca="1">$AF$4 *
INDIRECT("Include_" &amp; $AE$3)*INDIRECT("Include_" &amp; AH$7)*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AH$6,$AF8+1)</f>
        <v>0</v>
      </c>
      <c r="AI8" s="3" cm="1">
        <f t="array" aca="1" ref="AI8" ca="1">$AF$4 *
INDIRECT("Include_" &amp; $AE$3)*INDIRECT("Include_" &amp; AI$7)*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AI$6,$AF8+1)</f>
        <v>0</v>
      </c>
      <c r="AJ8" s="3" cm="1">
        <f t="array" aca="1" ref="AJ8" ca="1">$AF$4 *
INDIRECT("Include_" &amp; $AE$3)*INDIRECT("Include_" &amp; AJ$7)*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AJ$6,$AF8+1)</f>
        <v>0</v>
      </c>
      <c r="AK8" s="3" cm="1">
        <f t="array" aca="1" ref="AK8" ca="1">$AF$4 *
INDIRECT("Include_" &amp; $AE$3)*INDIRECT("Include_" &amp; AK$7)*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AK$6,$AF8+1)</f>
        <v>0</v>
      </c>
      <c r="AL8" s="3" cm="1">
        <f t="array" aca="1" ref="AL8" ca="1">$AF$4 *
INDIRECT("Include_" &amp; $AE$3)*INDIRECT("Include_" &amp; AL$7)*                                                                                                                                                                                                                                                              OFFSET(INDIRECT(Region_abbr &amp; "!A1"), $AF$5 + AL$6,$AF8+1)</f>
        <v>0</v>
      </c>
      <c r="AM8" s="3">
        <f ca="1">SUM(AG8:AL8)</f>
        <v>0</v>
      </c>
    </row>
    <row r="9" spans="1:39" x14ac:dyDescent="0.85">
      <c r="M9" s="3"/>
      <c r="N9" s="3"/>
      <c r="O9" s="3"/>
      <c r="P9" s="3"/>
      <c r="Q9" s="3"/>
      <c r="R9" s="3"/>
      <c r="S9" s="3"/>
      <c r="W9" s="3"/>
      <c r="X9" s="3"/>
      <c r="Y9" s="3"/>
      <c r="Z9" s="3"/>
      <c r="AA9" s="3"/>
      <c r="AB9" s="3"/>
      <c r="AC9" s="3"/>
      <c r="AG9" s="3"/>
      <c r="AH9" s="3"/>
      <c r="AI9" s="3"/>
      <c r="AJ9" s="3"/>
      <c r="AK9" s="3"/>
      <c r="AL9" s="3"/>
      <c r="AM9" s="3"/>
    </row>
    <row r="10" spans="1:39" x14ac:dyDescent="0.85">
      <c r="M10" s="3"/>
      <c r="N10" s="3"/>
      <c r="O10" s="3"/>
      <c r="P10" s="3"/>
      <c r="Q10" s="3"/>
      <c r="R10" s="3"/>
      <c r="S10" s="3"/>
      <c r="W10" s="3"/>
      <c r="X10" s="3"/>
      <c r="Y10" s="3"/>
      <c r="Z10" s="3"/>
      <c r="AA10" s="3"/>
      <c r="AB10" s="3"/>
      <c r="AC10" s="3"/>
      <c r="AG10" s="3"/>
      <c r="AH10" s="3"/>
      <c r="AI10" s="3"/>
      <c r="AJ10" s="3"/>
      <c r="AK10" s="3"/>
      <c r="AL10" s="3"/>
      <c r="AM10" s="3"/>
    </row>
    <row r="11" spans="1:39" x14ac:dyDescent="0.85">
      <c r="M11" s="3"/>
      <c r="N11" s="3"/>
      <c r="O11" s="3"/>
      <c r="P11" s="3"/>
      <c r="Q11" s="3"/>
      <c r="R11" s="3"/>
      <c r="S11" s="3"/>
      <c r="W11" s="3"/>
      <c r="X11" s="3"/>
      <c r="Y11" s="3"/>
      <c r="Z11" s="3"/>
      <c r="AA11" s="3"/>
      <c r="AB11" s="3"/>
      <c r="AC11" s="3"/>
      <c r="AG11" s="3"/>
      <c r="AH11" s="3"/>
      <c r="AI11" s="3"/>
      <c r="AJ11" s="3"/>
      <c r="AK11" s="3"/>
      <c r="AL11" s="3"/>
      <c r="AM11" s="3"/>
    </row>
    <row r="12" spans="1:39" x14ac:dyDescent="0.85">
      <c r="M12" s="3"/>
      <c r="N12" s="3"/>
      <c r="O12" s="3"/>
      <c r="P12" s="3"/>
      <c r="Q12" s="3"/>
      <c r="R12" s="3"/>
      <c r="S12" s="3"/>
      <c r="W12" s="3"/>
      <c r="X12" s="3"/>
      <c r="Y12" s="3"/>
      <c r="Z12" s="3"/>
      <c r="AA12" s="3"/>
      <c r="AB12" s="3"/>
      <c r="AC12" s="3"/>
      <c r="AG12" s="3"/>
      <c r="AH12" s="3"/>
      <c r="AI12" s="3"/>
      <c r="AJ12" s="3"/>
      <c r="AK12" s="3"/>
      <c r="AL12" s="3"/>
      <c r="AM12" s="3"/>
    </row>
    <row r="13" spans="1:39" x14ac:dyDescent="0.85">
      <c r="M13" s="3"/>
      <c r="N13" s="3"/>
      <c r="O13" s="3"/>
      <c r="P13" s="3"/>
      <c r="Q13" s="3"/>
      <c r="R13" s="3"/>
      <c r="S13" s="3"/>
      <c r="W13" s="3"/>
      <c r="X13" s="3"/>
      <c r="Y13" s="3"/>
      <c r="Z13" s="3"/>
      <c r="AA13" s="3"/>
      <c r="AB13" s="3"/>
      <c r="AC13" s="3"/>
      <c r="AG13" s="3"/>
      <c r="AH13" s="3"/>
      <c r="AI13" s="3"/>
      <c r="AJ13" s="3"/>
      <c r="AK13" s="3"/>
      <c r="AL13" s="3"/>
      <c r="AM13" s="3"/>
    </row>
    <row r="14" spans="1:39" x14ac:dyDescent="0.85">
      <c r="M14" s="3"/>
      <c r="N14" s="3"/>
      <c r="O14" s="3"/>
      <c r="P14" s="3"/>
      <c r="Q14" s="3"/>
      <c r="R14" s="3"/>
      <c r="S14" s="3"/>
      <c r="W14" s="3"/>
      <c r="X14" s="3"/>
      <c r="Y14" s="3"/>
      <c r="Z14" s="3"/>
      <c r="AA14" s="3"/>
      <c r="AB14" s="3"/>
      <c r="AC14" s="3"/>
      <c r="AG14" s="3"/>
      <c r="AH14" s="3"/>
      <c r="AI14" s="3"/>
      <c r="AJ14" s="3"/>
      <c r="AK14" s="3"/>
      <c r="AL14" s="3"/>
      <c r="AM14" s="3"/>
    </row>
    <row r="15" spans="1:39" x14ac:dyDescent="0.85">
      <c r="M15" s="3"/>
      <c r="N15" s="3"/>
      <c r="O15" s="3"/>
      <c r="P15" s="3"/>
      <c r="Q15" s="3"/>
      <c r="R15" s="3"/>
      <c r="S15" s="3"/>
      <c r="W15" s="3"/>
      <c r="X15" s="3"/>
      <c r="Y15" s="3"/>
      <c r="Z15" s="3"/>
      <c r="AA15" s="3"/>
      <c r="AB15" s="3"/>
      <c r="AC15" s="3"/>
      <c r="AG15" s="3"/>
      <c r="AH15" s="3"/>
      <c r="AI15" s="3"/>
      <c r="AJ15" s="3"/>
      <c r="AK15" s="3"/>
      <c r="AL15" s="3"/>
      <c r="AM15" s="3"/>
    </row>
    <row r="16" spans="1:39" x14ac:dyDescent="0.85">
      <c r="M16" s="3"/>
      <c r="N16" s="3"/>
      <c r="O16" s="3"/>
      <c r="P16" s="3"/>
      <c r="Q16" s="3"/>
      <c r="R16" s="3"/>
      <c r="S16" s="3"/>
      <c r="W16" s="3"/>
      <c r="X16" s="3"/>
      <c r="Y16" s="3"/>
      <c r="Z16" s="3"/>
      <c r="AA16" s="3"/>
      <c r="AB16" s="3"/>
      <c r="AC16" s="3"/>
      <c r="AG16" s="3"/>
      <c r="AH16" s="3"/>
      <c r="AI16" s="3"/>
      <c r="AJ16" s="3"/>
      <c r="AK16" s="3"/>
      <c r="AL16" s="3"/>
      <c r="AM16" s="3"/>
    </row>
    <row r="17" spans="13:39" x14ac:dyDescent="0.85">
      <c r="M17" s="3"/>
      <c r="N17" s="3"/>
      <c r="O17" s="3"/>
      <c r="P17" s="3"/>
      <c r="Q17" s="3"/>
      <c r="R17" s="3"/>
      <c r="S17" s="3"/>
      <c r="W17" s="3"/>
      <c r="X17" s="3"/>
      <c r="Y17" s="3"/>
      <c r="Z17" s="3"/>
      <c r="AA17" s="3"/>
      <c r="AB17" s="3"/>
      <c r="AC17" s="3"/>
      <c r="AG17" s="3"/>
      <c r="AH17" s="3"/>
      <c r="AI17" s="3"/>
      <c r="AJ17" s="3"/>
      <c r="AK17" s="3"/>
      <c r="AL17" s="3"/>
      <c r="AM17" s="3"/>
    </row>
    <row r="18" spans="13:39" x14ac:dyDescent="0.85">
      <c r="M18" s="3"/>
      <c r="N18" s="3"/>
      <c r="O18" s="3"/>
      <c r="P18" s="3"/>
      <c r="Q18" s="3"/>
      <c r="R18" s="3"/>
      <c r="S18" s="3"/>
      <c r="W18" s="3"/>
      <c r="X18" s="3"/>
      <c r="Y18" s="3"/>
      <c r="Z18" s="3"/>
      <c r="AA18" s="3"/>
      <c r="AB18" s="3"/>
      <c r="AC18" s="3"/>
      <c r="AG18" s="3"/>
      <c r="AH18" s="3"/>
      <c r="AI18" s="3"/>
      <c r="AJ18" s="3"/>
      <c r="AK18" s="3"/>
      <c r="AL18" s="3"/>
      <c r="AM18" s="3"/>
    </row>
    <row r="19" spans="13:39" x14ac:dyDescent="0.85">
      <c r="M19" s="3"/>
      <c r="N19" s="3"/>
      <c r="O19" s="3"/>
      <c r="P19" s="3"/>
      <c r="Q19" s="3"/>
      <c r="R19" s="3"/>
      <c r="S19" s="3"/>
      <c r="W19" s="3"/>
      <c r="X19" s="3"/>
      <c r="Y19" s="3"/>
      <c r="Z19" s="3"/>
      <c r="AA19" s="3"/>
      <c r="AB19" s="3"/>
      <c r="AC19" s="3"/>
      <c r="AG19" s="3"/>
      <c r="AH19" s="3"/>
      <c r="AI19" s="3"/>
      <c r="AJ19" s="3"/>
      <c r="AK19" s="3"/>
      <c r="AL19" s="3"/>
      <c r="AM19" s="3"/>
    </row>
    <row r="20" spans="13:39" x14ac:dyDescent="0.85">
      <c r="M20" s="3"/>
      <c r="N20" s="3"/>
      <c r="O20" s="3"/>
      <c r="P20" s="3"/>
      <c r="Q20" s="3"/>
      <c r="R20" s="3"/>
      <c r="S20" s="3"/>
      <c r="W20" s="3"/>
      <c r="X20" s="3"/>
      <c r="Y20" s="3"/>
      <c r="Z20" s="3"/>
      <c r="AA20" s="3"/>
      <c r="AB20" s="3"/>
      <c r="AC20" s="3"/>
      <c r="AG20" s="3"/>
      <c r="AH20" s="3"/>
      <c r="AI20" s="3"/>
      <c r="AJ20" s="3"/>
      <c r="AK20" s="3"/>
      <c r="AL20" s="3"/>
      <c r="AM20" s="3"/>
    </row>
    <row r="21" spans="13:39" x14ac:dyDescent="0.85">
      <c r="M21" s="3"/>
      <c r="N21" s="3"/>
      <c r="O21" s="3"/>
      <c r="P21" s="3"/>
      <c r="Q21" s="3"/>
      <c r="R21" s="3"/>
      <c r="S21" s="3"/>
      <c r="W21" s="3"/>
      <c r="X21" s="3"/>
      <c r="Y21" s="3"/>
      <c r="Z21" s="3"/>
      <c r="AA21" s="3"/>
      <c r="AB21" s="3"/>
      <c r="AC21" s="3"/>
      <c r="AG21" s="3"/>
      <c r="AH21" s="3"/>
      <c r="AI21" s="3"/>
      <c r="AJ21" s="3"/>
      <c r="AK21" s="3"/>
      <c r="AL21" s="3"/>
      <c r="AM21" s="3"/>
    </row>
    <row r="22" spans="13:39" x14ac:dyDescent="0.85">
      <c r="M22" s="3"/>
      <c r="N22" s="3"/>
      <c r="O22" s="3"/>
      <c r="P22" s="3"/>
      <c r="Q22" s="3"/>
      <c r="R22" s="3"/>
      <c r="S22" s="3"/>
      <c r="W22" s="3"/>
      <c r="X22" s="3"/>
      <c r="Y22" s="3"/>
      <c r="Z22" s="3"/>
      <c r="AA22" s="3"/>
      <c r="AB22" s="3"/>
      <c r="AC22" s="3"/>
      <c r="AG22" s="3"/>
      <c r="AH22" s="3"/>
      <c r="AI22" s="3"/>
      <c r="AJ22" s="3"/>
      <c r="AK22" s="3"/>
      <c r="AL22" s="3"/>
      <c r="AM22" s="3"/>
    </row>
    <row r="23" spans="13:39" x14ac:dyDescent="0.85">
      <c r="M23" s="3"/>
      <c r="N23" s="3"/>
      <c r="O23" s="3"/>
      <c r="P23" s="3"/>
      <c r="Q23" s="3"/>
      <c r="R23" s="3"/>
      <c r="S23" s="3"/>
      <c r="W23" s="3"/>
      <c r="X23" s="3"/>
      <c r="Y23" s="3"/>
      <c r="Z23" s="3"/>
      <c r="AA23" s="3"/>
      <c r="AB23" s="3"/>
      <c r="AC23" s="3"/>
      <c r="AG23" s="3"/>
      <c r="AH23" s="3"/>
      <c r="AI23" s="3"/>
      <c r="AJ23" s="3"/>
      <c r="AK23" s="3"/>
      <c r="AL23" s="3"/>
      <c r="AM23" s="3"/>
    </row>
    <row r="24" spans="13:39" x14ac:dyDescent="0.85">
      <c r="M24" s="3"/>
      <c r="N24" s="3"/>
      <c r="O24" s="3"/>
      <c r="P24" s="3"/>
      <c r="Q24" s="3"/>
      <c r="R24" s="3"/>
      <c r="S24" s="3"/>
      <c r="W24" s="3"/>
      <c r="X24" s="3"/>
      <c r="Y24" s="3"/>
      <c r="Z24" s="3"/>
      <c r="AA24" s="3"/>
      <c r="AB24" s="3"/>
      <c r="AC24" s="3"/>
      <c r="AG24" s="3"/>
      <c r="AH24" s="3"/>
      <c r="AI24" s="3"/>
      <c r="AJ24" s="3"/>
      <c r="AK24" s="3"/>
      <c r="AL24" s="3"/>
      <c r="AM24" s="3"/>
    </row>
    <row r="25" spans="13:39" x14ac:dyDescent="0.85">
      <c r="M25" s="3"/>
      <c r="N25" s="3"/>
      <c r="O25" s="3"/>
      <c r="P25" s="3"/>
      <c r="Q25" s="3"/>
      <c r="R25" s="3"/>
      <c r="S25" s="3"/>
      <c r="W25" s="3"/>
      <c r="X25" s="3"/>
      <c r="Y25" s="3"/>
      <c r="Z25" s="3"/>
      <c r="AA25" s="3"/>
      <c r="AB25" s="3"/>
      <c r="AC25" s="3"/>
      <c r="AG25" s="3"/>
      <c r="AH25" s="3"/>
      <c r="AI25" s="3"/>
      <c r="AJ25" s="3"/>
      <c r="AK25" s="3"/>
      <c r="AL25" s="3"/>
      <c r="AM25" s="3"/>
    </row>
    <row r="26" spans="13:39" x14ac:dyDescent="0.85">
      <c r="M26" s="3"/>
      <c r="N26" s="3"/>
      <c r="O26" s="3"/>
      <c r="P26" s="3"/>
      <c r="Q26" s="3"/>
      <c r="R26" s="3"/>
      <c r="S26" s="3"/>
      <c r="W26" s="3"/>
      <c r="X26" s="3"/>
      <c r="Y26" s="3"/>
      <c r="Z26" s="3"/>
      <c r="AA26" s="3"/>
      <c r="AB26" s="3"/>
      <c r="AC26" s="3"/>
      <c r="AG26" s="3"/>
      <c r="AH26" s="3"/>
      <c r="AI26" s="3"/>
      <c r="AJ26" s="3"/>
      <c r="AK26" s="3"/>
      <c r="AL26" s="3"/>
      <c r="AM26" s="3"/>
    </row>
    <row r="27" spans="13:39" x14ac:dyDescent="0.85">
      <c r="M27" s="3"/>
      <c r="N27" s="3"/>
      <c r="O27" s="3"/>
      <c r="P27" s="3"/>
      <c r="Q27" s="3"/>
      <c r="R27" s="3"/>
      <c r="S27" s="3"/>
      <c r="W27" s="3"/>
      <c r="X27" s="3"/>
      <c r="Y27" s="3"/>
      <c r="Z27" s="3"/>
      <c r="AA27" s="3"/>
      <c r="AB27" s="3"/>
      <c r="AC27" s="3"/>
      <c r="AG27" s="3"/>
      <c r="AH27" s="3"/>
      <c r="AI27" s="3"/>
      <c r="AJ27" s="3"/>
      <c r="AK27" s="3"/>
      <c r="AL27" s="3"/>
      <c r="AM27" s="3"/>
    </row>
    <row r="28" spans="13:39" x14ac:dyDescent="0.85">
      <c r="M28" s="3"/>
      <c r="N28" s="3"/>
      <c r="O28" s="3"/>
      <c r="P28" s="3"/>
      <c r="Q28" s="3"/>
      <c r="R28" s="3"/>
      <c r="S28" s="3"/>
      <c r="W28" s="3"/>
      <c r="X28" s="3"/>
      <c r="Y28" s="3"/>
      <c r="Z28" s="3"/>
      <c r="AA28" s="3"/>
      <c r="AB28" s="3"/>
      <c r="AC28" s="3"/>
      <c r="AG28" s="3"/>
      <c r="AH28" s="3"/>
      <c r="AI28" s="3"/>
      <c r="AJ28" s="3"/>
      <c r="AK28" s="3"/>
      <c r="AL28" s="3"/>
      <c r="AM28" s="3"/>
    </row>
    <row r="29" spans="13:39" x14ac:dyDescent="0.85">
      <c r="M29" s="3"/>
      <c r="N29" s="3"/>
      <c r="O29" s="3"/>
      <c r="P29" s="3"/>
      <c r="Q29" s="3"/>
      <c r="R29" s="3"/>
      <c r="S29" s="3"/>
      <c r="W29" s="3"/>
      <c r="X29" s="3"/>
      <c r="Y29" s="3"/>
      <c r="Z29" s="3"/>
      <c r="AA29" s="3"/>
      <c r="AB29" s="3"/>
      <c r="AC29" s="3"/>
      <c r="AG29" s="3"/>
      <c r="AH29" s="3"/>
      <c r="AI29" s="3"/>
      <c r="AJ29" s="3"/>
      <c r="AK29" s="3"/>
      <c r="AL29" s="3"/>
      <c r="AM29" s="3"/>
    </row>
    <row r="30" spans="13:39" x14ac:dyDescent="0.85">
      <c r="M30" s="3"/>
      <c r="N30" s="3"/>
      <c r="O30" s="3"/>
      <c r="P30" s="3"/>
      <c r="Q30" s="3"/>
      <c r="R30" s="3"/>
      <c r="S30" s="3"/>
      <c r="W30" s="3"/>
      <c r="X30" s="3"/>
      <c r="Y30" s="3"/>
      <c r="Z30" s="3"/>
      <c r="AA30" s="3"/>
      <c r="AB30" s="3"/>
      <c r="AC30" s="3"/>
      <c r="AG30" s="3"/>
      <c r="AH30" s="3"/>
      <c r="AI30" s="3"/>
      <c r="AJ30" s="3"/>
      <c r="AK30" s="3"/>
      <c r="AL30" s="3"/>
      <c r="AM30" s="3"/>
    </row>
    <row r="31" spans="13:39" x14ac:dyDescent="0.85">
      <c r="M31" s="3"/>
      <c r="N31" s="3"/>
      <c r="O31" s="3"/>
      <c r="P31" s="3"/>
      <c r="Q31" s="3"/>
      <c r="R31" s="3"/>
      <c r="S31" s="3"/>
      <c r="W31" s="3"/>
      <c r="X31" s="3"/>
      <c r="Y31" s="3"/>
      <c r="Z31" s="3"/>
      <c r="AA31" s="3"/>
      <c r="AB31" s="3"/>
      <c r="AC31" s="3"/>
      <c r="AG31" s="3"/>
      <c r="AH31" s="3"/>
      <c r="AI31" s="3"/>
      <c r="AJ31" s="3"/>
      <c r="AK31" s="3"/>
      <c r="AL31" s="3"/>
      <c r="AM31" s="3"/>
    </row>
    <row r="32" spans="13:39" x14ac:dyDescent="0.85">
      <c r="M32" s="3"/>
      <c r="N32" s="3"/>
      <c r="O32" s="3"/>
      <c r="P32" s="3"/>
      <c r="Q32" s="3"/>
      <c r="R32" s="3"/>
      <c r="S32" s="3"/>
      <c r="W32" s="3"/>
      <c r="X32" s="3"/>
      <c r="Y32" s="3"/>
      <c r="Z32" s="3"/>
      <c r="AA32" s="3"/>
      <c r="AB32" s="3"/>
      <c r="AC32" s="3"/>
      <c r="AG32" s="3"/>
      <c r="AH32" s="3"/>
      <c r="AI32" s="3"/>
      <c r="AJ32" s="3"/>
      <c r="AK32" s="3"/>
      <c r="AL32" s="3"/>
      <c r="AM32" s="3"/>
    </row>
    <row r="33" spans="13:39" x14ac:dyDescent="0.85">
      <c r="M33" s="3"/>
      <c r="N33" s="3"/>
      <c r="O33" s="3"/>
      <c r="P33" s="3"/>
      <c r="Q33" s="3"/>
      <c r="R33" s="3"/>
      <c r="S33" s="3"/>
      <c r="W33" s="3"/>
      <c r="X33" s="3"/>
      <c r="Y33" s="3"/>
      <c r="Z33" s="3"/>
      <c r="AA33" s="3"/>
      <c r="AB33" s="3"/>
      <c r="AC33" s="3"/>
      <c r="AG33" s="3"/>
      <c r="AH33" s="3"/>
      <c r="AI33" s="3"/>
      <c r="AJ33" s="3"/>
      <c r="AK33" s="3"/>
      <c r="AL33" s="3"/>
      <c r="AM33" s="3"/>
    </row>
    <row r="34" spans="13:39" x14ac:dyDescent="0.85">
      <c r="M34" s="3"/>
      <c r="N34" s="3"/>
      <c r="O34" s="3"/>
      <c r="P34" s="3"/>
      <c r="Q34" s="3"/>
      <c r="R34" s="3"/>
      <c r="S34" s="3"/>
      <c r="W34" s="3"/>
      <c r="X34" s="3"/>
      <c r="Y34" s="3"/>
      <c r="Z34" s="3"/>
      <c r="AA34" s="3"/>
      <c r="AB34" s="3"/>
      <c r="AC34" s="3"/>
      <c r="AG34" s="3"/>
      <c r="AH34" s="3"/>
      <c r="AI34" s="3"/>
      <c r="AJ34" s="3"/>
      <c r="AK34" s="3"/>
      <c r="AL34" s="3"/>
      <c r="AM34" s="3"/>
    </row>
  </sheetData>
  <mergeCells count="1">
    <mergeCell ref="A1:B1"/>
  </mergeCells>
  <conditionalFormatting sqref="C8:I34">
    <cfRule type="expression" dxfId="5" priority="10">
      <formula>#REF! &gt; 10000</formula>
    </cfRule>
  </conditionalFormatting>
  <conditionalFormatting sqref="M8:S34">
    <cfRule type="expression" dxfId="4" priority="4">
      <formula>#REF! &gt; 10000</formula>
    </cfRule>
  </conditionalFormatting>
  <conditionalFormatting sqref="W8:AC34">
    <cfRule type="expression" dxfId="3" priority="3">
      <formula>#REF! &gt; 10000</formula>
    </cfRule>
  </conditionalFormatting>
  <conditionalFormatting sqref="AM8:AM34">
    <cfRule type="expression" dxfId="2" priority="2">
      <formula>#REF! &gt; 10000</formula>
    </cfRule>
  </conditionalFormatting>
  <conditionalFormatting sqref="AG8:AL34">
    <cfRule type="expression" dxfId="1" priority="1">
      <formula>#REF! &gt; 10000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0A727-A9D0-40EC-885E-1C7C501B0F64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87</v>
      </c>
      <c r="C1" t="s">
        <v>88</v>
      </c>
      <c r="D1" t="s">
        <v>89</v>
      </c>
    </row>
    <row r="2" spans="1:4" x14ac:dyDescent="0.85">
      <c r="A2" t="s">
        <v>90</v>
      </c>
      <c r="B2" s="15">
        <v>45912</v>
      </c>
    </row>
    <row r="3" spans="1:4" x14ac:dyDescent="0.85">
      <c r="A3" t="s">
        <v>91</v>
      </c>
      <c r="B3" s="16">
        <v>45912.715587615741</v>
      </c>
    </row>
    <row r="4" spans="1:4" x14ac:dyDescent="0.85">
      <c r="A4" t="s">
        <v>92</v>
      </c>
      <c r="B4" t="s">
        <v>93</v>
      </c>
    </row>
    <row r="5" spans="1:4" x14ac:dyDescent="0.85">
      <c r="A5" t="s">
        <v>94</v>
      </c>
      <c r="B5" t="s">
        <v>95</v>
      </c>
    </row>
    <row r="6" spans="1:4" x14ac:dyDescent="0.85">
      <c r="A6" t="s">
        <v>96</v>
      </c>
      <c r="B6" t="s">
        <v>50</v>
      </c>
    </row>
    <row r="7" spans="1:4" x14ac:dyDescent="0.85">
      <c r="A7" t="s">
        <v>97</v>
      </c>
      <c r="C7">
        <v>26</v>
      </c>
      <c r="D7">
        <v>0</v>
      </c>
    </row>
    <row r="8" spans="1:4" x14ac:dyDescent="0.85">
      <c r="A8" t="s">
        <v>98</v>
      </c>
      <c r="C8">
        <v>34</v>
      </c>
      <c r="D8">
        <v>999</v>
      </c>
    </row>
    <row r="9" spans="1:4" x14ac:dyDescent="0.85">
      <c r="A9" t="s">
        <v>99</v>
      </c>
      <c r="C9">
        <v>0.12</v>
      </c>
      <c r="D9">
        <v>1</v>
      </c>
    </row>
    <row r="10" spans="1:4" x14ac:dyDescent="0.85">
      <c r="A10" t="s">
        <v>100</v>
      </c>
      <c r="C10">
        <v>1.02</v>
      </c>
      <c r="D10">
        <v>1</v>
      </c>
    </row>
    <row r="11" spans="1:4" x14ac:dyDescent="0.85">
      <c r="A11" t="s">
        <v>101</v>
      </c>
      <c r="C11">
        <v>1</v>
      </c>
      <c r="D11">
        <v>1</v>
      </c>
    </row>
    <row r="12" spans="1:4" x14ac:dyDescent="0.85">
      <c r="A12" t="s">
        <v>102</v>
      </c>
      <c r="C12">
        <v>1</v>
      </c>
      <c r="D12">
        <v>1</v>
      </c>
    </row>
    <row r="13" spans="1:4" x14ac:dyDescent="0.85">
      <c r="A13" t="s">
        <v>103</v>
      </c>
      <c r="C13">
        <v>1</v>
      </c>
      <c r="D13">
        <v>1</v>
      </c>
    </row>
    <row r="14" spans="1:4" x14ac:dyDescent="0.85">
      <c r="A14" t="s">
        <v>104</v>
      </c>
      <c r="C14">
        <v>1</v>
      </c>
      <c r="D14">
        <v>1</v>
      </c>
    </row>
    <row r="15" spans="1:4" x14ac:dyDescent="0.85">
      <c r="A15" t="s">
        <v>105</v>
      </c>
      <c r="C15">
        <v>1</v>
      </c>
      <c r="D15">
        <v>1</v>
      </c>
    </row>
    <row r="16" spans="1:4" x14ac:dyDescent="0.85">
      <c r="A16" t="s">
        <v>106</v>
      </c>
      <c r="C16">
        <v>1</v>
      </c>
      <c r="D16">
        <v>1</v>
      </c>
    </row>
    <row r="17" spans="1:4" x14ac:dyDescent="0.85">
      <c r="A17" t="s">
        <v>107</v>
      </c>
      <c r="C17">
        <v>1</v>
      </c>
      <c r="D17">
        <v>1</v>
      </c>
    </row>
    <row r="18" spans="1:4" x14ac:dyDescent="0.85">
      <c r="A18" t="s">
        <v>108</v>
      </c>
      <c r="C18">
        <v>1</v>
      </c>
      <c r="D18">
        <v>1</v>
      </c>
    </row>
    <row r="19" spans="1:4" x14ac:dyDescent="0.85">
      <c r="A19" t="s">
        <v>109</v>
      </c>
      <c r="C19">
        <v>1</v>
      </c>
      <c r="D19">
        <v>1</v>
      </c>
    </row>
    <row r="20" spans="1:4" x14ac:dyDescent="0.85">
      <c r="A20" t="s">
        <v>110</v>
      </c>
      <c r="C20">
        <v>1</v>
      </c>
      <c r="D20">
        <v>1</v>
      </c>
    </row>
    <row r="21" spans="1:4" x14ac:dyDescent="0.85">
      <c r="A21" t="s">
        <v>111</v>
      </c>
      <c r="C21">
        <v>1</v>
      </c>
      <c r="D21">
        <v>1</v>
      </c>
    </row>
    <row r="22" spans="1:4" x14ac:dyDescent="0.85">
      <c r="A22" t="s">
        <v>112</v>
      </c>
      <c r="C22">
        <v>1</v>
      </c>
      <c r="D22">
        <v>1</v>
      </c>
    </row>
    <row r="23" spans="1:4" x14ac:dyDescent="0.85">
      <c r="A23" t="s">
        <v>113</v>
      </c>
      <c r="C23">
        <v>1</v>
      </c>
      <c r="D23">
        <v>1</v>
      </c>
    </row>
    <row r="24" spans="1:4" x14ac:dyDescent="0.85">
      <c r="A24" t="s">
        <v>114</v>
      </c>
      <c r="C24">
        <v>1</v>
      </c>
      <c r="D24">
        <v>1</v>
      </c>
    </row>
    <row r="25" spans="1:4" x14ac:dyDescent="0.85">
      <c r="A25" t="s">
        <v>115</v>
      </c>
      <c r="C25">
        <v>1</v>
      </c>
      <c r="D25">
        <v>1</v>
      </c>
    </row>
    <row r="26" spans="1:4" x14ac:dyDescent="0.85">
      <c r="A26" t="s">
        <v>116</v>
      </c>
      <c r="C26">
        <v>1</v>
      </c>
      <c r="D26">
        <v>1</v>
      </c>
    </row>
    <row r="27" spans="1:4" x14ac:dyDescent="0.85">
      <c r="A27" t="s">
        <v>117</v>
      </c>
      <c r="C27">
        <v>1</v>
      </c>
      <c r="D27">
        <v>1</v>
      </c>
    </row>
    <row r="28" spans="1:4" x14ac:dyDescent="0.85">
      <c r="A28" t="s">
        <v>118</v>
      </c>
      <c r="C28">
        <v>1</v>
      </c>
      <c r="D28">
        <v>1</v>
      </c>
    </row>
    <row r="29" spans="1:4" x14ac:dyDescent="0.85">
      <c r="A29" t="s">
        <v>119</v>
      </c>
      <c r="C29">
        <v>1</v>
      </c>
      <c r="D29">
        <v>1</v>
      </c>
    </row>
    <row r="30" spans="1:4" x14ac:dyDescent="0.85">
      <c r="A30" t="s">
        <v>120</v>
      </c>
      <c r="C30">
        <v>1</v>
      </c>
      <c r="D30">
        <v>1</v>
      </c>
    </row>
    <row r="31" spans="1:4" x14ac:dyDescent="0.85">
      <c r="A31" t="s">
        <v>121</v>
      </c>
      <c r="C31">
        <v>1</v>
      </c>
      <c r="D31">
        <v>1</v>
      </c>
    </row>
    <row r="32" spans="1:4" x14ac:dyDescent="0.85">
      <c r="A32" t="s">
        <v>122</v>
      </c>
      <c r="C32">
        <v>1</v>
      </c>
      <c r="D32">
        <v>1</v>
      </c>
    </row>
    <row r="33" spans="1:4" x14ac:dyDescent="0.85">
      <c r="A33" t="s">
        <v>123</v>
      </c>
      <c r="C33">
        <v>1</v>
      </c>
      <c r="D33">
        <v>1</v>
      </c>
    </row>
    <row r="34" spans="1:4" x14ac:dyDescent="0.85">
      <c r="A34" t="s">
        <v>124</v>
      </c>
      <c r="C34">
        <v>1</v>
      </c>
      <c r="D34">
        <v>1</v>
      </c>
    </row>
    <row r="35" spans="1:4" x14ac:dyDescent="0.85">
      <c r="A35" t="s">
        <v>125</v>
      </c>
      <c r="C35">
        <v>1</v>
      </c>
      <c r="D35">
        <v>1</v>
      </c>
    </row>
    <row r="36" spans="1:4" x14ac:dyDescent="0.85">
      <c r="A36" t="s">
        <v>126</v>
      </c>
      <c r="C36">
        <v>1</v>
      </c>
      <c r="D36">
        <v>1</v>
      </c>
    </row>
    <row r="37" spans="1:4" x14ac:dyDescent="0.85">
      <c r="A37" t="s">
        <v>127</v>
      </c>
      <c r="C37">
        <v>1</v>
      </c>
      <c r="D37">
        <v>1</v>
      </c>
    </row>
    <row r="38" spans="1:4" x14ac:dyDescent="0.85">
      <c r="A38" t="s">
        <v>128</v>
      </c>
      <c r="C38">
        <v>1</v>
      </c>
      <c r="D38">
        <v>1</v>
      </c>
    </row>
    <row r="39" spans="1:4" x14ac:dyDescent="0.85">
      <c r="A39" t="s">
        <v>129</v>
      </c>
      <c r="C39">
        <v>1</v>
      </c>
      <c r="D39">
        <v>1</v>
      </c>
    </row>
    <row r="40" spans="1:4" x14ac:dyDescent="0.85">
      <c r="A40" t="s">
        <v>130</v>
      </c>
      <c r="C40">
        <v>1</v>
      </c>
      <c r="D4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E4FE4-87AD-4656-A9DF-704D7E06A50F}">
  <dimension ref="A1:ZZ99"/>
  <sheetViews>
    <sheetView workbookViewId="0">
      <selection sqref="A1:XFD1048576"/>
    </sheetView>
  </sheetViews>
  <sheetFormatPr defaultRowHeight="14.6" x14ac:dyDescent="0.85"/>
  <cols>
    <col min="1" max="1" width="21.3046875" bestFit="1" customWidth="1"/>
    <col min="2" max="5" width="13.19140625" bestFit="1" customWidth="1"/>
    <col min="6" max="28" width="12.15234375" bestFit="1" customWidth="1"/>
  </cols>
  <sheetData>
    <row r="1" spans="1:702" x14ac:dyDescent="0.85">
      <c r="B1" s="3">
        <v>0</v>
      </c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  <c r="J1" s="3">
        <v>8</v>
      </c>
      <c r="K1" s="3">
        <v>9</v>
      </c>
      <c r="L1" s="3">
        <v>10</v>
      </c>
      <c r="M1" s="3">
        <v>11</v>
      </c>
      <c r="N1" s="3">
        <v>12</v>
      </c>
      <c r="O1" s="3">
        <v>13</v>
      </c>
      <c r="P1" s="3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x14ac:dyDescent="0.85">
      <c r="A2" t="s">
        <v>10</v>
      </c>
      <c r="B2" s="3">
        <v>2024</v>
      </c>
      <c r="C2" s="3">
        <v>2025</v>
      </c>
      <c r="D2" s="3">
        <v>2026</v>
      </c>
      <c r="E2" s="3">
        <v>2027</v>
      </c>
      <c r="F2" s="3">
        <v>2028</v>
      </c>
      <c r="G2" s="3">
        <v>2029</v>
      </c>
      <c r="H2" s="3">
        <v>2030</v>
      </c>
      <c r="I2" s="3">
        <v>2031</v>
      </c>
      <c r="J2" s="3">
        <v>2032</v>
      </c>
      <c r="K2" s="3">
        <v>2033</v>
      </c>
      <c r="L2" s="3">
        <v>2034</v>
      </c>
      <c r="M2" s="3">
        <v>2035</v>
      </c>
      <c r="N2" s="3">
        <v>2036</v>
      </c>
      <c r="O2" s="3">
        <v>2037</v>
      </c>
      <c r="P2" s="3">
        <v>2038</v>
      </c>
      <c r="Q2" s="3">
        <v>2039</v>
      </c>
      <c r="R2" s="3">
        <v>2040</v>
      </c>
      <c r="S2" s="3">
        <v>2041</v>
      </c>
      <c r="T2" s="3">
        <v>2042</v>
      </c>
      <c r="U2" s="3">
        <v>2043</v>
      </c>
      <c r="V2" s="3">
        <v>2044</v>
      </c>
      <c r="W2" s="3">
        <v>2045</v>
      </c>
      <c r="X2" s="3">
        <v>2046</v>
      </c>
      <c r="Y2" s="3">
        <v>2047</v>
      </c>
      <c r="Z2" s="3">
        <v>2048</v>
      </c>
      <c r="AA2" s="3">
        <v>2049</v>
      </c>
      <c r="AB2" s="3">
        <v>2050</v>
      </c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85">
      <c r="A3" t="s">
        <v>131</v>
      </c>
      <c r="B3" s="3">
        <v>0</v>
      </c>
      <c r="C3" s="3">
        <v>34</v>
      </c>
      <c r="D3" s="3">
        <v>68</v>
      </c>
      <c r="E3" s="3">
        <v>102</v>
      </c>
      <c r="F3" s="3">
        <v>136</v>
      </c>
      <c r="G3" s="3">
        <v>170</v>
      </c>
      <c r="H3" s="3">
        <v>204</v>
      </c>
      <c r="I3" s="3">
        <v>238</v>
      </c>
      <c r="J3" s="3">
        <v>272</v>
      </c>
      <c r="K3" s="3">
        <v>306</v>
      </c>
      <c r="L3" s="3">
        <v>340</v>
      </c>
      <c r="M3" s="3">
        <v>374</v>
      </c>
      <c r="N3" s="3">
        <v>408</v>
      </c>
      <c r="O3" s="3">
        <v>442</v>
      </c>
      <c r="P3" s="3">
        <v>476</v>
      </c>
      <c r="Q3" s="3">
        <v>510</v>
      </c>
      <c r="R3" s="3">
        <v>544</v>
      </c>
      <c r="S3" s="3">
        <v>578</v>
      </c>
      <c r="T3" s="3">
        <v>612</v>
      </c>
      <c r="U3" s="3">
        <v>646</v>
      </c>
      <c r="V3" s="3">
        <v>680</v>
      </c>
      <c r="W3" s="3">
        <v>714</v>
      </c>
      <c r="X3" s="3">
        <v>748</v>
      </c>
      <c r="Y3" s="3">
        <v>782</v>
      </c>
      <c r="Z3" s="3">
        <v>816</v>
      </c>
      <c r="AA3" s="3">
        <v>850</v>
      </c>
      <c r="AB3" s="3">
        <v>884</v>
      </c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x14ac:dyDescent="0.85">
      <c r="A4" t="s">
        <v>132</v>
      </c>
      <c r="B4" s="3">
        <v>192373034.07833499</v>
      </c>
      <c r="C4" s="3">
        <v>196220494.75990099</v>
      </c>
      <c r="D4" s="3">
        <v>200144904.655099</v>
      </c>
      <c r="E4" s="3">
        <v>204147802.74820101</v>
      </c>
      <c r="F4" s="3">
        <v>208230758.80316499</v>
      </c>
      <c r="G4" s="3">
        <v>212395373.979229</v>
      </c>
      <c r="H4" s="3">
        <v>216643281.45881301</v>
      </c>
      <c r="I4" s="3">
        <v>220976147.08798999</v>
      </c>
      <c r="J4" s="3">
        <v>225395670.02974901</v>
      </c>
      <c r="K4" s="3">
        <v>229903583.43034399</v>
      </c>
      <c r="L4" s="3">
        <v>234501655.09895101</v>
      </c>
      <c r="M4" s="3">
        <v>239191688.20093</v>
      </c>
      <c r="N4" s="3">
        <v>243975521.96494901</v>
      </c>
      <c r="O4" s="3">
        <v>248855032.404248</v>
      </c>
      <c r="P4" s="3">
        <v>253832133.052333</v>
      </c>
      <c r="Q4" s="3">
        <v>258908775.71338001</v>
      </c>
      <c r="R4" s="3">
        <v>264086951.22764701</v>
      </c>
      <c r="S4" s="3">
        <v>269368690.25220001</v>
      </c>
      <c r="T4" s="3">
        <v>274756064.057244</v>
      </c>
      <c r="U4" s="3">
        <v>280251185.33838898</v>
      </c>
      <c r="V4" s="3">
        <v>285856209.04515702</v>
      </c>
      <c r="W4" s="3">
        <v>291573333.22605997</v>
      </c>
      <c r="X4" s="3">
        <v>297404799.89058101</v>
      </c>
      <c r="Y4" s="3">
        <v>303352895.88839298</v>
      </c>
      <c r="Z4" s="3">
        <v>309419953.80616099</v>
      </c>
      <c r="AA4" s="3">
        <v>315608352.88228399</v>
      </c>
      <c r="AB4" s="3">
        <v>321920519.93993002</v>
      </c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85">
      <c r="A5" t="s">
        <v>133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x14ac:dyDescent="0.85">
      <c r="A6" t="s">
        <v>134</v>
      </c>
      <c r="B6" s="3">
        <v>2035007.94136393</v>
      </c>
      <c r="C6" s="3">
        <v>2035007.94136393</v>
      </c>
      <c r="D6" s="3">
        <v>2035007.94136393</v>
      </c>
      <c r="E6" s="3">
        <v>2035007.94136393</v>
      </c>
      <c r="F6" s="3">
        <v>2035007.94136393</v>
      </c>
      <c r="G6" s="3">
        <v>2035007.94136393</v>
      </c>
      <c r="H6" s="3">
        <v>2035007.94136393</v>
      </c>
      <c r="I6" s="3">
        <v>2035007.94136393</v>
      </c>
      <c r="J6" s="3">
        <v>2035007.94136393</v>
      </c>
      <c r="K6" s="3">
        <v>2035007.94136393</v>
      </c>
      <c r="L6" s="3">
        <v>2035007.94136393</v>
      </c>
      <c r="M6" s="3">
        <v>2035007.94136393</v>
      </c>
      <c r="N6" s="3">
        <v>2035007.94136393</v>
      </c>
      <c r="O6" s="3">
        <v>2035007.94136393</v>
      </c>
      <c r="P6" s="3">
        <v>2035007.94136393</v>
      </c>
      <c r="Q6" s="3">
        <v>2035007.94136393</v>
      </c>
      <c r="R6" s="3">
        <v>2035007.94136393</v>
      </c>
      <c r="S6" s="3">
        <v>2035007.94136393</v>
      </c>
      <c r="T6" s="3">
        <v>2035007.94136393</v>
      </c>
      <c r="U6" s="3">
        <v>2035007.94136393</v>
      </c>
      <c r="V6" s="3">
        <v>2035007.94136393</v>
      </c>
      <c r="W6" s="3">
        <v>2035007.94136393</v>
      </c>
      <c r="X6" s="3">
        <v>2035007.94136393</v>
      </c>
      <c r="Y6" s="3">
        <v>2035007.94136393</v>
      </c>
      <c r="Z6" s="3">
        <v>2035007.94136393</v>
      </c>
      <c r="AA6" s="3">
        <v>2035007.94136393</v>
      </c>
      <c r="AB6" s="3">
        <v>2035007.94136393</v>
      </c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x14ac:dyDescent="0.85">
      <c r="A7" t="s">
        <v>135</v>
      </c>
      <c r="B7" s="3">
        <v>0</v>
      </c>
      <c r="C7" s="3">
        <v>911</v>
      </c>
      <c r="D7" s="3">
        <v>563</v>
      </c>
      <c r="E7" s="3">
        <v>558</v>
      </c>
      <c r="F7" s="3">
        <v>588</v>
      </c>
      <c r="G7" s="3">
        <v>574</v>
      </c>
      <c r="H7" s="3">
        <v>577</v>
      </c>
      <c r="I7" s="3">
        <v>597</v>
      </c>
      <c r="J7" s="3">
        <v>588</v>
      </c>
      <c r="K7" s="3">
        <v>590</v>
      </c>
      <c r="L7" s="3">
        <v>625</v>
      </c>
      <c r="M7" s="3">
        <v>643</v>
      </c>
      <c r="N7" s="3">
        <v>680</v>
      </c>
      <c r="O7" s="3">
        <v>620</v>
      </c>
      <c r="P7" s="3">
        <v>545</v>
      </c>
      <c r="Q7" s="3">
        <v>619</v>
      </c>
      <c r="R7" s="3">
        <v>604</v>
      </c>
      <c r="S7" s="3">
        <v>576</v>
      </c>
      <c r="T7" s="3">
        <v>945</v>
      </c>
      <c r="U7" s="3">
        <v>975</v>
      </c>
      <c r="V7" s="3">
        <v>570</v>
      </c>
      <c r="W7" s="3">
        <v>518</v>
      </c>
      <c r="X7" s="3">
        <v>929</v>
      </c>
      <c r="Y7" s="3">
        <v>1689</v>
      </c>
      <c r="Z7" s="3">
        <v>903</v>
      </c>
      <c r="AA7" s="3">
        <v>891</v>
      </c>
      <c r="AB7" s="3">
        <v>923</v>
      </c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x14ac:dyDescent="0.85">
      <c r="A8" t="s">
        <v>0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85">
      <c r="A9" t="s">
        <v>136</v>
      </c>
      <c r="B9" s="3">
        <v>19202</v>
      </c>
      <c r="C9" s="3">
        <v>20648.364775120001</v>
      </c>
      <c r="D9" s="3">
        <v>22191.599545960002</v>
      </c>
      <c r="E9" s="3">
        <v>23837.399064410001</v>
      </c>
      <c r="F9" s="3">
        <v>25591.78198136</v>
      </c>
      <c r="G9" s="3">
        <v>27461.10889363</v>
      </c>
      <c r="H9" s="3">
        <v>29452.101404789999</v>
      </c>
      <c r="I9" s="3">
        <v>31571.862254119998</v>
      </c>
      <c r="J9" s="3">
        <v>33827.896573140002</v>
      </c>
      <c r="K9" s="3">
        <v>36228.14589924</v>
      </c>
      <c r="L9" s="3">
        <v>38780.966327889997</v>
      </c>
      <c r="M9" s="3">
        <v>41495.220811630003</v>
      </c>
      <c r="N9" s="3">
        <v>44380.261406680002</v>
      </c>
      <c r="O9" s="3">
        <v>47445.96804896</v>
      </c>
      <c r="P9" s="3">
        <v>50702.778010670001</v>
      </c>
      <c r="Q9" s="3">
        <v>54161.716992000001</v>
      </c>
      <c r="R9" s="3">
        <v>57834.431957449997</v>
      </c>
      <c r="S9" s="3">
        <v>61733.225918279997</v>
      </c>
      <c r="T9" s="3">
        <v>65871.093965699998</v>
      </c>
      <c r="U9" s="3">
        <v>70261.762529209998</v>
      </c>
      <c r="V9" s="3">
        <v>74919.730028549995</v>
      </c>
      <c r="W9" s="3">
        <v>79860.309929850002</v>
      </c>
      <c r="X9" s="3">
        <v>85099.676158770002</v>
      </c>
      <c r="Y9" s="3">
        <v>90654.9114137</v>
      </c>
      <c r="Z9" s="3">
        <v>96539.010926300005</v>
      </c>
      <c r="AA9" s="3">
        <v>102672.53680815001</v>
      </c>
      <c r="AB9" s="3">
        <v>109072.7198331</v>
      </c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85">
      <c r="A10" t="s">
        <v>137</v>
      </c>
      <c r="B10" s="3">
        <v>49427080.559600003</v>
      </c>
      <c r="C10" s="3">
        <v>53150108.4400656</v>
      </c>
      <c r="D10" s="3">
        <v>57122486.673234798</v>
      </c>
      <c r="E10" s="3">
        <v>61358718.147783197</v>
      </c>
      <c r="F10" s="3">
        <v>65869780.755336598</v>
      </c>
      <c r="G10" s="3">
        <v>70595513.602627203</v>
      </c>
      <c r="H10" s="3">
        <v>75374773.267651796</v>
      </c>
      <c r="I10" s="3">
        <v>80035169.7471264</v>
      </c>
      <c r="J10" s="3">
        <v>84439447.408866897</v>
      </c>
      <c r="K10" s="3">
        <v>88566482.128078803</v>
      </c>
      <c r="L10" s="3">
        <v>92378324.689655095</v>
      </c>
      <c r="M10" s="3">
        <v>95854573.871921107</v>
      </c>
      <c r="N10" s="3">
        <v>98992267.691297203</v>
      </c>
      <c r="O10" s="3">
        <v>101765650.325123</v>
      </c>
      <c r="P10" s="3">
        <v>104178560.197044</v>
      </c>
      <c r="Q10" s="3">
        <v>106265363.993431</v>
      </c>
      <c r="R10" s="3">
        <v>108038549.385878</v>
      </c>
      <c r="S10" s="3">
        <v>109515792.31527001</v>
      </c>
      <c r="T10" s="3">
        <v>110716579.17898101</v>
      </c>
      <c r="U10" s="3">
        <v>111672500.203612</v>
      </c>
      <c r="V10" s="3">
        <v>112393151.448275</v>
      </c>
      <c r="W10" s="3">
        <v>112913193.878489</v>
      </c>
      <c r="X10" s="3">
        <v>113251845.20197</v>
      </c>
      <c r="Y10" s="3">
        <v>113418023.35632101</v>
      </c>
      <c r="Z10" s="3">
        <v>113427888.10509001</v>
      </c>
      <c r="AA10" s="3">
        <v>113352987.665024</v>
      </c>
      <c r="AB10" s="3">
        <v>113206091.192118</v>
      </c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x14ac:dyDescent="0.85">
      <c r="A11" t="s">
        <v>138</v>
      </c>
      <c r="B11" s="3">
        <v>3650937.1057254001</v>
      </c>
      <c r="C11" s="3">
        <v>3925939.0235421602</v>
      </c>
      <c r="D11" s="3">
        <v>4219359.1405964997</v>
      </c>
      <c r="E11" s="3">
        <v>4532280.2181143798</v>
      </c>
      <c r="F11" s="3">
        <v>4865846.6012586504</v>
      </c>
      <c r="G11" s="3">
        <v>5221267.6504584299</v>
      </c>
      <c r="H11" s="3">
        <v>5599821.3654993996</v>
      </c>
      <c r="I11" s="3">
        <v>6002858.21270773</v>
      </c>
      <c r="J11" s="3">
        <v>6431805.1665201802</v>
      </c>
      <c r="K11" s="3">
        <v>6888172.1766048903</v>
      </c>
      <c r="L11" s="3">
        <v>7373548.0138724903</v>
      </c>
      <c r="M11" s="3">
        <v>7889617.81957334</v>
      </c>
      <c r="N11" s="3">
        <v>8438159.7297905702</v>
      </c>
      <c r="O11" s="3">
        <v>9021052.2480474599</v>
      </c>
      <c r="P11" s="3">
        <v>9640279.8459795993</v>
      </c>
      <c r="Q11" s="3">
        <v>10297938.8749026</v>
      </c>
      <c r="R11" s="3">
        <v>10996243.809081901</v>
      </c>
      <c r="S11" s="3">
        <v>11737533.8590334</v>
      </c>
      <c r="T11" s="3">
        <v>12524279.8226279</v>
      </c>
      <c r="U11" s="3">
        <v>13359091.549398299</v>
      </c>
      <c r="V11" s="3">
        <v>14244725.6698348</v>
      </c>
      <c r="W11" s="3">
        <v>15184093.7817738</v>
      </c>
      <c r="X11" s="3">
        <v>16180271.0849532</v>
      </c>
      <c r="Y11" s="3">
        <v>17236505.5669473</v>
      </c>
      <c r="Z11" s="3">
        <v>18355268.052330501</v>
      </c>
      <c r="AA11" s="3">
        <v>19521454.763661101</v>
      </c>
      <c r="AB11" s="3">
        <v>20738341.8425713</v>
      </c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85">
      <c r="A12" t="s">
        <v>139</v>
      </c>
      <c r="B12" s="3">
        <v>855.86956619</v>
      </c>
      <c r="C12" s="3">
        <v>920.33678798000005</v>
      </c>
      <c r="D12" s="3">
        <v>989.12168923000002</v>
      </c>
      <c r="E12" s="3">
        <v>1062.47809585</v>
      </c>
      <c r="F12" s="3">
        <v>1140.6742705199999</v>
      </c>
      <c r="G12" s="3">
        <v>1223.99371711</v>
      </c>
      <c r="H12" s="3">
        <v>1312.7360302500001</v>
      </c>
      <c r="I12" s="3">
        <v>1407.21779249</v>
      </c>
      <c r="J12" s="3">
        <v>1507.77352178</v>
      </c>
      <c r="K12" s="3">
        <v>1614.7571875199999</v>
      </c>
      <c r="L12" s="3">
        <v>1728.54123673</v>
      </c>
      <c r="M12" s="3">
        <v>1849.5207080099999</v>
      </c>
      <c r="N12" s="3">
        <v>1978.11244025</v>
      </c>
      <c r="O12" s="3">
        <v>2114.7568009400002</v>
      </c>
      <c r="P12" s="3">
        <v>2259.9189991100002</v>
      </c>
      <c r="Q12" s="3">
        <v>2414.0904711100002</v>
      </c>
      <c r="R12" s="3">
        <v>2577.79034426</v>
      </c>
      <c r="S12" s="3">
        <v>2751.5669871099999</v>
      </c>
      <c r="T12" s="3">
        <v>2935.9996155200001</v>
      </c>
      <c r="U12" s="3">
        <v>3131.7000424900002</v>
      </c>
      <c r="V12" s="3">
        <v>3339.3144901000001</v>
      </c>
      <c r="W12" s="3">
        <v>3559.52550858</v>
      </c>
      <c r="X12" s="3">
        <v>3793.05400048</v>
      </c>
      <c r="Y12" s="3">
        <v>4040.6613740799999</v>
      </c>
      <c r="Z12" s="3">
        <v>4302.9268514900004</v>
      </c>
      <c r="AA12" s="3">
        <v>4576.3097353399999</v>
      </c>
      <c r="AB12" s="3">
        <v>4861.5780339100002</v>
      </c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x14ac:dyDescent="0.85">
      <c r="A13" t="s">
        <v>140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x14ac:dyDescent="0.85">
      <c r="A14" t="s">
        <v>141</v>
      </c>
      <c r="B14" s="3">
        <v>0</v>
      </c>
      <c r="C14" s="3">
        <v>578510.66368</v>
      </c>
      <c r="D14" s="3">
        <v>1243495.7762559999</v>
      </c>
      <c r="E14" s="3">
        <v>2003571.0443520001</v>
      </c>
      <c r="F14" s="3">
        <v>2867830.1286399998</v>
      </c>
      <c r="G14" s="3">
        <v>3841973.10464</v>
      </c>
      <c r="H14" s="3">
        <v>4922485.9238400003</v>
      </c>
      <c r="I14" s="3">
        <v>6097981.804544</v>
      </c>
      <c r="J14" s="3">
        <v>7352627.8225919995</v>
      </c>
      <c r="K14" s="3">
        <v>8675991.5028479993</v>
      </c>
      <c r="L14" s="3">
        <v>10054889.34912</v>
      </c>
      <c r="M14" s="3">
        <v>11476586.643456001</v>
      </c>
      <c r="N14" s="3">
        <v>12929738.244096</v>
      </c>
      <c r="O14" s="3">
        <v>14399644.766208</v>
      </c>
      <c r="P14" s="3">
        <v>15874995.118079999</v>
      </c>
      <c r="Q14" s="3">
        <v>17349629.583360001</v>
      </c>
      <c r="R14" s="3">
        <v>18815074.435072001</v>
      </c>
      <c r="S14" s="3">
        <v>20264359.64928</v>
      </c>
      <c r="T14" s="3">
        <v>21691639.480319999</v>
      </c>
      <c r="U14" s="3">
        <v>23094419.709952001</v>
      </c>
      <c r="V14" s="3">
        <v>24466793.59488</v>
      </c>
      <c r="W14" s="3">
        <v>25809001.365504</v>
      </c>
      <c r="X14" s="3">
        <v>27119094.300671998</v>
      </c>
      <c r="Y14" s="3">
        <v>28393381.904383998</v>
      </c>
      <c r="Z14" s="3">
        <v>29630453.710848</v>
      </c>
      <c r="AA14" s="3">
        <v>30844674.6624</v>
      </c>
      <c r="AB14" s="3">
        <v>32036890.509312</v>
      </c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x14ac:dyDescent="0.85">
      <c r="A15" t="s">
        <v>142</v>
      </c>
      <c r="B15" s="3">
        <v>0</v>
      </c>
      <c r="C15" s="3">
        <v>3.739348E-2</v>
      </c>
      <c r="D15" s="3">
        <v>3.7513959999999999E-2</v>
      </c>
      <c r="E15" s="3">
        <v>3.7633519999999997E-2</v>
      </c>
      <c r="F15" s="3">
        <v>3.7751970000000003E-2</v>
      </c>
      <c r="G15" s="3">
        <v>3.7869130000000001E-2</v>
      </c>
      <c r="H15" s="3">
        <v>3.7984860000000002E-2</v>
      </c>
      <c r="I15" s="3">
        <v>3.8099040000000001E-2</v>
      </c>
      <c r="J15" s="3">
        <v>3.8211559999999999E-2</v>
      </c>
      <c r="K15" s="3">
        <v>3.8322189999999999E-2</v>
      </c>
      <c r="L15" s="3">
        <v>3.8431269999999997E-2</v>
      </c>
      <c r="M15" s="3">
        <v>3.8538330000000003E-2</v>
      </c>
      <c r="N15" s="3">
        <v>3.8643450000000003E-2</v>
      </c>
      <c r="O15" s="3">
        <v>3.8746599999999999E-2</v>
      </c>
      <c r="P15" s="3">
        <v>3.884775E-2</v>
      </c>
      <c r="Q15" s="3">
        <v>3.8946870000000001E-2</v>
      </c>
      <c r="R15" s="3">
        <v>3.9043950000000001E-2</v>
      </c>
      <c r="S15" s="3">
        <v>3.9138989999999999E-2</v>
      </c>
      <c r="T15" s="3">
        <v>3.9231969999999998E-2</v>
      </c>
      <c r="U15" s="3">
        <v>3.9322900000000001E-2</v>
      </c>
      <c r="V15" s="3">
        <v>3.9411790000000002E-2</v>
      </c>
      <c r="W15" s="3">
        <v>3.9498640000000002E-2</v>
      </c>
      <c r="X15" s="3">
        <v>3.9583479999999997E-2</v>
      </c>
      <c r="Y15" s="3">
        <v>3.9666319999999998E-2</v>
      </c>
      <c r="Z15" s="3">
        <v>3.9759820000000001E-2</v>
      </c>
      <c r="AA15" s="3">
        <v>4.0087980000000002E-2</v>
      </c>
      <c r="AB15" s="3">
        <v>4.0387180000000002E-2</v>
      </c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85">
      <c r="A16" t="s">
        <v>143</v>
      </c>
      <c r="B16" s="3">
        <v>0</v>
      </c>
      <c r="C16" s="3">
        <v>3.739348E-2</v>
      </c>
      <c r="D16" s="3">
        <v>3.7513959999999999E-2</v>
      </c>
      <c r="E16" s="3">
        <v>3.7633519999999997E-2</v>
      </c>
      <c r="F16" s="3">
        <v>3.7751970000000003E-2</v>
      </c>
      <c r="G16" s="3">
        <v>3.7869130000000001E-2</v>
      </c>
      <c r="H16" s="3">
        <v>3.7984860000000002E-2</v>
      </c>
      <c r="I16" s="3">
        <v>3.8099040000000001E-2</v>
      </c>
      <c r="J16" s="3">
        <v>3.8211559999999999E-2</v>
      </c>
      <c r="K16" s="3">
        <v>3.8322189999999999E-2</v>
      </c>
      <c r="L16" s="3">
        <v>3.8431269999999997E-2</v>
      </c>
      <c r="M16" s="3">
        <v>3.8538330000000003E-2</v>
      </c>
      <c r="N16" s="3">
        <v>3.8643450000000003E-2</v>
      </c>
      <c r="O16" s="3">
        <v>3.8746599999999999E-2</v>
      </c>
      <c r="P16" s="3">
        <v>3.884775E-2</v>
      </c>
      <c r="Q16" s="3">
        <v>3.8946870000000001E-2</v>
      </c>
      <c r="R16" s="3">
        <v>3.9043950000000001E-2</v>
      </c>
      <c r="S16" s="3">
        <v>3.9138989999999999E-2</v>
      </c>
      <c r="T16" s="3">
        <v>3.9231969999999998E-2</v>
      </c>
      <c r="U16" s="3">
        <v>3.9322900000000001E-2</v>
      </c>
      <c r="V16" s="3">
        <v>3.9411790000000002E-2</v>
      </c>
      <c r="W16" s="3">
        <v>3.9498640000000002E-2</v>
      </c>
      <c r="X16" s="3">
        <v>3.9583479999999997E-2</v>
      </c>
      <c r="Y16" s="3">
        <v>3.9666319999999998E-2</v>
      </c>
      <c r="Z16" s="3">
        <v>3.9759820000000001E-2</v>
      </c>
      <c r="AA16" s="3">
        <v>4.0087980000000002E-2</v>
      </c>
      <c r="AB16" s="3">
        <v>4.0387180000000002E-2</v>
      </c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85">
      <c r="A17" t="s">
        <v>144</v>
      </c>
      <c r="B17" s="3">
        <v>1</v>
      </c>
      <c r="C17" s="3">
        <v>3.739348E-2</v>
      </c>
      <c r="D17" s="3">
        <v>3.7513959999999999E-2</v>
      </c>
      <c r="E17" s="3">
        <v>3.7633519999999997E-2</v>
      </c>
      <c r="F17" s="3">
        <v>3.7751970000000003E-2</v>
      </c>
      <c r="G17" s="3">
        <v>3.7869130000000001E-2</v>
      </c>
      <c r="H17" s="3">
        <v>3.7984860000000002E-2</v>
      </c>
      <c r="I17" s="3">
        <v>3.8099040000000001E-2</v>
      </c>
      <c r="J17" s="3">
        <v>3.8211559999999999E-2</v>
      </c>
      <c r="K17" s="3">
        <v>3.8322189999999999E-2</v>
      </c>
      <c r="L17" s="3">
        <v>3.8431269999999997E-2</v>
      </c>
      <c r="M17" s="3">
        <v>3.8538330000000003E-2</v>
      </c>
      <c r="N17" s="3">
        <v>3.8643450000000003E-2</v>
      </c>
      <c r="O17" s="3">
        <v>3.8746599999999999E-2</v>
      </c>
      <c r="P17" s="3">
        <v>3.884775E-2</v>
      </c>
      <c r="Q17" s="3">
        <v>3.8946870000000001E-2</v>
      </c>
      <c r="R17" s="3">
        <v>3.9043950000000001E-2</v>
      </c>
      <c r="S17" s="3">
        <v>3.9138989999999999E-2</v>
      </c>
      <c r="T17" s="3">
        <v>3.9231969999999998E-2</v>
      </c>
      <c r="U17" s="3">
        <v>3.9322900000000001E-2</v>
      </c>
      <c r="V17" s="3">
        <v>3.9411790000000002E-2</v>
      </c>
      <c r="W17" s="3">
        <v>3.9498640000000002E-2</v>
      </c>
      <c r="X17" s="3">
        <v>3.9583479999999997E-2</v>
      </c>
      <c r="Y17" s="3">
        <v>3.9666319999999998E-2</v>
      </c>
      <c r="Z17" s="3">
        <v>3.9759820000000001E-2</v>
      </c>
      <c r="AA17" s="3">
        <v>4.0087980000000002E-2</v>
      </c>
      <c r="AB17" s="3">
        <v>4.0387180000000002E-2</v>
      </c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85">
      <c r="A18" t="s">
        <v>145</v>
      </c>
      <c r="B18" s="3">
        <v>0.96</v>
      </c>
      <c r="C18" s="3">
        <v>0.96</v>
      </c>
      <c r="D18" s="3">
        <v>0.96</v>
      </c>
      <c r="E18" s="3">
        <v>0.96</v>
      </c>
      <c r="F18" s="3">
        <v>0.96</v>
      </c>
      <c r="G18" s="3">
        <v>0.96</v>
      </c>
      <c r="H18" s="3">
        <v>0.96</v>
      </c>
      <c r="I18" s="3">
        <v>0.96</v>
      </c>
      <c r="J18" s="3">
        <v>0.96</v>
      </c>
      <c r="K18" s="3">
        <v>0.96</v>
      </c>
      <c r="L18" s="3">
        <v>0.96</v>
      </c>
      <c r="M18" s="3">
        <v>0.96</v>
      </c>
      <c r="N18" s="3">
        <v>0.96</v>
      </c>
      <c r="O18" s="3">
        <v>0.96</v>
      </c>
      <c r="P18" s="3">
        <v>0.96</v>
      </c>
      <c r="Q18" s="3">
        <v>0.96</v>
      </c>
      <c r="R18" s="3">
        <v>0.96</v>
      </c>
      <c r="S18" s="3">
        <v>0.96</v>
      </c>
      <c r="T18" s="3">
        <v>0.96</v>
      </c>
      <c r="U18" s="3">
        <v>0.96</v>
      </c>
      <c r="V18" s="3">
        <v>0.96</v>
      </c>
      <c r="W18" s="3">
        <v>0.96</v>
      </c>
      <c r="X18" s="3">
        <v>0.96</v>
      </c>
      <c r="Y18" s="3">
        <v>0.96</v>
      </c>
      <c r="Z18" s="3">
        <v>0.96</v>
      </c>
      <c r="AA18" s="3">
        <v>0.96</v>
      </c>
      <c r="AB18" s="3">
        <v>0.96</v>
      </c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x14ac:dyDescent="0.85">
      <c r="A19" t="s">
        <v>146</v>
      </c>
      <c r="B19" s="3">
        <v>0.29364122999999998</v>
      </c>
      <c r="C19" s="3">
        <v>0.29364122999999998</v>
      </c>
      <c r="D19" s="3">
        <v>0.29364122999999998</v>
      </c>
      <c r="E19" s="3">
        <v>0.29364122999999998</v>
      </c>
      <c r="F19" s="3">
        <v>0.29364122999999998</v>
      </c>
      <c r="G19" s="3">
        <v>0.29364122999999998</v>
      </c>
      <c r="H19" s="3">
        <v>0.29364122999999998</v>
      </c>
      <c r="I19" s="3">
        <v>0.29364122999999998</v>
      </c>
      <c r="J19" s="3">
        <v>0.29364122999999998</v>
      </c>
      <c r="K19" s="3">
        <v>0.29364122999999998</v>
      </c>
      <c r="L19" s="3">
        <v>0.29364122999999998</v>
      </c>
      <c r="M19" s="3">
        <v>0.29364122999999998</v>
      </c>
      <c r="N19" s="3">
        <v>0.29364122999999998</v>
      </c>
      <c r="O19" s="3">
        <v>0.29364122999999998</v>
      </c>
      <c r="P19" s="3">
        <v>0.29364122999999998</v>
      </c>
      <c r="Q19" s="3">
        <v>0.29364122999999998</v>
      </c>
      <c r="R19" s="3">
        <v>0.29364122999999998</v>
      </c>
      <c r="S19" s="3">
        <v>0.29364122999999998</v>
      </c>
      <c r="T19" s="3">
        <v>0.29364122999999998</v>
      </c>
      <c r="U19" s="3">
        <v>0.29364122999999998</v>
      </c>
      <c r="V19" s="3">
        <v>0.29364122999999998</v>
      </c>
      <c r="W19" s="3">
        <v>0.29364122999999998</v>
      </c>
      <c r="X19" s="3">
        <v>0.29364122999999998</v>
      </c>
      <c r="Y19" s="3">
        <v>0.29364122999999998</v>
      </c>
      <c r="Z19" s="3">
        <v>0.29364122999999998</v>
      </c>
      <c r="AA19" s="3">
        <v>0.29364122999999998</v>
      </c>
      <c r="AB19" s="3">
        <v>0.29364122999999998</v>
      </c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x14ac:dyDescent="0.85">
      <c r="A20" t="s">
        <v>1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x14ac:dyDescent="0.85">
      <c r="A21" t="s">
        <v>147</v>
      </c>
      <c r="B21" s="3">
        <v>5973</v>
      </c>
      <c r="C21" s="3">
        <v>6751.1615018100001</v>
      </c>
      <c r="D21" s="3">
        <v>7580.8478797099997</v>
      </c>
      <c r="E21" s="3">
        <v>8465.1135405000005</v>
      </c>
      <c r="F21" s="3">
        <v>9407.1849734299994</v>
      </c>
      <c r="G21" s="3">
        <v>10410.470471119999</v>
      </c>
      <c r="H21" s="3">
        <v>11478.570383370001</v>
      </c>
      <c r="I21" s="3">
        <v>12615.28793373</v>
      </c>
      <c r="J21" s="3">
        <v>13824.640631759999</v>
      </c>
      <c r="K21" s="3">
        <v>15110.879058390001</v>
      </c>
      <c r="L21" s="3">
        <v>16478.472981700001</v>
      </c>
      <c r="M21" s="3">
        <v>17932.164094719999</v>
      </c>
      <c r="N21" s="3">
        <v>19476.954304759998</v>
      </c>
      <c r="O21" s="3">
        <v>21118.12705277</v>
      </c>
      <c r="P21" s="3">
        <v>22861.263069569999</v>
      </c>
      <c r="Q21" s="3">
        <v>24712.257017929998</v>
      </c>
      <c r="R21" s="3">
        <v>26677.335055660002</v>
      </c>
      <c r="S21" s="3">
        <v>28763.073430879998</v>
      </c>
      <c r="T21" s="3">
        <v>30976.41778421</v>
      </c>
      <c r="U21" s="3">
        <v>33324.704089669998</v>
      </c>
      <c r="V21" s="3">
        <v>35815.680407719999</v>
      </c>
      <c r="W21" s="3">
        <v>38457.529910830002</v>
      </c>
      <c r="X21" s="3">
        <v>41258.895132029997</v>
      </c>
      <c r="Y21" s="3">
        <v>44228.903783460002</v>
      </c>
      <c r="Z21" s="3">
        <v>47374.500238640001</v>
      </c>
      <c r="AA21" s="3">
        <v>50653.256410970003</v>
      </c>
      <c r="AB21" s="3">
        <v>54074.378253770003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85">
      <c r="A22" t="s">
        <v>148</v>
      </c>
      <c r="B22" s="3">
        <v>19050580.541796699</v>
      </c>
      <c r="C22" s="3">
        <v>21532486.689655099</v>
      </c>
      <c r="D22" s="3">
        <v>24178729.536945801</v>
      </c>
      <c r="E22" s="3">
        <v>26999049.694581199</v>
      </c>
      <c r="F22" s="3">
        <v>30003738.935960501</v>
      </c>
      <c r="G22" s="3">
        <v>33203666.3973727</v>
      </c>
      <c r="H22" s="3">
        <v>36610318.561576299</v>
      </c>
      <c r="I22" s="3">
        <v>40235783.264367796</v>
      </c>
      <c r="J22" s="3">
        <v>44091703.724137902</v>
      </c>
      <c r="K22" s="3">
        <v>48187887.113300398</v>
      </c>
      <c r="L22" s="3">
        <v>52534303.7372742</v>
      </c>
      <c r="M22" s="3">
        <v>57135780.413793102</v>
      </c>
      <c r="N22" s="3">
        <v>61996126.778325103</v>
      </c>
      <c r="O22" s="3">
        <v>67122392.735632107</v>
      </c>
      <c r="P22" s="3">
        <v>72519325.136289001</v>
      </c>
      <c r="Q22" s="3">
        <v>78182970.403940797</v>
      </c>
      <c r="R22" s="3">
        <v>84108146.666666597</v>
      </c>
      <c r="S22" s="3">
        <v>90286831.619047597</v>
      </c>
      <c r="T22" s="3">
        <v>96718219.192118198</v>
      </c>
      <c r="U22" s="3">
        <v>103393026.79802901</v>
      </c>
      <c r="V22" s="3">
        <v>110308183.69786499</v>
      </c>
      <c r="W22" s="3">
        <v>117473650.60098501</v>
      </c>
      <c r="X22" s="3">
        <v>124888781.372742</v>
      </c>
      <c r="Y22" s="3">
        <v>132539181.924466</v>
      </c>
      <c r="Z22" s="3">
        <v>140402896.47290599</v>
      </c>
      <c r="AA22" s="3">
        <v>148350135.11986801</v>
      </c>
      <c r="AB22" s="3">
        <v>156392054.88341501</v>
      </c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85">
      <c r="A23" t="s">
        <v>149</v>
      </c>
      <c r="B23" s="3">
        <v>1125836.0889119401</v>
      </c>
      <c r="C23" s="3">
        <v>1272509.8377384699</v>
      </c>
      <c r="D23" s="3">
        <v>1428895.3838160799</v>
      </c>
      <c r="E23" s="3">
        <v>1595568.44477384</v>
      </c>
      <c r="F23" s="3">
        <v>1773137.1736401899</v>
      </c>
      <c r="G23" s="3">
        <v>1962243.9911167</v>
      </c>
      <c r="H23" s="3">
        <v>2163567.5182842501</v>
      </c>
      <c r="I23" s="3">
        <v>2377824.6154040098</v>
      </c>
      <c r="J23" s="3">
        <v>2605772.5329780402</v>
      </c>
      <c r="K23" s="3">
        <v>2848212.4525568602</v>
      </c>
      <c r="L23" s="3">
        <v>3105986.8697393802</v>
      </c>
      <c r="M23" s="3">
        <v>3379989.5345932101</v>
      </c>
      <c r="N23" s="3">
        <v>3671163.2443306898</v>
      </c>
      <c r="O23" s="3">
        <v>3980503.8617499098</v>
      </c>
      <c r="P23" s="3">
        <v>4309063.2850884097</v>
      </c>
      <c r="Q23" s="3">
        <v>4657952.58484146</v>
      </c>
      <c r="R23" s="3">
        <v>5028345.3141903896</v>
      </c>
      <c r="S23" s="3">
        <v>5421481.01398098</v>
      </c>
      <c r="T23" s="3">
        <v>5838668.8509424701</v>
      </c>
      <c r="U23" s="3">
        <v>6281291.5647846796</v>
      </c>
      <c r="V23" s="3">
        <v>6750809.5683823396</v>
      </c>
      <c r="W23" s="3">
        <v>7248765.2877994198</v>
      </c>
      <c r="X23" s="3">
        <v>7776787.7328433301</v>
      </c>
      <c r="Y23" s="3">
        <v>8336597.3635416301</v>
      </c>
      <c r="Z23" s="3">
        <v>8929503.1077894606</v>
      </c>
      <c r="AA23" s="3">
        <v>9547507.7998294104</v>
      </c>
      <c r="AB23" s="3">
        <v>10192346.647174399</v>
      </c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x14ac:dyDescent="0.85">
      <c r="A24" t="s">
        <v>150</v>
      </c>
      <c r="B24" s="3">
        <v>320.95624018000001</v>
      </c>
      <c r="C24" s="3">
        <v>362.77036872999997</v>
      </c>
      <c r="D24" s="3">
        <v>407.35316136</v>
      </c>
      <c r="E24" s="3">
        <v>454.86874512000003</v>
      </c>
      <c r="F24" s="3">
        <v>505.49049384</v>
      </c>
      <c r="G24" s="3">
        <v>559.40155045999995</v>
      </c>
      <c r="H24" s="3">
        <v>616.79537801000004</v>
      </c>
      <c r="I24" s="3">
        <v>677.87634086000003</v>
      </c>
      <c r="J24" s="3">
        <v>742.86031792000006</v>
      </c>
      <c r="K24" s="3">
        <v>811.97571209</v>
      </c>
      <c r="L24" s="3">
        <v>885.46270417999995</v>
      </c>
      <c r="M24" s="3">
        <v>963.57608673000004</v>
      </c>
      <c r="N24" s="3">
        <v>1046.5846348099999</v>
      </c>
      <c r="O24" s="3">
        <v>1134.7722515299999</v>
      </c>
      <c r="P24" s="3">
        <v>1228.4388147499999</v>
      </c>
      <c r="Q24" s="3">
        <v>1327.90107128</v>
      </c>
      <c r="R24" s="3">
        <v>1433.4935806799999</v>
      </c>
      <c r="S24" s="3">
        <v>1545.56971443</v>
      </c>
      <c r="T24" s="3">
        <v>1664.50269314</v>
      </c>
      <c r="U24" s="3">
        <v>1790.6867118</v>
      </c>
      <c r="V24" s="3">
        <v>1924.53810866</v>
      </c>
      <c r="W24" s="3">
        <v>2066.4966024800001</v>
      </c>
      <c r="X24" s="3">
        <v>2217.02659558</v>
      </c>
      <c r="Y24" s="3">
        <v>2376.6185611000001</v>
      </c>
      <c r="Z24" s="3">
        <v>2545.6456515700002</v>
      </c>
      <c r="AA24" s="3">
        <v>2721.82801445</v>
      </c>
      <c r="AB24" s="3">
        <v>2905.6603271700001</v>
      </c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x14ac:dyDescent="0.85">
      <c r="A25" t="s">
        <v>151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85">
      <c r="A26" t="s">
        <v>152</v>
      </c>
      <c r="B26" s="3">
        <v>0</v>
      </c>
      <c r="C26" s="3">
        <v>44493.616288800004</v>
      </c>
      <c r="D26" s="3">
        <v>99923.351155199998</v>
      </c>
      <c r="E26" s="3">
        <v>167368.31763840001</v>
      </c>
      <c r="F26" s="3">
        <v>247992.6943296</v>
      </c>
      <c r="G26" s="3">
        <v>343051.69053600001</v>
      </c>
      <c r="H26" s="3">
        <v>453898.00716480002</v>
      </c>
      <c r="I26" s="3">
        <v>581987.98365119996</v>
      </c>
      <c r="J26" s="3">
        <v>728870.52026879997</v>
      </c>
      <c r="K26" s="3">
        <v>896156.60787359998</v>
      </c>
      <c r="L26" s="3">
        <v>1085541.6683519999</v>
      </c>
      <c r="M26" s="3">
        <v>1298686.6214784</v>
      </c>
      <c r="N26" s="3">
        <v>1537267.0603392001</v>
      </c>
      <c r="O26" s="3">
        <v>1803077.1079776001</v>
      </c>
      <c r="P26" s="3">
        <v>2097902.5329024</v>
      </c>
      <c r="Q26" s="3">
        <v>2423298.666528</v>
      </c>
      <c r="R26" s="3">
        <v>2780747.553024</v>
      </c>
      <c r="S26" s="3">
        <v>3171588.6278304001</v>
      </c>
      <c r="T26" s="3">
        <v>3597363.4215167998</v>
      </c>
      <c r="U26" s="3">
        <v>4059274.0088160001</v>
      </c>
      <c r="V26" s="3">
        <v>4558702.4570880001</v>
      </c>
      <c r="W26" s="3">
        <v>5097570.9305472001</v>
      </c>
      <c r="X26" s="3">
        <v>5677401.7390464004</v>
      </c>
      <c r="Y26" s="3">
        <v>6299058.4664832</v>
      </c>
      <c r="Z26" s="3">
        <v>6962910.7216895996</v>
      </c>
      <c r="AA26" s="3">
        <v>7663576.0694399998</v>
      </c>
      <c r="AB26" s="3">
        <v>8402171.6907647997</v>
      </c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x14ac:dyDescent="0.85">
      <c r="A27" t="s">
        <v>153</v>
      </c>
      <c r="B27" s="3">
        <v>0</v>
      </c>
      <c r="C27" s="3">
        <v>1.717461E-2</v>
      </c>
      <c r="D27" s="3">
        <v>1.7413419999999999E-2</v>
      </c>
      <c r="E27" s="3">
        <v>1.7639800000000001E-2</v>
      </c>
      <c r="F27" s="3">
        <v>1.7854579999999998E-2</v>
      </c>
      <c r="G27" s="3">
        <v>1.805851E-2</v>
      </c>
      <c r="H27" s="3">
        <v>1.8252270000000001E-2</v>
      </c>
      <c r="I27" s="3">
        <v>1.843651E-2</v>
      </c>
      <c r="J27" s="3">
        <v>1.8611800000000001E-2</v>
      </c>
      <c r="K27" s="3">
        <v>1.8778639999999999E-2</v>
      </c>
      <c r="L27" s="3">
        <v>1.8937679999999998E-2</v>
      </c>
      <c r="M27" s="3">
        <v>1.908922E-2</v>
      </c>
      <c r="N27" s="3">
        <v>1.9233739999999999E-2</v>
      </c>
      <c r="O27" s="3">
        <v>1.9371639999999999E-2</v>
      </c>
      <c r="P27" s="3">
        <v>1.950329E-2</v>
      </c>
      <c r="Q27" s="3">
        <v>1.962902E-2</v>
      </c>
      <c r="R27" s="3">
        <v>1.9749160000000002E-2</v>
      </c>
      <c r="S27" s="3">
        <v>1.9864010000000001E-2</v>
      </c>
      <c r="T27" s="3">
        <v>1.9973850000000001E-2</v>
      </c>
      <c r="U27" s="3">
        <v>2.007892E-2</v>
      </c>
      <c r="V27" s="3">
        <v>2.0179490000000001E-2</v>
      </c>
      <c r="W27" s="3">
        <v>2.0275769999999999E-2</v>
      </c>
      <c r="X27" s="3">
        <v>2.0367989999999999E-2</v>
      </c>
      <c r="Y27" s="3">
        <v>2.0456330000000002E-2</v>
      </c>
      <c r="Z27" s="3">
        <v>2.054717E-2</v>
      </c>
      <c r="AA27" s="3">
        <v>2.0750660000000001E-2</v>
      </c>
      <c r="AB27" s="3">
        <v>2.0938169999999999E-2</v>
      </c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85">
      <c r="A28" t="s">
        <v>154</v>
      </c>
      <c r="B28" s="3">
        <v>0</v>
      </c>
      <c r="C28" s="3">
        <v>1.717461E-2</v>
      </c>
      <c r="D28" s="3">
        <v>1.7413419999999999E-2</v>
      </c>
      <c r="E28" s="3">
        <v>1.7639800000000001E-2</v>
      </c>
      <c r="F28" s="3">
        <v>1.7854579999999998E-2</v>
      </c>
      <c r="G28" s="3">
        <v>1.805851E-2</v>
      </c>
      <c r="H28" s="3">
        <v>1.8252270000000001E-2</v>
      </c>
      <c r="I28" s="3">
        <v>1.843651E-2</v>
      </c>
      <c r="J28" s="3">
        <v>1.8611800000000001E-2</v>
      </c>
      <c r="K28" s="3">
        <v>1.8778639999999999E-2</v>
      </c>
      <c r="L28" s="3">
        <v>1.8937679999999998E-2</v>
      </c>
      <c r="M28" s="3">
        <v>1.908922E-2</v>
      </c>
      <c r="N28" s="3">
        <v>1.9233739999999999E-2</v>
      </c>
      <c r="O28" s="3">
        <v>1.9371639999999999E-2</v>
      </c>
      <c r="P28" s="3">
        <v>1.950329E-2</v>
      </c>
      <c r="Q28" s="3">
        <v>1.962902E-2</v>
      </c>
      <c r="R28" s="3">
        <v>1.9749160000000002E-2</v>
      </c>
      <c r="S28" s="3">
        <v>1.9864010000000001E-2</v>
      </c>
      <c r="T28" s="3">
        <v>1.9973850000000001E-2</v>
      </c>
      <c r="U28" s="3">
        <v>2.007892E-2</v>
      </c>
      <c r="V28" s="3">
        <v>2.0179490000000001E-2</v>
      </c>
      <c r="W28" s="3">
        <v>2.0275769999999999E-2</v>
      </c>
      <c r="X28" s="3">
        <v>2.0367989999999999E-2</v>
      </c>
      <c r="Y28" s="3">
        <v>2.0456330000000002E-2</v>
      </c>
      <c r="Z28" s="3">
        <v>2.054717E-2</v>
      </c>
      <c r="AA28" s="3">
        <v>2.0750660000000001E-2</v>
      </c>
      <c r="AB28" s="3">
        <v>2.0938169999999999E-2</v>
      </c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85">
      <c r="A29" t="s">
        <v>155</v>
      </c>
      <c r="B29" s="3">
        <v>1</v>
      </c>
      <c r="C29" s="3">
        <v>1.717461E-2</v>
      </c>
      <c r="D29" s="3">
        <v>1.7413419999999999E-2</v>
      </c>
      <c r="E29" s="3">
        <v>1.7639800000000001E-2</v>
      </c>
      <c r="F29" s="3">
        <v>1.7854579999999998E-2</v>
      </c>
      <c r="G29" s="3">
        <v>1.805851E-2</v>
      </c>
      <c r="H29" s="3">
        <v>1.8252270000000001E-2</v>
      </c>
      <c r="I29" s="3">
        <v>1.843651E-2</v>
      </c>
      <c r="J29" s="3">
        <v>1.8611800000000001E-2</v>
      </c>
      <c r="K29" s="3">
        <v>1.8778639999999999E-2</v>
      </c>
      <c r="L29" s="3">
        <v>1.8937679999999998E-2</v>
      </c>
      <c r="M29" s="3">
        <v>1.908922E-2</v>
      </c>
      <c r="N29" s="3">
        <v>1.9233739999999999E-2</v>
      </c>
      <c r="O29" s="3">
        <v>1.9371639999999999E-2</v>
      </c>
      <c r="P29" s="3">
        <v>1.950329E-2</v>
      </c>
      <c r="Q29" s="3">
        <v>1.962902E-2</v>
      </c>
      <c r="R29" s="3">
        <v>1.9749160000000002E-2</v>
      </c>
      <c r="S29" s="3">
        <v>1.9864010000000001E-2</v>
      </c>
      <c r="T29" s="3">
        <v>1.9973850000000001E-2</v>
      </c>
      <c r="U29" s="3">
        <v>2.007892E-2</v>
      </c>
      <c r="V29" s="3">
        <v>2.0179490000000001E-2</v>
      </c>
      <c r="W29" s="3">
        <v>2.0275769999999999E-2</v>
      </c>
      <c r="X29" s="3">
        <v>2.0367989999999999E-2</v>
      </c>
      <c r="Y29" s="3">
        <v>2.0456330000000002E-2</v>
      </c>
      <c r="Z29" s="3">
        <v>2.054717E-2</v>
      </c>
      <c r="AA29" s="3">
        <v>2.0750660000000001E-2</v>
      </c>
      <c r="AB29" s="3">
        <v>2.0938169999999999E-2</v>
      </c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x14ac:dyDescent="0.85">
      <c r="A30" t="s">
        <v>156</v>
      </c>
      <c r="B30" s="3">
        <v>0.96</v>
      </c>
      <c r="C30" s="3">
        <v>0.96</v>
      </c>
      <c r="D30" s="3">
        <v>0.96</v>
      </c>
      <c r="E30" s="3">
        <v>0.96</v>
      </c>
      <c r="F30" s="3">
        <v>0.96</v>
      </c>
      <c r="G30" s="3">
        <v>0.96</v>
      </c>
      <c r="H30" s="3">
        <v>0.96</v>
      </c>
      <c r="I30" s="3">
        <v>0.96</v>
      </c>
      <c r="J30" s="3">
        <v>0.96</v>
      </c>
      <c r="K30" s="3">
        <v>0.96</v>
      </c>
      <c r="L30" s="3">
        <v>0.96</v>
      </c>
      <c r="M30" s="3">
        <v>0.96</v>
      </c>
      <c r="N30" s="3">
        <v>0.96</v>
      </c>
      <c r="O30" s="3">
        <v>0.96</v>
      </c>
      <c r="P30" s="3">
        <v>0.96</v>
      </c>
      <c r="Q30" s="3">
        <v>0.96</v>
      </c>
      <c r="R30" s="3">
        <v>0.96</v>
      </c>
      <c r="S30" s="3">
        <v>0.96</v>
      </c>
      <c r="T30" s="3">
        <v>0.96</v>
      </c>
      <c r="U30" s="3">
        <v>0.96</v>
      </c>
      <c r="V30" s="3">
        <v>0.96</v>
      </c>
      <c r="W30" s="3">
        <v>0.96</v>
      </c>
      <c r="X30" s="3">
        <v>0.96</v>
      </c>
      <c r="Y30" s="3">
        <v>0.96</v>
      </c>
      <c r="Z30" s="3">
        <v>0.96</v>
      </c>
      <c r="AA30" s="3">
        <v>0.96</v>
      </c>
      <c r="AB30" s="3">
        <v>0.96</v>
      </c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x14ac:dyDescent="0.85">
      <c r="A31" t="s">
        <v>157</v>
      </c>
      <c r="B31" s="3">
        <v>0.36384317999999999</v>
      </c>
      <c r="C31" s="3">
        <v>0.36384317999999999</v>
      </c>
      <c r="D31" s="3">
        <v>0.36384317999999999</v>
      </c>
      <c r="E31" s="3">
        <v>0.36384317999999999</v>
      </c>
      <c r="F31" s="3">
        <v>0.36384317999999999</v>
      </c>
      <c r="G31" s="3">
        <v>0.36384317999999999</v>
      </c>
      <c r="H31" s="3">
        <v>0.36384317999999999</v>
      </c>
      <c r="I31" s="3">
        <v>0.36384317999999999</v>
      </c>
      <c r="J31" s="3">
        <v>0.36384317999999999</v>
      </c>
      <c r="K31" s="3">
        <v>0.36384317999999999</v>
      </c>
      <c r="L31" s="3">
        <v>0.36384317999999999</v>
      </c>
      <c r="M31" s="3">
        <v>0.36384317999999999</v>
      </c>
      <c r="N31" s="3">
        <v>0.36384317999999999</v>
      </c>
      <c r="O31" s="3">
        <v>0.36384317999999999</v>
      </c>
      <c r="P31" s="3">
        <v>0.36384317999999999</v>
      </c>
      <c r="Q31" s="3">
        <v>0.36384317999999999</v>
      </c>
      <c r="R31" s="3">
        <v>0.36384317999999999</v>
      </c>
      <c r="S31" s="3">
        <v>0.36384317999999999</v>
      </c>
      <c r="T31" s="3">
        <v>0.36384317999999999</v>
      </c>
      <c r="U31" s="3">
        <v>0.36384317999999999</v>
      </c>
      <c r="V31" s="3">
        <v>0.36384317999999999</v>
      </c>
      <c r="W31" s="3">
        <v>0.36384317999999999</v>
      </c>
      <c r="X31" s="3">
        <v>0.36384317999999999</v>
      </c>
      <c r="Y31" s="3">
        <v>0.36384317999999999</v>
      </c>
      <c r="Z31" s="3">
        <v>0.36384317999999999</v>
      </c>
      <c r="AA31" s="3">
        <v>0.36384317999999999</v>
      </c>
      <c r="AB31" s="3">
        <v>0.36384317999999999</v>
      </c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x14ac:dyDescent="0.85">
      <c r="A32" t="s">
        <v>2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85">
      <c r="A33" t="s">
        <v>158</v>
      </c>
      <c r="B33" s="3">
        <v>2286</v>
      </c>
      <c r="C33" s="3">
        <v>3445.6396835800001</v>
      </c>
      <c r="D33" s="3">
        <v>4681.83816217</v>
      </c>
      <c r="E33" s="3">
        <v>5999.12125509</v>
      </c>
      <c r="F33" s="3">
        <v>7402.2699260500003</v>
      </c>
      <c r="G33" s="3">
        <v>8896.3346756600004</v>
      </c>
      <c r="H33" s="3">
        <v>10486.650724929999</v>
      </c>
      <c r="I33" s="3">
        <v>12178.85403373</v>
      </c>
      <c r="J33" s="3">
        <v>13978.89820286</v>
      </c>
      <c r="K33" s="3">
        <v>15893.08421327</v>
      </c>
      <c r="L33" s="3">
        <v>17928.03220048</v>
      </c>
      <c r="M33" s="3">
        <v>20090.77106304</v>
      </c>
      <c r="N33" s="3">
        <v>22388.7134596</v>
      </c>
      <c r="O33" s="3">
        <v>24829.689296460001</v>
      </c>
      <c r="P33" s="3">
        <v>27421.969084240001</v>
      </c>
      <c r="Q33" s="3">
        <v>30174.288583080001</v>
      </c>
      <c r="R33" s="3">
        <v>33095.874822029997</v>
      </c>
      <c r="S33" s="3">
        <v>36196.473604539999</v>
      </c>
      <c r="T33" s="3">
        <v>39486.378314050002</v>
      </c>
      <c r="U33" s="3">
        <v>42976.460649120003</v>
      </c>
      <c r="V33" s="3">
        <v>46678.202971749997</v>
      </c>
      <c r="W33" s="3">
        <v>50603.732508890003</v>
      </c>
      <c r="X33" s="3">
        <v>54765.85710275</v>
      </c>
      <c r="Y33" s="3">
        <v>58971.725746759999</v>
      </c>
      <c r="Z33" s="3">
        <v>59417.043014739997</v>
      </c>
      <c r="AA33" s="3">
        <v>60174.582415669996</v>
      </c>
      <c r="AB33" s="3">
        <v>60914.482063449999</v>
      </c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85">
      <c r="A34" t="s">
        <v>159</v>
      </c>
      <c r="B34" s="3">
        <v>17338346.906399202</v>
      </c>
      <c r="C34" s="3">
        <v>26133725.064039402</v>
      </c>
      <c r="D34" s="3">
        <v>35469999.665024601</v>
      </c>
      <c r="E34" s="3">
        <v>44618079.553366102</v>
      </c>
      <c r="F34" s="3">
        <v>52687488.827586196</v>
      </c>
      <c r="G34" s="3">
        <v>59489418.627257697</v>
      </c>
      <c r="H34" s="3">
        <v>64944982.949096799</v>
      </c>
      <c r="I34" s="3">
        <v>69205434.876847193</v>
      </c>
      <c r="J34" s="3">
        <v>72376618.942528695</v>
      </c>
      <c r="K34" s="3">
        <v>74435114.364531994</v>
      </c>
      <c r="L34" s="3">
        <v>75434742.239737198</v>
      </c>
      <c r="M34" s="3">
        <v>75513359.553366095</v>
      </c>
      <c r="N34" s="3">
        <v>74809782.896551698</v>
      </c>
      <c r="O34" s="3">
        <v>73560158.489326701</v>
      </c>
      <c r="P34" s="3">
        <v>71997427.467980295</v>
      </c>
      <c r="Q34" s="3">
        <v>70257060.597701102</v>
      </c>
      <c r="R34" s="3">
        <v>68449726.029556602</v>
      </c>
      <c r="S34" s="3">
        <v>66636294.765188798</v>
      </c>
      <c r="T34" s="3">
        <v>64846808.866994999</v>
      </c>
      <c r="U34" s="3">
        <v>63085740.098522097</v>
      </c>
      <c r="V34" s="3">
        <v>61354579.047619</v>
      </c>
      <c r="W34" s="3">
        <v>59614922.285714202</v>
      </c>
      <c r="X34" s="3">
        <v>57859304.078817703</v>
      </c>
      <c r="Y34" s="3">
        <v>56108144.840722397</v>
      </c>
      <c r="Z34" s="3">
        <v>54309126.857142799</v>
      </c>
      <c r="AA34" s="3">
        <v>52640327.395730697</v>
      </c>
      <c r="AB34" s="3">
        <v>51071688.400656797</v>
      </c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85">
      <c r="A35" t="s">
        <v>160</v>
      </c>
      <c r="B35" s="3">
        <v>2158220.7936741798</v>
      </c>
      <c r="C35" s="3">
        <v>3253040.7754236902</v>
      </c>
      <c r="D35" s="3">
        <v>4420140.1899452601</v>
      </c>
      <c r="E35" s="3">
        <v>5663791.8794899797</v>
      </c>
      <c r="F35" s="3">
        <v>6988509.5690251598</v>
      </c>
      <c r="G35" s="3">
        <v>8399061.4542885497</v>
      </c>
      <c r="H35" s="3">
        <v>9900484.5365421493</v>
      </c>
      <c r="I35" s="3">
        <v>11498099.745717799</v>
      </c>
      <c r="J35" s="3">
        <v>13197527.897668401</v>
      </c>
      <c r="K35" s="3">
        <v>15004717.7710787</v>
      </c>
      <c r="L35" s="3">
        <v>16925919.459638901</v>
      </c>
      <c r="M35" s="3">
        <v>18967768.971653201</v>
      </c>
      <c r="N35" s="3">
        <v>21137264.624728799</v>
      </c>
      <c r="O35" s="3">
        <v>23441798.661454901</v>
      </c>
      <c r="P35" s="3">
        <v>25889179.300568499</v>
      </c>
      <c r="Q35" s="3">
        <v>28487654.004517999</v>
      </c>
      <c r="R35" s="3">
        <v>31245934.044509798</v>
      </c>
      <c r="S35" s="3">
        <v>34173220.468503803</v>
      </c>
      <c r="T35" s="3">
        <v>37279231.2967043</v>
      </c>
      <c r="U35" s="3">
        <v>40574230.538692303</v>
      </c>
      <c r="V35" s="3">
        <v>44069058.733580597</v>
      </c>
      <c r="W35" s="3">
        <v>47775165.239816301</v>
      </c>
      <c r="X35" s="3">
        <v>51704641.987119101</v>
      </c>
      <c r="Y35" s="3">
        <v>55675417.648954503</v>
      </c>
      <c r="Z35" s="3">
        <v>56095843.277794003</v>
      </c>
      <c r="AA35" s="3">
        <v>56811038.941454902</v>
      </c>
      <c r="AB35" s="3">
        <v>57509580.850930601</v>
      </c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x14ac:dyDescent="0.85">
      <c r="A36" t="s">
        <v>161</v>
      </c>
      <c r="B36" s="3">
        <v>385.14992287000001</v>
      </c>
      <c r="C36" s="3">
        <v>580.52837197999997</v>
      </c>
      <c r="D36" s="3">
        <v>788.80560237999998</v>
      </c>
      <c r="E36" s="3">
        <v>1010.74413327</v>
      </c>
      <c r="F36" s="3">
        <v>1247.14947115</v>
      </c>
      <c r="G36" s="3">
        <v>1498.87253461</v>
      </c>
      <c r="H36" s="3">
        <v>1766.81221252</v>
      </c>
      <c r="I36" s="3">
        <v>2051.9180628499998</v>
      </c>
      <c r="J36" s="3">
        <v>2355.1931603600001</v>
      </c>
      <c r="K36" s="3">
        <v>2677.6991071100001</v>
      </c>
      <c r="L36" s="3">
        <v>3020.5512769699999</v>
      </c>
      <c r="M36" s="3">
        <v>3384.9339130600001</v>
      </c>
      <c r="N36" s="3">
        <v>3772.0959151500001</v>
      </c>
      <c r="O36" s="3">
        <v>4183.3564817699998</v>
      </c>
      <c r="P36" s="3">
        <v>4620.1090453300003</v>
      </c>
      <c r="Q36" s="3">
        <v>5083.8254244600002</v>
      </c>
      <c r="R36" s="3">
        <v>5576.0602077399999</v>
      </c>
      <c r="S36" s="3">
        <v>6098.4553879300001</v>
      </c>
      <c r="T36" s="3">
        <v>6652.7452151899997</v>
      </c>
      <c r="U36" s="3">
        <v>7240.7613753599999</v>
      </c>
      <c r="V36" s="3">
        <v>7864.4384401099996</v>
      </c>
      <c r="W36" s="3">
        <v>8525.8196292800003</v>
      </c>
      <c r="X36" s="3">
        <v>9227.0628341299998</v>
      </c>
      <c r="Y36" s="3">
        <v>9935.6761253900004</v>
      </c>
      <c r="Z36" s="3">
        <v>10010.704083140001</v>
      </c>
      <c r="AA36" s="3">
        <v>10138.33585997</v>
      </c>
      <c r="AB36" s="3">
        <v>10262.99565536</v>
      </c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85">
      <c r="A37" t="s">
        <v>162</v>
      </c>
      <c r="B37" s="3">
        <v>906098296.56531096</v>
      </c>
      <c r="C37" s="3">
        <v>1365742875.6770599</v>
      </c>
      <c r="D37" s="3">
        <v>1853654587.09266</v>
      </c>
      <c r="E37" s="3">
        <v>2331731283.1247602</v>
      </c>
      <c r="F37" s="3">
        <v>2753436883.8449998</v>
      </c>
      <c r="G37" s="3">
        <v>3108904278.6382499</v>
      </c>
      <c r="H37" s="3">
        <v>3394010901.8652</v>
      </c>
      <c r="I37" s="3">
        <v>3616661207.2935801</v>
      </c>
      <c r="J37" s="3">
        <v>3782386607.5016298</v>
      </c>
      <c r="K37" s="3">
        <v>3889963137.4576802</v>
      </c>
      <c r="L37" s="3">
        <v>3942203476.1596599</v>
      </c>
      <c r="M37" s="3">
        <v>3946312000.1351099</v>
      </c>
      <c r="N37" s="3">
        <v>3909543234.71103</v>
      </c>
      <c r="O37" s="3">
        <v>3844238130.7789502</v>
      </c>
      <c r="P37" s="3">
        <v>3762570142.2402501</v>
      </c>
      <c r="Q37" s="3">
        <v>3671618942.27455</v>
      </c>
      <c r="R37" s="3">
        <v>3577168024.7585902</v>
      </c>
      <c r="S37" s="3">
        <v>3482398495.2035298</v>
      </c>
      <c r="T37" s="3">
        <v>3388880345.3571501</v>
      </c>
      <c r="U37" s="3">
        <v>3296847268.6248698</v>
      </c>
      <c r="V37" s="3">
        <v>3206377162.8084602</v>
      </c>
      <c r="W37" s="3">
        <v>3115463072.95434</v>
      </c>
      <c r="X37" s="3">
        <v>3023714841.4028702</v>
      </c>
      <c r="Y37" s="3">
        <v>2932199634.6061401</v>
      </c>
      <c r="Z37" s="3">
        <v>2838183340.0186601</v>
      </c>
      <c r="AA37" s="3">
        <v>2750972237.5151901</v>
      </c>
      <c r="AB37" s="3">
        <v>2668995499.5346098</v>
      </c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x14ac:dyDescent="0.85">
      <c r="A38" t="s">
        <v>163</v>
      </c>
      <c r="B38" s="3">
        <v>0</v>
      </c>
      <c r="C38" s="3">
        <v>62223.809088000002</v>
      </c>
      <c r="D38" s="3">
        <v>168906.53606400001</v>
      </c>
      <c r="E38" s="3">
        <v>318703.918848</v>
      </c>
      <c r="F38" s="3">
        <v>501790.88332800003</v>
      </c>
      <c r="G38" s="3">
        <v>708214.81024000002</v>
      </c>
      <c r="H38" s="3">
        <v>927795.22483199998</v>
      </c>
      <c r="I38" s="3">
        <v>1153436.0409599999</v>
      </c>
      <c r="J38" s="3">
        <v>1378616.759296</v>
      </c>
      <c r="K38" s="3">
        <v>1595054.9341440001</v>
      </c>
      <c r="L38" s="3">
        <v>1796084.17408</v>
      </c>
      <c r="M38" s="3">
        <v>1977751.6380159999</v>
      </c>
      <c r="N38" s="3">
        <v>2137444.8399359998</v>
      </c>
      <c r="O38" s="3">
        <v>2276885.9859199999</v>
      </c>
      <c r="P38" s="3">
        <v>2399939.480064</v>
      </c>
      <c r="Q38" s="3">
        <v>2509207.11552</v>
      </c>
      <c r="R38" s="3">
        <v>2607636.0253440002</v>
      </c>
      <c r="S38" s="3">
        <v>2697211.7159679998</v>
      </c>
      <c r="T38" s="3">
        <v>2779178.1696000001</v>
      </c>
      <c r="U38" s="3">
        <v>2853908.7225600001</v>
      </c>
      <c r="V38" s="3">
        <v>2921677.3376000002</v>
      </c>
      <c r="W38" s="3">
        <v>2980777.4519039998</v>
      </c>
      <c r="X38" s="3">
        <v>3030757.3148159999</v>
      </c>
      <c r="Y38" s="3">
        <v>3072621.1873280001</v>
      </c>
      <c r="Z38" s="3">
        <v>3103411.3044480002</v>
      </c>
      <c r="AA38" s="3">
        <v>3133385.7631999999</v>
      </c>
      <c r="AB38" s="3">
        <v>3161613.9493120001</v>
      </c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x14ac:dyDescent="0.85">
      <c r="A39" t="s">
        <v>164</v>
      </c>
      <c r="B39" s="3">
        <v>0</v>
      </c>
      <c r="C39" s="3">
        <v>2.022523E-2</v>
      </c>
      <c r="D39" s="3">
        <v>2.0483560000000001E-2</v>
      </c>
      <c r="E39" s="3">
        <v>2.0726789999999998E-2</v>
      </c>
      <c r="F39" s="3">
        <v>2.0955990000000001E-2</v>
      </c>
      <c r="G39" s="3">
        <v>2.1172119999999999E-2</v>
      </c>
      <c r="H39" s="3">
        <v>2.1376079999999999E-2</v>
      </c>
      <c r="I39" s="3">
        <v>2.156868E-2</v>
      </c>
      <c r="J39" s="3">
        <v>2.175069E-2</v>
      </c>
      <c r="K39" s="3">
        <v>2.1922770000000001E-2</v>
      </c>
      <c r="L39" s="3">
        <v>2.2085629999999998E-2</v>
      </c>
      <c r="M39" s="3">
        <v>2.2239780000000001E-2</v>
      </c>
      <c r="N39" s="3">
        <v>2.2385789999999999E-2</v>
      </c>
      <c r="O39" s="3">
        <v>2.252417E-2</v>
      </c>
      <c r="P39" s="3">
        <v>2.2655379999999999E-2</v>
      </c>
      <c r="Q39" s="3">
        <v>2.2779859999999999E-2</v>
      </c>
      <c r="R39" s="3">
        <v>2.289801E-2</v>
      </c>
      <c r="S39" s="3">
        <v>2.3010200000000001E-2</v>
      </c>
      <c r="T39" s="3">
        <v>2.3116769999999998E-2</v>
      </c>
      <c r="U39" s="3">
        <v>2.3218059999999999E-2</v>
      </c>
      <c r="V39" s="3">
        <v>2.3314370000000001E-2</v>
      </c>
      <c r="W39" s="3">
        <v>2.3405970000000002E-2</v>
      </c>
      <c r="X39" s="3">
        <v>2.3493139999999999E-2</v>
      </c>
      <c r="Y39" s="3">
        <v>2.3576110000000001E-2</v>
      </c>
      <c r="Z39" s="3">
        <v>2.3644410000000001E-2</v>
      </c>
      <c r="AA39" s="3">
        <v>2.351089E-2</v>
      </c>
      <c r="AB39" s="3">
        <v>2.3397350000000001E-2</v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85">
      <c r="A40" t="s">
        <v>165</v>
      </c>
      <c r="B40" s="3">
        <v>0</v>
      </c>
      <c r="C40" s="3">
        <v>2.022523E-2</v>
      </c>
      <c r="D40" s="3">
        <v>2.0483560000000001E-2</v>
      </c>
      <c r="E40" s="3">
        <v>2.0726789999999998E-2</v>
      </c>
      <c r="F40" s="3">
        <v>2.0955990000000001E-2</v>
      </c>
      <c r="G40" s="3">
        <v>2.1172119999999999E-2</v>
      </c>
      <c r="H40" s="3">
        <v>2.1376079999999999E-2</v>
      </c>
      <c r="I40" s="3">
        <v>2.156868E-2</v>
      </c>
      <c r="J40" s="3">
        <v>2.175069E-2</v>
      </c>
      <c r="K40" s="3">
        <v>2.1922770000000001E-2</v>
      </c>
      <c r="L40" s="3">
        <v>2.2085629999999998E-2</v>
      </c>
      <c r="M40" s="3">
        <v>2.2239780000000001E-2</v>
      </c>
      <c r="N40" s="3">
        <v>2.2385789999999999E-2</v>
      </c>
      <c r="O40" s="3">
        <v>2.252417E-2</v>
      </c>
      <c r="P40" s="3">
        <v>2.2655379999999999E-2</v>
      </c>
      <c r="Q40" s="3">
        <v>2.2779859999999999E-2</v>
      </c>
      <c r="R40" s="3">
        <v>2.289801E-2</v>
      </c>
      <c r="S40" s="3">
        <v>2.3010200000000001E-2</v>
      </c>
      <c r="T40" s="3">
        <v>2.3116769999999998E-2</v>
      </c>
      <c r="U40" s="3">
        <v>2.3218059999999999E-2</v>
      </c>
      <c r="V40" s="3">
        <v>2.3314370000000001E-2</v>
      </c>
      <c r="W40" s="3">
        <v>2.3405970000000002E-2</v>
      </c>
      <c r="X40" s="3">
        <v>2.3493139999999999E-2</v>
      </c>
      <c r="Y40" s="3">
        <v>2.2662379999999999E-2</v>
      </c>
      <c r="Z40" s="3">
        <v>5.97081E-3</v>
      </c>
      <c r="AA40" s="3">
        <v>7.0101199999999999E-3</v>
      </c>
      <c r="AB40" s="3">
        <v>6.69902E-3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85">
      <c r="A41" t="s">
        <v>166</v>
      </c>
      <c r="B41" s="3">
        <v>1</v>
      </c>
      <c r="C41" s="3">
        <v>2.022523E-2</v>
      </c>
      <c r="D41" s="3">
        <v>2.0483560000000001E-2</v>
      </c>
      <c r="E41" s="3">
        <v>2.0726789999999998E-2</v>
      </c>
      <c r="F41" s="3">
        <v>2.0955990000000001E-2</v>
      </c>
      <c r="G41" s="3">
        <v>2.1172119999999999E-2</v>
      </c>
      <c r="H41" s="3">
        <v>2.1376079999999999E-2</v>
      </c>
      <c r="I41" s="3">
        <v>2.156868E-2</v>
      </c>
      <c r="J41" s="3">
        <v>2.175069E-2</v>
      </c>
      <c r="K41" s="3">
        <v>2.1922770000000001E-2</v>
      </c>
      <c r="L41" s="3">
        <v>2.2085629999999998E-2</v>
      </c>
      <c r="M41" s="3">
        <v>2.2239780000000001E-2</v>
      </c>
      <c r="N41" s="3">
        <v>2.2385789999999999E-2</v>
      </c>
      <c r="O41" s="3">
        <v>2.252417E-2</v>
      </c>
      <c r="P41" s="3">
        <v>2.2655379999999999E-2</v>
      </c>
      <c r="Q41" s="3">
        <v>2.2779859999999999E-2</v>
      </c>
      <c r="R41" s="3">
        <v>2.289801E-2</v>
      </c>
      <c r="S41" s="3">
        <v>2.3010200000000001E-2</v>
      </c>
      <c r="T41" s="3">
        <v>2.3116769999999998E-2</v>
      </c>
      <c r="U41" s="3">
        <v>2.3218059999999999E-2</v>
      </c>
      <c r="V41" s="3">
        <v>2.3314370000000001E-2</v>
      </c>
      <c r="W41" s="3">
        <v>2.3405970000000002E-2</v>
      </c>
      <c r="X41" s="3">
        <v>2.3493139999999999E-2</v>
      </c>
      <c r="Y41" s="3">
        <v>2.3576110000000001E-2</v>
      </c>
      <c r="Z41" s="3">
        <v>2.3644410000000001E-2</v>
      </c>
      <c r="AA41" s="3">
        <v>2.351089E-2</v>
      </c>
      <c r="AB41" s="3">
        <v>2.3397350000000001E-2</v>
      </c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85">
      <c r="A42" t="s">
        <v>167</v>
      </c>
      <c r="B42" s="3">
        <v>0.98333333000000001</v>
      </c>
      <c r="C42" s="3">
        <v>0.98333333000000001</v>
      </c>
      <c r="D42" s="3">
        <v>0.98333333000000001</v>
      </c>
      <c r="E42" s="3">
        <v>0.98333333000000001</v>
      </c>
      <c r="F42" s="3">
        <v>0.98333333000000001</v>
      </c>
      <c r="G42" s="3">
        <v>0.98333333000000001</v>
      </c>
      <c r="H42" s="3">
        <v>0.98333333000000001</v>
      </c>
      <c r="I42" s="3">
        <v>0.98333333000000001</v>
      </c>
      <c r="J42" s="3">
        <v>0.98333333000000001</v>
      </c>
      <c r="K42" s="3">
        <v>0.98333333000000001</v>
      </c>
      <c r="L42" s="3">
        <v>0.98333333000000001</v>
      </c>
      <c r="M42" s="3">
        <v>0.98333333000000001</v>
      </c>
      <c r="N42" s="3">
        <v>0.98333333000000001</v>
      </c>
      <c r="O42" s="3">
        <v>0.98333333000000001</v>
      </c>
      <c r="P42" s="3">
        <v>0.98333333000000001</v>
      </c>
      <c r="Q42" s="3">
        <v>0.98333333000000001</v>
      </c>
      <c r="R42" s="3">
        <v>0.98333333000000001</v>
      </c>
      <c r="S42" s="3">
        <v>0.98333333000000001</v>
      </c>
      <c r="T42" s="3">
        <v>0.98333333000000001</v>
      </c>
      <c r="U42" s="3">
        <v>0.98333333000000001</v>
      </c>
      <c r="V42" s="3">
        <v>0.98333333000000001</v>
      </c>
      <c r="W42" s="3">
        <v>0.98333333000000001</v>
      </c>
      <c r="X42" s="3">
        <v>0.98333333000000001</v>
      </c>
      <c r="Y42" s="3">
        <v>0.98333333000000001</v>
      </c>
      <c r="Z42" s="3">
        <v>0.98333333000000001</v>
      </c>
      <c r="AA42" s="3">
        <v>0.98333333000000001</v>
      </c>
      <c r="AB42" s="3">
        <v>0.98333333000000001</v>
      </c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85">
      <c r="A43" t="s">
        <v>168</v>
      </c>
      <c r="B43" s="3">
        <v>0.86522686999999998</v>
      </c>
      <c r="C43" s="3">
        <v>0.86522686999999998</v>
      </c>
      <c r="D43" s="3">
        <v>0.86522686999999998</v>
      </c>
      <c r="E43" s="3">
        <v>0.86522686999999998</v>
      </c>
      <c r="F43" s="3">
        <v>0.86522686999999998</v>
      </c>
      <c r="G43" s="3">
        <v>0.86522686999999998</v>
      </c>
      <c r="H43" s="3">
        <v>0.86522686999999998</v>
      </c>
      <c r="I43" s="3">
        <v>0.86522686999999998</v>
      </c>
      <c r="J43" s="3">
        <v>0.86522686999999998</v>
      </c>
      <c r="K43" s="3">
        <v>0.86522686999999998</v>
      </c>
      <c r="L43" s="3">
        <v>0.86522686999999998</v>
      </c>
      <c r="M43" s="3">
        <v>0.86522686999999998</v>
      </c>
      <c r="N43" s="3">
        <v>0.86522686999999998</v>
      </c>
      <c r="O43" s="3">
        <v>0.86522686999999998</v>
      </c>
      <c r="P43" s="3">
        <v>0.86522686999999998</v>
      </c>
      <c r="Q43" s="3">
        <v>0.86522686999999998</v>
      </c>
      <c r="R43" s="3">
        <v>0.86522686999999998</v>
      </c>
      <c r="S43" s="3">
        <v>0.86522686999999998</v>
      </c>
      <c r="T43" s="3">
        <v>0.86522686999999998</v>
      </c>
      <c r="U43" s="3">
        <v>0.86522686999999998</v>
      </c>
      <c r="V43" s="3">
        <v>0.86522686999999998</v>
      </c>
      <c r="W43" s="3">
        <v>0.86522686999999998</v>
      </c>
      <c r="X43" s="3">
        <v>0.86522686999999998</v>
      </c>
      <c r="Y43" s="3">
        <v>0.86522686999999998</v>
      </c>
      <c r="Z43" s="3">
        <v>0.86522686999999998</v>
      </c>
      <c r="AA43" s="3">
        <v>0.86522686999999998</v>
      </c>
      <c r="AB43" s="3">
        <v>0.86522686999999998</v>
      </c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85">
      <c r="A44" t="s">
        <v>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85">
      <c r="A45" t="s">
        <v>169</v>
      </c>
      <c r="B45" s="3">
        <v>31948</v>
      </c>
      <c r="C45" s="3">
        <v>32208.1735391</v>
      </c>
      <c r="D45" s="3">
        <v>32453.784146559999</v>
      </c>
      <c r="E45" s="3">
        <v>32683.428039869999</v>
      </c>
      <c r="F45" s="3">
        <v>32895.612342139997</v>
      </c>
      <c r="G45" s="3">
        <v>33088.74990689</v>
      </c>
      <c r="H45" s="3">
        <v>33261.153753639999</v>
      </c>
      <c r="I45" s="3">
        <v>33411.031261119999</v>
      </c>
      <c r="J45" s="3">
        <v>33537.484162180001</v>
      </c>
      <c r="K45" s="3">
        <v>33635.466979899997</v>
      </c>
      <c r="L45" s="3">
        <v>33705.85830747</v>
      </c>
      <c r="M45" s="3">
        <v>33745.367697119997</v>
      </c>
      <c r="N45" s="3">
        <v>33751.574571359997</v>
      </c>
      <c r="O45" s="3">
        <v>33721.910531200003</v>
      </c>
      <c r="P45" s="3">
        <v>33653.65017003</v>
      </c>
      <c r="Q45" s="3">
        <v>33543.901936310001</v>
      </c>
      <c r="R45" s="3">
        <v>33389.592992689999</v>
      </c>
      <c r="S45" s="3">
        <v>33187.494647560001</v>
      </c>
      <c r="T45" s="3">
        <v>32934.153571490002</v>
      </c>
      <c r="U45" s="3">
        <v>32625.908698399999</v>
      </c>
      <c r="V45" s="3">
        <v>32258.870066250001</v>
      </c>
      <c r="W45" s="3">
        <v>31828.938150499998</v>
      </c>
      <c r="X45" s="3">
        <v>31331.74687626</v>
      </c>
      <c r="Y45" s="3">
        <v>30763.001462460001</v>
      </c>
      <c r="Z45" s="3">
        <v>30118.948377829998</v>
      </c>
      <c r="AA45" s="3">
        <v>29424.104284960002</v>
      </c>
      <c r="AB45" s="3">
        <v>28671.55722947</v>
      </c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x14ac:dyDescent="0.85">
      <c r="A46" t="s">
        <v>170</v>
      </c>
      <c r="B46" s="3">
        <v>101536677.835426</v>
      </c>
      <c r="C46" s="3">
        <v>89442691.888341501</v>
      </c>
      <c r="D46" s="3">
        <v>76492586.206896499</v>
      </c>
      <c r="E46" s="3">
        <v>63613056.341543503</v>
      </c>
      <c r="F46" s="3">
        <v>51593905.937602602</v>
      </c>
      <c r="G46" s="3">
        <v>40775299.297208503</v>
      </c>
      <c r="H46" s="3">
        <v>31365294.975369401</v>
      </c>
      <c r="I46" s="3">
        <v>23380986.752052501</v>
      </c>
      <c r="J46" s="3">
        <v>16915913.812807798</v>
      </c>
      <c r="K46" s="3">
        <v>12007252.0903119</v>
      </c>
      <c r="L46" s="3">
        <v>8440754.3711001594</v>
      </c>
      <c r="M46" s="3">
        <v>6003152.6395730702</v>
      </c>
      <c r="N46" s="3">
        <v>4384485.3899835804</v>
      </c>
      <c r="O46" s="3">
        <v>3288950.3017241401</v>
      </c>
      <c r="P46" s="3">
        <v>2545621.5701970402</v>
      </c>
      <c r="Q46" s="3">
        <v>2014273.18308703</v>
      </c>
      <c r="R46" s="3">
        <v>1612465.2965927799</v>
      </c>
      <c r="S46" s="3">
        <v>1297383.79351396</v>
      </c>
      <c r="T46" s="3">
        <v>1045664.76888342</v>
      </c>
      <c r="U46" s="3">
        <v>848418.97331690998</v>
      </c>
      <c r="V46" s="3">
        <v>695603.23132183996</v>
      </c>
      <c r="W46" s="3">
        <v>581288.62777093996</v>
      </c>
      <c r="X46" s="3">
        <v>495020.90599343</v>
      </c>
      <c r="Y46" s="3">
        <v>430196.57789408998</v>
      </c>
      <c r="Z46" s="3">
        <v>392186.3128592</v>
      </c>
      <c r="AA46" s="3">
        <v>355549.23388751998</v>
      </c>
      <c r="AB46" s="3">
        <v>320927.77714491001</v>
      </c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85">
      <c r="A47" t="s">
        <v>171</v>
      </c>
      <c r="B47" s="3">
        <v>3381644.3670804002</v>
      </c>
      <c r="C47" s="3">
        <v>3409183.31734194</v>
      </c>
      <c r="D47" s="3">
        <v>3435180.8047343902</v>
      </c>
      <c r="E47" s="3">
        <v>3459488.2411390599</v>
      </c>
      <c r="F47" s="3">
        <v>3481947.6079400899</v>
      </c>
      <c r="G47" s="3">
        <v>3502390.90823721</v>
      </c>
      <c r="H47" s="3">
        <v>3520639.5778639498</v>
      </c>
      <c r="I47" s="3">
        <v>3536503.8707435699</v>
      </c>
      <c r="J47" s="3">
        <v>3549888.7067447202</v>
      </c>
      <c r="K47" s="3">
        <v>3560260.0302584302</v>
      </c>
      <c r="L47" s="3">
        <v>3567710.8389586899</v>
      </c>
      <c r="M47" s="3">
        <v>3571892.8442472201</v>
      </c>
      <c r="N47" s="3">
        <v>3572549.8318930101</v>
      </c>
      <c r="O47" s="3">
        <v>3569409.9409983801</v>
      </c>
      <c r="P47" s="3">
        <v>3562184.6916610599</v>
      </c>
      <c r="Q47" s="3">
        <v>3550568.01780478</v>
      </c>
      <c r="R47" s="3">
        <v>3534234.6645434699</v>
      </c>
      <c r="S47" s="3">
        <v>3512842.8800682402</v>
      </c>
      <c r="T47" s="3">
        <v>3486027.1350188199</v>
      </c>
      <c r="U47" s="3">
        <v>3453399.9114448102</v>
      </c>
      <c r="V47" s="3">
        <v>3414549.4631252298</v>
      </c>
      <c r="W47" s="3">
        <v>3369041.8619876201</v>
      </c>
      <c r="X47" s="3">
        <v>3316414.96603538</v>
      </c>
      <c r="Y47" s="3">
        <v>3256214.17960522</v>
      </c>
      <c r="Z47" s="3">
        <v>3188042.1974541298</v>
      </c>
      <c r="AA47" s="3">
        <v>3114494.06885025</v>
      </c>
      <c r="AB47" s="3">
        <v>3034838.1745481701</v>
      </c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85">
      <c r="A48" t="s">
        <v>172</v>
      </c>
      <c r="B48" s="3">
        <v>972.67075738000005</v>
      </c>
      <c r="C48" s="3">
        <v>980.59185394999997</v>
      </c>
      <c r="D48" s="3">
        <v>988.06957574</v>
      </c>
      <c r="E48" s="3">
        <v>995.06118397</v>
      </c>
      <c r="F48" s="3">
        <v>1001.52122735</v>
      </c>
      <c r="G48" s="3">
        <v>1007.40138452</v>
      </c>
      <c r="H48" s="3">
        <v>1012.65029463</v>
      </c>
      <c r="I48" s="3">
        <v>1017.21338054</v>
      </c>
      <c r="J48" s="3">
        <v>1021.06329412</v>
      </c>
      <c r="K48" s="3">
        <v>1024.0464236299999</v>
      </c>
      <c r="L48" s="3">
        <v>1026.1895182200001</v>
      </c>
      <c r="M48" s="3">
        <v>1027.39239877</v>
      </c>
      <c r="N48" s="3">
        <v>1027.5813697599999</v>
      </c>
      <c r="O48" s="3">
        <v>1026.6782351500001</v>
      </c>
      <c r="P48" s="3">
        <v>1024.60001876</v>
      </c>
      <c r="Q48" s="3">
        <v>1021.2586860500001</v>
      </c>
      <c r="R48" s="3">
        <v>1016.56068314</v>
      </c>
      <c r="S48" s="3">
        <v>1010.40771111</v>
      </c>
      <c r="T48" s="3">
        <v>1002.6946318400001</v>
      </c>
      <c r="U48" s="3">
        <v>993.30998259</v>
      </c>
      <c r="V48" s="3">
        <v>982.13533178</v>
      </c>
      <c r="W48" s="3">
        <v>969.04586758000005</v>
      </c>
      <c r="X48" s="3">
        <v>953.90866296000002</v>
      </c>
      <c r="Y48" s="3">
        <v>936.59296142999995</v>
      </c>
      <c r="Z48" s="3">
        <v>916.98448511000004</v>
      </c>
      <c r="AA48" s="3">
        <v>895.82965444000001</v>
      </c>
      <c r="AB48" s="3">
        <v>872.91803198000002</v>
      </c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85">
      <c r="A49" t="s">
        <v>173</v>
      </c>
      <c r="B49" s="3">
        <v>16348169971.3783</v>
      </c>
      <c r="C49" s="3">
        <v>14400947134.179899</v>
      </c>
      <c r="D49" s="3">
        <v>12315882570.902399</v>
      </c>
      <c r="E49" s="3">
        <v>10242181245.6383</v>
      </c>
      <c r="F49" s="3">
        <v>8307007494.5957098</v>
      </c>
      <c r="G49" s="3">
        <v>6565130332.7556</v>
      </c>
      <c r="H49" s="3">
        <v>5050048754.7058096</v>
      </c>
      <c r="I49" s="3">
        <v>3764514987.7824502</v>
      </c>
      <c r="J49" s="3">
        <v>2723589545.4566798</v>
      </c>
      <c r="K49" s="3">
        <v>1933258032.92256</v>
      </c>
      <c r="L49" s="3">
        <v>1359025034.96382</v>
      </c>
      <c r="M49" s="3">
        <v>966552794.59643602</v>
      </c>
      <c r="N49" s="3">
        <v>705935174.56475306</v>
      </c>
      <c r="O49" s="3">
        <v>529545773.07671702</v>
      </c>
      <c r="P49" s="3">
        <v>409864248.068479</v>
      </c>
      <c r="Q49" s="3">
        <v>324313155.28433502</v>
      </c>
      <c r="R49" s="3">
        <v>259619058.882094</v>
      </c>
      <c r="S49" s="3">
        <v>208888563.488904</v>
      </c>
      <c r="T49" s="3">
        <v>168359904.413021</v>
      </c>
      <c r="U49" s="3">
        <v>136601845.54401401</v>
      </c>
      <c r="V49" s="3">
        <v>111997359.97588199</v>
      </c>
      <c r="W49" s="3">
        <v>93591847.712718293</v>
      </c>
      <c r="X49" s="3">
        <v>79702094.682309896</v>
      </c>
      <c r="Y49" s="3">
        <v>69264889.5595842</v>
      </c>
      <c r="Z49" s="3">
        <v>63144950.571086302</v>
      </c>
      <c r="AA49" s="3">
        <v>57246104.882491402</v>
      </c>
      <c r="AB49" s="3">
        <v>51671789.555744998</v>
      </c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85">
      <c r="A50" t="s">
        <v>174</v>
      </c>
      <c r="B50" s="3">
        <v>0</v>
      </c>
      <c r="C50" s="3">
        <v>6845175.9359999998</v>
      </c>
      <c r="D50" s="3">
        <v>11708172</v>
      </c>
      <c r="E50" s="3">
        <v>14605191.9936</v>
      </c>
      <c r="F50" s="3">
        <v>15794218.886399999</v>
      </c>
      <c r="G50" s="3">
        <v>15602957.136</v>
      </c>
      <c r="H50" s="3">
        <v>14402582.784</v>
      </c>
      <c r="I50" s="3">
        <v>12525660.3024</v>
      </c>
      <c r="J50" s="3">
        <v>10356790.809599999</v>
      </c>
      <c r="K50" s="3">
        <v>8270388.1332</v>
      </c>
      <c r="L50" s="3">
        <v>6459828.9119999995</v>
      </c>
      <c r="M50" s="3">
        <v>5053727.5470000003</v>
      </c>
      <c r="N50" s="3">
        <v>4026610.548</v>
      </c>
      <c r="O50" s="3">
        <v>3272204.3445000001</v>
      </c>
      <c r="P50" s="3">
        <v>2727480.3569999998</v>
      </c>
      <c r="Q50" s="3">
        <v>2312327.7089999998</v>
      </c>
      <c r="R50" s="3">
        <v>1974468.06</v>
      </c>
      <c r="S50" s="3">
        <v>1687940.5382999999</v>
      </c>
      <c r="T50" s="3">
        <v>1440471.7134</v>
      </c>
      <c r="U50" s="3">
        <v>1233683.4158999999</v>
      </c>
      <c r="V50" s="3">
        <v>1064710.017</v>
      </c>
      <c r="W50" s="3">
        <v>934223.687775</v>
      </c>
      <c r="X50" s="3">
        <v>833462.32860000001</v>
      </c>
      <c r="Y50" s="3">
        <v>757241.73337499995</v>
      </c>
      <c r="Z50" s="3">
        <v>720349.78049999999</v>
      </c>
      <c r="AA50" s="3">
        <v>680267.16562500002</v>
      </c>
      <c r="AB50" s="3">
        <v>638587.49467499997</v>
      </c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85">
      <c r="A51" t="s">
        <v>175</v>
      </c>
      <c r="B51" s="3">
        <v>0</v>
      </c>
      <c r="C51" s="3">
        <v>8.0829369999999998E-2</v>
      </c>
      <c r="D51" s="3">
        <v>8.0032259999999994E-2</v>
      </c>
      <c r="E51" s="3">
        <v>7.9275999999999999E-2</v>
      </c>
      <c r="F51" s="3">
        <v>7.8557950000000001E-2</v>
      </c>
      <c r="G51" s="3">
        <v>7.7875680000000003E-2</v>
      </c>
      <c r="H51" s="3">
        <v>7.7226959999999997E-2</v>
      </c>
      <c r="I51" s="3">
        <v>7.6609739999999996E-2</v>
      </c>
      <c r="J51" s="3">
        <v>7.6022110000000004E-2</v>
      </c>
      <c r="K51" s="3">
        <v>7.5462520000000005E-2</v>
      </c>
      <c r="L51" s="3">
        <v>7.4928770000000006E-2</v>
      </c>
      <c r="M51" s="3">
        <v>7.4419929999999995E-2</v>
      </c>
      <c r="N51" s="3">
        <v>7.3934420000000001E-2</v>
      </c>
      <c r="O51" s="3">
        <v>7.3470939999999998E-2</v>
      </c>
      <c r="P51" s="3">
        <v>7.3028289999999996E-2</v>
      </c>
      <c r="Q51" s="3">
        <v>7.2605340000000004E-2</v>
      </c>
      <c r="R51" s="3">
        <v>7.2201039999999994E-2</v>
      </c>
      <c r="S51" s="3">
        <v>7.1814409999999995E-2</v>
      </c>
      <c r="T51" s="3">
        <v>7.1444540000000001E-2</v>
      </c>
      <c r="U51" s="3">
        <v>7.1090570000000006E-2</v>
      </c>
      <c r="V51" s="3">
        <v>7.0751690000000006E-2</v>
      </c>
      <c r="W51" s="3">
        <v>7.0427149999999994E-2</v>
      </c>
      <c r="X51" s="3">
        <v>7.0116230000000002E-2</v>
      </c>
      <c r="Y51" s="3">
        <v>6.9818279999999996E-2</v>
      </c>
      <c r="Z51" s="3">
        <v>6.9535760000000002E-2</v>
      </c>
      <c r="AA51" s="3">
        <v>6.931756E-2</v>
      </c>
      <c r="AB51" s="3">
        <v>6.9102269999999993E-2</v>
      </c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85">
      <c r="A52" t="s">
        <v>176</v>
      </c>
      <c r="B52" s="3">
        <v>0</v>
      </c>
      <c r="C52" s="3">
        <v>1.980703E-2</v>
      </c>
      <c r="D52" s="3">
        <v>1.8460239999999999E-2</v>
      </c>
      <c r="E52" s="3">
        <v>1.7185180000000001E-2</v>
      </c>
      <c r="F52" s="3">
        <v>1.5976939999999999E-2</v>
      </c>
      <c r="G52" s="3">
        <v>1.483105E-2</v>
      </c>
      <c r="H52" s="3">
        <v>1.3743399999999999E-2</v>
      </c>
      <c r="I52" s="3">
        <v>1.2710249999999999E-2</v>
      </c>
      <c r="J52" s="3">
        <v>1.1739080000000001E-2</v>
      </c>
      <c r="K52" s="3">
        <v>1.0783859999999999E-2</v>
      </c>
      <c r="L52" s="3">
        <v>9.9047300000000005E-3</v>
      </c>
      <c r="M52" s="3">
        <v>9.0577999999999995E-3</v>
      </c>
      <c r="N52" s="3">
        <v>8.2506699999999999E-3</v>
      </c>
      <c r="O52" s="3">
        <v>7.4810500000000004E-3</v>
      </c>
      <c r="P52" s="3">
        <v>6.7467999999999998E-3</v>
      </c>
      <c r="Q52" s="3">
        <v>6.0459299999999997E-3</v>
      </c>
      <c r="R52" s="3">
        <v>5.3765699999999998E-3</v>
      </c>
      <c r="S52" s="3">
        <v>4.7371899999999996E-3</v>
      </c>
      <c r="T52" s="3">
        <v>4.1259900000000004E-3</v>
      </c>
      <c r="U52" s="3">
        <v>3.54149E-3</v>
      </c>
      <c r="V52" s="3">
        <v>2.98226E-3</v>
      </c>
      <c r="W52" s="3">
        <v>2.4470899999999999E-3</v>
      </c>
      <c r="X52" s="3">
        <v>1.9346700000000001E-3</v>
      </c>
      <c r="Y52" s="3">
        <v>1.4453199999999999E-3</v>
      </c>
      <c r="Z52" s="3">
        <v>9.8200999999999996E-4</v>
      </c>
      <c r="AA52" s="3">
        <v>6.6456999999999996E-4</v>
      </c>
      <c r="AB52" s="3">
        <v>3.388E-4</v>
      </c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85">
      <c r="A53" t="s">
        <v>177</v>
      </c>
      <c r="B53" s="3">
        <v>1</v>
      </c>
      <c r="C53" s="3">
        <v>8.0829369999999998E-2</v>
      </c>
      <c r="D53" s="3">
        <v>8.0032259999999994E-2</v>
      </c>
      <c r="E53" s="3">
        <v>7.9275999999999999E-2</v>
      </c>
      <c r="F53" s="3">
        <v>7.8557950000000001E-2</v>
      </c>
      <c r="G53" s="3">
        <v>7.7875680000000003E-2</v>
      </c>
      <c r="H53" s="3">
        <v>7.7226959999999997E-2</v>
      </c>
      <c r="I53" s="3">
        <v>7.6609739999999996E-2</v>
      </c>
      <c r="J53" s="3">
        <v>7.6022110000000004E-2</v>
      </c>
      <c r="K53" s="3">
        <v>7.5462520000000005E-2</v>
      </c>
      <c r="L53" s="3">
        <v>7.4928770000000006E-2</v>
      </c>
      <c r="M53" s="3">
        <v>7.4419929999999995E-2</v>
      </c>
      <c r="N53" s="3">
        <v>7.3934420000000001E-2</v>
      </c>
      <c r="O53" s="3">
        <v>7.3470939999999998E-2</v>
      </c>
      <c r="P53" s="3">
        <v>7.3028289999999996E-2</v>
      </c>
      <c r="Q53" s="3">
        <v>7.2605340000000004E-2</v>
      </c>
      <c r="R53" s="3">
        <v>7.2201039999999994E-2</v>
      </c>
      <c r="S53" s="3">
        <v>7.1814409999999995E-2</v>
      </c>
      <c r="T53" s="3">
        <v>7.1444540000000001E-2</v>
      </c>
      <c r="U53" s="3">
        <v>7.1090570000000006E-2</v>
      </c>
      <c r="V53" s="3">
        <v>7.0751690000000006E-2</v>
      </c>
      <c r="W53" s="3">
        <v>7.0427149999999994E-2</v>
      </c>
      <c r="X53" s="3">
        <v>7.0116230000000002E-2</v>
      </c>
      <c r="Y53" s="3">
        <v>6.9818279999999996E-2</v>
      </c>
      <c r="Z53" s="3">
        <v>6.9535760000000002E-2</v>
      </c>
      <c r="AA53" s="3">
        <v>6.931756E-2</v>
      </c>
      <c r="AB53" s="3">
        <v>6.9102269999999993E-2</v>
      </c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85">
      <c r="A54" t="s">
        <v>178</v>
      </c>
      <c r="B54" s="3">
        <v>0.97142857000000005</v>
      </c>
      <c r="C54" s="3">
        <v>0.97142857000000005</v>
      </c>
      <c r="D54" s="3">
        <v>0.97142857000000005</v>
      </c>
      <c r="E54" s="3">
        <v>0.97142857000000005</v>
      </c>
      <c r="F54" s="3">
        <v>0.97142857000000005</v>
      </c>
      <c r="G54" s="3">
        <v>0.97142857000000005</v>
      </c>
      <c r="H54" s="3">
        <v>0.97142857000000005</v>
      </c>
      <c r="I54" s="3">
        <v>0.97142857000000005</v>
      </c>
      <c r="J54" s="3">
        <v>0.97142857000000005</v>
      </c>
      <c r="K54" s="3">
        <v>0.97142857000000005</v>
      </c>
      <c r="L54" s="3">
        <v>0.97142857000000005</v>
      </c>
      <c r="M54" s="3">
        <v>0.97142857000000005</v>
      </c>
      <c r="N54" s="3">
        <v>0.97142857000000005</v>
      </c>
      <c r="O54" s="3">
        <v>0.97142857000000005</v>
      </c>
      <c r="P54" s="3">
        <v>0.97142857000000005</v>
      </c>
      <c r="Q54" s="3">
        <v>0.97142857000000005</v>
      </c>
      <c r="R54" s="3">
        <v>0.97142857000000005</v>
      </c>
      <c r="S54" s="3">
        <v>0.97142857000000005</v>
      </c>
      <c r="T54" s="3">
        <v>0.97142857000000005</v>
      </c>
      <c r="U54" s="3">
        <v>0.97142857000000005</v>
      </c>
      <c r="V54" s="3">
        <v>0.97142857000000005</v>
      </c>
      <c r="W54" s="3">
        <v>0.97142857000000005</v>
      </c>
      <c r="X54" s="3">
        <v>0.97142857000000005</v>
      </c>
      <c r="Y54" s="3">
        <v>0.97142857000000005</v>
      </c>
      <c r="Z54" s="3">
        <v>0.97142857000000005</v>
      </c>
      <c r="AA54" s="3">
        <v>0.97142857000000005</v>
      </c>
      <c r="AB54" s="3">
        <v>0.97142857000000005</v>
      </c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85">
      <c r="A55" t="s">
        <v>179</v>
      </c>
      <c r="B55" s="3">
        <v>0.36255826000000002</v>
      </c>
      <c r="C55" s="3">
        <v>0.36255826000000002</v>
      </c>
      <c r="D55" s="3">
        <v>0.36255826000000002</v>
      </c>
      <c r="E55" s="3">
        <v>0.36255826000000002</v>
      </c>
      <c r="F55" s="3">
        <v>0.36255826000000002</v>
      </c>
      <c r="G55" s="3">
        <v>0.36255826000000002</v>
      </c>
      <c r="H55" s="3">
        <v>0.36255826000000002</v>
      </c>
      <c r="I55" s="3">
        <v>0.36255826000000002</v>
      </c>
      <c r="J55" s="3">
        <v>0.36255826000000002</v>
      </c>
      <c r="K55" s="3">
        <v>0.36255826000000002</v>
      </c>
      <c r="L55" s="3">
        <v>0.36255826000000002</v>
      </c>
      <c r="M55" s="3">
        <v>0.36255826000000002</v>
      </c>
      <c r="N55" s="3">
        <v>0.36255826000000002</v>
      </c>
      <c r="O55" s="3">
        <v>0.36255826000000002</v>
      </c>
      <c r="P55" s="3">
        <v>0.36255826000000002</v>
      </c>
      <c r="Q55" s="3">
        <v>0.36255826000000002</v>
      </c>
      <c r="R55" s="3">
        <v>0.36255826000000002</v>
      </c>
      <c r="S55" s="3">
        <v>0.36255826000000002</v>
      </c>
      <c r="T55" s="3">
        <v>0.36255826000000002</v>
      </c>
      <c r="U55" s="3">
        <v>0.36255826000000002</v>
      </c>
      <c r="V55" s="3">
        <v>0.36255826000000002</v>
      </c>
      <c r="W55" s="3">
        <v>0.36255826000000002</v>
      </c>
      <c r="X55" s="3">
        <v>0.36255826000000002</v>
      </c>
      <c r="Y55" s="3">
        <v>0.36255826000000002</v>
      </c>
      <c r="Z55" s="3">
        <v>0.36255826000000002</v>
      </c>
      <c r="AA55" s="3">
        <v>0.36255826000000002</v>
      </c>
      <c r="AB55" s="3">
        <v>0.36255826000000002</v>
      </c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85">
      <c r="A56" t="s">
        <v>4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85">
      <c r="A57" t="s">
        <v>180</v>
      </c>
      <c r="B57" s="3">
        <v>1821</v>
      </c>
      <c r="C57" s="3">
        <v>2162.37264452</v>
      </c>
      <c r="D57" s="3">
        <v>2526.29275762</v>
      </c>
      <c r="E57" s="3">
        <v>2914.0961671</v>
      </c>
      <c r="F57" s="3">
        <v>3327.1939187100002</v>
      </c>
      <c r="G57" s="3">
        <v>3767.0765274400001</v>
      </c>
      <c r="H57" s="3">
        <v>4235.3184616899998</v>
      </c>
      <c r="I57" s="3">
        <v>4733.5828733099997</v>
      </c>
      <c r="J57" s="3">
        <v>5263.6265879399998</v>
      </c>
      <c r="K57" s="3">
        <v>5827.3086168500004</v>
      </c>
      <c r="L57" s="3">
        <v>6426.5828946700003</v>
      </c>
      <c r="M57" s="3">
        <v>7063.5231264499998</v>
      </c>
      <c r="N57" s="3">
        <v>7740.3164755999996</v>
      </c>
      <c r="O57" s="3">
        <v>8459.2731807399996</v>
      </c>
      <c r="P57" s="3">
        <v>9222.8334487600005</v>
      </c>
      <c r="Q57" s="3">
        <v>10033.574728129999</v>
      </c>
      <c r="R57" s="3">
        <v>10894.21938783</v>
      </c>
      <c r="S57" s="3">
        <v>11807.642840590001</v>
      </c>
      <c r="T57" s="3">
        <v>12776.86399756</v>
      </c>
      <c r="U57" s="3">
        <v>13805.097919760001</v>
      </c>
      <c r="V57" s="3">
        <v>14895.771366139999</v>
      </c>
      <c r="W57" s="3">
        <v>16052.43372879</v>
      </c>
      <c r="X57" s="3">
        <v>17278.861922529999</v>
      </c>
      <c r="Y57" s="3">
        <v>18578.768658479999</v>
      </c>
      <c r="Z57" s="3">
        <v>19955.753709870001</v>
      </c>
      <c r="AA57" s="3">
        <v>21391.017512130002</v>
      </c>
      <c r="AB57" s="3">
        <v>22887.872949150002</v>
      </c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x14ac:dyDescent="0.85">
      <c r="A58" t="s">
        <v>181</v>
      </c>
      <c r="B58" s="3">
        <v>5020348.23511275</v>
      </c>
      <c r="C58" s="3">
        <v>5961484.5517241396</v>
      </c>
      <c r="D58" s="3">
        <v>6881101.2857142799</v>
      </c>
      <c r="E58" s="3">
        <v>7558903.7274219999</v>
      </c>
      <c r="F58" s="3">
        <v>8075841.83251232</v>
      </c>
      <c r="G58" s="3">
        <v>8331469.6518883398</v>
      </c>
      <c r="H58" s="3">
        <v>8347910.8998357998</v>
      </c>
      <c r="I58" s="3">
        <v>8118774.6009852197</v>
      </c>
      <c r="J58" s="3">
        <v>7571986.3546797996</v>
      </c>
      <c r="K58" s="3">
        <v>6706843.2495894898</v>
      </c>
      <c r="L58" s="3">
        <v>5713523.9835796403</v>
      </c>
      <c r="M58" s="3">
        <v>4684820.8489326797</v>
      </c>
      <c r="N58" s="3">
        <v>3792858.7577996701</v>
      </c>
      <c r="O58" s="3">
        <v>3117877.7573891599</v>
      </c>
      <c r="P58" s="3">
        <v>2591197.0533661698</v>
      </c>
      <c r="Q58" s="3">
        <v>2189112.7803776702</v>
      </c>
      <c r="R58" s="3">
        <v>1878058.9232348099</v>
      </c>
      <c r="S58" s="3">
        <v>1632377.7190065701</v>
      </c>
      <c r="T58" s="3">
        <v>1428797.4248768501</v>
      </c>
      <c r="U58" s="3">
        <v>1251498.4376026299</v>
      </c>
      <c r="V58" s="3">
        <v>1104696.02606732</v>
      </c>
      <c r="W58" s="3">
        <v>990285.31198686</v>
      </c>
      <c r="X58" s="3">
        <v>909848.04577176005</v>
      </c>
      <c r="Y58" s="3">
        <v>857335.11165845999</v>
      </c>
      <c r="Z58" s="3">
        <v>887850.07984400995</v>
      </c>
      <c r="AA58" s="3">
        <v>909352.44930213003</v>
      </c>
      <c r="AB58" s="3">
        <v>929749.67261905002</v>
      </c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85">
      <c r="A59" t="s">
        <v>182</v>
      </c>
      <c r="B59" s="3">
        <v>911120.86995328998</v>
      </c>
      <c r="C59" s="3">
        <v>1081923.5832159</v>
      </c>
      <c r="D59" s="3">
        <v>1264007.7183306101</v>
      </c>
      <c r="E59" s="3">
        <v>1458041.6446457</v>
      </c>
      <c r="F59" s="3">
        <v>1664731.36612727</v>
      </c>
      <c r="G59" s="3">
        <v>1884822.6484679901</v>
      </c>
      <c r="H59" s="3">
        <v>2119103.2626811601</v>
      </c>
      <c r="I59" s="3">
        <v>2368405.3517446001</v>
      </c>
      <c r="J59" s="3">
        <v>2633607.92746446</v>
      </c>
      <c r="K59" s="3">
        <v>2915641.1293059699</v>
      </c>
      <c r="L59" s="3">
        <v>3215482.5907833301</v>
      </c>
      <c r="M59" s="3">
        <v>3534169.8714463599</v>
      </c>
      <c r="N59" s="3">
        <v>3872797.2987172902</v>
      </c>
      <c r="O59" s="3">
        <v>4232520.7795751803</v>
      </c>
      <c r="P59" s="3">
        <v>4614561.24945975</v>
      </c>
      <c r="Q59" s="3">
        <v>5020208.3113863897</v>
      </c>
      <c r="R59" s="3">
        <v>5450824.0780373299</v>
      </c>
      <c r="S59" s="3">
        <v>5907847.2361442</v>
      </c>
      <c r="T59" s="3">
        <v>6392788.27058239</v>
      </c>
      <c r="U59" s="3">
        <v>6907255.8080396699</v>
      </c>
      <c r="V59" s="3">
        <v>7452964.3963460196</v>
      </c>
      <c r="W59" s="3">
        <v>8031689.9417057503</v>
      </c>
      <c r="X59" s="3">
        <v>8645322.1892677695</v>
      </c>
      <c r="Y59" s="3">
        <v>9295718.7604501192</v>
      </c>
      <c r="Z59" s="3">
        <v>9984680.7691998109</v>
      </c>
      <c r="AA59" s="3">
        <v>10702802.0235266</v>
      </c>
      <c r="AB59" s="3">
        <v>11451740.0948973</v>
      </c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85">
      <c r="A60" t="s">
        <v>183</v>
      </c>
      <c r="B60" s="3">
        <v>289.76101268000002</v>
      </c>
      <c r="C60" s="3">
        <v>344.08088263000002</v>
      </c>
      <c r="D60" s="3">
        <v>401.98854901999999</v>
      </c>
      <c r="E60" s="3">
        <v>463.69657135</v>
      </c>
      <c r="F60" s="3">
        <v>529.42947790000005</v>
      </c>
      <c r="G60" s="3">
        <v>599.42444230000001</v>
      </c>
      <c r="H60" s="3">
        <v>673.93199695999999</v>
      </c>
      <c r="I60" s="3">
        <v>753.21678581000003</v>
      </c>
      <c r="J60" s="3">
        <v>837.55835831000002</v>
      </c>
      <c r="K60" s="3">
        <v>927.25252389000002</v>
      </c>
      <c r="L60" s="3">
        <v>1022.6101963900001</v>
      </c>
      <c r="M60" s="3">
        <v>1123.96134772</v>
      </c>
      <c r="N60" s="3">
        <v>1231.6540035200001</v>
      </c>
      <c r="O60" s="3">
        <v>1346.0557733999999</v>
      </c>
      <c r="P60" s="3">
        <v>1467.55494776</v>
      </c>
      <c r="Q60" s="3">
        <v>1596.5616551400001</v>
      </c>
      <c r="R60" s="3">
        <v>1733.50908411</v>
      </c>
      <c r="S60" s="3">
        <v>1878.8547758499999</v>
      </c>
      <c r="T60" s="3">
        <v>2033.0791053200001</v>
      </c>
      <c r="U60" s="3">
        <v>2196.69365917</v>
      </c>
      <c r="V60" s="3">
        <v>2370.2437098700002</v>
      </c>
      <c r="W60" s="3">
        <v>2554.2940434900001</v>
      </c>
      <c r="X60" s="3">
        <v>2749.44564997</v>
      </c>
      <c r="Y60" s="3">
        <v>2956.2893030199998</v>
      </c>
      <c r="Z60" s="3">
        <v>3175.3978054499999</v>
      </c>
      <c r="AA60" s="3">
        <v>3403.7797344999999</v>
      </c>
      <c r="AB60" s="3">
        <v>3641.96224261</v>
      </c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85">
      <c r="A61" t="s">
        <v>184</v>
      </c>
      <c r="B61" s="3">
        <v>584608521.64497495</v>
      </c>
      <c r="C61" s="3">
        <v>694201777.91999996</v>
      </c>
      <c r="D61" s="3">
        <v>801289126.08000004</v>
      </c>
      <c r="E61" s="3">
        <v>880217731.20000005</v>
      </c>
      <c r="F61" s="3">
        <v>940414037.75999999</v>
      </c>
      <c r="G61" s="3">
        <v>970181335.67999995</v>
      </c>
      <c r="H61" s="3">
        <v>972095882.88</v>
      </c>
      <c r="I61" s="3">
        <v>945413464.32000005</v>
      </c>
      <c r="J61" s="3">
        <v>881741174.39999998</v>
      </c>
      <c r="K61" s="3">
        <v>780997160.63999999</v>
      </c>
      <c r="L61" s="3">
        <v>665327314.55999994</v>
      </c>
      <c r="M61" s="3">
        <v>545537094.72000003</v>
      </c>
      <c r="N61" s="3">
        <v>441670068.95999998</v>
      </c>
      <c r="O61" s="3">
        <v>363070014.48000002</v>
      </c>
      <c r="P61" s="3">
        <v>301739203.68000001</v>
      </c>
      <c r="Q61" s="3">
        <v>254917373.52000001</v>
      </c>
      <c r="R61" s="3">
        <v>218695835.28</v>
      </c>
      <c r="S61" s="3">
        <v>190086798.84</v>
      </c>
      <c r="T61" s="3">
        <v>166380320.88</v>
      </c>
      <c r="U61" s="3">
        <v>145734243.36000001</v>
      </c>
      <c r="V61" s="3">
        <v>128639425.08</v>
      </c>
      <c r="W61" s="3">
        <v>115316548.8</v>
      </c>
      <c r="X61" s="3">
        <v>105949805.88</v>
      </c>
      <c r="Y61" s="3">
        <v>99834790.079999998</v>
      </c>
      <c r="Z61" s="3">
        <v>103388191.08</v>
      </c>
      <c r="AA61" s="3">
        <v>105892094.76000001</v>
      </c>
      <c r="AB61" s="3">
        <v>108267306.59999999</v>
      </c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85">
      <c r="A62" t="s">
        <v>185</v>
      </c>
      <c r="B62" s="3">
        <v>0</v>
      </c>
      <c r="C62" s="3">
        <v>874968.58108799998</v>
      </c>
      <c r="D62" s="3">
        <v>2019881.9190239999</v>
      </c>
      <c r="E62" s="3">
        <v>3328266.5810400001</v>
      </c>
      <c r="F62" s="3">
        <v>4741173.3154560002</v>
      </c>
      <c r="G62" s="3">
        <v>6114059.4397600004</v>
      </c>
      <c r="H62" s="3">
        <v>7351349.8441920001</v>
      </c>
      <c r="I62" s="3">
        <v>8341162.0743359998</v>
      </c>
      <c r="J62" s="3">
        <v>8890738.6732800007</v>
      </c>
      <c r="K62" s="3">
        <v>8859285.5750639997</v>
      </c>
      <c r="L62" s="3">
        <v>8385753.4638400003</v>
      </c>
      <c r="M62" s="3">
        <v>7563515.6256879997</v>
      </c>
      <c r="N62" s="3">
        <v>6680145.9605280003</v>
      </c>
      <c r="O62" s="3">
        <v>5948952.0937860003</v>
      </c>
      <c r="P62" s="3">
        <v>5324348.9691279996</v>
      </c>
      <c r="Q62" s="3">
        <v>4819449.4676700002</v>
      </c>
      <c r="R62" s="3">
        <v>4410290.8582720002</v>
      </c>
      <c r="S62" s="3">
        <v>4072936.2747670002</v>
      </c>
      <c r="T62" s="3">
        <v>3774689.207676</v>
      </c>
      <c r="U62" s="3">
        <v>3489972.0448759999</v>
      </c>
      <c r="V62" s="3">
        <v>3242730.2497399999</v>
      </c>
      <c r="W62" s="3">
        <v>3052232.8897199999</v>
      </c>
      <c r="X62" s="3">
        <v>2937849.7633540002</v>
      </c>
      <c r="Y62" s="3">
        <v>2894119.6495759999</v>
      </c>
      <c r="Z62" s="3">
        <v>3127439.4872880001</v>
      </c>
      <c r="AA62" s="3">
        <v>3336647.1697249999</v>
      </c>
      <c r="AB62" s="3">
        <v>3547949.4014900001</v>
      </c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85">
      <c r="A63" t="s">
        <v>186</v>
      </c>
      <c r="B63" s="3">
        <v>0</v>
      </c>
      <c r="C63" s="3">
        <v>6.6430400000000002E-3</v>
      </c>
      <c r="D63" s="3">
        <v>6.7406599999999999E-3</v>
      </c>
      <c r="E63" s="3">
        <v>6.8328499999999997E-3</v>
      </c>
      <c r="F63" s="3">
        <v>6.9199800000000001E-3</v>
      </c>
      <c r="G63" s="3">
        <v>7.0023899999999998E-3</v>
      </c>
      <c r="H63" s="3">
        <v>7.0803999999999997E-3</v>
      </c>
      <c r="I63" s="3">
        <v>7.1542899999999998E-3</v>
      </c>
      <c r="J63" s="3">
        <v>7.2243200000000002E-3</v>
      </c>
      <c r="K63" s="3">
        <v>7.2907299999999996E-3</v>
      </c>
      <c r="L63" s="3">
        <v>7.3537899999999998E-3</v>
      </c>
      <c r="M63" s="3">
        <v>7.4136499999999999E-3</v>
      </c>
      <c r="N63" s="3">
        <v>7.4705400000000003E-3</v>
      </c>
      <c r="O63" s="3">
        <v>7.5246100000000002E-3</v>
      </c>
      <c r="P63" s="3">
        <v>7.57604E-3</v>
      </c>
      <c r="Q63" s="3">
        <v>7.6249899999999999E-3</v>
      </c>
      <c r="R63" s="3">
        <v>7.6715899999999998E-3</v>
      </c>
      <c r="S63" s="3">
        <v>7.7159799999999999E-3</v>
      </c>
      <c r="T63" s="3">
        <v>7.7582800000000002E-3</v>
      </c>
      <c r="U63" s="3">
        <v>7.7986100000000001E-3</v>
      </c>
      <c r="V63" s="3">
        <v>7.8370699999999998E-3</v>
      </c>
      <c r="W63" s="3">
        <v>7.8737600000000005E-3</v>
      </c>
      <c r="X63" s="3">
        <v>7.9087900000000006E-3</v>
      </c>
      <c r="Y63" s="3">
        <v>7.9422299999999998E-3</v>
      </c>
      <c r="Z63" s="3">
        <v>7.9760000000000005E-3</v>
      </c>
      <c r="AA63" s="3">
        <v>8.0433299999999996E-3</v>
      </c>
      <c r="AB63" s="3">
        <v>8.1055999999999993E-3</v>
      </c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85">
      <c r="A64" t="s">
        <v>187</v>
      </c>
      <c r="B64" s="3">
        <v>0</v>
      </c>
      <c r="C64" s="3">
        <v>6.6430400000000002E-3</v>
      </c>
      <c r="D64" s="3">
        <v>6.7406599999999999E-3</v>
      </c>
      <c r="E64" s="3">
        <v>6.8328499999999997E-3</v>
      </c>
      <c r="F64" s="3">
        <v>6.9199800000000001E-3</v>
      </c>
      <c r="G64" s="3">
        <v>7.0023899999999998E-3</v>
      </c>
      <c r="H64" s="3">
        <v>7.0803999999999997E-3</v>
      </c>
      <c r="I64" s="3">
        <v>7.1542899999999998E-3</v>
      </c>
      <c r="J64" s="3">
        <v>7.2243200000000002E-3</v>
      </c>
      <c r="K64" s="3">
        <v>7.2907299999999996E-3</v>
      </c>
      <c r="L64" s="3">
        <v>7.3537899999999998E-3</v>
      </c>
      <c r="M64" s="3">
        <v>7.4136499999999999E-3</v>
      </c>
      <c r="N64" s="3">
        <v>7.4705400000000003E-3</v>
      </c>
      <c r="O64" s="3">
        <v>7.5246100000000002E-3</v>
      </c>
      <c r="P64" s="3">
        <v>7.57604E-3</v>
      </c>
      <c r="Q64" s="3">
        <v>7.6249899999999999E-3</v>
      </c>
      <c r="R64" s="3">
        <v>7.6715899999999998E-3</v>
      </c>
      <c r="S64" s="3">
        <v>7.7159799999999999E-3</v>
      </c>
      <c r="T64" s="3">
        <v>7.7581799999999999E-3</v>
      </c>
      <c r="U64" s="3">
        <v>7.7984500000000002E-3</v>
      </c>
      <c r="V64" s="3">
        <v>7.8370699999999998E-3</v>
      </c>
      <c r="W64" s="3">
        <v>7.8737600000000005E-3</v>
      </c>
      <c r="X64" s="3">
        <v>7.9087800000000007E-3</v>
      </c>
      <c r="Y64" s="3">
        <v>7.9409900000000002E-3</v>
      </c>
      <c r="Z64" s="3">
        <v>7.9759900000000005E-3</v>
      </c>
      <c r="AA64" s="3">
        <v>8.0433099999999997E-3</v>
      </c>
      <c r="AB64" s="3">
        <v>8.10285E-3</v>
      </c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85">
      <c r="A65" t="s">
        <v>188</v>
      </c>
      <c r="B65" s="3">
        <v>1</v>
      </c>
      <c r="C65" s="3">
        <v>6.6430400000000002E-3</v>
      </c>
      <c r="D65" s="3">
        <v>6.7406599999999999E-3</v>
      </c>
      <c r="E65" s="3">
        <v>6.8328499999999997E-3</v>
      </c>
      <c r="F65" s="3">
        <v>6.9199800000000001E-3</v>
      </c>
      <c r="G65" s="3">
        <v>7.0023899999999998E-3</v>
      </c>
      <c r="H65" s="3">
        <v>7.0803999999999997E-3</v>
      </c>
      <c r="I65" s="3">
        <v>7.1542899999999998E-3</v>
      </c>
      <c r="J65" s="3">
        <v>7.2243200000000002E-3</v>
      </c>
      <c r="K65" s="3">
        <v>7.2907299999999996E-3</v>
      </c>
      <c r="L65" s="3">
        <v>7.3537899999999998E-3</v>
      </c>
      <c r="M65" s="3">
        <v>7.4136499999999999E-3</v>
      </c>
      <c r="N65" s="3">
        <v>7.4705400000000003E-3</v>
      </c>
      <c r="O65" s="3">
        <v>7.5246100000000002E-3</v>
      </c>
      <c r="P65" s="3">
        <v>7.57604E-3</v>
      </c>
      <c r="Q65" s="3">
        <v>7.6249899999999999E-3</v>
      </c>
      <c r="R65" s="3">
        <v>7.6715899999999998E-3</v>
      </c>
      <c r="S65" s="3">
        <v>7.7159799999999999E-3</v>
      </c>
      <c r="T65" s="3">
        <v>7.7582800000000002E-3</v>
      </c>
      <c r="U65" s="3">
        <v>7.7986100000000001E-3</v>
      </c>
      <c r="V65" s="3">
        <v>7.8370699999999998E-3</v>
      </c>
      <c r="W65" s="3">
        <v>7.8737600000000005E-3</v>
      </c>
      <c r="X65" s="3">
        <v>7.9087900000000006E-3</v>
      </c>
      <c r="Y65" s="3">
        <v>7.9422299999999998E-3</v>
      </c>
      <c r="Z65" s="3">
        <v>7.9760000000000005E-3</v>
      </c>
      <c r="AA65" s="3">
        <v>8.0433299999999996E-3</v>
      </c>
      <c r="AB65" s="3">
        <v>8.1055999999999993E-3</v>
      </c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x14ac:dyDescent="0.85">
      <c r="A66" t="s">
        <v>189</v>
      </c>
      <c r="B66" s="3">
        <v>0.97142857000000005</v>
      </c>
      <c r="C66" s="3">
        <v>0.97142857000000005</v>
      </c>
      <c r="D66" s="3">
        <v>0.97142857000000005</v>
      </c>
      <c r="E66" s="3">
        <v>0.97142857000000005</v>
      </c>
      <c r="F66" s="3">
        <v>0.97142857000000005</v>
      </c>
      <c r="G66" s="3">
        <v>0.97142857000000005</v>
      </c>
      <c r="H66" s="3">
        <v>0.97142857000000005</v>
      </c>
      <c r="I66" s="3">
        <v>0.97142857000000005</v>
      </c>
      <c r="J66" s="3">
        <v>0.97142857000000005</v>
      </c>
      <c r="K66" s="3">
        <v>0.97142857000000005</v>
      </c>
      <c r="L66" s="3">
        <v>0.97142857000000005</v>
      </c>
      <c r="M66" s="3">
        <v>0.97142857000000005</v>
      </c>
      <c r="N66" s="3">
        <v>0.97142857000000005</v>
      </c>
      <c r="O66" s="3">
        <v>0.97142857000000005</v>
      </c>
      <c r="P66" s="3">
        <v>0.97142857000000005</v>
      </c>
      <c r="Q66" s="3">
        <v>0.97142857000000005</v>
      </c>
      <c r="R66" s="3">
        <v>0.97142857000000005</v>
      </c>
      <c r="S66" s="3">
        <v>0.97142857000000005</v>
      </c>
      <c r="T66" s="3">
        <v>0.97142857000000005</v>
      </c>
      <c r="U66" s="3">
        <v>0.97142857000000005</v>
      </c>
      <c r="V66" s="3">
        <v>0.97142857000000005</v>
      </c>
      <c r="W66" s="3">
        <v>0.97142857000000005</v>
      </c>
      <c r="X66" s="3">
        <v>0.97142857000000005</v>
      </c>
      <c r="Y66" s="3">
        <v>0.97142857000000005</v>
      </c>
      <c r="Z66" s="3">
        <v>0.97142857000000005</v>
      </c>
      <c r="AA66" s="3">
        <v>0.97142857000000005</v>
      </c>
      <c r="AB66" s="3">
        <v>0.97142857000000005</v>
      </c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85">
      <c r="A67" t="s">
        <v>190</v>
      </c>
      <c r="B67" s="3">
        <v>0.31450128999999999</v>
      </c>
      <c r="C67" s="3">
        <v>0.31450128999999999</v>
      </c>
      <c r="D67" s="3">
        <v>0.31450128999999999</v>
      </c>
      <c r="E67" s="3">
        <v>0.31450128999999999</v>
      </c>
      <c r="F67" s="3">
        <v>0.31450128999999999</v>
      </c>
      <c r="G67" s="3">
        <v>0.31450128999999999</v>
      </c>
      <c r="H67" s="3">
        <v>0.31450128999999999</v>
      </c>
      <c r="I67" s="3">
        <v>0.31450128999999999</v>
      </c>
      <c r="J67" s="3">
        <v>0.31450128999999999</v>
      </c>
      <c r="K67" s="3">
        <v>0.31450128999999999</v>
      </c>
      <c r="L67" s="3">
        <v>0.31450128999999999</v>
      </c>
      <c r="M67" s="3">
        <v>0.31450128999999999</v>
      </c>
      <c r="N67" s="3">
        <v>0.31450128999999999</v>
      </c>
      <c r="O67" s="3">
        <v>0.31450128999999999</v>
      </c>
      <c r="P67" s="3">
        <v>0.31450128999999999</v>
      </c>
      <c r="Q67" s="3">
        <v>0.31450128999999999</v>
      </c>
      <c r="R67" s="3">
        <v>0.31450128999999999</v>
      </c>
      <c r="S67" s="3">
        <v>0.31450128999999999</v>
      </c>
      <c r="T67" s="3">
        <v>0.31450128999999999</v>
      </c>
      <c r="U67" s="3">
        <v>0.31450128999999999</v>
      </c>
      <c r="V67" s="3">
        <v>0.31450128999999999</v>
      </c>
      <c r="W67" s="3">
        <v>0.31450128999999999</v>
      </c>
      <c r="X67" s="3">
        <v>0.31450128999999999</v>
      </c>
      <c r="Y67" s="3">
        <v>0.31450128999999999</v>
      </c>
      <c r="Z67" s="3">
        <v>0.31450128999999999</v>
      </c>
      <c r="AA67" s="3">
        <v>0.31450128999999999</v>
      </c>
      <c r="AB67" s="3">
        <v>0.31450128999999999</v>
      </c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85">
      <c r="A68" t="s">
        <v>11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85">
      <c r="A69" t="s">
        <v>191</v>
      </c>
      <c r="B69" s="3">
        <v>0</v>
      </c>
      <c r="C69" s="3">
        <v>79.336145439999996</v>
      </c>
      <c r="D69" s="3">
        <v>164.27652261</v>
      </c>
      <c r="E69" s="3">
        <v>255.15934607</v>
      </c>
      <c r="F69" s="3">
        <v>352.34199847000002</v>
      </c>
      <c r="G69" s="3">
        <v>456.2020948</v>
      </c>
      <c r="H69" s="3">
        <v>567.13864102000002</v>
      </c>
      <c r="I69" s="3">
        <v>685.57323278000001</v>
      </c>
      <c r="J69" s="3">
        <v>811.59713032000002</v>
      </c>
      <c r="K69" s="3">
        <v>946.74455870999998</v>
      </c>
      <c r="L69" s="3">
        <v>1090.4484689599999</v>
      </c>
      <c r="M69" s="3">
        <v>1243.5893634399999</v>
      </c>
      <c r="N69" s="3">
        <v>1406.7224422199999</v>
      </c>
      <c r="O69" s="3">
        <v>1580.43416241</v>
      </c>
      <c r="P69" s="3">
        <v>1765.3442283100001</v>
      </c>
      <c r="Q69" s="3">
        <v>1962.10783558</v>
      </c>
      <c r="R69" s="3">
        <v>2171.4245027500001</v>
      </c>
      <c r="S69" s="3">
        <v>2393.9980479999999</v>
      </c>
      <c r="T69" s="3">
        <v>2630.6220468000001</v>
      </c>
      <c r="U69" s="3">
        <v>2882.1134818800001</v>
      </c>
      <c r="V69" s="3">
        <v>3149.3212727499999</v>
      </c>
      <c r="W69" s="3">
        <v>3433.1715159099999</v>
      </c>
      <c r="X69" s="3">
        <v>3734.6473611800002</v>
      </c>
      <c r="Y69" s="3">
        <v>4054.6255452</v>
      </c>
      <c r="Z69" s="3">
        <v>4393.9552020700003</v>
      </c>
      <c r="AA69" s="3">
        <v>4747.7088027899999</v>
      </c>
      <c r="AB69" s="3">
        <v>5117.8738914799997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85">
      <c r="A70" t="s">
        <v>192</v>
      </c>
      <c r="B70" s="3">
        <v>0</v>
      </c>
      <c r="C70" s="3">
        <v>63.442860230000001</v>
      </c>
      <c r="D70" s="3">
        <v>131.36726622</v>
      </c>
      <c r="E70" s="3">
        <v>204.04366965</v>
      </c>
      <c r="F70" s="3">
        <v>281.75787233</v>
      </c>
      <c r="G70" s="3">
        <v>364.81184986</v>
      </c>
      <c r="H70" s="3">
        <v>453.52463625000001</v>
      </c>
      <c r="I70" s="3">
        <v>548.23339773999999</v>
      </c>
      <c r="J70" s="3">
        <v>648.34701963999998</v>
      </c>
      <c r="K70" s="3">
        <v>757.08468773000004</v>
      </c>
      <c r="L70" s="3">
        <v>872.00058028000001</v>
      </c>
      <c r="M70" s="3">
        <v>994.46298303000003</v>
      </c>
      <c r="N70" s="3">
        <v>1124.91595188</v>
      </c>
      <c r="O70" s="3">
        <v>1263.8282396499999</v>
      </c>
      <c r="P70" s="3">
        <v>1411.6955412100001</v>
      </c>
      <c r="Q70" s="3">
        <v>1569.04186009</v>
      </c>
      <c r="R70" s="3">
        <v>1736.42653692</v>
      </c>
      <c r="S70" s="3">
        <v>1914.4120360100001</v>
      </c>
      <c r="T70" s="3">
        <v>2103.6335457199998</v>
      </c>
      <c r="U70" s="3">
        <v>2304.7443134099999</v>
      </c>
      <c r="V70" s="3">
        <v>2518.4223809199998</v>
      </c>
      <c r="W70" s="3">
        <v>2745.4096310899999</v>
      </c>
      <c r="X70" s="3">
        <v>2986.49148354</v>
      </c>
      <c r="Y70" s="3">
        <v>3242.3688223200002</v>
      </c>
      <c r="Z70" s="3">
        <v>3513.6179732400001</v>
      </c>
      <c r="AA70" s="3">
        <v>3795.8864269000001</v>
      </c>
      <c r="AB70" s="3">
        <v>4092.6184719399998</v>
      </c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85">
      <c r="A71" t="s">
        <v>193</v>
      </c>
      <c r="B71" s="3">
        <v>0</v>
      </c>
      <c r="C71" s="3">
        <v>19997.748096160001</v>
      </c>
      <c r="D71" s="3">
        <v>41408.118568539998</v>
      </c>
      <c r="E71" s="3">
        <v>64316.36297242</v>
      </c>
      <c r="F71" s="3">
        <v>88812.564432910003</v>
      </c>
      <c r="G71" s="3">
        <v>114991.90591705999</v>
      </c>
      <c r="H71" s="3">
        <v>142954.96227146999</v>
      </c>
      <c r="I71" s="3">
        <v>172808.00237840999</v>
      </c>
      <c r="J71" s="3">
        <v>204574.02961661</v>
      </c>
      <c r="K71" s="3">
        <v>238639.76615867999</v>
      </c>
      <c r="L71" s="3">
        <v>274862.27963573998</v>
      </c>
      <c r="M71" s="3">
        <v>313463.51257730997</v>
      </c>
      <c r="N71" s="3">
        <v>354583.41067039</v>
      </c>
      <c r="O71" s="3">
        <v>398369.79835202999</v>
      </c>
      <c r="P71" s="3">
        <v>444978.88047545002</v>
      </c>
      <c r="Q71" s="3">
        <v>494575.80796205997</v>
      </c>
      <c r="R71" s="3">
        <v>547336.90391668002</v>
      </c>
      <c r="S71" s="3">
        <v>603439.57522782998</v>
      </c>
      <c r="T71" s="3">
        <v>663083.85331866995</v>
      </c>
      <c r="U71" s="3">
        <v>726475.66973461001</v>
      </c>
      <c r="V71" s="3">
        <v>793829.00611412001</v>
      </c>
      <c r="W71" s="3">
        <v>865377.29760278005</v>
      </c>
      <c r="X71" s="3">
        <v>941368.36040325998</v>
      </c>
      <c r="Y71" s="3">
        <v>1022023.18783965</v>
      </c>
      <c r="Z71" s="3">
        <v>1107555.8156447301</v>
      </c>
      <c r="AA71" s="3">
        <v>1196724.1935094299</v>
      </c>
      <c r="AB71" s="3">
        <v>1290029.3088042501</v>
      </c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85">
      <c r="A72" t="s">
        <v>194</v>
      </c>
      <c r="B72" s="3">
        <v>0</v>
      </c>
      <c r="C72" s="3">
        <v>4.0290077599999998</v>
      </c>
      <c r="D72" s="3">
        <v>8.3426209</v>
      </c>
      <c r="E72" s="3">
        <v>12.958015290000001</v>
      </c>
      <c r="F72" s="3">
        <v>17.89334028</v>
      </c>
      <c r="G72" s="3">
        <v>23.167772660000001</v>
      </c>
      <c r="H72" s="3">
        <v>28.801575549999999</v>
      </c>
      <c r="I72" s="3">
        <v>34.816159280000001</v>
      </c>
      <c r="J72" s="3">
        <v>41.216158409999998</v>
      </c>
      <c r="K72" s="3">
        <v>48.079487030000003</v>
      </c>
      <c r="L72" s="3">
        <v>55.377348130000001</v>
      </c>
      <c r="M72" s="3">
        <v>63.15445716</v>
      </c>
      <c r="N72" s="3">
        <v>71.439009389999995</v>
      </c>
      <c r="O72" s="3">
        <v>80.260787469999997</v>
      </c>
      <c r="P72" s="3">
        <v>89.651262470000006</v>
      </c>
      <c r="Q72" s="3">
        <v>99.64370787</v>
      </c>
      <c r="R72" s="3">
        <v>110.27364799999999</v>
      </c>
      <c r="S72" s="3">
        <v>121.57682560000001</v>
      </c>
      <c r="T72" s="3">
        <v>133.59354159</v>
      </c>
      <c r="U72" s="3">
        <v>146.36528565</v>
      </c>
      <c r="V72" s="3">
        <v>159.93516930999999</v>
      </c>
      <c r="W72" s="3">
        <v>174.35022346</v>
      </c>
      <c r="X72" s="3">
        <v>189.66037641</v>
      </c>
      <c r="Y72" s="3">
        <v>205.91015234</v>
      </c>
      <c r="Z72" s="3">
        <v>223.14267371</v>
      </c>
      <c r="AA72" s="3">
        <v>241.10770081000001</v>
      </c>
      <c r="AB72" s="3">
        <v>259.90616912000002</v>
      </c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85">
      <c r="A73" t="s">
        <v>195</v>
      </c>
      <c r="B73" s="3">
        <v>0</v>
      </c>
      <c r="C73" s="3">
        <v>1484.95664687</v>
      </c>
      <c r="D73" s="3">
        <v>3074.8092763700001</v>
      </c>
      <c r="E73" s="3">
        <v>4775.8881360799996</v>
      </c>
      <c r="F73" s="3">
        <v>6594.8827621800001</v>
      </c>
      <c r="G73" s="3">
        <v>8538.8612575900006</v>
      </c>
      <c r="H73" s="3">
        <v>10615.29099825</v>
      </c>
      <c r="I73" s="3">
        <v>12832.063766130001</v>
      </c>
      <c r="J73" s="3">
        <v>15175.3438097</v>
      </c>
      <c r="K73" s="3">
        <v>17720.480053679999</v>
      </c>
      <c r="L73" s="3">
        <v>20410.22509122</v>
      </c>
      <c r="M73" s="3">
        <v>23276.605299840001</v>
      </c>
      <c r="N73" s="3">
        <v>26330.01434374</v>
      </c>
      <c r="O73" s="3">
        <v>29581.423947619998</v>
      </c>
      <c r="P73" s="3">
        <v>33042.436447560001</v>
      </c>
      <c r="Q73" s="3">
        <v>36725.316778599998</v>
      </c>
      <c r="R73" s="3">
        <v>40643.156982070002</v>
      </c>
      <c r="S73" s="3">
        <v>44809.12221365</v>
      </c>
      <c r="T73" s="3">
        <v>49238.079822879998</v>
      </c>
      <c r="U73" s="3">
        <v>53945.319851729997</v>
      </c>
      <c r="V73" s="3">
        <v>58946.71268746</v>
      </c>
      <c r="W73" s="3">
        <v>64259.622992210003</v>
      </c>
      <c r="X73" s="3">
        <v>69902.434459590004</v>
      </c>
      <c r="Y73" s="3">
        <v>75891.552125679998</v>
      </c>
      <c r="Z73" s="3">
        <v>82240.465591150001</v>
      </c>
      <c r="AA73" s="3">
        <v>88847.299125079997</v>
      </c>
      <c r="AB73" s="3">
        <v>95792.67045623</v>
      </c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85">
      <c r="A74" t="s">
        <v>196</v>
      </c>
      <c r="B74" s="3">
        <v>0</v>
      </c>
      <c r="C74" s="3">
        <v>0.35486942999999999</v>
      </c>
      <c r="D74" s="3">
        <v>1.46961301</v>
      </c>
      <c r="E74" s="3">
        <v>3.4239720600000001</v>
      </c>
      <c r="F74" s="3">
        <v>6.3040824100000004</v>
      </c>
      <c r="G74" s="3">
        <v>10.20292684</v>
      </c>
      <c r="H74" s="3">
        <v>15.22081704</v>
      </c>
      <c r="I74" s="3">
        <v>21.465912769999999</v>
      </c>
      <c r="J74" s="3">
        <v>29.01237867</v>
      </c>
      <c r="K74" s="3">
        <v>38.112970910000001</v>
      </c>
      <c r="L74" s="3">
        <v>48.775598309999999</v>
      </c>
      <c r="M74" s="3">
        <v>61.188124070000001</v>
      </c>
      <c r="N74" s="3">
        <v>75.506989110000006</v>
      </c>
      <c r="O74" s="3">
        <v>91.900365579999999</v>
      </c>
      <c r="P74" s="3">
        <v>110.54902335</v>
      </c>
      <c r="Q74" s="3">
        <v>131.64719822999999</v>
      </c>
      <c r="R74" s="3">
        <v>155.40401265</v>
      </c>
      <c r="S74" s="3">
        <v>182.04140086999999</v>
      </c>
      <c r="T74" s="3">
        <v>211.80120385999999</v>
      </c>
      <c r="U74" s="3">
        <v>244.94139364</v>
      </c>
      <c r="V74" s="3">
        <v>281.73733183000002</v>
      </c>
      <c r="W74" s="3">
        <v>322.48704967999998</v>
      </c>
      <c r="X74" s="3">
        <v>367.51053489999998</v>
      </c>
      <c r="Y74" s="3">
        <v>417.13447272000002</v>
      </c>
      <c r="Z74" s="3">
        <v>471.68450869999998</v>
      </c>
      <c r="AA74" s="3">
        <v>530.80994373999999</v>
      </c>
      <c r="AB74" s="3">
        <v>595.19659705000004</v>
      </c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x14ac:dyDescent="0.85">
      <c r="A75" t="s">
        <v>197</v>
      </c>
      <c r="B75" s="3">
        <v>0</v>
      </c>
      <c r="C75" s="3">
        <v>8.1971800000000001E-3</v>
      </c>
      <c r="D75" s="3">
        <v>8.2782800000000007E-3</v>
      </c>
      <c r="E75" s="3">
        <v>8.3549100000000001E-3</v>
      </c>
      <c r="F75" s="3">
        <v>8.42737E-3</v>
      </c>
      <c r="G75" s="3">
        <v>8.4959400000000004E-3</v>
      </c>
      <c r="H75" s="3">
        <v>8.5608799999999999E-3</v>
      </c>
      <c r="I75" s="3">
        <v>8.6224200000000004E-3</v>
      </c>
      <c r="J75" s="3">
        <v>8.6807800000000008E-3</v>
      </c>
      <c r="K75" s="3">
        <v>8.7359199999999994E-3</v>
      </c>
      <c r="L75" s="3">
        <v>8.7887399999999997E-3</v>
      </c>
      <c r="M75" s="3">
        <v>8.8386999999999997E-3</v>
      </c>
      <c r="N75" s="3">
        <v>8.8861900000000004E-3</v>
      </c>
      <c r="O75" s="3">
        <v>8.9313499999999994E-3</v>
      </c>
      <c r="P75" s="3">
        <v>8.9743300000000008E-3</v>
      </c>
      <c r="Q75" s="3">
        <v>9.0152500000000007E-3</v>
      </c>
      <c r="R75" s="3">
        <v>9.0542299999999999E-3</v>
      </c>
      <c r="S75" s="3">
        <v>9.0913699999999997E-3</v>
      </c>
      <c r="T75" s="3">
        <v>9.1267699999999993E-3</v>
      </c>
      <c r="U75" s="3">
        <v>9.16054E-3</v>
      </c>
      <c r="V75" s="3">
        <v>9.1927599999999995E-3</v>
      </c>
      <c r="W75" s="3">
        <v>9.2235100000000007E-3</v>
      </c>
      <c r="X75" s="3">
        <v>9.2528799999999998E-3</v>
      </c>
      <c r="Y75" s="3">
        <v>9.2809399999999997E-3</v>
      </c>
      <c r="Z75" s="3">
        <v>9.3086599999999999E-3</v>
      </c>
      <c r="AA75" s="3">
        <v>9.3531599999999993E-3</v>
      </c>
      <c r="AB75" s="3">
        <v>9.3946700000000008E-3</v>
      </c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85">
      <c r="A76" t="s">
        <v>198</v>
      </c>
      <c r="B76" s="3">
        <v>0</v>
      </c>
      <c r="C76" s="3">
        <v>1.33968E-3</v>
      </c>
      <c r="D76" s="3">
        <v>1.4287099999999999E-3</v>
      </c>
      <c r="E76" s="3">
        <v>1.51271E-3</v>
      </c>
      <c r="F76" s="3">
        <v>1.5920299999999999E-3</v>
      </c>
      <c r="G76" s="3">
        <v>1.6670000000000001E-3</v>
      </c>
      <c r="H76" s="3">
        <v>1.7379100000000001E-3</v>
      </c>
      <c r="I76" s="3">
        <v>1.8050399999999999E-3</v>
      </c>
      <c r="J76" s="3">
        <v>1.8647900000000001E-3</v>
      </c>
      <c r="K76" s="3">
        <v>1.9323000000000001E-3</v>
      </c>
      <c r="L76" s="3">
        <v>1.9861200000000001E-3</v>
      </c>
      <c r="M76" s="3">
        <v>2.0404199999999998E-3</v>
      </c>
      <c r="N76" s="3">
        <v>2.0919900000000002E-3</v>
      </c>
      <c r="O76" s="3">
        <v>2.14101E-3</v>
      </c>
      <c r="P76" s="3">
        <v>2.1876199999999999E-3</v>
      </c>
      <c r="Q76" s="3">
        <v>2.2319800000000002E-3</v>
      </c>
      <c r="R76" s="3">
        <v>2.2742499999999998E-3</v>
      </c>
      <c r="S76" s="3">
        <v>2.3143500000000002E-3</v>
      </c>
      <c r="T76" s="3">
        <v>2.3526799999999998E-3</v>
      </c>
      <c r="U76" s="3">
        <v>2.3892399999999999E-3</v>
      </c>
      <c r="V76" s="3">
        <v>2.4240300000000002E-3</v>
      </c>
      <c r="W76" s="3">
        <v>2.4573199999999998E-3</v>
      </c>
      <c r="X76" s="3">
        <v>2.4891900000000001E-3</v>
      </c>
      <c r="Y76" s="3">
        <v>2.5190099999999999E-3</v>
      </c>
      <c r="Z76" s="3">
        <v>2.54872E-3</v>
      </c>
      <c r="AA76" s="3">
        <v>2.5937E-3</v>
      </c>
      <c r="AB76" s="3">
        <v>2.6394600000000002E-3</v>
      </c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85">
      <c r="A77" t="s">
        <v>199</v>
      </c>
      <c r="B77" s="3">
        <v>1</v>
      </c>
      <c r="C77" s="3">
        <v>8.1971800000000001E-3</v>
      </c>
      <c r="D77" s="3">
        <v>8.2782800000000007E-3</v>
      </c>
      <c r="E77" s="3">
        <v>8.3549100000000001E-3</v>
      </c>
      <c r="F77" s="3">
        <v>8.42737E-3</v>
      </c>
      <c r="G77" s="3">
        <v>8.4959400000000004E-3</v>
      </c>
      <c r="H77" s="3">
        <v>8.5608799999999999E-3</v>
      </c>
      <c r="I77" s="3">
        <v>8.6224200000000004E-3</v>
      </c>
      <c r="J77" s="3">
        <v>8.6807800000000008E-3</v>
      </c>
      <c r="K77" s="3">
        <v>8.7359199999999994E-3</v>
      </c>
      <c r="L77" s="3">
        <v>8.7887399999999997E-3</v>
      </c>
      <c r="M77" s="3">
        <v>8.8386999999999997E-3</v>
      </c>
      <c r="N77" s="3">
        <v>8.8861900000000004E-3</v>
      </c>
      <c r="O77" s="3">
        <v>8.9313499999999994E-3</v>
      </c>
      <c r="P77" s="3">
        <v>8.9743300000000008E-3</v>
      </c>
      <c r="Q77" s="3">
        <v>9.0152500000000007E-3</v>
      </c>
      <c r="R77" s="3">
        <v>9.0542299999999999E-3</v>
      </c>
      <c r="S77" s="3">
        <v>9.0913699999999997E-3</v>
      </c>
      <c r="T77" s="3">
        <v>9.1267699999999993E-3</v>
      </c>
      <c r="U77" s="3">
        <v>9.16054E-3</v>
      </c>
      <c r="V77" s="3">
        <v>9.1927599999999995E-3</v>
      </c>
      <c r="W77" s="3">
        <v>9.2235100000000007E-3</v>
      </c>
      <c r="X77" s="3">
        <v>9.2528799999999998E-3</v>
      </c>
      <c r="Y77" s="3">
        <v>9.2809399999999997E-3</v>
      </c>
      <c r="Z77" s="3">
        <v>9.3086599999999999E-3</v>
      </c>
      <c r="AA77" s="3">
        <v>9.3531599999999993E-3</v>
      </c>
      <c r="AB77" s="3">
        <v>9.3946700000000008E-3</v>
      </c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85">
      <c r="A78" t="s">
        <v>200</v>
      </c>
      <c r="B78" s="3">
        <v>0.93333332999999996</v>
      </c>
      <c r="C78" s="3">
        <v>0.93333332999999996</v>
      </c>
      <c r="D78" s="3">
        <v>0.93333332999999996</v>
      </c>
      <c r="E78" s="3">
        <v>0.93333332999999996</v>
      </c>
      <c r="F78" s="3">
        <v>0.93333332999999996</v>
      </c>
      <c r="G78" s="3">
        <v>0.93333332999999996</v>
      </c>
      <c r="H78" s="3">
        <v>0.93333332999999996</v>
      </c>
      <c r="I78" s="3">
        <v>0.93333332999999996</v>
      </c>
      <c r="J78" s="3">
        <v>0.93333332999999996</v>
      </c>
      <c r="K78" s="3">
        <v>0.93333332999999996</v>
      </c>
      <c r="L78" s="3">
        <v>0.93333332999999996</v>
      </c>
      <c r="M78" s="3">
        <v>0.93333332999999996</v>
      </c>
      <c r="N78" s="3">
        <v>0.93333332999999996</v>
      </c>
      <c r="O78" s="3">
        <v>0.93333332999999996</v>
      </c>
      <c r="P78" s="3">
        <v>0.93333332999999996</v>
      </c>
      <c r="Q78" s="3">
        <v>0.93333332999999996</v>
      </c>
      <c r="R78" s="3">
        <v>0.93333332999999996</v>
      </c>
      <c r="S78" s="3">
        <v>0.93333332999999996</v>
      </c>
      <c r="T78" s="3">
        <v>0.93333332999999996</v>
      </c>
      <c r="U78" s="3">
        <v>0.93333332999999996</v>
      </c>
      <c r="V78" s="3">
        <v>0.93333332999999996</v>
      </c>
      <c r="W78" s="3">
        <v>0.93333332999999996</v>
      </c>
      <c r="X78" s="3">
        <v>0.93333332999999996</v>
      </c>
      <c r="Y78" s="3">
        <v>0.93333332999999996</v>
      </c>
      <c r="Z78" s="3">
        <v>0.93333332999999996</v>
      </c>
      <c r="AA78" s="3">
        <v>0.93333332999999996</v>
      </c>
      <c r="AB78" s="3">
        <v>0.93333332999999996</v>
      </c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85">
      <c r="A79" t="s">
        <v>201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3">
        <v>0</v>
      </c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85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2:702" x14ac:dyDescent="0.85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2:702" x14ac:dyDescent="0.85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2:702" x14ac:dyDescent="0.85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2:702" x14ac:dyDescent="0.85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2:702" x14ac:dyDescent="0.85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2:702" x14ac:dyDescent="0.85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2:702" x14ac:dyDescent="0.85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2:702" x14ac:dyDescent="0.85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2:702" x14ac:dyDescent="0.85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2:702" x14ac:dyDescent="0.85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2:702" x14ac:dyDescent="0.85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2:702" x14ac:dyDescent="0.85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2:702" x14ac:dyDescent="0.85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2:702" x14ac:dyDescent="0.85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2:702" x14ac:dyDescent="0.85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2:702" x14ac:dyDescent="0.85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2:702" x14ac:dyDescent="0.8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2:702" x14ac:dyDescent="0.85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2:702" x14ac:dyDescent="0.85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Graph</vt:lpstr>
      <vt:lpstr>Reference</vt:lpstr>
      <vt:lpstr>Cost_Graph</vt:lpstr>
      <vt:lpstr>Calc</vt:lpstr>
      <vt:lpstr>Cost_Calc</vt:lpstr>
      <vt:lpstr>Inbox</vt:lpstr>
      <vt:lpstr>CAL</vt:lpstr>
      <vt:lpstr>_1st_ref</vt:lpstr>
      <vt:lpstr>Battery_Cost</vt:lpstr>
      <vt:lpstr>Billion</vt:lpstr>
      <vt:lpstr>Capital</vt:lpstr>
      <vt:lpstr>CO2_</vt:lpstr>
      <vt:lpstr>Coal_Cost</vt:lpstr>
      <vt:lpstr>Delta_Corner</vt:lpstr>
      <vt:lpstr>filename_</vt:lpstr>
      <vt:lpstr>Fixed</vt:lpstr>
      <vt:lpstr>Gas_Cost</vt:lpstr>
      <vt:lpstr>Inbox</vt:lpstr>
      <vt:lpstr>Include_Battery</vt:lpstr>
      <vt:lpstr>Include_Capital</vt:lpstr>
      <vt:lpstr>Include_CO2</vt:lpstr>
      <vt:lpstr>Include_Coal</vt:lpstr>
      <vt:lpstr>Include_Fixed</vt:lpstr>
      <vt:lpstr>Include_Gas</vt:lpstr>
      <vt:lpstr>Include_Nuclear</vt:lpstr>
      <vt:lpstr>Include_Solar</vt:lpstr>
      <vt:lpstr>Include_Variable</vt:lpstr>
      <vt:lpstr>Include_Wind</vt:lpstr>
      <vt:lpstr>Million</vt:lpstr>
      <vt:lpstr>Mult</vt:lpstr>
      <vt:lpstr>NRG_Selections</vt:lpstr>
      <vt:lpstr>NRG_Table</vt:lpstr>
      <vt:lpstr>Nuclear_Cost</vt:lpstr>
      <vt:lpstr>Param_Count</vt:lpstr>
      <vt:lpstr>Param_offset</vt:lpstr>
      <vt:lpstr>Param_Table</vt:lpstr>
      <vt:lpstr>Parameter</vt:lpstr>
      <vt:lpstr>Params</vt:lpstr>
      <vt:lpstr>Region</vt:lpstr>
      <vt:lpstr>Region_abbr</vt:lpstr>
      <vt:lpstr>Region_Abbr_Cost</vt:lpstr>
      <vt:lpstr>Region_Cost</vt:lpstr>
      <vt:lpstr>Region_lookup</vt:lpstr>
      <vt:lpstr>Regions</vt:lpstr>
      <vt:lpstr>Solar_Cost</vt:lpstr>
      <vt:lpstr>Table_Corner</vt:lpstr>
      <vt:lpstr>Thousand</vt:lpstr>
      <vt:lpstr>To_Long</vt:lpstr>
      <vt:lpstr>Variable</vt:lpstr>
      <vt:lpstr>Wind_Cost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2025-09-13T00:15:16Z</dcterms:modified>
</cp:coreProperties>
</file>