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bug_New/"/>
    </mc:Choice>
  </mc:AlternateContent>
  <xr:revisionPtr revIDLastSave="588" documentId="8_{F1F74A3A-C232-4F8A-A90E-8189464B63CE}" xr6:coauthVersionLast="47" xr6:coauthVersionMax="47" xr10:uidLastSave="{69C61C8B-1A34-44FD-A3C5-30C9D0628516}"/>
  <bookViews>
    <workbookView xWindow="-90" yWindow="-90" windowWidth="16637" windowHeight="9437" activeTab="1" xr2:uid="{F4D4EDAC-D9BE-40D7-9520-4AD57ED7D8EC}"/>
  </bookViews>
  <sheets>
    <sheet name="Graph" sheetId="1" r:id="rId1"/>
    <sheet name="Cost_Graph" sheetId="6" r:id="rId2"/>
    <sheet name="Calc" sheetId="5" r:id="rId3"/>
    <sheet name="Cost_Calc" sheetId="7" r:id="rId4"/>
    <sheet name="Reference" sheetId="2" r:id="rId5"/>
    <sheet name="Inbox" sheetId="3" r:id="rId6"/>
    <sheet name="CAL" sheetId="4" r:id="rId7"/>
  </sheets>
  <definedNames>
    <definedName name="_1st_ref">Reference!$I$2</definedName>
    <definedName name="_xleta.VALUE" hidden="1" xlm="1">#NAME?</definedName>
    <definedName name="Battery_Cost">Cost_Graph!$B$14</definedName>
    <definedName name="Billion">Reference!$N$4</definedName>
    <definedName name="Capital">Cost_Graph!$B$4</definedName>
    <definedName name="CO2_">Cost_Graph!$B$7</definedName>
    <definedName name="Coal_Cost">Cost_Graph!$B$13</definedName>
    <definedName name="Delta_Corner">Graph!$T$5</definedName>
    <definedName name="filename_">Graph!$C$1</definedName>
    <definedName name="Fixed">Cost_Graph!$B$5</definedName>
    <definedName name="Gas_Cost">Cost_Graph!$B$12</definedName>
    <definedName name="Inbox">Inbox!$A$1</definedName>
    <definedName name="Include_Battery">Cost_Graph!$B$14</definedName>
    <definedName name="Include_Capital">Cost_Graph!$B$4</definedName>
    <definedName name="Include_CO2">Cost_Graph!$B$7</definedName>
    <definedName name="Include_Coal">Cost_Graph!$B$13</definedName>
    <definedName name="Include_Fixed">Cost_Graph!$B$5</definedName>
    <definedName name="Include_Gas">Cost_Graph!$B$12</definedName>
    <definedName name="Include_Nuclear">Cost_Graph!$B$11</definedName>
    <definedName name="Include_Solar">Cost_Graph!$B$9</definedName>
    <definedName name="Include_Variable">Cost_Graph!$B$6</definedName>
    <definedName name="Include_Wind">Cost_Graph!$B$10</definedName>
    <definedName name="Million">Reference!$N$3</definedName>
    <definedName name="Mult">Calc!$C$4</definedName>
    <definedName name="NRG_Selections">Reference!$J$2:$J$8</definedName>
    <definedName name="NRG_Table">Reference!$J$2:$L$8</definedName>
    <definedName name="Nuclear_Cost">Cost_Graph!$B$11</definedName>
    <definedName name="Param_Count">Reference!$H$2</definedName>
    <definedName name="Param_offset">Calc!$C$5</definedName>
    <definedName name="Param_Table">Reference!$D$2:$G$8</definedName>
    <definedName name="Parameter">Graph!$A$2</definedName>
    <definedName name="Params">Reference!$D$2:$D$4</definedName>
    <definedName name="Region">Graph!$A$1</definedName>
    <definedName name="Region_abbr">Calc!$C$3</definedName>
    <definedName name="Region_Abbr_Cost">Cost_Calc!$C$1</definedName>
    <definedName name="Region_Cost">Cost_Graph!$A$1</definedName>
    <definedName name="Region_lookup">Reference!$A$2:$B$15</definedName>
    <definedName name="Regions">Reference!$A$2:$A$15</definedName>
    <definedName name="Solar_Cost">Cost_Graph!$B$9</definedName>
    <definedName name="Table_Corner">Graph!$J$5</definedName>
    <definedName name="Thousand">Reference!$N$2</definedName>
    <definedName name="To_Long">Reference!$B$2:$C$16</definedName>
    <definedName name="Variable">Cost_Graph!$B$6</definedName>
    <definedName name="Wind_Cost">Cost_Graph!$B$10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5" l="1"/>
  <c r="AF5" i="7" l="1"/>
  <c r="AF4" i="7"/>
  <c r="V5" i="7"/>
  <c r="V4" i="7"/>
  <c r="L5" i="7"/>
  <c r="B5" i="7"/>
  <c r="L4" i="7"/>
  <c r="B4" i="7"/>
  <c r="G6" i="2"/>
  <c r="G7" i="2"/>
  <c r="G8" i="2"/>
  <c r="G5" i="2"/>
  <c r="G3" i="2"/>
  <c r="G2" i="2" a="1"/>
  <c r="G2" i="2" s="1"/>
  <c r="AF8" i="7"/>
  <c r="AF9" i="7" s="1"/>
  <c r="AF10" i="7" s="1"/>
  <c r="AF11" i="7" s="1"/>
  <c r="AF12" i="7" s="1"/>
  <c r="AF13" i="7" s="1"/>
  <c r="AF14" i="7" s="1"/>
  <c r="AF15" i="7" s="1"/>
  <c r="AF16" i="7" s="1"/>
  <c r="AF17" i="7" s="1"/>
  <c r="AF18" i="7" s="1"/>
  <c r="AF19" i="7" s="1"/>
  <c r="AF20" i="7" s="1"/>
  <c r="AF21" i="7" s="1"/>
  <c r="AF22" i="7" s="1"/>
  <c r="AF23" i="7" s="1"/>
  <c r="AF24" i="7" s="1"/>
  <c r="AF25" i="7" s="1"/>
  <c r="AF26" i="7" s="1"/>
  <c r="AF27" i="7" s="1"/>
  <c r="AF28" i="7" s="1"/>
  <c r="AF29" i="7" s="1"/>
  <c r="AF30" i="7" s="1"/>
  <c r="AF31" i="7" s="1"/>
  <c r="AF32" i="7" s="1"/>
  <c r="AF33" i="7" s="1"/>
  <c r="AF34" i="7" s="1"/>
  <c r="AE8" i="7"/>
  <c r="AE9" i="7" s="1"/>
  <c r="AE10" i="7" s="1"/>
  <c r="AE11" i="7" s="1"/>
  <c r="AE12" i="7" s="1"/>
  <c r="AE13" i="7" s="1"/>
  <c r="AE14" i="7" s="1"/>
  <c r="AE15" i="7" s="1"/>
  <c r="AE16" i="7" s="1"/>
  <c r="AE17" i="7" s="1"/>
  <c r="AE18" i="7" s="1"/>
  <c r="AE19" i="7" s="1"/>
  <c r="AE20" i="7" s="1"/>
  <c r="AE21" i="7" s="1"/>
  <c r="AE22" i="7" s="1"/>
  <c r="AE23" i="7" s="1"/>
  <c r="AE24" i="7" s="1"/>
  <c r="AE25" i="7" s="1"/>
  <c r="AE26" i="7" s="1"/>
  <c r="AE27" i="7" s="1"/>
  <c r="AE28" i="7" s="1"/>
  <c r="AE29" i="7" s="1"/>
  <c r="AE30" i="7" s="1"/>
  <c r="AE31" i="7" s="1"/>
  <c r="AE32" i="7" s="1"/>
  <c r="AE33" i="7" s="1"/>
  <c r="AE34" i="7" s="1"/>
  <c r="V8" i="7"/>
  <c r="V9" i="7" s="1"/>
  <c r="V10" i="7" s="1"/>
  <c r="V11" i="7" s="1"/>
  <c r="V12" i="7" s="1"/>
  <c r="V13" i="7" s="1"/>
  <c r="V14" i="7" s="1"/>
  <c r="V15" i="7" s="1"/>
  <c r="V16" i="7" s="1"/>
  <c r="V17" i="7" s="1"/>
  <c r="V18" i="7" s="1"/>
  <c r="V19" i="7" s="1"/>
  <c r="V20" i="7" s="1"/>
  <c r="V21" i="7" s="1"/>
  <c r="V22" i="7" s="1"/>
  <c r="V23" i="7" s="1"/>
  <c r="V24" i="7" s="1"/>
  <c r="V25" i="7" s="1"/>
  <c r="V26" i="7" s="1"/>
  <c r="V27" i="7" s="1"/>
  <c r="V28" i="7" s="1"/>
  <c r="V29" i="7" s="1"/>
  <c r="V30" i="7" s="1"/>
  <c r="V31" i="7" s="1"/>
  <c r="V32" i="7" s="1"/>
  <c r="V33" i="7" s="1"/>
  <c r="V34" i="7" s="1"/>
  <c r="U8" i="7"/>
  <c r="U9" i="7" s="1"/>
  <c r="U10" i="7" s="1"/>
  <c r="U11" i="7" s="1"/>
  <c r="U12" i="7" s="1"/>
  <c r="U13" i="7" s="1"/>
  <c r="U14" i="7" s="1"/>
  <c r="U15" i="7" s="1"/>
  <c r="U16" i="7" s="1"/>
  <c r="U17" i="7" s="1"/>
  <c r="U18" i="7" s="1"/>
  <c r="U19" i="7" s="1"/>
  <c r="U20" i="7" s="1"/>
  <c r="U21" i="7" s="1"/>
  <c r="U22" i="7" s="1"/>
  <c r="U23" i="7" s="1"/>
  <c r="U24" i="7" s="1"/>
  <c r="U25" i="7" s="1"/>
  <c r="U26" i="7" s="1"/>
  <c r="U27" i="7" s="1"/>
  <c r="U28" i="7" s="1"/>
  <c r="U29" i="7" s="1"/>
  <c r="U30" i="7" s="1"/>
  <c r="U31" i="7" s="1"/>
  <c r="U32" i="7" s="1"/>
  <c r="U33" i="7" s="1"/>
  <c r="U34" i="7" s="1"/>
  <c r="L8" i="7" l="1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K8" i="7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C1" i="7"/>
  <c r="B8" i="7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A8" i="7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E3" i="5"/>
  <c r="B6" i="5"/>
  <c r="I6" i="6"/>
  <c r="I7" i="6" s="1"/>
  <c r="I8" i="6" s="1"/>
  <c r="I9" i="6" s="1"/>
  <c r="I10" i="6" s="1"/>
  <c r="I11" i="6" s="1"/>
  <c r="I12" i="6" s="1"/>
  <c r="I13" i="6" s="1"/>
  <c r="I14" i="6" s="1"/>
  <c r="I15" i="6" s="1"/>
  <c r="I16" i="6" s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K13" i="5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B13" i="5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C3" i="5"/>
  <c r="K2" i="2" l="1"/>
  <c r="C1" i="2"/>
  <c r="AG6" i="7" l="1"/>
  <c r="W6" i="7"/>
  <c r="C11" i="5"/>
  <c r="C6" i="7"/>
  <c r="M6" i="7"/>
  <c r="C4" i="5"/>
  <c r="K3" i="2"/>
  <c r="AG12" i="7" a="1"/>
  <c r="AG19" i="7" a="1"/>
  <c r="AG10" i="7" a="1"/>
  <c r="AG17" i="7" a="1"/>
  <c r="AG15" i="7" a="1"/>
  <c r="AG13" i="7" a="1"/>
  <c r="AG11" i="7" a="1"/>
  <c r="AG9" i="7" a="1"/>
  <c r="AG8" i="7" a="1"/>
  <c r="AG34" i="7" a="1"/>
  <c r="AG32" i="7" a="1"/>
  <c r="AG30" i="7" a="1"/>
  <c r="AG33" i="7" a="1"/>
  <c r="AG26" i="7" a="1"/>
  <c r="AG24" i="7" a="1"/>
  <c r="AG31" i="7" a="1"/>
  <c r="AG29" i="7" a="1"/>
  <c r="AG28" i="7" a="1"/>
  <c r="AG20" i="7" a="1"/>
  <c r="AG27" i="7" a="1"/>
  <c r="AG18" i="7" a="1"/>
  <c r="AG25" i="7" a="1"/>
  <c r="AG22" i="7" a="1"/>
  <c r="AG16" i="7" a="1"/>
  <c r="AG23" i="7" a="1"/>
  <c r="AG14" i="7" a="1"/>
  <c r="AG21" i="7" a="1"/>
  <c r="W29" i="7" a="1"/>
  <c r="W25" i="7" a="1"/>
  <c r="W23" i="7" a="1"/>
  <c r="W12" i="7" a="1"/>
  <c r="W19" i="7" a="1"/>
  <c r="W27" i="7" a="1"/>
  <c r="W21" i="7" a="1"/>
  <c r="W17" i="7" a="1"/>
  <c r="W15" i="7" a="1"/>
  <c r="W13" i="7" a="1"/>
  <c r="W24" i="7" a="1"/>
  <c r="W9" i="7" a="1"/>
  <c r="W31" i="7" a="1"/>
  <c r="W10" i="7" a="1"/>
  <c r="W14" i="7" a="1"/>
  <c r="W11" i="7" a="1"/>
  <c r="W34" i="7" a="1"/>
  <c r="W28" i="7" a="1"/>
  <c r="W22" i="7" a="1"/>
  <c r="W8" i="7" a="1"/>
  <c r="W30" i="7" a="1"/>
  <c r="W18" i="7" a="1"/>
  <c r="W32" i="7" a="1"/>
  <c r="W16" i="7" a="1"/>
  <c r="W26" i="7" a="1"/>
  <c r="W20" i="7" a="1"/>
  <c r="W33" i="7" a="1"/>
  <c r="M10" i="7" a="1"/>
  <c r="M14" i="7" a="1"/>
  <c r="M33" i="7" a="1"/>
  <c r="M31" i="7" a="1"/>
  <c r="M16" i="7" a="1"/>
  <c r="M32" i="7" a="1"/>
  <c r="M20" i="7" a="1"/>
  <c r="M29" i="7" a="1"/>
  <c r="M27" i="7" a="1"/>
  <c r="M25" i="7" a="1"/>
  <c r="M21" i="7" a="1"/>
  <c r="M8" i="7" a="1"/>
  <c r="M28" i="7" a="1"/>
  <c r="M19" i="7" a="1"/>
  <c r="M23" i="7" a="1"/>
  <c r="M26" i="7" a="1"/>
  <c r="M17" i="7" a="1"/>
  <c r="M15" i="7" a="1"/>
  <c r="M13" i="7" a="1"/>
  <c r="M34" i="7" a="1"/>
  <c r="M18" i="7" a="1"/>
  <c r="M11" i="7" a="1"/>
  <c r="M30" i="7" a="1"/>
  <c r="M22" i="7" a="1"/>
  <c r="M24" i="7" a="1"/>
  <c r="M12" i="7" a="1"/>
  <c r="M9" i="7" a="1"/>
  <c r="C34" i="7" a="1"/>
  <c r="C31" i="5" a="1"/>
  <c r="C24" i="7" a="1"/>
  <c r="C20" i="5" a="1"/>
  <c r="C16" i="7" a="1"/>
  <c r="C14" i="7" a="1"/>
  <c r="C26" i="5" a="1"/>
  <c r="C36" i="5" a="1"/>
  <c r="C24" i="5" a="1"/>
  <c r="C19" i="7" a="1"/>
  <c r="C23" i="7" a="1"/>
  <c r="C27" i="7" a="1"/>
  <c r="C23" i="5" a="1"/>
  <c r="C30" i="7" a="1"/>
  <c r="C10" i="7" a="1"/>
  <c r="C39" i="5" a="1"/>
  <c r="C28" i="7" a="1"/>
  <c r="C25" i="5" a="1"/>
  <c r="C22" i="7" a="1"/>
  <c r="C13" i="5" a="1"/>
  <c r="C12" i="7" a="1"/>
  <c r="C35" i="5" a="1"/>
  <c r="C11" i="7" a="1"/>
  <c r="C8" i="7" a="1"/>
  <c r="C15" i="7" a="1"/>
  <c r="C17" i="7" a="1"/>
  <c r="C14" i="5" a="1"/>
  <c r="C21" i="7" a="1"/>
  <c r="C37" i="5" a="1"/>
  <c r="C28" i="5" a="1"/>
  <c r="C32" i="5" a="1"/>
  <c r="C20" i="7" a="1"/>
  <c r="C30" i="5" a="1"/>
  <c r="C32" i="7" a="1"/>
  <c r="C22" i="5" a="1"/>
  <c r="C9" i="7" a="1"/>
  <c r="C34" i="5" a="1"/>
  <c r="C17" i="5" a="1"/>
  <c r="C16" i="5" a="1"/>
  <c r="C29" i="5" a="1"/>
  <c r="C27" i="5" a="1"/>
  <c r="C25" i="7" a="1"/>
  <c r="C31" i="7" a="1"/>
  <c r="C33" i="7" a="1"/>
  <c r="C38" i="5" a="1"/>
  <c r="C26" i="7" a="1"/>
  <c r="C15" i="5" a="1"/>
  <c r="C13" i="7" a="1"/>
  <c r="C33" i="5" a="1"/>
  <c r="C18" i="5" a="1"/>
  <c r="C19" i="5" a="1"/>
  <c r="C29" i="7" a="1"/>
  <c r="C21" i="5" a="1"/>
  <c r="C18" i="7" a="1"/>
  <c r="M9" i="7" l="1"/>
  <c r="M12" i="7"/>
  <c r="M24" i="7"/>
  <c r="M22" i="7"/>
  <c r="M30" i="7"/>
  <c r="M11" i="7"/>
  <c r="M18" i="7"/>
  <c r="M34" i="7"/>
  <c r="M13" i="7"/>
  <c r="M15" i="7"/>
  <c r="M17" i="7"/>
  <c r="M26" i="7"/>
  <c r="M23" i="7"/>
  <c r="M19" i="7"/>
  <c r="M28" i="7"/>
  <c r="M8" i="7"/>
  <c r="M21" i="7"/>
  <c r="M25" i="7"/>
  <c r="M27" i="7"/>
  <c r="M29" i="7"/>
  <c r="M20" i="7"/>
  <c r="M32" i="7"/>
  <c r="M16" i="7"/>
  <c r="M31" i="7"/>
  <c r="M33" i="7"/>
  <c r="M14" i="7"/>
  <c r="M10" i="7"/>
  <c r="W33" i="7"/>
  <c r="W20" i="7"/>
  <c r="W26" i="7"/>
  <c r="W16" i="7"/>
  <c r="W32" i="7"/>
  <c r="W18" i="7"/>
  <c r="W30" i="7"/>
  <c r="W8" i="7"/>
  <c r="W22" i="7"/>
  <c r="W28" i="7"/>
  <c r="W34" i="7"/>
  <c r="W11" i="7"/>
  <c r="W14" i="7"/>
  <c r="W10" i="7"/>
  <c r="W31" i="7"/>
  <c r="W9" i="7"/>
  <c r="W24" i="7"/>
  <c r="W13" i="7"/>
  <c r="W15" i="7"/>
  <c r="W17" i="7"/>
  <c r="W21" i="7"/>
  <c r="W27" i="7"/>
  <c r="W19" i="7"/>
  <c r="W12" i="7"/>
  <c r="W23" i="7"/>
  <c r="W25" i="7"/>
  <c r="W29" i="7"/>
  <c r="AG21" i="7"/>
  <c r="AG14" i="7"/>
  <c r="AG23" i="7"/>
  <c r="AG16" i="7"/>
  <c r="AG22" i="7"/>
  <c r="AG25" i="7"/>
  <c r="AG18" i="7"/>
  <c r="AG27" i="7"/>
  <c r="AG20" i="7"/>
  <c r="AG28" i="7"/>
  <c r="AG29" i="7"/>
  <c r="AG31" i="7"/>
  <c r="AG24" i="7"/>
  <c r="AG26" i="7"/>
  <c r="AG33" i="7"/>
  <c r="AG30" i="7"/>
  <c r="AG32" i="7"/>
  <c r="AG34" i="7"/>
  <c r="AG8" i="7"/>
  <c r="AG9" i="7"/>
  <c r="AG11" i="7"/>
  <c r="AG13" i="7"/>
  <c r="AG15" i="7"/>
  <c r="AG17" i="7"/>
  <c r="AG10" i="7"/>
  <c r="AG19" i="7"/>
  <c r="AG12" i="7"/>
  <c r="C8" i="7"/>
  <c r="C14" i="7"/>
  <c r="C16" i="7"/>
  <c r="C26" i="7"/>
  <c r="C12" i="7"/>
  <c r="C32" i="7"/>
  <c r="C22" i="7"/>
  <c r="C28" i="7"/>
  <c r="C24" i="7"/>
  <c r="C34" i="7"/>
  <c r="C18" i="7"/>
  <c r="C10" i="7"/>
  <c r="C20" i="7"/>
  <c r="C30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D11" i="5"/>
  <c r="AH6" i="7"/>
  <c r="X6" i="7"/>
  <c r="N6" i="7"/>
  <c r="D6" i="7"/>
  <c r="C14" i="5"/>
  <c r="C26" i="5"/>
  <c r="C38" i="5"/>
  <c r="C27" i="5"/>
  <c r="C39" i="5"/>
  <c r="C16" i="5"/>
  <c r="C28" i="5"/>
  <c r="C15" i="5"/>
  <c r="C18" i="5"/>
  <c r="C30" i="5"/>
  <c r="C19" i="5"/>
  <c r="C31" i="5"/>
  <c r="C20" i="5"/>
  <c r="C32" i="5"/>
  <c r="C34" i="5"/>
  <c r="C23" i="5"/>
  <c r="C36" i="5"/>
  <c r="C25" i="5"/>
  <c r="C29" i="5"/>
  <c r="C21" i="5"/>
  <c r="C33" i="5"/>
  <c r="C22" i="5"/>
  <c r="C35" i="5"/>
  <c r="C37" i="5"/>
  <c r="C17" i="5"/>
  <c r="C24" i="5"/>
  <c r="C13" i="5"/>
  <c r="K4" i="2"/>
  <c r="AH10" i="7" a="1"/>
  <c r="AH14" i="7" a="1"/>
  <c r="AH32" i="7" a="1"/>
  <c r="AH30" i="7" a="1"/>
  <c r="AH33" i="7" a="1"/>
  <c r="AH34" i="7" a="1"/>
  <c r="AH26" i="7" a="1"/>
  <c r="AH29" i="7" a="1"/>
  <c r="AH28" i="7" a="1"/>
  <c r="AH31" i="7" a="1"/>
  <c r="AH24" i="7" a="1"/>
  <c r="AH27" i="7" a="1"/>
  <c r="AH25" i="7" a="1"/>
  <c r="AH23" i="7" a="1"/>
  <c r="AH21" i="7" a="1"/>
  <c r="AH16" i="7" a="1"/>
  <c r="AH19" i="7" a="1"/>
  <c r="AH18" i="7" a="1"/>
  <c r="AH12" i="7" a="1"/>
  <c r="AH17" i="7" a="1"/>
  <c r="AH20" i="7" a="1"/>
  <c r="AH15" i="7" a="1"/>
  <c r="AH13" i="7" a="1"/>
  <c r="AH22" i="7" a="1"/>
  <c r="AH11" i="7" a="1"/>
  <c r="AH9" i="7" a="1"/>
  <c r="AH8" i="7" a="1"/>
  <c r="N15" i="7" a="1"/>
  <c r="N18" i="7" a="1"/>
  <c r="N13" i="7" a="1"/>
  <c r="N11" i="7" a="1"/>
  <c r="N14" i="7" a="1"/>
  <c r="N9" i="7" a="1"/>
  <c r="N16" i="7" a="1"/>
  <c r="N8" i="7" a="1"/>
  <c r="N10" i="7" a="1"/>
  <c r="N22" i="7" a="1"/>
  <c r="N12" i="7" a="1"/>
  <c r="N34" i="7" a="1"/>
  <c r="N29" i="7" a="1"/>
  <c r="N31" i="7" a="1"/>
  <c r="N32" i="7" a="1"/>
  <c r="N25" i="7" a="1"/>
  <c r="N33" i="7" a="1"/>
  <c r="N30" i="7" a="1"/>
  <c r="N28" i="7" a="1"/>
  <c r="N23" i="7" a="1"/>
  <c r="N17" i="7" a="1"/>
  <c r="N20" i="7" a="1"/>
  <c r="N27" i="7" a="1"/>
  <c r="N26" i="7" a="1"/>
  <c r="N21" i="7" a="1"/>
  <c r="N24" i="7" a="1"/>
  <c r="N19" i="7" a="1"/>
  <c r="X12" i="7" a="1"/>
  <c r="X22" i="7" a="1"/>
  <c r="X34" i="7" a="1"/>
  <c r="X10" i="7" a="1"/>
  <c r="X31" i="7" a="1"/>
  <c r="X24" i="7" a="1"/>
  <c r="X33" i="7" a="1"/>
  <c r="X29" i="7" a="1"/>
  <c r="X28" i="7" a="1"/>
  <c r="X27" i="7" a="1"/>
  <c r="X25" i="7" a="1"/>
  <c r="X23" i="7" a="1"/>
  <c r="X32" i="7" a="1"/>
  <c r="X21" i="7" a="1"/>
  <c r="X26" i="7" a="1"/>
  <c r="X19" i="7" a="1"/>
  <c r="X30" i="7" a="1"/>
  <c r="X20" i="7" a="1"/>
  <c r="X17" i="7" a="1"/>
  <c r="X16" i="7" a="1"/>
  <c r="X13" i="7" a="1"/>
  <c r="X8" i="7" a="1"/>
  <c r="X14" i="7" a="1"/>
  <c r="X11" i="7" a="1"/>
  <c r="X15" i="7" a="1"/>
  <c r="X18" i="7" a="1"/>
  <c r="X9" i="7" a="1"/>
  <c r="D33" i="7" a="1"/>
  <c r="D39" i="5" a="1"/>
  <c r="D34" i="7" a="1"/>
  <c r="D15" i="5" a="1"/>
  <c r="D19" i="5" a="1"/>
  <c r="D12" i="7" a="1"/>
  <c r="D30" i="5" a="1"/>
  <c r="D13" i="5" a="1"/>
  <c r="D16" i="7" a="1"/>
  <c r="D18" i="5" a="1"/>
  <c r="D17" i="5" a="1"/>
  <c r="D26" i="5" a="1"/>
  <c r="D25" i="5" a="1"/>
  <c r="D28" i="7" a="1"/>
  <c r="D20" i="5" a="1"/>
  <c r="D8" i="7" a="1"/>
  <c r="D34" i="5" a="1"/>
  <c r="D31" i="5" a="1"/>
  <c r="D38" i="5" a="1"/>
  <c r="D25" i="7" a="1"/>
  <c r="D29" i="7" a="1"/>
  <c r="D16" i="5" a="1"/>
  <c r="D10" i="7" a="1"/>
  <c r="D35" i="5" a="1"/>
  <c r="D23" i="5" a="1"/>
  <c r="D24" i="7" a="1"/>
  <c r="D24" i="5" a="1"/>
  <c r="D30" i="7" a="1"/>
  <c r="D22" i="5" a="1"/>
  <c r="D33" i="5" a="1"/>
  <c r="D14" i="7" a="1"/>
  <c r="D20" i="7" a="1"/>
  <c r="D22" i="7" a="1"/>
  <c r="D9" i="7" a="1"/>
  <c r="D32" i="7" a="1"/>
  <c r="D13" i="7" a="1"/>
  <c r="D14" i="5" a="1"/>
  <c r="D37" i="5" a="1"/>
  <c r="D29" i="5" a="1"/>
  <c r="D28" i="5" a="1"/>
  <c r="D32" i="5" a="1"/>
  <c r="D23" i="7" a="1"/>
  <c r="D36" i="5" a="1"/>
  <c r="D21" i="5" a="1"/>
  <c r="D18" i="7" a="1"/>
  <c r="D26" i="7" a="1"/>
  <c r="D11" i="7" a="1"/>
  <c r="D27" i="5" a="1"/>
  <c r="D15" i="7" a="1"/>
  <c r="D17" i="7" a="1"/>
  <c r="D19" i="7" a="1"/>
  <c r="D21" i="7" a="1"/>
  <c r="D27" i="7" a="1"/>
  <c r="D31" i="7" a="1"/>
  <c r="X9" i="7" l="1"/>
  <c r="X18" i="7"/>
  <c r="X15" i="7"/>
  <c r="X11" i="7"/>
  <c r="X14" i="7"/>
  <c r="X8" i="7"/>
  <c r="X13" i="7"/>
  <c r="X16" i="7"/>
  <c r="X17" i="7"/>
  <c r="X20" i="7"/>
  <c r="X30" i="7"/>
  <c r="X19" i="7"/>
  <c r="X26" i="7"/>
  <c r="X21" i="7"/>
  <c r="X32" i="7"/>
  <c r="X23" i="7"/>
  <c r="X25" i="7"/>
  <c r="X27" i="7"/>
  <c r="X28" i="7"/>
  <c r="X29" i="7"/>
  <c r="X33" i="7"/>
  <c r="X24" i="7"/>
  <c r="X31" i="7"/>
  <c r="X10" i="7"/>
  <c r="X34" i="7"/>
  <c r="X22" i="7"/>
  <c r="X12" i="7"/>
  <c r="N19" i="7"/>
  <c r="N24" i="7"/>
  <c r="N21" i="7"/>
  <c r="N26" i="7"/>
  <c r="N27" i="7"/>
  <c r="N20" i="7"/>
  <c r="N17" i="7"/>
  <c r="N23" i="7"/>
  <c r="N28" i="7"/>
  <c r="N30" i="7"/>
  <c r="N33" i="7"/>
  <c r="N25" i="7"/>
  <c r="N32" i="7"/>
  <c r="N31" i="7"/>
  <c r="N29" i="7"/>
  <c r="N34" i="7"/>
  <c r="N12" i="7"/>
  <c r="N22" i="7"/>
  <c r="N10" i="7"/>
  <c r="N8" i="7"/>
  <c r="N16" i="7"/>
  <c r="N9" i="7"/>
  <c r="N14" i="7"/>
  <c r="N11" i="7"/>
  <c r="N13" i="7"/>
  <c r="N18" i="7"/>
  <c r="N15" i="7"/>
  <c r="AH8" i="7"/>
  <c r="AH9" i="7"/>
  <c r="AH11" i="7"/>
  <c r="AH22" i="7"/>
  <c r="AH13" i="7"/>
  <c r="AH15" i="7"/>
  <c r="AH20" i="7"/>
  <c r="AH17" i="7"/>
  <c r="AH12" i="7"/>
  <c r="AH18" i="7"/>
  <c r="AH19" i="7"/>
  <c r="AH16" i="7"/>
  <c r="AH21" i="7"/>
  <c r="AH23" i="7"/>
  <c r="AH25" i="7"/>
  <c r="AH27" i="7"/>
  <c r="AH24" i="7"/>
  <c r="AH31" i="7"/>
  <c r="AH28" i="7"/>
  <c r="AH29" i="7"/>
  <c r="AH26" i="7"/>
  <c r="AH34" i="7"/>
  <c r="AH33" i="7"/>
  <c r="AH30" i="7"/>
  <c r="AH32" i="7"/>
  <c r="AH14" i="7"/>
  <c r="AH10" i="7"/>
  <c r="D8" i="7"/>
  <c r="D32" i="7"/>
  <c r="D30" i="7"/>
  <c r="D28" i="7"/>
  <c r="D26" i="7"/>
  <c r="D24" i="7"/>
  <c r="D22" i="7"/>
  <c r="D20" i="7"/>
  <c r="D18" i="7"/>
  <c r="D16" i="7"/>
  <c r="D14" i="7"/>
  <c r="D12" i="7"/>
  <c r="D10" i="7"/>
  <c r="D34" i="7"/>
  <c r="D33" i="7"/>
  <c r="D31" i="7"/>
  <c r="D29" i="7"/>
  <c r="D27" i="7"/>
  <c r="D25" i="7"/>
  <c r="D23" i="7"/>
  <c r="D21" i="7"/>
  <c r="D19" i="7"/>
  <c r="D17" i="7"/>
  <c r="D15" i="7"/>
  <c r="D13" i="7"/>
  <c r="D11" i="7"/>
  <c r="D9" i="7"/>
  <c r="D28" i="5"/>
  <c r="D29" i="5"/>
  <c r="D34" i="5"/>
  <c r="D14" i="5"/>
  <c r="D27" i="5"/>
  <c r="D20" i="5"/>
  <c r="D24" i="5"/>
  <c r="D25" i="5"/>
  <c r="D26" i="5"/>
  <c r="D17" i="5"/>
  <c r="D18" i="5"/>
  <c r="D23" i="5"/>
  <c r="D35" i="5"/>
  <c r="D13" i="5"/>
  <c r="D30" i="5"/>
  <c r="D19" i="5"/>
  <c r="D15" i="5"/>
  <c r="D39" i="5"/>
  <c r="D21" i="5"/>
  <c r="D16" i="5"/>
  <c r="D36" i="5"/>
  <c r="D33" i="5"/>
  <c r="D38" i="5"/>
  <c r="D32" i="5"/>
  <c r="D22" i="5"/>
  <c r="D31" i="5"/>
  <c r="D37" i="5"/>
  <c r="E11" i="5"/>
  <c r="AI6" i="7"/>
  <c r="Y6" i="7"/>
  <c r="O6" i="7"/>
  <c r="E6" i="7"/>
  <c r="L14" i="5"/>
  <c r="L36" i="5"/>
  <c r="L30" i="5"/>
  <c r="L29" i="5"/>
  <c r="L19" i="5"/>
  <c r="L20" i="5"/>
  <c r="L26" i="5"/>
  <c r="L25" i="5"/>
  <c r="L34" i="5"/>
  <c r="L32" i="5"/>
  <c r="L27" i="5"/>
  <c r="L16" i="5"/>
  <c r="L24" i="5"/>
  <c r="L35" i="5"/>
  <c r="L33" i="5"/>
  <c r="L15" i="5"/>
  <c r="L38" i="5"/>
  <c r="L37" i="5"/>
  <c r="L22" i="5"/>
  <c r="L31" i="5"/>
  <c r="L23" i="5"/>
  <c r="L17" i="5"/>
  <c r="L28" i="5"/>
  <c r="L18" i="5"/>
  <c r="L21" i="5"/>
  <c r="L13" i="5"/>
  <c r="K5" i="2"/>
  <c r="O33" i="7" a="1"/>
  <c r="O8" i="7" a="1"/>
  <c r="O31" i="7" a="1"/>
  <c r="O16" i="7" a="1"/>
  <c r="O12" i="7" a="1"/>
  <c r="O27" i="7" a="1"/>
  <c r="O29" i="7" a="1"/>
  <c r="O34" i="7" a="1"/>
  <c r="O25" i="7" a="1"/>
  <c r="O28" i="7" a="1"/>
  <c r="O19" i="7" a="1"/>
  <c r="O26" i="7" a="1"/>
  <c r="O17" i="7" a="1"/>
  <c r="O32" i="7" a="1"/>
  <c r="O24" i="7" a="1"/>
  <c r="O15" i="7" a="1"/>
  <c r="O30" i="7" a="1"/>
  <c r="O21" i="7" a="1"/>
  <c r="O22" i="7" a="1"/>
  <c r="O13" i="7" a="1"/>
  <c r="O20" i="7" a="1"/>
  <c r="O11" i="7" a="1"/>
  <c r="O18" i="7" a="1"/>
  <c r="O9" i="7" a="1"/>
  <c r="O23" i="7" a="1"/>
  <c r="O14" i="7" a="1"/>
  <c r="O10" i="7" a="1"/>
  <c r="Y34" i="7" a="1"/>
  <c r="Y27" i="7" a="1"/>
  <c r="Y16" i="7" a="1"/>
  <c r="Y25" i="7" a="1"/>
  <c r="Y21" i="7" a="1"/>
  <c r="Y28" i="7" a="1"/>
  <c r="Y19" i="7" a="1"/>
  <c r="Y23" i="7" a="1"/>
  <c r="Y17" i="7" a="1"/>
  <c r="Y15" i="7" a="1"/>
  <c r="Y24" i="7" a="1"/>
  <c r="Y13" i="7" a="1"/>
  <c r="Y11" i="7" a="1"/>
  <c r="Y32" i="7" a="1"/>
  <c r="Y10" i="7" a="1"/>
  <c r="Y9" i="7" a="1"/>
  <c r="Y26" i="7" a="1"/>
  <c r="Y22" i="7" a="1"/>
  <c r="Y20" i="7" a="1"/>
  <c r="Y12" i="7" a="1"/>
  <c r="Y18" i="7" a="1"/>
  <c r="Y14" i="7" a="1"/>
  <c r="Y33" i="7" a="1"/>
  <c r="Y8" i="7" a="1"/>
  <c r="Y31" i="7" a="1"/>
  <c r="Y30" i="7" a="1"/>
  <c r="Y29" i="7" a="1"/>
  <c r="AI15" i="7" a="1"/>
  <c r="AI13" i="7" a="1"/>
  <c r="AI11" i="7" a="1"/>
  <c r="AI9" i="7" a="1"/>
  <c r="AI16" i="7" a="1"/>
  <c r="AI10" i="7" a="1"/>
  <c r="AI20" i="7" a="1"/>
  <c r="AI32" i="7" a="1"/>
  <c r="AI14" i="7" a="1"/>
  <c r="AI22" i="7" a="1"/>
  <c r="AI12" i="7" a="1"/>
  <c r="AI28" i="7" a="1"/>
  <c r="AI34" i="7" a="1"/>
  <c r="AI33" i="7" a="1"/>
  <c r="AI26" i="7" a="1"/>
  <c r="AI29" i="7" a="1"/>
  <c r="AI27" i="7" a="1"/>
  <c r="AI24" i="7" a="1"/>
  <c r="AI18" i="7" a="1"/>
  <c r="AI23" i="7" a="1"/>
  <c r="AI25" i="7" a="1"/>
  <c r="AI21" i="7" a="1"/>
  <c r="AI8" i="7" a="1"/>
  <c r="AI31" i="7" a="1"/>
  <c r="AI30" i="7" a="1"/>
  <c r="AI19" i="7" a="1"/>
  <c r="AI17" i="7" a="1"/>
  <c r="E29" i="7" a="1"/>
  <c r="E34" i="5" a="1"/>
  <c r="E31" i="7" a="1"/>
  <c r="E21" i="5" a="1"/>
  <c r="E31" i="5" a="1"/>
  <c r="E24" i="7" a="1"/>
  <c r="E34" i="7" a="1"/>
  <c r="E22" i="7" a="1"/>
  <c r="E18" i="7" a="1"/>
  <c r="E32" i="7" a="1"/>
  <c r="E29" i="5" a="1"/>
  <c r="E9" i="7" a="1"/>
  <c r="E8" i="7" a="1"/>
  <c r="E15" i="7" a="1"/>
  <c r="E35" i="5" a="1"/>
  <c r="E33" i="7" a="1"/>
  <c r="E22" i="5" a="1"/>
  <c r="E16" i="7" a="1"/>
  <c r="E16" i="5" a="1"/>
  <c r="E17" i="5" a="1"/>
  <c r="E12" i="7" a="1"/>
  <c r="E13" i="7" a="1"/>
  <c r="E15" i="5" a="1"/>
  <c r="E13" i="5" a="1"/>
  <c r="E25" i="7" a="1"/>
  <c r="E30" i="7" a="1"/>
  <c r="E33" i="5" a="1"/>
  <c r="E20" i="7" a="1"/>
  <c r="E23" i="5" a="1"/>
  <c r="E36" i="5" a="1"/>
  <c r="E28" i="5" a="1"/>
  <c r="E37" i="5" a="1"/>
  <c r="E30" i="5" a="1"/>
  <c r="E26" i="7" a="1"/>
  <c r="E26" i="5" a="1"/>
  <c r="E17" i="7" a="1"/>
  <c r="E23" i="7" a="1"/>
  <c r="E10" i="7" a="1"/>
  <c r="E18" i="5" a="1"/>
  <c r="E14" i="7" a="1"/>
  <c r="E11" i="7" a="1"/>
  <c r="E25" i="5" a="1"/>
  <c r="E32" i="5" a="1"/>
  <c r="E19" i="7" a="1"/>
  <c r="E27" i="5" a="1"/>
  <c r="E28" i="7" a="1"/>
  <c r="E19" i="5" a="1"/>
  <c r="E27" i="7" a="1"/>
  <c r="E38" i="5" a="1"/>
  <c r="E39" i="5" a="1"/>
  <c r="E14" i="5" a="1"/>
  <c r="E21" i="7" a="1"/>
  <c r="E20" i="5" a="1"/>
  <c r="E24" i="5" a="1"/>
  <c r="AI17" i="7" l="1"/>
  <c r="AI19" i="7"/>
  <c r="AI30" i="7"/>
  <c r="AI31" i="7"/>
  <c r="AI8" i="7"/>
  <c r="AI21" i="7"/>
  <c r="AI25" i="7"/>
  <c r="AI23" i="7"/>
  <c r="AI18" i="7"/>
  <c r="AI24" i="7"/>
  <c r="AI27" i="7"/>
  <c r="AI29" i="7"/>
  <c r="AI26" i="7"/>
  <c r="AI33" i="7"/>
  <c r="AI34" i="7"/>
  <c r="AI28" i="7"/>
  <c r="AI12" i="7"/>
  <c r="AI22" i="7"/>
  <c r="AI14" i="7"/>
  <c r="AI32" i="7"/>
  <c r="AI20" i="7"/>
  <c r="AI10" i="7"/>
  <c r="AI16" i="7"/>
  <c r="AI9" i="7"/>
  <c r="AI11" i="7"/>
  <c r="AI13" i="7"/>
  <c r="AI15" i="7"/>
  <c r="Y29" i="7"/>
  <c r="Y30" i="7"/>
  <c r="Y31" i="7"/>
  <c r="Y8" i="7"/>
  <c r="Y33" i="7"/>
  <c r="Y14" i="7"/>
  <c r="Y18" i="7"/>
  <c r="Y12" i="7"/>
  <c r="Y20" i="7"/>
  <c r="Y22" i="7"/>
  <c r="Y26" i="7"/>
  <c r="Y9" i="7"/>
  <c r="Y10" i="7"/>
  <c r="Y32" i="7"/>
  <c r="Y11" i="7"/>
  <c r="Y13" i="7"/>
  <c r="Y24" i="7"/>
  <c r="Y15" i="7"/>
  <c r="Y17" i="7"/>
  <c r="Y23" i="7"/>
  <c r="Y19" i="7"/>
  <c r="Y28" i="7"/>
  <c r="Y21" i="7"/>
  <c r="Y25" i="7"/>
  <c r="Y16" i="7"/>
  <c r="Y27" i="7"/>
  <c r="Y34" i="7"/>
  <c r="O10" i="7"/>
  <c r="O14" i="7"/>
  <c r="O23" i="7"/>
  <c r="O9" i="7"/>
  <c r="O18" i="7"/>
  <c r="O11" i="7"/>
  <c r="O20" i="7"/>
  <c r="O13" i="7"/>
  <c r="O22" i="7"/>
  <c r="O21" i="7"/>
  <c r="O30" i="7"/>
  <c r="O15" i="7"/>
  <c r="O24" i="7"/>
  <c r="O32" i="7"/>
  <c r="O17" i="7"/>
  <c r="O26" i="7"/>
  <c r="O19" i="7"/>
  <c r="O28" i="7"/>
  <c r="O25" i="7"/>
  <c r="O34" i="7"/>
  <c r="O29" i="7"/>
  <c r="O27" i="7"/>
  <c r="O12" i="7"/>
  <c r="O16" i="7"/>
  <c r="O31" i="7"/>
  <c r="O8" i="7"/>
  <c r="O33" i="7"/>
  <c r="M22" i="5"/>
  <c r="M16" i="5"/>
  <c r="E8" i="7"/>
  <c r="E12" i="7"/>
  <c r="E28" i="7"/>
  <c r="E14" i="7"/>
  <c r="E26" i="7"/>
  <c r="E32" i="7"/>
  <c r="E18" i="7"/>
  <c r="E22" i="7"/>
  <c r="E34" i="7"/>
  <c r="E24" i="7"/>
  <c r="E10" i="7"/>
  <c r="E20" i="7"/>
  <c r="E30" i="7"/>
  <c r="E16" i="7"/>
  <c r="E33" i="7"/>
  <c r="E31" i="7"/>
  <c r="E29" i="7"/>
  <c r="E27" i="7"/>
  <c r="E25" i="7"/>
  <c r="E23" i="7"/>
  <c r="E21" i="7"/>
  <c r="E19" i="7"/>
  <c r="E17" i="7"/>
  <c r="E15" i="7"/>
  <c r="E13" i="7"/>
  <c r="E11" i="7"/>
  <c r="E9" i="7"/>
  <c r="M18" i="5"/>
  <c r="M19" i="5"/>
  <c r="M13" i="5"/>
  <c r="M36" i="5"/>
  <c r="M33" i="5"/>
  <c r="M30" i="5"/>
  <c r="M29" i="5"/>
  <c r="M21" i="5"/>
  <c r="M35" i="5"/>
  <c r="M15" i="5"/>
  <c r="M17" i="5"/>
  <c r="M25" i="5"/>
  <c r="M23" i="5"/>
  <c r="M24" i="5"/>
  <c r="M27" i="5"/>
  <c r="M31" i="5"/>
  <c r="M37" i="5"/>
  <c r="M32" i="5"/>
  <c r="M20" i="5"/>
  <c r="M38" i="5"/>
  <c r="E14" i="5"/>
  <c r="E39" i="5"/>
  <c r="E19" i="5"/>
  <c r="E25" i="5"/>
  <c r="E38" i="5"/>
  <c r="E26" i="5"/>
  <c r="E29" i="5"/>
  <c r="E18" i="5"/>
  <c r="E30" i="5"/>
  <c r="E17" i="5"/>
  <c r="E37" i="5"/>
  <c r="E28" i="5"/>
  <c r="E36" i="5"/>
  <c r="E16" i="5"/>
  <c r="E23" i="5"/>
  <c r="E33" i="5"/>
  <c r="E31" i="5"/>
  <c r="E22" i="5"/>
  <c r="E21" i="5"/>
  <c r="E34" i="5"/>
  <c r="E20" i="5"/>
  <c r="E35" i="5"/>
  <c r="E13" i="5"/>
  <c r="E27" i="5"/>
  <c r="E15" i="5"/>
  <c r="E24" i="5"/>
  <c r="E32" i="5"/>
  <c r="M26" i="5"/>
  <c r="M34" i="5"/>
  <c r="M28" i="5"/>
  <c r="M14" i="5"/>
  <c r="F11" i="5"/>
  <c r="AJ6" i="7"/>
  <c r="Z6" i="7"/>
  <c r="F6" i="7"/>
  <c r="P6" i="7"/>
  <c r="K6" i="2"/>
  <c r="P17" i="7" a="1"/>
  <c r="P15" i="7" a="1"/>
  <c r="P34" i="7" a="1"/>
  <c r="P14" i="7" a="1"/>
  <c r="P13" i="7" a="1"/>
  <c r="P8" i="7" a="1"/>
  <c r="P20" i="7" a="1"/>
  <c r="P31" i="7" a="1"/>
  <c r="P16" i="7" a="1"/>
  <c r="P30" i="7" a="1"/>
  <c r="P32" i="7" a="1"/>
  <c r="P10" i="7" a="1"/>
  <c r="P26" i="7" a="1"/>
  <c r="P18" i="7" a="1"/>
  <c r="P28" i="7" a="1"/>
  <c r="P12" i="7" a="1"/>
  <c r="P11" i="7" a="1"/>
  <c r="P33" i="7" a="1"/>
  <c r="P29" i="7" a="1"/>
  <c r="P22" i="7" a="1"/>
  <c r="P25" i="7" a="1"/>
  <c r="P9" i="7" a="1"/>
  <c r="P24" i="7" a="1"/>
  <c r="P27" i="7" a="1"/>
  <c r="P23" i="7" a="1"/>
  <c r="P21" i="7" a="1"/>
  <c r="P19" i="7" a="1"/>
  <c r="AJ32" i="7" a="1"/>
  <c r="AJ14" i="7" a="1"/>
  <c r="AJ33" i="7" a="1"/>
  <c r="AJ10" i="7" a="1"/>
  <c r="AJ31" i="7" a="1"/>
  <c r="AJ29" i="7" a="1"/>
  <c r="AJ16" i="7" a="1"/>
  <c r="AJ28" i="7" a="1"/>
  <c r="AJ27" i="7" a="1"/>
  <c r="AJ25" i="7" a="1"/>
  <c r="AJ23" i="7" a="1"/>
  <c r="AJ21" i="7" a="1"/>
  <c r="AJ19" i="7" a="1"/>
  <c r="AJ17" i="7" a="1"/>
  <c r="AJ15" i="7" a="1"/>
  <c r="AJ24" i="7" a="1"/>
  <c r="AJ13" i="7" a="1"/>
  <c r="AJ11" i="7" a="1"/>
  <c r="AJ34" i="7" a="1"/>
  <c r="AJ26" i="7" a="1"/>
  <c r="AJ9" i="7" a="1"/>
  <c r="AJ8" i="7" a="1"/>
  <c r="AJ12" i="7" a="1"/>
  <c r="AJ22" i="7" a="1"/>
  <c r="AJ18" i="7" a="1"/>
  <c r="AJ30" i="7" a="1"/>
  <c r="AJ20" i="7" a="1"/>
  <c r="Z22" i="7" a="1"/>
  <c r="Z18" i="7" a="1"/>
  <c r="Z28" i="7" a="1"/>
  <c r="Z16" i="7" a="1"/>
  <c r="Z24" i="7" a="1"/>
  <c r="Z12" i="7" a="1"/>
  <c r="Z10" i="7" a="1"/>
  <c r="Z20" i="7" a="1"/>
  <c r="Z14" i="7" a="1"/>
  <c r="Z29" i="7" a="1"/>
  <c r="Z27" i="7" a="1"/>
  <c r="Z34" i="7" a="1"/>
  <c r="Z25" i="7" a="1"/>
  <c r="Z33" i="7" a="1"/>
  <c r="Z31" i="7" a="1"/>
  <c r="Z32" i="7" a="1"/>
  <c r="Z23" i="7" a="1"/>
  <c r="Z21" i="7" a="1"/>
  <c r="Z19" i="7" a="1"/>
  <c r="Z15" i="7" a="1"/>
  <c r="Z13" i="7" a="1"/>
  <c r="Z9" i="7" a="1"/>
  <c r="Z17" i="7" a="1"/>
  <c r="Z11" i="7" a="1"/>
  <c r="Z8" i="7" a="1"/>
  <c r="Z26" i="7" a="1"/>
  <c r="Z30" i="7" a="1"/>
  <c r="F31" i="7" a="1"/>
  <c r="F21" i="5" a="1"/>
  <c r="F33" i="7" a="1"/>
  <c r="F31" i="5" a="1"/>
  <c r="F14" i="5" a="1"/>
  <c r="F26" i="7" a="1"/>
  <c r="F38" i="5" a="1"/>
  <c r="F22" i="5" a="1"/>
  <c r="F30" i="7" a="1"/>
  <c r="F10" i="7" a="1"/>
  <c r="F37" i="5" a="1"/>
  <c r="F11" i="7" a="1"/>
  <c r="F29" i="5" a="1"/>
  <c r="F34" i="5" a="1"/>
  <c r="F25" i="7" a="1"/>
  <c r="F29" i="7" a="1"/>
  <c r="F18" i="5" a="1"/>
  <c r="F16" i="5" a="1"/>
  <c r="F20" i="7" a="1"/>
  <c r="F26" i="5" a="1"/>
  <c r="F28" i="7" a="1"/>
  <c r="F18" i="7" a="1"/>
  <c r="F9" i="7" a="1"/>
  <c r="F36" i="5" a="1"/>
  <c r="F19" i="7" a="1"/>
  <c r="F17" i="5" a="1"/>
  <c r="F16" i="7" a="1"/>
  <c r="F24" i="7" a="1"/>
  <c r="F27" i="5" a="1"/>
  <c r="F33" i="5" a="1"/>
  <c r="F15" i="5" a="1"/>
  <c r="F39" i="5" a="1"/>
  <c r="F32" i="7" a="1"/>
  <c r="F30" i="5" a="1"/>
  <c r="F28" i="5" a="1"/>
  <c r="F20" i="5" a="1"/>
  <c r="F23" i="5" a="1"/>
  <c r="F21" i="7" a="1"/>
  <c r="F22" i="7" a="1"/>
  <c r="F14" i="7" a="1"/>
  <c r="F25" i="5" a="1"/>
  <c r="F12" i="7" a="1"/>
  <c r="F34" i="7" a="1"/>
  <c r="F19" i="5" a="1"/>
  <c r="F13" i="7" a="1"/>
  <c r="F8" i="7" a="1"/>
  <c r="F15" i="7" a="1"/>
  <c r="F35" i="5" a="1"/>
  <c r="F24" i="5" a="1"/>
  <c r="F32" i="5" a="1"/>
  <c r="F23" i="7" a="1"/>
  <c r="F17" i="7" a="1"/>
  <c r="F27" i="7" a="1"/>
  <c r="F13" i="5" a="1"/>
  <c r="Z30" i="7" l="1"/>
  <c r="Z26" i="7"/>
  <c r="Z8" i="7"/>
  <c r="Z11" i="7"/>
  <c r="Z17" i="7"/>
  <c r="Z9" i="7"/>
  <c r="Z13" i="7"/>
  <c r="Z15" i="7"/>
  <c r="Z19" i="7"/>
  <c r="Z21" i="7"/>
  <c r="Z23" i="7"/>
  <c r="Z32" i="7"/>
  <c r="Z31" i="7"/>
  <c r="Z33" i="7"/>
  <c r="Z25" i="7"/>
  <c r="Z34" i="7"/>
  <c r="Z27" i="7"/>
  <c r="Z29" i="7"/>
  <c r="Z14" i="7"/>
  <c r="Z20" i="7"/>
  <c r="Z10" i="7"/>
  <c r="Z12" i="7"/>
  <c r="Z24" i="7"/>
  <c r="Z16" i="7"/>
  <c r="Z28" i="7"/>
  <c r="Z18" i="7"/>
  <c r="Z22" i="7"/>
  <c r="AJ20" i="7"/>
  <c r="AJ30" i="7"/>
  <c r="AJ18" i="7"/>
  <c r="AJ22" i="7"/>
  <c r="AJ12" i="7"/>
  <c r="AJ8" i="7"/>
  <c r="AJ9" i="7"/>
  <c r="AJ26" i="7"/>
  <c r="AJ34" i="7"/>
  <c r="AJ11" i="7"/>
  <c r="AJ13" i="7"/>
  <c r="AJ24" i="7"/>
  <c r="AJ15" i="7"/>
  <c r="AJ17" i="7"/>
  <c r="AJ19" i="7"/>
  <c r="AJ21" i="7"/>
  <c r="AJ23" i="7"/>
  <c r="AJ25" i="7"/>
  <c r="AJ27" i="7"/>
  <c r="AJ28" i="7"/>
  <c r="AJ16" i="7"/>
  <c r="AJ29" i="7"/>
  <c r="AJ31" i="7"/>
  <c r="AJ10" i="7"/>
  <c r="AJ33" i="7"/>
  <c r="AJ14" i="7"/>
  <c r="AJ32" i="7"/>
  <c r="P19" i="7"/>
  <c r="P21" i="7"/>
  <c r="P23" i="7"/>
  <c r="P27" i="7"/>
  <c r="P24" i="7"/>
  <c r="P9" i="7"/>
  <c r="P25" i="7"/>
  <c r="P22" i="7"/>
  <c r="P29" i="7"/>
  <c r="P33" i="7"/>
  <c r="P11" i="7"/>
  <c r="P12" i="7"/>
  <c r="P28" i="7"/>
  <c r="P18" i="7"/>
  <c r="P26" i="7"/>
  <c r="P10" i="7"/>
  <c r="P32" i="7"/>
  <c r="P30" i="7"/>
  <c r="P16" i="7"/>
  <c r="P31" i="7"/>
  <c r="P20" i="7"/>
  <c r="P8" i="7"/>
  <c r="P13" i="7"/>
  <c r="P14" i="7"/>
  <c r="P34" i="7"/>
  <c r="P15" i="7"/>
  <c r="P17" i="7"/>
  <c r="F8" i="7"/>
  <c r="F34" i="7"/>
  <c r="F12" i="7"/>
  <c r="F32" i="7"/>
  <c r="F14" i="7"/>
  <c r="F18" i="7"/>
  <c r="F28" i="7"/>
  <c r="F22" i="7"/>
  <c r="F10" i="7"/>
  <c r="F30" i="7"/>
  <c r="F24" i="7"/>
  <c r="F20" i="7"/>
  <c r="F16" i="7"/>
  <c r="F26" i="7"/>
  <c r="F29" i="7"/>
  <c r="F33" i="7"/>
  <c r="F31" i="7"/>
  <c r="F27" i="7"/>
  <c r="F25" i="7"/>
  <c r="F23" i="7"/>
  <c r="F21" i="7"/>
  <c r="F19" i="7"/>
  <c r="F17" i="7"/>
  <c r="F15" i="7"/>
  <c r="F13" i="7"/>
  <c r="F11" i="7"/>
  <c r="F9" i="7"/>
  <c r="N35" i="5"/>
  <c r="N33" i="5"/>
  <c r="N23" i="5"/>
  <c r="N22" i="5"/>
  <c r="N14" i="5"/>
  <c r="N13" i="5"/>
  <c r="N37" i="5"/>
  <c r="N24" i="5"/>
  <c r="N32" i="5"/>
  <c r="N19" i="5"/>
  <c r="N21" i="5"/>
  <c r="N17" i="5"/>
  <c r="N20" i="5"/>
  <c r="N29" i="5"/>
  <c r="N25" i="5"/>
  <c r="N26" i="5"/>
  <c r="N38" i="5"/>
  <c r="N34" i="5"/>
  <c r="N15" i="5"/>
  <c r="N36" i="5"/>
  <c r="N18" i="5"/>
  <c r="N27" i="5"/>
  <c r="N16" i="5"/>
  <c r="N30" i="5"/>
  <c r="F23" i="5"/>
  <c r="F20" i="5"/>
  <c r="F32" i="5"/>
  <c r="F28" i="5"/>
  <c r="F19" i="5"/>
  <c r="F30" i="5"/>
  <c r="F25" i="5"/>
  <c r="F39" i="5"/>
  <c r="F15" i="5"/>
  <c r="F37" i="5"/>
  <c r="F33" i="5"/>
  <c r="F26" i="5"/>
  <c r="F27" i="5"/>
  <c r="F22" i="5"/>
  <c r="F38" i="5"/>
  <c r="F16" i="5"/>
  <c r="F18" i="5"/>
  <c r="F14" i="5"/>
  <c r="F31" i="5"/>
  <c r="F21" i="5"/>
  <c r="F17" i="5"/>
  <c r="F13" i="5"/>
  <c r="F34" i="5"/>
  <c r="F24" i="5"/>
  <c r="F35" i="5"/>
  <c r="F29" i="5"/>
  <c r="F36" i="5"/>
  <c r="N28" i="5"/>
  <c r="G11" i="5"/>
  <c r="AK6" i="7"/>
  <c r="AA6" i="7"/>
  <c r="G6" i="7"/>
  <c r="Q6" i="7"/>
  <c r="N31" i="5"/>
  <c r="K7" i="2"/>
  <c r="Q10" i="7" a="1"/>
  <c r="Q11" i="7" a="1"/>
  <c r="Q16" i="7" a="1"/>
  <c r="Q8" i="7" a="1"/>
  <c r="Q18" i="7" a="1"/>
  <c r="Q12" i="7" a="1"/>
  <c r="Q34" i="7" a="1"/>
  <c r="Q33" i="7" a="1"/>
  <c r="Q29" i="7" a="1"/>
  <c r="Q27" i="7" a="1"/>
  <c r="Q21" i="7" a="1"/>
  <c r="Q25" i="7" a="1"/>
  <c r="Q28" i="7" a="1"/>
  <c r="Q9" i="7" a="1"/>
  <c r="Q19" i="7" a="1"/>
  <c r="Q15" i="7" a="1"/>
  <c r="Q24" i="7" a="1"/>
  <c r="Q13" i="7" a="1"/>
  <c r="Q26" i="7" a="1"/>
  <c r="Q20" i="7" a="1"/>
  <c r="Q31" i="7" a="1"/>
  <c r="Q30" i="7" a="1"/>
  <c r="Q14" i="7" a="1"/>
  <c r="Q32" i="7" a="1"/>
  <c r="Q22" i="7" a="1"/>
  <c r="Q23" i="7" a="1"/>
  <c r="Q17" i="7" a="1"/>
  <c r="AA32" i="7" a="1"/>
  <c r="AA20" i="7" a="1"/>
  <c r="AA13" i="7" a="1"/>
  <c r="AA9" i="7" a="1"/>
  <c r="AA28" i="7" a="1"/>
  <c r="AA31" i="7" a="1"/>
  <c r="AA16" i="7" a="1"/>
  <c r="AA10" i="7" a="1"/>
  <c r="AA22" i="7" a="1"/>
  <c r="AA14" i="7" a="1"/>
  <c r="AA29" i="7" a="1"/>
  <c r="AA25" i="7" a="1"/>
  <c r="AA23" i="7" a="1"/>
  <c r="AA30" i="7" a="1"/>
  <c r="AA33" i="7" a="1"/>
  <c r="AA15" i="7" a="1"/>
  <c r="AA11" i="7" a="1"/>
  <c r="AA18" i="7" a="1"/>
  <c r="AA24" i="7" a="1"/>
  <c r="AA19" i="7" a="1"/>
  <c r="AA34" i="7" a="1"/>
  <c r="AA12" i="7" a="1"/>
  <c r="AA17" i="7" a="1"/>
  <c r="AA21" i="7" a="1"/>
  <c r="AA27" i="7" a="1"/>
  <c r="AA8" i="7" a="1"/>
  <c r="AA26" i="7" a="1"/>
  <c r="AK15" i="7" a="1"/>
  <c r="AK29" i="7" a="1"/>
  <c r="AK21" i="7" a="1"/>
  <c r="AK10" i="7" a="1"/>
  <c r="AK25" i="7" a="1"/>
  <c r="AK27" i="7" a="1"/>
  <c r="AK24" i="7" a="1"/>
  <c r="AK34" i="7" a="1"/>
  <c r="AK12" i="7" a="1"/>
  <c r="AK28" i="7" a="1"/>
  <c r="AK23" i="7" a="1"/>
  <c r="AK17" i="7" a="1"/>
  <c r="AK31" i="7" a="1"/>
  <c r="AK20" i="7" a="1"/>
  <c r="AK8" i="7" a="1"/>
  <c r="AK33" i="7" a="1"/>
  <c r="AK13" i="7" a="1"/>
  <c r="AK18" i="7" a="1"/>
  <c r="AK19" i="7" a="1"/>
  <c r="AK11" i="7" a="1"/>
  <c r="AK30" i="7" a="1"/>
  <c r="AK14" i="7" a="1"/>
  <c r="AK16" i="7" a="1"/>
  <c r="AK26" i="7" a="1"/>
  <c r="AK32" i="7" a="1"/>
  <c r="AK22" i="7" a="1"/>
  <c r="AK9" i="7" a="1"/>
  <c r="G28" i="7" a="1"/>
  <c r="G29" i="5" a="1"/>
  <c r="G15" i="7" a="1"/>
  <c r="G27" i="5" a="1"/>
  <c r="G22" i="7" a="1"/>
  <c r="G19" i="5" a="1"/>
  <c r="G25" i="7" a="1"/>
  <c r="G31" i="7" a="1"/>
  <c r="G14" i="5" a="1"/>
  <c r="G20" i="7" a="1"/>
  <c r="G12" i="7" a="1"/>
  <c r="G16" i="7" a="1"/>
  <c r="G29" i="7" a="1"/>
  <c r="G32" i="5" a="1"/>
  <c r="G17" i="5" a="1"/>
  <c r="G14" i="7" a="1"/>
  <c r="G32" i="7" a="1"/>
  <c r="G19" i="7" a="1"/>
  <c r="G34" i="7" a="1"/>
  <c r="G30" i="5" a="1"/>
  <c r="G17" i="7" a="1"/>
  <c r="G33" i="7" a="1"/>
  <c r="G34" i="5" a="1"/>
  <c r="G18" i="5" a="1"/>
  <c r="G37" i="5" a="1"/>
  <c r="G11" i="7" a="1"/>
  <c r="G24" i="5" a="1"/>
  <c r="G26" i="5" a="1"/>
  <c r="G20" i="5" a="1"/>
  <c r="G35" i="5" a="1"/>
  <c r="G18" i="7" a="1"/>
  <c r="G23" i="5" a="1"/>
  <c r="G16" i="5" a="1"/>
  <c r="G9" i="7" a="1"/>
  <c r="G13" i="5" a="1"/>
  <c r="G8" i="7" a="1"/>
  <c r="G26" i="7" a="1"/>
  <c r="G38" i="5" a="1"/>
  <c r="G24" i="7" a="1"/>
  <c r="G25" i="5" a="1"/>
  <c r="G22" i="5" a="1"/>
  <c r="G28" i="5" a="1"/>
  <c r="G27" i="7" a="1"/>
  <c r="G21" i="5" a="1"/>
  <c r="G39" i="5" a="1"/>
  <c r="G10" i="7" a="1"/>
  <c r="G23" i="7" a="1"/>
  <c r="G15" i="5" a="1"/>
  <c r="G13" i="7" a="1"/>
  <c r="G30" i="7" a="1"/>
  <c r="G31" i="5" a="1"/>
  <c r="G21" i="7" a="1"/>
  <c r="G36" i="5" a="1"/>
  <c r="G33" i="5" a="1"/>
  <c r="AK9" i="7" l="1"/>
  <c r="AK22" i="7"/>
  <c r="AK32" i="7"/>
  <c r="AK26" i="7"/>
  <c r="AK16" i="7"/>
  <c r="AK14" i="7"/>
  <c r="AK30" i="7"/>
  <c r="AK11" i="7"/>
  <c r="AK19" i="7"/>
  <c r="AK18" i="7"/>
  <c r="AK13" i="7"/>
  <c r="AK33" i="7"/>
  <c r="AK8" i="7"/>
  <c r="AK20" i="7"/>
  <c r="AK31" i="7"/>
  <c r="AK17" i="7"/>
  <c r="AK23" i="7"/>
  <c r="AK28" i="7"/>
  <c r="AK12" i="7"/>
  <c r="AK34" i="7"/>
  <c r="AK24" i="7"/>
  <c r="AK27" i="7"/>
  <c r="AK25" i="7"/>
  <c r="AK10" i="7"/>
  <c r="AK21" i="7"/>
  <c r="AK29" i="7"/>
  <c r="AK15" i="7"/>
  <c r="AA26" i="7"/>
  <c r="AA8" i="7"/>
  <c r="AA27" i="7"/>
  <c r="AA21" i="7"/>
  <c r="AA17" i="7"/>
  <c r="AA12" i="7"/>
  <c r="AA34" i="7"/>
  <c r="AA19" i="7"/>
  <c r="AA24" i="7"/>
  <c r="AA18" i="7"/>
  <c r="AA11" i="7"/>
  <c r="AA15" i="7"/>
  <c r="AA33" i="7"/>
  <c r="AA30" i="7"/>
  <c r="AA23" i="7"/>
  <c r="AA25" i="7"/>
  <c r="AA29" i="7"/>
  <c r="AA14" i="7"/>
  <c r="AA22" i="7"/>
  <c r="AA10" i="7"/>
  <c r="AA16" i="7"/>
  <c r="AA31" i="7"/>
  <c r="AA28" i="7"/>
  <c r="AA9" i="7"/>
  <c r="AA13" i="7"/>
  <c r="AA20" i="7"/>
  <c r="AA32" i="7"/>
  <c r="Q17" i="7"/>
  <c r="Q23" i="7"/>
  <c r="Q22" i="7"/>
  <c r="Q32" i="7"/>
  <c r="Q14" i="7"/>
  <c r="Q30" i="7"/>
  <c r="Q31" i="7"/>
  <c r="Q20" i="7"/>
  <c r="Q26" i="7"/>
  <c r="Q13" i="7"/>
  <c r="Q24" i="7"/>
  <c r="Q15" i="7"/>
  <c r="Q19" i="7"/>
  <c r="Q9" i="7"/>
  <c r="Q28" i="7"/>
  <c r="Q25" i="7"/>
  <c r="Q21" i="7"/>
  <c r="Q27" i="7"/>
  <c r="Q29" i="7"/>
  <c r="Q33" i="7"/>
  <c r="Q34" i="7"/>
  <c r="Q12" i="7"/>
  <c r="Q18" i="7"/>
  <c r="Q8" i="7"/>
  <c r="Q16" i="7"/>
  <c r="Q11" i="7"/>
  <c r="Q10" i="7"/>
  <c r="G8" i="7"/>
  <c r="G17" i="7"/>
  <c r="G24" i="7"/>
  <c r="G10" i="7"/>
  <c r="G20" i="7"/>
  <c r="G18" i="7"/>
  <c r="G34" i="7"/>
  <c r="G31" i="7"/>
  <c r="G19" i="7"/>
  <c r="G32" i="7"/>
  <c r="G25" i="7"/>
  <c r="G14" i="7"/>
  <c r="G11" i="7"/>
  <c r="G22" i="7"/>
  <c r="G29" i="7"/>
  <c r="G15" i="7"/>
  <c r="G28" i="7"/>
  <c r="G21" i="7"/>
  <c r="G30" i="7"/>
  <c r="G27" i="7"/>
  <c r="G16" i="7"/>
  <c r="G13" i="7"/>
  <c r="G26" i="7"/>
  <c r="G23" i="7"/>
  <c r="G33" i="7"/>
  <c r="G12" i="7"/>
  <c r="G9" i="7"/>
  <c r="O13" i="5"/>
  <c r="O26" i="5"/>
  <c r="O31" i="5"/>
  <c r="O16" i="5"/>
  <c r="O27" i="5"/>
  <c r="O30" i="5"/>
  <c r="O18" i="5"/>
  <c r="O35" i="5"/>
  <c r="O36" i="5"/>
  <c r="O19" i="5"/>
  <c r="O28" i="5"/>
  <c r="O37" i="5"/>
  <c r="O29" i="5"/>
  <c r="O22" i="5"/>
  <c r="O25" i="5"/>
  <c r="O32" i="5"/>
  <c r="O17" i="5"/>
  <c r="O38" i="5"/>
  <c r="O23" i="5"/>
  <c r="O33" i="5"/>
  <c r="O20" i="5"/>
  <c r="O14" i="5"/>
  <c r="O15" i="5"/>
  <c r="G22" i="5"/>
  <c r="G15" i="5"/>
  <c r="G18" i="5"/>
  <c r="G34" i="5"/>
  <c r="G13" i="5"/>
  <c r="G30" i="5"/>
  <c r="G16" i="5"/>
  <c r="G23" i="5"/>
  <c r="G39" i="5"/>
  <c r="G14" i="5"/>
  <c r="G35" i="5"/>
  <c r="G20" i="5"/>
  <c r="G21" i="5"/>
  <c r="G26" i="5"/>
  <c r="G24" i="5"/>
  <c r="G19" i="5"/>
  <c r="G17" i="5"/>
  <c r="G32" i="5"/>
  <c r="G27" i="5"/>
  <c r="G29" i="5"/>
  <c r="G33" i="5"/>
  <c r="G36" i="5"/>
  <c r="G31" i="5"/>
  <c r="G28" i="5"/>
  <c r="G38" i="5"/>
  <c r="G37" i="5"/>
  <c r="G25" i="5"/>
  <c r="H11" i="5"/>
  <c r="AL6" i="7"/>
  <c r="AB6" i="7"/>
  <c r="H6" i="7"/>
  <c r="R6" i="7"/>
  <c r="O21" i="5"/>
  <c r="O24" i="5"/>
  <c r="O34" i="5"/>
  <c r="AB21" i="7" a="1"/>
  <c r="AB28" i="7" a="1"/>
  <c r="AB22" i="7" a="1"/>
  <c r="AB19" i="7" a="1"/>
  <c r="AB15" i="7" a="1"/>
  <c r="AB24" i="7" a="1"/>
  <c r="AB34" i="7" a="1"/>
  <c r="AB14" i="7" a="1"/>
  <c r="AB25" i="7" a="1"/>
  <c r="AB18" i="7" a="1"/>
  <c r="AB29" i="7" a="1"/>
  <c r="AB10" i="7" a="1"/>
  <c r="AB13" i="7" a="1"/>
  <c r="AB16" i="7" a="1"/>
  <c r="AB23" i="7" a="1"/>
  <c r="AB12" i="7" a="1"/>
  <c r="AB32" i="7" a="1"/>
  <c r="AB27" i="7" a="1"/>
  <c r="AB17" i="7" a="1"/>
  <c r="AB11" i="7" a="1"/>
  <c r="AB30" i="7" a="1"/>
  <c r="AB31" i="7" a="1"/>
  <c r="AB26" i="7" a="1"/>
  <c r="AB8" i="7" a="1"/>
  <c r="AB9" i="7" a="1"/>
  <c r="AB20" i="7" a="1"/>
  <c r="AB33" i="7" a="1"/>
  <c r="R34" i="7" a="1"/>
  <c r="R28" i="7" a="1"/>
  <c r="R32" i="7" a="1"/>
  <c r="R22" i="7" a="1"/>
  <c r="R15" i="7" a="1"/>
  <c r="R26" i="7" a="1"/>
  <c r="R21" i="7" a="1"/>
  <c r="R31" i="7" a="1"/>
  <c r="R30" i="7" a="1"/>
  <c r="R14" i="7" a="1"/>
  <c r="R29" i="7" a="1"/>
  <c r="R24" i="7" a="1"/>
  <c r="R13" i="7" a="1"/>
  <c r="R17" i="7" a="1"/>
  <c r="R9" i="7" a="1"/>
  <c r="R8" i="7" a="1"/>
  <c r="R25" i="7" a="1"/>
  <c r="R23" i="7" a="1"/>
  <c r="R12" i="7" a="1"/>
  <c r="R18" i="7" a="1"/>
  <c r="R20" i="7" a="1"/>
  <c r="R10" i="7" a="1"/>
  <c r="R27" i="7" a="1"/>
  <c r="R11" i="7" a="1"/>
  <c r="R33" i="7" a="1"/>
  <c r="R19" i="7" a="1"/>
  <c r="R16" i="7" a="1"/>
  <c r="AL18" i="7" a="1"/>
  <c r="AL29" i="7" a="1"/>
  <c r="AL11" i="7" a="1"/>
  <c r="AL10" i="7" a="1"/>
  <c r="AL25" i="7" a="1"/>
  <c r="AL27" i="7" a="1"/>
  <c r="AL20" i="7" a="1"/>
  <c r="AL30" i="7" a="1"/>
  <c r="AL22" i="7" a="1"/>
  <c r="AL26" i="7" a="1"/>
  <c r="AL13" i="7" a="1"/>
  <c r="AL8" i="7" a="1"/>
  <c r="AL23" i="7" a="1"/>
  <c r="AL33" i="7" a="1"/>
  <c r="AL16" i="7" a="1"/>
  <c r="AL19" i="7" a="1"/>
  <c r="AL31" i="7" a="1"/>
  <c r="AL34" i="7" a="1"/>
  <c r="AL9" i="7" a="1"/>
  <c r="AL32" i="7" a="1"/>
  <c r="AL14" i="7" a="1"/>
  <c r="AL24" i="7" a="1"/>
  <c r="AL15" i="7" a="1"/>
  <c r="AL21" i="7" a="1"/>
  <c r="AL28" i="7" a="1"/>
  <c r="AL12" i="7" a="1"/>
  <c r="AL17" i="7" a="1"/>
  <c r="H16" i="7" a="1"/>
  <c r="H27" i="5" a="1"/>
  <c r="H15" i="5" a="1"/>
  <c r="H32" i="7" a="1"/>
  <c r="H13" i="5" a="1"/>
  <c r="H21" i="7" a="1"/>
  <c r="H32" i="5" a="1"/>
  <c r="H25" i="7" a="1"/>
  <c r="H29" i="5" a="1"/>
  <c r="H22" i="5" a="1"/>
  <c r="H12" i="7" a="1"/>
  <c r="H23" i="7" a="1"/>
  <c r="H38" i="5" a="1"/>
  <c r="H27" i="7" a="1"/>
  <c r="H17" i="7" a="1"/>
  <c r="H10" i="7" a="1"/>
  <c r="H36" i="5" a="1"/>
  <c r="H31" i="5" a="1"/>
  <c r="H28" i="7" a="1"/>
  <c r="H23" i="5" a="1"/>
  <c r="H30" i="7" a="1"/>
  <c r="H24" i="7" a="1"/>
  <c r="H11" i="7" a="1"/>
  <c r="H18" i="7" a="1"/>
  <c r="H19" i="7" a="1"/>
  <c r="H22" i="7" a="1"/>
  <c r="H31" i="7" a="1"/>
  <c r="H34" i="5" a="1"/>
  <c r="H25" i="5" a="1"/>
  <c r="H34" i="7" a="1"/>
  <c r="H18" i="5" a="1"/>
  <c r="H14" i="7" a="1"/>
  <c r="H19" i="5" a="1"/>
  <c r="H16" i="5" a="1"/>
  <c r="H21" i="5" a="1"/>
  <c r="H20" i="5" a="1"/>
  <c r="H15" i="7" a="1"/>
  <c r="H29" i="7" a="1"/>
  <c r="H28" i="5" a="1"/>
  <c r="H26" i="5" a="1"/>
  <c r="H14" i="5" a="1"/>
  <c r="H26" i="7" a="1"/>
  <c r="H39" i="5" a="1"/>
  <c r="H30" i="5" a="1"/>
  <c r="H33" i="5" a="1"/>
  <c r="H33" i="7" a="1"/>
  <c r="H8" i="7" a="1"/>
  <c r="H35" i="5" a="1"/>
  <c r="H24" i="5" a="1"/>
  <c r="H13" i="7" a="1"/>
  <c r="H20" i="7" a="1"/>
  <c r="H37" i="5" a="1"/>
  <c r="H9" i="7" a="1"/>
  <c r="H17" i="5" a="1"/>
  <c r="AL17" i="7" l="1"/>
  <c r="AL12" i="7"/>
  <c r="AL28" i="7"/>
  <c r="AL21" i="7"/>
  <c r="AM21" i="7" s="1"/>
  <c r="AL15" i="7"/>
  <c r="AM15" i="7" s="1"/>
  <c r="AL24" i="7"/>
  <c r="AM24" i="7" s="1"/>
  <c r="AL14" i="7"/>
  <c r="AM14" i="7" s="1"/>
  <c r="AL32" i="7"/>
  <c r="AM32" i="7" s="1"/>
  <c r="AL9" i="7"/>
  <c r="AM9" i="7" s="1"/>
  <c r="AL34" i="7"/>
  <c r="AM34" i="7" s="1"/>
  <c r="AL31" i="7"/>
  <c r="AM31" i="7" s="1"/>
  <c r="AL19" i="7"/>
  <c r="AM19" i="7" s="1"/>
  <c r="AL16" i="7"/>
  <c r="AM16" i="7" s="1"/>
  <c r="AL33" i="7"/>
  <c r="AM33" i="7" s="1"/>
  <c r="AL23" i="7"/>
  <c r="AM23" i="7" s="1"/>
  <c r="AL8" i="7"/>
  <c r="AM8" i="7" s="1"/>
  <c r="AL13" i="7"/>
  <c r="AM13" i="7" s="1"/>
  <c r="AL26" i="7"/>
  <c r="AM26" i="7" s="1"/>
  <c r="AL22" i="7"/>
  <c r="AM22" i="7" s="1"/>
  <c r="AL30" i="7"/>
  <c r="AM30" i="7" s="1"/>
  <c r="AL20" i="7"/>
  <c r="AM20" i="7" s="1"/>
  <c r="AL27" i="7"/>
  <c r="AM27" i="7" s="1"/>
  <c r="AL25" i="7"/>
  <c r="AM25" i="7" s="1"/>
  <c r="AL10" i="7"/>
  <c r="AM10" i="7" s="1"/>
  <c r="AL11" i="7"/>
  <c r="AL29" i="7"/>
  <c r="AM29" i="7" s="1"/>
  <c r="AL18" i="7"/>
  <c r="R16" i="7"/>
  <c r="R19" i="7"/>
  <c r="S19" i="7" s="1"/>
  <c r="R33" i="7"/>
  <c r="R11" i="7"/>
  <c r="R27" i="7"/>
  <c r="R10" i="7"/>
  <c r="S10" i="7" s="1"/>
  <c r="R20" i="7"/>
  <c r="S20" i="7" s="1"/>
  <c r="R18" i="7"/>
  <c r="S18" i="7" s="1"/>
  <c r="R12" i="7"/>
  <c r="S12" i="7" s="1"/>
  <c r="R23" i="7"/>
  <c r="S23" i="7" s="1"/>
  <c r="R25" i="7"/>
  <c r="S25" i="7" s="1"/>
  <c r="R8" i="7"/>
  <c r="S8" i="7" s="1"/>
  <c r="R9" i="7"/>
  <c r="S9" i="7" s="1"/>
  <c r="R17" i="7"/>
  <c r="S17" i="7" s="1"/>
  <c r="R13" i="7"/>
  <c r="S13" i="7" s="1"/>
  <c r="R24" i="7"/>
  <c r="S24" i="7" s="1"/>
  <c r="R29" i="7"/>
  <c r="S29" i="7" s="1"/>
  <c r="R14" i="7"/>
  <c r="S14" i="7" s="1"/>
  <c r="R30" i="7"/>
  <c r="S30" i="7" s="1"/>
  <c r="R31" i="7"/>
  <c r="S31" i="7" s="1"/>
  <c r="R21" i="7"/>
  <c r="S21" i="7" s="1"/>
  <c r="R26" i="7"/>
  <c r="R15" i="7"/>
  <c r="R22" i="7"/>
  <c r="R32" i="7"/>
  <c r="R28" i="7"/>
  <c r="R34" i="7"/>
  <c r="AB33" i="7"/>
  <c r="AC33" i="7" s="1"/>
  <c r="AB20" i="7"/>
  <c r="AC20" i="7" s="1"/>
  <c r="AB9" i="7"/>
  <c r="AB8" i="7"/>
  <c r="AC8" i="7" s="1"/>
  <c r="AB26" i="7"/>
  <c r="AB31" i="7"/>
  <c r="AC31" i="7" s="1"/>
  <c r="AB30" i="7"/>
  <c r="AC30" i="7" s="1"/>
  <c r="AB11" i="7"/>
  <c r="AC11" i="7" s="1"/>
  <c r="AB17" i="7"/>
  <c r="AC17" i="7" s="1"/>
  <c r="AB27" i="7"/>
  <c r="AC27" i="7" s="1"/>
  <c r="AB32" i="7"/>
  <c r="AC32" i="7" s="1"/>
  <c r="AB12" i="7"/>
  <c r="AC12" i="7" s="1"/>
  <c r="AB23" i="7"/>
  <c r="AC23" i="7" s="1"/>
  <c r="AB16" i="7"/>
  <c r="AC16" i="7" s="1"/>
  <c r="AB13" i="7"/>
  <c r="AC13" i="7" s="1"/>
  <c r="AB10" i="7"/>
  <c r="AC10" i="7" s="1"/>
  <c r="AB29" i="7"/>
  <c r="AC29" i="7" s="1"/>
  <c r="AB18" i="7"/>
  <c r="AC18" i="7" s="1"/>
  <c r="AB25" i="7"/>
  <c r="AB14" i="7"/>
  <c r="AB34" i="7"/>
  <c r="AB24" i="7"/>
  <c r="AB15" i="7"/>
  <c r="AC15" i="7" s="1"/>
  <c r="AB19" i="7"/>
  <c r="AC19" i="7" s="1"/>
  <c r="AB22" i="7"/>
  <c r="AB28" i="7"/>
  <c r="AB21" i="7"/>
  <c r="AC21" i="7" s="1"/>
  <c r="H8" i="7"/>
  <c r="H31" i="7"/>
  <c r="H29" i="7"/>
  <c r="H15" i="7"/>
  <c r="H18" i="7"/>
  <c r="H25" i="7"/>
  <c r="H11" i="7"/>
  <c r="H24" i="7"/>
  <c r="H21" i="7"/>
  <c r="H30" i="7"/>
  <c r="H32" i="7"/>
  <c r="H28" i="7"/>
  <c r="H14" i="7"/>
  <c r="H34" i="7"/>
  <c r="H10" i="7"/>
  <c r="H16" i="7"/>
  <c r="H33" i="7"/>
  <c r="H17" i="7"/>
  <c r="H9" i="7"/>
  <c r="H20" i="7"/>
  <c r="H27" i="7"/>
  <c r="H13" i="7"/>
  <c r="H26" i="7"/>
  <c r="H23" i="7"/>
  <c r="H12" i="7"/>
  <c r="H22" i="7"/>
  <c r="H19" i="7"/>
  <c r="P38" i="5"/>
  <c r="P19" i="5"/>
  <c r="P32" i="5"/>
  <c r="P26" i="5"/>
  <c r="P35" i="5"/>
  <c r="P24" i="5"/>
  <c r="P17" i="5"/>
  <c r="P15" i="5"/>
  <c r="P22" i="5"/>
  <c r="P27" i="5"/>
  <c r="P33" i="5"/>
  <c r="P36" i="5"/>
  <c r="P30" i="5"/>
  <c r="P25" i="5"/>
  <c r="P18" i="5"/>
  <c r="P34" i="5"/>
  <c r="P21" i="5"/>
  <c r="P31" i="5"/>
  <c r="P20" i="5"/>
  <c r="P13" i="5"/>
  <c r="P37" i="5"/>
  <c r="P16" i="5"/>
  <c r="P23" i="5"/>
  <c r="P29" i="5"/>
  <c r="AC28" i="7"/>
  <c r="AC22" i="7"/>
  <c r="AC9" i="7"/>
  <c r="AC24" i="7"/>
  <c r="AC26" i="7"/>
  <c r="AC34" i="7"/>
  <c r="AC25" i="7"/>
  <c r="AC14" i="7"/>
  <c r="AM17" i="7"/>
  <c r="AM11" i="7"/>
  <c r="AM28" i="7"/>
  <c r="AM18" i="7"/>
  <c r="AM12" i="7"/>
  <c r="H38" i="5"/>
  <c r="I38" i="5" s="1"/>
  <c r="H34" i="5"/>
  <c r="I34" i="5" s="1"/>
  <c r="H35" i="5"/>
  <c r="I35" i="5" s="1"/>
  <c r="H26" i="5"/>
  <c r="I26" i="5" s="1"/>
  <c r="H28" i="5"/>
  <c r="I28" i="5" s="1"/>
  <c r="H22" i="5"/>
  <c r="I22" i="5" s="1"/>
  <c r="H29" i="5"/>
  <c r="I29" i="5" s="1"/>
  <c r="H20" i="5"/>
  <c r="I20" i="5" s="1"/>
  <c r="H21" i="5"/>
  <c r="I21" i="5" s="1"/>
  <c r="H16" i="5"/>
  <c r="I16" i="5" s="1"/>
  <c r="H32" i="5"/>
  <c r="I32" i="5" s="1"/>
  <c r="H19" i="5"/>
  <c r="I19" i="5" s="1"/>
  <c r="H13" i="5"/>
  <c r="I13" i="5" s="1"/>
  <c r="H23" i="5"/>
  <c r="I23" i="5" s="1"/>
  <c r="H15" i="5"/>
  <c r="I15" i="5" s="1"/>
  <c r="H31" i="5"/>
  <c r="I31" i="5" s="1"/>
  <c r="H18" i="5"/>
  <c r="I18" i="5" s="1"/>
  <c r="H36" i="5"/>
  <c r="I36" i="5" s="1"/>
  <c r="H27" i="5"/>
  <c r="I27" i="5" s="1"/>
  <c r="H17" i="5"/>
  <c r="I17" i="5" s="1"/>
  <c r="H33" i="5"/>
  <c r="I33" i="5" s="1"/>
  <c r="H30" i="5"/>
  <c r="I30" i="5" s="1"/>
  <c r="H39" i="5"/>
  <c r="I39" i="5" s="1"/>
  <c r="H37" i="5"/>
  <c r="I37" i="5" s="1"/>
  <c r="H25" i="5"/>
  <c r="I25" i="5" s="1"/>
  <c r="H24" i="5"/>
  <c r="I24" i="5" s="1"/>
  <c r="H14" i="5"/>
  <c r="I14" i="5" s="1"/>
  <c r="S32" i="7"/>
  <c r="S15" i="7"/>
  <c r="S22" i="7"/>
  <c r="S27" i="7"/>
  <c r="S11" i="7"/>
  <c r="S16" i="7"/>
  <c r="S33" i="7"/>
  <c r="S28" i="7"/>
  <c r="S34" i="7"/>
  <c r="S26" i="7"/>
  <c r="P14" i="5"/>
  <c r="P28" i="5"/>
  <c r="R25" i="5" l="1"/>
  <c r="R29" i="5"/>
  <c r="Q16" i="5"/>
  <c r="Q15" i="5"/>
  <c r="R20" i="5"/>
  <c r="R38" i="5"/>
  <c r="R32" i="5"/>
  <c r="R19" i="5"/>
  <c r="R27" i="5"/>
  <c r="Q31" i="5"/>
  <c r="R13" i="5"/>
  <c r="R34" i="5"/>
  <c r="R23" i="5"/>
  <c r="Q23" i="5"/>
  <c r="R33" i="5"/>
  <c r="Q29" i="5"/>
  <c r="R24" i="5"/>
  <c r="R37" i="5"/>
  <c r="Q30" i="5"/>
  <c r="R36" i="5"/>
  <c r="R28" i="5"/>
  <c r="Q37" i="5"/>
  <c r="Q14" i="5"/>
  <c r="R17" i="5"/>
  <c r="Q27" i="5"/>
  <c r="R30" i="5"/>
  <c r="R31" i="5"/>
  <c r="Q38" i="5"/>
  <c r="R14" i="5"/>
  <c r="R15" i="5"/>
  <c r="R35" i="5"/>
  <c r="R22" i="5"/>
  <c r="Q24" i="5"/>
  <c r="Q33" i="5"/>
  <c r="Q36" i="5"/>
  <c r="Q18" i="5"/>
  <c r="Q20" i="5"/>
  <c r="R18" i="5"/>
  <c r="Q32" i="5"/>
  <c r="Q17" i="5"/>
  <c r="R16" i="5"/>
  <c r="R26" i="5"/>
  <c r="Q26" i="5"/>
  <c r="R21" i="5"/>
  <c r="Q19" i="5"/>
  <c r="Q35" i="5"/>
  <c r="Q28" i="5"/>
  <c r="Q13" i="5"/>
  <c r="Q21" i="5"/>
  <c r="Q22" i="5"/>
  <c r="Q25" i="5"/>
  <c r="Q34" i="5"/>
  <c r="I22" i="7"/>
  <c r="I15" i="7" l="1"/>
  <c r="I29" i="7" l="1"/>
  <c r="I21" i="7" l="1"/>
  <c r="I30" i="7" l="1"/>
  <c r="I11" i="7" l="1"/>
  <c r="I25" i="7" l="1"/>
  <c r="I12" i="7" l="1"/>
  <c r="I16" i="7" l="1"/>
  <c r="I33" i="7" l="1"/>
  <c r="I14" i="7" l="1"/>
  <c r="I32" i="7" l="1"/>
  <c r="I28" i="7" l="1"/>
  <c r="I23" i="7" l="1"/>
  <c r="I24" i="7" l="1"/>
  <c r="I20" i="7" l="1"/>
  <c r="I31" i="7" l="1"/>
  <c r="I26" i="7" l="1"/>
  <c r="I27" i="7" l="1"/>
  <c r="I10" i="7" l="1"/>
  <c r="I17" i="7" l="1"/>
  <c r="I9" i="7" l="1"/>
  <c r="I18" i="7" l="1"/>
  <c r="I34" i="7"/>
  <c r="I8" i="7" l="1"/>
  <c r="I13" i="7" l="1"/>
  <c r="I19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EAD6C42F-B4B6-48A1-A123-98C0D92FE38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118A963-994C-4747-8A29-869D0069DAA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<sst xmlns="http://schemas.openxmlformats.org/spreadsheetml/2006/main" count="285" uniqueCount="201">
  <si>
    <t>Solar</t>
  </si>
  <si>
    <t>Wind</t>
  </si>
  <si>
    <t>Nuclear</t>
  </si>
  <si>
    <t>Gas</t>
  </si>
  <si>
    <t>Coal</t>
  </si>
  <si>
    <t>Sum</t>
  </si>
  <si>
    <t>CO2_MTons</t>
  </si>
  <si>
    <t>Entire US</t>
  </si>
  <si>
    <t>Lib-Default_Debug_New-CAL-CO2_40_40.xlsm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</si>
  <si>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</si>
  <si>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</si>
  <si>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</si>
  <si>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</si>
  <si>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</si>
  <si>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</si>
  <si>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</si>
  <si>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</si>
  <si>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</si>
  <si>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</si>
  <si>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</si>
  <si>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GW</t>
  </si>
  <si>
    <t>California</t>
  </si>
  <si>
    <t>CAL</t>
  </si>
  <si>
    <t>TWh</t>
  </si>
  <si>
    <t>Carolinas</t>
  </si>
  <si>
    <t>CAR</t>
  </si>
  <si>
    <t>Central</t>
  </si>
  <si>
    <t>CENT</t>
  </si>
  <si>
    <t>Cost</t>
  </si>
  <si>
    <t>Florida</t>
  </si>
  <si>
    <t>FLA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</si>
  <si>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</si>
  <si>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</si>
  <si>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</si>
  <si>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</si>
  <si>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</si>
  <si>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</si>
  <si>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</si>
  <si>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</si>
  <si>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</si>
  <si>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</si>
  <si>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</si>
  <si>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</si>
  <si>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</si>
  <si>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</si>
  <si>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</si>
  <si>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</si>
  <si>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</si>
  <si>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</si>
  <si>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</si>
  <si>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</si>
  <si>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</si>
  <si>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</si>
  <si>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</si>
  <si>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</si>
  <si>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</si>
  <si>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</si>
  <si>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</si>
  <si>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</si>
  <si>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Debug_New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</si>
  <si>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</si>
  <si>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</si>
  <si>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</si>
  <si>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</si>
  <si>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</si>
  <si>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</si>
  <si>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</si>
  <si>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</si>
  <si>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</si>
  <si>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</si>
  <si>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</si>
  <si>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</si>
  <si>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</si>
  <si>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</si>
  <si>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</si>
  <si>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</si>
  <si>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</si>
  <si>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</si>
  <si>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</si>
  <si>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</si>
  <si>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</si>
  <si>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</si>
  <si>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</si>
  <si>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</si>
  <si>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</si>
  <si>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</si>
  <si>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</si>
  <si>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</si>
  <si>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</si>
  <si>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</si>
  <si>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</si>
  <si>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</si>
  <si>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</si>
  <si>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</si>
  <si>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</si>
  <si>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</si>
  <si>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Iterations</t>
  </si>
  <si>
    <t>Solar_MW</t>
  </si>
  <si>
    <t>Solar_Start_Knob</t>
  </si>
  <si>
    <t>Solar_Optimized_Knob</t>
  </si>
  <si>
    <t>Solar_Max_Knob</t>
  </si>
  <si>
    <t>Solar_Decadence</t>
  </si>
  <si>
    <t>Solar_Avg_Cap_Factor</t>
  </si>
  <si>
    <t>Wind_MW</t>
  </si>
  <si>
    <t>Wind_Start_Knob</t>
  </si>
  <si>
    <t>Wind_Optimized_Knob</t>
  </si>
  <si>
    <t>Wind_Max_Knob</t>
  </si>
  <si>
    <t>Wind_Decadence</t>
  </si>
  <si>
    <t>Wind_Avg_Cap_Factor</t>
  </si>
  <si>
    <t>Nuclear_MW</t>
  </si>
  <si>
    <t>Nuclear_Start_Knob</t>
  </si>
  <si>
    <t>Nuclear_Optimized_Knob</t>
  </si>
  <si>
    <t>Nuclear_Max_Knob</t>
  </si>
  <si>
    <t>Nuclear_Decadence</t>
  </si>
  <si>
    <t>Nuclear_Avg_Cap_Factor</t>
  </si>
  <si>
    <t>Gas_MW</t>
  </si>
  <si>
    <t>Gas_Start_Knob</t>
  </si>
  <si>
    <t>Gas_Optimized_Knob</t>
  </si>
  <si>
    <t>Gas_Max_Knob</t>
  </si>
  <si>
    <t>Gas_Decadence</t>
  </si>
  <si>
    <t>Gas_Avg_Cap_Factor</t>
  </si>
  <si>
    <t>Coal_MW</t>
  </si>
  <si>
    <t>Coal_Start_Knob</t>
  </si>
  <si>
    <t>Coal_Optimized_Knob</t>
  </si>
  <si>
    <t>Coal_Max_Knob</t>
  </si>
  <si>
    <t>Coal_Decadence</t>
  </si>
  <si>
    <t>Coal_Avg_Cap_Factor</t>
  </si>
  <si>
    <t>Battery</t>
  </si>
  <si>
    <t>Battery_MW</t>
  </si>
  <si>
    <t>Battery_Start_Knob</t>
  </si>
  <si>
    <t>Battery_Optimized_Knob</t>
  </si>
  <si>
    <t>Battery_Max_Knob</t>
  </si>
  <si>
    <t>Battery_Decadence</t>
  </si>
  <si>
    <t>Battery_Avg_Cap_Factor</t>
  </si>
  <si>
    <t>Region_abbr</t>
  </si>
  <si>
    <t>Mult</t>
  </si>
  <si>
    <t>Capital</t>
  </si>
  <si>
    <t>Fixed</t>
  </si>
  <si>
    <t>Variable</t>
  </si>
  <si>
    <t>CO2</t>
  </si>
  <si>
    <t>Yearly Change</t>
  </si>
  <si>
    <t>Capacity GW</t>
  </si>
  <si>
    <t>Energy TWh</t>
  </si>
  <si>
    <t>Param_offset</t>
  </si>
  <si>
    <t>Offsets</t>
  </si>
  <si>
    <t>Capital Cost</t>
  </si>
  <si>
    <t>Fixed Cost</t>
  </si>
  <si>
    <t>CO2 Cost</t>
  </si>
  <si>
    <t>Variable Cost</t>
  </si>
  <si>
    <t>B$</t>
  </si>
  <si>
    <t>Include_Capital</t>
  </si>
  <si>
    <t>Include_Fixed</t>
  </si>
  <si>
    <t>Include_Variable</t>
  </si>
  <si>
    <t>Include_CO2</t>
  </si>
  <si>
    <t>Include_Solar</t>
  </si>
  <si>
    <t>Include_Wind</t>
  </si>
  <si>
    <t>Include_Nuclear</t>
  </si>
  <si>
    <t>Include_Gas</t>
  </si>
  <si>
    <t>Include_Coal</t>
  </si>
  <si>
    <t>Include_Battery</t>
  </si>
  <si>
    <t>Region_Abbr_Cost</t>
  </si>
  <si>
    <t>Offsets -&gt;</t>
  </si>
  <si>
    <t>Changes year-to-year:</t>
  </si>
  <si>
    <t>Thousand</t>
  </si>
  <si>
    <t>Million</t>
  </si>
  <si>
    <t>Billion</t>
  </si>
  <si>
    <t>Multiplier</t>
  </si>
  <si>
    <t>Target_MWh</t>
  </si>
  <si>
    <t>Outage_MWh</t>
  </si>
  <si>
    <t>Outage_M$_MWh</t>
  </si>
  <si>
    <t>Solar_MWh</t>
  </si>
  <si>
    <t>Solar_Capital_M$</t>
  </si>
  <si>
    <t>Solar_Fixed_M$</t>
  </si>
  <si>
    <t>Solar_Variable_M$</t>
  </si>
  <si>
    <t>Wind_MWh</t>
  </si>
  <si>
    <t>Wind_Capital_M$</t>
  </si>
  <si>
    <t>Wind_Fixed_M$</t>
  </si>
  <si>
    <t>Wind_Variable_M$</t>
  </si>
  <si>
    <t>Nuclear_MWh</t>
  </si>
  <si>
    <t>Nuclear_Capital_M$</t>
  </si>
  <si>
    <t>Nuclear_Fixed_M$</t>
  </si>
  <si>
    <t>Nuclear_Variable_M$</t>
  </si>
  <si>
    <t>Gas_MWh</t>
  </si>
  <si>
    <t>Gas_Capital_M$</t>
  </si>
  <si>
    <t>Gas_Fixed_M$</t>
  </si>
  <si>
    <t>Gas_Variable_M$</t>
  </si>
  <si>
    <t>Coal_MWh</t>
  </si>
  <si>
    <t>Coal_Capital_M$</t>
  </si>
  <si>
    <t>Coal_Fixed_M$</t>
  </si>
  <si>
    <t>Coal_Variable_M$</t>
  </si>
  <si>
    <t>Battery_MWh</t>
  </si>
  <si>
    <t>Battery_Capital_M$</t>
  </si>
  <si>
    <t>Battery_Fixed_M$</t>
  </si>
  <si>
    <t>Battery_Variable_M$</t>
  </si>
  <si>
    <t>CO2_M$_MT</t>
  </si>
  <si>
    <t>Solar_CO2_M$</t>
  </si>
  <si>
    <t>Wind_CO2_M$</t>
  </si>
  <si>
    <t>Nuclear_CO2_M$</t>
  </si>
  <si>
    <t>Gas_CO2_M$</t>
  </si>
  <si>
    <t>Coal_CO2_M$</t>
  </si>
  <si>
    <t>Battery_CO2_M$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</si>
</sst>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00000"/>
    <numFmt numFmtId="166" formatCode="#,##0.0000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/>
    <xf numFmtId="166" fontId="0" fillId="0" borderId="0" xfId="0" applyNumberFormat="1"/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Capacity GW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Calc!$C$12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Calc!$C$13:$C$39</c:f>
              <c:numCache>
                <c:formatCode>#,##0.00000</c:formatCode>
                <c:ptCount val="27"/>
                <c:pt idx="0">
                  <c:v>19.202000000000002</c:v>
                </c:pt>
                <c:pt idx="1">
                  <c:v>20.648364775120001</c:v>
                </c:pt>
                <c:pt idx="2">
                  <c:v>22.191599545960003</c:v>
                </c:pt>
                <c:pt idx="3">
                  <c:v>23.83739906452</c:v>
                </c:pt>
                <c:pt idx="4">
                  <c:v>25.591781981470003</c:v>
                </c:pt>
                <c:pt idx="5">
                  <c:v>27.461108893740004</c:v>
                </c:pt>
                <c:pt idx="6">
                  <c:v>29.452101405140002</c:v>
                </c:pt>
                <c:pt idx="7">
                  <c:v>31.571862254500001</c:v>
                </c:pt>
                <c:pt idx="8">
                  <c:v>33.827896573540002</c:v>
                </c:pt>
                <c:pt idx="9">
                  <c:v>36.228145874039996</c:v>
                </c:pt>
                <c:pt idx="10">
                  <c:v>38.780966301089997</c:v>
                </c:pt>
                <c:pt idx="11">
                  <c:v>41.495220783139999</c:v>
                </c:pt>
                <c:pt idx="12">
                  <c:v>44.380262441639999</c:v>
                </c:pt>
                <c:pt idx="13">
                  <c:v>47.445969125200001</c:v>
                </c:pt>
                <c:pt idx="14">
                  <c:v>50.702780065649996</c:v>
                </c:pt>
                <c:pt idx="15">
                  <c:v>54.161719132209996</c:v>
                </c:pt>
                <c:pt idx="16">
                  <c:v>57.834434179730003</c:v>
                </c:pt>
                <c:pt idx="17">
                  <c:v>61.7332280826</c:v>
                </c:pt>
                <c:pt idx="18">
                  <c:v>65.871096223720002</c:v>
                </c:pt>
                <c:pt idx="19">
                  <c:v>70.26176490120001</c:v>
                </c:pt>
                <c:pt idx="20">
                  <c:v>74.919732744570013</c:v>
                </c:pt>
                <c:pt idx="21">
                  <c:v>79.860307558380001</c:v>
                </c:pt>
                <c:pt idx="22">
                  <c:v>85.099674252059998</c:v>
                </c:pt>
                <c:pt idx="23">
                  <c:v>90.654909684160003</c:v>
                </c:pt>
                <c:pt idx="24">
                  <c:v>96.542205969060007</c:v>
                </c:pt>
                <c:pt idx="25">
                  <c:v>102.67652743992001</c:v>
                </c:pt>
                <c:pt idx="26">
                  <c:v>109.07764639990999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Calc!$D$12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Calc!$D$13:$D$39</c:f>
              <c:numCache>
                <c:formatCode>#,##0.00000</c:formatCode>
                <c:ptCount val="27"/>
                <c:pt idx="0">
                  <c:v>5.9729999999999999</c:v>
                </c:pt>
                <c:pt idx="1">
                  <c:v>6.7511615018100004</c:v>
                </c:pt>
                <c:pt idx="2">
                  <c:v>7.5808478797099994</c:v>
                </c:pt>
                <c:pt idx="3">
                  <c:v>8.46511354057</c:v>
                </c:pt>
                <c:pt idx="4">
                  <c:v>9.4071849734900006</c:v>
                </c:pt>
                <c:pt idx="5">
                  <c:v>10.410470471189999</c:v>
                </c:pt>
                <c:pt idx="6">
                  <c:v>11.478570383579999</c:v>
                </c:pt>
                <c:pt idx="7">
                  <c:v>12.61528793395</c:v>
                </c:pt>
                <c:pt idx="8">
                  <c:v>13.824640632000001</c:v>
                </c:pt>
                <c:pt idx="9">
                  <c:v>15.110879043700001</c:v>
                </c:pt>
                <c:pt idx="10">
                  <c:v>16.478472966149997</c:v>
                </c:pt>
                <c:pt idx="11">
                  <c:v>17.932164068700001</c:v>
                </c:pt>
                <c:pt idx="12">
                  <c:v>19.47695475826</c:v>
                </c:pt>
                <c:pt idx="13">
                  <c:v>21.118127528390001</c:v>
                </c:pt>
                <c:pt idx="14">
                  <c:v>22.861263998900004</c:v>
                </c:pt>
                <c:pt idx="15">
                  <c:v>24.712257992940003</c:v>
                </c:pt>
                <c:pt idx="16">
                  <c:v>26.677336075150002</c:v>
                </c:pt>
                <c:pt idx="17">
                  <c:v>28.76307442877</c:v>
                </c:pt>
                <c:pt idx="18">
                  <c:v>30.976418832269999</c:v>
                </c:pt>
                <c:pt idx="19">
                  <c:v>33.32470519828</c:v>
                </c:pt>
                <c:pt idx="20">
                  <c:v>35.815681698870002</c:v>
                </c:pt>
                <c:pt idx="21">
                  <c:v>38.4575314621</c:v>
                </c:pt>
                <c:pt idx="22">
                  <c:v>41.258896923580004</c:v>
                </c:pt>
                <c:pt idx="23">
                  <c:v>44.228905670209997</c:v>
                </c:pt>
                <c:pt idx="24">
                  <c:v>47.376207867980007</c:v>
                </c:pt>
                <c:pt idx="25">
                  <c:v>50.6553888105</c:v>
                </c:pt>
                <c:pt idx="26">
                  <c:v>54.077009697870004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Calc!$E$12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Calc!$E$13:$E$39</c:f>
              <c:numCache>
                <c:formatCode>#,##0.00000</c:formatCode>
                <c:ptCount val="27"/>
                <c:pt idx="0">
                  <c:v>2.286</c:v>
                </c:pt>
                <c:pt idx="1">
                  <c:v>3.4456396835800001</c:v>
                </c:pt>
                <c:pt idx="2">
                  <c:v>4.68183816217</c:v>
                </c:pt>
                <c:pt idx="3">
                  <c:v>5.9991212551999995</c:v>
                </c:pt>
                <c:pt idx="4">
                  <c:v>7.4022699261699998</c:v>
                </c:pt>
                <c:pt idx="5">
                  <c:v>8.8963346757800004</c:v>
                </c:pt>
                <c:pt idx="6">
                  <c:v>10.48665072529</c:v>
                </c:pt>
                <c:pt idx="7">
                  <c:v>12.17885403411</c:v>
                </c:pt>
                <c:pt idx="8">
                  <c:v>13.97889820326</c:v>
                </c:pt>
                <c:pt idx="9">
                  <c:v>15.89308418731</c:v>
                </c:pt>
                <c:pt idx="10">
                  <c:v>17.92803217326</c:v>
                </c:pt>
                <c:pt idx="11">
                  <c:v>20.09077103449</c:v>
                </c:pt>
                <c:pt idx="12">
                  <c:v>22.388713751370002</c:v>
                </c:pt>
                <c:pt idx="13">
                  <c:v>24.82968962136</c:v>
                </c:pt>
                <c:pt idx="14">
                  <c:v>27.42196973846</c:v>
                </c:pt>
                <c:pt idx="15">
                  <c:v>30.17428930574</c:v>
                </c:pt>
                <c:pt idx="16">
                  <c:v>33.095875614249998</c:v>
                </c:pt>
                <c:pt idx="17">
                  <c:v>36.19647442182</c:v>
                </c:pt>
                <c:pt idx="18">
                  <c:v>39.486379206380001</c:v>
                </c:pt>
                <c:pt idx="19">
                  <c:v>42.976461628689997</c:v>
                </c:pt>
                <c:pt idx="20">
                  <c:v>46.678204211880001</c:v>
                </c:pt>
                <c:pt idx="21">
                  <c:v>50.603734071400005</c:v>
                </c:pt>
                <c:pt idx="22">
                  <c:v>54.765858970150006</c:v>
                </c:pt>
                <c:pt idx="23">
                  <c:v>59.10063919401</c:v>
                </c:pt>
                <c:pt idx="24">
                  <c:v>59.444572432469997</c:v>
                </c:pt>
                <c:pt idx="25">
                  <c:v>60.206680030960001</c:v>
                </c:pt>
                <c:pt idx="26">
                  <c:v>60.963636439640005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Calc!$F$12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Calc!$F$13:$F$39</c:f>
              <c:numCache>
                <c:formatCode>#,##0.00000</c:formatCode>
                <c:ptCount val="27"/>
                <c:pt idx="0">
                  <c:v>31.948</c:v>
                </c:pt>
                <c:pt idx="1">
                  <c:v>32.208173539120004</c:v>
                </c:pt>
                <c:pt idx="2">
                  <c:v>32.453784155580003</c:v>
                </c:pt>
                <c:pt idx="3">
                  <c:v>32.683428039670005</c:v>
                </c:pt>
                <c:pt idx="4">
                  <c:v>32.895612342120003</c:v>
                </c:pt>
                <c:pt idx="5">
                  <c:v>33.088749926600002</c:v>
                </c:pt>
                <c:pt idx="6">
                  <c:v>33.261153753480002</c:v>
                </c:pt>
                <c:pt idx="7">
                  <c:v>33.411031261070001</c:v>
                </c:pt>
                <c:pt idx="8">
                  <c:v>33.537481932889996</c:v>
                </c:pt>
                <c:pt idx="9">
                  <c:v>33.635466987150004</c:v>
                </c:pt>
                <c:pt idx="10">
                  <c:v>33.70585831495</c:v>
                </c:pt>
                <c:pt idx="11">
                  <c:v>33.745309693360007</c:v>
                </c:pt>
                <c:pt idx="12">
                  <c:v>33.751574378660003</c:v>
                </c:pt>
                <c:pt idx="13">
                  <c:v>33.72186014895</c:v>
                </c:pt>
                <c:pt idx="14">
                  <c:v>33.6536498237</c:v>
                </c:pt>
                <c:pt idx="15">
                  <c:v>33.543901972569998</c:v>
                </c:pt>
                <c:pt idx="16">
                  <c:v>33.389600542660006</c:v>
                </c:pt>
                <c:pt idx="17">
                  <c:v>33.187494263610006</c:v>
                </c:pt>
                <c:pt idx="18">
                  <c:v>32.934151642489994</c:v>
                </c:pt>
                <c:pt idx="19">
                  <c:v>32.625885676130004</c:v>
                </c:pt>
                <c:pt idx="20">
                  <c:v>32.258839584810005</c:v>
                </c:pt>
                <c:pt idx="21">
                  <c:v>31.82891338073</c:v>
                </c:pt>
                <c:pt idx="22">
                  <c:v>31.331729928100003</c:v>
                </c:pt>
                <c:pt idx="23">
                  <c:v>30.760504378049998</c:v>
                </c:pt>
                <c:pt idx="24">
                  <c:v>30.117691615670001</c:v>
                </c:pt>
                <c:pt idx="25">
                  <c:v>29.420799862640003</c:v>
                </c:pt>
                <c:pt idx="26">
                  <c:v>28.669643207220002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Calc!$G$12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Calc!$G$13:$G$39</c:f>
              <c:numCache>
                <c:formatCode>#,##0.00000</c:formatCode>
                <c:ptCount val="27"/>
                <c:pt idx="0">
                  <c:v>1.821</c:v>
                </c:pt>
                <c:pt idx="1">
                  <c:v>2.16237264452</c:v>
                </c:pt>
                <c:pt idx="2">
                  <c:v>2.5262927576199998</c:v>
                </c:pt>
                <c:pt idx="3">
                  <c:v>2.9140961671400003</c:v>
                </c:pt>
                <c:pt idx="4">
                  <c:v>3.3271939187399999</c:v>
                </c:pt>
                <c:pt idx="5">
                  <c:v>3.7670765274700004</c:v>
                </c:pt>
                <c:pt idx="6">
                  <c:v>4.2353184617899995</c:v>
                </c:pt>
                <c:pt idx="7">
                  <c:v>4.7335828734200005</c:v>
                </c:pt>
                <c:pt idx="8">
                  <c:v>5.2636265880499993</c:v>
                </c:pt>
                <c:pt idx="9">
                  <c:v>5.8273086097700002</c:v>
                </c:pt>
                <c:pt idx="10">
                  <c:v>6.4265828872200004</c:v>
                </c:pt>
                <c:pt idx="11">
                  <c:v>7.06352311861</c:v>
                </c:pt>
                <c:pt idx="12">
                  <c:v>7.7403166171599995</c:v>
                </c:pt>
                <c:pt idx="13">
                  <c:v>8.4592733320400004</c:v>
                </c:pt>
                <c:pt idx="14">
                  <c:v>9.2228337461900001</c:v>
                </c:pt>
                <c:pt idx="15">
                  <c:v>10.03357504567</c:v>
                </c:pt>
                <c:pt idx="16">
                  <c:v>10.894219725400001</c:v>
                </c:pt>
                <c:pt idx="17">
                  <c:v>11.807643177340001</c:v>
                </c:pt>
                <c:pt idx="18">
                  <c:v>12.77686570288</c:v>
                </c:pt>
                <c:pt idx="19">
                  <c:v>13.805128182340001</c:v>
                </c:pt>
                <c:pt idx="20">
                  <c:v>14.895801691599999</c:v>
                </c:pt>
                <c:pt idx="21">
                  <c:v>16.0524641435</c:v>
                </c:pt>
                <c:pt idx="22">
                  <c:v>17.278889791810002</c:v>
                </c:pt>
                <c:pt idx="23">
                  <c:v>18.579075941830002</c:v>
                </c:pt>
                <c:pt idx="24">
                  <c:v>19.956776164779999</c:v>
                </c:pt>
                <c:pt idx="25">
                  <c:v>21.392229069980001</c:v>
                </c:pt>
                <c:pt idx="26">
                  <c:v>22.890003238050003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Calc!$H$12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Calc!$H$13:$H$39</c:f>
              <c:numCache>
                <c:formatCode>#,##0.00000</c:formatCode>
                <c:ptCount val="27"/>
                <c:pt idx="0">
                  <c:v>0</c:v>
                </c:pt>
                <c:pt idx="1">
                  <c:v>7.9336145439999992E-2</c:v>
                </c:pt>
                <c:pt idx="2">
                  <c:v>0.16427651943000002</c:v>
                </c:pt>
                <c:pt idx="3">
                  <c:v>0.25515934615000002</c:v>
                </c:pt>
                <c:pt idx="4">
                  <c:v>0.35234199847000003</c:v>
                </c:pt>
                <c:pt idx="5">
                  <c:v>0.45620208783999999</c:v>
                </c:pt>
                <c:pt idx="6">
                  <c:v>0.56713864107</c:v>
                </c:pt>
                <c:pt idx="7">
                  <c:v>0.68557323278000004</c:v>
                </c:pt>
                <c:pt idx="8">
                  <c:v>0.81159791508000001</c:v>
                </c:pt>
                <c:pt idx="9">
                  <c:v>0.94674455737000007</c:v>
                </c:pt>
                <c:pt idx="10">
                  <c:v>1.0904484676699999</c:v>
                </c:pt>
                <c:pt idx="11">
                  <c:v>1.2436575966400001</c:v>
                </c:pt>
                <c:pt idx="12">
                  <c:v>1.4067224734300001</c:v>
                </c:pt>
                <c:pt idx="13">
                  <c:v>1.58049325316</c:v>
                </c:pt>
                <c:pt idx="14">
                  <c:v>1.7653442751499999</c:v>
                </c:pt>
                <c:pt idx="15">
                  <c:v>1.9621074011600002</c:v>
                </c:pt>
                <c:pt idx="16">
                  <c:v>2.1714151572999998</c:v>
                </c:pt>
                <c:pt idx="17">
                  <c:v>2.3939981023899999</c:v>
                </c:pt>
                <c:pt idx="18">
                  <c:v>2.6306226284700003</c:v>
                </c:pt>
                <c:pt idx="19">
                  <c:v>2.88211528147</c:v>
                </c:pt>
                <c:pt idx="20">
                  <c:v>3.1493316509000002</c:v>
                </c:pt>
                <c:pt idx="21">
                  <c:v>3.4331798770800002</c:v>
                </c:pt>
                <c:pt idx="22">
                  <c:v>3.7346438827500004</c:v>
                </c:pt>
                <c:pt idx="23">
                  <c:v>4.0573101807</c:v>
                </c:pt>
                <c:pt idx="24">
                  <c:v>4.3943733762299999</c:v>
                </c:pt>
                <c:pt idx="25">
                  <c:v>4.7493257814400005</c:v>
                </c:pt>
                <c:pt idx="26">
                  <c:v>5.1181349762100004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Capacity GW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Calc!$L$12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Calc!$L$13:$L$39</c:f>
              <c:numCache>
                <c:formatCode>#,##0.00</c:formatCode>
                <c:ptCount val="27"/>
                <c:pt idx="0">
                  <c:v>1.4463647751199993</c:v>
                </c:pt>
                <c:pt idx="1">
                  <c:v>1.5432347708400016</c:v>
                </c:pt>
                <c:pt idx="2">
                  <c:v>1.645799518559997</c:v>
                </c:pt>
                <c:pt idx="3">
                  <c:v>1.7543829169500036</c:v>
                </c:pt>
                <c:pt idx="4">
                  <c:v>1.8693269122700009</c:v>
                </c:pt>
                <c:pt idx="5">
                  <c:v>1.9909925113999982</c:v>
                </c:pt>
                <c:pt idx="6">
                  <c:v>2.1197608493599986</c:v>
                </c:pt>
                <c:pt idx="7">
                  <c:v>2.2560343190400012</c:v>
                </c:pt>
                <c:pt idx="8">
                  <c:v>2.4002493004999934</c:v>
                </c:pt>
                <c:pt idx="9">
                  <c:v>2.5528204270500012</c:v>
                </c:pt>
                <c:pt idx="10">
                  <c:v>2.7142544820500021</c:v>
                </c:pt>
                <c:pt idx="11">
                  <c:v>2.8850416585000005</c:v>
                </c:pt>
                <c:pt idx="12">
                  <c:v>3.065706683560002</c:v>
                </c:pt>
                <c:pt idx="13">
                  <c:v>3.256810940449995</c:v>
                </c:pt>
                <c:pt idx="14">
                  <c:v>3.4589390665599993</c:v>
                </c:pt>
                <c:pt idx="15">
                  <c:v>3.6727150475200077</c:v>
                </c:pt>
                <c:pt idx="16">
                  <c:v>3.8987939028699969</c:v>
                </c:pt>
                <c:pt idx="17">
                  <c:v>4.137868141120002</c:v>
                </c:pt>
                <c:pt idx="18">
                  <c:v>4.3906686774800079</c:v>
                </c:pt>
                <c:pt idx="19">
                  <c:v>4.6579678433700025</c:v>
                </c:pt>
                <c:pt idx="20">
                  <c:v>4.9405748138099881</c:v>
                </c:pt>
                <c:pt idx="21">
                  <c:v>5.2393666936799974</c:v>
                </c:pt>
                <c:pt idx="22">
                  <c:v>5.5552354321000053</c:v>
                </c:pt>
                <c:pt idx="23">
                  <c:v>5.8872962849000032</c:v>
                </c:pt>
                <c:pt idx="24">
                  <c:v>6.1343214708600016</c:v>
                </c:pt>
                <c:pt idx="25">
                  <c:v>6.4011189599899865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4-46B8-A186-1E17D9D988DF}"/>
            </c:ext>
          </c:extLst>
        </c:ser>
        <c:ser>
          <c:idx val="1"/>
          <c:order val="1"/>
          <c:tx>
            <c:strRef>
              <c:f>Calc!$M$12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Calc!$M$13:$M$39</c:f>
              <c:numCache>
                <c:formatCode>#,##0.00</c:formatCode>
                <c:ptCount val="27"/>
                <c:pt idx="0">
                  <c:v>0.77816150181000054</c:v>
                </c:pt>
                <c:pt idx="1">
                  <c:v>0.82968637789999899</c:v>
                </c:pt>
                <c:pt idx="2">
                  <c:v>0.88426566086000058</c:v>
                </c:pt>
                <c:pt idx="3">
                  <c:v>0.94207143292000062</c:v>
                </c:pt>
                <c:pt idx="4">
                  <c:v>1.0032854976999985</c:v>
                </c:pt>
                <c:pt idx="5">
                  <c:v>1.0680999123900001</c:v>
                </c:pt>
                <c:pt idx="6">
                  <c:v>1.1367175503700011</c:v>
                </c:pt>
                <c:pt idx="7">
                  <c:v>1.2093526980500009</c:v>
                </c:pt>
                <c:pt idx="8">
                  <c:v>1.2862384116999994</c:v>
                </c:pt>
                <c:pt idx="9">
                  <c:v>1.3675939224499967</c:v>
                </c:pt>
                <c:pt idx="10">
                  <c:v>1.4536911025500032</c:v>
                </c:pt>
                <c:pt idx="11">
                  <c:v>1.5447906895599992</c:v>
                </c:pt>
                <c:pt idx="12">
                  <c:v>1.6411727701300016</c:v>
                </c:pt>
                <c:pt idx="13">
                  <c:v>1.7431364705100023</c:v>
                </c:pt>
                <c:pt idx="14">
                  <c:v>1.8509939940399995</c:v>
                </c:pt>
                <c:pt idx="15">
                  <c:v>1.9650780822099989</c:v>
                </c:pt>
                <c:pt idx="16">
                  <c:v>2.0857383536199983</c:v>
                </c:pt>
                <c:pt idx="17">
                  <c:v>2.2133444034999989</c:v>
                </c:pt>
                <c:pt idx="18">
                  <c:v>2.3482863660100008</c:v>
                </c:pt>
                <c:pt idx="19">
                  <c:v>2.4909765005900013</c:v>
                </c:pt>
                <c:pt idx="20">
                  <c:v>2.6418497632299989</c:v>
                </c:pt>
                <c:pt idx="21">
                  <c:v>2.8013654614800032</c:v>
                </c:pt>
                <c:pt idx="22">
                  <c:v>2.9700087466299934</c:v>
                </c:pt>
                <c:pt idx="23">
                  <c:v>3.14730219777001</c:v>
                </c:pt>
                <c:pt idx="24">
                  <c:v>3.2791809425199929</c:v>
                </c:pt>
                <c:pt idx="25">
                  <c:v>3.421620887370004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4-46B8-A186-1E17D9D988DF}"/>
            </c:ext>
          </c:extLst>
        </c:ser>
        <c:ser>
          <c:idx val="2"/>
          <c:order val="2"/>
          <c:tx>
            <c:strRef>
              <c:f>Calc!$N$12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Calc!$N$13:$N$39</c:f>
              <c:numCache>
                <c:formatCode>#,##0.00</c:formatCode>
                <c:ptCount val="27"/>
                <c:pt idx="0">
                  <c:v>1.15963968358</c:v>
                </c:pt>
                <c:pt idx="1">
                  <c:v>1.23619847859</c:v>
                </c:pt>
                <c:pt idx="2">
                  <c:v>1.3172830930299995</c:v>
                </c:pt>
                <c:pt idx="3">
                  <c:v>1.4031486709700003</c:v>
                </c:pt>
                <c:pt idx="4">
                  <c:v>1.4940647496100006</c:v>
                </c:pt>
                <c:pt idx="5">
                  <c:v>1.5903160495099993</c:v>
                </c:pt>
                <c:pt idx="6">
                  <c:v>1.6922033088199999</c:v>
                </c:pt>
                <c:pt idx="7">
                  <c:v>1.8000441691500004</c:v>
                </c:pt>
                <c:pt idx="8">
                  <c:v>1.9141859840500004</c:v>
                </c:pt>
                <c:pt idx="9">
                  <c:v>2.0349479859499997</c:v>
                </c:pt>
                <c:pt idx="10">
                  <c:v>2.1627388612300003</c:v>
                </c:pt>
                <c:pt idx="11">
                  <c:v>2.2979427168800015</c:v>
                </c:pt>
                <c:pt idx="12">
                  <c:v>2.4409758699899982</c:v>
                </c:pt>
                <c:pt idx="13">
                  <c:v>2.5922801170999996</c:v>
                </c:pt>
                <c:pt idx="14">
                  <c:v>2.7523195672800007</c:v>
                </c:pt>
                <c:pt idx="15">
                  <c:v>2.9215863085099976</c:v>
                </c:pt>
                <c:pt idx="16">
                  <c:v>3.1005988075700017</c:v>
                </c:pt>
                <c:pt idx="17">
                  <c:v>3.2899047845600009</c:v>
                </c:pt>
                <c:pt idx="18">
                  <c:v>3.490082422309996</c:v>
                </c:pt>
                <c:pt idx="19">
                  <c:v>3.7017425831900042</c:v>
                </c:pt>
                <c:pt idx="20">
                  <c:v>3.9255298595200045</c:v>
                </c:pt>
                <c:pt idx="21">
                  <c:v>4.162124898750001</c:v>
                </c:pt>
                <c:pt idx="22">
                  <c:v>4.334780223859994</c:v>
                </c:pt>
                <c:pt idx="23">
                  <c:v>0.34393323845999646</c:v>
                </c:pt>
                <c:pt idx="24">
                  <c:v>0.76210759849000453</c:v>
                </c:pt>
                <c:pt idx="25">
                  <c:v>0.75695640868000424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4-46B8-A186-1E17D9D988DF}"/>
            </c:ext>
          </c:extLst>
        </c:ser>
        <c:ser>
          <c:idx val="3"/>
          <c:order val="3"/>
          <c:tx>
            <c:strRef>
              <c:f>Calc!$O$12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Calc!$O$13:$O$39</c:f>
              <c:numCache>
                <c:formatCode>#,##0.00</c:formatCode>
                <c:ptCount val="27"/>
                <c:pt idx="0">
                  <c:v>0.26017353912000374</c:v>
                </c:pt>
                <c:pt idx="1">
                  <c:v>0.24561061645999871</c:v>
                </c:pt>
                <c:pt idx="2">
                  <c:v>0.22964388409000236</c:v>
                </c:pt>
                <c:pt idx="3">
                  <c:v>0.21218430244999809</c:v>
                </c:pt>
                <c:pt idx="4">
                  <c:v>0.19313758447999874</c:v>
                </c:pt>
                <c:pt idx="5">
                  <c:v>0.17240382688000011</c:v>
                </c:pt>
                <c:pt idx="6">
                  <c:v>0.14987750758999852</c:v>
                </c:pt>
                <c:pt idx="7">
                  <c:v>0.12645067181999536</c:v>
                </c:pt>
                <c:pt idx="8">
                  <c:v>9.7985054260007587E-2</c:v>
                </c:pt>
                <c:pt idx="9">
                  <c:v>7.0391327799995906E-2</c:v>
                </c:pt>
                <c:pt idx="10">
                  <c:v>3.945137841000701E-2</c:v>
                </c:pt>
                <c:pt idx="11">
                  <c:v>6.2646852999961311E-3</c:v>
                </c:pt>
                <c:pt idx="12">
                  <c:v>-2.9714229710002371E-2</c:v>
                </c:pt>
                <c:pt idx="13">
                  <c:v>-6.8210325249999926E-2</c:v>
                </c:pt>
                <c:pt idx="14">
                  <c:v>-0.10974785113000252</c:v>
                </c:pt>
                <c:pt idx="15">
                  <c:v>-0.15430142990999229</c:v>
                </c:pt>
                <c:pt idx="16">
                  <c:v>-0.20210627904999967</c:v>
                </c:pt>
                <c:pt idx="17">
                  <c:v>-0.25334262112001227</c:v>
                </c:pt>
                <c:pt idx="18">
                  <c:v>-0.30826596635998982</c:v>
                </c:pt>
                <c:pt idx="19">
                  <c:v>-0.36704609131999888</c:v>
                </c:pt>
                <c:pt idx="20">
                  <c:v>-0.42992620408000448</c:v>
                </c:pt>
                <c:pt idx="21">
                  <c:v>-0.49718345262999719</c:v>
                </c:pt>
                <c:pt idx="22">
                  <c:v>-0.57122555005000564</c:v>
                </c:pt>
                <c:pt idx="23">
                  <c:v>-0.64281276237999663</c:v>
                </c:pt>
                <c:pt idx="24">
                  <c:v>-0.69689175302999828</c:v>
                </c:pt>
                <c:pt idx="25">
                  <c:v>-0.75115665542000087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4-46B8-A186-1E17D9D988DF}"/>
            </c:ext>
          </c:extLst>
        </c:ser>
        <c:ser>
          <c:idx val="4"/>
          <c:order val="4"/>
          <c:tx>
            <c:strRef>
              <c:f>Calc!$P$12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Calc!$P$13:$P$39</c:f>
              <c:numCache>
                <c:formatCode>#,##0.00</c:formatCode>
                <c:ptCount val="27"/>
                <c:pt idx="0">
                  <c:v>0.34137264452000005</c:v>
                </c:pt>
                <c:pt idx="1">
                  <c:v>0.36392011309999983</c:v>
                </c:pt>
                <c:pt idx="2">
                  <c:v>0.38780340952000047</c:v>
                </c:pt>
                <c:pt idx="3">
                  <c:v>0.41309775159999962</c:v>
                </c:pt>
                <c:pt idx="4">
                  <c:v>0.43988260873000051</c:v>
                </c:pt>
                <c:pt idx="5">
                  <c:v>0.46824193431999905</c:v>
                </c:pt>
                <c:pt idx="6">
                  <c:v>0.49826441163000101</c:v>
                </c:pt>
                <c:pt idx="7">
                  <c:v>0.53004371462999877</c:v>
                </c:pt>
                <c:pt idx="8">
                  <c:v>0.56368202172000093</c:v>
                </c:pt>
                <c:pt idx="9">
                  <c:v>0.59927427745000017</c:v>
                </c:pt>
                <c:pt idx="10">
                  <c:v>0.63694023138999967</c:v>
                </c:pt>
                <c:pt idx="11">
                  <c:v>0.67679349854999948</c:v>
                </c:pt>
                <c:pt idx="12">
                  <c:v>0.7189567148800009</c:v>
                </c:pt>
                <c:pt idx="13">
                  <c:v>0.76356041414999964</c:v>
                </c:pt>
                <c:pt idx="14">
                  <c:v>0.81074129948000007</c:v>
                </c:pt>
                <c:pt idx="15">
                  <c:v>0.86064467973000092</c:v>
                </c:pt>
                <c:pt idx="16">
                  <c:v>0.91342345193999996</c:v>
                </c:pt>
                <c:pt idx="17">
                  <c:v>0.96922252553999932</c:v>
                </c:pt>
                <c:pt idx="18">
                  <c:v>1.0282624794600004</c:v>
                </c:pt>
                <c:pt idx="19">
                  <c:v>1.0906735092599984</c:v>
                </c:pt>
                <c:pt idx="20">
                  <c:v>1.1566624519000008</c:v>
                </c:pt>
                <c:pt idx="21">
                  <c:v>1.226425648310002</c:v>
                </c:pt>
                <c:pt idx="22">
                  <c:v>1.30018615002</c:v>
                </c:pt>
                <c:pt idx="23">
                  <c:v>1.3777002229499971</c:v>
                </c:pt>
                <c:pt idx="24">
                  <c:v>1.4354529052000018</c:v>
                </c:pt>
                <c:pt idx="25">
                  <c:v>1.4977741680700021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B4-46B8-A186-1E17D9D988DF}"/>
            </c:ext>
          </c:extLst>
        </c:ser>
        <c:ser>
          <c:idx val="5"/>
          <c:order val="5"/>
          <c:tx>
            <c:strRef>
              <c:f>Calc!$Q$12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Calc!$Q$13:$Q$39</c:f>
              <c:numCache>
                <c:formatCode>#,##0.00</c:formatCode>
                <c:ptCount val="27"/>
                <c:pt idx="0">
                  <c:v>7.9336145439999992E-2</c:v>
                </c:pt>
                <c:pt idx="1">
                  <c:v>8.4940373990000026E-2</c:v>
                </c:pt>
                <c:pt idx="2">
                  <c:v>9.0882826720000004E-2</c:v>
                </c:pt>
                <c:pt idx="3">
                  <c:v>9.7182652320000007E-2</c:v>
                </c:pt>
                <c:pt idx="4">
                  <c:v>0.10386008936999996</c:v>
                </c:pt>
                <c:pt idx="5">
                  <c:v>0.11093655323000001</c:v>
                </c:pt>
                <c:pt idx="6">
                  <c:v>0.11843459171000004</c:v>
                </c:pt>
                <c:pt idx="7">
                  <c:v>0.12602468229999997</c:v>
                </c:pt>
                <c:pt idx="8">
                  <c:v>0.13514664229000006</c:v>
                </c:pt>
                <c:pt idx="9">
                  <c:v>0.14370391029999985</c:v>
                </c:pt>
                <c:pt idx="10">
                  <c:v>0.15320912897000016</c:v>
                </c:pt>
                <c:pt idx="11">
                  <c:v>0.16306487679000004</c:v>
                </c:pt>
                <c:pt idx="12">
                  <c:v>0.17377077972999988</c:v>
                </c:pt>
                <c:pt idx="13">
                  <c:v>0.18485102198999992</c:v>
                </c:pt>
                <c:pt idx="14">
                  <c:v>0.19676312601000023</c:v>
                </c:pt>
                <c:pt idx="15">
                  <c:v>0.20930775613999963</c:v>
                </c:pt>
                <c:pt idx="16">
                  <c:v>0.22258294509000009</c:v>
                </c:pt>
                <c:pt idx="17">
                  <c:v>0.2366245260800004</c:v>
                </c:pt>
                <c:pt idx="18">
                  <c:v>0.25149265299999968</c:v>
                </c:pt>
                <c:pt idx="19">
                  <c:v>0.26721636943000027</c:v>
                </c:pt>
                <c:pt idx="20">
                  <c:v>0.28384822617999994</c:v>
                </c:pt>
                <c:pt idx="21">
                  <c:v>0.3014640056700002</c:v>
                </c:pt>
                <c:pt idx="22">
                  <c:v>0.32266629794999968</c:v>
                </c:pt>
                <c:pt idx="23">
                  <c:v>0.33706319552999986</c:v>
                </c:pt>
                <c:pt idx="24">
                  <c:v>0.3549524052100006</c:v>
                </c:pt>
                <c:pt idx="25">
                  <c:v>0.36880919476999985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B4-46B8-A186-1E17D9D98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Costs</a:t>
            </a:r>
            <a:r>
              <a:rPr lang="en-US" baseline="0"/>
              <a:t> B$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Cost_Calc!$A$3</c:f>
              <c:strCache>
                <c:ptCount val="1"/>
                <c:pt idx="0">
                  <c:v>Capital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Cost_Calc!$I$8:$I$34</c:f>
              <c:numCache>
                <c:formatCode>#,##0</c:formatCode>
                <c:ptCount val="27"/>
                <c:pt idx="0">
                  <c:v>2.8244074993000003</c:v>
                </c:pt>
                <c:pt idx="1">
                  <c:v>3.1923372730300001</c:v>
                </c:pt>
                <c:pt idx="2">
                  <c:v>3.5836811987299999</c:v>
                </c:pt>
                <c:pt idx="3">
                  <c:v>3.9998067448799999</c:v>
                </c:pt>
                <c:pt idx="4">
                  <c:v>4.4421582810699993</c:v>
                </c:pt>
                <c:pt idx="5">
                  <c:v>4.9122614019300004</c:v>
                </c:pt>
                <c:pt idx="6">
                  <c:v>5.4117274880200004</c:v>
                </c:pt>
                <c:pt idx="7">
                  <c:v>5.9422585219500013</c:v>
                </c:pt>
                <c:pt idx="8">
                  <c:v>6.5056647830099994</c:v>
                </c:pt>
                <c:pt idx="9">
                  <c:v>7.1038104340000006</c:v>
                </c:pt>
                <c:pt idx="10">
                  <c:v>7.7387322729700001</c:v>
                </c:pt>
                <c:pt idx="11">
                  <c:v>8.4125406019299991</c:v>
                </c:pt>
                <c:pt idx="12">
                  <c:v>9.1274675107800007</c:v>
                </c:pt>
                <c:pt idx="13">
                  <c:v>9.8858819495600017</c:v>
                </c:pt>
                <c:pt idx="14">
                  <c:v>10.690273379100001</c:v>
                </c:pt>
                <c:pt idx="15">
                  <c:v>11.543281315</c:v>
                </c:pt>
                <c:pt idx="16">
                  <c:v>12.447687644209999</c:v>
                </c:pt>
                <c:pt idx="17">
                  <c:v>13.406431734480002</c:v>
                </c:pt>
                <c:pt idx="18">
                  <c:v>14.422615352059999</c:v>
                </c:pt>
                <c:pt idx="19">
                  <c:v>15.499521593300001</c:v>
                </c:pt>
                <c:pt idx="20">
                  <c:v>16.64061007367</c:v>
                </c:pt>
                <c:pt idx="21">
                  <c:v>17.849536625920003</c:v>
                </c:pt>
                <c:pt idx="22">
                  <c:v>19.1301621874</c:v>
                </c:pt>
                <c:pt idx="23">
                  <c:v>20.473577308320003</c:v>
                </c:pt>
                <c:pt idx="24">
                  <c:v>21.179819599309997</c:v>
                </c:pt>
                <c:pt idx="25">
                  <c:v>21.983065321909997</c:v>
                </c:pt>
                <c:pt idx="26">
                  <c:v>22.813957036430001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5-49B1-839A-E0836CD573E2}"/>
            </c:ext>
          </c:extLst>
        </c:ser>
        <c:ser>
          <c:idx val="1"/>
          <c:order val="1"/>
          <c:tx>
            <c:strRef>
              <c:f>Cost_Calc!$K$3</c:f>
              <c:strCache>
                <c:ptCount val="1"/>
                <c:pt idx="0">
                  <c:v>Fixed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Cost_Calc!$S$8:$S$34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5-49B1-839A-E0836CD573E2}"/>
            </c:ext>
          </c:extLst>
        </c:ser>
        <c:ser>
          <c:idx val="2"/>
          <c:order val="2"/>
          <c:tx>
            <c:strRef>
              <c:f>Cost_Calc!$U$3</c:f>
              <c:strCache>
                <c:ptCount val="1"/>
                <c:pt idx="0">
                  <c:v>Variable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Cost_Calc!$AC$8:$AC$34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5-49B1-839A-E0836CD573E2}"/>
            </c:ext>
          </c:extLst>
        </c:ser>
        <c:ser>
          <c:idx val="3"/>
          <c:order val="3"/>
          <c:tx>
            <c:strRef>
              <c:f>Cost_Calc!$AE$3</c:f>
              <c:strCache>
                <c:ptCount val="1"/>
                <c:pt idx="0">
                  <c:v>CO2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Cost_Calc!$AM$8:$AM$34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5-49B1-839A-E0836CD57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Cost_Graph!#REF!</c:f>
          <c:strCache>
            <c:ptCount val="1"/>
            <c:pt idx="0">
              <c:v>#REF!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B46-454E-BED4-5145489F483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B46-454E-BED4-5145489F4833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B46-454E-BED4-5145489F4833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4B46-454E-BED4-5145489F4833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4B46-454E-BED4-5145489F4833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B46-454E-BED4-5145489F4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10</xdr:col>
      <xdr:colOff>165999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32658</xdr:colOff>
      <xdr:row>3</xdr:row>
      <xdr:rowOff>40822</xdr:rowOff>
    </xdr:from>
    <xdr:to>
      <xdr:col>1</xdr:col>
      <xdr:colOff>19050</xdr:colOff>
      <xdr:row>4</xdr:row>
      <xdr:rowOff>24493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32658" y="615043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9</xdr:col>
      <xdr:colOff>179613</xdr:colOff>
      <xdr:row>36</xdr:row>
      <xdr:rowOff>117021</xdr:rowOff>
    </xdr:to>
    <xdr:graphicFrame macro="">
      <xdr:nvGraphicFramePr>
        <xdr:cNvPr id="7" name="Main_Chart">
          <a:extLst>
            <a:ext uri="{FF2B5EF4-FFF2-40B4-BE49-F238E27FC236}">
              <a16:creationId xmlns:a16="http://schemas.microsoft.com/office/drawing/2014/main" id="{C4ACE980-5439-48D5-B37B-88B62B6B1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9</xdr:col>
      <xdr:colOff>0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471CDF07-5B44-4BD9-B978-170343838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A92104C0-8527-4EB3-B1B3-9C94F8DA5161}"/>
            </a:ext>
          </a:extLst>
        </xdr:cNvPr>
        <xdr:cNvSpPr/>
      </xdr:nvSpPr>
      <xdr:spPr>
        <a:xfrm>
          <a:off x="1518558" y="223157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4" name="Delta_Chart">
          <a:extLst>
            <a:ext uri="{FF2B5EF4-FFF2-40B4-BE49-F238E27FC236}">
              <a16:creationId xmlns:a16="http://schemas.microsoft.com/office/drawing/2014/main" id="{000DB447-8296-417D-856A-81AA9DD88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opLeftCell="A6" workbookViewId="0">
      <selection activeCell="A2" sqref="A2"/>
    </sheetView>
  </sheetViews>
  <sheetFormatPr defaultRowHeight="14.6" x14ac:dyDescent="0.85"/>
  <cols>
    <col min="1" max="1" width="11.92187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21</v>
      </c>
      <c r="C1" s="15" t="s">
        <v>8</v>
      </c>
      <c r="D1" s="14"/>
      <c r="E1" s="14"/>
      <c r="F1" s="14"/>
      <c r="G1" s="14"/>
      <c r="H1" s="14"/>
      <c r="I1" s="14"/>
    </row>
    <row r="2" spans="1:27" ht="14.65" x14ac:dyDescent="0.85">
      <c r="A2" s="2" t="s">
        <v>141</v>
      </c>
      <c r="K2" s="8"/>
    </row>
    <row r="3" spans="1:27" ht="14.65" x14ac:dyDescent="0.85">
      <c r="M3" s="14"/>
      <c r="N3" s="14"/>
      <c r="O3" s="14"/>
    </row>
    <row r="4" spans="1:27" ht="14.65" customHeight="1" x14ac:dyDescent="0.85"/>
    <row r="5" spans="1:27" ht="14.65" x14ac:dyDescent="0.85"/>
    <row r="6" spans="1:27" ht="14.65" x14ac:dyDescent="0.85">
      <c r="K6" s="1"/>
      <c r="L6" s="1"/>
      <c r="M6" s="1"/>
      <c r="N6" s="1"/>
      <c r="O6" s="1"/>
      <c r="P6" s="1"/>
      <c r="Q6" s="1"/>
      <c r="U6" s="1"/>
      <c r="V6" s="1"/>
      <c r="W6" s="1"/>
      <c r="X6" s="1"/>
      <c r="Y6" s="1"/>
      <c r="Z6" s="1"/>
      <c r="AA6" s="1"/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  <row r="17" spans="1:27" ht="14.65" x14ac:dyDescent="0.85">
      <c r="K17" s="1"/>
      <c r="L17" s="1"/>
      <c r="M17" s="1"/>
      <c r="N17" s="1"/>
      <c r="O17" s="1"/>
      <c r="P17" s="1"/>
      <c r="Q17" s="1"/>
      <c r="U17" s="1"/>
      <c r="V17" s="1"/>
      <c r="W17" s="1"/>
      <c r="X17" s="1"/>
      <c r="Y17" s="1"/>
      <c r="Z17" s="1"/>
      <c r="AA17" s="1"/>
    </row>
    <row r="18" spans="1:27" ht="14.65" x14ac:dyDescent="0.85">
      <c r="K18" s="1"/>
      <c r="L18" s="1"/>
      <c r="M18" s="1"/>
      <c r="N18" s="1"/>
      <c r="O18" s="1"/>
      <c r="P18" s="1"/>
      <c r="Q18" s="1"/>
      <c r="U18" s="1"/>
      <c r="V18" s="1"/>
      <c r="W18" s="1"/>
      <c r="X18" s="1"/>
      <c r="Y18" s="1"/>
      <c r="Z18" s="1"/>
      <c r="AA18" s="1"/>
    </row>
    <row r="19" spans="1:27" ht="14.65" x14ac:dyDescent="0.85">
      <c r="K19" s="1"/>
      <c r="L19" s="1"/>
      <c r="M19" s="1"/>
      <c r="N19" s="1"/>
      <c r="O19" s="1"/>
      <c r="P19" s="1"/>
      <c r="Q19" s="1"/>
      <c r="U19" s="1"/>
      <c r="V19" s="1"/>
      <c r="W19" s="1"/>
      <c r="X19" s="1"/>
      <c r="Y19" s="1"/>
      <c r="Z19" s="1"/>
      <c r="AA19" s="1"/>
    </row>
    <row r="20" spans="1:27" ht="14.65" x14ac:dyDescent="0.85">
      <c r="K20" s="1"/>
      <c r="L20" s="1"/>
      <c r="M20" s="1"/>
      <c r="N20" s="1"/>
      <c r="O20" s="1"/>
      <c r="P20" s="1"/>
      <c r="Q20" s="1"/>
      <c r="U20" s="1"/>
      <c r="V20" s="1"/>
      <c r="W20" s="1"/>
      <c r="X20" s="1"/>
      <c r="Y20" s="1"/>
      <c r="Z20" s="1"/>
      <c r="AA20" s="1"/>
    </row>
    <row r="21" spans="1:27" ht="14.65" x14ac:dyDescent="0.85">
      <c r="K21" s="1"/>
      <c r="L21" s="1"/>
      <c r="M21" s="1"/>
      <c r="N21" s="1"/>
      <c r="O21" s="1"/>
      <c r="P21" s="1"/>
      <c r="Q21" s="1"/>
      <c r="U21" s="1"/>
      <c r="V21" s="1"/>
      <c r="W21" s="1"/>
      <c r="X21" s="1"/>
      <c r="Y21" s="1"/>
      <c r="Z21" s="1"/>
      <c r="AA21" s="1"/>
    </row>
    <row r="22" spans="1:27" ht="14.65" x14ac:dyDescent="0.85">
      <c r="A22" s="10" t="s">
        <v>162</v>
      </c>
      <c r="K22" s="1"/>
      <c r="L22" s="1"/>
      <c r="M22" s="1"/>
      <c r="N22" s="1"/>
      <c r="O22" s="1"/>
      <c r="P22" s="1"/>
      <c r="Q22" s="1"/>
      <c r="U22" s="1"/>
      <c r="V22" s="1"/>
      <c r="W22" s="1"/>
      <c r="X22" s="1"/>
      <c r="Y22" s="1"/>
      <c r="Z22" s="1"/>
      <c r="AA22" s="1"/>
    </row>
    <row r="23" spans="1:27" ht="14.65" x14ac:dyDescent="0.85">
      <c r="K23" s="1"/>
      <c r="L23" s="1"/>
      <c r="M23" s="1"/>
      <c r="N23" s="1"/>
      <c r="O23" s="1"/>
      <c r="P23" s="1"/>
      <c r="Q23" s="1"/>
      <c r="U23" s="1"/>
      <c r="V23" s="1"/>
      <c r="W23" s="1"/>
      <c r="X23" s="1"/>
      <c r="Y23" s="1"/>
      <c r="Z23" s="1"/>
      <c r="AA23" s="1"/>
    </row>
    <row r="24" spans="1:27" ht="14.65" x14ac:dyDescent="0.85">
      <c r="K24" s="1"/>
      <c r="L24" s="1"/>
      <c r="M24" s="1"/>
      <c r="N24" s="1"/>
      <c r="O24" s="1"/>
      <c r="P24" s="1"/>
      <c r="Q24" s="1"/>
      <c r="U24" s="1"/>
      <c r="V24" s="1"/>
      <c r="W24" s="1"/>
      <c r="X24" s="1"/>
      <c r="Y24" s="1"/>
      <c r="Z24" s="1"/>
      <c r="AA24" s="1"/>
    </row>
    <row r="25" spans="1:27" ht="14.65" x14ac:dyDescent="0.85">
      <c r="K25" s="1"/>
      <c r="L25" s="1"/>
      <c r="M25" s="1"/>
      <c r="N25" s="1"/>
      <c r="O25" s="1"/>
      <c r="P25" s="1"/>
      <c r="Q25" s="1"/>
      <c r="U25" s="1"/>
      <c r="V25" s="1"/>
      <c r="W25" s="1"/>
      <c r="X25" s="1"/>
      <c r="Y25" s="1"/>
      <c r="Z25" s="1"/>
      <c r="AA25" s="1"/>
    </row>
    <row r="26" spans="1:27" ht="14.65" x14ac:dyDescent="0.85">
      <c r="K26" s="1"/>
      <c r="L26" s="1"/>
      <c r="M26" s="1"/>
      <c r="N26" s="1"/>
      <c r="O26" s="1"/>
      <c r="P26" s="1"/>
      <c r="Q26" s="1"/>
      <c r="U26" s="1"/>
      <c r="V26" s="1"/>
      <c r="W26" s="1"/>
      <c r="X26" s="1"/>
      <c r="Y26" s="1"/>
      <c r="Z26" s="1"/>
      <c r="AA26" s="1"/>
    </row>
    <row r="27" spans="1:27" ht="14.65" x14ac:dyDescent="0.85">
      <c r="K27" s="1"/>
      <c r="L27" s="1"/>
      <c r="M27" s="1"/>
      <c r="N27" s="1"/>
      <c r="O27" s="1"/>
      <c r="P27" s="1"/>
      <c r="Q27" s="1"/>
      <c r="U27" s="1"/>
      <c r="V27" s="1"/>
      <c r="W27" s="1"/>
      <c r="X27" s="1"/>
      <c r="Y27" s="1"/>
      <c r="Z27" s="1"/>
      <c r="AA27" s="1"/>
    </row>
    <row r="28" spans="1:27" ht="14.65" x14ac:dyDescent="0.85">
      <c r="K28" s="1"/>
      <c r="L28" s="1"/>
      <c r="M28" s="1"/>
      <c r="N28" s="1"/>
      <c r="O28" s="1"/>
      <c r="P28" s="1"/>
      <c r="Q28" s="1"/>
      <c r="U28" s="1"/>
      <c r="V28" s="1"/>
      <c r="W28" s="1"/>
      <c r="X28" s="1"/>
      <c r="Y28" s="1"/>
      <c r="Z28" s="1"/>
      <c r="AA28" s="1"/>
    </row>
    <row r="29" spans="1:27" ht="14.65" x14ac:dyDescent="0.85">
      <c r="K29" s="1"/>
      <c r="L29" s="1"/>
      <c r="M29" s="1"/>
      <c r="N29" s="1"/>
      <c r="O29" s="1"/>
      <c r="P29" s="1"/>
      <c r="Q29" s="1"/>
      <c r="U29" s="1"/>
      <c r="V29" s="1"/>
      <c r="W29" s="1"/>
      <c r="X29" s="1"/>
      <c r="Y29" s="1"/>
      <c r="Z29" s="1"/>
      <c r="AA29" s="1"/>
    </row>
    <row r="30" spans="1:27" ht="14.65" x14ac:dyDescent="0.85">
      <c r="K30" s="1"/>
      <c r="L30" s="1"/>
      <c r="M30" s="1"/>
      <c r="N30" s="1"/>
      <c r="O30" s="1"/>
      <c r="P30" s="1"/>
      <c r="Q30" s="1"/>
      <c r="U30" s="1"/>
      <c r="V30" s="1"/>
      <c r="W30" s="1"/>
      <c r="X30" s="1"/>
      <c r="Y30" s="1"/>
      <c r="Z30" s="1"/>
      <c r="AA30" s="1"/>
    </row>
    <row r="31" spans="1:27" ht="14.65" x14ac:dyDescent="0.85">
      <c r="K31" s="1"/>
      <c r="L31" s="1"/>
      <c r="M31" s="1"/>
      <c r="N31" s="1"/>
      <c r="O31" s="1"/>
      <c r="P31" s="1"/>
      <c r="Q31" s="1"/>
      <c r="U31" s="1"/>
      <c r="V31" s="1"/>
      <c r="W31" s="1"/>
      <c r="X31" s="1"/>
      <c r="Y31" s="1"/>
      <c r="Z31" s="1"/>
      <c r="AA31" s="1"/>
    </row>
    <row r="32" spans="1:27" ht="14.65" x14ac:dyDescent="0.85">
      <c r="K32" s="1"/>
      <c r="L32" s="1"/>
      <c r="M32" s="1"/>
      <c r="N32" s="1"/>
      <c r="O32" s="1"/>
      <c r="P32" s="1"/>
      <c r="Q32" s="1"/>
    </row>
  </sheetData>
  <mergeCells count="2">
    <mergeCell ref="M3:O3"/>
    <mergeCell ref="C1:I1"/>
  </mergeCells>
  <conditionalFormatting sqref="K6:Q32">
    <cfRule type="expression" dxfId="15" priority="5">
      <formula>$Q6 &gt; 10000</formula>
    </cfRule>
  </conditionalFormatting>
  <conditionalFormatting sqref="U6:AA31">
    <cfRule type="expression" dxfId="14" priority="3">
      <formula>$Q6 &gt; 10000</formula>
    </cfRule>
  </conditionalFormatting>
  <conditionalFormatting sqref="K2">
    <cfRule type="expression" dxfId="13" priority="2">
      <formula>$Q2 &gt; 10000</formula>
    </cfRule>
  </conditionalFormatting>
  <dataValidations count="1">
    <dataValidation type="list" allowBlank="1" showInputMessage="1" showErrorMessage="1" sqref="A2" xr:uid="{FBA341F7-B53D-40FE-9073-E8DFC7E6B155}">
      <formula1>Params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6B7B-C308-4369-B725-05C64C64DE0D}">
  <sheetPr codeName="Sheet5"/>
  <dimension ref="A1:I32"/>
  <sheetViews>
    <sheetView tabSelected="1" workbookViewId="0">
      <selection activeCell="B7" sqref="B7"/>
    </sheetView>
  </sheetViews>
  <sheetFormatPr defaultRowHeight="14.6" x14ac:dyDescent="0.85"/>
  <cols>
    <col min="1" max="1" width="14.11328125" bestFit="1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</cols>
  <sheetData>
    <row r="1" spans="1:9" ht="16.149999999999999" x14ac:dyDescent="0.85">
      <c r="A1" s="2" t="s">
        <v>21</v>
      </c>
      <c r="C1" s="15" t="s">
        <v>8</v>
      </c>
      <c r="D1" s="14"/>
      <c r="E1" s="14"/>
      <c r="F1" s="14"/>
      <c r="G1" s="14"/>
      <c r="H1" s="14"/>
      <c r="I1" s="14"/>
    </row>
    <row r="2" spans="1:9" ht="14.65" x14ac:dyDescent="0.85">
      <c r="A2" s="2" t="s">
        <v>28</v>
      </c>
    </row>
    <row r="4" spans="1:9" ht="14.65" customHeight="1" x14ac:dyDescent="0.85">
      <c r="A4" t="s">
        <v>150</v>
      </c>
      <c r="B4" s="9" t="b">
        <v>1</v>
      </c>
    </row>
    <row r="5" spans="1:9" ht="14.65" x14ac:dyDescent="0.85">
      <c r="A5" t="s">
        <v>151</v>
      </c>
      <c r="B5" s="9" t="b">
        <v>0</v>
      </c>
      <c r="I5">
        <v>2023</v>
      </c>
    </row>
    <row r="6" spans="1:9" ht="14.65" x14ac:dyDescent="0.85">
      <c r="A6" t="s">
        <v>152</v>
      </c>
      <c r="B6" s="9" t="b">
        <v>0</v>
      </c>
      <c r="I6">
        <f>I5+1</f>
        <v>2024</v>
      </c>
    </row>
    <row r="7" spans="1:9" ht="14.65" x14ac:dyDescent="0.85">
      <c r="A7" t="s">
        <v>153</v>
      </c>
      <c r="B7" s="9" t="b">
        <v>0</v>
      </c>
      <c r="I7">
        <f t="shared" ref="I7:I22" si="0">I6+1</f>
        <v>2025</v>
      </c>
    </row>
    <row r="8" spans="1:9" ht="14.65" x14ac:dyDescent="0.85">
      <c r="I8">
        <f t="shared" si="0"/>
        <v>2026</v>
      </c>
    </row>
    <row r="9" spans="1:9" ht="14.65" x14ac:dyDescent="0.85">
      <c r="A9" t="s">
        <v>154</v>
      </c>
      <c r="B9" s="9" t="b">
        <v>1</v>
      </c>
      <c r="I9">
        <f t="shared" si="0"/>
        <v>2027</v>
      </c>
    </row>
    <row r="10" spans="1:9" ht="14.65" x14ac:dyDescent="0.85">
      <c r="A10" t="s">
        <v>155</v>
      </c>
      <c r="B10" s="9" t="b">
        <v>1</v>
      </c>
      <c r="I10">
        <f t="shared" si="0"/>
        <v>2028</v>
      </c>
    </row>
    <row r="11" spans="1:9" ht="14.65" x14ac:dyDescent="0.85">
      <c r="A11" t="s">
        <v>156</v>
      </c>
      <c r="B11" s="9" t="b">
        <v>1</v>
      </c>
      <c r="I11">
        <f t="shared" si="0"/>
        <v>2029</v>
      </c>
    </row>
    <row r="12" spans="1:9" ht="14.65" x14ac:dyDescent="0.85">
      <c r="A12" t="s">
        <v>157</v>
      </c>
      <c r="B12" s="9" t="b">
        <v>1</v>
      </c>
      <c r="I12">
        <f t="shared" si="0"/>
        <v>2030</v>
      </c>
    </row>
    <row r="13" spans="1:9" ht="14.65" x14ac:dyDescent="0.85">
      <c r="A13" t="s">
        <v>158</v>
      </c>
      <c r="B13" s="9" t="b">
        <v>1</v>
      </c>
      <c r="I13">
        <f t="shared" si="0"/>
        <v>2031</v>
      </c>
    </row>
    <row r="14" spans="1:9" ht="14.65" x14ac:dyDescent="0.85">
      <c r="A14" t="s">
        <v>159</v>
      </c>
      <c r="B14" s="9" t="b">
        <v>1</v>
      </c>
      <c r="I14">
        <f t="shared" si="0"/>
        <v>2032</v>
      </c>
    </row>
    <row r="15" spans="1:9" ht="14.65" x14ac:dyDescent="0.85">
      <c r="I15">
        <f t="shared" si="0"/>
        <v>2033</v>
      </c>
    </row>
    <row r="16" spans="1:9" ht="14.65" x14ac:dyDescent="0.85">
      <c r="I16">
        <f t="shared" si="0"/>
        <v>2034</v>
      </c>
    </row>
    <row r="17" spans="9:9" ht="14.65" x14ac:dyDescent="0.85">
      <c r="I17">
        <f t="shared" si="0"/>
        <v>2035</v>
      </c>
    </row>
    <row r="18" spans="9:9" ht="14.65" x14ac:dyDescent="0.85">
      <c r="I18">
        <f t="shared" si="0"/>
        <v>2036</v>
      </c>
    </row>
    <row r="19" spans="9:9" ht="14.65" x14ac:dyDescent="0.85">
      <c r="I19">
        <f t="shared" si="0"/>
        <v>2037</v>
      </c>
    </row>
    <row r="20" spans="9:9" x14ac:dyDescent="0.85">
      <c r="I20">
        <f t="shared" si="0"/>
        <v>2038</v>
      </c>
    </row>
    <row r="21" spans="9:9" x14ac:dyDescent="0.85">
      <c r="I21">
        <f t="shared" si="0"/>
        <v>2039</v>
      </c>
    </row>
    <row r="22" spans="9:9" x14ac:dyDescent="0.85">
      <c r="I22">
        <f t="shared" si="0"/>
        <v>2040</v>
      </c>
    </row>
    <row r="23" spans="9:9" x14ac:dyDescent="0.85">
      <c r="I23">
        <f t="shared" ref="I23:I32" si="1">I22+1</f>
        <v>2041</v>
      </c>
    </row>
    <row r="24" spans="9:9" x14ac:dyDescent="0.85">
      <c r="I24">
        <f t="shared" si="1"/>
        <v>2042</v>
      </c>
    </row>
    <row r="25" spans="9:9" x14ac:dyDescent="0.85">
      <c r="I25">
        <f t="shared" si="1"/>
        <v>2043</v>
      </c>
    </row>
    <row r="26" spans="9:9" x14ac:dyDescent="0.85">
      <c r="I26">
        <f t="shared" si="1"/>
        <v>2044</v>
      </c>
    </row>
    <row r="27" spans="9:9" x14ac:dyDescent="0.85">
      <c r="I27">
        <f t="shared" si="1"/>
        <v>2045</v>
      </c>
    </row>
    <row r="28" spans="9:9" x14ac:dyDescent="0.85">
      <c r="I28">
        <f t="shared" si="1"/>
        <v>2046</v>
      </c>
    </row>
    <row r="29" spans="9:9" x14ac:dyDescent="0.85">
      <c r="I29">
        <f t="shared" si="1"/>
        <v>2047</v>
      </c>
    </row>
    <row r="30" spans="9:9" x14ac:dyDescent="0.85">
      <c r="I30">
        <f t="shared" si="1"/>
        <v>2048</v>
      </c>
    </row>
    <row r="31" spans="9:9" x14ac:dyDescent="0.85">
      <c r="I31">
        <f t="shared" si="1"/>
        <v>2049</v>
      </c>
    </row>
    <row r="32" spans="9:9" x14ac:dyDescent="0.85">
      <c r="I32">
        <f t="shared" si="1"/>
        <v>2050</v>
      </c>
    </row>
  </sheetData>
  <mergeCells count="1">
    <mergeCell ref="C1:I1"/>
  </mergeCells>
  <dataValidations count="1">
    <dataValidation type="list" allowBlank="1" showInputMessage="1" showErrorMessage="1" sqref="A2" xr:uid="{88D65C1F-558A-4663-B549-55B891711BDC}">
      <formula1>Params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EDE5-8FEE-47AB-9518-62B7C472B416}">
  <dimension ref="A2:R39"/>
  <sheetViews>
    <sheetView workbookViewId="0">
      <selection activeCell="B6" sqref="B6"/>
    </sheetView>
  </sheetViews>
  <sheetFormatPr defaultRowHeight="14.6" x14ac:dyDescent="0.85"/>
  <cols>
    <col min="1" max="1" width="11.53515625" customWidth="1"/>
    <col min="2" max="2" width="10.8046875" bestFit="1" customWidth="1"/>
    <col min="3" max="9" width="12.69140625" customWidth="1"/>
    <col min="10" max="10" width="2.9609375" customWidth="1"/>
    <col min="11" max="11" width="3.11328125" customWidth="1"/>
  </cols>
  <sheetData>
    <row r="2" spans="1:18" x14ac:dyDescent="0.85">
      <c r="C2" s="8"/>
    </row>
    <row r="3" spans="1:18" x14ac:dyDescent="0.85">
      <c r="B3" t="s">
        <v>134</v>
      </c>
      <c r="C3" t="str">
        <f>VLOOKUP(Region, Region_lookup,2,FALSE)</f>
        <v>CAL</v>
      </c>
      <c r="E3" s="14" t="str">
        <f>Graph!$A$1 &amp; " - " &amp; Graph!$A$2</f>
        <v>California - Capacity GW</v>
      </c>
      <c r="F3" s="14"/>
      <c r="G3" s="14"/>
    </row>
    <row r="4" spans="1:18" x14ac:dyDescent="0.85">
      <c r="B4" t="s">
        <v>135</v>
      </c>
      <c r="C4">
        <f>VLOOKUP(Parameter,Param_Table,4,FALSE)</f>
        <v>1E-3</v>
      </c>
    </row>
    <row r="5" spans="1:18" x14ac:dyDescent="0.85">
      <c r="B5" t="s">
        <v>143</v>
      </c>
      <c r="C5">
        <f>VLOOKUP(Parameter,Param_Table,2,FALSE)</f>
        <v>0</v>
      </c>
    </row>
    <row r="6" spans="1:18" x14ac:dyDescent="0.85">
      <c r="B6" t="str">
        <f>Parameter</f>
        <v>Capacity GW</v>
      </c>
    </row>
    <row r="11" spans="1:18" x14ac:dyDescent="0.85">
      <c r="A11" t="s">
        <v>144</v>
      </c>
      <c r="B11" t="s">
        <v>95</v>
      </c>
      <c r="C11">
        <f t="shared" ref="C11:H11" si="0">VLOOKUP(C$12,NRG_Table,2,FALSE)</f>
        <v>8</v>
      </c>
      <c r="D11">
        <f t="shared" si="0"/>
        <v>20</v>
      </c>
      <c r="E11">
        <f t="shared" si="0"/>
        <v>32</v>
      </c>
      <c r="F11">
        <f t="shared" si="0"/>
        <v>44</v>
      </c>
      <c r="G11">
        <f t="shared" si="0"/>
        <v>56</v>
      </c>
      <c r="H11">
        <f t="shared" si="0"/>
        <v>68</v>
      </c>
      <c r="L11" s="10" t="s">
        <v>140</v>
      </c>
    </row>
    <row r="12" spans="1:18" x14ac:dyDescent="0.85">
      <c r="A12">
        <v>2023</v>
      </c>
      <c r="B12">
        <v>-1</v>
      </c>
      <c r="C12" t="s">
        <v>0</v>
      </c>
      <c r="D12" t="s">
        <v>1</v>
      </c>
      <c r="E12" t="s">
        <v>2</v>
      </c>
      <c r="F12" t="s">
        <v>3</v>
      </c>
      <c r="G12" t="s">
        <v>4</v>
      </c>
      <c r="H12" t="s">
        <v>127</v>
      </c>
      <c r="I12" t="s">
        <v>5</v>
      </c>
      <c r="K12">
        <v>0</v>
      </c>
      <c r="L12" t="s">
        <v>0</v>
      </c>
      <c r="M12" t="s">
        <v>1</v>
      </c>
      <c r="N12" t="s">
        <v>2</v>
      </c>
      <c r="O12" t="s">
        <v>3</v>
      </c>
      <c r="P12" t="s">
        <v>4</v>
      </c>
      <c r="Q12" t="s">
        <v>127</v>
      </c>
      <c r="R12" t="s">
        <v>5</v>
      </c>
    </row>
    <row r="13" spans="1:18" x14ac:dyDescent="0.85">
      <c r="A13">
        <f>A12+1</f>
        <v>2024</v>
      </c>
      <c r="B13">
        <f>B12+1</f>
        <v>0</v>
      </c>
      <c r="C13" s="11" cm="1">
        <f t="array" aca="1" ref="C13" ca="1" xml:space="preserve"> Mult * OFFSET(INDIRECT(Region_abbr &amp; "!A1"), Param_offset + C$11,$B13+1)</f>
        <v>19.202000000000002</v>
      </c>
      <c r="D13" s="11" cm="1">
        <f t="array" aca="1" ref="D13" ca="1" xml:space="preserve"> Mult * OFFSET(INDIRECT(Region_abbr &amp; "!A1"), Param_offset + D$11,$B13+1)</f>
        <v>5.9729999999999999</v>
      </c>
      <c r="E13" s="11" cm="1">
        <f t="array" aca="1" ref="E13" ca="1" xml:space="preserve"> Mult * OFFSET(INDIRECT(Region_abbr &amp; "!A1"), Param_offset + E$11,$B13+1)</f>
        <v>2.286</v>
      </c>
      <c r="F13" s="11" cm="1">
        <f t="array" aca="1" ref="F13" ca="1" xml:space="preserve"> Mult * OFFSET(INDIRECT(Region_abbr &amp; "!A1"), Param_offset + F$11,$B13+1)</f>
        <v>31.948</v>
      </c>
      <c r="G13" s="11" cm="1">
        <f t="array" aca="1" ref="G13" ca="1" xml:space="preserve"> Mult * OFFSET(INDIRECT(Region_abbr &amp; "!A1"), Param_offset + G$11,$B13+1)</f>
        <v>1.821</v>
      </c>
      <c r="H13" s="11" cm="1">
        <f t="array" aca="1" ref="H13" ca="1" xml:space="preserve"> Mult * OFFSET(INDIRECT(Region_abbr &amp; "!A1"), Param_offset + H$11,$B13+1)</f>
        <v>0</v>
      </c>
      <c r="I13" s="1">
        <f ca="1">SUM(C13:H13)</f>
        <v>61.230000000000004</v>
      </c>
      <c r="K13">
        <f>K12+1</f>
        <v>1</v>
      </c>
      <c r="L13" s="1">
        <f t="shared" ref="L13:R13" ca="1" si="1">C14-C13</f>
        <v>1.4463647751199993</v>
      </c>
      <c r="M13" s="1">
        <f t="shared" ca="1" si="1"/>
        <v>0.77816150181000054</v>
      </c>
      <c r="N13" s="1">
        <f t="shared" ca="1" si="1"/>
        <v>1.15963968358</v>
      </c>
      <c r="O13" s="1">
        <f t="shared" ca="1" si="1"/>
        <v>0.26017353912000374</v>
      </c>
      <c r="P13" s="1">
        <f t="shared" ca="1" si="1"/>
        <v>0.34137264452000005</v>
      </c>
      <c r="Q13" s="1">
        <f t="shared" ca="1" si="1"/>
        <v>7.9336145439999992E-2</v>
      </c>
      <c r="R13" s="1">
        <f t="shared" ca="1" si="1"/>
        <v>4.0650482895899955</v>
      </c>
    </row>
    <row r="14" spans="1:18" x14ac:dyDescent="0.85">
      <c r="A14">
        <f t="shared" ref="A14:B29" si="2">A13+1</f>
        <v>2025</v>
      </c>
      <c r="B14">
        <f t="shared" si="2"/>
        <v>1</v>
      </c>
      <c r="C14" s="11" cm="1">
        <f t="array" aca="1" ref="C14" ca="1" xml:space="preserve"> Mult * OFFSET(INDIRECT(Region_abbr &amp; "!A1"), Param_offset + C$11,$B14+1)</f>
        <v>20.648364775120001</v>
      </c>
      <c r="D14" s="11" cm="1">
        <f t="array" aca="1" ref="D14" ca="1" xml:space="preserve"> Mult * OFFSET(INDIRECT(Region_abbr &amp; "!A1"), Param_offset + D$11,$B14+1)</f>
        <v>6.7511615018100004</v>
      </c>
      <c r="E14" s="11" cm="1">
        <f t="array" aca="1" ref="E14" ca="1" xml:space="preserve"> Mult * OFFSET(INDIRECT(Region_abbr &amp; "!A1"), Param_offset + E$11,$B14+1)</f>
        <v>3.4456396835800001</v>
      </c>
      <c r="F14" s="11" cm="1">
        <f t="array" aca="1" ref="F14" ca="1" xml:space="preserve"> Mult * OFFSET(INDIRECT(Region_abbr &amp; "!A1"), Param_offset + F$11,$B14+1)</f>
        <v>32.208173539120004</v>
      </c>
      <c r="G14" s="11" cm="1">
        <f t="array" aca="1" ref="G14" ca="1" xml:space="preserve"> Mult * OFFSET(INDIRECT(Region_abbr &amp; "!A1"), Param_offset + G$11,$B14+1)</f>
        <v>2.16237264452</v>
      </c>
      <c r="H14" s="11" cm="1">
        <f t="array" aca="1" ref="H14" ca="1" xml:space="preserve"> Mult * OFFSET(INDIRECT(Region_abbr &amp; "!A1"), Param_offset + H$11,$B14+1)</f>
        <v>7.9336145439999992E-2</v>
      </c>
      <c r="I14" s="1">
        <f t="shared" ref="I14:I39" ca="1" si="3">SUM(C14:H14)</f>
        <v>65.29504828959</v>
      </c>
      <c r="K14">
        <f t="shared" ref="K14:K38" si="4">K13+1</f>
        <v>2</v>
      </c>
      <c r="L14" s="1">
        <f t="shared" ref="L14:R38" ca="1" si="5">C15-C14</f>
        <v>1.5432347708400016</v>
      </c>
      <c r="M14" s="1">
        <f t="shared" ref="M14:M28" ca="1" si="6">D15-D14</f>
        <v>0.82968637789999899</v>
      </c>
      <c r="N14" s="1">
        <f t="shared" ref="N14:N28" ca="1" si="7">E15-E14</f>
        <v>1.23619847859</v>
      </c>
      <c r="O14" s="1">
        <f t="shared" ref="O14:O28" ca="1" si="8">F15-F14</f>
        <v>0.24561061645999871</v>
      </c>
      <c r="P14" s="1">
        <f t="shared" ref="P14:P28" ca="1" si="9">G15-G14</f>
        <v>0.36392011309999983</v>
      </c>
      <c r="Q14" s="1">
        <f t="shared" ref="Q14:Q28" ca="1" si="10">H15-H14</f>
        <v>8.4940373990000026E-2</v>
      </c>
      <c r="R14" s="1">
        <f t="shared" ref="R14:R28" ca="1" si="11">I15-I14</f>
        <v>4.3035907308800176</v>
      </c>
    </row>
    <row r="15" spans="1:18" x14ac:dyDescent="0.85">
      <c r="A15">
        <f t="shared" si="2"/>
        <v>2026</v>
      </c>
      <c r="B15">
        <f t="shared" si="2"/>
        <v>2</v>
      </c>
      <c r="C15" s="11" cm="1">
        <f t="array" aca="1" ref="C15" ca="1" xml:space="preserve"> Mult * OFFSET(INDIRECT(Region_abbr &amp; "!A1"), Param_offset + C$11,$B15+1)</f>
        <v>22.191599545960003</v>
      </c>
      <c r="D15" s="11" cm="1">
        <f t="array" aca="1" ref="D15" ca="1" xml:space="preserve"> Mult * OFFSET(INDIRECT(Region_abbr &amp; "!A1"), Param_offset + D$11,$B15+1)</f>
        <v>7.5808478797099994</v>
      </c>
      <c r="E15" s="11" cm="1">
        <f t="array" aca="1" ref="E15" ca="1" xml:space="preserve"> Mult * OFFSET(INDIRECT(Region_abbr &amp; "!A1"), Param_offset + E$11,$B15+1)</f>
        <v>4.68183816217</v>
      </c>
      <c r="F15" s="11" cm="1">
        <f t="array" aca="1" ref="F15" ca="1" xml:space="preserve"> Mult * OFFSET(INDIRECT(Region_abbr &amp; "!A1"), Param_offset + F$11,$B15+1)</f>
        <v>32.453784155580003</v>
      </c>
      <c r="G15" s="11" cm="1">
        <f t="array" aca="1" ref="G15" ca="1" xml:space="preserve"> Mult * OFFSET(INDIRECT(Region_abbr &amp; "!A1"), Param_offset + G$11,$B15+1)</f>
        <v>2.5262927576199998</v>
      </c>
      <c r="H15" s="11" cm="1">
        <f t="array" aca="1" ref="H15" ca="1" xml:space="preserve"> Mult * OFFSET(INDIRECT(Region_abbr &amp; "!A1"), Param_offset + H$11,$B15+1)</f>
        <v>0.16427651943000002</v>
      </c>
      <c r="I15" s="1">
        <f t="shared" ca="1" si="3"/>
        <v>69.598639020470017</v>
      </c>
      <c r="K15">
        <f t="shared" si="4"/>
        <v>3</v>
      </c>
      <c r="L15" s="1">
        <f t="shared" ca="1" si="5"/>
        <v>1.645799518559997</v>
      </c>
      <c r="M15" s="1">
        <f t="shared" ca="1" si="6"/>
        <v>0.88426566086000058</v>
      </c>
      <c r="N15" s="1">
        <f t="shared" ca="1" si="7"/>
        <v>1.3172830930299995</v>
      </c>
      <c r="O15" s="1">
        <f t="shared" ca="1" si="8"/>
        <v>0.22964388409000236</v>
      </c>
      <c r="P15" s="1">
        <f t="shared" ca="1" si="9"/>
        <v>0.38780340952000047</v>
      </c>
      <c r="Q15" s="1">
        <f t="shared" ca="1" si="10"/>
        <v>9.0882826720000004E-2</v>
      </c>
      <c r="R15" s="1">
        <f t="shared" ca="1" si="11"/>
        <v>4.5556783927799955</v>
      </c>
    </row>
    <row r="16" spans="1:18" x14ac:dyDescent="0.85">
      <c r="A16">
        <f t="shared" si="2"/>
        <v>2027</v>
      </c>
      <c r="B16">
        <f t="shared" si="2"/>
        <v>3</v>
      </c>
      <c r="C16" s="11" cm="1">
        <f t="array" aca="1" ref="C16" ca="1" xml:space="preserve"> Mult * OFFSET(INDIRECT(Region_abbr &amp; "!A1"), Param_offset + C$11,$B16+1)</f>
        <v>23.83739906452</v>
      </c>
      <c r="D16" s="11" cm="1">
        <f t="array" aca="1" ref="D16" ca="1" xml:space="preserve"> Mult * OFFSET(INDIRECT(Region_abbr &amp; "!A1"), Param_offset + D$11,$B16+1)</f>
        <v>8.46511354057</v>
      </c>
      <c r="E16" s="11" cm="1">
        <f t="array" aca="1" ref="E16" ca="1" xml:space="preserve"> Mult * OFFSET(INDIRECT(Region_abbr &amp; "!A1"), Param_offset + E$11,$B16+1)</f>
        <v>5.9991212551999995</v>
      </c>
      <c r="F16" s="11" cm="1">
        <f t="array" aca="1" ref="F16" ca="1" xml:space="preserve"> Mult * OFFSET(INDIRECT(Region_abbr &amp; "!A1"), Param_offset + F$11,$B16+1)</f>
        <v>32.683428039670005</v>
      </c>
      <c r="G16" s="11" cm="1">
        <f t="array" aca="1" ref="G16" ca="1" xml:space="preserve"> Mult * OFFSET(INDIRECT(Region_abbr &amp; "!A1"), Param_offset + G$11,$B16+1)</f>
        <v>2.9140961671400003</v>
      </c>
      <c r="H16" s="11" cm="1">
        <f t="array" aca="1" ref="H16" ca="1" xml:space="preserve"> Mult * OFFSET(INDIRECT(Region_abbr &amp; "!A1"), Param_offset + H$11,$B16+1)</f>
        <v>0.25515934615000002</v>
      </c>
      <c r="I16" s="1">
        <f t="shared" ca="1" si="3"/>
        <v>74.154317413250013</v>
      </c>
      <c r="K16">
        <f t="shared" si="4"/>
        <v>4</v>
      </c>
      <c r="L16" s="1">
        <f t="shared" ca="1" si="5"/>
        <v>1.7543829169500036</v>
      </c>
      <c r="M16" s="1">
        <f t="shared" ca="1" si="6"/>
        <v>0.94207143292000062</v>
      </c>
      <c r="N16" s="1">
        <f t="shared" ca="1" si="7"/>
        <v>1.4031486709700003</v>
      </c>
      <c r="O16" s="1">
        <f t="shared" ca="1" si="8"/>
        <v>0.21218430244999809</v>
      </c>
      <c r="P16" s="1">
        <f t="shared" ca="1" si="9"/>
        <v>0.41309775159999962</v>
      </c>
      <c r="Q16" s="1">
        <f t="shared" ca="1" si="10"/>
        <v>9.7182652320000007E-2</v>
      </c>
      <c r="R16" s="1">
        <f t="shared" ca="1" si="11"/>
        <v>4.8220677272099834</v>
      </c>
    </row>
    <row r="17" spans="1:18" x14ac:dyDescent="0.85">
      <c r="A17">
        <f t="shared" si="2"/>
        <v>2028</v>
      </c>
      <c r="B17">
        <f t="shared" si="2"/>
        <v>4</v>
      </c>
      <c r="C17" s="11" cm="1">
        <f t="array" aca="1" ref="C17" ca="1" xml:space="preserve"> Mult * OFFSET(INDIRECT(Region_abbr &amp; "!A1"), Param_offset + C$11,$B17+1)</f>
        <v>25.591781981470003</v>
      </c>
      <c r="D17" s="11" cm="1">
        <f t="array" aca="1" ref="D17" ca="1" xml:space="preserve"> Mult * OFFSET(INDIRECT(Region_abbr &amp; "!A1"), Param_offset + D$11,$B17+1)</f>
        <v>9.4071849734900006</v>
      </c>
      <c r="E17" s="11" cm="1">
        <f t="array" aca="1" ref="E17" ca="1" xml:space="preserve"> Mult * OFFSET(INDIRECT(Region_abbr &amp; "!A1"), Param_offset + E$11,$B17+1)</f>
        <v>7.4022699261699998</v>
      </c>
      <c r="F17" s="11" cm="1">
        <f t="array" aca="1" ref="F17" ca="1" xml:space="preserve"> Mult * OFFSET(INDIRECT(Region_abbr &amp; "!A1"), Param_offset + F$11,$B17+1)</f>
        <v>32.895612342120003</v>
      </c>
      <c r="G17" s="11" cm="1">
        <f t="array" aca="1" ref="G17" ca="1" xml:space="preserve"> Mult * OFFSET(INDIRECT(Region_abbr &amp; "!A1"), Param_offset + G$11,$B17+1)</f>
        <v>3.3271939187399999</v>
      </c>
      <c r="H17" s="11" cm="1">
        <f t="array" aca="1" ref="H17" ca="1" xml:space="preserve"> Mult * OFFSET(INDIRECT(Region_abbr &amp; "!A1"), Param_offset + H$11,$B17+1)</f>
        <v>0.35234199847000003</v>
      </c>
      <c r="I17" s="1">
        <f t="shared" ca="1" si="3"/>
        <v>78.976385140459996</v>
      </c>
      <c r="K17">
        <f t="shared" si="4"/>
        <v>5</v>
      </c>
      <c r="L17" s="1">
        <f t="shared" ca="1" si="5"/>
        <v>1.8693269122700009</v>
      </c>
      <c r="M17" s="1">
        <f t="shared" ca="1" si="6"/>
        <v>1.0032854976999985</v>
      </c>
      <c r="N17" s="1">
        <f t="shared" ca="1" si="7"/>
        <v>1.4940647496100006</v>
      </c>
      <c r="O17" s="1">
        <f t="shared" ca="1" si="8"/>
        <v>0.19313758447999874</v>
      </c>
      <c r="P17" s="1">
        <f t="shared" ca="1" si="9"/>
        <v>0.43988260873000051</v>
      </c>
      <c r="Q17" s="1">
        <f t="shared" ca="1" si="10"/>
        <v>0.10386008936999996</v>
      </c>
      <c r="R17" s="1">
        <f t="shared" ca="1" si="11"/>
        <v>5.1035574421599961</v>
      </c>
    </row>
    <row r="18" spans="1:18" x14ac:dyDescent="0.85">
      <c r="A18">
        <f t="shared" si="2"/>
        <v>2029</v>
      </c>
      <c r="B18">
        <f t="shared" si="2"/>
        <v>5</v>
      </c>
      <c r="C18" s="11" cm="1">
        <f t="array" aca="1" ref="C18" ca="1" xml:space="preserve"> Mult * OFFSET(INDIRECT(Region_abbr &amp; "!A1"), Param_offset + C$11,$B18+1)</f>
        <v>27.461108893740004</v>
      </c>
      <c r="D18" s="11" cm="1">
        <f t="array" aca="1" ref="D18" ca="1" xml:space="preserve"> Mult * OFFSET(INDIRECT(Region_abbr &amp; "!A1"), Param_offset + D$11,$B18+1)</f>
        <v>10.410470471189999</v>
      </c>
      <c r="E18" s="11" cm="1">
        <f t="array" aca="1" ref="E18" ca="1" xml:space="preserve"> Mult * OFFSET(INDIRECT(Region_abbr &amp; "!A1"), Param_offset + E$11,$B18+1)</f>
        <v>8.8963346757800004</v>
      </c>
      <c r="F18" s="11" cm="1">
        <f t="array" aca="1" ref="F18" ca="1" xml:space="preserve"> Mult * OFFSET(INDIRECT(Region_abbr &amp; "!A1"), Param_offset + F$11,$B18+1)</f>
        <v>33.088749926600002</v>
      </c>
      <c r="G18" s="11" cm="1">
        <f t="array" aca="1" ref="G18" ca="1" xml:space="preserve"> Mult * OFFSET(INDIRECT(Region_abbr &amp; "!A1"), Param_offset + G$11,$B18+1)</f>
        <v>3.7670765274700004</v>
      </c>
      <c r="H18" s="11" cm="1">
        <f t="array" aca="1" ref="H18" ca="1" xml:space="preserve"> Mult * OFFSET(INDIRECT(Region_abbr &amp; "!A1"), Param_offset + H$11,$B18+1)</f>
        <v>0.45620208783999999</v>
      </c>
      <c r="I18" s="1">
        <f t="shared" ca="1" si="3"/>
        <v>84.079942582619992</v>
      </c>
      <c r="K18">
        <f t="shared" si="4"/>
        <v>6</v>
      </c>
      <c r="L18" s="1">
        <f t="shared" ca="1" si="5"/>
        <v>1.9909925113999982</v>
      </c>
      <c r="M18" s="1">
        <f t="shared" ca="1" si="6"/>
        <v>1.0680999123900001</v>
      </c>
      <c r="N18" s="1">
        <f t="shared" ca="1" si="7"/>
        <v>1.5903160495099993</v>
      </c>
      <c r="O18" s="1">
        <f t="shared" ca="1" si="8"/>
        <v>0.17240382688000011</v>
      </c>
      <c r="P18" s="1">
        <f t="shared" ca="1" si="9"/>
        <v>0.46824193431999905</v>
      </c>
      <c r="Q18" s="1">
        <f t="shared" ca="1" si="10"/>
        <v>0.11093655323000001</v>
      </c>
      <c r="R18" s="1">
        <f t="shared" ca="1" si="11"/>
        <v>5.4009907877300094</v>
      </c>
    </row>
    <row r="19" spans="1:18" x14ac:dyDescent="0.85">
      <c r="A19">
        <f t="shared" si="2"/>
        <v>2030</v>
      </c>
      <c r="B19">
        <f t="shared" si="2"/>
        <v>6</v>
      </c>
      <c r="C19" s="11" cm="1">
        <f t="array" aca="1" ref="C19" ca="1" xml:space="preserve"> Mult * OFFSET(INDIRECT(Region_abbr &amp; "!A1"), Param_offset + C$11,$B19+1)</f>
        <v>29.452101405140002</v>
      </c>
      <c r="D19" s="11" cm="1">
        <f t="array" aca="1" ref="D19" ca="1" xml:space="preserve"> Mult * OFFSET(INDIRECT(Region_abbr &amp; "!A1"), Param_offset + D$11,$B19+1)</f>
        <v>11.478570383579999</v>
      </c>
      <c r="E19" s="11" cm="1">
        <f t="array" aca="1" ref="E19" ca="1" xml:space="preserve"> Mult * OFFSET(INDIRECT(Region_abbr &amp; "!A1"), Param_offset + E$11,$B19+1)</f>
        <v>10.48665072529</v>
      </c>
      <c r="F19" s="11" cm="1">
        <f t="array" aca="1" ref="F19" ca="1" xml:space="preserve"> Mult * OFFSET(INDIRECT(Region_abbr &amp; "!A1"), Param_offset + F$11,$B19+1)</f>
        <v>33.261153753480002</v>
      </c>
      <c r="G19" s="11" cm="1">
        <f t="array" aca="1" ref="G19" ca="1" xml:space="preserve"> Mult * OFFSET(INDIRECT(Region_abbr &amp; "!A1"), Param_offset + G$11,$B19+1)</f>
        <v>4.2353184617899995</v>
      </c>
      <c r="H19" s="11" cm="1">
        <f t="array" aca="1" ref="H19" ca="1" xml:space="preserve"> Mult * OFFSET(INDIRECT(Region_abbr &amp; "!A1"), Param_offset + H$11,$B19+1)</f>
        <v>0.56713864107</v>
      </c>
      <c r="I19" s="1">
        <f t="shared" ca="1" si="3"/>
        <v>89.480933370350002</v>
      </c>
      <c r="K19">
        <f t="shared" si="4"/>
        <v>7</v>
      </c>
      <c r="L19" s="1">
        <f t="shared" ca="1" si="5"/>
        <v>2.1197608493599986</v>
      </c>
      <c r="M19" s="1">
        <f t="shared" ca="1" si="6"/>
        <v>1.1367175503700011</v>
      </c>
      <c r="N19" s="1">
        <f t="shared" ca="1" si="7"/>
        <v>1.6922033088199999</v>
      </c>
      <c r="O19" s="1">
        <f t="shared" ca="1" si="8"/>
        <v>0.14987750758999852</v>
      </c>
      <c r="P19" s="1">
        <f t="shared" ca="1" si="9"/>
        <v>0.49826441163000101</v>
      </c>
      <c r="Q19" s="1">
        <f t="shared" ca="1" si="10"/>
        <v>0.11843459171000004</v>
      </c>
      <c r="R19" s="1">
        <f t="shared" ca="1" si="11"/>
        <v>5.7152582194800203</v>
      </c>
    </row>
    <row r="20" spans="1:18" x14ac:dyDescent="0.85">
      <c r="A20">
        <f t="shared" si="2"/>
        <v>2031</v>
      </c>
      <c r="B20">
        <f t="shared" si="2"/>
        <v>7</v>
      </c>
      <c r="C20" s="11" cm="1">
        <f t="array" aca="1" ref="C20" ca="1" xml:space="preserve"> Mult * OFFSET(INDIRECT(Region_abbr &amp; "!A1"), Param_offset + C$11,$B20+1)</f>
        <v>31.571862254500001</v>
      </c>
      <c r="D20" s="11" cm="1">
        <f t="array" aca="1" ref="D20" ca="1" xml:space="preserve"> Mult * OFFSET(INDIRECT(Region_abbr &amp; "!A1"), Param_offset + D$11,$B20+1)</f>
        <v>12.61528793395</v>
      </c>
      <c r="E20" s="11" cm="1">
        <f t="array" aca="1" ref="E20" ca="1" xml:space="preserve"> Mult * OFFSET(INDIRECT(Region_abbr &amp; "!A1"), Param_offset + E$11,$B20+1)</f>
        <v>12.17885403411</v>
      </c>
      <c r="F20" s="11" cm="1">
        <f t="array" aca="1" ref="F20" ca="1" xml:space="preserve"> Mult * OFFSET(INDIRECT(Region_abbr &amp; "!A1"), Param_offset + F$11,$B20+1)</f>
        <v>33.411031261070001</v>
      </c>
      <c r="G20" s="11" cm="1">
        <f t="array" aca="1" ref="G20" ca="1" xml:space="preserve"> Mult * OFFSET(INDIRECT(Region_abbr &amp; "!A1"), Param_offset + G$11,$B20+1)</f>
        <v>4.7335828734200005</v>
      </c>
      <c r="H20" s="11" cm="1">
        <f t="array" aca="1" ref="H20" ca="1" xml:space="preserve"> Mult * OFFSET(INDIRECT(Region_abbr &amp; "!A1"), Param_offset + H$11,$B20+1)</f>
        <v>0.68557323278000004</v>
      </c>
      <c r="I20" s="1">
        <f t="shared" ca="1" si="3"/>
        <v>95.196191589830022</v>
      </c>
      <c r="K20">
        <f t="shared" si="4"/>
        <v>8</v>
      </c>
      <c r="L20" s="1">
        <f t="shared" ca="1" si="5"/>
        <v>2.2560343190400012</v>
      </c>
      <c r="M20" s="1">
        <f t="shared" ca="1" si="6"/>
        <v>1.2093526980500009</v>
      </c>
      <c r="N20" s="1">
        <f t="shared" ca="1" si="7"/>
        <v>1.8000441691500004</v>
      </c>
      <c r="O20" s="1">
        <f t="shared" ca="1" si="8"/>
        <v>0.12645067181999536</v>
      </c>
      <c r="P20" s="1">
        <f t="shared" ca="1" si="9"/>
        <v>0.53004371462999877</v>
      </c>
      <c r="Q20" s="1">
        <f t="shared" ca="1" si="10"/>
        <v>0.12602468229999997</v>
      </c>
      <c r="R20" s="1">
        <f t="shared" ca="1" si="11"/>
        <v>6.0479502549899706</v>
      </c>
    </row>
    <row r="21" spans="1:18" x14ac:dyDescent="0.85">
      <c r="A21">
        <f t="shared" si="2"/>
        <v>2032</v>
      </c>
      <c r="B21">
        <f t="shared" si="2"/>
        <v>8</v>
      </c>
      <c r="C21" s="11" cm="1">
        <f t="array" aca="1" ref="C21" ca="1" xml:space="preserve"> Mult * OFFSET(INDIRECT(Region_abbr &amp; "!A1"), Param_offset + C$11,$B21+1)</f>
        <v>33.827896573540002</v>
      </c>
      <c r="D21" s="11" cm="1">
        <f t="array" aca="1" ref="D21" ca="1" xml:space="preserve"> Mult * OFFSET(INDIRECT(Region_abbr &amp; "!A1"), Param_offset + D$11,$B21+1)</f>
        <v>13.824640632000001</v>
      </c>
      <c r="E21" s="11" cm="1">
        <f t="array" aca="1" ref="E21" ca="1" xml:space="preserve"> Mult * OFFSET(INDIRECT(Region_abbr &amp; "!A1"), Param_offset + E$11,$B21+1)</f>
        <v>13.97889820326</v>
      </c>
      <c r="F21" s="11" cm="1">
        <f t="array" aca="1" ref="F21" ca="1" xml:space="preserve"> Mult * OFFSET(INDIRECT(Region_abbr &amp; "!A1"), Param_offset + F$11,$B21+1)</f>
        <v>33.537481932889996</v>
      </c>
      <c r="G21" s="11" cm="1">
        <f t="array" aca="1" ref="G21" ca="1" xml:space="preserve"> Mult * OFFSET(INDIRECT(Region_abbr &amp; "!A1"), Param_offset + G$11,$B21+1)</f>
        <v>5.2636265880499993</v>
      </c>
      <c r="H21" s="11" cm="1">
        <f t="array" aca="1" ref="H21" ca="1" xml:space="preserve"> Mult * OFFSET(INDIRECT(Region_abbr &amp; "!A1"), Param_offset + H$11,$B21+1)</f>
        <v>0.81159791508000001</v>
      </c>
      <c r="I21" s="1">
        <f t="shared" ca="1" si="3"/>
        <v>101.24414184481999</v>
      </c>
      <c r="K21">
        <f t="shared" si="4"/>
        <v>9</v>
      </c>
      <c r="L21" s="1">
        <f t="shared" ca="1" si="5"/>
        <v>2.4002493004999934</v>
      </c>
      <c r="M21" s="1">
        <f t="shared" ca="1" si="6"/>
        <v>1.2862384116999994</v>
      </c>
      <c r="N21" s="1">
        <f t="shared" ca="1" si="7"/>
        <v>1.9141859840500004</v>
      </c>
      <c r="O21" s="1">
        <f t="shared" ca="1" si="8"/>
        <v>9.7985054260007587E-2</v>
      </c>
      <c r="P21" s="1">
        <f t="shared" ca="1" si="9"/>
        <v>0.56368202172000093</v>
      </c>
      <c r="Q21" s="1">
        <f t="shared" ca="1" si="10"/>
        <v>0.13514664229000006</v>
      </c>
      <c r="R21" s="1">
        <f t="shared" ca="1" si="11"/>
        <v>6.3974874145200147</v>
      </c>
    </row>
    <row r="22" spans="1:18" x14ac:dyDescent="0.85">
      <c r="A22">
        <f t="shared" si="2"/>
        <v>2033</v>
      </c>
      <c r="B22">
        <f t="shared" si="2"/>
        <v>9</v>
      </c>
      <c r="C22" s="11" cm="1">
        <f t="array" aca="1" ref="C22" ca="1" xml:space="preserve"> Mult * OFFSET(INDIRECT(Region_abbr &amp; "!A1"), Param_offset + C$11,$B22+1)</f>
        <v>36.228145874039996</v>
      </c>
      <c r="D22" s="11" cm="1">
        <f t="array" aca="1" ref="D22" ca="1" xml:space="preserve"> Mult * OFFSET(INDIRECT(Region_abbr &amp; "!A1"), Param_offset + D$11,$B22+1)</f>
        <v>15.110879043700001</v>
      </c>
      <c r="E22" s="11" cm="1">
        <f t="array" aca="1" ref="E22" ca="1" xml:space="preserve"> Mult * OFFSET(INDIRECT(Region_abbr &amp; "!A1"), Param_offset + E$11,$B22+1)</f>
        <v>15.89308418731</v>
      </c>
      <c r="F22" s="11" cm="1">
        <f t="array" aca="1" ref="F22" ca="1" xml:space="preserve"> Mult * OFFSET(INDIRECT(Region_abbr &amp; "!A1"), Param_offset + F$11,$B22+1)</f>
        <v>33.635466987150004</v>
      </c>
      <c r="G22" s="11" cm="1">
        <f t="array" aca="1" ref="G22" ca="1" xml:space="preserve"> Mult * OFFSET(INDIRECT(Region_abbr &amp; "!A1"), Param_offset + G$11,$B22+1)</f>
        <v>5.8273086097700002</v>
      </c>
      <c r="H22" s="11" cm="1">
        <f t="array" aca="1" ref="H22" ca="1" xml:space="preserve"> Mult * OFFSET(INDIRECT(Region_abbr &amp; "!A1"), Param_offset + H$11,$B22+1)</f>
        <v>0.94674455737000007</v>
      </c>
      <c r="I22" s="1">
        <f t="shared" ca="1" si="3"/>
        <v>107.64162925934001</v>
      </c>
      <c r="K22">
        <f t="shared" si="4"/>
        <v>10</v>
      </c>
      <c r="L22" s="1">
        <f t="shared" ca="1" si="5"/>
        <v>2.5528204270500012</v>
      </c>
      <c r="M22" s="1">
        <f t="shared" ca="1" si="6"/>
        <v>1.3675939224499967</v>
      </c>
      <c r="N22" s="1">
        <f t="shared" ca="1" si="7"/>
        <v>2.0349479859499997</v>
      </c>
      <c r="O22" s="1">
        <f t="shared" ca="1" si="8"/>
        <v>7.0391327799995906E-2</v>
      </c>
      <c r="P22" s="1">
        <f t="shared" ca="1" si="9"/>
        <v>0.59927427745000017</v>
      </c>
      <c r="Q22" s="1">
        <f t="shared" ca="1" si="10"/>
        <v>0.14370391029999985</v>
      </c>
      <c r="R22" s="1">
        <f t="shared" ca="1" si="11"/>
        <v>6.7687318509999983</v>
      </c>
    </row>
    <row r="23" spans="1:18" x14ac:dyDescent="0.85">
      <c r="A23">
        <f t="shared" si="2"/>
        <v>2034</v>
      </c>
      <c r="B23">
        <f t="shared" si="2"/>
        <v>10</v>
      </c>
      <c r="C23" s="11" cm="1">
        <f t="array" aca="1" ref="C23" ca="1" xml:space="preserve"> Mult * OFFSET(INDIRECT(Region_abbr &amp; "!A1"), Param_offset + C$11,$B23+1)</f>
        <v>38.780966301089997</v>
      </c>
      <c r="D23" s="11" cm="1">
        <f t="array" aca="1" ref="D23" ca="1" xml:space="preserve"> Mult * OFFSET(INDIRECT(Region_abbr &amp; "!A1"), Param_offset + D$11,$B23+1)</f>
        <v>16.478472966149997</v>
      </c>
      <c r="E23" s="11" cm="1">
        <f t="array" aca="1" ref="E23" ca="1" xml:space="preserve"> Mult * OFFSET(INDIRECT(Region_abbr &amp; "!A1"), Param_offset + E$11,$B23+1)</f>
        <v>17.92803217326</v>
      </c>
      <c r="F23" s="11" cm="1">
        <f t="array" aca="1" ref="F23" ca="1" xml:space="preserve"> Mult * OFFSET(INDIRECT(Region_abbr &amp; "!A1"), Param_offset + F$11,$B23+1)</f>
        <v>33.70585831495</v>
      </c>
      <c r="G23" s="11" cm="1">
        <f t="array" aca="1" ref="G23" ca="1" xml:space="preserve"> Mult * OFFSET(INDIRECT(Region_abbr &amp; "!A1"), Param_offset + G$11,$B23+1)</f>
        <v>6.4265828872200004</v>
      </c>
      <c r="H23" s="11" cm="1">
        <f t="array" aca="1" ref="H23" ca="1" xml:space="preserve"> Mult * OFFSET(INDIRECT(Region_abbr &amp; "!A1"), Param_offset + H$11,$B23+1)</f>
        <v>1.0904484676699999</v>
      </c>
      <c r="I23" s="1">
        <f t="shared" ca="1" si="3"/>
        <v>114.41036111034001</v>
      </c>
      <c r="K23">
        <f t="shared" si="4"/>
        <v>11</v>
      </c>
      <c r="L23" s="1">
        <f t="shared" ca="1" si="5"/>
        <v>2.7142544820500021</v>
      </c>
      <c r="M23" s="1">
        <f t="shared" ca="1" si="6"/>
        <v>1.4536911025500032</v>
      </c>
      <c r="N23" s="1">
        <f t="shared" ca="1" si="7"/>
        <v>2.1627388612300003</v>
      </c>
      <c r="O23" s="1">
        <f t="shared" ca="1" si="8"/>
        <v>3.945137841000701E-2</v>
      </c>
      <c r="P23" s="1">
        <f t="shared" ca="1" si="9"/>
        <v>0.63694023138999967</v>
      </c>
      <c r="Q23" s="1">
        <f t="shared" ca="1" si="10"/>
        <v>0.15320912897000016</v>
      </c>
      <c r="R23" s="1">
        <f t="shared" ca="1" si="11"/>
        <v>7.1602851845999993</v>
      </c>
    </row>
    <row r="24" spans="1:18" x14ac:dyDescent="0.85">
      <c r="A24">
        <f t="shared" si="2"/>
        <v>2035</v>
      </c>
      <c r="B24">
        <f t="shared" si="2"/>
        <v>11</v>
      </c>
      <c r="C24" s="11" cm="1">
        <f t="array" aca="1" ref="C24" ca="1" xml:space="preserve"> Mult * OFFSET(INDIRECT(Region_abbr &amp; "!A1"), Param_offset + C$11,$B24+1)</f>
        <v>41.495220783139999</v>
      </c>
      <c r="D24" s="11" cm="1">
        <f t="array" aca="1" ref="D24" ca="1" xml:space="preserve"> Mult * OFFSET(INDIRECT(Region_abbr &amp; "!A1"), Param_offset + D$11,$B24+1)</f>
        <v>17.932164068700001</v>
      </c>
      <c r="E24" s="11" cm="1">
        <f t="array" aca="1" ref="E24" ca="1" xml:space="preserve"> Mult * OFFSET(INDIRECT(Region_abbr &amp; "!A1"), Param_offset + E$11,$B24+1)</f>
        <v>20.09077103449</v>
      </c>
      <c r="F24" s="11" cm="1">
        <f t="array" aca="1" ref="F24" ca="1" xml:space="preserve"> Mult * OFFSET(INDIRECT(Region_abbr &amp; "!A1"), Param_offset + F$11,$B24+1)</f>
        <v>33.745309693360007</v>
      </c>
      <c r="G24" s="11" cm="1">
        <f t="array" aca="1" ref="G24" ca="1" xml:space="preserve"> Mult * OFFSET(INDIRECT(Region_abbr &amp; "!A1"), Param_offset + G$11,$B24+1)</f>
        <v>7.06352311861</v>
      </c>
      <c r="H24" s="11" cm="1">
        <f t="array" aca="1" ref="H24" ca="1" xml:space="preserve"> Mult * OFFSET(INDIRECT(Region_abbr &amp; "!A1"), Param_offset + H$11,$B24+1)</f>
        <v>1.2436575966400001</v>
      </c>
      <c r="I24" s="1">
        <f t="shared" ca="1" si="3"/>
        <v>121.57064629494</v>
      </c>
      <c r="K24">
        <f t="shared" si="4"/>
        <v>12</v>
      </c>
      <c r="L24" s="1">
        <f t="shared" ca="1" si="5"/>
        <v>2.8850416585000005</v>
      </c>
      <c r="M24" s="1">
        <f t="shared" ca="1" si="6"/>
        <v>1.5447906895599992</v>
      </c>
      <c r="N24" s="1">
        <f t="shared" ca="1" si="7"/>
        <v>2.2979427168800015</v>
      </c>
      <c r="O24" s="1">
        <f t="shared" ca="1" si="8"/>
        <v>6.2646852999961311E-3</v>
      </c>
      <c r="P24" s="1">
        <f t="shared" ca="1" si="9"/>
        <v>0.67679349854999948</v>
      </c>
      <c r="Q24" s="1">
        <f t="shared" ca="1" si="10"/>
        <v>0.16306487679000004</v>
      </c>
      <c r="R24" s="1">
        <f t="shared" ca="1" si="11"/>
        <v>7.5738981255799871</v>
      </c>
    </row>
    <row r="25" spans="1:18" x14ac:dyDescent="0.85">
      <c r="A25">
        <f t="shared" si="2"/>
        <v>2036</v>
      </c>
      <c r="B25">
        <f t="shared" si="2"/>
        <v>12</v>
      </c>
      <c r="C25" s="11" cm="1">
        <f t="array" aca="1" ref="C25" ca="1" xml:space="preserve"> Mult * OFFSET(INDIRECT(Region_abbr &amp; "!A1"), Param_offset + C$11,$B25+1)</f>
        <v>44.380262441639999</v>
      </c>
      <c r="D25" s="11" cm="1">
        <f t="array" aca="1" ref="D25" ca="1" xml:space="preserve"> Mult * OFFSET(INDIRECT(Region_abbr &amp; "!A1"), Param_offset + D$11,$B25+1)</f>
        <v>19.47695475826</v>
      </c>
      <c r="E25" s="11" cm="1">
        <f t="array" aca="1" ref="E25" ca="1" xml:space="preserve"> Mult * OFFSET(INDIRECT(Region_abbr &amp; "!A1"), Param_offset + E$11,$B25+1)</f>
        <v>22.388713751370002</v>
      </c>
      <c r="F25" s="11" cm="1">
        <f t="array" aca="1" ref="F25" ca="1" xml:space="preserve"> Mult * OFFSET(INDIRECT(Region_abbr &amp; "!A1"), Param_offset + F$11,$B25+1)</f>
        <v>33.751574378660003</v>
      </c>
      <c r="G25" s="11" cm="1">
        <f t="array" aca="1" ref="G25" ca="1" xml:space="preserve"> Mult * OFFSET(INDIRECT(Region_abbr &amp; "!A1"), Param_offset + G$11,$B25+1)</f>
        <v>7.7403166171599995</v>
      </c>
      <c r="H25" s="11" cm="1">
        <f t="array" aca="1" ref="H25" ca="1" xml:space="preserve"> Mult * OFFSET(INDIRECT(Region_abbr &amp; "!A1"), Param_offset + H$11,$B25+1)</f>
        <v>1.4067224734300001</v>
      </c>
      <c r="I25" s="1">
        <f t="shared" ca="1" si="3"/>
        <v>129.14454442051999</v>
      </c>
      <c r="K25">
        <f t="shared" si="4"/>
        <v>13</v>
      </c>
      <c r="L25" s="1">
        <f t="shared" ca="1" si="5"/>
        <v>3.065706683560002</v>
      </c>
      <c r="M25" s="1">
        <f t="shared" ca="1" si="6"/>
        <v>1.6411727701300016</v>
      </c>
      <c r="N25" s="1">
        <f t="shared" ca="1" si="7"/>
        <v>2.4409758699899982</v>
      </c>
      <c r="O25" s="1">
        <f t="shared" ca="1" si="8"/>
        <v>-2.9714229710002371E-2</v>
      </c>
      <c r="P25" s="1">
        <f t="shared" ca="1" si="9"/>
        <v>0.7189567148800009</v>
      </c>
      <c r="Q25" s="1">
        <f t="shared" ca="1" si="10"/>
        <v>0.17377077972999988</v>
      </c>
      <c r="R25" s="1">
        <f t="shared" ca="1" si="11"/>
        <v>8.0108685885800242</v>
      </c>
    </row>
    <row r="26" spans="1:18" x14ac:dyDescent="0.85">
      <c r="A26">
        <f t="shared" si="2"/>
        <v>2037</v>
      </c>
      <c r="B26">
        <f t="shared" si="2"/>
        <v>13</v>
      </c>
      <c r="C26" s="11" cm="1">
        <f t="array" aca="1" ref="C26" ca="1" xml:space="preserve"> Mult * OFFSET(INDIRECT(Region_abbr &amp; "!A1"), Param_offset + C$11,$B26+1)</f>
        <v>47.445969125200001</v>
      </c>
      <c r="D26" s="11" cm="1">
        <f t="array" aca="1" ref="D26" ca="1" xml:space="preserve"> Mult * OFFSET(INDIRECT(Region_abbr &amp; "!A1"), Param_offset + D$11,$B26+1)</f>
        <v>21.118127528390001</v>
      </c>
      <c r="E26" s="11" cm="1">
        <f t="array" aca="1" ref="E26" ca="1" xml:space="preserve"> Mult * OFFSET(INDIRECT(Region_abbr &amp; "!A1"), Param_offset + E$11,$B26+1)</f>
        <v>24.82968962136</v>
      </c>
      <c r="F26" s="11" cm="1">
        <f t="array" aca="1" ref="F26" ca="1" xml:space="preserve"> Mult * OFFSET(INDIRECT(Region_abbr &amp; "!A1"), Param_offset + F$11,$B26+1)</f>
        <v>33.72186014895</v>
      </c>
      <c r="G26" s="11" cm="1">
        <f t="array" aca="1" ref="G26" ca="1" xml:space="preserve"> Mult * OFFSET(INDIRECT(Region_abbr &amp; "!A1"), Param_offset + G$11,$B26+1)</f>
        <v>8.4592733320400004</v>
      </c>
      <c r="H26" s="11" cm="1">
        <f t="array" aca="1" ref="H26" ca="1" xml:space="preserve"> Mult * OFFSET(INDIRECT(Region_abbr &amp; "!A1"), Param_offset + H$11,$B26+1)</f>
        <v>1.58049325316</v>
      </c>
      <c r="I26" s="1">
        <f t="shared" ca="1" si="3"/>
        <v>137.15541300910002</v>
      </c>
      <c r="K26">
        <f t="shared" si="4"/>
        <v>14</v>
      </c>
      <c r="L26" s="1">
        <f t="shared" ca="1" si="5"/>
        <v>3.256810940449995</v>
      </c>
      <c r="M26" s="1">
        <f t="shared" ca="1" si="6"/>
        <v>1.7431364705100023</v>
      </c>
      <c r="N26" s="1">
        <f t="shared" ca="1" si="7"/>
        <v>2.5922801170999996</v>
      </c>
      <c r="O26" s="1">
        <f t="shared" ca="1" si="8"/>
        <v>-6.8210325249999926E-2</v>
      </c>
      <c r="P26" s="1">
        <f t="shared" ca="1" si="9"/>
        <v>0.76356041414999964</v>
      </c>
      <c r="Q26" s="1">
        <f t="shared" ca="1" si="10"/>
        <v>0.18485102198999992</v>
      </c>
      <c r="R26" s="1">
        <f t="shared" ca="1" si="11"/>
        <v>8.4724286389499639</v>
      </c>
    </row>
    <row r="27" spans="1:18" x14ac:dyDescent="0.85">
      <c r="A27">
        <f t="shared" si="2"/>
        <v>2038</v>
      </c>
      <c r="B27">
        <f t="shared" si="2"/>
        <v>14</v>
      </c>
      <c r="C27" s="11" cm="1">
        <f t="array" aca="1" ref="C27" ca="1" xml:space="preserve"> Mult * OFFSET(INDIRECT(Region_abbr &amp; "!A1"), Param_offset + C$11,$B27+1)</f>
        <v>50.702780065649996</v>
      </c>
      <c r="D27" s="11" cm="1">
        <f t="array" aca="1" ref="D27" ca="1" xml:space="preserve"> Mult * OFFSET(INDIRECT(Region_abbr &amp; "!A1"), Param_offset + D$11,$B27+1)</f>
        <v>22.861263998900004</v>
      </c>
      <c r="E27" s="11" cm="1">
        <f t="array" aca="1" ref="E27" ca="1" xml:space="preserve"> Mult * OFFSET(INDIRECT(Region_abbr &amp; "!A1"), Param_offset + E$11,$B27+1)</f>
        <v>27.42196973846</v>
      </c>
      <c r="F27" s="11" cm="1">
        <f t="array" aca="1" ref="F27" ca="1" xml:space="preserve"> Mult * OFFSET(INDIRECT(Region_abbr &amp; "!A1"), Param_offset + F$11,$B27+1)</f>
        <v>33.6536498237</v>
      </c>
      <c r="G27" s="11" cm="1">
        <f t="array" aca="1" ref="G27" ca="1" xml:space="preserve"> Mult * OFFSET(INDIRECT(Region_abbr &amp; "!A1"), Param_offset + G$11,$B27+1)</f>
        <v>9.2228337461900001</v>
      </c>
      <c r="H27" s="11" cm="1">
        <f t="array" aca="1" ref="H27" ca="1" xml:space="preserve"> Mult * OFFSET(INDIRECT(Region_abbr &amp; "!A1"), Param_offset + H$11,$B27+1)</f>
        <v>1.7653442751499999</v>
      </c>
      <c r="I27" s="1">
        <f t="shared" ca="1" si="3"/>
        <v>145.62784164804998</v>
      </c>
      <c r="K27">
        <f t="shared" si="4"/>
        <v>15</v>
      </c>
      <c r="L27" s="1">
        <f t="shared" ca="1" si="5"/>
        <v>3.4589390665599993</v>
      </c>
      <c r="M27" s="1">
        <f t="shared" ca="1" si="6"/>
        <v>1.8509939940399995</v>
      </c>
      <c r="N27" s="1">
        <f t="shared" ca="1" si="7"/>
        <v>2.7523195672800007</v>
      </c>
      <c r="O27" s="1">
        <f t="shared" ca="1" si="8"/>
        <v>-0.10974785113000252</v>
      </c>
      <c r="P27" s="1">
        <f t="shared" ca="1" si="9"/>
        <v>0.81074129948000007</v>
      </c>
      <c r="Q27" s="1">
        <f t="shared" ca="1" si="10"/>
        <v>0.19676312601000023</v>
      </c>
      <c r="R27" s="1">
        <f t="shared" ca="1" si="11"/>
        <v>8.9600092022400304</v>
      </c>
    </row>
    <row r="28" spans="1:18" x14ac:dyDescent="0.85">
      <c r="A28">
        <f t="shared" si="2"/>
        <v>2039</v>
      </c>
      <c r="B28">
        <f t="shared" si="2"/>
        <v>15</v>
      </c>
      <c r="C28" s="11" cm="1">
        <f t="array" aca="1" ref="C28" ca="1" xml:space="preserve"> Mult * OFFSET(INDIRECT(Region_abbr &amp; "!A1"), Param_offset + C$11,$B28+1)</f>
        <v>54.161719132209996</v>
      </c>
      <c r="D28" s="11" cm="1">
        <f t="array" aca="1" ref="D28" ca="1" xml:space="preserve"> Mult * OFFSET(INDIRECT(Region_abbr &amp; "!A1"), Param_offset + D$11,$B28+1)</f>
        <v>24.712257992940003</v>
      </c>
      <c r="E28" s="11" cm="1">
        <f t="array" aca="1" ref="E28" ca="1" xml:space="preserve"> Mult * OFFSET(INDIRECT(Region_abbr &amp; "!A1"), Param_offset + E$11,$B28+1)</f>
        <v>30.17428930574</v>
      </c>
      <c r="F28" s="11" cm="1">
        <f t="array" aca="1" ref="F28" ca="1" xml:space="preserve"> Mult * OFFSET(INDIRECT(Region_abbr &amp; "!A1"), Param_offset + F$11,$B28+1)</f>
        <v>33.543901972569998</v>
      </c>
      <c r="G28" s="11" cm="1">
        <f t="array" aca="1" ref="G28" ca="1" xml:space="preserve"> Mult * OFFSET(INDIRECT(Region_abbr &amp; "!A1"), Param_offset + G$11,$B28+1)</f>
        <v>10.03357504567</v>
      </c>
      <c r="H28" s="11" cm="1">
        <f t="array" aca="1" ref="H28" ca="1" xml:space="preserve"> Mult * OFFSET(INDIRECT(Region_abbr &amp; "!A1"), Param_offset + H$11,$B28+1)</f>
        <v>1.9621074011600002</v>
      </c>
      <c r="I28" s="1">
        <f t="shared" ca="1" si="3"/>
        <v>154.58785085029001</v>
      </c>
      <c r="K28">
        <f t="shared" si="4"/>
        <v>16</v>
      </c>
      <c r="L28" s="1">
        <f t="shared" ca="1" si="5"/>
        <v>3.6727150475200077</v>
      </c>
      <c r="M28" s="1">
        <f t="shared" ca="1" si="6"/>
        <v>1.9650780822099989</v>
      </c>
      <c r="N28" s="1">
        <f t="shared" ca="1" si="7"/>
        <v>2.9215863085099976</v>
      </c>
      <c r="O28" s="1">
        <f t="shared" ca="1" si="8"/>
        <v>-0.15430142990999229</v>
      </c>
      <c r="P28" s="1">
        <f t="shared" ca="1" si="9"/>
        <v>0.86064467973000092</v>
      </c>
      <c r="Q28" s="1">
        <f t="shared" ca="1" si="10"/>
        <v>0.20930775613999963</v>
      </c>
      <c r="R28" s="1">
        <f t="shared" ca="1" si="11"/>
        <v>9.4750304442000015</v>
      </c>
    </row>
    <row r="29" spans="1:18" x14ac:dyDescent="0.85">
      <c r="A29">
        <f t="shared" si="2"/>
        <v>2040</v>
      </c>
      <c r="B29">
        <f t="shared" si="2"/>
        <v>16</v>
      </c>
      <c r="C29" s="11" cm="1">
        <f t="array" aca="1" ref="C29" ca="1" xml:space="preserve"> Mult * OFFSET(INDIRECT(Region_abbr &amp; "!A1"), Param_offset + C$11,$B29+1)</f>
        <v>57.834434179730003</v>
      </c>
      <c r="D29" s="11" cm="1">
        <f t="array" aca="1" ref="D29" ca="1" xml:space="preserve"> Mult * OFFSET(INDIRECT(Region_abbr &amp; "!A1"), Param_offset + D$11,$B29+1)</f>
        <v>26.677336075150002</v>
      </c>
      <c r="E29" s="11" cm="1">
        <f t="array" aca="1" ref="E29" ca="1" xml:space="preserve"> Mult * OFFSET(INDIRECT(Region_abbr &amp; "!A1"), Param_offset + E$11,$B29+1)</f>
        <v>33.095875614249998</v>
      </c>
      <c r="F29" s="11" cm="1">
        <f t="array" aca="1" ref="F29" ca="1" xml:space="preserve"> Mult * OFFSET(INDIRECT(Region_abbr &amp; "!A1"), Param_offset + F$11,$B29+1)</f>
        <v>33.389600542660006</v>
      </c>
      <c r="G29" s="11" cm="1">
        <f t="array" aca="1" ref="G29" ca="1" xml:space="preserve"> Mult * OFFSET(INDIRECT(Region_abbr &amp; "!A1"), Param_offset + G$11,$B29+1)</f>
        <v>10.894219725400001</v>
      </c>
      <c r="H29" s="11" cm="1">
        <f t="array" aca="1" ref="H29" ca="1" xml:space="preserve"> Mult * OFFSET(INDIRECT(Region_abbr &amp; "!A1"), Param_offset + H$11,$B29+1)</f>
        <v>2.1714151572999998</v>
      </c>
      <c r="I29" s="1">
        <f t="shared" ca="1" si="3"/>
        <v>164.06288129449001</v>
      </c>
      <c r="K29">
        <f t="shared" si="4"/>
        <v>17</v>
      </c>
      <c r="L29" s="1">
        <f t="shared" ca="1" si="5"/>
        <v>3.8987939028699969</v>
      </c>
      <c r="M29" s="1">
        <f t="shared" ca="1" si="5"/>
        <v>2.0857383536199983</v>
      </c>
      <c r="N29" s="1">
        <f t="shared" ca="1" si="5"/>
        <v>3.1005988075700017</v>
      </c>
      <c r="O29" s="1">
        <f t="shared" ca="1" si="5"/>
        <v>-0.20210627904999967</v>
      </c>
      <c r="P29" s="1">
        <f t="shared" ca="1" si="5"/>
        <v>0.91342345193999996</v>
      </c>
      <c r="Q29" s="1">
        <f t="shared" ca="1" si="5"/>
        <v>0.22258294509000009</v>
      </c>
      <c r="R29" s="1">
        <f t="shared" ca="1" si="5"/>
        <v>10.019031182039981</v>
      </c>
    </row>
    <row r="30" spans="1:18" x14ac:dyDescent="0.85">
      <c r="A30">
        <f t="shared" ref="A30:B39" si="12">A29+1</f>
        <v>2041</v>
      </c>
      <c r="B30">
        <f t="shared" si="12"/>
        <v>17</v>
      </c>
      <c r="C30" s="11" cm="1">
        <f t="array" aca="1" ref="C30" ca="1" xml:space="preserve"> Mult * OFFSET(INDIRECT(Region_abbr &amp; "!A1"), Param_offset + C$11,$B30+1)</f>
        <v>61.7332280826</v>
      </c>
      <c r="D30" s="11" cm="1">
        <f t="array" aca="1" ref="D30" ca="1" xml:space="preserve"> Mult * OFFSET(INDIRECT(Region_abbr &amp; "!A1"), Param_offset + D$11,$B30+1)</f>
        <v>28.76307442877</v>
      </c>
      <c r="E30" s="11" cm="1">
        <f t="array" aca="1" ref="E30" ca="1" xml:space="preserve"> Mult * OFFSET(INDIRECT(Region_abbr &amp; "!A1"), Param_offset + E$11,$B30+1)</f>
        <v>36.19647442182</v>
      </c>
      <c r="F30" s="11" cm="1">
        <f t="array" aca="1" ref="F30" ca="1" xml:space="preserve"> Mult * OFFSET(INDIRECT(Region_abbr &amp; "!A1"), Param_offset + F$11,$B30+1)</f>
        <v>33.187494263610006</v>
      </c>
      <c r="G30" s="11" cm="1">
        <f t="array" aca="1" ref="G30" ca="1" xml:space="preserve"> Mult * OFFSET(INDIRECT(Region_abbr &amp; "!A1"), Param_offset + G$11,$B30+1)</f>
        <v>11.807643177340001</v>
      </c>
      <c r="H30" s="11" cm="1">
        <f t="array" aca="1" ref="H30" ca="1" xml:space="preserve"> Mult * OFFSET(INDIRECT(Region_abbr &amp; "!A1"), Param_offset + H$11,$B30+1)</f>
        <v>2.3939981023899999</v>
      </c>
      <c r="I30" s="1">
        <f t="shared" ca="1" si="3"/>
        <v>174.08191247652999</v>
      </c>
      <c r="K30">
        <f t="shared" si="4"/>
        <v>18</v>
      </c>
      <c r="L30" s="1">
        <f t="shared" ca="1" si="5"/>
        <v>4.137868141120002</v>
      </c>
      <c r="M30" s="1">
        <f t="shared" ca="1" si="5"/>
        <v>2.2133444034999989</v>
      </c>
      <c r="N30" s="1">
        <f t="shared" ca="1" si="5"/>
        <v>3.2899047845600009</v>
      </c>
      <c r="O30" s="1">
        <f t="shared" ca="1" si="5"/>
        <v>-0.25334262112001227</v>
      </c>
      <c r="P30" s="1">
        <f t="shared" ca="1" si="5"/>
        <v>0.96922252553999932</v>
      </c>
      <c r="Q30" s="1">
        <f t="shared" ca="1" si="5"/>
        <v>0.2366245260800004</v>
      </c>
      <c r="R30" s="1">
        <f t="shared" ca="1" si="5"/>
        <v>10.593621759680019</v>
      </c>
    </row>
    <row r="31" spans="1:18" x14ac:dyDescent="0.85">
      <c r="A31">
        <f t="shared" si="12"/>
        <v>2042</v>
      </c>
      <c r="B31">
        <f t="shared" si="12"/>
        <v>18</v>
      </c>
      <c r="C31" s="11" cm="1">
        <f t="array" aca="1" ref="C31" ca="1" xml:space="preserve"> Mult * OFFSET(INDIRECT(Region_abbr &amp; "!A1"), Param_offset + C$11,$B31+1)</f>
        <v>65.871096223720002</v>
      </c>
      <c r="D31" s="11" cm="1">
        <f t="array" aca="1" ref="D31" ca="1" xml:space="preserve"> Mult * OFFSET(INDIRECT(Region_abbr &amp; "!A1"), Param_offset + D$11,$B31+1)</f>
        <v>30.976418832269999</v>
      </c>
      <c r="E31" s="11" cm="1">
        <f t="array" aca="1" ref="E31" ca="1" xml:space="preserve"> Mult * OFFSET(INDIRECT(Region_abbr &amp; "!A1"), Param_offset + E$11,$B31+1)</f>
        <v>39.486379206380001</v>
      </c>
      <c r="F31" s="11" cm="1">
        <f t="array" aca="1" ref="F31" ca="1" xml:space="preserve"> Mult * OFFSET(INDIRECT(Region_abbr &amp; "!A1"), Param_offset + F$11,$B31+1)</f>
        <v>32.934151642489994</v>
      </c>
      <c r="G31" s="11" cm="1">
        <f t="array" aca="1" ref="G31" ca="1" xml:space="preserve"> Mult * OFFSET(INDIRECT(Region_abbr &amp; "!A1"), Param_offset + G$11,$B31+1)</f>
        <v>12.77686570288</v>
      </c>
      <c r="H31" s="11" cm="1">
        <f t="array" aca="1" ref="H31" ca="1" xml:space="preserve"> Mult * OFFSET(INDIRECT(Region_abbr &amp; "!A1"), Param_offset + H$11,$B31+1)</f>
        <v>2.6306226284700003</v>
      </c>
      <c r="I31" s="1">
        <f t="shared" ca="1" si="3"/>
        <v>184.67553423621001</v>
      </c>
      <c r="K31">
        <f t="shared" si="4"/>
        <v>19</v>
      </c>
      <c r="L31" s="1">
        <f t="shared" ca="1" si="5"/>
        <v>4.3906686774800079</v>
      </c>
      <c r="M31" s="1">
        <f t="shared" ca="1" si="5"/>
        <v>2.3482863660100008</v>
      </c>
      <c r="N31" s="1">
        <f t="shared" ca="1" si="5"/>
        <v>3.490082422309996</v>
      </c>
      <c r="O31" s="1">
        <f t="shared" ca="1" si="5"/>
        <v>-0.30826596635998982</v>
      </c>
      <c r="P31" s="1">
        <f t="shared" ca="1" si="5"/>
        <v>1.0282624794600004</v>
      </c>
      <c r="Q31" s="1">
        <f t="shared" ca="1" si="5"/>
        <v>0.25149265299999968</v>
      </c>
      <c r="R31" s="1">
        <f t="shared" ca="1" si="5"/>
        <v>11.200526631900004</v>
      </c>
    </row>
    <row r="32" spans="1:18" x14ac:dyDescent="0.85">
      <c r="A32">
        <f t="shared" si="12"/>
        <v>2043</v>
      </c>
      <c r="B32">
        <f t="shared" si="12"/>
        <v>19</v>
      </c>
      <c r="C32" s="11" cm="1">
        <f t="array" aca="1" ref="C32" ca="1" xml:space="preserve"> Mult * OFFSET(INDIRECT(Region_abbr &amp; "!A1"), Param_offset + C$11,$B32+1)</f>
        <v>70.26176490120001</v>
      </c>
      <c r="D32" s="11" cm="1">
        <f t="array" aca="1" ref="D32" ca="1" xml:space="preserve"> Mult * OFFSET(INDIRECT(Region_abbr &amp; "!A1"), Param_offset + D$11,$B32+1)</f>
        <v>33.32470519828</v>
      </c>
      <c r="E32" s="11" cm="1">
        <f t="array" aca="1" ref="E32" ca="1" xml:space="preserve"> Mult * OFFSET(INDIRECT(Region_abbr &amp; "!A1"), Param_offset + E$11,$B32+1)</f>
        <v>42.976461628689997</v>
      </c>
      <c r="F32" s="11" cm="1">
        <f t="array" aca="1" ref="F32" ca="1" xml:space="preserve"> Mult * OFFSET(INDIRECT(Region_abbr &amp; "!A1"), Param_offset + F$11,$B32+1)</f>
        <v>32.625885676130004</v>
      </c>
      <c r="G32" s="11" cm="1">
        <f t="array" aca="1" ref="G32" ca="1" xml:space="preserve"> Mult * OFFSET(INDIRECT(Region_abbr &amp; "!A1"), Param_offset + G$11,$B32+1)</f>
        <v>13.805128182340001</v>
      </c>
      <c r="H32" s="11" cm="1">
        <f t="array" aca="1" ref="H32" ca="1" xml:space="preserve"> Mult * OFFSET(INDIRECT(Region_abbr &amp; "!A1"), Param_offset + H$11,$B32+1)</f>
        <v>2.88211528147</v>
      </c>
      <c r="I32" s="1">
        <f t="shared" ca="1" si="3"/>
        <v>195.87606086811002</v>
      </c>
      <c r="K32">
        <f t="shared" si="4"/>
        <v>20</v>
      </c>
      <c r="L32" s="1">
        <f t="shared" ca="1" si="5"/>
        <v>4.6579678433700025</v>
      </c>
      <c r="M32" s="1">
        <f t="shared" ca="1" si="5"/>
        <v>2.4909765005900013</v>
      </c>
      <c r="N32" s="1">
        <f t="shared" ca="1" si="5"/>
        <v>3.7017425831900042</v>
      </c>
      <c r="O32" s="1">
        <f t="shared" ca="1" si="5"/>
        <v>-0.36704609131999888</v>
      </c>
      <c r="P32" s="1">
        <f t="shared" ca="1" si="5"/>
        <v>1.0906735092599984</v>
      </c>
      <c r="Q32" s="1">
        <f t="shared" ca="1" si="5"/>
        <v>0.26721636943000027</v>
      </c>
      <c r="R32" s="1">
        <f t="shared" ca="1" si="5"/>
        <v>11.841530714520019</v>
      </c>
    </row>
    <row r="33" spans="1:18" x14ac:dyDescent="0.85">
      <c r="A33">
        <f t="shared" si="12"/>
        <v>2044</v>
      </c>
      <c r="B33">
        <f t="shared" si="12"/>
        <v>20</v>
      </c>
      <c r="C33" s="11" cm="1">
        <f t="array" aca="1" ref="C33" ca="1" xml:space="preserve"> Mult * OFFSET(INDIRECT(Region_abbr &amp; "!A1"), Param_offset + C$11,$B33+1)</f>
        <v>74.919732744570013</v>
      </c>
      <c r="D33" s="11" cm="1">
        <f t="array" aca="1" ref="D33" ca="1" xml:space="preserve"> Mult * OFFSET(INDIRECT(Region_abbr &amp; "!A1"), Param_offset + D$11,$B33+1)</f>
        <v>35.815681698870002</v>
      </c>
      <c r="E33" s="11" cm="1">
        <f t="array" aca="1" ref="E33" ca="1" xml:space="preserve"> Mult * OFFSET(INDIRECT(Region_abbr &amp; "!A1"), Param_offset + E$11,$B33+1)</f>
        <v>46.678204211880001</v>
      </c>
      <c r="F33" s="11" cm="1">
        <f t="array" aca="1" ref="F33" ca="1" xml:space="preserve"> Mult * OFFSET(INDIRECT(Region_abbr &amp; "!A1"), Param_offset + F$11,$B33+1)</f>
        <v>32.258839584810005</v>
      </c>
      <c r="G33" s="11" cm="1">
        <f t="array" aca="1" ref="G33" ca="1" xml:space="preserve"> Mult * OFFSET(INDIRECT(Region_abbr &amp; "!A1"), Param_offset + G$11,$B33+1)</f>
        <v>14.895801691599999</v>
      </c>
      <c r="H33" s="11" cm="1">
        <f t="array" aca="1" ref="H33" ca="1" xml:space="preserve"> Mult * OFFSET(INDIRECT(Region_abbr &amp; "!A1"), Param_offset + H$11,$B33+1)</f>
        <v>3.1493316509000002</v>
      </c>
      <c r="I33" s="1">
        <f t="shared" ca="1" si="3"/>
        <v>207.71759158263004</v>
      </c>
      <c r="K33">
        <f t="shared" si="4"/>
        <v>21</v>
      </c>
      <c r="L33" s="1">
        <f t="shared" ca="1" si="5"/>
        <v>4.9405748138099881</v>
      </c>
      <c r="M33" s="1">
        <f t="shared" ca="1" si="5"/>
        <v>2.6418497632299989</v>
      </c>
      <c r="N33" s="1">
        <f t="shared" ca="1" si="5"/>
        <v>3.9255298595200045</v>
      </c>
      <c r="O33" s="1">
        <f t="shared" ca="1" si="5"/>
        <v>-0.42992620408000448</v>
      </c>
      <c r="P33" s="1">
        <f t="shared" ca="1" si="5"/>
        <v>1.1566624519000008</v>
      </c>
      <c r="Q33" s="1">
        <f t="shared" ca="1" si="5"/>
        <v>0.28384822617999994</v>
      </c>
      <c r="R33" s="1">
        <f t="shared" ca="1" si="5"/>
        <v>12.518538910559954</v>
      </c>
    </row>
    <row r="34" spans="1:18" x14ac:dyDescent="0.85">
      <c r="A34">
        <f t="shared" si="12"/>
        <v>2045</v>
      </c>
      <c r="B34">
        <f t="shared" si="12"/>
        <v>21</v>
      </c>
      <c r="C34" s="11" cm="1">
        <f t="array" aca="1" ref="C34" ca="1" xml:space="preserve"> Mult * OFFSET(INDIRECT(Region_abbr &amp; "!A1"), Param_offset + C$11,$B34+1)</f>
        <v>79.860307558380001</v>
      </c>
      <c r="D34" s="11" cm="1">
        <f t="array" aca="1" ref="D34" ca="1" xml:space="preserve"> Mult * OFFSET(INDIRECT(Region_abbr &amp; "!A1"), Param_offset + D$11,$B34+1)</f>
        <v>38.4575314621</v>
      </c>
      <c r="E34" s="11" cm="1">
        <f t="array" aca="1" ref="E34" ca="1" xml:space="preserve"> Mult * OFFSET(INDIRECT(Region_abbr &amp; "!A1"), Param_offset + E$11,$B34+1)</f>
        <v>50.603734071400005</v>
      </c>
      <c r="F34" s="11" cm="1">
        <f t="array" aca="1" ref="F34" ca="1" xml:space="preserve"> Mult * OFFSET(INDIRECT(Region_abbr &amp; "!A1"), Param_offset + F$11,$B34+1)</f>
        <v>31.82891338073</v>
      </c>
      <c r="G34" s="11" cm="1">
        <f t="array" aca="1" ref="G34" ca="1" xml:space="preserve"> Mult * OFFSET(INDIRECT(Region_abbr &amp; "!A1"), Param_offset + G$11,$B34+1)</f>
        <v>16.0524641435</v>
      </c>
      <c r="H34" s="11" cm="1">
        <f t="array" aca="1" ref="H34" ca="1" xml:space="preserve"> Mult * OFFSET(INDIRECT(Region_abbr &amp; "!A1"), Param_offset + H$11,$B34+1)</f>
        <v>3.4331798770800002</v>
      </c>
      <c r="I34" s="1">
        <f t="shared" ca="1" si="3"/>
        <v>220.23613049318999</v>
      </c>
      <c r="K34">
        <f t="shared" si="4"/>
        <v>22</v>
      </c>
      <c r="L34" s="1">
        <f t="shared" ca="1" si="5"/>
        <v>5.2393666936799974</v>
      </c>
      <c r="M34" s="1">
        <f t="shared" ca="1" si="5"/>
        <v>2.8013654614800032</v>
      </c>
      <c r="N34" s="1">
        <f t="shared" ca="1" si="5"/>
        <v>4.162124898750001</v>
      </c>
      <c r="O34" s="1">
        <f t="shared" ca="1" si="5"/>
        <v>-0.49718345262999719</v>
      </c>
      <c r="P34" s="1">
        <f t="shared" ca="1" si="5"/>
        <v>1.226425648310002</v>
      </c>
      <c r="Q34" s="1">
        <f t="shared" ca="1" si="5"/>
        <v>0.3014640056700002</v>
      </c>
      <c r="R34" s="1">
        <f t="shared" ca="1" si="5"/>
        <v>13.233563255260037</v>
      </c>
    </row>
    <row r="35" spans="1:18" x14ac:dyDescent="0.85">
      <c r="A35">
        <f t="shared" si="12"/>
        <v>2046</v>
      </c>
      <c r="B35">
        <f t="shared" si="12"/>
        <v>22</v>
      </c>
      <c r="C35" s="11" cm="1">
        <f t="array" aca="1" ref="C35" ca="1" xml:space="preserve"> Mult * OFFSET(INDIRECT(Region_abbr &amp; "!A1"), Param_offset + C$11,$B35+1)</f>
        <v>85.099674252059998</v>
      </c>
      <c r="D35" s="11" cm="1">
        <f t="array" aca="1" ref="D35" ca="1" xml:space="preserve"> Mult * OFFSET(INDIRECT(Region_abbr &amp; "!A1"), Param_offset + D$11,$B35+1)</f>
        <v>41.258896923580004</v>
      </c>
      <c r="E35" s="11" cm="1">
        <f t="array" aca="1" ref="E35" ca="1" xml:space="preserve"> Mult * OFFSET(INDIRECT(Region_abbr &amp; "!A1"), Param_offset + E$11,$B35+1)</f>
        <v>54.765858970150006</v>
      </c>
      <c r="F35" s="11" cm="1">
        <f t="array" aca="1" ref="F35" ca="1" xml:space="preserve"> Mult * OFFSET(INDIRECT(Region_abbr &amp; "!A1"), Param_offset + F$11,$B35+1)</f>
        <v>31.331729928100003</v>
      </c>
      <c r="G35" s="11" cm="1">
        <f t="array" aca="1" ref="G35" ca="1" xml:space="preserve"> Mult * OFFSET(INDIRECT(Region_abbr &amp; "!A1"), Param_offset + G$11,$B35+1)</f>
        <v>17.278889791810002</v>
      </c>
      <c r="H35" s="11" cm="1">
        <f t="array" aca="1" ref="H35" ca="1" xml:space="preserve"> Mult * OFFSET(INDIRECT(Region_abbr &amp; "!A1"), Param_offset + H$11,$B35+1)</f>
        <v>3.7346438827500004</v>
      </c>
      <c r="I35" s="1">
        <f t="shared" ca="1" si="3"/>
        <v>233.46969374845003</v>
      </c>
      <c r="K35">
        <f t="shared" si="4"/>
        <v>23</v>
      </c>
      <c r="L35" s="1">
        <f t="shared" ca="1" si="5"/>
        <v>5.5552354321000053</v>
      </c>
      <c r="M35" s="1">
        <f t="shared" ca="1" si="5"/>
        <v>2.9700087466299934</v>
      </c>
      <c r="N35" s="1">
        <f t="shared" ca="1" si="5"/>
        <v>4.334780223859994</v>
      </c>
      <c r="O35" s="1">
        <f t="shared" ca="1" si="5"/>
        <v>-0.57122555005000564</v>
      </c>
      <c r="P35" s="1">
        <f t="shared" ca="1" si="5"/>
        <v>1.30018615002</v>
      </c>
      <c r="Q35" s="1">
        <f t="shared" ca="1" si="5"/>
        <v>0.32266629794999968</v>
      </c>
      <c r="R35" s="1">
        <f t="shared" ca="1" si="5"/>
        <v>13.911651300509988</v>
      </c>
    </row>
    <row r="36" spans="1:18" x14ac:dyDescent="0.85">
      <c r="A36">
        <f t="shared" si="12"/>
        <v>2047</v>
      </c>
      <c r="B36">
        <f t="shared" si="12"/>
        <v>23</v>
      </c>
      <c r="C36" s="11" cm="1">
        <f t="array" aca="1" ref="C36" ca="1" xml:space="preserve"> Mult * OFFSET(INDIRECT(Region_abbr &amp; "!A1"), Param_offset + C$11,$B36+1)</f>
        <v>90.654909684160003</v>
      </c>
      <c r="D36" s="11" cm="1">
        <f t="array" aca="1" ref="D36" ca="1" xml:space="preserve"> Mult * OFFSET(INDIRECT(Region_abbr &amp; "!A1"), Param_offset + D$11,$B36+1)</f>
        <v>44.228905670209997</v>
      </c>
      <c r="E36" s="11" cm="1">
        <f t="array" aca="1" ref="E36" ca="1" xml:space="preserve"> Mult * OFFSET(INDIRECT(Region_abbr &amp; "!A1"), Param_offset + E$11,$B36+1)</f>
        <v>59.10063919401</v>
      </c>
      <c r="F36" s="11" cm="1">
        <f t="array" aca="1" ref="F36" ca="1" xml:space="preserve"> Mult * OFFSET(INDIRECT(Region_abbr &amp; "!A1"), Param_offset + F$11,$B36+1)</f>
        <v>30.760504378049998</v>
      </c>
      <c r="G36" s="11" cm="1">
        <f t="array" aca="1" ref="G36" ca="1" xml:space="preserve"> Mult * OFFSET(INDIRECT(Region_abbr &amp; "!A1"), Param_offset + G$11,$B36+1)</f>
        <v>18.579075941830002</v>
      </c>
      <c r="H36" s="11" cm="1">
        <f t="array" aca="1" ref="H36" ca="1" xml:space="preserve"> Mult * OFFSET(INDIRECT(Region_abbr &amp; "!A1"), Param_offset + H$11,$B36+1)</f>
        <v>4.0573101807</v>
      </c>
      <c r="I36" s="1">
        <f t="shared" ca="1" si="3"/>
        <v>247.38134504896001</v>
      </c>
      <c r="K36">
        <f t="shared" si="4"/>
        <v>24</v>
      </c>
      <c r="L36" s="1">
        <f t="shared" ca="1" si="5"/>
        <v>5.8872962849000032</v>
      </c>
      <c r="M36" s="1">
        <f t="shared" ca="1" si="5"/>
        <v>3.14730219777001</v>
      </c>
      <c r="N36" s="1">
        <f t="shared" ca="1" si="5"/>
        <v>0.34393323845999646</v>
      </c>
      <c r="O36" s="1">
        <f t="shared" ca="1" si="5"/>
        <v>-0.64281276237999663</v>
      </c>
      <c r="P36" s="1">
        <f t="shared" ca="1" si="5"/>
        <v>1.3777002229499971</v>
      </c>
      <c r="Q36" s="1">
        <f t="shared" ca="1" si="5"/>
        <v>0.33706319552999986</v>
      </c>
      <c r="R36" s="1">
        <f t="shared" ca="1" si="5"/>
        <v>10.450482377230031</v>
      </c>
    </row>
    <row r="37" spans="1:18" x14ac:dyDescent="0.85">
      <c r="A37">
        <f t="shared" si="12"/>
        <v>2048</v>
      </c>
      <c r="B37">
        <f t="shared" si="12"/>
        <v>24</v>
      </c>
      <c r="C37" s="11" cm="1">
        <f t="array" aca="1" ref="C37" ca="1" xml:space="preserve"> Mult * OFFSET(INDIRECT(Region_abbr &amp; "!A1"), Param_offset + C$11,$B37+1)</f>
        <v>96.542205969060007</v>
      </c>
      <c r="D37" s="11" cm="1">
        <f t="array" aca="1" ref="D37" ca="1" xml:space="preserve"> Mult * OFFSET(INDIRECT(Region_abbr &amp; "!A1"), Param_offset + D$11,$B37+1)</f>
        <v>47.376207867980007</v>
      </c>
      <c r="E37" s="11" cm="1">
        <f t="array" aca="1" ref="E37" ca="1" xml:space="preserve"> Mult * OFFSET(INDIRECT(Region_abbr &amp; "!A1"), Param_offset + E$11,$B37+1)</f>
        <v>59.444572432469997</v>
      </c>
      <c r="F37" s="11" cm="1">
        <f t="array" aca="1" ref="F37" ca="1" xml:space="preserve"> Mult * OFFSET(INDIRECT(Region_abbr &amp; "!A1"), Param_offset + F$11,$B37+1)</f>
        <v>30.117691615670001</v>
      </c>
      <c r="G37" s="11" cm="1">
        <f t="array" aca="1" ref="G37" ca="1" xml:space="preserve"> Mult * OFFSET(INDIRECT(Region_abbr &amp; "!A1"), Param_offset + G$11,$B37+1)</f>
        <v>19.956776164779999</v>
      </c>
      <c r="H37" s="11" cm="1">
        <f t="array" aca="1" ref="H37" ca="1" xml:space="preserve"> Mult * OFFSET(INDIRECT(Region_abbr &amp; "!A1"), Param_offset + H$11,$B37+1)</f>
        <v>4.3943733762299999</v>
      </c>
      <c r="I37" s="1">
        <f t="shared" ca="1" si="3"/>
        <v>257.83182742619005</v>
      </c>
      <c r="K37">
        <f t="shared" si="4"/>
        <v>25</v>
      </c>
      <c r="L37" s="1">
        <f t="shared" ca="1" si="5"/>
        <v>6.1343214708600016</v>
      </c>
      <c r="M37" s="1">
        <f t="shared" ca="1" si="5"/>
        <v>3.2791809425199929</v>
      </c>
      <c r="N37" s="1">
        <f t="shared" ca="1" si="5"/>
        <v>0.76210759849000453</v>
      </c>
      <c r="O37" s="1">
        <f t="shared" ca="1" si="5"/>
        <v>-0.69689175302999828</v>
      </c>
      <c r="P37" s="1">
        <f t="shared" ca="1" si="5"/>
        <v>1.4354529052000018</v>
      </c>
      <c r="Q37" s="1">
        <f t="shared" ca="1" si="5"/>
        <v>0.3549524052100006</v>
      </c>
      <c r="R37" s="1">
        <f t="shared" ca="1" si="5"/>
        <v>11.269123569249984</v>
      </c>
    </row>
    <row r="38" spans="1:18" x14ac:dyDescent="0.85">
      <c r="A38">
        <f t="shared" si="12"/>
        <v>2049</v>
      </c>
      <c r="B38">
        <f t="shared" si="12"/>
        <v>25</v>
      </c>
      <c r="C38" s="11" cm="1">
        <f t="array" aca="1" ref="C38" ca="1" xml:space="preserve"> Mult * OFFSET(INDIRECT(Region_abbr &amp; "!A1"), Param_offset + C$11,$B38+1)</f>
        <v>102.67652743992001</v>
      </c>
      <c r="D38" s="11" cm="1">
        <f t="array" aca="1" ref="D38" ca="1" xml:space="preserve"> Mult * OFFSET(INDIRECT(Region_abbr &amp; "!A1"), Param_offset + D$11,$B38+1)</f>
        <v>50.6553888105</v>
      </c>
      <c r="E38" s="11" cm="1">
        <f t="array" aca="1" ref="E38" ca="1" xml:space="preserve"> Mult * OFFSET(INDIRECT(Region_abbr &amp; "!A1"), Param_offset + E$11,$B38+1)</f>
        <v>60.206680030960001</v>
      </c>
      <c r="F38" s="11" cm="1">
        <f t="array" aca="1" ref="F38" ca="1" xml:space="preserve"> Mult * OFFSET(INDIRECT(Region_abbr &amp; "!A1"), Param_offset + F$11,$B38+1)</f>
        <v>29.420799862640003</v>
      </c>
      <c r="G38" s="11" cm="1">
        <f t="array" aca="1" ref="G38" ca="1" xml:space="preserve"> Mult * OFFSET(INDIRECT(Region_abbr &amp; "!A1"), Param_offset + G$11,$B38+1)</f>
        <v>21.392229069980001</v>
      </c>
      <c r="H38" s="11" cm="1">
        <f t="array" aca="1" ref="H38" ca="1" xml:space="preserve"> Mult * OFFSET(INDIRECT(Region_abbr &amp; "!A1"), Param_offset + H$11,$B38+1)</f>
        <v>4.7493257814400005</v>
      </c>
      <c r="I38" s="1">
        <f t="shared" ca="1" si="3"/>
        <v>269.10095099544003</v>
      </c>
      <c r="K38">
        <f t="shared" si="4"/>
        <v>26</v>
      </c>
      <c r="L38" s="1">
        <f t="shared" ca="1" si="5"/>
        <v>6.4011189599899865</v>
      </c>
      <c r="M38" s="1">
        <f t="shared" ca="1" si="5"/>
        <v>3.421620887370004</v>
      </c>
      <c r="N38" s="1">
        <f t="shared" ca="1" si="5"/>
        <v>0.75695640868000424</v>
      </c>
      <c r="O38" s="1">
        <f t="shared" ca="1" si="5"/>
        <v>-0.75115665542000087</v>
      </c>
      <c r="P38" s="1">
        <f t="shared" ca="1" si="5"/>
        <v>1.4977741680700021</v>
      </c>
      <c r="Q38" s="1">
        <f t="shared" ca="1" si="5"/>
        <v>0.36880919476999985</v>
      </c>
      <c r="R38" s="1">
        <f t="shared" ca="1" si="5"/>
        <v>11.695122963459937</v>
      </c>
    </row>
    <row r="39" spans="1:18" x14ac:dyDescent="0.85">
      <c r="A39">
        <f t="shared" si="12"/>
        <v>2050</v>
      </c>
      <c r="B39">
        <f t="shared" si="12"/>
        <v>26</v>
      </c>
      <c r="C39" s="11" cm="1">
        <f t="array" aca="1" ref="C39" ca="1" xml:space="preserve"> Mult * OFFSET(INDIRECT(Region_abbr &amp; "!A1"), Param_offset + C$11,$B39+1)</f>
        <v>109.07764639990999</v>
      </c>
      <c r="D39" s="11" cm="1">
        <f t="array" aca="1" ref="D39" ca="1" xml:space="preserve"> Mult * OFFSET(INDIRECT(Region_abbr &amp; "!A1"), Param_offset + D$11,$B39+1)</f>
        <v>54.077009697870004</v>
      </c>
      <c r="E39" s="11" cm="1">
        <f t="array" aca="1" ref="E39" ca="1" xml:space="preserve"> Mult * OFFSET(INDIRECT(Region_abbr &amp; "!A1"), Param_offset + E$11,$B39+1)</f>
        <v>60.963636439640005</v>
      </c>
      <c r="F39" s="11" cm="1">
        <f t="array" aca="1" ref="F39" ca="1" xml:space="preserve"> Mult * OFFSET(INDIRECT(Region_abbr &amp; "!A1"), Param_offset + F$11,$B39+1)</f>
        <v>28.669643207220002</v>
      </c>
      <c r="G39" s="11" cm="1">
        <f t="array" aca="1" ref="G39" ca="1" xml:space="preserve"> Mult * OFFSET(INDIRECT(Region_abbr &amp; "!A1"), Param_offset + G$11,$B39+1)</f>
        <v>22.890003238050003</v>
      </c>
      <c r="H39" s="11" cm="1">
        <f t="array" aca="1" ref="H39" ca="1" xml:space="preserve"> Mult * OFFSET(INDIRECT(Region_abbr &amp; "!A1"), Param_offset + H$11,$B39+1)</f>
        <v>5.1181349762100004</v>
      </c>
      <c r="I39" s="1">
        <f t="shared" ca="1" si="3"/>
        <v>280.79607395889997</v>
      </c>
    </row>
  </sheetData>
  <mergeCells count="1">
    <mergeCell ref="E3:G3"/>
  </mergeCells>
  <conditionalFormatting sqref="C13:I39">
    <cfRule type="expression" dxfId="12" priority="3">
      <formula>$P13 &gt; 10000</formula>
    </cfRule>
  </conditionalFormatting>
  <conditionalFormatting sqref="L13:R38">
    <cfRule type="expression" dxfId="11" priority="2">
      <formula>$P13 &gt; 10000</formula>
    </cfRule>
  </conditionalFormatting>
  <conditionalFormatting sqref="C2">
    <cfRule type="expression" dxfId="10" priority="1">
      <formula>$P2 &gt; 10000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6A7E-D8DB-44EB-B1D7-64960F4154EB}">
  <dimension ref="A1:AM34"/>
  <sheetViews>
    <sheetView workbookViewId="0">
      <selection activeCell="D10" sqref="D10"/>
    </sheetView>
  </sheetViews>
  <sheetFormatPr defaultRowHeight="14.6" x14ac:dyDescent="0.85"/>
  <cols>
    <col min="1" max="1" width="11.765625" customWidth="1"/>
    <col min="3" max="4" width="5.15234375" style="7" bestFit="1" customWidth="1"/>
    <col min="5" max="5" width="6.84375" style="7" bestFit="1" customWidth="1"/>
    <col min="6" max="6" width="5.15234375" style="7" bestFit="1" customWidth="1"/>
    <col min="7" max="7" width="4.11328125" style="7" bestFit="1" customWidth="1"/>
    <col min="8" max="8" width="6.5" style="7" bestFit="1" customWidth="1"/>
    <col min="9" max="9" width="6.15234375" style="7" bestFit="1" customWidth="1"/>
  </cols>
  <sheetData>
    <row r="1" spans="1:39" x14ac:dyDescent="0.85">
      <c r="A1" s="14" t="s">
        <v>160</v>
      </c>
      <c r="B1" s="14"/>
      <c r="C1" s="7" t="str">
        <f>VLOOKUP(Region_Cost,Region_lookup,2,FALSE)</f>
        <v>CAL</v>
      </c>
    </row>
    <row r="2" spans="1:39" x14ac:dyDescent="0.85"/>
    <row r="3" spans="1:39" x14ac:dyDescent="0.85">
      <c r="A3" s="10" t="s">
        <v>136</v>
      </c>
      <c r="K3" s="10" t="s">
        <v>137</v>
      </c>
      <c r="U3" s="10" t="s">
        <v>138</v>
      </c>
      <c r="AE3" s="10" t="s">
        <v>139</v>
      </c>
    </row>
    <row r="4" spans="1:39" x14ac:dyDescent="0.85">
      <c r="A4" t="s">
        <v>166</v>
      </c>
      <c r="B4">
        <f>VLOOKUP(A3 &amp; " Cost",Param_Table,4,FALSE)</f>
        <v>1E-3</v>
      </c>
      <c r="K4" t="s">
        <v>166</v>
      </c>
      <c r="L4">
        <f>VLOOKUP(K3 &amp; " Cost",Param_Table,4,FALSE)</f>
        <v>1E-3</v>
      </c>
      <c r="U4" t="s">
        <v>166</v>
      </c>
      <c r="V4">
        <f>VLOOKUP(U3 &amp; " Cost",Param_Table,4,FALSE)</f>
        <v>1E-3</v>
      </c>
      <c r="AE4" t="s">
        <v>166</v>
      </c>
      <c r="AF4">
        <f>VLOOKUP(AE3 &amp; " Cost",Param_Table,4,FALSE)</f>
        <v>1E-3</v>
      </c>
    </row>
    <row r="5" spans="1:39" x14ac:dyDescent="0.85">
      <c r="A5" t="s">
        <v>18</v>
      </c>
      <c r="B5">
        <f>VLOOKUP(A3 &amp; " Cost",Param_Table,2,FALSE)</f>
        <v>3</v>
      </c>
      <c r="K5" t="s">
        <v>18</v>
      </c>
      <c r="L5">
        <f>VLOOKUP(K3 &amp; " Cost",Param_Table,2,FALSE)</f>
        <v>4</v>
      </c>
      <c r="M5" s="7"/>
      <c r="N5" s="7"/>
      <c r="O5" s="7"/>
      <c r="P5" s="7"/>
      <c r="Q5" s="7"/>
      <c r="R5" s="7"/>
      <c r="S5" s="7"/>
      <c r="U5" t="s">
        <v>18</v>
      </c>
      <c r="V5">
        <f>VLOOKUP(U3 &amp; " Cost",Param_Table,2,FALSE)</f>
        <v>5</v>
      </c>
      <c r="W5" s="7"/>
      <c r="X5" s="7"/>
      <c r="Y5" s="7"/>
      <c r="Z5" s="7"/>
      <c r="AA5" s="7"/>
      <c r="AB5" s="7"/>
      <c r="AC5" s="7"/>
      <c r="AE5" t="s">
        <v>18</v>
      </c>
      <c r="AF5">
        <f>VLOOKUP(AE3 &amp; " Cost",Param_Table,2,FALSE)</f>
        <v>6</v>
      </c>
      <c r="AG5" s="7"/>
      <c r="AH5" s="7"/>
      <c r="AI5" s="7"/>
      <c r="AJ5" s="7"/>
      <c r="AK5" s="7"/>
      <c r="AL5" s="7"/>
      <c r="AM5" s="7"/>
    </row>
    <row r="6" spans="1:39" x14ac:dyDescent="0.85">
      <c r="A6" t="s">
        <v>95</v>
      </c>
      <c r="B6" t="s">
        <v>161</v>
      </c>
      <c r="C6" s="7">
        <f t="shared" ref="C6:H6" si="0">VALUE(VLOOKUP(C$7,NRG_Table,2,FALSE))</f>
        <v>8</v>
      </c>
      <c r="D6" s="7">
        <f t="shared" si="0"/>
        <v>20</v>
      </c>
      <c r="E6" s="7">
        <f t="shared" si="0"/>
        <v>32</v>
      </c>
      <c r="F6" s="7">
        <f t="shared" si="0"/>
        <v>44</v>
      </c>
      <c r="G6" s="7">
        <f t="shared" si="0"/>
        <v>56</v>
      </c>
      <c r="H6" s="7">
        <f t="shared" si="0"/>
        <v>68</v>
      </c>
      <c r="K6" t="s">
        <v>95</v>
      </c>
      <c r="L6" t="s">
        <v>161</v>
      </c>
      <c r="M6" s="7">
        <f t="shared" ref="M6:R6" si="1">VALUE(VLOOKUP(M$7,NRG_Table,2,FALSE))</f>
        <v>8</v>
      </c>
      <c r="N6" s="7">
        <f t="shared" si="1"/>
        <v>20</v>
      </c>
      <c r="O6" s="7">
        <f t="shared" si="1"/>
        <v>32</v>
      </c>
      <c r="P6" s="7">
        <f t="shared" si="1"/>
        <v>44</v>
      </c>
      <c r="Q6" s="7">
        <f t="shared" si="1"/>
        <v>56</v>
      </c>
      <c r="R6" s="7">
        <f t="shared" si="1"/>
        <v>68</v>
      </c>
      <c r="S6" s="7"/>
      <c r="U6" t="s">
        <v>95</v>
      </c>
      <c r="V6" t="s">
        <v>161</v>
      </c>
      <c r="W6" s="7">
        <f t="shared" ref="W6:AB6" si="2">VALUE(VLOOKUP(W$7,NRG_Table,2,FALSE))</f>
        <v>8</v>
      </c>
      <c r="X6" s="7">
        <f t="shared" si="2"/>
        <v>20</v>
      </c>
      <c r="Y6" s="7">
        <f t="shared" si="2"/>
        <v>32</v>
      </c>
      <c r="Z6" s="7">
        <f t="shared" si="2"/>
        <v>44</v>
      </c>
      <c r="AA6" s="7">
        <f t="shared" si="2"/>
        <v>56</v>
      </c>
      <c r="AB6" s="7">
        <f t="shared" si="2"/>
        <v>68</v>
      </c>
      <c r="AC6" s="7"/>
      <c r="AE6" t="s">
        <v>95</v>
      </c>
      <c r="AF6" t="s">
        <v>161</v>
      </c>
      <c r="AG6" s="7">
        <f t="shared" ref="AG6:AL6" si="3">VALUE(VLOOKUP(AG$7,NRG_Table,2,FALSE))</f>
        <v>8</v>
      </c>
      <c r="AH6" s="7">
        <f t="shared" si="3"/>
        <v>20</v>
      </c>
      <c r="AI6" s="7">
        <f t="shared" si="3"/>
        <v>32</v>
      </c>
      <c r="AJ6" s="7">
        <f t="shared" si="3"/>
        <v>44</v>
      </c>
      <c r="AK6" s="7">
        <f t="shared" si="3"/>
        <v>56</v>
      </c>
      <c r="AL6" s="7">
        <f t="shared" si="3"/>
        <v>68</v>
      </c>
      <c r="AM6" s="7"/>
    </row>
    <row r="7" spans="1:39" x14ac:dyDescent="0.85">
      <c r="A7">
        <v>2023</v>
      </c>
      <c r="B7">
        <v>-1</v>
      </c>
      <c r="C7" s="7" t="s">
        <v>0</v>
      </c>
      <c r="D7" s="7" t="s">
        <v>1</v>
      </c>
      <c r="E7" s="7" t="s">
        <v>2</v>
      </c>
      <c r="F7" s="7" t="s">
        <v>3</v>
      </c>
      <c r="G7" s="7" t="s">
        <v>4</v>
      </c>
      <c r="H7" s="7" t="s">
        <v>127</v>
      </c>
      <c r="I7" s="7" t="s">
        <v>5</v>
      </c>
      <c r="K7">
        <v>2023</v>
      </c>
      <c r="L7">
        <v>-1</v>
      </c>
      <c r="M7" s="7" t="s">
        <v>0</v>
      </c>
      <c r="N7" s="7" t="s">
        <v>1</v>
      </c>
      <c r="O7" s="7" t="s">
        <v>2</v>
      </c>
      <c r="P7" s="7" t="s">
        <v>3</v>
      </c>
      <c r="Q7" s="7" t="s">
        <v>4</v>
      </c>
      <c r="R7" s="7" t="s">
        <v>127</v>
      </c>
      <c r="S7" s="7" t="s">
        <v>5</v>
      </c>
      <c r="U7">
        <v>2023</v>
      </c>
      <c r="V7">
        <v>-1</v>
      </c>
      <c r="W7" s="7" t="s">
        <v>0</v>
      </c>
      <c r="X7" s="7" t="s">
        <v>1</v>
      </c>
      <c r="Y7" s="7" t="s">
        <v>2</v>
      </c>
      <c r="Z7" s="7" t="s">
        <v>3</v>
      </c>
      <c r="AA7" s="7" t="s">
        <v>4</v>
      </c>
      <c r="AB7" s="7" t="s">
        <v>127</v>
      </c>
      <c r="AC7" s="7" t="s">
        <v>5</v>
      </c>
      <c r="AE7">
        <v>2023</v>
      </c>
      <c r="AF7">
        <v>-1</v>
      </c>
      <c r="AG7" s="7" t="s">
        <v>0</v>
      </c>
      <c r="AH7" s="7" t="s">
        <v>1</v>
      </c>
      <c r="AI7" s="7" t="s">
        <v>2</v>
      </c>
      <c r="AJ7" s="7" t="s">
        <v>3</v>
      </c>
      <c r="AK7" s="7" t="s">
        <v>4</v>
      </c>
      <c r="AL7" s="7" t="s">
        <v>127</v>
      </c>
      <c r="AM7" s="7" t="s">
        <v>5</v>
      </c>
    </row>
    <row r="8" spans="1:39" x14ac:dyDescent="0.85">
      <c r="A8">
        <f>A7+1</f>
        <v>2024</v>
      </c>
      <c r="B8">
        <f>B7+1</f>
        <v>0</v>
      </c>
      <c r="C8" s="7" cm="1">
        <f t="array" aca="1" ref="C8" ca="1">$B$4 *
INDIRECT("Include_" &amp; $A$3)*INDIRECT("Include_" &amp; C$7)*
OFFSET(INDIRECT(Region_abbr &amp; "!A1"), $B$5 + C$6,$B8+1)</f>
        <v>0.85586956618999999</v>
      </c>
      <c r="D8" s="7" cm="1">
        <f t="array" aca="1" ref="D8" ca="1">$B$4 *
INDIRECT("Include_" &amp; $A$3)*INDIRECT("Include_" &amp; D$7)*
OFFSET(INDIRECT(Region_abbr &amp; "!A1"), $B$5 + D$6,$B8+1)</f>
        <v>0.32095624018000002</v>
      </c>
      <c r="E8" s="7" cm="1">
        <f t="array" aca="1" ref="E8" ca="1">$B$4 *
INDIRECT("Include_" &amp; $A$3)*INDIRECT("Include_" &amp; E$7)*
OFFSET(INDIRECT(Region_abbr &amp; "!A1"), $B$5 + E$6,$B8+1)</f>
        <v>0.38514992286999999</v>
      </c>
      <c r="F8" s="7" cm="1">
        <f t="array" aca="1" ref="F8" ca="1">$B$4 *
INDIRECT("Include_" &amp; $A$3)*INDIRECT("Include_" &amp; F$7)*
OFFSET(INDIRECT(Region_abbr &amp; "!A1"), $B$5 + F$6,$B8+1)</f>
        <v>0.97267075738000008</v>
      </c>
      <c r="G8" s="7" cm="1">
        <f t="array" aca="1" ref="G8" ca="1">$B$4 *
INDIRECT("Include_" &amp; $A$3)*INDIRECT("Include_" &amp; G$7)*
OFFSET(INDIRECT(Region_abbr &amp; "!A1"), $B$5 + G$6,$B8+1)</f>
        <v>0.28976101268000004</v>
      </c>
      <c r="H8" s="7" cm="1">
        <f t="array" aca="1" ref="H8" ca="1">$B$4 *
INDIRECT("Include_" &amp; $A$3)*INDIRECT("Include_" &amp; H$7)*
OFFSET(INDIRECT(Region_abbr &amp; "!A1"), $B$5 + H$6,$B8+1)</f>
        <v>0</v>
      </c>
      <c r="I8" s="7">
        <f ca="1">SUM(C8:H8)</f>
        <v>2.8244074993000003</v>
      </c>
      <c r="K8">
        <f>K7+1</f>
        <v>2024</v>
      </c>
      <c r="L8">
        <f>L7+1</f>
        <v>0</v>
      </c>
      <c r="M8" s="7" cm="1">
        <f t="array" aca="1" ref="M8" ca="1">$L$4 *
INDIRECT("Include_" &amp; $K$3)*INDIRECT("Include_" &amp; M$7)*
OFFSET(INDIRECT(Region_abbr &amp; "!A1"), $L$5 + M$6,$L8+1)</f>
        <v>0</v>
      </c>
      <c r="N8" s="7" cm="1">
        <f t="array" aca="1" ref="N8" ca="1">$L$4 *
INDIRECT("Include_" &amp; $K$3)*INDIRECT("Include_" &amp; N$7)*
OFFSET(INDIRECT(Region_abbr &amp; "!A1"), $L$5 + N$6,$L8+1)</f>
        <v>0</v>
      </c>
      <c r="O8" s="7" cm="1">
        <f t="array" aca="1" ref="O8" ca="1">$L$4 *
INDIRECT("Include_" &amp; $K$3)*INDIRECT("Include_" &amp; O$7)*
OFFSET(INDIRECT(Region_abbr &amp; "!A1"), $L$5 + O$6,$L8+1)</f>
        <v>0</v>
      </c>
      <c r="P8" s="7" cm="1">
        <f t="array" aca="1" ref="P8" ca="1">$L$4 *
INDIRECT("Include_" &amp; $K$3)*INDIRECT("Include_" &amp; P$7)*
OFFSET(INDIRECT(Region_abbr &amp; "!A1"), $L$5 + P$6,$L8+1)</f>
        <v>0</v>
      </c>
      <c r="Q8" s="7" cm="1">
        <f t="array" aca="1" ref="Q8" ca="1">$L$4 *
INDIRECT("Include_" &amp; $K$3)*INDIRECT("Include_" &amp; Q$7)*
OFFSET(INDIRECT(Region_abbr &amp; "!A1"), $L$5 + Q$6,$L8+1)</f>
        <v>0</v>
      </c>
      <c r="R8" s="7" cm="1">
        <f t="array" aca="1" ref="R8" ca="1">$L$4 *
INDIRECT("Include_" &amp; $K$3)*INDIRECT("Include_" &amp; R$7)*
OFFSET(INDIRECT(Region_abbr &amp; "!A1"), $L$5 + R$6,$L8+1)</f>
        <v>0</v>
      </c>
      <c r="S8" s="7">
        <f ca="1">SUM(M8:R8)</f>
        <v>0</v>
      </c>
      <c r="U8">
        <f>U7+1</f>
        <v>2024</v>
      </c>
      <c r="V8">
        <f>V7+1</f>
        <v>0</v>
      </c>
      <c r="W8" s="7" cm="1">
        <f t="array" aca="1" ref="W8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W$6,$V8+1)</f>
        <v>0</v>
      </c>
      <c r="X8" s="7" cm="1">
        <f t="array" aca="1" ref="X8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X$6,$V8+1)</f>
        <v>0</v>
      </c>
      <c r="Y8" s="7" cm="1">
        <f t="array" aca="1" ref="Y8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Y$6,$V8+1)</f>
        <v>0</v>
      </c>
      <c r="Z8" s="7" cm="1">
        <f t="array" aca="1" ref="Z8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Z$6,$V8+1)</f>
        <v>0</v>
      </c>
      <c r="AA8" s="7" cm="1">
        <f t="array" aca="1" ref="AA8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AA$6,$V8+1)</f>
        <v>0</v>
      </c>
      <c r="AB8" s="7" cm="1">
        <f t="array" aca="1" ref="AB8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AB$6,$V8+1)</f>
        <v>0</v>
      </c>
      <c r="AC8" s="7">
        <f ca="1">SUM(W8:AB8)</f>
        <v>0</v>
      </c>
      <c r="AE8">
        <f>AE7+1</f>
        <v>2024</v>
      </c>
      <c r="AF8">
        <f>AF7+1</f>
        <v>0</v>
      </c>
      <c r="AG8" s="7" cm="1">
        <f t="array" aca="1" ref="AG8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AG$6,$AF8+1)</f>
        <v>0</v>
      </c>
      <c r="AH8" s="7" cm="1">
        <f t="array" aca="1" ref="AH8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AH$6,$AF8+1)</f>
        <v>0</v>
      </c>
      <c r="AI8" s="7" cm="1">
        <f t="array" aca="1" ref="AI8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AI$6,$AF8+1)</f>
        <v>0</v>
      </c>
      <c r="AJ8" s="7" cm="1">
        <f t="array" aca="1" ref="AJ8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AJ$6,$AF8+1)</f>
        <v>0</v>
      </c>
      <c r="AK8" s="7" cm="1">
        <f t="array" aca="1" ref="AK8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AK$6,$AF8+1)</f>
        <v>0</v>
      </c>
      <c r="AL8" s="7" cm="1">
        <f t="array" aca="1" ref="AL8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AL$6,$AF8+1)</f>
        <v>0</v>
      </c>
      <c r="AM8" s="7">
        <f ca="1">SUM(AG8:AL8)</f>
        <v>0</v>
      </c>
    </row>
    <row r="9" spans="1:39" x14ac:dyDescent="0.85">
      <c r="A9">
        <f t="shared" ref="A9:B24" si="4">A8+1</f>
        <v>2025</v>
      </c>
      <c r="B9">
        <f t="shared" si="4"/>
        <v>1</v>
      </c>
      <c r="C9" s="7" cm="1">
        <f t="array" aca="1" ref="C9" ca="1">$B$4 *
INDIRECT("Include_" &amp; $A$3)*INDIRECT("Include_" &amp; C$7)*
OFFSET(INDIRECT(Region_abbr &amp; "!A1"), $B$5 + C$6,$B9+1)</f>
        <v>0.92033678798000007</v>
      </c>
      <c r="D9" s="7" cm="1">
        <f t="array" aca="1" ref="D9" ca="1">$B$4 *
INDIRECT("Include_" &amp; $A$3)*INDIRECT("Include_" &amp; D$7)*
OFFSET(INDIRECT(Region_abbr &amp; "!A1"), $B$5 + D$6,$B9+1)</f>
        <v>0.36277036872999996</v>
      </c>
      <c r="E9" s="7" cm="1">
        <f t="array" aca="1" ref="E9" ca="1">$B$4 *
INDIRECT("Include_" &amp; $A$3)*INDIRECT("Include_" &amp; E$7)*
OFFSET(INDIRECT(Region_abbr &amp; "!A1"), $B$5 + E$6,$B9+1)</f>
        <v>0.58052837197999996</v>
      </c>
      <c r="F9" s="7" cm="1">
        <f t="array" aca="1" ref="F9" ca="1">$B$4 *
INDIRECT("Include_" &amp; $A$3)*INDIRECT("Include_" &amp; F$7)*
OFFSET(INDIRECT(Region_abbr &amp; "!A1"), $B$5 + F$6,$B9+1)</f>
        <v>0.98059185395000004</v>
      </c>
      <c r="G9" s="7" cm="1">
        <f t="array" aca="1" ref="G9" ca="1">$B$4 *
INDIRECT("Include_" &amp; $A$3)*INDIRECT("Include_" &amp; G$7)*
OFFSET(INDIRECT(Region_abbr &amp; "!A1"), $B$5 + G$6,$B9+1)</f>
        <v>0.34408088263000003</v>
      </c>
      <c r="H9" s="7" cm="1">
        <f t="array" aca="1" ref="H9" ca="1">$B$4 *
INDIRECT("Include_" &amp; $A$3)*INDIRECT("Include_" &amp; H$7)*
OFFSET(INDIRECT(Region_abbr &amp; "!A1"), $B$5 + H$6,$B9+1)</f>
        <v>4.0290077599999998E-3</v>
      </c>
      <c r="I9" s="7">
        <f t="shared" ref="I9:I34" ca="1" si="5">SUM(C9:H9)</f>
        <v>3.1923372730300001</v>
      </c>
      <c r="K9">
        <f t="shared" ref="K9:L9" si="6">K8+1</f>
        <v>2025</v>
      </c>
      <c r="L9">
        <f t="shared" si="6"/>
        <v>1</v>
      </c>
      <c r="M9" s="7" cm="1">
        <f t="array" aca="1" ref="M9" ca="1">$L$4 *
INDIRECT("Include_" &amp; $K$3)*INDIRECT("Include_" &amp; M$7)*
OFFSET(INDIRECT(Region_abbr &amp; "!A1"), $L$5 + M$6,$L9+1)</f>
        <v>0</v>
      </c>
      <c r="N9" s="7" cm="1">
        <f t="array" aca="1" ref="N9" ca="1">$L$4 *
INDIRECT("Include_" &amp; $K$3)*INDIRECT("Include_" &amp; N$7)*
OFFSET(INDIRECT(Region_abbr &amp; "!A1"), $L$5 + N$6,$L9+1)</f>
        <v>0</v>
      </c>
      <c r="O9" s="7" cm="1">
        <f t="array" aca="1" ref="O9" ca="1">$L$4 *
INDIRECT("Include_" &amp; $K$3)*INDIRECT("Include_" &amp; O$7)*
OFFSET(INDIRECT(Region_abbr &amp; "!A1"), $L$5 + O$6,$L9+1)</f>
        <v>0</v>
      </c>
      <c r="P9" s="7" cm="1">
        <f t="array" aca="1" ref="P9" ca="1">$L$4 *
INDIRECT("Include_" &amp; $K$3)*INDIRECT("Include_" &amp; P$7)*
OFFSET(INDIRECT(Region_abbr &amp; "!A1"), $L$5 + P$6,$L9+1)</f>
        <v>0</v>
      </c>
      <c r="Q9" s="7" cm="1">
        <f t="array" aca="1" ref="Q9" ca="1">$L$4 *
INDIRECT("Include_" &amp; $K$3)*INDIRECT("Include_" &amp; Q$7)*
OFFSET(INDIRECT(Region_abbr &amp; "!A1"), $L$5 + Q$6,$L9+1)</f>
        <v>0</v>
      </c>
      <c r="R9" s="7" cm="1">
        <f t="array" aca="1" ref="R9" ca="1">$L$4 *
INDIRECT("Include_" &amp; $K$3)*INDIRECT("Include_" &amp; R$7)*
OFFSET(INDIRECT(Region_abbr &amp; "!A1"), $L$5 + R$6,$L9+1)</f>
        <v>0</v>
      </c>
      <c r="S9" s="7">
        <f t="shared" ref="S9:S34" ca="1" si="7">SUM(M9:R9)</f>
        <v>0</v>
      </c>
      <c r="U9">
        <f t="shared" ref="U9:V9" si="8">U8+1</f>
        <v>2025</v>
      </c>
      <c r="V9">
        <f t="shared" si="8"/>
        <v>1</v>
      </c>
      <c r="W9" s="7" cm="1">
        <f t="array" aca="1" ref="W9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W$6,$V9+1)</f>
        <v>0</v>
      </c>
      <c r="X9" s="7" cm="1">
        <f t="array" aca="1" ref="X9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X$6,$V9+1)</f>
        <v>0</v>
      </c>
      <c r="Y9" s="7" cm="1">
        <f t="array" aca="1" ref="Y9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Y$6,$V9+1)</f>
        <v>0</v>
      </c>
      <c r="Z9" s="7" cm="1">
        <f t="array" aca="1" ref="Z9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Z$6,$V9+1)</f>
        <v>0</v>
      </c>
      <c r="AA9" s="7" cm="1">
        <f t="array" aca="1" ref="AA9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AA$6,$V9+1)</f>
        <v>0</v>
      </c>
      <c r="AB9" s="7" cm="1">
        <f t="array" aca="1" ref="AB9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AB$6,$V9+1)</f>
        <v>0</v>
      </c>
      <c r="AC9" s="7">
        <f t="shared" ref="AC9:AC34" ca="1" si="9">SUM(W9:AB9)</f>
        <v>0</v>
      </c>
      <c r="AE9">
        <f t="shared" ref="AE9:AF9" si="10">AE8+1</f>
        <v>2025</v>
      </c>
      <c r="AF9">
        <f t="shared" si="10"/>
        <v>1</v>
      </c>
      <c r="AG9" s="7" cm="1">
        <f t="array" aca="1" ref="AG9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AG$6,$AF9+1)</f>
        <v>0</v>
      </c>
      <c r="AH9" s="7" cm="1">
        <f t="array" aca="1" ref="AH9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AH$6,$AF9+1)</f>
        <v>0</v>
      </c>
      <c r="AI9" s="7" cm="1">
        <f t="array" aca="1" ref="AI9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AI$6,$AF9+1)</f>
        <v>0</v>
      </c>
      <c r="AJ9" s="7" cm="1">
        <f t="array" aca="1" ref="AJ9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AJ$6,$AF9+1)</f>
        <v>0</v>
      </c>
      <c r="AK9" s="7" cm="1">
        <f t="array" aca="1" ref="AK9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AK$6,$AF9+1)</f>
        <v>0</v>
      </c>
      <c r="AL9" s="7" cm="1">
        <f t="array" aca="1" ref="AL9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AL$6,$AF9+1)</f>
        <v>0</v>
      </c>
      <c r="AM9" s="7">
        <f t="shared" ref="AM9:AM34" ca="1" si="11">SUM(AG9:AL9)</f>
        <v>0</v>
      </c>
    </row>
    <row r="10" spans="1:39" x14ac:dyDescent="0.85">
      <c r="A10">
        <f t="shared" si="4"/>
        <v>2026</v>
      </c>
      <c r="B10">
        <f t="shared" si="4"/>
        <v>2</v>
      </c>
      <c r="C10" s="7" cm="1">
        <f t="array" aca="1" ref="C10" ca="1">$B$4 *
INDIRECT("Include_" &amp; $A$3)*INDIRECT("Include_" &amp; C$7)*
OFFSET(INDIRECT(Region_abbr &amp; "!A1"), $B$5 + C$6,$B10+1)</f>
        <v>0.98912168922999999</v>
      </c>
      <c r="D10" s="7" cm="1">
        <f t="array" aca="1" ref="D10" ca="1">$B$4 *
INDIRECT("Include_" &amp; $A$3)*INDIRECT("Include_" &amp; D$7)*
OFFSET(INDIRECT(Region_abbr &amp; "!A1"), $B$5 + D$6,$B10+1)</f>
        <v>0.40735316135999999</v>
      </c>
      <c r="E10" s="7" cm="1">
        <f t="array" aca="1" ref="E10" ca="1">$B$4 *
INDIRECT("Include_" &amp; $A$3)*INDIRECT("Include_" &amp; E$7)*
OFFSET(INDIRECT(Region_abbr &amp; "!A1"), $B$5 + E$6,$B10+1)</f>
        <v>0.78880560237999997</v>
      </c>
      <c r="F10" s="7" cm="1">
        <f t="array" aca="1" ref="F10" ca="1">$B$4 *
INDIRECT("Include_" &amp; $A$3)*INDIRECT("Include_" &amp; F$7)*
OFFSET(INDIRECT(Region_abbr &amp; "!A1"), $B$5 + F$6,$B10+1)</f>
        <v>0.98806957601000001</v>
      </c>
      <c r="G10" s="7" cm="1">
        <f t="array" aca="1" ref="G10" ca="1">$B$4 *
INDIRECT("Include_" &amp; $A$3)*INDIRECT("Include_" &amp; G$7)*
OFFSET(INDIRECT(Region_abbr &amp; "!A1"), $B$5 + G$6,$B10+1)</f>
        <v>0.40198854901999997</v>
      </c>
      <c r="H10" s="7" cm="1">
        <f t="array" aca="1" ref="H10" ca="1">$B$4 *
INDIRECT("Include_" &amp; $A$3)*INDIRECT("Include_" &amp; H$7)*
OFFSET(INDIRECT(Region_abbr &amp; "!A1"), $B$5 + H$6,$B10+1)</f>
        <v>8.3426207299999999E-3</v>
      </c>
      <c r="I10" s="7">
        <f t="shared" ca="1" si="5"/>
        <v>3.5836811987299999</v>
      </c>
      <c r="K10">
        <f t="shared" ref="K10:L10" si="12">K9+1</f>
        <v>2026</v>
      </c>
      <c r="L10">
        <f t="shared" si="12"/>
        <v>2</v>
      </c>
      <c r="M10" s="7" cm="1">
        <f t="array" aca="1" ref="M10" ca="1">$L$4 *
INDIRECT("Include_" &amp; $K$3)*INDIRECT("Include_" &amp; M$7)*
OFFSET(INDIRECT(Region_abbr &amp; "!A1"), $L$5 + M$6,$L10+1)</f>
        <v>0</v>
      </c>
      <c r="N10" s="7" cm="1">
        <f t="array" aca="1" ref="N10" ca="1">$L$4 *
INDIRECT("Include_" &amp; $K$3)*INDIRECT("Include_" &amp; N$7)*
OFFSET(INDIRECT(Region_abbr &amp; "!A1"), $L$5 + N$6,$L10+1)</f>
        <v>0</v>
      </c>
      <c r="O10" s="7" cm="1">
        <f t="array" aca="1" ref="O10" ca="1">$L$4 *
INDIRECT("Include_" &amp; $K$3)*INDIRECT("Include_" &amp; O$7)*
OFFSET(INDIRECT(Region_abbr &amp; "!A1"), $L$5 + O$6,$L10+1)</f>
        <v>0</v>
      </c>
      <c r="P10" s="7" cm="1">
        <f t="array" aca="1" ref="P10" ca="1">$L$4 *
INDIRECT("Include_" &amp; $K$3)*INDIRECT("Include_" &amp; P$7)*
OFFSET(INDIRECT(Region_abbr &amp; "!A1"), $L$5 + P$6,$L10+1)</f>
        <v>0</v>
      </c>
      <c r="Q10" s="7" cm="1">
        <f t="array" aca="1" ref="Q10" ca="1">$L$4 *
INDIRECT("Include_" &amp; $K$3)*INDIRECT("Include_" &amp; Q$7)*
OFFSET(INDIRECT(Region_abbr &amp; "!A1"), $L$5 + Q$6,$L10+1)</f>
        <v>0</v>
      </c>
      <c r="R10" s="7" cm="1">
        <f t="array" aca="1" ref="R10" ca="1">$L$4 *
INDIRECT("Include_" &amp; $K$3)*INDIRECT("Include_" &amp; R$7)*
OFFSET(INDIRECT(Region_abbr &amp; "!A1"), $L$5 + R$6,$L10+1)</f>
        <v>0</v>
      </c>
      <c r="S10" s="7">
        <f t="shared" ca="1" si="7"/>
        <v>0</v>
      </c>
      <c r="U10">
        <f t="shared" ref="U10:V10" si="13">U9+1</f>
        <v>2026</v>
      </c>
      <c r="V10">
        <f t="shared" si="13"/>
        <v>2</v>
      </c>
      <c r="W10" s="7" cm="1">
        <f t="array" aca="1" ref="W10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W$6,$V10+1)</f>
        <v>0</v>
      </c>
      <c r="X10" s="7" cm="1">
        <f t="array" aca="1" ref="X10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X$6,$V10+1)</f>
        <v>0</v>
      </c>
      <c r="Y10" s="7" cm="1">
        <f t="array" aca="1" ref="Y10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Y$6,$V10+1)</f>
        <v>0</v>
      </c>
      <c r="Z10" s="7" cm="1">
        <f t="array" aca="1" ref="Z10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Z$6,$V10+1)</f>
        <v>0</v>
      </c>
      <c r="AA10" s="7" cm="1">
        <f t="array" aca="1" ref="AA10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AA$6,$V10+1)</f>
        <v>0</v>
      </c>
      <c r="AB10" s="7" cm="1">
        <f t="array" aca="1" ref="AB10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AB$6,$V10+1)</f>
        <v>0</v>
      </c>
      <c r="AC10" s="7">
        <f t="shared" ca="1" si="9"/>
        <v>0</v>
      </c>
      <c r="AE10">
        <f t="shared" ref="AE10:AF10" si="14">AE9+1</f>
        <v>2026</v>
      </c>
      <c r="AF10">
        <f t="shared" si="14"/>
        <v>2</v>
      </c>
      <c r="AG10" s="7" cm="1">
        <f t="array" aca="1" ref="AG10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AG$6,$AF10+1)</f>
        <v>0</v>
      </c>
      <c r="AH10" s="7" cm="1">
        <f t="array" aca="1" ref="AH10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AH$6,$AF10+1)</f>
        <v>0</v>
      </c>
      <c r="AI10" s="7" cm="1">
        <f t="array" aca="1" ref="AI10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AI$6,$AF10+1)</f>
        <v>0</v>
      </c>
      <c r="AJ10" s="7" cm="1">
        <f t="array" aca="1" ref="AJ10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AJ$6,$AF10+1)</f>
        <v>0</v>
      </c>
      <c r="AK10" s="7" cm="1">
        <f t="array" aca="1" ref="AK10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AK$6,$AF10+1)</f>
        <v>0</v>
      </c>
      <c r="AL10" s="7" cm="1">
        <f t="array" aca="1" ref="AL10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AL$6,$AF10+1)</f>
        <v>0</v>
      </c>
      <c r="AM10" s="7">
        <f t="shared" ca="1" si="11"/>
        <v>0</v>
      </c>
    </row>
    <row r="11" spans="1:39" x14ac:dyDescent="0.85">
      <c r="A11">
        <f t="shared" si="4"/>
        <v>2027</v>
      </c>
      <c r="B11">
        <f t="shared" si="4"/>
        <v>3</v>
      </c>
      <c r="C11" s="7" cm="1">
        <f t="array" aca="1" ref="C11" ca="1">$B$4 *
INDIRECT("Include_" &amp; $A$3)*INDIRECT("Include_" &amp; C$7)*
OFFSET(INDIRECT(Region_abbr &amp; "!A1"), $B$5 + C$6,$B11+1)</f>
        <v>1.06247809585</v>
      </c>
      <c r="D11" s="7" cm="1">
        <f t="array" aca="1" ref="D11" ca="1">$B$4 *
INDIRECT("Include_" &amp; $A$3)*INDIRECT("Include_" &amp; D$7)*
OFFSET(INDIRECT(Region_abbr &amp; "!A1"), $B$5 + D$6,$B11+1)</f>
        <v>0.45486874512999997</v>
      </c>
      <c r="E11" s="7" cm="1">
        <f t="array" aca="1" ref="E11" ca="1">$B$4 *
INDIRECT("Include_" &amp; $A$3)*INDIRECT("Include_" &amp; E$7)*
OFFSET(INDIRECT(Region_abbr &amp; "!A1"), $B$5 + E$6,$B11+1)</f>
        <v>1.01074413329</v>
      </c>
      <c r="F11" s="7" cm="1">
        <f t="array" aca="1" ref="F11" ca="1">$B$4 *
INDIRECT("Include_" &amp; $A$3)*INDIRECT("Include_" &amp; F$7)*
OFFSET(INDIRECT(Region_abbr &amp; "!A1"), $B$5 + F$6,$B11+1)</f>
        <v>0.99506118395999998</v>
      </c>
      <c r="G11" s="7" cm="1">
        <f t="array" aca="1" ref="G11" ca="1">$B$4 *
INDIRECT("Include_" &amp; $A$3)*INDIRECT("Include_" &amp; G$7)*
OFFSET(INDIRECT(Region_abbr &amp; "!A1"), $B$5 + G$6,$B11+1)</f>
        <v>0.46369657135000003</v>
      </c>
      <c r="H11" s="7" cm="1">
        <f t="array" aca="1" ref="H11" ca="1">$B$4 *
INDIRECT("Include_" &amp; $A$3)*INDIRECT("Include_" &amp; H$7)*
OFFSET(INDIRECT(Region_abbr &amp; "!A1"), $B$5 + H$6,$B11+1)</f>
        <v>1.29580153E-2</v>
      </c>
      <c r="I11" s="7">
        <f t="shared" ca="1" si="5"/>
        <v>3.9998067448799999</v>
      </c>
      <c r="K11">
        <f t="shared" ref="K11:L11" si="15">K10+1</f>
        <v>2027</v>
      </c>
      <c r="L11">
        <f t="shared" si="15"/>
        <v>3</v>
      </c>
      <c r="M11" s="7" cm="1">
        <f t="array" aca="1" ref="M11" ca="1">$L$4 *
INDIRECT("Include_" &amp; $K$3)*INDIRECT("Include_" &amp; M$7)*
OFFSET(INDIRECT(Region_abbr &amp; "!A1"), $L$5 + M$6,$L11+1)</f>
        <v>0</v>
      </c>
      <c r="N11" s="7" cm="1">
        <f t="array" aca="1" ref="N11" ca="1">$L$4 *
INDIRECT("Include_" &amp; $K$3)*INDIRECT("Include_" &amp; N$7)*
OFFSET(INDIRECT(Region_abbr &amp; "!A1"), $L$5 + N$6,$L11+1)</f>
        <v>0</v>
      </c>
      <c r="O11" s="7" cm="1">
        <f t="array" aca="1" ref="O11" ca="1">$L$4 *
INDIRECT("Include_" &amp; $K$3)*INDIRECT("Include_" &amp; O$7)*
OFFSET(INDIRECT(Region_abbr &amp; "!A1"), $L$5 + O$6,$L11+1)</f>
        <v>0</v>
      </c>
      <c r="P11" s="7" cm="1">
        <f t="array" aca="1" ref="P11" ca="1">$L$4 *
INDIRECT("Include_" &amp; $K$3)*INDIRECT("Include_" &amp; P$7)*
OFFSET(INDIRECT(Region_abbr &amp; "!A1"), $L$5 + P$6,$L11+1)</f>
        <v>0</v>
      </c>
      <c r="Q11" s="7" cm="1">
        <f t="array" aca="1" ref="Q11" ca="1">$L$4 *
INDIRECT("Include_" &amp; $K$3)*INDIRECT("Include_" &amp; Q$7)*
OFFSET(INDIRECT(Region_abbr &amp; "!A1"), $L$5 + Q$6,$L11+1)</f>
        <v>0</v>
      </c>
      <c r="R11" s="7" cm="1">
        <f t="array" aca="1" ref="R11" ca="1">$L$4 *
INDIRECT("Include_" &amp; $K$3)*INDIRECT("Include_" &amp; R$7)*
OFFSET(INDIRECT(Region_abbr &amp; "!A1"), $L$5 + R$6,$L11+1)</f>
        <v>0</v>
      </c>
      <c r="S11" s="7">
        <f t="shared" ca="1" si="7"/>
        <v>0</v>
      </c>
      <c r="U11">
        <f t="shared" ref="U11:V11" si="16">U10+1</f>
        <v>2027</v>
      </c>
      <c r="V11">
        <f t="shared" si="16"/>
        <v>3</v>
      </c>
      <c r="W11" s="7" cm="1">
        <f t="array" aca="1" ref="W11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W$6,$V11+1)</f>
        <v>0</v>
      </c>
      <c r="X11" s="7" cm="1">
        <f t="array" aca="1" ref="X11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X$6,$V11+1)</f>
        <v>0</v>
      </c>
      <c r="Y11" s="7" cm="1">
        <f t="array" aca="1" ref="Y11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Y$6,$V11+1)</f>
        <v>0</v>
      </c>
      <c r="Z11" s="7" cm="1">
        <f t="array" aca="1" ref="Z11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Z$6,$V11+1)</f>
        <v>0</v>
      </c>
      <c r="AA11" s="7" cm="1">
        <f t="array" aca="1" ref="AA11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AA$6,$V11+1)</f>
        <v>0</v>
      </c>
      <c r="AB11" s="7" cm="1">
        <f t="array" aca="1" ref="AB11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AB$6,$V11+1)</f>
        <v>0</v>
      </c>
      <c r="AC11" s="7">
        <f t="shared" ca="1" si="9"/>
        <v>0</v>
      </c>
      <c r="AE11">
        <f t="shared" ref="AE11:AF11" si="17">AE10+1</f>
        <v>2027</v>
      </c>
      <c r="AF11">
        <f t="shared" si="17"/>
        <v>3</v>
      </c>
      <c r="AG11" s="7" cm="1">
        <f t="array" aca="1" ref="AG11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AG$6,$AF11+1)</f>
        <v>0</v>
      </c>
      <c r="AH11" s="7" cm="1">
        <f t="array" aca="1" ref="AH11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AH$6,$AF11+1)</f>
        <v>0</v>
      </c>
      <c r="AI11" s="7" cm="1">
        <f t="array" aca="1" ref="AI11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AI$6,$AF11+1)</f>
        <v>0</v>
      </c>
      <c r="AJ11" s="7" cm="1">
        <f t="array" aca="1" ref="AJ11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AJ$6,$AF11+1)</f>
        <v>0</v>
      </c>
      <c r="AK11" s="7" cm="1">
        <f t="array" aca="1" ref="AK11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AK$6,$AF11+1)</f>
        <v>0</v>
      </c>
      <c r="AL11" s="7" cm="1">
        <f t="array" aca="1" ref="AL11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AL$6,$AF11+1)</f>
        <v>0</v>
      </c>
      <c r="AM11" s="7">
        <f t="shared" ca="1" si="11"/>
        <v>0</v>
      </c>
    </row>
    <row r="12" spans="1:39" x14ac:dyDescent="0.85">
      <c r="A12">
        <f t="shared" si="4"/>
        <v>2028</v>
      </c>
      <c r="B12">
        <f t="shared" si="4"/>
        <v>4</v>
      </c>
      <c r="C12" s="7" cm="1">
        <f t="array" aca="1" ref="C12" ca="1">$B$4 *
INDIRECT("Include_" &amp; $A$3)*INDIRECT("Include_" &amp; C$7)*
OFFSET(INDIRECT(Region_abbr &amp; "!A1"), $B$5 + C$6,$B12+1)</f>
        <v>1.1406742705199999</v>
      </c>
      <c r="D12" s="7" cm="1">
        <f t="array" aca="1" ref="D12" ca="1">$B$4 *
INDIRECT("Include_" &amp; $A$3)*INDIRECT("Include_" &amp; D$7)*
OFFSET(INDIRECT(Region_abbr &amp; "!A1"), $B$5 + D$6,$B12+1)</f>
        <v>0.50549049384</v>
      </c>
      <c r="E12" s="7" cm="1">
        <f t="array" aca="1" ref="E12" ca="1">$B$4 *
INDIRECT("Include_" &amp; $A$3)*INDIRECT("Include_" &amp; E$7)*
OFFSET(INDIRECT(Region_abbr &amp; "!A1"), $B$5 + E$6,$B12+1)</f>
        <v>1.24714947117</v>
      </c>
      <c r="F12" s="7" cm="1">
        <f t="array" aca="1" ref="F12" ca="1">$B$4 *
INDIRECT("Include_" &amp; $A$3)*INDIRECT("Include_" &amp; F$7)*
OFFSET(INDIRECT(Region_abbr &amp; "!A1"), $B$5 + F$6,$B12+1)</f>
        <v>1.00152122735</v>
      </c>
      <c r="G12" s="7" cm="1">
        <f t="array" aca="1" ref="G12" ca="1">$B$4 *
INDIRECT("Include_" &amp; $A$3)*INDIRECT("Include_" &amp; G$7)*
OFFSET(INDIRECT(Region_abbr &amp; "!A1"), $B$5 + G$6,$B12+1)</f>
        <v>0.52942947790999995</v>
      </c>
      <c r="H12" s="7" cm="1">
        <f t="array" aca="1" ref="H12" ca="1">$B$4 *
INDIRECT("Include_" &amp; $A$3)*INDIRECT("Include_" &amp; H$7)*
OFFSET(INDIRECT(Region_abbr &amp; "!A1"), $B$5 + H$6,$B12+1)</f>
        <v>1.789334028E-2</v>
      </c>
      <c r="I12" s="7">
        <f t="shared" ca="1" si="5"/>
        <v>4.4421582810699993</v>
      </c>
      <c r="K12">
        <f t="shared" ref="K12:L12" si="18">K11+1</f>
        <v>2028</v>
      </c>
      <c r="L12">
        <f t="shared" si="18"/>
        <v>4</v>
      </c>
      <c r="M12" s="7" cm="1">
        <f t="array" aca="1" ref="M12" ca="1">$L$4 *
INDIRECT("Include_" &amp; $K$3)*INDIRECT("Include_" &amp; M$7)*
OFFSET(INDIRECT(Region_abbr &amp; "!A1"), $L$5 + M$6,$L12+1)</f>
        <v>0</v>
      </c>
      <c r="N12" s="7" cm="1">
        <f t="array" aca="1" ref="N12" ca="1">$L$4 *
INDIRECT("Include_" &amp; $K$3)*INDIRECT("Include_" &amp; N$7)*
OFFSET(INDIRECT(Region_abbr &amp; "!A1"), $L$5 + N$6,$L12+1)</f>
        <v>0</v>
      </c>
      <c r="O12" s="7" cm="1">
        <f t="array" aca="1" ref="O12" ca="1">$L$4 *
INDIRECT("Include_" &amp; $K$3)*INDIRECT("Include_" &amp; O$7)*
OFFSET(INDIRECT(Region_abbr &amp; "!A1"), $L$5 + O$6,$L12+1)</f>
        <v>0</v>
      </c>
      <c r="P12" s="7" cm="1">
        <f t="array" aca="1" ref="P12" ca="1">$L$4 *
INDIRECT("Include_" &amp; $K$3)*INDIRECT("Include_" &amp; P$7)*
OFFSET(INDIRECT(Region_abbr &amp; "!A1"), $L$5 + P$6,$L12+1)</f>
        <v>0</v>
      </c>
      <c r="Q12" s="7" cm="1">
        <f t="array" aca="1" ref="Q12" ca="1">$L$4 *
INDIRECT("Include_" &amp; $K$3)*INDIRECT("Include_" &amp; Q$7)*
OFFSET(INDIRECT(Region_abbr &amp; "!A1"), $L$5 + Q$6,$L12+1)</f>
        <v>0</v>
      </c>
      <c r="R12" s="7" cm="1">
        <f t="array" aca="1" ref="R12" ca="1">$L$4 *
INDIRECT("Include_" &amp; $K$3)*INDIRECT("Include_" &amp; R$7)*
OFFSET(INDIRECT(Region_abbr &amp; "!A1"), $L$5 + R$6,$L12+1)</f>
        <v>0</v>
      </c>
      <c r="S12" s="7">
        <f t="shared" ca="1" si="7"/>
        <v>0</v>
      </c>
      <c r="U12">
        <f t="shared" ref="U12:V12" si="19">U11+1</f>
        <v>2028</v>
      </c>
      <c r="V12">
        <f t="shared" si="19"/>
        <v>4</v>
      </c>
      <c r="W12" s="7" cm="1">
        <f t="array" aca="1" ref="W12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W$6,$V12+1)</f>
        <v>0</v>
      </c>
      <c r="X12" s="7" cm="1">
        <f t="array" aca="1" ref="X12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X$6,$V12+1)</f>
        <v>0</v>
      </c>
      <c r="Y12" s="7" cm="1">
        <f t="array" aca="1" ref="Y12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Y$6,$V12+1)</f>
        <v>0</v>
      </c>
      <c r="Z12" s="7" cm="1">
        <f t="array" aca="1" ref="Z12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Z$6,$V12+1)</f>
        <v>0</v>
      </c>
      <c r="AA12" s="7" cm="1">
        <f t="array" aca="1" ref="AA12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AA$6,$V12+1)</f>
        <v>0</v>
      </c>
      <c r="AB12" s="7" cm="1">
        <f t="array" aca="1" ref="AB12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AB$6,$V12+1)</f>
        <v>0</v>
      </c>
      <c r="AC12" s="7">
        <f t="shared" ca="1" si="9"/>
        <v>0</v>
      </c>
      <c r="AE12">
        <f t="shared" ref="AE12:AF12" si="20">AE11+1</f>
        <v>2028</v>
      </c>
      <c r="AF12">
        <f t="shared" si="20"/>
        <v>4</v>
      </c>
      <c r="AG12" s="7" cm="1">
        <f t="array" aca="1" ref="AG12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AG$6,$AF12+1)</f>
        <v>0</v>
      </c>
      <c r="AH12" s="7" cm="1">
        <f t="array" aca="1" ref="AH12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AH$6,$AF12+1)</f>
        <v>0</v>
      </c>
      <c r="AI12" s="7" cm="1">
        <f t="array" aca="1" ref="AI12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AI$6,$AF12+1)</f>
        <v>0</v>
      </c>
      <c r="AJ12" s="7" cm="1">
        <f t="array" aca="1" ref="AJ12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AJ$6,$AF12+1)</f>
        <v>0</v>
      </c>
      <c r="AK12" s="7" cm="1">
        <f t="array" aca="1" ref="AK12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AK$6,$AF12+1)</f>
        <v>0</v>
      </c>
      <c r="AL12" s="7" cm="1">
        <f t="array" aca="1" ref="AL12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AL$6,$AF12+1)</f>
        <v>0</v>
      </c>
      <c r="AM12" s="7">
        <f t="shared" ca="1" si="11"/>
        <v>0</v>
      </c>
    </row>
    <row r="13" spans="1:39" x14ac:dyDescent="0.85">
      <c r="A13">
        <f t="shared" si="4"/>
        <v>2029</v>
      </c>
      <c r="B13">
        <f t="shared" si="4"/>
        <v>5</v>
      </c>
      <c r="C13" s="7" cm="1">
        <f t="array" aca="1" ref="C13" ca="1">$B$4 *
INDIRECT("Include_" &amp; $A$3)*INDIRECT("Include_" &amp; C$7)*
OFFSET(INDIRECT(Region_abbr &amp; "!A1"), $B$5 + C$6,$B13+1)</f>
        <v>1.2239937171199999</v>
      </c>
      <c r="D13" s="7" cm="1">
        <f t="array" aca="1" ref="D13" ca="1">$B$4 *
INDIRECT("Include_" &amp; $A$3)*INDIRECT("Include_" &amp; D$7)*
OFFSET(INDIRECT(Region_abbr &amp; "!A1"), $B$5 + D$6,$B13+1)</f>
        <v>0.55940155045999995</v>
      </c>
      <c r="E13" s="7" cm="1">
        <f t="array" aca="1" ref="E13" ca="1">$B$4 *
INDIRECT("Include_" &amp; $A$3)*INDIRECT("Include_" &amp; E$7)*
OFFSET(INDIRECT(Region_abbr &amp; "!A1"), $B$5 + E$6,$B13+1)</f>
        <v>1.49887253463</v>
      </c>
      <c r="F13" s="7" cm="1">
        <f t="array" aca="1" ref="F13" ca="1">$B$4 *
INDIRECT("Include_" &amp; $A$3)*INDIRECT("Include_" &amp; F$7)*
OFFSET(INDIRECT(Region_abbr &amp; "!A1"), $B$5 + F$6,$B13+1)</f>
        <v>1.0074013851200001</v>
      </c>
      <c r="G13" s="7" cm="1">
        <f t="array" aca="1" ref="G13" ca="1">$B$4 *
INDIRECT("Include_" &amp; $A$3)*INDIRECT("Include_" &amp; G$7)*
OFFSET(INDIRECT(Region_abbr &amp; "!A1"), $B$5 + G$6,$B13+1)</f>
        <v>0.59942444230000003</v>
      </c>
      <c r="H13" s="7" cm="1">
        <f t="array" aca="1" ref="H13" ca="1">$B$4 *
INDIRECT("Include_" &amp; $A$3)*INDIRECT("Include_" &amp; H$7)*
OFFSET(INDIRECT(Region_abbr &amp; "!A1"), $B$5 + H$6,$B13+1)</f>
        <v>2.31677723E-2</v>
      </c>
      <c r="I13" s="7">
        <f t="shared" ca="1" si="5"/>
        <v>4.9122614019300004</v>
      </c>
      <c r="K13">
        <f t="shared" ref="K13:L13" si="21">K12+1</f>
        <v>2029</v>
      </c>
      <c r="L13">
        <f t="shared" si="21"/>
        <v>5</v>
      </c>
      <c r="M13" s="7" cm="1">
        <f t="array" aca="1" ref="M13" ca="1">$L$4 *
INDIRECT("Include_" &amp; $K$3)*INDIRECT("Include_" &amp; M$7)*
OFFSET(INDIRECT(Region_abbr &amp; "!A1"), $L$5 + M$6,$L13+1)</f>
        <v>0</v>
      </c>
      <c r="N13" s="7" cm="1">
        <f t="array" aca="1" ref="N13" ca="1">$L$4 *
INDIRECT("Include_" &amp; $K$3)*INDIRECT("Include_" &amp; N$7)*
OFFSET(INDIRECT(Region_abbr &amp; "!A1"), $L$5 + N$6,$L13+1)</f>
        <v>0</v>
      </c>
      <c r="O13" s="7" cm="1">
        <f t="array" aca="1" ref="O13" ca="1">$L$4 *
INDIRECT("Include_" &amp; $K$3)*INDIRECT("Include_" &amp; O$7)*
OFFSET(INDIRECT(Region_abbr &amp; "!A1"), $L$5 + O$6,$L13+1)</f>
        <v>0</v>
      </c>
      <c r="P13" s="7" cm="1">
        <f t="array" aca="1" ref="P13" ca="1">$L$4 *
INDIRECT("Include_" &amp; $K$3)*INDIRECT("Include_" &amp; P$7)*
OFFSET(INDIRECT(Region_abbr &amp; "!A1"), $L$5 + P$6,$L13+1)</f>
        <v>0</v>
      </c>
      <c r="Q13" s="7" cm="1">
        <f t="array" aca="1" ref="Q13" ca="1">$L$4 *
INDIRECT("Include_" &amp; $K$3)*INDIRECT("Include_" &amp; Q$7)*
OFFSET(INDIRECT(Region_abbr &amp; "!A1"), $L$5 + Q$6,$L13+1)</f>
        <v>0</v>
      </c>
      <c r="R13" s="7" cm="1">
        <f t="array" aca="1" ref="R13" ca="1">$L$4 *
INDIRECT("Include_" &amp; $K$3)*INDIRECT("Include_" &amp; R$7)*
OFFSET(INDIRECT(Region_abbr &amp; "!A1"), $L$5 + R$6,$L13+1)</f>
        <v>0</v>
      </c>
      <c r="S13" s="7">
        <f t="shared" ca="1" si="7"/>
        <v>0</v>
      </c>
      <c r="U13">
        <f t="shared" ref="U13:V13" si="22">U12+1</f>
        <v>2029</v>
      </c>
      <c r="V13">
        <f t="shared" si="22"/>
        <v>5</v>
      </c>
      <c r="W13" s="7" cm="1">
        <f t="array" aca="1" ref="W13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W$6,$V13+1)</f>
        <v>0</v>
      </c>
      <c r="X13" s="7" cm="1">
        <f t="array" aca="1" ref="X13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X$6,$V13+1)</f>
        <v>0</v>
      </c>
      <c r="Y13" s="7" cm="1">
        <f t="array" aca="1" ref="Y13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Y$6,$V13+1)</f>
        <v>0</v>
      </c>
      <c r="Z13" s="7" cm="1">
        <f t="array" aca="1" ref="Z13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Z$6,$V13+1)</f>
        <v>0</v>
      </c>
      <c r="AA13" s="7" cm="1">
        <f t="array" aca="1" ref="AA13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AA$6,$V13+1)</f>
        <v>0</v>
      </c>
      <c r="AB13" s="7" cm="1">
        <f t="array" aca="1" ref="AB13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AB$6,$V13+1)</f>
        <v>0</v>
      </c>
      <c r="AC13" s="7">
        <f t="shared" ca="1" si="9"/>
        <v>0</v>
      </c>
      <c r="AE13">
        <f t="shared" ref="AE13:AF13" si="23">AE12+1</f>
        <v>2029</v>
      </c>
      <c r="AF13">
        <f t="shared" si="23"/>
        <v>5</v>
      </c>
      <c r="AG13" s="7" cm="1">
        <f t="array" aca="1" ref="AG13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AG$6,$AF13+1)</f>
        <v>0</v>
      </c>
      <c r="AH13" s="7" cm="1">
        <f t="array" aca="1" ref="AH13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AH$6,$AF13+1)</f>
        <v>0</v>
      </c>
      <c r="AI13" s="7" cm="1">
        <f t="array" aca="1" ref="AI13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AI$6,$AF13+1)</f>
        <v>0</v>
      </c>
      <c r="AJ13" s="7" cm="1">
        <f t="array" aca="1" ref="AJ13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AJ$6,$AF13+1)</f>
        <v>0</v>
      </c>
      <c r="AK13" s="7" cm="1">
        <f t="array" aca="1" ref="AK13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AK$6,$AF13+1)</f>
        <v>0</v>
      </c>
      <c r="AL13" s="7" cm="1">
        <f t="array" aca="1" ref="AL13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AL$6,$AF13+1)</f>
        <v>0</v>
      </c>
      <c r="AM13" s="7">
        <f t="shared" ca="1" si="11"/>
        <v>0</v>
      </c>
    </row>
    <row r="14" spans="1:39" x14ac:dyDescent="0.85">
      <c r="A14">
        <f t="shared" si="4"/>
        <v>2030</v>
      </c>
      <c r="B14">
        <f t="shared" si="4"/>
        <v>6</v>
      </c>
      <c r="C14" s="7" cm="1">
        <f t="array" aca="1" ref="C14" ca="1">$B$4 *
INDIRECT("Include_" &amp; $A$3)*INDIRECT("Include_" &amp; C$7)*
OFFSET(INDIRECT(Region_abbr &amp; "!A1"), $B$5 + C$6,$B14+1)</f>
        <v>1.31273603026</v>
      </c>
      <c r="D14" s="7" cm="1">
        <f t="array" aca="1" ref="D14" ca="1">$B$4 *
INDIRECT("Include_" &amp; $A$3)*INDIRECT("Include_" &amp; D$7)*
OFFSET(INDIRECT(Region_abbr &amp; "!A1"), $B$5 + D$6,$B14+1)</f>
        <v>0.61679537802000006</v>
      </c>
      <c r="E14" s="7" cm="1">
        <f t="array" aca="1" ref="E14" ca="1">$B$4 *
INDIRECT("Include_" &amp; $A$3)*INDIRECT("Include_" &amp; E$7)*
OFFSET(INDIRECT(Region_abbr &amp; "!A1"), $B$5 + E$6,$B14+1)</f>
        <v>1.7668122125800001</v>
      </c>
      <c r="F14" s="7" cm="1">
        <f t="array" aca="1" ref="F14" ca="1">$B$4 *
INDIRECT("Include_" &amp; $A$3)*INDIRECT("Include_" &amp; F$7)*
OFFSET(INDIRECT(Region_abbr &amp; "!A1"), $B$5 + F$6,$B14+1)</f>
        <v>1.01265029463</v>
      </c>
      <c r="G14" s="7" cm="1">
        <f t="array" aca="1" ref="G14" ca="1">$B$4 *
INDIRECT("Include_" &amp; $A$3)*INDIRECT("Include_" &amp; G$7)*
OFFSET(INDIRECT(Region_abbr &amp; "!A1"), $B$5 + G$6,$B14+1)</f>
        <v>0.67393199698000006</v>
      </c>
      <c r="H14" s="7" cm="1">
        <f t="array" aca="1" ref="H14" ca="1">$B$4 *
INDIRECT("Include_" &amp; $A$3)*INDIRECT("Include_" &amp; H$7)*
OFFSET(INDIRECT(Region_abbr &amp; "!A1"), $B$5 + H$6,$B14+1)</f>
        <v>2.880157555E-2</v>
      </c>
      <c r="I14" s="7">
        <f t="shared" ca="1" si="5"/>
        <v>5.4117274880200004</v>
      </c>
      <c r="K14">
        <f t="shared" ref="K14:L14" si="24">K13+1</f>
        <v>2030</v>
      </c>
      <c r="L14">
        <f t="shared" si="24"/>
        <v>6</v>
      </c>
      <c r="M14" s="7" cm="1">
        <f t="array" aca="1" ref="M14" ca="1">$L$4 *
INDIRECT("Include_" &amp; $K$3)*INDIRECT("Include_" &amp; M$7)*
OFFSET(INDIRECT(Region_abbr &amp; "!A1"), $L$5 + M$6,$L14+1)</f>
        <v>0</v>
      </c>
      <c r="N14" s="7" cm="1">
        <f t="array" aca="1" ref="N14" ca="1">$L$4 *
INDIRECT("Include_" &amp; $K$3)*INDIRECT("Include_" &amp; N$7)*
OFFSET(INDIRECT(Region_abbr &amp; "!A1"), $L$5 + N$6,$L14+1)</f>
        <v>0</v>
      </c>
      <c r="O14" s="7" cm="1">
        <f t="array" aca="1" ref="O14" ca="1">$L$4 *
INDIRECT("Include_" &amp; $K$3)*INDIRECT("Include_" &amp; O$7)*
OFFSET(INDIRECT(Region_abbr &amp; "!A1"), $L$5 + O$6,$L14+1)</f>
        <v>0</v>
      </c>
      <c r="P14" s="7" cm="1">
        <f t="array" aca="1" ref="P14" ca="1">$L$4 *
INDIRECT("Include_" &amp; $K$3)*INDIRECT("Include_" &amp; P$7)*
OFFSET(INDIRECT(Region_abbr &amp; "!A1"), $L$5 + P$6,$L14+1)</f>
        <v>0</v>
      </c>
      <c r="Q14" s="7" cm="1">
        <f t="array" aca="1" ref="Q14" ca="1">$L$4 *
INDIRECT("Include_" &amp; $K$3)*INDIRECT("Include_" &amp; Q$7)*
OFFSET(INDIRECT(Region_abbr &amp; "!A1"), $L$5 + Q$6,$L14+1)</f>
        <v>0</v>
      </c>
      <c r="R14" s="7" cm="1">
        <f t="array" aca="1" ref="R14" ca="1">$L$4 *
INDIRECT("Include_" &amp; $K$3)*INDIRECT("Include_" &amp; R$7)*
OFFSET(INDIRECT(Region_abbr &amp; "!A1"), $L$5 + R$6,$L14+1)</f>
        <v>0</v>
      </c>
      <c r="S14" s="7">
        <f t="shared" ca="1" si="7"/>
        <v>0</v>
      </c>
      <c r="U14">
        <f t="shared" ref="U14:V14" si="25">U13+1</f>
        <v>2030</v>
      </c>
      <c r="V14">
        <f t="shared" si="25"/>
        <v>6</v>
      </c>
      <c r="W14" s="7" cm="1">
        <f t="array" aca="1" ref="W14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W$6,$V14+1)</f>
        <v>0</v>
      </c>
      <c r="X14" s="7" cm="1">
        <f t="array" aca="1" ref="X14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X$6,$V14+1)</f>
        <v>0</v>
      </c>
      <c r="Y14" s="7" cm="1">
        <f t="array" aca="1" ref="Y14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Y$6,$V14+1)</f>
        <v>0</v>
      </c>
      <c r="Z14" s="7" cm="1">
        <f t="array" aca="1" ref="Z14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Z$6,$V14+1)</f>
        <v>0</v>
      </c>
      <c r="AA14" s="7" cm="1">
        <f t="array" aca="1" ref="AA14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AA$6,$V14+1)</f>
        <v>0</v>
      </c>
      <c r="AB14" s="7" cm="1">
        <f t="array" aca="1" ref="AB14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AB$6,$V14+1)</f>
        <v>0</v>
      </c>
      <c r="AC14" s="7">
        <f t="shared" ca="1" si="9"/>
        <v>0</v>
      </c>
      <c r="AE14">
        <f t="shared" ref="AE14:AF14" si="26">AE13+1</f>
        <v>2030</v>
      </c>
      <c r="AF14">
        <f t="shared" si="26"/>
        <v>6</v>
      </c>
      <c r="AG14" s="7" cm="1">
        <f t="array" aca="1" ref="AG14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AG$6,$AF14+1)</f>
        <v>0</v>
      </c>
      <c r="AH14" s="7" cm="1">
        <f t="array" aca="1" ref="AH14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AH$6,$AF14+1)</f>
        <v>0</v>
      </c>
      <c r="AI14" s="7" cm="1">
        <f t="array" aca="1" ref="AI14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AI$6,$AF14+1)</f>
        <v>0</v>
      </c>
      <c r="AJ14" s="7" cm="1">
        <f t="array" aca="1" ref="AJ14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AJ$6,$AF14+1)</f>
        <v>0</v>
      </c>
      <c r="AK14" s="7" cm="1">
        <f t="array" aca="1" ref="AK14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AK$6,$AF14+1)</f>
        <v>0</v>
      </c>
      <c r="AL14" s="7" cm="1">
        <f t="array" aca="1" ref="AL14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AL$6,$AF14+1)</f>
        <v>0</v>
      </c>
      <c r="AM14" s="7">
        <f t="shared" ca="1" si="11"/>
        <v>0</v>
      </c>
    </row>
    <row r="15" spans="1:39" x14ac:dyDescent="0.85">
      <c r="A15">
        <f t="shared" si="4"/>
        <v>2031</v>
      </c>
      <c r="B15">
        <f t="shared" si="4"/>
        <v>7</v>
      </c>
      <c r="C15" s="7" cm="1">
        <f t="array" aca="1" ref="C15" ca="1">$B$4 *
INDIRECT("Include_" &amp; $A$3)*INDIRECT("Include_" &amp; C$7)*
OFFSET(INDIRECT(Region_abbr &amp; "!A1"), $B$5 + C$6,$B15+1)</f>
        <v>1.40721779251</v>
      </c>
      <c r="D15" s="7" cm="1">
        <f t="array" aca="1" ref="D15" ca="1">$B$4 *
INDIRECT("Include_" &amp; $A$3)*INDIRECT("Include_" &amp; D$7)*
OFFSET(INDIRECT(Region_abbr &amp; "!A1"), $B$5 + D$6,$B15+1)</f>
        <v>0.67787634087000004</v>
      </c>
      <c r="E15" s="7" cm="1">
        <f t="array" aca="1" ref="E15" ca="1">$B$4 *
INDIRECT("Include_" &amp; $A$3)*INDIRECT("Include_" &amp; E$7)*
OFFSET(INDIRECT(Region_abbr &amp; "!A1"), $B$5 + E$6,$B15+1)</f>
        <v>2.05191806292</v>
      </c>
      <c r="F15" s="7" cm="1">
        <f t="array" aca="1" ref="F15" ca="1">$B$4 *
INDIRECT("Include_" &amp; $A$3)*INDIRECT("Include_" &amp; F$7)*
OFFSET(INDIRECT(Region_abbr &amp; "!A1"), $B$5 + F$6,$B15+1)</f>
        <v>1.0172133805400001</v>
      </c>
      <c r="G15" s="7" cm="1">
        <f t="array" aca="1" ref="G15" ca="1">$B$4 *
INDIRECT("Include_" &amp; $A$3)*INDIRECT("Include_" &amp; G$7)*
OFFSET(INDIRECT(Region_abbr &amp; "!A1"), $B$5 + G$6,$B15+1)</f>
        <v>0.75321678583000007</v>
      </c>
      <c r="H15" s="7" cm="1">
        <f t="array" aca="1" ref="H15" ca="1">$B$4 *
INDIRECT("Include_" &amp; $A$3)*INDIRECT("Include_" &amp; H$7)*
OFFSET(INDIRECT(Region_abbr &amp; "!A1"), $B$5 + H$6,$B15+1)</f>
        <v>3.4816159280000002E-2</v>
      </c>
      <c r="I15" s="7">
        <f t="shared" ca="1" si="5"/>
        <v>5.9422585219500013</v>
      </c>
      <c r="K15">
        <f t="shared" ref="K15:L15" si="27">K14+1</f>
        <v>2031</v>
      </c>
      <c r="L15">
        <f t="shared" si="27"/>
        <v>7</v>
      </c>
      <c r="M15" s="7" cm="1">
        <f t="array" aca="1" ref="M15" ca="1">$L$4 *
INDIRECT("Include_" &amp; $K$3)*INDIRECT("Include_" &amp; M$7)*
OFFSET(INDIRECT(Region_abbr &amp; "!A1"), $L$5 + M$6,$L15+1)</f>
        <v>0</v>
      </c>
      <c r="N15" s="7" cm="1">
        <f t="array" aca="1" ref="N15" ca="1">$L$4 *
INDIRECT("Include_" &amp; $K$3)*INDIRECT("Include_" &amp; N$7)*
OFFSET(INDIRECT(Region_abbr &amp; "!A1"), $L$5 + N$6,$L15+1)</f>
        <v>0</v>
      </c>
      <c r="O15" s="7" cm="1">
        <f t="array" aca="1" ref="O15" ca="1">$L$4 *
INDIRECT("Include_" &amp; $K$3)*INDIRECT("Include_" &amp; O$7)*
OFFSET(INDIRECT(Region_abbr &amp; "!A1"), $L$5 + O$6,$L15+1)</f>
        <v>0</v>
      </c>
      <c r="P15" s="7" cm="1">
        <f t="array" aca="1" ref="P15" ca="1">$L$4 *
INDIRECT("Include_" &amp; $K$3)*INDIRECT("Include_" &amp; P$7)*
OFFSET(INDIRECT(Region_abbr &amp; "!A1"), $L$5 + P$6,$L15+1)</f>
        <v>0</v>
      </c>
      <c r="Q15" s="7" cm="1">
        <f t="array" aca="1" ref="Q15" ca="1">$L$4 *
INDIRECT("Include_" &amp; $K$3)*INDIRECT("Include_" &amp; Q$7)*
OFFSET(INDIRECT(Region_abbr &amp; "!A1"), $L$5 + Q$6,$L15+1)</f>
        <v>0</v>
      </c>
      <c r="R15" s="7" cm="1">
        <f t="array" aca="1" ref="R15" ca="1">$L$4 *
INDIRECT("Include_" &amp; $K$3)*INDIRECT("Include_" &amp; R$7)*
OFFSET(INDIRECT(Region_abbr &amp; "!A1"), $L$5 + R$6,$L15+1)</f>
        <v>0</v>
      </c>
      <c r="S15" s="7">
        <f t="shared" ca="1" si="7"/>
        <v>0</v>
      </c>
      <c r="U15">
        <f t="shared" ref="U15:V15" si="28">U14+1</f>
        <v>2031</v>
      </c>
      <c r="V15">
        <f t="shared" si="28"/>
        <v>7</v>
      </c>
      <c r="W15" s="7" cm="1">
        <f t="array" aca="1" ref="W15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W$6,$V15+1)</f>
        <v>0</v>
      </c>
      <c r="X15" s="7" cm="1">
        <f t="array" aca="1" ref="X15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X$6,$V15+1)</f>
        <v>0</v>
      </c>
      <c r="Y15" s="7" cm="1">
        <f t="array" aca="1" ref="Y15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Y$6,$V15+1)</f>
        <v>0</v>
      </c>
      <c r="Z15" s="7" cm="1">
        <f t="array" aca="1" ref="Z15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Z$6,$V15+1)</f>
        <v>0</v>
      </c>
      <c r="AA15" s="7" cm="1">
        <f t="array" aca="1" ref="AA15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AA$6,$V15+1)</f>
        <v>0</v>
      </c>
      <c r="AB15" s="7" cm="1">
        <f t="array" aca="1" ref="AB15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AB$6,$V15+1)</f>
        <v>0</v>
      </c>
      <c r="AC15" s="7">
        <f t="shared" ca="1" si="9"/>
        <v>0</v>
      </c>
      <c r="AE15">
        <f t="shared" ref="AE15:AF15" si="29">AE14+1</f>
        <v>2031</v>
      </c>
      <c r="AF15">
        <f t="shared" si="29"/>
        <v>7</v>
      </c>
      <c r="AG15" s="7" cm="1">
        <f t="array" aca="1" ref="AG15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AG$6,$AF15+1)</f>
        <v>0</v>
      </c>
      <c r="AH15" s="7" cm="1">
        <f t="array" aca="1" ref="AH15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AH$6,$AF15+1)</f>
        <v>0</v>
      </c>
      <c r="AI15" s="7" cm="1">
        <f t="array" aca="1" ref="AI15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AI$6,$AF15+1)</f>
        <v>0</v>
      </c>
      <c r="AJ15" s="7" cm="1">
        <f t="array" aca="1" ref="AJ15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AJ$6,$AF15+1)</f>
        <v>0</v>
      </c>
      <c r="AK15" s="7" cm="1">
        <f t="array" aca="1" ref="AK15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AK$6,$AF15+1)</f>
        <v>0</v>
      </c>
      <c r="AL15" s="7" cm="1">
        <f t="array" aca="1" ref="AL15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AL$6,$AF15+1)</f>
        <v>0</v>
      </c>
      <c r="AM15" s="7">
        <f t="shared" ca="1" si="11"/>
        <v>0</v>
      </c>
    </row>
    <row r="16" spans="1:39" x14ac:dyDescent="0.85">
      <c r="A16">
        <f t="shared" si="4"/>
        <v>2032</v>
      </c>
      <c r="B16">
        <f t="shared" si="4"/>
        <v>8</v>
      </c>
      <c r="C16" s="7" cm="1">
        <f t="array" aca="1" ref="C16" ca="1">$B$4 *
INDIRECT("Include_" &amp; $A$3)*INDIRECT("Include_" &amp; C$7)*
OFFSET(INDIRECT(Region_abbr &amp; "!A1"), $B$5 + C$6,$B16+1)</f>
        <v>1.5077735218000001</v>
      </c>
      <c r="D16" s="7" cm="1">
        <f t="array" aca="1" ref="D16" ca="1">$B$4 *
INDIRECT("Include_" &amp; $A$3)*INDIRECT("Include_" &amp; D$7)*
OFFSET(INDIRECT(Region_abbr &amp; "!A1"), $B$5 + D$6,$B16+1)</f>
        <v>0.74286031793999996</v>
      </c>
      <c r="E16" s="7" cm="1">
        <f t="array" aca="1" ref="E16" ca="1">$B$4 *
INDIRECT("Include_" &amp; $A$3)*INDIRECT("Include_" &amp; E$7)*
OFFSET(INDIRECT(Region_abbr &amp; "!A1"), $B$5 + E$6,$B16+1)</f>
        <v>2.3551931604299998</v>
      </c>
      <c r="F16" s="7" cm="1">
        <f t="array" aca="1" ref="F16" ca="1">$B$4 *
INDIRECT("Include_" &amp; $A$3)*INDIRECT("Include_" &amp; F$7)*
OFFSET(INDIRECT(Region_abbr &amp; "!A1"), $B$5 + F$6,$B16+1)</f>
        <v>1.0210632262499999</v>
      </c>
      <c r="G16" s="7" cm="1">
        <f t="array" aca="1" ref="G16" ca="1">$B$4 *
INDIRECT("Include_" &amp; $A$3)*INDIRECT("Include_" &amp; G$7)*
OFFSET(INDIRECT(Region_abbr &amp; "!A1"), $B$5 + G$6,$B16+1)</f>
        <v>0.83755835833000003</v>
      </c>
      <c r="H16" s="7" cm="1">
        <f t="array" aca="1" ref="H16" ca="1">$B$4 *
INDIRECT("Include_" &amp; $A$3)*INDIRECT("Include_" &amp; H$7)*
OFFSET(INDIRECT(Region_abbr &amp; "!A1"), $B$5 + H$6,$B16+1)</f>
        <v>4.1216198259999996E-2</v>
      </c>
      <c r="I16" s="7">
        <f t="shared" ca="1" si="5"/>
        <v>6.5056647830099994</v>
      </c>
      <c r="K16">
        <f t="shared" ref="K16:L16" si="30">K15+1</f>
        <v>2032</v>
      </c>
      <c r="L16">
        <f t="shared" si="30"/>
        <v>8</v>
      </c>
      <c r="M16" s="7" cm="1">
        <f t="array" aca="1" ref="M16" ca="1">$L$4 *
INDIRECT("Include_" &amp; $K$3)*INDIRECT("Include_" &amp; M$7)*
OFFSET(INDIRECT(Region_abbr &amp; "!A1"), $L$5 + M$6,$L16+1)</f>
        <v>0</v>
      </c>
      <c r="N16" s="7" cm="1">
        <f t="array" aca="1" ref="N16" ca="1">$L$4 *
INDIRECT("Include_" &amp; $K$3)*INDIRECT("Include_" &amp; N$7)*
OFFSET(INDIRECT(Region_abbr &amp; "!A1"), $L$5 + N$6,$L16+1)</f>
        <v>0</v>
      </c>
      <c r="O16" s="7" cm="1">
        <f t="array" aca="1" ref="O16" ca="1">$L$4 *
INDIRECT("Include_" &amp; $K$3)*INDIRECT("Include_" &amp; O$7)*
OFFSET(INDIRECT(Region_abbr &amp; "!A1"), $L$5 + O$6,$L16+1)</f>
        <v>0</v>
      </c>
      <c r="P16" s="7" cm="1">
        <f t="array" aca="1" ref="P16" ca="1">$L$4 *
INDIRECT("Include_" &amp; $K$3)*INDIRECT("Include_" &amp; P$7)*
OFFSET(INDIRECT(Region_abbr &amp; "!A1"), $L$5 + P$6,$L16+1)</f>
        <v>0</v>
      </c>
      <c r="Q16" s="7" cm="1">
        <f t="array" aca="1" ref="Q16" ca="1">$L$4 *
INDIRECT("Include_" &amp; $K$3)*INDIRECT("Include_" &amp; Q$7)*
OFFSET(INDIRECT(Region_abbr &amp; "!A1"), $L$5 + Q$6,$L16+1)</f>
        <v>0</v>
      </c>
      <c r="R16" s="7" cm="1">
        <f t="array" aca="1" ref="R16" ca="1">$L$4 *
INDIRECT("Include_" &amp; $K$3)*INDIRECT("Include_" &amp; R$7)*
OFFSET(INDIRECT(Region_abbr &amp; "!A1"), $L$5 + R$6,$L16+1)</f>
        <v>0</v>
      </c>
      <c r="S16" s="7">
        <f t="shared" ca="1" si="7"/>
        <v>0</v>
      </c>
      <c r="U16">
        <f t="shared" ref="U16:V16" si="31">U15+1</f>
        <v>2032</v>
      </c>
      <c r="V16">
        <f t="shared" si="31"/>
        <v>8</v>
      </c>
      <c r="W16" s="7" cm="1">
        <f t="array" aca="1" ref="W16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W$6,$V16+1)</f>
        <v>0</v>
      </c>
      <c r="X16" s="7" cm="1">
        <f t="array" aca="1" ref="X16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X$6,$V16+1)</f>
        <v>0</v>
      </c>
      <c r="Y16" s="7" cm="1">
        <f t="array" aca="1" ref="Y16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Y$6,$V16+1)</f>
        <v>0</v>
      </c>
      <c r="Z16" s="7" cm="1">
        <f t="array" aca="1" ref="Z16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Z$6,$V16+1)</f>
        <v>0</v>
      </c>
      <c r="AA16" s="7" cm="1">
        <f t="array" aca="1" ref="AA16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AA$6,$V16+1)</f>
        <v>0</v>
      </c>
      <c r="AB16" s="7" cm="1">
        <f t="array" aca="1" ref="AB16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AB$6,$V16+1)</f>
        <v>0</v>
      </c>
      <c r="AC16" s="7">
        <f t="shared" ca="1" si="9"/>
        <v>0</v>
      </c>
      <c r="AE16">
        <f t="shared" ref="AE16:AF16" si="32">AE15+1</f>
        <v>2032</v>
      </c>
      <c r="AF16">
        <f t="shared" si="32"/>
        <v>8</v>
      </c>
      <c r="AG16" s="7" cm="1">
        <f t="array" aca="1" ref="AG16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AG$6,$AF16+1)</f>
        <v>0</v>
      </c>
      <c r="AH16" s="7" cm="1">
        <f t="array" aca="1" ref="AH16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AH$6,$AF16+1)</f>
        <v>0</v>
      </c>
      <c r="AI16" s="7" cm="1">
        <f t="array" aca="1" ref="AI16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AI$6,$AF16+1)</f>
        <v>0</v>
      </c>
      <c r="AJ16" s="7" cm="1">
        <f t="array" aca="1" ref="AJ16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AJ$6,$AF16+1)</f>
        <v>0</v>
      </c>
      <c r="AK16" s="7" cm="1">
        <f t="array" aca="1" ref="AK16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AK$6,$AF16+1)</f>
        <v>0</v>
      </c>
      <c r="AL16" s="7" cm="1">
        <f t="array" aca="1" ref="AL16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AL$6,$AF16+1)</f>
        <v>0</v>
      </c>
      <c r="AM16" s="7">
        <f t="shared" ca="1" si="11"/>
        <v>0</v>
      </c>
    </row>
    <row r="17" spans="1:39" x14ac:dyDescent="0.85">
      <c r="A17">
        <f t="shared" si="4"/>
        <v>2033</v>
      </c>
      <c r="B17">
        <f t="shared" si="4"/>
        <v>9</v>
      </c>
      <c r="C17" s="7" cm="1">
        <f t="array" aca="1" ref="C17" ca="1">$B$4 *
INDIRECT("Include_" &amp; $A$3)*INDIRECT("Include_" &amp; C$7)*
OFFSET(INDIRECT(Region_abbr &amp; "!A1"), $B$5 + C$6,$B17+1)</f>
        <v>1.6147571863999999</v>
      </c>
      <c r="D17" s="7" cm="1">
        <f t="array" aca="1" ref="D17" ca="1">$B$4 *
INDIRECT("Include_" &amp; $A$3)*INDIRECT("Include_" &amp; D$7)*
OFFSET(INDIRECT(Region_abbr &amp; "!A1"), $B$5 + D$6,$B17+1)</f>
        <v>0.81197571130000001</v>
      </c>
      <c r="E17" s="7" cm="1">
        <f t="array" aca="1" ref="E17" ca="1">$B$4 *
INDIRECT("Include_" &amp; $A$3)*INDIRECT("Include_" &amp; E$7)*
OFFSET(INDIRECT(Region_abbr &amp; "!A1"), $B$5 + E$6,$B17+1)</f>
        <v>2.6776991027300001</v>
      </c>
      <c r="F17" s="7" cm="1">
        <f t="array" aca="1" ref="F17" ca="1">$B$4 *
INDIRECT("Include_" &amp; $A$3)*INDIRECT("Include_" &amp; F$7)*
OFFSET(INDIRECT(Region_abbr &amp; "!A1"), $B$5 + F$6,$B17+1)</f>
        <v>1.0240464238500002</v>
      </c>
      <c r="G17" s="7" cm="1">
        <f t="array" aca="1" ref="G17" ca="1">$B$4 *
INDIRECT("Include_" &amp; $A$3)*INDIRECT("Include_" &amp; G$7)*
OFFSET(INDIRECT(Region_abbr &amp; "!A1"), $B$5 + G$6,$B17+1)</f>
        <v>0.92725252276000003</v>
      </c>
      <c r="H17" s="7" cm="1">
        <f t="array" aca="1" ref="H17" ca="1">$B$4 *
INDIRECT("Include_" &amp; $A$3)*INDIRECT("Include_" &amp; H$7)*
OFFSET(INDIRECT(Region_abbr &amp; "!A1"), $B$5 + H$6,$B17+1)</f>
        <v>4.8079486960000001E-2</v>
      </c>
      <c r="I17" s="7">
        <f t="shared" ca="1" si="5"/>
        <v>7.1038104340000006</v>
      </c>
      <c r="K17">
        <f t="shared" ref="K17:L17" si="33">K16+1</f>
        <v>2033</v>
      </c>
      <c r="L17">
        <f t="shared" si="33"/>
        <v>9</v>
      </c>
      <c r="M17" s="7" cm="1">
        <f t="array" aca="1" ref="M17" ca="1">$L$4 *
INDIRECT("Include_" &amp; $K$3)*INDIRECT("Include_" &amp; M$7)*
OFFSET(INDIRECT(Region_abbr &amp; "!A1"), $L$5 + M$6,$L17+1)</f>
        <v>0</v>
      </c>
      <c r="N17" s="7" cm="1">
        <f t="array" aca="1" ref="N17" ca="1">$L$4 *
INDIRECT("Include_" &amp; $K$3)*INDIRECT("Include_" &amp; N$7)*
OFFSET(INDIRECT(Region_abbr &amp; "!A1"), $L$5 + N$6,$L17+1)</f>
        <v>0</v>
      </c>
      <c r="O17" s="7" cm="1">
        <f t="array" aca="1" ref="O17" ca="1">$L$4 *
INDIRECT("Include_" &amp; $K$3)*INDIRECT("Include_" &amp; O$7)*
OFFSET(INDIRECT(Region_abbr &amp; "!A1"), $L$5 + O$6,$L17+1)</f>
        <v>0</v>
      </c>
      <c r="P17" s="7" cm="1">
        <f t="array" aca="1" ref="P17" ca="1">$L$4 *
INDIRECT("Include_" &amp; $K$3)*INDIRECT("Include_" &amp; P$7)*
OFFSET(INDIRECT(Region_abbr &amp; "!A1"), $L$5 + P$6,$L17+1)</f>
        <v>0</v>
      </c>
      <c r="Q17" s="7" cm="1">
        <f t="array" aca="1" ref="Q17" ca="1">$L$4 *
INDIRECT("Include_" &amp; $K$3)*INDIRECT("Include_" &amp; Q$7)*
OFFSET(INDIRECT(Region_abbr &amp; "!A1"), $L$5 + Q$6,$L17+1)</f>
        <v>0</v>
      </c>
      <c r="R17" s="7" cm="1">
        <f t="array" aca="1" ref="R17" ca="1">$L$4 *
INDIRECT("Include_" &amp; $K$3)*INDIRECT("Include_" &amp; R$7)*
OFFSET(INDIRECT(Region_abbr &amp; "!A1"), $L$5 + R$6,$L17+1)</f>
        <v>0</v>
      </c>
      <c r="S17" s="7">
        <f t="shared" ca="1" si="7"/>
        <v>0</v>
      </c>
      <c r="U17">
        <f t="shared" ref="U17:V17" si="34">U16+1</f>
        <v>2033</v>
      </c>
      <c r="V17">
        <f t="shared" si="34"/>
        <v>9</v>
      </c>
      <c r="W17" s="7" cm="1">
        <f t="array" aca="1" ref="W17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W$6,$V17+1)</f>
        <v>0</v>
      </c>
      <c r="X17" s="7" cm="1">
        <f t="array" aca="1" ref="X17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X$6,$V17+1)</f>
        <v>0</v>
      </c>
      <c r="Y17" s="7" cm="1">
        <f t="array" aca="1" ref="Y17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Y$6,$V17+1)</f>
        <v>0</v>
      </c>
      <c r="Z17" s="7" cm="1">
        <f t="array" aca="1" ref="Z17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Z$6,$V17+1)</f>
        <v>0</v>
      </c>
      <c r="AA17" s="7" cm="1">
        <f t="array" aca="1" ref="AA17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AA$6,$V17+1)</f>
        <v>0</v>
      </c>
      <c r="AB17" s="7" cm="1">
        <f t="array" aca="1" ref="AB17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AB$6,$V17+1)</f>
        <v>0</v>
      </c>
      <c r="AC17" s="7">
        <f t="shared" ca="1" si="9"/>
        <v>0</v>
      </c>
      <c r="AE17">
        <f t="shared" ref="AE17:AF17" si="35">AE16+1</f>
        <v>2033</v>
      </c>
      <c r="AF17">
        <f t="shared" si="35"/>
        <v>9</v>
      </c>
      <c r="AG17" s="7" cm="1">
        <f t="array" aca="1" ref="AG17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AG$6,$AF17+1)</f>
        <v>0</v>
      </c>
      <c r="AH17" s="7" cm="1">
        <f t="array" aca="1" ref="AH17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AH$6,$AF17+1)</f>
        <v>0</v>
      </c>
      <c r="AI17" s="7" cm="1">
        <f t="array" aca="1" ref="AI17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AI$6,$AF17+1)</f>
        <v>0</v>
      </c>
      <c r="AJ17" s="7" cm="1">
        <f t="array" aca="1" ref="AJ17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AJ$6,$AF17+1)</f>
        <v>0</v>
      </c>
      <c r="AK17" s="7" cm="1">
        <f t="array" aca="1" ref="AK17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AK$6,$AF17+1)</f>
        <v>0</v>
      </c>
      <c r="AL17" s="7" cm="1">
        <f t="array" aca="1" ref="AL17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AL$6,$AF17+1)</f>
        <v>0</v>
      </c>
      <c r="AM17" s="7">
        <f t="shared" ca="1" si="11"/>
        <v>0</v>
      </c>
    </row>
    <row r="18" spans="1:39" x14ac:dyDescent="0.85">
      <c r="A18">
        <f t="shared" si="4"/>
        <v>2034</v>
      </c>
      <c r="B18">
        <f t="shared" si="4"/>
        <v>10</v>
      </c>
      <c r="C18" s="7" cm="1">
        <f t="array" aca="1" ref="C18" ca="1">$B$4 *
INDIRECT("Include_" &amp; $A$3)*INDIRECT("Include_" &amp; C$7)*
OFFSET(INDIRECT(Region_abbr &amp; "!A1"), $B$5 + C$6,$B18+1)</f>
        <v>1.7285412355300001</v>
      </c>
      <c r="D18" s="7" cm="1">
        <f t="array" aca="1" ref="D18" ca="1">$B$4 *
INDIRECT("Include_" &amp; $A$3)*INDIRECT("Include_" &amp; D$7)*
OFFSET(INDIRECT(Region_abbr &amp; "!A1"), $B$5 + D$6,$B18+1)</f>
        <v>0.88546270333999999</v>
      </c>
      <c r="E18" s="7" cm="1">
        <f t="array" aca="1" ref="E18" ca="1">$B$4 *
INDIRECT("Include_" &amp; $A$3)*INDIRECT("Include_" &amp; E$7)*
OFFSET(INDIRECT(Region_abbr &amp; "!A1"), $B$5 + E$6,$B18+1)</f>
        <v>3.0205512723799997</v>
      </c>
      <c r="F18" s="7" cm="1">
        <f t="array" aca="1" ref="F18" ca="1">$B$4 *
INDIRECT("Include_" &amp; $A$3)*INDIRECT("Include_" &amp; F$7)*
OFFSET(INDIRECT(Region_abbr &amp; "!A1"), $B$5 + F$6,$B18+1)</f>
        <v>1.0261895184499998</v>
      </c>
      <c r="G18" s="7" cm="1">
        <f t="array" aca="1" ref="G18" ca="1">$B$4 *
INDIRECT("Include_" &amp; $A$3)*INDIRECT("Include_" &amp; G$7)*
OFFSET(INDIRECT(Region_abbr &amp; "!A1"), $B$5 + G$6,$B18+1)</f>
        <v>1.0226101952</v>
      </c>
      <c r="H18" s="7" cm="1">
        <f t="array" aca="1" ref="H18" ca="1">$B$4 *
INDIRECT("Include_" &amp; $A$3)*INDIRECT("Include_" &amp; H$7)*
OFFSET(INDIRECT(Region_abbr &amp; "!A1"), $B$5 + H$6,$B18+1)</f>
        <v>5.5377348069999999E-2</v>
      </c>
      <c r="I18" s="7">
        <f t="shared" ca="1" si="5"/>
        <v>7.7387322729700001</v>
      </c>
      <c r="K18">
        <f t="shared" ref="K18:L18" si="36">K17+1</f>
        <v>2034</v>
      </c>
      <c r="L18">
        <f t="shared" si="36"/>
        <v>10</v>
      </c>
      <c r="M18" s="7" cm="1">
        <f t="array" aca="1" ref="M18" ca="1">$L$4 *
INDIRECT("Include_" &amp; $K$3)*INDIRECT("Include_" &amp; M$7)*
OFFSET(INDIRECT(Region_abbr &amp; "!A1"), $L$5 + M$6,$L18+1)</f>
        <v>0</v>
      </c>
      <c r="N18" s="7" cm="1">
        <f t="array" aca="1" ref="N18" ca="1">$L$4 *
INDIRECT("Include_" &amp; $K$3)*INDIRECT("Include_" &amp; N$7)*
OFFSET(INDIRECT(Region_abbr &amp; "!A1"), $L$5 + N$6,$L18+1)</f>
        <v>0</v>
      </c>
      <c r="O18" s="7" cm="1">
        <f t="array" aca="1" ref="O18" ca="1">$L$4 *
INDIRECT("Include_" &amp; $K$3)*INDIRECT("Include_" &amp; O$7)*
OFFSET(INDIRECT(Region_abbr &amp; "!A1"), $L$5 + O$6,$L18+1)</f>
        <v>0</v>
      </c>
      <c r="P18" s="7" cm="1">
        <f t="array" aca="1" ref="P18" ca="1">$L$4 *
INDIRECT("Include_" &amp; $K$3)*INDIRECT("Include_" &amp; P$7)*
OFFSET(INDIRECT(Region_abbr &amp; "!A1"), $L$5 + P$6,$L18+1)</f>
        <v>0</v>
      </c>
      <c r="Q18" s="7" cm="1">
        <f t="array" aca="1" ref="Q18" ca="1">$L$4 *
INDIRECT("Include_" &amp; $K$3)*INDIRECT("Include_" &amp; Q$7)*
OFFSET(INDIRECT(Region_abbr &amp; "!A1"), $L$5 + Q$6,$L18+1)</f>
        <v>0</v>
      </c>
      <c r="R18" s="7" cm="1">
        <f t="array" aca="1" ref="R18" ca="1">$L$4 *
INDIRECT("Include_" &amp; $K$3)*INDIRECT("Include_" &amp; R$7)*
OFFSET(INDIRECT(Region_abbr &amp; "!A1"), $L$5 + R$6,$L18+1)</f>
        <v>0</v>
      </c>
      <c r="S18" s="7">
        <f t="shared" ca="1" si="7"/>
        <v>0</v>
      </c>
      <c r="U18">
        <f t="shared" ref="U18:V18" si="37">U17+1</f>
        <v>2034</v>
      </c>
      <c r="V18">
        <f t="shared" si="37"/>
        <v>10</v>
      </c>
      <c r="W18" s="7" cm="1">
        <f t="array" aca="1" ref="W18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W$6,$V18+1)</f>
        <v>0</v>
      </c>
      <c r="X18" s="7" cm="1">
        <f t="array" aca="1" ref="X18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X$6,$V18+1)</f>
        <v>0</v>
      </c>
      <c r="Y18" s="7" cm="1">
        <f t="array" aca="1" ref="Y18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Y$6,$V18+1)</f>
        <v>0</v>
      </c>
      <c r="Z18" s="7" cm="1">
        <f t="array" aca="1" ref="Z18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Z$6,$V18+1)</f>
        <v>0</v>
      </c>
      <c r="AA18" s="7" cm="1">
        <f t="array" aca="1" ref="AA18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AA$6,$V18+1)</f>
        <v>0</v>
      </c>
      <c r="AB18" s="7" cm="1">
        <f t="array" aca="1" ref="AB18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AB$6,$V18+1)</f>
        <v>0</v>
      </c>
      <c r="AC18" s="7">
        <f t="shared" ca="1" si="9"/>
        <v>0</v>
      </c>
      <c r="AE18">
        <f t="shared" ref="AE18:AF18" si="38">AE17+1</f>
        <v>2034</v>
      </c>
      <c r="AF18">
        <f t="shared" si="38"/>
        <v>10</v>
      </c>
      <c r="AG18" s="7" cm="1">
        <f t="array" aca="1" ref="AG18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AG$6,$AF18+1)</f>
        <v>0</v>
      </c>
      <c r="AH18" s="7" cm="1">
        <f t="array" aca="1" ref="AH18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AH$6,$AF18+1)</f>
        <v>0</v>
      </c>
      <c r="AI18" s="7" cm="1">
        <f t="array" aca="1" ref="AI18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AI$6,$AF18+1)</f>
        <v>0</v>
      </c>
      <c r="AJ18" s="7" cm="1">
        <f t="array" aca="1" ref="AJ18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AJ$6,$AF18+1)</f>
        <v>0</v>
      </c>
      <c r="AK18" s="7" cm="1">
        <f t="array" aca="1" ref="AK18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AK$6,$AF18+1)</f>
        <v>0</v>
      </c>
      <c r="AL18" s="7" cm="1">
        <f t="array" aca="1" ref="AL18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AL$6,$AF18+1)</f>
        <v>0</v>
      </c>
      <c r="AM18" s="7">
        <f t="shared" ca="1" si="11"/>
        <v>0</v>
      </c>
    </row>
    <row r="19" spans="1:39" x14ac:dyDescent="0.85">
      <c r="A19">
        <f t="shared" si="4"/>
        <v>2035</v>
      </c>
      <c r="B19">
        <f t="shared" si="4"/>
        <v>11</v>
      </c>
      <c r="C19" s="7" cm="1">
        <f t="array" aca="1" ref="C19" ca="1">$B$4 *
INDIRECT("Include_" &amp; $A$3)*INDIRECT("Include_" &amp; C$7)*
OFFSET(INDIRECT(Region_abbr &amp; "!A1"), $B$5 + C$6,$B19+1)</f>
        <v>1.8495207067399999</v>
      </c>
      <c r="D19" s="7" cm="1">
        <f t="array" aca="1" ref="D19" ca="1">$B$4 *
INDIRECT("Include_" &amp; $A$3)*INDIRECT("Include_" &amp; D$7)*
OFFSET(INDIRECT(Region_abbr &amp; "!A1"), $B$5 + D$6,$B19+1)</f>
        <v>0.96357608533999994</v>
      </c>
      <c r="E19" s="7" cm="1">
        <f t="array" aca="1" ref="E19" ca="1">$B$4 *
INDIRECT("Include_" &amp; $A$3)*INDIRECT("Include_" &amp; E$7)*
OFFSET(INDIRECT(Region_abbr &amp; "!A1"), $B$5 + E$6,$B19+1)</f>
        <v>3.3849339082500003</v>
      </c>
      <c r="F19" s="7" cm="1">
        <f t="array" aca="1" ref="F19" ca="1">$B$4 *
INDIRECT("Include_" &amp; $A$3)*INDIRECT("Include_" &amp; F$7)*
OFFSET(INDIRECT(Region_abbr &amp; "!A1"), $B$5 + F$6,$B19+1)</f>
        <v>1.02739063282</v>
      </c>
      <c r="G19" s="7" cm="1">
        <f t="array" aca="1" ref="G19" ca="1">$B$4 *
INDIRECT("Include_" &amp; $A$3)*INDIRECT("Include_" &amp; G$7)*
OFFSET(INDIRECT(Region_abbr &amp; "!A1"), $B$5 + G$6,$B19+1)</f>
        <v>1.12396134647</v>
      </c>
      <c r="H19" s="7" cm="1">
        <f t="array" aca="1" ref="H19" ca="1">$B$4 *
INDIRECT("Include_" &amp; $A$3)*INDIRECT("Include_" &amp; H$7)*
OFFSET(INDIRECT(Region_abbr &amp; "!A1"), $B$5 + H$6,$B19+1)</f>
        <v>6.3157922310000003E-2</v>
      </c>
      <c r="I19" s="7">
        <f t="shared" ca="1" si="5"/>
        <v>8.4125406019299991</v>
      </c>
      <c r="K19">
        <f t="shared" ref="K19:L19" si="39">K18+1</f>
        <v>2035</v>
      </c>
      <c r="L19">
        <f t="shared" si="39"/>
        <v>11</v>
      </c>
      <c r="M19" s="7" cm="1">
        <f t="array" aca="1" ref="M19" ca="1">$L$4 *
INDIRECT("Include_" &amp; $K$3)*INDIRECT("Include_" &amp; M$7)*
OFFSET(INDIRECT(Region_abbr &amp; "!A1"), $L$5 + M$6,$L19+1)</f>
        <v>0</v>
      </c>
      <c r="N19" s="7" cm="1">
        <f t="array" aca="1" ref="N19" ca="1">$L$4 *
INDIRECT("Include_" &amp; $K$3)*INDIRECT("Include_" &amp; N$7)*
OFFSET(INDIRECT(Region_abbr &amp; "!A1"), $L$5 + N$6,$L19+1)</f>
        <v>0</v>
      </c>
      <c r="O19" s="7" cm="1">
        <f t="array" aca="1" ref="O19" ca="1">$L$4 *
INDIRECT("Include_" &amp; $K$3)*INDIRECT("Include_" &amp; O$7)*
OFFSET(INDIRECT(Region_abbr &amp; "!A1"), $L$5 + O$6,$L19+1)</f>
        <v>0</v>
      </c>
      <c r="P19" s="7" cm="1">
        <f t="array" aca="1" ref="P19" ca="1">$L$4 *
INDIRECT("Include_" &amp; $K$3)*INDIRECT("Include_" &amp; P$7)*
OFFSET(INDIRECT(Region_abbr &amp; "!A1"), $L$5 + P$6,$L19+1)</f>
        <v>0</v>
      </c>
      <c r="Q19" s="7" cm="1">
        <f t="array" aca="1" ref="Q19" ca="1">$L$4 *
INDIRECT("Include_" &amp; $K$3)*INDIRECT("Include_" &amp; Q$7)*
OFFSET(INDIRECT(Region_abbr &amp; "!A1"), $L$5 + Q$6,$L19+1)</f>
        <v>0</v>
      </c>
      <c r="R19" s="7" cm="1">
        <f t="array" aca="1" ref="R19" ca="1">$L$4 *
INDIRECT("Include_" &amp; $K$3)*INDIRECT("Include_" &amp; R$7)*
OFFSET(INDIRECT(Region_abbr &amp; "!A1"), $L$5 + R$6,$L19+1)</f>
        <v>0</v>
      </c>
      <c r="S19" s="7">
        <f t="shared" ca="1" si="7"/>
        <v>0</v>
      </c>
      <c r="U19">
        <f t="shared" ref="U19:V19" si="40">U18+1</f>
        <v>2035</v>
      </c>
      <c r="V19">
        <f t="shared" si="40"/>
        <v>11</v>
      </c>
      <c r="W19" s="7" cm="1">
        <f t="array" aca="1" ref="W19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W$6,$V19+1)</f>
        <v>0</v>
      </c>
      <c r="X19" s="7" cm="1">
        <f t="array" aca="1" ref="X19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X$6,$V19+1)</f>
        <v>0</v>
      </c>
      <c r="Y19" s="7" cm="1">
        <f t="array" aca="1" ref="Y19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Y$6,$V19+1)</f>
        <v>0</v>
      </c>
      <c r="Z19" s="7" cm="1">
        <f t="array" aca="1" ref="Z19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Z$6,$V19+1)</f>
        <v>0</v>
      </c>
      <c r="AA19" s="7" cm="1">
        <f t="array" aca="1" ref="AA19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AA$6,$V19+1)</f>
        <v>0</v>
      </c>
      <c r="AB19" s="7" cm="1">
        <f t="array" aca="1" ref="AB19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AB$6,$V19+1)</f>
        <v>0</v>
      </c>
      <c r="AC19" s="7">
        <f t="shared" ca="1" si="9"/>
        <v>0</v>
      </c>
      <c r="AE19">
        <f t="shared" ref="AE19:AF19" si="41">AE18+1</f>
        <v>2035</v>
      </c>
      <c r="AF19">
        <f t="shared" si="41"/>
        <v>11</v>
      </c>
      <c r="AG19" s="7" cm="1">
        <f t="array" aca="1" ref="AG19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AG$6,$AF19+1)</f>
        <v>0</v>
      </c>
      <c r="AH19" s="7" cm="1">
        <f t="array" aca="1" ref="AH19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AH$6,$AF19+1)</f>
        <v>0</v>
      </c>
      <c r="AI19" s="7" cm="1">
        <f t="array" aca="1" ref="AI19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AI$6,$AF19+1)</f>
        <v>0</v>
      </c>
      <c r="AJ19" s="7" cm="1">
        <f t="array" aca="1" ref="AJ19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AJ$6,$AF19+1)</f>
        <v>0</v>
      </c>
      <c r="AK19" s="7" cm="1">
        <f t="array" aca="1" ref="AK19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AK$6,$AF19+1)</f>
        <v>0</v>
      </c>
      <c r="AL19" s="7" cm="1">
        <f t="array" aca="1" ref="AL19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AL$6,$AF19+1)</f>
        <v>0</v>
      </c>
      <c r="AM19" s="7">
        <f t="shared" ca="1" si="11"/>
        <v>0</v>
      </c>
    </row>
    <row r="20" spans="1:39" x14ac:dyDescent="0.85">
      <c r="A20">
        <f t="shared" si="4"/>
        <v>2036</v>
      </c>
      <c r="B20">
        <f t="shared" si="4"/>
        <v>12</v>
      </c>
      <c r="C20" s="7" cm="1">
        <f t="array" aca="1" ref="C20" ca="1">$B$4 *
INDIRECT("Include_" &amp; $A$3)*INDIRECT("Include_" &amp; C$7)*
OFFSET(INDIRECT(Region_abbr &amp; "!A1"), $B$5 + C$6,$B20+1)</f>
        <v>1.9781124863800001</v>
      </c>
      <c r="D20" s="7" cm="1">
        <f t="array" aca="1" ref="D20" ca="1">$B$4 *
INDIRECT("Include_" &amp; $A$3)*INDIRECT("Include_" &amp; D$7)*
OFFSET(INDIRECT(Region_abbr &amp; "!A1"), $B$5 + D$6,$B20+1)</f>
        <v>1.0465846591800001</v>
      </c>
      <c r="E20" s="7" cm="1">
        <f t="array" aca="1" ref="E20" ca="1">$B$4 *
INDIRECT("Include_" &amp; $A$3)*INDIRECT("Include_" &amp; E$7)*
OFFSET(INDIRECT(Region_abbr &amp; "!A1"), $B$5 + E$6,$B20+1)</f>
        <v>3.77209596431</v>
      </c>
      <c r="F20" s="7" cm="1">
        <f t="array" aca="1" ref="F20" ca="1">$B$4 *
INDIRECT("Include_" &amp; $A$3)*INDIRECT("Include_" &amp; F$7)*
OFFSET(INDIRECT(Region_abbr &amp; "!A1"), $B$5 + F$6,$B20+1)</f>
        <v>1.02758136389</v>
      </c>
      <c r="G20" s="7" cm="1">
        <f t="array" aca="1" ref="G20" ca="1">$B$4 *
INDIRECT("Include_" &amp; $A$3)*INDIRECT("Include_" &amp; G$7)*
OFFSET(INDIRECT(Region_abbr &amp; "!A1"), $B$5 + G$6,$B20+1)</f>
        <v>1.2316540260500002</v>
      </c>
      <c r="H20" s="7" cm="1">
        <f t="array" aca="1" ref="H20" ca="1">$B$4 *
INDIRECT("Include_" &amp; $A$3)*INDIRECT("Include_" &amp; H$7)*
OFFSET(INDIRECT(Region_abbr &amp; "!A1"), $B$5 + H$6,$B20+1)</f>
        <v>7.1439010969999994E-2</v>
      </c>
      <c r="I20" s="7">
        <f t="shared" ca="1" si="5"/>
        <v>9.1274675107800007</v>
      </c>
      <c r="K20">
        <f t="shared" ref="K20:L20" si="42">K19+1</f>
        <v>2036</v>
      </c>
      <c r="L20">
        <f t="shared" si="42"/>
        <v>12</v>
      </c>
      <c r="M20" s="7" cm="1">
        <f t="array" aca="1" ref="M20" ca="1">$L$4 *
INDIRECT("Include_" &amp; $K$3)*INDIRECT("Include_" &amp; M$7)*
OFFSET(INDIRECT(Region_abbr &amp; "!A1"), $L$5 + M$6,$L20+1)</f>
        <v>0</v>
      </c>
      <c r="N20" s="7" cm="1">
        <f t="array" aca="1" ref="N20" ca="1">$L$4 *
INDIRECT("Include_" &amp; $K$3)*INDIRECT("Include_" &amp; N$7)*
OFFSET(INDIRECT(Region_abbr &amp; "!A1"), $L$5 + N$6,$L20+1)</f>
        <v>0</v>
      </c>
      <c r="O20" s="7" cm="1">
        <f t="array" aca="1" ref="O20" ca="1">$L$4 *
INDIRECT("Include_" &amp; $K$3)*INDIRECT("Include_" &amp; O$7)*
OFFSET(INDIRECT(Region_abbr &amp; "!A1"), $L$5 + O$6,$L20+1)</f>
        <v>0</v>
      </c>
      <c r="P20" s="7" cm="1">
        <f t="array" aca="1" ref="P20" ca="1">$L$4 *
INDIRECT("Include_" &amp; $K$3)*INDIRECT("Include_" &amp; P$7)*
OFFSET(INDIRECT(Region_abbr &amp; "!A1"), $L$5 + P$6,$L20+1)</f>
        <v>0</v>
      </c>
      <c r="Q20" s="7" cm="1">
        <f t="array" aca="1" ref="Q20" ca="1">$L$4 *
INDIRECT("Include_" &amp; $K$3)*INDIRECT("Include_" &amp; Q$7)*
OFFSET(INDIRECT(Region_abbr &amp; "!A1"), $L$5 + Q$6,$L20+1)</f>
        <v>0</v>
      </c>
      <c r="R20" s="7" cm="1">
        <f t="array" aca="1" ref="R20" ca="1">$L$4 *
INDIRECT("Include_" &amp; $K$3)*INDIRECT("Include_" &amp; R$7)*
OFFSET(INDIRECT(Region_abbr &amp; "!A1"), $L$5 + R$6,$L20+1)</f>
        <v>0</v>
      </c>
      <c r="S20" s="7">
        <f t="shared" ca="1" si="7"/>
        <v>0</v>
      </c>
      <c r="U20">
        <f t="shared" ref="U20:V20" si="43">U19+1</f>
        <v>2036</v>
      </c>
      <c r="V20">
        <f t="shared" si="43"/>
        <v>12</v>
      </c>
      <c r="W20" s="7" cm="1">
        <f t="array" aca="1" ref="W20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W$6,$V20+1)</f>
        <v>0</v>
      </c>
      <c r="X20" s="7" cm="1">
        <f t="array" aca="1" ref="X20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X$6,$V20+1)</f>
        <v>0</v>
      </c>
      <c r="Y20" s="7" cm="1">
        <f t="array" aca="1" ref="Y20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Y$6,$V20+1)</f>
        <v>0</v>
      </c>
      <c r="Z20" s="7" cm="1">
        <f t="array" aca="1" ref="Z20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Z$6,$V20+1)</f>
        <v>0</v>
      </c>
      <c r="AA20" s="7" cm="1">
        <f t="array" aca="1" ref="AA20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AA$6,$V20+1)</f>
        <v>0</v>
      </c>
      <c r="AB20" s="7" cm="1">
        <f t="array" aca="1" ref="AB20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AB$6,$V20+1)</f>
        <v>0</v>
      </c>
      <c r="AC20" s="7">
        <f t="shared" ca="1" si="9"/>
        <v>0</v>
      </c>
      <c r="AE20">
        <f t="shared" ref="AE20:AF20" si="44">AE19+1</f>
        <v>2036</v>
      </c>
      <c r="AF20">
        <f t="shared" si="44"/>
        <v>12</v>
      </c>
      <c r="AG20" s="7" cm="1">
        <f t="array" aca="1" ref="AG20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AG$6,$AF20+1)</f>
        <v>0</v>
      </c>
      <c r="AH20" s="7" cm="1">
        <f t="array" aca="1" ref="AH20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AH$6,$AF20+1)</f>
        <v>0</v>
      </c>
      <c r="AI20" s="7" cm="1">
        <f t="array" aca="1" ref="AI20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AI$6,$AF20+1)</f>
        <v>0</v>
      </c>
      <c r="AJ20" s="7" cm="1">
        <f t="array" aca="1" ref="AJ20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AJ$6,$AF20+1)</f>
        <v>0</v>
      </c>
      <c r="AK20" s="7" cm="1">
        <f t="array" aca="1" ref="AK20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AK$6,$AF20+1)</f>
        <v>0</v>
      </c>
      <c r="AL20" s="7" cm="1">
        <f t="array" aca="1" ref="AL20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AL$6,$AF20+1)</f>
        <v>0</v>
      </c>
      <c r="AM20" s="7">
        <f t="shared" ca="1" si="11"/>
        <v>0</v>
      </c>
    </row>
    <row r="21" spans="1:39" x14ac:dyDescent="0.85">
      <c r="A21">
        <f t="shared" si="4"/>
        <v>2037</v>
      </c>
      <c r="B21">
        <f t="shared" si="4"/>
        <v>13</v>
      </c>
      <c r="C21" s="7" cm="1">
        <f t="array" aca="1" ref="C21" ca="1">$B$4 *
INDIRECT("Include_" &amp; $A$3)*INDIRECT("Include_" &amp; C$7)*
OFFSET(INDIRECT(Region_abbr &amp; "!A1"), $B$5 + C$6,$B21+1)</f>
        <v>2.1147568489099999</v>
      </c>
      <c r="D21" s="7" cm="1">
        <f t="array" aca="1" ref="D21" ca="1">$B$4 *
INDIRECT("Include_" &amp; $A$3)*INDIRECT("Include_" &amp; D$7)*
OFFSET(INDIRECT(Region_abbr &amp; "!A1"), $B$5 + D$6,$B21+1)</f>
        <v>1.1347722770899999</v>
      </c>
      <c r="E21" s="7" cm="1">
        <f t="array" aca="1" ref="E21" ca="1">$B$4 *
INDIRECT("Include_" &amp; $A$3)*INDIRECT("Include_" &amp; E$7)*
OFFSET(INDIRECT(Region_abbr &amp; "!A1"), $B$5 + E$6,$B21+1)</f>
        <v>4.1833565365100007</v>
      </c>
      <c r="F21" s="7" cm="1">
        <f t="array" aca="1" ref="F21" ca="1">$B$4 *
INDIRECT("Include_" &amp; $A$3)*INDIRECT("Include_" &amp; F$7)*
OFFSET(INDIRECT(Region_abbr &amp; "!A1"), $B$5 + F$6,$B21+1)</f>
        <v>1.02667670124</v>
      </c>
      <c r="G21" s="7" cm="1">
        <f t="array" aca="1" ref="G21" ca="1">$B$4 *
INDIRECT("Include_" &amp; $A$3)*INDIRECT("Include_" &amp; G$7)*
OFFSET(INDIRECT(Region_abbr &amp; "!A1"), $B$5 + G$6,$B21+1)</f>
        <v>1.34605579748</v>
      </c>
      <c r="H21" s="7" cm="1">
        <f t="array" aca="1" ref="H21" ca="1">$B$4 *
INDIRECT("Include_" &amp; $A$3)*INDIRECT("Include_" &amp; H$7)*
OFFSET(INDIRECT(Region_abbr &amp; "!A1"), $B$5 + H$6,$B21+1)</f>
        <v>8.0263788330000002E-2</v>
      </c>
      <c r="I21" s="7">
        <f t="shared" ca="1" si="5"/>
        <v>9.8858819495600017</v>
      </c>
      <c r="K21">
        <f t="shared" ref="K21:L21" si="45">K20+1</f>
        <v>2037</v>
      </c>
      <c r="L21">
        <f t="shared" si="45"/>
        <v>13</v>
      </c>
      <c r="M21" s="7" cm="1">
        <f t="array" aca="1" ref="M21" ca="1">$L$4 *
INDIRECT("Include_" &amp; $K$3)*INDIRECT("Include_" &amp; M$7)*
OFFSET(INDIRECT(Region_abbr &amp; "!A1"), $L$5 + M$6,$L21+1)</f>
        <v>0</v>
      </c>
      <c r="N21" s="7" cm="1">
        <f t="array" aca="1" ref="N21" ca="1">$L$4 *
INDIRECT("Include_" &amp; $K$3)*INDIRECT("Include_" &amp; N$7)*
OFFSET(INDIRECT(Region_abbr &amp; "!A1"), $L$5 + N$6,$L21+1)</f>
        <v>0</v>
      </c>
      <c r="O21" s="7" cm="1">
        <f t="array" aca="1" ref="O21" ca="1">$L$4 *
INDIRECT("Include_" &amp; $K$3)*INDIRECT("Include_" &amp; O$7)*
OFFSET(INDIRECT(Region_abbr &amp; "!A1"), $L$5 + O$6,$L21+1)</f>
        <v>0</v>
      </c>
      <c r="P21" s="7" cm="1">
        <f t="array" aca="1" ref="P21" ca="1">$L$4 *
INDIRECT("Include_" &amp; $K$3)*INDIRECT("Include_" &amp; P$7)*
OFFSET(INDIRECT(Region_abbr &amp; "!A1"), $L$5 + P$6,$L21+1)</f>
        <v>0</v>
      </c>
      <c r="Q21" s="7" cm="1">
        <f t="array" aca="1" ref="Q21" ca="1">$L$4 *
INDIRECT("Include_" &amp; $K$3)*INDIRECT("Include_" &amp; Q$7)*
OFFSET(INDIRECT(Region_abbr &amp; "!A1"), $L$5 + Q$6,$L21+1)</f>
        <v>0</v>
      </c>
      <c r="R21" s="7" cm="1">
        <f t="array" aca="1" ref="R21" ca="1">$L$4 *
INDIRECT("Include_" &amp; $K$3)*INDIRECT("Include_" &amp; R$7)*
OFFSET(INDIRECT(Region_abbr &amp; "!A1"), $L$5 + R$6,$L21+1)</f>
        <v>0</v>
      </c>
      <c r="S21" s="7">
        <f t="shared" ca="1" si="7"/>
        <v>0</v>
      </c>
      <c r="U21">
        <f t="shared" ref="U21:V21" si="46">U20+1</f>
        <v>2037</v>
      </c>
      <c r="V21">
        <f t="shared" si="46"/>
        <v>13</v>
      </c>
      <c r="W21" s="7" cm="1">
        <f t="array" aca="1" ref="W21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W$6,$V21+1)</f>
        <v>0</v>
      </c>
      <c r="X21" s="7" cm="1">
        <f t="array" aca="1" ref="X21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X$6,$V21+1)</f>
        <v>0</v>
      </c>
      <c r="Y21" s="7" cm="1">
        <f t="array" aca="1" ref="Y21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Y$6,$V21+1)</f>
        <v>0</v>
      </c>
      <c r="Z21" s="7" cm="1">
        <f t="array" aca="1" ref="Z21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Z$6,$V21+1)</f>
        <v>0</v>
      </c>
      <c r="AA21" s="7" cm="1">
        <f t="array" aca="1" ref="AA21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AA$6,$V21+1)</f>
        <v>0</v>
      </c>
      <c r="AB21" s="7" cm="1">
        <f t="array" aca="1" ref="AB21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AB$6,$V21+1)</f>
        <v>0</v>
      </c>
      <c r="AC21" s="7">
        <f t="shared" ca="1" si="9"/>
        <v>0</v>
      </c>
      <c r="AE21">
        <f t="shared" ref="AE21:AF21" si="47">AE20+1</f>
        <v>2037</v>
      </c>
      <c r="AF21">
        <f t="shared" si="47"/>
        <v>13</v>
      </c>
      <c r="AG21" s="7" cm="1">
        <f t="array" aca="1" ref="AG21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AG$6,$AF21+1)</f>
        <v>0</v>
      </c>
      <c r="AH21" s="7" cm="1">
        <f t="array" aca="1" ref="AH21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AH$6,$AF21+1)</f>
        <v>0</v>
      </c>
      <c r="AI21" s="7" cm="1">
        <f t="array" aca="1" ref="AI21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AI$6,$AF21+1)</f>
        <v>0</v>
      </c>
      <c r="AJ21" s="7" cm="1">
        <f t="array" aca="1" ref="AJ21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AJ$6,$AF21+1)</f>
        <v>0</v>
      </c>
      <c r="AK21" s="7" cm="1">
        <f t="array" aca="1" ref="AK21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AK$6,$AF21+1)</f>
        <v>0</v>
      </c>
      <c r="AL21" s="7" cm="1">
        <f t="array" aca="1" ref="AL21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AL$6,$AF21+1)</f>
        <v>0</v>
      </c>
      <c r="AM21" s="7">
        <f t="shared" ca="1" si="11"/>
        <v>0</v>
      </c>
    </row>
    <row r="22" spans="1:39" x14ac:dyDescent="0.85">
      <c r="A22">
        <f t="shared" si="4"/>
        <v>2038</v>
      </c>
      <c r="B22">
        <f t="shared" si="4"/>
        <v>14</v>
      </c>
      <c r="C22" s="7" cm="1">
        <f t="array" aca="1" ref="C22" ca="1">$B$4 *
INDIRECT("Include_" &amp; $A$3)*INDIRECT("Include_" &amp; C$7)*
OFFSET(INDIRECT(Region_abbr &amp; "!A1"), $B$5 + C$6,$B22+1)</f>
        <v>2.2599190907000004</v>
      </c>
      <c r="D22" s="7" cm="1">
        <f t="array" aca="1" ref="D22" ca="1">$B$4 *
INDIRECT("Include_" &amp; $A$3)*INDIRECT("Include_" &amp; D$7)*
OFFSET(INDIRECT(Region_abbr &amp; "!A1"), $B$5 + D$6,$B22+1)</f>
        <v>1.2284388646800002</v>
      </c>
      <c r="E22" s="7" cm="1">
        <f t="array" aca="1" ref="E22" ca="1">$B$4 *
INDIRECT("Include_" &amp; $A$3)*INDIRECT("Include_" &amp; E$7)*
OFFSET(INDIRECT(Region_abbr &amp; "!A1"), $B$5 + E$6,$B22+1)</f>
        <v>4.6201091555599998</v>
      </c>
      <c r="F22" s="7" cm="1">
        <f t="array" aca="1" ref="F22" ca="1">$B$4 *
INDIRECT("Include_" &amp; $A$3)*INDIRECT("Include_" &amp; F$7)*
OFFSET(INDIRECT(Region_abbr &amp; "!A1"), $B$5 + F$6,$B22+1)</f>
        <v>1.0246000082200002</v>
      </c>
      <c r="G22" s="7" cm="1">
        <f t="array" aca="1" ref="G22" ca="1">$B$4 *
INDIRECT("Include_" &amp; $A$3)*INDIRECT("Include_" &amp; G$7)*
OFFSET(INDIRECT(Region_abbr &amp; "!A1"), $B$5 + G$6,$B22+1)</f>
        <v>1.46755499509</v>
      </c>
      <c r="H22" s="7" cm="1">
        <f t="array" aca="1" ref="H22" ca="1">$B$4 *
INDIRECT("Include_" &amp; $A$3)*INDIRECT("Include_" &amp; H$7)*
OFFSET(INDIRECT(Region_abbr &amp; "!A1"), $B$5 + H$6,$B22+1)</f>
        <v>8.9651264850000009E-2</v>
      </c>
      <c r="I22" s="7">
        <f t="shared" ca="1" si="5"/>
        <v>10.690273379100001</v>
      </c>
      <c r="K22">
        <f t="shared" ref="K22:L22" si="48">K21+1</f>
        <v>2038</v>
      </c>
      <c r="L22">
        <f t="shared" si="48"/>
        <v>14</v>
      </c>
      <c r="M22" s="7" cm="1">
        <f t="array" aca="1" ref="M22" ca="1">$L$4 *
INDIRECT("Include_" &amp; $K$3)*INDIRECT("Include_" &amp; M$7)*
OFFSET(INDIRECT(Region_abbr &amp; "!A1"), $L$5 + M$6,$L22+1)</f>
        <v>0</v>
      </c>
      <c r="N22" s="7" cm="1">
        <f t="array" aca="1" ref="N22" ca="1">$L$4 *
INDIRECT("Include_" &amp; $K$3)*INDIRECT("Include_" &amp; N$7)*
OFFSET(INDIRECT(Region_abbr &amp; "!A1"), $L$5 + N$6,$L22+1)</f>
        <v>0</v>
      </c>
      <c r="O22" s="7" cm="1">
        <f t="array" aca="1" ref="O22" ca="1">$L$4 *
INDIRECT("Include_" &amp; $K$3)*INDIRECT("Include_" &amp; O$7)*
OFFSET(INDIRECT(Region_abbr &amp; "!A1"), $L$5 + O$6,$L22+1)</f>
        <v>0</v>
      </c>
      <c r="P22" s="7" cm="1">
        <f t="array" aca="1" ref="P22" ca="1">$L$4 *
INDIRECT("Include_" &amp; $K$3)*INDIRECT("Include_" &amp; P$7)*
OFFSET(INDIRECT(Region_abbr &amp; "!A1"), $L$5 + P$6,$L22+1)</f>
        <v>0</v>
      </c>
      <c r="Q22" s="7" cm="1">
        <f t="array" aca="1" ref="Q22" ca="1">$L$4 *
INDIRECT("Include_" &amp; $K$3)*INDIRECT("Include_" &amp; Q$7)*
OFFSET(INDIRECT(Region_abbr &amp; "!A1"), $L$5 + Q$6,$L22+1)</f>
        <v>0</v>
      </c>
      <c r="R22" s="7" cm="1">
        <f t="array" aca="1" ref="R22" ca="1">$L$4 *
INDIRECT("Include_" &amp; $K$3)*INDIRECT("Include_" &amp; R$7)*
OFFSET(INDIRECT(Region_abbr &amp; "!A1"), $L$5 + R$6,$L22+1)</f>
        <v>0</v>
      </c>
      <c r="S22" s="7">
        <f t="shared" ca="1" si="7"/>
        <v>0</v>
      </c>
      <c r="U22">
        <f t="shared" ref="U22:V22" si="49">U21+1</f>
        <v>2038</v>
      </c>
      <c r="V22">
        <f t="shared" si="49"/>
        <v>14</v>
      </c>
      <c r="W22" s="7" cm="1">
        <f t="array" aca="1" ref="W22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W$6,$V22+1)</f>
        <v>0</v>
      </c>
      <c r="X22" s="7" cm="1">
        <f t="array" aca="1" ref="X22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X$6,$V22+1)</f>
        <v>0</v>
      </c>
      <c r="Y22" s="7" cm="1">
        <f t="array" aca="1" ref="Y22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Y$6,$V22+1)</f>
        <v>0</v>
      </c>
      <c r="Z22" s="7" cm="1">
        <f t="array" aca="1" ref="Z22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Z$6,$V22+1)</f>
        <v>0</v>
      </c>
      <c r="AA22" s="7" cm="1">
        <f t="array" aca="1" ref="AA22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AA$6,$V22+1)</f>
        <v>0</v>
      </c>
      <c r="AB22" s="7" cm="1">
        <f t="array" aca="1" ref="AB22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AB$6,$V22+1)</f>
        <v>0</v>
      </c>
      <c r="AC22" s="7">
        <f t="shared" ca="1" si="9"/>
        <v>0</v>
      </c>
      <c r="AE22">
        <f t="shared" ref="AE22:AF22" si="50">AE21+1</f>
        <v>2038</v>
      </c>
      <c r="AF22">
        <f t="shared" si="50"/>
        <v>14</v>
      </c>
      <c r="AG22" s="7" cm="1">
        <f t="array" aca="1" ref="AG22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AG$6,$AF22+1)</f>
        <v>0</v>
      </c>
      <c r="AH22" s="7" cm="1">
        <f t="array" aca="1" ref="AH22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AH$6,$AF22+1)</f>
        <v>0</v>
      </c>
      <c r="AI22" s="7" cm="1">
        <f t="array" aca="1" ref="AI22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AI$6,$AF22+1)</f>
        <v>0</v>
      </c>
      <c r="AJ22" s="7" cm="1">
        <f t="array" aca="1" ref="AJ22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AJ$6,$AF22+1)</f>
        <v>0</v>
      </c>
      <c r="AK22" s="7" cm="1">
        <f t="array" aca="1" ref="AK22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AK$6,$AF22+1)</f>
        <v>0</v>
      </c>
      <c r="AL22" s="7" cm="1">
        <f t="array" aca="1" ref="AL22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AL$6,$AF22+1)</f>
        <v>0</v>
      </c>
      <c r="AM22" s="7">
        <f t="shared" ca="1" si="11"/>
        <v>0</v>
      </c>
    </row>
    <row r="23" spans="1:39" x14ac:dyDescent="0.85">
      <c r="A23">
        <f t="shared" si="4"/>
        <v>2039</v>
      </c>
      <c r="B23">
        <f t="shared" si="4"/>
        <v>15</v>
      </c>
      <c r="C23" s="7" cm="1">
        <f t="array" aca="1" ref="C23" ca="1">$B$4 *
INDIRECT("Include_" &amp; $A$3)*INDIRECT("Include_" &amp; C$7)*
OFFSET(INDIRECT(Region_abbr &amp; "!A1"), $B$5 + C$6,$B23+1)</f>
        <v>2.4140905665000001</v>
      </c>
      <c r="D23" s="7" cm="1">
        <f t="array" aca="1" ref="D23" ca="1">$B$4 *
INDIRECT("Include_" &amp; $A$3)*INDIRECT("Include_" &amp; D$7)*
OFFSET(INDIRECT(Region_abbr &amp; "!A1"), $B$5 + D$6,$B23+1)</f>
        <v>1.32790112367</v>
      </c>
      <c r="E23" s="7" cm="1">
        <f t="array" aca="1" ref="E23" ca="1">$B$4 *
INDIRECT("Include_" &amp; $A$3)*INDIRECT("Include_" &amp; E$7)*
OFFSET(INDIRECT(Region_abbr &amp; "!A1"), $B$5 + E$6,$B23+1)</f>
        <v>5.0838255462099999</v>
      </c>
      <c r="F23" s="7" cm="1">
        <f t="array" aca="1" ref="F23" ca="1">$B$4 *
INDIRECT("Include_" &amp; $A$3)*INDIRECT("Include_" &amp; F$7)*
OFFSET(INDIRECT(Region_abbr &amp; "!A1"), $B$5 + F$6,$B23+1)</f>
        <v>1.02125868715</v>
      </c>
      <c r="G23" s="7" cm="1">
        <f t="array" aca="1" ref="G23" ca="1">$B$4 *
INDIRECT("Include_" &amp; $A$3)*INDIRECT("Include_" &amp; G$7)*
OFFSET(INDIRECT(Region_abbr &amp; "!A1"), $B$5 + G$6,$B23+1)</f>
        <v>1.5965617056599999</v>
      </c>
      <c r="H23" s="7" cm="1">
        <f t="array" aca="1" ref="H23" ca="1">$B$4 *
INDIRECT("Include_" &amp; $A$3)*INDIRECT("Include_" &amp; H$7)*
OFFSET(INDIRECT(Region_abbr &amp; "!A1"), $B$5 + H$6,$B23+1)</f>
        <v>9.9643685809999993E-2</v>
      </c>
      <c r="I23" s="7">
        <f t="shared" ca="1" si="5"/>
        <v>11.543281315</v>
      </c>
      <c r="K23">
        <f t="shared" ref="K23:L23" si="51">K22+1</f>
        <v>2039</v>
      </c>
      <c r="L23">
        <f t="shared" si="51"/>
        <v>15</v>
      </c>
      <c r="M23" s="7" cm="1">
        <f t="array" aca="1" ref="M23" ca="1">$L$4 *
INDIRECT("Include_" &amp; $K$3)*INDIRECT("Include_" &amp; M$7)*
OFFSET(INDIRECT(Region_abbr &amp; "!A1"), $L$5 + M$6,$L23+1)</f>
        <v>0</v>
      </c>
      <c r="N23" s="7" cm="1">
        <f t="array" aca="1" ref="N23" ca="1">$L$4 *
INDIRECT("Include_" &amp; $K$3)*INDIRECT("Include_" &amp; N$7)*
OFFSET(INDIRECT(Region_abbr &amp; "!A1"), $L$5 + N$6,$L23+1)</f>
        <v>0</v>
      </c>
      <c r="O23" s="7" cm="1">
        <f t="array" aca="1" ref="O23" ca="1">$L$4 *
INDIRECT("Include_" &amp; $K$3)*INDIRECT("Include_" &amp; O$7)*
OFFSET(INDIRECT(Region_abbr &amp; "!A1"), $L$5 + O$6,$L23+1)</f>
        <v>0</v>
      </c>
      <c r="P23" s="7" cm="1">
        <f t="array" aca="1" ref="P23" ca="1">$L$4 *
INDIRECT("Include_" &amp; $K$3)*INDIRECT("Include_" &amp; P$7)*
OFFSET(INDIRECT(Region_abbr &amp; "!A1"), $L$5 + P$6,$L23+1)</f>
        <v>0</v>
      </c>
      <c r="Q23" s="7" cm="1">
        <f t="array" aca="1" ref="Q23" ca="1">$L$4 *
INDIRECT("Include_" &amp; $K$3)*INDIRECT("Include_" &amp; Q$7)*
OFFSET(INDIRECT(Region_abbr &amp; "!A1"), $L$5 + Q$6,$L23+1)</f>
        <v>0</v>
      </c>
      <c r="R23" s="7" cm="1">
        <f t="array" aca="1" ref="R23" ca="1">$L$4 *
INDIRECT("Include_" &amp; $K$3)*INDIRECT("Include_" &amp; R$7)*
OFFSET(INDIRECT(Region_abbr &amp; "!A1"), $L$5 + R$6,$L23+1)</f>
        <v>0</v>
      </c>
      <c r="S23" s="7">
        <f t="shared" ca="1" si="7"/>
        <v>0</v>
      </c>
      <c r="U23">
        <f t="shared" ref="U23:V23" si="52">U22+1</f>
        <v>2039</v>
      </c>
      <c r="V23">
        <f t="shared" si="52"/>
        <v>15</v>
      </c>
      <c r="W23" s="7" cm="1">
        <f t="array" aca="1" ref="W23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W$6,$V23+1)</f>
        <v>0</v>
      </c>
      <c r="X23" s="7" cm="1">
        <f t="array" aca="1" ref="X23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X$6,$V23+1)</f>
        <v>0</v>
      </c>
      <c r="Y23" s="7" cm="1">
        <f t="array" aca="1" ref="Y23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Y$6,$V23+1)</f>
        <v>0</v>
      </c>
      <c r="Z23" s="7" cm="1">
        <f t="array" aca="1" ref="Z23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Z$6,$V23+1)</f>
        <v>0</v>
      </c>
      <c r="AA23" s="7" cm="1">
        <f t="array" aca="1" ref="AA23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AA$6,$V23+1)</f>
        <v>0</v>
      </c>
      <c r="AB23" s="7" cm="1">
        <f t="array" aca="1" ref="AB23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AB$6,$V23+1)</f>
        <v>0</v>
      </c>
      <c r="AC23" s="7">
        <f t="shared" ca="1" si="9"/>
        <v>0</v>
      </c>
      <c r="AE23">
        <f t="shared" ref="AE23:AF23" si="53">AE22+1</f>
        <v>2039</v>
      </c>
      <c r="AF23">
        <f t="shared" si="53"/>
        <v>15</v>
      </c>
      <c r="AG23" s="7" cm="1">
        <f t="array" aca="1" ref="AG23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AG$6,$AF23+1)</f>
        <v>0</v>
      </c>
      <c r="AH23" s="7" cm="1">
        <f t="array" aca="1" ref="AH23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AH$6,$AF23+1)</f>
        <v>0</v>
      </c>
      <c r="AI23" s="7" cm="1">
        <f t="array" aca="1" ref="AI23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AI$6,$AF23+1)</f>
        <v>0</v>
      </c>
      <c r="AJ23" s="7" cm="1">
        <f t="array" aca="1" ref="AJ23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AJ$6,$AF23+1)</f>
        <v>0</v>
      </c>
      <c r="AK23" s="7" cm="1">
        <f t="array" aca="1" ref="AK23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AK$6,$AF23+1)</f>
        <v>0</v>
      </c>
      <c r="AL23" s="7" cm="1">
        <f t="array" aca="1" ref="AL23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AL$6,$AF23+1)</f>
        <v>0</v>
      </c>
      <c r="AM23" s="7">
        <f t="shared" ca="1" si="11"/>
        <v>0</v>
      </c>
    </row>
    <row r="24" spans="1:39" x14ac:dyDescent="0.85">
      <c r="A24">
        <f t="shared" si="4"/>
        <v>2040</v>
      </c>
      <c r="B24">
        <f t="shared" si="4"/>
        <v>16</v>
      </c>
      <c r="C24" s="7" cm="1">
        <f t="array" aca="1" ref="C24" ca="1">$B$4 *
INDIRECT("Include_" &amp; $A$3)*INDIRECT("Include_" &amp; C$7)*
OFFSET(INDIRECT(Region_abbr &amp; "!A1"), $B$5 + C$6,$B24+1)</f>
        <v>2.5777904433099996</v>
      </c>
      <c r="D24" s="7" cm="1">
        <f t="array" aca="1" ref="D24" ca="1">$B$4 *
INDIRECT("Include_" &amp; $A$3)*INDIRECT("Include_" &amp; D$7)*
OFFSET(INDIRECT(Region_abbr &amp; "!A1"), $B$5 + D$6,$B24+1)</f>
        <v>1.4334936354600001</v>
      </c>
      <c r="E24" s="7" cm="1">
        <f t="array" aca="1" ref="E24" ca="1">$B$4 *
INDIRECT("Include_" &amp; $A$3)*INDIRECT("Include_" &amp; E$7)*
OFFSET(INDIRECT(Region_abbr &amp; "!A1"), $B$5 + E$6,$B24+1)</f>
        <v>5.5760603412099998</v>
      </c>
      <c r="F24" s="7" cm="1">
        <f t="array" aca="1" ref="F24" ca="1">$B$4 *
INDIRECT("Include_" &amp; $A$3)*INDIRECT("Include_" &amp; F$7)*
OFFSET(INDIRECT(Region_abbr &amp; "!A1"), $B$5 + F$6,$B24+1)</f>
        <v>1.016560913</v>
      </c>
      <c r="G24" s="7" cm="1">
        <f t="array" aca="1" ref="G24" ca="1">$B$4 *
INDIRECT("Include_" &amp; $A$3)*INDIRECT("Include_" &amp; G$7)*
OFFSET(INDIRECT(Region_abbr &amp; "!A1"), $B$5 + G$6,$B24+1)</f>
        <v>1.73350913782</v>
      </c>
      <c r="H24" s="7" cm="1">
        <f t="array" aca="1" ref="H24" ca="1">$B$4 *
INDIRECT("Include_" &amp; $A$3)*INDIRECT("Include_" &amp; H$7)*
OFFSET(INDIRECT(Region_abbr &amp; "!A1"), $B$5 + H$6,$B24+1)</f>
        <v>0.11027317340999999</v>
      </c>
      <c r="I24" s="7">
        <f t="shared" ca="1" si="5"/>
        <v>12.447687644209999</v>
      </c>
      <c r="K24">
        <f t="shared" ref="K24:L24" si="54">K23+1</f>
        <v>2040</v>
      </c>
      <c r="L24">
        <f t="shared" si="54"/>
        <v>16</v>
      </c>
      <c r="M24" s="7" cm="1">
        <f t="array" aca="1" ref="M24" ca="1">$L$4 *
INDIRECT("Include_" &amp; $K$3)*INDIRECT("Include_" &amp; M$7)*
OFFSET(INDIRECT(Region_abbr &amp; "!A1"), $L$5 + M$6,$L24+1)</f>
        <v>0</v>
      </c>
      <c r="N24" s="7" cm="1">
        <f t="array" aca="1" ref="N24" ca="1">$L$4 *
INDIRECT("Include_" &amp; $K$3)*INDIRECT("Include_" &amp; N$7)*
OFFSET(INDIRECT(Region_abbr &amp; "!A1"), $L$5 + N$6,$L24+1)</f>
        <v>0</v>
      </c>
      <c r="O24" s="7" cm="1">
        <f t="array" aca="1" ref="O24" ca="1">$L$4 *
INDIRECT("Include_" &amp; $K$3)*INDIRECT("Include_" &amp; O$7)*
OFFSET(INDIRECT(Region_abbr &amp; "!A1"), $L$5 + O$6,$L24+1)</f>
        <v>0</v>
      </c>
      <c r="P24" s="7" cm="1">
        <f t="array" aca="1" ref="P24" ca="1">$L$4 *
INDIRECT("Include_" &amp; $K$3)*INDIRECT("Include_" &amp; P$7)*
OFFSET(INDIRECT(Region_abbr &amp; "!A1"), $L$5 + P$6,$L24+1)</f>
        <v>0</v>
      </c>
      <c r="Q24" s="7" cm="1">
        <f t="array" aca="1" ref="Q24" ca="1">$L$4 *
INDIRECT("Include_" &amp; $K$3)*INDIRECT("Include_" &amp; Q$7)*
OFFSET(INDIRECT(Region_abbr &amp; "!A1"), $L$5 + Q$6,$L24+1)</f>
        <v>0</v>
      </c>
      <c r="R24" s="7" cm="1">
        <f t="array" aca="1" ref="R24" ca="1">$L$4 *
INDIRECT("Include_" &amp; $K$3)*INDIRECT("Include_" &amp; R$7)*
OFFSET(INDIRECT(Region_abbr &amp; "!A1"), $L$5 + R$6,$L24+1)</f>
        <v>0</v>
      </c>
      <c r="S24" s="7">
        <f t="shared" ca="1" si="7"/>
        <v>0</v>
      </c>
      <c r="U24">
        <f t="shared" ref="U24:V24" si="55">U23+1</f>
        <v>2040</v>
      </c>
      <c r="V24">
        <f t="shared" si="55"/>
        <v>16</v>
      </c>
      <c r="W24" s="7" cm="1">
        <f t="array" aca="1" ref="W24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W$6,$V24+1)</f>
        <v>0</v>
      </c>
      <c r="X24" s="7" cm="1">
        <f t="array" aca="1" ref="X24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X$6,$V24+1)</f>
        <v>0</v>
      </c>
      <c r="Y24" s="7" cm="1">
        <f t="array" aca="1" ref="Y24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Y$6,$V24+1)</f>
        <v>0</v>
      </c>
      <c r="Z24" s="7" cm="1">
        <f t="array" aca="1" ref="Z24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Z$6,$V24+1)</f>
        <v>0</v>
      </c>
      <c r="AA24" s="7" cm="1">
        <f t="array" aca="1" ref="AA24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AA$6,$V24+1)</f>
        <v>0</v>
      </c>
      <c r="AB24" s="7" cm="1">
        <f t="array" aca="1" ref="AB24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AB$6,$V24+1)</f>
        <v>0</v>
      </c>
      <c r="AC24" s="7">
        <f t="shared" ca="1" si="9"/>
        <v>0</v>
      </c>
      <c r="AE24">
        <f t="shared" ref="AE24:AF24" si="56">AE23+1</f>
        <v>2040</v>
      </c>
      <c r="AF24">
        <f t="shared" si="56"/>
        <v>16</v>
      </c>
      <c r="AG24" s="7" cm="1">
        <f t="array" aca="1" ref="AG24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AG$6,$AF24+1)</f>
        <v>0</v>
      </c>
      <c r="AH24" s="7" cm="1">
        <f t="array" aca="1" ref="AH24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AH$6,$AF24+1)</f>
        <v>0</v>
      </c>
      <c r="AI24" s="7" cm="1">
        <f t="array" aca="1" ref="AI24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AI$6,$AF24+1)</f>
        <v>0</v>
      </c>
      <c r="AJ24" s="7" cm="1">
        <f t="array" aca="1" ref="AJ24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AJ$6,$AF24+1)</f>
        <v>0</v>
      </c>
      <c r="AK24" s="7" cm="1">
        <f t="array" aca="1" ref="AK24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AK$6,$AF24+1)</f>
        <v>0</v>
      </c>
      <c r="AL24" s="7" cm="1">
        <f t="array" aca="1" ref="AL24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AL$6,$AF24+1)</f>
        <v>0</v>
      </c>
      <c r="AM24" s="7">
        <f t="shared" ca="1" si="11"/>
        <v>0</v>
      </c>
    </row>
    <row r="25" spans="1:39" x14ac:dyDescent="0.85">
      <c r="A25">
        <f t="shared" ref="A25:B34" si="57">A24+1</f>
        <v>2041</v>
      </c>
      <c r="B25">
        <f t="shared" si="57"/>
        <v>17</v>
      </c>
      <c r="C25" s="7" cm="1">
        <f t="array" aca="1" ref="C25" ca="1">$B$4 *
INDIRECT("Include_" &amp; $A$3)*INDIRECT("Include_" &amp; C$7)*
OFFSET(INDIRECT(Region_abbr &amp; "!A1"), $B$5 + C$6,$B25+1)</f>
        <v>2.7515670835800004</v>
      </c>
      <c r="D25" s="7" cm="1">
        <f t="array" aca="1" ref="D25" ca="1">$B$4 *
INDIRECT("Include_" &amp; $A$3)*INDIRECT("Include_" &amp; D$7)*
OFFSET(INDIRECT(Region_abbr &amp; "!A1"), $B$5 + D$6,$B25+1)</f>
        <v>1.54556976805</v>
      </c>
      <c r="E25" s="7" cm="1">
        <f t="array" aca="1" ref="E25" ca="1">$B$4 *
INDIRECT("Include_" &amp; $A$3)*INDIRECT("Include_" &amp; E$7)*
OFFSET(INDIRECT(Region_abbr &amp; "!A1"), $B$5 + E$6,$B25+1)</f>
        <v>6.0984555256300004</v>
      </c>
      <c r="F25" s="7" cm="1">
        <f t="array" aca="1" ref="F25" ca="1">$B$4 *
INDIRECT("Include_" &amp; $A$3)*INDIRECT("Include_" &amp; F$7)*
OFFSET(INDIRECT(Region_abbr &amp; "!A1"), $B$5 + F$6,$B25+1)</f>
        <v>1.01040769942</v>
      </c>
      <c r="G25" s="7" cm="1">
        <f t="array" aca="1" ref="G25" ca="1">$B$4 *
INDIRECT("Include_" &amp; $A$3)*INDIRECT("Include_" &amp; G$7)*
OFFSET(INDIRECT(Region_abbr &amp; "!A1"), $B$5 + G$6,$B25+1)</f>
        <v>1.87885482944</v>
      </c>
      <c r="H25" s="7" cm="1">
        <f t="array" aca="1" ref="H25" ca="1">$B$4 *
INDIRECT("Include_" &amp; $A$3)*INDIRECT("Include_" &amp; H$7)*
OFFSET(INDIRECT(Region_abbr &amp; "!A1"), $B$5 + H$6,$B25+1)</f>
        <v>0.12157682836</v>
      </c>
      <c r="I25" s="7">
        <f t="shared" ca="1" si="5"/>
        <v>13.406431734480002</v>
      </c>
      <c r="K25">
        <f t="shared" ref="K25:L25" si="58">K24+1</f>
        <v>2041</v>
      </c>
      <c r="L25">
        <f t="shared" si="58"/>
        <v>17</v>
      </c>
      <c r="M25" s="7" cm="1">
        <f t="array" aca="1" ref="M25" ca="1">$L$4 *
INDIRECT("Include_" &amp; $K$3)*INDIRECT("Include_" &amp; M$7)*
OFFSET(INDIRECT(Region_abbr &amp; "!A1"), $L$5 + M$6,$L25+1)</f>
        <v>0</v>
      </c>
      <c r="N25" s="7" cm="1">
        <f t="array" aca="1" ref="N25" ca="1">$L$4 *
INDIRECT("Include_" &amp; $K$3)*INDIRECT("Include_" &amp; N$7)*
OFFSET(INDIRECT(Region_abbr &amp; "!A1"), $L$5 + N$6,$L25+1)</f>
        <v>0</v>
      </c>
      <c r="O25" s="7" cm="1">
        <f t="array" aca="1" ref="O25" ca="1">$L$4 *
INDIRECT("Include_" &amp; $K$3)*INDIRECT("Include_" &amp; O$7)*
OFFSET(INDIRECT(Region_abbr &amp; "!A1"), $L$5 + O$6,$L25+1)</f>
        <v>0</v>
      </c>
      <c r="P25" s="7" cm="1">
        <f t="array" aca="1" ref="P25" ca="1">$L$4 *
INDIRECT("Include_" &amp; $K$3)*INDIRECT("Include_" &amp; P$7)*
OFFSET(INDIRECT(Region_abbr &amp; "!A1"), $L$5 + P$6,$L25+1)</f>
        <v>0</v>
      </c>
      <c r="Q25" s="7" cm="1">
        <f t="array" aca="1" ref="Q25" ca="1">$L$4 *
INDIRECT("Include_" &amp; $K$3)*INDIRECT("Include_" &amp; Q$7)*
OFFSET(INDIRECT(Region_abbr &amp; "!A1"), $L$5 + Q$6,$L25+1)</f>
        <v>0</v>
      </c>
      <c r="R25" s="7" cm="1">
        <f t="array" aca="1" ref="R25" ca="1">$L$4 *
INDIRECT("Include_" &amp; $K$3)*INDIRECT("Include_" &amp; R$7)*
OFFSET(INDIRECT(Region_abbr &amp; "!A1"), $L$5 + R$6,$L25+1)</f>
        <v>0</v>
      </c>
      <c r="S25" s="7">
        <f t="shared" ca="1" si="7"/>
        <v>0</v>
      </c>
      <c r="U25">
        <f t="shared" ref="U25:V25" si="59">U24+1</f>
        <v>2041</v>
      </c>
      <c r="V25">
        <f t="shared" si="59"/>
        <v>17</v>
      </c>
      <c r="W25" s="7" cm="1">
        <f t="array" aca="1" ref="W25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W$6,$V25+1)</f>
        <v>0</v>
      </c>
      <c r="X25" s="7" cm="1">
        <f t="array" aca="1" ref="X25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X$6,$V25+1)</f>
        <v>0</v>
      </c>
      <c r="Y25" s="7" cm="1">
        <f t="array" aca="1" ref="Y25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Y$6,$V25+1)</f>
        <v>0</v>
      </c>
      <c r="Z25" s="7" cm="1">
        <f t="array" aca="1" ref="Z25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Z$6,$V25+1)</f>
        <v>0</v>
      </c>
      <c r="AA25" s="7" cm="1">
        <f t="array" aca="1" ref="AA25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AA$6,$V25+1)</f>
        <v>0</v>
      </c>
      <c r="AB25" s="7" cm="1">
        <f t="array" aca="1" ref="AB25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AB$6,$V25+1)</f>
        <v>0</v>
      </c>
      <c r="AC25" s="7">
        <f t="shared" ca="1" si="9"/>
        <v>0</v>
      </c>
      <c r="AE25">
        <f t="shared" ref="AE25:AF25" si="60">AE24+1</f>
        <v>2041</v>
      </c>
      <c r="AF25">
        <f t="shared" si="60"/>
        <v>17</v>
      </c>
      <c r="AG25" s="7" cm="1">
        <f t="array" aca="1" ref="AG25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AG$6,$AF25+1)</f>
        <v>0</v>
      </c>
      <c r="AH25" s="7" cm="1">
        <f t="array" aca="1" ref="AH25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AH$6,$AF25+1)</f>
        <v>0</v>
      </c>
      <c r="AI25" s="7" cm="1">
        <f t="array" aca="1" ref="AI25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AI$6,$AF25+1)</f>
        <v>0</v>
      </c>
      <c r="AJ25" s="7" cm="1">
        <f t="array" aca="1" ref="AJ25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AJ$6,$AF25+1)</f>
        <v>0</v>
      </c>
      <c r="AK25" s="7" cm="1">
        <f t="array" aca="1" ref="AK25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AK$6,$AF25+1)</f>
        <v>0</v>
      </c>
      <c r="AL25" s="7" cm="1">
        <f t="array" aca="1" ref="AL25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AL$6,$AF25+1)</f>
        <v>0</v>
      </c>
      <c r="AM25" s="7">
        <f t="shared" ca="1" si="11"/>
        <v>0</v>
      </c>
    </row>
    <row r="26" spans="1:39" x14ac:dyDescent="0.85">
      <c r="A26">
        <f t="shared" si="57"/>
        <v>2042</v>
      </c>
      <c r="B26">
        <f t="shared" si="57"/>
        <v>18</v>
      </c>
      <c r="C26" s="7" cm="1">
        <f t="array" aca="1" ref="C26" ca="1">$B$4 *
INDIRECT("Include_" &amp; $A$3)*INDIRECT("Include_" &amp; C$7)*
OFFSET(INDIRECT(Region_abbr &amp; "!A1"), $B$5 + C$6,$B26+1)</f>
        <v>2.93599971616</v>
      </c>
      <c r="D26" s="7" cm="1">
        <f t="array" aca="1" ref="D26" ca="1">$B$4 *
INDIRECT("Include_" &amp; $A$3)*INDIRECT("Include_" &amp; D$7)*
OFFSET(INDIRECT(Region_abbr &amp; "!A1"), $B$5 + D$6,$B26+1)</f>
        <v>1.66450274946</v>
      </c>
      <c r="E26" s="7" cm="1">
        <f t="array" aca="1" ref="E26" ca="1">$B$4 *
INDIRECT("Include_" &amp; $A$3)*INDIRECT("Include_" &amp; E$7)*
OFFSET(INDIRECT(Region_abbr &amp; "!A1"), $B$5 + E$6,$B26+1)</f>
        <v>6.6527453655299995</v>
      </c>
      <c r="F26" s="7" cm="1">
        <f t="array" aca="1" ref="F26" ca="1">$B$4 *
INDIRECT("Include_" &amp; $A$3)*INDIRECT("Include_" &amp; F$7)*
OFFSET(INDIRECT(Region_abbr &amp; "!A1"), $B$5 + F$6,$B26+1)</f>
        <v>1.0026945731099999</v>
      </c>
      <c r="G26" s="7" cm="1">
        <f t="array" aca="1" ref="G26" ca="1">$B$4 *
INDIRECT("Include_" &amp; $A$3)*INDIRECT("Include_" &amp; G$7)*
OFFSET(INDIRECT(Region_abbr &amp; "!A1"), $B$5 + G$6,$B26+1)</f>
        <v>2.0330793766699999</v>
      </c>
      <c r="H26" s="7" cm="1">
        <f t="array" aca="1" ref="H26" ca="1">$B$4 *
INDIRECT("Include_" &amp; $A$3)*INDIRECT("Include_" &amp; H$7)*
OFFSET(INDIRECT(Region_abbr &amp; "!A1"), $B$5 + H$6,$B26+1)</f>
        <v>0.13359357112999998</v>
      </c>
      <c r="I26" s="7">
        <f t="shared" ca="1" si="5"/>
        <v>14.422615352059999</v>
      </c>
      <c r="K26">
        <f t="shared" ref="K26:L26" si="61">K25+1</f>
        <v>2042</v>
      </c>
      <c r="L26">
        <f t="shared" si="61"/>
        <v>18</v>
      </c>
      <c r="M26" s="7" cm="1">
        <f t="array" aca="1" ref="M26" ca="1">$L$4 *
INDIRECT("Include_" &amp; $K$3)*INDIRECT("Include_" &amp; M$7)*
OFFSET(INDIRECT(Region_abbr &amp; "!A1"), $L$5 + M$6,$L26+1)</f>
        <v>0</v>
      </c>
      <c r="N26" s="7" cm="1">
        <f t="array" aca="1" ref="N26" ca="1">$L$4 *
INDIRECT("Include_" &amp; $K$3)*INDIRECT("Include_" &amp; N$7)*
OFFSET(INDIRECT(Region_abbr &amp; "!A1"), $L$5 + N$6,$L26+1)</f>
        <v>0</v>
      </c>
      <c r="O26" s="7" cm="1">
        <f t="array" aca="1" ref="O26" ca="1">$L$4 *
INDIRECT("Include_" &amp; $K$3)*INDIRECT("Include_" &amp; O$7)*
OFFSET(INDIRECT(Region_abbr &amp; "!A1"), $L$5 + O$6,$L26+1)</f>
        <v>0</v>
      </c>
      <c r="P26" s="7" cm="1">
        <f t="array" aca="1" ref="P26" ca="1">$L$4 *
INDIRECT("Include_" &amp; $K$3)*INDIRECT("Include_" &amp; P$7)*
OFFSET(INDIRECT(Region_abbr &amp; "!A1"), $L$5 + P$6,$L26+1)</f>
        <v>0</v>
      </c>
      <c r="Q26" s="7" cm="1">
        <f t="array" aca="1" ref="Q26" ca="1">$L$4 *
INDIRECT("Include_" &amp; $K$3)*INDIRECT("Include_" &amp; Q$7)*
OFFSET(INDIRECT(Region_abbr &amp; "!A1"), $L$5 + Q$6,$L26+1)</f>
        <v>0</v>
      </c>
      <c r="R26" s="7" cm="1">
        <f t="array" aca="1" ref="R26" ca="1">$L$4 *
INDIRECT("Include_" &amp; $K$3)*INDIRECT("Include_" &amp; R$7)*
OFFSET(INDIRECT(Region_abbr &amp; "!A1"), $L$5 + R$6,$L26+1)</f>
        <v>0</v>
      </c>
      <c r="S26" s="7">
        <f t="shared" ca="1" si="7"/>
        <v>0</v>
      </c>
      <c r="U26">
        <f t="shared" ref="U26:V26" si="62">U25+1</f>
        <v>2042</v>
      </c>
      <c r="V26">
        <f t="shared" si="62"/>
        <v>18</v>
      </c>
      <c r="W26" s="7" cm="1">
        <f t="array" aca="1" ref="W26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W$6,$V26+1)</f>
        <v>0</v>
      </c>
      <c r="X26" s="7" cm="1">
        <f t="array" aca="1" ref="X26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X$6,$V26+1)</f>
        <v>0</v>
      </c>
      <c r="Y26" s="7" cm="1">
        <f t="array" aca="1" ref="Y26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Y$6,$V26+1)</f>
        <v>0</v>
      </c>
      <c r="Z26" s="7" cm="1">
        <f t="array" aca="1" ref="Z26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Z$6,$V26+1)</f>
        <v>0</v>
      </c>
      <c r="AA26" s="7" cm="1">
        <f t="array" aca="1" ref="AA26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AA$6,$V26+1)</f>
        <v>0</v>
      </c>
      <c r="AB26" s="7" cm="1">
        <f t="array" aca="1" ref="AB26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AB$6,$V26+1)</f>
        <v>0</v>
      </c>
      <c r="AC26" s="7">
        <f t="shared" ca="1" si="9"/>
        <v>0</v>
      </c>
      <c r="AE26">
        <f t="shared" ref="AE26:AF26" si="63">AE25+1</f>
        <v>2042</v>
      </c>
      <c r="AF26">
        <f t="shared" si="63"/>
        <v>18</v>
      </c>
      <c r="AG26" s="7" cm="1">
        <f t="array" aca="1" ref="AG26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AG$6,$AF26+1)</f>
        <v>0</v>
      </c>
      <c r="AH26" s="7" cm="1">
        <f t="array" aca="1" ref="AH26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AH$6,$AF26+1)</f>
        <v>0</v>
      </c>
      <c r="AI26" s="7" cm="1">
        <f t="array" aca="1" ref="AI26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AI$6,$AF26+1)</f>
        <v>0</v>
      </c>
      <c r="AJ26" s="7" cm="1">
        <f t="array" aca="1" ref="AJ26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AJ$6,$AF26+1)</f>
        <v>0</v>
      </c>
      <c r="AK26" s="7" cm="1">
        <f t="array" aca="1" ref="AK26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AK$6,$AF26+1)</f>
        <v>0</v>
      </c>
      <c r="AL26" s="7" cm="1">
        <f t="array" aca="1" ref="AL26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AL$6,$AF26+1)</f>
        <v>0</v>
      </c>
      <c r="AM26" s="7">
        <f t="shared" ca="1" si="11"/>
        <v>0</v>
      </c>
    </row>
    <row r="27" spans="1:39" x14ac:dyDescent="0.85">
      <c r="A27">
        <f t="shared" si="57"/>
        <v>2043</v>
      </c>
      <c r="B27">
        <f t="shared" si="57"/>
        <v>19</v>
      </c>
      <c r="C27" s="7" cm="1">
        <f t="array" aca="1" ref="C27" ca="1">$B$4 *
INDIRECT("Include_" &amp; $A$3)*INDIRECT("Include_" &amp; C$7)*
OFFSET(INDIRECT(Region_abbr &amp; "!A1"), $B$5 + C$6,$B27+1)</f>
        <v>3.1317001482100002</v>
      </c>
      <c r="D27" s="7" cm="1">
        <f t="array" aca="1" ref="D27" ca="1">$B$4 *
INDIRECT("Include_" &amp; $A$3)*INDIRECT("Include_" &amp; D$7)*
OFFSET(INDIRECT(Region_abbr &amp; "!A1"), $B$5 + D$6,$B27+1)</f>
        <v>1.7906867713700001</v>
      </c>
      <c r="E27" s="7" cm="1">
        <f t="array" aca="1" ref="E27" ca="1">$B$4 *
INDIRECT("Include_" &amp; $A$3)*INDIRECT("Include_" &amp; E$7)*
OFFSET(INDIRECT(Region_abbr &amp; "!A1"), $B$5 + E$6,$B27+1)</f>
        <v>7.2407615404000003</v>
      </c>
      <c r="F27" s="7" cm="1">
        <f t="array" aca="1" ref="F27" ca="1">$B$4 *
INDIRECT("Include_" &amp; $A$3)*INDIRECT("Include_" &amp; F$7)*
OFFSET(INDIRECT(Region_abbr &amp; "!A1"), $B$5 + F$6,$B27+1)</f>
        <v>0.99330928166999999</v>
      </c>
      <c r="G27" s="7" cm="1">
        <f t="array" aca="1" ref="G27" ca="1">$B$4 *
INDIRECT("Include_" &amp; $A$3)*INDIRECT("Include_" &amp; G$7)*
OFFSET(INDIRECT(Region_abbr &amp; "!A1"), $B$5 + G$6,$B27+1)</f>
        <v>2.1966984746100002</v>
      </c>
      <c r="H27" s="7" cm="1">
        <f t="array" aca="1" ref="H27" ca="1">$B$4 *
INDIRECT("Include_" &amp; $A$3)*INDIRECT("Include_" &amp; H$7)*
OFFSET(INDIRECT(Region_abbr &amp; "!A1"), $B$5 + H$6,$B27+1)</f>
        <v>0.14636537703999999</v>
      </c>
      <c r="I27" s="7">
        <f t="shared" ca="1" si="5"/>
        <v>15.499521593300001</v>
      </c>
      <c r="K27">
        <f t="shared" ref="K27:L27" si="64">K26+1</f>
        <v>2043</v>
      </c>
      <c r="L27">
        <f t="shared" si="64"/>
        <v>19</v>
      </c>
      <c r="M27" s="7" cm="1">
        <f t="array" aca="1" ref="M27" ca="1">$L$4 *
INDIRECT("Include_" &amp; $K$3)*INDIRECT("Include_" &amp; M$7)*
OFFSET(INDIRECT(Region_abbr &amp; "!A1"), $L$5 + M$6,$L27+1)</f>
        <v>0</v>
      </c>
      <c r="N27" s="7" cm="1">
        <f t="array" aca="1" ref="N27" ca="1">$L$4 *
INDIRECT("Include_" &amp; $K$3)*INDIRECT("Include_" &amp; N$7)*
OFFSET(INDIRECT(Region_abbr &amp; "!A1"), $L$5 + N$6,$L27+1)</f>
        <v>0</v>
      </c>
      <c r="O27" s="7" cm="1">
        <f t="array" aca="1" ref="O27" ca="1">$L$4 *
INDIRECT("Include_" &amp; $K$3)*INDIRECT("Include_" &amp; O$7)*
OFFSET(INDIRECT(Region_abbr &amp; "!A1"), $L$5 + O$6,$L27+1)</f>
        <v>0</v>
      </c>
      <c r="P27" s="7" cm="1">
        <f t="array" aca="1" ref="P27" ca="1">$L$4 *
INDIRECT("Include_" &amp; $K$3)*INDIRECT("Include_" &amp; P$7)*
OFFSET(INDIRECT(Region_abbr &amp; "!A1"), $L$5 + P$6,$L27+1)</f>
        <v>0</v>
      </c>
      <c r="Q27" s="7" cm="1">
        <f t="array" aca="1" ref="Q27" ca="1">$L$4 *
INDIRECT("Include_" &amp; $K$3)*INDIRECT("Include_" &amp; Q$7)*
OFFSET(INDIRECT(Region_abbr &amp; "!A1"), $L$5 + Q$6,$L27+1)</f>
        <v>0</v>
      </c>
      <c r="R27" s="7" cm="1">
        <f t="array" aca="1" ref="R27" ca="1">$L$4 *
INDIRECT("Include_" &amp; $K$3)*INDIRECT("Include_" &amp; R$7)*
OFFSET(INDIRECT(Region_abbr &amp; "!A1"), $L$5 + R$6,$L27+1)</f>
        <v>0</v>
      </c>
      <c r="S27" s="7">
        <f t="shared" ca="1" si="7"/>
        <v>0</v>
      </c>
      <c r="U27">
        <f t="shared" ref="U27:V27" si="65">U26+1</f>
        <v>2043</v>
      </c>
      <c r="V27">
        <f t="shared" si="65"/>
        <v>19</v>
      </c>
      <c r="W27" s="7" cm="1">
        <f t="array" aca="1" ref="W27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W$6,$V27+1)</f>
        <v>0</v>
      </c>
      <c r="X27" s="7" cm="1">
        <f t="array" aca="1" ref="X27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X$6,$V27+1)</f>
        <v>0</v>
      </c>
      <c r="Y27" s="7" cm="1">
        <f t="array" aca="1" ref="Y27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Y$6,$V27+1)</f>
        <v>0</v>
      </c>
      <c r="Z27" s="7" cm="1">
        <f t="array" aca="1" ref="Z27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Z$6,$V27+1)</f>
        <v>0</v>
      </c>
      <c r="AA27" s="7" cm="1">
        <f t="array" aca="1" ref="AA27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AA$6,$V27+1)</f>
        <v>0</v>
      </c>
      <c r="AB27" s="7" cm="1">
        <f t="array" aca="1" ref="AB27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AB$6,$V27+1)</f>
        <v>0</v>
      </c>
      <c r="AC27" s="7">
        <f t="shared" ca="1" si="9"/>
        <v>0</v>
      </c>
      <c r="AE27">
        <f t="shared" ref="AE27:AF27" si="66">AE26+1</f>
        <v>2043</v>
      </c>
      <c r="AF27">
        <f t="shared" si="66"/>
        <v>19</v>
      </c>
      <c r="AG27" s="7" cm="1">
        <f t="array" aca="1" ref="AG27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AG$6,$AF27+1)</f>
        <v>0</v>
      </c>
      <c r="AH27" s="7" cm="1">
        <f t="array" aca="1" ref="AH27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AH$6,$AF27+1)</f>
        <v>0</v>
      </c>
      <c r="AI27" s="7" cm="1">
        <f t="array" aca="1" ref="AI27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AI$6,$AF27+1)</f>
        <v>0</v>
      </c>
      <c r="AJ27" s="7" cm="1">
        <f t="array" aca="1" ref="AJ27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AJ$6,$AF27+1)</f>
        <v>0</v>
      </c>
      <c r="AK27" s="7" cm="1">
        <f t="array" aca="1" ref="AK27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AK$6,$AF27+1)</f>
        <v>0</v>
      </c>
      <c r="AL27" s="7" cm="1">
        <f t="array" aca="1" ref="AL27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AL$6,$AF27+1)</f>
        <v>0</v>
      </c>
      <c r="AM27" s="7">
        <f t="shared" ca="1" si="11"/>
        <v>0</v>
      </c>
    </row>
    <row r="28" spans="1:39" x14ac:dyDescent="0.85">
      <c r="A28">
        <f t="shared" si="57"/>
        <v>2044</v>
      </c>
      <c r="B28">
        <f t="shared" si="57"/>
        <v>20</v>
      </c>
      <c r="C28" s="7" cm="1">
        <f t="array" aca="1" ref="C28" ca="1">$B$4 *
INDIRECT("Include_" &amp; $A$3)*INDIRECT("Include_" &amp; C$7)*
OFFSET(INDIRECT(Region_abbr &amp; "!A1"), $B$5 + C$6,$B28+1)</f>
        <v>3.3393146111599998</v>
      </c>
      <c r="D28" s="7" cm="1">
        <f t="array" aca="1" ref="D28" ca="1">$B$4 *
INDIRECT("Include_" &amp; $A$3)*INDIRECT("Include_" &amp; D$7)*
OFFSET(INDIRECT(Region_abbr &amp; "!A1"), $B$5 + D$6,$B28+1)</f>
        <v>1.9245381780400002</v>
      </c>
      <c r="E28" s="7" cm="1">
        <f t="array" aca="1" ref="E28" ca="1">$B$4 *
INDIRECT("Include_" &amp; $A$3)*INDIRECT("Include_" &amp; E$7)*
OFFSET(INDIRECT(Region_abbr &amp; "!A1"), $B$5 + E$6,$B28+1)</f>
        <v>7.8644386490500002</v>
      </c>
      <c r="F28" s="7" cm="1">
        <f t="array" aca="1" ref="F28" ca="1">$B$4 *
INDIRECT("Include_" &amp; $A$3)*INDIRECT("Include_" &amp; F$7)*
OFFSET(INDIRECT(Region_abbr &amp; "!A1"), $B$5 + F$6,$B28+1)</f>
        <v>0.98213440375000005</v>
      </c>
      <c r="G28" s="7" cm="1">
        <f t="array" aca="1" ref="G28" ca="1">$B$4 *
INDIRECT("Include_" &amp; $A$3)*INDIRECT("Include_" &amp; G$7)*
OFFSET(INDIRECT(Region_abbr &amp; "!A1"), $B$5 + G$6,$B28+1)</f>
        <v>2.37024853532</v>
      </c>
      <c r="H28" s="7" cm="1">
        <f t="array" aca="1" ref="H28" ca="1">$B$4 *
INDIRECT("Include_" &amp; $A$3)*INDIRECT("Include_" &amp; H$7)*
OFFSET(INDIRECT(Region_abbr &amp; "!A1"), $B$5 + H$6,$B28+1)</f>
        <v>0.15993569635000002</v>
      </c>
      <c r="I28" s="7">
        <f t="shared" ca="1" si="5"/>
        <v>16.64061007367</v>
      </c>
      <c r="K28">
        <f t="shared" ref="K28:L28" si="67">K27+1</f>
        <v>2044</v>
      </c>
      <c r="L28">
        <f t="shared" si="67"/>
        <v>20</v>
      </c>
      <c r="M28" s="7" cm="1">
        <f t="array" aca="1" ref="M28" ca="1">$L$4 *
INDIRECT("Include_" &amp; $K$3)*INDIRECT("Include_" &amp; M$7)*
OFFSET(INDIRECT(Region_abbr &amp; "!A1"), $L$5 + M$6,$L28+1)</f>
        <v>0</v>
      </c>
      <c r="N28" s="7" cm="1">
        <f t="array" aca="1" ref="N28" ca="1">$L$4 *
INDIRECT("Include_" &amp; $K$3)*INDIRECT("Include_" &amp; N$7)*
OFFSET(INDIRECT(Region_abbr &amp; "!A1"), $L$5 + N$6,$L28+1)</f>
        <v>0</v>
      </c>
      <c r="O28" s="7" cm="1">
        <f t="array" aca="1" ref="O28" ca="1">$L$4 *
INDIRECT("Include_" &amp; $K$3)*INDIRECT("Include_" &amp; O$7)*
OFFSET(INDIRECT(Region_abbr &amp; "!A1"), $L$5 + O$6,$L28+1)</f>
        <v>0</v>
      </c>
      <c r="P28" s="7" cm="1">
        <f t="array" aca="1" ref="P28" ca="1">$L$4 *
INDIRECT("Include_" &amp; $K$3)*INDIRECT("Include_" &amp; P$7)*
OFFSET(INDIRECT(Region_abbr &amp; "!A1"), $L$5 + P$6,$L28+1)</f>
        <v>0</v>
      </c>
      <c r="Q28" s="7" cm="1">
        <f t="array" aca="1" ref="Q28" ca="1">$L$4 *
INDIRECT("Include_" &amp; $K$3)*INDIRECT("Include_" &amp; Q$7)*
OFFSET(INDIRECT(Region_abbr &amp; "!A1"), $L$5 + Q$6,$L28+1)</f>
        <v>0</v>
      </c>
      <c r="R28" s="7" cm="1">
        <f t="array" aca="1" ref="R28" ca="1">$L$4 *
INDIRECT("Include_" &amp; $K$3)*INDIRECT("Include_" &amp; R$7)*
OFFSET(INDIRECT(Region_abbr &amp; "!A1"), $L$5 + R$6,$L28+1)</f>
        <v>0</v>
      </c>
      <c r="S28" s="7">
        <f t="shared" ca="1" si="7"/>
        <v>0</v>
      </c>
      <c r="U28">
        <f t="shared" ref="U28:V28" si="68">U27+1</f>
        <v>2044</v>
      </c>
      <c r="V28">
        <f t="shared" si="68"/>
        <v>20</v>
      </c>
      <c r="W28" s="7" cm="1">
        <f t="array" aca="1" ref="W28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W$6,$V28+1)</f>
        <v>0</v>
      </c>
      <c r="X28" s="7" cm="1">
        <f t="array" aca="1" ref="X28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X$6,$V28+1)</f>
        <v>0</v>
      </c>
      <c r="Y28" s="7" cm="1">
        <f t="array" aca="1" ref="Y28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Y$6,$V28+1)</f>
        <v>0</v>
      </c>
      <c r="Z28" s="7" cm="1">
        <f t="array" aca="1" ref="Z28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Z$6,$V28+1)</f>
        <v>0</v>
      </c>
      <c r="AA28" s="7" cm="1">
        <f t="array" aca="1" ref="AA28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AA$6,$V28+1)</f>
        <v>0</v>
      </c>
      <c r="AB28" s="7" cm="1">
        <f t="array" aca="1" ref="AB28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AB$6,$V28+1)</f>
        <v>0</v>
      </c>
      <c r="AC28" s="7">
        <f t="shared" ca="1" si="9"/>
        <v>0</v>
      </c>
      <c r="AE28">
        <f t="shared" ref="AE28:AF28" si="69">AE27+1</f>
        <v>2044</v>
      </c>
      <c r="AF28">
        <f t="shared" si="69"/>
        <v>20</v>
      </c>
      <c r="AG28" s="7" cm="1">
        <f t="array" aca="1" ref="AG28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AG$6,$AF28+1)</f>
        <v>0</v>
      </c>
      <c r="AH28" s="7" cm="1">
        <f t="array" aca="1" ref="AH28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AH$6,$AF28+1)</f>
        <v>0</v>
      </c>
      <c r="AI28" s="7" cm="1">
        <f t="array" aca="1" ref="AI28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AI$6,$AF28+1)</f>
        <v>0</v>
      </c>
      <c r="AJ28" s="7" cm="1">
        <f t="array" aca="1" ref="AJ28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AJ$6,$AF28+1)</f>
        <v>0</v>
      </c>
      <c r="AK28" s="7" cm="1">
        <f t="array" aca="1" ref="AK28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AK$6,$AF28+1)</f>
        <v>0</v>
      </c>
      <c r="AL28" s="7" cm="1">
        <f t="array" aca="1" ref="AL28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AL$6,$AF28+1)</f>
        <v>0</v>
      </c>
      <c r="AM28" s="7">
        <f t="shared" ca="1" si="11"/>
        <v>0</v>
      </c>
    </row>
    <row r="29" spans="1:39" x14ac:dyDescent="0.85">
      <c r="A29">
        <f t="shared" si="57"/>
        <v>2045</v>
      </c>
      <c r="B29">
        <f t="shared" si="57"/>
        <v>21</v>
      </c>
      <c r="C29" s="7" cm="1">
        <f t="array" aca="1" ref="C29" ca="1">$B$4 *
INDIRECT("Include_" &amp; $A$3)*INDIRECT("Include_" &amp; C$7)*
OFFSET(INDIRECT(Region_abbr &amp; "!A1"), $B$5 + C$6,$B29+1)</f>
        <v>3.5595254028799999</v>
      </c>
      <c r="D29" s="7" cm="1">
        <f t="array" aca="1" ref="D29" ca="1">$B$4 *
INDIRECT("Include_" &amp; $A$3)*INDIRECT("Include_" &amp; D$7)*
OFFSET(INDIRECT(Region_abbr &amp; "!A1"), $B$5 + D$6,$B29+1)</f>
        <v>2.0664966858399998</v>
      </c>
      <c r="E29" s="7" cm="1">
        <f t="array" aca="1" ref="E29" ca="1">$B$4 *
INDIRECT("Include_" &amp; $A$3)*INDIRECT("Include_" &amp; E$7)*
OFFSET(INDIRECT(Region_abbr &amp; "!A1"), $B$5 + E$6,$B29+1)</f>
        <v>8.5258198925300004</v>
      </c>
      <c r="F29" s="7" cm="1">
        <f t="array" aca="1" ref="F29" ca="1">$B$4 *
INDIRECT("Include_" &amp; $A$3)*INDIRECT("Include_" &amp; F$7)*
OFFSET(INDIRECT(Region_abbr &amp; "!A1"), $B$5 + F$6,$B29+1)</f>
        <v>0.96904511345000011</v>
      </c>
      <c r="G29" s="7" cm="1">
        <f t="array" aca="1" ref="G29" ca="1">$B$4 *
INDIRECT("Include_" &amp; $A$3)*INDIRECT("Include_" &amp; G$7)*
OFFSET(INDIRECT(Region_abbr &amp; "!A1"), $B$5 + G$6,$B29+1)</f>
        <v>2.55429888314</v>
      </c>
      <c r="H29" s="7" cm="1">
        <f t="array" aca="1" ref="H29" ca="1">$B$4 *
INDIRECT("Include_" &amp; $A$3)*INDIRECT("Include_" &amp; H$7)*
OFFSET(INDIRECT(Region_abbr &amp; "!A1"), $B$5 + H$6,$B29+1)</f>
        <v>0.17435064808</v>
      </c>
      <c r="I29" s="7">
        <f t="shared" ca="1" si="5"/>
        <v>17.849536625920003</v>
      </c>
      <c r="K29">
        <f t="shared" ref="K29:L29" si="70">K28+1</f>
        <v>2045</v>
      </c>
      <c r="L29">
        <f t="shared" si="70"/>
        <v>21</v>
      </c>
      <c r="M29" s="7" cm="1">
        <f t="array" aca="1" ref="M29" ca="1">$L$4 *
INDIRECT("Include_" &amp; $K$3)*INDIRECT("Include_" &amp; M$7)*
OFFSET(INDIRECT(Region_abbr &amp; "!A1"), $L$5 + M$6,$L29+1)</f>
        <v>0</v>
      </c>
      <c r="N29" s="7" cm="1">
        <f t="array" aca="1" ref="N29" ca="1">$L$4 *
INDIRECT("Include_" &amp; $K$3)*INDIRECT("Include_" &amp; N$7)*
OFFSET(INDIRECT(Region_abbr &amp; "!A1"), $L$5 + N$6,$L29+1)</f>
        <v>0</v>
      </c>
      <c r="O29" s="7" cm="1">
        <f t="array" aca="1" ref="O29" ca="1">$L$4 *
INDIRECT("Include_" &amp; $K$3)*INDIRECT("Include_" &amp; O$7)*
OFFSET(INDIRECT(Region_abbr &amp; "!A1"), $L$5 + O$6,$L29+1)</f>
        <v>0</v>
      </c>
      <c r="P29" s="7" cm="1">
        <f t="array" aca="1" ref="P29" ca="1">$L$4 *
INDIRECT("Include_" &amp; $K$3)*INDIRECT("Include_" &amp; P$7)*
OFFSET(INDIRECT(Region_abbr &amp; "!A1"), $L$5 + P$6,$L29+1)</f>
        <v>0</v>
      </c>
      <c r="Q29" s="7" cm="1">
        <f t="array" aca="1" ref="Q29" ca="1">$L$4 *
INDIRECT("Include_" &amp; $K$3)*INDIRECT("Include_" &amp; Q$7)*
OFFSET(INDIRECT(Region_abbr &amp; "!A1"), $L$5 + Q$6,$L29+1)</f>
        <v>0</v>
      </c>
      <c r="R29" s="7" cm="1">
        <f t="array" aca="1" ref="R29" ca="1">$L$4 *
INDIRECT("Include_" &amp; $K$3)*INDIRECT("Include_" &amp; R$7)*
OFFSET(INDIRECT(Region_abbr &amp; "!A1"), $L$5 + R$6,$L29+1)</f>
        <v>0</v>
      </c>
      <c r="S29" s="7">
        <f t="shared" ca="1" si="7"/>
        <v>0</v>
      </c>
      <c r="U29">
        <f t="shared" ref="U29:V29" si="71">U28+1</f>
        <v>2045</v>
      </c>
      <c r="V29">
        <f t="shared" si="71"/>
        <v>21</v>
      </c>
      <c r="W29" s="7" cm="1">
        <f t="array" aca="1" ref="W29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W$6,$V29+1)</f>
        <v>0</v>
      </c>
      <c r="X29" s="7" cm="1">
        <f t="array" aca="1" ref="X29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X$6,$V29+1)</f>
        <v>0</v>
      </c>
      <c r="Y29" s="7" cm="1">
        <f t="array" aca="1" ref="Y29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Y$6,$V29+1)</f>
        <v>0</v>
      </c>
      <c r="Z29" s="7" cm="1">
        <f t="array" aca="1" ref="Z29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Z$6,$V29+1)</f>
        <v>0</v>
      </c>
      <c r="AA29" s="7" cm="1">
        <f t="array" aca="1" ref="AA29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AA$6,$V29+1)</f>
        <v>0</v>
      </c>
      <c r="AB29" s="7" cm="1">
        <f t="array" aca="1" ref="AB29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AB$6,$V29+1)</f>
        <v>0</v>
      </c>
      <c r="AC29" s="7">
        <f t="shared" ca="1" si="9"/>
        <v>0</v>
      </c>
      <c r="AE29">
        <f t="shared" ref="AE29:AF29" si="72">AE28+1</f>
        <v>2045</v>
      </c>
      <c r="AF29">
        <f t="shared" si="72"/>
        <v>21</v>
      </c>
      <c r="AG29" s="7" cm="1">
        <f t="array" aca="1" ref="AG29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AG$6,$AF29+1)</f>
        <v>0</v>
      </c>
      <c r="AH29" s="7" cm="1">
        <f t="array" aca="1" ref="AH29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AH$6,$AF29+1)</f>
        <v>0</v>
      </c>
      <c r="AI29" s="7" cm="1">
        <f t="array" aca="1" ref="AI29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AI$6,$AF29+1)</f>
        <v>0</v>
      </c>
      <c r="AJ29" s="7" cm="1">
        <f t="array" aca="1" ref="AJ29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AJ$6,$AF29+1)</f>
        <v>0</v>
      </c>
      <c r="AK29" s="7" cm="1">
        <f t="array" aca="1" ref="AK29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AK$6,$AF29+1)</f>
        <v>0</v>
      </c>
      <c r="AL29" s="7" cm="1">
        <f t="array" aca="1" ref="AL29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AL$6,$AF29+1)</f>
        <v>0</v>
      </c>
      <c r="AM29" s="7">
        <f t="shared" ca="1" si="11"/>
        <v>0</v>
      </c>
    </row>
    <row r="30" spans="1:39" x14ac:dyDescent="0.85">
      <c r="A30">
        <f t="shared" si="57"/>
        <v>2046</v>
      </c>
      <c r="B30">
        <f t="shared" si="57"/>
        <v>22</v>
      </c>
      <c r="C30" s="7" cm="1">
        <f t="array" aca="1" ref="C30" ca="1">$B$4 *
INDIRECT("Include_" &amp; $A$3)*INDIRECT("Include_" &amp; C$7)*
OFFSET(INDIRECT(Region_abbr &amp; "!A1"), $B$5 + C$6,$B30+1)</f>
        <v>3.7930539155000003</v>
      </c>
      <c r="D30" s="7" cm="1">
        <f t="array" aca="1" ref="D30" ca="1">$B$4 *
INDIRECT("Include_" &amp; $A$3)*INDIRECT("Include_" &amp; D$7)*
OFFSET(INDIRECT(Region_abbr &amp; "!A1"), $B$5 + D$6,$B30+1)</f>
        <v>2.2170266918500001</v>
      </c>
      <c r="E30" s="7" cm="1">
        <f t="array" aca="1" ref="E30" ca="1">$B$4 *
INDIRECT("Include_" &amp; $A$3)*INDIRECT("Include_" &amp; E$7)*
OFFSET(INDIRECT(Region_abbr &amp; "!A1"), $B$5 + E$6,$B30+1)</f>
        <v>9.2270631487500001</v>
      </c>
      <c r="F30" s="7" cm="1">
        <f t="array" aca="1" ref="F30" ca="1">$B$4 *
INDIRECT("Include_" &amp; $A$3)*INDIRECT("Include_" &amp; F$7)*
OFFSET(INDIRECT(Region_abbr &amp; "!A1"), $B$5 + F$6,$B30+1)</f>
        <v>0.95390814695999993</v>
      </c>
      <c r="G30" s="7" cm="1">
        <f t="array" aca="1" ref="G30" ca="1">$B$4 *
INDIRECT("Include_" &amp; $A$3)*INDIRECT("Include_" &amp; G$7)*
OFFSET(INDIRECT(Region_abbr &amp; "!A1"), $B$5 + G$6,$B30+1)</f>
        <v>2.7494500845799998</v>
      </c>
      <c r="H30" s="7" cm="1">
        <f t="array" aca="1" ref="H30" ca="1">$B$4 *
INDIRECT("Include_" &amp; $A$3)*INDIRECT("Include_" &amp; H$7)*
OFFSET(INDIRECT(Region_abbr &amp; "!A1"), $B$5 + H$6,$B30+1)</f>
        <v>0.18966019976000001</v>
      </c>
      <c r="I30" s="7">
        <f t="shared" ca="1" si="5"/>
        <v>19.1301621874</v>
      </c>
      <c r="K30">
        <f t="shared" ref="K30:L30" si="73">K29+1</f>
        <v>2046</v>
      </c>
      <c r="L30">
        <f t="shared" si="73"/>
        <v>22</v>
      </c>
      <c r="M30" s="7" cm="1">
        <f t="array" aca="1" ref="M30" ca="1">$L$4 *
INDIRECT("Include_" &amp; $K$3)*INDIRECT("Include_" &amp; M$7)*
OFFSET(INDIRECT(Region_abbr &amp; "!A1"), $L$5 + M$6,$L30+1)</f>
        <v>0</v>
      </c>
      <c r="N30" s="7" cm="1">
        <f t="array" aca="1" ref="N30" ca="1">$L$4 *
INDIRECT("Include_" &amp; $K$3)*INDIRECT("Include_" &amp; N$7)*
OFFSET(INDIRECT(Region_abbr &amp; "!A1"), $L$5 + N$6,$L30+1)</f>
        <v>0</v>
      </c>
      <c r="O30" s="7" cm="1">
        <f t="array" aca="1" ref="O30" ca="1">$L$4 *
INDIRECT("Include_" &amp; $K$3)*INDIRECT("Include_" &amp; O$7)*
OFFSET(INDIRECT(Region_abbr &amp; "!A1"), $L$5 + O$6,$L30+1)</f>
        <v>0</v>
      </c>
      <c r="P30" s="7" cm="1">
        <f t="array" aca="1" ref="P30" ca="1">$L$4 *
INDIRECT("Include_" &amp; $K$3)*INDIRECT("Include_" &amp; P$7)*
OFFSET(INDIRECT(Region_abbr &amp; "!A1"), $L$5 + P$6,$L30+1)</f>
        <v>0</v>
      </c>
      <c r="Q30" s="7" cm="1">
        <f t="array" aca="1" ref="Q30" ca="1">$L$4 *
INDIRECT("Include_" &amp; $K$3)*INDIRECT("Include_" &amp; Q$7)*
OFFSET(INDIRECT(Region_abbr &amp; "!A1"), $L$5 + Q$6,$L30+1)</f>
        <v>0</v>
      </c>
      <c r="R30" s="7" cm="1">
        <f t="array" aca="1" ref="R30" ca="1">$L$4 *
INDIRECT("Include_" &amp; $K$3)*INDIRECT("Include_" &amp; R$7)*
OFFSET(INDIRECT(Region_abbr &amp; "!A1"), $L$5 + R$6,$L30+1)</f>
        <v>0</v>
      </c>
      <c r="S30" s="7">
        <f t="shared" ca="1" si="7"/>
        <v>0</v>
      </c>
      <c r="U30">
        <f t="shared" ref="U30:V30" si="74">U29+1</f>
        <v>2046</v>
      </c>
      <c r="V30">
        <f t="shared" si="74"/>
        <v>22</v>
      </c>
      <c r="W30" s="7" cm="1">
        <f t="array" aca="1" ref="W30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W$6,$V30+1)</f>
        <v>0</v>
      </c>
      <c r="X30" s="7" cm="1">
        <f t="array" aca="1" ref="X30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X$6,$V30+1)</f>
        <v>0</v>
      </c>
      <c r="Y30" s="7" cm="1">
        <f t="array" aca="1" ref="Y30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Y$6,$V30+1)</f>
        <v>0</v>
      </c>
      <c r="Z30" s="7" cm="1">
        <f t="array" aca="1" ref="Z30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Z$6,$V30+1)</f>
        <v>0</v>
      </c>
      <c r="AA30" s="7" cm="1">
        <f t="array" aca="1" ref="AA30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AA$6,$V30+1)</f>
        <v>0</v>
      </c>
      <c r="AB30" s="7" cm="1">
        <f t="array" aca="1" ref="AB30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AB$6,$V30+1)</f>
        <v>0</v>
      </c>
      <c r="AC30" s="7">
        <f t="shared" ca="1" si="9"/>
        <v>0</v>
      </c>
      <c r="AE30">
        <f t="shared" ref="AE30:AF30" si="75">AE29+1</f>
        <v>2046</v>
      </c>
      <c r="AF30">
        <f t="shared" si="75"/>
        <v>22</v>
      </c>
      <c r="AG30" s="7" cm="1">
        <f t="array" aca="1" ref="AG30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AG$6,$AF30+1)</f>
        <v>0</v>
      </c>
      <c r="AH30" s="7" cm="1">
        <f t="array" aca="1" ref="AH30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AH$6,$AF30+1)</f>
        <v>0</v>
      </c>
      <c r="AI30" s="7" cm="1">
        <f t="array" aca="1" ref="AI30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AI$6,$AF30+1)</f>
        <v>0</v>
      </c>
      <c r="AJ30" s="7" cm="1">
        <f t="array" aca="1" ref="AJ30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AJ$6,$AF30+1)</f>
        <v>0</v>
      </c>
      <c r="AK30" s="7" cm="1">
        <f t="array" aca="1" ref="AK30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AK$6,$AF30+1)</f>
        <v>0</v>
      </c>
      <c r="AL30" s="7" cm="1">
        <f t="array" aca="1" ref="AL30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AL$6,$AF30+1)</f>
        <v>0</v>
      </c>
      <c r="AM30" s="7">
        <f t="shared" ca="1" si="11"/>
        <v>0</v>
      </c>
    </row>
    <row r="31" spans="1:39" x14ac:dyDescent="0.85">
      <c r="A31">
        <f t="shared" si="57"/>
        <v>2047</v>
      </c>
      <c r="B31">
        <f t="shared" si="57"/>
        <v>23</v>
      </c>
      <c r="C31" s="7" cm="1">
        <f t="array" aca="1" ref="C31" ca="1">$B$4 *
INDIRECT("Include_" &amp; $A$3)*INDIRECT("Include_" &amp; C$7)*
OFFSET(INDIRECT(Region_abbr &amp; "!A1"), $B$5 + C$6,$B31+1)</f>
        <v>4.0406612969900007</v>
      </c>
      <c r="D31" s="7" cm="1">
        <f t="array" aca="1" ref="D31" ca="1">$B$4 *
INDIRECT("Include_" &amp; $A$3)*INDIRECT("Include_" &amp; D$7)*
OFFSET(INDIRECT(Region_abbr &amp; "!A1"), $B$5 + D$6,$B31+1)</f>
        <v>2.3766186624799999</v>
      </c>
      <c r="E31" s="7" cm="1">
        <f t="array" aca="1" ref="E31" ca="1">$B$4 *
INDIRECT("Include_" &amp; $A$3)*INDIRECT("Include_" &amp; E$7)*
OFFSET(INDIRECT(Region_abbr &amp; "!A1"), $B$5 + E$6,$B31+1)</f>
        <v>9.9573957248100005</v>
      </c>
      <c r="F31" s="7" cm="1">
        <f t="array" aca="1" ref="F31" ca="1">$B$4 *
INDIRECT("Include_" &amp; $A$3)*INDIRECT("Include_" &amp; F$7)*
OFFSET(INDIRECT(Region_abbr &amp; "!A1"), $B$5 + F$6,$B31+1)</f>
        <v>0.93651693661000002</v>
      </c>
      <c r="G31" s="7" cm="1">
        <f t="array" aca="1" ref="G31" ca="1">$B$4 *
INDIRECT("Include_" &amp; $A$3)*INDIRECT("Include_" &amp; G$7)*
OFFSET(INDIRECT(Region_abbr &amp; "!A1"), $B$5 + G$6,$B31+1)</f>
        <v>2.9563381985300001</v>
      </c>
      <c r="H31" s="7" cm="1">
        <f t="array" aca="1" ref="H31" ca="1">$B$4 *
INDIRECT("Include_" &amp; $A$3)*INDIRECT("Include_" &amp; H$7)*
OFFSET(INDIRECT(Region_abbr &amp; "!A1"), $B$5 + H$6,$B31+1)</f>
        <v>0.20604648890000002</v>
      </c>
      <c r="I31" s="7">
        <f t="shared" ca="1" si="5"/>
        <v>20.473577308320003</v>
      </c>
      <c r="K31">
        <f t="shared" ref="K31:L31" si="76">K30+1</f>
        <v>2047</v>
      </c>
      <c r="L31">
        <f t="shared" si="76"/>
        <v>23</v>
      </c>
      <c r="M31" s="7" cm="1">
        <f t="array" aca="1" ref="M31" ca="1">$L$4 *
INDIRECT("Include_" &amp; $K$3)*INDIRECT("Include_" &amp; M$7)*
OFFSET(INDIRECT(Region_abbr &amp; "!A1"), $L$5 + M$6,$L31+1)</f>
        <v>0</v>
      </c>
      <c r="N31" s="7" cm="1">
        <f t="array" aca="1" ref="N31" ca="1">$L$4 *
INDIRECT("Include_" &amp; $K$3)*INDIRECT("Include_" &amp; N$7)*
OFFSET(INDIRECT(Region_abbr &amp; "!A1"), $L$5 + N$6,$L31+1)</f>
        <v>0</v>
      </c>
      <c r="O31" s="7" cm="1">
        <f t="array" aca="1" ref="O31" ca="1">$L$4 *
INDIRECT("Include_" &amp; $K$3)*INDIRECT("Include_" &amp; O$7)*
OFFSET(INDIRECT(Region_abbr &amp; "!A1"), $L$5 + O$6,$L31+1)</f>
        <v>0</v>
      </c>
      <c r="P31" s="7" cm="1">
        <f t="array" aca="1" ref="P31" ca="1">$L$4 *
INDIRECT("Include_" &amp; $K$3)*INDIRECT("Include_" &amp; P$7)*
OFFSET(INDIRECT(Region_abbr &amp; "!A1"), $L$5 + P$6,$L31+1)</f>
        <v>0</v>
      </c>
      <c r="Q31" s="7" cm="1">
        <f t="array" aca="1" ref="Q31" ca="1">$L$4 *
INDIRECT("Include_" &amp; $K$3)*INDIRECT("Include_" &amp; Q$7)*
OFFSET(INDIRECT(Region_abbr &amp; "!A1"), $L$5 + Q$6,$L31+1)</f>
        <v>0</v>
      </c>
      <c r="R31" s="7" cm="1">
        <f t="array" aca="1" ref="R31" ca="1">$L$4 *
INDIRECT("Include_" &amp; $K$3)*INDIRECT("Include_" &amp; R$7)*
OFFSET(INDIRECT(Region_abbr &amp; "!A1"), $L$5 + R$6,$L31+1)</f>
        <v>0</v>
      </c>
      <c r="S31" s="7">
        <f t="shared" ca="1" si="7"/>
        <v>0</v>
      </c>
      <c r="U31">
        <f t="shared" ref="U31:V31" si="77">U30+1</f>
        <v>2047</v>
      </c>
      <c r="V31">
        <f t="shared" si="77"/>
        <v>23</v>
      </c>
      <c r="W31" s="7" cm="1">
        <f t="array" aca="1" ref="W31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W$6,$V31+1)</f>
        <v>0</v>
      </c>
      <c r="X31" s="7" cm="1">
        <f t="array" aca="1" ref="X31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X$6,$V31+1)</f>
        <v>0</v>
      </c>
      <c r="Y31" s="7" cm="1">
        <f t="array" aca="1" ref="Y31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Y$6,$V31+1)</f>
        <v>0</v>
      </c>
      <c r="Z31" s="7" cm="1">
        <f t="array" aca="1" ref="Z31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Z$6,$V31+1)</f>
        <v>0</v>
      </c>
      <c r="AA31" s="7" cm="1">
        <f t="array" aca="1" ref="AA31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AA$6,$V31+1)</f>
        <v>0</v>
      </c>
      <c r="AB31" s="7" cm="1">
        <f t="array" aca="1" ref="AB31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AB$6,$V31+1)</f>
        <v>0</v>
      </c>
      <c r="AC31" s="7">
        <f t="shared" ca="1" si="9"/>
        <v>0</v>
      </c>
      <c r="AE31">
        <f t="shared" ref="AE31:AF31" si="78">AE30+1</f>
        <v>2047</v>
      </c>
      <c r="AF31">
        <f t="shared" si="78"/>
        <v>23</v>
      </c>
      <c r="AG31" s="7" cm="1">
        <f t="array" aca="1" ref="AG31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AG$6,$AF31+1)</f>
        <v>0</v>
      </c>
      <c r="AH31" s="7" cm="1">
        <f t="array" aca="1" ref="AH31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AH$6,$AF31+1)</f>
        <v>0</v>
      </c>
      <c r="AI31" s="7" cm="1">
        <f t="array" aca="1" ref="AI31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AI$6,$AF31+1)</f>
        <v>0</v>
      </c>
      <c r="AJ31" s="7" cm="1">
        <f t="array" aca="1" ref="AJ31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AJ$6,$AF31+1)</f>
        <v>0</v>
      </c>
      <c r="AK31" s="7" cm="1">
        <f t="array" aca="1" ref="AK31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AK$6,$AF31+1)</f>
        <v>0</v>
      </c>
      <c r="AL31" s="7" cm="1">
        <f t="array" aca="1" ref="AL31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AL$6,$AF31+1)</f>
        <v>0</v>
      </c>
      <c r="AM31" s="7">
        <f t="shared" ca="1" si="11"/>
        <v>0</v>
      </c>
    </row>
    <row r="32" spans="1:39" x14ac:dyDescent="0.85">
      <c r="A32">
        <f t="shared" si="57"/>
        <v>2048</v>
      </c>
      <c r="B32">
        <f t="shared" si="57"/>
        <v>24</v>
      </c>
      <c r="C32" s="7" cm="1">
        <f t="array" aca="1" ref="C32" ca="1">$B$4 *
INDIRECT("Include_" &amp; $A$3)*INDIRECT("Include_" &amp; C$7)*
OFFSET(INDIRECT(Region_abbr &amp; "!A1"), $B$5 + C$6,$B32+1)</f>
        <v>4.3030692606100001</v>
      </c>
      <c r="D32" s="7" cm="1">
        <f t="array" aca="1" ref="D32" ca="1">$B$4 *
INDIRECT("Include_" &amp; $A$3)*INDIRECT("Include_" &amp; D$7)*
OFFSET(INDIRECT(Region_abbr &amp; "!A1"), $B$5 + D$6,$B32+1)</f>
        <v>2.5457374102000001</v>
      </c>
      <c r="E32" s="7" cm="1">
        <f t="array" aca="1" ref="E32" ca="1">$B$4 *
INDIRECT("Include_" &amp; $A$3)*INDIRECT("Include_" &amp; E$7)*
OFFSET(INDIRECT(Region_abbr &amp; "!A1"), $B$5 + E$6,$B32+1)</f>
        <v>10.015342295349999</v>
      </c>
      <c r="F32" s="7" cm="1">
        <f t="array" aca="1" ref="F32" ca="1">$B$4 *
INDIRECT("Include_" &amp; $A$3)*INDIRECT("Include_" &amp; F$7)*
OFFSET(INDIRECT(Region_abbr &amp; "!A1"), $B$5 + F$6,$B32+1)</f>
        <v>0.91694622244000001</v>
      </c>
      <c r="G32" s="7" cm="1">
        <f t="array" aca="1" ref="G32" ca="1">$B$4 *
INDIRECT("Include_" &amp; $A$3)*INDIRECT("Include_" &amp; G$7)*
OFFSET(INDIRECT(Region_abbr &amp; "!A1"), $B$5 + G$6,$B32+1)</f>
        <v>3.17556050044</v>
      </c>
      <c r="H32" s="7" cm="1">
        <f t="array" aca="1" ref="H32" ca="1">$B$4 *
INDIRECT("Include_" &amp; $A$3)*INDIRECT("Include_" &amp; H$7)*
OFFSET(INDIRECT(Region_abbr &amp; "!A1"), $B$5 + H$6,$B32+1)</f>
        <v>0.22316391027000002</v>
      </c>
      <c r="I32" s="7">
        <f t="shared" ca="1" si="5"/>
        <v>21.179819599309997</v>
      </c>
      <c r="K32">
        <f t="shared" ref="K32:L32" si="79">K31+1</f>
        <v>2048</v>
      </c>
      <c r="L32">
        <f t="shared" si="79"/>
        <v>24</v>
      </c>
      <c r="M32" s="7" cm="1">
        <f t="array" aca="1" ref="M32" ca="1">$L$4 *
INDIRECT("Include_" &amp; $K$3)*INDIRECT("Include_" &amp; M$7)*
OFFSET(INDIRECT(Region_abbr &amp; "!A1"), $L$5 + M$6,$L32+1)</f>
        <v>0</v>
      </c>
      <c r="N32" s="7" cm="1">
        <f t="array" aca="1" ref="N32" ca="1">$L$4 *
INDIRECT("Include_" &amp; $K$3)*INDIRECT("Include_" &amp; N$7)*
OFFSET(INDIRECT(Region_abbr &amp; "!A1"), $L$5 + N$6,$L32+1)</f>
        <v>0</v>
      </c>
      <c r="O32" s="7" cm="1">
        <f t="array" aca="1" ref="O32" ca="1">$L$4 *
INDIRECT("Include_" &amp; $K$3)*INDIRECT("Include_" &amp; O$7)*
OFFSET(INDIRECT(Region_abbr &amp; "!A1"), $L$5 + O$6,$L32+1)</f>
        <v>0</v>
      </c>
      <c r="P32" s="7" cm="1">
        <f t="array" aca="1" ref="P32" ca="1">$L$4 *
INDIRECT("Include_" &amp; $K$3)*INDIRECT("Include_" &amp; P$7)*
OFFSET(INDIRECT(Region_abbr &amp; "!A1"), $L$5 + P$6,$L32+1)</f>
        <v>0</v>
      </c>
      <c r="Q32" s="7" cm="1">
        <f t="array" aca="1" ref="Q32" ca="1">$L$4 *
INDIRECT("Include_" &amp; $K$3)*INDIRECT("Include_" &amp; Q$7)*
OFFSET(INDIRECT(Region_abbr &amp; "!A1"), $L$5 + Q$6,$L32+1)</f>
        <v>0</v>
      </c>
      <c r="R32" s="7" cm="1">
        <f t="array" aca="1" ref="R32" ca="1">$L$4 *
INDIRECT("Include_" &amp; $K$3)*INDIRECT("Include_" &amp; R$7)*
OFFSET(INDIRECT(Region_abbr &amp; "!A1"), $L$5 + R$6,$L32+1)</f>
        <v>0</v>
      </c>
      <c r="S32" s="7">
        <f t="shared" ca="1" si="7"/>
        <v>0</v>
      </c>
      <c r="U32">
        <f t="shared" ref="U32:V32" si="80">U31+1</f>
        <v>2048</v>
      </c>
      <c r="V32">
        <f t="shared" si="80"/>
        <v>24</v>
      </c>
      <c r="W32" s="7" cm="1">
        <f t="array" aca="1" ref="W32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W$6,$V32+1)</f>
        <v>0</v>
      </c>
      <c r="X32" s="7" cm="1">
        <f t="array" aca="1" ref="X32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X$6,$V32+1)</f>
        <v>0</v>
      </c>
      <c r="Y32" s="7" cm="1">
        <f t="array" aca="1" ref="Y32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Y$6,$V32+1)</f>
        <v>0</v>
      </c>
      <c r="Z32" s="7" cm="1">
        <f t="array" aca="1" ref="Z32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Z$6,$V32+1)</f>
        <v>0</v>
      </c>
      <c r="AA32" s="7" cm="1">
        <f t="array" aca="1" ref="AA32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AA$6,$V32+1)</f>
        <v>0</v>
      </c>
      <c r="AB32" s="7" cm="1">
        <f t="array" aca="1" ref="AB32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AB$6,$V32+1)</f>
        <v>0</v>
      </c>
      <c r="AC32" s="7">
        <f t="shared" ca="1" si="9"/>
        <v>0</v>
      </c>
      <c r="AE32">
        <f t="shared" ref="AE32:AF32" si="81">AE31+1</f>
        <v>2048</v>
      </c>
      <c r="AF32">
        <f t="shared" si="81"/>
        <v>24</v>
      </c>
      <c r="AG32" s="7" cm="1">
        <f t="array" aca="1" ref="AG32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AG$6,$AF32+1)</f>
        <v>0</v>
      </c>
      <c r="AH32" s="7" cm="1">
        <f t="array" aca="1" ref="AH32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AH$6,$AF32+1)</f>
        <v>0</v>
      </c>
      <c r="AI32" s="7" cm="1">
        <f t="array" aca="1" ref="AI32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AI$6,$AF32+1)</f>
        <v>0</v>
      </c>
      <c r="AJ32" s="7" cm="1">
        <f t="array" aca="1" ref="AJ32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AJ$6,$AF32+1)</f>
        <v>0</v>
      </c>
      <c r="AK32" s="7" cm="1">
        <f t="array" aca="1" ref="AK32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AK$6,$AF32+1)</f>
        <v>0</v>
      </c>
      <c r="AL32" s="7" cm="1">
        <f t="array" aca="1" ref="AL32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AL$6,$AF32+1)</f>
        <v>0</v>
      </c>
      <c r="AM32" s="7">
        <f t="shared" ca="1" si="11"/>
        <v>0</v>
      </c>
    </row>
    <row r="33" spans="1:39" x14ac:dyDescent="0.85">
      <c r="A33">
        <f t="shared" si="57"/>
        <v>2049</v>
      </c>
      <c r="B33">
        <f t="shared" si="57"/>
        <v>25</v>
      </c>
      <c r="C33" s="7" cm="1">
        <f t="array" aca="1" ref="C33" ca="1">$B$4 *
INDIRECT("Include_" &amp; $A$3)*INDIRECT("Include_" &amp; C$7)*
OFFSET(INDIRECT(Region_abbr &amp; "!A1"), $B$5 + C$6,$B33+1)</f>
        <v>4.5764876053699997</v>
      </c>
      <c r="D33" s="7" cm="1">
        <f t="array" aca="1" ref="D33" ca="1">$B$4 *
INDIRECT("Include_" &amp; $A$3)*INDIRECT("Include_" &amp; D$7)*
OFFSET(INDIRECT(Region_abbr &amp; "!A1"), $B$5 + D$6,$B33+1)</f>
        <v>2.7219425979</v>
      </c>
      <c r="E33" s="7" cm="1">
        <f t="array" aca="1" ref="E33" ca="1">$B$4 *
INDIRECT("Include_" &amp; $A$3)*INDIRECT("Include_" &amp; E$7)*
OFFSET(INDIRECT(Region_abbr &amp; "!A1"), $B$5 + E$6,$B33+1)</f>
        <v>10.143743731380001</v>
      </c>
      <c r="F33" s="7" cm="1">
        <f t="array" aca="1" ref="F33" ca="1">$B$4 *
INDIRECT("Include_" &amp; $A$3)*INDIRECT("Include_" &amp; F$7)*
OFFSET(INDIRECT(Region_abbr &amp; "!A1"), $B$5 + F$6,$B33+1)</f>
        <v>0.89572904987000002</v>
      </c>
      <c r="G33" s="7" cm="1">
        <f t="array" aca="1" ref="G33" ca="1">$B$4 *
INDIRECT("Include_" &amp; $A$3)*INDIRECT("Include_" &amp; G$7)*
OFFSET(INDIRECT(Region_abbr &amp; "!A1"), $B$5 + G$6,$B33+1)</f>
        <v>3.4039725199099999</v>
      </c>
      <c r="H33" s="7" cm="1">
        <f t="array" aca="1" ref="H33" ca="1">$B$4 *
INDIRECT("Include_" &amp; $A$3)*INDIRECT("Include_" &amp; H$7)*
OFFSET(INDIRECT(Region_abbr &amp; "!A1"), $B$5 + H$6,$B33+1)</f>
        <v>0.24118981747999998</v>
      </c>
      <c r="I33" s="7">
        <f t="shared" ca="1" si="5"/>
        <v>21.983065321909997</v>
      </c>
      <c r="K33">
        <f t="shared" ref="K33:L33" si="82">K32+1</f>
        <v>2049</v>
      </c>
      <c r="L33">
        <f t="shared" si="82"/>
        <v>25</v>
      </c>
      <c r="M33" s="7" cm="1">
        <f t="array" aca="1" ref="M33" ca="1">$L$4 *
INDIRECT("Include_" &amp; $K$3)*INDIRECT("Include_" &amp; M$7)*
OFFSET(INDIRECT(Region_abbr &amp; "!A1"), $L$5 + M$6,$L33+1)</f>
        <v>0</v>
      </c>
      <c r="N33" s="7" cm="1">
        <f t="array" aca="1" ref="N33" ca="1">$L$4 *
INDIRECT("Include_" &amp; $K$3)*INDIRECT("Include_" &amp; N$7)*
OFFSET(INDIRECT(Region_abbr &amp; "!A1"), $L$5 + N$6,$L33+1)</f>
        <v>0</v>
      </c>
      <c r="O33" s="7" cm="1">
        <f t="array" aca="1" ref="O33" ca="1">$L$4 *
INDIRECT("Include_" &amp; $K$3)*INDIRECT("Include_" &amp; O$7)*
OFFSET(INDIRECT(Region_abbr &amp; "!A1"), $L$5 + O$6,$L33+1)</f>
        <v>0</v>
      </c>
      <c r="P33" s="7" cm="1">
        <f t="array" aca="1" ref="P33" ca="1">$L$4 *
INDIRECT("Include_" &amp; $K$3)*INDIRECT("Include_" &amp; P$7)*
OFFSET(INDIRECT(Region_abbr &amp; "!A1"), $L$5 + P$6,$L33+1)</f>
        <v>0</v>
      </c>
      <c r="Q33" s="7" cm="1">
        <f t="array" aca="1" ref="Q33" ca="1">$L$4 *
INDIRECT("Include_" &amp; $K$3)*INDIRECT("Include_" &amp; Q$7)*
OFFSET(INDIRECT(Region_abbr &amp; "!A1"), $L$5 + Q$6,$L33+1)</f>
        <v>0</v>
      </c>
      <c r="R33" s="7" cm="1">
        <f t="array" aca="1" ref="R33" ca="1">$L$4 *
INDIRECT("Include_" &amp; $K$3)*INDIRECT("Include_" &amp; R$7)*
OFFSET(INDIRECT(Region_abbr &amp; "!A1"), $L$5 + R$6,$L33+1)</f>
        <v>0</v>
      </c>
      <c r="S33" s="7">
        <f t="shared" ca="1" si="7"/>
        <v>0</v>
      </c>
      <c r="U33">
        <f t="shared" ref="U33:V33" si="83">U32+1</f>
        <v>2049</v>
      </c>
      <c r="V33">
        <f t="shared" si="83"/>
        <v>25</v>
      </c>
      <c r="W33" s="7" cm="1">
        <f t="array" aca="1" ref="W33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W$6,$V33+1)</f>
        <v>0</v>
      </c>
      <c r="X33" s="7" cm="1">
        <f t="array" aca="1" ref="X33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X$6,$V33+1)</f>
        <v>0</v>
      </c>
      <c r="Y33" s="7" cm="1">
        <f t="array" aca="1" ref="Y33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Y$6,$V33+1)</f>
        <v>0</v>
      </c>
      <c r="Z33" s="7" cm="1">
        <f t="array" aca="1" ref="Z33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Z$6,$V33+1)</f>
        <v>0</v>
      </c>
      <c r="AA33" s="7" cm="1">
        <f t="array" aca="1" ref="AA33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AA$6,$V33+1)</f>
        <v>0</v>
      </c>
      <c r="AB33" s="7" cm="1">
        <f t="array" aca="1" ref="AB33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AB$6,$V33+1)</f>
        <v>0</v>
      </c>
      <c r="AC33" s="7">
        <f t="shared" ca="1" si="9"/>
        <v>0</v>
      </c>
      <c r="AE33">
        <f t="shared" ref="AE33:AF33" si="84">AE32+1</f>
        <v>2049</v>
      </c>
      <c r="AF33">
        <f t="shared" si="84"/>
        <v>25</v>
      </c>
      <c r="AG33" s="7" cm="1">
        <f t="array" aca="1" ref="AG33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AG$6,$AF33+1)</f>
        <v>0</v>
      </c>
      <c r="AH33" s="7" cm="1">
        <f t="array" aca="1" ref="AH33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AH$6,$AF33+1)</f>
        <v>0</v>
      </c>
      <c r="AI33" s="7" cm="1">
        <f t="array" aca="1" ref="AI33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AI$6,$AF33+1)</f>
        <v>0</v>
      </c>
      <c r="AJ33" s="7" cm="1">
        <f t="array" aca="1" ref="AJ33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AJ$6,$AF33+1)</f>
        <v>0</v>
      </c>
      <c r="AK33" s="7" cm="1">
        <f t="array" aca="1" ref="AK33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AK$6,$AF33+1)</f>
        <v>0</v>
      </c>
      <c r="AL33" s="7" cm="1">
        <f t="array" aca="1" ref="AL33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AL$6,$AF33+1)</f>
        <v>0</v>
      </c>
      <c r="AM33" s="7">
        <f t="shared" ca="1" si="11"/>
        <v>0</v>
      </c>
    </row>
    <row r="34" spans="1:39" x14ac:dyDescent="0.85">
      <c r="A34">
        <f t="shared" si="57"/>
        <v>2050</v>
      </c>
      <c r="B34">
        <f t="shared" si="57"/>
        <v>26</v>
      </c>
      <c r="C34" s="7" cm="1">
        <f t="array" aca="1" ref="C34" ca="1">$B$4 *
INDIRECT("Include_" &amp; $A$3)*INDIRECT("Include_" &amp; C$7)*
OFFSET(INDIRECT(Region_abbr &amp; "!A1"), $B$5 + C$6,$B34+1)</f>
        <v>4.8617976203400008</v>
      </c>
      <c r="D34" s="7" cm="1">
        <f t="array" aca="1" ref="D34" ca="1">$B$4 *
INDIRECT("Include_" &amp; $A$3)*INDIRECT("Include_" &amp; D$7)*
OFFSET(INDIRECT(Region_abbr &amp; "!A1"), $B$5 + D$6,$B34+1)</f>
        <v>2.90580172653</v>
      </c>
      <c r="E34" s="7" cm="1">
        <f t="array" aca="1" ref="E34" ca="1">$B$4 *
INDIRECT("Include_" &amp; $A$3)*INDIRECT("Include_" &amp; E$7)*
OFFSET(INDIRECT(Region_abbr &amp; "!A1"), $B$5 + E$6,$B34+1)</f>
        <v>10.2712772845</v>
      </c>
      <c r="F34" s="7" cm="1">
        <f t="array" aca="1" ref="F34" ca="1">$B$4 *
INDIRECT("Include_" &amp; $A$3)*INDIRECT("Include_" &amp; F$7)*
OFFSET(INDIRECT(Region_abbr &amp; "!A1"), $B$5 + F$6,$B34+1)</f>
        <v>0.87285975873999999</v>
      </c>
      <c r="G34" s="7" cm="1">
        <f t="array" aca="1" ref="G34" ca="1">$B$4 *
INDIRECT("Include_" &amp; $A$3)*INDIRECT("Include_" &amp; G$7)*
OFFSET(INDIRECT(Region_abbr &amp; "!A1"), $B$5 + G$6,$B34+1)</f>
        <v>3.6423012182700001</v>
      </c>
      <c r="H34" s="7" cm="1">
        <f t="array" aca="1" ref="H34" ca="1">$B$4 *
INDIRECT("Include_" &amp; $A$3)*INDIRECT("Include_" &amp; H$7)*
OFFSET(INDIRECT(Region_abbr &amp; "!A1"), $B$5 + H$6,$B34+1)</f>
        <v>0.25991942805000001</v>
      </c>
      <c r="I34" s="7">
        <f t="shared" ca="1" si="5"/>
        <v>22.813957036430001</v>
      </c>
      <c r="K34">
        <f t="shared" ref="K34:L34" si="85">K33+1</f>
        <v>2050</v>
      </c>
      <c r="L34">
        <f t="shared" si="85"/>
        <v>26</v>
      </c>
      <c r="M34" s="7" cm="1">
        <f t="array" aca="1" ref="M34" ca="1">$L$4 *
INDIRECT("Include_" &amp; $K$3)*INDIRECT("Include_" &amp; M$7)*
OFFSET(INDIRECT(Region_abbr &amp; "!A1"), $L$5 + M$6,$L34+1)</f>
        <v>0</v>
      </c>
      <c r="N34" s="7" cm="1">
        <f t="array" aca="1" ref="N34" ca="1">$L$4 *
INDIRECT("Include_" &amp; $K$3)*INDIRECT("Include_" &amp; N$7)*
OFFSET(INDIRECT(Region_abbr &amp; "!A1"), $L$5 + N$6,$L34+1)</f>
        <v>0</v>
      </c>
      <c r="O34" s="7" cm="1">
        <f t="array" aca="1" ref="O34" ca="1">$L$4 *
INDIRECT("Include_" &amp; $K$3)*INDIRECT("Include_" &amp; O$7)*
OFFSET(INDIRECT(Region_abbr &amp; "!A1"), $L$5 + O$6,$L34+1)</f>
        <v>0</v>
      </c>
      <c r="P34" s="7" cm="1">
        <f t="array" aca="1" ref="P34" ca="1">$L$4 *
INDIRECT("Include_" &amp; $K$3)*INDIRECT("Include_" &amp; P$7)*
OFFSET(INDIRECT(Region_abbr &amp; "!A1"), $L$5 + P$6,$L34+1)</f>
        <v>0</v>
      </c>
      <c r="Q34" s="7" cm="1">
        <f t="array" aca="1" ref="Q34" ca="1">$L$4 *
INDIRECT("Include_" &amp; $K$3)*INDIRECT("Include_" &amp; Q$7)*
OFFSET(INDIRECT(Region_abbr &amp; "!A1"), $L$5 + Q$6,$L34+1)</f>
        <v>0</v>
      </c>
      <c r="R34" s="7" cm="1">
        <f t="array" aca="1" ref="R34" ca="1">$L$4 *
INDIRECT("Include_" &amp; $K$3)*INDIRECT("Include_" &amp; R$7)*
OFFSET(INDIRECT(Region_abbr &amp; "!A1"), $L$5 + R$6,$L34+1)</f>
        <v>0</v>
      </c>
      <c r="S34" s="7">
        <f t="shared" ca="1" si="7"/>
        <v>0</v>
      </c>
      <c r="U34">
        <f t="shared" ref="U34:V34" si="86">U33+1</f>
        <v>2050</v>
      </c>
      <c r="V34">
        <f t="shared" si="86"/>
        <v>26</v>
      </c>
      <c r="W34" s="7" cm="1">
        <f t="array" aca="1" ref="W34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W$6,$V34+1)</f>
        <v>0</v>
      </c>
      <c r="X34" s="7" cm="1">
        <f t="array" aca="1" ref="X34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X$6,$V34+1)</f>
        <v>0</v>
      </c>
      <c r="Y34" s="7" cm="1">
        <f t="array" aca="1" ref="Y34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Y$6,$V34+1)</f>
        <v>0</v>
      </c>
      <c r="Z34" s="7" cm="1">
        <f t="array" aca="1" ref="Z34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Z$6,$V34+1)</f>
        <v>0</v>
      </c>
      <c r="AA34" s="7" cm="1">
        <f t="array" aca="1" ref="AA34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AA$6,$V34+1)</f>
        <v>0</v>
      </c>
      <c r="AB34" s="7" cm="1">
        <f t="array" aca="1" ref="AB34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AB$6,$V34+1)</f>
        <v>0</v>
      </c>
      <c r="AC34" s="7">
        <f t="shared" ca="1" si="9"/>
        <v>0</v>
      </c>
      <c r="AE34">
        <f t="shared" ref="AE34:AF34" si="87">AE33+1</f>
        <v>2050</v>
      </c>
      <c r="AF34">
        <f t="shared" si="87"/>
        <v>26</v>
      </c>
      <c r="AG34" s="7" cm="1">
        <f t="array" aca="1" ref="AG34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AG$6,$AF34+1)</f>
        <v>0</v>
      </c>
      <c r="AH34" s="7" cm="1">
        <f t="array" aca="1" ref="AH34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AH$6,$AF34+1)</f>
        <v>0</v>
      </c>
      <c r="AI34" s="7" cm="1">
        <f t="array" aca="1" ref="AI34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AI$6,$AF34+1)</f>
        <v>0</v>
      </c>
      <c r="AJ34" s="7" cm="1">
        <f t="array" aca="1" ref="AJ34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AJ$6,$AF34+1)</f>
        <v>0</v>
      </c>
      <c r="AK34" s="7" cm="1">
        <f t="array" aca="1" ref="AK34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AK$6,$AF34+1)</f>
        <v>0</v>
      </c>
      <c r="AL34" s="7" cm="1">
        <f t="array" aca="1" ref="AL34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AL$6,$AF34+1)</f>
        <v>0</v>
      </c>
      <c r="AM34" s="7">
        <f t="shared" ca="1" si="11"/>
        <v>0</v>
      </c>
    </row>
  </sheetData>
  <mergeCells count="1">
    <mergeCell ref="A1:B1"/>
  </mergeCells>
  <conditionalFormatting sqref="C8:I34">
    <cfRule type="expression" dxfId="9" priority="10">
      <formula>#REF! &gt; 10000</formula>
    </cfRule>
  </conditionalFormatting>
  <conditionalFormatting sqref="M8:S34">
    <cfRule type="expression" dxfId="8" priority="4">
      <formula>#REF! &gt; 10000</formula>
    </cfRule>
  </conditionalFormatting>
  <conditionalFormatting sqref="W8:AC34">
    <cfRule type="expression" dxfId="7" priority="3">
      <formula>#REF! &gt; 10000</formula>
    </cfRule>
  </conditionalFormatting>
  <conditionalFormatting sqref="AM8:AM34">
    <cfRule type="expression" dxfId="6" priority="2">
      <formula>#REF! &gt; 10000</formula>
    </cfRule>
  </conditionalFormatting>
  <conditionalFormatting sqref="AG8:AL34">
    <cfRule type="expression" dxfId="5" priority="1">
      <formula>#REF! &gt; 10000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BF0EF-A996-4A59-96F3-C2C87EE98190}">
  <sheetPr codeName="Sheet2"/>
  <dimension ref="A1:N19"/>
  <sheetViews>
    <sheetView workbookViewId="0">
      <selection activeCell="I3" sqref="I3"/>
    </sheetView>
  </sheetViews>
  <sheetFormatPr defaultRowHeight="14.6" x14ac:dyDescent="0.85"/>
  <cols>
    <col min="1" max="3" width="12.07421875" style="4" customWidth="1"/>
    <col min="4" max="4" width="14.69140625" style="4" customWidth="1"/>
    <col min="5" max="5" width="1.65234375" style="4" bestFit="1" customWidth="1"/>
    <col min="6" max="6" width="8.265625" style="4" customWidth="1"/>
    <col min="7" max="7" width="9.15234375" style="4" customWidth="1"/>
    <col min="8" max="8" width="10.73046875" style="4" bestFit="1" customWidth="1"/>
    <col min="9" max="13" width="8.921875" style="4"/>
    <col min="14" max="14" width="12.15234375" style="13" bestFit="1" customWidth="1"/>
    <col min="15" max="16384" width="8.921875" style="4"/>
  </cols>
  <sheetData>
    <row r="1" spans="1:14" s="3" customFormat="1" ht="29.15" x14ac:dyDescent="0.85">
      <c r="A1" s="3" t="s">
        <v>9</v>
      </c>
      <c r="B1" s="3" t="s">
        <v>10</v>
      </c>
      <c r="C1" s="3" t="str">
        <f>A1</f>
        <v>Regions</v>
      </c>
      <c r="D1" s="3" t="s">
        <v>11</v>
      </c>
      <c r="E1" s="4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N1" s="12"/>
    </row>
    <row r="2" spans="1:14" x14ac:dyDescent="0.85">
      <c r="A2" s="4" t="s">
        <v>7</v>
      </c>
      <c r="B2" s="4" t="s">
        <v>19</v>
      </c>
      <c r="C2" s="4" t="s">
        <v>7</v>
      </c>
      <c r="D2" s="4" t="s">
        <v>141</v>
      </c>
      <c r="E2" s="4">
        <v>0</v>
      </c>
      <c r="F2" s="4" t="s">
        <v>20</v>
      </c>
      <c r="G2" s="4" cm="1">
        <f t="array" ref="G2">1/Thousand</f>
        <v>1E-3</v>
      </c>
      <c r="H2" s="4">
        <v>12</v>
      </c>
      <c r="I2" s="4">
        <v>8</v>
      </c>
      <c r="J2" s="4" t="s">
        <v>0</v>
      </c>
      <c r="K2" s="4">
        <f>_1st_ref</f>
        <v>8</v>
      </c>
      <c r="L2" s="4">
        <v>1</v>
      </c>
      <c r="M2" s="4" t="s">
        <v>163</v>
      </c>
      <c r="N2" s="13">
        <v>1000</v>
      </c>
    </row>
    <row r="3" spans="1:14" ht="14.65" x14ac:dyDescent="0.85">
      <c r="A3" s="4" t="s">
        <v>21</v>
      </c>
      <c r="B3" s="4" t="s">
        <v>22</v>
      </c>
      <c r="C3" s="4" t="s">
        <v>21</v>
      </c>
      <c r="D3" s="4" t="s">
        <v>142</v>
      </c>
      <c r="E3" s="4">
        <v>1</v>
      </c>
      <c r="F3" s="4" t="s">
        <v>23</v>
      </c>
      <c r="G3" s="4">
        <f>1/Million</f>
        <v>9.9999999999999995E-7</v>
      </c>
      <c r="J3" s="4" t="s">
        <v>1</v>
      </c>
      <c r="K3" s="4">
        <f>K2+Param_Count</f>
        <v>20</v>
      </c>
      <c r="L3" s="4">
        <v>2</v>
      </c>
      <c r="M3" s="4" t="s">
        <v>164</v>
      </c>
      <c r="N3" s="13">
        <v>1000000</v>
      </c>
    </row>
    <row r="4" spans="1:14" ht="14.65" x14ac:dyDescent="0.85">
      <c r="A4" s="4" t="s">
        <v>24</v>
      </c>
      <c r="B4" s="4" t="s">
        <v>25</v>
      </c>
      <c r="C4" s="4" t="s">
        <v>24</v>
      </c>
      <c r="D4" s="4" t="s">
        <v>6</v>
      </c>
      <c r="E4" s="4">
        <v>2</v>
      </c>
      <c r="F4" s="4" t="s">
        <v>33</v>
      </c>
      <c r="G4" s="4">
        <v>1</v>
      </c>
      <c r="J4" s="4" t="s">
        <v>2</v>
      </c>
      <c r="K4" s="4">
        <f>K3+Param_Count</f>
        <v>32</v>
      </c>
      <c r="L4" s="4">
        <v>3</v>
      </c>
      <c r="M4" s="4" t="s">
        <v>165</v>
      </c>
      <c r="N4" s="13">
        <v>1000000000</v>
      </c>
    </row>
    <row r="5" spans="1:14" ht="14.65" x14ac:dyDescent="0.85">
      <c r="A5" s="4" t="s">
        <v>26</v>
      </c>
      <c r="B5" s="4" t="s">
        <v>27</v>
      </c>
      <c r="C5" s="4" t="s">
        <v>26</v>
      </c>
      <c r="D5" s="4" t="s">
        <v>145</v>
      </c>
      <c r="E5" s="4">
        <v>3</v>
      </c>
      <c r="F5" s="4" t="s">
        <v>149</v>
      </c>
      <c r="G5" s="4">
        <f>1/Thousand</f>
        <v>1E-3</v>
      </c>
      <c r="J5" s="4" t="s">
        <v>3</v>
      </c>
      <c r="K5" s="4">
        <f>K4+Param_Count</f>
        <v>44</v>
      </c>
      <c r="L5" s="4">
        <v>4</v>
      </c>
    </row>
    <row r="6" spans="1:14" ht="14.65" x14ac:dyDescent="0.85">
      <c r="A6" s="4" t="s">
        <v>29</v>
      </c>
      <c r="B6" s="4" t="s">
        <v>30</v>
      </c>
      <c r="C6" s="4" t="s">
        <v>29</v>
      </c>
      <c r="D6" s="4" t="s">
        <v>146</v>
      </c>
      <c r="E6" s="4">
        <v>4</v>
      </c>
      <c r="F6" s="4" t="s">
        <v>149</v>
      </c>
      <c r="G6" s="4">
        <f>1/Thousand</f>
        <v>1E-3</v>
      </c>
      <c r="J6" s="4" t="s">
        <v>4</v>
      </c>
      <c r="K6" s="4">
        <f>K5+Param_Count</f>
        <v>56</v>
      </c>
      <c r="L6" s="4">
        <v>5</v>
      </c>
    </row>
    <row r="7" spans="1:14" ht="14.65" x14ac:dyDescent="0.85">
      <c r="A7" s="4" t="s">
        <v>31</v>
      </c>
      <c r="B7" s="4" t="s">
        <v>32</v>
      </c>
      <c r="C7" s="4" t="s">
        <v>31</v>
      </c>
      <c r="D7" s="4" t="s">
        <v>148</v>
      </c>
      <c r="E7" s="4">
        <v>5</v>
      </c>
      <c r="F7" s="4" t="s">
        <v>149</v>
      </c>
      <c r="G7" s="4">
        <f>1/Thousand</f>
        <v>1E-3</v>
      </c>
      <c r="J7" s="4" t="s">
        <v>127</v>
      </c>
      <c r="K7" s="4">
        <f>K6+Param_Count</f>
        <v>68</v>
      </c>
      <c r="L7" s="4">
        <v>6</v>
      </c>
    </row>
    <row r="8" spans="1:14" ht="14.65" x14ac:dyDescent="0.85">
      <c r="A8" s="4" t="s">
        <v>34</v>
      </c>
      <c r="B8" s="4" t="s">
        <v>35</v>
      </c>
      <c r="C8" s="4" t="s">
        <v>34</v>
      </c>
      <c r="D8" s="4" t="s">
        <v>147</v>
      </c>
      <c r="E8" s="4">
        <v>6</v>
      </c>
      <c r="F8" s="4" t="s">
        <v>149</v>
      </c>
      <c r="G8" s="4">
        <f>1/Thousand</f>
        <v>1E-3</v>
      </c>
      <c r="J8" s="4" t="s">
        <v>36</v>
      </c>
      <c r="L8" s="4">
        <v>7</v>
      </c>
    </row>
    <row r="9" spans="1:14" ht="14.65" x14ac:dyDescent="0.85">
      <c r="A9" s="4" t="s">
        <v>37</v>
      </c>
      <c r="B9" s="4" t="s">
        <v>38</v>
      </c>
      <c r="C9" s="4" t="s">
        <v>37</v>
      </c>
    </row>
    <row r="10" spans="1:14" ht="14.65" x14ac:dyDescent="0.85">
      <c r="A10" s="4" t="s">
        <v>39</v>
      </c>
      <c r="B10" s="4" t="s">
        <v>40</v>
      </c>
      <c r="C10" s="4" t="s">
        <v>39</v>
      </c>
      <c r="G10"/>
    </row>
    <row r="11" spans="1:14" ht="14.65" x14ac:dyDescent="0.85">
      <c r="A11" s="4" t="s">
        <v>41</v>
      </c>
      <c r="B11" s="4" t="s">
        <v>42</v>
      </c>
      <c r="C11" s="4" t="s">
        <v>41</v>
      </c>
      <c r="G11"/>
    </row>
    <row r="12" spans="1:14" ht="14.65" x14ac:dyDescent="0.85">
      <c r="A12" s="4" t="s">
        <v>43</v>
      </c>
      <c r="B12" s="4" t="s">
        <v>44</v>
      </c>
      <c r="C12" s="4" t="s">
        <v>43</v>
      </c>
      <c r="G12"/>
    </row>
    <row r="13" spans="1:14" ht="14.65" x14ac:dyDescent="0.85">
      <c r="A13" s="4" t="s">
        <v>45</v>
      </c>
      <c r="B13" s="4" t="s">
        <v>46</v>
      </c>
      <c r="C13" s="4" t="s">
        <v>45</v>
      </c>
      <c r="G13"/>
    </row>
    <row r="14" spans="1:14" ht="14.65" x14ac:dyDescent="0.85">
      <c r="A14" s="4" t="s">
        <v>47</v>
      </c>
      <c r="B14" s="4" t="s">
        <v>48</v>
      </c>
      <c r="C14" s="4" t="s">
        <v>47</v>
      </c>
      <c r="G14"/>
    </row>
    <row r="15" spans="1:14" ht="14.65" x14ac:dyDescent="0.85">
      <c r="A15" s="4" t="s">
        <v>49</v>
      </c>
      <c r="B15" s="4" t="s">
        <v>50</v>
      </c>
      <c r="C15" s="4" t="s">
        <v>49</v>
      </c>
      <c r="G15"/>
    </row>
    <row r="16" spans="1:14" ht="14.65" x14ac:dyDescent="0.85">
      <c r="G16"/>
    </row>
    <row r="17" spans="7:7" ht="14.65" x14ac:dyDescent="0.85">
      <c r="G17"/>
    </row>
    <row r="18" spans="7:7" ht="14.65" x14ac:dyDescent="0.85">
      <c r="G18"/>
    </row>
    <row r="19" spans="7:7" x14ac:dyDescent="0.85">
      <c r="G19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83A7-B3DA-4B88-A0D9-B2C9A58C655C}">
  <sheetPr codeName="Sheet3"/>
  <dimension ref="A1:D40"/>
  <sheetViews>
    <sheetView workbookViewId="0">
      <selection activeCell="C10" sqref="C10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51</v>
      </c>
      <c r="C1" t="s">
        <v>52</v>
      </c>
      <c r="D1" t="s">
        <v>53</v>
      </c>
    </row>
    <row r="2" spans="1:4" x14ac:dyDescent="0.85">
      <c r="A2" t="s">
        <v>54</v>
      </c>
      <c r="B2" s="5">
        <v>45905</v>
      </c>
    </row>
    <row r="3" spans="1:4" x14ac:dyDescent="0.85">
      <c r="A3" t="s">
        <v>55</v>
      </c>
      <c r="B3" s="6">
        <v>45905.790873611113</v>
      </c>
    </row>
    <row r="4" spans="1:4" x14ac:dyDescent="0.85">
      <c r="A4" t="s">
        <v>56</v>
      </c>
      <c r="B4" t="s">
        <v>57</v>
      </c>
    </row>
    <row r="5" spans="1:4" x14ac:dyDescent="0.85">
      <c r="A5" t="s">
        <v>58</v>
      </c>
      <c r="B5" t="s">
        <v>59</v>
      </c>
    </row>
    <row r="6" spans="1:4" x14ac:dyDescent="0.85">
      <c r="A6" t="s">
        <v>60</v>
      </c>
      <c r="B6" t="s">
        <v>22</v>
      </c>
    </row>
    <row r="7" spans="1:4" x14ac:dyDescent="0.85">
      <c r="A7" t="s">
        <v>61</v>
      </c>
      <c r="C7">
        <v>26</v>
      </c>
      <c r="D7">
        <v>0</v>
      </c>
    </row>
    <row r="8" spans="1:4" x14ac:dyDescent="0.85">
      <c r="A8" t="s">
        <v>62</v>
      </c>
      <c r="C8">
        <v>40</v>
      </c>
      <c r="D8">
        <v>40</v>
      </c>
    </row>
    <row r="9" spans="1:4" x14ac:dyDescent="0.85">
      <c r="A9" t="s">
        <v>63</v>
      </c>
      <c r="C9">
        <v>0.12</v>
      </c>
      <c r="D9">
        <v>1</v>
      </c>
    </row>
    <row r="10" spans="1:4" x14ac:dyDescent="0.85">
      <c r="A10" t="s">
        <v>64</v>
      </c>
      <c r="C10">
        <v>1.02</v>
      </c>
      <c r="D10">
        <v>1</v>
      </c>
    </row>
    <row r="11" spans="1:4" x14ac:dyDescent="0.85">
      <c r="A11" t="s">
        <v>65</v>
      </c>
      <c r="C11">
        <v>1</v>
      </c>
      <c r="D11">
        <v>1</v>
      </c>
    </row>
    <row r="12" spans="1:4" x14ac:dyDescent="0.85">
      <c r="A12" t="s">
        <v>66</v>
      </c>
      <c r="C12">
        <v>1</v>
      </c>
      <c r="D12">
        <v>1</v>
      </c>
    </row>
    <row r="13" spans="1:4" x14ac:dyDescent="0.85">
      <c r="A13" t="s">
        <v>67</v>
      </c>
      <c r="C13">
        <v>1</v>
      </c>
      <c r="D13">
        <v>1</v>
      </c>
    </row>
    <row r="14" spans="1:4" x14ac:dyDescent="0.85">
      <c r="A14" t="s">
        <v>68</v>
      </c>
      <c r="C14">
        <v>1</v>
      </c>
      <c r="D14">
        <v>1</v>
      </c>
    </row>
    <row r="15" spans="1:4" x14ac:dyDescent="0.85">
      <c r="A15" t="s">
        <v>69</v>
      </c>
      <c r="C15">
        <v>1</v>
      </c>
      <c r="D15">
        <v>1</v>
      </c>
    </row>
    <row r="16" spans="1:4" x14ac:dyDescent="0.85">
      <c r="A16" t="s">
        <v>70</v>
      </c>
      <c r="C16">
        <v>1</v>
      </c>
      <c r="D16">
        <v>1</v>
      </c>
    </row>
    <row r="17" spans="1:4" x14ac:dyDescent="0.85">
      <c r="A17" t="s">
        <v>71</v>
      </c>
      <c r="C17">
        <v>1</v>
      </c>
      <c r="D17">
        <v>1</v>
      </c>
    </row>
    <row r="18" spans="1:4" x14ac:dyDescent="0.85">
      <c r="A18" t="s">
        <v>72</v>
      </c>
      <c r="C18">
        <v>1</v>
      </c>
      <c r="D18">
        <v>1</v>
      </c>
    </row>
    <row r="19" spans="1:4" x14ac:dyDescent="0.85">
      <c r="A19" t="s">
        <v>73</v>
      </c>
      <c r="C19">
        <v>1</v>
      </c>
      <c r="D19">
        <v>1</v>
      </c>
    </row>
    <row r="20" spans="1:4" x14ac:dyDescent="0.85">
      <c r="A20" t="s">
        <v>74</v>
      </c>
      <c r="C20">
        <v>1</v>
      </c>
      <c r="D20">
        <v>1</v>
      </c>
    </row>
    <row r="21" spans="1:4" x14ac:dyDescent="0.85">
      <c r="A21" t="s">
        <v>75</v>
      </c>
      <c r="C21">
        <v>1</v>
      </c>
      <c r="D21">
        <v>1</v>
      </c>
    </row>
    <row r="22" spans="1:4" x14ac:dyDescent="0.85">
      <c r="A22" t="s">
        <v>76</v>
      </c>
      <c r="C22">
        <v>1</v>
      </c>
      <c r="D22">
        <v>1</v>
      </c>
    </row>
    <row r="23" spans="1:4" x14ac:dyDescent="0.85">
      <c r="A23" t="s">
        <v>77</v>
      </c>
      <c r="C23">
        <v>1</v>
      </c>
      <c r="D23">
        <v>1</v>
      </c>
    </row>
    <row r="24" spans="1:4" x14ac:dyDescent="0.85">
      <c r="A24" t="s">
        <v>78</v>
      </c>
      <c r="C24">
        <v>1</v>
      </c>
      <c r="D24">
        <v>1</v>
      </c>
    </row>
    <row r="25" spans="1:4" x14ac:dyDescent="0.85">
      <c r="A25" t="s">
        <v>79</v>
      </c>
      <c r="C25">
        <v>1</v>
      </c>
      <c r="D25">
        <v>1</v>
      </c>
    </row>
    <row r="26" spans="1:4" x14ac:dyDescent="0.85">
      <c r="A26" t="s">
        <v>80</v>
      </c>
      <c r="C26">
        <v>1</v>
      </c>
      <c r="D26">
        <v>1</v>
      </c>
    </row>
    <row r="27" spans="1:4" x14ac:dyDescent="0.85">
      <c r="A27" t="s">
        <v>81</v>
      </c>
      <c r="C27">
        <v>1</v>
      </c>
      <c r="D27">
        <v>1</v>
      </c>
    </row>
    <row r="28" spans="1:4" x14ac:dyDescent="0.85">
      <c r="A28" t="s">
        <v>82</v>
      </c>
      <c r="C28">
        <v>1</v>
      </c>
      <c r="D28">
        <v>1</v>
      </c>
    </row>
    <row r="29" spans="1:4" x14ac:dyDescent="0.85">
      <c r="A29" t="s">
        <v>83</v>
      </c>
      <c r="C29">
        <v>1</v>
      </c>
      <c r="D29">
        <v>1</v>
      </c>
    </row>
    <row r="30" spans="1:4" x14ac:dyDescent="0.85">
      <c r="A30" t="s">
        <v>84</v>
      </c>
      <c r="C30">
        <v>1</v>
      </c>
      <c r="D30">
        <v>1</v>
      </c>
    </row>
    <row r="31" spans="1:4" x14ac:dyDescent="0.85">
      <c r="A31" t="s">
        <v>85</v>
      </c>
      <c r="C31">
        <v>1</v>
      </c>
      <c r="D31">
        <v>1</v>
      </c>
    </row>
    <row r="32" spans="1:4" x14ac:dyDescent="0.85">
      <c r="A32" t="s">
        <v>86</v>
      </c>
      <c r="C32">
        <v>1</v>
      </c>
      <c r="D32">
        <v>1</v>
      </c>
    </row>
    <row r="33" spans="1:4" x14ac:dyDescent="0.85">
      <c r="A33" t="s">
        <v>87</v>
      </c>
      <c r="C33">
        <v>1</v>
      </c>
      <c r="D33">
        <v>1</v>
      </c>
    </row>
    <row r="34" spans="1:4" x14ac:dyDescent="0.85">
      <c r="A34" t="s">
        <v>88</v>
      </c>
      <c r="C34">
        <v>1</v>
      </c>
      <c r="D34">
        <v>1</v>
      </c>
    </row>
    <row r="35" spans="1:4" x14ac:dyDescent="0.85">
      <c r="A35" t="s">
        <v>89</v>
      </c>
      <c r="C35">
        <v>1</v>
      </c>
      <c r="D35">
        <v>1</v>
      </c>
    </row>
    <row r="36" spans="1:4" x14ac:dyDescent="0.85">
      <c r="A36" t="s">
        <v>90</v>
      </c>
      <c r="C36">
        <v>1</v>
      </c>
      <c r="D36">
        <v>1</v>
      </c>
    </row>
    <row r="37" spans="1:4" x14ac:dyDescent="0.85">
      <c r="A37" t="s">
        <v>91</v>
      </c>
      <c r="C37">
        <v>1</v>
      </c>
      <c r="D37">
        <v>1</v>
      </c>
    </row>
    <row r="38" spans="1:4" x14ac:dyDescent="0.85">
      <c r="A38" t="s">
        <v>92</v>
      </c>
      <c r="C38">
        <v>1</v>
      </c>
      <c r="D38">
        <v>1</v>
      </c>
    </row>
    <row r="39" spans="1:4" x14ac:dyDescent="0.85">
      <c r="A39" t="s">
        <v>93</v>
      </c>
      <c r="C39">
        <v>1</v>
      </c>
      <c r="D39">
        <v>1</v>
      </c>
    </row>
    <row r="40" spans="1:4" x14ac:dyDescent="0.85">
      <c r="A40" t="s">
        <v>94</v>
      </c>
      <c r="C40">
        <v>1</v>
      </c>
      <c r="D4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D6F26-8C80-4846-9B48-A398138036A8}">
  <sheetPr codeName="Sheet4"/>
  <dimension ref="A1:ZZ99"/>
  <sheetViews>
    <sheetView topLeftCell="A16" workbookViewId="0">
      <selection activeCell="B33" sqref="B33"/>
    </sheetView>
  </sheetViews>
  <sheetFormatPr defaultRowHeight="14.6" x14ac:dyDescent="0.85"/>
  <cols>
    <col min="1" max="1" width="21.3046875" bestFit="1" customWidth="1"/>
    <col min="2" max="5" width="13.19140625" bestFit="1" customWidth="1"/>
    <col min="6" max="28" width="12.1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95</v>
      </c>
      <c r="B2" s="7">
        <v>2024</v>
      </c>
      <c r="C2" s="7">
        <v>2025</v>
      </c>
      <c r="D2" s="7">
        <v>2026</v>
      </c>
      <c r="E2" s="7">
        <v>2027</v>
      </c>
      <c r="F2" s="7">
        <v>2028</v>
      </c>
      <c r="G2" s="7">
        <v>2029</v>
      </c>
      <c r="H2" s="7">
        <v>2030</v>
      </c>
      <c r="I2" s="7">
        <v>2031</v>
      </c>
      <c r="J2" s="7">
        <v>2032</v>
      </c>
      <c r="K2" s="7">
        <v>2033</v>
      </c>
      <c r="L2" s="7">
        <v>2034</v>
      </c>
      <c r="M2" s="7">
        <v>2035</v>
      </c>
      <c r="N2" s="7">
        <v>2036</v>
      </c>
      <c r="O2" s="7">
        <v>2037</v>
      </c>
      <c r="P2" s="7">
        <v>2038</v>
      </c>
      <c r="Q2" s="7">
        <v>2039</v>
      </c>
      <c r="R2" s="7">
        <v>2040</v>
      </c>
      <c r="S2" s="7">
        <v>2041</v>
      </c>
      <c r="T2" s="7">
        <v>2042</v>
      </c>
      <c r="U2" s="7">
        <v>2043</v>
      </c>
      <c r="V2" s="7">
        <v>2044</v>
      </c>
      <c r="W2" s="7">
        <v>2045</v>
      </c>
      <c r="X2" s="7">
        <v>2046</v>
      </c>
      <c r="Y2" s="7">
        <v>2047</v>
      </c>
      <c r="Z2" s="7">
        <v>2048</v>
      </c>
      <c r="AA2" s="7">
        <v>2049</v>
      </c>
      <c r="AB2" s="7">
        <v>2050</v>
      </c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194</v>
      </c>
      <c r="B3" s="7">
        <v>0</v>
      </c>
      <c r="C3" s="7">
        <v>37</v>
      </c>
      <c r="D3" s="7">
        <v>74</v>
      </c>
      <c r="E3" s="7">
        <v>111</v>
      </c>
      <c r="F3" s="7">
        <v>148</v>
      </c>
      <c r="G3" s="7">
        <v>185</v>
      </c>
      <c r="H3" s="7">
        <v>222</v>
      </c>
      <c r="I3" s="7">
        <v>259</v>
      </c>
      <c r="J3" s="7">
        <v>296</v>
      </c>
      <c r="K3" s="7">
        <v>333</v>
      </c>
      <c r="L3" s="7">
        <v>370</v>
      </c>
      <c r="M3" s="7">
        <v>407</v>
      </c>
      <c r="N3" s="7">
        <v>444</v>
      </c>
      <c r="O3" s="7">
        <v>481</v>
      </c>
      <c r="P3" s="7">
        <v>518</v>
      </c>
      <c r="Q3" s="7">
        <v>555</v>
      </c>
      <c r="R3" s="7">
        <v>592</v>
      </c>
      <c r="S3" s="7">
        <v>629</v>
      </c>
      <c r="T3" s="7">
        <v>666</v>
      </c>
      <c r="U3" s="7">
        <v>703</v>
      </c>
      <c r="V3" s="7">
        <v>740</v>
      </c>
      <c r="W3" s="7">
        <v>777</v>
      </c>
      <c r="X3" s="7">
        <v>814</v>
      </c>
      <c r="Y3" s="7">
        <v>851</v>
      </c>
      <c r="Z3" s="7">
        <v>888</v>
      </c>
      <c r="AA3" s="7">
        <v>925</v>
      </c>
      <c r="AB3" s="7">
        <v>962</v>
      </c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167</v>
      </c>
      <c r="B4" s="7">
        <v>192373034.07833499</v>
      </c>
      <c r="C4" s="7">
        <v>196220494.75990099</v>
      </c>
      <c r="D4" s="7">
        <v>200144904.655099</v>
      </c>
      <c r="E4" s="7">
        <v>204147802.74820101</v>
      </c>
      <c r="F4" s="7">
        <v>208230758.80316499</v>
      </c>
      <c r="G4" s="7">
        <v>212395373.979229</v>
      </c>
      <c r="H4" s="7">
        <v>216643281.45881301</v>
      </c>
      <c r="I4" s="7">
        <v>220976147.08798999</v>
      </c>
      <c r="J4" s="7">
        <v>225395670.02974901</v>
      </c>
      <c r="K4" s="7">
        <v>229903583.43034399</v>
      </c>
      <c r="L4" s="7">
        <v>234501655.09895101</v>
      </c>
      <c r="M4" s="7">
        <v>239191688.20093</v>
      </c>
      <c r="N4" s="7">
        <v>243975521.96494901</v>
      </c>
      <c r="O4" s="7">
        <v>248855032.404248</v>
      </c>
      <c r="P4" s="7">
        <v>253832133.052333</v>
      </c>
      <c r="Q4" s="7">
        <v>258908775.71338001</v>
      </c>
      <c r="R4" s="7">
        <v>264086951.22764701</v>
      </c>
      <c r="S4" s="7">
        <v>269368690.25220001</v>
      </c>
      <c r="T4" s="7">
        <v>274756064.057244</v>
      </c>
      <c r="U4" s="7">
        <v>280251185.33838898</v>
      </c>
      <c r="V4" s="7">
        <v>285856209.04515702</v>
      </c>
      <c r="W4" s="7">
        <v>291573333.22605997</v>
      </c>
      <c r="X4" s="7">
        <v>297404799.89058101</v>
      </c>
      <c r="Y4" s="7">
        <v>303352895.88839298</v>
      </c>
      <c r="Z4" s="7">
        <v>309419953.80616099</v>
      </c>
      <c r="AA4" s="7">
        <v>315608352.88228399</v>
      </c>
      <c r="AB4" s="7">
        <v>321920519.93993002</v>
      </c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168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  <c r="Z5" s="7">
        <v>0</v>
      </c>
      <c r="AA5" s="7">
        <v>0</v>
      </c>
      <c r="AB5" s="7">
        <v>0</v>
      </c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169</v>
      </c>
      <c r="B6" s="7">
        <v>2035007.94136393</v>
      </c>
      <c r="C6" s="7">
        <v>2035007.94136393</v>
      </c>
      <c r="D6" s="7">
        <v>2035007.94136393</v>
      </c>
      <c r="E6" s="7">
        <v>2035007.94136393</v>
      </c>
      <c r="F6" s="7">
        <v>2035007.94136393</v>
      </c>
      <c r="G6" s="7">
        <v>2035007.94136393</v>
      </c>
      <c r="H6" s="7">
        <v>2035007.94136393</v>
      </c>
      <c r="I6" s="7">
        <v>2035007.94136393</v>
      </c>
      <c r="J6" s="7">
        <v>2035007.94136393</v>
      </c>
      <c r="K6" s="7">
        <v>2035007.94136393</v>
      </c>
      <c r="L6" s="7">
        <v>2035007.94136393</v>
      </c>
      <c r="M6" s="7">
        <v>2035007.94136393</v>
      </c>
      <c r="N6" s="7">
        <v>2035007.94136393</v>
      </c>
      <c r="O6" s="7">
        <v>2035007.94136393</v>
      </c>
      <c r="P6" s="7">
        <v>2035007.94136393</v>
      </c>
      <c r="Q6" s="7">
        <v>2035007.94136393</v>
      </c>
      <c r="R6" s="7">
        <v>2035007.94136393</v>
      </c>
      <c r="S6" s="7">
        <v>2035007.94136393</v>
      </c>
      <c r="T6" s="7">
        <v>2035007.94136393</v>
      </c>
      <c r="U6" s="7">
        <v>2035007.94136393</v>
      </c>
      <c r="V6" s="7">
        <v>2035007.94136393</v>
      </c>
      <c r="W6" s="7">
        <v>2035007.94136393</v>
      </c>
      <c r="X6" s="7">
        <v>2035007.94136393</v>
      </c>
      <c r="Y6" s="7">
        <v>2035007.94136393</v>
      </c>
      <c r="Z6" s="7">
        <v>2035007.94136393</v>
      </c>
      <c r="AA6" s="7">
        <v>2035007.94136393</v>
      </c>
      <c r="AB6" s="7">
        <v>2035007.94136393</v>
      </c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96</v>
      </c>
      <c r="B7" s="7">
        <v>0</v>
      </c>
      <c r="C7" s="7">
        <v>911</v>
      </c>
      <c r="D7" s="7">
        <v>580</v>
      </c>
      <c r="E7" s="7">
        <v>556</v>
      </c>
      <c r="F7" s="7">
        <v>598</v>
      </c>
      <c r="G7" s="7">
        <v>552</v>
      </c>
      <c r="H7" s="7">
        <v>587</v>
      </c>
      <c r="I7" s="7">
        <v>588</v>
      </c>
      <c r="J7" s="7">
        <v>537</v>
      </c>
      <c r="K7" s="7">
        <v>618</v>
      </c>
      <c r="L7" s="7">
        <v>517</v>
      </c>
      <c r="M7" s="7">
        <v>755</v>
      </c>
      <c r="N7" s="7">
        <v>590</v>
      </c>
      <c r="O7" s="7">
        <v>617</v>
      </c>
      <c r="P7" s="7">
        <v>531</v>
      </c>
      <c r="Q7" s="7">
        <v>528</v>
      </c>
      <c r="R7" s="7">
        <v>582</v>
      </c>
      <c r="S7" s="7">
        <v>624</v>
      </c>
      <c r="T7" s="7">
        <v>869</v>
      </c>
      <c r="U7" s="7">
        <v>836</v>
      </c>
      <c r="V7" s="7">
        <v>551</v>
      </c>
      <c r="W7" s="7">
        <v>764</v>
      </c>
      <c r="X7" s="7">
        <v>1131</v>
      </c>
      <c r="Y7" s="7">
        <v>1330</v>
      </c>
      <c r="Z7" s="7">
        <v>1062</v>
      </c>
      <c r="AA7" s="7">
        <v>1337</v>
      </c>
      <c r="AB7" s="7">
        <v>1037</v>
      </c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0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97</v>
      </c>
      <c r="B9" s="7">
        <v>19202</v>
      </c>
      <c r="C9" s="7">
        <v>20648.364775120001</v>
      </c>
      <c r="D9" s="7">
        <v>22191.599545960002</v>
      </c>
      <c r="E9" s="7">
        <v>23837.399064519999</v>
      </c>
      <c r="F9" s="7">
        <v>25591.781981470001</v>
      </c>
      <c r="G9" s="7">
        <v>27461.108893740002</v>
      </c>
      <c r="H9" s="7">
        <v>29452.101405140002</v>
      </c>
      <c r="I9" s="7">
        <v>31571.8622545</v>
      </c>
      <c r="J9" s="7">
        <v>33827.896573539998</v>
      </c>
      <c r="K9" s="7">
        <v>36228.145874039998</v>
      </c>
      <c r="L9" s="7">
        <v>38780.966301089997</v>
      </c>
      <c r="M9" s="7">
        <v>41495.220783140001</v>
      </c>
      <c r="N9" s="7">
        <v>44380.262441639999</v>
      </c>
      <c r="O9" s="7">
        <v>47445.969125199998</v>
      </c>
      <c r="P9" s="7">
        <v>50702.780065649997</v>
      </c>
      <c r="Q9" s="7">
        <v>54161.719132209997</v>
      </c>
      <c r="R9" s="7">
        <v>57834.43417973</v>
      </c>
      <c r="S9" s="7">
        <v>61733.228082599999</v>
      </c>
      <c r="T9" s="7">
        <v>65871.09622372</v>
      </c>
      <c r="U9" s="7">
        <v>70261.764901200004</v>
      </c>
      <c r="V9" s="7">
        <v>74919.732744570007</v>
      </c>
      <c r="W9" s="7">
        <v>79860.307558379995</v>
      </c>
      <c r="X9" s="7">
        <v>85099.674252059995</v>
      </c>
      <c r="Y9" s="7">
        <v>90654.909684159997</v>
      </c>
      <c r="Z9" s="7">
        <v>96542.20596906</v>
      </c>
      <c r="AA9" s="7">
        <v>102676.52743992</v>
      </c>
      <c r="AB9" s="7">
        <v>109077.64639990999</v>
      </c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170</v>
      </c>
      <c r="B10" s="7">
        <v>49427080.559600003</v>
      </c>
      <c r="C10" s="7">
        <v>53150108.4400656</v>
      </c>
      <c r="D10" s="7">
        <v>57122486.673234798</v>
      </c>
      <c r="E10" s="7">
        <v>61358718.147783197</v>
      </c>
      <c r="F10" s="7">
        <v>65869780.755336598</v>
      </c>
      <c r="G10" s="7">
        <v>70595513.602627203</v>
      </c>
      <c r="H10" s="7">
        <v>75374773.267651796</v>
      </c>
      <c r="I10" s="7">
        <v>80035169.7471264</v>
      </c>
      <c r="J10" s="7">
        <v>84439447.408866897</v>
      </c>
      <c r="K10" s="7">
        <v>88566482.128078803</v>
      </c>
      <c r="L10" s="7">
        <v>92378324.689655095</v>
      </c>
      <c r="M10" s="7">
        <v>95854573.871921107</v>
      </c>
      <c r="N10" s="7">
        <v>98992267.691297203</v>
      </c>
      <c r="O10" s="7">
        <v>101765650.325123</v>
      </c>
      <c r="P10" s="7">
        <v>104178560.197044</v>
      </c>
      <c r="Q10" s="7">
        <v>106265363.993431</v>
      </c>
      <c r="R10" s="7">
        <v>108038549.385878</v>
      </c>
      <c r="S10" s="7">
        <v>109515792.31527001</v>
      </c>
      <c r="T10" s="7">
        <v>110716579.17898101</v>
      </c>
      <c r="U10" s="7">
        <v>111672500.203612</v>
      </c>
      <c r="V10" s="7">
        <v>112393151.448275</v>
      </c>
      <c r="W10" s="7">
        <v>112913181.08374301</v>
      </c>
      <c r="X10" s="7">
        <v>113251845.20197</v>
      </c>
      <c r="Y10" s="7">
        <v>113418023.35632101</v>
      </c>
      <c r="Z10" s="7">
        <v>113426186.40394001</v>
      </c>
      <c r="AA10" s="7">
        <v>113350863.73727401</v>
      </c>
      <c r="AB10" s="7">
        <v>113203468.269293</v>
      </c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171</v>
      </c>
      <c r="B11" s="7">
        <v>3650937.1057254001</v>
      </c>
      <c r="C11" s="7">
        <v>3925939.0235421602</v>
      </c>
      <c r="D11" s="7">
        <v>4219359.1405966002</v>
      </c>
      <c r="E11" s="7">
        <v>4532280.2181346798</v>
      </c>
      <c r="F11" s="7">
        <v>4865846.6012799703</v>
      </c>
      <c r="G11" s="7">
        <v>5221267.6504811198</v>
      </c>
      <c r="H11" s="7">
        <v>5599821.3655671701</v>
      </c>
      <c r="I11" s="7">
        <v>6002858.2127797399</v>
      </c>
      <c r="J11" s="7">
        <v>6431805.1665968802</v>
      </c>
      <c r="K11" s="7">
        <v>6888172.1718134498</v>
      </c>
      <c r="L11" s="7">
        <v>7373548.0087769302</v>
      </c>
      <c r="M11" s="7">
        <v>7889617.8141566999</v>
      </c>
      <c r="N11" s="7">
        <v>8438159.9265716504</v>
      </c>
      <c r="O11" s="7">
        <v>9021052.4526764397</v>
      </c>
      <c r="P11" s="7">
        <v>9640280.2367000096</v>
      </c>
      <c r="Q11" s="7">
        <v>10297939.281827901</v>
      </c>
      <c r="R11" s="7">
        <v>10996244.2316122</v>
      </c>
      <c r="S11" s="7">
        <v>11737534.2705434</v>
      </c>
      <c r="T11" s="7">
        <v>12524280.2519513</v>
      </c>
      <c r="U11" s="7">
        <v>13359092.000391999</v>
      </c>
      <c r="V11" s="7">
        <v>14244726.186240001</v>
      </c>
      <c r="W11" s="7">
        <v>15184093.3308788</v>
      </c>
      <c r="X11" s="7">
        <v>16180270.7224249</v>
      </c>
      <c r="Y11" s="7">
        <v>17236505.238104001</v>
      </c>
      <c r="Z11" s="7">
        <v>18355875.535934601</v>
      </c>
      <c r="AA11" s="7">
        <v>19522213.5151246</v>
      </c>
      <c r="AB11" s="7">
        <v>20739278.546329901</v>
      </c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172</v>
      </c>
      <c r="B12" s="7">
        <v>855.86956619</v>
      </c>
      <c r="C12" s="7">
        <v>920.33678798000005</v>
      </c>
      <c r="D12" s="7">
        <v>989.12168923000002</v>
      </c>
      <c r="E12" s="7">
        <v>1062.47809585</v>
      </c>
      <c r="F12" s="7">
        <v>1140.6742705199999</v>
      </c>
      <c r="G12" s="7">
        <v>1223.9937171199999</v>
      </c>
      <c r="H12" s="7">
        <v>1312.73603026</v>
      </c>
      <c r="I12" s="7">
        <v>1407.21779251</v>
      </c>
      <c r="J12" s="7">
        <v>1507.7735218</v>
      </c>
      <c r="K12" s="7">
        <v>1614.7571863999999</v>
      </c>
      <c r="L12" s="7">
        <v>1728.54123553</v>
      </c>
      <c r="M12" s="7">
        <v>1849.5207067399999</v>
      </c>
      <c r="N12" s="7">
        <v>1978.1124863800001</v>
      </c>
      <c r="O12" s="7">
        <v>2114.7568489099999</v>
      </c>
      <c r="P12" s="7">
        <v>2259.9190907000002</v>
      </c>
      <c r="Q12" s="7">
        <v>2414.0905665</v>
      </c>
      <c r="R12" s="7">
        <v>2577.7904433099998</v>
      </c>
      <c r="S12" s="7">
        <v>2751.5670835800001</v>
      </c>
      <c r="T12" s="7">
        <v>2935.9997161599999</v>
      </c>
      <c r="U12" s="7">
        <v>3131.70014821</v>
      </c>
      <c r="V12" s="7">
        <v>3339.3146111599999</v>
      </c>
      <c r="W12" s="7">
        <v>3559.52540288</v>
      </c>
      <c r="X12" s="7">
        <v>3793.0539155000001</v>
      </c>
      <c r="Y12" s="7">
        <v>4040.6612969900002</v>
      </c>
      <c r="Z12" s="7">
        <v>4303.0692606100001</v>
      </c>
      <c r="AA12" s="7">
        <v>4576.48760537</v>
      </c>
      <c r="AB12" s="7">
        <v>4861.7976203400003</v>
      </c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173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195</v>
      </c>
      <c r="B14" s="7">
        <v>0</v>
      </c>
      <c r="C14" s="7">
        <v>629555.72224000003</v>
      </c>
      <c r="D14" s="7">
        <v>1353215.991808</v>
      </c>
      <c r="E14" s="7">
        <v>2180356.7247359999</v>
      </c>
      <c r="F14" s="7">
        <v>3120873.9635200002</v>
      </c>
      <c r="G14" s="7">
        <v>4180970.7315199999</v>
      </c>
      <c r="H14" s="7">
        <v>5356822.9171200003</v>
      </c>
      <c r="I14" s="7">
        <v>6636039.0225919997</v>
      </c>
      <c r="J14" s="7">
        <v>8001389.1010560002</v>
      </c>
      <c r="K14" s="7">
        <v>9441520.1648639999</v>
      </c>
      <c r="L14" s="7">
        <v>10942085.46816</v>
      </c>
      <c r="M14" s="7">
        <v>12489226.641408</v>
      </c>
      <c r="N14" s="7">
        <v>14070597.500928</v>
      </c>
      <c r="O14" s="7">
        <v>15670201.657344</v>
      </c>
      <c r="P14" s="7">
        <v>17275729.98144</v>
      </c>
      <c r="Q14" s="7">
        <v>18880479.25248</v>
      </c>
      <c r="R14" s="7">
        <v>20475228.061696</v>
      </c>
      <c r="S14" s="7">
        <v>22052391.38304</v>
      </c>
      <c r="T14" s="7">
        <v>23605607.66976</v>
      </c>
      <c r="U14" s="7">
        <v>25132162.625535998</v>
      </c>
      <c r="V14" s="7">
        <v>26625628.32384</v>
      </c>
      <c r="W14" s="7">
        <v>28086263.00928</v>
      </c>
      <c r="X14" s="7">
        <v>29511955.562495999</v>
      </c>
      <c r="Y14" s="7">
        <v>30898680.307712</v>
      </c>
      <c r="Z14" s="7">
        <v>32244421.75488</v>
      </c>
      <c r="AA14" s="7">
        <v>33565634.6624</v>
      </c>
      <c r="AB14" s="7">
        <v>34862867.193856001</v>
      </c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98</v>
      </c>
      <c r="B15" s="7">
        <v>0</v>
      </c>
      <c r="C15" s="7">
        <v>3.739348E-2</v>
      </c>
      <c r="D15" s="7">
        <v>3.7513959999999999E-2</v>
      </c>
      <c r="E15" s="7">
        <v>3.7633519999999997E-2</v>
      </c>
      <c r="F15" s="7">
        <v>3.7751970000000003E-2</v>
      </c>
      <c r="G15" s="7">
        <v>3.7869130000000001E-2</v>
      </c>
      <c r="H15" s="7">
        <v>3.7984860000000002E-2</v>
      </c>
      <c r="I15" s="7">
        <v>3.8099040000000001E-2</v>
      </c>
      <c r="J15" s="7">
        <v>3.8211559999999999E-2</v>
      </c>
      <c r="K15" s="7">
        <v>3.8322189999999999E-2</v>
      </c>
      <c r="L15" s="7">
        <v>3.8431269999999997E-2</v>
      </c>
      <c r="M15" s="7">
        <v>3.8538330000000003E-2</v>
      </c>
      <c r="N15" s="7">
        <v>3.8643459999999998E-2</v>
      </c>
      <c r="O15" s="7">
        <v>3.8746599999999999E-2</v>
      </c>
      <c r="P15" s="7">
        <v>3.8847760000000002E-2</v>
      </c>
      <c r="Q15" s="7">
        <v>3.8946870000000001E-2</v>
      </c>
      <c r="R15" s="7">
        <v>3.9043950000000001E-2</v>
      </c>
      <c r="S15" s="7">
        <v>3.9138989999999999E-2</v>
      </c>
      <c r="T15" s="7">
        <v>3.9231969999999998E-2</v>
      </c>
      <c r="U15" s="7">
        <v>3.9322900000000001E-2</v>
      </c>
      <c r="V15" s="7">
        <v>3.9411790000000002E-2</v>
      </c>
      <c r="W15" s="7">
        <v>3.9498640000000002E-2</v>
      </c>
      <c r="X15" s="7">
        <v>3.9583479999999997E-2</v>
      </c>
      <c r="Y15" s="7">
        <v>3.9666319999999998E-2</v>
      </c>
      <c r="Z15" s="7">
        <v>3.9752049999999997E-2</v>
      </c>
      <c r="AA15" s="7">
        <v>4.0086549999999999E-2</v>
      </c>
      <c r="AB15" s="7">
        <v>4.0385659999999997E-2</v>
      </c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99</v>
      </c>
      <c r="B16" s="7">
        <v>0</v>
      </c>
      <c r="C16" s="7">
        <v>3.739348E-2</v>
      </c>
      <c r="D16" s="7">
        <v>3.7513959999999999E-2</v>
      </c>
      <c r="E16" s="7">
        <v>3.7633519999999997E-2</v>
      </c>
      <c r="F16" s="7">
        <v>3.7751970000000003E-2</v>
      </c>
      <c r="G16" s="7">
        <v>3.7869130000000001E-2</v>
      </c>
      <c r="H16" s="7">
        <v>3.7984860000000002E-2</v>
      </c>
      <c r="I16" s="7">
        <v>3.8099040000000001E-2</v>
      </c>
      <c r="J16" s="7">
        <v>3.8211559999999999E-2</v>
      </c>
      <c r="K16" s="7">
        <v>3.8322189999999999E-2</v>
      </c>
      <c r="L16" s="7">
        <v>3.8431269999999997E-2</v>
      </c>
      <c r="M16" s="7">
        <v>3.8538330000000003E-2</v>
      </c>
      <c r="N16" s="7">
        <v>3.8643459999999998E-2</v>
      </c>
      <c r="O16" s="7">
        <v>3.8746599999999999E-2</v>
      </c>
      <c r="P16" s="7">
        <v>3.8847760000000002E-2</v>
      </c>
      <c r="Q16" s="7">
        <v>3.8946870000000001E-2</v>
      </c>
      <c r="R16" s="7">
        <v>3.9043950000000001E-2</v>
      </c>
      <c r="S16" s="7">
        <v>3.9138989999999999E-2</v>
      </c>
      <c r="T16" s="7">
        <v>3.9231969999999998E-2</v>
      </c>
      <c r="U16" s="7">
        <v>3.9322900000000001E-2</v>
      </c>
      <c r="V16" s="7">
        <v>3.9411790000000002E-2</v>
      </c>
      <c r="W16" s="7">
        <v>3.9498610000000003E-2</v>
      </c>
      <c r="X16" s="7">
        <v>3.9583479999999997E-2</v>
      </c>
      <c r="Y16" s="7">
        <v>3.9666319999999998E-2</v>
      </c>
      <c r="Z16" s="7">
        <v>3.9752049999999997E-2</v>
      </c>
      <c r="AA16" s="7">
        <v>4.0086549999999999E-2</v>
      </c>
      <c r="AB16" s="7">
        <v>4.0385659999999997E-2</v>
      </c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100</v>
      </c>
      <c r="B17" s="7">
        <v>1</v>
      </c>
      <c r="C17" s="7">
        <v>3.739348E-2</v>
      </c>
      <c r="D17" s="7">
        <v>3.7513959999999999E-2</v>
      </c>
      <c r="E17" s="7">
        <v>3.7633519999999997E-2</v>
      </c>
      <c r="F17" s="7">
        <v>3.7751970000000003E-2</v>
      </c>
      <c r="G17" s="7">
        <v>3.7869130000000001E-2</v>
      </c>
      <c r="H17" s="7">
        <v>3.7984860000000002E-2</v>
      </c>
      <c r="I17" s="7">
        <v>3.8099040000000001E-2</v>
      </c>
      <c r="J17" s="7">
        <v>3.8211559999999999E-2</v>
      </c>
      <c r="K17" s="7">
        <v>3.8322189999999999E-2</v>
      </c>
      <c r="L17" s="7">
        <v>3.8431269999999997E-2</v>
      </c>
      <c r="M17" s="7">
        <v>3.8538330000000003E-2</v>
      </c>
      <c r="N17" s="7">
        <v>3.8643459999999998E-2</v>
      </c>
      <c r="O17" s="7">
        <v>3.8746599999999999E-2</v>
      </c>
      <c r="P17" s="7">
        <v>3.8847760000000002E-2</v>
      </c>
      <c r="Q17" s="7">
        <v>3.8946870000000001E-2</v>
      </c>
      <c r="R17" s="7">
        <v>3.9043950000000001E-2</v>
      </c>
      <c r="S17" s="7">
        <v>3.9138989999999999E-2</v>
      </c>
      <c r="T17" s="7">
        <v>3.9231969999999998E-2</v>
      </c>
      <c r="U17" s="7">
        <v>3.9322900000000001E-2</v>
      </c>
      <c r="V17" s="7">
        <v>3.9411790000000002E-2</v>
      </c>
      <c r="W17" s="7">
        <v>3.9498640000000002E-2</v>
      </c>
      <c r="X17" s="7">
        <v>3.9583479999999997E-2</v>
      </c>
      <c r="Y17" s="7">
        <v>3.9666319999999998E-2</v>
      </c>
      <c r="Z17" s="7">
        <v>3.9752049999999997E-2</v>
      </c>
      <c r="AA17" s="7">
        <v>4.0086549999999999E-2</v>
      </c>
      <c r="AB17" s="7">
        <v>4.0385659999999997E-2</v>
      </c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101</v>
      </c>
      <c r="B18" s="7">
        <v>0.96</v>
      </c>
      <c r="C18" s="7">
        <v>0.96</v>
      </c>
      <c r="D18" s="7">
        <v>0.96</v>
      </c>
      <c r="E18" s="7">
        <v>0.96</v>
      </c>
      <c r="F18" s="7">
        <v>0.96</v>
      </c>
      <c r="G18" s="7">
        <v>0.96</v>
      </c>
      <c r="H18" s="7">
        <v>0.96</v>
      </c>
      <c r="I18" s="7">
        <v>0.96</v>
      </c>
      <c r="J18" s="7">
        <v>0.96</v>
      </c>
      <c r="K18" s="7">
        <v>0.96</v>
      </c>
      <c r="L18" s="7">
        <v>0.96</v>
      </c>
      <c r="M18" s="7">
        <v>0.96</v>
      </c>
      <c r="N18" s="7">
        <v>0.96</v>
      </c>
      <c r="O18" s="7">
        <v>0.96</v>
      </c>
      <c r="P18" s="7">
        <v>0.96</v>
      </c>
      <c r="Q18" s="7">
        <v>0.96</v>
      </c>
      <c r="R18" s="7">
        <v>0.96</v>
      </c>
      <c r="S18" s="7">
        <v>0.96</v>
      </c>
      <c r="T18" s="7">
        <v>0.96</v>
      </c>
      <c r="U18" s="7">
        <v>0.96</v>
      </c>
      <c r="V18" s="7">
        <v>0.96</v>
      </c>
      <c r="W18" s="7">
        <v>0.96</v>
      </c>
      <c r="X18" s="7">
        <v>0.96</v>
      </c>
      <c r="Y18" s="7">
        <v>0.96</v>
      </c>
      <c r="Z18" s="7">
        <v>0.96</v>
      </c>
      <c r="AA18" s="7">
        <v>0.96</v>
      </c>
      <c r="AB18" s="7">
        <v>0.96</v>
      </c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102</v>
      </c>
      <c r="B19" s="7">
        <v>0.29364122999999998</v>
      </c>
      <c r="C19" s="7">
        <v>0.29364122999999998</v>
      </c>
      <c r="D19" s="7">
        <v>0.29364122999999998</v>
      </c>
      <c r="E19" s="7">
        <v>0.29364122999999998</v>
      </c>
      <c r="F19" s="7">
        <v>0.29364122999999998</v>
      </c>
      <c r="G19" s="7">
        <v>0.29364122999999998</v>
      </c>
      <c r="H19" s="7">
        <v>0.29364122999999998</v>
      </c>
      <c r="I19" s="7">
        <v>0.29364122999999998</v>
      </c>
      <c r="J19" s="7">
        <v>0.29364122999999998</v>
      </c>
      <c r="K19" s="7">
        <v>0.29364122999999998</v>
      </c>
      <c r="L19" s="7">
        <v>0.29364122999999998</v>
      </c>
      <c r="M19" s="7">
        <v>0.29364122999999998</v>
      </c>
      <c r="N19" s="7">
        <v>0.29364122999999998</v>
      </c>
      <c r="O19" s="7">
        <v>0.29364122999999998</v>
      </c>
      <c r="P19" s="7">
        <v>0.29364122999999998</v>
      </c>
      <c r="Q19" s="7">
        <v>0.29364122999999998</v>
      </c>
      <c r="R19" s="7">
        <v>0.29364122999999998</v>
      </c>
      <c r="S19" s="7">
        <v>0.29364122999999998</v>
      </c>
      <c r="T19" s="7">
        <v>0.29364122999999998</v>
      </c>
      <c r="U19" s="7">
        <v>0.29364122999999998</v>
      </c>
      <c r="V19" s="7">
        <v>0.29364122999999998</v>
      </c>
      <c r="W19" s="7">
        <v>0.29364122999999998</v>
      </c>
      <c r="X19" s="7">
        <v>0.29364122999999998</v>
      </c>
      <c r="Y19" s="7">
        <v>0.29364122999999998</v>
      </c>
      <c r="Z19" s="7">
        <v>0.29364122999999998</v>
      </c>
      <c r="AA19" s="7">
        <v>0.29364122999999998</v>
      </c>
      <c r="AB19" s="7">
        <v>0.29364122999999998</v>
      </c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103</v>
      </c>
      <c r="B21" s="7">
        <v>5973</v>
      </c>
      <c r="C21" s="7">
        <v>6751.1615018100001</v>
      </c>
      <c r="D21" s="7">
        <v>7580.8478797099997</v>
      </c>
      <c r="E21" s="7">
        <v>8465.1135405700006</v>
      </c>
      <c r="F21" s="7">
        <v>9407.1849734900006</v>
      </c>
      <c r="G21" s="7">
        <v>10410.470471189999</v>
      </c>
      <c r="H21" s="7">
        <v>11478.57038358</v>
      </c>
      <c r="I21" s="7">
        <v>12615.28793395</v>
      </c>
      <c r="J21" s="7">
        <v>13824.640632000001</v>
      </c>
      <c r="K21" s="7">
        <v>15110.879043700001</v>
      </c>
      <c r="L21" s="7">
        <v>16478.472966149999</v>
      </c>
      <c r="M21" s="7">
        <v>17932.1640687</v>
      </c>
      <c r="N21" s="7">
        <v>19476.954758259999</v>
      </c>
      <c r="O21" s="7">
        <v>21118.127528389999</v>
      </c>
      <c r="P21" s="7">
        <v>22861.263998900002</v>
      </c>
      <c r="Q21" s="7">
        <v>24712.257992940002</v>
      </c>
      <c r="R21" s="7">
        <v>26677.33607515</v>
      </c>
      <c r="S21" s="7">
        <v>28763.07442877</v>
      </c>
      <c r="T21" s="7">
        <v>30976.418832269999</v>
      </c>
      <c r="U21" s="7">
        <v>33324.705198279997</v>
      </c>
      <c r="V21" s="7">
        <v>35815.681698870001</v>
      </c>
      <c r="W21" s="7">
        <v>38457.5314621</v>
      </c>
      <c r="X21" s="7">
        <v>41258.896923580003</v>
      </c>
      <c r="Y21" s="7">
        <v>44228.905670209999</v>
      </c>
      <c r="Z21" s="7">
        <v>47376.207867980003</v>
      </c>
      <c r="AA21" s="7">
        <v>50655.388810500001</v>
      </c>
      <c r="AB21" s="7">
        <v>54077.009697870002</v>
      </c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174</v>
      </c>
      <c r="B22" s="7">
        <v>19050580.541796699</v>
      </c>
      <c r="C22" s="7">
        <v>21532486.689655099</v>
      </c>
      <c r="D22" s="7">
        <v>24178729.536945801</v>
      </c>
      <c r="E22" s="7">
        <v>26999049.694581199</v>
      </c>
      <c r="F22" s="7">
        <v>30003738.935960501</v>
      </c>
      <c r="G22" s="7">
        <v>33203666.3973727</v>
      </c>
      <c r="H22" s="7">
        <v>36610318.561576299</v>
      </c>
      <c r="I22" s="7">
        <v>40235783.264367796</v>
      </c>
      <c r="J22" s="7">
        <v>44091703.724137902</v>
      </c>
      <c r="K22" s="7">
        <v>48187887.113300398</v>
      </c>
      <c r="L22" s="7">
        <v>52534303.7372742</v>
      </c>
      <c r="M22" s="7">
        <v>57135780.413793102</v>
      </c>
      <c r="N22" s="7">
        <v>61996126.778325103</v>
      </c>
      <c r="O22" s="7">
        <v>67122392.735632107</v>
      </c>
      <c r="P22" s="7">
        <v>72519331.533661693</v>
      </c>
      <c r="Q22" s="7">
        <v>78182970.403940797</v>
      </c>
      <c r="R22" s="7">
        <v>84108153.064039394</v>
      </c>
      <c r="S22" s="7">
        <v>90286838.016420305</v>
      </c>
      <c r="T22" s="7">
        <v>96718219.192118198</v>
      </c>
      <c r="U22" s="7">
        <v>103393033.195402</v>
      </c>
      <c r="V22" s="7">
        <v>110308183.69786499</v>
      </c>
      <c r="W22" s="7">
        <v>117473650.60098501</v>
      </c>
      <c r="X22" s="7">
        <v>124888781.372742</v>
      </c>
      <c r="Y22" s="7">
        <v>132539194.719211</v>
      </c>
      <c r="Z22" s="7">
        <v>140406747.69129699</v>
      </c>
      <c r="AA22" s="7">
        <v>148354728.43349701</v>
      </c>
      <c r="AB22" s="7">
        <v>156397479.85550001</v>
      </c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175</v>
      </c>
      <c r="B23" s="7">
        <v>1125836.0889119401</v>
      </c>
      <c r="C23" s="7">
        <v>1272509.8377384699</v>
      </c>
      <c r="D23" s="7">
        <v>1428895.38381614</v>
      </c>
      <c r="E23" s="7">
        <v>1595568.44478596</v>
      </c>
      <c r="F23" s="7">
        <v>1773137.1736528201</v>
      </c>
      <c r="G23" s="7">
        <v>1962243.99113005</v>
      </c>
      <c r="H23" s="7">
        <v>2163567.51832397</v>
      </c>
      <c r="I23" s="7">
        <v>2377824.6154459598</v>
      </c>
      <c r="J23" s="7">
        <v>2605772.5330224698</v>
      </c>
      <c r="K23" s="7">
        <v>2848212.4497875902</v>
      </c>
      <c r="L23" s="7">
        <v>3105986.8668095302</v>
      </c>
      <c r="M23" s="7">
        <v>3379989.5296891602</v>
      </c>
      <c r="N23" s="7">
        <v>3671163.3298094398</v>
      </c>
      <c r="O23" s="7">
        <v>3980503.95139952</v>
      </c>
      <c r="P23" s="7">
        <v>4309063.4602552196</v>
      </c>
      <c r="Q23" s="7">
        <v>4657952.7686174503</v>
      </c>
      <c r="R23" s="7">
        <v>5028345.5063522002</v>
      </c>
      <c r="S23" s="7">
        <v>5421481.2020702101</v>
      </c>
      <c r="T23" s="7">
        <v>5838669.0484891003</v>
      </c>
      <c r="U23" s="7">
        <v>6281291.7737449603</v>
      </c>
      <c r="V23" s="7">
        <v>6750809.8117485195</v>
      </c>
      <c r="W23" s="7">
        <v>7248765.5801932104</v>
      </c>
      <c r="X23" s="7">
        <v>7776788.07052832</v>
      </c>
      <c r="Y23" s="7">
        <v>8336597.7191701103</v>
      </c>
      <c r="Z23" s="7">
        <v>8929824.9746473897</v>
      </c>
      <c r="AA23" s="7">
        <v>9547909.7305762004</v>
      </c>
      <c r="AB23" s="7">
        <v>10192842.641604999</v>
      </c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176</v>
      </c>
      <c r="B24" s="7">
        <v>320.95624018000001</v>
      </c>
      <c r="C24" s="7">
        <v>362.77036872999997</v>
      </c>
      <c r="D24" s="7">
        <v>407.35316136</v>
      </c>
      <c r="E24" s="7">
        <v>454.86874512999998</v>
      </c>
      <c r="F24" s="7">
        <v>505.49049384</v>
      </c>
      <c r="G24" s="7">
        <v>559.40155045999995</v>
      </c>
      <c r="H24" s="7">
        <v>616.79537802000004</v>
      </c>
      <c r="I24" s="7">
        <v>677.87634087000004</v>
      </c>
      <c r="J24" s="7">
        <v>742.86031793999996</v>
      </c>
      <c r="K24" s="7">
        <v>811.97571129999994</v>
      </c>
      <c r="L24" s="7">
        <v>885.46270333999996</v>
      </c>
      <c r="M24" s="7">
        <v>963.57608533999996</v>
      </c>
      <c r="N24" s="7">
        <v>1046.58465918</v>
      </c>
      <c r="O24" s="7">
        <v>1134.77227709</v>
      </c>
      <c r="P24" s="7">
        <v>1228.4388646800001</v>
      </c>
      <c r="Q24" s="7">
        <v>1327.9011236700001</v>
      </c>
      <c r="R24" s="7">
        <v>1433.49363546</v>
      </c>
      <c r="S24" s="7">
        <v>1545.56976805</v>
      </c>
      <c r="T24" s="7">
        <v>1664.5027494599999</v>
      </c>
      <c r="U24" s="7">
        <v>1790.6867713700001</v>
      </c>
      <c r="V24" s="7">
        <v>1924.53817804</v>
      </c>
      <c r="W24" s="7">
        <v>2066.4966858399998</v>
      </c>
      <c r="X24" s="7">
        <v>2217.0266918500001</v>
      </c>
      <c r="Y24" s="7">
        <v>2376.6186624799998</v>
      </c>
      <c r="Z24" s="7">
        <v>2545.7374101999999</v>
      </c>
      <c r="AA24" s="7">
        <v>2721.9425978999998</v>
      </c>
      <c r="AB24" s="7">
        <v>2905.80172653</v>
      </c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177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196</v>
      </c>
      <c r="B26" s="7">
        <v>0</v>
      </c>
      <c r="C26" s="7">
        <v>48419.523608399999</v>
      </c>
      <c r="D26" s="7">
        <v>108740.1174336</v>
      </c>
      <c r="E26" s="7">
        <v>182136.11037119999</v>
      </c>
      <c r="F26" s="7">
        <v>269874.40265280002</v>
      </c>
      <c r="G26" s="7">
        <v>373320.95734800003</v>
      </c>
      <c r="H26" s="7">
        <v>493947.83132639999</v>
      </c>
      <c r="I26" s="7">
        <v>633339.86456160003</v>
      </c>
      <c r="J26" s="7">
        <v>793182.62499839999</v>
      </c>
      <c r="K26" s="7">
        <v>975229.24974480004</v>
      </c>
      <c r="L26" s="7">
        <v>1181324.7567360001</v>
      </c>
      <c r="M26" s="7">
        <v>1413276.6174912001</v>
      </c>
      <c r="N26" s="7">
        <v>1672908.2715455999</v>
      </c>
      <c r="O26" s="7">
        <v>1962172.1469167999</v>
      </c>
      <c r="P26" s="7">
        <v>2283011.7813216001</v>
      </c>
      <c r="Q26" s="7">
        <v>2637119.137104</v>
      </c>
      <c r="R26" s="7">
        <v>3026107.8614015998</v>
      </c>
      <c r="S26" s="7">
        <v>3451434.9277824</v>
      </c>
      <c r="T26" s="7">
        <v>3914777.8410624</v>
      </c>
      <c r="U26" s="7">
        <v>4417445.5182143999</v>
      </c>
      <c r="V26" s="7">
        <v>4960940.9091840005</v>
      </c>
      <c r="W26" s="7">
        <v>5547356.6008895999</v>
      </c>
      <c r="X26" s="7">
        <v>6178348.9513152</v>
      </c>
      <c r="Y26" s="7">
        <v>6854858.4046751997</v>
      </c>
      <c r="Z26" s="7">
        <v>7577493.0402816003</v>
      </c>
      <c r="AA26" s="7">
        <v>8340032.1794400001</v>
      </c>
      <c r="AB26" s="7">
        <v>9143856.9548352007</v>
      </c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104</v>
      </c>
      <c r="B27" s="7">
        <v>0</v>
      </c>
      <c r="C27" s="7">
        <v>1.717461E-2</v>
      </c>
      <c r="D27" s="7">
        <v>1.7413419999999999E-2</v>
      </c>
      <c r="E27" s="7">
        <v>1.7639800000000001E-2</v>
      </c>
      <c r="F27" s="7">
        <v>1.7854579999999998E-2</v>
      </c>
      <c r="G27" s="7">
        <v>1.805851E-2</v>
      </c>
      <c r="H27" s="7">
        <v>1.8252270000000001E-2</v>
      </c>
      <c r="I27" s="7">
        <v>1.843651E-2</v>
      </c>
      <c r="J27" s="7">
        <v>1.8611800000000001E-2</v>
      </c>
      <c r="K27" s="7">
        <v>1.8778639999999999E-2</v>
      </c>
      <c r="L27" s="7">
        <v>1.8937679999999998E-2</v>
      </c>
      <c r="M27" s="7">
        <v>1.908922E-2</v>
      </c>
      <c r="N27" s="7">
        <v>1.9233739999999999E-2</v>
      </c>
      <c r="O27" s="7">
        <v>1.9371639999999999E-2</v>
      </c>
      <c r="P27" s="7">
        <v>1.950329E-2</v>
      </c>
      <c r="Q27" s="7">
        <v>1.962902E-2</v>
      </c>
      <c r="R27" s="7">
        <v>1.9749160000000002E-2</v>
      </c>
      <c r="S27" s="7">
        <v>1.9864010000000001E-2</v>
      </c>
      <c r="T27" s="7">
        <v>1.9973850000000001E-2</v>
      </c>
      <c r="U27" s="7">
        <v>2.007892E-2</v>
      </c>
      <c r="V27" s="7">
        <v>2.0179490000000001E-2</v>
      </c>
      <c r="W27" s="7">
        <v>2.0275769999999999E-2</v>
      </c>
      <c r="X27" s="7">
        <v>2.0367989999999999E-2</v>
      </c>
      <c r="Y27" s="7">
        <v>2.0456330000000002E-2</v>
      </c>
      <c r="Z27" s="7">
        <v>2.054338E-2</v>
      </c>
      <c r="AA27" s="7">
        <v>2.0749980000000001E-2</v>
      </c>
      <c r="AB27" s="7">
        <v>2.093745E-2</v>
      </c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105</v>
      </c>
      <c r="B28" s="7">
        <v>0</v>
      </c>
      <c r="C28" s="7">
        <v>1.717461E-2</v>
      </c>
      <c r="D28" s="7">
        <v>1.7413419999999999E-2</v>
      </c>
      <c r="E28" s="7">
        <v>1.7639800000000001E-2</v>
      </c>
      <c r="F28" s="7">
        <v>1.7854579999999998E-2</v>
      </c>
      <c r="G28" s="7">
        <v>1.805851E-2</v>
      </c>
      <c r="H28" s="7">
        <v>1.8252270000000001E-2</v>
      </c>
      <c r="I28" s="7">
        <v>1.843651E-2</v>
      </c>
      <c r="J28" s="7">
        <v>1.8611800000000001E-2</v>
      </c>
      <c r="K28" s="7">
        <v>1.8778639999999999E-2</v>
      </c>
      <c r="L28" s="7">
        <v>1.8937679999999998E-2</v>
      </c>
      <c r="M28" s="7">
        <v>1.908922E-2</v>
      </c>
      <c r="N28" s="7">
        <v>1.9233739999999999E-2</v>
      </c>
      <c r="O28" s="7">
        <v>1.9371639999999999E-2</v>
      </c>
      <c r="P28" s="7">
        <v>1.950329E-2</v>
      </c>
      <c r="Q28" s="7">
        <v>1.962902E-2</v>
      </c>
      <c r="R28" s="7">
        <v>1.9749160000000002E-2</v>
      </c>
      <c r="S28" s="7">
        <v>1.9864010000000001E-2</v>
      </c>
      <c r="T28" s="7">
        <v>1.9973850000000001E-2</v>
      </c>
      <c r="U28" s="7">
        <v>2.007892E-2</v>
      </c>
      <c r="V28" s="7">
        <v>2.0179490000000001E-2</v>
      </c>
      <c r="W28" s="7">
        <v>2.0275769999999999E-2</v>
      </c>
      <c r="X28" s="7">
        <v>2.0367989999999999E-2</v>
      </c>
      <c r="Y28" s="7">
        <v>2.0456330000000002E-2</v>
      </c>
      <c r="Z28" s="7">
        <v>2.054338E-2</v>
      </c>
      <c r="AA28" s="7">
        <v>2.0749980000000001E-2</v>
      </c>
      <c r="AB28" s="7">
        <v>2.093745E-2</v>
      </c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106</v>
      </c>
      <c r="B29" s="7">
        <v>1</v>
      </c>
      <c r="C29" s="7">
        <v>1.717461E-2</v>
      </c>
      <c r="D29" s="7">
        <v>1.7413419999999999E-2</v>
      </c>
      <c r="E29" s="7">
        <v>1.7639800000000001E-2</v>
      </c>
      <c r="F29" s="7">
        <v>1.7854579999999998E-2</v>
      </c>
      <c r="G29" s="7">
        <v>1.805851E-2</v>
      </c>
      <c r="H29" s="7">
        <v>1.8252270000000001E-2</v>
      </c>
      <c r="I29" s="7">
        <v>1.843651E-2</v>
      </c>
      <c r="J29" s="7">
        <v>1.8611800000000001E-2</v>
      </c>
      <c r="K29" s="7">
        <v>1.8778639999999999E-2</v>
      </c>
      <c r="L29" s="7">
        <v>1.8937679999999998E-2</v>
      </c>
      <c r="M29" s="7">
        <v>1.908922E-2</v>
      </c>
      <c r="N29" s="7">
        <v>1.9233739999999999E-2</v>
      </c>
      <c r="O29" s="7">
        <v>1.9371639999999999E-2</v>
      </c>
      <c r="P29" s="7">
        <v>1.950329E-2</v>
      </c>
      <c r="Q29" s="7">
        <v>1.962902E-2</v>
      </c>
      <c r="R29" s="7">
        <v>1.9749160000000002E-2</v>
      </c>
      <c r="S29" s="7">
        <v>1.9864010000000001E-2</v>
      </c>
      <c r="T29" s="7">
        <v>1.9973850000000001E-2</v>
      </c>
      <c r="U29" s="7">
        <v>2.007892E-2</v>
      </c>
      <c r="V29" s="7">
        <v>2.0179490000000001E-2</v>
      </c>
      <c r="W29" s="7">
        <v>2.0275769999999999E-2</v>
      </c>
      <c r="X29" s="7">
        <v>2.0367989999999999E-2</v>
      </c>
      <c r="Y29" s="7">
        <v>2.0456330000000002E-2</v>
      </c>
      <c r="Z29" s="7">
        <v>2.054338E-2</v>
      </c>
      <c r="AA29" s="7">
        <v>2.0749980000000001E-2</v>
      </c>
      <c r="AB29" s="7">
        <v>2.093745E-2</v>
      </c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107</v>
      </c>
      <c r="B30" s="7">
        <v>0.96</v>
      </c>
      <c r="C30" s="7">
        <v>0.96</v>
      </c>
      <c r="D30" s="7">
        <v>0.96</v>
      </c>
      <c r="E30" s="7">
        <v>0.96</v>
      </c>
      <c r="F30" s="7">
        <v>0.96</v>
      </c>
      <c r="G30" s="7">
        <v>0.96</v>
      </c>
      <c r="H30" s="7">
        <v>0.96</v>
      </c>
      <c r="I30" s="7">
        <v>0.96</v>
      </c>
      <c r="J30" s="7">
        <v>0.96</v>
      </c>
      <c r="K30" s="7">
        <v>0.96</v>
      </c>
      <c r="L30" s="7">
        <v>0.96</v>
      </c>
      <c r="M30" s="7">
        <v>0.96</v>
      </c>
      <c r="N30" s="7">
        <v>0.96</v>
      </c>
      <c r="O30" s="7">
        <v>0.96</v>
      </c>
      <c r="P30" s="7">
        <v>0.96</v>
      </c>
      <c r="Q30" s="7">
        <v>0.96</v>
      </c>
      <c r="R30" s="7">
        <v>0.96</v>
      </c>
      <c r="S30" s="7">
        <v>0.96</v>
      </c>
      <c r="T30" s="7">
        <v>0.96</v>
      </c>
      <c r="U30" s="7">
        <v>0.96</v>
      </c>
      <c r="V30" s="7">
        <v>0.96</v>
      </c>
      <c r="W30" s="7">
        <v>0.96</v>
      </c>
      <c r="X30" s="7">
        <v>0.96</v>
      </c>
      <c r="Y30" s="7">
        <v>0.96</v>
      </c>
      <c r="Z30" s="7">
        <v>0.96</v>
      </c>
      <c r="AA30" s="7">
        <v>0.96</v>
      </c>
      <c r="AB30" s="7">
        <v>0.96</v>
      </c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108</v>
      </c>
      <c r="B31" s="7">
        <v>0.36384317999999999</v>
      </c>
      <c r="C31" s="7">
        <v>0.36384317999999999</v>
      </c>
      <c r="D31" s="7">
        <v>0.36384317999999999</v>
      </c>
      <c r="E31" s="7">
        <v>0.36384317999999999</v>
      </c>
      <c r="F31" s="7">
        <v>0.36384317999999999</v>
      </c>
      <c r="G31" s="7">
        <v>0.36384317999999999</v>
      </c>
      <c r="H31" s="7">
        <v>0.36384317999999999</v>
      </c>
      <c r="I31" s="7">
        <v>0.36384317999999999</v>
      </c>
      <c r="J31" s="7">
        <v>0.36384317999999999</v>
      </c>
      <c r="K31" s="7">
        <v>0.36384317999999999</v>
      </c>
      <c r="L31" s="7">
        <v>0.36384317999999999</v>
      </c>
      <c r="M31" s="7">
        <v>0.36384317999999999</v>
      </c>
      <c r="N31" s="7">
        <v>0.36384317999999999</v>
      </c>
      <c r="O31" s="7">
        <v>0.36384317999999999</v>
      </c>
      <c r="P31" s="7">
        <v>0.36384317999999999</v>
      </c>
      <c r="Q31" s="7">
        <v>0.36384317999999999</v>
      </c>
      <c r="R31" s="7">
        <v>0.36384317999999999</v>
      </c>
      <c r="S31" s="7">
        <v>0.36384317999999999</v>
      </c>
      <c r="T31" s="7">
        <v>0.36384317999999999</v>
      </c>
      <c r="U31" s="7">
        <v>0.36384317999999999</v>
      </c>
      <c r="V31" s="7">
        <v>0.36384317999999999</v>
      </c>
      <c r="W31" s="7">
        <v>0.36384317999999999</v>
      </c>
      <c r="X31" s="7">
        <v>0.36384317999999999</v>
      </c>
      <c r="Y31" s="7">
        <v>0.36384317999999999</v>
      </c>
      <c r="Z31" s="7">
        <v>0.36384317999999999</v>
      </c>
      <c r="AA31" s="7">
        <v>0.36384317999999999</v>
      </c>
      <c r="AB31" s="7">
        <v>0.36384317999999999</v>
      </c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2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109</v>
      </c>
      <c r="B33" s="7">
        <v>2286</v>
      </c>
      <c r="C33" s="7">
        <v>3445.6396835800001</v>
      </c>
      <c r="D33" s="7">
        <v>4681.83816217</v>
      </c>
      <c r="E33" s="7">
        <v>5999.1212551999997</v>
      </c>
      <c r="F33" s="7">
        <v>7402.26992617</v>
      </c>
      <c r="G33" s="7">
        <v>8896.3346757800009</v>
      </c>
      <c r="H33" s="7">
        <v>10486.650725289999</v>
      </c>
      <c r="I33" s="7">
        <v>12178.85403411</v>
      </c>
      <c r="J33" s="7">
        <v>13978.89820326</v>
      </c>
      <c r="K33" s="7">
        <v>15893.08418731</v>
      </c>
      <c r="L33" s="7">
        <v>17928.032173259999</v>
      </c>
      <c r="M33" s="7">
        <v>20090.771034490001</v>
      </c>
      <c r="N33" s="7">
        <v>22388.71375137</v>
      </c>
      <c r="O33" s="7">
        <v>24829.689621360001</v>
      </c>
      <c r="P33" s="7">
        <v>27421.96973846</v>
      </c>
      <c r="Q33" s="7">
        <v>30174.28930574</v>
      </c>
      <c r="R33" s="7">
        <v>33095.875614249999</v>
      </c>
      <c r="S33" s="7">
        <v>36196.474421819999</v>
      </c>
      <c r="T33" s="7">
        <v>39486.379206379999</v>
      </c>
      <c r="U33" s="7">
        <v>42976.461628689998</v>
      </c>
      <c r="V33" s="7">
        <v>46678.204211880002</v>
      </c>
      <c r="W33" s="7">
        <v>50603.734071400002</v>
      </c>
      <c r="X33" s="7">
        <v>54765.858970150002</v>
      </c>
      <c r="Y33" s="7">
        <v>59100.63919401</v>
      </c>
      <c r="Z33" s="7">
        <v>59444.572432469999</v>
      </c>
      <c r="AA33" s="7">
        <v>60206.68003096</v>
      </c>
      <c r="AB33" s="7">
        <v>60963.636439640002</v>
      </c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178</v>
      </c>
      <c r="B34" s="7">
        <v>17338346.906399202</v>
      </c>
      <c r="C34" s="7">
        <v>26133725.064039402</v>
      </c>
      <c r="D34" s="7">
        <v>35469999.665024601</v>
      </c>
      <c r="E34" s="7">
        <v>44618079.553366102</v>
      </c>
      <c r="F34" s="7">
        <v>52687488.827586196</v>
      </c>
      <c r="G34" s="7">
        <v>59489418.627257697</v>
      </c>
      <c r="H34" s="7">
        <v>64944982.949096799</v>
      </c>
      <c r="I34" s="7">
        <v>69205434.876847193</v>
      </c>
      <c r="J34" s="7">
        <v>72376618.942528695</v>
      </c>
      <c r="K34" s="7">
        <v>74435114.364531994</v>
      </c>
      <c r="L34" s="7">
        <v>75434742.239737198</v>
      </c>
      <c r="M34" s="7">
        <v>75513359.553366095</v>
      </c>
      <c r="N34" s="7">
        <v>74809782.896551698</v>
      </c>
      <c r="O34" s="7">
        <v>73560158.489326701</v>
      </c>
      <c r="P34" s="7">
        <v>71997421.070607498</v>
      </c>
      <c r="Q34" s="7">
        <v>70257054.200328395</v>
      </c>
      <c r="R34" s="7">
        <v>68449726.029556602</v>
      </c>
      <c r="S34" s="7">
        <v>66636294.765188798</v>
      </c>
      <c r="T34" s="7">
        <v>64846808.866994999</v>
      </c>
      <c r="U34" s="7">
        <v>63085740.098522097</v>
      </c>
      <c r="V34" s="7">
        <v>61354572.6502463</v>
      </c>
      <c r="W34" s="7">
        <v>59614915.888341501</v>
      </c>
      <c r="X34" s="7">
        <v>57859304.078817703</v>
      </c>
      <c r="Y34" s="7">
        <v>56111330.732348099</v>
      </c>
      <c r="Z34" s="7">
        <v>54307700.243021302</v>
      </c>
      <c r="AA34" s="7">
        <v>52638708.860426903</v>
      </c>
      <c r="AB34" s="7">
        <v>51070172.2233169</v>
      </c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179</v>
      </c>
      <c r="B35" s="7">
        <v>2158220.7936741798</v>
      </c>
      <c r="C35" s="7">
        <v>3253040.7754236902</v>
      </c>
      <c r="D35" s="7">
        <v>4420140.1899456698</v>
      </c>
      <c r="E35" s="7">
        <v>5663791.8795945197</v>
      </c>
      <c r="F35" s="7">
        <v>6988509.5691331504</v>
      </c>
      <c r="G35" s="7">
        <v>8399061.4544019103</v>
      </c>
      <c r="H35" s="7">
        <v>9900484.5368849896</v>
      </c>
      <c r="I35" s="7">
        <v>11498099.746076999</v>
      </c>
      <c r="J35" s="7">
        <v>13197527.898046101</v>
      </c>
      <c r="K35" s="7">
        <v>15004717.746575899</v>
      </c>
      <c r="L35" s="7">
        <v>16925919.433942899</v>
      </c>
      <c r="M35" s="7">
        <v>18967768.944696099</v>
      </c>
      <c r="N35" s="7">
        <v>21137264.900185499</v>
      </c>
      <c r="O35" s="7">
        <v>23441798.9681971</v>
      </c>
      <c r="P35" s="7">
        <v>25889179.9182197</v>
      </c>
      <c r="Q35" s="7">
        <v>28487654.686781701</v>
      </c>
      <c r="R35" s="7">
        <v>31245934.7924456</v>
      </c>
      <c r="S35" s="7">
        <v>34173221.2400961</v>
      </c>
      <c r="T35" s="7">
        <v>37279232.139155202</v>
      </c>
      <c r="U35" s="7">
        <v>40574231.4635114</v>
      </c>
      <c r="V35" s="7">
        <v>44069059.904399797</v>
      </c>
      <c r="W35" s="7">
        <v>47775166.714984097</v>
      </c>
      <c r="X35" s="7">
        <v>51704643.750137404</v>
      </c>
      <c r="Y35" s="7">
        <v>55797125.296569303</v>
      </c>
      <c r="Z35" s="7">
        <v>56121833.899747498</v>
      </c>
      <c r="AA35" s="7">
        <v>56841342.415097199</v>
      </c>
      <c r="AB35" s="7">
        <v>57555987.673675798</v>
      </c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180</v>
      </c>
      <c r="B36" s="7">
        <v>385.14992287000001</v>
      </c>
      <c r="C36" s="7">
        <v>580.52837197999997</v>
      </c>
      <c r="D36" s="7">
        <v>788.80560237999998</v>
      </c>
      <c r="E36" s="7">
        <v>1010.74413329</v>
      </c>
      <c r="F36" s="7">
        <v>1247.14947117</v>
      </c>
      <c r="G36" s="7">
        <v>1498.87253463</v>
      </c>
      <c r="H36" s="7">
        <v>1766.8122125800001</v>
      </c>
      <c r="I36" s="7">
        <v>2051.91806292</v>
      </c>
      <c r="J36" s="7">
        <v>2355.1931604299998</v>
      </c>
      <c r="K36" s="7">
        <v>2677.69910273</v>
      </c>
      <c r="L36" s="7">
        <v>3020.5512723799998</v>
      </c>
      <c r="M36" s="7">
        <v>3384.9339082500001</v>
      </c>
      <c r="N36" s="7">
        <v>3772.09596431</v>
      </c>
      <c r="O36" s="7">
        <v>4183.3565365100003</v>
      </c>
      <c r="P36" s="7">
        <v>4620.1091555599996</v>
      </c>
      <c r="Q36" s="7">
        <v>5083.8255462099996</v>
      </c>
      <c r="R36" s="7">
        <v>5576.0603412099999</v>
      </c>
      <c r="S36" s="7">
        <v>6098.45552563</v>
      </c>
      <c r="T36" s="7">
        <v>6652.7453655299996</v>
      </c>
      <c r="U36" s="7">
        <v>7240.7615403999998</v>
      </c>
      <c r="V36" s="7">
        <v>7864.4386490500001</v>
      </c>
      <c r="W36" s="7">
        <v>8525.8198925300003</v>
      </c>
      <c r="X36" s="7">
        <v>9227.0631487499995</v>
      </c>
      <c r="Y36" s="7">
        <v>9957.3957248099996</v>
      </c>
      <c r="Z36" s="7">
        <v>10015.342295349999</v>
      </c>
      <c r="AA36" s="7">
        <v>10143.74373138</v>
      </c>
      <c r="AB36" s="7">
        <v>10271.2772845</v>
      </c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181</v>
      </c>
      <c r="B37" s="7">
        <v>906098296.56531096</v>
      </c>
      <c r="C37" s="7">
        <v>1365742875.6770599</v>
      </c>
      <c r="D37" s="7">
        <v>1853654587.09266</v>
      </c>
      <c r="E37" s="7">
        <v>2331731283.1247602</v>
      </c>
      <c r="F37" s="7">
        <v>2753436883.8449998</v>
      </c>
      <c r="G37" s="7">
        <v>3108904278.6382499</v>
      </c>
      <c r="H37" s="7">
        <v>3394010901.8652</v>
      </c>
      <c r="I37" s="7">
        <v>3616661207.2935801</v>
      </c>
      <c r="J37" s="7">
        <v>3782386607.5016298</v>
      </c>
      <c r="K37" s="7">
        <v>3889963137.4576802</v>
      </c>
      <c r="L37" s="7">
        <v>3942203476.1596599</v>
      </c>
      <c r="M37" s="7">
        <v>3946312000.1351099</v>
      </c>
      <c r="N37" s="7">
        <v>3909543234.71103</v>
      </c>
      <c r="O37" s="7">
        <v>3844238130.7789502</v>
      </c>
      <c r="P37" s="7">
        <v>3762569807.9149199</v>
      </c>
      <c r="Q37" s="7">
        <v>3671618607.9492202</v>
      </c>
      <c r="R37" s="7">
        <v>3577168024.7585902</v>
      </c>
      <c r="S37" s="7">
        <v>3482398495.2035298</v>
      </c>
      <c r="T37" s="7">
        <v>3388880345.3571501</v>
      </c>
      <c r="U37" s="7">
        <v>3296847268.6248698</v>
      </c>
      <c r="V37" s="7">
        <v>3206376828.48313</v>
      </c>
      <c r="W37" s="7">
        <v>3115462738.6290102</v>
      </c>
      <c r="X37" s="7">
        <v>3023714841.4028702</v>
      </c>
      <c r="Y37" s="7">
        <v>2932366128.6202798</v>
      </c>
      <c r="Z37" s="7">
        <v>2838108785.47016</v>
      </c>
      <c r="AA37" s="7">
        <v>2750887653.2068</v>
      </c>
      <c r="AB37" s="7">
        <v>2668916264.4314899</v>
      </c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197</v>
      </c>
      <c r="B38" s="7">
        <v>0</v>
      </c>
      <c r="C38" s="7">
        <v>67714.145183999994</v>
      </c>
      <c r="D38" s="7">
        <v>183810.05395199999</v>
      </c>
      <c r="E38" s="7">
        <v>346824.85286400001</v>
      </c>
      <c r="F38" s="7">
        <v>546066.549504</v>
      </c>
      <c r="G38" s="7">
        <v>770704.35231999995</v>
      </c>
      <c r="H38" s="7">
        <v>1009659.509376</v>
      </c>
      <c r="I38" s="7">
        <v>1255209.8092799999</v>
      </c>
      <c r="J38" s="7">
        <v>1500259.4145279999</v>
      </c>
      <c r="K38" s="7">
        <v>1735795.0753919999</v>
      </c>
      <c r="L38" s="7">
        <v>1954562.1894400001</v>
      </c>
      <c r="M38" s="7">
        <v>2152259.1354880002</v>
      </c>
      <c r="N38" s="7">
        <v>2326042.9140479998</v>
      </c>
      <c r="O38" s="7">
        <v>2477787.69056</v>
      </c>
      <c r="P38" s="7">
        <v>2611698.6138880001</v>
      </c>
      <c r="Q38" s="7">
        <v>2730607.4947199998</v>
      </c>
      <c r="R38" s="7">
        <v>2837721.556992</v>
      </c>
      <c r="S38" s="7">
        <v>2935200.9850240001</v>
      </c>
      <c r="T38" s="7">
        <v>3024399.7727999999</v>
      </c>
      <c r="U38" s="7">
        <v>3105724.19808</v>
      </c>
      <c r="V38" s="7">
        <v>3179472.0652800002</v>
      </c>
      <c r="W38" s="7">
        <v>3243786.878976</v>
      </c>
      <c r="X38" s="7">
        <v>3298177.0778879998</v>
      </c>
      <c r="Y38" s="7">
        <v>3343924.6830079998</v>
      </c>
      <c r="Z38" s="7">
        <v>3377152.9989120001</v>
      </c>
      <c r="AA38" s="7">
        <v>3409756.1343999999</v>
      </c>
      <c r="AB38" s="7">
        <v>3440477.7447040002</v>
      </c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110</v>
      </c>
      <c r="B39" s="7">
        <v>0</v>
      </c>
      <c r="C39" s="7">
        <v>2.022523E-2</v>
      </c>
      <c r="D39" s="7">
        <v>2.0483560000000001E-2</v>
      </c>
      <c r="E39" s="7">
        <v>2.0726789999999998E-2</v>
      </c>
      <c r="F39" s="7">
        <v>2.0955990000000001E-2</v>
      </c>
      <c r="G39" s="7">
        <v>2.1172119999999999E-2</v>
      </c>
      <c r="H39" s="7">
        <v>2.1376079999999999E-2</v>
      </c>
      <c r="I39" s="7">
        <v>2.156868E-2</v>
      </c>
      <c r="J39" s="7">
        <v>2.175069E-2</v>
      </c>
      <c r="K39" s="7">
        <v>2.1922770000000001E-2</v>
      </c>
      <c r="L39" s="7">
        <v>2.2085629999999998E-2</v>
      </c>
      <c r="M39" s="7">
        <v>2.2239780000000001E-2</v>
      </c>
      <c r="N39" s="7">
        <v>2.2385789999999999E-2</v>
      </c>
      <c r="O39" s="7">
        <v>2.252417E-2</v>
      </c>
      <c r="P39" s="7">
        <v>2.2655379999999999E-2</v>
      </c>
      <c r="Q39" s="7">
        <v>2.2779859999999999E-2</v>
      </c>
      <c r="R39" s="7">
        <v>2.289801E-2</v>
      </c>
      <c r="S39" s="7">
        <v>2.3010200000000001E-2</v>
      </c>
      <c r="T39" s="7">
        <v>2.3116769999999998E-2</v>
      </c>
      <c r="U39" s="7">
        <v>2.3218059999999999E-2</v>
      </c>
      <c r="V39" s="7">
        <v>2.3314370000000001E-2</v>
      </c>
      <c r="W39" s="7">
        <v>2.3405970000000002E-2</v>
      </c>
      <c r="X39" s="7">
        <v>2.3493139999999999E-2</v>
      </c>
      <c r="Y39" s="7">
        <v>2.3576110000000001E-2</v>
      </c>
      <c r="Z39" s="7">
        <v>2.3651129999999999E-2</v>
      </c>
      <c r="AA39" s="7">
        <v>2.3512209999999999E-2</v>
      </c>
      <c r="AB39" s="7">
        <v>2.339886E-2</v>
      </c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111</v>
      </c>
      <c r="B40" s="7">
        <v>0</v>
      </c>
      <c r="C40" s="7">
        <v>2.022523E-2</v>
      </c>
      <c r="D40" s="7">
        <v>2.0483560000000001E-2</v>
      </c>
      <c r="E40" s="7">
        <v>2.0726789999999998E-2</v>
      </c>
      <c r="F40" s="7">
        <v>2.0955990000000001E-2</v>
      </c>
      <c r="G40" s="7">
        <v>2.1172119999999999E-2</v>
      </c>
      <c r="H40" s="7">
        <v>2.1376079999999999E-2</v>
      </c>
      <c r="I40" s="7">
        <v>2.156868E-2</v>
      </c>
      <c r="J40" s="7">
        <v>2.175069E-2</v>
      </c>
      <c r="K40" s="7">
        <v>2.1922770000000001E-2</v>
      </c>
      <c r="L40" s="7">
        <v>2.2085629999999998E-2</v>
      </c>
      <c r="M40" s="7">
        <v>2.2239780000000001E-2</v>
      </c>
      <c r="N40" s="7">
        <v>2.2385789999999999E-2</v>
      </c>
      <c r="O40" s="7">
        <v>2.252417E-2</v>
      </c>
      <c r="P40" s="7">
        <v>2.2655379999999999E-2</v>
      </c>
      <c r="Q40" s="7">
        <v>2.2779859999999999E-2</v>
      </c>
      <c r="R40" s="7">
        <v>2.289801E-2</v>
      </c>
      <c r="S40" s="7">
        <v>2.3010200000000001E-2</v>
      </c>
      <c r="T40" s="7">
        <v>2.3116769999999998E-2</v>
      </c>
      <c r="U40" s="7">
        <v>2.3218059999999999E-2</v>
      </c>
      <c r="V40" s="7">
        <v>2.3314370000000001E-2</v>
      </c>
      <c r="W40" s="7">
        <v>2.3405970000000002E-2</v>
      </c>
      <c r="X40" s="7">
        <v>2.3493139999999999E-2</v>
      </c>
      <c r="Y40" s="7">
        <v>2.3233130000000001E-2</v>
      </c>
      <c r="Z40" s="7">
        <v>5.5529799999999999E-3</v>
      </c>
      <c r="AA40" s="7">
        <v>7.02938E-3</v>
      </c>
      <c r="AB40" s="7">
        <v>6.7656799999999996E-3</v>
      </c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112</v>
      </c>
      <c r="B41" s="7">
        <v>1</v>
      </c>
      <c r="C41" s="7">
        <v>2.022523E-2</v>
      </c>
      <c r="D41" s="7">
        <v>2.0483560000000001E-2</v>
      </c>
      <c r="E41" s="7">
        <v>2.0726789999999998E-2</v>
      </c>
      <c r="F41" s="7">
        <v>2.0955990000000001E-2</v>
      </c>
      <c r="G41" s="7">
        <v>2.1172119999999999E-2</v>
      </c>
      <c r="H41" s="7">
        <v>2.1376079999999999E-2</v>
      </c>
      <c r="I41" s="7">
        <v>2.156868E-2</v>
      </c>
      <c r="J41" s="7">
        <v>2.175069E-2</v>
      </c>
      <c r="K41" s="7">
        <v>2.1922770000000001E-2</v>
      </c>
      <c r="L41" s="7">
        <v>2.2085629999999998E-2</v>
      </c>
      <c r="M41" s="7">
        <v>2.2239780000000001E-2</v>
      </c>
      <c r="N41" s="7">
        <v>2.2385789999999999E-2</v>
      </c>
      <c r="O41" s="7">
        <v>2.252417E-2</v>
      </c>
      <c r="P41" s="7">
        <v>2.2655379999999999E-2</v>
      </c>
      <c r="Q41" s="7">
        <v>2.2779859999999999E-2</v>
      </c>
      <c r="R41" s="7">
        <v>2.289801E-2</v>
      </c>
      <c r="S41" s="7">
        <v>2.3010200000000001E-2</v>
      </c>
      <c r="T41" s="7">
        <v>2.3116769999999998E-2</v>
      </c>
      <c r="U41" s="7">
        <v>2.3218059999999999E-2</v>
      </c>
      <c r="V41" s="7">
        <v>2.3314370000000001E-2</v>
      </c>
      <c r="W41" s="7">
        <v>2.3405970000000002E-2</v>
      </c>
      <c r="X41" s="7">
        <v>2.3493139999999999E-2</v>
      </c>
      <c r="Y41" s="7">
        <v>2.3576110000000001E-2</v>
      </c>
      <c r="Z41" s="7">
        <v>2.3651129999999999E-2</v>
      </c>
      <c r="AA41" s="7">
        <v>2.3512209999999999E-2</v>
      </c>
      <c r="AB41" s="7">
        <v>2.339886E-2</v>
      </c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113</v>
      </c>
      <c r="B42" s="7">
        <v>0.98333333000000001</v>
      </c>
      <c r="C42" s="7">
        <v>0.98333333000000001</v>
      </c>
      <c r="D42" s="7">
        <v>0.98333333000000001</v>
      </c>
      <c r="E42" s="7">
        <v>0.98333333000000001</v>
      </c>
      <c r="F42" s="7">
        <v>0.98333333000000001</v>
      </c>
      <c r="G42" s="7">
        <v>0.98333333000000001</v>
      </c>
      <c r="H42" s="7">
        <v>0.98333333000000001</v>
      </c>
      <c r="I42" s="7">
        <v>0.98333333000000001</v>
      </c>
      <c r="J42" s="7">
        <v>0.98333333000000001</v>
      </c>
      <c r="K42" s="7">
        <v>0.98333333000000001</v>
      </c>
      <c r="L42" s="7">
        <v>0.98333333000000001</v>
      </c>
      <c r="M42" s="7">
        <v>0.98333333000000001</v>
      </c>
      <c r="N42" s="7">
        <v>0.98333333000000001</v>
      </c>
      <c r="O42" s="7">
        <v>0.98333333000000001</v>
      </c>
      <c r="P42" s="7">
        <v>0.98333333000000001</v>
      </c>
      <c r="Q42" s="7">
        <v>0.98333333000000001</v>
      </c>
      <c r="R42" s="7">
        <v>0.98333333000000001</v>
      </c>
      <c r="S42" s="7">
        <v>0.98333333000000001</v>
      </c>
      <c r="T42" s="7">
        <v>0.98333333000000001</v>
      </c>
      <c r="U42" s="7">
        <v>0.98333333000000001</v>
      </c>
      <c r="V42" s="7">
        <v>0.98333333000000001</v>
      </c>
      <c r="W42" s="7">
        <v>0.98333333000000001</v>
      </c>
      <c r="X42" s="7">
        <v>0.98333333000000001</v>
      </c>
      <c r="Y42" s="7">
        <v>0.98333333000000001</v>
      </c>
      <c r="Z42" s="7">
        <v>0.98333333000000001</v>
      </c>
      <c r="AA42" s="7">
        <v>0.98333333000000001</v>
      </c>
      <c r="AB42" s="7">
        <v>0.98333333000000001</v>
      </c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114</v>
      </c>
      <c r="B43" s="7">
        <v>0.86522686999999998</v>
      </c>
      <c r="C43" s="7">
        <v>0.86522686999999998</v>
      </c>
      <c r="D43" s="7">
        <v>0.86522686999999998</v>
      </c>
      <c r="E43" s="7">
        <v>0.86522686999999998</v>
      </c>
      <c r="F43" s="7">
        <v>0.86522686999999998</v>
      </c>
      <c r="G43" s="7">
        <v>0.86522686999999998</v>
      </c>
      <c r="H43" s="7">
        <v>0.86522686999999998</v>
      </c>
      <c r="I43" s="7">
        <v>0.86522686999999998</v>
      </c>
      <c r="J43" s="7">
        <v>0.86522686999999998</v>
      </c>
      <c r="K43" s="7">
        <v>0.86522686999999998</v>
      </c>
      <c r="L43" s="7">
        <v>0.86522686999999998</v>
      </c>
      <c r="M43" s="7">
        <v>0.86522686999999998</v>
      </c>
      <c r="N43" s="7">
        <v>0.86522686999999998</v>
      </c>
      <c r="O43" s="7">
        <v>0.86522686999999998</v>
      </c>
      <c r="P43" s="7">
        <v>0.86522686999999998</v>
      </c>
      <c r="Q43" s="7">
        <v>0.86522686999999998</v>
      </c>
      <c r="R43" s="7">
        <v>0.86522686999999998</v>
      </c>
      <c r="S43" s="7">
        <v>0.86522686999999998</v>
      </c>
      <c r="T43" s="7">
        <v>0.86522686999999998</v>
      </c>
      <c r="U43" s="7">
        <v>0.86522686999999998</v>
      </c>
      <c r="V43" s="7">
        <v>0.86522686999999998</v>
      </c>
      <c r="W43" s="7">
        <v>0.86522686999999998</v>
      </c>
      <c r="X43" s="7">
        <v>0.86522686999999998</v>
      </c>
      <c r="Y43" s="7">
        <v>0.86522686999999998</v>
      </c>
      <c r="Z43" s="7">
        <v>0.86522686999999998</v>
      </c>
      <c r="AA43" s="7">
        <v>0.86522686999999998</v>
      </c>
      <c r="AB43" s="7">
        <v>0.86522686999999998</v>
      </c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3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115</v>
      </c>
      <c r="B45" s="7">
        <v>31948</v>
      </c>
      <c r="C45" s="7">
        <v>32208.173539120002</v>
      </c>
      <c r="D45" s="7">
        <v>32453.784155580001</v>
      </c>
      <c r="E45" s="7">
        <v>32683.428039670001</v>
      </c>
      <c r="F45" s="7">
        <v>32895.612342120003</v>
      </c>
      <c r="G45" s="7">
        <v>33088.749926600001</v>
      </c>
      <c r="H45" s="7">
        <v>33261.153753480001</v>
      </c>
      <c r="I45" s="7">
        <v>33411.031261069998</v>
      </c>
      <c r="J45" s="7">
        <v>33537.481932889998</v>
      </c>
      <c r="K45" s="7">
        <v>33635.466987150001</v>
      </c>
      <c r="L45" s="7">
        <v>33705.858314949997</v>
      </c>
      <c r="M45" s="7">
        <v>33745.309693360003</v>
      </c>
      <c r="N45" s="7">
        <v>33751.57437866</v>
      </c>
      <c r="O45" s="7">
        <v>33721.86014895</v>
      </c>
      <c r="P45" s="7">
        <v>33653.649823699998</v>
      </c>
      <c r="Q45" s="7">
        <v>33543.901972569998</v>
      </c>
      <c r="R45" s="7">
        <v>33389.600542660002</v>
      </c>
      <c r="S45" s="7">
        <v>33187.494263610002</v>
      </c>
      <c r="T45" s="7">
        <v>32934.151642489996</v>
      </c>
      <c r="U45" s="7">
        <v>32625.885676130001</v>
      </c>
      <c r="V45" s="7">
        <v>32258.839584810001</v>
      </c>
      <c r="W45" s="7">
        <v>31828.913380729999</v>
      </c>
      <c r="X45" s="7">
        <v>31331.729928100001</v>
      </c>
      <c r="Y45" s="7">
        <v>30760.504378049998</v>
      </c>
      <c r="Z45" s="7">
        <v>30117.691615669999</v>
      </c>
      <c r="AA45" s="7">
        <v>29420.79986264</v>
      </c>
      <c r="AB45" s="7">
        <v>28669.64320722</v>
      </c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182</v>
      </c>
      <c r="B46" s="7">
        <v>101536677.835426</v>
      </c>
      <c r="C46" s="7">
        <v>89442691.888341501</v>
      </c>
      <c r="D46" s="7">
        <v>76492586.206896499</v>
      </c>
      <c r="E46" s="7">
        <v>63613056.341543503</v>
      </c>
      <c r="F46" s="7">
        <v>51593905.937602602</v>
      </c>
      <c r="G46" s="7">
        <v>40775299.297208503</v>
      </c>
      <c r="H46" s="7">
        <v>31365294.975369401</v>
      </c>
      <c r="I46" s="7">
        <v>23380986.752052501</v>
      </c>
      <c r="J46" s="7">
        <v>16915913.812807798</v>
      </c>
      <c r="K46" s="7">
        <v>12007252.0903119</v>
      </c>
      <c r="L46" s="7">
        <v>8440754.3711001594</v>
      </c>
      <c r="M46" s="7">
        <v>6003152.2397372704</v>
      </c>
      <c r="N46" s="7">
        <v>4384484.9901477797</v>
      </c>
      <c r="O46" s="7">
        <v>3288949.9018883398</v>
      </c>
      <c r="P46" s="7">
        <v>2545621.3702791501</v>
      </c>
      <c r="Q46" s="7">
        <v>2014272.98316913</v>
      </c>
      <c r="R46" s="7">
        <v>1612465.19663383</v>
      </c>
      <c r="S46" s="7">
        <v>1297383.69355501</v>
      </c>
      <c r="T46" s="7">
        <v>1045664.56896552</v>
      </c>
      <c r="U46" s="7">
        <v>848417.17405582999</v>
      </c>
      <c r="V46" s="7">
        <v>695601.68195812998</v>
      </c>
      <c r="W46" s="7">
        <v>581287.32830459997</v>
      </c>
      <c r="X46" s="7">
        <v>495019.90640394</v>
      </c>
      <c r="Y46" s="7">
        <v>429514.35806649999</v>
      </c>
      <c r="Z46" s="7">
        <v>392012.73414408998</v>
      </c>
      <c r="AA46" s="7">
        <v>355352.71459360002</v>
      </c>
      <c r="AB46" s="7">
        <v>320648.26693350001</v>
      </c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183</v>
      </c>
      <c r="B47" s="7">
        <v>3381644.3670804002</v>
      </c>
      <c r="C47" s="7">
        <v>3409183.3173444602</v>
      </c>
      <c r="D47" s="7">
        <v>3435180.8056896301</v>
      </c>
      <c r="E47" s="7">
        <v>3459488.2411179501</v>
      </c>
      <c r="F47" s="7">
        <v>3481947.6079376601</v>
      </c>
      <c r="G47" s="7">
        <v>3502390.9103235002</v>
      </c>
      <c r="H47" s="7">
        <v>3520639.5778469802</v>
      </c>
      <c r="I47" s="7">
        <v>3536503.87073788</v>
      </c>
      <c r="J47" s="7">
        <v>3549888.4707781998</v>
      </c>
      <c r="K47" s="7">
        <v>3560260.03102586</v>
      </c>
      <c r="L47" s="7">
        <v>3567710.8397508701</v>
      </c>
      <c r="M47" s="7">
        <v>3571886.70464323</v>
      </c>
      <c r="N47" s="7">
        <v>3572549.8114963602</v>
      </c>
      <c r="O47" s="7">
        <v>3569404.60811804</v>
      </c>
      <c r="P47" s="7">
        <v>3562184.6550020799</v>
      </c>
      <c r="Q47" s="7">
        <v>3550568.0216427902</v>
      </c>
      <c r="R47" s="7">
        <v>3534235.4636961301</v>
      </c>
      <c r="S47" s="7">
        <v>3512842.8394280602</v>
      </c>
      <c r="T47" s="7">
        <v>3486026.9308380401</v>
      </c>
      <c r="U47" s="7">
        <v>3453397.4745736402</v>
      </c>
      <c r="V47" s="7">
        <v>3414546.2367137601</v>
      </c>
      <c r="W47" s="7">
        <v>3369039.2401479399</v>
      </c>
      <c r="X47" s="7">
        <v>3316413.17209971</v>
      </c>
      <c r="Y47" s="7">
        <v>3255949.8672402198</v>
      </c>
      <c r="Z47" s="7">
        <v>3187909.1712035201</v>
      </c>
      <c r="AA47" s="7">
        <v>3114144.3010670198</v>
      </c>
      <c r="AB47" s="7">
        <v>3034635.5783743602</v>
      </c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184</v>
      </c>
      <c r="B48" s="7">
        <v>972.67075738000005</v>
      </c>
      <c r="C48" s="7">
        <v>980.59185394999997</v>
      </c>
      <c r="D48" s="7">
        <v>988.06957600999999</v>
      </c>
      <c r="E48" s="7">
        <v>995.06118395999999</v>
      </c>
      <c r="F48" s="7">
        <v>1001.52122735</v>
      </c>
      <c r="G48" s="7">
        <v>1007.40138512</v>
      </c>
      <c r="H48" s="7">
        <v>1012.65029463</v>
      </c>
      <c r="I48" s="7">
        <v>1017.21338054</v>
      </c>
      <c r="J48" s="7">
        <v>1021.06322625</v>
      </c>
      <c r="K48" s="7">
        <v>1024.0464238500001</v>
      </c>
      <c r="L48" s="7">
        <v>1026.1895184499999</v>
      </c>
      <c r="M48" s="7">
        <v>1027.3906328200001</v>
      </c>
      <c r="N48" s="7">
        <v>1027.5813638899999</v>
      </c>
      <c r="O48" s="7">
        <v>1026.6767012400001</v>
      </c>
      <c r="P48" s="7">
        <v>1024.6000082200001</v>
      </c>
      <c r="Q48" s="7">
        <v>1021.25868715</v>
      </c>
      <c r="R48" s="7">
        <v>1016.560913</v>
      </c>
      <c r="S48" s="7">
        <v>1010.40769942</v>
      </c>
      <c r="T48" s="7">
        <v>1002.69457311</v>
      </c>
      <c r="U48" s="7">
        <v>993.30928167000002</v>
      </c>
      <c r="V48" s="7">
        <v>982.13440375000005</v>
      </c>
      <c r="W48" s="7">
        <v>969.04511345000003</v>
      </c>
      <c r="X48" s="7">
        <v>953.90814695999995</v>
      </c>
      <c r="Y48" s="7">
        <v>936.51693661000002</v>
      </c>
      <c r="Z48" s="7">
        <v>916.94622244000004</v>
      </c>
      <c r="AA48" s="7">
        <v>895.72904987000004</v>
      </c>
      <c r="AB48" s="7">
        <v>872.85975873999996</v>
      </c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185</v>
      </c>
      <c r="B49" s="7">
        <v>16348169971.3783</v>
      </c>
      <c r="C49" s="7">
        <v>14400947134.179899</v>
      </c>
      <c r="D49" s="7">
        <v>12315882570.902399</v>
      </c>
      <c r="E49" s="7">
        <v>10242181245.6383</v>
      </c>
      <c r="F49" s="7">
        <v>8307007494.5957098</v>
      </c>
      <c r="G49" s="7">
        <v>6565130332.7556</v>
      </c>
      <c r="H49" s="7">
        <v>5050048754.7058096</v>
      </c>
      <c r="I49" s="7">
        <v>3764514987.7824502</v>
      </c>
      <c r="J49" s="7">
        <v>2723589545.4566798</v>
      </c>
      <c r="K49" s="7">
        <v>1933258032.92256</v>
      </c>
      <c r="L49" s="7">
        <v>1359025034.96382</v>
      </c>
      <c r="M49" s="7">
        <v>966552730.21986103</v>
      </c>
      <c r="N49" s="7">
        <v>705935110.18817794</v>
      </c>
      <c r="O49" s="7">
        <v>529545708.70014203</v>
      </c>
      <c r="P49" s="7">
        <v>409864215.88019103</v>
      </c>
      <c r="Q49" s="7">
        <v>324313123.09604698</v>
      </c>
      <c r="R49" s="7">
        <v>259619042.78795001</v>
      </c>
      <c r="S49" s="7">
        <v>208888547.39476001</v>
      </c>
      <c r="T49" s="7">
        <v>168359872.22473401</v>
      </c>
      <c r="U49" s="7">
        <v>136601555.849426</v>
      </c>
      <c r="V49" s="7">
        <v>111997110.516654</v>
      </c>
      <c r="W49" s="7">
        <v>93591638.488849506</v>
      </c>
      <c r="X49" s="7">
        <v>79701933.740872294</v>
      </c>
      <c r="Y49" s="7">
        <v>69155047.028422207</v>
      </c>
      <c r="Z49" s="7">
        <v>63117003.090447001</v>
      </c>
      <c r="AA49" s="7">
        <v>57214463.795859203</v>
      </c>
      <c r="AB49" s="7">
        <v>51626786.306256101</v>
      </c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198</v>
      </c>
      <c r="B50" s="7">
        <v>0</v>
      </c>
      <c r="C50" s="7">
        <v>7449162.0480000004</v>
      </c>
      <c r="D50" s="7">
        <v>12741246</v>
      </c>
      <c r="E50" s="7">
        <v>15893885.4048</v>
      </c>
      <c r="F50" s="7">
        <v>17187826.435199998</v>
      </c>
      <c r="G50" s="7">
        <v>16979688.647999998</v>
      </c>
      <c r="H50" s="7">
        <v>15673398.912</v>
      </c>
      <c r="I50" s="7">
        <v>13630865.623199999</v>
      </c>
      <c r="J50" s="7">
        <v>11270625.2928</v>
      </c>
      <c r="K50" s="7">
        <v>9000128.2625999991</v>
      </c>
      <c r="L50" s="7">
        <v>7029813.8159999996</v>
      </c>
      <c r="M50" s="7">
        <v>5499644.3172000004</v>
      </c>
      <c r="N50" s="7">
        <v>4381899.3143999996</v>
      </c>
      <c r="O50" s="7">
        <v>3560927.8243499999</v>
      </c>
      <c r="P50" s="7">
        <v>2968140.1554</v>
      </c>
      <c r="Q50" s="7">
        <v>2516356.37475</v>
      </c>
      <c r="R50" s="7">
        <v>2148685.6968</v>
      </c>
      <c r="S50" s="7">
        <v>1836876.326625</v>
      </c>
      <c r="T50" s="7">
        <v>1567571.8589999999</v>
      </c>
      <c r="U50" s="7">
        <v>1342534.9878</v>
      </c>
      <c r="V50" s="7">
        <v>1158652.43775</v>
      </c>
      <c r="W50" s="7">
        <v>1016652.9169125</v>
      </c>
      <c r="X50" s="7">
        <v>907001.29079999996</v>
      </c>
      <c r="Y50" s="7">
        <v>822750.36356249999</v>
      </c>
      <c r="Z50" s="7">
        <v>783563.10254999995</v>
      </c>
      <c r="AA50" s="7">
        <v>739881.5653125</v>
      </c>
      <c r="AB50" s="7">
        <v>694328.20177499996</v>
      </c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116</v>
      </c>
      <c r="B51" s="7">
        <v>0</v>
      </c>
      <c r="C51" s="7">
        <v>8.0829369999999998E-2</v>
      </c>
      <c r="D51" s="7">
        <v>8.0032259999999994E-2</v>
      </c>
      <c r="E51" s="7">
        <v>7.9275999999999999E-2</v>
      </c>
      <c r="F51" s="7">
        <v>7.8557950000000001E-2</v>
      </c>
      <c r="G51" s="7">
        <v>7.7875680000000003E-2</v>
      </c>
      <c r="H51" s="7">
        <v>7.7226959999999997E-2</v>
      </c>
      <c r="I51" s="7">
        <v>7.6609739999999996E-2</v>
      </c>
      <c r="J51" s="7">
        <v>7.6022110000000004E-2</v>
      </c>
      <c r="K51" s="7">
        <v>7.5462520000000005E-2</v>
      </c>
      <c r="L51" s="7">
        <v>7.4928770000000006E-2</v>
      </c>
      <c r="M51" s="7">
        <v>7.4419929999999995E-2</v>
      </c>
      <c r="N51" s="7">
        <v>7.3934410000000006E-2</v>
      </c>
      <c r="O51" s="7">
        <v>7.3470939999999998E-2</v>
      </c>
      <c r="P51" s="7">
        <v>7.3028280000000001E-2</v>
      </c>
      <c r="Q51" s="7">
        <v>7.2605340000000004E-2</v>
      </c>
      <c r="R51" s="7">
        <v>7.2201039999999994E-2</v>
      </c>
      <c r="S51" s="7">
        <v>7.1814409999999995E-2</v>
      </c>
      <c r="T51" s="7">
        <v>7.1444540000000001E-2</v>
      </c>
      <c r="U51" s="7">
        <v>7.1090570000000006E-2</v>
      </c>
      <c r="V51" s="7">
        <v>7.0751690000000006E-2</v>
      </c>
      <c r="W51" s="7">
        <v>7.0427139999999999E-2</v>
      </c>
      <c r="X51" s="7">
        <v>7.0116230000000002E-2</v>
      </c>
      <c r="Y51" s="7">
        <v>6.9818279999999996E-2</v>
      </c>
      <c r="Z51" s="7">
        <v>6.9533590000000006E-2</v>
      </c>
      <c r="AA51" s="7">
        <v>6.931698E-2</v>
      </c>
      <c r="AB51" s="7">
        <v>6.9101480000000007E-2</v>
      </c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117</v>
      </c>
      <c r="B52" s="7">
        <v>0</v>
      </c>
      <c r="C52" s="7">
        <v>1.980703E-2</v>
      </c>
      <c r="D52" s="7">
        <v>1.8460239999999999E-2</v>
      </c>
      <c r="E52" s="7">
        <v>1.7185180000000001E-2</v>
      </c>
      <c r="F52" s="7">
        <v>1.5976939999999999E-2</v>
      </c>
      <c r="G52" s="7">
        <v>1.483105E-2</v>
      </c>
      <c r="H52" s="7">
        <v>1.3743399999999999E-2</v>
      </c>
      <c r="I52" s="7">
        <v>1.2710249999999999E-2</v>
      </c>
      <c r="J52" s="7">
        <v>1.1739049999999999E-2</v>
      </c>
      <c r="K52" s="7">
        <v>1.0783879999999999E-2</v>
      </c>
      <c r="L52" s="7">
        <v>9.9047300000000005E-3</v>
      </c>
      <c r="M52" s="7">
        <v>9.0572699999999992E-3</v>
      </c>
      <c r="N52" s="7">
        <v>8.2511500000000005E-3</v>
      </c>
      <c r="O52" s="7">
        <v>7.4806500000000001E-3</v>
      </c>
      <c r="P52" s="7">
        <v>6.7471700000000003E-3</v>
      </c>
      <c r="Q52" s="7">
        <v>6.0459399999999996E-3</v>
      </c>
      <c r="R52" s="7">
        <v>5.3766200000000004E-3</v>
      </c>
      <c r="S52" s="7">
        <v>4.7371399999999999E-3</v>
      </c>
      <c r="T52" s="7">
        <v>4.1259799999999996E-3</v>
      </c>
      <c r="U52" s="7">
        <v>3.5413799999999998E-3</v>
      </c>
      <c r="V52" s="7">
        <v>2.9822099999999999E-3</v>
      </c>
      <c r="W52" s="7">
        <v>2.4471100000000002E-3</v>
      </c>
      <c r="X52" s="7">
        <v>1.9346999999999999E-3</v>
      </c>
      <c r="Y52" s="7">
        <v>1.4343400000000001E-3</v>
      </c>
      <c r="Z52" s="7">
        <v>9.8637000000000009E-4</v>
      </c>
      <c r="AA52" s="7">
        <v>6.5612999999999999E-4</v>
      </c>
      <c r="AB52" s="7">
        <v>3.4372999999999999E-4</v>
      </c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118</v>
      </c>
      <c r="B53" s="7">
        <v>1</v>
      </c>
      <c r="C53" s="7">
        <v>8.0829369999999998E-2</v>
      </c>
      <c r="D53" s="7">
        <v>8.0032259999999994E-2</v>
      </c>
      <c r="E53" s="7">
        <v>7.9275999999999999E-2</v>
      </c>
      <c r="F53" s="7">
        <v>7.8557950000000001E-2</v>
      </c>
      <c r="G53" s="7">
        <v>7.7875680000000003E-2</v>
      </c>
      <c r="H53" s="7">
        <v>7.7226959999999997E-2</v>
      </c>
      <c r="I53" s="7">
        <v>7.6609739999999996E-2</v>
      </c>
      <c r="J53" s="7">
        <v>7.6022110000000004E-2</v>
      </c>
      <c r="K53" s="7">
        <v>7.5462520000000005E-2</v>
      </c>
      <c r="L53" s="7">
        <v>7.4928770000000006E-2</v>
      </c>
      <c r="M53" s="7">
        <v>7.4419929999999995E-2</v>
      </c>
      <c r="N53" s="7">
        <v>7.3934410000000006E-2</v>
      </c>
      <c r="O53" s="7">
        <v>7.3470939999999998E-2</v>
      </c>
      <c r="P53" s="7">
        <v>7.3028280000000001E-2</v>
      </c>
      <c r="Q53" s="7">
        <v>7.2605340000000004E-2</v>
      </c>
      <c r="R53" s="7">
        <v>7.2201039999999994E-2</v>
      </c>
      <c r="S53" s="7">
        <v>7.1814409999999995E-2</v>
      </c>
      <c r="T53" s="7">
        <v>7.1444540000000001E-2</v>
      </c>
      <c r="U53" s="7">
        <v>7.1090570000000006E-2</v>
      </c>
      <c r="V53" s="7">
        <v>7.0751690000000006E-2</v>
      </c>
      <c r="W53" s="7">
        <v>7.0427139999999999E-2</v>
      </c>
      <c r="X53" s="7">
        <v>7.0116230000000002E-2</v>
      </c>
      <c r="Y53" s="7">
        <v>6.9818279999999996E-2</v>
      </c>
      <c r="Z53" s="7">
        <v>6.9533590000000006E-2</v>
      </c>
      <c r="AA53" s="7">
        <v>6.931698E-2</v>
      </c>
      <c r="AB53" s="7">
        <v>6.9101480000000007E-2</v>
      </c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119</v>
      </c>
      <c r="B54" s="7">
        <v>0.97142857000000005</v>
      </c>
      <c r="C54" s="7">
        <v>0.97142857000000005</v>
      </c>
      <c r="D54" s="7">
        <v>0.97142857000000005</v>
      </c>
      <c r="E54" s="7">
        <v>0.97142857000000005</v>
      </c>
      <c r="F54" s="7">
        <v>0.97142857000000005</v>
      </c>
      <c r="G54" s="7">
        <v>0.97142857000000005</v>
      </c>
      <c r="H54" s="7">
        <v>0.97142857000000005</v>
      </c>
      <c r="I54" s="7">
        <v>0.97142857000000005</v>
      </c>
      <c r="J54" s="7">
        <v>0.97142857000000005</v>
      </c>
      <c r="K54" s="7">
        <v>0.97142857000000005</v>
      </c>
      <c r="L54" s="7">
        <v>0.97142857000000005</v>
      </c>
      <c r="M54" s="7">
        <v>0.97142857000000005</v>
      </c>
      <c r="N54" s="7">
        <v>0.97142857000000005</v>
      </c>
      <c r="O54" s="7">
        <v>0.97142857000000005</v>
      </c>
      <c r="P54" s="7">
        <v>0.97142857000000005</v>
      </c>
      <c r="Q54" s="7">
        <v>0.97142857000000005</v>
      </c>
      <c r="R54" s="7">
        <v>0.97142857000000005</v>
      </c>
      <c r="S54" s="7">
        <v>0.97142857000000005</v>
      </c>
      <c r="T54" s="7">
        <v>0.97142857000000005</v>
      </c>
      <c r="U54" s="7">
        <v>0.97142857000000005</v>
      </c>
      <c r="V54" s="7">
        <v>0.97142857000000005</v>
      </c>
      <c r="W54" s="7">
        <v>0.97142857000000005</v>
      </c>
      <c r="X54" s="7">
        <v>0.97142857000000005</v>
      </c>
      <c r="Y54" s="7">
        <v>0.97142857000000005</v>
      </c>
      <c r="Z54" s="7">
        <v>0.97142857000000005</v>
      </c>
      <c r="AA54" s="7">
        <v>0.97142857000000005</v>
      </c>
      <c r="AB54" s="7">
        <v>0.97142857000000005</v>
      </c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120</v>
      </c>
      <c r="B55" s="7">
        <v>0.36255826000000002</v>
      </c>
      <c r="C55" s="7">
        <v>0.36255826000000002</v>
      </c>
      <c r="D55" s="7">
        <v>0.36255826000000002</v>
      </c>
      <c r="E55" s="7">
        <v>0.36255826000000002</v>
      </c>
      <c r="F55" s="7">
        <v>0.36255826000000002</v>
      </c>
      <c r="G55" s="7">
        <v>0.36255826000000002</v>
      </c>
      <c r="H55" s="7">
        <v>0.36255826000000002</v>
      </c>
      <c r="I55" s="7">
        <v>0.36255826000000002</v>
      </c>
      <c r="J55" s="7">
        <v>0.36255826000000002</v>
      </c>
      <c r="K55" s="7">
        <v>0.36255826000000002</v>
      </c>
      <c r="L55" s="7">
        <v>0.36255826000000002</v>
      </c>
      <c r="M55" s="7">
        <v>0.36255826000000002</v>
      </c>
      <c r="N55" s="7">
        <v>0.36255826000000002</v>
      </c>
      <c r="O55" s="7">
        <v>0.36255826000000002</v>
      </c>
      <c r="P55" s="7">
        <v>0.36255826000000002</v>
      </c>
      <c r="Q55" s="7">
        <v>0.36255826000000002</v>
      </c>
      <c r="R55" s="7">
        <v>0.36255826000000002</v>
      </c>
      <c r="S55" s="7">
        <v>0.36255826000000002</v>
      </c>
      <c r="T55" s="7">
        <v>0.36255826000000002</v>
      </c>
      <c r="U55" s="7">
        <v>0.36255826000000002</v>
      </c>
      <c r="V55" s="7">
        <v>0.36255826000000002</v>
      </c>
      <c r="W55" s="7">
        <v>0.36255826000000002</v>
      </c>
      <c r="X55" s="7">
        <v>0.36255826000000002</v>
      </c>
      <c r="Y55" s="7">
        <v>0.36255826000000002</v>
      </c>
      <c r="Z55" s="7">
        <v>0.36255826000000002</v>
      </c>
      <c r="AA55" s="7">
        <v>0.36255826000000002</v>
      </c>
      <c r="AB55" s="7">
        <v>0.36255826000000002</v>
      </c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4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121</v>
      </c>
      <c r="B57" s="7">
        <v>1821</v>
      </c>
      <c r="C57" s="7">
        <v>2162.37264452</v>
      </c>
      <c r="D57" s="7">
        <v>2526.29275762</v>
      </c>
      <c r="E57" s="7">
        <v>2914.09616714</v>
      </c>
      <c r="F57" s="7">
        <v>3327.1939187399998</v>
      </c>
      <c r="G57" s="7">
        <v>3767.0765274700002</v>
      </c>
      <c r="H57" s="7">
        <v>4235.3184617899997</v>
      </c>
      <c r="I57" s="7">
        <v>4733.5828734200004</v>
      </c>
      <c r="J57" s="7">
        <v>5263.6265880499996</v>
      </c>
      <c r="K57" s="7">
        <v>5827.3086097699997</v>
      </c>
      <c r="L57" s="7">
        <v>6426.58288722</v>
      </c>
      <c r="M57" s="7">
        <v>7063.52311861</v>
      </c>
      <c r="N57" s="7">
        <v>7740.3166171599996</v>
      </c>
      <c r="O57" s="7">
        <v>8459.2733320400002</v>
      </c>
      <c r="P57" s="7">
        <v>9222.8337461899991</v>
      </c>
      <c r="Q57" s="7">
        <v>10033.575045670001</v>
      </c>
      <c r="R57" s="7">
        <v>10894.2197254</v>
      </c>
      <c r="S57" s="7">
        <v>11807.64317734</v>
      </c>
      <c r="T57" s="7">
        <v>12776.865702880001</v>
      </c>
      <c r="U57" s="7">
        <v>13805.12818234</v>
      </c>
      <c r="V57" s="7">
        <v>14895.8016916</v>
      </c>
      <c r="W57" s="7">
        <v>16052.464143499999</v>
      </c>
      <c r="X57" s="7">
        <v>17278.889791810001</v>
      </c>
      <c r="Y57" s="7">
        <v>18579.07594183</v>
      </c>
      <c r="Z57" s="7">
        <v>19956.77616478</v>
      </c>
      <c r="AA57" s="7">
        <v>21392.22906998</v>
      </c>
      <c r="AB57" s="7">
        <v>22890.003238050002</v>
      </c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186</v>
      </c>
      <c r="B58" s="7">
        <v>5020348.23511275</v>
      </c>
      <c r="C58" s="7">
        <v>5961484.5517241396</v>
      </c>
      <c r="D58" s="7">
        <v>6881101.2857142799</v>
      </c>
      <c r="E58" s="7">
        <v>7558903.7274219999</v>
      </c>
      <c r="F58" s="7">
        <v>8075841.83251232</v>
      </c>
      <c r="G58" s="7">
        <v>8331469.6518883398</v>
      </c>
      <c r="H58" s="7">
        <v>8347910.8998357998</v>
      </c>
      <c r="I58" s="7">
        <v>8118774.6009852197</v>
      </c>
      <c r="J58" s="7">
        <v>7571986.3546797996</v>
      </c>
      <c r="K58" s="7">
        <v>6706843.2495894898</v>
      </c>
      <c r="L58" s="7">
        <v>5713523.9835796403</v>
      </c>
      <c r="M58" s="7">
        <v>4684820.8489326797</v>
      </c>
      <c r="N58" s="7">
        <v>3792858.3579638801</v>
      </c>
      <c r="O58" s="7">
        <v>3117877.7573891599</v>
      </c>
      <c r="P58" s="7">
        <v>2591196.8534482801</v>
      </c>
      <c r="Q58" s="7">
        <v>2189112.7803776702</v>
      </c>
      <c r="R58" s="7">
        <v>1878058.9232348099</v>
      </c>
      <c r="S58" s="7">
        <v>1632377.6190476201</v>
      </c>
      <c r="T58" s="7">
        <v>1428797.4248768501</v>
      </c>
      <c r="U58" s="7">
        <v>1251500.13690476</v>
      </c>
      <c r="V58" s="7">
        <v>1104697.4254926101</v>
      </c>
      <c r="W58" s="7">
        <v>990286.51149425004</v>
      </c>
      <c r="X58" s="7">
        <v>909848.94540229999</v>
      </c>
      <c r="Y58" s="7">
        <v>854829.54064039001</v>
      </c>
      <c r="Z58" s="7">
        <v>887303.90414613998</v>
      </c>
      <c r="AA58" s="7">
        <v>908702.01642035996</v>
      </c>
      <c r="AB58" s="7">
        <v>928744.08559112996</v>
      </c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187</v>
      </c>
      <c r="B59" s="7">
        <v>911120.86995328998</v>
      </c>
      <c r="C59" s="7">
        <v>1081923.5832159</v>
      </c>
      <c r="D59" s="7">
        <v>1264007.7183306699</v>
      </c>
      <c r="E59" s="7">
        <v>1458041.64466103</v>
      </c>
      <c r="F59" s="7">
        <v>1664731.36614316</v>
      </c>
      <c r="G59" s="7">
        <v>1884822.6484847199</v>
      </c>
      <c r="H59" s="7">
        <v>2119103.26273133</v>
      </c>
      <c r="I59" s="7">
        <v>2368405.35179734</v>
      </c>
      <c r="J59" s="7">
        <v>2633607.9275200898</v>
      </c>
      <c r="K59" s="7">
        <v>2915641.1257656901</v>
      </c>
      <c r="L59" s="7">
        <v>3215482.5870567299</v>
      </c>
      <c r="M59" s="7">
        <v>3534169.86752288</v>
      </c>
      <c r="N59" s="7">
        <v>3872797.3695458402</v>
      </c>
      <c r="O59" s="7">
        <v>4232520.8552769003</v>
      </c>
      <c r="P59" s="7">
        <v>4614561.3982775696</v>
      </c>
      <c r="Q59" s="7">
        <v>5020208.4702644199</v>
      </c>
      <c r="R59" s="7">
        <v>5450824.2469337704</v>
      </c>
      <c r="S59" s="7">
        <v>5907847.4046313399</v>
      </c>
      <c r="T59" s="7">
        <v>6392789.1238259003</v>
      </c>
      <c r="U59" s="7">
        <v>6907270.9496491104</v>
      </c>
      <c r="V59" s="7">
        <v>7452979.5694151204</v>
      </c>
      <c r="W59" s="7">
        <v>8031705.1594293499</v>
      </c>
      <c r="X59" s="7">
        <v>8645336.13340942</v>
      </c>
      <c r="Y59" s="7">
        <v>9295872.5068908203</v>
      </c>
      <c r="Z59" s="7">
        <v>9985192.3452611696</v>
      </c>
      <c r="AA59" s="7">
        <v>10703408.215531699</v>
      </c>
      <c r="AB59" s="7">
        <v>11452805.965672299</v>
      </c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188</v>
      </c>
      <c r="B60" s="7">
        <v>289.76101268000002</v>
      </c>
      <c r="C60" s="7">
        <v>344.08088263000002</v>
      </c>
      <c r="D60" s="7">
        <v>401.98854901999999</v>
      </c>
      <c r="E60" s="7">
        <v>463.69657135</v>
      </c>
      <c r="F60" s="7">
        <v>529.42947790999995</v>
      </c>
      <c r="G60" s="7">
        <v>599.42444230000001</v>
      </c>
      <c r="H60" s="7">
        <v>673.93199698000001</v>
      </c>
      <c r="I60" s="7">
        <v>753.21678583000005</v>
      </c>
      <c r="J60" s="7">
        <v>837.55835833000003</v>
      </c>
      <c r="K60" s="7">
        <v>927.25252276000003</v>
      </c>
      <c r="L60" s="7">
        <v>1022.6101952</v>
      </c>
      <c r="M60" s="7">
        <v>1123.9613464700001</v>
      </c>
      <c r="N60" s="7">
        <v>1231.6540260500001</v>
      </c>
      <c r="O60" s="7">
        <v>1346.0557974799999</v>
      </c>
      <c r="P60" s="7">
        <v>1467.5549950899999</v>
      </c>
      <c r="Q60" s="7">
        <v>1596.5617056599999</v>
      </c>
      <c r="R60" s="7">
        <v>1733.50913782</v>
      </c>
      <c r="S60" s="7">
        <v>1878.85482944</v>
      </c>
      <c r="T60" s="7">
        <v>2033.0793766700001</v>
      </c>
      <c r="U60" s="7">
        <v>2196.6984746100002</v>
      </c>
      <c r="V60" s="7">
        <v>2370.24853532</v>
      </c>
      <c r="W60" s="7">
        <v>2554.2988831399998</v>
      </c>
      <c r="X60" s="7">
        <v>2749.4500845799998</v>
      </c>
      <c r="Y60" s="7">
        <v>2956.3381985300002</v>
      </c>
      <c r="Z60" s="7">
        <v>3175.5605004399999</v>
      </c>
      <c r="AA60" s="7">
        <v>3403.9725199099998</v>
      </c>
      <c r="AB60" s="7">
        <v>3642.3012182699999</v>
      </c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189</v>
      </c>
      <c r="B61" s="7">
        <v>584608521.64497495</v>
      </c>
      <c r="C61" s="7">
        <v>694201777.91999996</v>
      </c>
      <c r="D61" s="7">
        <v>801289126.08000004</v>
      </c>
      <c r="E61" s="7">
        <v>880217731.20000005</v>
      </c>
      <c r="F61" s="7">
        <v>940414037.75999999</v>
      </c>
      <c r="G61" s="7">
        <v>970181335.67999995</v>
      </c>
      <c r="H61" s="7">
        <v>972095882.88</v>
      </c>
      <c r="I61" s="7">
        <v>945413464.32000005</v>
      </c>
      <c r="J61" s="7">
        <v>881741174.39999998</v>
      </c>
      <c r="K61" s="7">
        <v>780997160.63999999</v>
      </c>
      <c r="L61" s="7">
        <v>665327314.55999994</v>
      </c>
      <c r="M61" s="7">
        <v>545537094.72000003</v>
      </c>
      <c r="N61" s="7">
        <v>441670022.39999998</v>
      </c>
      <c r="O61" s="7">
        <v>363070014.48000002</v>
      </c>
      <c r="P61" s="7">
        <v>301739180.39999998</v>
      </c>
      <c r="Q61" s="7">
        <v>254917373.52000001</v>
      </c>
      <c r="R61" s="7">
        <v>218695835.28</v>
      </c>
      <c r="S61" s="7">
        <v>190086787.19999999</v>
      </c>
      <c r="T61" s="7">
        <v>166380320.88</v>
      </c>
      <c r="U61" s="7">
        <v>145734441.24000001</v>
      </c>
      <c r="V61" s="7">
        <v>128639588.04000001</v>
      </c>
      <c r="W61" s="7">
        <v>115316688.48</v>
      </c>
      <c r="X61" s="7">
        <v>105949910.64</v>
      </c>
      <c r="Y61" s="7">
        <v>99543021.840000004</v>
      </c>
      <c r="Z61" s="7">
        <v>103324590.12</v>
      </c>
      <c r="AA61" s="7">
        <v>105816353.28</v>
      </c>
      <c r="AB61" s="7">
        <v>108150208.2</v>
      </c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199</v>
      </c>
      <c r="B62" s="7">
        <v>0</v>
      </c>
      <c r="C62" s="7">
        <v>952171.691184</v>
      </c>
      <c r="D62" s="7">
        <v>2198106.7942320001</v>
      </c>
      <c r="E62" s="7">
        <v>3621937.1617200002</v>
      </c>
      <c r="F62" s="7">
        <v>5159512.1374080004</v>
      </c>
      <c r="G62" s="7">
        <v>6653535.2726800004</v>
      </c>
      <c r="H62" s="7">
        <v>7999998.3598560002</v>
      </c>
      <c r="I62" s="7">
        <v>9077146.9632479995</v>
      </c>
      <c r="J62" s="7">
        <v>9675215.6150400005</v>
      </c>
      <c r="K62" s="7">
        <v>9640987.2434519995</v>
      </c>
      <c r="L62" s="7">
        <v>9125672.8871199992</v>
      </c>
      <c r="M62" s="7">
        <v>8230884.6514839996</v>
      </c>
      <c r="N62" s="7">
        <v>7269569.8377599996</v>
      </c>
      <c r="O62" s="7">
        <v>6473859.6314730002</v>
      </c>
      <c r="P62" s="7">
        <v>5794144.0193699999</v>
      </c>
      <c r="Q62" s="7">
        <v>5244695.0089349998</v>
      </c>
      <c r="R62" s="7">
        <v>4799434.1692960002</v>
      </c>
      <c r="S62" s="7">
        <v>4432312.7334799999</v>
      </c>
      <c r="T62" s="7">
        <v>4107750.020118</v>
      </c>
      <c r="U62" s="7">
        <v>3797915.9115745001</v>
      </c>
      <c r="V62" s="7">
        <v>3528857.9774099998</v>
      </c>
      <c r="W62" s="7">
        <v>3321551.5797660002</v>
      </c>
      <c r="X62" s="7">
        <v>3197074.9624660001</v>
      </c>
      <c r="Y62" s="7">
        <v>3140278.7499389998</v>
      </c>
      <c r="Z62" s="7">
        <v>3401296.3784759999</v>
      </c>
      <c r="AA62" s="7">
        <v>3628460.0263999999</v>
      </c>
      <c r="AB62" s="7">
        <v>3856827.8242649999</v>
      </c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122</v>
      </c>
      <c r="B63" s="7">
        <v>0</v>
      </c>
      <c r="C63" s="7">
        <v>6.6430400000000002E-3</v>
      </c>
      <c r="D63" s="7">
        <v>6.7406599999999999E-3</v>
      </c>
      <c r="E63" s="7">
        <v>6.8328499999999997E-3</v>
      </c>
      <c r="F63" s="7">
        <v>6.9199800000000001E-3</v>
      </c>
      <c r="G63" s="7">
        <v>7.0023899999999998E-3</v>
      </c>
      <c r="H63" s="7">
        <v>7.0803999999999997E-3</v>
      </c>
      <c r="I63" s="7">
        <v>7.1542899999999998E-3</v>
      </c>
      <c r="J63" s="7">
        <v>7.2243200000000002E-3</v>
      </c>
      <c r="K63" s="7">
        <v>7.2907299999999996E-3</v>
      </c>
      <c r="L63" s="7">
        <v>7.3537899999999998E-3</v>
      </c>
      <c r="M63" s="7">
        <v>7.4136499999999999E-3</v>
      </c>
      <c r="N63" s="7">
        <v>7.4705400000000003E-3</v>
      </c>
      <c r="O63" s="7">
        <v>7.5246100000000002E-3</v>
      </c>
      <c r="P63" s="7">
        <v>7.57605E-3</v>
      </c>
      <c r="Q63" s="7">
        <v>7.6249899999999999E-3</v>
      </c>
      <c r="R63" s="7">
        <v>7.6715899999999998E-3</v>
      </c>
      <c r="S63" s="7">
        <v>7.7159799999999999E-3</v>
      </c>
      <c r="T63" s="7">
        <v>7.7582800000000002E-3</v>
      </c>
      <c r="U63" s="7">
        <v>7.7986100000000001E-3</v>
      </c>
      <c r="V63" s="7">
        <v>7.8370699999999998E-3</v>
      </c>
      <c r="W63" s="7">
        <v>7.8737700000000004E-3</v>
      </c>
      <c r="X63" s="7">
        <v>7.9087900000000006E-3</v>
      </c>
      <c r="Y63" s="7">
        <v>7.9422399999999997E-3</v>
      </c>
      <c r="Z63" s="7">
        <v>7.9748900000000001E-3</v>
      </c>
      <c r="AA63" s="7">
        <v>8.0431500000000006E-3</v>
      </c>
      <c r="AB63" s="7">
        <v>8.1054100000000004E-3</v>
      </c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123</v>
      </c>
      <c r="B64" s="7">
        <v>0</v>
      </c>
      <c r="C64" s="7">
        <v>6.6430400000000002E-3</v>
      </c>
      <c r="D64" s="7">
        <v>6.7406599999999999E-3</v>
      </c>
      <c r="E64" s="7">
        <v>6.8328499999999997E-3</v>
      </c>
      <c r="F64" s="7">
        <v>6.9199800000000001E-3</v>
      </c>
      <c r="G64" s="7">
        <v>7.0023899999999998E-3</v>
      </c>
      <c r="H64" s="7">
        <v>7.0803999999999997E-3</v>
      </c>
      <c r="I64" s="7">
        <v>7.1542899999999998E-3</v>
      </c>
      <c r="J64" s="7">
        <v>7.2243200000000002E-3</v>
      </c>
      <c r="K64" s="7">
        <v>7.2907299999999996E-3</v>
      </c>
      <c r="L64" s="7">
        <v>7.3537899999999998E-3</v>
      </c>
      <c r="M64" s="7">
        <v>7.4136499999999999E-3</v>
      </c>
      <c r="N64" s="7">
        <v>7.4705400000000003E-3</v>
      </c>
      <c r="O64" s="7">
        <v>7.5246100000000002E-3</v>
      </c>
      <c r="P64" s="7">
        <v>7.57605E-3</v>
      </c>
      <c r="Q64" s="7">
        <v>7.6249899999999999E-3</v>
      </c>
      <c r="R64" s="7">
        <v>7.6715899999999998E-3</v>
      </c>
      <c r="S64" s="7">
        <v>7.7159799999999999E-3</v>
      </c>
      <c r="T64" s="7">
        <v>7.7581799999999999E-3</v>
      </c>
      <c r="U64" s="7">
        <v>7.7986100000000001E-3</v>
      </c>
      <c r="V64" s="7">
        <v>7.8370699999999998E-3</v>
      </c>
      <c r="W64" s="7">
        <v>7.8737700000000004E-3</v>
      </c>
      <c r="X64" s="7">
        <v>7.9087700000000007E-3</v>
      </c>
      <c r="Y64" s="7">
        <v>7.9422299999999998E-3</v>
      </c>
      <c r="Z64" s="7">
        <v>7.9747800000000008E-3</v>
      </c>
      <c r="AA64" s="7">
        <v>8.0431500000000006E-3</v>
      </c>
      <c r="AB64" s="7">
        <v>8.1053600000000007E-3</v>
      </c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124</v>
      </c>
      <c r="B65" s="7">
        <v>1</v>
      </c>
      <c r="C65" s="7">
        <v>6.6430400000000002E-3</v>
      </c>
      <c r="D65" s="7">
        <v>6.7406599999999999E-3</v>
      </c>
      <c r="E65" s="7">
        <v>6.8328499999999997E-3</v>
      </c>
      <c r="F65" s="7">
        <v>6.9199800000000001E-3</v>
      </c>
      <c r="G65" s="7">
        <v>7.0023899999999998E-3</v>
      </c>
      <c r="H65" s="7">
        <v>7.0803999999999997E-3</v>
      </c>
      <c r="I65" s="7">
        <v>7.1542899999999998E-3</v>
      </c>
      <c r="J65" s="7">
        <v>7.2243200000000002E-3</v>
      </c>
      <c r="K65" s="7">
        <v>7.2907299999999996E-3</v>
      </c>
      <c r="L65" s="7">
        <v>7.3537899999999998E-3</v>
      </c>
      <c r="M65" s="7">
        <v>7.4136499999999999E-3</v>
      </c>
      <c r="N65" s="7">
        <v>7.4705400000000003E-3</v>
      </c>
      <c r="O65" s="7">
        <v>7.5246100000000002E-3</v>
      </c>
      <c r="P65" s="7">
        <v>7.57605E-3</v>
      </c>
      <c r="Q65" s="7">
        <v>7.6249899999999999E-3</v>
      </c>
      <c r="R65" s="7">
        <v>7.6715899999999998E-3</v>
      </c>
      <c r="S65" s="7">
        <v>7.7159799999999999E-3</v>
      </c>
      <c r="T65" s="7">
        <v>7.7582800000000002E-3</v>
      </c>
      <c r="U65" s="7">
        <v>7.7986100000000001E-3</v>
      </c>
      <c r="V65" s="7">
        <v>7.8370699999999998E-3</v>
      </c>
      <c r="W65" s="7">
        <v>7.8737700000000004E-3</v>
      </c>
      <c r="X65" s="7">
        <v>7.9087900000000006E-3</v>
      </c>
      <c r="Y65" s="7">
        <v>7.9422399999999997E-3</v>
      </c>
      <c r="Z65" s="7">
        <v>7.9748900000000001E-3</v>
      </c>
      <c r="AA65" s="7">
        <v>8.0431500000000006E-3</v>
      </c>
      <c r="AB65" s="7">
        <v>8.1054100000000004E-3</v>
      </c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125</v>
      </c>
      <c r="B66" s="7">
        <v>0.97142857000000005</v>
      </c>
      <c r="C66" s="7">
        <v>0.97142857000000005</v>
      </c>
      <c r="D66" s="7">
        <v>0.97142857000000005</v>
      </c>
      <c r="E66" s="7">
        <v>0.97142857000000005</v>
      </c>
      <c r="F66" s="7">
        <v>0.97142857000000005</v>
      </c>
      <c r="G66" s="7">
        <v>0.97142857000000005</v>
      </c>
      <c r="H66" s="7">
        <v>0.97142857000000005</v>
      </c>
      <c r="I66" s="7">
        <v>0.97142857000000005</v>
      </c>
      <c r="J66" s="7">
        <v>0.97142857000000005</v>
      </c>
      <c r="K66" s="7">
        <v>0.97142857000000005</v>
      </c>
      <c r="L66" s="7">
        <v>0.97142857000000005</v>
      </c>
      <c r="M66" s="7">
        <v>0.97142857000000005</v>
      </c>
      <c r="N66" s="7">
        <v>0.97142857000000005</v>
      </c>
      <c r="O66" s="7">
        <v>0.97142857000000005</v>
      </c>
      <c r="P66" s="7">
        <v>0.97142857000000005</v>
      </c>
      <c r="Q66" s="7">
        <v>0.97142857000000005</v>
      </c>
      <c r="R66" s="7">
        <v>0.97142857000000005</v>
      </c>
      <c r="S66" s="7">
        <v>0.97142857000000005</v>
      </c>
      <c r="T66" s="7">
        <v>0.97142857000000005</v>
      </c>
      <c r="U66" s="7">
        <v>0.97142857000000005</v>
      </c>
      <c r="V66" s="7">
        <v>0.97142857000000005</v>
      </c>
      <c r="W66" s="7">
        <v>0.97142857000000005</v>
      </c>
      <c r="X66" s="7">
        <v>0.97142857000000005</v>
      </c>
      <c r="Y66" s="7">
        <v>0.97142857000000005</v>
      </c>
      <c r="Z66" s="7">
        <v>0.97142857000000005</v>
      </c>
      <c r="AA66" s="7">
        <v>0.97142857000000005</v>
      </c>
      <c r="AB66" s="7">
        <v>0.97142857000000005</v>
      </c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126</v>
      </c>
      <c r="B67" s="7">
        <v>0.31450128999999999</v>
      </c>
      <c r="C67" s="7">
        <v>0.31450128999999999</v>
      </c>
      <c r="D67" s="7">
        <v>0.31450128999999999</v>
      </c>
      <c r="E67" s="7">
        <v>0.31450128999999999</v>
      </c>
      <c r="F67" s="7">
        <v>0.31450128999999999</v>
      </c>
      <c r="G67" s="7">
        <v>0.31450128999999999</v>
      </c>
      <c r="H67" s="7">
        <v>0.31450128999999999</v>
      </c>
      <c r="I67" s="7">
        <v>0.31450128999999999</v>
      </c>
      <c r="J67" s="7">
        <v>0.31450128999999999</v>
      </c>
      <c r="K67" s="7">
        <v>0.31450128999999999</v>
      </c>
      <c r="L67" s="7">
        <v>0.31450128999999999</v>
      </c>
      <c r="M67" s="7">
        <v>0.31450128999999999</v>
      </c>
      <c r="N67" s="7">
        <v>0.31450128999999999</v>
      </c>
      <c r="O67" s="7">
        <v>0.31450128999999999</v>
      </c>
      <c r="P67" s="7">
        <v>0.31450128999999999</v>
      </c>
      <c r="Q67" s="7">
        <v>0.31450128999999999</v>
      </c>
      <c r="R67" s="7">
        <v>0.31450128999999999</v>
      </c>
      <c r="S67" s="7">
        <v>0.31450128999999999</v>
      </c>
      <c r="T67" s="7">
        <v>0.31450128999999999</v>
      </c>
      <c r="U67" s="7">
        <v>0.31450128999999999</v>
      </c>
      <c r="V67" s="7">
        <v>0.31450128999999999</v>
      </c>
      <c r="W67" s="7">
        <v>0.31450128999999999</v>
      </c>
      <c r="X67" s="7">
        <v>0.31450128999999999</v>
      </c>
      <c r="Y67" s="7">
        <v>0.31450128999999999</v>
      </c>
      <c r="Z67" s="7">
        <v>0.31450128999999999</v>
      </c>
      <c r="AA67" s="7">
        <v>0.31450128999999999</v>
      </c>
      <c r="AB67" s="7">
        <v>0.31450128999999999</v>
      </c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127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128</v>
      </c>
      <c r="B69" s="7">
        <v>0</v>
      </c>
      <c r="C69" s="7">
        <v>79.336145439999996</v>
      </c>
      <c r="D69" s="7">
        <v>164.27651943000001</v>
      </c>
      <c r="E69" s="7">
        <v>255.15934615</v>
      </c>
      <c r="F69" s="7">
        <v>352.34199847000002</v>
      </c>
      <c r="G69" s="7">
        <v>456.20208783999999</v>
      </c>
      <c r="H69" s="7">
        <v>567.13864106999995</v>
      </c>
      <c r="I69" s="7">
        <v>685.57323278000001</v>
      </c>
      <c r="J69" s="7">
        <v>811.59791508000001</v>
      </c>
      <c r="K69" s="7">
        <v>946.74455737000005</v>
      </c>
      <c r="L69" s="7">
        <v>1090.4484676699999</v>
      </c>
      <c r="M69" s="7">
        <v>1243.6575966400001</v>
      </c>
      <c r="N69" s="7">
        <v>1406.72247343</v>
      </c>
      <c r="O69" s="7">
        <v>1580.49325316</v>
      </c>
      <c r="P69" s="7">
        <v>1765.3442751499999</v>
      </c>
      <c r="Q69" s="7">
        <v>1962.1074011600001</v>
      </c>
      <c r="R69" s="7">
        <v>2171.4151572999999</v>
      </c>
      <c r="S69" s="7">
        <v>2393.99810239</v>
      </c>
      <c r="T69" s="7">
        <v>2630.6226284700001</v>
      </c>
      <c r="U69" s="7">
        <v>2882.1152814699999</v>
      </c>
      <c r="V69" s="7">
        <v>3149.3316509000001</v>
      </c>
      <c r="W69" s="7">
        <v>3433.1798770800001</v>
      </c>
      <c r="X69" s="7">
        <v>3734.6438827500001</v>
      </c>
      <c r="Y69" s="7">
        <v>4057.3101806999998</v>
      </c>
      <c r="Z69" s="7">
        <v>4394.3733762299998</v>
      </c>
      <c r="AA69" s="7">
        <v>4749.3257814400004</v>
      </c>
      <c r="AB69" s="7">
        <v>5118.1349762099999</v>
      </c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190</v>
      </c>
      <c r="B70" s="7">
        <v>0</v>
      </c>
      <c r="C70" s="7">
        <v>63.442860230000001</v>
      </c>
      <c r="D70" s="7">
        <v>131.36725401999999</v>
      </c>
      <c r="E70" s="7">
        <v>204.04366965</v>
      </c>
      <c r="F70" s="7">
        <v>281.75787233</v>
      </c>
      <c r="G70" s="7">
        <v>364.81182546000002</v>
      </c>
      <c r="H70" s="7">
        <v>453.52463625000001</v>
      </c>
      <c r="I70" s="7">
        <v>548.23339773999999</v>
      </c>
      <c r="J70" s="7">
        <v>648.34911838999994</v>
      </c>
      <c r="K70" s="7">
        <v>757.08468773000004</v>
      </c>
      <c r="L70" s="7">
        <v>872.00058028000001</v>
      </c>
      <c r="M70" s="7">
        <v>994.51764807999996</v>
      </c>
      <c r="N70" s="7">
        <v>1124.91595188</v>
      </c>
      <c r="O70" s="7">
        <v>1263.8755834900001</v>
      </c>
      <c r="P70" s="7">
        <v>1411.6955412100001</v>
      </c>
      <c r="Q70" s="7">
        <v>1569.0414696299999</v>
      </c>
      <c r="R70" s="7">
        <v>1736.4189228600001</v>
      </c>
      <c r="S70" s="7">
        <v>1914.4120360100001</v>
      </c>
      <c r="T70" s="7">
        <v>2103.6341314199999</v>
      </c>
      <c r="U70" s="7">
        <v>2304.7456800300001</v>
      </c>
      <c r="V70" s="7">
        <v>2518.4307759100002</v>
      </c>
      <c r="W70" s="7">
        <v>2745.4125595700002</v>
      </c>
      <c r="X70" s="7">
        <v>2986.4885550600002</v>
      </c>
      <c r="Y70" s="7">
        <v>3244.5155969399998</v>
      </c>
      <c r="Z70" s="7">
        <v>3513.8870033799999</v>
      </c>
      <c r="AA70" s="7">
        <v>3797.8992721499999</v>
      </c>
      <c r="AB70" s="7">
        <v>4092.6434616800002</v>
      </c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191</v>
      </c>
      <c r="B71" s="7">
        <v>0</v>
      </c>
      <c r="C71" s="7">
        <v>19997.74809587</v>
      </c>
      <c r="D71" s="7">
        <v>41408.117765989999</v>
      </c>
      <c r="E71" s="7">
        <v>64316.362992529997</v>
      </c>
      <c r="F71" s="7">
        <v>88812.564432910003</v>
      </c>
      <c r="G71" s="7">
        <v>114991.90416470999</v>
      </c>
      <c r="H71" s="7">
        <v>142954.96228427999</v>
      </c>
      <c r="I71" s="7">
        <v>172808.00238014001</v>
      </c>
      <c r="J71" s="7">
        <v>204574.22742725001</v>
      </c>
      <c r="K71" s="7">
        <v>238639.76582028001</v>
      </c>
      <c r="L71" s="7">
        <v>274862.27930969</v>
      </c>
      <c r="M71" s="7">
        <v>313480.71167883999</v>
      </c>
      <c r="N71" s="7">
        <v>354583.41853674001</v>
      </c>
      <c r="O71" s="7">
        <v>398384.69297618</v>
      </c>
      <c r="P71" s="7">
        <v>444978.89228322997</v>
      </c>
      <c r="Q71" s="7">
        <v>494575.69846136001</v>
      </c>
      <c r="R71" s="7">
        <v>547334.54827154998</v>
      </c>
      <c r="S71" s="7">
        <v>603439.58893629001</v>
      </c>
      <c r="T71" s="7">
        <v>663083.99993563001</v>
      </c>
      <c r="U71" s="7">
        <v>726476.12334322999</v>
      </c>
      <c r="V71" s="7">
        <v>793831.62206729001</v>
      </c>
      <c r="W71" s="7">
        <v>865379.40514731</v>
      </c>
      <c r="X71" s="7">
        <v>941367.48361762997</v>
      </c>
      <c r="Y71" s="7">
        <v>1022699.88651526</v>
      </c>
      <c r="Z71" s="7">
        <v>1107661.22209371</v>
      </c>
      <c r="AA71" s="7">
        <v>1197131.7748408001</v>
      </c>
      <c r="AB71" s="7">
        <v>1290095.1187406599</v>
      </c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192</v>
      </c>
      <c r="B72" s="7">
        <v>0</v>
      </c>
      <c r="C72" s="7">
        <v>4.0290077599999998</v>
      </c>
      <c r="D72" s="7">
        <v>8.3426207300000002</v>
      </c>
      <c r="E72" s="7">
        <v>12.9580153</v>
      </c>
      <c r="F72" s="7">
        <v>17.89334028</v>
      </c>
      <c r="G72" s="7">
        <v>23.167772299999999</v>
      </c>
      <c r="H72" s="7">
        <v>28.801575549999999</v>
      </c>
      <c r="I72" s="7">
        <v>34.816159280000001</v>
      </c>
      <c r="J72" s="7">
        <v>41.216198259999999</v>
      </c>
      <c r="K72" s="7">
        <v>48.079486959999997</v>
      </c>
      <c r="L72" s="7">
        <v>55.377348069999996</v>
      </c>
      <c r="M72" s="7">
        <v>63.157922309999996</v>
      </c>
      <c r="N72" s="7">
        <v>71.439010969999998</v>
      </c>
      <c r="O72" s="7">
        <v>80.263788329999997</v>
      </c>
      <c r="P72" s="7">
        <v>89.651264850000004</v>
      </c>
      <c r="Q72" s="7">
        <v>99.643685809999994</v>
      </c>
      <c r="R72" s="7">
        <v>110.27317341</v>
      </c>
      <c r="S72" s="7">
        <v>121.57682835999999</v>
      </c>
      <c r="T72" s="7">
        <v>133.59357112999999</v>
      </c>
      <c r="U72" s="7">
        <v>146.36537704</v>
      </c>
      <c r="V72" s="7">
        <v>159.93569635</v>
      </c>
      <c r="W72" s="7">
        <v>174.35064808000001</v>
      </c>
      <c r="X72" s="7">
        <v>189.66019976000001</v>
      </c>
      <c r="Y72" s="7">
        <v>206.04648890000001</v>
      </c>
      <c r="Z72" s="7">
        <v>223.16391027</v>
      </c>
      <c r="AA72" s="7">
        <v>241.18981747999999</v>
      </c>
      <c r="AB72" s="7">
        <v>259.91942805000002</v>
      </c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193</v>
      </c>
      <c r="B73" s="7">
        <v>0</v>
      </c>
      <c r="C73" s="7">
        <v>1484.95664687</v>
      </c>
      <c r="D73" s="7">
        <v>3074.8089907600001</v>
      </c>
      <c r="E73" s="7">
        <v>4775.8881360799996</v>
      </c>
      <c r="F73" s="7">
        <v>6594.8827621800001</v>
      </c>
      <c r="G73" s="7">
        <v>8538.8606863900004</v>
      </c>
      <c r="H73" s="7">
        <v>10615.29099825</v>
      </c>
      <c r="I73" s="7">
        <v>12832.063766130001</v>
      </c>
      <c r="J73" s="7">
        <v>15175.392933409999</v>
      </c>
      <c r="K73" s="7">
        <v>17720.480053679999</v>
      </c>
      <c r="L73" s="7">
        <v>20410.22509122</v>
      </c>
      <c r="M73" s="7">
        <v>23277.884801259999</v>
      </c>
      <c r="N73" s="7">
        <v>26330.01434374</v>
      </c>
      <c r="O73" s="7">
        <v>29582.532087240001</v>
      </c>
      <c r="P73" s="7">
        <v>33042.436447560001</v>
      </c>
      <c r="Q73" s="7">
        <v>36725.307639309998</v>
      </c>
      <c r="R73" s="7">
        <v>40642.978765799999</v>
      </c>
      <c r="S73" s="7">
        <v>44809.12221365</v>
      </c>
      <c r="T73" s="7">
        <v>49238.093531819999</v>
      </c>
      <c r="U73" s="7">
        <v>53945.351839260002</v>
      </c>
      <c r="V73" s="7">
        <v>58946.90918232</v>
      </c>
      <c r="W73" s="7">
        <v>64259.691536929997</v>
      </c>
      <c r="X73" s="7">
        <v>69902.365914869995</v>
      </c>
      <c r="Y73" s="7">
        <v>75941.799974309994</v>
      </c>
      <c r="Z73" s="7">
        <v>82246.762566000005</v>
      </c>
      <c r="AA73" s="7">
        <v>88894.412195230005</v>
      </c>
      <c r="AB73" s="7">
        <v>95793.255371160005</v>
      </c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200</v>
      </c>
      <c r="B74" s="7">
        <v>0</v>
      </c>
      <c r="C74" s="7">
        <v>0.38618143999999999</v>
      </c>
      <c r="D74" s="7">
        <v>1.5992846000000001</v>
      </c>
      <c r="E74" s="7">
        <v>3.72608724</v>
      </c>
      <c r="F74" s="7">
        <v>6.8603249799999997</v>
      </c>
      <c r="G74" s="7">
        <v>11.103184349999999</v>
      </c>
      <c r="H74" s="7">
        <v>16.563830299999999</v>
      </c>
      <c r="I74" s="7">
        <v>23.3599639</v>
      </c>
      <c r="J74" s="7">
        <v>31.572396640000001</v>
      </c>
      <c r="K74" s="7">
        <v>41.475880109999999</v>
      </c>
      <c r="L74" s="7">
        <v>53.079327569999997</v>
      </c>
      <c r="M74" s="7">
        <v>66.590736440000001</v>
      </c>
      <c r="N74" s="7">
        <v>82.169370499999999</v>
      </c>
      <c r="O74" s="7">
        <v>100.01296778</v>
      </c>
      <c r="P74" s="7">
        <v>120.30334894000001</v>
      </c>
      <c r="Q74" s="7">
        <v>143.26309183000001</v>
      </c>
      <c r="R74" s="7">
        <v>169.11538985999999</v>
      </c>
      <c r="S74" s="7">
        <v>198.10387741</v>
      </c>
      <c r="T74" s="7">
        <v>230.48960955000001</v>
      </c>
      <c r="U74" s="7">
        <v>266.55402759999998</v>
      </c>
      <c r="V74" s="7">
        <v>306.59753018999999</v>
      </c>
      <c r="W74" s="7">
        <v>350.94216369999998</v>
      </c>
      <c r="X74" s="7">
        <v>399.93754287000002</v>
      </c>
      <c r="Y74" s="7">
        <v>454.24100988999999</v>
      </c>
      <c r="Z74" s="7">
        <v>513.34303261000002</v>
      </c>
      <c r="AA74" s="7">
        <v>577.95242372999996</v>
      </c>
      <c r="AB74" s="7">
        <v>647.71789881999996</v>
      </c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129</v>
      </c>
      <c r="B75" s="7">
        <v>0</v>
      </c>
      <c r="C75" s="7">
        <v>8.1971800000000001E-3</v>
      </c>
      <c r="D75" s="7">
        <v>8.2782800000000007E-3</v>
      </c>
      <c r="E75" s="7">
        <v>8.3549100000000001E-3</v>
      </c>
      <c r="F75" s="7">
        <v>8.42737E-3</v>
      </c>
      <c r="G75" s="7">
        <v>8.4959400000000004E-3</v>
      </c>
      <c r="H75" s="7">
        <v>8.5608799999999999E-3</v>
      </c>
      <c r="I75" s="7">
        <v>8.6224200000000004E-3</v>
      </c>
      <c r="J75" s="7">
        <v>8.6807800000000008E-3</v>
      </c>
      <c r="K75" s="7">
        <v>8.7359199999999994E-3</v>
      </c>
      <c r="L75" s="7">
        <v>8.7887399999999997E-3</v>
      </c>
      <c r="M75" s="7">
        <v>8.8386999999999997E-3</v>
      </c>
      <c r="N75" s="7">
        <v>8.8862200000000002E-3</v>
      </c>
      <c r="O75" s="7">
        <v>8.9313499999999994E-3</v>
      </c>
      <c r="P75" s="7">
        <v>8.9743600000000007E-3</v>
      </c>
      <c r="Q75" s="7">
        <v>9.0152500000000007E-3</v>
      </c>
      <c r="R75" s="7">
        <v>9.0542299999999999E-3</v>
      </c>
      <c r="S75" s="7">
        <v>9.0913699999999997E-3</v>
      </c>
      <c r="T75" s="7">
        <v>9.1267699999999993E-3</v>
      </c>
      <c r="U75" s="7">
        <v>9.16054E-3</v>
      </c>
      <c r="V75" s="7">
        <v>9.1927599999999995E-3</v>
      </c>
      <c r="W75" s="7">
        <v>9.2235200000000007E-3</v>
      </c>
      <c r="X75" s="7">
        <v>9.2528799999999998E-3</v>
      </c>
      <c r="Y75" s="7">
        <v>9.2809299999999997E-3</v>
      </c>
      <c r="Z75" s="7">
        <v>9.3088200000000006E-3</v>
      </c>
      <c r="AA75" s="7">
        <v>9.3531199999999995E-3</v>
      </c>
      <c r="AB75" s="7">
        <v>9.3949099999999994E-3</v>
      </c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130</v>
      </c>
      <c r="B76" s="7">
        <v>0</v>
      </c>
      <c r="C76" s="7">
        <v>1.33968E-3</v>
      </c>
      <c r="D76" s="7">
        <v>1.4287099999999999E-3</v>
      </c>
      <c r="E76" s="7">
        <v>1.51271E-3</v>
      </c>
      <c r="F76" s="7">
        <v>1.5920299999999999E-3</v>
      </c>
      <c r="G76" s="7">
        <v>1.6670000000000001E-3</v>
      </c>
      <c r="H76" s="7">
        <v>1.7379100000000001E-3</v>
      </c>
      <c r="I76" s="7">
        <v>1.8050399999999999E-3</v>
      </c>
      <c r="J76" s="7">
        <v>1.8648E-3</v>
      </c>
      <c r="K76" s="7">
        <v>1.9322899999999999E-3</v>
      </c>
      <c r="L76" s="7">
        <v>1.9861200000000001E-3</v>
      </c>
      <c r="M76" s="7">
        <v>2.04104E-3</v>
      </c>
      <c r="N76" s="7">
        <v>2.0914499999999999E-3</v>
      </c>
      <c r="O76" s="7">
        <v>2.1414799999999999E-3</v>
      </c>
      <c r="P76" s="7">
        <v>2.1872100000000002E-3</v>
      </c>
      <c r="Q76" s="7">
        <v>2.2319699999999998E-3</v>
      </c>
      <c r="R76" s="7">
        <v>2.2741900000000002E-3</v>
      </c>
      <c r="S76" s="7">
        <v>2.3143999999999999E-3</v>
      </c>
      <c r="T76" s="7">
        <v>2.3526900000000002E-3</v>
      </c>
      <c r="U76" s="7">
        <v>2.3892399999999999E-3</v>
      </c>
      <c r="V76" s="7">
        <v>2.4240799999999999E-3</v>
      </c>
      <c r="W76" s="7">
        <v>2.4573099999999999E-3</v>
      </c>
      <c r="X76" s="7">
        <v>2.48913E-3</v>
      </c>
      <c r="Y76" s="7">
        <v>2.5309099999999999E-3</v>
      </c>
      <c r="Z76" s="7">
        <v>2.5386499999999999E-3</v>
      </c>
      <c r="AA76" s="7">
        <v>2.5982900000000001E-3</v>
      </c>
      <c r="AB76" s="7">
        <v>2.6342900000000001E-3</v>
      </c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131</v>
      </c>
      <c r="B77" s="7">
        <v>1</v>
      </c>
      <c r="C77" s="7">
        <v>8.1971800000000001E-3</v>
      </c>
      <c r="D77" s="7">
        <v>8.2782800000000007E-3</v>
      </c>
      <c r="E77" s="7">
        <v>8.3549100000000001E-3</v>
      </c>
      <c r="F77" s="7">
        <v>8.42737E-3</v>
      </c>
      <c r="G77" s="7">
        <v>8.4959400000000004E-3</v>
      </c>
      <c r="H77" s="7">
        <v>8.5608799999999999E-3</v>
      </c>
      <c r="I77" s="7">
        <v>8.6224200000000004E-3</v>
      </c>
      <c r="J77" s="7">
        <v>8.6807800000000008E-3</v>
      </c>
      <c r="K77" s="7">
        <v>8.7359199999999994E-3</v>
      </c>
      <c r="L77" s="7">
        <v>8.7887399999999997E-3</v>
      </c>
      <c r="M77" s="7">
        <v>8.8386999999999997E-3</v>
      </c>
      <c r="N77" s="7">
        <v>8.8862200000000002E-3</v>
      </c>
      <c r="O77" s="7">
        <v>8.9313499999999994E-3</v>
      </c>
      <c r="P77" s="7">
        <v>8.9743600000000007E-3</v>
      </c>
      <c r="Q77" s="7">
        <v>9.0152500000000007E-3</v>
      </c>
      <c r="R77" s="7">
        <v>9.0542299999999999E-3</v>
      </c>
      <c r="S77" s="7">
        <v>9.0913699999999997E-3</v>
      </c>
      <c r="T77" s="7">
        <v>9.1267699999999993E-3</v>
      </c>
      <c r="U77" s="7">
        <v>9.16054E-3</v>
      </c>
      <c r="V77" s="7">
        <v>9.1927599999999995E-3</v>
      </c>
      <c r="W77" s="7">
        <v>9.2235200000000007E-3</v>
      </c>
      <c r="X77" s="7">
        <v>9.2528799999999998E-3</v>
      </c>
      <c r="Y77" s="7">
        <v>9.2809299999999997E-3</v>
      </c>
      <c r="Z77" s="7">
        <v>9.3088200000000006E-3</v>
      </c>
      <c r="AA77" s="7">
        <v>9.3531199999999995E-3</v>
      </c>
      <c r="AB77" s="7">
        <v>9.3949099999999994E-3</v>
      </c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132</v>
      </c>
      <c r="B78" s="7">
        <v>0.93333332999999996</v>
      </c>
      <c r="C78" s="7">
        <v>0.93333332999999996</v>
      </c>
      <c r="D78" s="7">
        <v>0.93333332999999996</v>
      </c>
      <c r="E78" s="7">
        <v>0.93333332999999996</v>
      </c>
      <c r="F78" s="7">
        <v>0.93333332999999996</v>
      </c>
      <c r="G78" s="7">
        <v>0.93333332999999996</v>
      </c>
      <c r="H78" s="7">
        <v>0.93333332999999996</v>
      </c>
      <c r="I78" s="7">
        <v>0.93333332999999996</v>
      </c>
      <c r="J78" s="7">
        <v>0.93333332999999996</v>
      </c>
      <c r="K78" s="7">
        <v>0.93333332999999996</v>
      </c>
      <c r="L78" s="7">
        <v>0.93333332999999996</v>
      </c>
      <c r="M78" s="7">
        <v>0.93333332999999996</v>
      </c>
      <c r="N78" s="7">
        <v>0.93333332999999996</v>
      </c>
      <c r="O78" s="7">
        <v>0.93333332999999996</v>
      </c>
      <c r="P78" s="7">
        <v>0.93333332999999996</v>
      </c>
      <c r="Q78" s="7">
        <v>0.93333332999999996</v>
      </c>
      <c r="R78" s="7">
        <v>0.93333332999999996</v>
      </c>
      <c r="S78" s="7">
        <v>0.93333332999999996</v>
      </c>
      <c r="T78" s="7">
        <v>0.93333332999999996</v>
      </c>
      <c r="U78" s="7">
        <v>0.93333332999999996</v>
      </c>
      <c r="V78" s="7">
        <v>0.93333332999999996</v>
      </c>
      <c r="W78" s="7">
        <v>0.93333332999999996</v>
      </c>
      <c r="X78" s="7">
        <v>0.93333332999999996</v>
      </c>
      <c r="Y78" s="7">
        <v>0.93333332999999996</v>
      </c>
      <c r="Z78" s="7">
        <v>0.93333332999999996</v>
      </c>
      <c r="AA78" s="7">
        <v>0.93333332999999996</v>
      </c>
      <c r="AB78" s="7">
        <v>0.93333332999999996</v>
      </c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133</v>
      </c>
      <c r="B79" s="7">
        <v>0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7">
        <v>0</v>
      </c>
      <c r="X79" s="7">
        <v>0</v>
      </c>
      <c r="Y79" s="7">
        <v>0</v>
      </c>
      <c r="Z79" s="7">
        <v>0</v>
      </c>
      <c r="AA79" s="7">
        <v>0</v>
      </c>
      <c r="AB79" s="7">
        <v>0</v>
      </c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2:702" x14ac:dyDescent="0.85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2:702" x14ac:dyDescent="0.85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2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2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2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2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2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2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2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2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2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2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2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2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2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2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Graph</vt:lpstr>
      <vt:lpstr>Cost_Graph</vt:lpstr>
      <vt:lpstr>Calc</vt:lpstr>
      <vt:lpstr>Cost_Calc</vt:lpstr>
      <vt:lpstr>Reference</vt:lpstr>
      <vt:lpstr>Inbox</vt:lpstr>
      <vt:lpstr>CAL</vt:lpstr>
      <vt:lpstr>_1st_ref</vt:lpstr>
      <vt:lpstr>Battery_Cost</vt:lpstr>
      <vt:lpstr>Billion</vt:lpstr>
      <vt:lpstr>Capital</vt:lpstr>
      <vt:lpstr>CO2_</vt:lpstr>
      <vt:lpstr>Coal_Cost</vt:lpstr>
      <vt:lpstr>Delta_Corner</vt:lpstr>
      <vt:lpstr>filename_</vt:lpstr>
      <vt:lpstr>Fixed</vt:lpstr>
      <vt:lpstr>Gas_Cost</vt:lpstr>
      <vt:lpstr>Inbox</vt:lpstr>
      <vt:lpstr>Include_Battery</vt:lpstr>
      <vt:lpstr>Include_Capital</vt:lpstr>
      <vt:lpstr>Include_CO2</vt:lpstr>
      <vt:lpstr>Include_Coal</vt:lpstr>
      <vt:lpstr>Include_Fixed</vt:lpstr>
      <vt:lpstr>Include_Gas</vt:lpstr>
      <vt:lpstr>Include_Nuclear</vt:lpstr>
      <vt:lpstr>Include_Solar</vt:lpstr>
      <vt:lpstr>Include_Variable</vt:lpstr>
      <vt:lpstr>Include_Wind</vt:lpstr>
      <vt:lpstr>Million</vt:lpstr>
      <vt:lpstr>Mult</vt:lpstr>
      <vt:lpstr>NRG_Selections</vt:lpstr>
      <vt:lpstr>NRG_Table</vt:lpstr>
      <vt:lpstr>Nuclear_Cost</vt:lpstr>
      <vt:lpstr>Param_Count</vt:lpstr>
      <vt:lpstr>Param_offset</vt:lpstr>
      <vt:lpstr>Param_Table</vt:lpstr>
      <vt:lpstr>Parameter</vt:lpstr>
      <vt:lpstr>Params</vt:lpstr>
      <vt:lpstr>Region</vt:lpstr>
      <vt:lpstr>Region_abbr</vt:lpstr>
      <vt:lpstr>Region_Abbr_Cost</vt:lpstr>
      <vt:lpstr>Region_Cost</vt:lpstr>
      <vt:lpstr>Region_lookup</vt:lpstr>
      <vt:lpstr>Regions</vt:lpstr>
      <vt:lpstr>Solar_Cost</vt:lpstr>
      <vt:lpstr>Table_Corner</vt:lpstr>
      <vt:lpstr>Thousand</vt:lpstr>
      <vt:lpstr>To_Long</vt:lpstr>
      <vt:lpstr>Variable</vt:lpstr>
      <vt:lpstr>Wind_Cost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2025-09-10T00:35:25Z</dcterms:modified>
</cp:coreProperties>
</file>