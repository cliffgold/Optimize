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bug_New/"/>
    </mc:Choice>
  </mc:AlternateContent>
  <xr:revisionPtr revIDLastSave="1" documentId="8_{6FC09A1F-BDE3-40A6-859B-955545FA08EA}" xr6:coauthVersionLast="47" xr6:coauthVersionMax="47" xr10:uidLastSave="{D19D6456-44F4-49E0-A1A2-078578C44984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CAL" sheetId="4" r:id="rId4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P16" i="1" a="1"/>
  <c r="M26" i="1" a="1"/>
  <c r="L12" i="1" a="1"/>
  <c r="L14" i="1" a="1"/>
  <c r="N22" i="1" a="1"/>
  <c r="O14" i="1" a="1"/>
  <c r="N24" i="1" a="1"/>
  <c r="O8" i="1" a="1"/>
  <c r="L10" i="1" a="1"/>
  <c r="O16" i="1" a="1"/>
  <c r="L18" i="1" a="1"/>
  <c r="O24" i="1" a="1"/>
  <c r="L26" i="1" a="1"/>
  <c r="O32" i="1" a="1"/>
  <c r="P8" i="1" a="1"/>
  <c r="M18" i="1" a="1"/>
  <c r="P32" i="1" a="1"/>
  <c r="P31" i="1" a="1"/>
  <c r="L30" i="1" a="1"/>
  <c r="P20" i="1" a="1"/>
  <c r="O30" i="1" a="1"/>
  <c r="K7" i="1" a="1"/>
  <c r="N13" i="1" a="1"/>
  <c r="K15" i="1" a="1"/>
  <c r="N21" i="1" a="1"/>
  <c r="K23" i="1" a="1"/>
  <c r="N29" i="1" a="1"/>
  <c r="K31" i="1" a="1"/>
  <c r="M10" i="1" a="1"/>
  <c r="P24" i="1" a="1"/>
  <c r="L20" i="1" a="1"/>
  <c r="L22" i="1" a="1"/>
  <c r="P28" i="1" a="1"/>
  <c r="M19" i="1" a="1"/>
  <c r="K29" i="1" a="1"/>
  <c r="O11" i="1" a="1"/>
  <c r="N30" i="1" a="1"/>
  <c r="L7" i="1" a="1"/>
  <c r="O13" i="1" a="1"/>
  <c r="L15" i="1" a="1"/>
  <c r="O21" i="1" a="1"/>
  <c r="L23" i="1" a="1"/>
  <c r="O29" i="1" a="1"/>
  <c r="L31" i="1" a="1"/>
  <c r="M15" i="1" a="1"/>
  <c r="P21" i="1" a="1"/>
  <c r="M31" i="1" a="1"/>
  <c r="O10" i="1" a="1"/>
  <c r="L28" i="1" a="1"/>
  <c r="N17" i="1" a="1"/>
  <c r="O9" i="1" a="1"/>
  <c r="O22" i="1" a="1"/>
  <c r="L13" i="1" a="1"/>
  <c r="N10" i="1" a="1"/>
  <c r="K12" i="1" a="1"/>
  <c r="N18" i="1" a="1"/>
  <c r="K20" i="1" a="1"/>
  <c r="N26" i="1" a="1"/>
  <c r="K28" i="1" a="1"/>
  <c r="M7" i="1" a="1"/>
  <c r="P13" i="1" a="1"/>
  <c r="M23" i="1" a="1"/>
  <c r="P29" i="1" a="1"/>
  <c r="O18" i="1" a="1"/>
  <c r="O26" i="1" a="1"/>
  <c r="K27" i="1" a="1"/>
  <c r="P12" i="1" a="1"/>
  <c r="O17" i="1" a="1"/>
  <c r="K32" i="1" a="1"/>
  <c r="L24" i="1" a="1"/>
  <c r="K21" i="1" a="1"/>
  <c r="M24" i="1" a="1"/>
  <c r="N8" i="1" a="1"/>
  <c r="N32" i="1" a="1"/>
  <c r="N7" i="1" a="1"/>
  <c r="K9" i="1" a="1"/>
  <c r="N15" i="1" a="1"/>
  <c r="K17" i="1" a="1"/>
  <c r="N23" i="1" a="1"/>
  <c r="K25" i="1" a="1"/>
  <c r="N31" i="1" a="1"/>
  <c r="P10" i="1" a="1"/>
  <c r="M12" i="1" a="1"/>
  <c r="P18" i="1" a="1"/>
  <c r="M20" i="1" a="1"/>
  <c r="P26" i="1" a="1"/>
  <c r="M28" i="1" a="1"/>
  <c r="O20" i="1" a="1"/>
  <c r="K19" i="1" a="1"/>
  <c r="M14" i="1" a="1"/>
  <c r="M30" i="1" a="1"/>
  <c r="O25" i="1" a="1"/>
  <c r="N11" i="1" a="1"/>
  <c r="L21" i="1" a="1"/>
  <c r="O7" i="1" a="1"/>
  <c r="L9" i="1" a="1"/>
  <c r="O15" i="1" a="1"/>
  <c r="L17" i="1" a="1"/>
  <c r="O23" i="1" a="1"/>
  <c r="L25" i="1" a="1"/>
  <c r="O31" i="1" a="1"/>
  <c r="K30" i="1" a="1"/>
  <c r="P7" i="1" a="1"/>
  <c r="P15" i="1" a="1"/>
  <c r="M25" i="1" a="1"/>
  <c r="O28" i="1" a="1"/>
  <c r="L19" i="1" a="1"/>
  <c r="K24" i="1" a="1"/>
  <c r="M27" i="1" a="1"/>
  <c r="M16" i="1" a="1"/>
  <c r="L29" i="1" a="1"/>
  <c r="K26" i="1" a="1"/>
  <c r="N12" i="1" a="1"/>
  <c r="K14" i="1" a="1"/>
  <c r="N20" i="1" a="1"/>
  <c r="K22" i="1" a="1"/>
  <c r="N28" i="1" a="1"/>
  <c r="M9" i="1" a="1"/>
  <c r="M17" i="1" a="1"/>
  <c r="P23" i="1" a="1"/>
  <c r="M22" i="1" a="1"/>
  <c r="K16" i="1" a="1"/>
  <c r="P17" i="1" a="1"/>
  <c r="L16" i="1" a="1"/>
  <c r="N19" i="1" a="1"/>
  <c r="P14" i="1" a="1"/>
  <c r="O19" i="1" a="1"/>
  <c r="K18" i="1" a="1"/>
  <c r="O12" i="1" a="1"/>
  <c r="M32" i="1" a="1"/>
  <c r="N16" i="1" a="1"/>
  <c r="N9" i="1" a="1"/>
  <c r="K11" i="1" a="1"/>
  <c r="N25" i="1" a="1"/>
  <c r="L11" i="1" a="1"/>
  <c r="P25" i="1" a="1"/>
  <c r="L32" i="1" a="1"/>
  <c r="N27" i="1" a="1"/>
  <c r="P30" i="1" a="1"/>
  <c r="L27" i="1" a="1"/>
  <c r="K8" i="1" a="1"/>
  <c r="N14" i="1" a="1"/>
  <c r="P22" i="1" a="1"/>
  <c r="K10" i="1" a="1"/>
  <c r="P9" i="1" a="1"/>
  <c r="M11" i="1" a="1"/>
  <c r="K13" i="1" a="1"/>
  <c r="O27" i="1" a="1"/>
  <c r="L8" i="1" a="1"/>
  <c r="M8" i="1" a="1"/>
  <c r="M8" i="1" l="1"/>
  <c r="L8" i="1"/>
  <c r="O27" i="1"/>
  <c r="K13" i="1"/>
  <c r="M11" i="1"/>
  <c r="W10" i="1" s="1"/>
  <c r="P9" i="1"/>
  <c r="K10" i="1"/>
  <c r="U9" i="1" s="1"/>
  <c r="P22" i="1"/>
  <c r="N14" i="1"/>
  <c r="X13" i="1" s="1"/>
  <c r="K8" i="1"/>
  <c r="U7" i="1" s="1"/>
  <c r="L27" i="1"/>
  <c r="P30" i="1"/>
  <c r="N27" i="1"/>
  <c r="L32" i="1"/>
  <c r="V31" i="1" s="1"/>
  <c r="P25" i="1"/>
  <c r="Z24" i="1" s="1"/>
  <c r="L11" i="1"/>
  <c r="N25" i="1"/>
  <c r="K11" i="1"/>
  <c r="U10" i="1" s="1"/>
  <c r="N9" i="1"/>
  <c r="X8" i="1" s="1"/>
  <c r="N16" i="1"/>
  <c r="X15" i="1" s="1"/>
  <c r="M32" i="1"/>
  <c r="W31" i="1" s="1"/>
  <c r="O12" i="1"/>
  <c r="Y11" i="1" s="1"/>
  <c r="K18" i="1"/>
  <c r="O19" i="1"/>
  <c r="Y18" i="1" s="1"/>
  <c r="P14" i="1"/>
  <c r="N19" i="1"/>
  <c r="L16" i="1"/>
  <c r="P17" i="1"/>
  <c r="K16" i="1"/>
  <c r="M22" i="1"/>
  <c r="P23" i="1"/>
  <c r="M17" i="1"/>
  <c r="M9" i="1"/>
  <c r="W8" i="1" s="1"/>
  <c r="N28" i="1"/>
  <c r="K22" i="1"/>
  <c r="U21" i="1" s="1"/>
  <c r="N20" i="1"/>
  <c r="X19" i="1" s="1"/>
  <c r="K14" i="1"/>
  <c r="U13" i="1" s="1"/>
  <c r="N12" i="1"/>
  <c r="X11" i="1" s="1"/>
  <c r="K26" i="1"/>
  <c r="L29" i="1"/>
  <c r="V28" i="1" s="1"/>
  <c r="M16" i="1"/>
  <c r="W15" i="1" s="1"/>
  <c r="M27" i="1"/>
  <c r="W26" i="1" s="1"/>
  <c r="K24" i="1"/>
  <c r="U23" i="1" s="1"/>
  <c r="L19" i="1"/>
  <c r="O28" i="1"/>
  <c r="Y27" i="1" s="1"/>
  <c r="M25" i="1"/>
  <c r="W24" i="1" s="1"/>
  <c r="P15" i="1"/>
  <c r="Z14" i="1" s="1"/>
  <c r="P7" i="1"/>
  <c r="K30" i="1"/>
  <c r="O31" i="1"/>
  <c r="L25" i="1"/>
  <c r="O23" i="1"/>
  <c r="Y22" i="1" s="1"/>
  <c r="L17" i="1"/>
  <c r="V16" i="1" s="1"/>
  <c r="O15" i="1"/>
  <c r="Y14" i="1" s="1"/>
  <c r="L9" i="1"/>
  <c r="V8" i="1" s="1"/>
  <c r="O7" i="1"/>
  <c r="L21" i="1"/>
  <c r="N11" i="1"/>
  <c r="X10" i="1" s="1"/>
  <c r="O25" i="1"/>
  <c r="M30" i="1"/>
  <c r="W29" i="1" s="1"/>
  <c r="M14" i="1"/>
  <c r="W13" i="1" s="1"/>
  <c r="K19" i="1"/>
  <c r="O20" i="1"/>
  <c r="M28" i="1"/>
  <c r="P26" i="1"/>
  <c r="Z25" i="1" s="1"/>
  <c r="M20" i="1"/>
  <c r="P18" i="1"/>
  <c r="Z17" i="1" s="1"/>
  <c r="M12" i="1"/>
  <c r="W11" i="1" s="1"/>
  <c r="P10" i="1"/>
  <c r="Z9" i="1" s="1"/>
  <c r="N31" i="1"/>
  <c r="X30" i="1" s="1"/>
  <c r="K25" i="1"/>
  <c r="N23" i="1"/>
  <c r="X22" i="1" s="1"/>
  <c r="K17" i="1"/>
  <c r="N15" i="1"/>
  <c r="K9" i="1"/>
  <c r="N7" i="1"/>
  <c r="N32" i="1"/>
  <c r="N8" i="1"/>
  <c r="X7" i="1" s="1"/>
  <c r="M24" i="1"/>
  <c r="K21" i="1"/>
  <c r="L24" i="1"/>
  <c r="K32" i="1"/>
  <c r="U31" i="1" s="1"/>
  <c r="O17" i="1"/>
  <c r="P12" i="1"/>
  <c r="K27" i="1"/>
  <c r="O26" i="1"/>
  <c r="Y25" i="1" s="1"/>
  <c r="O18" i="1"/>
  <c r="Y17" i="1" s="1"/>
  <c r="P29" i="1"/>
  <c r="M23" i="1"/>
  <c r="W22" i="1" s="1"/>
  <c r="P13" i="1"/>
  <c r="Z12" i="1" s="1"/>
  <c r="M7" i="1"/>
  <c r="K28" i="1"/>
  <c r="U27" i="1" s="1"/>
  <c r="N26" i="1"/>
  <c r="X25" i="1" s="1"/>
  <c r="K20" i="1"/>
  <c r="U19" i="1" s="1"/>
  <c r="N18" i="1"/>
  <c r="X17" i="1" s="1"/>
  <c r="K12" i="1"/>
  <c r="N10" i="1"/>
  <c r="L13" i="1"/>
  <c r="O22" i="1"/>
  <c r="O9" i="1"/>
  <c r="N17" i="1"/>
  <c r="L28" i="1"/>
  <c r="O10" i="1"/>
  <c r="Y9" i="1" s="1"/>
  <c r="M31" i="1"/>
  <c r="P21" i="1"/>
  <c r="M15" i="1"/>
  <c r="L31" i="1"/>
  <c r="O29" i="1"/>
  <c r="L23" i="1"/>
  <c r="O21" i="1"/>
  <c r="L15" i="1"/>
  <c r="V14" i="1" s="1"/>
  <c r="O13" i="1"/>
  <c r="L7" i="1"/>
  <c r="N30" i="1"/>
  <c r="X29" i="1" s="1"/>
  <c r="O11" i="1"/>
  <c r="Y10" i="1" s="1"/>
  <c r="K29" i="1"/>
  <c r="M19" i="1"/>
  <c r="W18" i="1" s="1"/>
  <c r="P28" i="1"/>
  <c r="Z27" i="1" s="1"/>
  <c r="L22" i="1"/>
  <c r="V21" i="1" s="1"/>
  <c r="L20" i="1"/>
  <c r="V19" i="1" s="1"/>
  <c r="P24" i="1"/>
  <c r="M10" i="1"/>
  <c r="K31" i="1"/>
  <c r="U30" i="1" s="1"/>
  <c r="N29" i="1"/>
  <c r="K23" i="1"/>
  <c r="N21" i="1"/>
  <c r="K15" i="1"/>
  <c r="N13" i="1"/>
  <c r="K7" i="1"/>
  <c r="O30" i="1"/>
  <c r="P20" i="1"/>
  <c r="Z19" i="1" s="1"/>
  <c r="L30" i="1"/>
  <c r="P31" i="1"/>
  <c r="Z30" i="1" s="1"/>
  <c r="P32" i="1"/>
  <c r="Z31" i="1" s="1"/>
  <c r="M18" i="1"/>
  <c r="W17" i="1" s="1"/>
  <c r="P8" i="1"/>
  <c r="O32" i="1"/>
  <c r="Y31" i="1" s="1"/>
  <c r="L26" i="1"/>
  <c r="V25" i="1" s="1"/>
  <c r="O24" i="1"/>
  <c r="Y23" i="1" s="1"/>
  <c r="L18" i="1"/>
  <c r="V17" i="1" s="1"/>
  <c r="O16" i="1"/>
  <c r="Y15" i="1" s="1"/>
  <c r="L10" i="1"/>
  <c r="V9" i="1" s="1"/>
  <c r="O8" i="1"/>
  <c r="Y7" i="1" s="1"/>
  <c r="N24" i="1"/>
  <c r="X23" i="1" s="1"/>
  <c r="O14" i="1"/>
  <c r="N22" i="1"/>
  <c r="L14" i="1"/>
  <c r="V13" i="1" s="1"/>
  <c r="L12" i="1"/>
  <c r="M26" i="1"/>
  <c r="P16" i="1"/>
  <c r="M29" i="1"/>
  <c r="P27" i="1"/>
  <c r="M21" i="1"/>
  <c r="P19" i="1"/>
  <c r="M13" i="1"/>
  <c r="P11" i="1"/>
  <c r="T6" i="1"/>
  <c r="J6" i="1"/>
  <c r="M3" i="1"/>
  <c r="W3" i="1" s="1"/>
  <c r="L6" i="1" a="1"/>
  <c r="O6" i="1" a="1"/>
  <c r="P6" i="1" a="1"/>
  <c r="M6" i="1" a="1"/>
  <c r="K6" i="1" a="1"/>
  <c r="N6" i="1" a="1"/>
  <c r="Q12" i="1" l="1"/>
  <c r="U11" i="1"/>
  <c r="Q18" i="1"/>
  <c r="U17" i="1"/>
  <c r="Q25" i="1"/>
  <c r="U24" i="1"/>
  <c r="V18" i="1"/>
  <c r="V10" i="1"/>
  <c r="Y19" i="1"/>
  <c r="U18" i="1"/>
  <c r="V29" i="1"/>
  <c r="Z18" i="1"/>
  <c r="W14" i="1"/>
  <c r="V23" i="1"/>
  <c r="Z26" i="1"/>
  <c r="U20" i="1"/>
  <c r="U14" i="1"/>
  <c r="X20" i="1"/>
  <c r="U22" i="1"/>
  <c r="X31" i="1"/>
  <c r="U15" i="1"/>
  <c r="X28" i="1"/>
  <c r="U8" i="1"/>
  <c r="V15" i="1"/>
  <c r="Y26" i="1"/>
  <c r="Q29" i="1"/>
  <c r="U28" i="1"/>
  <c r="X24" i="1"/>
  <c r="Y12" i="1"/>
  <c r="W27" i="1"/>
  <c r="U25" i="1"/>
  <c r="Y20" i="1"/>
  <c r="U26" i="1"/>
  <c r="X26" i="1"/>
  <c r="Y28" i="1"/>
  <c r="V30" i="1"/>
  <c r="V26" i="1"/>
  <c r="X27" i="1"/>
  <c r="X12" i="1"/>
  <c r="W16" i="1"/>
  <c r="W28" i="1"/>
  <c r="W23" i="1"/>
  <c r="Z22" i="1"/>
  <c r="V27" i="1"/>
  <c r="Z8" i="1"/>
  <c r="U12" i="1"/>
  <c r="Y21" i="1"/>
  <c r="W9" i="1"/>
  <c r="V12" i="1"/>
  <c r="X14" i="1"/>
  <c r="Y30" i="1"/>
  <c r="X18" i="1"/>
  <c r="V7" i="1"/>
  <c r="W19" i="1"/>
  <c r="Z7" i="1"/>
  <c r="Z28" i="1"/>
  <c r="V22" i="1"/>
  <c r="Z10" i="1"/>
  <c r="Z11" i="1"/>
  <c r="Z29" i="1"/>
  <c r="W12" i="1"/>
  <c r="Y16" i="1"/>
  <c r="Y24" i="1"/>
  <c r="Y29" i="1"/>
  <c r="W20" i="1"/>
  <c r="Z20" i="1"/>
  <c r="V20" i="1"/>
  <c r="W30" i="1"/>
  <c r="Z21" i="1"/>
  <c r="Z15" i="1"/>
  <c r="W21" i="1"/>
  <c r="W25" i="1"/>
  <c r="X16" i="1"/>
  <c r="V11" i="1"/>
  <c r="Y8" i="1"/>
  <c r="Z16" i="1"/>
  <c r="V24" i="1"/>
  <c r="X21" i="1"/>
  <c r="Y13" i="1"/>
  <c r="Z23" i="1"/>
  <c r="X9" i="1"/>
  <c r="U16" i="1"/>
  <c r="U29" i="1"/>
  <c r="Z13" i="1"/>
  <c r="W7" i="1"/>
  <c r="Q17" i="1"/>
  <c r="AA16" i="1" s="1"/>
  <c r="Q30" i="1"/>
  <c r="AA29" i="1" s="1"/>
  <c r="Q20" i="1"/>
  <c r="Q27" i="1"/>
  <c r="AA26" i="1" s="1"/>
  <c r="Q7" i="1"/>
  <c r="Q28" i="1"/>
  <c r="AA27" i="1" s="1"/>
  <c r="Q11" i="1"/>
  <c r="AA10" i="1" s="1"/>
  <c r="Q19" i="1"/>
  <c r="AA18" i="1" s="1"/>
  <c r="Q14" i="1"/>
  <c r="AA13" i="1" s="1"/>
  <c r="Q22" i="1"/>
  <c r="AA21" i="1" s="1"/>
  <c r="Q32" i="1"/>
  <c r="AA31" i="1" s="1"/>
  <c r="Q13" i="1"/>
  <c r="AA12" i="1" s="1"/>
  <c r="Q26" i="1"/>
  <c r="Q8" i="1"/>
  <c r="Q21" i="1"/>
  <c r="Q15" i="1"/>
  <c r="Q31" i="1"/>
  <c r="Q24" i="1"/>
  <c r="Q10" i="1"/>
  <c r="Q23" i="1"/>
  <c r="Q16" i="1"/>
  <c r="AA15" i="1" s="1"/>
  <c r="Q9" i="1"/>
  <c r="AA8" i="1" s="1"/>
  <c r="N6" i="1"/>
  <c r="M6" i="1"/>
  <c r="O6" i="1"/>
  <c r="P6" i="1"/>
  <c r="L6" i="1"/>
  <c r="K6" i="1"/>
  <c r="U6" i="1" s="1"/>
  <c r="AA19" i="1" l="1"/>
  <c r="AA20" i="1"/>
  <c r="AA17" i="1"/>
  <c r="AA22" i="1"/>
  <c r="AA23" i="1"/>
  <c r="AA7" i="1"/>
  <c r="AA25" i="1"/>
  <c r="AA28" i="1"/>
  <c r="AA9" i="1"/>
  <c r="AA30" i="1"/>
  <c r="AA14" i="1"/>
  <c r="AA24" i="1"/>
  <c r="AA1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B6E4C4B-B271-4349-A5E2-87B5910A3F0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A6F8E009-B3D2-4317-BD94-6BA3E10A552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<sst xmlns="http://schemas.openxmlformats.org/spreadsheetml/2006/main" count="223" uniqueCount="185">
  <si>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</si>
  <si>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</si>
  <si>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</si>
  <si>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</si>
  <si>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</si>
  <si>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</si>
  <si>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</si>
  <si>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</si>
  <si>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</si>
  <si>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Lib-Default_Debug_New-CAL-CO2_39_39.xlsm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</si>
  <si>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</si>
  <si>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</si>
  <si>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</si>
  <si>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</si>
  <si>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</si>
  <si>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</si>
  <si>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</si>
  <si>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</si>
  <si>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</si>
  <si>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</si>
  <si>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</si>
  <si>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</si>
  <si>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</si>
  <si>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</si>
  <si>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</si>
  <si>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</si>
  <si>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</si>
  <si>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</si>
  <si>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</si>
  <si>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</si>
  <si>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</si>
  <si>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</si>
  <si>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</si>
  <si>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</si>
  <si>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</si>
  <si>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</si>
  <si>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</si>
  <si>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</si>
  <si>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</si>
  <si>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</si>
  <si>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</si>
  <si>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</si>
  <si>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</si>
  <si>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</si>
  <si>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</si>
  <si>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</si>
  <si>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</si>
  <si>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</si>
  <si>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</si>
  <si>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</si>
  <si>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</si>
  <si>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</si>
  <si>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</si>
  <si>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</si>
  <si>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</si>
  <si>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</si>
  <si>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</si>
  <si>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</si>
  <si>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</si>
  <si>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</si>
  <si>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</si>
  <si>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</si>
  <si>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</si>
  <si>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</si>
  <si>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</si>
  <si>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Debug_New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</si>
  <si>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</si>
  <si>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</si>
  <si>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</si>
  <si>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</si>
  <si>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</si>
  <si>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</si>
  <si>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</si>
  <si>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</si>
  <si>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</si>
  <si>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</si>
  <si>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</si>
  <si>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</si>
  <si>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</si>
  <si>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</si>
  <si>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</si>
  <si>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</si>
  <si>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</si>
  <si>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</si>
  <si>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</si>
  <si>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</si>
  <si>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</si>
  <si>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</si>
  <si>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</si>
  <si>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</si>
  <si>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</si>
  <si>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</si>
  <si>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</si>
  <si>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</si>
  <si>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</si>
  <si>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</si>
  <si>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</si>
  <si>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</si>
  <si>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</si>
  <si>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</si>
  <si>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</si>
  <si>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</si>
  <si>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Target_GWh</t>
  </si>
  <si>
    <t>Outage_GWh</t>
  </si>
  <si>
    <t>Outage_Price_per_GWh</t>
  </si>
  <si>
    <t>Iterations</t>
  </si>
  <si>
    <t>Solar_MW</t>
  </si>
  <si>
    <t>Solar_GWh</t>
  </si>
  <si>
    <t>Solar_CO2_MT</t>
  </si>
  <si>
    <t>Solar_Capital_B$</t>
  </si>
  <si>
    <t>Solar_Fixed_B$</t>
  </si>
  <si>
    <t>Solar_Variable_B$</t>
  </si>
  <si>
    <t>Solar_CO2_per_GWh</t>
  </si>
  <si>
    <t>Solar_Start_Knob</t>
  </si>
  <si>
    <t>Solar_Optimized_Knob</t>
  </si>
  <si>
    <t>Solar_Max_Knob</t>
  </si>
  <si>
    <t>Solar_Decadence</t>
  </si>
  <si>
    <t>Solar_Avg_Cap_Factor</t>
  </si>
  <si>
    <t>Wind_MW</t>
  </si>
  <si>
    <t>Wind_GWh</t>
  </si>
  <si>
    <t>Wind_CO2_MT</t>
  </si>
  <si>
    <t>Wind_Capital_B$</t>
  </si>
  <si>
    <t>Wind_Fixed_B$</t>
  </si>
  <si>
    <t>Wind_Variable_B$</t>
  </si>
  <si>
    <t>Wind_CO2_per_GWh</t>
  </si>
  <si>
    <t>Wind_Start_Knob</t>
  </si>
  <si>
    <t>Wind_Optimized_Knob</t>
  </si>
  <si>
    <t>Wind_Max_Knob</t>
  </si>
  <si>
    <t>Wind_Decadence</t>
  </si>
  <si>
    <t>Wind_Avg_Cap_Factor</t>
  </si>
  <si>
    <t>Nuclear_MW</t>
  </si>
  <si>
    <t>Nuclear_GWh</t>
  </si>
  <si>
    <t>Nuclear_CO2_MT</t>
  </si>
  <si>
    <t>Nuclear_Capital_B$</t>
  </si>
  <si>
    <t>Nuclear_Fixed_B$</t>
  </si>
  <si>
    <t>Nuclear_Variable_B$</t>
  </si>
  <si>
    <t>Nuclear_CO2_per_GWh</t>
  </si>
  <si>
    <t>Nuclear_Start_Knob</t>
  </si>
  <si>
    <t>Nuclear_Optimized_Knob</t>
  </si>
  <si>
    <t>Nuclear_Max_Knob</t>
  </si>
  <si>
    <t>Nuclear_Decadence</t>
  </si>
  <si>
    <t>Nuclear_Avg_Cap_Factor</t>
  </si>
  <si>
    <t>Gas_MW</t>
  </si>
  <si>
    <t>Gas_GWh</t>
  </si>
  <si>
    <t>Gas_CO2_MT</t>
  </si>
  <si>
    <t>Gas_Capital_B$</t>
  </si>
  <si>
    <t>Gas_Fixed_B$</t>
  </si>
  <si>
    <t>Gas_Variable_B$</t>
  </si>
  <si>
    <t>Gas_CO2_per_GWh</t>
  </si>
  <si>
    <t>Gas_Start_Knob</t>
  </si>
  <si>
    <t>Gas_Optimized_Knob</t>
  </si>
  <si>
    <t>Gas_Max_Knob</t>
  </si>
  <si>
    <t>Gas_Decadence</t>
  </si>
  <si>
    <t>Gas_Avg_Cap_Factor</t>
  </si>
  <si>
    <t>Coal_MW</t>
  </si>
  <si>
    <t>Coal_GWh</t>
  </si>
  <si>
    <t>Coal_CO2_MT</t>
  </si>
  <si>
    <t>Coal_Capital_B$</t>
  </si>
  <si>
    <t>Coal_Fixed_B$</t>
  </si>
  <si>
    <t>Coal_Variable_B$</t>
  </si>
  <si>
    <t>Coal_CO2_per_GWh</t>
  </si>
  <si>
    <t>Coal_Start_Knob</t>
  </si>
  <si>
    <t>Coal_Optimized_Knob</t>
  </si>
  <si>
    <t>Coal_Max_Knob</t>
  </si>
  <si>
    <t>Coal_Decadence</t>
  </si>
  <si>
    <t>Coal_Avg_Cap_Factor</t>
  </si>
  <si>
    <t>Battery</t>
  </si>
  <si>
    <t>Battery_MW</t>
  </si>
  <si>
    <t>Battery_GWh</t>
  </si>
  <si>
    <t>Battery_CO2_MT</t>
  </si>
  <si>
    <t>Battery_Capital_B$</t>
  </si>
  <si>
    <t>Battery_Fixed_B$</t>
  </si>
  <si>
    <t>Battery_Variable_B$</t>
  </si>
  <si>
    <t>Battery_CO2_per_GWh</t>
  </si>
  <si>
    <t>Battery_Start_Knob</t>
  </si>
  <si>
    <t>Battery_Optimized_Knob</t>
  </si>
  <si>
    <t>Battery_Max_Knob</t>
  </si>
  <si>
    <t>Battery_Decadence</t>
  </si>
  <si>
    <t>Battery_Avg_Cap_Factor</t>
  </si>
  <si>
    <t>Solar_CO2_B$</t>
  </si>
  <si>
    <t>Wind_CO2_B$</t>
  </si>
  <si>
    <t>Nuclear_CO2_B$</t>
  </si>
  <si>
    <t>Gas_CO2_B$</t>
  </si>
  <si>
    <t>Coal_CO2_B$</t>
  </si>
  <si>
    <t>Battery_CO2_B$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</si>
</sst>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3"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California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5973</c:v>
                </c:pt>
                <c:pt idx="1">
                  <c:v>6751.1615018100001</c:v>
                </c:pt>
                <c:pt idx="2">
                  <c:v>7621.1326467899999</c:v>
                </c:pt>
                <c:pt idx="3">
                  <c:v>8593.8605144800003</c:v>
                </c:pt>
                <c:pt idx="4">
                  <c:v>9681.5936723399991</c:v>
                </c:pt>
                <c:pt idx="5">
                  <c:v>10898.035869560001</c:v>
                </c:pt>
                <c:pt idx="6">
                  <c:v>12214.11992623</c:v>
                </c:pt>
                <c:pt idx="7">
                  <c:v>13609.625094139999</c:v>
                </c:pt>
                <c:pt idx="8">
                  <c:v>15088.77815156</c:v>
                </c:pt>
                <c:pt idx="9">
                  <c:v>16633.910234769999</c:v>
                </c:pt>
                <c:pt idx="10">
                  <c:v>18222.672328659999</c:v>
                </c:pt>
                <c:pt idx="11">
                  <c:v>19857.03110235</c:v>
                </c:pt>
                <c:pt idx="12">
                  <c:v>21538.861733540001</c:v>
                </c:pt>
                <c:pt idx="13">
                  <c:v>23270.37400394</c:v>
                </c:pt>
                <c:pt idx="14">
                  <c:v>25050.147866399999</c:v>
                </c:pt>
                <c:pt idx="15">
                  <c:v>26879.843353290002</c:v>
                </c:pt>
                <c:pt idx="16">
                  <c:v>28759.15836686</c:v>
                </c:pt>
                <c:pt idx="17">
                  <c:v>30689.86503103</c:v>
                </c:pt>
                <c:pt idx="18">
                  <c:v>32672.649327489999</c:v>
                </c:pt>
                <c:pt idx="19">
                  <c:v>34705.267722320001</c:v>
                </c:pt>
                <c:pt idx="20">
                  <c:v>36793.572602159998</c:v>
                </c:pt>
                <c:pt idx="21">
                  <c:v>38939.68627885</c:v>
                </c:pt>
                <c:pt idx="22">
                  <c:v>41145.305308870004</c:v>
                </c:pt>
                <c:pt idx="23">
                  <c:v>43410.114978240003</c:v>
                </c:pt>
                <c:pt idx="24">
                  <c:v>45736.559170549997</c:v>
                </c:pt>
                <c:pt idx="25">
                  <c:v>48125.374035870002</c:v>
                </c:pt>
                <c:pt idx="26">
                  <c:v>50579.519106729997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0.36384317999999999</c:v>
                </c:pt>
                <c:pt idx="1">
                  <c:v>0.36384317999999999</c:v>
                </c:pt>
                <c:pt idx="2">
                  <c:v>0.36384317999999999</c:v>
                </c:pt>
                <c:pt idx="3">
                  <c:v>0.36384317999999999</c:v>
                </c:pt>
                <c:pt idx="4">
                  <c:v>0.36384317999999999</c:v>
                </c:pt>
                <c:pt idx="5">
                  <c:v>0.36384317999999999</c:v>
                </c:pt>
                <c:pt idx="6">
                  <c:v>0.36384317999999999</c:v>
                </c:pt>
                <c:pt idx="7">
                  <c:v>0.36384317999999999</c:v>
                </c:pt>
                <c:pt idx="8">
                  <c:v>0.36384317999999999</c:v>
                </c:pt>
                <c:pt idx="9">
                  <c:v>0.36384317999999999</c:v>
                </c:pt>
                <c:pt idx="10">
                  <c:v>0.36384317999999999</c:v>
                </c:pt>
                <c:pt idx="11">
                  <c:v>0.36384317999999999</c:v>
                </c:pt>
                <c:pt idx="12">
                  <c:v>0.36384317999999999</c:v>
                </c:pt>
                <c:pt idx="13">
                  <c:v>0.36384317999999999</c:v>
                </c:pt>
                <c:pt idx="14">
                  <c:v>0.36384317999999999</c:v>
                </c:pt>
                <c:pt idx="15">
                  <c:v>0.36384317999999999</c:v>
                </c:pt>
                <c:pt idx="16">
                  <c:v>0.36384317999999999</c:v>
                </c:pt>
                <c:pt idx="17">
                  <c:v>0.36384317999999999</c:v>
                </c:pt>
                <c:pt idx="18">
                  <c:v>0.36384317999999999</c:v>
                </c:pt>
                <c:pt idx="19">
                  <c:v>0.36384317999999999</c:v>
                </c:pt>
                <c:pt idx="20">
                  <c:v>0.36384317999999999</c:v>
                </c:pt>
                <c:pt idx="21">
                  <c:v>0.36384317999999999</c:v>
                </c:pt>
                <c:pt idx="22">
                  <c:v>0.36384317999999999</c:v>
                </c:pt>
                <c:pt idx="23">
                  <c:v>0.36384317999999999</c:v>
                </c:pt>
                <c:pt idx="24">
                  <c:v>0.36384317999999999</c:v>
                </c:pt>
                <c:pt idx="25">
                  <c:v>0.36384317999999999</c:v>
                </c:pt>
                <c:pt idx="26">
                  <c:v>0.36384317999999999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1</c:v>
                </c:pt>
                <c:pt idx="1">
                  <c:v>2.022523E-2</c:v>
                </c:pt>
                <c:pt idx="2">
                  <c:v>2.0442129999999999E-2</c:v>
                </c:pt>
                <c:pt idx="3">
                  <c:v>2.063601E-2</c:v>
                </c:pt>
                <c:pt idx="4">
                  <c:v>2.0809290000000001E-2</c:v>
                </c:pt>
                <c:pt idx="5">
                  <c:v>2.0964119999999999E-2</c:v>
                </c:pt>
                <c:pt idx="6">
                  <c:v>2.1152270000000001E-2</c:v>
                </c:pt>
                <c:pt idx="7">
                  <c:v>2.1360629999999999E-2</c:v>
                </c:pt>
                <c:pt idx="8">
                  <c:v>2.1557679999999999E-2</c:v>
                </c:pt>
                <c:pt idx="9">
                  <c:v>2.177494E-2</c:v>
                </c:pt>
                <c:pt idx="10">
                  <c:v>2.2020720000000001E-2</c:v>
                </c:pt>
                <c:pt idx="11">
                  <c:v>2.2258489999999999E-2</c:v>
                </c:pt>
                <c:pt idx="12">
                  <c:v>2.2488600000000001E-2</c:v>
                </c:pt>
                <c:pt idx="13">
                  <c:v>2.2710669999999999E-2</c:v>
                </c:pt>
                <c:pt idx="14">
                  <c:v>2.2755379999999999E-2</c:v>
                </c:pt>
                <c:pt idx="15">
                  <c:v>2.2754960000000001E-2</c:v>
                </c:pt>
                <c:pt idx="16">
                  <c:v>2.2756040000000002E-2</c:v>
                </c:pt>
                <c:pt idx="17">
                  <c:v>2.275924E-2</c:v>
                </c:pt>
                <c:pt idx="18">
                  <c:v>2.276268E-2</c:v>
                </c:pt>
                <c:pt idx="19">
                  <c:v>2.2780149999999999E-2</c:v>
                </c:pt>
                <c:pt idx="20">
                  <c:v>2.277212E-2</c:v>
                </c:pt>
                <c:pt idx="21">
                  <c:v>2.276454E-2</c:v>
                </c:pt>
                <c:pt idx="22">
                  <c:v>2.2754369999999999E-2</c:v>
                </c:pt>
                <c:pt idx="23">
                  <c:v>2.2747239999999998E-2</c:v>
                </c:pt>
                <c:pt idx="24">
                  <c:v>2.273704E-2</c:v>
                </c:pt>
                <c:pt idx="25">
                  <c:v>2.273414E-2</c:v>
                </c:pt>
                <c:pt idx="26">
                  <c:v>2.2723859999999999E-2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0</c:v>
                </c:pt>
                <c:pt idx="1">
                  <c:v>8.0829369999999998E-2</c:v>
                </c:pt>
                <c:pt idx="2">
                  <c:v>8.0876970000000006E-2</c:v>
                </c:pt>
                <c:pt idx="3">
                  <c:v>8.0917950000000002E-2</c:v>
                </c:pt>
                <c:pt idx="4">
                  <c:v>8.0953200000000003E-2</c:v>
                </c:pt>
                <c:pt idx="5">
                  <c:v>8.09835E-2</c:v>
                </c:pt>
                <c:pt idx="6">
                  <c:v>8.0561430000000003E-2</c:v>
                </c:pt>
                <c:pt idx="7">
                  <c:v>7.9882880000000003E-2</c:v>
                </c:pt>
                <c:pt idx="8">
                  <c:v>7.9236940000000006E-2</c:v>
                </c:pt>
                <c:pt idx="9">
                  <c:v>7.8843129999999997E-2</c:v>
                </c:pt>
                <c:pt idx="10">
                  <c:v>7.8702449999999993E-2</c:v>
                </c:pt>
                <c:pt idx="11">
                  <c:v>7.8556639999999997E-2</c:v>
                </c:pt>
                <c:pt idx="12">
                  <c:v>7.8407560000000001E-2</c:v>
                </c:pt>
                <c:pt idx="13">
                  <c:v>7.8253139999999999E-2</c:v>
                </c:pt>
                <c:pt idx="14">
                  <c:v>7.8090259999999995E-2</c:v>
                </c:pt>
                <c:pt idx="15">
                  <c:v>7.7918719999999997E-2</c:v>
                </c:pt>
                <c:pt idx="16">
                  <c:v>7.7762719999999994E-2</c:v>
                </c:pt>
                <c:pt idx="17">
                  <c:v>7.7606419999999995E-2</c:v>
                </c:pt>
                <c:pt idx="18">
                  <c:v>7.7457429999999994E-2</c:v>
                </c:pt>
                <c:pt idx="19">
                  <c:v>7.7354389999999995E-2</c:v>
                </c:pt>
                <c:pt idx="20">
                  <c:v>7.7236310000000002E-2</c:v>
                </c:pt>
                <c:pt idx="21">
                  <c:v>7.7116760000000006E-2</c:v>
                </c:pt>
                <c:pt idx="22">
                  <c:v>7.6998269999999994E-2</c:v>
                </c:pt>
                <c:pt idx="23">
                  <c:v>7.6890799999999995E-2</c:v>
                </c:pt>
                <c:pt idx="24">
                  <c:v>7.6780710000000002E-2</c:v>
                </c:pt>
                <c:pt idx="25">
                  <c:v>7.667641E-2</c:v>
                </c:pt>
                <c:pt idx="26">
                  <c:v>7.6567739999999995E-2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584608521.64497495</c:v>
                </c:pt>
                <c:pt idx="1">
                  <c:v>461004.83718749997</c:v>
                </c:pt>
                <c:pt idx="2">
                  <c:v>110665.50398438</c:v>
                </c:pt>
                <c:pt idx="3">
                  <c:v>45809.731523440001</c:v>
                </c:pt>
                <c:pt idx="4">
                  <c:v>3548.1485778800002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8.1630000000000003E-5</c:v>
                </c:pt>
                <c:pt idx="5">
                  <c:v>7.6190000000000001E-5</c:v>
                </c:pt>
                <c:pt idx="6">
                  <c:v>7.1110000000000002E-5</c:v>
                </c:pt>
                <c:pt idx="7">
                  <c:v>1.50143E-3</c:v>
                </c:pt>
                <c:pt idx="8">
                  <c:v>1.4013299999999999E-3</c:v>
                </c:pt>
                <c:pt idx="9">
                  <c:v>2.0469600000000001E-2</c:v>
                </c:pt>
                <c:pt idx="10">
                  <c:v>1.9105170000000001E-2</c:v>
                </c:pt>
                <c:pt idx="11">
                  <c:v>1.7835589999999998E-2</c:v>
                </c:pt>
                <c:pt idx="12">
                  <c:v>2.0749529999999999E-2</c:v>
                </c:pt>
                <c:pt idx="13">
                  <c:v>2.383716E-2</c:v>
                </c:pt>
                <c:pt idx="14">
                  <c:v>2.2821850000000001E-2</c:v>
                </c:pt>
                <c:pt idx="15">
                  <c:v>2.1300630000000001E-2</c:v>
                </c:pt>
                <c:pt idx="16">
                  <c:v>1.9890830000000002E-2</c:v>
                </c:pt>
                <c:pt idx="17">
                  <c:v>1.8564770000000001E-2</c:v>
                </c:pt>
                <c:pt idx="18">
                  <c:v>2.073881E-2</c:v>
                </c:pt>
                <c:pt idx="19">
                  <c:v>2.068536E-2</c:v>
                </c:pt>
                <c:pt idx="20">
                  <c:v>4.1749769999999999E-2</c:v>
                </c:pt>
                <c:pt idx="21">
                  <c:v>4.0236760000000003E-2</c:v>
                </c:pt>
                <c:pt idx="22">
                  <c:v>3.7788700000000001E-2</c:v>
                </c:pt>
                <c:pt idx="23">
                  <c:v>3.790193E-2</c:v>
                </c:pt>
                <c:pt idx="24">
                  <c:v>3.5621989999999999E-2</c:v>
                </c:pt>
                <c:pt idx="25">
                  <c:v>3.3441249999999999E-2</c:v>
                </c:pt>
                <c:pt idx="26">
                  <c:v>7.5321979999999997E-2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California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778.16150181000012</c:v>
                </c:pt>
                <c:pt idx="1">
                  <c:v>869.97114497999974</c:v>
                </c:pt>
                <c:pt idx="2">
                  <c:v>972.72786769000049</c:v>
                </c:pt>
                <c:pt idx="3">
                  <c:v>1087.7331578599988</c:v>
                </c:pt>
                <c:pt idx="4">
                  <c:v>1216.4421972200016</c:v>
                </c:pt>
                <c:pt idx="5">
                  <c:v>1316.084056669999</c:v>
                </c:pt>
                <c:pt idx="6">
                  <c:v>1395.5051679099997</c:v>
                </c:pt>
                <c:pt idx="7">
                  <c:v>1479.1530574200006</c:v>
                </c:pt>
                <c:pt idx="8">
                  <c:v>1545.1320832099991</c:v>
                </c:pt>
                <c:pt idx="9">
                  <c:v>1588.76209389</c:v>
                </c:pt>
                <c:pt idx="10">
                  <c:v>1634.3587736900008</c:v>
                </c:pt>
                <c:pt idx="11">
                  <c:v>1681.8306311900014</c:v>
                </c:pt>
                <c:pt idx="12">
                  <c:v>1731.5122703999987</c:v>
                </c:pt>
                <c:pt idx="13">
                  <c:v>1779.7738624599988</c:v>
                </c:pt>
                <c:pt idx="14">
                  <c:v>1829.6954868900029</c:v>
                </c:pt>
                <c:pt idx="15">
                  <c:v>1879.315013569998</c:v>
                </c:pt>
                <c:pt idx="16">
                  <c:v>1930.7066641700003</c:v>
                </c:pt>
                <c:pt idx="17">
                  <c:v>1982.7842964599986</c:v>
                </c:pt>
                <c:pt idx="18">
                  <c:v>2032.6183948300022</c:v>
                </c:pt>
                <c:pt idx="19">
                  <c:v>2088.3048798399977</c:v>
                </c:pt>
                <c:pt idx="20">
                  <c:v>2146.1136766900017</c:v>
                </c:pt>
                <c:pt idx="21">
                  <c:v>2205.6190300200033</c:v>
                </c:pt>
                <c:pt idx="22">
                  <c:v>2264.809669369999</c:v>
                </c:pt>
                <c:pt idx="23">
                  <c:v>2326.4441923099948</c:v>
                </c:pt>
                <c:pt idx="24">
                  <c:v>2388.8148653200042</c:v>
                </c:pt>
                <c:pt idx="25">
                  <c:v>2454.145070859995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-0.97977477000000002</c:v>
                </c:pt>
                <c:pt idx="1">
                  <c:v>2.1689999999999904E-4</c:v>
                </c:pt>
                <c:pt idx="2">
                  <c:v>1.9388000000000044E-4</c:v>
                </c:pt>
                <c:pt idx="3">
                  <c:v>1.7328000000000135E-4</c:v>
                </c:pt>
                <c:pt idx="4">
                  <c:v>1.5482999999999816E-4</c:v>
                </c:pt>
                <c:pt idx="5">
                  <c:v>1.8815000000000151E-4</c:v>
                </c:pt>
                <c:pt idx="6">
                  <c:v>2.0835999999999771E-4</c:v>
                </c:pt>
                <c:pt idx="7">
                  <c:v>1.970500000000007E-4</c:v>
                </c:pt>
                <c:pt idx="8">
                  <c:v>2.1726000000000037E-4</c:v>
                </c:pt>
                <c:pt idx="9">
                  <c:v>2.45780000000001E-4</c:v>
                </c:pt>
                <c:pt idx="10">
                  <c:v>2.3776999999999826E-4</c:v>
                </c:pt>
                <c:pt idx="11">
                  <c:v>2.3011000000000212E-4</c:v>
                </c:pt>
                <c:pt idx="12">
                  <c:v>2.2206999999999782E-4</c:v>
                </c:pt>
                <c:pt idx="13">
                  <c:v>4.4709999999999889E-5</c:v>
                </c:pt>
                <c:pt idx="14">
                  <c:v>-4.199999999975057E-7</c:v>
                </c:pt>
                <c:pt idx="15">
                  <c:v>1.080000000000525E-6</c:v>
                </c:pt>
                <c:pt idx="16">
                  <c:v>3.1999999999983431E-6</c:v>
                </c:pt>
                <c:pt idx="17">
                  <c:v>3.4400000000003872E-6</c:v>
                </c:pt>
                <c:pt idx="18">
                  <c:v>1.7469999999998598E-5</c:v>
                </c:pt>
                <c:pt idx="19">
                  <c:v>-8.0299999999991489E-6</c:v>
                </c:pt>
                <c:pt idx="20">
                  <c:v>-7.5800000000000867E-6</c:v>
                </c:pt>
                <c:pt idx="21">
                  <c:v>-1.0170000000000318E-5</c:v>
                </c:pt>
                <c:pt idx="22">
                  <c:v>-7.1300000000010244E-6</c:v>
                </c:pt>
                <c:pt idx="23">
                  <c:v>-1.0199999999998405E-5</c:v>
                </c:pt>
                <c:pt idx="24">
                  <c:v>-2.9000000000001247E-6</c:v>
                </c:pt>
                <c:pt idx="25">
                  <c:v>-1.0280000000001399E-5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8.0829369999999998E-2</c:v>
                </c:pt>
                <c:pt idx="1">
                  <c:v>4.7600000000008746E-5</c:v>
                </c:pt>
                <c:pt idx="2">
                  <c:v>4.097999999999602E-5</c:v>
                </c:pt>
                <c:pt idx="3">
                  <c:v>3.5250000000000559E-5</c:v>
                </c:pt>
                <c:pt idx="4">
                  <c:v>3.0299999999996996E-5</c:v>
                </c:pt>
                <c:pt idx="5">
                  <c:v>-4.2206999999999661E-4</c:v>
                </c:pt>
                <c:pt idx="6">
                  <c:v>-6.7854999999999999E-4</c:v>
                </c:pt>
                <c:pt idx="7">
                  <c:v>-6.4593999999999763E-4</c:v>
                </c:pt>
                <c:pt idx="8">
                  <c:v>-3.9381000000000832E-4</c:v>
                </c:pt>
                <c:pt idx="9">
                  <c:v>-1.4068000000000414E-4</c:v>
                </c:pt>
                <c:pt idx="10">
                  <c:v>-1.4580999999999622E-4</c:v>
                </c:pt>
                <c:pt idx="11">
                  <c:v>-1.4907999999999588E-4</c:v>
                </c:pt>
                <c:pt idx="12">
                  <c:v>-1.5442000000000233E-4</c:v>
                </c:pt>
                <c:pt idx="13">
                  <c:v>-1.6288000000000413E-4</c:v>
                </c:pt>
                <c:pt idx="14">
                  <c:v>-1.7153999999999781E-4</c:v>
                </c:pt>
                <c:pt idx="15">
                  <c:v>-1.5600000000000336E-4</c:v>
                </c:pt>
                <c:pt idx="16">
                  <c:v>-1.5629999999999811E-4</c:v>
                </c:pt>
                <c:pt idx="17">
                  <c:v>-1.4899000000000162E-4</c:v>
                </c:pt>
                <c:pt idx="18">
                  <c:v>-1.0303999999999869E-4</c:v>
                </c:pt>
                <c:pt idx="19">
                  <c:v>-1.1807999999999264E-4</c:v>
                </c:pt>
                <c:pt idx="20">
                  <c:v>-1.1954999999999605E-4</c:v>
                </c:pt>
                <c:pt idx="21">
                  <c:v>-1.1849000000001275E-4</c:v>
                </c:pt>
                <c:pt idx="22">
                  <c:v>-1.074699999999984E-4</c:v>
                </c:pt>
                <c:pt idx="23">
                  <c:v>-1.1008999999999325E-4</c:v>
                </c:pt>
                <c:pt idx="24">
                  <c:v>-1.0430000000000161E-4</c:v>
                </c:pt>
                <c:pt idx="25">
                  <c:v>-1.0867000000000515E-4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-584147516.80778742</c:v>
                </c:pt>
                <c:pt idx="1">
                  <c:v>-350339.33320311998</c:v>
                </c:pt>
                <c:pt idx="2">
                  <c:v>-64855.772460940003</c:v>
                </c:pt>
                <c:pt idx="3">
                  <c:v>-42261.582945560003</c:v>
                </c:pt>
                <c:pt idx="4">
                  <c:v>-3548.1485778800002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8.1630000000000003E-5</c:v>
                </c:pt>
                <c:pt idx="4">
                  <c:v>-5.4400000000000021E-6</c:v>
                </c:pt>
                <c:pt idx="5">
                  <c:v>-5.0799999999999988E-6</c:v>
                </c:pt>
                <c:pt idx="6">
                  <c:v>1.4303199999999999E-3</c:v>
                </c:pt>
                <c:pt idx="7">
                  <c:v>-1.001000000000001E-4</c:v>
                </c:pt>
                <c:pt idx="8">
                  <c:v>1.9068270000000002E-2</c:v>
                </c:pt>
                <c:pt idx="9">
                  <c:v>-1.3644299999999998E-3</c:v>
                </c:pt>
                <c:pt idx="10">
                  <c:v>-1.2695800000000028E-3</c:v>
                </c:pt>
                <c:pt idx="11">
                  <c:v>2.9139400000000003E-3</c:v>
                </c:pt>
                <c:pt idx="12">
                  <c:v>3.0876300000000009E-3</c:v>
                </c:pt>
                <c:pt idx="13">
                  <c:v>-1.0153099999999984E-3</c:v>
                </c:pt>
                <c:pt idx="14">
                  <c:v>-1.5212200000000002E-3</c:v>
                </c:pt>
                <c:pt idx="15">
                  <c:v>-1.4097999999999992E-3</c:v>
                </c:pt>
                <c:pt idx="16">
                  <c:v>-1.3260600000000004E-3</c:v>
                </c:pt>
                <c:pt idx="17">
                  <c:v>2.1740399999999986E-3</c:v>
                </c:pt>
                <c:pt idx="18">
                  <c:v>-5.3450000000000025E-5</c:v>
                </c:pt>
                <c:pt idx="19">
                  <c:v>2.1064409999999999E-2</c:v>
                </c:pt>
                <c:pt idx="20">
                  <c:v>-1.5130099999999952E-3</c:v>
                </c:pt>
                <c:pt idx="21">
                  <c:v>-2.4480600000000019E-3</c:v>
                </c:pt>
                <c:pt idx="22">
                  <c:v>1.1322999999999889E-4</c:v>
                </c:pt>
                <c:pt idx="23">
                  <c:v>-2.2799400000000011E-3</c:v>
                </c:pt>
                <c:pt idx="24">
                  <c:v>-2.1807400000000005E-3</c:v>
                </c:pt>
                <c:pt idx="25">
                  <c:v>4.1880729999999998E-2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23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CAL</v>
      </c>
      <c r="M3" s="3" t="str">
        <f>$A$1 &amp; " - " &amp; $A$2 &amp; " (" &amp; VLOOKUP(A2,Param_Table,3,FALSE) &amp; ")"</f>
        <v>California - CO2_MTons (MTons)</v>
      </c>
      <c r="N3" s="3"/>
      <c r="O3" s="3"/>
      <c r="W3" t="str">
        <f>$M$3 &amp; " -Yearly Change"</f>
        <v>California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5973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0.36384317999999999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1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0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584608521.64497495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584614496.00881815</v>
      </c>
      <c r="T6">
        <f>T5+1</f>
        <v>1</v>
      </c>
      <c r="U6" s="1">
        <f ca="1">K7-K6</f>
        <v>778.16150181000012</v>
      </c>
      <c r="V6" s="1">
        <f t="shared" ref="V6:AA6" ca="1" si="0">L7-L6</f>
        <v>0</v>
      </c>
      <c r="W6" s="1">
        <f t="shared" ca="1" si="0"/>
        <v>-0.97977477000000002</v>
      </c>
      <c r="X6" s="1">
        <f t="shared" ca="1" si="0"/>
        <v>8.0829369999999998E-2</v>
      </c>
      <c r="Y6" s="1">
        <f t="shared" ca="1" si="0"/>
        <v>-584147516.80778742</v>
      </c>
      <c r="Z6" s="1">
        <f t="shared" ca="1" si="0"/>
        <v>0</v>
      </c>
      <c r="AA6" s="1">
        <f t="shared" ca="1" si="0"/>
        <v>-584146739.5452311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6751.1615018100001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0.36384317999999999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2.022523E-2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8.0829369999999998E-2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461004.83718749997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0</v>
      </c>
      <c r="Q7" s="1">
        <f t="shared" ref="Q7:Q32" ca="1" si="3">SUM(K7:P7)</f>
        <v>467756.46358708997</v>
      </c>
      <c r="T7">
        <f t="shared" ref="T7:T31" si="4">T6+1</f>
        <v>2</v>
      </c>
      <c r="U7" s="1">
        <f t="shared" ref="U7:U31" ca="1" si="5">K8-K7</f>
        <v>869.97114497999974</v>
      </c>
      <c r="V7" s="1">
        <f t="shared" ref="V7:V31" ca="1" si="6">L8-L7</f>
        <v>0</v>
      </c>
      <c r="W7" s="1">
        <f t="shared" ref="W7:W31" ca="1" si="7">M8-M7</f>
        <v>2.1689999999999904E-4</v>
      </c>
      <c r="X7" s="1">
        <f t="shared" ref="X7:X31" ca="1" si="8">N8-N7</f>
        <v>4.7600000000008746E-5</v>
      </c>
      <c r="Y7" s="1">
        <f t="shared" ref="Y7:Y31" ca="1" si="9">O8-O7</f>
        <v>-350339.33320311998</v>
      </c>
      <c r="Z7" s="1">
        <f t="shared" ref="Z7:Z31" ca="1" si="10">P8-P7</f>
        <v>0</v>
      </c>
      <c r="AA7" s="1">
        <f t="shared" ref="AA7:AA31" ca="1" si="11">Q8-Q7</f>
        <v>-349469.36179363995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7621.1326467899999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0.36384317999999999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2.0442129999999999E-2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8.0876970000000006E-2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110665.50398438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0</v>
      </c>
      <c r="Q8" s="1">
        <f t="shared" ca="1" si="3"/>
        <v>118287.10179345</v>
      </c>
      <c r="T8">
        <f t="shared" si="4"/>
        <v>3</v>
      </c>
      <c r="U8" s="1">
        <f t="shared" ca="1" si="5"/>
        <v>972.72786769000049</v>
      </c>
      <c r="V8" s="1">
        <f t="shared" ca="1" si="6"/>
        <v>0</v>
      </c>
      <c r="W8" s="1">
        <f t="shared" ca="1" si="7"/>
        <v>1.9388000000000044E-4</v>
      </c>
      <c r="X8" s="1">
        <f t="shared" ca="1" si="8"/>
        <v>4.097999999999602E-5</v>
      </c>
      <c r="Y8" s="1">
        <f t="shared" ca="1" si="9"/>
        <v>-64855.772460940003</v>
      </c>
      <c r="Z8" s="1">
        <f t="shared" ca="1" si="10"/>
        <v>0</v>
      </c>
      <c r="AA8" s="1">
        <f t="shared" ca="1" si="11"/>
        <v>-63883.044358389998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8593.8605144800003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0.36384317999999999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2.063601E-2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8.0917950000000002E-2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45809.731523440001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0</v>
      </c>
      <c r="Q9" s="1">
        <f t="shared" ca="1" si="3"/>
        <v>54404.05743506</v>
      </c>
      <c r="T9">
        <f t="shared" si="4"/>
        <v>4</v>
      </c>
      <c r="U9" s="1">
        <f t="shared" ca="1" si="5"/>
        <v>1087.7331578599988</v>
      </c>
      <c r="V9" s="1">
        <f t="shared" ca="1" si="6"/>
        <v>0</v>
      </c>
      <c r="W9" s="1">
        <f t="shared" ca="1" si="7"/>
        <v>1.7328000000000135E-4</v>
      </c>
      <c r="X9" s="1">
        <f t="shared" ca="1" si="8"/>
        <v>3.5250000000000559E-5</v>
      </c>
      <c r="Y9" s="1">
        <f t="shared" ca="1" si="9"/>
        <v>-42261.582945560003</v>
      </c>
      <c r="Z9" s="1">
        <f t="shared" ca="1" si="10"/>
        <v>8.1630000000000003E-5</v>
      </c>
      <c r="AA9" s="1">
        <f t="shared" ca="1" si="11"/>
        <v>-41173.849497540003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9681.5936723399991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0.36384317999999999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2.0809290000000001E-2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8.0953200000000003E-2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3548.1485778800002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8.1630000000000003E-5</v>
      </c>
      <c r="Q10" s="1">
        <f t="shared" ca="1" si="3"/>
        <v>13230.207937519997</v>
      </c>
      <c r="T10">
        <f t="shared" si="4"/>
        <v>5</v>
      </c>
      <c r="U10" s="1">
        <f t="shared" ca="1" si="5"/>
        <v>1216.4421972200016</v>
      </c>
      <c r="V10" s="1">
        <f t="shared" ca="1" si="6"/>
        <v>0</v>
      </c>
      <c r="W10" s="1">
        <f t="shared" ca="1" si="7"/>
        <v>1.5482999999999816E-4</v>
      </c>
      <c r="X10" s="1">
        <f t="shared" ca="1" si="8"/>
        <v>3.0299999999996996E-5</v>
      </c>
      <c r="Y10" s="1">
        <f t="shared" ca="1" si="9"/>
        <v>-3548.1485778800002</v>
      </c>
      <c r="Z10" s="1">
        <f t="shared" ca="1" si="10"/>
        <v>-5.4400000000000021E-6</v>
      </c>
      <c r="AA10" s="1">
        <f t="shared" ca="1" si="11"/>
        <v>-2331.7062009699985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10898.035869560001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0.36384317999999999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2.0964119999999999E-2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8.09835E-2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0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7.6190000000000001E-5</v>
      </c>
      <c r="Q11" s="1">
        <f t="shared" ca="1" si="3"/>
        <v>10898.501736549999</v>
      </c>
      <c r="T11">
        <f t="shared" si="4"/>
        <v>6</v>
      </c>
      <c r="U11" s="1">
        <f t="shared" ca="1" si="5"/>
        <v>1316.084056669999</v>
      </c>
      <c r="V11" s="1">
        <f t="shared" ca="1" si="6"/>
        <v>0</v>
      </c>
      <c r="W11" s="1">
        <f t="shared" ca="1" si="7"/>
        <v>1.8815000000000151E-4</v>
      </c>
      <c r="X11" s="1">
        <f t="shared" ca="1" si="8"/>
        <v>-4.2206999999999661E-4</v>
      </c>
      <c r="Y11" s="1">
        <f t="shared" ca="1" si="9"/>
        <v>0</v>
      </c>
      <c r="Z11" s="1">
        <f t="shared" ca="1" si="10"/>
        <v>-5.0799999999999988E-6</v>
      </c>
      <c r="AA11" s="1">
        <f t="shared" ca="1" si="11"/>
        <v>1316.0838176699999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12214.11992623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0.36384317999999999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2.1152270000000001E-2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8.0561430000000003E-2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0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7.1110000000000002E-5</v>
      </c>
      <c r="Q12" s="1">
        <f t="shared" ca="1" si="3"/>
        <v>12214.585554219999</v>
      </c>
      <c r="T12">
        <f t="shared" si="4"/>
        <v>7</v>
      </c>
      <c r="U12" s="1">
        <f t="shared" ca="1" si="5"/>
        <v>1395.5051679099997</v>
      </c>
      <c r="V12" s="1">
        <f t="shared" ca="1" si="6"/>
        <v>0</v>
      </c>
      <c r="W12" s="1">
        <f t="shared" ca="1" si="7"/>
        <v>2.0835999999999771E-4</v>
      </c>
      <c r="X12" s="1">
        <f t="shared" ca="1" si="8"/>
        <v>-6.7854999999999999E-4</v>
      </c>
      <c r="Y12" s="1">
        <f t="shared" ca="1" si="9"/>
        <v>0</v>
      </c>
      <c r="Z12" s="1">
        <f t="shared" ca="1" si="10"/>
        <v>1.4303199999999999E-3</v>
      </c>
      <c r="AA12" s="1">
        <f t="shared" ca="1" si="11"/>
        <v>1395.5061280400005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13609.625094139999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0.36384317999999999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2.1360629999999999E-2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7.9882880000000003E-2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0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1.50143E-3</v>
      </c>
      <c r="Q13" s="1">
        <f t="shared" ca="1" si="3"/>
        <v>13610.091682259999</v>
      </c>
      <c r="T13">
        <f t="shared" si="4"/>
        <v>8</v>
      </c>
      <c r="U13" s="1">
        <f t="shared" ca="1" si="5"/>
        <v>1479.1530574200006</v>
      </c>
      <c r="V13" s="1">
        <f t="shared" ca="1" si="6"/>
        <v>0</v>
      </c>
      <c r="W13" s="1">
        <f t="shared" ca="1" si="7"/>
        <v>1.970500000000007E-4</v>
      </c>
      <c r="X13" s="1">
        <f t="shared" ca="1" si="8"/>
        <v>-6.4593999999999763E-4</v>
      </c>
      <c r="Y13" s="1">
        <f t="shared" ca="1" si="9"/>
        <v>0</v>
      </c>
      <c r="Z13" s="1">
        <f t="shared" ca="1" si="10"/>
        <v>-1.001000000000001E-4</v>
      </c>
      <c r="AA13" s="1">
        <f t="shared" ca="1" si="11"/>
        <v>1479.152508430001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15088.77815156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0.36384317999999999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2.1557679999999999E-2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7.9236940000000006E-2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0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1.4013299999999999E-3</v>
      </c>
      <c r="Q14" s="1">
        <f t="shared" ca="1" si="3"/>
        <v>15089.24419069</v>
      </c>
      <c r="T14">
        <f t="shared" si="4"/>
        <v>9</v>
      </c>
      <c r="U14" s="1">
        <f t="shared" ca="1" si="5"/>
        <v>1545.1320832099991</v>
      </c>
      <c r="V14" s="1">
        <f t="shared" ca="1" si="6"/>
        <v>0</v>
      </c>
      <c r="W14" s="1">
        <f t="shared" ca="1" si="7"/>
        <v>2.1726000000000037E-4</v>
      </c>
      <c r="X14" s="1">
        <f t="shared" ca="1" si="8"/>
        <v>-3.9381000000000832E-4</v>
      </c>
      <c r="Y14" s="1">
        <f t="shared" ca="1" si="9"/>
        <v>0</v>
      </c>
      <c r="Z14" s="1">
        <f t="shared" ca="1" si="10"/>
        <v>1.9068270000000002E-2</v>
      </c>
      <c r="AA14" s="1">
        <f t="shared" ca="1" si="11"/>
        <v>1545.1509749299967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16633.910234769999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0.36384317999999999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2.177494E-2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7.8843129999999997E-2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0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2.0469600000000001E-2</v>
      </c>
      <c r="Q15" s="1">
        <f t="shared" ca="1" si="3"/>
        <v>16634.395165619997</v>
      </c>
      <c r="T15">
        <f t="shared" si="4"/>
        <v>10</v>
      </c>
      <c r="U15" s="1">
        <f t="shared" ca="1" si="5"/>
        <v>1588.76209389</v>
      </c>
      <c r="V15" s="1">
        <f t="shared" ca="1" si="6"/>
        <v>0</v>
      </c>
      <c r="W15" s="1">
        <f t="shared" ca="1" si="7"/>
        <v>2.45780000000001E-4</v>
      </c>
      <c r="X15" s="1">
        <f t="shared" ca="1" si="8"/>
        <v>-1.4068000000000414E-4</v>
      </c>
      <c r="Y15" s="1">
        <f t="shared" ca="1" si="9"/>
        <v>0</v>
      </c>
      <c r="Z15" s="1">
        <f t="shared" ca="1" si="10"/>
        <v>-1.3644299999999998E-3</v>
      </c>
      <c r="AA15" s="1">
        <f t="shared" ca="1" si="11"/>
        <v>1588.7608345599983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18222.672328659999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0.36384317999999999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2.2020720000000001E-2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7.8702449999999993E-2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0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1.9105170000000001E-2</v>
      </c>
      <c r="Q16" s="1">
        <f t="shared" ca="1" si="3"/>
        <v>18223.156000179995</v>
      </c>
      <c r="T16">
        <f t="shared" si="4"/>
        <v>11</v>
      </c>
      <c r="U16" s="1">
        <f t="shared" ca="1" si="5"/>
        <v>1634.3587736900008</v>
      </c>
      <c r="V16" s="1">
        <f t="shared" ca="1" si="6"/>
        <v>0</v>
      </c>
      <c r="W16" s="1">
        <f t="shared" ca="1" si="7"/>
        <v>2.3776999999999826E-4</v>
      </c>
      <c r="X16" s="1">
        <f t="shared" ca="1" si="8"/>
        <v>-1.4580999999999622E-4</v>
      </c>
      <c r="Y16" s="1">
        <f t="shared" ca="1" si="9"/>
        <v>0</v>
      </c>
      <c r="Z16" s="1">
        <f t="shared" ca="1" si="10"/>
        <v>-1.2695800000000028E-3</v>
      </c>
      <c r="AA16" s="1">
        <f t="shared" ca="1" si="11"/>
        <v>1634.3575960700036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19857.03110235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0.36384317999999999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2.2258489999999999E-2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7.8556639999999997E-2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1.7835589999999998E-2</v>
      </c>
      <c r="Q17" s="1">
        <f t="shared" ca="1" si="3"/>
        <v>19857.513596249999</v>
      </c>
      <c r="T17">
        <f t="shared" si="4"/>
        <v>12</v>
      </c>
      <c r="U17" s="1">
        <f t="shared" ca="1" si="5"/>
        <v>1681.8306311900014</v>
      </c>
      <c r="V17" s="1">
        <f t="shared" ca="1" si="6"/>
        <v>0</v>
      </c>
      <c r="W17" s="1">
        <f t="shared" ca="1" si="7"/>
        <v>2.3011000000000212E-4</v>
      </c>
      <c r="X17" s="1">
        <f t="shared" ca="1" si="8"/>
        <v>-1.4907999999999588E-4</v>
      </c>
      <c r="Y17" s="1">
        <f t="shared" ca="1" si="9"/>
        <v>0</v>
      </c>
      <c r="Z17" s="1">
        <f t="shared" ca="1" si="10"/>
        <v>2.9139400000000003E-3</v>
      </c>
      <c r="AA17" s="1">
        <f t="shared" ca="1" si="11"/>
        <v>1681.8336261599979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21538.861733540001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0.36384317999999999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2.2488600000000001E-2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7.8407560000000001E-2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2.0749529999999999E-2</v>
      </c>
      <c r="Q18" s="1">
        <f t="shared" ca="1" si="3"/>
        <v>21539.347222409997</v>
      </c>
      <c r="T18">
        <f t="shared" si="4"/>
        <v>13</v>
      </c>
      <c r="U18" s="1">
        <f t="shared" ca="1" si="5"/>
        <v>1731.5122703999987</v>
      </c>
      <c r="V18" s="1">
        <f t="shared" ca="1" si="6"/>
        <v>0</v>
      </c>
      <c r="W18" s="1">
        <f t="shared" ca="1" si="7"/>
        <v>2.2206999999999782E-4</v>
      </c>
      <c r="X18" s="1">
        <f t="shared" ca="1" si="8"/>
        <v>-1.5442000000000233E-4</v>
      </c>
      <c r="Y18" s="1">
        <f t="shared" ca="1" si="9"/>
        <v>0</v>
      </c>
      <c r="Z18" s="1">
        <f t="shared" ca="1" si="10"/>
        <v>3.0876300000000009E-3</v>
      </c>
      <c r="AA18" s="1">
        <f t="shared" ca="1" si="11"/>
        <v>1731.5154256800015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23270.37400394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0.36384317999999999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2.2710669999999999E-2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7.8253139999999999E-2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2.383716E-2</v>
      </c>
      <c r="Q19" s="1">
        <f t="shared" ca="1" si="3"/>
        <v>23270.862648089998</v>
      </c>
      <c r="T19">
        <f t="shared" si="4"/>
        <v>14</v>
      </c>
      <c r="U19" s="1">
        <f t="shared" ca="1" si="5"/>
        <v>1779.7738624599988</v>
      </c>
      <c r="V19" s="1">
        <f t="shared" ca="1" si="6"/>
        <v>0</v>
      </c>
      <c r="W19" s="1">
        <f t="shared" ca="1" si="7"/>
        <v>4.4709999999999889E-5</v>
      </c>
      <c r="X19" s="1">
        <f t="shared" ca="1" si="8"/>
        <v>-1.6288000000000413E-4</v>
      </c>
      <c r="Y19" s="1">
        <f t="shared" ca="1" si="9"/>
        <v>0</v>
      </c>
      <c r="Z19" s="1">
        <f t="shared" ca="1" si="10"/>
        <v>-1.0153099999999984E-3</v>
      </c>
      <c r="AA19" s="1">
        <f t="shared" ca="1" si="11"/>
        <v>1779.7727289800023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25050.147866399999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0.36384317999999999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2.2755379999999999E-2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7.8090259999999995E-2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2.2821850000000001E-2</v>
      </c>
      <c r="Q20" s="1">
        <f t="shared" ca="1" si="3"/>
        <v>25050.635377070001</v>
      </c>
      <c r="T20">
        <f t="shared" si="4"/>
        <v>15</v>
      </c>
      <c r="U20" s="1">
        <f t="shared" ca="1" si="5"/>
        <v>1829.6954868900029</v>
      </c>
      <c r="V20" s="1">
        <f t="shared" ca="1" si="6"/>
        <v>0</v>
      </c>
      <c r="W20" s="1">
        <f t="shared" ca="1" si="7"/>
        <v>-4.199999999975057E-7</v>
      </c>
      <c r="X20" s="1">
        <f t="shared" ca="1" si="8"/>
        <v>-1.7153999999999781E-4</v>
      </c>
      <c r="Y20" s="1">
        <f t="shared" ca="1" si="9"/>
        <v>0</v>
      </c>
      <c r="Z20" s="1">
        <f t="shared" ca="1" si="10"/>
        <v>-1.5212200000000002E-3</v>
      </c>
      <c r="AA20" s="1">
        <f t="shared" ca="1" si="11"/>
        <v>1829.6937937099974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26879.843353290002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0.36384317999999999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2.2754960000000001E-2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7.7918719999999997E-2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2.1300630000000001E-2</v>
      </c>
      <c r="Q21" s="1">
        <f t="shared" ca="1" si="3"/>
        <v>26880.329170779998</v>
      </c>
      <c r="T21">
        <f t="shared" si="4"/>
        <v>16</v>
      </c>
      <c r="U21" s="1">
        <f t="shared" ca="1" si="5"/>
        <v>1879.315013569998</v>
      </c>
      <c r="V21" s="1">
        <f t="shared" ca="1" si="6"/>
        <v>0</v>
      </c>
      <c r="W21" s="1">
        <f t="shared" ca="1" si="7"/>
        <v>1.080000000000525E-6</v>
      </c>
      <c r="X21" s="1">
        <f t="shared" ca="1" si="8"/>
        <v>-1.5600000000000336E-4</v>
      </c>
      <c r="Y21" s="1">
        <f t="shared" ca="1" si="9"/>
        <v>0</v>
      </c>
      <c r="Z21" s="1">
        <f t="shared" ca="1" si="10"/>
        <v>-1.4097999999999992E-3</v>
      </c>
      <c r="AA21" s="1">
        <f t="shared" ca="1" si="11"/>
        <v>1879.3134488500036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28759.15836686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0.36384317999999999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2.2756040000000002E-2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7.7762719999999994E-2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1.9890830000000002E-2</v>
      </c>
      <c r="Q22" s="1">
        <f t="shared" ca="1" si="3"/>
        <v>28759.642619630002</v>
      </c>
      <c r="T22">
        <f t="shared" si="4"/>
        <v>17</v>
      </c>
      <c r="U22" s="1">
        <f t="shared" ca="1" si="5"/>
        <v>1930.7066641700003</v>
      </c>
      <c r="V22" s="1">
        <f t="shared" ca="1" si="6"/>
        <v>0</v>
      </c>
      <c r="W22" s="1">
        <f t="shared" ca="1" si="7"/>
        <v>3.1999999999983431E-6</v>
      </c>
      <c r="X22" s="1">
        <f t="shared" ca="1" si="8"/>
        <v>-1.5629999999999811E-4</v>
      </c>
      <c r="Y22" s="1">
        <f t="shared" ca="1" si="9"/>
        <v>0</v>
      </c>
      <c r="Z22" s="1">
        <f t="shared" ca="1" si="10"/>
        <v>-1.3260600000000004E-3</v>
      </c>
      <c r="AA22" s="1">
        <f t="shared" ca="1" si="11"/>
        <v>1930.7051850099961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30689.86503103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0.36384317999999999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2.275924E-2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7.7606419999999995E-2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1.8564770000000001E-2</v>
      </c>
      <c r="Q23" s="1">
        <f t="shared" ca="1" si="3"/>
        <v>30690.347804639998</v>
      </c>
      <c r="T23">
        <f t="shared" si="4"/>
        <v>18</v>
      </c>
      <c r="U23" s="1">
        <f t="shared" ca="1" si="5"/>
        <v>1982.7842964599986</v>
      </c>
      <c r="V23" s="1">
        <f t="shared" ca="1" si="6"/>
        <v>0</v>
      </c>
      <c r="W23" s="1">
        <f t="shared" ca="1" si="7"/>
        <v>3.4400000000003872E-6</v>
      </c>
      <c r="X23" s="1">
        <f t="shared" ca="1" si="8"/>
        <v>-1.4899000000000162E-4</v>
      </c>
      <c r="Y23" s="1">
        <f t="shared" ca="1" si="9"/>
        <v>0</v>
      </c>
      <c r="Z23" s="1">
        <f t="shared" ca="1" si="10"/>
        <v>2.1740399999999986E-3</v>
      </c>
      <c r="AA23" s="1">
        <f t="shared" ca="1" si="11"/>
        <v>1982.7863249500006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32672.649327489999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0.36384317999999999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2.276268E-2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7.7457429999999994E-2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2.073881E-2</v>
      </c>
      <c r="Q24" s="1">
        <f t="shared" ca="1" si="3"/>
        <v>32673.134129589998</v>
      </c>
      <c r="T24">
        <f t="shared" si="4"/>
        <v>19</v>
      </c>
      <c r="U24" s="1">
        <f t="shared" ca="1" si="5"/>
        <v>2032.6183948300022</v>
      </c>
      <c r="V24" s="1">
        <f t="shared" ca="1" si="6"/>
        <v>0</v>
      </c>
      <c r="W24" s="1">
        <f t="shared" ca="1" si="7"/>
        <v>1.7469999999998598E-5</v>
      </c>
      <c r="X24" s="1">
        <f t="shared" ca="1" si="8"/>
        <v>-1.0303999999999869E-4</v>
      </c>
      <c r="Y24" s="1">
        <f t="shared" ca="1" si="9"/>
        <v>0</v>
      </c>
      <c r="Z24" s="1">
        <f t="shared" ca="1" si="10"/>
        <v>-5.3450000000000025E-5</v>
      </c>
      <c r="AA24" s="1">
        <f t="shared" ca="1" si="11"/>
        <v>2032.6182558100045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34705.267722320001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0.36384317999999999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2.2780149999999999E-2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7.7354389999999995E-2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2.068536E-2</v>
      </c>
      <c r="Q25" s="1">
        <f t="shared" ca="1" si="3"/>
        <v>34705.752385400003</v>
      </c>
      <c r="T25">
        <f t="shared" si="4"/>
        <v>20</v>
      </c>
      <c r="U25" s="1">
        <f t="shared" ca="1" si="5"/>
        <v>2088.3048798399977</v>
      </c>
      <c r="V25" s="1">
        <f t="shared" ca="1" si="6"/>
        <v>0</v>
      </c>
      <c r="W25" s="1">
        <f t="shared" ca="1" si="7"/>
        <v>-8.0299999999991489E-6</v>
      </c>
      <c r="X25" s="1">
        <f t="shared" ca="1" si="8"/>
        <v>-1.1807999999999264E-4</v>
      </c>
      <c r="Y25" s="1">
        <f t="shared" ca="1" si="9"/>
        <v>0</v>
      </c>
      <c r="Z25" s="1">
        <f t="shared" ca="1" si="10"/>
        <v>2.1064409999999999E-2</v>
      </c>
      <c r="AA25" s="1">
        <f t="shared" ca="1" si="11"/>
        <v>2088.3258181399869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36793.572602159998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0.36384317999999999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2.277212E-2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7.7236310000000002E-2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4.1749769999999999E-2</v>
      </c>
      <c r="Q26" s="1">
        <f t="shared" ca="1" si="3"/>
        <v>36794.07820353999</v>
      </c>
      <c r="T26">
        <f t="shared" si="4"/>
        <v>21</v>
      </c>
      <c r="U26" s="1">
        <f t="shared" ca="1" si="5"/>
        <v>2146.1136766900017</v>
      </c>
      <c r="V26" s="1">
        <f t="shared" ca="1" si="6"/>
        <v>0</v>
      </c>
      <c r="W26" s="1">
        <f t="shared" ca="1" si="7"/>
        <v>-7.5800000000000867E-6</v>
      </c>
      <c r="X26" s="1">
        <f t="shared" ca="1" si="8"/>
        <v>-1.1954999999999605E-4</v>
      </c>
      <c r="Y26" s="1">
        <f t="shared" ca="1" si="9"/>
        <v>0</v>
      </c>
      <c r="Z26" s="1">
        <f t="shared" ca="1" si="10"/>
        <v>-1.5130099999999952E-3</v>
      </c>
      <c r="AA26" s="1">
        <f t="shared" ca="1" si="11"/>
        <v>2146.1120365500174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38939.68627885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0.36384317999999999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2.276454E-2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7.7116760000000006E-2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4.0236760000000003E-2</v>
      </c>
      <c r="Q27" s="1">
        <f t="shared" ca="1" si="3"/>
        <v>38940.190240090007</v>
      </c>
      <c r="T27">
        <f t="shared" si="4"/>
        <v>22</v>
      </c>
      <c r="U27" s="1">
        <f t="shared" ca="1" si="5"/>
        <v>2205.6190300200033</v>
      </c>
      <c r="V27" s="1">
        <f t="shared" ca="1" si="6"/>
        <v>0</v>
      </c>
      <c r="W27" s="1">
        <f t="shared" ca="1" si="7"/>
        <v>-1.0170000000000318E-5</v>
      </c>
      <c r="X27" s="1">
        <f t="shared" ca="1" si="8"/>
        <v>-1.1849000000001275E-4</v>
      </c>
      <c r="Y27" s="1">
        <f t="shared" ca="1" si="9"/>
        <v>0</v>
      </c>
      <c r="Z27" s="1">
        <f t="shared" ca="1" si="10"/>
        <v>-2.4480600000000019E-3</v>
      </c>
      <c r="AA27" s="1">
        <f t="shared" ca="1" si="11"/>
        <v>2205.6164532999974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41145.305308870004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0.36384317999999999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2.2754369999999999E-2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7.6998269999999994E-2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3.7788700000000001E-2</v>
      </c>
      <c r="Q28" s="1">
        <f t="shared" ca="1" si="3"/>
        <v>41145.806693390005</v>
      </c>
      <c r="T28">
        <f t="shared" si="4"/>
        <v>23</v>
      </c>
      <c r="U28" s="1">
        <f t="shared" ca="1" si="5"/>
        <v>2264.809669369999</v>
      </c>
      <c r="V28" s="1">
        <f t="shared" ca="1" si="6"/>
        <v>0</v>
      </c>
      <c r="W28" s="1">
        <f t="shared" ca="1" si="7"/>
        <v>-7.1300000000010244E-6</v>
      </c>
      <c r="X28" s="1">
        <f t="shared" ca="1" si="8"/>
        <v>-1.074699999999984E-4</v>
      </c>
      <c r="Y28" s="1">
        <f t="shared" ca="1" si="9"/>
        <v>0</v>
      </c>
      <c r="Z28" s="1">
        <f t="shared" ca="1" si="10"/>
        <v>1.1322999999999889E-4</v>
      </c>
      <c r="AA28" s="1">
        <f t="shared" ca="1" si="11"/>
        <v>2264.8096680000017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43410.114978240003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0.36384317999999999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2.2747239999999998E-2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7.6890799999999995E-2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3.790193E-2</v>
      </c>
      <c r="Q29" s="1">
        <f t="shared" ca="1" si="3"/>
        <v>43410.616361390006</v>
      </c>
      <c r="T29">
        <f t="shared" si="4"/>
        <v>24</v>
      </c>
      <c r="U29" s="1">
        <f t="shared" ca="1" si="5"/>
        <v>2326.4441923099948</v>
      </c>
      <c r="V29" s="1">
        <f t="shared" ca="1" si="6"/>
        <v>0</v>
      </c>
      <c r="W29" s="1">
        <f t="shared" ca="1" si="7"/>
        <v>-1.0199999999998405E-5</v>
      </c>
      <c r="X29" s="1">
        <f t="shared" ca="1" si="8"/>
        <v>-1.1008999999999325E-4</v>
      </c>
      <c r="Y29" s="1">
        <f t="shared" ca="1" si="9"/>
        <v>0</v>
      </c>
      <c r="Z29" s="1">
        <f t="shared" ca="1" si="10"/>
        <v>-2.2799400000000011E-3</v>
      </c>
      <c r="AA29" s="1">
        <f t="shared" ca="1" si="11"/>
        <v>2326.4417920799897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45736.559170549997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0.36384317999999999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2.273704E-2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7.6780710000000002E-2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3.5621989999999999E-2</v>
      </c>
      <c r="Q30" s="1">
        <f t="shared" ca="1" si="3"/>
        <v>45737.058153469996</v>
      </c>
      <c r="T30">
        <f t="shared" si="4"/>
        <v>25</v>
      </c>
      <c r="U30" s="1">
        <f t="shared" ca="1" si="5"/>
        <v>2388.8148653200042</v>
      </c>
      <c r="V30" s="1">
        <f t="shared" ca="1" si="6"/>
        <v>0</v>
      </c>
      <c r="W30" s="1">
        <f t="shared" ca="1" si="7"/>
        <v>-2.9000000000001247E-6</v>
      </c>
      <c r="X30" s="1">
        <f t="shared" ca="1" si="8"/>
        <v>-1.0430000000000161E-4</v>
      </c>
      <c r="Y30" s="1">
        <f t="shared" ca="1" si="9"/>
        <v>0</v>
      </c>
      <c r="Z30" s="1">
        <f t="shared" ca="1" si="10"/>
        <v>-2.1807400000000005E-3</v>
      </c>
      <c r="AA30" s="1">
        <f t="shared" ca="1" si="11"/>
        <v>2388.8125773800057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48125.374035870002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0.36384317999999999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2.273414E-2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7.667641E-2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3.3441249999999999E-2</v>
      </c>
      <c r="Q31" s="1">
        <f t="shared" ca="1" si="3"/>
        <v>48125.870730850002</v>
      </c>
      <c r="T31">
        <f t="shared" si="4"/>
        <v>26</v>
      </c>
      <c r="U31" s="1">
        <f t="shared" ca="1" si="5"/>
        <v>2454.145070859995</v>
      </c>
      <c r="V31" s="1">
        <f t="shared" ca="1" si="6"/>
        <v>0</v>
      </c>
      <c r="W31" s="1">
        <f t="shared" ca="1" si="7"/>
        <v>-1.0280000000001399E-5</v>
      </c>
      <c r="X31" s="1">
        <f t="shared" ca="1" si="8"/>
        <v>-1.0867000000000515E-4</v>
      </c>
      <c r="Y31" s="1">
        <f t="shared" ca="1" si="9"/>
        <v>0</v>
      </c>
      <c r="Z31" s="1">
        <f t="shared" ca="1" si="10"/>
        <v>4.1880729999999998E-2</v>
      </c>
      <c r="AA31" s="1">
        <f t="shared" ca="1" si="11"/>
        <v>2454.1868326399926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50579.519106729997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0.36384317999999999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2.2723859999999999E-2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7.6567739999999995E-2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7.5321979999999997E-2</v>
      </c>
      <c r="Q32" s="1">
        <f t="shared" ca="1" si="3"/>
        <v>50580.057563489994</v>
      </c>
    </row>
  </sheetData>
  <mergeCells count="2">
    <mergeCell ref="M3:O3"/>
    <mergeCell ref="C1:I1"/>
  </mergeCells>
  <conditionalFormatting sqref="K6:Q32">
    <cfRule type="expression" dxfId="2" priority="3">
      <formula>$Q6 &gt; 10000</formula>
    </cfRule>
  </conditionalFormatting>
  <conditionalFormatting sqref="U6:AA31">
    <cfRule type="expression" dxfId="1" priority="1">
      <formula>$Q6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96855-E915-42E8-AF19-E4FB8393FDA1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FFA56-630E-4097-A4D4-7E175F099C9A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45906</v>
      </c>
    </row>
    <row r="3" spans="1:4" x14ac:dyDescent="0.85">
      <c r="A3" t="s">
        <v>61</v>
      </c>
      <c r="B3" s="8">
        <v>45906.686497337963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65</v>
      </c>
    </row>
    <row r="6" spans="1:4" x14ac:dyDescent="0.85">
      <c r="A6" t="s">
        <v>66</v>
      </c>
      <c r="B6" t="s">
        <v>24</v>
      </c>
    </row>
    <row r="7" spans="1:4" x14ac:dyDescent="0.85">
      <c r="A7" t="s">
        <v>67</v>
      </c>
      <c r="C7">
        <v>26</v>
      </c>
      <c r="D7">
        <v>0</v>
      </c>
    </row>
    <row r="8" spans="1:4" x14ac:dyDescent="0.85">
      <c r="A8" t="s">
        <v>68</v>
      </c>
      <c r="C8">
        <v>39</v>
      </c>
      <c r="D8">
        <v>39</v>
      </c>
    </row>
    <row r="9" spans="1:4" x14ac:dyDescent="0.85">
      <c r="A9" t="s">
        <v>69</v>
      </c>
      <c r="C9">
        <v>0.12</v>
      </c>
      <c r="D9">
        <v>1</v>
      </c>
    </row>
    <row r="10" spans="1:4" x14ac:dyDescent="0.85">
      <c r="A10" t="s">
        <v>70</v>
      </c>
      <c r="C10">
        <v>1.02</v>
      </c>
      <c r="D10">
        <v>1</v>
      </c>
    </row>
    <row r="11" spans="1:4" x14ac:dyDescent="0.85">
      <c r="A11" t="s">
        <v>71</v>
      </c>
      <c r="C11">
        <v>1</v>
      </c>
      <c r="D11">
        <v>1</v>
      </c>
    </row>
    <row r="12" spans="1:4" x14ac:dyDescent="0.85">
      <c r="A12" t="s">
        <v>72</v>
      </c>
      <c r="C12">
        <v>1</v>
      </c>
      <c r="D12">
        <v>1</v>
      </c>
    </row>
    <row r="13" spans="1:4" x14ac:dyDescent="0.85">
      <c r="A13" t="s">
        <v>73</v>
      </c>
      <c r="C13">
        <v>1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288-36EB-4DEE-825C-8671537497DB}">
  <dimension ref="A1:ZZ99"/>
  <sheetViews>
    <sheetView workbookViewId="0">
      <selection sqref="A1:XFD1048576"/>
    </sheetView>
  </sheetViews>
  <sheetFormatPr defaultRowHeight="14.6" x14ac:dyDescent="0.85"/>
  <cols>
    <col min="1" max="1" width="21.3046875" bestFit="1" customWidth="1"/>
    <col min="2" max="2" width="10.65234375" bestFit="1" customWidth="1"/>
    <col min="3" max="28" width="9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101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68</v>
      </c>
      <c r="B3" s="9">
        <v>0</v>
      </c>
      <c r="C3" s="9">
        <v>39</v>
      </c>
      <c r="D3" s="9">
        <v>78</v>
      </c>
      <c r="E3" s="9">
        <v>117</v>
      </c>
      <c r="F3" s="9">
        <v>156</v>
      </c>
      <c r="G3" s="9">
        <v>195</v>
      </c>
      <c r="H3" s="9">
        <v>234</v>
      </c>
      <c r="I3" s="9">
        <v>273</v>
      </c>
      <c r="J3" s="9">
        <v>312</v>
      </c>
      <c r="K3" s="9">
        <v>351</v>
      </c>
      <c r="L3" s="9">
        <v>390</v>
      </c>
      <c r="M3" s="9">
        <v>429</v>
      </c>
      <c r="N3" s="9">
        <v>468</v>
      </c>
      <c r="O3" s="9">
        <v>507</v>
      </c>
      <c r="P3" s="9">
        <v>546</v>
      </c>
      <c r="Q3" s="9">
        <v>585</v>
      </c>
      <c r="R3" s="9">
        <v>624</v>
      </c>
      <c r="S3" s="9">
        <v>663</v>
      </c>
      <c r="T3" s="9">
        <v>702</v>
      </c>
      <c r="U3" s="9">
        <v>741</v>
      </c>
      <c r="V3" s="9">
        <v>780</v>
      </c>
      <c r="W3" s="9">
        <v>819</v>
      </c>
      <c r="X3" s="9">
        <v>858</v>
      </c>
      <c r="Y3" s="9">
        <v>897</v>
      </c>
      <c r="Z3" s="9">
        <v>936</v>
      </c>
      <c r="AA3" s="9">
        <v>975</v>
      </c>
      <c r="AB3" s="9">
        <v>1014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102</v>
      </c>
      <c r="B4" s="9">
        <v>192373.03407833999</v>
      </c>
      <c r="C4" s="9">
        <v>196220.4947599</v>
      </c>
      <c r="D4" s="9">
        <v>200144.90465509999</v>
      </c>
      <c r="E4" s="9">
        <v>204147.80274819999</v>
      </c>
      <c r="F4" s="9">
        <v>208230.75880317</v>
      </c>
      <c r="G4" s="9">
        <v>212395.37397923</v>
      </c>
      <c r="H4" s="9">
        <v>216643.28145881</v>
      </c>
      <c r="I4" s="9">
        <v>220976.14708798999</v>
      </c>
      <c r="J4" s="9">
        <v>225395.67002975001</v>
      </c>
      <c r="K4" s="9">
        <v>229903.58343033999</v>
      </c>
      <c r="L4" s="9">
        <v>234501.65509895</v>
      </c>
      <c r="M4" s="9">
        <v>239191.68820092999</v>
      </c>
      <c r="N4" s="9">
        <v>243975.52196494999</v>
      </c>
      <c r="O4" s="9">
        <v>248855.03240425</v>
      </c>
      <c r="P4" s="9">
        <v>253832.13305233</v>
      </c>
      <c r="Q4" s="9">
        <v>258908.77571337999</v>
      </c>
      <c r="R4" s="9">
        <v>264086.95122764999</v>
      </c>
      <c r="S4" s="9">
        <v>269368.6902522</v>
      </c>
      <c r="T4" s="9">
        <v>274756.06405723997</v>
      </c>
      <c r="U4" s="9">
        <v>280251.18533839</v>
      </c>
      <c r="V4" s="9">
        <v>285856.20904515998</v>
      </c>
      <c r="W4" s="9">
        <v>291573.33322605997</v>
      </c>
      <c r="X4" s="9">
        <v>297404.79989058001</v>
      </c>
      <c r="Y4" s="9">
        <v>303352.89588839002</v>
      </c>
      <c r="Z4" s="9">
        <v>309419.95380616002</v>
      </c>
      <c r="AA4" s="9">
        <v>315608.35288228001</v>
      </c>
      <c r="AB4" s="9">
        <v>321920.51993993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103</v>
      </c>
      <c r="B5" s="9">
        <v>0</v>
      </c>
      <c r="C5" s="9">
        <v>0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  <c r="V5" s="9">
        <v>0</v>
      </c>
      <c r="W5" s="9">
        <v>0</v>
      </c>
      <c r="X5" s="9">
        <v>0</v>
      </c>
      <c r="Y5" s="9">
        <v>0</v>
      </c>
      <c r="Z5" s="9">
        <v>0</v>
      </c>
      <c r="AA5" s="9">
        <v>0</v>
      </c>
      <c r="AB5" s="9">
        <v>0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104</v>
      </c>
      <c r="B6" s="9">
        <v>66690492.976840802</v>
      </c>
      <c r="C6" s="9">
        <v>66690492.976840802</v>
      </c>
      <c r="D6" s="9">
        <v>66690492.976840802</v>
      </c>
      <c r="E6" s="9">
        <v>66690492.976840802</v>
      </c>
      <c r="F6" s="9">
        <v>66690492.976840802</v>
      </c>
      <c r="G6" s="9">
        <v>66690492.976840802</v>
      </c>
      <c r="H6" s="9">
        <v>66690492.976840802</v>
      </c>
      <c r="I6" s="9">
        <v>66690492.976840802</v>
      </c>
      <c r="J6" s="9">
        <v>66690492.976840802</v>
      </c>
      <c r="K6" s="9">
        <v>66690492.976840802</v>
      </c>
      <c r="L6" s="9">
        <v>66690492.976840802</v>
      </c>
      <c r="M6" s="9">
        <v>66690492.976840802</v>
      </c>
      <c r="N6" s="9">
        <v>66690492.976840802</v>
      </c>
      <c r="O6" s="9">
        <v>66690492.976840802</v>
      </c>
      <c r="P6" s="9">
        <v>66690492.976840802</v>
      </c>
      <c r="Q6" s="9">
        <v>66690492.976840802</v>
      </c>
      <c r="R6" s="9">
        <v>66690492.976840802</v>
      </c>
      <c r="S6" s="9">
        <v>66690492.976840802</v>
      </c>
      <c r="T6" s="9">
        <v>66690492.976840802</v>
      </c>
      <c r="U6" s="9">
        <v>66690492.976840802</v>
      </c>
      <c r="V6" s="9">
        <v>66690492.976840802</v>
      </c>
      <c r="W6" s="9">
        <v>66690492.976840802</v>
      </c>
      <c r="X6" s="9">
        <v>66690492.976840802</v>
      </c>
      <c r="Y6" s="9">
        <v>66690492.976840802</v>
      </c>
      <c r="Z6" s="9">
        <v>66690492.976840802</v>
      </c>
      <c r="AA6" s="9">
        <v>66690492.976840802</v>
      </c>
      <c r="AB6" s="9">
        <v>66690492.976840802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105</v>
      </c>
      <c r="B7" s="9">
        <v>0</v>
      </c>
      <c r="C7" s="9">
        <v>69</v>
      </c>
      <c r="D7" s="9">
        <v>98</v>
      </c>
      <c r="E7" s="9">
        <v>94</v>
      </c>
      <c r="F7" s="9">
        <v>697</v>
      </c>
      <c r="G7" s="9">
        <v>822</v>
      </c>
      <c r="H7" s="9">
        <v>694</v>
      </c>
      <c r="I7" s="9">
        <v>597</v>
      </c>
      <c r="J7" s="9">
        <v>686</v>
      </c>
      <c r="K7" s="9">
        <v>527</v>
      </c>
      <c r="L7" s="9">
        <v>479</v>
      </c>
      <c r="M7" s="9">
        <v>429</v>
      </c>
      <c r="N7" s="9">
        <v>422</v>
      </c>
      <c r="O7" s="9">
        <v>635</v>
      </c>
      <c r="P7" s="9">
        <v>464</v>
      </c>
      <c r="Q7" s="9">
        <v>521</v>
      </c>
      <c r="R7" s="9">
        <v>515</v>
      </c>
      <c r="S7" s="9">
        <v>556</v>
      </c>
      <c r="T7" s="9">
        <v>484</v>
      </c>
      <c r="U7" s="9">
        <v>737</v>
      </c>
      <c r="V7" s="9">
        <v>791</v>
      </c>
      <c r="W7" s="9">
        <v>419</v>
      </c>
      <c r="X7" s="9">
        <v>580</v>
      </c>
      <c r="Y7" s="9">
        <v>696</v>
      </c>
      <c r="Z7" s="9">
        <v>605</v>
      </c>
      <c r="AA7" s="9">
        <v>691</v>
      </c>
      <c r="AB7" s="9">
        <v>489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0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19202</v>
      </c>
      <c r="C9" s="9">
        <v>20648.364775120001</v>
      </c>
      <c r="D9" s="9">
        <v>22266.720909209998</v>
      </c>
      <c r="E9" s="9">
        <v>24077.554140640001</v>
      </c>
      <c r="F9" s="9">
        <v>26103.788741410001</v>
      </c>
      <c r="G9" s="9">
        <v>28370.728284289999</v>
      </c>
      <c r="H9" s="9">
        <v>30824.615578569999</v>
      </c>
      <c r="I9" s="9">
        <v>33427.158356899999</v>
      </c>
      <c r="J9" s="9">
        <v>34271.595907249997</v>
      </c>
      <c r="K9" s="9">
        <v>32997.15669607</v>
      </c>
      <c r="L9" s="9">
        <v>31755.935201200002</v>
      </c>
      <c r="M9" s="9">
        <v>30534.87366076</v>
      </c>
      <c r="N9" s="9">
        <v>29357.805508019999</v>
      </c>
      <c r="O9" s="9">
        <v>29583.47718346</v>
      </c>
      <c r="P9" s="9">
        <v>30276.696216019998</v>
      </c>
      <c r="Q9" s="9">
        <v>30866.09556423</v>
      </c>
      <c r="R9" s="9">
        <v>31488.10301336</v>
      </c>
      <c r="S9" s="9">
        <v>32083.493128450002</v>
      </c>
      <c r="T9" s="9">
        <v>32200.030425640001</v>
      </c>
      <c r="U9" s="9">
        <v>32821.768502300001</v>
      </c>
      <c r="V9" s="9">
        <v>33504.781252399996</v>
      </c>
      <c r="W9" s="9">
        <v>34252.89535839</v>
      </c>
      <c r="X9" s="9">
        <v>34875.873962810001</v>
      </c>
      <c r="Y9" s="9">
        <v>35616.335306740002</v>
      </c>
      <c r="Z9" s="9">
        <v>36243.885313769999</v>
      </c>
      <c r="AA9" s="9">
        <v>37069.858300059997</v>
      </c>
      <c r="AB9" s="9">
        <v>37708.583497330001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49427.080559599999</v>
      </c>
      <c r="C10" s="9">
        <v>53150.108440069998</v>
      </c>
      <c r="D10" s="9">
        <v>57263.254463049998</v>
      </c>
      <c r="E10" s="9">
        <v>60836.052794750001</v>
      </c>
      <c r="F10" s="9">
        <v>62788.671697869999</v>
      </c>
      <c r="G10" s="9">
        <v>62683.370942529997</v>
      </c>
      <c r="H10" s="9">
        <v>60482.431619050003</v>
      </c>
      <c r="I10" s="9">
        <v>56595.010495889997</v>
      </c>
      <c r="J10" s="9">
        <v>50967.510384239999</v>
      </c>
      <c r="K10" s="9">
        <v>44546.15709031</v>
      </c>
      <c r="L10" s="9">
        <v>38389.184821019997</v>
      </c>
      <c r="M10" s="9">
        <v>32696.834541870001</v>
      </c>
      <c r="N10" s="9">
        <v>27580.686029560002</v>
      </c>
      <c r="O10" s="9">
        <v>26046.03307718</v>
      </c>
      <c r="P10" s="9">
        <v>25364.236275859999</v>
      </c>
      <c r="Q10" s="9">
        <v>24708.948587850002</v>
      </c>
      <c r="R10" s="9">
        <v>24032.547970439999</v>
      </c>
      <c r="S10" s="9">
        <v>23391.292919539999</v>
      </c>
      <c r="T10" s="9">
        <v>22577.75981938</v>
      </c>
      <c r="U10" s="9">
        <v>22150.397727420001</v>
      </c>
      <c r="V10" s="9">
        <v>21731.828824299999</v>
      </c>
      <c r="W10" s="9">
        <v>21378.252430209999</v>
      </c>
      <c r="X10" s="9">
        <v>21022.593691300001</v>
      </c>
      <c r="Y10" s="9">
        <v>20724.962321840001</v>
      </c>
      <c r="Z10" s="9">
        <v>20337.305523809999</v>
      </c>
      <c r="AA10" s="9">
        <v>20073.573832509999</v>
      </c>
      <c r="AB10" s="9">
        <v>19811.603018059999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108</v>
      </c>
      <c r="B11" s="9">
        <v>17.4420438</v>
      </c>
      <c r="C11" s="9">
        <v>18.755842120000001</v>
      </c>
      <c r="D11" s="9">
        <v>20.207307029999999</v>
      </c>
      <c r="E11" s="9">
        <v>21.468091690000001</v>
      </c>
      <c r="F11" s="9">
        <v>22.15714037</v>
      </c>
      <c r="G11" s="9">
        <v>22.119981379999999</v>
      </c>
      <c r="H11" s="9">
        <v>21.343304310000001</v>
      </c>
      <c r="I11" s="9">
        <v>19.971494180000001</v>
      </c>
      <c r="J11" s="9">
        <v>17.985637400000002</v>
      </c>
      <c r="K11" s="9">
        <v>15.71964223</v>
      </c>
      <c r="L11" s="9">
        <v>13.546943000000001</v>
      </c>
      <c r="M11" s="9">
        <v>11.538201600000001</v>
      </c>
      <c r="N11" s="9">
        <v>9.7327928000000004</v>
      </c>
      <c r="O11" s="9">
        <v>9.1912377700000008</v>
      </c>
      <c r="P11" s="9">
        <v>8.9506423399999999</v>
      </c>
      <c r="Q11" s="9">
        <v>8.7194015599999997</v>
      </c>
      <c r="R11" s="9">
        <v>8.4807103599999998</v>
      </c>
      <c r="S11" s="9">
        <v>8.2544214799999995</v>
      </c>
      <c r="T11" s="9">
        <v>7.9673383700000002</v>
      </c>
      <c r="U11" s="9">
        <v>7.8165289700000002</v>
      </c>
      <c r="V11" s="9">
        <v>7.6688225499999998</v>
      </c>
      <c r="W11" s="9">
        <v>7.5440509699999998</v>
      </c>
      <c r="X11" s="9">
        <v>7.4185445699999999</v>
      </c>
      <c r="Y11" s="9">
        <v>7.31351511</v>
      </c>
      <c r="Z11" s="9">
        <v>7.1767170900000004</v>
      </c>
      <c r="AA11" s="9">
        <v>7.0836503000000004</v>
      </c>
      <c r="AB11" s="9">
        <v>6.9912048999999996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109</v>
      </c>
      <c r="B12" s="9">
        <v>3650.93710573</v>
      </c>
      <c r="C12" s="9">
        <v>3925.9390235400001</v>
      </c>
      <c r="D12" s="9">
        <v>4233.6422034300003</v>
      </c>
      <c r="E12" s="9">
        <v>4577.94166374</v>
      </c>
      <c r="F12" s="9">
        <v>4963.1960689500002</v>
      </c>
      <c r="G12" s="9">
        <v>5394.21646753</v>
      </c>
      <c r="H12" s="9">
        <v>5860.7818344699999</v>
      </c>
      <c r="I12" s="9">
        <v>6355.61153964</v>
      </c>
      <c r="J12" s="9">
        <v>6516.1671268700002</v>
      </c>
      <c r="K12" s="9">
        <v>6273.8539613100002</v>
      </c>
      <c r="L12" s="9">
        <v>6037.8565854099998</v>
      </c>
      <c r="M12" s="9">
        <v>5805.6922855299999</v>
      </c>
      <c r="N12" s="9">
        <v>5581.8925878500004</v>
      </c>
      <c r="O12" s="9">
        <v>5624.8002585900003</v>
      </c>
      <c r="P12" s="9">
        <v>5756.6041898699996</v>
      </c>
      <c r="Q12" s="9">
        <v>5868.6685555800004</v>
      </c>
      <c r="R12" s="9">
        <v>5986.9328028500004</v>
      </c>
      <c r="S12" s="9">
        <v>6100.1362120599997</v>
      </c>
      <c r="T12" s="9">
        <v>6122.2938176500002</v>
      </c>
      <c r="U12" s="9">
        <v>6240.5068482799998</v>
      </c>
      <c r="V12" s="9">
        <v>6370.3702267299996</v>
      </c>
      <c r="W12" s="9">
        <v>6512.6115322599999</v>
      </c>
      <c r="X12" s="9">
        <v>6631.0604283599996</v>
      </c>
      <c r="Y12" s="9">
        <v>6771.8466900000003</v>
      </c>
      <c r="Z12" s="9">
        <v>6891.1647613599998</v>
      </c>
      <c r="AA12" s="9">
        <v>7048.2096225200003</v>
      </c>
      <c r="AB12" s="9">
        <v>7169.6524682199997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110</v>
      </c>
      <c r="B13" s="9">
        <v>0</v>
      </c>
      <c r="C13" s="9">
        <v>0</v>
      </c>
      <c r="D13" s="9">
        <v>0</v>
      </c>
      <c r="E13" s="9">
        <v>0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9">
        <v>0</v>
      </c>
      <c r="P13" s="9">
        <v>0</v>
      </c>
      <c r="Q13" s="9">
        <v>0</v>
      </c>
      <c r="R13" s="9">
        <v>0</v>
      </c>
      <c r="S13" s="9">
        <v>0</v>
      </c>
      <c r="T13" s="9">
        <v>0</v>
      </c>
      <c r="U13" s="9">
        <v>0</v>
      </c>
      <c r="V13" s="9">
        <v>0</v>
      </c>
      <c r="W13" s="9">
        <v>0</v>
      </c>
      <c r="X13" s="9">
        <v>0</v>
      </c>
      <c r="Y13" s="9">
        <v>0</v>
      </c>
      <c r="Z13" s="9">
        <v>0</v>
      </c>
      <c r="AA13" s="9">
        <v>0</v>
      </c>
      <c r="AB13" s="9">
        <v>0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111</v>
      </c>
      <c r="B14" s="9">
        <v>0</v>
      </c>
      <c r="C14" s="9">
        <v>0</v>
      </c>
      <c r="D14" s="9">
        <v>0</v>
      </c>
      <c r="E14" s="9">
        <v>0</v>
      </c>
      <c r="F14" s="9">
        <v>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9">
        <v>0</v>
      </c>
      <c r="P14" s="9">
        <v>0</v>
      </c>
      <c r="Q14" s="9">
        <v>0</v>
      </c>
      <c r="R14" s="9">
        <v>0</v>
      </c>
      <c r="S14" s="9">
        <v>0</v>
      </c>
      <c r="T14" s="9">
        <v>0</v>
      </c>
      <c r="U14" s="9">
        <v>0</v>
      </c>
      <c r="V14" s="9">
        <v>0</v>
      </c>
      <c r="W14" s="9">
        <v>0</v>
      </c>
      <c r="X14" s="9">
        <v>0</v>
      </c>
      <c r="Y14" s="9">
        <v>0</v>
      </c>
      <c r="Z14" s="9">
        <v>0</v>
      </c>
      <c r="AA14" s="9">
        <v>0</v>
      </c>
      <c r="AB14" s="9">
        <v>0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112</v>
      </c>
      <c r="B15" s="9">
        <v>7.0549999999999994E-5</v>
      </c>
      <c r="C15" s="9">
        <v>7.0549999999999994E-5</v>
      </c>
      <c r="D15" s="9">
        <v>7.0549999999999994E-5</v>
      </c>
      <c r="E15" s="9">
        <v>7.0549999999999994E-5</v>
      </c>
      <c r="F15" s="9">
        <v>7.0549999999999994E-5</v>
      </c>
      <c r="G15" s="9">
        <v>7.0549999999999994E-5</v>
      </c>
      <c r="H15" s="9">
        <v>7.0549999999999994E-5</v>
      </c>
      <c r="I15" s="9">
        <v>7.0549999999999994E-5</v>
      </c>
      <c r="J15" s="9">
        <v>7.0549999999999994E-5</v>
      </c>
      <c r="K15" s="9">
        <v>7.0549999999999994E-5</v>
      </c>
      <c r="L15" s="9">
        <v>7.0549999999999994E-5</v>
      </c>
      <c r="M15" s="9">
        <v>7.0549999999999994E-5</v>
      </c>
      <c r="N15" s="9">
        <v>7.0549999999999994E-5</v>
      </c>
      <c r="O15" s="9">
        <v>7.0549999999999994E-5</v>
      </c>
      <c r="P15" s="9">
        <v>7.0549999999999994E-5</v>
      </c>
      <c r="Q15" s="9">
        <v>7.0549999999999994E-5</v>
      </c>
      <c r="R15" s="9">
        <v>7.0549999999999994E-5</v>
      </c>
      <c r="S15" s="9">
        <v>7.0549999999999994E-5</v>
      </c>
      <c r="T15" s="9">
        <v>7.0549999999999994E-5</v>
      </c>
      <c r="U15" s="9">
        <v>7.0549999999999994E-5</v>
      </c>
      <c r="V15" s="9">
        <v>7.0549999999999994E-5</v>
      </c>
      <c r="W15" s="9">
        <v>7.0549999999999994E-5</v>
      </c>
      <c r="X15" s="9">
        <v>7.0549999999999994E-5</v>
      </c>
      <c r="Y15" s="9">
        <v>7.0549999999999994E-5</v>
      </c>
      <c r="Z15" s="9">
        <v>7.0549999999999994E-5</v>
      </c>
      <c r="AA15" s="9">
        <v>7.0549999999999994E-5</v>
      </c>
      <c r="AB15" s="9">
        <v>7.0549999999999994E-5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113</v>
      </c>
      <c r="B16" s="9">
        <v>0</v>
      </c>
      <c r="C16" s="9">
        <v>3.739348E-2</v>
      </c>
      <c r="D16" s="9">
        <v>3.6918010000000001E-2</v>
      </c>
      <c r="E16" s="9">
        <v>3.6491860000000001E-2</v>
      </c>
      <c r="F16" s="9">
        <v>3.6110049999999998E-2</v>
      </c>
      <c r="G16" s="9">
        <v>3.5768059999999997E-2</v>
      </c>
      <c r="H16" s="9">
        <v>3.5814440000000003E-2</v>
      </c>
      <c r="I16" s="9">
        <v>3.6078319999999997E-2</v>
      </c>
      <c r="J16" s="9">
        <v>3.6331229999999999E-2</v>
      </c>
      <c r="K16" s="9">
        <v>3.6112890000000002E-2</v>
      </c>
      <c r="L16" s="9">
        <v>3.5391230000000003E-2</v>
      </c>
      <c r="M16" s="9">
        <v>3.4707229999999999E-2</v>
      </c>
      <c r="N16" s="9">
        <v>3.405673E-2</v>
      </c>
      <c r="O16" s="9">
        <v>3.3444359999999999E-2</v>
      </c>
      <c r="P16" s="9">
        <v>3.3269010000000002E-2</v>
      </c>
      <c r="Q16" s="9">
        <v>3.3223990000000002E-2</v>
      </c>
      <c r="R16" s="9">
        <v>3.3154589999999998E-2</v>
      </c>
      <c r="S16" s="9">
        <v>3.3089680000000003E-2</v>
      </c>
      <c r="T16" s="9">
        <v>3.3018409999999998E-2</v>
      </c>
      <c r="U16" s="9">
        <v>3.2841019999999999E-2</v>
      </c>
      <c r="V16" s="9">
        <v>3.2772040000000002E-2</v>
      </c>
      <c r="W16" s="9">
        <v>3.271321E-2</v>
      </c>
      <c r="X16" s="9">
        <v>3.2666170000000001E-2</v>
      </c>
      <c r="Y16" s="9">
        <v>3.2594739999999997E-2</v>
      </c>
      <c r="Z16" s="9">
        <v>3.2544179999999999E-2</v>
      </c>
      <c r="AA16" s="9">
        <v>3.2470119999999998E-2</v>
      </c>
      <c r="AB16" s="9">
        <v>3.2431179999999997E-2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114</v>
      </c>
      <c r="B17" s="9">
        <v>0</v>
      </c>
      <c r="C17" s="9">
        <v>3.739348E-2</v>
      </c>
      <c r="D17" s="9">
        <v>3.6918010000000001E-2</v>
      </c>
      <c r="E17" s="9">
        <v>3.6491860000000001E-2</v>
      </c>
      <c r="F17" s="9">
        <v>3.6110049999999998E-2</v>
      </c>
      <c r="G17" s="9">
        <v>3.5764289999999997E-2</v>
      </c>
      <c r="H17" s="9">
        <v>3.5814440000000003E-2</v>
      </c>
      <c r="I17" s="9">
        <v>3.6077959999999999E-2</v>
      </c>
      <c r="J17" s="9">
        <v>1.934845E-2</v>
      </c>
      <c r="K17" s="9">
        <v>8.1815999999999996E-4</v>
      </c>
      <c r="L17" s="9">
        <v>6.4864999999999996E-4</v>
      </c>
      <c r="M17" s="9">
        <v>3.9388999999999998E-4</v>
      </c>
      <c r="N17" s="9">
        <v>3.4478999999999998E-4</v>
      </c>
      <c r="O17" s="9">
        <v>1.0570339999999999E-2</v>
      </c>
      <c r="P17" s="9">
        <v>1.3773809999999999E-2</v>
      </c>
      <c r="Q17" s="9">
        <v>1.2844680000000001E-2</v>
      </c>
      <c r="R17" s="9">
        <v>1.2885779999999999E-2</v>
      </c>
      <c r="S17" s="9">
        <v>1.2521620000000001E-2</v>
      </c>
      <c r="T17" s="9">
        <v>9.1948700000000008E-3</v>
      </c>
      <c r="U17" s="9">
        <v>1.222728E-2</v>
      </c>
      <c r="V17" s="9">
        <v>1.242935E-2</v>
      </c>
      <c r="W17" s="9">
        <v>1.2646009999999999E-2</v>
      </c>
      <c r="X17" s="9">
        <v>1.173602E-2</v>
      </c>
      <c r="Y17" s="9">
        <v>1.223777E-2</v>
      </c>
      <c r="Z17" s="9">
        <v>1.14415E-2</v>
      </c>
      <c r="AA17" s="9">
        <v>1.2348649999999999E-2</v>
      </c>
      <c r="AB17" s="9">
        <v>1.119856E-2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115</v>
      </c>
      <c r="B18" s="9">
        <v>1</v>
      </c>
      <c r="C18" s="9">
        <v>3.739348E-2</v>
      </c>
      <c r="D18" s="9">
        <v>3.6918010000000001E-2</v>
      </c>
      <c r="E18" s="9">
        <v>3.6491860000000001E-2</v>
      </c>
      <c r="F18" s="9">
        <v>3.6110049999999998E-2</v>
      </c>
      <c r="G18" s="9">
        <v>3.5768059999999997E-2</v>
      </c>
      <c r="H18" s="9">
        <v>3.5814440000000003E-2</v>
      </c>
      <c r="I18" s="9">
        <v>3.6078319999999997E-2</v>
      </c>
      <c r="J18" s="9">
        <v>3.6331229999999999E-2</v>
      </c>
      <c r="K18" s="9">
        <v>3.6112890000000002E-2</v>
      </c>
      <c r="L18" s="9">
        <v>3.5391230000000003E-2</v>
      </c>
      <c r="M18" s="9">
        <v>3.4707229999999999E-2</v>
      </c>
      <c r="N18" s="9">
        <v>3.405673E-2</v>
      </c>
      <c r="O18" s="9">
        <v>3.3444359999999999E-2</v>
      </c>
      <c r="P18" s="9">
        <v>3.3269010000000002E-2</v>
      </c>
      <c r="Q18" s="9">
        <v>3.3223990000000002E-2</v>
      </c>
      <c r="R18" s="9">
        <v>3.3154589999999998E-2</v>
      </c>
      <c r="S18" s="9">
        <v>3.3089680000000003E-2</v>
      </c>
      <c r="T18" s="9">
        <v>3.3018409999999998E-2</v>
      </c>
      <c r="U18" s="9">
        <v>3.2841019999999999E-2</v>
      </c>
      <c r="V18" s="9">
        <v>3.2772040000000002E-2</v>
      </c>
      <c r="W18" s="9">
        <v>3.271321E-2</v>
      </c>
      <c r="X18" s="9">
        <v>3.2666170000000001E-2</v>
      </c>
      <c r="Y18" s="9">
        <v>3.2594739999999997E-2</v>
      </c>
      <c r="Z18" s="9">
        <v>3.2544179999999999E-2</v>
      </c>
      <c r="AA18" s="9">
        <v>3.2470119999999998E-2</v>
      </c>
      <c r="AB18" s="9">
        <v>3.2431179999999997E-2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116</v>
      </c>
      <c r="B19" s="9">
        <v>0.96</v>
      </c>
      <c r="C19" s="9">
        <v>0.96</v>
      </c>
      <c r="D19" s="9">
        <v>0.96</v>
      </c>
      <c r="E19" s="9">
        <v>0.96</v>
      </c>
      <c r="F19" s="9">
        <v>0.96</v>
      </c>
      <c r="G19" s="9">
        <v>0.96</v>
      </c>
      <c r="H19" s="9">
        <v>0.96</v>
      </c>
      <c r="I19" s="9">
        <v>0.96</v>
      </c>
      <c r="J19" s="9">
        <v>0.96</v>
      </c>
      <c r="K19" s="9">
        <v>0.96</v>
      </c>
      <c r="L19" s="9">
        <v>0.96</v>
      </c>
      <c r="M19" s="9">
        <v>0.96</v>
      </c>
      <c r="N19" s="9">
        <v>0.96</v>
      </c>
      <c r="O19" s="9">
        <v>0.96</v>
      </c>
      <c r="P19" s="9">
        <v>0.96</v>
      </c>
      <c r="Q19" s="9">
        <v>0.96</v>
      </c>
      <c r="R19" s="9">
        <v>0.96</v>
      </c>
      <c r="S19" s="9">
        <v>0.96</v>
      </c>
      <c r="T19" s="9">
        <v>0.96</v>
      </c>
      <c r="U19" s="9">
        <v>0.96</v>
      </c>
      <c r="V19" s="9">
        <v>0.96</v>
      </c>
      <c r="W19" s="9">
        <v>0.96</v>
      </c>
      <c r="X19" s="9">
        <v>0.96</v>
      </c>
      <c r="Y19" s="9">
        <v>0.96</v>
      </c>
      <c r="Z19" s="9">
        <v>0.96</v>
      </c>
      <c r="AA19" s="9">
        <v>0.96</v>
      </c>
      <c r="AB19" s="9">
        <v>0.96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117</v>
      </c>
      <c r="B20" s="9">
        <v>0.29364122999999998</v>
      </c>
      <c r="C20" s="9">
        <v>0.29364122999999998</v>
      </c>
      <c r="D20" s="9">
        <v>0.29364122999999998</v>
      </c>
      <c r="E20" s="9">
        <v>0.29364122999999998</v>
      </c>
      <c r="F20" s="9">
        <v>0.29364122999999998</v>
      </c>
      <c r="G20" s="9">
        <v>0.29364122999999998</v>
      </c>
      <c r="H20" s="9">
        <v>0.29364122999999998</v>
      </c>
      <c r="I20" s="9">
        <v>0.29364122999999998</v>
      </c>
      <c r="J20" s="9">
        <v>0.29364122999999998</v>
      </c>
      <c r="K20" s="9">
        <v>0.29364122999999998</v>
      </c>
      <c r="L20" s="9">
        <v>0.29364122999999998</v>
      </c>
      <c r="M20" s="9">
        <v>0.29364122999999998</v>
      </c>
      <c r="N20" s="9">
        <v>0.29364122999999998</v>
      </c>
      <c r="O20" s="9">
        <v>0.29364122999999998</v>
      </c>
      <c r="P20" s="9">
        <v>0.29364122999999998</v>
      </c>
      <c r="Q20" s="9">
        <v>0.29364122999999998</v>
      </c>
      <c r="R20" s="9">
        <v>0.29364122999999998</v>
      </c>
      <c r="S20" s="9">
        <v>0.29364122999999998</v>
      </c>
      <c r="T20" s="9">
        <v>0.29364122999999998</v>
      </c>
      <c r="U20" s="9">
        <v>0.29364122999999998</v>
      </c>
      <c r="V20" s="9">
        <v>0.29364122999999998</v>
      </c>
      <c r="W20" s="9">
        <v>0.29364122999999998</v>
      </c>
      <c r="X20" s="9">
        <v>0.29364122999999998</v>
      </c>
      <c r="Y20" s="9">
        <v>0.29364122999999998</v>
      </c>
      <c r="Z20" s="9">
        <v>0.29364122999999998</v>
      </c>
      <c r="AA20" s="9">
        <v>0.29364122999999998</v>
      </c>
      <c r="AB20" s="9">
        <v>0.29364122999999998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</v>
      </c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118</v>
      </c>
      <c r="B22" s="9">
        <v>5973</v>
      </c>
      <c r="C22" s="9">
        <v>6751.1615018100001</v>
      </c>
      <c r="D22" s="9">
        <v>7621.1326467899999</v>
      </c>
      <c r="E22" s="9">
        <v>8593.8605144800003</v>
      </c>
      <c r="F22" s="9">
        <v>9681.5936723399991</v>
      </c>
      <c r="G22" s="9">
        <v>10898.035869560001</v>
      </c>
      <c r="H22" s="9">
        <v>12214.11992623</v>
      </c>
      <c r="I22" s="9">
        <v>13609.625094139999</v>
      </c>
      <c r="J22" s="9">
        <v>15088.77815156</v>
      </c>
      <c r="K22" s="9">
        <v>16633.910234769999</v>
      </c>
      <c r="L22" s="9">
        <v>18222.672328659999</v>
      </c>
      <c r="M22" s="9">
        <v>19857.03110235</v>
      </c>
      <c r="N22" s="9">
        <v>21538.861733540001</v>
      </c>
      <c r="O22" s="9">
        <v>23270.37400394</v>
      </c>
      <c r="P22" s="9">
        <v>25050.147866399999</v>
      </c>
      <c r="Q22" s="9">
        <v>26879.843353290002</v>
      </c>
      <c r="R22" s="9">
        <v>28759.15836686</v>
      </c>
      <c r="S22" s="9">
        <v>30689.86503103</v>
      </c>
      <c r="T22" s="9">
        <v>32672.649327489999</v>
      </c>
      <c r="U22" s="9">
        <v>34705.267722320001</v>
      </c>
      <c r="V22" s="9">
        <v>36793.572602159998</v>
      </c>
      <c r="W22" s="9">
        <v>38939.68627885</v>
      </c>
      <c r="X22" s="9">
        <v>41145.305308870004</v>
      </c>
      <c r="Y22" s="9">
        <v>43410.114978240003</v>
      </c>
      <c r="Z22" s="9">
        <v>45736.559170549997</v>
      </c>
      <c r="AA22" s="9">
        <v>48125.374035870002</v>
      </c>
      <c r="AB22" s="9">
        <v>50579.519106729997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119</v>
      </c>
      <c r="B23" s="9">
        <v>19050.580541800002</v>
      </c>
      <c r="C23" s="9">
        <v>21532.48668966</v>
      </c>
      <c r="D23" s="9">
        <v>24307.21597044</v>
      </c>
      <c r="E23" s="9">
        <v>27409.681057469999</v>
      </c>
      <c r="F23" s="9">
        <v>30878.950706079999</v>
      </c>
      <c r="G23" s="9">
        <v>34758.733366170003</v>
      </c>
      <c r="H23" s="9">
        <v>38956.31191461</v>
      </c>
      <c r="I23" s="9">
        <v>43405.783816089999</v>
      </c>
      <c r="J23" s="9">
        <v>48114.621201970003</v>
      </c>
      <c r="K23" s="9">
        <v>53018.952702789997</v>
      </c>
      <c r="L23" s="9">
        <v>58031.758055830003</v>
      </c>
      <c r="M23" s="9">
        <v>63150.871750409999</v>
      </c>
      <c r="N23" s="9">
        <v>68374.838384240007</v>
      </c>
      <c r="O23" s="9">
        <v>73697.311763549995</v>
      </c>
      <c r="P23" s="9">
        <v>79100.168131359998</v>
      </c>
      <c r="Q23" s="9">
        <v>84574.355205250002</v>
      </c>
      <c r="R23" s="9">
        <v>90111.786706080005</v>
      </c>
      <c r="S23" s="9">
        <v>95712.155559930005</v>
      </c>
      <c r="T23" s="9">
        <v>101369.41624958999</v>
      </c>
      <c r="U23" s="9">
        <v>107073.58887356</v>
      </c>
      <c r="V23" s="9">
        <v>112845.66321182001</v>
      </c>
      <c r="W23" s="9">
        <v>118691.13460755</v>
      </c>
      <c r="X23" s="9">
        <v>124610.21417406001</v>
      </c>
      <c r="Y23" s="9">
        <v>130596.10790148001</v>
      </c>
      <c r="Z23" s="9">
        <v>136648.49592118</v>
      </c>
      <c r="AA23" s="9">
        <v>142766.30347454999</v>
      </c>
      <c r="AB23" s="9">
        <v>148951.53933661999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120</v>
      </c>
      <c r="B24" s="9">
        <v>1.27625557</v>
      </c>
      <c r="C24" s="9">
        <v>1.4425259100000001</v>
      </c>
      <c r="D24" s="9">
        <v>1.62841335</v>
      </c>
      <c r="E24" s="9">
        <v>1.8362567999999999</v>
      </c>
      <c r="F24" s="9">
        <v>2.06867358</v>
      </c>
      <c r="G24" s="9">
        <v>2.3285918699999999</v>
      </c>
      <c r="H24" s="9">
        <v>2.6098002500000002</v>
      </c>
      <c r="I24" s="9">
        <v>2.90788373</v>
      </c>
      <c r="J24" s="9">
        <v>3.2233428800000001</v>
      </c>
      <c r="K24" s="9">
        <v>3.5518987599999998</v>
      </c>
      <c r="L24" s="9">
        <v>3.8877216400000001</v>
      </c>
      <c r="M24" s="9">
        <v>4.2306664300000003</v>
      </c>
      <c r="N24" s="9">
        <v>4.5806356299999997</v>
      </c>
      <c r="O24" s="9">
        <v>4.9372040999999998</v>
      </c>
      <c r="P24" s="9">
        <v>5.2991576599999997</v>
      </c>
      <c r="Q24" s="9">
        <v>5.6658898799999999</v>
      </c>
      <c r="R24" s="9">
        <v>6.0368590400000004</v>
      </c>
      <c r="S24" s="9">
        <v>6.41204456</v>
      </c>
      <c r="T24" s="9">
        <v>6.7910414299999999</v>
      </c>
      <c r="U24" s="9">
        <v>7.17318107</v>
      </c>
      <c r="V24" s="9">
        <v>7.5598696500000004</v>
      </c>
      <c r="W24" s="9">
        <v>7.9514753300000001</v>
      </c>
      <c r="X24" s="9">
        <v>8.3480122300000001</v>
      </c>
      <c r="Y24" s="9">
        <v>8.74902522</v>
      </c>
      <c r="Z24" s="9">
        <v>9.1544928599999995</v>
      </c>
      <c r="AA24" s="9">
        <v>9.5643431400000001</v>
      </c>
      <c r="AB24" s="9">
        <v>9.9787106600000008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121</v>
      </c>
      <c r="B25" s="9">
        <v>1125.8360889099999</v>
      </c>
      <c r="C25" s="9">
        <v>1272.50983774</v>
      </c>
      <c r="D25" s="9">
        <v>1436.4885605500001</v>
      </c>
      <c r="E25" s="9">
        <v>1619.8356454499999</v>
      </c>
      <c r="F25" s="9">
        <v>1824.8597948300001</v>
      </c>
      <c r="G25" s="9">
        <v>2054.1439946800001</v>
      </c>
      <c r="H25" s="9">
        <v>2302.2094437000001</v>
      </c>
      <c r="I25" s="9">
        <v>2565.2447827800002</v>
      </c>
      <c r="J25" s="9">
        <v>2844.04670695</v>
      </c>
      <c r="K25" s="9">
        <v>3135.2848555199998</v>
      </c>
      <c r="L25" s="9">
        <v>3434.7467175699999</v>
      </c>
      <c r="M25" s="9">
        <v>3742.80298571</v>
      </c>
      <c r="N25" s="9">
        <v>4059.8071076000001</v>
      </c>
      <c r="O25" s="9">
        <v>4386.1755995499998</v>
      </c>
      <c r="P25" s="9">
        <v>4721.64080036</v>
      </c>
      <c r="Q25" s="9">
        <v>5066.5156054600002</v>
      </c>
      <c r="R25" s="9">
        <v>5420.7430731900004</v>
      </c>
      <c r="S25" s="9">
        <v>5784.6572268199998</v>
      </c>
      <c r="T25" s="9">
        <v>6158.3873653500004</v>
      </c>
      <c r="U25" s="9">
        <v>6541.5106106000003</v>
      </c>
      <c r="V25" s="9">
        <v>6935.1300645399997</v>
      </c>
      <c r="W25" s="9">
        <v>7339.64575651</v>
      </c>
      <c r="X25" s="9">
        <v>7755.3774662699998</v>
      </c>
      <c r="Y25" s="9">
        <v>8182.2658741499999</v>
      </c>
      <c r="Z25" s="9">
        <v>8620.7716217800007</v>
      </c>
      <c r="AA25" s="9">
        <v>9071.0334642500002</v>
      </c>
      <c r="AB25" s="9">
        <v>9533.6092365900004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122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0</v>
      </c>
      <c r="P26" s="9">
        <v>0</v>
      </c>
      <c r="Q26" s="9">
        <v>0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123</v>
      </c>
      <c r="B27" s="9">
        <v>0</v>
      </c>
      <c r="C27" s="9">
        <v>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v>0</v>
      </c>
      <c r="M27" s="9">
        <v>0</v>
      </c>
      <c r="N27" s="9">
        <v>0</v>
      </c>
      <c r="O27" s="9">
        <v>0</v>
      </c>
      <c r="P27" s="9">
        <v>0</v>
      </c>
      <c r="Q27" s="9">
        <v>0</v>
      </c>
      <c r="R27" s="9">
        <v>0</v>
      </c>
      <c r="S27" s="9">
        <v>0</v>
      </c>
      <c r="T27" s="9">
        <v>0</v>
      </c>
      <c r="U27" s="9">
        <v>0</v>
      </c>
      <c r="V27" s="9">
        <v>0</v>
      </c>
      <c r="W27" s="9">
        <v>0</v>
      </c>
      <c r="X27" s="9">
        <v>0</v>
      </c>
      <c r="Y27" s="9">
        <v>0</v>
      </c>
      <c r="Z27" s="9">
        <v>0</v>
      </c>
      <c r="AA27" s="9">
        <v>0</v>
      </c>
      <c r="AB27" s="9">
        <v>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124</v>
      </c>
      <c r="B28" s="9">
        <v>1.3390000000000001E-5</v>
      </c>
      <c r="C28" s="9">
        <v>1.3390000000000001E-5</v>
      </c>
      <c r="D28" s="9">
        <v>1.3390000000000001E-5</v>
      </c>
      <c r="E28" s="9">
        <v>1.3390000000000001E-5</v>
      </c>
      <c r="F28" s="9">
        <v>1.3390000000000001E-5</v>
      </c>
      <c r="G28" s="9">
        <v>1.3390000000000001E-5</v>
      </c>
      <c r="H28" s="9">
        <v>1.3390000000000001E-5</v>
      </c>
      <c r="I28" s="9">
        <v>1.3390000000000001E-5</v>
      </c>
      <c r="J28" s="9">
        <v>1.3390000000000001E-5</v>
      </c>
      <c r="K28" s="9">
        <v>1.3390000000000001E-5</v>
      </c>
      <c r="L28" s="9">
        <v>1.3390000000000001E-5</v>
      </c>
      <c r="M28" s="9">
        <v>1.3390000000000001E-5</v>
      </c>
      <c r="N28" s="9">
        <v>1.3390000000000001E-5</v>
      </c>
      <c r="O28" s="9">
        <v>1.3390000000000001E-5</v>
      </c>
      <c r="P28" s="9">
        <v>1.3390000000000001E-5</v>
      </c>
      <c r="Q28" s="9">
        <v>1.3390000000000001E-5</v>
      </c>
      <c r="R28" s="9">
        <v>1.3390000000000001E-5</v>
      </c>
      <c r="S28" s="9">
        <v>1.3390000000000001E-5</v>
      </c>
      <c r="T28" s="9">
        <v>1.3390000000000001E-5</v>
      </c>
      <c r="U28" s="9">
        <v>1.3390000000000001E-5</v>
      </c>
      <c r="V28" s="9">
        <v>1.3390000000000001E-5</v>
      </c>
      <c r="W28" s="9">
        <v>1.3390000000000001E-5</v>
      </c>
      <c r="X28" s="9">
        <v>1.3390000000000001E-5</v>
      </c>
      <c r="Y28" s="9">
        <v>1.3390000000000001E-5</v>
      </c>
      <c r="Z28" s="9">
        <v>1.3390000000000001E-5</v>
      </c>
      <c r="AA28" s="9">
        <v>1.3390000000000001E-5</v>
      </c>
      <c r="AB28" s="9">
        <v>1.3390000000000001E-5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125</v>
      </c>
      <c r="B29" s="9">
        <v>0</v>
      </c>
      <c r="C29" s="9">
        <v>1.717461E-2</v>
      </c>
      <c r="D29" s="9">
        <v>1.7218569999999999E-2</v>
      </c>
      <c r="E29" s="9">
        <v>1.7257450000000001E-2</v>
      </c>
      <c r="F29" s="9">
        <v>1.7291830000000001E-2</v>
      </c>
      <c r="G29" s="9">
        <v>1.7322239999999999E-2</v>
      </c>
      <c r="H29" s="9">
        <v>1.7484630000000001E-2</v>
      </c>
      <c r="I29" s="9">
        <v>1.772205E-2</v>
      </c>
      <c r="J29" s="9">
        <v>1.7947379999999999E-2</v>
      </c>
      <c r="K29" s="9">
        <v>1.8231629999999999E-2</v>
      </c>
      <c r="L29" s="9">
        <v>1.8586800000000001E-2</v>
      </c>
      <c r="M29" s="9">
        <v>1.8929419999999999E-2</v>
      </c>
      <c r="N29" s="9">
        <v>1.926025E-2</v>
      </c>
      <c r="O29" s="9">
        <v>1.957851E-2</v>
      </c>
      <c r="P29" s="9">
        <v>1.989554E-2</v>
      </c>
      <c r="Q29" s="9">
        <v>2.02016E-2</v>
      </c>
      <c r="R29" s="9">
        <v>2.0505280000000001E-2</v>
      </c>
      <c r="S29" s="9">
        <v>2.0798810000000001E-2</v>
      </c>
      <c r="T29" s="9">
        <v>2.1086859999999999E-2</v>
      </c>
      <c r="U29" s="9">
        <v>2.1381609999999999E-2</v>
      </c>
      <c r="V29" s="9">
        <v>2.1649979999999999E-2</v>
      </c>
      <c r="W29" s="9">
        <v>2.1908420000000001E-2</v>
      </c>
      <c r="X29" s="9">
        <v>2.2159040000000001E-2</v>
      </c>
      <c r="Y29" s="9">
        <v>2.2410380000000001E-2</v>
      </c>
      <c r="Z29" s="9">
        <v>2.2651310000000001E-2</v>
      </c>
      <c r="AA29" s="9">
        <v>2.2889389999999999E-2</v>
      </c>
      <c r="AB29" s="9">
        <v>2.3115650000000001E-2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126</v>
      </c>
      <c r="B30" s="9">
        <v>0</v>
      </c>
      <c r="C30" s="9">
        <v>1.717461E-2</v>
      </c>
      <c r="D30" s="9">
        <v>1.7218569999999999E-2</v>
      </c>
      <c r="E30" s="9">
        <v>1.7257450000000001E-2</v>
      </c>
      <c r="F30" s="9">
        <v>1.7291830000000001E-2</v>
      </c>
      <c r="G30" s="9">
        <v>1.7322199999999999E-2</v>
      </c>
      <c r="H30" s="9">
        <v>1.7484550000000001E-2</v>
      </c>
      <c r="I30" s="9">
        <v>1.772205E-2</v>
      </c>
      <c r="J30" s="9">
        <v>1.7947230000000002E-2</v>
      </c>
      <c r="K30" s="9">
        <v>1.8231589999999999E-2</v>
      </c>
      <c r="L30" s="9">
        <v>1.8586780000000001E-2</v>
      </c>
      <c r="M30" s="9">
        <v>1.8929419999999999E-2</v>
      </c>
      <c r="N30" s="9">
        <v>1.926025E-2</v>
      </c>
      <c r="O30" s="9">
        <v>1.957851E-2</v>
      </c>
      <c r="P30" s="9">
        <v>1.989554E-2</v>
      </c>
      <c r="Q30" s="9">
        <v>2.02016E-2</v>
      </c>
      <c r="R30" s="9">
        <v>2.0505280000000001E-2</v>
      </c>
      <c r="S30" s="9">
        <v>2.0798810000000001E-2</v>
      </c>
      <c r="T30" s="9">
        <v>2.1086859999999999E-2</v>
      </c>
      <c r="U30" s="9">
        <v>2.1381609999999999E-2</v>
      </c>
      <c r="V30" s="9">
        <v>2.1649979999999999E-2</v>
      </c>
      <c r="W30" s="9">
        <v>2.1908420000000001E-2</v>
      </c>
      <c r="X30" s="9">
        <v>2.2159040000000001E-2</v>
      </c>
      <c r="Y30" s="9">
        <v>2.2410380000000001E-2</v>
      </c>
      <c r="Z30" s="9">
        <v>2.2651310000000001E-2</v>
      </c>
      <c r="AA30" s="9">
        <v>2.2889389999999999E-2</v>
      </c>
      <c r="AB30" s="9">
        <v>2.3115650000000001E-2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127</v>
      </c>
      <c r="B31" s="9">
        <v>1</v>
      </c>
      <c r="C31" s="9">
        <v>1.717461E-2</v>
      </c>
      <c r="D31" s="9">
        <v>1.7218569999999999E-2</v>
      </c>
      <c r="E31" s="9">
        <v>1.7257450000000001E-2</v>
      </c>
      <c r="F31" s="9">
        <v>1.7291830000000001E-2</v>
      </c>
      <c r="G31" s="9">
        <v>1.7322239999999999E-2</v>
      </c>
      <c r="H31" s="9">
        <v>1.7484630000000001E-2</v>
      </c>
      <c r="I31" s="9">
        <v>1.772205E-2</v>
      </c>
      <c r="J31" s="9">
        <v>1.7947379999999999E-2</v>
      </c>
      <c r="K31" s="9">
        <v>1.8231629999999999E-2</v>
      </c>
      <c r="L31" s="9">
        <v>1.8586800000000001E-2</v>
      </c>
      <c r="M31" s="9">
        <v>1.8929419999999999E-2</v>
      </c>
      <c r="N31" s="9">
        <v>1.926025E-2</v>
      </c>
      <c r="O31" s="9">
        <v>1.957851E-2</v>
      </c>
      <c r="P31" s="9">
        <v>1.989554E-2</v>
      </c>
      <c r="Q31" s="9">
        <v>2.02016E-2</v>
      </c>
      <c r="R31" s="9">
        <v>2.0505280000000001E-2</v>
      </c>
      <c r="S31" s="9">
        <v>2.0798810000000001E-2</v>
      </c>
      <c r="T31" s="9">
        <v>2.1086859999999999E-2</v>
      </c>
      <c r="U31" s="9">
        <v>2.1381609999999999E-2</v>
      </c>
      <c r="V31" s="9">
        <v>2.1649979999999999E-2</v>
      </c>
      <c r="W31" s="9">
        <v>2.1908420000000001E-2</v>
      </c>
      <c r="X31" s="9">
        <v>2.2159040000000001E-2</v>
      </c>
      <c r="Y31" s="9">
        <v>2.2410380000000001E-2</v>
      </c>
      <c r="Z31" s="9">
        <v>2.2651310000000001E-2</v>
      </c>
      <c r="AA31" s="9">
        <v>2.2889389999999999E-2</v>
      </c>
      <c r="AB31" s="9">
        <v>2.3115650000000001E-2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128</v>
      </c>
      <c r="B32" s="9">
        <v>0.96</v>
      </c>
      <c r="C32" s="9">
        <v>0.96</v>
      </c>
      <c r="D32" s="9">
        <v>0.96</v>
      </c>
      <c r="E32" s="9">
        <v>0.96</v>
      </c>
      <c r="F32" s="9">
        <v>0.96</v>
      </c>
      <c r="G32" s="9">
        <v>0.96</v>
      </c>
      <c r="H32" s="9">
        <v>0.96</v>
      </c>
      <c r="I32" s="9">
        <v>0.96</v>
      </c>
      <c r="J32" s="9">
        <v>0.96</v>
      </c>
      <c r="K32" s="9">
        <v>0.96</v>
      </c>
      <c r="L32" s="9">
        <v>0.96</v>
      </c>
      <c r="M32" s="9">
        <v>0.96</v>
      </c>
      <c r="N32" s="9">
        <v>0.96</v>
      </c>
      <c r="O32" s="9">
        <v>0.96</v>
      </c>
      <c r="P32" s="9">
        <v>0.96</v>
      </c>
      <c r="Q32" s="9">
        <v>0.96</v>
      </c>
      <c r="R32" s="9">
        <v>0.96</v>
      </c>
      <c r="S32" s="9">
        <v>0.96</v>
      </c>
      <c r="T32" s="9">
        <v>0.96</v>
      </c>
      <c r="U32" s="9">
        <v>0.96</v>
      </c>
      <c r="V32" s="9">
        <v>0.96</v>
      </c>
      <c r="W32" s="9">
        <v>0.96</v>
      </c>
      <c r="X32" s="9">
        <v>0.96</v>
      </c>
      <c r="Y32" s="9">
        <v>0.96</v>
      </c>
      <c r="Z32" s="9">
        <v>0.96</v>
      </c>
      <c r="AA32" s="9">
        <v>0.96</v>
      </c>
      <c r="AB32" s="9">
        <v>0.96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129</v>
      </c>
      <c r="B33" s="9">
        <v>0.36384317999999999</v>
      </c>
      <c r="C33" s="9">
        <v>0.36384317999999999</v>
      </c>
      <c r="D33" s="9">
        <v>0.36384317999999999</v>
      </c>
      <c r="E33" s="9">
        <v>0.36384317999999999</v>
      </c>
      <c r="F33" s="9">
        <v>0.36384317999999999</v>
      </c>
      <c r="G33" s="9">
        <v>0.36384317999999999</v>
      </c>
      <c r="H33" s="9">
        <v>0.36384317999999999</v>
      </c>
      <c r="I33" s="9">
        <v>0.36384317999999999</v>
      </c>
      <c r="J33" s="9">
        <v>0.36384317999999999</v>
      </c>
      <c r="K33" s="9">
        <v>0.36384317999999999</v>
      </c>
      <c r="L33" s="9">
        <v>0.36384317999999999</v>
      </c>
      <c r="M33" s="9">
        <v>0.36384317999999999</v>
      </c>
      <c r="N33" s="9">
        <v>0.36384317999999999</v>
      </c>
      <c r="O33" s="9">
        <v>0.36384317999999999</v>
      </c>
      <c r="P33" s="9">
        <v>0.36384317999999999</v>
      </c>
      <c r="Q33" s="9">
        <v>0.36384317999999999</v>
      </c>
      <c r="R33" s="9">
        <v>0.36384317999999999</v>
      </c>
      <c r="S33" s="9">
        <v>0.36384317999999999</v>
      </c>
      <c r="T33" s="9">
        <v>0.36384317999999999</v>
      </c>
      <c r="U33" s="9">
        <v>0.36384317999999999</v>
      </c>
      <c r="V33" s="9">
        <v>0.36384317999999999</v>
      </c>
      <c r="W33" s="9">
        <v>0.36384317999999999</v>
      </c>
      <c r="X33" s="9">
        <v>0.36384317999999999</v>
      </c>
      <c r="Y33" s="9">
        <v>0.36384317999999999</v>
      </c>
      <c r="Z33" s="9">
        <v>0.36384317999999999</v>
      </c>
      <c r="AA33" s="9">
        <v>0.36384317999999999</v>
      </c>
      <c r="AB33" s="9">
        <v>0.36384317999999999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2</v>
      </c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2286</v>
      </c>
      <c r="C35" s="9">
        <v>3445.6396835800001</v>
      </c>
      <c r="D35" s="9">
        <v>4741.6574345600002</v>
      </c>
      <c r="E35" s="9">
        <v>6190.3192082799997</v>
      </c>
      <c r="F35" s="9">
        <v>7809.8249586000002</v>
      </c>
      <c r="G35" s="9">
        <v>9620.5388999799998</v>
      </c>
      <c r="H35" s="9">
        <v>11579.71893243</v>
      </c>
      <c r="I35" s="9">
        <v>13657.61953779</v>
      </c>
      <c r="J35" s="9">
        <v>15860.60623105</v>
      </c>
      <c r="K35" s="9">
        <v>18162.547111759999</v>
      </c>
      <c r="L35" s="9">
        <v>20530.408975869999</v>
      </c>
      <c r="M35" s="9">
        <v>22967.122467720001</v>
      </c>
      <c r="N35" s="9">
        <v>25475.487765189999</v>
      </c>
      <c r="O35" s="9">
        <v>26583.02130728</v>
      </c>
      <c r="P35" s="9">
        <v>27348.474035899999</v>
      </c>
      <c r="Q35" s="9">
        <v>28123.500323939999</v>
      </c>
      <c r="R35" s="9">
        <v>28945.587592790002</v>
      </c>
      <c r="S35" s="9">
        <v>29782.621872240001</v>
      </c>
      <c r="T35" s="9">
        <v>30723.269004180002</v>
      </c>
      <c r="U35" s="9">
        <v>31509.273016160001</v>
      </c>
      <c r="V35" s="9">
        <v>32328.081979959999</v>
      </c>
      <c r="W35" s="9">
        <v>33141.852992209999</v>
      </c>
      <c r="X35" s="9">
        <v>33978.831673519999</v>
      </c>
      <c r="Y35" s="9">
        <v>34814.940506860003</v>
      </c>
      <c r="Z35" s="9">
        <v>35739.489694520002</v>
      </c>
      <c r="AA35" s="9">
        <v>36621.135829539999</v>
      </c>
      <c r="AB35" s="9">
        <v>37519.235030989999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17338.346906399998</v>
      </c>
      <c r="C36" s="9">
        <v>26133.725064040002</v>
      </c>
      <c r="D36" s="9">
        <v>35963.246699509997</v>
      </c>
      <c r="E36" s="9">
        <v>46903.457799670003</v>
      </c>
      <c r="F36" s="9">
        <v>58872.04017077</v>
      </c>
      <c r="G36" s="9">
        <v>71667.34862397</v>
      </c>
      <c r="H36" s="9">
        <v>84561.931507390007</v>
      </c>
      <c r="I36" s="9">
        <v>96985.891665019997</v>
      </c>
      <c r="J36" s="9">
        <v>108575.32734319</v>
      </c>
      <c r="K36" s="9">
        <v>118863.63336617</v>
      </c>
      <c r="L36" s="9">
        <v>127656.83499507001</v>
      </c>
      <c r="M36" s="9">
        <v>135008.19675534</v>
      </c>
      <c r="N36" s="9">
        <v>141134.46163547001</v>
      </c>
      <c r="O36" s="9">
        <v>142689.20233825999</v>
      </c>
      <c r="P36" s="9">
        <v>143218.52095894999</v>
      </c>
      <c r="Q36" s="9">
        <v>143699.04042035999</v>
      </c>
      <c r="R36" s="9">
        <v>144231.49375369001</v>
      </c>
      <c r="S36" s="9">
        <v>144742.06807225</v>
      </c>
      <c r="T36" s="9">
        <v>145426.84285057001</v>
      </c>
      <c r="U36" s="9">
        <v>145764.21469950999</v>
      </c>
      <c r="V36" s="9">
        <v>146134.85288670001</v>
      </c>
      <c r="W36" s="9">
        <v>146467.7721642</v>
      </c>
      <c r="X36" s="9">
        <v>146821.13744498999</v>
      </c>
      <c r="Y36" s="9">
        <v>147162.75714942999</v>
      </c>
      <c r="Z36" s="9">
        <v>147648.56084071999</v>
      </c>
      <c r="AA36" s="9">
        <v>148060.16780296</v>
      </c>
      <c r="AB36" s="9">
        <v>148501.86800657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1.3384109500000001</v>
      </c>
      <c r="C37" s="9">
        <v>2.0173586399999999</v>
      </c>
      <c r="D37" s="9">
        <v>2.7761356699999999</v>
      </c>
      <c r="E37" s="9">
        <v>3.6206509200000001</v>
      </c>
      <c r="F37" s="9">
        <v>4.5445499399999996</v>
      </c>
      <c r="G37" s="9">
        <v>5.532267</v>
      </c>
      <c r="H37" s="9">
        <v>6.5276474200000001</v>
      </c>
      <c r="I37" s="9">
        <v>7.4866987299999996</v>
      </c>
      <c r="J37" s="9">
        <v>8.38133002</v>
      </c>
      <c r="K37" s="9">
        <v>9.1755223099999998</v>
      </c>
      <c r="L37" s="9">
        <v>9.8543019800000007</v>
      </c>
      <c r="M37" s="9">
        <v>10.42178071</v>
      </c>
      <c r="N37" s="9">
        <v>10.894689700000001</v>
      </c>
      <c r="O37" s="9">
        <v>11.01470587</v>
      </c>
      <c r="P37" s="9">
        <v>11.055565919999999</v>
      </c>
      <c r="Q37" s="9">
        <v>11.09265899</v>
      </c>
      <c r="R37" s="9">
        <v>11.133761030000001</v>
      </c>
      <c r="S37" s="9">
        <v>11.173174149999999</v>
      </c>
      <c r="T37" s="9">
        <v>11.226034439999999</v>
      </c>
      <c r="U37" s="9">
        <v>11.25207741</v>
      </c>
      <c r="V37" s="9">
        <v>11.280688339999999</v>
      </c>
      <c r="W37" s="9">
        <v>11.30638761</v>
      </c>
      <c r="X37" s="9">
        <v>11.333665180000001</v>
      </c>
      <c r="Y37" s="9">
        <v>11.360036060000001</v>
      </c>
      <c r="Z37" s="9">
        <v>11.39753704</v>
      </c>
      <c r="AA37" s="9">
        <v>11.4293105</v>
      </c>
      <c r="AB37" s="9">
        <v>11.463406969999999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2158.2207936700001</v>
      </c>
      <c r="C38" s="9">
        <v>3253.04077542</v>
      </c>
      <c r="D38" s="9">
        <v>4476.6157794199999</v>
      </c>
      <c r="E38" s="9">
        <v>5844.3025524000004</v>
      </c>
      <c r="F38" s="9">
        <v>7373.2837360499998</v>
      </c>
      <c r="G38" s="9">
        <v>9082.7852582199994</v>
      </c>
      <c r="H38" s="9">
        <v>10932.454149110001</v>
      </c>
      <c r="I38" s="9">
        <v>12894.207558419999</v>
      </c>
      <c r="J38" s="9">
        <v>14974.055191650001</v>
      </c>
      <c r="K38" s="9">
        <v>17147.32582794</v>
      </c>
      <c r="L38" s="9">
        <v>19382.832700940002</v>
      </c>
      <c r="M38" s="9">
        <v>21683.342642470001</v>
      </c>
      <c r="N38" s="9">
        <v>24051.49931051</v>
      </c>
      <c r="O38" s="9">
        <v>25097.125697309999</v>
      </c>
      <c r="P38" s="9">
        <v>25819.792362</v>
      </c>
      <c r="Q38" s="9">
        <v>26551.497458459999</v>
      </c>
      <c r="R38" s="9">
        <v>27327.632995569998</v>
      </c>
      <c r="S38" s="9">
        <v>28117.88005897</v>
      </c>
      <c r="T38" s="9">
        <v>29005.948387780001</v>
      </c>
      <c r="U38" s="9">
        <v>29748.017592749999</v>
      </c>
      <c r="V38" s="9">
        <v>30521.058070319999</v>
      </c>
      <c r="W38" s="9">
        <v>31289.342199769999</v>
      </c>
      <c r="X38" s="9">
        <v>32079.53677277</v>
      </c>
      <c r="Y38" s="9">
        <v>32868.91011918</v>
      </c>
      <c r="Z38" s="9">
        <v>33741.780321090002</v>
      </c>
      <c r="AA38" s="9">
        <v>34574.14559724</v>
      </c>
      <c r="AB38" s="9">
        <v>35422.044272370003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101.89135654</v>
      </c>
      <c r="C39" s="9">
        <v>153.57869708000001</v>
      </c>
      <c r="D39" s="9">
        <v>211.34466678000001</v>
      </c>
      <c r="E39" s="9">
        <v>275.91427014999999</v>
      </c>
      <c r="F39" s="9">
        <v>348.09871364000003</v>
      </c>
      <c r="G39" s="9">
        <v>428.80566893000002</v>
      </c>
      <c r="H39" s="9">
        <v>516.13003954999999</v>
      </c>
      <c r="I39" s="9">
        <v>608.74601129999996</v>
      </c>
      <c r="J39" s="9">
        <v>706.93730729000004</v>
      </c>
      <c r="K39" s="9">
        <v>809.53917911999997</v>
      </c>
      <c r="L39" s="9">
        <v>915.07927424000002</v>
      </c>
      <c r="M39" s="9">
        <v>1023.68821702</v>
      </c>
      <c r="N39" s="9">
        <v>1135.49081669</v>
      </c>
      <c r="O39" s="9">
        <v>1184.8556876600001</v>
      </c>
      <c r="P39" s="9">
        <v>1218.97336784</v>
      </c>
      <c r="Q39" s="9">
        <v>1253.51775972</v>
      </c>
      <c r="R39" s="9">
        <v>1290.1597487900001</v>
      </c>
      <c r="S39" s="9">
        <v>1327.4679544799999</v>
      </c>
      <c r="T39" s="9">
        <v>1369.3943815600001</v>
      </c>
      <c r="U39" s="9">
        <v>1404.4280714199999</v>
      </c>
      <c r="V39" s="9">
        <v>1440.9239402200001</v>
      </c>
      <c r="W39" s="9">
        <v>1477.1952579599999</v>
      </c>
      <c r="X39" s="9">
        <v>1514.50098553</v>
      </c>
      <c r="Y39" s="9">
        <v>1551.7679423300001</v>
      </c>
      <c r="Z39" s="9">
        <v>1592.9768535000001</v>
      </c>
      <c r="AA39" s="9">
        <v>1632.27349422</v>
      </c>
      <c r="AB39" s="9">
        <v>1672.30347932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0</v>
      </c>
      <c r="C40" s="9">
        <v>0</v>
      </c>
      <c r="D40" s="9">
        <v>0</v>
      </c>
      <c r="E40" s="9">
        <v>0</v>
      </c>
      <c r="F40" s="9">
        <v>0</v>
      </c>
      <c r="G40" s="9">
        <v>0</v>
      </c>
      <c r="H40" s="9">
        <v>0</v>
      </c>
      <c r="I40" s="9">
        <v>0</v>
      </c>
      <c r="J40" s="9">
        <v>0</v>
      </c>
      <c r="K40" s="9">
        <v>0</v>
      </c>
      <c r="L40" s="9">
        <v>0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0</v>
      </c>
      <c r="S40" s="9">
        <v>0</v>
      </c>
      <c r="T40" s="9">
        <v>0</v>
      </c>
      <c r="U40" s="9">
        <v>0</v>
      </c>
      <c r="V40" s="9">
        <v>0</v>
      </c>
      <c r="W40" s="9">
        <v>0</v>
      </c>
      <c r="X40" s="9">
        <v>0</v>
      </c>
      <c r="Y40" s="9">
        <v>0</v>
      </c>
      <c r="Z40" s="9">
        <v>0</v>
      </c>
      <c r="AA40" s="9">
        <v>0</v>
      </c>
      <c r="AB40" s="9">
        <v>0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>
        <v>1.543E-5</v>
      </c>
      <c r="C41" s="9">
        <v>1.543E-5</v>
      </c>
      <c r="D41" s="9">
        <v>1.543E-5</v>
      </c>
      <c r="E41" s="9">
        <v>1.543E-5</v>
      </c>
      <c r="F41" s="9">
        <v>1.543E-5</v>
      </c>
      <c r="G41" s="9">
        <v>1.543E-5</v>
      </c>
      <c r="H41" s="9">
        <v>1.543E-5</v>
      </c>
      <c r="I41" s="9">
        <v>1.543E-5</v>
      </c>
      <c r="J41" s="9">
        <v>1.543E-5</v>
      </c>
      <c r="K41" s="9">
        <v>1.543E-5</v>
      </c>
      <c r="L41" s="9">
        <v>1.543E-5</v>
      </c>
      <c r="M41" s="9">
        <v>1.543E-5</v>
      </c>
      <c r="N41" s="9">
        <v>1.543E-5</v>
      </c>
      <c r="O41" s="9">
        <v>1.543E-5</v>
      </c>
      <c r="P41" s="9">
        <v>1.543E-5</v>
      </c>
      <c r="Q41" s="9">
        <v>1.543E-5</v>
      </c>
      <c r="R41" s="9">
        <v>1.543E-5</v>
      </c>
      <c r="S41" s="9">
        <v>1.543E-5</v>
      </c>
      <c r="T41" s="9">
        <v>1.543E-5</v>
      </c>
      <c r="U41" s="9">
        <v>1.543E-5</v>
      </c>
      <c r="V41" s="9">
        <v>1.543E-5</v>
      </c>
      <c r="W41" s="9">
        <v>1.543E-5</v>
      </c>
      <c r="X41" s="9">
        <v>1.543E-5</v>
      </c>
      <c r="Y41" s="9">
        <v>1.543E-5</v>
      </c>
      <c r="Z41" s="9">
        <v>1.543E-5</v>
      </c>
      <c r="AA41" s="9">
        <v>1.543E-5</v>
      </c>
      <c r="AB41" s="9">
        <v>1.543E-5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0</v>
      </c>
      <c r="C42" s="9">
        <v>2.022523E-2</v>
      </c>
      <c r="D42" s="9">
        <v>2.0442129999999999E-2</v>
      </c>
      <c r="E42" s="9">
        <v>2.063601E-2</v>
      </c>
      <c r="F42" s="9">
        <v>2.0809290000000001E-2</v>
      </c>
      <c r="G42" s="9">
        <v>2.0964119999999999E-2</v>
      </c>
      <c r="H42" s="9">
        <v>2.1152270000000001E-2</v>
      </c>
      <c r="I42" s="9">
        <v>2.1360629999999999E-2</v>
      </c>
      <c r="J42" s="9">
        <v>2.1557679999999999E-2</v>
      </c>
      <c r="K42" s="9">
        <v>2.177494E-2</v>
      </c>
      <c r="L42" s="9">
        <v>2.2020720000000001E-2</v>
      </c>
      <c r="M42" s="9">
        <v>2.2258489999999999E-2</v>
      </c>
      <c r="N42" s="9">
        <v>2.2488600000000001E-2</v>
      </c>
      <c r="O42" s="9">
        <v>2.2710669999999999E-2</v>
      </c>
      <c r="P42" s="9">
        <v>2.2755379999999999E-2</v>
      </c>
      <c r="Q42" s="9">
        <v>2.2754960000000001E-2</v>
      </c>
      <c r="R42" s="9">
        <v>2.2756040000000002E-2</v>
      </c>
      <c r="S42" s="9">
        <v>2.275924E-2</v>
      </c>
      <c r="T42" s="9">
        <v>2.276268E-2</v>
      </c>
      <c r="U42" s="9">
        <v>2.2780149999999999E-2</v>
      </c>
      <c r="V42" s="9">
        <v>2.277212E-2</v>
      </c>
      <c r="W42" s="9">
        <v>2.276454E-2</v>
      </c>
      <c r="X42" s="9">
        <v>2.2754369999999999E-2</v>
      </c>
      <c r="Y42" s="9">
        <v>2.2747239999999998E-2</v>
      </c>
      <c r="Z42" s="9">
        <v>2.273704E-2</v>
      </c>
      <c r="AA42" s="9">
        <v>2.273414E-2</v>
      </c>
      <c r="AB42" s="9">
        <v>2.2723859999999999E-2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2.022523E-2</v>
      </c>
      <c r="D43" s="9">
        <v>2.0442129999999999E-2</v>
      </c>
      <c r="E43" s="9">
        <v>2.063601E-2</v>
      </c>
      <c r="F43" s="9">
        <v>2.0809290000000001E-2</v>
      </c>
      <c r="G43" s="9">
        <v>2.0964119999999999E-2</v>
      </c>
      <c r="H43" s="9">
        <v>2.1152270000000001E-2</v>
      </c>
      <c r="I43" s="9">
        <v>2.1360629999999999E-2</v>
      </c>
      <c r="J43" s="9">
        <v>2.1557679999999999E-2</v>
      </c>
      <c r="K43" s="9">
        <v>2.177494E-2</v>
      </c>
      <c r="L43" s="9">
        <v>2.2020720000000001E-2</v>
      </c>
      <c r="M43" s="9">
        <v>2.2258489999999999E-2</v>
      </c>
      <c r="N43" s="9">
        <v>2.2488600000000001E-2</v>
      </c>
      <c r="O43" s="9">
        <v>1.156805E-2</v>
      </c>
      <c r="P43" s="9">
        <v>8.8703299999999992E-3</v>
      </c>
      <c r="Q43" s="9">
        <v>8.7808699999999996E-3</v>
      </c>
      <c r="R43" s="9">
        <v>8.9586700000000002E-3</v>
      </c>
      <c r="S43" s="9">
        <v>8.9070299999999998E-3</v>
      </c>
      <c r="T43" s="9">
        <v>9.4388600000000003E-3</v>
      </c>
      <c r="U43" s="9">
        <v>8.3109399999999993E-3</v>
      </c>
      <c r="V43" s="9">
        <v>8.36953E-3</v>
      </c>
      <c r="W43" s="9">
        <v>8.1906800000000005E-3</v>
      </c>
      <c r="X43" s="9">
        <v>8.1809199999999995E-3</v>
      </c>
      <c r="Y43" s="9">
        <v>8.0367900000000003E-3</v>
      </c>
      <c r="Z43" s="9">
        <v>8.3895900000000006E-3</v>
      </c>
      <c r="AA43" s="9">
        <v>8.0162099999999993E-3</v>
      </c>
      <c r="AB43" s="9">
        <v>7.9624499999999994E-3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1</v>
      </c>
      <c r="C44" s="9">
        <v>2.022523E-2</v>
      </c>
      <c r="D44" s="9">
        <v>2.0442129999999999E-2</v>
      </c>
      <c r="E44" s="9">
        <v>2.063601E-2</v>
      </c>
      <c r="F44" s="9">
        <v>2.0809290000000001E-2</v>
      </c>
      <c r="G44" s="9">
        <v>2.0964119999999999E-2</v>
      </c>
      <c r="H44" s="9">
        <v>2.1152270000000001E-2</v>
      </c>
      <c r="I44" s="9">
        <v>2.1360629999999999E-2</v>
      </c>
      <c r="J44" s="9">
        <v>2.1557679999999999E-2</v>
      </c>
      <c r="K44" s="9">
        <v>2.177494E-2</v>
      </c>
      <c r="L44" s="9">
        <v>2.2020720000000001E-2</v>
      </c>
      <c r="M44" s="9">
        <v>2.2258489999999999E-2</v>
      </c>
      <c r="N44" s="9">
        <v>2.2488600000000001E-2</v>
      </c>
      <c r="O44" s="9">
        <v>2.2710669999999999E-2</v>
      </c>
      <c r="P44" s="9">
        <v>2.2755379999999999E-2</v>
      </c>
      <c r="Q44" s="9">
        <v>2.2754960000000001E-2</v>
      </c>
      <c r="R44" s="9">
        <v>2.2756040000000002E-2</v>
      </c>
      <c r="S44" s="9">
        <v>2.275924E-2</v>
      </c>
      <c r="T44" s="9">
        <v>2.276268E-2</v>
      </c>
      <c r="U44" s="9">
        <v>2.2780149999999999E-2</v>
      </c>
      <c r="V44" s="9">
        <v>2.277212E-2</v>
      </c>
      <c r="W44" s="9">
        <v>2.276454E-2</v>
      </c>
      <c r="X44" s="9">
        <v>2.2754369999999999E-2</v>
      </c>
      <c r="Y44" s="9">
        <v>2.2747239999999998E-2</v>
      </c>
      <c r="Z44" s="9">
        <v>2.273704E-2</v>
      </c>
      <c r="AA44" s="9">
        <v>2.273414E-2</v>
      </c>
      <c r="AB44" s="9">
        <v>2.2723859999999999E-2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0.98333333000000001</v>
      </c>
      <c r="C45" s="9">
        <v>0.98333333000000001</v>
      </c>
      <c r="D45" s="9">
        <v>0.98333333000000001</v>
      </c>
      <c r="E45" s="9">
        <v>0.98333333000000001</v>
      </c>
      <c r="F45" s="9">
        <v>0.98333333000000001</v>
      </c>
      <c r="G45" s="9">
        <v>0.98333333000000001</v>
      </c>
      <c r="H45" s="9">
        <v>0.98333333000000001</v>
      </c>
      <c r="I45" s="9">
        <v>0.98333333000000001</v>
      </c>
      <c r="J45" s="9">
        <v>0.98333333000000001</v>
      </c>
      <c r="K45" s="9">
        <v>0.98333333000000001</v>
      </c>
      <c r="L45" s="9">
        <v>0.98333333000000001</v>
      </c>
      <c r="M45" s="9">
        <v>0.98333333000000001</v>
      </c>
      <c r="N45" s="9">
        <v>0.98333333000000001</v>
      </c>
      <c r="O45" s="9">
        <v>0.98333333000000001</v>
      </c>
      <c r="P45" s="9">
        <v>0.98333333000000001</v>
      </c>
      <c r="Q45" s="9">
        <v>0.98333333000000001</v>
      </c>
      <c r="R45" s="9">
        <v>0.98333333000000001</v>
      </c>
      <c r="S45" s="9">
        <v>0.98333333000000001</v>
      </c>
      <c r="T45" s="9">
        <v>0.98333333000000001</v>
      </c>
      <c r="U45" s="9">
        <v>0.98333333000000001</v>
      </c>
      <c r="V45" s="9">
        <v>0.98333333000000001</v>
      </c>
      <c r="W45" s="9">
        <v>0.98333333000000001</v>
      </c>
      <c r="X45" s="9">
        <v>0.98333333000000001</v>
      </c>
      <c r="Y45" s="9">
        <v>0.98333333000000001</v>
      </c>
      <c r="Z45" s="9">
        <v>0.98333333000000001</v>
      </c>
      <c r="AA45" s="9">
        <v>0.98333333000000001</v>
      </c>
      <c r="AB45" s="9">
        <v>0.98333333000000001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0.86522686999999998</v>
      </c>
      <c r="C46" s="9">
        <v>0.86522686999999998</v>
      </c>
      <c r="D46" s="9">
        <v>0.86522686999999998</v>
      </c>
      <c r="E46" s="9">
        <v>0.86522686999999998</v>
      </c>
      <c r="F46" s="9">
        <v>0.86522686999999998</v>
      </c>
      <c r="G46" s="9">
        <v>0.86522686999999998</v>
      </c>
      <c r="H46" s="9">
        <v>0.86522686999999998</v>
      </c>
      <c r="I46" s="9">
        <v>0.86522686999999998</v>
      </c>
      <c r="J46" s="9">
        <v>0.86522686999999998</v>
      </c>
      <c r="K46" s="9">
        <v>0.86522686999999998</v>
      </c>
      <c r="L46" s="9">
        <v>0.86522686999999998</v>
      </c>
      <c r="M46" s="9">
        <v>0.86522686999999998</v>
      </c>
      <c r="N46" s="9">
        <v>0.86522686999999998</v>
      </c>
      <c r="O46" s="9">
        <v>0.86522686999999998</v>
      </c>
      <c r="P46" s="9">
        <v>0.86522686999999998</v>
      </c>
      <c r="Q46" s="9">
        <v>0.86522686999999998</v>
      </c>
      <c r="R46" s="9">
        <v>0.86522686999999998</v>
      </c>
      <c r="S46" s="9">
        <v>0.86522686999999998</v>
      </c>
      <c r="T46" s="9">
        <v>0.86522686999999998</v>
      </c>
      <c r="U46" s="9">
        <v>0.86522686999999998</v>
      </c>
      <c r="V46" s="9">
        <v>0.86522686999999998</v>
      </c>
      <c r="W46" s="9">
        <v>0.86522686999999998</v>
      </c>
      <c r="X46" s="9">
        <v>0.86522686999999998</v>
      </c>
      <c r="Y46" s="9">
        <v>0.86522686999999998</v>
      </c>
      <c r="Z46" s="9">
        <v>0.86522686999999998</v>
      </c>
      <c r="AA46" s="9">
        <v>0.86522686999999998</v>
      </c>
      <c r="AB46" s="9">
        <v>0.86522686999999998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3</v>
      </c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142</v>
      </c>
      <c r="B48" s="9">
        <v>31948</v>
      </c>
      <c r="C48" s="9">
        <v>35821.921240889998</v>
      </c>
      <c r="D48" s="9">
        <v>40153.19089944</v>
      </c>
      <c r="E48" s="9">
        <v>44996.333507969997</v>
      </c>
      <c r="F48" s="9">
        <v>50412.358976830001</v>
      </c>
      <c r="G48" s="9">
        <v>53029.673360569999</v>
      </c>
      <c r="H48" s="9">
        <v>53654.720368230002</v>
      </c>
      <c r="I48" s="9">
        <v>54270.479316769997</v>
      </c>
      <c r="J48" s="9">
        <v>55042.497307079997</v>
      </c>
      <c r="K48" s="9">
        <v>56007.045463939998</v>
      </c>
      <c r="L48" s="9">
        <v>56982.622356309999</v>
      </c>
      <c r="M48" s="9">
        <v>57970.380217409998</v>
      </c>
      <c r="N48" s="9">
        <v>58968.283325700002</v>
      </c>
      <c r="O48" s="9">
        <v>59857.913820840004</v>
      </c>
      <c r="P48" s="9">
        <v>60721.633447779997</v>
      </c>
      <c r="Q48" s="9">
        <v>61609.341222759998</v>
      </c>
      <c r="R48" s="9">
        <v>62509.769961760001</v>
      </c>
      <c r="S48" s="9">
        <v>63428.204116820001</v>
      </c>
      <c r="T48" s="9">
        <v>64490.359298050003</v>
      </c>
      <c r="U48" s="9">
        <v>65623.070734709996</v>
      </c>
      <c r="V48" s="9">
        <v>66776.718498760005</v>
      </c>
      <c r="W48" s="9">
        <v>67951.615739970002</v>
      </c>
      <c r="X48" s="9">
        <v>69148.126017620001</v>
      </c>
      <c r="Y48" s="9">
        <v>70366.843235120003</v>
      </c>
      <c r="Z48" s="9">
        <v>71608.074526259996</v>
      </c>
      <c r="AA48" s="9">
        <v>72872.321121720001</v>
      </c>
      <c r="AB48" s="9">
        <v>74159.859364799995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143</v>
      </c>
      <c r="B49" s="9">
        <v>101536.67783543</v>
      </c>
      <c r="C49" s="9">
        <v>95400.213267650004</v>
      </c>
      <c r="D49" s="9">
        <v>82610.240223319997</v>
      </c>
      <c r="E49" s="9">
        <v>68998.217576349998</v>
      </c>
      <c r="F49" s="9">
        <v>55691.068124789999</v>
      </c>
      <c r="G49" s="9">
        <v>43285.916243020001</v>
      </c>
      <c r="H49" s="9">
        <v>32642.60401314</v>
      </c>
      <c r="I49" s="9">
        <v>23989.460065679999</v>
      </c>
      <c r="J49" s="9">
        <v>17738.212912970001</v>
      </c>
      <c r="K49" s="9">
        <v>13474.834187189999</v>
      </c>
      <c r="L49" s="9">
        <v>10423.86955008</v>
      </c>
      <c r="M49" s="9">
        <v>8335.7806814399992</v>
      </c>
      <c r="N49" s="9">
        <v>6885.5338653500003</v>
      </c>
      <c r="O49" s="9">
        <v>6422.47963136</v>
      </c>
      <c r="P49" s="9">
        <v>6149.1998612500001</v>
      </c>
      <c r="Q49" s="9">
        <v>5926.4249499199996</v>
      </c>
      <c r="R49" s="9">
        <v>5711.1153727399997</v>
      </c>
      <c r="S49" s="9">
        <v>5523.1637602600003</v>
      </c>
      <c r="T49" s="9">
        <v>5382.0417159299996</v>
      </c>
      <c r="U49" s="9">
        <v>5262.9758136299997</v>
      </c>
      <c r="V49" s="9">
        <v>5143.8611313600004</v>
      </c>
      <c r="W49" s="9">
        <v>5036.16655911</v>
      </c>
      <c r="X49" s="9">
        <v>4950.8423998400003</v>
      </c>
      <c r="Y49" s="9">
        <v>4869.0575870299999</v>
      </c>
      <c r="Z49" s="9">
        <v>4785.5802692899997</v>
      </c>
      <c r="AA49" s="9">
        <v>4708.2956083700001</v>
      </c>
      <c r="AB49" s="9">
        <v>4655.5032890000002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144</v>
      </c>
      <c r="B50" s="9">
        <v>251.93468983</v>
      </c>
      <c r="C50" s="9">
        <v>236.70878003999999</v>
      </c>
      <c r="D50" s="9">
        <v>204.97406151000001</v>
      </c>
      <c r="E50" s="9">
        <v>171.19965823999999</v>
      </c>
      <c r="F50" s="9">
        <v>138.181712</v>
      </c>
      <c r="G50" s="9">
        <v>107.40181887999999</v>
      </c>
      <c r="H50" s="9">
        <v>80.993435009999999</v>
      </c>
      <c r="I50" s="9">
        <v>59.523093619999997</v>
      </c>
      <c r="J50" s="9">
        <v>44.012383149999998</v>
      </c>
      <c r="K50" s="9">
        <v>33.434008710000001</v>
      </c>
      <c r="L50" s="9">
        <v>25.863898620000001</v>
      </c>
      <c r="M50" s="9">
        <v>20.682893759999999</v>
      </c>
      <c r="N50" s="9">
        <v>17.08451444</v>
      </c>
      <c r="O50" s="9">
        <v>15.935575679999999</v>
      </c>
      <c r="P50" s="9">
        <v>15.25750884</v>
      </c>
      <c r="Q50" s="9">
        <v>14.7047556</v>
      </c>
      <c r="R50" s="9">
        <v>14.17052548</v>
      </c>
      <c r="S50" s="9">
        <v>13.70417645</v>
      </c>
      <c r="T50" s="9">
        <v>13.354021810000001</v>
      </c>
      <c r="U50" s="9">
        <v>13.05859328</v>
      </c>
      <c r="V50" s="9">
        <v>12.763043720000001</v>
      </c>
      <c r="W50" s="9">
        <v>12.495829949999999</v>
      </c>
      <c r="X50" s="9">
        <v>12.28412206</v>
      </c>
      <c r="Y50" s="9">
        <v>12.081196070000001</v>
      </c>
      <c r="Z50" s="9">
        <v>11.8740706</v>
      </c>
      <c r="AA50" s="9">
        <v>11.68231046</v>
      </c>
      <c r="AB50" s="9">
        <v>11.55132118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145</v>
      </c>
      <c r="B51" s="9">
        <v>3381.6443670799999</v>
      </c>
      <c r="C51" s="9">
        <v>3791.6926938199999</v>
      </c>
      <c r="D51" s="9">
        <v>4250.1506142899998</v>
      </c>
      <c r="E51" s="9">
        <v>4762.7894624500004</v>
      </c>
      <c r="F51" s="9">
        <v>5336.0670391000003</v>
      </c>
      <c r="G51" s="9">
        <v>5613.1055530200001</v>
      </c>
      <c r="H51" s="9">
        <v>5679.2657725199997</v>
      </c>
      <c r="I51" s="9">
        <v>5744.4428659200003</v>
      </c>
      <c r="J51" s="9">
        <v>5826.1597273199995</v>
      </c>
      <c r="K51" s="9">
        <v>5928.2555969100003</v>
      </c>
      <c r="L51" s="9">
        <v>6031.5188403900002</v>
      </c>
      <c r="M51" s="9">
        <v>6136.0714197999996</v>
      </c>
      <c r="N51" s="9">
        <v>6241.6978572899998</v>
      </c>
      <c r="O51" s="9">
        <v>6335.86381299</v>
      </c>
      <c r="P51" s="9">
        <v>6427.2871450000002</v>
      </c>
      <c r="Q51" s="9">
        <v>6521.2495838699997</v>
      </c>
      <c r="R51" s="9">
        <v>6616.5585162999996</v>
      </c>
      <c r="S51" s="9">
        <v>6713.7732930299999</v>
      </c>
      <c r="T51" s="9">
        <v>6826.2007089999997</v>
      </c>
      <c r="U51" s="9">
        <v>6946.0963910299997</v>
      </c>
      <c r="V51" s="9">
        <v>7068.2081496000001</v>
      </c>
      <c r="W51" s="9">
        <v>7192.5691311199998</v>
      </c>
      <c r="X51" s="9">
        <v>7319.2178177599999</v>
      </c>
      <c r="Y51" s="9">
        <v>7448.2170732200002</v>
      </c>
      <c r="Z51" s="9">
        <v>7579.59940714</v>
      </c>
      <c r="AA51" s="9">
        <v>7713.4178739600002</v>
      </c>
      <c r="AB51" s="9">
        <v>7849.7017241900003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146</v>
      </c>
      <c r="B52" s="9">
        <v>0</v>
      </c>
      <c r="C52" s="9">
        <v>0</v>
      </c>
      <c r="D52" s="9">
        <v>0</v>
      </c>
      <c r="E52" s="9">
        <v>0</v>
      </c>
      <c r="F52" s="9">
        <v>0</v>
      </c>
      <c r="G52" s="9">
        <v>0</v>
      </c>
      <c r="H52" s="9">
        <v>0</v>
      </c>
      <c r="I52" s="9">
        <v>0</v>
      </c>
      <c r="J52" s="9">
        <v>0</v>
      </c>
      <c r="K52" s="9">
        <v>0</v>
      </c>
      <c r="L52" s="9">
        <v>0</v>
      </c>
      <c r="M52" s="9">
        <v>0</v>
      </c>
      <c r="N52" s="9">
        <v>0</v>
      </c>
      <c r="O52" s="9">
        <v>0</v>
      </c>
      <c r="P52" s="9">
        <v>0</v>
      </c>
      <c r="Q52" s="9">
        <v>0</v>
      </c>
      <c r="R52" s="9">
        <v>0</v>
      </c>
      <c r="S52" s="9">
        <v>0</v>
      </c>
      <c r="T52" s="9">
        <v>0</v>
      </c>
      <c r="U52" s="9">
        <v>0</v>
      </c>
      <c r="V52" s="9">
        <v>0</v>
      </c>
      <c r="W52" s="9">
        <v>0</v>
      </c>
      <c r="X52" s="9">
        <v>0</v>
      </c>
      <c r="Y52" s="9">
        <v>0</v>
      </c>
      <c r="Z52" s="9">
        <v>0</v>
      </c>
      <c r="AA52" s="9">
        <v>0</v>
      </c>
      <c r="AB52" s="9"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147</v>
      </c>
      <c r="B53" s="9">
        <v>0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0</v>
      </c>
      <c r="J53" s="9">
        <v>0</v>
      </c>
      <c r="K53" s="9">
        <v>0</v>
      </c>
      <c r="L53" s="9">
        <v>0</v>
      </c>
      <c r="M53" s="9">
        <v>0</v>
      </c>
      <c r="N53" s="9">
        <v>0</v>
      </c>
      <c r="O53" s="9">
        <v>0</v>
      </c>
      <c r="P53" s="9">
        <v>0</v>
      </c>
      <c r="Q53" s="9">
        <v>0</v>
      </c>
      <c r="R53" s="9">
        <v>0</v>
      </c>
      <c r="S53" s="9">
        <v>0</v>
      </c>
      <c r="T53" s="9">
        <v>0</v>
      </c>
      <c r="U53" s="9">
        <v>0</v>
      </c>
      <c r="V53" s="9">
        <v>0</v>
      </c>
      <c r="W53" s="9">
        <v>0</v>
      </c>
      <c r="X53" s="9">
        <v>0</v>
      </c>
      <c r="Y53" s="9">
        <v>0</v>
      </c>
      <c r="Z53" s="9">
        <v>0</v>
      </c>
      <c r="AA53" s="9">
        <v>0</v>
      </c>
      <c r="AB53" s="9">
        <v>0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148</v>
      </c>
      <c r="B54" s="9">
        <v>4.9604E-4</v>
      </c>
      <c r="C54" s="9">
        <v>4.9604E-4</v>
      </c>
      <c r="D54" s="9">
        <v>4.9604E-4</v>
      </c>
      <c r="E54" s="9">
        <v>4.9604E-4</v>
      </c>
      <c r="F54" s="9">
        <v>4.9604E-4</v>
      </c>
      <c r="G54" s="9">
        <v>4.9604E-4</v>
      </c>
      <c r="H54" s="9">
        <v>4.9604E-4</v>
      </c>
      <c r="I54" s="9">
        <v>4.9604E-4</v>
      </c>
      <c r="J54" s="9">
        <v>4.9604E-4</v>
      </c>
      <c r="K54" s="9">
        <v>4.9604E-4</v>
      </c>
      <c r="L54" s="9">
        <v>4.9604E-4</v>
      </c>
      <c r="M54" s="9">
        <v>4.9604E-4</v>
      </c>
      <c r="N54" s="9">
        <v>4.9604E-4</v>
      </c>
      <c r="O54" s="9">
        <v>4.9604E-4</v>
      </c>
      <c r="P54" s="9">
        <v>4.9604E-4</v>
      </c>
      <c r="Q54" s="9">
        <v>4.9604E-4</v>
      </c>
      <c r="R54" s="9">
        <v>4.9604E-4</v>
      </c>
      <c r="S54" s="9">
        <v>4.9604E-4</v>
      </c>
      <c r="T54" s="9">
        <v>4.9604E-4</v>
      </c>
      <c r="U54" s="9">
        <v>4.9604E-4</v>
      </c>
      <c r="V54" s="9">
        <v>4.9604E-4</v>
      </c>
      <c r="W54" s="9">
        <v>4.9604E-4</v>
      </c>
      <c r="X54" s="9">
        <v>4.9604E-4</v>
      </c>
      <c r="Y54" s="9">
        <v>4.9604E-4</v>
      </c>
      <c r="Z54" s="9">
        <v>4.9604E-4</v>
      </c>
      <c r="AA54" s="9">
        <v>4.9604E-4</v>
      </c>
      <c r="AB54" s="9">
        <v>4.9604E-4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149</v>
      </c>
      <c r="B55" s="9">
        <v>0</v>
      </c>
      <c r="C55" s="9">
        <v>8.0829369999999998E-2</v>
      </c>
      <c r="D55" s="9">
        <v>8.0876970000000006E-2</v>
      </c>
      <c r="E55" s="9">
        <v>8.0917950000000002E-2</v>
      </c>
      <c r="F55" s="9">
        <v>8.0953200000000003E-2</v>
      </c>
      <c r="G55" s="9">
        <v>8.09835E-2</v>
      </c>
      <c r="H55" s="9">
        <v>8.0561430000000003E-2</v>
      </c>
      <c r="I55" s="9">
        <v>7.9882880000000003E-2</v>
      </c>
      <c r="J55" s="9">
        <v>7.9236940000000006E-2</v>
      </c>
      <c r="K55" s="9">
        <v>7.8843129999999997E-2</v>
      </c>
      <c r="L55" s="9">
        <v>7.8702449999999993E-2</v>
      </c>
      <c r="M55" s="9">
        <v>7.8556639999999997E-2</v>
      </c>
      <c r="N55" s="9">
        <v>7.8407560000000001E-2</v>
      </c>
      <c r="O55" s="9">
        <v>7.8253139999999999E-2</v>
      </c>
      <c r="P55" s="9">
        <v>7.8090259999999995E-2</v>
      </c>
      <c r="Q55" s="9">
        <v>7.7918719999999997E-2</v>
      </c>
      <c r="R55" s="9">
        <v>7.7762719999999994E-2</v>
      </c>
      <c r="S55" s="9">
        <v>7.7606419999999995E-2</v>
      </c>
      <c r="T55" s="9">
        <v>7.7457429999999994E-2</v>
      </c>
      <c r="U55" s="9">
        <v>7.7354389999999995E-2</v>
      </c>
      <c r="V55" s="9">
        <v>7.7236310000000002E-2</v>
      </c>
      <c r="W55" s="9">
        <v>7.7116760000000006E-2</v>
      </c>
      <c r="X55" s="9">
        <v>7.6998269999999994E-2</v>
      </c>
      <c r="Y55" s="9">
        <v>7.6890799999999995E-2</v>
      </c>
      <c r="Z55" s="9">
        <v>7.6780710000000002E-2</v>
      </c>
      <c r="AA55" s="9">
        <v>7.667641E-2</v>
      </c>
      <c r="AB55" s="9">
        <v>7.6567739999999995E-2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150</v>
      </c>
      <c r="B56" s="9">
        <v>0</v>
      </c>
      <c r="C56" s="9">
        <v>8.0829369999999998E-2</v>
      </c>
      <c r="D56" s="9">
        <v>8.0876970000000006E-2</v>
      </c>
      <c r="E56" s="9">
        <v>8.0917950000000002E-2</v>
      </c>
      <c r="F56" s="9">
        <v>8.0953200000000003E-2</v>
      </c>
      <c r="G56" s="9">
        <v>4.3828329999999999E-2</v>
      </c>
      <c r="H56" s="9">
        <v>2.1358439999999999E-2</v>
      </c>
      <c r="I56" s="9">
        <v>2.0211699999999999E-2</v>
      </c>
      <c r="J56" s="9">
        <v>2.059971E-2</v>
      </c>
      <c r="K56" s="9">
        <v>2.152809E-2</v>
      </c>
      <c r="L56" s="9">
        <v>2.1239089999999999E-2</v>
      </c>
      <c r="M56" s="9">
        <v>2.0952450000000001E-2</v>
      </c>
      <c r="N56" s="9">
        <v>2.0645489999999999E-2</v>
      </c>
      <c r="O56" s="9">
        <v>1.9437860000000001E-2</v>
      </c>
      <c r="P56" s="9">
        <v>1.8892590000000001E-2</v>
      </c>
      <c r="Q56" s="9">
        <v>1.870993E-2</v>
      </c>
      <c r="R56" s="9">
        <v>1.8466119999999999E-2</v>
      </c>
      <c r="S56" s="9">
        <v>1.8256270000000002E-2</v>
      </c>
      <c r="T56" s="9">
        <v>1.8879969999999999E-2</v>
      </c>
      <c r="U56" s="9">
        <v>1.9049590000000002E-2</v>
      </c>
      <c r="V56" s="9">
        <v>1.886055E-2</v>
      </c>
      <c r="W56" s="9">
        <v>1.866833E-2</v>
      </c>
      <c r="X56" s="9">
        <v>1.8477520000000001E-2</v>
      </c>
      <c r="Y56" s="9">
        <v>1.8305849999999999E-2</v>
      </c>
      <c r="Z56" s="9">
        <v>1.8129039999999999E-2</v>
      </c>
      <c r="AA56" s="9">
        <v>1.7961899999999999E-2</v>
      </c>
      <c r="AB56" s="9">
        <v>1.7786650000000001E-2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151</v>
      </c>
      <c r="B57" s="9">
        <v>1</v>
      </c>
      <c r="C57" s="9">
        <v>8.0829369999999998E-2</v>
      </c>
      <c r="D57" s="9">
        <v>8.0876970000000006E-2</v>
      </c>
      <c r="E57" s="9">
        <v>8.0917950000000002E-2</v>
      </c>
      <c r="F57" s="9">
        <v>8.0953200000000003E-2</v>
      </c>
      <c r="G57" s="9">
        <v>8.09835E-2</v>
      </c>
      <c r="H57" s="9">
        <v>8.0561430000000003E-2</v>
      </c>
      <c r="I57" s="9">
        <v>7.9882880000000003E-2</v>
      </c>
      <c r="J57" s="9">
        <v>7.9236940000000006E-2</v>
      </c>
      <c r="K57" s="9">
        <v>7.8843129999999997E-2</v>
      </c>
      <c r="L57" s="9">
        <v>7.8702449999999993E-2</v>
      </c>
      <c r="M57" s="9">
        <v>7.8556639999999997E-2</v>
      </c>
      <c r="N57" s="9">
        <v>7.8407560000000001E-2</v>
      </c>
      <c r="O57" s="9">
        <v>7.8253139999999999E-2</v>
      </c>
      <c r="P57" s="9">
        <v>7.8090259999999995E-2</v>
      </c>
      <c r="Q57" s="9">
        <v>7.7918719999999997E-2</v>
      </c>
      <c r="R57" s="9">
        <v>7.7762719999999994E-2</v>
      </c>
      <c r="S57" s="9">
        <v>7.7606419999999995E-2</v>
      </c>
      <c r="T57" s="9">
        <v>7.7457429999999994E-2</v>
      </c>
      <c r="U57" s="9">
        <v>7.7354389999999995E-2</v>
      </c>
      <c r="V57" s="9">
        <v>7.7236310000000002E-2</v>
      </c>
      <c r="W57" s="9">
        <v>7.7116760000000006E-2</v>
      </c>
      <c r="X57" s="9">
        <v>7.6998269999999994E-2</v>
      </c>
      <c r="Y57" s="9">
        <v>7.6890799999999995E-2</v>
      </c>
      <c r="Z57" s="9">
        <v>7.6780710000000002E-2</v>
      </c>
      <c r="AA57" s="9">
        <v>7.667641E-2</v>
      </c>
      <c r="AB57" s="9">
        <v>7.6567739999999995E-2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152</v>
      </c>
      <c r="B58" s="9">
        <v>0.97142857000000005</v>
      </c>
      <c r="C58" s="9">
        <v>0.97142857000000005</v>
      </c>
      <c r="D58" s="9">
        <v>0.97142857000000005</v>
      </c>
      <c r="E58" s="9">
        <v>0.97142857000000005</v>
      </c>
      <c r="F58" s="9">
        <v>0.97142857000000005</v>
      </c>
      <c r="G58" s="9">
        <v>0.97142857000000005</v>
      </c>
      <c r="H58" s="9">
        <v>0.97142857000000005</v>
      </c>
      <c r="I58" s="9">
        <v>0.97142857000000005</v>
      </c>
      <c r="J58" s="9">
        <v>0.97142857000000005</v>
      </c>
      <c r="K58" s="9">
        <v>0.97142857000000005</v>
      </c>
      <c r="L58" s="9">
        <v>0.97142857000000005</v>
      </c>
      <c r="M58" s="9">
        <v>0.97142857000000005</v>
      </c>
      <c r="N58" s="9">
        <v>0.97142857000000005</v>
      </c>
      <c r="O58" s="9">
        <v>0.97142857000000005</v>
      </c>
      <c r="P58" s="9">
        <v>0.97142857000000005</v>
      </c>
      <c r="Q58" s="9">
        <v>0.97142857000000005</v>
      </c>
      <c r="R58" s="9">
        <v>0.97142857000000005</v>
      </c>
      <c r="S58" s="9">
        <v>0.97142857000000005</v>
      </c>
      <c r="T58" s="9">
        <v>0.97142857000000005</v>
      </c>
      <c r="U58" s="9">
        <v>0.97142857000000005</v>
      </c>
      <c r="V58" s="9">
        <v>0.97142857000000005</v>
      </c>
      <c r="W58" s="9">
        <v>0.97142857000000005</v>
      </c>
      <c r="X58" s="9">
        <v>0.97142857000000005</v>
      </c>
      <c r="Y58" s="9">
        <v>0.97142857000000005</v>
      </c>
      <c r="Z58" s="9">
        <v>0.97142857000000005</v>
      </c>
      <c r="AA58" s="9">
        <v>0.97142857000000005</v>
      </c>
      <c r="AB58" s="9">
        <v>0.97142857000000005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153</v>
      </c>
      <c r="B59" s="9">
        <v>0.36255826000000002</v>
      </c>
      <c r="C59" s="9">
        <v>0.36255826000000002</v>
      </c>
      <c r="D59" s="9">
        <v>0.36255826000000002</v>
      </c>
      <c r="E59" s="9">
        <v>0.36255826000000002</v>
      </c>
      <c r="F59" s="9">
        <v>0.36255826000000002</v>
      </c>
      <c r="G59" s="9">
        <v>0.36255826000000002</v>
      </c>
      <c r="H59" s="9">
        <v>0.36255826000000002</v>
      </c>
      <c r="I59" s="9">
        <v>0.36255826000000002</v>
      </c>
      <c r="J59" s="9">
        <v>0.36255826000000002</v>
      </c>
      <c r="K59" s="9">
        <v>0.36255826000000002</v>
      </c>
      <c r="L59" s="9">
        <v>0.36255826000000002</v>
      </c>
      <c r="M59" s="9">
        <v>0.36255826000000002</v>
      </c>
      <c r="N59" s="9">
        <v>0.36255826000000002</v>
      </c>
      <c r="O59" s="9">
        <v>0.36255826000000002</v>
      </c>
      <c r="P59" s="9">
        <v>0.36255826000000002</v>
      </c>
      <c r="Q59" s="9">
        <v>0.36255826000000002</v>
      </c>
      <c r="R59" s="9">
        <v>0.36255826000000002</v>
      </c>
      <c r="S59" s="9">
        <v>0.36255826000000002</v>
      </c>
      <c r="T59" s="9">
        <v>0.36255826000000002</v>
      </c>
      <c r="U59" s="9">
        <v>0.36255826000000002</v>
      </c>
      <c r="V59" s="9">
        <v>0.36255826000000002</v>
      </c>
      <c r="W59" s="9">
        <v>0.36255826000000002</v>
      </c>
      <c r="X59" s="9">
        <v>0.36255826000000002</v>
      </c>
      <c r="Y59" s="9">
        <v>0.36255826000000002</v>
      </c>
      <c r="Z59" s="9">
        <v>0.36255826000000002</v>
      </c>
      <c r="AA59" s="9">
        <v>0.36255826000000002</v>
      </c>
      <c r="AB59" s="9">
        <v>0.36255826000000002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4</v>
      </c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154</v>
      </c>
      <c r="B61" s="9">
        <v>1821</v>
      </c>
      <c r="C61" s="9">
        <v>1768.9714285699999</v>
      </c>
      <c r="D61" s="9">
        <v>1718.4293877600001</v>
      </c>
      <c r="E61" s="9">
        <v>1669.33140525</v>
      </c>
      <c r="F61" s="9">
        <v>1621.6363784499999</v>
      </c>
      <c r="G61" s="9">
        <v>1575.3039104899999</v>
      </c>
      <c r="H61" s="9">
        <v>1530.29522733</v>
      </c>
      <c r="I61" s="9">
        <v>1486.5738450399999</v>
      </c>
      <c r="J61" s="9">
        <v>1444.1033557799999</v>
      </c>
      <c r="K61" s="9">
        <v>1402.8432599</v>
      </c>
      <c r="L61" s="9">
        <v>1362.76202397</v>
      </c>
      <c r="M61" s="9">
        <v>1323.8517573500001</v>
      </c>
      <c r="N61" s="9">
        <v>1286.02742143</v>
      </c>
      <c r="O61" s="9">
        <v>1249.28383646</v>
      </c>
      <c r="P61" s="9">
        <v>1213.5909850999999</v>
      </c>
      <c r="Q61" s="9">
        <v>1178.9205415599999</v>
      </c>
      <c r="R61" s="9">
        <v>1145.2923040799999</v>
      </c>
      <c r="S61" s="9">
        <v>1112.5700919000001</v>
      </c>
      <c r="T61" s="9">
        <v>1080.78679777</v>
      </c>
      <c r="U61" s="9">
        <v>1049.92543</v>
      </c>
      <c r="V61" s="9">
        <v>1019.92867914</v>
      </c>
      <c r="W61" s="9">
        <v>990.78785973000004</v>
      </c>
      <c r="X61" s="9">
        <v>962.47963517000005</v>
      </c>
      <c r="Y61" s="9">
        <v>934.98095894999994</v>
      </c>
      <c r="Z61" s="9">
        <v>908.26772376999998</v>
      </c>
      <c r="AA61" s="9">
        <v>882.32542889000001</v>
      </c>
      <c r="AB61" s="9">
        <v>857.11613093000005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155</v>
      </c>
      <c r="B62" s="9">
        <v>5020.3482351100001</v>
      </c>
      <c r="C62" s="9">
        <v>3.95889683</v>
      </c>
      <c r="D62" s="9">
        <v>0.95034428999999998</v>
      </c>
      <c r="E62" s="9">
        <v>0.39339284000000002</v>
      </c>
      <c r="F62" s="9">
        <v>3.0469860000000001E-2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156</v>
      </c>
      <c r="B63" s="9">
        <v>23.888967510000001</v>
      </c>
      <c r="C63" s="9">
        <v>1.8838130000000002E-2</v>
      </c>
      <c r="D63" s="9">
        <v>4.52215E-3</v>
      </c>
      <c r="E63" s="9">
        <v>1.8719299999999999E-3</v>
      </c>
      <c r="F63" s="9">
        <v>1.4499000000000001E-4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157</v>
      </c>
      <c r="B64" s="9">
        <v>911.12086995000004</v>
      </c>
      <c r="C64" s="9">
        <v>885.08884509999996</v>
      </c>
      <c r="D64" s="9">
        <v>859.80059238000001</v>
      </c>
      <c r="E64" s="9">
        <v>835.23486117000004</v>
      </c>
      <c r="F64" s="9">
        <v>811.37108615</v>
      </c>
      <c r="G64" s="9">
        <v>788.18905512000003</v>
      </c>
      <c r="H64" s="9">
        <v>765.66936783000006</v>
      </c>
      <c r="I64" s="9">
        <v>743.79376987000001</v>
      </c>
      <c r="J64" s="9">
        <v>722.54404493000004</v>
      </c>
      <c r="K64" s="9">
        <v>701.89992935999999</v>
      </c>
      <c r="L64" s="9">
        <v>681.84564569999998</v>
      </c>
      <c r="M64" s="9">
        <v>662.37724592999996</v>
      </c>
      <c r="N64" s="9">
        <v>643.45218176000003</v>
      </c>
      <c r="O64" s="9">
        <v>625.06786155999998</v>
      </c>
      <c r="P64" s="9">
        <v>607.20926640000005</v>
      </c>
      <c r="Q64" s="9">
        <v>589.86222373999999</v>
      </c>
      <c r="R64" s="9">
        <v>573.03663945000005</v>
      </c>
      <c r="S64" s="9">
        <v>556.66437672999996</v>
      </c>
      <c r="T64" s="9">
        <v>540.76189314999999</v>
      </c>
      <c r="U64" s="9">
        <v>525.32068707999997</v>
      </c>
      <c r="V64" s="9">
        <v>510.31208425</v>
      </c>
      <c r="W64" s="9">
        <v>495.73173899</v>
      </c>
      <c r="X64" s="9">
        <v>481.56797502000001</v>
      </c>
      <c r="Y64" s="9">
        <v>467.80926124000001</v>
      </c>
      <c r="Z64" s="9">
        <v>454.44353576999998</v>
      </c>
      <c r="AA64" s="9">
        <v>441.46354330000003</v>
      </c>
      <c r="AB64" s="9">
        <v>428.85029921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158</v>
      </c>
      <c r="B65" s="9">
        <v>237.89865588999999</v>
      </c>
      <c r="C65" s="9">
        <v>231.10155143</v>
      </c>
      <c r="D65" s="9">
        <v>224.49864995999999</v>
      </c>
      <c r="E65" s="9">
        <v>218.08440282000001</v>
      </c>
      <c r="F65" s="9">
        <v>211.85344029000001</v>
      </c>
      <c r="G65" s="9">
        <v>205.80048485</v>
      </c>
      <c r="H65" s="9">
        <v>199.92047099999999</v>
      </c>
      <c r="I65" s="9">
        <v>194.20863241000001</v>
      </c>
      <c r="J65" s="9">
        <v>188.66021269000001</v>
      </c>
      <c r="K65" s="9">
        <v>183.26992089000001</v>
      </c>
      <c r="L65" s="9">
        <v>178.03363744999999</v>
      </c>
      <c r="M65" s="9">
        <v>172.9503315</v>
      </c>
      <c r="N65" s="9">
        <v>168.00889346</v>
      </c>
      <c r="O65" s="9">
        <v>163.20864663</v>
      </c>
      <c r="P65" s="9">
        <v>158.54566948999999</v>
      </c>
      <c r="Q65" s="9">
        <v>154.01626152</v>
      </c>
      <c r="R65" s="9">
        <v>149.62300919</v>
      </c>
      <c r="S65" s="9">
        <v>145.34812160000001</v>
      </c>
      <c r="T65" s="9">
        <v>141.19589593000001</v>
      </c>
      <c r="U65" s="9">
        <v>137.16411234</v>
      </c>
      <c r="V65" s="9">
        <v>133.24528384000001</v>
      </c>
      <c r="W65" s="9">
        <v>129.43827572999999</v>
      </c>
      <c r="X65" s="9">
        <v>125.74003928</v>
      </c>
      <c r="Y65" s="9">
        <v>122.14756365</v>
      </c>
      <c r="Z65" s="9">
        <v>118.65769942999999</v>
      </c>
      <c r="AA65" s="9">
        <v>115.26855222</v>
      </c>
      <c r="AB65" s="9">
        <v>111.97516501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159</v>
      </c>
      <c r="B66" s="9">
        <v>584608521.64497495</v>
      </c>
      <c r="C66" s="9">
        <v>461004.83718749997</v>
      </c>
      <c r="D66" s="9">
        <v>110665.50398438</v>
      </c>
      <c r="E66" s="9">
        <v>45809.731523440001</v>
      </c>
      <c r="F66" s="9">
        <v>3548.1485778800002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160</v>
      </c>
      <c r="B67" s="9">
        <v>9.5129999999999998E-4</v>
      </c>
      <c r="C67" s="9">
        <v>9.5129999999999998E-4</v>
      </c>
      <c r="D67" s="9">
        <v>9.5129999999999998E-4</v>
      </c>
      <c r="E67" s="9">
        <v>9.5129999999999998E-4</v>
      </c>
      <c r="F67" s="9">
        <v>9.5129999999999998E-4</v>
      </c>
      <c r="G67" s="9">
        <v>9.5129999999999998E-4</v>
      </c>
      <c r="H67" s="9">
        <v>9.5129999999999998E-4</v>
      </c>
      <c r="I67" s="9">
        <v>9.5129999999999998E-4</v>
      </c>
      <c r="J67" s="9">
        <v>9.5129999999999998E-4</v>
      </c>
      <c r="K67" s="9">
        <v>9.5129999999999998E-4</v>
      </c>
      <c r="L67" s="9">
        <v>9.5129999999999998E-4</v>
      </c>
      <c r="M67" s="9">
        <v>9.5129999999999998E-4</v>
      </c>
      <c r="N67" s="9">
        <v>9.5129999999999998E-4</v>
      </c>
      <c r="O67" s="9">
        <v>9.5129999999999998E-4</v>
      </c>
      <c r="P67" s="9">
        <v>9.5129999999999998E-4</v>
      </c>
      <c r="Q67" s="9">
        <v>9.5129999999999998E-4</v>
      </c>
      <c r="R67" s="9">
        <v>9.5129999999999998E-4</v>
      </c>
      <c r="S67" s="9">
        <v>9.5129999999999998E-4</v>
      </c>
      <c r="T67" s="9">
        <v>9.5129999999999998E-4</v>
      </c>
      <c r="U67" s="9">
        <v>9.5129999999999998E-4</v>
      </c>
      <c r="V67" s="9">
        <v>9.5129999999999998E-4</v>
      </c>
      <c r="W67" s="9">
        <v>9.5129999999999998E-4</v>
      </c>
      <c r="X67" s="9">
        <v>9.5129999999999998E-4</v>
      </c>
      <c r="Y67" s="9">
        <v>9.5129999999999998E-4</v>
      </c>
      <c r="Z67" s="9">
        <v>9.5129999999999998E-4</v>
      </c>
      <c r="AA67" s="9">
        <v>9.5129999999999998E-4</v>
      </c>
      <c r="AB67" s="9">
        <v>9.5129999999999998E-4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161</v>
      </c>
      <c r="B68" s="9">
        <v>0</v>
      </c>
      <c r="C68" s="9">
        <v>6.6430400000000002E-3</v>
      </c>
      <c r="D68" s="9">
        <v>6.5318399999999997E-3</v>
      </c>
      <c r="E68" s="9">
        <v>6.43511E-3</v>
      </c>
      <c r="F68" s="9">
        <v>6.3509700000000001E-3</v>
      </c>
      <c r="G68" s="9">
        <v>6.2778199999999999E-3</v>
      </c>
      <c r="H68" s="9">
        <v>6.2282099999999996E-3</v>
      </c>
      <c r="I68" s="9">
        <v>6.1915099999999999E-3</v>
      </c>
      <c r="J68" s="9">
        <v>6.15805E-3</v>
      </c>
      <c r="K68" s="9">
        <v>6.1323300000000001E-3</v>
      </c>
      <c r="L68" s="9">
        <v>6.1134400000000004E-3</v>
      </c>
      <c r="M68" s="9">
        <v>6.0954900000000003E-3</v>
      </c>
      <c r="N68" s="9">
        <v>6.07845E-3</v>
      </c>
      <c r="O68" s="9">
        <v>6.0622499999999999E-3</v>
      </c>
      <c r="P68" s="9">
        <v>6.0472800000000004E-3</v>
      </c>
      <c r="Q68" s="9">
        <v>6.0330899999999996E-3</v>
      </c>
      <c r="R68" s="9">
        <v>6.0198999999999999E-3</v>
      </c>
      <c r="S68" s="9">
        <v>6.0074000000000004E-3</v>
      </c>
      <c r="T68" s="9">
        <v>5.9956599999999999E-3</v>
      </c>
      <c r="U68" s="9">
        <v>5.9849200000000003E-3</v>
      </c>
      <c r="V68" s="9">
        <v>5.9743399999999999E-3</v>
      </c>
      <c r="W68" s="9">
        <v>5.9643099999999996E-3</v>
      </c>
      <c r="X68" s="9">
        <v>5.9548200000000004E-3</v>
      </c>
      <c r="Y68" s="9">
        <v>5.9459999999999999E-3</v>
      </c>
      <c r="Z68" s="9">
        <v>5.9376000000000003E-3</v>
      </c>
      <c r="AA68" s="9">
        <v>5.9297300000000002E-3</v>
      </c>
      <c r="AB68" s="9">
        <v>5.9222199999999997E-3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162</v>
      </c>
      <c r="B69" s="9">
        <v>0</v>
      </c>
      <c r="C69" s="9">
        <v>0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1E-8</v>
      </c>
      <c r="J69" s="9">
        <v>2.9999999999999997E-8</v>
      </c>
      <c r="K69" s="9">
        <v>0</v>
      </c>
      <c r="L69" s="9">
        <v>0</v>
      </c>
      <c r="M69" s="9">
        <v>2.1E-7</v>
      </c>
      <c r="N69" s="9">
        <v>0</v>
      </c>
      <c r="O69" s="9">
        <v>0</v>
      </c>
      <c r="P69" s="9">
        <v>1E-8</v>
      </c>
      <c r="Q69" s="9">
        <v>2.9999999999999997E-8</v>
      </c>
      <c r="R69" s="9">
        <v>3.8000000000000001E-7</v>
      </c>
      <c r="S69" s="9">
        <v>0</v>
      </c>
      <c r="T69" s="9">
        <v>2.9999999999999997E-8</v>
      </c>
      <c r="U69" s="9">
        <v>1.1999999999999999E-7</v>
      </c>
      <c r="V69" s="9">
        <v>1E-8</v>
      </c>
      <c r="W69" s="9">
        <v>0</v>
      </c>
      <c r="X69" s="9">
        <v>0</v>
      </c>
      <c r="Y69" s="9">
        <v>0</v>
      </c>
      <c r="Z69" s="9">
        <v>0</v>
      </c>
      <c r="AA69" s="9">
        <v>4.0000000000000001E-8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163</v>
      </c>
      <c r="B70" s="9">
        <v>1</v>
      </c>
      <c r="C70" s="9">
        <v>6.6430400000000002E-3</v>
      </c>
      <c r="D70" s="9">
        <v>6.5318399999999997E-3</v>
      </c>
      <c r="E70" s="9">
        <v>6.43511E-3</v>
      </c>
      <c r="F70" s="9">
        <v>6.3509700000000001E-3</v>
      </c>
      <c r="G70" s="9">
        <v>6.2778199999999999E-3</v>
      </c>
      <c r="H70" s="9">
        <v>6.2282099999999996E-3</v>
      </c>
      <c r="I70" s="9">
        <v>6.1915099999999999E-3</v>
      </c>
      <c r="J70" s="9">
        <v>6.15805E-3</v>
      </c>
      <c r="K70" s="9">
        <v>6.1323300000000001E-3</v>
      </c>
      <c r="L70" s="9">
        <v>6.1134400000000004E-3</v>
      </c>
      <c r="M70" s="9">
        <v>6.0954900000000003E-3</v>
      </c>
      <c r="N70" s="9">
        <v>6.07845E-3</v>
      </c>
      <c r="O70" s="9">
        <v>6.0622499999999999E-3</v>
      </c>
      <c r="P70" s="9">
        <v>6.0472800000000004E-3</v>
      </c>
      <c r="Q70" s="9">
        <v>6.0330899999999996E-3</v>
      </c>
      <c r="R70" s="9">
        <v>6.0198999999999999E-3</v>
      </c>
      <c r="S70" s="9">
        <v>6.0074000000000004E-3</v>
      </c>
      <c r="T70" s="9">
        <v>5.9956599999999999E-3</v>
      </c>
      <c r="U70" s="9">
        <v>5.9849200000000003E-3</v>
      </c>
      <c r="V70" s="9">
        <v>5.9743399999999999E-3</v>
      </c>
      <c r="W70" s="9">
        <v>5.9643099999999996E-3</v>
      </c>
      <c r="X70" s="9">
        <v>5.9548200000000004E-3</v>
      </c>
      <c r="Y70" s="9">
        <v>5.9459999999999999E-3</v>
      </c>
      <c r="Z70" s="9">
        <v>5.9376000000000003E-3</v>
      </c>
      <c r="AA70" s="9">
        <v>5.9297300000000002E-3</v>
      </c>
      <c r="AB70" s="9">
        <v>5.9222199999999997E-3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164</v>
      </c>
      <c r="B71" s="9">
        <v>0.97142857000000005</v>
      </c>
      <c r="C71" s="9">
        <v>0.97142857000000005</v>
      </c>
      <c r="D71" s="9">
        <v>0.97142857000000005</v>
      </c>
      <c r="E71" s="9">
        <v>0.97142857000000005</v>
      </c>
      <c r="F71" s="9">
        <v>0.97142857000000005</v>
      </c>
      <c r="G71" s="9">
        <v>0.97142857000000005</v>
      </c>
      <c r="H71" s="9">
        <v>0.97142857000000005</v>
      </c>
      <c r="I71" s="9">
        <v>0.97142857000000005</v>
      </c>
      <c r="J71" s="9">
        <v>0.97142857000000005</v>
      </c>
      <c r="K71" s="9">
        <v>0.97142857000000005</v>
      </c>
      <c r="L71" s="9">
        <v>0.97142857000000005</v>
      </c>
      <c r="M71" s="9">
        <v>0.97142857000000005</v>
      </c>
      <c r="N71" s="9">
        <v>0.97142857000000005</v>
      </c>
      <c r="O71" s="9">
        <v>0.97142857000000005</v>
      </c>
      <c r="P71" s="9">
        <v>0.97142857000000005</v>
      </c>
      <c r="Q71" s="9">
        <v>0.97142857000000005</v>
      </c>
      <c r="R71" s="9">
        <v>0.97142857000000005</v>
      </c>
      <c r="S71" s="9">
        <v>0.97142857000000005</v>
      </c>
      <c r="T71" s="9">
        <v>0.97142857000000005</v>
      </c>
      <c r="U71" s="9">
        <v>0.97142857000000005</v>
      </c>
      <c r="V71" s="9">
        <v>0.97142857000000005</v>
      </c>
      <c r="W71" s="9">
        <v>0.97142857000000005</v>
      </c>
      <c r="X71" s="9">
        <v>0.97142857000000005</v>
      </c>
      <c r="Y71" s="9">
        <v>0.97142857000000005</v>
      </c>
      <c r="Z71" s="9">
        <v>0.97142857000000005</v>
      </c>
      <c r="AA71" s="9">
        <v>0.97142857000000005</v>
      </c>
      <c r="AB71" s="9">
        <v>0.97142857000000005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165</v>
      </c>
      <c r="B72" s="9">
        <v>0.31450128999999999</v>
      </c>
      <c r="C72" s="9">
        <v>0.31450128999999999</v>
      </c>
      <c r="D72" s="9">
        <v>0.31450128999999999</v>
      </c>
      <c r="E72" s="9">
        <v>0.31450128999999999</v>
      </c>
      <c r="F72" s="9">
        <v>0.31450128999999999</v>
      </c>
      <c r="G72" s="9">
        <v>0.31450128999999999</v>
      </c>
      <c r="H72" s="9">
        <v>0.31450128999999999</v>
      </c>
      <c r="I72" s="9">
        <v>0.31450128999999999</v>
      </c>
      <c r="J72" s="9">
        <v>0.31450128999999999</v>
      </c>
      <c r="K72" s="9">
        <v>0.31450128999999999</v>
      </c>
      <c r="L72" s="9">
        <v>0.31450128999999999</v>
      </c>
      <c r="M72" s="9">
        <v>0.31450128999999999</v>
      </c>
      <c r="N72" s="9">
        <v>0.31450128999999999</v>
      </c>
      <c r="O72" s="9">
        <v>0.31450128999999999</v>
      </c>
      <c r="P72" s="9">
        <v>0.31450128999999999</v>
      </c>
      <c r="Q72" s="9">
        <v>0.31450128999999999</v>
      </c>
      <c r="R72" s="9">
        <v>0.31450128999999999</v>
      </c>
      <c r="S72" s="9">
        <v>0.31450128999999999</v>
      </c>
      <c r="T72" s="9">
        <v>0.31450128999999999</v>
      </c>
      <c r="U72" s="9">
        <v>0.31450128999999999</v>
      </c>
      <c r="V72" s="9">
        <v>0.31450128999999999</v>
      </c>
      <c r="W72" s="9">
        <v>0.31450128999999999</v>
      </c>
      <c r="X72" s="9">
        <v>0.31450128999999999</v>
      </c>
      <c r="Y72" s="9">
        <v>0.31450128999999999</v>
      </c>
      <c r="Z72" s="9">
        <v>0.31450128999999999</v>
      </c>
      <c r="AA72" s="9">
        <v>0.31450128999999999</v>
      </c>
      <c r="AB72" s="9">
        <v>0.31450128999999999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166</v>
      </c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167</v>
      </c>
      <c r="B74" s="9">
        <v>0</v>
      </c>
      <c r="C74" s="9">
        <v>0</v>
      </c>
      <c r="D74" s="9">
        <v>0</v>
      </c>
      <c r="E74" s="9">
        <v>0</v>
      </c>
      <c r="F74" s="9">
        <v>3.2383999999999999E-4</v>
      </c>
      <c r="G74" s="9">
        <v>3.0225E-4</v>
      </c>
      <c r="H74" s="9">
        <v>2.8210000000000003E-4</v>
      </c>
      <c r="I74" s="9">
        <v>5.9565399999999998E-3</v>
      </c>
      <c r="J74" s="9">
        <v>5.5594299999999998E-3</v>
      </c>
      <c r="K74" s="9">
        <v>8.120811E-2</v>
      </c>
      <c r="L74" s="9">
        <v>7.5795050000000003E-2</v>
      </c>
      <c r="M74" s="9">
        <v>7.0758329999999994E-2</v>
      </c>
      <c r="N74" s="9">
        <v>8.2318669999999997E-2</v>
      </c>
      <c r="O74" s="9">
        <v>9.4568070000000004E-2</v>
      </c>
      <c r="P74" s="9">
        <v>9.0540090000000004E-2</v>
      </c>
      <c r="Q74" s="9">
        <v>8.450502E-2</v>
      </c>
      <c r="R74" s="9">
        <v>7.8911960000000003E-2</v>
      </c>
      <c r="S74" s="9">
        <v>7.3651159999999993E-2</v>
      </c>
      <c r="T74" s="9">
        <v>8.2276139999999998E-2</v>
      </c>
      <c r="U74" s="9">
        <v>8.2064059999999994E-2</v>
      </c>
      <c r="V74" s="9">
        <v>0.16563195</v>
      </c>
      <c r="W74" s="9">
        <v>0.15962946</v>
      </c>
      <c r="X74" s="9">
        <v>0.14991735</v>
      </c>
      <c r="Y74" s="9">
        <v>0.15036658999999999</v>
      </c>
      <c r="Z74" s="9">
        <v>0.14132148</v>
      </c>
      <c r="AA74" s="9">
        <v>0.13266992999999999</v>
      </c>
      <c r="AB74" s="9">
        <v>0.29882141000000001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168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0</v>
      </c>
      <c r="I75" s="9">
        <v>0</v>
      </c>
      <c r="J75" s="9">
        <v>0</v>
      </c>
      <c r="K75" s="9">
        <v>0</v>
      </c>
      <c r="L75" s="9">
        <v>0</v>
      </c>
      <c r="M75" s="9">
        <v>0</v>
      </c>
      <c r="N75" s="9">
        <v>0</v>
      </c>
      <c r="O75" s="9">
        <v>0</v>
      </c>
      <c r="P75" s="9">
        <v>0</v>
      </c>
      <c r="Q75" s="9">
        <v>0</v>
      </c>
      <c r="R75" s="9">
        <v>0</v>
      </c>
      <c r="S75" s="9">
        <v>0</v>
      </c>
      <c r="T75" s="9">
        <v>0</v>
      </c>
      <c r="U75" s="9">
        <v>0</v>
      </c>
      <c r="V75" s="9">
        <v>0</v>
      </c>
      <c r="W75" s="9">
        <v>0</v>
      </c>
      <c r="X75" s="9">
        <v>0</v>
      </c>
      <c r="Y75" s="9">
        <v>0</v>
      </c>
      <c r="Z75" s="9">
        <v>0</v>
      </c>
      <c r="AA75" s="9">
        <v>0</v>
      </c>
      <c r="AB75" s="9">
        <v>0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169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170</v>
      </c>
      <c r="B77" s="9">
        <v>0</v>
      </c>
      <c r="C77" s="9">
        <v>0</v>
      </c>
      <c r="D77" s="9">
        <v>0</v>
      </c>
      <c r="E77" s="9">
        <v>0</v>
      </c>
      <c r="F77" s="9">
        <v>8.1630000000000003E-5</v>
      </c>
      <c r="G77" s="9">
        <v>7.6190000000000001E-5</v>
      </c>
      <c r="H77" s="9">
        <v>7.1110000000000002E-5</v>
      </c>
      <c r="I77" s="9">
        <v>1.50143E-3</v>
      </c>
      <c r="J77" s="9">
        <v>1.4013299999999999E-3</v>
      </c>
      <c r="K77" s="9">
        <v>2.0469600000000001E-2</v>
      </c>
      <c r="L77" s="9">
        <v>1.9105170000000001E-2</v>
      </c>
      <c r="M77" s="9">
        <v>1.7835589999999998E-2</v>
      </c>
      <c r="N77" s="9">
        <v>2.0749529999999999E-2</v>
      </c>
      <c r="O77" s="9">
        <v>2.383716E-2</v>
      </c>
      <c r="P77" s="9">
        <v>2.2821850000000001E-2</v>
      </c>
      <c r="Q77" s="9">
        <v>2.1300630000000001E-2</v>
      </c>
      <c r="R77" s="9">
        <v>1.9890830000000002E-2</v>
      </c>
      <c r="S77" s="9">
        <v>1.8564770000000001E-2</v>
      </c>
      <c r="T77" s="9">
        <v>2.073881E-2</v>
      </c>
      <c r="U77" s="9">
        <v>2.068536E-2</v>
      </c>
      <c r="V77" s="9">
        <v>4.1749769999999999E-2</v>
      </c>
      <c r="W77" s="9">
        <v>4.0236760000000003E-2</v>
      </c>
      <c r="X77" s="9">
        <v>3.7788700000000001E-2</v>
      </c>
      <c r="Y77" s="9">
        <v>3.790193E-2</v>
      </c>
      <c r="Z77" s="9">
        <v>3.5621989999999999E-2</v>
      </c>
      <c r="AA77" s="9">
        <v>3.3441249999999999E-2</v>
      </c>
      <c r="AB77" s="9">
        <v>7.5321979999999997E-2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171</v>
      </c>
      <c r="B78" s="9">
        <v>0</v>
      </c>
      <c r="C78" s="9">
        <v>0</v>
      </c>
      <c r="D78" s="9">
        <v>0</v>
      </c>
      <c r="E78" s="9">
        <v>0</v>
      </c>
      <c r="F78" s="9">
        <v>0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v>0</v>
      </c>
      <c r="M78" s="9">
        <v>0</v>
      </c>
      <c r="N78" s="9">
        <v>0</v>
      </c>
      <c r="O78" s="9">
        <v>0</v>
      </c>
      <c r="P78" s="9">
        <v>0</v>
      </c>
      <c r="Q78" s="9">
        <v>0</v>
      </c>
      <c r="R78" s="9">
        <v>0</v>
      </c>
      <c r="S78" s="9">
        <v>0</v>
      </c>
      <c r="T78" s="9">
        <v>0</v>
      </c>
      <c r="U78" s="9">
        <v>0</v>
      </c>
      <c r="V78" s="9">
        <v>0</v>
      </c>
      <c r="W78" s="9">
        <v>0</v>
      </c>
      <c r="X78" s="9">
        <v>0</v>
      </c>
      <c r="Y78" s="9">
        <v>0</v>
      </c>
      <c r="Z78" s="9">
        <v>0</v>
      </c>
      <c r="AA78" s="9">
        <v>0</v>
      </c>
      <c r="AB78" s="9">
        <v>0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172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0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0</v>
      </c>
      <c r="AA79" s="9">
        <v>0</v>
      </c>
      <c r="AB79" s="9">
        <v>0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173</v>
      </c>
      <c r="B80" s="9">
        <v>3.625E-5</v>
      </c>
      <c r="C80" s="9">
        <v>3.625E-5</v>
      </c>
      <c r="D80" s="9">
        <v>3.625E-5</v>
      </c>
      <c r="E80" s="9">
        <v>3.625E-5</v>
      </c>
      <c r="F80" s="9">
        <v>3.625E-5</v>
      </c>
      <c r="G80" s="9">
        <v>3.625E-5</v>
      </c>
      <c r="H80" s="9">
        <v>3.625E-5</v>
      </c>
      <c r="I80" s="9">
        <v>3.625E-5</v>
      </c>
      <c r="J80" s="9">
        <v>3.625E-5</v>
      </c>
      <c r="K80" s="9">
        <v>3.625E-5</v>
      </c>
      <c r="L80" s="9">
        <v>3.625E-5</v>
      </c>
      <c r="M80" s="9">
        <v>3.625E-5</v>
      </c>
      <c r="N80" s="9">
        <v>3.625E-5</v>
      </c>
      <c r="O80" s="9">
        <v>3.625E-5</v>
      </c>
      <c r="P80" s="9">
        <v>3.625E-5</v>
      </c>
      <c r="Q80" s="9">
        <v>3.625E-5</v>
      </c>
      <c r="R80" s="9">
        <v>3.625E-5</v>
      </c>
      <c r="S80" s="9">
        <v>3.625E-5</v>
      </c>
      <c r="T80" s="9">
        <v>3.625E-5</v>
      </c>
      <c r="U80" s="9">
        <v>3.625E-5</v>
      </c>
      <c r="V80" s="9">
        <v>3.625E-5</v>
      </c>
      <c r="W80" s="9">
        <v>3.625E-5</v>
      </c>
      <c r="X80" s="9">
        <v>3.625E-5</v>
      </c>
      <c r="Y80" s="9">
        <v>3.625E-5</v>
      </c>
      <c r="Z80" s="9">
        <v>3.625E-5</v>
      </c>
      <c r="AA80" s="9">
        <v>3.625E-5</v>
      </c>
      <c r="AB80" s="9">
        <v>3.625E-5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174</v>
      </c>
      <c r="B81" s="9">
        <v>0</v>
      </c>
      <c r="C81" s="9">
        <v>8.1971800000000001E-3</v>
      </c>
      <c r="D81" s="9">
        <v>8.1971800000000001E-3</v>
      </c>
      <c r="E81" s="9">
        <v>8.1971800000000001E-3</v>
      </c>
      <c r="F81" s="9">
        <v>8.1971800000000001E-3</v>
      </c>
      <c r="G81" s="9">
        <v>8.1971800000000001E-3</v>
      </c>
      <c r="H81" s="9">
        <v>8.1971800000000001E-3</v>
      </c>
      <c r="I81" s="9">
        <v>8.1971800000000001E-3</v>
      </c>
      <c r="J81" s="9">
        <v>8.1971800000000001E-3</v>
      </c>
      <c r="K81" s="9">
        <v>8.1971800000000001E-3</v>
      </c>
      <c r="L81" s="9">
        <v>8.1972199999999999E-3</v>
      </c>
      <c r="M81" s="9">
        <v>8.1972199999999999E-3</v>
      </c>
      <c r="N81" s="9">
        <v>8.1972199999999999E-3</v>
      </c>
      <c r="O81" s="9">
        <v>8.1972199999999999E-3</v>
      </c>
      <c r="P81" s="9">
        <v>8.1972299999999998E-3</v>
      </c>
      <c r="Q81" s="9">
        <v>8.1972199999999999E-3</v>
      </c>
      <c r="R81" s="9">
        <v>8.1972199999999999E-3</v>
      </c>
      <c r="S81" s="9">
        <v>8.1972199999999999E-3</v>
      </c>
      <c r="T81" s="9">
        <v>8.1972099999999999E-3</v>
      </c>
      <c r="U81" s="9">
        <v>8.1972199999999999E-3</v>
      </c>
      <c r="V81" s="9">
        <v>8.1972099999999999E-3</v>
      </c>
      <c r="W81" s="9">
        <v>8.1972499999999997E-3</v>
      </c>
      <c r="X81" s="9">
        <v>8.1972399999999997E-3</v>
      </c>
      <c r="Y81" s="9">
        <v>8.1972399999999997E-3</v>
      </c>
      <c r="Z81" s="9">
        <v>8.1972399999999997E-3</v>
      </c>
      <c r="AA81" s="9">
        <v>8.1972299999999998E-3</v>
      </c>
      <c r="AB81" s="9">
        <v>8.1972299999999998E-3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175</v>
      </c>
      <c r="B82" s="9">
        <v>0</v>
      </c>
      <c r="C82" s="9">
        <v>0</v>
      </c>
      <c r="D82" s="9">
        <v>0</v>
      </c>
      <c r="E82" s="9">
        <v>0</v>
      </c>
      <c r="F82" s="9">
        <v>0</v>
      </c>
      <c r="G82" s="9">
        <v>0</v>
      </c>
      <c r="H82" s="9">
        <v>0</v>
      </c>
      <c r="I82" s="9">
        <v>4.9999999999999998E-8</v>
      </c>
      <c r="J82" s="9">
        <v>0</v>
      </c>
      <c r="K82" s="9">
        <v>6.5000000000000002E-7</v>
      </c>
      <c r="L82" s="9">
        <v>0</v>
      </c>
      <c r="M82" s="9">
        <v>0</v>
      </c>
      <c r="N82" s="9">
        <v>1.3E-7</v>
      </c>
      <c r="O82" s="9">
        <v>1.3E-7</v>
      </c>
      <c r="P82" s="9">
        <v>2E-8</v>
      </c>
      <c r="Q82" s="9">
        <v>0</v>
      </c>
      <c r="R82" s="9">
        <v>0</v>
      </c>
      <c r="S82" s="9">
        <v>0</v>
      </c>
      <c r="T82" s="9">
        <v>8.9999999999999999E-8</v>
      </c>
      <c r="U82" s="9">
        <v>2.9999999999999997E-8</v>
      </c>
      <c r="V82" s="9">
        <v>5.5000000000000003E-7</v>
      </c>
      <c r="W82" s="9">
        <v>2.9999999999999997E-8</v>
      </c>
      <c r="X82" s="9">
        <v>1E-8</v>
      </c>
      <c r="Y82" s="9">
        <v>5.9999999999999995E-8</v>
      </c>
      <c r="Z82" s="9">
        <v>1E-8</v>
      </c>
      <c r="AA82" s="9">
        <v>0</v>
      </c>
      <c r="AB82" s="9">
        <v>9.1999999999999998E-7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 t="s">
        <v>176</v>
      </c>
      <c r="B83" s="9">
        <v>1</v>
      </c>
      <c r="C83" s="9">
        <v>8.1971800000000001E-3</v>
      </c>
      <c r="D83" s="9">
        <v>8.1971800000000001E-3</v>
      </c>
      <c r="E83" s="9">
        <v>8.1971800000000001E-3</v>
      </c>
      <c r="F83" s="9">
        <v>8.1971800000000001E-3</v>
      </c>
      <c r="G83" s="9">
        <v>8.1971800000000001E-3</v>
      </c>
      <c r="H83" s="9">
        <v>8.1971800000000001E-3</v>
      </c>
      <c r="I83" s="9">
        <v>8.1971800000000001E-3</v>
      </c>
      <c r="J83" s="9">
        <v>8.1971800000000001E-3</v>
      </c>
      <c r="K83" s="9">
        <v>8.1971800000000001E-3</v>
      </c>
      <c r="L83" s="9">
        <v>8.1972199999999999E-3</v>
      </c>
      <c r="M83" s="9">
        <v>8.1972199999999999E-3</v>
      </c>
      <c r="N83" s="9">
        <v>8.1972199999999999E-3</v>
      </c>
      <c r="O83" s="9">
        <v>8.1972199999999999E-3</v>
      </c>
      <c r="P83" s="9">
        <v>8.1972299999999998E-3</v>
      </c>
      <c r="Q83" s="9">
        <v>8.1972199999999999E-3</v>
      </c>
      <c r="R83" s="9">
        <v>8.1972199999999999E-3</v>
      </c>
      <c r="S83" s="9">
        <v>8.1972199999999999E-3</v>
      </c>
      <c r="T83" s="9">
        <v>8.1972099999999999E-3</v>
      </c>
      <c r="U83" s="9">
        <v>8.1972199999999999E-3</v>
      </c>
      <c r="V83" s="9">
        <v>8.1972099999999999E-3</v>
      </c>
      <c r="W83" s="9">
        <v>8.1972499999999997E-3</v>
      </c>
      <c r="X83" s="9">
        <v>8.1972399999999997E-3</v>
      </c>
      <c r="Y83" s="9">
        <v>8.1972399999999997E-3</v>
      </c>
      <c r="Z83" s="9">
        <v>8.1972399999999997E-3</v>
      </c>
      <c r="AA83" s="9">
        <v>8.1972299999999998E-3</v>
      </c>
      <c r="AB83" s="9">
        <v>8.1972299999999998E-3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A84" t="s">
        <v>177</v>
      </c>
      <c r="B84" s="9">
        <v>0.93333332999999996</v>
      </c>
      <c r="C84" s="9">
        <v>0.93333332999999996</v>
      </c>
      <c r="D84" s="9">
        <v>0.93333332999999996</v>
      </c>
      <c r="E84" s="9">
        <v>0.93333332999999996</v>
      </c>
      <c r="F84" s="9">
        <v>0.93333332999999996</v>
      </c>
      <c r="G84" s="9">
        <v>0.93333332999999996</v>
      </c>
      <c r="H84" s="9">
        <v>0.93333332999999996</v>
      </c>
      <c r="I84" s="9">
        <v>0.93333332999999996</v>
      </c>
      <c r="J84" s="9">
        <v>0.93333332999999996</v>
      </c>
      <c r="K84" s="9">
        <v>0.93333332999999996</v>
      </c>
      <c r="L84" s="9">
        <v>0.93333332999999996</v>
      </c>
      <c r="M84" s="9">
        <v>0.93333332999999996</v>
      </c>
      <c r="N84" s="9">
        <v>0.93333332999999996</v>
      </c>
      <c r="O84" s="9">
        <v>0.93333332999999996</v>
      </c>
      <c r="P84" s="9">
        <v>0.93333332999999996</v>
      </c>
      <c r="Q84" s="9">
        <v>0.93333332999999996</v>
      </c>
      <c r="R84" s="9">
        <v>0.93333332999999996</v>
      </c>
      <c r="S84" s="9">
        <v>0.93333332999999996</v>
      </c>
      <c r="T84" s="9">
        <v>0.93333332999999996</v>
      </c>
      <c r="U84" s="9">
        <v>0.93333332999999996</v>
      </c>
      <c r="V84" s="9">
        <v>0.93333332999999996</v>
      </c>
      <c r="W84" s="9">
        <v>0.93333332999999996</v>
      </c>
      <c r="X84" s="9">
        <v>0.93333332999999996</v>
      </c>
      <c r="Y84" s="9">
        <v>0.93333332999999996</v>
      </c>
      <c r="Z84" s="9">
        <v>0.93333332999999996</v>
      </c>
      <c r="AA84" s="9">
        <v>0.93333332999999996</v>
      </c>
      <c r="AB84" s="9">
        <v>0.93333332999999996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A85" t="s">
        <v>178</v>
      </c>
      <c r="B85" s="9">
        <v>1</v>
      </c>
      <c r="C85" s="9">
        <v>1</v>
      </c>
      <c r="D85" s="9">
        <v>1</v>
      </c>
      <c r="E85" s="9">
        <v>1</v>
      </c>
      <c r="F85" s="9">
        <v>1</v>
      </c>
      <c r="G85" s="9">
        <v>1</v>
      </c>
      <c r="H85" s="9">
        <v>1</v>
      </c>
      <c r="I85" s="9">
        <v>1</v>
      </c>
      <c r="J85" s="9">
        <v>1</v>
      </c>
      <c r="K85" s="9">
        <v>1</v>
      </c>
      <c r="L85" s="9">
        <v>1</v>
      </c>
      <c r="M85" s="9">
        <v>1</v>
      </c>
      <c r="N85" s="9">
        <v>1</v>
      </c>
      <c r="O85" s="9">
        <v>1</v>
      </c>
      <c r="P85" s="9">
        <v>1</v>
      </c>
      <c r="Q85" s="9">
        <v>1</v>
      </c>
      <c r="R85" s="9">
        <v>1</v>
      </c>
      <c r="S85" s="9">
        <v>1</v>
      </c>
      <c r="T85" s="9">
        <v>1</v>
      </c>
      <c r="U85" s="9">
        <v>1</v>
      </c>
      <c r="V85" s="9">
        <v>1</v>
      </c>
      <c r="W85" s="9">
        <v>1</v>
      </c>
      <c r="X85" s="9">
        <v>1</v>
      </c>
      <c r="Y85" s="9">
        <v>1</v>
      </c>
      <c r="Z85" s="9">
        <v>1</v>
      </c>
      <c r="AA85" s="9">
        <v>1</v>
      </c>
      <c r="AB85" s="9">
        <v>1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A86" t="s">
        <v>179</v>
      </c>
      <c r="B86" s="9">
        <v>0</v>
      </c>
      <c r="C86" s="9">
        <v>731.47784263000005</v>
      </c>
      <c r="D86" s="9">
        <v>1576.16994832</v>
      </c>
      <c r="E86" s="9">
        <v>2511.7667277700002</v>
      </c>
      <c r="F86" s="9">
        <v>3456.5138971900001</v>
      </c>
      <c r="G86" s="9">
        <v>4313.3963684600003</v>
      </c>
      <c r="H86" s="9">
        <v>4994.3332079000002</v>
      </c>
      <c r="I86" s="9">
        <v>5452.2179121099998</v>
      </c>
      <c r="J86" s="9">
        <v>5611.5188674800002</v>
      </c>
      <c r="K86" s="9">
        <v>5517.59442416</v>
      </c>
      <c r="L86" s="9">
        <v>5283.3077706300001</v>
      </c>
      <c r="M86" s="9">
        <v>4949.88848805</v>
      </c>
      <c r="N86" s="9">
        <v>4554.9470299599998</v>
      </c>
      <c r="O86" s="9">
        <v>4659.9575497599999</v>
      </c>
      <c r="P86" s="9">
        <v>4887.0507183700001</v>
      </c>
      <c r="Q86" s="9">
        <v>5100.84991464</v>
      </c>
      <c r="R86" s="9">
        <v>5291.9632665199997</v>
      </c>
      <c r="S86" s="9">
        <v>5472.68144347</v>
      </c>
      <c r="T86" s="9">
        <v>5593.0715386600004</v>
      </c>
      <c r="U86" s="9">
        <v>5792.0479704099998</v>
      </c>
      <c r="V86" s="9">
        <v>5981.6815925000001</v>
      </c>
      <c r="W86" s="9">
        <v>6178.5777478399996</v>
      </c>
      <c r="X86" s="9">
        <v>6365.1112384099997</v>
      </c>
      <c r="Y86" s="9">
        <v>6560.2230545000002</v>
      </c>
      <c r="Z86" s="9">
        <v>6717.4071953000002</v>
      </c>
      <c r="AA86" s="9">
        <v>6906.5590418299998</v>
      </c>
      <c r="AB86" s="9">
        <v>7089.0817640799996</v>
      </c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A87" t="s">
        <v>180</v>
      </c>
      <c r="B87" s="9">
        <v>0</v>
      </c>
      <c r="C87" s="9">
        <v>56.258510389999998</v>
      </c>
      <c r="D87" s="9">
        <v>127.01624126</v>
      </c>
      <c r="E87" s="9">
        <v>214.84204523</v>
      </c>
      <c r="F87" s="9">
        <v>322.71307890000003</v>
      </c>
      <c r="G87" s="9">
        <v>454.07541411</v>
      </c>
      <c r="H87" s="9">
        <v>610.69325899</v>
      </c>
      <c r="I87" s="9">
        <v>793.85225792999995</v>
      </c>
      <c r="J87" s="9">
        <v>1005.68297777</v>
      </c>
      <c r="K87" s="9">
        <v>1246.71646607</v>
      </c>
      <c r="L87" s="9">
        <v>1516.2114391800001</v>
      </c>
      <c r="M87" s="9">
        <v>1814.9558980300001</v>
      </c>
      <c r="N87" s="9">
        <v>2143.7374758300002</v>
      </c>
      <c r="O87" s="9">
        <v>2503.1624775700002</v>
      </c>
      <c r="P87" s="9">
        <v>2893.3400829500001</v>
      </c>
      <c r="Q87" s="9">
        <v>3314.54558124</v>
      </c>
      <c r="R87" s="9">
        <v>3767.0000396</v>
      </c>
      <c r="S87" s="9">
        <v>4251.1855402000001</v>
      </c>
      <c r="T87" s="9">
        <v>4767.3110822400004</v>
      </c>
      <c r="U87" s="9">
        <v>5315.3271738499998</v>
      </c>
      <c r="V87" s="9">
        <v>5896.6983305699996</v>
      </c>
      <c r="W87" s="9">
        <v>6512.2582928100001</v>
      </c>
      <c r="X87" s="9">
        <v>7162.5944947899998</v>
      </c>
      <c r="Y87" s="9">
        <v>7847.8756201400001</v>
      </c>
      <c r="Z87" s="9">
        <v>8568.6053128399999</v>
      </c>
      <c r="AA87" s="9">
        <v>9325.2345659500006</v>
      </c>
      <c r="AB87" s="9">
        <v>10118.412607509999</v>
      </c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A88" t="s">
        <v>181</v>
      </c>
      <c r="B88" s="9">
        <v>0</v>
      </c>
      <c r="C88" s="9">
        <v>78.67698686</v>
      </c>
      <c r="D88" s="9">
        <v>216.53858231000001</v>
      </c>
      <c r="E88" s="9">
        <v>423.61615770999998</v>
      </c>
      <c r="F88" s="9">
        <v>708.94979102000002</v>
      </c>
      <c r="G88" s="9">
        <v>1078.7920650200001</v>
      </c>
      <c r="H88" s="9">
        <v>1527.4694956200001</v>
      </c>
      <c r="I88" s="9">
        <v>2043.86875332</v>
      </c>
      <c r="J88" s="9">
        <v>2614.97496628</v>
      </c>
      <c r="K88" s="9">
        <v>3220.6083317100001</v>
      </c>
      <c r="L88" s="9">
        <v>3843.1777729199998</v>
      </c>
      <c r="M88" s="9">
        <v>4470.9439259399996</v>
      </c>
      <c r="N88" s="9">
        <v>5098.7147783</v>
      </c>
      <c r="O88" s="9">
        <v>5584.4558746000002</v>
      </c>
      <c r="P88" s="9">
        <v>6036.3389944399996</v>
      </c>
      <c r="Q88" s="9">
        <v>6489.2055112600001</v>
      </c>
      <c r="R88" s="9">
        <v>6947.4668830199998</v>
      </c>
      <c r="S88" s="9">
        <v>7407.8144584600004</v>
      </c>
      <c r="T88" s="9">
        <v>7880.6761744599999</v>
      </c>
      <c r="U88" s="9">
        <v>8337.7893638000005</v>
      </c>
      <c r="V88" s="9">
        <v>8798.9369074499991</v>
      </c>
      <c r="W88" s="9">
        <v>9259.9314525600003</v>
      </c>
      <c r="X88" s="9">
        <v>9724.2847239599996</v>
      </c>
      <c r="Y88" s="9">
        <v>10189.95234991</v>
      </c>
      <c r="Z88" s="9">
        <v>10668.094672699999</v>
      </c>
      <c r="AA88" s="9">
        <v>11143.577740610001</v>
      </c>
      <c r="AB88" s="9">
        <v>11623.89466881</v>
      </c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A89" t="s">
        <v>182</v>
      </c>
      <c r="B89" s="9">
        <v>0</v>
      </c>
      <c r="C89" s="9">
        <v>9231.6424215000006</v>
      </c>
      <c r="D89" s="9">
        <v>15987.97679741</v>
      </c>
      <c r="E89" s="9">
        <v>20030.36001393</v>
      </c>
      <c r="F89" s="9">
        <v>21556.347072600001</v>
      </c>
      <c r="G89" s="9">
        <v>20943.354682100002</v>
      </c>
      <c r="H89" s="9">
        <v>18952.463792319999</v>
      </c>
      <c r="I89" s="9">
        <v>16249.804558919999</v>
      </c>
      <c r="J89" s="9">
        <v>13731.86354203</v>
      </c>
      <c r="K89" s="9">
        <v>11735.337058470001</v>
      </c>
      <c r="L89" s="9">
        <v>10086.92046261</v>
      </c>
      <c r="M89" s="9">
        <v>8872.9614233800003</v>
      </c>
      <c r="N89" s="9">
        <v>7995.55275807</v>
      </c>
      <c r="O89" s="9">
        <v>8079.3368694800001</v>
      </c>
      <c r="P89" s="9">
        <v>8330.5998272100005</v>
      </c>
      <c r="Q89" s="9">
        <v>8602.2820235199997</v>
      </c>
      <c r="R89" s="9">
        <v>8842.4078971199997</v>
      </c>
      <c r="S89" s="9">
        <v>9085.8689839599992</v>
      </c>
      <c r="T89" s="9">
        <v>9374.5233109000001</v>
      </c>
      <c r="U89" s="9">
        <v>9676.41762303</v>
      </c>
      <c r="V89" s="9">
        <v>9955.1741037200009</v>
      </c>
      <c r="W89" s="9">
        <v>10234.08472984</v>
      </c>
      <c r="X89" s="9">
        <v>10539.77673016</v>
      </c>
      <c r="Y89" s="9">
        <v>10836.83287249</v>
      </c>
      <c r="Z89" s="9">
        <v>11114.1300789</v>
      </c>
      <c r="AA89" s="9">
        <v>11390.252700290001</v>
      </c>
      <c r="AB89" s="9">
        <v>11713.039675550001</v>
      </c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A90" t="s">
        <v>183</v>
      </c>
      <c r="B90" s="9">
        <v>0</v>
      </c>
      <c r="C90" s="9">
        <v>0.73468694999999995</v>
      </c>
      <c r="D90" s="9">
        <v>0.35272733000000001</v>
      </c>
      <c r="E90" s="9">
        <v>0.21901599999999999</v>
      </c>
      <c r="F90" s="9">
        <v>2.261823E-2</v>
      </c>
      <c r="G90" s="9">
        <v>0</v>
      </c>
      <c r="H90" s="9">
        <v>0</v>
      </c>
      <c r="I90" s="9">
        <v>0</v>
      </c>
      <c r="J90" s="9">
        <v>0</v>
      </c>
      <c r="K90" s="9">
        <v>0</v>
      </c>
      <c r="L90" s="9">
        <v>0</v>
      </c>
      <c r="M90" s="9">
        <v>0</v>
      </c>
      <c r="N90" s="9">
        <v>0</v>
      </c>
      <c r="O90" s="9">
        <v>0</v>
      </c>
      <c r="P90" s="9">
        <v>0</v>
      </c>
      <c r="Q90" s="9">
        <v>0</v>
      </c>
      <c r="R90" s="9">
        <v>0</v>
      </c>
      <c r="S90" s="9">
        <v>0</v>
      </c>
      <c r="T90" s="9">
        <v>0</v>
      </c>
      <c r="U90" s="9">
        <v>0</v>
      </c>
      <c r="V90" s="9">
        <v>0</v>
      </c>
      <c r="W90" s="9">
        <v>0</v>
      </c>
      <c r="X90" s="9">
        <v>0</v>
      </c>
      <c r="Y90" s="9">
        <v>0</v>
      </c>
      <c r="Z90" s="9">
        <v>0</v>
      </c>
      <c r="AA90" s="9">
        <v>0</v>
      </c>
      <c r="AB90" s="9">
        <v>0</v>
      </c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A91" t="s">
        <v>184</v>
      </c>
      <c r="B91" s="9">
        <v>0</v>
      </c>
      <c r="C91" s="9">
        <v>0</v>
      </c>
      <c r="D91" s="9">
        <v>0</v>
      </c>
      <c r="E91" s="9">
        <v>0</v>
      </c>
      <c r="F91" s="9">
        <v>0</v>
      </c>
      <c r="G91" s="9">
        <v>0</v>
      </c>
      <c r="H91" s="9">
        <v>0</v>
      </c>
      <c r="I91" s="9">
        <v>0</v>
      </c>
      <c r="J91" s="9">
        <v>0</v>
      </c>
      <c r="K91" s="9">
        <v>0</v>
      </c>
      <c r="L91" s="9">
        <v>0</v>
      </c>
      <c r="M91" s="9">
        <v>0</v>
      </c>
      <c r="N91" s="9">
        <v>0</v>
      </c>
      <c r="O91" s="9">
        <v>0</v>
      </c>
      <c r="P91" s="9">
        <v>0</v>
      </c>
      <c r="Q91" s="9">
        <v>0</v>
      </c>
      <c r="R91" s="9">
        <v>0</v>
      </c>
      <c r="S91" s="9">
        <v>0</v>
      </c>
      <c r="T91" s="9">
        <v>0</v>
      </c>
      <c r="U91" s="9">
        <v>0</v>
      </c>
      <c r="V91" s="9">
        <v>0</v>
      </c>
      <c r="W91" s="9">
        <v>0</v>
      </c>
      <c r="X91" s="9">
        <v>0</v>
      </c>
      <c r="Y91" s="9">
        <v>0</v>
      </c>
      <c r="Z91" s="9">
        <v>0</v>
      </c>
      <c r="AA91" s="9">
        <v>0</v>
      </c>
      <c r="AB91" s="9">
        <v>0</v>
      </c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Graph</vt:lpstr>
      <vt:lpstr>Reference</vt:lpstr>
      <vt:lpstr>Inbox</vt:lpstr>
      <vt:lpstr>CAL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2025-09-06T23:32:05Z</dcterms:modified>
</cp:coreProperties>
</file>