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fault/Debug_New/"/>
    </mc:Choice>
  </mc:AlternateContent>
  <xr:revisionPtr revIDLastSave="1" documentId="8_{9E7C43D4-3AEB-45FA-B3B8-E27303AEFDD2}" xr6:coauthVersionLast="47" xr6:coauthVersionMax="47" xr10:uidLastSave="{7CA1474E-1907-437C-9C26-D6AA93B8370D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CAL" sheetId="4" r:id="rId4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I7" i="1"/>
  <c r="J7" i="1"/>
  <c r="I8" i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I6" i="1"/>
  <c r="K3" i="1"/>
  <c r="P11" i="1" a="1"/>
  <c r="M13" i="1" a="1"/>
  <c r="P19" i="1" a="1"/>
  <c r="M21" i="1" a="1"/>
  <c r="P27" i="1" a="1"/>
  <c r="M29" i="1" a="1"/>
  <c r="L15" i="1" a="1"/>
  <c r="L31" i="1" a="1"/>
  <c r="K20" i="1" a="1"/>
  <c r="O26" i="1" a="1"/>
  <c r="L9" i="1" a="1"/>
  <c r="K30" i="1" a="1"/>
  <c r="L22" i="1" a="1"/>
  <c r="K24" i="1" a="1"/>
  <c r="O27" i="1" a="1"/>
  <c r="O8" i="1" a="1"/>
  <c r="L10" i="1" a="1"/>
  <c r="O16" i="1" a="1"/>
  <c r="L18" i="1" a="1"/>
  <c r="O24" i="1" a="1"/>
  <c r="L26" i="1" a="1"/>
  <c r="O32" i="1" a="1"/>
  <c r="K31" i="1" a="1"/>
  <c r="O13" i="1" a="1"/>
  <c r="O21" i="1" a="1"/>
  <c r="O29" i="1" a="1"/>
  <c r="N26" i="1" a="1"/>
  <c r="M28" i="1" a="1"/>
  <c r="L17" i="1" a="1"/>
  <c r="P23" i="1" a="1"/>
  <c r="N25" i="1" a="1"/>
  <c r="M22" i="1" a="1"/>
  <c r="O25" i="1" a="1"/>
  <c r="P9" i="1" a="1"/>
  <c r="L24" i="1" a="1"/>
  <c r="N27" i="1" a="1"/>
  <c r="K7" i="1" a="1"/>
  <c r="N13" i="1" a="1"/>
  <c r="K15" i="1" a="1"/>
  <c r="N21" i="1" a="1"/>
  <c r="K23" i="1" a="1"/>
  <c r="N29" i="1" a="1"/>
  <c r="L23" i="1" a="1"/>
  <c r="N10" i="1" a="1"/>
  <c r="P18" i="1" a="1"/>
  <c r="N20" i="1" a="1"/>
  <c r="P31" i="1" a="1"/>
  <c r="M11" i="1" a="1"/>
  <c r="N11" i="1" a="1"/>
  <c r="P8" i="1" a="1"/>
  <c r="M10" i="1" a="1"/>
  <c r="P16" i="1" a="1"/>
  <c r="M18" i="1" a="1"/>
  <c r="P24" i="1" a="1"/>
  <c r="M26" i="1" a="1"/>
  <c r="P32" i="1" a="1"/>
  <c r="L7" i="1" a="1"/>
  <c r="K12" i="1" a="1"/>
  <c r="K28" i="1" a="1"/>
  <c r="O15" i="1" a="1"/>
  <c r="K14" i="1" a="1"/>
  <c r="M17" i="1" a="1"/>
  <c r="L30" i="1" a="1"/>
  <c r="M14" i="1" a="1"/>
  <c r="N14" i="1" a="1"/>
  <c r="M16" i="1" a="1"/>
  <c r="L29" i="1" a="1"/>
  <c r="K26" i="1" a="1"/>
  <c r="N18" i="1" a="1"/>
  <c r="O31" i="1" a="1"/>
  <c r="K22" i="1" a="1"/>
  <c r="L14" i="1" a="1"/>
  <c r="P20" i="1" a="1"/>
  <c r="O17" i="1" a="1"/>
  <c r="N22" i="1" a="1"/>
  <c r="P25" i="1" a="1"/>
  <c r="L32" i="1" a="1"/>
  <c r="N19" i="1" a="1"/>
  <c r="M24" i="1" a="1"/>
  <c r="M7" i="1" a="1"/>
  <c r="P13" i="1" a="1"/>
  <c r="M15" i="1" a="1"/>
  <c r="P21" i="1" a="1"/>
  <c r="M23" i="1" a="1"/>
  <c r="P29" i="1" a="1"/>
  <c r="M31" i="1" a="1"/>
  <c r="O10" i="1" a="1"/>
  <c r="L12" i="1" a="1"/>
  <c r="O18" i="1" a="1"/>
  <c r="L20" i="1" a="1"/>
  <c r="L28" i="1" a="1"/>
  <c r="O7" i="1" a="1"/>
  <c r="O23" i="1" a="1"/>
  <c r="N12" i="1" a="1"/>
  <c r="P15" i="1" a="1"/>
  <c r="O20" i="1" a="1"/>
  <c r="P12" i="1" a="1"/>
  <c r="L19" i="1" a="1"/>
  <c r="P17" i="1" a="1"/>
  <c r="O22" i="1" a="1"/>
  <c r="P22" i="1" a="1"/>
  <c r="O19" i="1" a="1"/>
  <c r="N16" i="1" a="1"/>
  <c r="N7" i="1" a="1"/>
  <c r="K9" i="1" a="1"/>
  <c r="N15" i="1" a="1"/>
  <c r="K17" i="1" a="1"/>
  <c r="N23" i="1" a="1"/>
  <c r="K25" i="1" a="1"/>
  <c r="N31" i="1" a="1"/>
  <c r="P10" i="1" a="1"/>
  <c r="M12" i="1" a="1"/>
  <c r="M20" i="1" a="1"/>
  <c r="P26" i="1" a="1"/>
  <c r="L25" i="1" a="1"/>
  <c r="N28" i="1" a="1"/>
  <c r="M25" i="1" a="1"/>
  <c r="O28" i="1" a="1"/>
  <c r="P28" i="1" a="1"/>
  <c r="N30" i="1" a="1"/>
  <c r="M27" i="1" a="1"/>
  <c r="L16" i="1" a="1"/>
  <c r="K21" i="1" a="1"/>
  <c r="O11" i="1" a="1"/>
  <c r="N24" i="1" a="1"/>
  <c r="P7" i="1" a="1"/>
  <c r="M9" i="1" a="1"/>
  <c r="K32" i="1" a="1"/>
  <c r="O30" i="1" a="1"/>
  <c r="P14" i="1" a="1"/>
  <c r="O12" i="1" a="1"/>
  <c r="K10" i="1" a="1"/>
  <c r="N9" i="1" a="1"/>
  <c r="K11" i="1" a="1"/>
  <c r="N17" i="1" a="1"/>
  <c r="K19" i="1" a="1"/>
  <c r="K27" i="1" a="1"/>
  <c r="M30" i="1" a="1"/>
  <c r="K16" i="1" a="1"/>
  <c r="M19" i="1" a="1"/>
  <c r="K29" i="1" a="1"/>
  <c r="K18" i="1" a="1"/>
  <c r="L13" i="1" a="1"/>
  <c r="O9" i="1" a="1"/>
  <c r="L11" i="1" a="1"/>
  <c r="L27" i="1" a="1"/>
  <c r="O14" i="1" a="1"/>
  <c r="M32" i="1" a="1"/>
  <c r="N32" i="1" a="1"/>
  <c r="K8" i="1" a="1"/>
  <c r="P30" i="1" a="1"/>
  <c r="N8" i="1" a="1"/>
  <c r="L8" i="1" a="1"/>
  <c r="L21" i="1" a="1"/>
  <c r="K13" i="1" a="1"/>
  <c r="M8" i="1" a="1"/>
  <c r="M8" i="1" l="1"/>
  <c r="W7" i="1" s="1"/>
  <c r="K13" i="1"/>
  <c r="L21" i="1"/>
  <c r="L8" i="1"/>
  <c r="N8" i="1"/>
  <c r="P30" i="1"/>
  <c r="K8" i="1"/>
  <c r="N32" i="1"/>
  <c r="M32" i="1"/>
  <c r="O14" i="1"/>
  <c r="L27" i="1"/>
  <c r="L11" i="1"/>
  <c r="O9" i="1"/>
  <c r="L13" i="1"/>
  <c r="K18" i="1"/>
  <c r="U17" i="1" s="1"/>
  <c r="K29" i="1"/>
  <c r="U28" i="1" s="1"/>
  <c r="M19" i="1"/>
  <c r="W18" i="1" s="1"/>
  <c r="K16" i="1"/>
  <c r="M30" i="1"/>
  <c r="W29" i="1" s="1"/>
  <c r="K27" i="1"/>
  <c r="U26" i="1" s="1"/>
  <c r="K19" i="1"/>
  <c r="U18" i="1" s="1"/>
  <c r="N17" i="1"/>
  <c r="X16" i="1" s="1"/>
  <c r="K11" i="1"/>
  <c r="N9" i="1"/>
  <c r="X8" i="1" s="1"/>
  <c r="K10" i="1"/>
  <c r="U9" i="1" s="1"/>
  <c r="O12" i="1"/>
  <c r="P14" i="1"/>
  <c r="O30" i="1"/>
  <c r="K32" i="1"/>
  <c r="M9" i="1"/>
  <c r="P7" i="1"/>
  <c r="N24" i="1"/>
  <c r="O11" i="1"/>
  <c r="K21" i="1"/>
  <c r="U20" i="1" s="1"/>
  <c r="L16" i="1"/>
  <c r="V15" i="1" s="1"/>
  <c r="M27" i="1"/>
  <c r="W26" i="1" s="1"/>
  <c r="N30" i="1"/>
  <c r="P28" i="1"/>
  <c r="Z27" i="1" s="1"/>
  <c r="O28" i="1"/>
  <c r="M25" i="1"/>
  <c r="W24" i="1" s="1"/>
  <c r="N28" i="1"/>
  <c r="L25" i="1"/>
  <c r="V24" i="1" s="1"/>
  <c r="P26" i="1"/>
  <c r="Z25" i="1" s="1"/>
  <c r="M20" i="1"/>
  <c r="W19" i="1" s="1"/>
  <c r="M12" i="1"/>
  <c r="W11" i="1" s="1"/>
  <c r="P10" i="1"/>
  <c r="Z9" i="1" s="1"/>
  <c r="N31" i="1"/>
  <c r="X30" i="1" s="1"/>
  <c r="K25" i="1"/>
  <c r="N23" i="1"/>
  <c r="K17" i="1"/>
  <c r="N15" i="1"/>
  <c r="K9" i="1"/>
  <c r="N7" i="1"/>
  <c r="N16" i="1"/>
  <c r="X15" i="1" s="1"/>
  <c r="O19" i="1"/>
  <c r="P22" i="1"/>
  <c r="Z21" i="1" s="1"/>
  <c r="O22" i="1"/>
  <c r="P17" i="1"/>
  <c r="Z16" i="1" s="1"/>
  <c r="L19" i="1"/>
  <c r="P12" i="1"/>
  <c r="O20" i="1"/>
  <c r="Y19" i="1" s="1"/>
  <c r="P15" i="1"/>
  <c r="Z14" i="1" s="1"/>
  <c r="N12" i="1"/>
  <c r="X11" i="1" s="1"/>
  <c r="O23" i="1"/>
  <c r="Y22" i="1" s="1"/>
  <c r="O7" i="1"/>
  <c r="L28" i="1"/>
  <c r="V27" i="1" s="1"/>
  <c r="L20" i="1"/>
  <c r="V19" i="1" s="1"/>
  <c r="O18" i="1"/>
  <c r="Y17" i="1" s="1"/>
  <c r="L12" i="1"/>
  <c r="V11" i="1" s="1"/>
  <c r="O10" i="1"/>
  <c r="Y9" i="1" s="1"/>
  <c r="M31" i="1"/>
  <c r="W30" i="1" s="1"/>
  <c r="P29" i="1"/>
  <c r="Z28" i="1" s="1"/>
  <c r="M23" i="1"/>
  <c r="W22" i="1" s="1"/>
  <c r="P21" i="1"/>
  <c r="M15" i="1"/>
  <c r="P13" i="1"/>
  <c r="M7" i="1"/>
  <c r="M24" i="1"/>
  <c r="N19" i="1"/>
  <c r="L32" i="1"/>
  <c r="V31" i="1" s="1"/>
  <c r="P25" i="1"/>
  <c r="Z24" i="1" s="1"/>
  <c r="N22" i="1"/>
  <c r="O17" i="1"/>
  <c r="P20" i="1"/>
  <c r="Z19" i="1" s="1"/>
  <c r="L14" i="1"/>
  <c r="K22" i="1"/>
  <c r="U21" i="1" s="1"/>
  <c r="O31" i="1"/>
  <c r="Y30" i="1" s="1"/>
  <c r="N18" i="1"/>
  <c r="K26" i="1"/>
  <c r="L29" i="1"/>
  <c r="V28" i="1" s="1"/>
  <c r="M16" i="1"/>
  <c r="W15" i="1" s="1"/>
  <c r="N14" i="1"/>
  <c r="M14" i="1"/>
  <c r="W13" i="1" s="1"/>
  <c r="L30" i="1"/>
  <c r="V29" i="1" s="1"/>
  <c r="M17" i="1"/>
  <c r="W16" i="1" s="1"/>
  <c r="K14" i="1"/>
  <c r="U13" i="1" s="1"/>
  <c r="O15" i="1"/>
  <c r="K28" i="1"/>
  <c r="K12" i="1"/>
  <c r="L7" i="1"/>
  <c r="P32" i="1"/>
  <c r="M26" i="1"/>
  <c r="P24" i="1"/>
  <c r="M18" i="1"/>
  <c r="P16" i="1"/>
  <c r="M10" i="1"/>
  <c r="W9" i="1" s="1"/>
  <c r="P8" i="1"/>
  <c r="Z7" i="1" s="1"/>
  <c r="N11" i="1"/>
  <c r="M11" i="1"/>
  <c r="W10" i="1" s="1"/>
  <c r="P31" i="1"/>
  <c r="Z30" i="1" s="1"/>
  <c r="N20" i="1"/>
  <c r="X19" i="1" s="1"/>
  <c r="P18" i="1"/>
  <c r="Z17" i="1" s="1"/>
  <c r="N10" i="1"/>
  <c r="L23" i="1"/>
  <c r="N29" i="1"/>
  <c r="X28" i="1" s="1"/>
  <c r="K23" i="1"/>
  <c r="U22" i="1" s="1"/>
  <c r="N21" i="1"/>
  <c r="X20" i="1" s="1"/>
  <c r="K15" i="1"/>
  <c r="N13" i="1"/>
  <c r="X12" i="1" s="1"/>
  <c r="K7" i="1"/>
  <c r="N27" i="1"/>
  <c r="L24" i="1"/>
  <c r="P9" i="1"/>
  <c r="O25" i="1"/>
  <c r="M22" i="1"/>
  <c r="N25" i="1"/>
  <c r="P23" i="1"/>
  <c r="L17" i="1"/>
  <c r="M28" i="1"/>
  <c r="N26" i="1"/>
  <c r="X25" i="1" s="1"/>
  <c r="O29" i="1"/>
  <c r="O21" i="1"/>
  <c r="O13" i="1"/>
  <c r="Y12" i="1" s="1"/>
  <c r="K31" i="1"/>
  <c r="O32" i="1"/>
  <c r="Y31" i="1" s="1"/>
  <c r="L26" i="1"/>
  <c r="O24" i="1"/>
  <c r="Y23" i="1" s="1"/>
  <c r="L18" i="1"/>
  <c r="V17" i="1" s="1"/>
  <c r="O16" i="1"/>
  <c r="L10" i="1"/>
  <c r="V9" i="1" s="1"/>
  <c r="O8" i="1"/>
  <c r="Y7" i="1" s="1"/>
  <c r="O27" i="1"/>
  <c r="Y26" i="1" s="1"/>
  <c r="K24" i="1"/>
  <c r="U23" i="1" s="1"/>
  <c r="L22" i="1"/>
  <c r="V21" i="1" s="1"/>
  <c r="K30" i="1"/>
  <c r="L9" i="1"/>
  <c r="O26" i="1"/>
  <c r="K20" i="1"/>
  <c r="L31" i="1"/>
  <c r="L15" i="1"/>
  <c r="M29" i="1"/>
  <c r="P27" i="1"/>
  <c r="M21" i="1"/>
  <c r="P19" i="1"/>
  <c r="M13" i="1"/>
  <c r="P11" i="1"/>
  <c r="T6" i="1"/>
  <c r="J6" i="1"/>
  <c r="M3" i="1"/>
  <c r="W3" i="1" s="1"/>
  <c r="L6" i="1" a="1"/>
  <c r="O6" i="1" a="1"/>
  <c r="P6" i="1" a="1"/>
  <c r="N6" i="1" a="1"/>
  <c r="M6" i="1" a="1"/>
  <c r="K6" i="1" a="1"/>
  <c r="U24" i="1" l="1"/>
  <c r="U29" i="1"/>
  <c r="X26" i="1"/>
  <c r="Y14" i="1"/>
  <c r="X22" i="1"/>
  <c r="Y15" i="1"/>
  <c r="V22" i="1"/>
  <c r="X27" i="1"/>
  <c r="V25" i="1"/>
  <c r="U30" i="1"/>
  <c r="Y8" i="1"/>
  <c r="Y13" i="1"/>
  <c r="W27" i="1"/>
  <c r="Z22" i="1"/>
  <c r="V14" i="1"/>
  <c r="W21" i="1"/>
  <c r="X7" i="1"/>
  <c r="U14" i="1"/>
  <c r="U15" i="1"/>
  <c r="X9" i="1"/>
  <c r="Y27" i="1"/>
  <c r="X10" i="1"/>
  <c r="V10" i="1"/>
  <c r="W20" i="1"/>
  <c r="Y21" i="1"/>
  <c r="V16" i="1"/>
  <c r="X31" i="1"/>
  <c r="X18" i="1"/>
  <c r="X24" i="1"/>
  <c r="W23" i="1"/>
  <c r="W8" i="1"/>
  <c r="Z12" i="1"/>
  <c r="V7" i="1"/>
  <c r="Q11" i="1"/>
  <c r="U10" i="1"/>
  <c r="X17" i="1"/>
  <c r="X29" i="1"/>
  <c r="Y20" i="1"/>
  <c r="Y28" i="1"/>
  <c r="V18" i="1"/>
  <c r="Z18" i="1"/>
  <c r="X21" i="1"/>
  <c r="Z15" i="1"/>
  <c r="Y10" i="1"/>
  <c r="Z26" i="1"/>
  <c r="W28" i="1"/>
  <c r="Y18" i="1"/>
  <c r="V30" i="1"/>
  <c r="U31" i="1"/>
  <c r="U19" i="1"/>
  <c r="W14" i="1"/>
  <c r="Z13" i="1"/>
  <c r="V20" i="1"/>
  <c r="X13" i="1"/>
  <c r="U25" i="1"/>
  <c r="V12" i="1"/>
  <c r="V13" i="1"/>
  <c r="Z10" i="1"/>
  <c r="Z11" i="1"/>
  <c r="W12" i="1"/>
  <c r="Y16" i="1"/>
  <c r="V26" i="1"/>
  <c r="W31" i="1"/>
  <c r="W17" i="1"/>
  <c r="X23" i="1"/>
  <c r="Z23" i="1"/>
  <c r="U7" i="1"/>
  <c r="W25" i="1"/>
  <c r="Z29" i="1"/>
  <c r="Z31" i="1"/>
  <c r="Y24" i="1"/>
  <c r="U8" i="1"/>
  <c r="Y29" i="1"/>
  <c r="Y25" i="1"/>
  <c r="Z8" i="1"/>
  <c r="U11" i="1"/>
  <c r="X14" i="1"/>
  <c r="V8" i="1"/>
  <c r="V23" i="1"/>
  <c r="U27" i="1"/>
  <c r="Z20" i="1"/>
  <c r="U16" i="1"/>
  <c r="Y11" i="1"/>
  <c r="U12" i="1"/>
  <c r="Q7" i="1"/>
  <c r="Q19" i="1"/>
  <c r="Q14" i="1"/>
  <c r="AA13" i="1" s="1"/>
  <c r="Q25" i="1"/>
  <c r="Q24" i="1"/>
  <c r="Q15" i="1"/>
  <c r="AA14" i="1" s="1"/>
  <c r="Q23" i="1"/>
  <c r="Q16" i="1"/>
  <c r="AA15" i="1" s="1"/>
  <c r="Q18" i="1"/>
  <c r="Q26" i="1"/>
  <c r="AA25" i="1" s="1"/>
  <c r="Q9" i="1"/>
  <c r="AA8" i="1" s="1"/>
  <c r="Q31" i="1"/>
  <c r="AA30" i="1" s="1"/>
  <c r="Q20" i="1"/>
  <c r="Q27" i="1"/>
  <c r="Q22" i="1"/>
  <c r="Q32" i="1"/>
  <c r="Q28" i="1"/>
  <c r="AA27" i="1" s="1"/>
  <c r="Q17" i="1"/>
  <c r="Q13" i="1"/>
  <c r="Q29" i="1"/>
  <c r="Q21" i="1"/>
  <c r="Q8" i="1"/>
  <c r="Q12" i="1"/>
  <c r="AA11" i="1" s="1"/>
  <c r="Q30" i="1"/>
  <c r="AA29" i="1" s="1"/>
  <c r="Q10" i="1"/>
  <c r="N6" i="1"/>
  <c r="M6" i="1"/>
  <c r="O6" i="1"/>
  <c r="P6" i="1"/>
  <c r="L6" i="1"/>
  <c r="K6" i="1"/>
  <c r="U6" i="1" s="1"/>
  <c r="AA16" i="1" l="1"/>
  <c r="AA31" i="1"/>
  <c r="AA21" i="1"/>
  <c r="AA26" i="1"/>
  <c r="AA19" i="1"/>
  <c r="AA22" i="1"/>
  <c r="AA23" i="1"/>
  <c r="AA24" i="1"/>
  <c r="AA18" i="1"/>
  <c r="AA10" i="1"/>
  <c r="AA17" i="1"/>
  <c r="AA28" i="1"/>
  <c r="AA9" i="1"/>
  <c r="AA7" i="1"/>
  <c r="AA20" i="1"/>
  <c r="AA1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4615F353-1AE1-4FC7-81D8-1A7D975C7E3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CC4F5541-CF1D-4EB3-8601-D9409EABE05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<sst xmlns="http://schemas.openxmlformats.org/spreadsheetml/2006/main" count="211" uniqueCount="174">
  <si>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</si>
  <si>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</si>
  <si>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</si>
  <si>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</si>
  <si>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</si>
  <si>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</si>
  <si>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</si>
  <si>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</si>
  <si>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 US</t>
  </si>
  <si>
    <t>Lib-Default_Debug_New-CAL-CO2_37_999.xlsm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</si>
  <si>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</si>
  <si>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</si>
  <si>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</si>
  <si>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</si>
  <si>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</si>
  <si>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</si>
  <si>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</si>
  <si>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</si>
  <si>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</si>
  <si>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</si>
  <si>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</si>
  <si>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</si>
  <si>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</si>
  <si>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</si>
  <si>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</si>
  <si>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</si>
  <si>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</si>
  <si>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</si>
  <si>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</si>
  <si>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</si>
  <si>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</si>
  <si>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</si>
  <si>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</si>
  <si>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</si>
  <si>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</si>
  <si>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</si>
  <si>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</si>
  <si>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</si>
  <si>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</si>
  <si>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</si>
  <si>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</si>
  <si>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</si>
  <si>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</si>
  <si>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</si>
  <si>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</si>
  <si>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</si>
  <si>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</si>
  <si>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</si>
  <si>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</si>
  <si>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</si>
  <si>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</si>
  <si>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</si>
  <si>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</si>
  <si>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</si>
  <si>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</si>
  <si>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</si>
  <si>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</si>
  <si>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</si>
  <si>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</si>
  <si>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</si>
  <si>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</si>
  <si>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</si>
  <si>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</si>
  <si>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</si>
  <si>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SubDir</t>
  </si>
  <si>
    <t>Debug_New</t>
  </si>
  <si>
    <t>Region</t>
  </si>
  <si>
    <t>Years</t>
  </si>
  <si>
    <t>CO2_Price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</si>
  <si>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</si>
  <si>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</si>
  <si>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</si>
  <si>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</si>
  <si>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</si>
  <si>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</si>
  <si>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</si>
  <si>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</si>
  <si>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</si>
  <si>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</si>
  <si>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</si>
  <si>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</si>
  <si>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</si>
  <si>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</si>
  <si>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</si>
  <si>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</si>
  <si>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</si>
  <si>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</si>
  <si>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</si>
  <si>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</si>
  <si>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</si>
  <si>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</si>
  <si>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</si>
  <si>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</si>
  <si>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</si>
  <si>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</si>
  <si>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</si>
  <si>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</si>
  <si>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</si>
  <si>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</si>
  <si>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</si>
  <si>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</si>
  <si>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</si>
  <si>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CO2_M$_MT</t>
  </si>
  <si>
    <t>Target_MWh</t>
  </si>
  <si>
    <t>Outage_MWh</t>
  </si>
  <si>
    <t>Outage_M$_MWh</t>
  </si>
  <si>
    <t>Iterations</t>
  </si>
  <si>
    <t>Solar_MW</t>
  </si>
  <si>
    <t>Solar_MWh</t>
  </si>
  <si>
    <t>Solar_Capital_M$</t>
  </si>
  <si>
    <t>Solar_Fixed_M$</t>
  </si>
  <si>
    <t>Solar_Variable_M$</t>
  </si>
  <si>
    <t>Solar_CO2_M$</t>
  </si>
  <si>
    <t>Solar_Start_Knob</t>
  </si>
  <si>
    <t>Solar_Optimized_Knob</t>
  </si>
  <si>
    <t>Solar_Max_Knob</t>
  </si>
  <si>
    <t>Solar_Decadence</t>
  </si>
  <si>
    <t>Solar_Avg_Cap_Factor</t>
  </si>
  <si>
    <t>Wind_MW</t>
  </si>
  <si>
    <t>Wind_MWh</t>
  </si>
  <si>
    <t>Wind_Capital_M$</t>
  </si>
  <si>
    <t>Wind_Fixed_M$</t>
  </si>
  <si>
    <t>Wind_Variable_M$</t>
  </si>
  <si>
    <t>Wind_CO2_M$</t>
  </si>
  <si>
    <t>Wind_Start_Knob</t>
  </si>
  <si>
    <t>Wind_Optimized_Knob</t>
  </si>
  <si>
    <t>Wind_Max_Knob</t>
  </si>
  <si>
    <t>Wind_Decadence</t>
  </si>
  <si>
    <t>Wind_Avg_Cap_Factor</t>
  </si>
  <si>
    <t>Nuclear_MW</t>
  </si>
  <si>
    <t>Nuclear_MWh</t>
  </si>
  <si>
    <t>Nuclear_Capital_M$</t>
  </si>
  <si>
    <t>Nuclear_Fixed_M$</t>
  </si>
  <si>
    <t>Nuclear_Variable_M$</t>
  </si>
  <si>
    <t>Nuclear_CO2_M$</t>
  </si>
  <si>
    <t>Nuclear_Start_Knob</t>
  </si>
  <si>
    <t>Nuclear_Optimized_Knob</t>
  </si>
  <si>
    <t>Nuclear_Max_Knob</t>
  </si>
  <si>
    <t>Nuclear_Decadence</t>
  </si>
  <si>
    <t>Nuclear_Avg_Cap_Factor</t>
  </si>
  <si>
    <t>Gas_MW</t>
  </si>
  <si>
    <t>Gas_MWh</t>
  </si>
  <si>
    <t>Gas_Capital_M$</t>
  </si>
  <si>
    <t>Gas_Fixed_M$</t>
  </si>
  <si>
    <t>Gas_Variable_M$</t>
  </si>
  <si>
    <t>Gas_CO2_M$</t>
  </si>
  <si>
    <t>Gas_Start_Knob</t>
  </si>
  <si>
    <t>Gas_Optimized_Knob</t>
  </si>
  <si>
    <t>Gas_Max_Knob</t>
  </si>
  <si>
    <t>Gas_Decadence</t>
  </si>
  <si>
    <t>Gas_Avg_Cap_Factor</t>
  </si>
  <si>
    <t>Coal_MW</t>
  </si>
  <si>
    <t>Coal_MWh</t>
  </si>
  <si>
    <t>Coal_Capital_M$</t>
  </si>
  <si>
    <t>Coal_Fixed_M$</t>
  </si>
  <si>
    <t>Coal_Variable_M$</t>
  </si>
  <si>
    <t>Coal_CO2_M$</t>
  </si>
  <si>
    <t>Coal_Start_Knob</t>
  </si>
  <si>
    <t>Coal_Optimized_Knob</t>
  </si>
  <si>
    <t>Coal_Max_Knob</t>
  </si>
  <si>
    <t>Coal_Decadence</t>
  </si>
  <si>
    <t>Coal_Avg_Cap_Factor</t>
  </si>
  <si>
    <t>Battery</t>
  </si>
  <si>
    <t>Battery_MW</t>
  </si>
  <si>
    <t>Battery_MWh</t>
  </si>
  <si>
    <t>Battery_Capital_M$</t>
  </si>
  <si>
    <t>Battery_Fixed_M$</t>
  </si>
  <si>
    <t>Battery_Variable_M$</t>
  </si>
  <si>
    <t>Battery_CO2_M$</t>
  </si>
  <si>
    <t>Battery_Start_Knob</t>
  </si>
  <si>
    <t>Battery_Optimized_Knob</t>
  </si>
  <si>
    <t>Battery_Max_Knob</t>
  </si>
  <si>
    <t>Battery_Decadence</t>
  </si>
  <si>
    <t>Battery_Avg_Cap_Factor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</si>
</sst>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3"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California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Graph!$I$6:$I$32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Graph!$K$6:$K$32</c:f>
              <c:numCache>
                <c:formatCode>#,##0.00</c:formatCode>
                <c:ptCount val="27"/>
                <c:pt idx="0">
                  <c:v>19050580.541796699</c:v>
                </c:pt>
                <c:pt idx="1">
                  <c:v>21532486.689655099</c:v>
                </c:pt>
                <c:pt idx="2">
                  <c:v>24178729.536945801</c:v>
                </c:pt>
                <c:pt idx="3">
                  <c:v>26999049.694581199</c:v>
                </c:pt>
                <c:pt idx="4">
                  <c:v>30003738.935960501</c:v>
                </c:pt>
                <c:pt idx="5">
                  <c:v>33203666.3973727</c:v>
                </c:pt>
                <c:pt idx="6">
                  <c:v>36610318.561576299</c:v>
                </c:pt>
                <c:pt idx="7">
                  <c:v>40235783.264367796</c:v>
                </c:pt>
                <c:pt idx="8">
                  <c:v>44091703.724137902</c:v>
                </c:pt>
                <c:pt idx="9">
                  <c:v>48187887.113300398</c:v>
                </c:pt>
                <c:pt idx="10">
                  <c:v>52534303.7372742</c:v>
                </c:pt>
                <c:pt idx="11">
                  <c:v>57135780.413793102</c:v>
                </c:pt>
                <c:pt idx="12">
                  <c:v>61996126.778325103</c:v>
                </c:pt>
                <c:pt idx="13">
                  <c:v>67122392.735632107</c:v>
                </c:pt>
                <c:pt idx="14">
                  <c:v>72519331.533661693</c:v>
                </c:pt>
                <c:pt idx="15">
                  <c:v>78182970.403940797</c:v>
                </c:pt>
                <c:pt idx="16">
                  <c:v>84108153.064039394</c:v>
                </c:pt>
                <c:pt idx="17">
                  <c:v>90286838.016420305</c:v>
                </c:pt>
                <c:pt idx="18">
                  <c:v>96718219.192118198</c:v>
                </c:pt>
                <c:pt idx="19">
                  <c:v>103393033.195402</c:v>
                </c:pt>
                <c:pt idx="20">
                  <c:v>110308183.69786499</c:v>
                </c:pt>
                <c:pt idx="21">
                  <c:v>117473650.60098501</c:v>
                </c:pt>
                <c:pt idx="22">
                  <c:v>124888781.372742</c:v>
                </c:pt>
                <c:pt idx="23">
                  <c:v>132539194.719211</c:v>
                </c:pt>
                <c:pt idx="24">
                  <c:v>140406747.69129699</c:v>
                </c:pt>
                <c:pt idx="25">
                  <c:v>148354728.43349701</c:v>
                </c:pt>
                <c:pt idx="26">
                  <c:v>156397479.85550001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Graph!$L$6:$L$32</c:f>
              <c:numCache>
                <c:formatCode>#,##0.00</c:formatCode>
                <c:ptCount val="27"/>
                <c:pt idx="0">
                  <c:v>2286</c:v>
                </c:pt>
                <c:pt idx="1">
                  <c:v>3445.6396835800001</c:v>
                </c:pt>
                <c:pt idx="2">
                  <c:v>4681.83816217</c:v>
                </c:pt>
                <c:pt idx="3">
                  <c:v>5999.1212551999997</c:v>
                </c:pt>
                <c:pt idx="4">
                  <c:v>7402.26992617</c:v>
                </c:pt>
                <c:pt idx="5">
                  <c:v>8896.3346757800009</c:v>
                </c:pt>
                <c:pt idx="6">
                  <c:v>10486.650725289999</c:v>
                </c:pt>
                <c:pt idx="7">
                  <c:v>12178.85403411</c:v>
                </c:pt>
                <c:pt idx="8">
                  <c:v>13978.89820326</c:v>
                </c:pt>
                <c:pt idx="9">
                  <c:v>15893.08418731</c:v>
                </c:pt>
                <c:pt idx="10">
                  <c:v>17928.032173259999</c:v>
                </c:pt>
                <c:pt idx="11">
                  <c:v>20090.771034490001</c:v>
                </c:pt>
                <c:pt idx="12">
                  <c:v>22388.71375137</c:v>
                </c:pt>
                <c:pt idx="13">
                  <c:v>24829.689621360001</c:v>
                </c:pt>
                <c:pt idx="14">
                  <c:v>27421.96973846</c:v>
                </c:pt>
                <c:pt idx="15">
                  <c:v>30174.28930574</c:v>
                </c:pt>
                <c:pt idx="16">
                  <c:v>33095.875614249999</c:v>
                </c:pt>
                <c:pt idx="17">
                  <c:v>36196.474421819999</c:v>
                </c:pt>
                <c:pt idx="18">
                  <c:v>39486.379206379999</c:v>
                </c:pt>
                <c:pt idx="19">
                  <c:v>42976.461628689998</c:v>
                </c:pt>
                <c:pt idx="20">
                  <c:v>46678.204211880002</c:v>
                </c:pt>
                <c:pt idx="21">
                  <c:v>50603.734071400002</c:v>
                </c:pt>
                <c:pt idx="22">
                  <c:v>54765.858970150002</c:v>
                </c:pt>
                <c:pt idx="23">
                  <c:v>59100.63919401</c:v>
                </c:pt>
                <c:pt idx="24">
                  <c:v>59444.572432469999</c:v>
                </c:pt>
                <c:pt idx="25">
                  <c:v>60206.68003096</c:v>
                </c:pt>
                <c:pt idx="26">
                  <c:v>60963.636439640002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Graph!$M$6:$M$32</c:f>
              <c:numCache>
                <c:formatCode>#,##0.00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Graph!$N$6:$N$32</c:f>
              <c:numCache>
                <c:formatCode>#,##0.00</c:formatCode>
                <c:ptCount val="27"/>
                <c:pt idx="0">
                  <c:v>0.36255826000000002</c:v>
                </c:pt>
                <c:pt idx="1">
                  <c:v>0.36255826000000002</c:v>
                </c:pt>
                <c:pt idx="2">
                  <c:v>0.36255826000000002</c:v>
                </c:pt>
                <c:pt idx="3">
                  <c:v>0.36255826000000002</c:v>
                </c:pt>
                <c:pt idx="4">
                  <c:v>0.36255826000000002</c:v>
                </c:pt>
                <c:pt idx="5">
                  <c:v>0.36255826000000002</c:v>
                </c:pt>
                <c:pt idx="6">
                  <c:v>0.36255826000000002</c:v>
                </c:pt>
                <c:pt idx="7">
                  <c:v>0.36255826000000002</c:v>
                </c:pt>
                <c:pt idx="8">
                  <c:v>0.36255826000000002</c:v>
                </c:pt>
                <c:pt idx="9">
                  <c:v>0.36255826000000002</c:v>
                </c:pt>
                <c:pt idx="10">
                  <c:v>0.36255826000000002</c:v>
                </c:pt>
                <c:pt idx="11">
                  <c:v>0.36255826000000002</c:v>
                </c:pt>
                <c:pt idx="12">
                  <c:v>0.36255826000000002</c:v>
                </c:pt>
                <c:pt idx="13">
                  <c:v>0.36255826000000002</c:v>
                </c:pt>
                <c:pt idx="14">
                  <c:v>0.36255826000000002</c:v>
                </c:pt>
                <c:pt idx="15">
                  <c:v>0.36255826000000002</c:v>
                </c:pt>
                <c:pt idx="16">
                  <c:v>0.36255826000000002</c:v>
                </c:pt>
                <c:pt idx="17">
                  <c:v>0.36255826000000002</c:v>
                </c:pt>
                <c:pt idx="18">
                  <c:v>0.36255826000000002</c:v>
                </c:pt>
                <c:pt idx="19">
                  <c:v>0.36255826000000002</c:v>
                </c:pt>
                <c:pt idx="20">
                  <c:v>0.36255826000000002</c:v>
                </c:pt>
                <c:pt idx="21">
                  <c:v>0.36255826000000002</c:v>
                </c:pt>
                <c:pt idx="22">
                  <c:v>0.36255826000000002</c:v>
                </c:pt>
                <c:pt idx="23">
                  <c:v>0.36255826000000002</c:v>
                </c:pt>
                <c:pt idx="24">
                  <c:v>0.36255826000000002</c:v>
                </c:pt>
                <c:pt idx="25">
                  <c:v>0.36255826000000002</c:v>
                </c:pt>
                <c:pt idx="26">
                  <c:v>0.36255826000000002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Graph!$O$6:$O$32</c:f>
              <c:numCache>
                <c:formatCode>#,##0.00</c:formatCode>
                <c:ptCount val="27"/>
                <c:pt idx="0">
                  <c:v>0.97142857000000005</c:v>
                </c:pt>
                <c:pt idx="1">
                  <c:v>0.97142857000000005</c:v>
                </c:pt>
                <c:pt idx="2">
                  <c:v>0.97142857000000005</c:v>
                </c:pt>
                <c:pt idx="3">
                  <c:v>0.97142857000000005</c:v>
                </c:pt>
                <c:pt idx="4">
                  <c:v>0.97142857000000005</c:v>
                </c:pt>
                <c:pt idx="5">
                  <c:v>0.97142857000000005</c:v>
                </c:pt>
                <c:pt idx="6">
                  <c:v>0.97142857000000005</c:v>
                </c:pt>
                <c:pt idx="7">
                  <c:v>0.97142857000000005</c:v>
                </c:pt>
                <c:pt idx="8">
                  <c:v>0.97142857000000005</c:v>
                </c:pt>
                <c:pt idx="9">
                  <c:v>0.97142857000000005</c:v>
                </c:pt>
                <c:pt idx="10">
                  <c:v>0.97142857000000005</c:v>
                </c:pt>
                <c:pt idx="11">
                  <c:v>0.97142857000000005</c:v>
                </c:pt>
                <c:pt idx="12">
                  <c:v>0.97142857000000005</c:v>
                </c:pt>
                <c:pt idx="13">
                  <c:v>0.97142857000000005</c:v>
                </c:pt>
                <c:pt idx="14">
                  <c:v>0.97142857000000005</c:v>
                </c:pt>
                <c:pt idx="15">
                  <c:v>0.97142857000000005</c:v>
                </c:pt>
                <c:pt idx="16">
                  <c:v>0.97142857000000005</c:v>
                </c:pt>
                <c:pt idx="17">
                  <c:v>0.97142857000000005</c:v>
                </c:pt>
                <c:pt idx="18">
                  <c:v>0.97142857000000005</c:v>
                </c:pt>
                <c:pt idx="19">
                  <c:v>0.97142857000000005</c:v>
                </c:pt>
                <c:pt idx="20">
                  <c:v>0.97142857000000005</c:v>
                </c:pt>
                <c:pt idx="21">
                  <c:v>0.97142857000000005</c:v>
                </c:pt>
                <c:pt idx="22">
                  <c:v>0.97142857000000005</c:v>
                </c:pt>
                <c:pt idx="23">
                  <c:v>0.97142857000000005</c:v>
                </c:pt>
                <c:pt idx="24">
                  <c:v>0.97142857000000005</c:v>
                </c:pt>
                <c:pt idx="25">
                  <c:v>0.97142857000000005</c:v>
                </c:pt>
                <c:pt idx="26">
                  <c:v>0.97142857000000005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Graph!$P$6:$P$32</c:f>
              <c:numCache>
                <c:formatCode>#,##0.00</c:formatCode>
                <c:ptCount val="27"/>
                <c:pt idx="0">
                  <c:v>1</c:v>
                </c:pt>
                <c:pt idx="1">
                  <c:v>8.1971800000000001E-3</c:v>
                </c:pt>
                <c:pt idx="2">
                  <c:v>8.2782800000000007E-3</c:v>
                </c:pt>
                <c:pt idx="3">
                  <c:v>8.3549100000000001E-3</c:v>
                </c:pt>
                <c:pt idx="4">
                  <c:v>8.42737E-3</c:v>
                </c:pt>
                <c:pt idx="5">
                  <c:v>8.4959400000000004E-3</c:v>
                </c:pt>
                <c:pt idx="6">
                  <c:v>8.5608799999999999E-3</c:v>
                </c:pt>
                <c:pt idx="7">
                  <c:v>8.6224200000000004E-3</c:v>
                </c:pt>
                <c:pt idx="8">
                  <c:v>8.6807800000000008E-3</c:v>
                </c:pt>
                <c:pt idx="9">
                  <c:v>8.7359199999999994E-3</c:v>
                </c:pt>
                <c:pt idx="10">
                  <c:v>8.7887399999999997E-3</c:v>
                </c:pt>
                <c:pt idx="11">
                  <c:v>8.8386999999999997E-3</c:v>
                </c:pt>
                <c:pt idx="12">
                  <c:v>8.8862200000000002E-3</c:v>
                </c:pt>
                <c:pt idx="13">
                  <c:v>8.9313499999999994E-3</c:v>
                </c:pt>
                <c:pt idx="14">
                  <c:v>8.9743600000000007E-3</c:v>
                </c:pt>
                <c:pt idx="15">
                  <c:v>9.0152500000000007E-3</c:v>
                </c:pt>
                <c:pt idx="16">
                  <c:v>9.0542299999999999E-3</c:v>
                </c:pt>
                <c:pt idx="17">
                  <c:v>9.0913699999999997E-3</c:v>
                </c:pt>
                <c:pt idx="18">
                  <c:v>9.1267699999999993E-3</c:v>
                </c:pt>
                <c:pt idx="19">
                  <c:v>9.16054E-3</c:v>
                </c:pt>
                <c:pt idx="20">
                  <c:v>9.1927599999999995E-3</c:v>
                </c:pt>
                <c:pt idx="21">
                  <c:v>9.2235200000000007E-3</c:v>
                </c:pt>
                <c:pt idx="22">
                  <c:v>9.2528799999999998E-3</c:v>
                </c:pt>
                <c:pt idx="23">
                  <c:v>9.2809299999999997E-3</c:v>
                </c:pt>
                <c:pt idx="24">
                  <c:v>9.3088200000000006E-3</c:v>
                </c:pt>
                <c:pt idx="25">
                  <c:v>9.3531199999999995E-3</c:v>
                </c:pt>
                <c:pt idx="26">
                  <c:v>9.3949099999999994E-3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California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Graph!$S$6:$S$31</c:f>
              <c:numCache>
                <c:formatCode>General</c:formatCode>
                <c:ptCount val="26"/>
              </c:numCache>
            </c:numRef>
          </c:cat>
          <c:val>
            <c:numRef>
              <c:f>Graph!$U$6:$U$31</c:f>
              <c:numCache>
                <c:formatCode>#,##0.00</c:formatCode>
                <c:ptCount val="26"/>
                <c:pt idx="0">
                  <c:v>2481906.1478583999</c:v>
                </c:pt>
                <c:pt idx="1">
                  <c:v>2646242.8472907022</c:v>
                </c:pt>
                <c:pt idx="2">
                  <c:v>2820320.1576353982</c:v>
                </c:pt>
                <c:pt idx="3">
                  <c:v>3004689.241379302</c:v>
                </c:pt>
                <c:pt idx="4">
                  <c:v>3199927.4614121988</c:v>
                </c:pt>
                <c:pt idx="5">
                  <c:v>3406652.1642035991</c:v>
                </c:pt>
                <c:pt idx="6">
                  <c:v>3625464.7027914971</c:v>
                </c:pt>
                <c:pt idx="7">
                  <c:v>3855920.4597701058</c:v>
                </c:pt>
                <c:pt idx="8">
                  <c:v>4096183.3891624957</c:v>
                </c:pt>
                <c:pt idx="9">
                  <c:v>4346416.6239738017</c:v>
                </c:pt>
                <c:pt idx="10">
                  <c:v>4601476.6765189022</c:v>
                </c:pt>
                <c:pt idx="11">
                  <c:v>4860346.3645320013</c:v>
                </c:pt>
                <c:pt idx="12">
                  <c:v>5126265.9573070034</c:v>
                </c:pt>
                <c:pt idx="13">
                  <c:v>5396938.7980295867</c:v>
                </c:pt>
                <c:pt idx="14">
                  <c:v>5663638.8702791035</c:v>
                </c:pt>
                <c:pt idx="15">
                  <c:v>5925182.6600985974</c:v>
                </c:pt>
                <c:pt idx="16">
                  <c:v>6178684.9523809105</c:v>
                </c:pt>
                <c:pt idx="17">
                  <c:v>6431381.1756978929</c:v>
                </c:pt>
                <c:pt idx="18">
                  <c:v>6674814.0032837987</c:v>
                </c:pt>
                <c:pt idx="19">
                  <c:v>6915150.502462998</c:v>
                </c:pt>
                <c:pt idx="20">
                  <c:v>7165466.9031200111</c:v>
                </c:pt>
                <c:pt idx="21">
                  <c:v>7415130.7717569917</c:v>
                </c:pt>
                <c:pt idx="22">
                  <c:v>7650413.346469</c:v>
                </c:pt>
                <c:pt idx="23">
                  <c:v>7867552.9720859975</c:v>
                </c:pt>
                <c:pt idx="24">
                  <c:v>7947980.742200017</c:v>
                </c:pt>
                <c:pt idx="25">
                  <c:v>8042751.422003001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Graph!$V$6:$V$31</c:f>
              <c:numCache>
                <c:formatCode>#,##0.00</c:formatCode>
                <c:ptCount val="26"/>
                <c:pt idx="0">
                  <c:v>1159.6396835800001</c:v>
                </c:pt>
                <c:pt idx="1">
                  <c:v>1236.1984785899999</c:v>
                </c:pt>
                <c:pt idx="2">
                  <c:v>1317.2830930299997</c:v>
                </c:pt>
                <c:pt idx="3">
                  <c:v>1403.1486709700002</c:v>
                </c:pt>
                <c:pt idx="4">
                  <c:v>1494.0647496100009</c:v>
                </c:pt>
                <c:pt idx="5">
                  <c:v>1590.3160495099983</c:v>
                </c:pt>
                <c:pt idx="6">
                  <c:v>1692.2033088200005</c:v>
                </c:pt>
                <c:pt idx="7">
                  <c:v>1800.04416915</c:v>
                </c:pt>
                <c:pt idx="8">
                  <c:v>1914.1859840500001</c:v>
                </c:pt>
                <c:pt idx="9">
                  <c:v>2034.9479859499988</c:v>
                </c:pt>
                <c:pt idx="10">
                  <c:v>2162.7388612300019</c:v>
                </c:pt>
                <c:pt idx="11">
                  <c:v>2297.9427168799994</c:v>
                </c:pt>
                <c:pt idx="12">
                  <c:v>2440.9758699900012</c:v>
                </c:pt>
                <c:pt idx="13">
                  <c:v>2592.2801170999992</c:v>
                </c:pt>
                <c:pt idx="14">
                  <c:v>2752.3195672799993</c:v>
                </c:pt>
                <c:pt idx="15">
                  <c:v>2921.5863085099991</c:v>
                </c:pt>
                <c:pt idx="16">
                  <c:v>3100.5988075700006</c:v>
                </c:pt>
                <c:pt idx="17">
                  <c:v>3289.9047845599998</c:v>
                </c:pt>
                <c:pt idx="18">
                  <c:v>3490.0824223099989</c:v>
                </c:pt>
                <c:pt idx="19">
                  <c:v>3701.7425831900036</c:v>
                </c:pt>
                <c:pt idx="20">
                  <c:v>3925.5298595200002</c:v>
                </c:pt>
                <c:pt idx="21">
                  <c:v>4162.1248987500003</c:v>
                </c:pt>
                <c:pt idx="22">
                  <c:v>4334.7802238599979</c:v>
                </c:pt>
                <c:pt idx="23">
                  <c:v>343.93323845999839</c:v>
                </c:pt>
                <c:pt idx="24">
                  <c:v>762.10759849000169</c:v>
                </c:pt>
                <c:pt idx="25">
                  <c:v>756.95640868000191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Graph!$W$6:$W$31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Graph!$X$6:$X$31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Graph!$Y$6:$Y$31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Graph!$Z$6:$Z$31</c:f>
              <c:numCache>
                <c:formatCode>#,##0.00</c:formatCode>
                <c:ptCount val="26"/>
                <c:pt idx="0">
                  <c:v>-0.99180281999999997</c:v>
                </c:pt>
                <c:pt idx="1">
                  <c:v>8.1100000000000616E-5</c:v>
                </c:pt>
                <c:pt idx="2">
                  <c:v>7.6629999999999407E-5</c:v>
                </c:pt>
                <c:pt idx="3">
                  <c:v>7.2459999999999886E-5</c:v>
                </c:pt>
                <c:pt idx="4">
                  <c:v>6.8570000000000436E-5</c:v>
                </c:pt>
                <c:pt idx="5">
                  <c:v>6.4939999999999443E-5</c:v>
                </c:pt>
                <c:pt idx="6">
                  <c:v>6.1540000000000553E-5</c:v>
                </c:pt>
                <c:pt idx="7">
                  <c:v>5.8360000000000356E-5</c:v>
                </c:pt>
                <c:pt idx="8">
                  <c:v>5.5139999999998662E-5</c:v>
                </c:pt>
                <c:pt idx="9">
                  <c:v>5.2820000000000297E-5</c:v>
                </c:pt>
                <c:pt idx="10">
                  <c:v>4.9959999999999935E-5</c:v>
                </c:pt>
                <c:pt idx="11">
                  <c:v>4.7520000000000548E-5</c:v>
                </c:pt>
                <c:pt idx="12">
                  <c:v>4.5129999999999129E-5</c:v>
                </c:pt>
                <c:pt idx="13">
                  <c:v>4.3010000000001311E-5</c:v>
                </c:pt>
                <c:pt idx="14">
                  <c:v>4.0890000000000024E-5</c:v>
                </c:pt>
                <c:pt idx="15">
                  <c:v>3.8979999999999224E-5</c:v>
                </c:pt>
                <c:pt idx="16">
                  <c:v>3.7139999999999743E-5</c:v>
                </c:pt>
                <c:pt idx="17">
                  <c:v>3.5399999999999668E-5</c:v>
                </c:pt>
                <c:pt idx="18">
                  <c:v>3.3770000000000674E-5</c:v>
                </c:pt>
                <c:pt idx="19">
                  <c:v>3.2219999999999471E-5</c:v>
                </c:pt>
                <c:pt idx="20">
                  <c:v>3.0760000000001203E-5</c:v>
                </c:pt>
                <c:pt idx="21">
                  <c:v>2.9359999999999109E-5</c:v>
                </c:pt>
                <c:pt idx="22">
                  <c:v>2.804999999999995E-5</c:v>
                </c:pt>
                <c:pt idx="23">
                  <c:v>2.78900000000009E-5</c:v>
                </c:pt>
                <c:pt idx="24">
                  <c:v>4.4299999999998854E-5</c:v>
                </c:pt>
                <c:pt idx="25">
                  <c:v>4.1789999999999883E-5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2</xdr:row>
      <xdr:rowOff>43544</xdr:rowOff>
    </xdr:from>
    <xdr:to>
      <xdr:col>8</xdr:col>
      <xdr:colOff>522513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2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8" width="13.73046875" customWidth="1"/>
    <col min="9" max="9" width="11.53515625" customWidth="1"/>
    <col min="10" max="10" width="3.65234375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23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str">
        <f>VLOOKUP(Region, Region_lookup,2,FALSE)</f>
        <v>CAL</v>
      </c>
      <c r="M3" s="3" t="str">
        <f>$A$1 &amp; " - " &amp; $A$2 &amp; " (" &amp; VLOOKUP(A2,Param_Table,3,FALSE) &amp; ")"</f>
        <v>California - CO2_MTons (MTons)</v>
      </c>
      <c r="N3" s="3"/>
      <c r="O3" s="3"/>
      <c r="W3" t="str">
        <f>$M$3 &amp; " -Yearly Change"</f>
        <v>California - CO2_MTons (MTons) -Yearly Change</v>
      </c>
    </row>
    <row r="4" spans="1:27" ht="14.65" x14ac:dyDescent="0.85"/>
    <row r="5" spans="1:27" ht="14.65" x14ac:dyDescent="0.85">
      <c r="I5">
        <v>2023</v>
      </c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S5">
        <v>2023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I6">
        <f>I5+1</f>
        <v>2024</v>
      </c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19050580.541796699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2286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0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0.36255826000000002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0.97142857000000005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1</v>
      </c>
      <c r="Q6" s="1">
        <f ca="1">SUM(K6:P6)</f>
        <v>19052868.875783529</v>
      </c>
      <c r="T6">
        <f>T5+1</f>
        <v>1</v>
      </c>
      <c r="U6" s="1">
        <f ca="1">K7-K6</f>
        <v>2481906.1478583999</v>
      </c>
      <c r="V6" s="1">
        <f t="shared" ref="V6:AA6" ca="1" si="0">L7-L6</f>
        <v>1159.6396835800001</v>
      </c>
      <c r="W6" s="1">
        <f t="shared" ca="1" si="0"/>
        <v>0</v>
      </c>
      <c r="X6" s="1">
        <f t="shared" ca="1" si="0"/>
        <v>0</v>
      </c>
      <c r="Y6" s="1">
        <f t="shared" ca="1" si="0"/>
        <v>0</v>
      </c>
      <c r="Z6" s="1">
        <f t="shared" ca="1" si="0"/>
        <v>-0.99180281999999997</v>
      </c>
      <c r="AA6" s="1">
        <f t="shared" ca="1" si="0"/>
        <v>2483064.795739159</v>
      </c>
    </row>
    <row r="7" spans="1:27" ht="14.65" x14ac:dyDescent="0.85">
      <c r="I7">
        <f t="shared" ref="I7:I32" si="1">I6+1</f>
        <v>2025</v>
      </c>
      <c r="J7">
        <f t="shared" ref="J7:J32" si="2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21532486.689655099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3445.6396835800001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0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0.36255826000000002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0.97142857000000005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8.1971800000000001E-3</v>
      </c>
      <c r="Q7" s="1">
        <f t="shared" ref="Q7:Q32" ca="1" si="3">SUM(K7:P7)</f>
        <v>21535933.671522688</v>
      </c>
      <c r="T7">
        <f t="shared" ref="T7:T31" si="4">T6+1</f>
        <v>2</v>
      </c>
      <c r="U7" s="1">
        <f t="shared" ref="U7:U31" ca="1" si="5">K8-K7</f>
        <v>2646242.8472907022</v>
      </c>
      <c r="V7" s="1">
        <f t="shared" ref="V7:V31" ca="1" si="6">L8-L7</f>
        <v>1236.1984785899999</v>
      </c>
      <c r="W7" s="1">
        <f t="shared" ref="W7:W31" ca="1" si="7">M8-M7</f>
        <v>0</v>
      </c>
      <c r="X7" s="1">
        <f t="shared" ref="X7:X31" ca="1" si="8">N8-N7</f>
        <v>0</v>
      </c>
      <c r="Y7" s="1">
        <f t="shared" ref="Y7:Y31" ca="1" si="9">O8-O7</f>
        <v>0</v>
      </c>
      <c r="Z7" s="1">
        <f t="shared" ref="Z7:Z31" ca="1" si="10">P8-P7</f>
        <v>8.1100000000000616E-5</v>
      </c>
      <c r="AA7" s="1">
        <f t="shared" ref="AA7:AA31" ca="1" si="11">Q8-Q7</f>
        <v>2647479.0458503924</v>
      </c>
    </row>
    <row r="8" spans="1:27" ht="14.65" x14ac:dyDescent="0.85">
      <c r="I8">
        <f t="shared" si="1"/>
        <v>2026</v>
      </c>
      <c r="J8">
        <f t="shared" si="2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24178729.536945801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4681.83816217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0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0.36255826000000002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0.97142857000000005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8.2782800000000007E-3</v>
      </c>
      <c r="Q8" s="1">
        <f t="shared" ca="1" si="3"/>
        <v>24183412.717373081</v>
      </c>
      <c r="T8">
        <f t="shared" si="4"/>
        <v>3</v>
      </c>
      <c r="U8" s="1">
        <f t="shared" ca="1" si="5"/>
        <v>2820320.1576353982</v>
      </c>
      <c r="V8" s="1">
        <f t="shared" ca="1" si="6"/>
        <v>1317.2830930299997</v>
      </c>
      <c r="W8" s="1">
        <f t="shared" ca="1" si="7"/>
        <v>0</v>
      </c>
      <c r="X8" s="1">
        <f t="shared" ca="1" si="8"/>
        <v>0</v>
      </c>
      <c r="Y8" s="1">
        <f t="shared" ca="1" si="9"/>
        <v>0</v>
      </c>
      <c r="Z8" s="1">
        <f t="shared" ca="1" si="10"/>
        <v>7.6629999999999407E-5</v>
      </c>
      <c r="AA8" s="1">
        <f t="shared" ca="1" si="11"/>
        <v>2821637.4408050589</v>
      </c>
    </row>
    <row r="9" spans="1:27" ht="14.65" x14ac:dyDescent="0.85">
      <c r="I9">
        <f t="shared" si="1"/>
        <v>2027</v>
      </c>
      <c r="J9">
        <f t="shared" si="2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26999049.694581199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5999.1212551999997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0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0.36255826000000002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0.97142857000000005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8.3549100000000001E-3</v>
      </c>
      <c r="Q9" s="1">
        <f t="shared" ca="1" si="3"/>
        <v>27005050.158178139</v>
      </c>
      <c r="T9">
        <f t="shared" si="4"/>
        <v>4</v>
      </c>
      <c r="U9" s="1">
        <f t="shared" ca="1" si="5"/>
        <v>3004689.241379302</v>
      </c>
      <c r="V9" s="1">
        <f t="shared" ca="1" si="6"/>
        <v>1403.1486709700002</v>
      </c>
      <c r="W9" s="1">
        <f t="shared" ca="1" si="7"/>
        <v>0</v>
      </c>
      <c r="X9" s="1">
        <f t="shared" ca="1" si="8"/>
        <v>0</v>
      </c>
      <c r="Y9" s="1">
        <f t="shared" ca="1" si="9"/>
        <v>0</v>
      </c>
      <c r="Z9" s="1">
        <f t="shared" ca="1" si="10"/>
        <v>7.2459999999999886E-5</v>
      </c>
      <c r="AA9" s="1">
        <f t="shared" ca="1" si="11"/>
        <v>3006092.390122734</v>
      </c>
    </row>
    <row r="10" spans="1:27" ht="14.65" x14ac:dyDescent="0.85">
      <c r="I10">
        <f t="shared" si="1"/>
        <v>2028</v>
      </c>
      <c r="J10">
        <f t="shared" si="2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30003738.935960501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7402.26992617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0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0.36255826000000002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0.97142857000000005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8.42737E-3</v>
      </c>
      <c r="Q10" s="1">
        <f t="shared" ca="1" si="3"/>
        <v>30011142.548300873</v>
      </c>
      <c r="T10">
        <f t="shared" si="4"/>
        <v>5</v>
      </c>
      <c r="U10" s="1">
        <f t="shared" ca="1" si="5"/>
        <v>3199927.4614121988</v>
      </c>
      <c r="V10" s="1">
        <f t="shared" ca="1" si="6"/>
        <v>1494.0647496100009</v>
      </c>
      <c r="W10" s="1">
        <f t="shared" ca="1" si="7"/>
        <v>0</v>
      </c>
      <c r="X10" s="1">
        <f t="shared" ca="1" si="8"/>
        <v>0</v>
      </c>
      <c r="Y10" s="1">
        <f t="shared" ca="1" si="9"/>
        <v>0</v>
      </c>
      <c r="Z10" s="1">
        <f t="shared" ca="1" si="10"/>
        <v>6.8570000000000436E-5</v>
      </c>
      <c r="AA10" s="1">
        <f t="shared" ca="1" si="11"/>
        <v>3201421.5262303799</v>
      </c>
    </row>
    <row r="11" spans="1:27" ht="14.65" x14ac:dyDescent="0.85">
      <c r="I11">
        <f t="shared" si="1"/>
        <v>2029</v>
      </c>
      <c r="J11">
        <f t="shared" si="2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33203666.3973727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8896.3346757800009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0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0.36255826000000002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0.97142857000000005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8.4959400000000004E-3</v>
      </c>
      <c r="Q11" s="1">
        <f t="shared" ca="1" si="3"/>
        <v>33212564.074531253</v>
      </c>
      <c r="T11">
        <f t="shared" si="4"/>
        <v>6</v>
      </c>
      <c r="U11" s="1">
        <f t="shared" ca="1" si="5"/>
        <v>3406652.1642035991</v>
      </c>
      <c r="V11" s="1">
        <f t="shared" ca="1" si="6"/>
        <v>1590.3160495099983</v>
      </c>
      <c r="W11" s="1">
        <f t="shared" ca="1" si="7"/>
        <v>0</v>
      </c>
      <c r="X11" s="1">
        <f t="shared" ca="1" si="8"/>
        <v>0</v>
      </c>
      <c r="Y11" s="1">
        <f t="shared" ca="1" si="9"/>
        <v>0</v>
      </c>
      <c r="Z11" s="1">
        <f t="shared" ca="1" si="10"/>
        <v>6.4939999999999443E-5</v>
      </c>
      <c r="AA11" s="1">
        <f t="shared" ca="1" si="11"/>
        <v>3408242.4803180508</v>
      </c>
    </row>
    <row r="12" spans="1:27" ht="14.65" x14ac:dyDescent="0.85">
      <c r="I12">
        <f t="shared" si="1"/>
        <v>2030</v>
      </c>
      <c r="J12">
        <f t="shared" si="2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36610318.561576299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10486.650725289999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0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0.36255826000000002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0.97142857000000005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8.5608799999999999E-3</v>
      </c>
      <c r="Q12" s="1">
        <f t="shared" ca="1" si="3"/>
        <v>36620806.554849304</v>
      </c>
      <c r="T12">
        <f t="shared" si="4"/>
        <v>7</v>
      </c>
      <c r="U12" s="1">
        <f t="shared" ca="1" si="5"/>
        <v>3625464.7027914971</v>
      </c>
      <c r="V12" s="1">
        <f t="shared" ca="1" si="6"/>
        <v>1692.2033088200005</v>
      </c>
      <c r="W12" s="1">
        <f t="shared" ca="1" si="7"/>
        <v>0</v>
      </c>
      <c r="X12" s="1">
        <f t="shared" ca="1" si="8"/>
        <v>0</v>
      </c>
      <c r="Y12" s="1">
        <f t="shared" ca="1" si="9"/>
        <v>0</v>
      </c>
      <c r="Z12" s="1">
        <f t="shared" ca="1" si="10"/>
        <v>6.1540000000000553E-5</v>
      </c>
      <c r="AA12" s="1">
        <f t="shared" ca="1" si="11"/>
        <v>3627156.9061618596</v>
      </c>
    </row>
    <row r="13" spans="1:27" ht="14.65" x14ac:dyDescent="0.85">
      <c r="I13">
        <f t="shared" si="1"/>
        <v>2031</v>
      </c>
      <c r="J13">
        <f t="shared" si="2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40235783.264367796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12178.85403411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0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0.36255826000000002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0.97142857000000005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8.6224200000000004E-3</v>
      </c>
      <c r="Q13" s="1">
        <f t="shared" ca="1" si="3"/>
        <v>40247963.461011164</v>
      </c>
      <c r="T13">
        <f t="shared" si="4"/>
        <v>8</v>
      </c>
      <c r="U13" s="1">
        <f t="shared" ca="1" si="5"/>
        <v>3855920.4597701058</v>
      </c>
      <c r="V13" s="1">
        <f t="shared" ca="1" si="6"/>
        <v>1800.04416915</v>
      </c>
      <c r="W13" s="1">
        <f t="shared" ca="1" si="7"/>
        <v>0</v>
      </c>
      <c r="X13" s="1">
        <f t="shared" ca="1" si="8"/>
        <v>0</v>
      </c>
      <c r="Y13" s="1">
        <f t="shared" ca="1" si="9"/>
        <v>0</v>
      </c>
      <c r="Z13" s="1">
        <f t="shared" ca="1" si="10"/>
        <v>5.8360000000000356E-5</v>
      </c>
      <c r="AA13" s="1">
        <f t="shared" ca="1" si="11"/>
        <v>3857720.5039976165</v>
      </c>
    </row>
    <row r="14" spans="1:27" ht="14.65" x14ac:dyDescent="0.85">
      <c r="I14">
        <f t="shared" si="1"/>
        <v>2032</v>
      </c>
      <c r="J14">
        <f t="shared" si="2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44091703.724137902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13978.89820326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0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0.36255826000000002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0.97142857000000005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8.6807800000000008E-3</v>
      </c>
      <c r="Q14" s="1">
        <f t="shared" ca="1" si="3"/>
        <v>44105683.96500878</v>
      </c>
      <c r="T14">
        <f t="shared" si="4"/>
        <v>9</v>
      </c>
      <c r="U14" s="1">
        <f t="shared" ca="1" si="5"/>
        <v>4096183.3891624957</v>
      </c>
      <c r="V14" s="1">
        <f t="shared" ca="1" si="6"/>
        <v>1914.1859840500001</v>
      </c>
      <c r="W14" s="1">
        <f t="shared" ca="1" si="7"/>
        <v>0</v>
      </c>
      <c r="X14" s="1">
        <f t="shared" ca="1" si="8"/>
        <v>0</v>
      </c>
      <c r="Y14" s="1">
        <f t="shared" ca="1" si="9"/>
        <v>0</v>
      </c>
      <c r="Z14" s="1">
        <f t="shared" ca="1" si="10"/>
        <v>5.5139999999998662E-5</v>
      </c>
      <c r="AA14" s="1">
        <f t="shared" ca="1" si="11"/>
        <v>4098097.5752016753</v>
      </c>
    </row>
    <row r="15" spans="1:27" ht="14.65" x14ac:dyDescent="0.85">
      <c r="I15">
        <f t="shared" si="1"/>
        <v>2033</v>
      </c>
      <c r="J15">
        <f t="shared" si="2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48187887.113300398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15893.08418731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0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0.36255826000000002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0.97142857000000005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8.7359199999999994E-3</v>
      </c>
      <c r="Q15" s="1">
        <f t="shared" ca="1" si="3"/>
        <v>48203781.540210456</v>
      </c>
      <c r="T15">
        <f t="shared" si="4"/>
        <v>10</v>
      </c>
      <c r="U15" s="1">
        <f t="shared" ca="1" si="5"/>
        <v>4346416.6239738017</v>
      </c>
      <c r="V15" s="1">
        <f t="shared" ca="1" si="6"/>
        <v>2034.9479859499988</v>
      </c>
      <c r="W15" s="1">
        <f t="shared" ca="1" si="7"/>
        <v>0</v>
      </c>
      <c r="X15" s="1">
        <f t="shared" ca="1" si="8"/>
        <v>0</v>
      </c>
      <c r="Y15" s="1">
        <f t="shared" ca="1" si="9"/>
        <v>0</v>
      </c>
      <c r="Z15" s="1">
        <f t="shared" ca="1" si="10"/>
        <v>5.2820000000000297E-5</v>
      </c>
      <c r="AA15" s="1">
        <f t="shared" ca="1" si="11"/>
        <v>4348451.5720125809</v>
      </c>
    </row>
    <row r="16" spans="1:27" ht="14.65" x14ac:dyDescent="0.85">
      <c r="I16">
        <f t="shared" si="1"/>
        <v>2034</v>
      </c>
      <c r="J16">
        <f t="shared" si="2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52534303.7372742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17928.032173259999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0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0.36255826000000002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0.97142857000000005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8.7887399999999997E-3</v>
      </c>
      <c r="Q16" s="1">
        <f t="shared" ca="1" si="3"/>
        <v>52552233.112223037</v>
      </c>
      <c r="T16">
        <f t="shared" si="4"/>
        <v>11</v>
      </c>
      <c r="U16" s="1">
        <f t="shared" ca="1" si="5"/>
        <v>4601476.6765189022</v>
      </c>
      <c r="V16" s="1">
        <f t="shared" ca="1" si="6"/>
        <v>2162.7388612300019</v>
      </c>
      <c r="W16" s="1">
        <f t="shared" ca="1" si="7"/>
        <v>0</v>
      </c>
      <c r="X16" s="1">
        <f t="shared" ca="1" si="8"/>
        <v>0</v>
      </c>
      <c r="Y16" s="1">
        <f t="shared" ca="1" si="9"/>
        <v>0</v>
      </c>
      <c r="Z16" s="1">
        <f t="shared" ca="1" si="10"/>
        <v>4.9959999999999935E-5</v>
      </c>
      <c r="AA16" s="1">
        <f t="shared" ca="1" si="11"/>
        <v>4603639.4154300839</v>
      </c>
    </row>
    <row r="17" spans="9:27" x14ac:dyDescent="0.85">
      <c r="I17">
        <f t="shared" si="1"/>
        <v>2035</v>
      </c>
      <c r="J17">
        <f t="shared" si="2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57135780.413793102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20090.771034490001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0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0.36255826000000002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0.97142857000000005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8.8386999999999997E-3</v>
      </c>
      <c r="Q17" s="1">
        <f t="shared" ca="1" si="3"/>
        <v>57155872.52765312</v>
      </c>
      <c r="T17">
        <f t="shared" si="4"/>
        <v>12</v>
      </c>
      <c r="U17" s="1">
        <f t="shared" ca="1" si="5"/>
        <v>4860346.3645320013</v>
      </c>
      <c r="V17" s="1">
        <f t="shared" ca="1" si="6"/>
        <v>2297.9427168799994</v>
      </c>
      <c r="W17" s="1">
        <f t="shared" ca="1" si="7"/>
        <v>0</v>
      </c>
      <c r="X17" s="1">
        <f t="shared" ca="1" si="8"/>
        <v>0</v>
      </c>
      <c r="Y17" s="1">
        <f t="shared" ca="1" si="9"/>
        <v>0</v>
      </c>
      <c r="Z17" s="1">
        <f t="shared" ca="1" si="10"/>
        <v>4.7520000000000548E-5</v>
      </c>
      <c r="AA17" s="1">
        <f t="shared" ca="1" si="11"/>
        <v>4862644.3072964028</v>
      </c>
    </row>
    <row r="18" spans="9:27" x14ac:dyDescent="0.85">
      <c r="I18">
        <f t="shared" si="1"/>
        <v>2036</v>
      </c>
      <c r="J18">
        <f t="shared" si="2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61996126.778325103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22388.71375137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0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0.36255826000000002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0.97142857000000005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8.8862200000000002E-3</v>
      </c>
      <c r="Q18" s="1">
        <f t="shared" ca="1" si="3"/>
        <v>62018516.834949523</v>
      </c>
      <c r="T18">
        <f t="shared" si="4"/>
        <v>13</v>
      </c>
      <c r="U18" s="1">
        <f t="shared" ca="1" si="5"/>
        <v>5126265.9573070034</v>
      </c>
      <c r="V18" s="1">
        <f t="shared" ca="1" si="6"/>
        <v>2440.9758699900012</v>
      </c>
      <c r="W18" s="1">
        <f t="shared" ca="1" si="7"/>
        <v>0</v>
      </c>
      <c r="X18" s="1">
        <f t="shared" ca="1" si="8"/>
        <v>0</v>
      </c>
      <c r="Y18" s="1">
        <f t="shared" ca="1" si="9"/>
        <v>0</v>
      </c>
      <c r="Z18" s="1">
        <f t="shared" ca="1" si="10"/>
        <v>4.5129999999999129E-5</v>
      </c>
      <c r="AA18" s="1">
        <f t="shared" ca="1" si="11"/>
        <v>5128706.9332221299</v>
      </c>
    </row>
    <row r="19" spans="9:27" x14ac:dyDescent="0.85">
      <c r="I19">
        <f t="shared" si="1"/>
        <v>2037</v>
      </c>
      <c r="J19">
        <f t="shared" si="2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67122392.735632107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24829.689621360001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0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0.36255826000000002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0.97142857000000005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8.9313499999999994E-3</v>
      </c>
      <c r="Q19" s="1">
        <f t="shared" ca="1" si="3"/>
        <v>67147223.768171653</v>
      </c>
      <c r="T19">
        <f t="shared" si="4"/>
        <v>14</v>
      </c>
      <c r="U19" s="1">
        <f t="shared" ca="1" si="5"/>
        <v>5396938.7980295867</v>
      </c>
      <c r="V19" s="1">
        <f t="shared" ca="1" si="6"/>
        <v>2592.2801170999992</v>
      </c>
      <c r="W19" s="1">
        <f t="shared" ca="1" si="7"/>
        <v>0</v>
      </c>
      <c r="X19" s="1">
        <f t="shared" ca="1" si="8"/>
        <v>0</v>
      </c>
      <c r="Y19" s="1">
        <f t="shared" ca="1" si="9"/>
        <v>0</v>
      </c>
      <c r="Z19" s="1">
        <f t="shared" ca="1" si="10"/>
        <v>4.3010000000001311E-5</v>
      </c>
      <c r="AA19" s="1">
        <f t="shared" ca="1" si="11"/>
        <v>5399531.0781896859</v>
      </c>
    </row>
    <row r="20" spans="9:27" x14ac:dyDescent="0.85">
      <c r="I20">
        <f t="shared" si="1"/>
        <v>2038</v>
      </c>
      <c r="J20">
        <f t="shared" si="2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72519331.533661693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27421.96973846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0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0.36255826000000002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0.97142857000000005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8.9743600000000007E-3</v>
      </c>
      <c r="Q20" s="1">
        <f t="shared" ca="1" si="3"/>
        <v>72546754.846361339</v>
      </c>
      <c r="T20">
        <f t="shared" si="4"/>
        <v>15</v>
      </c>
      <c r="U20" s="1">
        <f t="shared" ca="1" si="5"/>
        <v>5663638.8702791035</v>
      </c>
      <c r="V20" s="1">
        <f t="shared" ca="1" si="6"/>
        <v>2752.3195672799993</v>
      </c>
      <c r="W20" s="1">
        <f t="shared" ca="1" si="7"/>
        <v>0</v>
      </c>
      <c r="X20" s="1">
        <f t="shared" ca="1" si="8"/>
        <v>0</v>
      </c>
      <c r="Y20" s="1">
        <f t="shared" ca="1" si="9"/>
        <v>0</v>
      </c>
      <c r="Z20" s="1">
        <f t="shared" ca="1" si="10"/>
        <v>4.0890000000000024E-5</v>
      </c>
      <c r="AA20" s="1">
        <f t="shared" ca="1" si="11"/>
        <v>5666391.1898872852</v>
      </c>
    </row>
    <row r="21" spans="9:27" x14ac:dyDescent="0.85">
      <c r="I21">
        <f t="shared" si="1"/>
        <v>2039</v>
      </c>
      <c r="J21">
        <f t="shared" si="2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78182970.403940797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30174.28930574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0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0.36255826000000002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0.97142857000000005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9.0152500000000007E-3</v>
      </c>
      <c r="Q21" s="1">
        <f t="shared" ca="1" si="3"/>
        <v>78213146.036248624</v>
      </c>
      <c r="T21">
        <f t="shared" si="4"/>
        <v>16</v>
      </c>
      <c r="U21" s="1">
        <f t="shared" ca="1" si="5"/>
        <v>5925182.6600985974</v>
      </c>
      <c r="V21" s="1">
        <f t="shared" ca="1" si="6"/>
        <v>2921.5863085099991</v>
      </c>
      <c r="W21" s="1">
        <f t="shared" ca="1" si="7"/>
        <v>0</v>
      </c>
      <c r="X21" s="1">
        <f t="shared" ca="1" si="8"/>
        <v>0</v>
      </c>
      <c r="Y21" s="1">
        <f t="shared" ca="1" si="9"/>
        <v>0</v>
      </c>
      <c r="Z21" s="1">
        <f t="shared" ca="1" si="10"/>
        <v>3.8979999999999224E-5</v>
      </c>
      <c r="AA21" s="1">
        <f t="shared" ca="1" si="11"/>
        <v>5928104.246446088</v>
      </c>
    </row>
    <row r="22" spans="9:27" x14ac:dyDescent="0.85">
      <c r="I22">
        <f t="shared" si="1"/>
        <v>2040</v>
      </c>
      <c r="J22">
        <f t="shared" si="2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84108153.064039394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33095.875614249999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0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0.36255826000000002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0.97142857000000005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9.0542299999999999E-3</v>
      </c>
      <c r="Q22" s="1">
        <f t="shared" ca="1" si="3"/>
        <v>84141250.282694712</v>
      </c>
      <c r="T22">
        <f t="shared" si="4"/>
        <v>17</v>
      </c>
      <c r="U22" s="1">
        <f t="shared" ca="1" si="5"/>
        <v>6178684.9523809105</v>
      </c>
      <c r="V22" s="1">
        <f t="shared" ca="1" si="6"/>
        <v>3100.5988075700006</v>
      </c>
      <c r="W22" s="1">
        <f t="shared" ca="1" si="7"/>
        <v>0</v>
      </c>
      <c r="X22" s="1">
        <f t="shared" ca="1" si="8"/>
        <v>0</v>
      </c>
      <c r="Y22" s="1">
        <f t="shared" ca="1" si="9"/>
        <v>0</v>
      </c>
      <c r="Z22" s="1">
        <f t="shared" ca="1" si="10"/>
        <v>3.7139999999999743E-5</v>
      </c>
      <c r="AA22" s="1">
        <f t="shared" ca="1" si="11"/>
        <v>6181785.5512256175</v>
      </c>
    </row>
    <row r="23" spans="9:27" x14ac:dyDescent="0.85">
      <c r="I23">
        <f t="shared" si="1"/>
        <v>2041</v>
      </c>
      <c r="J23">
        <f t="shared" si="2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90286838.016420305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36196.474421819999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0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0.36255826000000002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0.97142857000000005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9.0913699999999997E-3</v>
      </c>
      <c r="Q23" s="1">
        <f t="shared" ca="1" si="3"/>
        <v>90323035.83392033</v>
      </c>
      <c r="T23">
        <f t="shared" si="4"/>
        <v>18</v>
      </c>
      <c r="U23" s="1">
        <f t="shared" ca="1" si="5"/>
        <v>6431381.1756978929</v>
      </c>
      <c r="V23" s="1">
        <f t="shared" ca="1" si="6"/>
        <v>3289.9047845599998</v>
      </c>
      <c r="W23" s="1">
        <f t="shared" ca="1" si="7"/>
        <v>0</v>
      </c>
      <c r="X23" s="1">
        <f t="shared" ca="1" si="8"/>
        <v>0</v>
      </c>
      <c r="Y23" s="1">
        <f t="shared" ca="1" si="9"/>
        <v>0</v>
      </c>
      <c r="Z23" s="1">
        <f t="shared" ca="1" si="10"/>
        <v>3.5399999999999668E-5</v>
      </c>
      <c r="AA23" s="1">
        <f t="shared" ca="1" si="11"/>
        <v>6434671.0805178434</v>
      </c>
    </row>
    <row r="24" spans="9:27" x14ac:dyDescent="0.85">
      <c r="I24">
        <f t="shared" si="1"/>
        <v>2042</v>
      </c>
      <c r="J24">
        <f t="shared" si="2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96718219.192118198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39486.379206379999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0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0.36255826000000002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0.97142857000000005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9.1267699999999993E-3</v>
      </c>
      <c r="Q24" s="1">
        <f t="shared" ca="1" si="3"/>
        <v>96757706.914438173</v>
      </c>
      <c r="T24">
        <f t="shared" si="4"/>
        <v>19</v>
      </c>
      <c r="U24" s="1">
        <f t="shared" ca="1" si="5"/>
        <v>6674814.0032837987</v>
      </c>
      <c r="V24" s="1">
        <f t="shared" ca="1" si="6"/>
        <v>3490.0824223099989</v>
      </c>
      <c r="W24" s="1">
        <f t="shared" ca="1" si="7"/>
        <v>0</v>
      </c>
      <c r="X24" s="1">
        <f t="shared" ca="1" si="8"/>
        <v>0</v>
      </c>
      <c r="Y24" s="1">
        <f t="shared" ca="1" si="9"/>
        <v>0</v>
      </c>
      <c r="Z24" s="1">
        <f t="shared" ca="1" si="10"/>
        <v>3.3770000000000674E-5</v>
      </c>
      <c r="AA24" s="1">
        <f t="shared" ca="1" si="11"/>
        <v>6678304.0857398808</v>
      </c>
    </row>
    <row r="25" spans="9:27" x14ac:dyDescent="0.85">
      <c r="I25">
        <f t="shared" si="1"/>
        <v>2043</v>
      </c>
      <c r="J25">
        <f t="shared" si="2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103393033.195402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42976.461628689998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0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0.36255826000000002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0.97142857000000005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9.16054E-3</v>
      </c>
      <c r="Q25" s="1">
        <f t="shared" ca="1" si="3"/>
        <v>103436011.00017805</v>
      </c>
      <c r="T25">
        <f t="shared" si="4"/>
        <v>20</v>
      </c>
      <c r="U25" s="1">
        <f t="shared" ca="1" si="5"/>
        <v>6915150.502462998</v>
      </c>
      <c r="V25" s="1">
        <f t="shared" ca="1" si="6"/>
        <v>3701.7425831900036</v>
      </c>
      <c r="W25" s="1">
        <f t="shared" ca="1" si="7"/>
        <v>0</v>
      </c>
      <c r="X25" s="1">
        <f t="shared" ca="1" si="8"/>
        <v>0</v>
      </c>
      <c r="Y25" s="1">
        <f t="shared" ca="1" si="9"/>
        <v>0</v>
      </c>
      <c r="Z25" s="1">
        <f t="shared" ca="1" si="10"/>
        <v>3.2219999999999471E-5</v>
      </c>
      <c r="AA25" s="1">
        <f t="shared" ca="1" si="11"/>
        <v>6918852.2450784147</v>
      </c>
    </row>
    <row r="26" spans="9:27" x14ac:dyDescent="0.85">
      <c r="I26">
        <f t="shared" si="1"/>
        <v>2044</v>
      </c>
      <c r="J26">
        <f t="shared" si="2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110308183.69786499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46678.204211880002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0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0.36255826000000002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0.97142857000000005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9.1927599999999995E-3</v>
      </c>
      <c r="Q26" s="1">
        <f t="shared" ca="1" si="3"/>
        <v>110354863.24525647</v>
      </c>
      <c r="T26">
        <f t="shared" si="4"/>
        <v>21</v>
      </c>
      <c r="U26" s="1">
        <f t="shared" ca="1" si="5"/>
        <v>7165466.9031200111</v>
      </c>
      <c r="V26" s="1">
        <f t="shared" ca="1" si="6"/>
        <v>3925.5298595200002</v>
      </c>
      <c r="W26" s="1">
        <f t="shared" ca="1" si="7"/>
        <v>0</v>
      </c>
      <c r="X26" s="1">
        <f t="shared" ca="1" si="8"/>
        <v>0</v>
      </c>
      <c r="Y26" s="1">
        <f t="shared" ca="1" si="9"/>
        <v>0</v>
      </c>
      <c r="Z26" s="1">
        <f t="shared" ca="1" si="10"/>
        <v>3.0760000000001203E-5</v>
      </c>
      <c r="AA26" s="1">
        <f t="shared" ca="1" si="11"/>
        <v>7169392.433010295</v>
      </c>
    </row>
    <row r="27" spans="9:27" x14ac:dyDescent="0.85">
      <c r="I27">
        <f t="shared" si="1"/>
        <v>2045</v>
      </c>
      <c r="J27">
        <f t="shared" si="2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117473650.60098501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50603.734071400002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0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0.36255826000000002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0.97142857000000005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9.2235200000000007E-3</v>
      </c>
      <c r="Q27" s="1">
        <f t="shared" ca="1" si="3"/>
        <v>117524255.67826676</v>
      </c>
      <c r="T27">
        <f t="shared" si="4"/>
        <v>22</v>
      </c>
      <c r="U27" s="1">
        <f t="shared" ca="1" si="5"/>
        <v>7415130.7717569917</v>
      </c>
      <c r="V27" s="1">
        <f t="shared" ca="1" si="6"/>
        <v>4162.1248987500003</v>
      </c>
      <c r="W27" s="1">
        <f t="shared" ca="1" si="7"/>
        <v>0</v>
      </c>
      <c r="X27" s="1">
        <f t="shared" ca="1" si="8"/>
        <v>0</v>
      </c>
      <c r="Y27" s="1">
        <f t="shared" ca="1" si="9"/>
        <v>0</v>
      </c>
      <c r="Z27" s="1">
        <f t="shared" ca="1" si="10"/>
        <v>2.9359999999999109E-5</v>
      </c>
      <c r="AA27" s="1">
        <f t="shared" ca="1" si="11"/>
        <v>7419292.8966850936</v>
      </c>
    </row>
    <row r="28" spans="9:27" x14ac:dyDescent="0.85">
      <c r="I28">
        <f t="shared" si="1"/>
        <v>2046</v>
      </c>
      <c r="J28">
        <f t="shared" si="2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124888781.372742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54765.858970150002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0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0.36255826000000002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0.97142857000000005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9.2528799999999998E-3</v>
      </c>
      <c r="Q28" s="1">
        <f t="shared" ca="1" si="3"/>
        <v>124943548.57495186</v>
      </c>
      <c r="T28">
        <f t="shared" si="4"/>
        <v>23</v>
      </c>
      <c r="U28" s="1">
        <f t="shared" ca="1" si="5"/>
        <v>7650413.346469</v>
      </c>
      <c r="V28" s="1">
        <f t="shared" ca="1" si="6"/>
        <v>4334.7802238599979</v>
      </c>
      <c r="W28" s="1">
        <f t="shared" ca="1" si="7"/>
        <v>0</v>
      </c>
      <c r="X28" s="1">
        <f t="shared" ca="1" si="8"/>
        <v>0</v>
      </c>
      <c r="Y28" s="1">
        <f t="shared" ca="1" si="9"/>
        <v>0</v>
      </c>
      <c r="Z28" s="1">
        <f t="shared" ca="1" si="10"/>
        <v>2.804999999999995E-5</v>
      </c>
      <c r="AA28" s="1">
        <f t="shared" ca="1" si="11"/>
        <v>7654748.1267209202</v>
      </c>
    </row>
    <row r="29" spans="9:27" x14ac:dyDescent="0.85">
      <c r="I29">
        <f t="shared" si="1"/>
        <v>2047</v>
      </c>
      <c r="J29">
        <f t="shared" si="2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132539194.719211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59100.63919401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0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0.36255826000000002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0.97142857000000005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9.2809299999999997E-3</v>
      </c>
      <c r="Q29" s="1">
        <f t="shared" ca="1" si="3"/>
        <v>132598296.70167278</v>
      </c>
      <c r="T29">
        <f t="shared" si="4"/>
        <v>24</v>
      </c>
      <c r="U29" s="1">
        <f t="shared" ca="1" si="5"/>
        <v>7867552.9720859975</v>
      </c>
      <c r="V29" s="1">
        <f t="shared" ca="1" si="6"/>
        <v>343.93323845999839</v>
      </c>
      <c r="W29" s="1">
        <f t="shared" ca="1" si="7"/>
        <v>0</v>
      </c>
      <c r="X29" s="1">
        <f t="shared" ca="1" si="8"/>
        <v>0</v>
      </c>
      <c r="Y29" s="1">
        <f t="shared" ca="1" si="9"/>
        <v>0</v>
      </c>
      <c r="Z29" s="1">
        <f t="shared" ca="1" si="10"/>
        <v>2.78900000000009E-5</v>
      </c>
      <c r="AA29" s="1">
        <f t="shared" ca="1" si="11"/>
        <v>7867896.9053523093</v>
      </c>
    </row>
    <row r="30" spans="9:27" x14ac:dyDescent="0.85">
      <c r="I30">
        <f t="shared" si="1"/>
        <v>2048</v>
      </c>
      <c r="J30">
        <f t="shared" si="2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140406747.69129699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59444.572432469999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0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0.36255826000000002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0.97142857000000005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9.3088200000000006E-3</v>
      </c>
      <c r="Q30" s="1">
        <f t="shared" ca="1" si="3"/>
        <v>140466193.60702509</v>
      </c>
      <c r="T30">
        <f t="shared" si="4"/>
        <v>25</v>
      </c>
      <c r="U30" s="1">
        <f t="shared" ca="1" si="5"/>
        <v>7947980.742200017</v>
      </c>
      <c r="V30" s="1">
        <f t="shared" ca="1" si="6"/>
        <v>762.10759849000169</v>
      </c>
      <c r="W30" s="1">
        <f t="shared" ca="1" si="7"/>
        <v>0</v>
      </c>
      <c r="X30" s="1">
        <f t="shared" ca="1" si="8"/>
        <v>0</v>
      </c>
      <c r="Y30" s="1">
        <f t="shared" ca="1" si="9"/>
        <v>0</v>
      </c>
      <c r="Z30" s="1">
        <f t="shared" ca="1" si="10"/>
        <v>4.4299999999998854E-5</v>
      </c>
      <c r="AA30" s="1">
        <f t="shared" ca="1" si="11"/>
        <v>7948742.8498428464</v>
      </c>
    </row>
    <row r="31" spans="9:27" x14ac:dyDescent="0.85">
      <c r="I31">
        <f t="shared" si="1"/>
        <v>2049</v>
      </c>
      <c r="J31">
        <f t="shared" si="2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148354728.43349701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60206.68003096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0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0.36255826000000002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0.97142857000000005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9.3531199999999995E-3</v>
      </c>
      <c r="Q31" s="1">
        <f t="shared" ca="1" si="3"/>
        <v>148414936.45686793</v>
      </c>
      <c r="T31">
        <f t="shared" si="4"/>
        <v>26</v>
      </c>
      <c r="U31" s="1">
        <f t="shared" ca="1" si="5"/>
        <v>8042751.422003001</v>
      </c>
      <c r="V31" s="1">
        <f t="shared" ca="1" si="6"/>
        <v>756.95640868000191</v>
      </c>
      <c r="W31" s="1">
        <f t="shared" ca="1" si="7"/>
        <v>0</v>
      </c>
      <c r="X31" s="1">
        <f t="shared" ca="1" si="8"/>
        <v>0</v>
      </c>
      <c r="Y31" s="1">
        <f t="shared" ca="1" si="9"/>
        <v>0</v>
      </c>
      <c r="Z31" s="1">
        <f t="shared" ca="1" si="10"/>
        <v>4.1789999999999883E-5</v>
      </c>
      <c r="AA31" s="1">
        <f t="shared" ca="1" si="11"/>
        <v>8043508.3784534633</v>
      </c>
    </row>
    <row r="32" spans="9:27" x14ac:dyDescent="0.85">
      <c r="I32">
        <f t="shared" si="1"/>
        <v>2050</v>
      </c>
      <c r="J32">
        <f t="shared" si="2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156397479.85550001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60963.636439640002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0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0.36255826000000002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0.97142857000000005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9.3949099999999994E-3</v>
      </c>
      <c r="Q32" s="1">
        <f t="shared" ca="1" si="3"/>
        <v>156458444.8353214</v>
      </c>
    </row>
  </sheetData>
  <mergeCells count="2">
    <mergeCell ref="M3:O3"/>
    <mergeCell ref="C1:I1"/>
  </mergeCells>
  <conditionalFormatting sqref="K6:Q32">
    <cfRule type="expression" dxfId="2" priority="3">
      <formula>$Q6 &gt; 10000</formula>
    </cfRule>
  </conditionalFormatting>
  <conditionalFormatting sqref="U6:AA31">
    <cfRule type="expression" dxfId="1" priority="1">
      <formula>$Q6 &gt; 10000</formula>
    </cfRule>
  </conditionalFormatting>
  <dataValidations count="1">
    <dataValidation type="list" allowBlank="1" showInputMessage="1" showErrorMessage="1" sqref="A2" xr:uid="{FBA341F7-B53D-40FE-9073-E8DFC7E6B155}">
      <formula1>Params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4C4E3-E95E-4CDB-A3AB-DCC25165B2A8}">
  <dimension ref="A1:L15"/>
  <sheetViews>
    <sheetView workbookViewId="0">
      <selection activeCell="I3" sqref="I3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8</v>
      </c>
      <c r="B2" s="6" t="s">
        <v>20</v>
      </c>
      <c r="C2" s="6" t="s">
        <v>8</v>
      </c>
      <c r="D2" s="6" t="s">
        <v>21</v>
      </c>
      <c r="E2" s="6">
        <v>0</v>
      </c>
      <c r="F2" s="6" t="s">
        <v>22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23</v>
      </c>
      <c r="B3" s="6" t="s">
        <v>24</v>
      </c>
      <c r="C3" s="6" t="s">
        <v>23</v>
      </c>
      <c r="D3" s="6" t="s">
        <v>25</v>
      </c>
      <c r="E3" s="6">
        <v>1</v>
      </c>
      <c r="F3" s="6" t="s">
        <v>26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27</v>
      </c>
      <c r="B4" s="6" t="s">
        <v>28</v>
      </c>
      <c r="C4" s="6" t="s">
        <v>27</v>
      </c>
      <c r="D4" s="6" t="s">
        <v>29</v>
      </c>
      <c r="E4" s="6">
        <v>2</v>
      </c>
      <c r="F4" s="6" t="s">
        <v>26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30</v>
      </c>
      <c r="B5" s="6" t="s">
        <v>31</v>
      </c>
      <c r="C5" s="6" t="s">
        <v>30</v>
      </c>
      <c r="D5" s="6" t="s">
        <v>32</v>
      </c>
      <c r="E5" s="6">
        <v>3</v>
      </c>
      <c r="F5" s="6" t="s">
        <v>33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34</v>
      </c>
      <c r="B6" s="6" t="s">
        <v>35</v>
      </c>
      <c r="C6" s="6" t="s">
        <v>34</v>
      </c>
      <c r="D6" s="6" t="s">
        <v>36</v>
      </c>
      <c r="E6" s="6">
        <v>4</v>
      </c>
      <c r="F6" s="6" t="s">
        <v>33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37</v>
      </c>
      <c r="B7" s="6" t="s">
        <v>38</v>
      </c>
      <c r="C7" s="6" t="s">
        <v>37</v>
      </c>
      <c r="D7" s="6" t="s">
        <v>7</v>
      </c>
      <c r="E7" s="6">
        <v>5</v>
      </c>
      <c r="F7" s="6" t="s">
        <v>39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40</v>
      </c>
      <c r="B8" s="6" t="s">
        <v>41</v>
      </c>
      <c r="C8" s="6" t="s">
        <v>40</v>
      </c>
      <c r="J8" s="6" t="s">
        <v>42</v>
      </c>
      <c r="L8" s="6">
        <v>7</v>
      </c>
    </row>
    <row r="9" spans="1:12" x14ac:dyDescent="0.85">
      <c r="A9" s="6" t="s">
        <v>43</v>
      </c>
      <c r="B9" s="6" t="s">
        <v>44</v>
      </c>
      <c r="C9" s="6" t="s">
        <v>43</v>
      </c>
      <c r="D9" s="5"/>
    </row>
    <row r="10" spans="1:12" x14ac:dyDescent="0.85">
      <c r="A10" s="6" t="s">
        <v>45</v>
      </c>
      <c r="B10" s="6" t="s">
        <v>46</v>
      </c>
      <c r="C10" s="6" t="s">
        <v>45</v>
      </c>
    </row>
    <row r="11" spans="1:12" x14ac:dyDescent="0.85">
      <c r="A11" s="6" t="s">
        <v>47</v>
      </c>
      <c r="B11" s="6" t="s">
        <v>48</v>
      </c>
      <c r="C11" s="6" t="s">
        <v>47</v>
      </c>
    </row>
    <row r="12" spans="1:12" x14ac:dyDescent="0.85">
      <c r="A12" s="6" t="s">
        <v>49</v>
      </c>
      <c r="B12" s="6" t="s">
        <v>50</v>
      </c>
      <c r="C12" s="6" t="s">
        <v>49</v>
      </c>
    </row>
    <row r="13" spans="1:12" x14ac:dyDescent="0.85">
      <c r="A13" s="6" t="s">
        <v>51</v>
      </c>
      <c r="B13" s="6" t="s">
        <v>52</v>
      </c>
      <c r="C13" s="6" t="s">
        <v>51</v>
      </c>
    </row>
    <row r="14" spans="1:12" x14ac:dyDescent="0.85">
      <c r="A14" s="6" t="s">
        <v>53</v>
      </c>
      <c r="B14" s="6" t="s">
        <v>54</v>
      </c>
      <c r="C14" s="6" t="s">
        <v>53</v>
      </c>
    </row>
    <row r="15" spans="1:12" x14ac:dyDescent="0.85">
      <c r="A15" s="6" t="s">
        <v>55</v>
      </c>
      <c r="B15" s="6" t="s">
        <v>56</v>
      </c>
      <c r="C15" s="6" t="s">
        <v>55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A37B-8A41-406D-A3F9-DE4E6C8CE814}">
  <dimension ref="A1:D40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57</v>
      </c>
      <c r="C1" t="s">
        <v>58</v>
      </c>
      <c r="D1" t="s">
        <v>59</v>
      </c>
    </row>
    <row r="2" spans="1:4" x14ac:dyDescent="0.85">
      <c r="A2" t="s">
        <v>60</v>
      </c>
      <c r="B2" s="7">
        <v>45909</v>
      </c>
    </row>
    <row r="3" spans="1:4" x14ac:dyDescent="0.85">
      <c r="A3" t="s">
        <v>61</v>
      </c>
      <c r="B3" s="8">
        <v>45909.690683680557</v>
      </c>
    </row>
    <row r="4" spans="1:4" x14ac:dyDescent="0.85">
      <c r="A4" t="s">
        <v>62</v>
      </c>
      <c r="B4" t="s">
        <v>63</v>
      </c>
    </row>
    <row r="5" spans="1:4" x14ac:dyDescent="0.85">
      <c r="A5" t="s">
        <v>64</v>
      </c>
      <c r="B5" t="s">
        <v>65</v>
      </c>
    </row>
    <row r="6" spans="1:4" x14ac:dyDescent="0.85">
      <c r="A6" t="s">
        <v>66</v>
      </c>
      <c r="B6" t="s">
        <v>24</v>
      </c>
    </row>
    <row r="7" spans="1:4" x14ac:dyDescent="0.85">
      <c r="A7" t="s">
        <v>67</v>
      </c>
      <c r="C7">
        <v>26</v>
      </c>
      <c r="D7">
        <v>0</v>
      </c>
    </row>
    <row r="8" spans="1:4" x14ac:dyDescent="0.85">
      <c r="A8" t="s">
        <v>68</v>
      </c>
      <c r="C8">
        <v>37</v>
      </c>
      <c r="D8">
        <v>999</v>
      </c>
    </row>
    <row r="9" spans="1:4" x14ac:dyDescent="0.85">
      <c r="A9" t="s">
        <v>69</v>
      </c>
      <c r="C9">
        <v>0.12</v>
      </c>
      <c r="D9">
        <v>1</v>
      </c>
    </row>
    <row r="10" spans="1:4" x14ac:dyDescent="0.85">
      <c r="A10" t="s">
        <v>70</v>
      </c>
      <c r="C10">
        <v>1.02</v>
      </c>
      <c r="D10">
        <v>1</v>
      </c>
    </row>
    <row r="11" spans="1:4" x14ac:dyDescent="0.85">
      <c r="A11" t="s">
        <v>71</v>
      </c>
      <c r="C11">
        <v>1</v>
      </c>
      <c r="D11">
        <v>1</v>
      </c>
    </row>
    <row r="12" spans="1:4" x14ac:dyDescent="0.85">
      <c r="A12" t="s">
        <v>72</v>
      </c>
      <c r="C12">
        <v>1</v>
      </c>
      <c r="D12">
        <v>1</v>
      </c>
    </row>
    <row r="13" spans="1:4" x14ac:dyDescent="0.85">
      <c r="A13" t="s">
        <v>73</v>
      </c>
      <c r="C13">
        <v>1</v>
      </c>
      <c r="D13">
        <v>1</v>
      </c>
    </row>
    <row r="14" spans="1:4" x14ac:dyDescent="0.85">
      <c r="A14" t="s">
        <v>74</v>
      </c>
      <c r="C14">
        <v>1</v>
      </c>
      <c r="D14">
        <v>1</v>
      </c>
    </row>
    <row r="15" spans="1:4" x14ac:dyDescent="0.85">
      <c r="A15" t="s">
        <v>75</v>
      </c>
      <c r="C15">
        <v>1</v>
      </c>
      <c r="D15">
        <v>1</v>
      </c>
    </row>
    <row r="16" spans="1:4" x14ac:dyDescent="0.85">
      <c r="A16" t="s">
        <v>76</v>
      </c>
      <c r="C16">
        <v>1</v>
      </c>
      <c r="D16">
        <v>1</v>
      </c>
    </row>
    <row r="17" spans="1:4" x14ac:dyDescent="0.85">
      <c r="A17" t="s">
        <v>77</v>
      </c>
      <c r="C17">
        <v>1</v>
      </c>
      <c r="D17">
        <v>1</v>
      </c>
    </row>
    <row r="18" spans="1:4" x14ac:dyDescent="0.85">
      <c r="A18" t="s">
        <v>78</v>
      </c>
      <c r="C18">
        <v>1</v>
      </c>
      <c r="D18">
        <v>1</v>
      </c>
    </row>
    <row r="19" spans="1:4" x14ac:dyDescent="0.85">
      <c r="A19" t="s">
        <v>79</v>
      </c>
      <c r="C19">
        <v>1</v>
      </c>
      <c r="D19">
        <v>1</v>
      </c>
    </row>
    <row r="20" spans="1:4" x14ac:dyDescent="0.85">
      <c r="A20" t="s">
        <v>80</v>
      </c>
      <c r="C20">
        <v>1</v>
      </c>
      <c r="D20">
        <v>1</v>
      </c>
    </row>
    <row r="21" spans="1:4" x14ac:dyDescent="0.85">
      <c r="A21" t="s">
        <v>81</v>
      </c>
      <c r="C21">
        <v>1</v>
      </c>
      <c r="D21">
        <v>1</v>
      </c>
    </row>
    <row r="22" spans="1:4" x14ac:dyDescent="0.85">
      <c r="A22" t="s">
        <v>82</v>
      </c>
      <c r="C22">
        <v>1</v>
      </c>
      <c r="D22">
        <v>1</v>
      </c>
    </row>
    <row r="23" spans="1:4" x14ac:dyDescent="0.85">
      <c r="A23" t="s">
        <v>83</v>
      </c>
      <c r="C23">
        <v>1</v>
      </c>
      <c r="D23">
        <v>1</v>
      </c>
    </row>
    <row r="24" spans="1:4" x14ac:dyDescent="0.85">
      <c r="A24" t="s">
        <v>84</v>
      </c>
      <c r="C24">
        <v>1</v>
      </c>
      <c r="D24">
        <v>1</v>
      </c>
    </row>
    <row r="25" spans="1:4" x14ac:dyDescent="0.85">
      <c r="A25" t="s">
        <v>85</v>
      </c>
      <c r="C25">
        <v>1</v>
      </c>
      <c r="D25">
        <v>1</v>
      </c>
    </row>
    <row r="26" spans="1:4" x14ac:dyDescent="0.85">
      <c r="A26" t="s">
        <v>86</v>
      </c>
      <c r="C26">
        <v>1</v>
      </c>
      <c r="D26">
        <v>1</v>
      </c>
    </row>
    <row r="27" spans="1:4" x14ac:dyDescent="0.85">
      <c r="A27" t="s">
        <v>87</v>
      </c>
      <c r="C27">
        <v>1</v>
      </c>
      <c r="D27">
        <v>1</v>
      </c>
    </row>
    <row r="28" spans="1:4" x14ac:dyDescent="0.85">
      <c r="A28" t="s">
        <v>88</v>
      </c>
      <c r="C28">
        <v>1</v>
      </c>
      <c r="D28">
        <v>1</v>
      </c>
    </row>
    <row r="29" spans="1:4" x14ac:dyDescent="0.85">
      <c r="A29" t="s">
        <v>89</v>
      </c>
      <c r="C29">
        <v>1</v>
      </c>
      <c r="D29">
        <v>1</v>
      </c>
    </row>
    <row r="30" spans="1:4" x14ac:dyDescent="0.85">
      <c r="A30" t="s">
        <v>90</v>
      </c>
      <c r="C30">
        <v>1</v>
      </c>
      <c r="D30">
        <v>1</v>
      </c>
    </row>
    <row r="31" spans="1:4" x14ac:dyDescent="0.85">
      <c r="A31" t="s">
        <v>91</v>
      </c>
      <c r="C31">
        <v>1</v>
      </c>
      <c r="D31">
        <v>1</v>
      </c>
    </row>
    <row r="32" spans="1:4" x14ac:dyDescent="0.85">
      <c r="A32" t="s">
        <v>92</v>
      </c>
      <c r="C32">
        <v>1</v>
      </c>
      <c r="D32">
        <v>1</v>
      </c>
    </row>
    <row r="33" spans="1:4" x14ac:dyDescent="0.85">
      <c r="A33" t="s">
        <v>93</v>
      </c>
      <c r="C33">
        <v>1</v>
      </c>
      <c r="D33">
        <v>1</v>
      </c>
    </row>
    <row r="34" spans="1:4" x14ac:dyDescent="0.85">
      <c r="A34" t="s">
        <v>94</v>
      </c>
      <c r="C34">
        <v>1</v>
      </c>
      <c r="D34">
        <v>1</v>
      </c>
    </row>
    <row r="35" spans="1:4" x14ac:dyDescent="0.85">
      <c r="A35" t="s">
        <v>95</v>
      </c>
      <c r="C35">
        <v>1</v>
      </c>
      <c r="D35">
        <v>1</v>
      </c>
    </row>
    <row r="36" spans="1:4" x14ac:dyDescent="0.85">
      <c r="A36" t="s">
        <v>96</v>
      </c>
      <c r="C36">
        <v>1</v>
      </c>
      <c r="D36">
        <v>1</v>
      </c>
    </row>
    <row r="37" spans="1:4" x14ac:dyDescent="0.85">
      <c r="A37" t="s">
        <v>97</v>
      </c>
      <c r="C37">
        <v>1</v>
      </c>
      <c r="D37">
        <v>1</v>
      </c>
    </row>
    <row r="38" spans="1:4" x14ac:dyDescent="0.85">
      <c r="A38" t="s">
        <v>98</v>
      </c>
      <c r="C38">
        <v>1</v>
      </c>
      <c r="D38">
        <v>1</v>
      </c>
    </row>
    <row r="39" spans="1:4" x14ac:dyDescent="0.85">
      <c r="A39" t="s">
        <v>99</v>
      </c>
      <c r="C39">
        <v>1</v>
      </c>
      <c r="D39">
        <v>1</v>
      </c>
    </row>
    <row r="40" spans="1:4" x14ac:dyDescent="0.85">
      <c r="A40" t="s">
        <v>100</v>
      </c>
      <c r="C40">
        <v>1</v>
      </c>
      <c r="D4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6E0DD-CA95-456C-9845-C15C38CC3A70}">
  <dimension ref="A1:ZZ99"/>
  <sheetViews>
    <sheetView workbookViewId="0">
      <selection sqref="A1:XFD1048576"/>
    </sheetView>
  </sheetViews>
  <sheetFormatPr defaultRowHeight="14.6" x14ac:dyDescent="0.85"/>
  <cols>
    <col min="1" max="1" width="21.3046875" bestFit="1" customWidth="1"/>
    <col min="2" max="5" width="13.19140625" bestFit="1" customWidth="1"/>
    <col min="6" max="28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101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102</v>
      </c>
      <c r="B3" s="9">
        <v>0</v>
      </c>
      <c r="C3" s="9">
        <v>37</v>
      </c>
      <c r="D3" s="9">
        <v>74</v>
      </c>
      <c r="E3" s="9">
        <v>111</v>
      </c>
      <c r="F3" s="9">
        <v>148</v>
      </c>
      <c r="G3" s="9">
        <v>185</v>
      </c>
      <c r="H3" s="9">
        <v>222</v>
      </c>
      <c r="I3" s="9">
        <v>259</v>
      </c>
      <c r="J3" s="9">
        <v>296</v>
      </c>
      <c r="K3" s="9">
        <v>333</v>
      </c>
      <c r="L3" s="9">
        <v>370</v>
      </c>
      <c r="M3" s="9">
        <v>407</v>
      </c>
      <c r="N3" s="9">
        <v>444</v>
      </c>
      <c r="O3" s="9">
        <v>481</v>
      </c>
      <c r="P3" s="9">
        <v>518</v>
      </c>
      <c r="Q3" s="9">
        <v>555</v>
      </c>
      <c r="R3" s="9">
        <v>592</v>
      </c>
      <c r="S3" s="9">
        <v>629</v>
      </c>
      <c r="T3" s="9">
        <v>666</v>
      </c>
      <c r="U3" s="9">
        <v>703</v>
      </c>
      <c r="V3" s="9">
        <v>740</v>
      </c>
      <c r="W3" s="9">
        <v>777</v>
      </c>
      <c r="X3" s="9">
        <v>814</v>
      </c>
      <c r="Y3" s="9">
        <v>851</v>
      </c>
      <c r="Z3" s="9">
        <v>888</v>
      </c>
      <c r="AA3" s="9">
        <v>925</v>
      </c>
      <c r="AB3" s="9">
        <v>962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103</v>
      </c>
      <c r="B4" s="9">
        <v>192373034.07833499</v>
      </c>
      <c r="C4" s="9">
        <v>196220494.75990099</v>
      </c>
      <c r="D4" s="9">
        <v>200144904.655099</v>
      </c>
      <c r="E4" s="9">
        <v>204147802.74820101</v>
      </c>
      <c r="F4" s="9">
        <v>208230758.80316499</v>
      </c>
      <c r="G4" s="9">
        <v>212395373.979229</v>
      </c>
      <c r="H4" s="9">
        <v>216643281.45881301</v>
      </c>
      <c r="I4" s="9">
        <v>220976147.08798999</v>
      </c>
      <c r="J4" s="9">
        <v>225395670.02974901</v>
      </c>
      <c r="K4" s="9">
        <v>229903583.43034399</v>
      </c>
      <c r="L4" s="9">
        <v>234501655.09895101</v>
      </c>
      <c r="M4" s="9">
        <v>239191688.20093</v>
      </c>
      <c r="N4" s="9">
        <v>243975521.96494901</v>
      </c>
      <c r="O4" s="9">
        <v>248855032.404248</v>
      </c>
      <c r="P4" s="9">
        <v>253832133.052333</v>
      </c>
      <c r="Q4" s="9">
        <v>258908775.71338001</v>
      </c>
      <c r="R4" s="9">
        <v>264086951.22764701</v>
      </c>
      <c r="S4" s="9">
        <v>269368690.25220001</v>
      </c>
      <c r="T4" s="9">
        <v>274756064.057244</v>
      </c>
      <c r="U4" s="9">
        <v>280251185.33838898</v>
      </c>
      <c r="V4" s="9">
        <v>285856209.04515702</v>
      </c>
      <c r="W4" s="9">
        <v>291573333.22605997</v>
      </c>
      <c r="X4" s="9">
        <v>297404799.89058101</v>
      </c>
      <c r="Y4" s="9">
        <v>303352895.88839298</v>
      </c>
      <c r="Z4" s="9">
        <v>309419953.80616099</v>
      </c>
      <c r="AA4" s="9">
        <v>315608352.88228399</v>
      </c>
      <c r="AB4" s="9">
        <v>321920519.93993002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104</v>
      </c>
      <c r="B5" s="9">
        <v>0</v>
      </c>
      <c r="C5" s="9">
        <v>0</v>
      </c>
      <c r="D5" s="9">
        <v>0</v>
      </c>
      <c r="E5" s="9">
        <v>0</v>
      </c>
      <c r="F5" s="9">
        <v>0</v>
      </c>
      <c r="G5" s="9">
        <v>0</v>
      </c>
      <c r="H5" s="9">
        <v>0</v>
      </c>
      <c r="I5" s="9">
        <v>0</v>
      </c>
      <c r="J5" s="9">
        <v>0</v>
      </c>
      <c r="K5" s="9">
        <v>0</v>
      </c>
      <c r="L5" s="9">
        <v>0</v>
      </c>
      <c r="M5" s="9">
        <v>0</v>
      </c>
      <c r="N5" s="9">
        <v>0</v>
      </c>
      <c r="O5" s="9">
        <v>0</v>
      </c>
      <c r="P5" s="9">
        <v>0</v>
      </c>
      <c r="Q5" s="9">
        <v>0</v>
      </c>
      <c r="R5" s="9">
        <v>0</v>
      </c>
      <c r="S5" s="9">
        <v>0</v>
      </c>
      <c r="T5" s="9">
        <v>0</v>
      </c>
      <c r="U5" s="9">
        <v>0</v>
      </c>
      <c r="V5" s="9">
        <v>0</v>
      </c>
      <c r="W5" s="9">
        <v>0</v>
      </c>
      <c r="X5" s="9">
        <v>0</v>
      </c>
      <c r="Y5" s="9">
        <v>0</v>
      </c>
      <c r="Z5" s="9">
        <v>0</v>
      </c>
      <c r="AA5" s="9">
        <v>0</v>
      </c>
      <c r="AB5" s="9">
        <v>0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105</v>
      </c>
      <c r="B6" s="9">
        <v>2035007.94136393</v>
      </c>
      <c r="C6" s="9">
        <v>2035007.94136393</v>
      </c>
      <c r="D6" s="9">
        <v>2035007.94136393</v>
      </c>
      <c r="E6" s="9">
        <v>2035007.94136393</v>
      </c>
      <c r="F6" s="9">
        <v>2035007.94136393</v>
      </c>
      <c r="G6" s="9">
        <v>2035007.94136393</v>
      </c>
      <c r="H6" s="9">
        <v>2035007.94136393</v>
      </c>
      <c r="I6" s="9">
        <v>2035007.94136393</v>
      </c>
      <c r="J6" s="9">
        <v>2035007.94136393</v>
      </c>
      <c r="K6" s="9">
        <v>2035007.94136393</v>
      </c>
      <c r="L6" s="9">
        <v>2035007.94136393</v>
      </c>
      <c r="M6" s="9">
        <v>2035007.94136393</v>
      </c>
      <c r="N6" s="9">
        <v>2035007.94136393</v>
      </c>
      <c r="O6" s="9">
        <v>2035007.94136393</v>
      </c>
      <c r="P6" s="9">
        <v>2035007.94136393</v>
      </c>
      <c r="Q6" s="9">
        <v>2035007.94136393</v>
      </c>
      <c r="R6" s="9">
        <v>2035007.94136393</v>
      </c>
      <c r="S6" s="9">
        <v>2035007.94136393</v>
      </c>
      <c r="T6" s="9">
        <v>2035007.94136393</v>
      </c>
      <c r="U6" s="9">
        <v>2035007.94136393</v>
      </c>
      <c r="V6" s="9">
        <v>2035007.94136393</v>
      </c>
      <c r="W6" s="9">
        <v>2035007.94136393</v>
      </c>
      <c r="X6" s="9">
        <v>2035007.94136393</v>
      </c>
      <c r="Y6" s="9">
        <v>2035007.94136393</v>
      </c>
      <c r="Z6" s="9">
        <v>2035007.94136393</v>
      </c>
      <c r="AA6" s="9">
        <v>2035007.94136393</v>
      </c>
      <c r="AB6" s="9">
        <v>2035007.94136393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106</v>
      </c>
      <c r="B7" s="9">
        <v>0</v>
      </c>
      <c r="C7" s="9">
        <v>911</v>
      </c>
      <c r="D7" s="9">
        <v>580</v>
      </c>
      <c r="E7" s="9">
        <v>556</v>
      </c>
      <c r="F7" s="9">
        <v>598</v>
      </c>
      <c r="G7" s="9">
        <v>552</v>
      </c>
      <c r="H7" s="9">
        <v>587</v>
      </c>
      <c r="I7" s="9">
        <v>588</v>
      </c>
      <c r="J7" s="9">
        <v>537</v>
      </c>
      <c r="K7" s="9">
        <v>618</v>
      </c>
      <c r="L7" s="9">
        <v>517</v>
      </c>
      <c r="M7" s="9">
        <v>755</v>
      </c>
      <c r="N7" s="9">
        <v>590</v>
      </c>
      <c r="O7" s="9">
        <v>617</v>
      </c>
      <c r="P7" s="9">
        <v>531</v>
      </c>
      <c r="Q7" s="9">
        <v>528</v>
      </c>
      <c r="R7" s="9">
        <v>582</v>
      </c>
      <c r="S7" s="9">
        <v>624</v>
      </c>
      <c r="T7" s="9">
        <v>869</v>
      </c>
      <c r="U7" s="9">
        <v>836</v>
      </c>
      <c r="V7" s="9">
        <v>551</v>
      </c>
      <c r="W7" s="9">
        <v>764</v>
      </c>
      <c r="X7" s="9">
        <v>1131</v>
      </c>
      <c r="Y7" s="9">
        <v>1330</v>
      </c>
      <c r="Z7" s="9">
        <v>1062</v>
      </c>
      <c r="AA7" s="9">
        <v>1337</v>
      </c>
      <c r="AB7" s="9">
        <v>1037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0</v>
      </c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107</v>
      </c>
      <c r="B9" s="9">
        <v>19202</v>
      </c>
      <c r="C9" s="9">
        <v>20648.364775120001</v>
      </c>
      <c r="D9" s="9">
        <v>22191.599545960002</v>
      </c>
      <c r="E9" s="9">
        <v>23837.399064519999</v>
      </c>
      <c r="F9" s="9">
        <v>25591.781981470001</v>
      </c>
      <c r="G9" s="9">
        <v>27461.108893740002</v>
      </c>
      <c r="H9" s="9">
        <v>29452.101405140002</v>
      </c>
      <c r="I9" s="9">
        <v>31571.8622545</v>
      </c>
      <c r="J9" s="9">
        <v>33827.896573539998</v>
      </c>
      <c r="K9" s="9">
        <v>36228.145874039998</v>
      </c>
      <c r="L9" s="9">
        <v>38780.966301089997</v>
      </c>
      <c r="M9" s="9">
        <v>41495.220783140001</v>
      </c>
      <c r="N9" s="9">
        <v>44380.262441639999</v>
      </c>
      <c r="O9" s="9">
        <v>47445.969125199998</v>
      </c>
      <c r="P9" s="9">
        <v>50702.780065649997</v>
      </c>
      <c r="Q9" s="9">
        <v>54161.719132209997</v>
      </c>
      <c r="R9" s="9">
        <v>57834.43417973</v>
      </c>
      <c r="S9" s="9">
        <v>61733.228082599999</v>
      </c>
      <c r="T9" s="9">
        <v>65871.09622372</v>
      </c>
      <c r="U9" s="9">
        <v>70261.764901200004</v>
      </c>
      <c r="V9" s="9">
        <v>74919.732744570007</v>
      </c>
      <c r="W9" s="9">
        <v>79860.307558379995</v>
      </c>
      <c r="X9" s="9">
        <v>85099.674252059995</v>
      </c>
      <c r="Y9" s="9">
        <v>90654.909684159997</v>
      </c>
      <c r="Z9" s="9">
        <v>96542.20596906</v>
      </c>
      <c r="AA9" s="9">
        <v>102676.52743992</v>
      </c>
      <c r="AB9" s="9">
        <v>109077.64639990999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108</v>
      </c>
      <c r="B10" s="9">
        <v>49427080.559600003</v>
      </c>
      <c r="C10" s="9">
        <v>53150108.4400656</v>
      </c>
      <c r="D10" s="9">
        <v>57122486.673234798</v>
      </c>
      <c r="E10" s="9">
        <v>61358718.147783197</v>
      </c>
      <c r="F10" s="9">
        <v>65869780.755336598</v>
      </c>
      <c r="G10" s="9">
        <v>70595513.602627203</v>
      </c>
      <c r="H10" s="9">
        <v>75374773.267651796</v>
      </c>
      <c r="I10" s="9">
        <v>80035169.7471264</v>
      </c>
      <c r="J10" s="9">
        <v>84439447.408866897</v>
      </c>
      <c r="K10" s="9">
        <v>88566482.128078803</v>
      </c>
      <c r="L10" s="9">
        <v>92378324.689655095</v>
      </c>
      <c r="M10" s="9">
        <v>95854573.871921107</v>
      </c>
      <c r="N10" s="9">
        <v>98992267.691297203</v>
      </c>
      <c r="O10" s="9">
        <v>101765650.325123</v>
      </c>
      <c r="P10" s="9">
        <v>104178560.197044</v>
      </c>
      <c r="Q10" s="9">
        <v>106265363.993431</v>
      </c>
      <c r="R10" s="9">
        <v>108038549.385878</v>
      </c>
      <c r="S10" s="9">
        <v>109515792.31527001</v>
      </c>
      <c r="T10" s="9">
        <v>110716579.17898101</v>
      </c>
      <c r="U10" s="9">
        <v>111672500.203612</v>
      </c>
      <c r="V10" s="9">
        <v>112393151.448275</v>
      </c>
      <c r="W10" s="9">
        <v>112913181.08374301</v>
      </c>
      <c r="X10" s="9">
        <v>113251845.20197</v>
      </c>
      <c r="Y10" s="9">
        <v>113418023.35632101</v>
      </c>
      <c r="Z10" s="9">
        <v>113426186.40394001</v>
      </c>
      <c r="AA10" s="9">
        <v>113350863.73727401</v>
      </c>
      <c r="AB10" s="9">
        <v>113203468.269293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109</v>
      </c>
      <c r="B11" s="9">
        <v>3650937.1057254001</v>
      </c>
      <c r="C11" s="9">
        <v>3925939.0235421602</v>
      </c>
      <c r="D11" s="9">
        <v>4219359.1405966002</v>
      </c>
      <c r="E11" s="9">
        <v>4532280.2181346798</v>
      </c>
      <c r="F11" s="9">
        <v>4865846.6012799703</v>
      </c>
      <c r="G11" s="9">
        <v>5221267.6504811198</v>
      </c>
      <c r="H11" s="9">
        <v>5599821.3655671701</v>
      </c>
      <c r="I11" s="9">
        <v>6002858.2127797399</v>
      </c>
      <c r="J11" s="9">
        <v>6431805.1665968802</v>
      </c>
      <c r="K11" s="9">
        <v>6888172.1718134498</v>
      </c>
      <c r="L11" s="9">
        <v>7373548.0087769302</v>
      </c>
      <c r="M11" s="9">
        <v>7889617.8141566999</v>
      </c>
      <c r="N11" s="9">
        <v>8438159.9265716504</v>
      </c>
      <c r="O11" s="9">
        <v>9021052.4526764397</v>
      </c>
      <c r="P11" s="9">
        <v>9640280.2367000096</v>
      </c>
      <c r="Q11" s="9">
        <v>10297939.281827901</v>
      </c>
      <c r="R11" s="9">
        <v>10996244.2316122</v>
      </c>
      <c r="S11" s="9">
        <v>11737534.2705434</v>
      </c>
      <c r="T11" s="9">
        <v>12524280.2519513</v>
      </c>
      <c r="U11" s="9">
        <v>13359092.000391999</v>
      </c>
      <c r="V11" s="9">
        <v>14244726.186240001</v>
      </c>
      <c r="W11" s="9">
        <v>15184093.3308788</v>
      </c>
      <c r="X11" s="9">
        <v>16180270.7224249</v>
      </c>
      <c r="Y11" s="9">
        <v>17236505.238104001</v>
      </c>
      <c r="Z11" s="9">
        <v>18355875.535934601</v>
      </c>
      <c r="AA11" s="9">
        <v>19522213.5151246</v>
      </c>
      <c r="AB11" s="9">
        <v>20739278.546329901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110</v>
      </c>
      <c r="B12" s="9">
        <v>855.86956619</v>
      </c>
      <c r="C12" s="9">
        <v>920.33678798000005</v>
      </c>
      <c r="D12" s="9">
        <v>989.12168923000002</v>
      </c>
      <c r="E12" s="9">
        <v>1062.47809585</v>
      </c>
      <c r="F12" s="9">
        <v>1140.6742705199999</v>
      </c>
      <c r="G12" s="9">
        <v>1223.9937171199999</v>
      </c>
      <c r="H12" s="9">
        <v>1312.73603026</v>
      </c>
      <c r="I12" s="9">
        <v>1407.21779251</v>
      </c>
      <c r="J12" s="9">
        <v>1507.7735218</v>
      </c>
      <c r="K12" s="9">
        <v>1614.7571863999999</v>
      </c>
      <c r="L12" s="9">
        <v>1728.54123553</v>
      </c>
      <c r="M12" s="9">
        <v>1849.5207067399999</v>
      </c>
      <c r="N12" s="9">
        <v>1978.1124863800001</v>
      </c>
      <c r="O12" s="9">
        <v>2114.7568489099999</v>
      </c>
      <c r="P12" s="9">
        <v>2259.9190907000002</v>
      </c>
      <c r="Q12" s="9">
        <v>2414.0905665</v>
      </c>
      <c r="R12" s="9">
        <v>2577.7904433099998</v>
      </c>
      <c r="S12" s="9">
        <v>2751.5670835800001</v>
      </c>
      <c r="T12" s="9">
        <v>2935.9997161599999</v>
      </c>
      <c r="U12" s="9">
        <v>3131.70014821</v>
      </c>
      <c r="V12" s="9">
        <v>3339.3146111599999</v>
      </c>
      <c r="W12" s="9">
        <v>3559.52540288</v>
      </c>
      <c r="X12" s="9">
        <v>3793.0539155000001</v>
      </c>
      <c r="Y12" s="9">
        <v>4040.6612969900002</v>
      </c>
      <c r="Z12" s="9">
        <v>4303.0692606100001</v>
      </c>
      <c r="AA12" s="9">
        <v>4576.48760537</v>
      </c>
      <c r="AB12" s="9">
        <v>4861.7976203400003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111</v>
      </c>
      <c r="B13" s="9">
        <v>0</v>
      </c>
      <c r="C13" s="9">
        <v>0</v>
      </c>
      <c r="D13" s="9">
        <v>0</v>
      </c>
      <c r="E13" s="9">
        <v>0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0</v>
      </c>
      <c r="L13" s="9">
        <v>0</v>
      </c>
      <c r="M13" s="9">
        <v>0</v>
      </c>
      <c r="N13" s="9">
        <v>0</v>
      </c>
      <c r="O13" s="9">
        <v>0</v>
      </c>
      <c r="P13" s="9">
        <v>0</v>
      </c>
      <c r="Q13" s="9">
        <v>0</v>
      </c>
      <c r="R13" s="9">
        <v>0</v>
      </c>
      <c r="S13" s="9">
        <v>0</v>
      </c>
      <c r="T13" s="9">
        <v>0</v>
      </c>
      <c r="U13" s="9">
        <v>0</v>
      </c>
      <c r="V13" s="9">
        <v>0</v>
      </c>
      <c r="W13" s="9">
        <v>0</v>
      </c>
      <c r="X13" s="9">
        <v>0</v>
      </c>
      <c r="Y13" s="9">
        <v>0</v>
      </c>
      <c r="Z13" s="9">
        <v>0</v>
      </c>
      <c r="AA13" s="9">
        <v>0</v>
      </c>
      <c r="AB13" s="9">
        <v>0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112</v>
      </c>
      <c r="B14" s="9">
        <v>0</v>
      </c>
      <c r="C14" s="9">
        <v>629555.72224000003</v>
      </c>
      <c r="D14" s="9">
        <v>1353215.991808</v>
      </c>
      <c r="E14" s="9">
        <v>2180356.7247359999</v>
      </c>
      <c r="F14" s="9">
        <v>3120873.9635200002</v>
      </c>
      <c r="G14" s="9">
        <v>4180970.7315199999</v>
      </c>
      <c r="H14" s="9">
        <v>5356822.9171200003</v>
      </c>
      <c r="I14" s="9">
        <v>6636039.0225919997</v>
      </c>
      <c r="J14" s="9">
        <v>8001389.1010560002</v>
      </c>
      <c r="K14" s="9">
        <v>9441520.1648639999</v>
      </c>
      <c r="L14" s="9">
        <v>10942085.46816</v>
      </c>
      <c r="M14" s="9">
        <v>12489226.641408</v>
      </c>
      <c r="N14" s="9">
        <v>14070597.500928</v>
      </c>
      <c r="O14" s="9">
        <v>15670201.657344</v>
      </c>
      <c r="P14" s="9">
        <v>17275729.98144</v>
      </c>
      <c r="Q14" s="9">
        <v>18880479.25248</v>
      </c>
      <c r="R14" s="9">
        <v>20475228.061696</v>
      </c>
      <c r="S14" s="9">
        <v>22052391.38304</v>
      </c>
      <c r="T14" s="9">
        <v>23605607.66976</v>
      </c>
      <c r="U14" s="9">
        <v>25132162.625535998</v>
      </c>
      <c r="V14" s="9">
        <v>26625628.32384</v>
      </c>
      <c r="W14" s="9">
        <v>28086263.00928</v>
      </c>
      <c r="X14" s="9">
        <v>29511955.562495999</v>
      </c>
      <c r="Y14" s="9">
        <v>30898680.307712</v>
      </c>
      <c r="Z14" s="9">
        <v>32244421.75488</v>
      </c>
      <c r="AA14" s="9">
        <v>33565634.6624</v>
      </c>
      <c r="AB14" s="9">
        <v>34862867.193856001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113</v>
      </c>
      <c r="B15" s="9">
        <v>0</v>
      </c>
      <c r="C15" s="9">
        <v>3.739348E-2</v>
      </c>
      <c r="D15" s="9">
        <v>3.7513959999999999E-2</v>
      </c>
      <c r="E15" s="9">
        <v>3.7633519999999997E-2</v>
      </c>
      <c r="F15" s="9">
        <v>3.7751970000000003E-2</v>
      </c>
      <c r="G15" s="9">
        <v>3.7869130000000001E-2</v>
      </c>
      <c r="H15" s="9">
        <v>3.7984860000000002E-2</v>
      </c>
      <c r="I15" s="9">
        <v>3.8099040000000001E-2</v>
      </c>
      <c r="J15" s="9">
        <v>3.8211559999999999E-2</v>
      </c>
      <c r="K15" s="9">
        <v>3.8322189999999999E-2</v>
      </c>
      <c r="L15" s="9">
        <v>3.8431269999999997E-2</v>
      </c>
      <c r="M15" s="9">
        <v>3.8538330000000003E-2</v>
      </c>
      <c r="N15" s="9">
        <v>3.8643459999999998E-2</v>
      </c>
      <c r="O15" s="9">
        <v>3.8746599999999999E-2</v>
      </c>
      <c r="P15" s="9">
        <v>3.8847760000000002E-2</v>
      </c>
      <c r="Q15" s="9">
        <v>3.8946870000000001E-2</v>
      </c>
      <c r="R15" s="9">
        <v>3.9043950000000001E-2</v>
      </c>
      <c r="S15" s="9">
        <v>3.9138989999999999E-2</v>
      </c>
      <c r="T15" s="9">
        <v>3.9231969999999998E-2</v>
      </c>
      <c r="U15" s="9">
        <v>3.9322900000000001E-2</v>
      </c>
      <c r="V15" s="9">
        <v>3.9411790000000002E-2</v>
      </c>
      <c r="W15" s="9">
        <v>3.9498640000000002E-2</v>
      </c>
      <c r="X15" s="9">
        <v>3.9583479999999997E-2</v>
      </c>
      <c r="Y15" s="9">
        <v>3.9666319999999998E-2</v>
      </c>
      <c r="Z15" s="9">
        <v>3.9752049999999997E-2</v>
      </c>
      <c r="AA15" s="9">
        <v>4.0086549999999999E-2</v>
      </c>
      <c r="AB15" s="9">
        <v>4.0385659999999997E-2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114</v>
      </c>
      <c r="B16" s="9">
        <v>0</v>
      </c>
      <c r="C16" s="9">
        <v>3.739348E-2</v>
      </c>
      <c r="D16" s="9">
        <v>3.7513959999999999E-2</v>
      </c>
      <c r="E16" s="9">
        <v>3.7633519999999997E-2</v>
      </c>
      <c r="F16" s="9">
        <v>3.7751970000000003E-2</v>
      </c>
      <c r="G16" s="9">
        <v>3.7869130000000001E-2</v>
      </c>
      <c r="H16" s="9">
        <v>3.7984860000000002E-2</v>
      </c>
      <c r="I16" s="9">
        <v>3.8099040000000001E-2</v>
      </c>
      <c r="J16" s="9">
        <v>3.8211559999999999E-2</v>
      </c>
      <c r="K16" s="9">
        <v>3.8322189999999999E-2</v>
      </c>
      <c r="L16" s="9">
        <v>3.8431269999999997E-2</v>
      </c>
      <c r="M16" s="9">
        <v>3.8538330000000003E-2</v>
      </c>
      <c r="N16" s="9">
        <v>3.8643459999999998E-2</v>
      </c>
      <c r="O16" s="9">
        <v>3.8746599999999999E-2</v>
      </c>
      <c r="P16" s="9">
        <v>3.8847760000000002E-2</v>
      </c>
      <c r="Q16" s="9">
        <v>3.8946870000000001E-2</v>
      </c>
      <c r="R16" s="9">
        <v>3.9043950000000001E-2</v>
      </c>
      <c r="S16" s="9">
        <v>3.9138989999999999E-2</v>
      </c>
      <c r="T16" s="9">
        <v>3.9231969999999998E-2</v>
      </c>
      <c r="U16" s="9">
        <v>3.9322900000000001E-2</v>
      </c>
      <c r="V16" s="9">
        <v>3.9411790000000002E-2</v>
      </c>
      <c r="W16" s="9">
        <v>3.9498610000000003E-2</v>
      </c>
      <c r="X16" s="9">
        <v>3.9583479999999997E-2</v>
      </c>
      <c r="Y16" s="9">
        <v>3.9666319999999998E-2</v>
      </c>
      <c r="Z16" s="9">
        <v>3.9752049999999997E-2</v>
      </c>
      <c r="AA16" s="9">
        <v>4.0086549999999999E-2</v>
      </c>
      <c r="AB16" s="9">
        <v>4.0385659999999997E-2</v>
      </c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115</v>
      </c>
      <c r="B17" s="9">
        <v>1</v>
      </c>
      <c r="C17" s="9">
        <v>3.739348E-2</v>
      </c>
      <c r="D17" s="9">
        <v>3.7513959999999999E-2</v>
      </c>
      <c r="E17" s="9">
        <v>3.7633519999999997E-2</v>
      </c>
      <c r="F17" s="9">
        <v>3.7751970000000003E-2</v>
      </c>
      <c r="G17" s="9">
        <v>3.7869130000000001E-2</v>
      </c>
      <c r="H17" s="9">
        <v>3.7984860000000002E-2</v>
      </c>
      <c r="I17" s="9">
        <v>3.8099040000000001E-2</v>
      </c>
      <c r="J17" s="9">
        <v>3.8211559999999999E-2</v>
      </c>
      <c r="K17" s="9">
        <v>3.8322189999999999E-2</v>
      </c>
      <c r="L17" s="9">
        <v>3.8431269999999997E-2</v>
      </c>
      <c r="M17" s="9">
        <v>3.8538330000000003E-2</v>
      </c>
      <c r="N17" s="9">
        <v>3.8643459999999998E-2</v>
      </c>
      <c r="O17" s="9">
        <v>3.8746599999999999E-2</v>
      </c>
      <c r="P17" s="9">
        <v>3.8847760000000002E-2</v>
      </c>
      <c r="Q17" s="9">
        <v>3.8946870000000001E-2</v>
      </c>
      <c r="R17" s="9">
        <v>3.9043950000000001E-2</v>
      </c>
      <c r="S17" s="9">
        <v>3.9138989999999999E-2</v>
      </c>
      <c r="T17" s="9">
        <v>3.9231969999999998E-2</v>
      </c>
      <c r="U17" s="9">
        <v>3.9322900000000001E-2</v>
      </c>
      <c r="V17" s="9">
        <v>3.9411790000000002E-2</v>
      </c>
      <c r="W17" s="9">
        <v>3.9498640000000002E-2</v>
      </c>
      <c r="X17" s="9">
        <v>3.9583479999999997E-2</v>
      </c>
      <c r="Y17" s="9">
        <v>3.9666319999999998E-2</v>
      </c>
      <c r="Z17" s="9">
        <v>3.9752049999999997E-2</v>
      </c>
      <c r="AA17" s="9">
        <v>4.0086549999999999E-2</v>
      </c>
      <c r="AB17" s="9">
        <v>4.0385659999999997E-2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116</v>
      </c>
      <c r="B18" s="9">
        <v>0.96</v>
      </c>
      <c r="C18" s="9">
        <v>0.96</v>
      </c>
      <c r="D18" s="9">
        <v>0.96</v>
      </c>
      <c r="E18" s="9">
        <v>0.96</v>
      </c>
      <c r="F18" s="9">
        <v>0.96</v>
      </c>
      <c r="G18" s="9">
        <v>0.96</v>
      </c>
      <c r="H18" s="9">
        <v>0.96</v>
      </c>
      <c r="I18" s="9">
        <v>0.96</v>
      </c>
      <c r="J18" s="9">
        <v>0.96</v>
      </c>
      <c r="K18" s="9">
        <v>0.96</v>
      </c>
      <c r="L18" s="9">
        <v>0.96</v>
      </c>
      <c r="M18" s="9">
        <v>0.96</v>
      </c>
      <c r="N18" s="9">
        <v>0.96</v>
      </c>
      <c r="O18" s="9">
        <v>0.96</v>
      </c>
      <c r="P18" s="9">
        <v>0.96</v>
      </c>
      <c r="Q18" s="9">
        <v>0.96</v>
      </c>
      <c r="R18" s="9">
        <v>0.96</v>
      </c>
      <c r="S18" s="9">
        <v>0.96</v>
      </c>
      <c r="T18" s="9">
        <v>0.96</v>
      </c>
      <c r="U18" s="9">
        <v>0.96</v>
      </c>
      <c r="V18" s="9">
        <v>0.96</v>
      </c>
      <c r="W18" s="9">
        <v>0.96</v>
      </c>
      <c r="X18" s="9">
        <v>0.96</v>
      </c>
      <c r="Y18" s="9">
        <v>0.96</v>
      </c>
      <c r="Z18" s="9">
        <v>0.96</v>
      </c>
      <c r="AA18" s="9">
        <v>0.96</v>
      </c>
      <c r="AB18" s="9">
        <v>0.96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117</v>
      </c>
      <c r="B19" s="9">
        <v>0.29364122999999998</v>
      </c>
      <c r="C19" s="9">
        <v>0.29364122999999998</v>
      </c>
      <c r="D19" s="9">
        <v>0.29364122999999998</v>
      </c>
      <c r="E19" s="9">
        <v>0.29364122999999998</v>
      </c>
      <c r="F19" s="9">
        <v>0.29364122999999998</v>
      </c>
      <c r="G19" s="9">
        <v>0.29364122999999998</v>
      </c>
      <c r="H19" s="9">
        <v>0.29364122999999998</v>
      </c>
      <c r="I19" s="9">
        <v>0.29364122999999998</v>
      </c>
      <c r="J19" s="9">
        <v>0.29364122999999998</v>
      </c>
      <c r="K19" s="9">
        <v>0.29364122999999998</v>
      </c>
      <c r="L19" s="9">
        <v>0.29364122999999998</v>
      </c>
      <c r="M19" s="9">
        <v>0.29364122999999998</v>
      </c>
      <c r="N19" s="9">
        <v>0.29364122999999998</v>
      </c>
      <c r="O19" s="9">
        <v>0.29364122999999998</v>
      </c>
      <c r="P19" s="9">
        <v>0.29364122999999998</v>
      </c>
      <c r="Q19" s="9">
        <v>0.29364122999999998</v>
      </c>
      <c r="R19" s="9">
        <v>0.29364122999999998</v>
      </c>
      <c r="S19" s="9">
        <v>0.29364122999999998</v>
      </c>
      <c r="T19" s="9">
        <v>0.29364122999999998</v>
      </c>
      <c r="U19" s="9">
        <v>0.29364122999999998</v>
      </c>
      <c r="V19" s="9">
        <v>0.29364122999999998</v>
      </c>
      <c r="W19" s="9">
        <v>0.29364122999999998</v>
      </c>
      <c r="X19" s="9">
        <v>0.29364122999999998</v>
      </c>
      <c r="Y19" s="9">
        <v>0.29364122999999998</v>
      </c>
      <c r="Z19" s="9">
        <v>0.29364122999999998</v>
      </c>
      <c r="AA19" s="9">
        <v>0.29364122999999998</v>
      </c>
      <c r="AB19" s="9">
        <v>0.29364122999999998</v>
      </c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118</v>
      </c>
      <c r="B21" s="9">
        <v>5973</v>
      </c>
      <c r="C21" s="9">
        <v>6751.1615018100001</v>
      </c>
      <c r="D21" s="9">
        <v>7580.8478797099997</v>
      </c>
      <c r="E21" s="9">
        <v>8465.1135405700006</v>
      </c>
      <c r="F21" s="9">
        <v>9407.1849734900006</v>
      </c>
      <c r="G21" s="9">
        <v>10410.470471189999</v>
      </c>
      <c r="H21" s="9">
        <v>11478.57038358</v>
      </c>
      <c r="I21" s="9">
        <v>12615.28793395</v>
      </c>
      <c r="J21" s="9">
        <v>13824.640632000001</v>
      </c>
      <c r="K21" s="9">
        <v>15110.879043700001</v>
      </c>
      <c r="L21" s="9">
        <v>16478.472966149999</v>
      </c>
      <c r="M21" s="9">
        <v>17932.1640687</v>
      </c>
      <c r="N21" s="9">
        <v>19476.954758259999</v>
      </c>
      <c r="O21" s="9">
        <v>21118.127528389999</v>
      </c>
      <c r="P21" s="9">
        <v>22861.263998900002</v>
      </c>
      <c r="Q21" s="9">
        <v>24712.257992940002</v>
      </c>
      <c r="R21" s="9">
        <v>26677.33607515</v>
      </c>
      <c r="S21" s="9">
        <v>28763.07442877</v>
      </c>
      <c r="T21" s="9">
        <v>30976.418832269999</v>
      </c>
      <c r="U21" s="9">
        <v>33324.705198279997</v>
      </c>
      <c r="V21" s="9">
        <v>35815.681698870001</v>
      </c>
      <c r="W21" s="9">
        <v>38457.5314621</v>
      </c>
      <c r="X21" s="9">
        <v>41258.896923580003</v>
      </c>
      <c r="Y21" s="9">
        <v>44228.905670209999</v>
      </c>
      <c r="Z21" s="9">
        <v>47376.207867980003</v>
      </c>
      <c r="AA21" s="9">
        <v>50655.388810500001</v>
      </c>
      <c r="AB21" s="9">
        <v>54077.009697870002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119</v>
      </c>
      <c r="B22" s="9">
        <v>19050580.541796699</v>
      </c>
      <c r="C22" s="9">
        <v>21532486.689655099</v>
      </c>
      <c r="D22" s="9">
        <v>24178729.536945801</v>
      </c>
      <c r="E22" s="9">
        <v>26999049.694581199</v>
      </c>
      <c r="F22" s="9">
        <v>30003738.935960501</v>
      </c>
      <c r="G22" s="9">
        <v>33203666.3973727</v>
      </c>
      <c r="H22" s="9">
        <v>36610318.561576299</v>
      </c>
      <c r="I22" s="9">
        <v>40235783.264367796</v>
      </c>
      <c r="J22" s="9">
        <v>44091703.724137902</v>
      </c>
      <c r="K22" s="9">
        <v>48187887.113300398</v>
      </c>
      <c r="L22" s="9">
        <v>52534303.7372742</v>
      </c>
      <c r="M22" s="9">
        <v>57135780.413793102</v>
      </c>
      <c r="N22" s="9">
        <v>61996126.778325103</v>
      </c>
      <c r="O22" s="9">
        <v>67122392.735632107</v>
      </c>
      <c r="P22" s="9">
        <v>72519331.533661693</v>
      </c>
      <c r="Q22" s="9">
        <v>78182970.403940797</v>
      </c>
      <c r="R22" s="9">
        <v>84108153.064039394</v>
      </c>
      <c r="S22" s="9">
        <v>90286838.016420305</v>
      </c>
      <c r="T22" s="9">
        <v>96718219.192118198</v>
      </c>
      <c r="U22" s="9">
        <v>103393033.195402</v>
      </c>
      <c r="V22" s="9">
        <v>110308183.69786499</v>
      </c>
      <c r="W22" s="9">
        <v>117473650.60098501</v>
      </c>
      <c r="X22" s="9">
        <v>124888781.372742</v>
      </c>
      <c r="Y22" s="9">
        <v>132539194.719211</v>
      </c>
      <c r="Z22" s="9">
        <v>140406747.69129699</v>
      </c>
      <c r="AA22" s="9">
        <v>148354728.43349701</v>
      </c>
      <c r="AB22" s="9">
        <v>156397479.85550001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120</v>
      </c>
      <c r="B23" s="9">
        <v>1125836.0889119401</v>
      </c>
      <c r="C23" s="9">
        <v>1272509.8377384699</v>
      </c>
      <c r="D23" s="9">
        <v>1428895.38381614</v>
      </c>
      <c r="E23" s="9">
        <v>1595568.44478596</v>
      </c>
      <c r="F23" s="9">
        <v>1773137.1736528201</v>
      </c>
      <c r="G23" s="9">
        <v>1962243.99113005</v>
      </c>
      <c r="H23" s="9">
        <v>2163567.51832397</v>
      </c>
      <c r="I23" s="9">
        <v>2377824.6154459598</v>
      </c>
      <c r="J23" s="9">
        <v>2605772.5330224698</v>
      </c>
      <c r="K23" s="9">
        <v>2848212.4497875902</v>
      </c>
      <c r="L23" s="9">
        <v>3105986.8668095302</v>
      </c>
      <c r="M23" s="9">
        <v>3379989.5296891602</v>
      </c>
      <c r="N23" s="9">
        <v>3671163.3298094398</v>
      </c>
      <c r="O23" s="9">
        <v>3980503.95139952</v>
      </c>
      <c r="P23" s="9">
        <v>4309063.4602552196</v>
      </c>
      <c r="Q23" s="9">
        <v>4657952.7686174503</v>
      </c>
      <c r="R23" s="9">
        <v>5028345.5063522002</v>
      </c>
      <c r="S23" s="9">
        <v>5421481.2020702101</v>
      </c>
      <c r="T23" s="9">
        <v>5838669.0484891003</v>
      </c>
      <c r="U23" s="9">
        <v>6281291.7737449603</v>
      </c>
      <c r="V23" s="9">
        <v>6750809.8117485195</v>
      </c>
      <c r="W23" s="9">
        <v>7248765.5801932104</v>
      </c>
      <c r="X23" s="9">
        <v>7776788.07052832</v>
      </c>
      <c r="Y23" s="9">
        <v>8336597.7191701103</v>
      </c>
      <c r="Z23" s="9">
        <v>8929824.9746473897</v>
      </c>
      <c r="AA23" s="9">
        <v>9547909.7305762004</v>
      </c>
      <c r="AB23" s="9">
        <v>10192842.641604999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121</v>
      </c>
      <c r="B24" s="9">
        <v>320.95624018000001</v>
      </c>
      <c r="C24" s="9">
        <v>362.77036872999997</v>
      </c>
      <c r="D24" s="9">
        <v>407.35316136</v>
      </c>
      <c r="E24" s="9">
        <v>454.86874512999998</v>
      </c>
      <c r="F24" s="9">
        <v>505.49049384</v>
      </c>
      <c r="G24" s="9">
        <v>559.40155045999995</v>
      </c>
      <c r="H24" s="9">
        <v>616.79537802000004</v>
      </c>
      <c r="I24" s="9">
        <v>677.87634087000004</v>
      </c>
      <c r="J24" s="9">
        <v>742.86031793999996</v>
      </c>
      <c r="K24" s="9">
        <v>811.97571129999994</v>
      </c>
      <c r="L24" s="9">
        <v>885.46270333999996</v>
      </c>
      <c r="M24" s="9">
        <v>963.57608533999996</v>
      </c>
      <c r="N24" s="9">
        <v>1046.58465918</v>
      </c>
      <c r="O24" s="9">
        <v>1134.77227709</v>
      </c>
      <c r="P24" s="9">
        <v>1228.4388646800001</v>
      </c>
      <c r="Q24" s="9">
        <v>1327.9011236700001</v>
      </c>
      <c r="R24" s="9">
        <v>1433.49363546</v>
      </c>
      <c r="S24" s="9">
        <v>1545.56976805</v>
      </c>
      <c r="T24" s="9">
        <v>1664.5027494599999</v>
      </c>
      <c r="U24" s="9">
        <v>1790.6867713700001</v>
      </c>
      <c r="V24" s="9">
        <v>1924.53817804</v>
      </c>
      <c r="W24" s="9">
        <v>2066.4966858399998</v>
      </c>
      <c r="X24" s="9">
        <v>2217.0266918500001</v>
      </c>
      <c r="Y24" s="9">
        <v>2376.6186624799998</v>
      </c>
      <c r="Z24" s="9">
        <v>2545.7374101999999</v>
      </c>
      <c r="AA24" s="9">
        <v>2721.9425978999998</v>
      </c>
      <c r="AB24" s="9">
        <v>2905.80172653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122</v>
      </c>
      <c r="B25" s="9">
        <v>0</v>
      </c>
      <c r="C25" s="9">
        <v>0</v>
      </c>
      <c r="D25" s="9">
        <v>0</v>
      </c>
      <c r="E25" s="9">
        <v>0</v>
      </c>
      <c r="F25" s="9">
        <v>0</v>
      </c>
      <c r="G25" s="9">
        <v>0</v>
      </c>
      <c r="H25" s="9">
        <v>0</v>
      </c>
      <c r="I25" s="9">
        <v>0</v>
      </c>
      <c r="J25" s="9">
        <v>0</v>
      </c>
      <c r="K25" s="9">
        <v>0</v>
      </c>
      <c r="L25" s="9">
        <v>0</v>
      </c>
      <c r="M25" s="9">
        <v>0</v>
      </c>
      <c r="N25" s="9">
        <v>0</v>
      </c>
      <c r="O25" s="9">
        <v>0</v>
      </c>
      <c r="P25" s="9">
        <v>0</v>
      </c>
      <c r="Q25" s="9">
        <v>0</v>
      </c>
      <c r="R25" s="9">
        <v>0</v>
      </c>
      <c r="S25" s="9">
        <v>0</v>
      </c>
      <c r="T25" s="9">
        <v>0</v>
      </c>
      <c r="U25" s="9">
        <v>0</v>
      </c>
      <c r="V25" s="9">
        <v>0</v>
      </c>
      <c r="W25" s="9">
        <v>0</v>
      </c>
      <c r="X25" s="9">
        <v>0</v>
      </c>
      <c r="Y25" s="9">
        <v>0</v>
      </c>
      <c r="Z25" s="9">
        <v>0</v>
      </c>
      <c r="AA25" s="9">
        <v>0</v>
      </c>
      <c r="AB25" s="9">
        <v>0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123</v>
      </c>
      <c r="B26" s="9">
        <v>0</v>
      </c>
      <c r="C26" s="9">
        <v>48419.523608399999</v>
      </c>
      <c r="D26" s="9">
        <v>108740.1174336</v>
      </c>
      <c r="E26" s="9">
        <v>182136.11037119999</v>
      </c>
      <c r="F26" s="9">
        <v>269874.40265280002</v>
      </c>
      <c r="G26" s="9">
        <v>373320.95734800003</v>
      </c>
      <c r="H26" s="9">
        <v>493947.83132639999</v>
      </c>
      <c r="I26" s="9">
        <v>633339.86456160003</v>
      </c>
      <c r="J26" s="9">
        <v>793182.62499839999</v>
      </c>
      <c r="K26" s="9">
        <v>975229.24974480004</v>
      </c>
      <c r="L26" s="9">
        <v>1181324.7567360001</v>
      </c>
      <c r="M26" s="9">
        <v>1413276.6174912001</v>
      </c>
      <c r="N26" s="9">
        <v>1672908.2715455999</v>
      </c>
      <c r="O26" s="9">
        <v>1962172.1469167999</v>
      </c>
      <c r="P26" s="9">
        <v>2283011.7813216001</v>
      </c>
      <c r="Q26" s="9">
        <v>2637119.137104</v>
      </c>
      <c r="R26" s="9">
        <v>3026107.8614015998</v>
      </c>
      <c r="S26" s="9">
        <v>3451434.9277824</v>
      </c>
      <c r="T26" s="9">
        <v>3914777.8410624</v>
      </c>
      <c r="U26" s="9">
        <v>4417445.5182143999</v>
      </c>
      <c r="V26" s="9">
        <v>4960940.9091840005</v>
      </c>
      <c r="W26" s="9">
        <v>5547356.6008895999</v>
      </c>
      <c r="X26" s="9">
        <v>6178348.9513152</v>
      </c>
      <c r="Y26" s="9">
        <v>6854858.4046751997</v>
      </c>
      <c r="Z26" s="9">
        <v>7577493.0402816003</v>
      </c>
      <c r="AA26" s="9">
        <v>8340032.1794400001</v>
      </c>
      <c r="AB26" s="9">
        <v>9143856.9548352007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124</v>
      </c>
      <c r="B27" s="9">
        <v>0</v>
      </c>
      <c r="C27" s="9">
        <v>1.717461E-2</v>
      </c>
      <c r="D27" s="9">
        <v>1.7413419999999999E-2</v>
      </c>
      <c r="E27" s="9">
        <v>1.7639800000000001E-2</v>
      </c>
      <c r="F27" s="9">
        <v>1.7854579999999998E-2</v>
      </c>
      <c r="G27" s="9">
        <v>1.805851E-2</v>
      </c>
      <c r="H27" s="9">
        <v>1.8252270000000001E-2</v>
      </c>
      <c r="I27" s="9">
        <v>1.843651E-2</v>
      </c>
      <c r="J27" s="9">
        <v>1.8611800000000001E-2</v>
      </c>
      <c r="K27" s="9">
        <v>1.8778639999999999E-2</v>
      </c>
      <c r="L27" s="9">
        <v>1.8937679999999998E-2</v>
      </c>
      <c r="M27" s="9">
        <v>1.908922E-2</v>
      </c>
      <c r="N27" s="9">
        <v>1.9233739999999999E-2</v>
      </c>
      <c r="O27" s="9">
        <v>1.9371639999999999E-2</v>
      </c>
      <c r="P27" s="9">
        <v>1.950329E-2</v>
      </c>
      <c r="Q27" s="9">
        <v>1.962902E-2</v>
      </c>
      <c r="R27" s="9">
        <v>1.9749160000000002E-2</v>
      </c>
      <c r="S27" s="9">
        <v>1.9864010000000001E-2</v>
      </c>
      <c r="T27" s="9">
        <v>1.9973850000000001E-2</v>
      </c>
      <c r="U27" s="9">
        <v>2.007892E-2</v>
      </c>
      <c r="V27" s="9">
        <v>2.0179490000000001E-2</v>
      </c>
      <c r="W27" s="9">
        <v>2.0275769999999999E-2</v>
      </c>
      <c r="X27" s="9">
        <v>2.0367989999999999E-2</v>
      </c>
      <c r="Y27" s="9">
        <v>2.0456330000000002E-2</v>
      </c>
      <c r="Z27" s="9">
        <v>2.054338E-2</v>
      </c>
      <c r="AA27" s="9">
        <v>2.0749980000000001E-2</v>
      </c>
      <c r="AB27" s="9">
        <v>2.093745E-2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125</v>
      </c>
      <c r="B28" s="9">
        <v>0</v>
      </c>
      <c r="C28" s="9">
        <v>1.717461E-2</v>
      </c>
      <c r="D28" s="9">
        <v>1.7413419999999999E-2</v>
      </c>
      <c r="E28" s="9">
        <v>1.7639800000000001E-2</v>
      </c>
      <c r="F28" s="9">
        <v>1.7854579999999998E-2</v>
      </c>
      <c r="G28" s="9">
        <v>1.805851E-2</v>
      </c>
      <c r="H28" s="9">
        <v>1.8252270000000001E-2</v>
      </c>
      <c r="I28" s="9">
        <v>1.843651E-2</v>
      </c>
      <c r="J28" s="9">
        <v>1.8611800000000001E-2</v>
      </c>
      <c r="K28" s="9">
        <v>1.8778639999999999E-2</v>
      </c>
      <c r="L28" s="9">
        <v>1.8937679999999998E-2</v>
      </c>
      <c r="M28" s="9">
        <v>1.908922E-2</v>
      </c>
      <c r="N28" s="9">
        <v>1.9233739999999999E-2</v>
      </c>
      <c r="O28" s="9">
        <v>1.9371639999999999E-2</v>
      </c>
      <c r="P28" s="9">
        <v>1.950329E-2</v>
      </c>
      <c r="Q28" s="9">
        <v>1.962902E-2</v>
      </c>
      <c r="R28" s="9">
        <v>1.9749160000000002E-2</v>
      </c>
      <c r="S28" s="9">
        <v>1.9864010000000001E-2</v>
      </c>
      <c r="T28" s="9">
        <v>1.9973850000000001E-2</v>
      </c>
      <c r="U28" s="9">
        <v>2.007892E-2</v>
      </c>
      <c r="V28" s="9">
        <v>2.0179490000000001E-2</v>
      </c>
      <c r="W28" s="9">
        <v>2.0275769999999999E-2</v>
      </c>
      <c r="X28" s="9">
        <v>2.0367989999999999E-2</v>
      </c>
      <c r="Y28" s="9">
        <v>2.0456330000000002E-2</v>
      </c>
      <c r="Z28" s="9">
        <v>2.054338E-2</v>
      </c>
      <c r="AA28" s="9">
        <v>2.0749980000000001E-2</v>
      </c>
      <c r="AB28" s="9">
        <v>2.093745E-2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126</v>
      </c>
      <c r="B29" s="9">
        <v>1</v>
      </c>
      <c r="C29" s="9">
        <v>1.717461E-2</v>
      </c>
      <c r="D29" s="9">
        <v>1.7413419999999999E-2</v>
      </c>
      <c r="E29" s="9">
        <v>1.7639800000000001E-2</v>
      </c>
      <c r="F29" s="9">
        <v>1.7854579999999998E-2</v>
      </c>
      <c r="G29" s="9">
        <v>1.805851E-2</v>
      </c>
      <c r="H29" s="9">
        <v>1.8252270000000001E-2</v>
      </c>
      <c r="I29" s="9">
        <v>1.843651E-2</v>
      </c>
      <c r="J29" s="9">
        <v>1.8611800000000001E-2</v>
      </c>
      <c r="K29" s="9">
        <v>1.8778639999999999E-2</v>
      </c>
      <c r="L29" s="9">
        <v>1.8937679999999998E-2</v>
      </c>
      <c r="M29" s="9">
        <v>1.908922E-2</v>
      </c>
      <c r="N29" s="9">
        <v>1.9233739999999999E-2</v>
      </c>
      <c r="O29" s="9">
        <v>1.9371639999999999E-2</v>
      </c>
      <c r="P29" s="9">
        <v>1.950329E-2</v>
      </c>
      <c r="Q29" s="9">
        <v>1.962902E-2</v>
      </c>
      <c r="R29" s="9">
        <v>1.9749160000000002E-2</v>
      </c>
      <c r="S29" s="9">
        <v>1.9864010000000001E-2</v>
      </c>
      <c r="T29" s="9">
        <v>1.9973850000000001E-2</v>
      </c>
      <c r="U29" s="9">
        <v>2.007892E-2</v>
      </c>
      <c r="V29" s="9">
        <v>2.0179490000000001E-2</v>
      </c>
      <c r="W29" s="9">
        <v>2.0275769999999999E-2</v>
      </c>
      <c r="X29" s="9">
        <v>2.0367989999999999E-2</v>
      </c>
      <c r="Y29" s="9">
        <v>2.0456330000000002E-2</v>
      </c>
      <c r="Z29" s="9">
        <v>2.054338E-2</v>
      </c>
      <c r="AA29" s="9">
        <v>2.0749980000000001E-2</v>
      </c>
      <c r="AB29" s="9">
        <v>2.093745E-2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127</v>
      </c>
      <c r="B30" s="9">
        <v>0.96</v>
      </c>
      <c r="C30" s="9">
        <v>0.96</v>
      </c>
      <c r="D30" s="9">
        <v>0.96</v>
      </c>
      <c r="E30" s="9">
        <v>0.96</v>
      </c>
      <c r="F30" s="9">
        <v>0.96</v>
      </c>
      <c r="G30" s="9">
        <v>0.96</v>
      </c>
      <c r="H30" s="9">
        <v>0.96</v>
      </c>
      <c r="I30" s="9">
        <v>0.96</v>
      </c>
      <c r="J30" s="9">
        <v>0.96</v>
      </c>
      <c r="K30" s="9">
        <v>0.96</v>
      </c>
      <c r="L30" s="9">
        <v>0.96</v>
      </c>
      <c r="M30" s="9">
        <v>0.96</v>
      </c>
      <c r="N30" s="9">
        <v>0.96</v>
      </c>
      <c r="O30" s="9">
        <v>0.96</v>
      </c>
      <c r="P30" s="9">
        <v>0.96</v>
      </c>
      <c r="Q30" s="9">
        <v>0.96</v>
      </c>
      <c r="R30" s="9">
        <v>0.96</v>
      </c>
      <c r="S30" s="9">
        <v>0.96</v>
      </c>
      <c r="T30" s="9">
        <v>0.96</v>
      </c>
      <c r="U30" s="9">
        <v>0.96</v>
      </c>
      <c r="V30" s="9">
        <v>0.96</v>
      </c>
      <c r="W30" s="9">
        <v>0.96</v>
      </c>
      <c r="X30" s="9">
        <v>0.96</v>
      </c>
      <c r="Y30" s="9">
        <v>0.96</v>
      </c>
      <c r="Z30" s="9">
        <v>0.96</v>
      </c>
      <c r="AA30" s="9">
        <v>0.96</v>
      </c>
      <c r="AB30" s="9">
        <v>0.96</v>
      </c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128</v>
      </c>
      <c r="B31" s="9">
        <v>0.36384317999999999</v>
      </c>
      <c r="C31" s="9">
        <v>0.36384317999999999</v>
      </c>
      <c r="D31" s="9">
        <v>0.36384317999999999</v>
      </c>
      <c r="E31" s="9">
        <v>0.36384317999999999</v>
      </c>
      <c r="F31" s="9">
        <v>0.36384317999999999</v>
      </c>
      <c r="G31" s="9">
        <v>0.36384317999999999</v>
      </c>
      <c r="H31" s="9">
        <v>0.36384317999999999</v>
      </c>
      <c r="I31" s="9">
        <v>0.36384317999999999</v>
      </c>
      <c r="J31" s="9">
        <v>0.36384317999999999</v>
      </c>
      <c r="K31" s="9">
        <v>0.36384317999999999</v>
      </c>
      <c r="L31" s="9">
        <v>0.36384317999999999</v>
      </c>
      <c r="M31" s="9">
        <v>0.36384317999999999</v>
      </c>
      <c r="N31" s="9">
        <v>0.36384317999999999</v>
      </c>
      <c r="O31" s="9">
        <v>0.36384317999999999</v>
      </c>
      <c r="P31" s="9">
        <v>0.36384317999999999</v>
      </c>
      <c r="Q31" s="9">
        <v>0.36384317999999999</v>
      </c>
      <c r="R31" s="9">
        <v>0.36384317999999999</v>
      </c>
      <c r="S31" s="9">
        <v>0.36384317999999999</v>
      </c>
      <c r="T31" s="9">
        <v>0.36384317999999999</v>
      </c>
      <c r="U31" s="9">
        <v>0.36384317999999999</v>
      </c>
      <c r="V31" s="9">
        <v>0.36384317999999999</v>
      </c>
      <c r="W31" s="9">
        <v>0.36384317999999999</v>
      </c>
      <c r="X31" s="9">
        <v>0.36384317999999999</v>
      </c>
      <c r="Y31" s="9">
        <v>0.36384317999999999</v>
      </c>
      <c r="Z31" s="9">
        <v>0.36384317999999999</v>
      </c>
      <c r="AA31" s="9">
        <v>0.36384317999999999</v>
      </c>
      <c r="AB31" s="9">
        <v>0.36384317999999999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2</v>
      </c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129</v>
      </c>
      <c r="B33" s="9">
        <v>2286</v>
      </c>
      <c r="C33" s="9">
        <v>3445.6396835800001</v>
      </c>
      <c r="D33" s="9">
        <v>4681.83816217</v>
      </c>
      <c r="E33" s="9">
        <v>5999.1212551999997</v>
      </c>
      <c r="F33" s="9">
        <v>7402.26992617</v>
      </c>
      <c r="G33" s="9">
        <v>8896.3346757800009</v>
      </c>
      <c r="H33" s="9">
        <v>10486.650725289999</v>
      </c>
      <c r="I33" s="9">
        <v>12178.85403411</v>
      </c>
      <c r="J33" s="9">
        <v>13978.89820326</v>
      </c>
      <c r="K33" s="9">
        <v>15893.08418731</v>
      </c>
      <c r="L33" s="9">
        <v>17928.032173259999</v>
      </c>
      <c r="M33" s="9">
        <v>20090.771034490001</v>
      </c>
      <c r="N33" s="9">
        <v>22388.71375137</v>
      </c>
      <c r="O33" s="9">
        <v>24829.689621360001</v>
      </c>
      <c r="P33" s="9">
        <v>27421.96973846</v>
      </c>
      <c r="Q33" s="9">
        <v>30174.28930574</v>
      </c>
      <c r="R33" s="9">
        <v>33095.875614249999</v>
      </c>
      <c r="S33" s="9">
        <v>36196.474421819999</v>
      </c>
      <c r="T33" s="9">
        <v>39486.379206379999</v>
      </c>
      <c r="U33" s="9">
        <v>42976.461628689998</v>
      </c>
      <c r="V33" s="9">
        <v>46678.204211880002</v>
      </c>
      <c r="W33" s="9">
        <v>50603.734071400002</v>
      </c>
      <c r="X33" s="9">
        <v>54765.858970150002</v>
      </c>
      <c r="Y33" s="9">
        <v>59100.63919401</v>
      </c>
      <c r="Z33" s="9">
        <v>59444.572432469999</v>
      </c>
      <c r="AA33" s="9">
        <v>60206.68003096</v>
      </c>
      <c r="AB33" s="9">
        <v>60963.636439640002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130</v>
      </c>
      <c r="B34" s="9">
        <v>17338346.906399202</v>
      </c>
      <c r="C34" s="9">
        <v>26133725.064039402</v>
      </c>
      <c r="D34" s="9">
        <v>35469999.665024601</v>
      </c>
      <c r="E34" s="9">
        <v>44618079.553366102</v>
      </c>
      <c r="F34" s="9">
        <v>52687488.827586196</v>
      </c>
      <c r="G34" s="9">
        <v>59489418.627257697</v>
      </c>
      <c r="H34" s="9">
        <v>64944982.949096799</v>
      </c>
      <c r="I34" s="9">
        <v>69205434.876847193</v>
      </c>
      <c r="J34" s="9">
        <v>72376618.942528695</v>
      </c>
      <c r="K34" s="9">
        <v>74435114.364531994</v>
      </c>
      <c r="L34" s="9">
        <v>75434742.239737198</v>
      </c>
      <c r="M34" s="9">
        <v>75513359.553366095</v>
      </c>
      <c r="N34" s="9">
        <v>74809782.896551698</v>
      </c>
      <c r="O34" s="9">
        <v>73560158.489326701</v>
      </c>
      <c r="P34" s="9">
        <v>71997421.070607498</v>
      </c>
      <c r="Q34" s="9">
        <v>70257054.200328395</v>
      </c>
      <c r="R34" s="9">
        <v>68449726.029556602</v>
      </c>
      <c r="S34" s="9">
        <v>66636294.765188798</v>
      </c>
      <c r="T34" s="9">
        <v>64846808.866994999</v>
      </c>
      <c r="U34" s="9">
        <v>63085740.098522097</v>
      </c>
      <c r="V34" s="9">
        <v>61354572.6502463</v>
      </c>
      <c r="W34" s="9">
        <v>59614915.888341501</v>
      </c>
      <c r="X34" s="9">
        <v>57859304.078817703</v>
      </c>
      <c r="Y34" s="9">
        <v>56111330.732348099</v>
      </c>
      <c r="Z34" s="9">
        <v>54307700.243021302</v>
      </c>
      <c r="AA34" s="9">
        <v>52638708.860426903</v>
      </c>
      <c r="AB34" s="9">
        <v>51070172.2233169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131</v>
      </c>
      <c r="B35" s="9">
        <v>2158220.7936741798</v>
      </c>
      <c r="C35" s="9">
        <v>3253040.7754236902</v>
      </c>
      <c r="D35" s="9">
        <v>4420140.1899456698</v>
      </c>
      <c r="E35" s="9">
        <v>5663791.8795945197</v>
      </c>
      <c r="F35" s="9">
        <v>6988509.5691331504</v>
      </c>
      <c r="G35" s="9">
        <v>8399061.4544019103</v>
      </c>
      <c r="H35" s="9">
        <v>9900484.5368849896</v>
      </c>
      <c r="I35" s="9">
        <v>11498099.746076999</v>
      </c>
      <c r="J35" s="9">
        <v>13197527.898046101</v>
      </c>
      <c r="K35" s="9">
        <v>15004717.746575899</v>
      </c>
      <c r="L35" s="9">
        <v>16925919.433942899</v>
      </c>
      <c r="M35" s="9">
        <v>18967768.944696099</v>
      </c>
      <c r="N35" s="9">
        <v>21137264.900185499</v>
      </c>
      <c r="O35" s="9">
        <v>23441798.9681971</v>
      </c>
      <c r="P35" s="9">
        <v>25889179.9182197</v>
      </c>
      <c r="Q35" s="9">
        <v>28487654.686781701</v>
      </c>
      <c r="R35" s="9">
        <v>31245934.7924456</v>
      </c>
      <c r="S35" s="9">
        <v>34173221.2400961</v>
      </c>
      <c r="T35" s="9">
        <v>37279232.139155202</v>
      </c>
      <c r="U35" s="9">
        <v>40574231.4635114</v>
      </c>
      <c r="V35" s="9">
        <v>44069059.904399797</v>
      </c>
      <c r="W35" s="9">
        <v>47775166.714984097</v>
      </c>
      <c r="X35" s="9">
        <v>51704643.750137404</v>
      </c>
      <c r="Y35" s="9">
        <v>55797125.296569303</v>
      </c>
      <c r="Z35" s="9">
        <v>56121833.899747498</v>
      </c>
      <c r="AA35" s="9">
        <v>56841342.415097199</v>
      </c>
      <c r="AB35" s="9">
        <v>57555987.673675798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132</v>
      </c>
      <c r="B36" s="9">
        <v>385.14992287000001</v>
      </c>
      <c r="C36" s="9">
        <v>580.52837197999997</v>
      </c>
      <c r="D36" s="9">
        <v>788.80560237999998</v>
      </c>
      <c r="E36" s="9">
        <v>1010.74413329</v>
      </c>
      <c r="F36" s="9">
        <v>1247.14947117</v>
      </c>
      <c r="G36" s="9">
        <v>1498.87253463</v>
      </c>
      <c r="H36" s="9">
        <v>1766.8122125800001</v>
      </c>
      <c r="I36" s="9">
        <v>2051.91806292</v>
      </c>
      <c r="J36" s="9">
        <v>2355.1931604299998</v>
      </c>
      <c r="K36" s="9">
        <v>2677.69910273</v>
      </c>
      <c r="L36" s="9">
        <v>3020.5512723799998</v>
      </c>
      <c r="M36" s="9">
        <v>3384.9339082500001</v>
      </c>
      <c r="N36" s="9">
        <v>3772.09596431</v>
      </c>
      <c r="O36" s="9">
        <v>4183.3565365100003</v>
      </c>
      <c r="P36" s="9">
        <v>4620.1091555599996</v>
      </c>
      <c r="Q36" s="9">
        <v>5083.8255462099996</v>
      </c>
      <c r="R36" s="9">
        <v>5576.0603412099999</v>
      </c>
      <c r="S36" s="9">
        <v>6098.45552563</v>
      </c>
      <c r="T36" s="9">
        <v>6652.7453655299996</v>
      </c>
      <c r="U36" s="9">
        <v>7240.7615403999998</v>
      </c>
      <c r="V36" s="9">
        <v>7864.4386490500001</v>
      </c>
      <c r="W36" s="9">
        <v>8525.8198925300003</v>
      </c>
      <c r="X36" s="9">
        <v>9227.0631487499995</v>
      </c>
      <c r="Y36" s="9">
        <v>9957.3957248099996</v>
      </c>
      <c r="Z36" s="9">
        <v>10015.342295349999</v>
      </c>
      <c r="AA36" s="9">
        <v>10143.74373138</v>
      </c>
      <c r="AB36" s="9">
        <v>10271.2772845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133</v>
      </c>
      <c r="B37" s="9">
        <v>906098296.56531096</v>
      </c>
      <c r="C37" s="9">
        <v>1365742875.6770599</v>
      </c>
      <c r="D37" s="9">
        <v>1853654587.09266</v>
      </c>
      <c r="E37" s="9">
        <v>2331731283.1247602</v>
      </c>
      <c r="F37" s="9">
        <v>2753436883.8449998</v>
      </c>
      <c r="G37" s="9">
        <v>3108904278.6382499</v>
      </c>
      <c r="H37" s="9">
        <v>3394010901.8652</v>
      </c>
      <c r="I37" s="9">
        <v>3616661207.2935801</v>
      </c>
      <c r="J37" s="9">
        <v>3782386607.5016298</v>
      </c>
      <c r="K37" s="9">
        <v>3889963137.4576802</v>
      </c>
      <c r="L37" s="9">
        <v>3942203476.1596599</v>
      </c>
      <c r="M37" s="9">
        <v>3946312000.1351099</v>
      </c>
      <c r="N37" s="9">
        <v>3909543234.71103</v>
      </c>
      <c r="O37" s="9">
        <v>3844238130.7789502</v>
      </c>
      <c r="P37" s="9">
        <v>3762569807.9149199</v>
      </c>
      <c r="Q37" s="9">
        <v>3671618607.9492202</v>
      </c>
      <c r="R37" s="9">
        <v>3577168024.7585902</v>
      </c>
      <c r="S37" s="9">
        <v>3482398495.2035298</v>
      </c>
      <c r="T37" s="9">
        <v>3388880345.3571501</v>
      </c>
      <c r="U37" s="9">
        <v>3296847268.6248698</v>
      </c>
      <c r="V37" s="9">
        <v>3206376828.48313</v>
      </c>
      <c r="W37" s="9">
        <v>3115462738.6290102</v>
      </c>
      <c r="X37" s="9">
        <v>3023714841.4028702</v>
      </c>
      <c r="Y37" s="9">
        <v>2932366128.6202798</v>
      </c>
      <c r="Z37" s="9">
        <v>2838108785.47016</v>
      </c>
      <c r="AA37" s="9">
        <v>2750887653.2068</v>
      </c>
      <c r="AB37" s="9">
        <v>2668916264.4314899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134</v>
      </c>
      <c r="B38" s="9">
        <v>0</v>
      </c>
      <c r="C38" s="9">
        <v>67714.145183999994</v>
      </c>
      <c r="D38" s="9">
        <v>183810.05395199999</v>
      </c>
      <c r="E38" s="9">
        <v>346824.85286400001</v>
      </c>
      <c r="F38" s="9">
        <v>546066.549504</v>
      </c>
      <c r="G38" s="9">
        <v>770704.35231999995</v>
      </c>
      <c r="H38" s="9">
        <v>1009659.509376</v>
      </c>
      <c r="I38" s="9">
        <v>1255209.8092799999</v>
      </c>
      <c r="J38" s="9">
        <v>1500259.4145279999</v>
      </c>
      <c r="K38" s="9">
        <v>1735795.0753919999</v>
      </c>
      <c r="L38" s="9">
        <v>1954562.1894400001</v>
      </c>
      <c r="M38" s="9">
        <v>2152259.1354880002</v>
      </c>
      <c r="N38" s="9">
        <v>2326042.9140479998</v>
      </c>
      <c r="O38" s="9">
        <v>2477787.69056</v>
      </c>
      <c r="P38" s="9">
        <v>2611698.6138880001</v>
      </c>
      <c r="Q38" s="9">
        <v>2730607.4947199998</v>
      </c>
      <c r="R38" s="9">
        <v>2837721.556992</v>
      </c>
      <c r="S38" s="9">
        <v>2935200.9850240001</v>
      </c>
      <c r="T38" s="9">
        <v>3024399.7727999999</v>
      </c>
      <c r="U38" s="9">
        <v>3105724.19808</v>
      </c>
      <c r="V38" s="9">
        <v>3179472.0652800002</v>
      </c>
      <c r="W38" s="9">
        <v>3243786.878976</v>
      </c>
      <c r="X38" s="9">
        <v>3298177.0778879998</v>
      </c>
      <c r="Y38" s="9">
        <v>3343924.6830079998</v>
      </c>
      <c r="Z38" s="9">
        <v>3377152.9989120001</v>
      </c>
      <c r="AA38" s="9">
        <v>3409756.1343999999</v>
      </c>
      <c r="AB38" s="9">
        <v>3440477.7447040002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135</v>
      </c>
      <c r="B39" s="9">
        <v>0</v>
      </c>
      <c r="C39" s="9">
        <v>2.022523E-2</v>
      </c>
      <c r="D39" s="9">
        <v>2.0483560000000001E-2</v>
      </c>
      <c r="E39" s="9">
        <v>2.0726789999999998E-2</v>
      </c>
      <c r="F39" s="9">
        <v>2.0955990000000001E-2</v>
      </c>
      <c r="G39" s="9">
        <v>2.1172119999999999E-2</v>
      </c>
      <c r="H39" s="9">
        <v>2.1376079999999999E-2</v>
      </c>
      <c r="I39" s="9">
        <v>2.156868E-2</v>
      </c>
      <c r="J39" s="9">
        <v>2.175069E-2</v>
      </c>
      <c r="K39" s="9">
        <v>2.1922770000000001E-2</v>
      </c>
      <c r="L39" s="9">
        <v>2.2085629999999998E-2</v>
      </c>
      <c r="M39" s="9">
        <v>2.2239780000000001E-2</v>
      </c>
      <c r="N39" s="9">
        <v>2.2385789999999999E-2</v>
      </c>
      <c r="O39" s="9">
        <v>2.252417E-2</v>
      </c>
      <c r="P39" s="9">
        <v>2.2655379999999999E-2</v>
      </c>
      <c r="Q39" s="9">
        <v>2.2779859999999999E-2</v>
      </c>
      <c r="R39" s="9">
        <v>2.289801E-2</v>
      </c>
      <c r="S39" s="9">
        <v>2.3010200000000001E-2</v>
      </c>
      <c r="T39" s="9">
        <v>2.3116769999999998E-2</v>
      </c>
      <c r="U39" s="9">
        <v>2.3218059999999999E-2</v>
      </c>
      <c r="V39" s="9">
        <v>2.3314370000000001E-2</v>
      </c>
      <c r="W39" s="9">
        <v>2.3405970000000002E-2</v>
      </c>
      <c r="X39" s="9">
        <v>2.3493139999999999E-2</v>
      </c>
      <c r="Y39" s="9">
        <v>2.3576110000000001E-2</v>
      </c>
      <c r="Z39" s="9">
        <v>2.3651129999999999E-2</v>
      </c>
      <c r="AA39" s="9">
        <v>2.3512209999999999E-2</v>
      </c>
      <c r="AB39" s="9">
        <v>2.339886E-2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136</v>
      </c>
      <c r="B40" s="9">
        <v>0</v>
      </c>
      <c r="C40" s="9">
        <v>2.022523E-2</v>
      </c>
      <c r="D40" s="9">
        <v>2.0483560000000001E-2</v>
      </c>
      <c r="E40" s="9">
        <v>2.0726789999999998E-2</v>
      </c>
      <c r="F40" s="9">
        <v>2.0955990000000001E-2</v>
      </c>
      <c r="G40" s="9">
        <v>2.1172119999999999E-2</v>
      </c>
      <c r="H40" s="9">
        <v>2.1376079999999999E-2</v>
      </c>
      <c r="I40" s="9">
        <v>2.156868E-2</v>
      </c>
      <c r="J40" s="9">
        <v>2.175069E-2</v>
      </c>
      <c r="K40" s="9">
        <v>2.1922770000000001E-2</v>
      </c>
      <c r="L40" s="9">
        <v>2.2085629999999998E-2</v>
      </c>
      <c r="M40" s="9">
        <v>2.2239780000000001E-2</v>
      </c>
      <c r="N40" s="9">
        <v>2.2385789999999999E-2</v>
      </c>
      <c r="O40" s="9">
        <v>2.252417E-2</v>
      </c>
      <c r="P40" s="9">
        <v>2.2655379999999999E-2</v>
      </c>
      <c r="Q40" s="9">
        <v>2.2779859999999999E-2</v>
      </c>
      <c r="R40" s="9">
        <v>2.289801E-2</v>
      </c>
      <c r="S40" s="9">
        <v>2.3010200000000001E-2</v>
      </c>
      <c r="T40" s="9">
        <v>2.3116769999999998E-2</v>
      </c>
      <c r="U40" s="9">
        <v>2.3218059999999999E-2</v>
      </c>
      <c r="V40" s="9">
        <v>2.3314370000000001E-2</v>
      </c>
      <c r="W40" s="9">
        <v>2.3405970000000002E-2</v>
      </c>
      <c r="X40" s="9">
        <v>2.3493139999999999E-2</v>
      </c>
      <c r="Y40" s="9">
        <v>2.3233130000000001E-2</v>
      </c>
      <c r="Z40" s="9">
        <v>5.5529799999999999E-3</v>
      </c>
      <c r="AA40" s="9">
        <v>7.02938E-3</v>
      </c>
      <c r="AB40" s="9">
        <v>6.7656799999999996E-3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137</v>
      </c>
      <c r="B41" s="9">
        <v>1</v>
      </c>
      <c r="C41" s="9">
        <v>2.022523E-2</v>
      </c>
      <c r="D41" s="9">
        <v>2.0483560000000001E-2</v>
      </c>
      <c r="E41" s="9">
        <v>2.0726789999999998E-2</v>
      </c>
      <c r="F41" s="9">
        <v>2.0955990000000001E-2</v>
      </c>
      <c r="G41" s="9">
        <v>2.1172119999999999E-2</v>
      </c>
      <c r="H41" s="9">
        <v>2.1376079999999999E-2</v>
      </c>
      <c r="I41" s="9">
        <v>2.156868E-2</v>
      </c>
      <c r="J41" s="9">
        <v>2.175069E-2</v>
      </c>
      <c r="K41" s="9">
        <v>2.1922770000000001E-2</v>
      </c>
      <c r="L41" s="9">
        <v>2.2085629999999998E-2</v>
      </c>
      <c r="M41" s="9">
        <v>2.2239780000000001E-2</v>
      </c>
      <c r="N41" s="9">
        <v>2.2385789999999999E-2</v>
      </c>
      <c r="O41" s="9">
        <v>2.252417E-2</v>
      </c>
      <c r="P41" s="9">
        <v>2.2655379999999999E-2</v>
      </c>
      <c r="Q41" s="9">
        <v>2.2779859999999999E-2</v>
      </c>
      <c r="R41" s="9">
        <v>2.289801E-2</v>
      </c>
      <c r="S41" s="9">
        <v>2.3010200000000001E-2</v>
      </c>
      <c r="T41" s="9">
        <v>2.3116769999999998E-2</v>
      </c>
      <c r="U41" s="9">
        <v>2.3218059999999999E-2</v>
      </c>
      <c r="V41" s="9">
        <v>2.3314370000000001E-2</v>
      </c>
      <c r="W41" s="9">
        <v>2.3405970000000002E-2</v>
      </c>
      <c r="X41" s="9">
        <v>2.3493139999999999E-2</v>
      </c>
      <c r="Y41" s="9">
        <v>2.3576110000000001E-2</v>
      </c>
      <c r="Z41" s="9">
        <v>2.3651129999999999E-2</v>
      </c>
      <c r="AA41" s="9">
        <v>2.3512209999999999E-2</v>
      </c>
      <c r="AB41" s="9">
        <v>2.339886E-2</v>
      </c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138</v>
      </c>
      <c r="B42" s="9">
        <v>0.98333333000000001</v>
      </c>
      <c r="C42" s="9">
        <v>0.98333333000000001</v>
      </c>
      <c r="D42" s="9">
        <v>0.98333333000000001</v>
      </c>
      <c r="E42" s="9">
        <v>0.98333333000000001</v>
      </c>
      <c r="F42" s="9">
        <v>0.98333333000000001</v>
      </c>
      <c r="G42" s="9">
        <v>0.98333333000000001</v>
      </c>
      <c r="H42" s="9">
        <v>0.98333333000000001</v>
      </c>
      <c r="I42" s="9">
        <v>0.98333333000000001</v>
      </c>
      <c r="J42" s="9">
        <v>0.98333333000000001</v>
      </c>
      <c r="K42" s="9">
        <v>0.98333333000000001</v>
      </c>
      <c r="L42" s="9">
        <v>0.98333333000000001</v>
      </c>
      <c r="M42" s="9">
        <v>0.98333333000000001</v>
      </c>
      <c r="N42" s="9">
        <v>0.98333333000000001</v>
      </c>
      <c r="O42" s="9">
        <v>0.98333333000000001</v>
      </c>
      <c r="P42" s="9">
        <v>0.98333333000000001</v>
      </c>
      <c r="Q42" s="9">
        <v>0.98333333000000001</v>
      </c>
      <c r="R42" s="9">
        <v>0.98333333000000001</v>
      </c>
      <c r="S42" s="9">
        <v>0.98333333000000001</v>
      </c>
      <c r="T42" s="9">
        <v>0.98333333000000001</v>
      </c>
      <c r="U42" s="9">
        <v>0.98333333000000001</v>
      </c>
      <c r="V42" s="9">
        <v>0.98333333000000001</v>
      </c>
      <c r="W42" s="9">
        <v>0.98333333000000001</v>
      </c>
      <c r="X42" s="9">
        <v>0.98333333000000001</v>
      </c>
      <c r="Y42" s="9">
        <v>0.98333333000000001</v>
      </c>
      <c r="Z42" s="9">
        <v>0.98333333000000001</v>
      </c>
      <c r="AA42" s="9">
        <v>0.98333333000000001</v>
      </c>
      <c r="AB42" s="9">
        <v>0.98333333000000001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139</v>
      </c>
      <c r="B43" s="9">
        <v>0.86522686999999998</v>
      </c>
      <c r="C43" s="9">
        <v>0.86522686999999998</v>
      </c>
      <c r="D43" s="9">
        <v>0.86522686999999998</v>
      </c>
      <c r="E43" s="9">
        <v>0.86522686999999998</v>
      </c>
      <c r="F43" s="9">
        <v>0.86522686999999998</v>
      </c>
      <c r="G43" s="9">
        <v>0.86522686999999998</v>
      </c>
      <c r="H43" s="9">
        <v>0.86522686999999998</v>
      </c>
      <c r="I43" s="9">
        <v>0.86522686999999998</v>
      </c>
      <c r="J43" s="9">
        <v>0.86522686999999998</v>
      </c>
      <c r="K43" s="9">
        <v>0.86522686999999998</v>
      </c>
      <c r="L43" s="9">
        <v>0.86522686999999998</v>
      </c>
      <c r="M43" s="9">
        <v>0.86522686999999998</v>
      </c>
      <c r="N43" s="9">
        <v>0.86522686999999998</v>
      </c>
      <c r="O43" s="9">
        <v>0.86522686999999998</v>
      </c>
      <c r="P43" s="9">
        <v>0.86522686999999998</v>
      </c>
      <c r="Q43" s="9">
        <v>0.86522686999999998</v>
      </c>
      <c r="R43" s="9">
        <v>0.86522686999999998</v>
      </c>
      <c r="S43" s="9">
        <v>0.86522686999999998</v>
      </c>
      <c r="T43" s="9">
        <v>0.86522686999999998</v>
      </c>
      <c r="U43" s="9">
        <v>0.86522686999999998</v>
      </c>
      <c r="V43" s="9">
        <v>0.86522686999999998</v>
      </c>
      <c r="W43" s="9">
        <v>0.86522686999999998</v>
      </c>
      <c r="X43" s="9">
        <v>0.86522686999999998</v>
      </c>
      <c r="Y43" s="9">
        <v>0.86522686999999998</v>
      </c>
      <c r="Z43" s="9">
        <v>0.86522686999999998</v>
      </c>
      <c r="AA43" s="9">
        <v>0.86522686999999998</v>
      </c>
      <c r="AB43" s="9">
        <v>0.86522686999999998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3</v>
      </c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31948</v>
      </c>
      <c r="C45" s="9">
        <v>32208.173539120002</v>
      </c>
      <c r="D45" s="9">
        <v>32453.784155580001</v>
      </c>
      <c r="E45" s="9">
        <v>32683.428039670001</v>
      </c>
      <c r="F45" s="9">
        <v>32895.612342120003</v>
      </c>
      <c r="G45" s="9">
        <v>33088.749926600001</v>
      </c>
      <c r="H45" s="9">
        <v>33261.153753480001</v>
      </c>
      <c r="I45" s="9">
        <v>33411.031261069998</v>
      </c>
      <c r="J45" s="9">
        <v>33537.481932889998</v>
      </c>
      <c r="K45" s="9">
        <v>33635.466987150001</v>
      </c>
      <c r="L45" s="9">
        <v>33705.858314949997</v>
      </c>
      <c r="M45" s="9">
        <v>33745.309693360003</v>
      </c>
      <c r="N45" s="9">
        <v>33751.57437866</v>
      </c>
      <c r="O45" s="9">
        <v>33721.86014895</v>
      </c>
      <c r="P45" s="9">
        <v>33653.649823699998</v>
      </c>
      <c r="Q45" s="9">
        <v>33543.901972569998</v>
      </c>
      <c r="R45" s="9">
        <v>33389.600542660002</v>
      </c>
      <c r="S45" s="9">
        <v>33187.494263610002</v>
      </c>
      <c r="T45" s="9">
        <v>32934.151642489996</v>
      </c>
      <c r="U45" s="9">
        <v>32625.885676130001</v>
      </c>
      <c r="V45" s="9">
        <v>32258.839584810001</v>
      </c>
      <c r="W45" s="9">
        <v>31828.913380729999</v>
      </c>
      <c r="X45" s="9">
        <v>31331.729928100001</v>
      </c>
      <c r="Y45" s="9">
        <v>30760.504378049998</v>
      </c>
      <c r="Z45" s="9">
        <v>30117.691615669999</v>
      </c>
      <c r="AA45" s="9">
        <v>29420.79986264</v>
      </c>
      <c r="AB45" s="9">
        <v>28669.64320722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101536677.835426</v>
      </c>
      <c r="C46" s="9">
        <v>89442691.888341501</v>
      </c>
      <c r="D46" s="9">
        <v>76492586.206896499</v>
      </c>
      <c r="E46" s="9">
        <v>63613056.341543503</v>
      </c>
      <c r="F46" s="9">
        <v>51593905.937602602</v>
      </c>
      <c r="G46" s="9">
        <v>40775299.297208503</v>
      </c>
      <c r="H46" s="9">
        <v>31365294.975369401</v>
      </c>
      <c r="I46" s="9">
        <v>23380986.752052501</v>
      </c>
      <c r="J46" s="9">
        <v>16915913.812807798</v>
      </c>
      <c r="K46" s="9">
        <v>12007252.0903119</v>
      </c>
      <c r="L46" s="9">
        <v>8440754.3711001594</v>
      </c>
      <c r="M46" s="9">
        <v>6003152.2397372704</v>
      </c>
      <c r="N46" s="9">
        <v>4384484.9901477797</v>
      </c>
      <c r="O46" s="9">
        <v>3288949.9018883398</v>
      </c>
      <c r="P46" s="9">
        <v>2545621.3702791501</v>
      </c>
      <c r="Q46" s="9">
        <v>2014272.98316913</v>
      </c>
      <c r="R46" s="9">
        <v>1612465.19663383</v>
      </c>
      <c r="S46" s="9">
        <v>1297383.69355501</v>
      </c>
      <c r="T46" s="9">
        <v>1045664.56896552</v>
      </c>
      <c r="U46" s="9">
        <v>848417.17405582999</v>
      </c>
      <c r="V46" s="9">
        <v>695601.68195812998</v>
      </c>
      <c r="W46" s="9">
        <v>581287.32830459997</v>
      </c>
      <c r="X46" s="9">
        <v>495019.90640394</v>
      </c>
      <c r="Y46" s="9">
        <v>429514.35806649999</v>
      </c>
      <c r="Z46" s="9">
        <v>392012.73414408998</v>
      </c>
      <c r="AA46" s="9">
        <v>355352.71459360002</v>
      </c>
      <c r="AB46" s="9">
        <v>320648.26693350001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3381644.3670804002</v>
      </c>
      <c r="C47" s="9">
        <v>3409183.3173444602</v>
      </c>
      <c r="D47" s="9">
        <v>3435180.8056896301</v>
      </c>
      <c r="E47" s="9">
        <v>3459488.2411179501</v>
      </c>
      <c r="F47" s="9">
        <v>3481947.6079376601</v>
      </c>
      <c r="G47" s="9">
        <v>3502390.9103235002</v>
      </c>
      <c r="H47" s="9">
        <v>3520639.5778469802</v>
      </c>
      <c r="I47" s="9">
        <v>3536503.87073788</v>
      </c>
      <c r="J47" s="9">
        <v>3549888.4707781998</v>
      </c>
      <c r="K47" s="9">
        <v>3560260.03102586</v>
      </c>
      <c r="L47" s="9">
        <v>3567710.8397508701</v>
      </c>
      <c r="M47" s="9">
        <v>3571886.70464323</v>
      </c>
      <c r="N47" s="9">
        <v>3572549.8114963602</v>
      </c>
      <c r="O47" s="9">
        <v>3569404.60811804</v>
      </c>
      <c r="P47" s="9">
        <v>3562184.6550020799</v>
      </c>
      <c r="Q47" s="9">
        <v>3550568.0216427902</v>
      </c>
      <c r="R47" s="9">
        <v>3534235.4636961301</v>
      </c>
      <c r="S47" s="9">
        <v>3512842.8394280602</v>
      </c>
      <c r="T47" s="9">
        <v>3486026.9308380401</v>
      </c>
      <c r="U47" s="9">
        <v>3453397.4745736402</v>
      </c>
      <c r="V47" s="9">
        <v>3414546.2367137601</v>
      </c>
      <c r="W47" s="9">
        <v>3369039.2401479399</v>
      </c>
      <c r="X47" s="9">
        <v>3316413.17209971</v>
      </c>
      <c r="Y47" s="9">
        <v>3255949.8672402198</v>
      </c>
      <c r="Z47" s="9">
        <v>3187909.1712035201</v>
      </c>
      <c r="AA47" s="9">
        <v>3114144.3010670198</v>
      </c>
      <c r="AB47" s="9">
        <v>3034635.5783743602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972.67075738000005</v>
      </c>
      <c r="C48" s="9">
        <v>980.59185394999997</v>
      </c>
      <c r="D48" s="9">
        <v>988.06957600999999</v>
      </c>
      <c r="E48" s="9">
        <v>995.06118395999999</v>
      </c>
      <c r="F48" s="9">
        <v>1001.52122735</v>
      </c>
      <c r="G48" s="9">
        <v>1007.40138512</v>
      </c>
      <c r="H48" s="9">
        <v>1012.65029463</v>
      </c>
      <c r="I48" s="9">
        <v>1017.21338054</v>
      </c>
      <c r="J48" s="9">
        <v>1021.06322625</v>
      </c>
      <c r="K48" s="9">
        <v>1024.0464238500001</v>
      </c>
      <c r="L48" s="9">
        <v>1026.1895184499999</v>
      </c>
      <c r="M48" s="9">
        <v>1027.3906328200001</v>
      </c>
      <c r="N48" s="9">
        <v>1027.5813638899999</v>
      </c>
      <c r="O48" s="9">
        <v>1026.6767012400001</v>
      </c>
      <c r="P48" s="9">
        <v>1024.6000082200001</v>
      </c>
      <c r="Q48" s="9">
        <v>1021.25868715</v>
      </c>
      <c r="R48" s="9">
        <v>1016.560913</v>
      </c>
      <c r="S48" s="9">
        <v>1010.40769942</v>
      </c>
      <c r="T48" s="9">
        <v>1002.69457311</v>
      </c>
      <c r="U48" s="9">
        <v>993.30928167000002</v>
      </c>
      <c r="V48" s="9">
        <v>982.13440375000005</v>
      </c>
      <c r="W48" s="9">
        <v>969.04511345000003</v>
      </c>
      <c r="X48" s="9">
        <v>953.90814695999995</v>
      </c>
      <c r="Y48" s="9">
        <v>936.51693661000002</v>
      </c>
      <c r="Z48" s="9">
        <v>916.94622244000004</v>
      </c>
      <c r="AA48" s="9">
        <v>895.72904987000004</v>
      </c>
      <c r="AB48" s="9">
        <v>872.85975873999996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16348169971.3783</v>
      </c>
      <c r="C49" s="9">
        <v>14400947134.179899</v>
      </c>
      <c r="D49" s="9">
        <v>12315882570.902399</v>
      </c>
      <c r="E49" s="9">
        <v>10242181245.6383</v>
      </c>
      <c r="F49" s="9">
        <v>8307007494.5957098</v>
      </c>
      <c r="G49" s="9">
        <v>6565130332.7556</v>
      </c>
      <c r="H49" s="9">
        <v>5050048754.7058096</v>
      </c>
      <c r="I49" s="9">
        <v>3764514987.7824502</v>
      </c>
      <c r="J49" s="9">
        <v>2723589545.4566798</v>
      </c>
      <c r="K49" s="9">
        <v>1933258032.92256</v>
      </c>
      <c r="L49" s="9">
        <v>1359025034.96382</v>
      </c>
      <c r="M49" s="9">
        <v>966552730.21986103</v>
      </c>
      <c r="N49" s="9">
        <v>705935110.18817794</v>
      </c>
      <c r="O49" s="9">
        <v>529545708.70014203</v>
      </c>
      <c r="P49" s="9">
        <v>409864215.88019103</v>
      </c>
      <c r="Q49" s="9">
        <v>324313123.09604698</v>
      </c>
      <c r="R49" s="9">
        <v>259619042.78795001</v>
      </c>
      <c r="S49" s="9">
        <v>208888547.39476001</v>
      </c>
      <c r="T49" s="9">
        <v>168359872.22473401</v>
      </c>
      <c r="U49" s="9">
        <v>136601555.849426</v>
      </c>
      <c r="V49" s="9">
        <v>111997110.516654</v>
      </c>
      <c r="W49" s="9">
        <v>93591638.488849506</v>
      </c>
      <c r="X49" s="9">
        <v>79701933.740872294</v>
      </c>
      <c r="Y49" s="9">
        <v>69155047.028422207</v>
      </c>
      <c r="Z49" s="9">
        <v>63117003.090447001</v>
      </c>
      <c r="AA49" s="9">
        <v>57214463.795859203</v>
      </c>
      <c r="AB49" s="9">
        <v>51626786.306256101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0</v>
      </c>
      <c r="C50" s="9">
        <v>7449162.0480000004</v>
      </c>
      <c r="D50" s="9">
        <v>12741246</v>
      </c>
      <c r="E50" s="9">
        <v>15893885.4048</v>
      </c>
      <c r="F50" s="9">
        <v>17187826.435199998</v>
      </c>
      <c r="G50" s="9">
        <v>16979688.647999998</v>
      </c>
      <c r="H50" s="9">
        <v>15673398.912</v>
      </c>
      <c r="I50" s="9">
        <v>13630865.623199999</v>
      </c>
      <c r="J50" s="9">
        <v>11270625.2928</v>
      </c>
      <c r="K50" s="9">
        <v>9000128.2625999991</v>
      </c>
      <c r="L50" s="9">
        <v>7029813.8159999996</v>
      </c>
      <c r="M50" s="9">
        <v>5499644.3172000004</v>
      </c>
      <c r="N50" s="9">
        <v>4381899.3143999996</v>
      </c>
      <c r="O50" s="9">
        <v>3560927.8243499999</v>
      </c>
      <c r="P50" s="9">
        <v>2968140.1554</v>
      </c>
      <c r="Q50" s="9">
        <v>2516356.37475</v>
      </c>
      <c r="R50" s="9">
        <v>2148685.6968</v>
      </c>
      <c r="S50" s="9">
        <v>1836876.326625</v>
      </c>
      <c r="T50" s="9">
        <v>1567571.8589999999</v>
      </c>
      <c r="U50" s="9">
        <v>1342534.9878</v>
      </c>
      <c r="V50" s="9">
        <v>1158652.43775</v>
      </c>
      <c r="W50" s="9">
        <v>1016652.9169125</v>
      </c>
      <c r="X50" s="9">
        <v>907001.29079999996</v>
      </c>
      <c r="Y50" s="9">
        <v>822750.36356249999</v>
      </c>
      <c r="Z50" s="9">
        <v>783563.10254999995</v>
      </c>
      <c r="AA50" s="9">
        <v>739881.5653125</v>
      </c>
      <c r="AB50" s="9">
        <v>694328.20177499996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0</v>
      </c>
      <c r="C51" s="9">
        <v>8.0829369999999998E-2</v>
      </c>
      <c r="D51" s="9">
        <v>8.0032259999999994E-2</v>
      </c>
      <c r="E51" s="9">
        <v>7.9275999999999999E-2</v>
      </c>
      <c r="F51" s="9">
        <v>7.8557950000000001E-2</v>
      </c>
      <c r="G51" s="9">
        <v>7.7875680000000003E-2</v>
      </c>
      <c r="H51" s="9">
        <v>7.7226959999999997E-2</v>
      </c>
      <c r="I51" s="9">
        <v>7.6609739999999996E-2</v>
      </c>
      <c r="J51" s="9">
        <v>7.6022110000000004E-2</v>
      </c>
      <c r="K51" s="9">
        <v>7.5462520000000005E-2</v>
      </c>
      <c r="L51" s="9">
        <v>7.4928770000000006E-2</v>
      </c>
      <c r="M51" s="9">
        <v>7.4419929999999995E-2</v>
      </c>
      <c r="N51" s="9">
        <v>7.3934410000000006E-2</v>
      </c>
      <c r="O51" s="9">
        <v>7.3470939999999998E-2</v>
      </c>
      <c r="P51" s="9">
        <v>7.3028280000000001E-2</v>
      </c>
      <c r="Q51" s="9">
        <v>7.2605340000000004E-2</v>
      </c>
      <c r="R51" s="9">
        <v>7.2201039999999994E-2</v>
      </c>
      <c r="S51" s="9">
        <v>7.1814409999999995E-2</v>
      </c>
      <c r="T51" s="9">
        <v>7.1444540000000001E-2</v>
      </c>
      <c r="U51" s="9">
        <v>7.1090570000000006E-2</v>
      </c>
      <c r="V51" s="9">
        <v>7.0751690000000006E-2</v>
      </c>
      <c r="W51" s="9">
        <v>7.0427139999999999E-2</v>
      </c>
      <c r="X51" s="9">
        <v>7.0116230000000002E-2</v>
      </c>
      <c r="Y51" s="9">
        <v>6.9818279999999996E-2</v>
      </c>
      <c r="Z51" s="9">
        <v>6.9533590000000006E-2</v>
      </c>
      <c r="AA51" s="9">
        <v>6.931698E-2</v>
      </c>
      <c r="AB51" s="9">
        <v>6.9101480000000007E-2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>
        <v>0</v>
      </c>
      <c r="C52" s="9">
        <v>1.980703E-2</v>
      </c>
      <c r="D52" s="9">
        <v>1.8460239999999999E-2</v>
      </c>
      <c r="E52" s="9">
        <v>1.7185180000000001E-2</v>
      </c>
      <c r="F52" s="9">
        <v>1.5976939999999999E-2</v>
      </c>
      <c r="G52" s="9">
        <v>1.483105E-2</v>
      </c>
      <c r="H52" s="9">
        <v>1.3743399999999999E-2</v>
      </c>
      <c r="I52" s="9">
        <v>1.2710249999999999E-2</v>
      </c>
      <c r="J52" s="9">
        <v>1.1739049999999999E-2</v>
      </c>
      <c r="K52" s="9">
        <v>1.0783879999999999E-2</v>
      </c>
      <c r="L52" s="9">
        <v>9.9047300000000005E-3</v>
      </c>
      <c r="M52" s="9">
        <v>9.0572699999999992E-3</v>
      </c>
      <c r="N52" s="9">
        <v>8.2511500000000005E-3</v>
      </c>
      <c r="O52" s="9">
        <v>7.4806500000000001E-3</v>
      </c>
      <c r="P52" s="9">
        <v>6.7471700000000003E-3</v>
      </c>
      <c r="Q52" s="9">
        <v>6.0459399999999996E-3</v>
      </c>
      <c r="R52" s="9">
        <v>5.3766200000000004E-3</v>
      </c>
      <c r="S52" s="9">
        <v>4.7371399999999999E-3</v>
      </c>
      <c r="T52" s="9">
        <v>4.1259799999999996E-3</v>
      </c>
      <c r="U52" s="9">
        <v>3.5413799999999998E-3</v>
      </c>
      <c r="V52" s="9">
        <v>2.9822099999999999E-3</v>
      </c>
      <c r="W52" s="9">
        <v>2.4471100000000002E-3</v>
      </c>
      <c r="X52" s="9">
        <v>1.9346999999999999E-3</v>
      </c>
      <c r="Y52" s="9">
        <v>1.4343400000000001E-3</v>
      </c>
      <c r="Z52" s="9">
        <v>9.8637000000000009E-4</v>
      </c>
      <c r="AA52" s="9">
        <v>6.5612999999999999E-4</v>
      </c>
      <c r="AB52" s="9">
        <v>3.4372999999999999E-4</v>
      </c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</v>
      </c>
      <c r="C53" s="9">
        <v>8.0829369999999998E-2</v>
      </c>
      <c r="D53" s="9">
        <v>8.0032259999999994E-2</v>
      </c>
      <c r="E53" s="9">
        <v>7.9275999999999999E-2</v>
      </c>
      <c r="F53" s="9">
        <v>7.8557950000000001E-2</v>
      </c>
      <c r="G53" s="9">
        <v>7.7875680000000003E-2</v>
      </c>
      <c r="H53" s="9">
        <v>7.7226959999999997E-2</v>
      </c>
      <c r="I53" s="9">
        <v>7.6609739999999996E-2</v>
      </c>
      <c r="J53" s="9">
        <v>7.6022110000000004E-2</v>
      </c>
      <c r="K53" s="9">
        <v>7.5462520000000005E-2</v>
      </c>
      <c r="L53" s="9">
        <v>7.4928770000000006E-2</v>
      </c>
      <c r="M53" s="9">
        <v>7.4419929999999995E-2</v>
      </c>
      <c r="N53" s="9">
        <v>7.3934410000000006E-2</v>
      </c>
      <c r="O53" s="9">
        <v>7.3470939999999998E-2</v>
      </c>
      <c r="P53" s="9">
        <v>7.3028280000000001E-2</v>
      </c>
      <c r="Q53" s="9">
        <v>7.2605340000000004E-2</v>
      </c>
      <c r="R53" s="9">
        <v>7.2201039999999994E-2</v>
      </c>
      <c r="S53" s="9">
        <v>7.1814409999999995E-2</v>
      </c>
      <c r="T53" s="9">
        <v>7.1444540000000001E-2</v>
      </c>
      <c r="U53" s="9">
        <v>7.1090570000000006E-2</v>
      </c>
      <c r="V53" s="9">
        <v>7.0751690000000006E-2</v>
      </c>
      <c r="W53" s="9">
        <v>7.0427139999999999E-2</v>
      </c>
      <c r="X53" s="9">
        <v>7.0116230000000002E-2</v>
      </c>
      <c r="Y53" s="9">
        <v>6.9818279999999996E-2</v>
      </c>
      <c r="Z53" s="9">
        <v>6.9533590000000006E-2</v>
      </c>
      <c r="AA53" s="9">
        <v>6.931698E-2</v>
      </c>
      <c r="AB53" s="9">
        <v>6.9101480000000007E-2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0.97142857000000005</v>
      </c>
      <c r="C54" s="9">
        <v>0.97142857000000005</v>
      </c>
      <c r="D54" s="9">
        <v>0.97142857000000005</v>
      </c>
      <c r="E54" s="9">
        <v>0.97142857000000005</v>
      </c>
      <c r="F54" s="9">
        <v>0.97142857000000005</v>
      </c>
      <c r="G54" s="9">
        <v>0.97142857000000005</v>
      </c>
      <c r="H54" s="9">
        <v>0.97142857000000005</v>
      </c>
      <c r="I54" s="9">
        <v>0.97142857000000005</v>
      </c>
      <c r="J54" s="9">
        <v>0.97142857000000005</v>
      </c>
      <c r="K54" s="9">
        <v>0.97142857000000005</v>
      </c>
      <c r="L54" s="9">
        <v>0.97142857000000005</v>
      </c>
      <c r="M54" s="9">
        <v>0.97142857000000005</v>
      </c>
      <c r="N54" s="9">
        <v>0.97142857000000005</v>
      </c>
      <c r="O54" s="9">
        <v>0.97142857000000005</v>
      </c>
      <c r="P54" s="9">
        <v>0.97142857000000005</v>
      </c>
      <c r="Q54" s="9">
        <v>0.97142857000000005</v>
      </c>
      <c r="R54" s="9">
        <v>0.97142857000000005</v>
      </c>
      <c r="S54" s="9">
        <v>0.97142857000000005</v>
      </c>
      <c r="T54" s="9">
        <v>0.97142857000000005</v>
      </c>
      <c r="U54" s="9">
        <v>0.97142857000000005</v>
      </c>
      <c r="V54" s="9">
        <v>0.97142857000000005</v>
      </c>
      <c r="W54" s="9">
        <v>0.97142857000000005</v>
      </c>
      <c r="X54" s="9">
        <v>0.97142857000000005</v>
      </c>
      <c r="Y54" s="9">
        <v>0.97142857000000005</v>
      </c>
      <c r="Z54" s="9">
        <v>0.97142857000000005</v>
      </c>
      <c r="AA54" s="9">
        <v>0.97142857000000005</v>
      </c>
      <c r="AB54" s="9">
        <v>0.97142857000000005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0.36255826000000002</v>
      </c>
      <c r="C55" s="9">
        <v>0.36255826000000002</v>
      </c>
      <c r="D55" s="9">
        <v>0.36255826000000002</v>
      </c>
      <c r="E55" s="9">
        <v>0.36255826000000002</v>
      </c>
      <c r="F55" s="9">
        <v>0.36255826000000002</v>
      </c>
      <c r="G55" s="9">
        <v>0.36255826000000002</v>
      </c>
      <c r="H55" s="9">
        <v>0.36255826000000002</v>
      </c>
      <c r="I55" s="9">
        <v>0.36255826000000002</v>
      </c>
      <c r="J55" s="9">
        <v>0.36255826000000002</v>
      </c>
      <c r="K55" s="9">
        <v>0.36255826000000002</v>
      </c>
      <c r="L55" s="9">
        <v>0.36255826000000002</v>
      </c>
      <c r="M55" s="9">
        <v>0.36255826000000002</v>
      </c>
      <c r="N55" s="9">
        <v>0.36255826000000002</v>
      </c>
      <c r="O55" s="9">
        <v>0.36255826000000002</v>
      </c>
      <c r="P55" s="9">
        <v>0.36255826000000002</v>
      </c>
      <c r="Q55" s="9">
        <v>0.36255826000000002</v>
      </c>
      <c r="R55" s="9">
        <v>0.36255826000000002</v>
      </c>
      <c r="S55" s="9">
        <v>0.36255826000000002</v>
      </c>
      <c r="T55" s="9">
        <v>0.36255826000000002</v>
      </c>
      <c r="U55" s="9">
        <v>0.36255826000000002</v>
      </c>
      <c r="V55" s="9">
        <v>0.36255826000000002</v>
      </c>
      <c r="W55" s="9">
        <v>0.36255826000000002</v>
      </c>
      <c r="X55" s="9">
        <v>0.36255826000000002</v>
      </c>
      <c r="Y55" s="9">
        <v>0.36255826000000002</v>
      </c>
      <c r="Z55" s="9">
        <v>0.36255826000000002</v>
      </c>
      <c r="AA55" s="9">
        <v>0.36255826000000002</v>
      </c>
      <c r="AB55" s="9">
        <v>0.36255826000000002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4</v>
      </c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151</v>
      </c>
      <c r="B57" s="9">
        <v>1821</v>
      </c>
      <c r="C57" s="9">
        <v>2162.37264452</v>
      </c>
      <c r="D57" s="9">
        <v>2526.29275762</v>
      </c>
      <c r="E57" s="9">
        <v>2914.09616714</v>
      </c>
      <c r="F57" s="9">
        <v>3327.1939187399998</v>
      </c>
      <c r="G57" s="9">
        <v>3767.0765274700002</v>
      </c>
      <c r="H57" s="9">
        <v>4235.3184617899997</v>
      </c>
      <c r="I57" s="9">
        <v>4733.5828734200004</v>
      </c>
      <c r="J57" s="9">
        <v>5263.6265880499996</v>
      </c>
      <c r="K57" s="9">
        <v>5827.3086097699997</v>
      </c>
      <c r="L57" s="9">
        <v>6426.58288722</v>
      </c>
      <c r="M57" s="9">
        <v>7063.52311861</v>
      </c>
      <c r="N57" s="9">
        <v>7740.3166171599996</v>
      </c>
      <c r="O57" s="9">
        <v>8459.2733320400002</v>
      </c>
      <c r="P57" s="9">
        <v>9222.8337461899991</v>
      </c>
      <c r="Q57" s="9">
        <v>10033.575045670001</v>
      </c>
      <c r="R57" s="9">
        <v>10894.2197254</v>
      </c>
      <c r="S57" s="9">
        <v>11807.64317734</v>
      </c>
      <c r="T57" s="9">
        <v>12776.865702880001</v>
      </c>
      <c r="U57" s="9">
        <v>13805.12818234</v>
      </c>
      <c r="V57" s="9">
        <v>14895.8016916</v>
      </c>
      <c r="W57" s="9">
        <v>16052.464143499999</v>
      </c>
      <c r="X57" s="9">
        <v>17278.889791810001</v>
      </c>
      <c r="Y57" s="9">
        <v>18579.07594183</v>
      </c>
      <c r="Z57" s="9">
        <v>19956.77616478</v>
      </c>
      <c r="AA57" s="9">
        <v>21392.22906998</v>
      </c>
      <c r="AB57" s="9">
        <v>22890.003238050002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152</v>
      </c>
      <c r="B58" s="9">
        <v>5020348.23511275</v>
      </c>
      <c r="C58" s="9">
        <v>5961484.5517241396</v>
      </c>
      <c r="D58" s="9">
        <v>6881101.2857142799</v>
      </c>
      <c r="E58" s="9">
        <v>7558903.7274219999</v>
      </c>
      <c r="F58" s="9">
        <v>8075841.83251232</v>
      </c>
      <c r="G58" s="9">
        <v>8331469.6518883398</v>
      </c>
      <c r="H58" s="9">
        <v>8347910.8998357998</v>
      </c>
      <c r="I58" s="9">
        <v>8118774.6009852197</v>
      </c>
      <c r="J58" s="9">
        <v>7571986.3546797996</v>
      </c>
      <c r="K58" s="9">
        <v>6706843.2495894898</v>
      </c>
      <c r="L58" s="9">
        <v>5713523.9835796403</v>
      </c>
      <c r="M58" s="9">
        <v>4684820.8489326797</v>
      </c>
      <c r="N58" s="9">
        <v>3792858.3579638801</v>
      </c>
      <c r="O58" s="9">
        <v>3117877.7573891599</v>
      </c>
      <c r="P58" s="9">
        <v>2591196.8534482801</v>
      </c>
      <c r="Q58" s="9">
        <v>2189112.7803776702</v>
      </c>
      <c r="R58" s="9">
        <v>1878058.9232348099</v>
      </c>
      <c r="S58" s="9">
        <v>1632377.6190476201</v>
      </c>
      <c r="T58" s="9">
        <v>1428797.4248768501</v>
      </c>
      <c r="U58" s="9">
        <v>1251500.13690476</v>
      </c>
      <c r="V58" s="9">
        <v>1104697.4254926101</v>
      </c>
      <c r="W58" s="9">
        <v>990286.51149425004</v>
      </c>
      <c r="X58" s="9">
        <v>909848.94540229999</v>
      </c>
      <c r="Y58" s="9">
        <v>854829.54064039001</v>
      </c>
      <c r="Z58" s="9">
        <v>887303.90414613998</v>
      </c>
      <c r="AA58" s="9">
        <v>908702.01642035996</v>
      </c>
      <c r="AB58" s="9">
        <v>928744.08559112996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153</v>
      </c>
      <c r="B59" s="9">
        <v>911120.86995328998</v>
      </c>
      <c r="C59" s="9">
        <v>1081923.5832159</v>
      </c>
      <c r="D59" s="9">
        <v>1264007.7183306699</v>
      </c>
      <c r="E59" s="9">
        <v>1458041.64466103</v>
      </c>
      <c r="F59" s="9">
        <v>1664731.36614316</v>
      </c>
      <c r="G59" s="9">
        <v>1884822.6484847199</v>
      </c>
      <c r="H59" s="9">
        <v>2119103.26273133</v>
      </c>
      <c r="I59" s="9">
        <v>2368405.35179734</v>
      </c>
      <c r="J59" s="9">
        <v>2633607.9275200898</v>
      </c>
      <c r="K59" s="9">
        <v>2915641.1257656901</v>
      </c>
      <c r="L59" s="9">
        <v>3215482.5870567299</v>
      </c>
      <c r="M59" s="9">
        <v>3534169.86752288</v>
      </c>
      <c r="N59" s="9">
        <v>3872797.3695458402</v>
      </c>
      <c r="O59" s="9">
        <v>4232520.8552769003</v>
      </c>
      <c r="P59" s="9">
        <v>4614561.3982775696</v>
      </c>
      <c r="Q59" s="9">
        <v>5020208.4702644199</v>
      </c>
      <c r="R59" s="9">
        <v>5450824.2469337704</v>
      </c>
      <c r="S59" s="9">
        <v>5907847.4046313399</v>
      </c>
      <c r="T59" s="9">
        <v>6392789.1238259003</v>
      </c>
      <c r="U59" s="9">
        <v>6907270.9496491104</v>
      </c>
      <c r="V59" s="9">
        <v>7452979.5694151204</v>
      </c>
      <c r="W59" s="9">
        <v>8031705.1594293499</v>
      </c>
      <c r="X59" s="9">
        <v>8645336.13340942</v>
      </c>
      <c r="Y59" s="9">
        <v>9295872.5068908203</v>
      </c>
      <c r="Z59" s="9">
        <v>9985192.3452611696</v>
      </c>
      <c r="AA59" s="9">
        <v>10703408.215531699</v>
      </c>
      <c r="AB59" s="9">
        <v>11452805.965672299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154</v>
      </c>
      <c r="B60" s="9">
        <v>289.76101268000002</v>
      </c>
      <c r="C60" s="9">
        <v>344.08088263000002</v>
      </c>
      <c r="D60" s="9">
        <v>401.98854901999999</v>
      </c>
      <c r="E60" s="9">
        <v>463.69657135</v>
      </c>
      <c r="F60" s="9">
        <v>529.42947790999995</v>
      </c>
      <c r="G60" s="9">
        <v>599.42444230000001</v>
      </c>
      <c r="H60" s="9">
        <v>673.93199698000001</v>
      </c>
      <c r="I60" s="9">
        <v>753.21678583000005</v>
      </c>
      <c r="J60" s="9">
        <v>837.55835833000003</v>
      </c>
      <c r="K60" s="9">
        <v>927.25252276000003</v>
      </c>
      <c r="L60" s="9">
        <v>1022.6101952</v>
      </c>
      <c r="M60" s="9">
        <v>1123.9613464700001</v>
      </c>
      <c r="N60" s="9">
        <v>1231.6540260500001</v>
      </c>
      <c r="O60" s="9">
        <v>1346.0557974799999</v>
      </c>
      <c r="P60" s="9">
        <v>1467.5549950899999</v>
      </c>
      <c r="Q60" s="9">
        <v>1596.5617056599999</v>
      </c>
      <c r="R60" s="9">
        <v>1733.50913782</v>
      </c>
      <c r="S60" s="9">
        <v>1878.85482944</v>
      </c>
      <c r="T60" s="9">
        <v>2033.0793766700001</v>
      </c>
      <c r="U60" s="9">
        <v>2196.6984746100002</v>
      </c>
      <c r="V60" s="9">
        <v>2370.24853532</v>
      </c>
      <c r="W60" s="9">
        <v>2554.2988831399998</v>
      </c>
      <c r="X60" s="9">
        <v>2749.4500845799998</v>
      </c>
      <c r="Y60" s="9">
        <v>2956.3381985300002</v>
      </c>
      <c r="Z60" s="9">
        <v>3175.5605004399999</v>
      </c>
      <c r="AA60" s="9">
        <v>3403.9725199099998</v>
      </c>
      <c r="AB60" s="9">
        <v>3642.3012182699999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155</v>
      </c>
      <c r="B61" s="9">
        <v>584608521.64497495</v>
      </c>
      <c r="C61" s="9">
        <v>694201777.91999996</v>
      </c>
      <c r="D61" s="9">
        <v>801289126.08000004</v>
      </c>
      <c r="E61" s="9">
        <v>880217731.20000005</v>
      </c>
      <c r="F61" s="9">
        <v>940414037.75999999</v>
      </c>
      <c r="G61" s="9">
        <v>970181335.67999995</v>
      </c>
      <c r="H61" s="9">
        <v>972095882.88</v>
      </c>
      <c r="I61" s="9">
        <v>945413464.32000005</v>
      </c>
      <c r="J61" s="9">
        <v>881741174.39999998</v>
      </c>
      <c r="K61" s="9">
        <v>780997160.63999999</v>
      </c>
      <c r="L61" s="9">
        <v>665327314.55999994</v>
      </c>
      <c r="M61" s="9">
        <v>545537094.72000003</v>
      </c>
      <c r="N61" s="9">
        <v>441670022.39999998</v>
      </c>
      <c r="O61" s="9">
        <v>363070014.48000002</v>
      </c>
      <c r="P61" s="9">
        <v>301739180.39999998</v>
      </c>
      <c r="Q61" s="9">
        <v>254917373.52000001</v>
      </c>
      <c r="R61" s="9">
        <v>218695835.28</v>
      </c>
      <c r="S61" s="9">
        <v>190086787.19999999</v>
      </c>
      <c r="T61" s="9">
        <v>166380320.88</v>
      </c>
      <c r="U61" s="9">
        <v>145734441.24000001</v>
      </c>
      <c r="V61" s="9">
        <v>128639588.04000001</v>
      </c>
      <c r="W61" s="9">
        <v>115316688.48</v>
      </c>
      <c r="X61" s="9">
        <v>105949910.64</v>
      </c>
      <c r="Y61" s="9">
        <v>99543021.840000004</v>
      </c>
      <c r="Z61" s="9">
        <v>103324590.12</v>
      </c>
      <c r="AA61" s="9">
        <v>105816353.28</v>
      </c>
      <c r="AB61" s="9">
        <v>108150208.2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156</v>
      </c>
      <c r="B62" s="9">
        <v>0</v>
      </c>
      <c r="C62" s="9">
        <v>952171.691184</v>
      </c>
      <c r="D62" s="9">
        <v>2198106.7942320001</v>
      </c>
      <c r="E62" s="9">
        <v>3621937.1617200002</v>
      </c>
      <c r="F62" s="9">
        <v>5159512.1374080004</v>
      </c>
      <c r="G62" s="9">
        <v>6653535.2726800004</v>
      </c>
      <c r="H62" s="9">
        <v>7999998.3598560002</v>
      </c>
      <c r="I62" s="9">
        <v>9077146.9632479995</v>
      </c>
      <c r="J62" s="9">
        <v>9675215.6150400005</v>
      </c>
      <c r="K62" s="9">
        <v>9640987.2434519995</v>
      </c>
      <c r="L62" s="9">
        <v>9125672.8871199992</v>
      </c>
      <c r="M62" s="9">
        <v>8230884.6514839996</v>
      </c>
      <c r="N62" s="9">
        <v>7269569.8377599996</v>
      </c>
      <c r="O62" s="9">
        <v>6473859.6314730002</v>
      </c>
      <c r="P62" s="9">
        <v>5794144.0193699999</v>
      </c>
      <c r="Q62" s="9">
        <v>5244695.0089349998</v>
      </c>
      <c r="R62" s="9">
        <v>4799434.1692960002</v>
      </c>
      <c r="S62" s="9">
        <v>4432312.7334799999</v>
      </c>
      <c r="T62" s="9">
        <v>4107750.020118</v>
      </c>
      <c r="U62" s="9">
        <v>3797915.9115745001</v>
      </c>
      <c r="V62" s="9">
        <v>3528857.9774099998</v>
      </c>
      <c r="W62" s="9">
        <v>3321551.5797660002</v>
      </c>
      <c r="X62" s="9">
        <v>3197074.9624660001</v>
      </c>
      <c r="Y62" s="9">
        <v>3140278.7499389998</v>
      </c>
      <c r="Z62" s="9">
        <v>3401296.3784759999</v>
      </c>
      <c r="AA62" s="9">
        <v>3628460.0263999999</v>
      </c>
      <c r="AB62" s="9">
        <v>3856827.8242649999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157</v>
      </c>
      <c r="B63" s="9">
        <v>0</v>
      </c>
      <c r="C63" s="9">
        <v>6.6430400000000002E-3</v>
      </c>
      <c r="D63" s="9">
        <v>6.7406599999999999E-3</v>
      </c>
      <c r="E63" s="9">
        <v>6.8328499999999997E-3</v>
      </c>
      <c r="F63" s="9">
        <v>6.9199800000000001E-3</v>
      </c>
      <c r="G63" s="9">
        <v>7.0023899999999998E-3</v>
      </c>
      <c r="H63" s="9">
        <v>7.0803999999999997E-3</v>
      </c>
      <c r="I63" s="9">
        <v>7.1542899999999998E-3</v>
      </c>
      <c r="J63" s="9">
        <v>7.2243200000000002E-3</v>
      </c>
      <c r="K63" s="9">
        <v>7.2907299999999996E-3</v>
      </c>
      <c r="L63" s="9">
        <v>7.3537899999999998E-3</v>
      </c>
      <c r="M63" s="9">
        <v>7.4136499999999999E-3</v>
      </c>
      <c r="N63" s="9">
        <v>7.4705400000000003E-3</v>
      </c>
      <c r="O63" s="9">
        <v>7.5246100000000002E-3</v>
      </c>
      <c r="P63" s="9">
        <v>7.57605E-3</v>
      </c>
      <c r="Q63" s="9">
        <v>7.6249899999999999E-3</v>
      </c>
      <c r="R63" s="9">
        <v>7.6715899999999998E-3</v>
      </c>
      <c r="S63" s="9">
        <v>7.7159799999999999E-3</v>
      </c>
      <c r="T63" s="9">
        <v>7.7582800000000002E-3</v>
      </c>
      <c r="U63" s="9">
        <v>7.7986100000000001E-3</v>
      </c>
      <c r="V63" s="9">
        <v>7.8370699999999998E-3</v>
      </c>
      <c r="W63" s="9">
        <v>7.8737700000000004E-3</v>
      </c>
      <c r="X63" s="9">
        <v>7.9087900000000006E-3</v>
      </c>
      <c r="Y63" s="9">
        <v>7.9422399999999997E-3</v>
      </c>
      <c r="Z63" s="9">
        <v>7.9748900000000001E-3</v>
      </c>
      <c r="AA63" s="9">
        <v>8.0431500000000006E-3</v>
      </c>
      <c r="AB63" s="9">
        <v>8.1054100000000004E-3</v>
      </c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158</v>
      </c>
      <c r="B64" s="9">
        <v>0</v>
      </c>
      <c r="C64" s="9">
        <v>6.6430400000000002E-3</v>
      </c>
      <c r="D64" s="9">
        <v>6.7406599999999999E-3</v>
      </c>
      <c r="E64" s="9">
        <v>6.8328499999999997E-3</v>
      </c>
      <c r="F64" s="9">
        <v>6.9199800000000001E-3</v>
      </c>
      <c r="G64" s="9">
        <v>7.0023899999999998E-3</v>
      </c>
      <c r="H64" s="9">
        <v>7.0803999999999997E-3</v>
      </c>
      <c r="I64" s="9">
        <v>7.1542899999999998E-3</v>
      </c>
      <c r="J64" s="9">
        <v>7.2243200000000002E-3</v>
      </c>
      <c r="K64" s="9">
        <v>7.2907299999999996E-3</v>
      </c>
      <c r="L64" s="9">
        <v>7.3537899999999998E-3</v>
      </c>
      <c r="M64" s="9">
        <v>7.4136499999999999E-3</v>
      </c>
      <c r="N64" s="9">
        <v>7.4705400000000003E-3</v>
      </c>
      <c r="O64" s="9">
        <v>7.5246100000000002E-3</v>
      </c>
      <c r="P64" s="9">
        <v>7.57605E-3</v>
      </c>
      <c r="Q64" s="9">
        <v>7.6249899999999999E-3</v>
      </c>
      <c r="R64" s="9">
        <v>7.6715899999999998E-3</v>
      </c>
      <c r="S64" s="9">
        <v>7.7159799999999999E-3</v>
      </c>
      <c r="T64" s="9">
        <v>7.7581799999999999E-3</v>
      </c>
      <c r="U64" s="9">
        <v>7.7986100000000001E-3</v>
      </c>
      <c r="V64" s="9">
        <v>7.8370699999999998E-3</v>
      </c>
      <c r="W64" s="9">
        <v>7.8737700000000004E-3</v>
      </c>
      <c r="X64" s="9">
        <v>7.9087700000000007E-3</v>
      </c>
      <c r="Y64" s="9">
        <v>7.9422299999999998E-3</v>
      </c>
      <c r="Z64" s="9">
        <v>7.9747800000000008E-3</v>
      </c>
      <c r="AA64" s="9">
        <v>8.0431500000000006E-3</v>
      </c>
      <c r="AB64" s="9">
        <v>8.1053600000000007E-3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159</v>
      </c>
      <c r="B65" s="9">
        <v>1</v>
      </c>
      <c r="C65" s="9">
        <v>6.6430400000000002E-3</v>
      </c>
      <c r="D65" s="9">
        <v>6.7406599999999999E-3</v>
      </c>
      <c r="E65" s="9">
        <v>6.8328499999999997E-3</v>
      </c>
      <c r="F65" s="9">
        <v>6.9199800000000001E-3</v>
      </c>
      <c r="G65" s="9">
        <v>7.0023899999999998E-3</v>
      </c>
      <c r="H65" s="9">
        <v>7.0803999999999997E-3</v>
      </c>
      <c r="I65" s="9">
        <v>7.1542899999999998E-3</v>
      </c>
      <c r="J65" s="9">
        <v>7.2243200000000002E-3</v>
      </c>
      <c r="K65" s="9">
        <v>7.2907299999999996E-3</v>
      </c>
      <c r="L65" s="9">
        <v>7.3537899999999998E-3</v>
      </c>
      <c r="M65" s="9">
        <v>7.4136499999999999E-3</v>
      </c>
      <c r="N65" s="9">
        <v>7.4705400000000003E-3</v>
      </c>
      <c r="O65" s="9">
        <v>7.5246100000000002E-3</v>
      </c>
      <c r="P65" s="9">
        <v>7.57605E-3</v>
      </c>
      <c r="Q65" s="9">
        <v>7.6249899999999999E-3</v>
      </c>
      <c r="R65" s="9">
        <v>7.6715899999999998E-3</v>
      </c>
      <c r="S65" s="9">
        <v>7.7159799999999999E-3</v>
      </c>
      <c r="T65" s="9">
        <v>7.7582800000000002E-3</v>
      </c>
      <c r="U65" s="9">
        <v>7.7986100000000001E-3</v>
      </c>
      <c r="V65" s="9">
        <v>7.8370699999999998E-3</v>
      </c>
      <c r="W65" s="9">
        <v>7.8737700000000004E-3</v>
      </c>
      <c r="X65" s="9">
        <v>7.9087900000000006E-3</v>
      </c>
      <c r="Y65" s="9">
        <v>7.9422399999999997E-3</v>
      </c>
      <c r="Z65" s="9">
        <v>7.9748900000000001E-3</v>
      </c>
      <c r="AA65" s="9">
        <v>8.0431500000000006E-3</v>
      </c>
      <c r="AB65" s="9">
        <v>8.1054100000000004E-3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160</v>
      </c>
      <c r="B66" s="9">
        <v>0.97142857000000005</v>
      </c>
      <c r="C66" s="9">
        <v>0.97142857000000005</v>
      </c>
      <c r="D66" s="9">
        <v>0.97142857000000005</v>
      </c>
      <c r="E66" s="9">
        <v>0.97142857000000005</v>
      </c>
      <c r="F66" s="9">
        <v>0.97142857000000005</v>
      </c>
      <c r="G66" s="9">
        <v>0.97142857000000005</v>
      </c>
      <c r="H66" s="9">
        <v>0.97142857000000005</v>
      </c>
      <c r="I66" s="9">
        <v>0.97142857000000005</v>
      </c>
      <c r="J66" s="9">
        <v>0.97142857000000005</v>
      </c>
      <c r="K66" s="9">
        <v>0.97142857000000005</v>
      </c>
      <c r="L66" s="9">
        <v>0.97142857000000005</v>
      </c>
      <c r="M66" s="9">
        <v>0.97142857000000005</v>
      </c>
      <c r="N66" s="9">
        <v>0.97142857000000005</v>
      </c>
      <c r="O66" s="9">
        <v>0.97142857000000005</v>
      </c>
      <c r="P66" s="9">
        <v>0.97142857000000005</v>
      </c>
      <c r="Q66" s="9">
        <v>0.97142857000000005</v>
      </c>
      <c r="R66" s="9">
        <v>0.97142857000000005</v>
      </c>
      <c r="S66" s="9">
        <v>0.97142857000000005</v>
      </c>
      <c r="T66" s="9">
        <v>0.97142857000000005</v>
      </c>
      <c r="U66" s="9">
        <v>0.97142857000000005</v>
      </c>
      <c r="V66" s="9">
        <v>0.97142857000000005</v>
      </c>
      <c r="W66" s="9">
        <v>0.97142857000000005</v>
      </c>
      <c r="X66" s="9">
        <v>0.97142857000000005</v>
      </c>
      <c r="Y66" s="9">
        <v>0.97142857000000005</v>
      </c>
      <c r="Z66" s="9">
        <v>0.97142857000000005</v>
      </c>
      <c r="AA66" s="9">
        <v>0.97142857000000005</v>
      </c>
      <c r="AB66" s="9">
        <v>0.97142857000000005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161</v>
      </c>
      <c r="B67" s="9">
        <v>0.31450128999999999</v>
      </c>
      <c r="C67" s="9">
        <v>0.31450128999999999</v>
      </c>
      <c r="D67" s="9">
        <v>0.31450128999999999</v>
      </c>
      <c r="E67" s="9">
        <v>0.31450128999999999</v>
      </c>
      <c r="F67" s="9">
        <v>0.31450128999999999</v>
      </c>
      <c r="G67" s="9">
        <v>0.31450128999999999</v>
      </c>
      <c r="H67" s="9">
        <v>0.31450128999999999</v>
      </c>
      <c r="I67" s="9">
        <v>0.31450128999999999</v>
      </c>
      <c r="J67" s="9">
        <v>0.31450128999999999</v>
      </c>
      <c r="K67" s="9">
        <v>0.31450128999999999</v>
      </c>
      <c r="L67" s="9">
        <v>0.31450128999999999</v>
      </c>
      <c r="M67" s="9">
        <v>0.31450128999999999</v>
      </c>
      <c r="N67" s="9">
        <v>0.31450128999999999</v>
      </c>
      <c r="O67" s="9">
        <v>0.31450128999999999</v>
      </c>
      <c r="P67" s="9">
        <v>0.31450128999999999</v>
      </c>
      <c r="Q67" s="9">
        <v>0.31450128999999999</v>
      </c>
      <c r="R67" s="9">
        <v>0.31450128999999999</v>
      </c>
      <c r="S67" s="9">
        <v>0.31450128999999999</v>
      </c>
      <c r="T67" s="9">
        <v>0.31450128999999999</v>
      </c>
      <c r="U67" s="9">
        <v>0.31450128999999999</v>
      </c>
      <c r="V67" s="9">
        <v>0.31450128999999999</v>
      </c>
      <c r="W67" s="9">
        <v>0.31450128999999999</v>
      </c>
      <c r="X67" s="9">
        <v>0.31450128999999999</v>
      </c>
      <c r="Y67" s="9">
        <v>0.31450128999999999</v>
      </c>
      <c r="Z67" s="9">
        <v>0.31450128999999999</v>
      </c>
      <c r="AA67" s="9">
        <v>0.31450128999999999</v>
      </c>
      <c r="AB67" s="9">
        <v>0.31450128999999999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162</v>
      </c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163</v>
      </c>
      <c r="B69" s="9">
        <v>0</v>
      </c>
      <c r="C69" s="9">
        <v>79.336145439999996</v>
      </c>
      <c r="D69" s="9">
        <v>164.27651943000001</v>
      </c>
      <c r="E69" s="9">
        <v>255.15934615</v>
      </c>
      <c r="F69" s="9">
        <v>352.34199847000002</v>
      </c>
      <c r="G69" s="9">
        <v>456.20208783999999</v>
      </c>
      <c r="H69" s="9">
        <v>567.13864106999995</v>
      </c>
      <c r="I69" s="9">
        <v>685.57323278000001</v>
      </c>
      <c r="J69" s="9">
        <v>811.59791508000001</v>
      </c>
      <c r="K69" s="9">
        <v>946.74455737000005</v>
      </c>
      <c r="L69" s="9">
        <v>1090.4484676699999</v>
      </c>
      <c r="M69" s="9">
        <v>1243.6575966400001</v>
      </c>
      <c r="N69" s="9">
        <v>1406.72247343</v>
      </c>
      <c r="O69" s="9">
        <v>1580.49325316</v>
      </c>
      <c r="P69" s="9">
        <v>1765.3442751499999</v>
      </c>
      <c r="Q69" s="9">
        <v>1962.1074011600001</v>
      </c>
      <c r="R69" s="9">
        <v>2171.4151572999999</v>
      </c>
      <c r="S69" s="9">
        <v>2393.99810239</v>
      </c>
      <c r="T69" s="9">
        <v>2630.6226284700001</v>
      </c>
      <c r="U69" s="9">
        <v>2882.1152814699999</v>
      </c>
      <c r="V69" s="9">
        <v>3149.3316509000001</v>
      </c>
      <c r="W69" s="9">
        <v>3433.1798770800001</v>
      </c>
      <c r="X69" s="9">
        <v>3734.6438827500001</v>
      </c>
      <c r="Y69" s="9">
        <v>4057.3101806999998</v>
      </c>
      <c r="Z69" s="9">
        <v>4394.3733762299998</v>
      </c>
      <c r="AA69" s="9">
        <v>4749.3257814400004</v>
      </c>
      <c r="AB69" s="9">
        <v>5118.1349762099999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164</v>
      </c>
      <c r="B70" s="9">
        <v>0</v>
      </c>
      <c r="C70" s="9">
        <v>63.442860230000001</v>
      </c>
      <c r="D70" s="9">
        <v>131.36725401999999</v>
      </c>
      <c r="E70" s="9">
        <v>204.04366965</v>
      </c>
      <c r="F70" s="9">
        <v>281.75787233</v>
      </c>
      <c r="G70" s="9">
        <v>364.81182546000002</v>
      </c>
      <c r="H70" s="9">
        <v>453.52463625000001</v>
      </c>
      <c r="I70" s="9">
        <v>548.23339773999999</v>
      </c>
      <c r="J70" s="9">
        <v>648.34911838999994</v>
      </c>
      <c r="K70" s="9">
        <v>757.08468773000004</v>
      </c>
      <c r="L70" s="9">
        <v>872.00058028000001</v>
      </c>
      <c r="M70" s="9">
        <v>994.51764807999996</v>
      </c>
      <c r="N70" s="9">
        <v>1124.91595188</v>
      </c>
      <c r="O70" s="9">
        <v>1263.8755834900001</v>
      </c>
      <c r="P70" s="9">
        <v>1411.6955412100001</v>
      </c>
      <c r="Q70" s="9">
        <v>1569.0414696299999</v>
      </c>
      <c r="R70" s="9">
        <v>1736.4189228600001</v>
      </c>
      <c r="S70" s="9">
        <v>1914.4120360100001</v>
      </c>
      <c r="T70" s="9">
        <v>2103.6341314199999</v>
      </c>
      <c r="U70" s="9">
        <v>2304.7456800300001</v>
      </c>
      <c r="V70" s="9">
        <v>2518.4307759100002</v>
      </c>
      <c r="W70" s="9">
        <v>2745.4125595700002</v>
      </c>
      <c r="X70" s="9">
        <v>2986.4885550600002</v>
      </c>
      <c r="Y70" s="9">
        <v>3244.5155969399998</v>
      </c>
      <c r="Z70" s="9">
        <v>3513.8870033799999</v>
      </c>
      <c r="AA70" s="9">
        <v>3797.8992721499999</v>
      </c>
      <c r="AB70" s="9">
        <v>4092.6434616800002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165</v>
      </c>
      <c r="B71" s="9">
        <v>0</v>
      </c>
      <c r="C71" s="9">
        <v>19997.74809587</v>
      </c>
      <c r="D71" s="9">
        <v>41408.117765989999</v>
      </c>
      <c r="E71" s="9">
        <v>64316.362992529997</v>
      </c>
      <c r="F71" s="9">
        <v>88812.564432910003</v>
      </c>
      <c r="G71" s="9">
        <v>114991.90416470999</v>
      </c>
      <c r="H71" s="9">
        <v>142954.96228427999</v>
      </c>
      <c r="I71" s="9">
        <v>172808.00238014001</v>
      </c>
      <c r="J71" s="9">
        <v>204574.22742725001</v>
      </c>
      <c r="K71" s="9">
        <v>238639.76582028001</v>
      </c>
      <c r="L71" s="9">
        <v>274862.27930969</v>
      </c>
      <c r="M71" s="9">
        <v>313480.71167883999</v>
      </c>
      <c r="N71" s="9">
        <v>354583.41853674001</v>
      </c>
      <c r="O71" s="9">
        <v>398384.69297618</v>
      </c>
      <c r="P71" s="9">
        <v>444978.89228322997</v>
      </c>
      <c r="Q71" s="9">
        <v>494575.69846136001</v>
      </c>
      <c r="R71" s="9">
        <v>547334.54827154998</v>
      </c>
      <c r="S71" s="9">
        <v>603439.58893629001</v>
      </c>
      <c r="T71" s="9">
        <v>663083.99993563001</v>
      </c>
      <c r="U71" s="9">
        <v>726476.12334322999</v>
      </c>
      <c r="V71" s="9">
        <v>793831.62206729001</v>
      </c>
      <c r="W71" s="9">
        <v>865379.40514731</v>
      </c>
      <c r="X71" s="9">
        <v>941367.48361762997</v>
      </c>
      <c r="Y71" s="9">
        <v>1022699.88651526</v>
      </c>
      <c r="Z71" s="9">
        <v>1107661.22209371</v>
      </c>
      <c r="AA71" s="9">
        <v>1197131.7748408001</v>
      </c>
      <c r="AB71" s="9">
        <v>1290095.1187406599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166</v>
      </c>
      <c r="B72" s="9">
        <v>0</v>
      </c>
      <c r="C72" s="9">
        <v>4.0290077599999998</v>
      </c>
      <c r="D72" s="9">
        <v>8.3426207300000002</v>
      </c>
      <c r="E72" s="9">
        <v>12.9580153</v>
      </c>
      <c r="F72" s="9">
        <v>17.89334028</v>
      </c>
      <c r="G72" s="9">
        <v>23.167772299999999</v>
      </c>
      <c r="H72" s="9">
        <v>28.801575549999999</v>
      </c>
      <c r="I72" s="9">
        <v>34.816159280000001</v>
      </c>
      <c r="J72" s="9">
        <v>41.216198259999999</v>
      </c>
      <c r="K72" s="9">
        <v>48.079486959999997</v>
      </c>
      <c r="L72" s="9">
        <v>55.377348069999996</v>
      </c>
      <c r="M72" s="9">
        <v>63.157922309999996</v>
      </c>
      <c r="N72" s="9">
        <v>71.439010969999998</v>
      </c>
      <c r="O72" s="9">
        <v>80.263788329999997</v>
      </c>
      <c r="P72" s="9">
        <v>89.651264850000004</v>
      </c>
      <c r="Q72" s="9">
        <v>99.643685809999994</v>
      </c>
      <c r="R72" s="9">
        <v>110.27317341</v>
      </c>
      <c r="S72" s="9">
        <v>121.57682835999999</v>
      </c>
      <c r="T72" s="9">
        <v>133.59357112999999</v>
      </c>
      <c r="U72" s="9">
        <v>146.36537704</v>
      </c>
      <c r="V72" s="9">
        <v>159.93569635</v>
      </c>
      <c r="W72" s="9">
        <v>174.35064808000001</v>
      </c>
      <c r="X72" s="9">
        <v>189.66019976000001</v>
      </c>
      <c r="Y72" s="9">
        <v>206.04648890000001</v>
      </c>
      <c r="Z72" s="9">
        <v>223.16391027</v>
      </c>
      <c r="AA72" s="9">
        <v>241.18981747999999</v>
      </c>
      <c r="AB72" s="9">
        <v>259.91942805000002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167</v>
      </c>
      <c r="B73" s="9">
        <v>0</v>
      </c>
      <c r="C73" s="9">
        <v>1484.95664687</v>
      </c>
      <c r="D73" s="9">
        <v>3074.8089907600001</v>
      </c>
      <c r="E73" s="9">
        <v>4775.8881360799996</v>
      </c>
      <c r="F73" s="9">
        <v>6594.8827621800001</v>
      </c>
      <c r="G73" s="9">
        <v>8538.8606863900004</v>
      </c>
      <c r="H73" s="9">
        <v>10615.29099825</v>
      </c>
      <c r="I73" s="9">
        <v>12832.063766130001</v>
      </c>
      <c r="J73" s="9">
        <v>15175.392933409999</v>
      </c>
      <c r="K73" s="9">
        <v>17720.480053679999</v>
      </c>
      <c r="L73" s="9">
        <v>20410.22509122</v>
      </c>
      <c r="M73" s="9">
        <v>23277.884801259999</v>
      </c>
      <c r="N73" s="9">
        <v>26330.01434374</v>
      </c>
      <c r="O73" s="9">
        <v>29582.532087240001</v>
      </c>
      <c r="P73" s="9">
        <v>33042.436447560001</v>
      </c>
      <c r="Q73" s="9">
        <v>36725.307639309998</v>
      </c>
      <c r="R73" s="9">
        <v>40642.978765799999</v>
      </c>
      <c r="S73" s="9">
        <v>44809.12221365</v>
      </c>
      <c r="T73" s="9">
        <v>49238.093531819999</v>
      </c>
      <c r="U73" s="9">
        <v>53945.351839260002</v>
      </c>
      <c r="V73" s="9">
        <v>58946.90918232</v>
      </c>
      <c r="W73" s="9">
        <v>64259.691536929997</v>
      </c>
      <c r="X73" s="9">
        <v>69902.365914869995</v>
      </c>
      <c r="Y73" s="9">
        <v>75941.799974309994</v>
      </c>
      <c r="Z73" s="9">
        <v>82246.762566000005</v>
      </c>
      <c r="AA73" s="9">
        <v>88894.412195230005</v>
      </c>
      <c r="AB73" s="9">
        <v>95793.255371160005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168</v>
      </c>
      <c r="B74" s="9">
        <v>0</v>
      </c>
      <c r="C74" s="9">
        <v>0.38618143999999999</v>
      </c>
      <c r="D74" s="9">
        <v>1.5992846000000001</v>
      </c>
      <c r="E74" s="9">
        <v>3.72608724</v>
      </c>
      <c r="F74" s="9">
        <v>6.8603249799999997</v>
      </c>
      <c r="G74" s="9">
        <v>11.103184349999999</v>
      </c>
      <c r="H74" s="9">
        <v>16.563830299999999</v>
      </c>
      <c r="I74" s="9">
        <v>23.3599639</v>
      </c>
      <c r="J74" s="9">
        <v>31.572396640000001</v>
      </c>
      <c r="K74" s="9">
        <v>41.475880109999999</v>
      </c>
      <c r="L74" s="9">
        <v>53.079327569999997</v>
      </c>
      <c r="M74" s="9">
        <v>66.590736440000001</v>
      </c>
      <c r="N74" s="9">
        <v>82.169370499999999</v>
      </c>
      <c r="O74" s="9">
        <v>100.01296778</v>
      </c>
      <c r="P74" s="9">
        <v>120.30334894000001</v>
      </c>
      <c r="Q74" s="9">
        <v>143.26309183000001</v>
      </c>
      <c r="R74" s="9">
        <v>169.11538985999999</v>
      </c>
      <c r="S74" s="9">
        <v>198.10387741</v>
      </c>
      <c r="T74" s="9">
        <v>230.48960955000001</v>
      </c>
      <c r="U74" s="9">
        <v>266.55402759999998</v>
      </c>
      <c r="V74" s="9">
        <v>306.59753018999999</v>
      </c>
      <c r="W74" s="9">
        <v>350.94216369999998</v>
      </c>
      <c r="X74" s="9">
        <v>399.93754287000002</v>
      </c>
      <c r="Y74" s="9">
        <v>454.24100988999999</v>
      </c>
      <c r="Z74" s="9">
        <v>513.34303261000002</v>
      </c>
      <c r="AA74" s="9">
        <v>577.95242372999996</v>
      </c>
      <c r="AB74" s="9">
        <v>647.71789881999996</v>
      </c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169</v>
      </c>
      <c r="B75" s="9">
        <v>0</v>
      </c>
      <c r="C75" s="9">
        <v>8.1971800000000001E-3</v>
      </c>
      <c r="D75" s="9">
        <v>8.2782800000000007E-3</v>
      </c>
      <c r="E75" s="9">
        <v>8.3549100000000001E-3</v>
      </c>
      <c r="F75" s="9">
        <v>8.42737E-3</v>
      </c>
      <c r="G75" s="9">
        <v>8.4959400000000004E-3</v>
      </c>
      <c r="H75" s="9">
        <v>8.5608799999999999E-3</v>
      </c>
      <c r="I75" s="9">
        <v>8.6224200000000004E-3</v>
      </c>
      <c r="J75" s="9">
        <v>8.6807800000000008E-3</v>
      </c>
      <c r="K75" s="9">
        <v>8.7359199999999994E-3</v>
      </c>
      <c r="L75" s="9">
        <v>8.7887399999999997E-3</v>
      </c>
      <c r="M75" s="9">
        <v>8.8386999999999997E-3</v>
      </c>
      <c r="N75" s="9">
        <v>8.8862200000000002E-3</v>
      </c>
      <c r="O75" s="9">
        <v>8.9313499999999994E-3</v>
      </c>
      <c r="P75" s="9">
        <v>8.9743600000000007E-3</v>
      </c>
      <c r="Q75" s="9">
        <v>9.0152500000000007E-3</v>
      </c>
      <c r="R75" s="9">
        <v>9.0542299999999999E-3</v>
      </c>
      <c r="S75" s="9">
        <v>9.0913699999999997E-3</v>
      </c>
      <c r="T75" s="9">
        <v>9.1267699999999993E-3</v>
      </c>
      <c r="U75" s="9">
        <v>9.16054E-3</v>
      </c>
      <c r="V75" s="9">
        <v>9.1927599999999995E-3</v>
      </c>
      <c r="W75" s="9">
        <v>9.2235200000000007E-3</v>
      </c>
      <c r="X75" s="9">
        <v>9.2528799999999998E-3</v>
      </c>
      <c r="Y75" s="9">
        <v>9.2809299999999997E-3</v>
      </c>
      <c r="Z75" s="9">
        <v>9.3088200000000006E-3</v>
      </c>
      <c r="AA75" s="9">
        <v>9.3531199999999995E-3</v>
      </c>
      <c r="AB75" s="9">
        <v>9.3949099999999994E-3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170</v>
      </c>
      <c r="B76" s="9">
        <v>0</v>
      </c>
      <c r="C76" s="9">
        <v>1.33968E-3</v>
      </c>
      <c r="D76" s="9">
        <v>1.4287099999999999E-3</v>
      </c>
      <c r="E76" s="9">
        <v>1.51271E-3</v>
      </c>
      <c r="F76" s="9">
        <v>1.5920299999999999E-3</v>
      </c>
      <c r="G76" s="9">
        <v>1.6670000000000001E-3</v>
      </c>
      <c r="H76" s="9">
        <v>1.7379100000000001E-3</v>
      </c>
      <c r="I76" s="9">
        <v>1.8050399999999999E-3</v>
      </c>
      <c r="J76" s="9">
        <v>1.8648E-3</v>
      </c>
      <c r="K76" s="9">
        <v>1.9322899999999999E-3</v>
      </c>
      <c r="L76" s="9">
        <v>1.9861200000000001E-3</v>
      </c>
      <c r="M76" s="9">
        <v>2.04104E-3</v>
      </c>
      <c r="N76" s="9">
        <v>2.0914499999999999E-3</v>
      </c>
      <c r="O76" s="9">
        <v>2.1414799999999999E-3</v>
      </c>
      <c r="P76" s="9">
        <v>2.1872100000000002E-3</v>
      </c>
      <c r="Q76" s="9">
        <v>2.2319699999999998E-3</v>
      </c>
      <c r="R76" s="9">
        <v>2.2741900000000002E-3</v>
      </c>
      <c r="S76" s="9">
        <v>2.3143999999999999E-3</v>
      </c>
      <c r="T76" s="9">
        <v>2.3526900000000002E-3</v>
      </c>
      <c r="U76" s="9">
        <v>2.3892399999999999E-3</v>
      </c>
      <c r="V76" s="9">
        <v>2.4240799999999999E-3</v>
      </c>
      <c r="W76" s="9">
        <v>2.4573099999999999E-3</v>
      </c>
      <c r="X76" s="9">
        <v>2.48913E-3</v>
      </c>
      <c r="Y76" s="9">
        <v>2.5309099999999999E-3</v>
      </c>
      <c r="Z76" s="9">
        <v>2.5386499999999999E-3</v>
      </c>
      <c r="AA76" s="9">
        <v>2.5982900000000001E-3</v>
      </c>
      <c r="AB76" s="9">
        <v>2.6342900000000001E-3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171</v>
      </c>
      <c r="B77" s="9">
        <v>1</v>
      </c>
      <c r="C77" s="9">
        <v>8.1971800000000001E-3</v>
      </c>
      <c r="D77" s="9">
        <v>8.2782800000000007E-3</v>
      </c>
      <c r="E77" s="9">
        <v>8.3549100000000001E-3</v>
      </c>
      <c r="F77" s="9">
        <v>8.42737E-3</v>
      </c>
      <c r="G77" s="9">
        <v>8.4959400000000004E-3</v>
      </c>
      <c r="H77" s="9">
        <v>8.5608799999999999E-3</v>
      </c>
      <c r="I77" s="9">
        <v>8.6224200000000004E-3</v>
      </c>
      <c r="J77" s="9">
        <v>8.6807800000000008E-3</v>
      </c>
      <c r="K77" s="9">
        <v>8.7359199999999994E-3</v>
      </c>
      <c r="L77" s="9">
        <v>8.7887399999999997E-3</v>
      </c>
      <c r="M77" s="9">
        <v>8.8386999999999997E-3</v>
      </c>
      <c r="N77" s="9">
        <v>8.8862200000000002E-3</v>
      </c>
      <c r="O77" s="9">
        <v>8.9313499999999994E-3</v>
      </c>
      <c r="P77" s="9">
        <v>8.9743600000000007E-3</v>
      </c>
      <c r="Q77" s="9">
        <v>9.0152500000000007E-3</v>
      </c>
      <c r="R77" s="9">
        <v>9.0542299999999999E-3</v>
      </c>
      <c r="S77" s="9">
        <v>9.0913699999999997E-3</v>
      </c>
      <c r="T77" s="9">
        <v>9.1267699999999993E-3</v>
      </c>
      <c r="U77" s="9">
        <v>9.16054E-3</v>
      </c>
      <c r="V77" s="9">
        <v>9.1927599999999995E-3</v>
      </c>
      <c r="W77" s="9">
        <v>9.2235200000000007E-3</v>
      </c>
      <c r="X77" s="9">
        <v>9.2528799999999998E-3</v>
      </c>
      <c r="Y77" s="9">
        <v>9.2809299999999997E-3</v>
      </c>
      <c r="Z77" s="9">
        <v>9.3088200000000006E-3</v>
      </c>
      <c r="AA77" s="9">
        <v>9.3531199999999995E-3</v>
      </c>
      <c r="AB77" s="9">
        <v>9.3949099999999994E-3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172</v>
      </c>
      <c r="B78" s="9">
        <v>0.93333332999999996</v>
      </c>
      <c r="C78" s="9">
        <v>0.93333332999999996</v>
      </c>
      <c r="D78" s="9">
        <v>0.93333332999999996</v>
      </c>
      <c r="E78" s="9">
        <v>0.93333332999999996</v>
      </c>
      <c r="F78" s="9">
        <v>0.93333332999999996</v>
      </c>
      <c r="G78" s="9">
        <v>0.93333332999999996</v>
      </c>
      <c r="H78" s="9">
        <v>0.93333332999999996</v>
      </c>
      <c r="I78" s="9">
        <v>0.93333332999999996</v>
      </c>
      <c r="J78" s="9">
        <v>0.93333332999999996</v>
      </c>
      <c r="K78" s="9">
        <v>0.93333332999999996</v>
      </c>
      <c r="L78" s="9">
        <v>0.93333332999999996</v>
      </c>
      <c r="M78" s="9">
        <v>0.93333332999999996</v>
      </c>
      <c r="N78" s="9">
        <v>0.93333332999999996</v>
      </c>
      <c r="O78" s="9">
        <v>0.93333332999999996</v>
      </c>
      <c r="P78" s="9">
        <v>0.93333332999999996</v>
      </c>
      <c r="Q78" s="9">
        <v>0.93333332999999996</v>
      </c>
      <c r="R78" s="9">
        <v>0.93333332999999996</v>
      </c>
      <c r="S78" s="9">
        <v>0.93333332999999996</v>
      </c>
      <c r="T78" s="9">
        <v>0.93333332999999996</v>
      </c>
      <c r="U78" s="9">
        <v>0.93333332999999996</v>
      </c>
      <c r="V78" s="9">
        <v>0.93333332999999996</v>
      </c>
      <c r="W78" s="9">
        <v>0.93333332999999996</v>
      </c>
      <c r="X78" s="9">
        <v>0.93333332999999996</v>
      </c>
      <c r="Y78" s="9">
        <v>0.93333332999999996</v>
      </c>
      <c r="Z78" s="9">
        <v>0.93333332999999996</v>
      </c>
      <c r="AA78" s="9">
        <v>0.93333332999999996</v>
      </c>
      <c r="AB78" s="9">
        <v>0.93333332999999996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173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0</v>
      </c>
      <c r="V79" s="9">
        <v>0</v>
      </c>
      <c r="W79" s="9">
        <v>0</v>
      </c>
      <c r="X79" s="9">
        <v>0</v>
      </c>
      <c r="Y79" s="9">
        <v>0</v>
      </c>
      <c r="Z79" s="9">
        <v>0</v>
      </c>
      <c r="AA79" s="9">
        <v>0</v>
      </c>
      <c r="AB79" s="9">
        <v>0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2:702" x14ac:dyDescent="0.85"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2:702" x14ac:dyDescent="0.85"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2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2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2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2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2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2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2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2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2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2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2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2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2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2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Graph</vt:lpstr>
      <vt:lpstr>Reference</vt:lpstr>
      <vt:lpstr>Inbox</vt:lpstr>
      <vt:lpstr>CAL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2025-09-09T23:39:27Z</dcterms:modified>
</cp:coreProperties>
</file>