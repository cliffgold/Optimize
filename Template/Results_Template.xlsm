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Template\"/>
    </mc:Choice>
  </mc:AlternateContent>
  <xr:revisionPtr revIDLastSave="0" documentId="13_ncr:1_{92B4157A-D6BC-4B81-A2AC-CCF3A0F80BA2}" xr6:coauthVersionLast="47" xr6:coauthVersionMax="47" xr10:uidLastSave="{00000000-0000-0000-0000-000000000000}"/>
  <bookViews>
    <workbookView xWindow="-90" yWindow="-90" windowWidth="16637" windowHeight="9437" xr2:uid="{F4D4EDAC-D9BE-40D7-9520-4AD57ED7D8EC}"/>
  </bookViews>
  <sheets>
    <sheet name="Graph" sheetId="1" r:id="rId1"/>
    <sheet name="Reference" sheetId="16" r:id="rId2"/>
  </sheets>
  <definedNames>
    <definedName name="_1st_ref">Reference!$I$2</definedName>
    <definedName name="Delta_Corner">Graph!$T$5</definedName>
    <definedName name="NRG_Table">Reference!$J$2:$K$7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>Reference!$D$10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16" l="1"/>
  <c r="G5" i="16"/>
  <c r="G4" i="16"/>
  <c r="G3" i="16"/>
  <c r="G2" i="16"/>
  <c r="C1" i="16"/>
  <c r="D10" i="16"/>
  <c r="O6" i="1" a="1"/>
  <c r="P6" i="1" a="1"/>
  <c r="M6" i="1" a="1"/>
  <c r="L6" i="1" a="1"/>
  <c r="N6" i="1" a="1"/>
  <c r="K6" i="1" a="1"/>
  <c r="N6" i="1" l="1"/>
  <c r="L6" i="1"/>
  <c r="M6" i="1"/>
  <c r="P6" i="1"/>
  <c r="O6" i="1"/>
  <c r="K6" i="1"/>
  <c r="T6" i="1"/>
  <c r="K2" i="16"/>
  <c r="J6" i="1"/>
  <c r="M3" i="1"/>
  <c r="W3" i="1" s="1"/>
  <c r="U6" i="1" l="1"/>
  <c r="K3" i="16"/>
  <c r="V6" i="1" l="1"/>
  <c r="K4" i="16"/>
  <c r="Q6" i="1"/>
  <c r="AA6" i="1" s="1"/>
  <c r="W6" i="1" l="1"/>
  <c r="K5" i="16"/>
  <c r="X6" i="1" l="1"/>
  <c r="K6" i="16"/>
  <c r="Y6" i="1" l="1"/>
  <c r="K7" i="16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6B892390-104E-4FF7-9D6B-0FB3DAB4C83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509D4E4D-4320-4925-9A09-440A1A2BE74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<sst xmlns="http://schemas.openxmlformats.org/spreadsheetml/2006/main" count="88" uniqueCount="56">
  <si>
    <t>Solar</t>
  </si>
  <si>
    <t>Wind</t>
  </si>
  <si>
    <t>Nuclear</t>
  </si>
  <si>
    <t>Gas</t>
  </si>
  <si>
    <t>Coal</t>
  </si>
  <si>
    <t>Storage</t>
  </si>
  <si>
    <t>Regions</t>
  </si>
  <si>
    <t>Sum_All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</si>
  <si>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</si>
  <si>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</si>
  <si>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</si>
  <si>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</si>
  <si>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</si>
  <si>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</si>
  <si>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</si>
  <si>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</si>
  <si>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</si>
  <si>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</si>
  <si>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</si>
  <si>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</si>
  <si>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</si>
  <si>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Params</t>
  </si>
  <si>
    <t>1st ref</t>
  </si>
  <si>
    <t>Parm_Count</t>
  </si>
  <si>
    <t>NRG_Table</t>
  </si>
  <si>
    <t>Sum</t>
  </si>
  <si>
    <t>Units</t>
  </si>
  <si>
    <t>Capacity</t>
  </si>
  <si>
    <t>Energy</t>
  </si>
  <si>
    <t>Cost</t>
  </si>
  <si>
    <t>Be Sure To Match Compare_Template.xlsx</t>
  </si>
  <si>
    <t>CO2_Cost</t>
  </si>
  <si>
    <t>CO2_MTons</t>
  </si>
  <si>
    <t>MTons</t>
  </si>
  <si>
    <t>Supply</t>
  </si>
  <si>
    <t>California</t>
  </si>
  <si>
    <t>Carolinas</t>
  </si>
  <si>
    <t>Central</t>
  </si>
  <si>
    <t>Florida</t>
  </si>
  <si>
    <t>Mid Atlantic</t>
  </si>
  <si>
    <t>Mid West</t>
  </si>
  <si>
    <t>North East</t>
  </si>
  <si>
    <t>New York</t>
  </si>
  <si>
    <t>North West</t>
  </si>
  <si>
    <t>South East</t>
  </si>
  <si>
    <t>South West</t>
  </si>
  <si>
    <t>Texas</t>
  </si>
  <si>
    <t>Tennessee</t>
  </si>
  <si>
    <t>Regions_abbrs</t>
  </si>
  <si>
    <t>Region_abbr</t>
  </si>
  <si>
    <t>All</t>
  </si>
  <si>
    <t>Entire US</t>
  </si>
  <si>
    <t>Mults</t>
  </si>
  <si>
    <t>GW</t>
  </si>
  <si>
    <t>TWh</t>
  </si>
  <si>
    <t>B$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</si>
</sst>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/>
  </cellXfs>
  <cellStyles count="1">
    <cellStyle name="Normal" xfId="0" builtinId="0"/>
  </cellStyles>
  <dxfs count="2"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 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ln w="254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Graph!$J$6:$J$16</c:f>
              <c:numCache>
                <c:formatCode>General</c:formatCode>
                <c:ptCount val="11"/>
                <c:pt idx="0">
                  <c:v>0</c:v>
                </c:pt>
              </c:numCache>
            </c:numRef>
          </c:cat>
          <c:val>
            <c:numRef>
              <c:f>Graph!$K$6:$K$16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ln w="2540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ln w="25400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 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Graph!$J$6:$J$16</c:f>
              <c:numCache>
                <c:formatCode>General</c:formatCode>
                <c:ptCount val="11"/>
                <c:pt idx="0">
                  <c:v>0</c:v>
                </c:pt>
              </c:numCache>
            </c:numRef>
          </c:cat>
          <c:val>
            <c:numRef>
              <c:f>Graph!$U$6:$U$16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4</xdr:col>
      <xdr:colOff>168729</xdr:colOff>
      <xdr:row>1</xdr:row>
      <xdr:rowOff>13608</xdr:rowOff>
    </xdr:from>
    <xdr:to>
      <xdr:col>5</xdr:col>
      <xdr:colOff>364671</xdr:colOff>
      <xdr:row>1</xdr:row>
      <xdr:rowOff>182337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2841172" y="198665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16"/>
  <sheetViews>
    <sheetView tabSelected="1" workbookViewId="0"/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x14ac:dyDescent="0.85">
      <c r="A1" s="4" t="s">
        <v>51</v>
      </c>
    </row>
    <row r="2" spans="1:27" x14ac:dyDescent="0.85">
      <c r="A2" s="4" t="s">
        <v>32</v>
      </c>
    </row>
    <row r="3" spans="1:27" x14ac:dyDescent="0.85">
      <c r="M3" s="5" t="str">
        <f>$A$1 &amp; " - " &amp; $A$2 &amp; " (" &amp; VLOOKUP(A2,Param_Table,3,FALSE) &amp; ")"</f>
        <v>Entire US - CO2_MTons (MTons)</v>
      </c>
      <c r="N3" s="5"/>
      <c r="O3" s="5"/>
      <c r="W3" t="str">
        <f>$M$3 &amp; " -Yearly Change"</f>
        <v>Entire US - CO2_MTons (MTons) -Yearly Change</v>
      </c>
    </row>
    <row r="4" spans="1:27" x14ac:dyDescent="0.85"/>
    <row r="5" spans="1:27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25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25</v>
      </c>
    </row>
    <row r="6" spans="1:27" x14ac:dyDescent="0.85">
      <c r="J6">
        <f>J5+1</f>
        <v>0</v>
      </c>
      <c r="K6" s="3" t="e" cm="1">
        <f t="array" aca="1" ref="K6" ca="1" xml:space="preserve"> VLOOKUP($A$2,Param_Table,4,FALSE) * OFFSET(INDIRECT(Region_abbr &amp; "!A1"), VLOOKUP($A$2,Param_Table,2,FALSE) + VLOOKUP(K$5,NRG_Table,2,FALSE),$J6+1)</f>
        <v>#REF!</v>
      </c>
      <c r="L6" s="3" t="e" cm="1">
        <f t="array" aca="1" ref="L6" ca="1" xml:space="preserve"> VLOOKUP($A$2,Param_Table,4,FALSE) * OFFSET(INDIRECT(Region_abbr &amp; "!A1"), VLOOKUP($A$2,Param_Table,2,FALSE) + VLOOKUP(L$5,NRG_Table,2,FALSE),$J6+1)</f>
        <v>#REF!</v>
      </c>
      <c r="M6" s="3" t="e" cm="1">
        <f t="array" aca="1" ref="M6" ca="1" xml:space="preserve"> VLOOKUP($A$2,Param_Table,4,FALSE) * OFFSET(INDIRECT(Region_abbr &amp; "!A1"), VLOOKUP($A$2,Param_Table,2,FALSE) + VLOOKUP(M$5,NRG_Table,2,FALSE),$J6+1)</f>
        <v>#REF!</v>
      </c>
      <c r="N6" s="3" t="e" cm="1">
        <f t="array" aca="1" ref="N6" ca="1" xml:space="preserve"> VLOOKUP($A$2,Param_Table,4,FALSE) * OFFSET(INDIRECT(Region_abbr &amp; "!A1"), VLOOKUP($A$2,Param_Table,2,FALSE) + VLOOKUP(N$5,NRG_Table,2,FALSE),$J6+1)</f>
        <v>#REF!</v>
      </c>
      <c r="O6" s="3" t="e" cm="1">
        <f t="array" aca="1" ref="O6" ca="1" xml:space="preserve"> VLOOKUP($A$2,Param_Table,4,FALSE) * OFFSET(INDIRECT(Region_abbr &amp; "!A1"), VLOOKUP($A$2,Param_Table,2,FALSE) + VLOOKUP(O$5,NRG_Table,2,FALSE),$J6+1)</f>
        <v>#REF!</v>
      </c>
      <c r="P6" s="3" t="e" cm="1">
        <f t="array" aca="1" ref="P6" ca="1" xml:space="preserve"> VLOOKUP($A$2,Param_Table,4,FALSE) * OFFSET(INDIRECT(Region_abbr &amp; "!A1"), VLOOKUP($A$2,Param_Table,2,FALSE) + VLOOKUP(P$5,NRG_Table,2,FALSE),$J6+1)</f>
        <v>#REF!</v>
      </c>
      <c r="Q6" s="3" t="e">
        <f ca="1">SUM(K6:P6)</f>
        <v>#REF!</v>
      </c>
      <c r="T6">
        <f>T5+1</f>
        <v>1</v>
      </c>
      <c r="U6" s="3" t="e">
        <f ca="1">K7-K6</f>
        <v>#REF!</v>
      </c>
      <c r="V6" s="3" t="e">
        <f t="shared" ref="V6:AA6" ca="1" si="0">L7-L6</f>
        <v>#REF!</v>
      </c>
      <c r="W6" s="3" t="e">
        <f t="shared" ca="1" si="0"/>
        <v>#REF!</v>
      </c>
      <c r="X6" s="3" t="e">
        <f t="shared" ca="1" si="0"/>
        <v>#REF!</v>
      </c>
      <c r="Y6" s="3" t="e">
        <f t="shared" ca="1" si="0"/>
        <v>#REF!</v>
      </c>
      <c r="Z6" s="3" t="e">
        <f t="shared" ca="1" si="0"/>
        <v>#REF!</v>
      </c>
      <c r="AA6" s="3" t="e">
        <f t="shared" ca="1" si="0"/>
        <v>#REF!</v>
      </c>
    </row>
    <row r="7" spans="1:27" x14ac:dyDescent="0.85">
      <c r="K7" s="3"/>
      <c r="L7" s="3"/>
      <c r="M7" s="3"/>
      <c r="N7" s="3"/>
      <c r="O7" s="3"/>
      <c r="P7" s="3"/>
      <c r="Q7" s="3"/>
      <c r="U7" s="3"/>
      <c r="V7" s="3"/>
      <c r="W7" s="3"/>
      <c r="X7" s="3"/>
      <c r="Y7" s="3"/>
      <c r="Z7" s="3"/>
      <c r="AA7" s="3"/>
    </row>
    <row r="8" spans="1:27" x14ac:dyDescent="0.85">
      <c r="K8" s="3"/>
      <c r="L8" s="3"/>
      <c r="M8" s="3"/>
      <c r="N8" s="3"/>
      <c r="O8" s="3"/>
      <c r="P8" s="3"/>
      <c r="Q8" s="3"/>
      <c r="U8" s="3"/>
      <c r="V8" s="3"/>
      <c r="W8" s="3"/>
      <c r="X8" s="3"/>
      <c r="Y8" s="3"/>
      <c r="Z8" s="3"/>
      <c r="AA8" s="3"/>
    </row>
    <row r="9" spans="1:27" x14ac:dyDescent="0.85">
      <c r="K9" s="3"/>
      <c r="L9" s="3"/>
      <c r="M9" s="3"/>
      <c r="N9" s="3"/>
      <c r="O9" s="3"/>
      <c r="P9" s="3"/>
      <c r="Q9" s="3"/>
      <c r="U9" s="3"/>
      <c r="V9" s="3"/>
      <c r="W9" s="3"/>
      <c r="X9" s="3"/>
      <c r="Y9" s="3"/>
      <c r="Z9" s="3"/>
      <c r="AA9" s="3"/>
    </row>
    <row r="10" spans="1:27" x14ac:dyDescent="0.85">
      <c r="K10" s="3"/>
      <c r="L10" s="3"/>
      <c r="M10" s="3"/>
      <c r="N10" s="3"/>
      <c r="O10" s="3"/>
      <c r="P10" s="3"/>
      <c r="Q10" s="3"/>
      <c r="U10" s="3"/>
      <c r="V10" s="3"/>
      <c r="W10" s="3"/>
      <c r="X10" s="3"/>
      <c r="Y10" s="3"/>
      <c r="Z10" s="3"/>
      <c r="AA10" s="3"/>
    </row>
    <row r="11" spans="1:27" x14ac:dyDescent="0.85">
      <c r="K11" s="3"/>
      <c r="L11" s="3"/>
      <c r="M11" s="3"/>
      <c r="N11" s="3"/>
      <c r="O11" s="3"/>
      <c r="P11" s="3"/>
      <c r="Q11" s="3"/>
      <c r="U11" s="3"/>
      <c r="V11" s="3"/>
      <c r="W11" s="3"/>
      <c r="X11" s="3"/>
      <c r="Y11" s="3"/>
      <c r="Z11" s="3"/>
      <c r="AA11" s="3"/>
    </row>
    <row r="12" spans="1:27" x14ac:dyDescent="0.85">
      <c r="K12" s="3"/>
      <c r="L12" s="3"/>
      <c r="M12" s="3"/>
      <c r="N12" s="3"/>
      <c r="O12" s="3"/>
      <c r="P12" s="3"/>
      <c r="Q12" s="3"/>
      <c r="U12" s="3"/>
      <c r="V12" s="3"/>
      <c r="W12" s="3"/>
      <c r="X12" s="3"/>
      <c r="Y12" s="3"/>
      <c r="Z12" s="3"/>
      <c r="AA12" s="3"/>
    </row>
    <row r="13" spans="1:27" x14ac:dyDescent="0.85">
      <c r="K13" s="3"/>
      <c r="L13" s="3"/>
      <c r="M13" s="3"/>
      <c r="N13" s="3"/>
      <c r="O13" s="3"/>
      <c r="P13" s="3"/>
      <c r="Q13" s="3"/>
      <c r="U13" s="3"/>
      <c r="V13" s="3"/>
      <c r="W13" s="3"/>
      <c r="X13" s="3"/>
      <c r="Y13" s="3"/>
      <c r="Z13" s="3"/>
      <c r="AA13" s="3"/>
    </row>
    <row r="14" spans="1:27" x14ac:dyDescent="0.85">
      <c r="K14" s="3"/>
      <c r="L14" s="3"/>
      <c r="M14" s="3"/>
      <c r="N14" s="3"/>
      <c r="O14" s="3"/>
      <c r="P14" s="3"/>
      <c r="Q14" s="3"/>
      <c r="U14" s="3"/>
      <c r="V14" s="3"/>
      <c r="W14" s="3"/>
      <c r="X14" s="3"/>
      <c r="Y14" s="3"/>
      <c r="Z14" s="3"/>
      <c r="AA14" s="3"/>
    </row>
    <row r="15" spans="1:27" x14ac:dyDescent="0.85">
      <c r="K15" s="3"/>
      <c r="L15" s="3"/>
      <c r="M15" s="3"/>
      <c r="N15" s="3"/>
      <c r="O15" s="3"/>
      <c r="P15" s="3"/>
      <c r="Q15" s="3"/>
      <c r="U15" s="3"/>
      <c r="V15" s="3"/>
      <c r="W15" s="3"/>
      <c r="X15" s="3"/>
      <c r="Y15" s="3"/>
      <c r="Z15" s="3"/>
      <c r="AA15" s="3"/>
    </row>
    <row r="16" spans="1:27" x14ac:dyDescent="0.85">
      <c r="K16" s="3"/>
      <c r="L16" s="3"/>
      <c r="M16" s="3"/>
      <c r="N16" s="3"/>
      <c r="O16" s="3"/>
      <c r="P16" s="3"/>
      <c r="Q16" s="3"/>
      <c r="U16" s="3"/>
      <c r="V16" s="3"/>
      <c r="W16" s="3"/>
      <c r="X16" s="3"/>
      <c r="Y16" s="3"/>
      <c r="Z16" s="3"/>
      <c r="AA16" s="3"/>
    </row>
  </sheetData>
  <mergeCells count="1">
    <mergeCell ref="M3:O3"/>
  </mergeCells>
  <conditionalFormatting sqref="K6:Q16">
    <cfRule type="expression" dxfId="1" priority="3">
      <formula>$Q6 &gt; 10000</formula>
    </cfRule>
  </conditionalFormatting>
  <conditionalFormatting sqref="U6:AA16">
    <cfRule type="expression" dxfId="0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BECD6-D3A3-4F82-9D1A-DAB5885A2AD5}">
  <sheetPr codeName="Sheet16"/>
  <dimension ref="A1:M16"/>
  <sheetViews>
    <sheetView workbookViewId="0">
      <selection activeCell="G4" sqref="G4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2" customFormat="1" ht="14.65" x14ac:dyDescent="0.85">
      <c r="A1" s="2" t="s">
        <v>6</v>
      </c>
      <c r="B1" s="2" t="s">
        <v>48</v>
      </c>
      <c r="C1" s="2" t="str">
        <f>A1</f>
        <v>Regions</v>
      </c>
      <c r="D1" s="6" t="s">
        <v>21</v>
      </c>
      <c r="E1" s="5"/>
      <c r="F1" s="2" t="s">
        <v>26</v>
      </c>
      <c r="G1" s="2" t="s">
        <v>52</v>
      </c>
      <c r="H1" s="2" t="s">
        <v>23</v>
      </c>
      <c r="I1" s="2" t="s">
        <v>22</v>
      </c>
      <c r="J1" s="2" t="s">
        <v>24</v>
      </c>
      <c r="M1" s="2" t="s">
        <v>30</v>
      </c>
    </row>
    <row r="2" spans="1:13" ht="14.65" x14ac:dyDescent="0.85">
      <c r="A2" t="s">
        <v>51</v>
      </c>
      <c r="B2" t="s">
        <v>7</v>
      </c>
      <c r="C2" t="s">
        <v>51</v>
      </c>
      <c r="D2" s="1" t="s">
        <v>27</v>
      </c>
      <c r="E2" s="1">
        <v>0</v>
      </c>
      <c r="F2" s="1" t="s">
        <v>53</v>
      </c>
      <c r="G2" s="1">
        <f>1/1000</f>
        <v>1E-3</v>
      </c>
      <c r="H2" s="1">
        <v>11</v>
      </c>
      <c r="I2">
        <v>14</v>
      </c>
      <c r="J2" t="s">
        <v>0</v>
      </c>
      <c r="K2">
        <f>_1st_ref</f>
        <v>14</v>
      </c>
    </row>
    <row r="3" spans="1:13" x14ac:dyDescent="0.85">
      <c r="A3" t="s">
        <v>35</v>
      </c>
      <c r="B3" t="s">
        <v>8</v>
      </c>
      <c r="C3" t="s">
        <v>35</v>
      </c>
      <c r="D3" s="1" t="s">
        <v>28</v>
      </c>
      <c r="E3" s="1">
        <v>1</v>
      </c>
      <c r="F3" s="1" t="s">
        <v>54</v>
      </c>
      <c r="G3" s="1">
        <f>1/1000000</f>
        <v>9.9999999999999995E-7</v>
      </c>
      <c r="H3" s="1"/>
      <c r="J3" t="s">
        <v>1</v>
      </c>
      <c r="K3">
        <f>K2+Param_Count</f>
        <v>25</v>
      </c>
    </row>
    <row r="4" spans="1:13" x14ac:dyDescent="0.85">
      <c r="A4" t="s">
        <v>36</v>
      </c>
      <c r="B4" t="s">
        <v>9</v>
      </c>
      <c r="C4" t="s">
        <v>36</v>
      </c>
      <c r="D4" s="1" t="s">
        <v>34</v>
      </c>
      <c r="E4" s="1">
        <v>2</v>
      </c>
      <c r="F4" s="1" t="s">
        <v>54</v>
      </c>
      <c r="G4" s="1">
        <f>1/1000000</f>
        <v>9.9999999999999995E-7</v>
      </c>
      <c r="H4" s="1"/>
      <c r="J4" t="s">
        <v>2</v>
      </c>
      <c r="K4">
        <f>K3+Param_Count</f>
        <v>36</v>
      </c>
    </row>
    <row r="5" spans="1:13" x14ac:dyDescent="0.85">
      <c r="A5" t="s">
        <v>37</v>
      </c>
      <c r="B5" t="s">
        <v>10</v>
      </c>
      <c r="C5" t="s">
        <v>37</v>
      </c>
      <c r="D5" s="1" t="s">
        <v>29</v>
      </c>
      <c r="E5" s="1">
        <v>3</v>
      </c>
      <c r="F5" s="1" t="s">
        <v>55</v>
      </c>
      <c r="G5" s="1">
        <f>1/1000</f>
        <v>1E-3</v>
      </c>
      <c r="H5" s="1"/>
      <c r="J5" t="s">
        <v>3</v>
      </c>
      <c r="K5">
        <f>K4+Param_Count</f>
        <v>47</v>
      </c>
    </row>
    <row r="6" spans="1:13" x14ac:dyDescent="0.85">
      <c r="A6" t="s">
        <v>38</v>
      </c>
      <c r="B6" t="s">
        <v>11</v>
      </c>
      <c r="C6" t="s">
        <v>38</v>
      </c>
      <c r="D6" s="1" t="s">
        <v>31</v>
      </c>
      <c r="E6" s="1">
        <v>4</v>
      </c>
      <c r="F6" s="1" t="s">
        <v>55</v>
      </c>
      <c r="G6" s="1">
        <f>1/1000</f>
        <v>1E-3</v>
      </c>
      <c r="H6" s="1"/>
      <c r="J6" t="s">
        <v>4</v>
      </c>
      <c r="K6">
        <f>K5+Param_Count</f>
        <v>58</v>
      </c>
    </row>
    <row r="7" spans="1:13" x14ac:dyDescent="0.85">
      <c r="A7" t="s">
        <v>39</v>
      </c>
      <c r="B7" t="s">
        <v>12</v>
      </c>
      <c r="C7" t="s">
        <v>39</v>
      </c>
      <c r="D7" s="1" t="s">
        <v>32</v>
      </c>
      <c r="E7" s="1">
        <v>5</v>
      </c>
      <c r="F7" s="1" t="s">
        <v>33</v>
      </c>
      <c r="G7" s="1">
        <v>1</v>
      </c>
      <c r="H7" s="1"/>
      <c r="J7" t="s">
        <v>5</v>
      </c>
      <c r="K7">
        <f>K6+Param_Count</f>
        <v>69</v>
      </c>
    </row>
    <row r="8" spans="1:13" ht="14.65" x14ac:dyDescent="0.85">
      <c r="A8" t="s">
        <v>40</v>
      </c>
      <c r="B8" t="s">
        <v>13</v>
      </c>
      <c r="C8" t="s">
        <v>40</v>
      </c>
      <c r="D8" s="1"/>
      <c r="E8" s="1"/>
      <c r="F8" s="1"/>
      <c r="G8" s="1"/>
    </row>
    <row r="9" spans="1:13" ht="14.65" x14ac:dyDescent="0.85">
      <c r="A9" t="s">
        <v>41</v>
      </c>
      <c r="B9" t="s">
        <v>14</v>
      </c>
      <c r="C9" t="s">
        <v>41</v>
      </c>
      <c r="D9" s="2" t="s">
        <v>49</v>
      </c>
    </row>
    <row r="10" spans="1:13" ht="14.65" x14ac:dyDescent="0.85">
      <c r="A10" t="s">
        <v>42</v>
      </c>
      <c r="B10" t="s">
        <v>15</v>
      </c>
      <c r="C10" t="s">
        <v>42</v>
      </c>
      <c r="D10" t="str">
        <f>VLOOKUP(Region,Region_lookup,2,FALSE)</f>
        <v>Sum_All</v>
      </c>
    </row>
    <row r="11" spans="1:13" ht="14.65" x14ac:dyDescent="0.85">
      <c r="A11" t="s">
        <v>43</v>
      </c>
      <c r="B11" t="s">
        <v>16</v>
      </c>
      <c r="C11" t="s">
        <v>43</v>
      </c>
    </row>
    <row r="12" spans="1:13" ht="14.65" x14ac:dyDescent="0.85">
      <c r="A12" t="s">
        <v>44</v>
      </c>
      <c r="B12" t="s">
        <v>17</v>
      </c>
      <c r="C12" t="s">
        <v>44</v>
      </c>
    </row>
    <row r="13" spans="1:13" ht="14.65" x14ac:dyDescent="0.85">
      <c r="A13" t="s">
        <v>45</v>
      </c>
      <c r="B13" t="s">
        <v>18</v>
      </c>
      <c r="C13" t="s">
        <v>45</v>
      </c>
    </row>
    <row r="14" spans="1:13" ht="14.65" x14ac:dyDescent="0.85">
      <c r="A14" t="s">
        <v>47</v>
      </c>
      <c r="B14" t="s">
        <v>19</v>
      </c>
      <c r="C14" t="s">
        <v>47</v>
      </c>
    </row>
    <row r="15" spans="1:13" ht="14.65" x14ac:dyDescent="0.85">
      <c r="A15" t="s">
        <v>46</v>
      </c>
      <c r="B15" t="s">
        <v>20</v>
      </c>
      <c r="C15" t="s">
        <v>46</v>
      </c>
    </row>
    <row r="16" spans="1:13" ht="14.65" x14ac:dyDescent="0.85">
      <c r="B16" t="s">
        <v>50</v>
      </c>
      <c r="C16" t="s">
        <v>7</v>
      </c>
    </row>
  </sheetData>
  <mergeCells count="1">
    <mergeCell ref="D1:E1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</vt:i4>
      </vt:variant>
    </vt:vector>
  </HeadingPairs>
  <TitlesOfParts>
    <vt:vector size="15" baseType="lpstr">
      <vt:lpstr>Graph</vt:lpstr>
      <vt:lpstr>Reference</vt:lpstr>
      <vt:lpstr>_1st_ref</vt:lpstr>
      <vt:lpstr>Delta_Corner</vt:lpstr>
      <vt:lpstr>NRG_Table</vt:lpstr>
      <vt:lpstr>Param_Count</vt:lpstr>
      <vt:lpstr>Param_Table</vt:lpstr>
      <vt:lpstr>Params</vt:lpstr>
      <vt:lpstr>Region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2024-03-11T22:13:27Z</dcterms:modified>
</cp:coreProperties>
</file>