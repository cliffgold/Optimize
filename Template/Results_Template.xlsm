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cd0e7a053322a97/Documents/GenAtomic/Optimize/Template/"/>
    </mc:Choice>
  </mc:AlternateContent>
  <xr:revisionPtr revIDLastSave="2" documentId="13_ncr:1_{BE38E868-4930-41B1-96A0-8509AC13C914}" xr6:coauthVersionLast="47" xr6:coauthVersionMax="47" xr10:uidLastSave="{F52471CF-366C-442D-AA4E-32BAB89A5CE4}"/>
  <bookViews>
    <workbookView xWindow="-90" yWindow="-90" windowWidth="16637" windowHeight="9437" activeTab="1" xr2:uid="{F4D4EDAC-D9BE-40D7-9520-4AD57ED7D8EC}"/>
  </bookViews>
  <sheets>
    <sheet name="Graph" sheetId="1" r:id="rId1"/>
    <sheet name="Reference" sheetId="16" r:id="rId2"/>
  </sheets>
  <definedNames>
    <definedName name="_1st_ref">Reference!$F$2</definedName>
    <definedName name="NRG_Table">Reference!$G$2:$H$7</definedName>
    <definedName name="Param_Count">Reference!$E$2</definedName>
    <definedName name="Param_Table">Reference!$B$2:$D$8</definedName>
    <definedName name="Params">Reference!$B$2:$B$8</definedName>
    <definedName name="Parm_Count">Reference!$E$2</definedName>
    <definedName name="Regions">Reference!$A$2:$A$15</definedName>
    <definedName name="Table_Corner">Graph!$J$5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" i="16" l="1"/>
  <c r="H3" i="16" s="1"/>
  <c r="H4" i="16" s="1"/>
  <c r="H5" i="16" s="1"/>
  <c r="H6" i="16" s="1"/>
  <c r="H7" i="16" s="1"/>
  <c r="J6" i="1"/>
  <c r="M3" i="1"/>
  <c r="L6" i="1" a="1"/>
  <c r="K6" i="1" a="1"/>
  <c r="N6" i="1" a="1"/>
  <c r="M6" i="1" a="1"/>
  <c r="O6" i="1" a="1"/>
  <c r="P6" i="1" a="1"/>
  <c r="K6" i="1" l="1"/>
  <c r="N6" i="1"/>
  <c r="P6" i="1"/>
  <c r="O6" i="1"/>
  <c r="M6" i="1"/>
  <c r="L6" i="1"/>
  <c r="Q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E2" authorId="0" shapeId="0" xr:uid="{6B892390-104E-4FF7-9D6B-0FB3DAB4C833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F2" authorId="0" shapeId="0" xr:uid="{509D4E4D-4320-4925-9A09-440A1A2BE74A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<sst xmlns="http://schemas.openxmlformats.org/spreadsheetml/2006/main" count="48" uniqueCount="38">
  <si>
    <t>Solar</t>
  </si>
  <si>
    <t>Wind</t>
  </si>
  <si>
    <t>Nuclear</t>
  </si>
  <si>
    <t>Gas</t>
  </si>
  <si>
    <t>Coal</t>
  </si>
  <si>
    <t>Storage</t>
  </si>
  <si>
    <t>Regions</t>
  </si>
  <si>
    <t>Sum_All</t>
  </si>
  <si>
    <t>CAL</t>
  </si>
  <si>
    <t>CAR</t>
  </si>
  <si>
    <t>CENT</t>
  </si>
  <si>
    <t>FLA</t>
  </si>
  <si>
    <t>MIDA</t>
  </si>
  <si>
    <t>MIDW</t>
  </si>
  <si>
    <t>NE</t>
  </si>
  <si>
    <t>NY</t>
  </si>
  <si>
    <t>NW</t>
  </si>
  <si>
    <t>SE</t>
  </si>
  <si>
    <t>SW</t>
  </si>
  <si>
    <t>TEN</t>
  </si>
  <si>
    <t>TEX</t>
  </si>
  <si>
    <t>Params</t>
  </si>
  <si>
    <t>1st ref</t>
  </si>
  <si>
    <t>Parm_Count</t>
  </si>
  <si>
    <t>NRG_Table</t>
  </si>
  <si>
    <t>Sum</t>
  </si>
  <si>
    <t>Units</t>
  </si>
  <si>
    <t>MWh</t>
  </si>
  <si>
    <t>MW</t>
  </si>
  <si>
    <t>Capacity</t>
  </si>
  <si>
    <t>Energy</t>
  </si>
  <si>
    <t>Cost</t>
  </si>
  <si>
    <t>Be Sure To Match Compare_Template.xlsx</t>
  </si>
  <si>
    <t>M$</t>
  </si>
  <si>
    <t>CO2_Cost</t>
  </si>
  <si>
    <t>CO2_MTons</t>
  </si>
  <si>
    <t>MTons</t>
  </si>
  <si>
    <t>Supply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</si>
</sst>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  <xf numFmtId="4" fontId="0" fillId="0" borderId="0" xfId="0" applyNumberFormat="1"/>
    <xf numFmtId="0" fontId="0" fillId="0" borderId="0" xfId="0"/>
    <xf numFmtId="0" fontId="1" fillId="0" borderId="0" xfId="0" applyFont="1"/>
  </cellXfs>
  <cellStyles count="1">
    <cellStyle name="Normal" xfId="0" builtinId="0"/>
  </cellStyles>
  <dxfs count="1">
    <dxf>
      <numFmt numFmtId="3" formatCode="#,##0"/>
    </dxf>
  </dxfs>
  <tableStyles count="0" defaultTableStyle="TableStyleMedium2" defaultPivotStyle="PivotStyleLight16"/>
  <colors>
    <mruColors>
      <color rgb="FFB601C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Sum_All - Energy (MWh)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Graph!$J$6:$J$16</c:f>
              <c:numCache>
                <c:formatCode>General</c:formatCode>
                <c:ptCount val="11"/>
                <c:pt idx="0">
                  <c:v>0</c:v>
                </c:pt>
              </c:numCache>
            </c:numRef>
          </c:cat>
          <c:val>
            <c:numRef>
              <c:f>Graph!$K$6:$K$16</c:f>
              <c:numCache>
                <c:formatCode>#,##0.00</c:formatCode>
                <c:ptCount val="1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Graph!$L$6:$L$16</c:f>
              <c:numCache>
                <c:formatCode>#,##0.00</c:formatCode>
                <c:ptCount val="1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Graph!$M$6:$M$16</c:f>
              <c:numCache>
                <c:formatCode>#,##0.00</c:formatCode>
                <c:ptCount val="1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Graph!$N$6:$N$16</c:f>
              <c:numCache>
                <c:formatCode>#,##0.00</c:formatCode>
                <c:ptCount val="1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Graph!$O$6:$O$16</c:f>
              <c:numCache>
                <c:formatCode>#,##0.00</c:formatCode>
                <c:ptCount val="1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Graph!$P$6:$P$16</c:f>
              <c:numCache>
                <c:formatCode>#,##0.00</c:formatCode>
                <c:ptCount val="1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168729</xdr:colOff>
      <xdr:row>1</xdr:row>
      <xdr:rowOff>13608</xdr:rowOff>
    </xdr:from>
    <xdr:to>
      <xdr:col>5</xdr:col>
      <xdr:colOff>364671</xdr:colOff>
      <xdr:row>1</xdr:row>
      <xdr:rowOff>182337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2841172" y="198665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Q16"/>
  <sheetViews>
    <sheetView workbookViewId="0">
      <selection activeCell="J9" sqref="J9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9" width="8.9609375" customWidth="1"/>
    <col min="10" max="10" width="8.9609375" bestFit="1" customWidth="1"/>
    <col min="11" max="17" width="12.69140625" customWidth="1"/>
  </cols>
  <sheetData>
    <row r="1" spans="1:17" x14ac:dyDescent="0.85">
      <c r="A1" t="s">
        <v>7</v>
      </c>
    </row>
    <row r="2" spans="1:17" x14ac:dyDescent="0.85">
      <c r="A2" t="s">
        <v>30</v>
      </c>
    </row>
    <row r="3" spans="1:17" x14ac:dyDescent="0.85">
      <c r="M3" s="4" t="str">
        <f>$A$1 &amp; " - " &amp; $A$2 &amp; " (" &amp; VLOOKUP(A2,Param_Table,3,FALSE) &amp; ")"</f>
        <v>Sum_All - Energy (MWh)</v>
      </c>
      <c r="N3" s="4"/>
      <c r="O3" s="4"/>
    </row>
    <row r="4" spans="1:17" x14ac:dyDescent="0.85"/>
    <row r="5" spans="1:17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25</v>
      </c>
    </row>
    <row r="6" spans="1:17" x14ac:dyDescent="0.85">
      <c r="J6">
        <f>J5+1</f>
        <v>0</v>
      </c>
      <c r="K6" s="3" t="e" cm="1">
        <f t="array" aca="1" ref="K6" ca="1">OFFSET(INDIRECT($A$1 &amp; "!A1"), VLOOKUP($A$2,Param_Table,2,FALSE) + VLOOKUP(K$5,NRG_Table,2,FALSE),$J6+1)</f>
        <v>#REF!</v>
      </c>
      <c r="L6" s="3" t="e" cm="1">
        <f t="array" aca="1" ref="L6" ca="1">OFFSET(INDIRECT($A$1 &amp; "!A1"), VLOOKUP($A$2,Param_Table,2,FALSE) + VLOOKUP(L$5,NRG_Table,2,FALSE),$J6+1)</f>
        <v>#REF!</v>
      </c>
      <c r="M6" s="3" t="e" cm="1">
        <f t="array" aca="1" ref="M6" ca="1">OFFSET(INDIRECT($A$1 &amp; "!A1"), VLOOKUP($A$2,Param_Table,2,FALSE) + VLOOKUP(M$5,NRG_Table,2,FALSE),$J6+1)</f>
        <v>#REF!</v>
      </c>
      <c r="N6" s="3" t="e" cm="1">
        <f t="array" aca="1" ref="N6" ca="1">OFFSET(INDIRECT($A$1 &amp; "!A1"), VLOOKUP($A$2,Param_Table,2,FALSE) + VLOOKUP(N$5,NRG_Table,2,FALSE),$J6+1)</f>
        <v>#REF!</v>
      </c>
      <c r="O6" s="3" t="e" cm="1">
        <f t="array" aca="1" ref="O6" ca="1">OFFSET(INDIRECT($A$1 &amp; "!A1"), VLOOKUP($A$2,Param_Table,2,FALSE) + VLOOKUP(O$5,NRG_Table,2,FALSE),$J6+1)</f>
        <v>#REF!</v>
      </c>
      <c r="P6" s="3" t="e" cm="1">
        <f t="array" aca="1" ref="P6" ca="1">OFFSET(INDIRECT($A$1 &amp; "!A1"), VLOOKUP($A$2,Param_Table,2,FALSE) + VLOOKUP(P$5,NRG_Table,2,FALSE),$J6+1)</f>
        <v>#REF!</v>
      </c>
      <c r="Q6" s="3" t="e">
        <f ca="1">SUM(K6:P6)</f>
        <v>#REF!</v>
      </c>
    </row>
    <row r="7" spans="1:17" x14ac:dyDescent="0.85">
      <c r="K7" s="3"/>
      <c r="L7" s="3"/>
      <c r="M7" s="3"/>
      <c r="N7" s="3"/>
      <c r="O7" s="3"/>
      <c r="P7" s="3"/>
      <c r="Q7" s="3"/>
    </row>
    <row r="8" spans="1:17" x14ac:dyDescent="0.85">
      <c r="K8" s="3"/>
      <c r="L8" s="3"/>
      <c r="M8" s="3"/>
      <c r="N8" s="3"/>
      <c r="O8" s="3"/>
      <c r="P8" s="3"/>
      <c r="Q8" s="3"/>
    </row>
    <row r="9" spans="1:17" x14ac:dyDescent="0.85">
      <c r="K9" s="3"/>
      <c r="L9" s="3"/>
      <c r="M9" s="3"/>
      <c r="N9" s="3"/>
      <c r="O9" s="3"/>
      <c r="P9" s="3"/>
      <c r="Q9" s="3"/>
    </row>
    <row r="10" spans="1:17" x14ac:dyDescent="0.85">
      <c r="K10" s="3"/>
      <c r="L10" s="3"/>
      <c r="M10" s="3"/>
      <c r="N10" s="3"/>
      <c r="O10" s="3"/>
      <c r="P10" s="3"/>
      <c r="Q10" s="3"/>
    </row>
    <row r="11" spans="1:17" x14ac:dyDescent="0.85">
      <c r="K11" s="3"/>
      <c r="L11" s="3"/>
      <c r="M11" s="3"/>
      <c r="N11" s="3"/>
      <c r="O11" s="3"/>
      <c r="P11" s="3"/>
      <c r="Q11" s="3"/>
    </row>
    <row r="12" spans="1:17" x14ac:dyDescent="0.85">
      <c r="K12" s="3"/>
      <c r="L12" s="3"/>
      <c r="M12" s="3"/>
      <c r="N12" s="3"/>
      <c r="O12" s="3"/>
      <c r="P12" s="3"/>
      <c r="Q12" s="3"/>
    </row>
    <row r="13" spans="1:17" x14ac:dyDescent="0.85">
      <c r="K13" s="3"/>
      <c r="L13" s="3"/>
      <c r="M13" s="3"/>
      <c r="N13" s="3"/>
      <c r="O13" s="3"/>
      <c r="P13" s="3"/>
      <c r="Q13" s="3"/>
    </row>
    <row r="14" spans="1:17" x14ac:dyDescent="0.85">
      <c r="K14" s="3"/>
      <c r="L14" s="3"/>
      <c r="M14" s="3"/>
      <c r="N14" s="3"/>
      <c r="O14" s="3"/>
      <c r="P14" s="3"/>
      <c r="Q14" s="3"/>
    </row>
    <row r="15" spans="1:17" x14ac:dyDescent="0.85">
      <c r="K15" s="3"/>
      <c r="L15" s="3"/>
      <c r="M15" s="3"/>
      <c r="N15" s="3"/>
      <c r="O15" s="3"/>
      <c r="P15" s="3"/>
      <c r="Q15" s="3"/>
    </row>
    <row r="16" spans="1:17" x14ac:dyDescent="0.85">
      <c r="K16" s="3"/>
      <c r="L16" s="3"/>
      <c r="M16" s="3"/>
      <c r="N16" s="3"/>
      <c r="O16" s="3"/>
      <c r="P16" s="3"/>
      <c r="Q16" s="3"/>
    </row>
  </sheetData>
  <mergeCells count="1">
    <mergeCell ref="M3:O3"/>
  </mergeCells>
  <conditionalFormatting sqref="K6:Q16">
    <cfRule type="expression" dxfId="0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BECD6-D3A3-4F82-9D1A-DAB5885A2AD5}">
  <sheetPr codeName="Sheet16"/>
  <dimension ref="A1:J15"/>
  <sheetViews>
    <sheetView tabSelected="1" workbookViewId="0">
      <selection activeCell="B1" sqref="B1:E7"/>
    </sheetView>
  </sheetViews>
  <sheetFormatPr defaultRowHeight="14.6" x14ac:dyDescent="0.85"/>
  <cols>
    <col min="1" max="1" width="12.07421875" customWidth="1"/>
    <col min="2" max="2" width="14.69140625" customWidth="1"/>
    <col min="3" max="3" width="1.65234375" bestFit="1" customWidth="1"/>
    <col min="4" max="4" width="9.15234375" customWidth="1"/>
    <col min="5" max="5" width="10.73046875" bestFit="1" customWidth="1"/>
  </cols>
  <sheetData>
    <row r="1" spans="1:10" s="2" customFormat="1" x14ac:dyDescent="0.85">
      <c r="A1" s="2" t="s">
        <v>6</v>
      </c>
      <c r="B1" s="5" t="s">
        <v>21</v>
      </c>
      <c r="C1" s="4"/>
      <c r="D1" s="2" t="s">
        <v>26</v>
      </c>
      <c r="E1" s="2" t="s">
        <v>23</v>
      </c>
      <c r="F1" s="2" t="s">
        <v>22</v>
      </c>
      <c r="G1" s="2" t="s">
        <v>24</v>
      </c>
      <c r="J1" s="2" t="s">
        <v>32</v>
      </c>
    </row>
    <row r="2" spans="1:10" x14ac:dyDescent="0.85">
      <c r="A2" t="s">
        <v>7</v>
      </c>
      <c r="B2" s="1" t="s">
        <v>29</v>
      </c>
      <c r="C2" s="1">
        <v>0</v>
      </c>
      <c r="D2" s="1" t="s">
        <v>28</v>
      </c>
      <c r="E2" s="1">
        <v>11</v>
      </c>
      <c r="F2">
        <v>9</v>
      </c>
      <c r="G2" t="s">
        <v>0</v>
      </c>
      <c r="H2">
        <f>_1st_ref</f>
        <v>9</v>
      </c>
    </row>
    <row r="3" spans="1:10" x14ac:dyDescent="0.85">
      <c r="A3" t="s">
        <v>8</v>
      </c>
      <c r="B3" s="1" t="s">
        <v>30</v>
      </c>
      <c r="C3" s="1">
        <v>1</v>
      </c>
      <c r="D3" s="1" t="s">
        <v>27</v>
      </c>
      <c r="E3" s="1"/>
      <c r="G3" t="s">
        <v>1</v>
      </c>
      <c r="H3">
        <f>H2+Param_Count</f>
        <v>20</v>
      </c>
    </row>
    <row r="4" spans="1:10" x14ac:dyDescent="0.85">
      <c r="A4" t="s">
        <v>9</v>
      </c>
      <c r="B4" s="1" t="s">
        <v>37</v>
      </c>
      <c r="C4" s="1">
        <v>2</v>
      </c>
      <c r="D4" s="1" t="s">
        <v>27</v>
      </c>
      <c r="E4" s="1"/>
      <c r="G4" t="s">
        <v>2</v>
      </c>
      <c r="H4">
        <f>H3+Param_Count</f>
        <v>31</v>
      </c>
    </row>
    <row r="5" spans="1:10" x14ac:dyDescent="0.85">
      <c r="A5" t="s">
        <v>10</v>
      </c>
      <c r="B5" s="1" t="s">
        <v>31</v>
      </c>
      <c r="C5" s="1">
        <v>3</v>
      </c>
      <c r="D5" s="1" t="s">
        <v>33</v>
      </c>
      <c r="E5" s="1"/>
      <c r="G5" t="s">
        <v>3</v>
      </c>
      <c r="H5">
        <f>H4+Param_Count</f>
        <v>42</v>
      </c>
    </row>
    <row r="6" spans="1:10" x14ac:dyDescent="0.85">
      <c r="A6" t="s">
        <v>11</v>
      </c>
      <c r="B6" s="1" t="s">
        <v>34</v>
      </c>
      <c r="C6" s="1">
        <v>4</v>
      </c>
      <c r="D6" s="1" t="s">
        <v>33</v>
      </c>
      <c r="E6" s="1"/>
      <c r="G6" t="s">
        <v>4</v>
      </c>
      <c r="H6">
        <f>H5+Param_Count</f>
        <v>53</v>
      </c>
    </row>
    <row r="7" spans="1:10" x14ac:dyDescent="0.85">
      <c r="A7" t="s">
        <v>12</v>
      </c>
      <c r="B7" s="1" t="s">
        <v>35</v>
      </c>
      <c r="C7" s="1">
        <v>5</v>
      </c>
      <c r="D7" s="1" t="s">
        <v>36</v>
      </c>
      <c r="E7" s="1"/>
      <c r="G7" t="s">
        <v>5</v>
      </c>
      <c r="H7">
        <f>H6+Param_Count</f>
        <v>64</v>
      </c>
    </row>
    <row r="8" spans="1:10" x14ac:dyDescent="0.85">
      <c r="A8" t="s">
        <v>13</v>
      </c>
      <c r="B8" s="1"/>
      <c r="C8" s="1"/>
      <c r="D8" s="1"/>
    </row>
    <row r="9" spans="1:10" x14ac:dyDescent="0.85">
      <c r="A9" t="s">
        <v>14</v>
      </c>
    </row>
    <row r="10" spans="1:10" x14ac:dyDescent="0.85">
      <c r="A10" t="s">
        <v>15</v>
      </c>
    </row>
    <row r="11" spans="1:10" x14ac:dyDescent="0.85">
      <c r="A11" t="s">
        <v>16</v>
      </c>
    </row>
    <row r="12" spans="1:10" x14ac:dyDescent="0.85">
      <c r="A12" t="s">
        <v>17</v>
      </c>
    </row>
    <row r="13" spans="1:10" x14ac:dyDescent="0.85">
      <c r="A13" t="s">
        <v>18</v>
      </c>
    </row>
    <row r="14" spans="1:10" x14ac:dyDescent="0.85">
      <c r="A14" t="s">
        <v>19</v>
      </c>
    </row>
    <row r="15" spans="1:10" x14ac:dyDescent="0.85">
      <c r="A15" t="s">
        <v>20</v>
      </c>
    </row>
  </sheetData>
  <mergeCells count="1">
    <mergeCell ref="B1:C1"/>
  </mergeCell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9</vt:i4>
      </vt:variant>
    </vt:vector>
  </HeadingPairs>
  <TitlesOfParts>
    <vt:vector size="11" baseType="lpstr">
      <vt:lpstr>Graph</vt:lpstr>
      <vt:lpstr>Reference</vt:lpstr>
      <vt:lpstr>_1st_ref</vt:lpstr>
      <vt:lpstr>NRG_Table</vt:lpstr>
      <vt:lpstr>Param_Count</vt:lpstr>
      <vt:lpstr>Param_Table</vt:lpstr>
      <vt:lpstr>Params</vt:lpstr>
      <vt:lpstr>Parm_Count</vt:lpstr>
      <vt:lpstr>Regions</vt:lpstr>
      <vt:lpstr>Table_Corner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2024-02-03T21:31:52Z</dcterms:modified>
</cp:coreProperties>
</file>