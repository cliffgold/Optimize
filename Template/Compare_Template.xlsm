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75471178-F8BD-4505-9334-407D4D40A748}" xr6:coauthVersionLast="47" xr6:coauthVersionMax="47" xr10:uidLastSave="{00000000-0000-0000-0000-000000000000}"/>
  <bookViews>
    <workbookView xWindow="-90" yWindow="-90" windowWidth="16637" windowHeight="9437" activeTab="2" xr2:uid="{8C7994C1-A10A-4AD4-8C33-2FA8764EDF37}"/>
  </bookViews>
  <sheets>
    <sheet name="Cases" sheetId="1" r:id="rId1"/>
    <sheet name="Reference" sheetId="4" r:id="rId2"/>
    <sheet name="Graph" sheetId="3" r:id="rId3"/>
    <sheet name="Calc" sheetId="5" r:id="rId4"/>
  </sheets>
  <definedNames>
    <definedName name="_1st_ref">Reference!$H$2</definedName>
    <definedName name="Case_Count">Cases!$B$1</definedName>
    <definedName name="First_Case">Cases!$A$2</definedName>
    <definedName name="NRG_Selections">Reference!$I$2:$I$8</definedName>
    <definedName name="NRG_Table">Reference!$I$2:$K$8</definedName>
    <definedName name="NRGs">Reference!$I$2</definedName>
    <definedName name="Param_Count">Reference!$G$2</definedName>
    <definedName name="Param_Table">Reference!$D$2:$F$7</definedName>
    <definedName name="Params">Reference!$D$2:$D$7</definedName>
    <definedName name="Parm_Count">Reference!$G$2</definedName>
    <definedName name="Region">Graph!$A$1</definedName>
    <definedName name="Region_abbr">Reference!$D$10</definedName>
    <definedName name="Region_lookup">Reference!$A$2:$B$15</definedName>
    <definedName name="Regions">Reference!$A$2:$A$15</definedName>
    <definedName name="Selected_NRG">Calc!$B$3</definedName>
    <definedName name="Table_Corner">Calc!$B$5</definedName>
    <definedName name="To_Long">Reference!$B$2:$C$16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4" l="1"/>
  <c r="C2" i="4"/>
  <c r="C3" i="4"/>
  <c r="C4" i="4"/>
  <c r="C5" i="4"/>
  <c r="C6" i="4"/>
  <c r="C7" i="4"/>
  <c r="C8" i="4"/>
  <c r="C9" i="4"/>
  <c r="C10" i="4"/>
  <c r="C11" i="4"/>
  <c r="C12" i="4"/>
  <c r="C13" i="4"/>
  <c r="C14" i="4"/>
  <c r="C1" i="4"/>
  <c r="D10" i="4"/>
  <c r="A3" i="5"/>
  <c r="B3" i="5" s="1"/>
  <c r="C6" i="5" s="1"/>
  <c r="J3" i="4" l="1"/>
  <c r="J4" i="4" s="1"/>
  <c r="J5" i="4" s="1"/>
  <c r="J6" i="4" s="1"/>
  <c r="J7" i="4" s="1"/>
  <c r="A2" i="5"/>
  <c r="A1" i="5"/>
  <c r="D3" i="5" l="1"/>
  <c r="B6" i="5"/>
  <c r="J8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G2" authorId="0" shapeId="0" xr:uid="{E38691D2-B902-4CD9-9ED5-DF23D2F2979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H2" authorId="0" shapeId="0" xr:uid="{6F162621-69E0-45CC-9AD0-8CD3526EB08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sharedStrings.xml><?xml version="1.0" encoding="utf-8"?>
<sst xmlns="http://schemas.openxmlformats.org/spreadsheetml/2006/main" count="66" uniqueCount="59">
  <si>
    <t>Cases</t>
  </si>
  <si>
    <t>Sum_All</t>
  </si>
  <si>
    <t>Solar</t>
  </si>
  <si>
    <t>Wind</t>
  </si>
  <si>
    <t>Nuclear</t>
  </si>
  <si>
    <t>Gas</t>
  </si>
  <si>
    <t>Coal</t>
  </si>
  <si>
    <t>Storage</t>
  </si>
  <si>
    <t>Regions</t>
  </si>
  <si>
    <t>Params</t>
  </si>
  <si>
    <t>Units</t>
  </si>
  <si>
    <t>Parm_Count</t>
  </si>
  <si>
    <t>1st ref</t>
  </si>
  <si>
    <t>NRG_Table</t>
  </si>
  <si>
    <t>CAL</t>
  </si>
  <si>
    <t>MW</t>
  </si>
  <si>
    <t>CAR</t>
  </si>
  <si>
    <t>CENT</t>
  </si>
  <si>
    <t>MWh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</si>
  <si>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</si>
  <si>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</si>
  <si>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</si>
  <si>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</si>
  <si>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</si>
  <si>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</si>
  <si>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</si>
  <si>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</si>
  <si>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</si>
  <si>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</si>
  <si>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Years</t>
  </si>
  <si>
    <t>Be Sure To Match Results_Template.xlsx</t>
  </si>
  <si>
    <t>Capacity</t>
  </si>
  <si>
    <t>Energy</t>
  </si>
  <si>
    <t>Cost</t>
  </si>
  <si>
    <t>M$</t>
  </si>
  <si>
    <t>All_NRGs</t>
  </si>
  <si>
    <t>Results Offset</t>
  </si>
  <si>
    <t>CSV Offset</t>
  </si>
  <si>
    <t>CO2_Cost</t>
  </si>
  <si>
    <t>CO2_MTons</t>
  </si>
  <si>
    <t>MTons</t>
  </si>
  <si>
    <t>Supply</t>
  </si>
  <si>
    <t>Regions_abbrs</t>
  </si>
  <si>
    <t>Region_abbr</t>
  </si>
  <si>
    <t>California</t>
  </si>
  <si>
    <t>Carolinas</t>
  </si>
  <si>
    <t>Central</t>
  </si>
  <si>
    <t>Florida</t>
  </si>
  <si>
    <t>Mid Atlantic</t>
  </si>
  <si>
    <t>Mid West</t>
  </si>
  <si>
    <t>North East</t>
  </si>
  <si>
    <t>New York</t>
  </si>
  <si>
    <t>North West</t>
  </si>
  <si>
    <t>South East</t>
  </si>
  <si>
    <t>South West</t>
  </si>
  <si>
    <t>Tennessee</t>
  </si>
  <si>
    <t>Texas</t>
  </si>
  <si>
    <t>Results_CO2-500_All.xlsm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</si>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</sst>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3" fontId="0" fillId="0" borderId="0" xfId="0" applyNumberFormat="1"/>
    <xf numFmtId="0" fontId="1" fillId="2" borderId="0" xfId="0" applyFont="1" applyFill="1"/>
    <xf numFmtId="3" fontId="0" fillId="0" borderId="0" xfId="0" applyNumberFormat="1" applyProtection="1">
      <protection locked="0"/>
    </xf>
    <xf numFmtId="0" fontId="1" fillId="0" borderId="0" xfId="0" applyFont="1"/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Sum_All - CO2_MTons (MTons) - All_NRGs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3571587002328933"/>
          <c:h val="0.720887649460484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Calc!$C$6</c:f>
              <c:numCache>
                <c:formatCode>#,##0</c:formatCode>
                <c:ptCount val="1"/>
                <c:pt idx="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52133056284631085"/>
          <c:w val="8.8231735117617338E-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14</xdr:col>
      <xdr:colOff>560614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6"/>
  <sheetViews>
    <sheetView workbookViewId="0">
      <selection activeCell="D1" sqref="D1"/>
    </sheetView>
  </sheetViews>
  <sheetFormatPr defaultRowHeight="14.6" x14ac:dyDescent="0.85"/>
  <sheetData>
    <row r="1" spans="1:4" x14ac:dyDescent="0.85">
      <c r="A1" t="s">
        <v>0</v>
      </c>
      <c r="C1" t="s">
        <v>29</v>
      </c>
      <c r="D1">
        <v>3</v>
      </c>
    </row>
    <row r="2" spans="1:4" x14ac:dyDescent="0.85">
      <c r="A2" t="s">
        <v>57</v>
      </c>
    </row>
    <row r="3" spans="1:4" x14ac:dyDescent="0.85"/>
    <row r="4" spans="1:4" x14ac:dyDescent="0.85"/>
    <row r="5" spans="1:4" x14ac:dyDescent="0.85"/>
    <row r="6" spans="1:4" x14ac:dyDescent="0.8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BA2E1-F421-4E99-BD52-4ED1AAC9DD52}">
  <sheetPr codeName="Sheet16"/>
  <dimension ref="A1:K16"/>
  <sheetViews>
    <sheetView workbookViewId="0">
      <selection activeCell="C16" sqref="C16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9.15234375" customWidth="1"/>
    <col min="7" max="7" width="10.73046875" bestFit="1" customWidth="1"/>
    <col min="9" max="9" width="9.765625" bestFit="1" customWidth="1"/>
    <col min="10" max="10" width="9.73046875" bestFit="1" customWidth="1"/>
    <col min="11" max="11" width="12" bestFit="1" customWidth="1"/>
  </cols>
  <sheetData>
    <row r="1" spans="1:11" s="1" customFormat="1" x14ac:dyDescent="0.85">
      <c r="A1" s="1" t="s">
        <v>8</v>
      </c>
      <c r="B1" s="1" t="s">
        <v>42</v>
      </c>
      <c r="C1" s="1" t="str">
        <f>A1</f>
        <v>Regions</v>
      </c>
      <c r="D1" s="6" t="s">
        <v>9</v>
      </c>
      <c r="E1" s="7"/>
      <c r="F1" s="1" t="s">
        <v>10</v>
      </c>
      <c r="G1" s="1" t="s">
        <v>11</v>
      </c>
      <c r="H1" s="1" t="s">
        <v>12</v>
      </c>
      <c r="I1" s="1" t="s">
        <v>13</v>
      </c>
      <c r="J1" s="1" t="s">
        <v>37</v>
      </c>
      <c r="K1" s="1" t="s">
        <v>36</v>
      </c>
    </row>
    <row r="2" spans="1:11" x14ac:dyDescent="0.85">
      <c r="A2" t="s">
        <v>1</v>
      </c>
      <c r="B2" t="s">
        <v>1</v>
      </c>
      <c r="C2" t="str">
        <f t="shared" ref="C2:C14" si="0">A2</f>
        <v>Sum_All</v>
      </c>
      <c r="D2" s="2" t="s">
        <v>31</v>
      </c>
      <c r="E2" s="2">
        <v>0</v>
      </c>
      <c r="F2" s="2" t="s">
        <v>15</v>
      </c>
      <c r="G2" s="2">
        <v>11</v>
      </c>
      <c r="H2">
        <v>14</v>
      </c>
      <c r="I2" t="s">
        <v>35</v>
      </c>
      <c r="K2">
        <v>7</v>
      </c>
    </row>
    <row r="3" spans="1:11" x14ac:dyDescent="0.85">
      <c r="A3" t="s">
        <v>44</v>
      </c>
      <c r="B3" t="s">
        <v>14</v>
      </c>
      <c r="C3" t="str">
        <f t="shared" si="0"/>
        <v>California</v>
      </c>
      <c r="D3" s="2" t="s">
        <v>32</v>
      </c>
      <c r="E3" s="2">
        <v>1</v>
      </c>
      <c r="F3" s="2" t="s">
        <v>18</v>
      </c>
      <c r="G3" s="2"/>
      <c r="I3" t="s">
        <v>2</v>
      </c>
      <c r="J3">
        <f>_1st_ref</f>
        <v>14</v>
      </c>
      <c r="K3">
        <v>1</v>
      </c>
    </row>
    <row r="4" spans="1:11" x14ac:dyDescent="0.85">
      <c r="A4" t="s">
        <v>45</v>
      </c>
      <c r="B4" t="s">
        <v>16</v>
      </c>
      <c r="C4" t="str">
        <f t="shared" si="0"/>
        <v>Carolinas</v>
      </c>
      <c r="D4" s="2" t="s">
        <v>41</v>
      </c>
      <c r="E4" s="2">
        <v>2</v>
      </c>
      <c r="F4" s="2" t="s">
        <v>18</v>
      </c>
      <c r="G4" s="2"/>
      <c r="I4" t="s">
        <v>3</v>
      </c>
      <c r="J4">
        <f>J3+Param_Count</f>
        <v>25</v>
      </c>
      <c r="K4">
        <v>2</v>
      </c>
    </row>
    <row r="5" spans="1:11" x14ac:dyDescent="0.85">
      <c r="A5" t="s">
        <v>46</v>
      </c>
      <c r="B5" t="s">
        <v>17</v>
      </c>
      <c r="C5" t="str">
        <f t="shared" si="0"/>
        <v>Central</v>
      </c>
      <c r="D5" s="2" t="s">
        <v>33</v>
      </c>
      <c r="E5" s="2">
        <v>3</v>
      </c>
      <c r="F5" s="2" t="s">
        <v>34</v>
      </c>
      <c r="G5" s="2"/>
      <c r="I5" t="s">
        <v>4</v>
      </c>
      <c r="J5">
        <f>J4+Param_Count</f>
        <v>36</v>
      </c>
      <c r="K5">
        <v>3</v>
      </c>
    </row>
    <row r="6" spans="1:11" x14ac:dyDescent="0.85">
      <c r="A6" t="s">
        <v>47</v>
      </c>
      <c r="B6" t="s">
        <v>19</v>
      </c>
      <c r="C6" t="str">
        <f t="shared" si="0"/>
        <v>Florida</v>
      </c>
      <c r="D6" s="2" t="s">
        <v>38</v>
      </c>
      <c r="E6" s="2">
        <v>4</v>
      </c>
      <c r="F6" s="2" t="s">
        <v>34</v>
      </c>
      <c r="G6" s="2"/>
      <c r="I6" t="s">
        <v>5</v>
      </c>
      <c r="J6">
        <f>J5+Param_Count</f>
        <v>47</v>
      </c>
      <c r="K6">
        <v>4</v>
      </c>
    </row>
    <row r="7" spans="1:11" x14ac:dyDescent="0.85">
      <c r="A7" t="s">
        <v>48</v>
      </c>
      <c r="B7" t="s">
        <v>20</v>
      </c>
      <c r="C7" t="str">
        <f t="shared" si="0"/>
        <v>Mid Atlantic</v>
      </c>
      <c r="D7" s="2" t="s">
        <v>39</v>
      </c>
      <c r="E7" s="2">
        <v>5</v>
      </c>
      <c r="F7" s="2" t="s">
        <v>40</v>
      </c>
      <c r="G7" s="2"/>
      <c r="I7" t="s">
        <v>6</v>
      </c>
      <c r="J7">
        <f>J6+Param_Count</f>
        <v>58</v>
      </c>
      <c r="K7">
        <v>5</v>
      </c>
    </row>
    <row r="8" spans="1:11" x14ac:dyDescent="0.85">
      <c r="A8" t="s">
        <v>49</v>
      </c>
      <c r="B8" t="s">
        <v>21</v>
      </c>
      <c r="C8" t="str">
        <f t="shared" si="0"/>
        <v>Mid West</v>
      </c>
      <c r="D8" s="2"/>
      <c r="E8" s="2"/>
      <c r="F8" s="2"/>
      <c r="I8" t="s">
        <v>7</v>
      </c>
      <c r="J8">
        <f>J7+Param_Count</f>
        <v>69</v>
      </c>
      <c r="K8">
        <v>6</v>
      </c>
    </row>
    <row r="9" spans="1:11" x14ac:dyDescent="0.85">
      <c r="A9" t="s">
        <v>50</v>
      </c>
      <c r="B9" t="s">
        <v>22</v>
      </c>
      <c r="C9" t="str">
        <f t="shared" si="0"/>
        <v>North East</v>
      </c>
      <c r="D9" s="1" t="s">
        <v>43</v>
      </c>
    </row>
    <row r="10" spans="1:11" x14ac:dyDescent="0.85">
      <c r="A10" t="s">
        <v>51</v>
      </c>
      <c r="B10" t="s">
        <v>23</v>
      </c>
      <c r="C10" t="str">
        <f t="shared" si="0"/>
        <v>New York</v>
      </c>
      <c r="D10" t="str">
        <f>VLOOKUP(Region,Region_lookup,2,FALSE)</f>
        <v>Sum_All</v>
      </c>
    </row>
    <row r="11" spans="1:11" x14ac:dyDescent="0.85">
      <c r="A11" t="s">
        <v>52</v>
      </c>
      <c r="B11" t="s">
        <v>24</v>
      </c>
      <c r="C11" t="str">
        <f t="shared" si="0"/>
        <v>North West</v>
      </c>
    </row>
    <row r="12" spans="1:11" x14ac:dyDescent="0.85">
      <c r="A12" t="s">
        <v>53</v>
      </c>
      <c r="B12" t="s">
        <v>25</v>
      </c>
      <c r="C12" t="str">
        <f t="shared" si="0"/>
        <v>South East</v>
      </c>
      <c r="F12" s="4" t="s">
        <v>30</v>
      </c>
      <c r="G12" s="4"/>
      <c r="H12" s="4"/>
      <c r="I12" s="4"/>
    </row>
    <row r="13" spans="1:11" x14ac:dyDescent="0.85">
      <c r="A13" t="s">
        <v>54</v>
      </c>
      <c r="B13" t="s">
        <v>26</v>
      </c>
      <c r="C13" t="str">
        <f t="shared" si="0"/>
        <v>South West</v>
      </c>
    </row>
    <row r="14" spans="1:11" x14ac:dyDescent="0.85">
      <c r="A14" t="s">
        <v>55</v>
      </c>
      <c r="B14" t="s">
        <v>27</v>
      </c>
      <c r="C14" t="str">
        <f t="shared" si="0"/>
        <v>Tennessee</v>
      </c>
    </row>
    <row r="15" spans="1:11" x14ac:dyDescent="0.85">
      <c r="A15" t="s">
        <v>56</v>
      </c>
      <c r="B15" t="s">
        <v>28</v>
      </c>
      <c r="C15" t="str">
        <f>A14</f>
        <v>Tennessee</v>
      </c>
    </row>
    <row r="16" spans="1:11" x14ac:dyDescent="0.85">
      <c r="B16" t="s">
        <v>58</v>
      </c>
      <c r="C16" t="s">
        <v>1</v>
      </c>
    </row>
  </sheetData>
  <mergeCells count="1">
    <mergeCell ref="D1:E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/>
  </sheetViews>
  <sheetFormatPr defaultRowHeight="14.6" x14ac:dyDescent="0.85"/>
  <cols>
    <col min="1" max="1" width="9.5" style="3" customWidth="1"/>
    <col min="2" max="11" width="7.53515625" style="3" customWidth="1"/>
    <col min="12" max="12" width="14.69140625" style="3" bestFit="1" customWidth="1"/>
    <col min="13" max="13" width="17.421875" style="3" customWidth="1"/>
    <col min="14" max="15" width="15.69140625" style="3" bestFit="1" customWidth="1"/>
    <col min="16" max="16" width="6.73046875" style="3" bestFit="1" customWidth="1"/>
    <col min="17" max="17" width="13.19140625" style="3" bestFit="1" customWidth="1"/>
    <col min="18" max="16384" width="8.921875" style="3"/>
  </cols>
  <sheetData>
    <row r="1" spans="1:11" x14ac:dyDescent="0.85">
      <c r="A1" s="5" t="s">
        <v>1</v>
      </c>
    </row>
    <row r="2" spans="1:11" x14ac:dyDescent="0.85">
      <c r="A2" s="5" t="s">
        <v>39</v>
      </c>
      <c r="D2" s="8"/>
      <c r="E2" s="7"/>
      <c r="F2" s="7"/>
      <c r="G2" s="7"/>
      <c r="H2" s="7"/>
      <c r="I2" s="7"/>
      <c r="J2" s="7"/>
      <c r="K2" s="7"/>
    </row>
    <row r="3" spans="1:11" x14ac:dyDescent="0.85">
      <c r="A3" s="5" t="s">
        <v>35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D33"/>
  <sheetViews>
    <sheetView workbookViewId="0">
      <selection activeCell="B7" sqref="B7"/>
    </sheetView>
  </sheetViews>
  <sheetFormatPr defaultColWidth="15.03515625" defaultRowHeight="14.6" x14ac:dyDescent="0.85"/>
  <cols>
    <col min="1" max="16384" width="15.03515625" style="3"/>
  </cols>
  <sheetData>
    <row r="1" spans="1:4" x14ac:dyDescent="0.85">
      <c r="A1" s="3" t="str">
        <f>Graph!$A$1</f>
        <v>Sum_All</v>
      </c>
    </row>
    <row r="2" spans="1:4" x14ac:dyDescent="0.85">
      <c r="A2" s="3" t="str">
        <f>Graph!$A$2</f>
        <v>CO2_MTons</v>
      </c>
    </row>
    <row r="3" spans="1:4" x14ac:dyDescent="0.85">
      <c r="A3" s="3" t="str">
        <f>Graph!$A$3</f>
        <v>All_NRGs</v>
      </c>
      <c r="B3" s="3">
        <f>VLOOKUP($A$3,NRG_Table,3,FALSE)</f>
        <v>7</v>
      </c>
      <c r="D3" s="3" t="str">
        <f>$A$1 &amp; " - " &amp; $A$2 &amp; " (" &amp; VLOOKUP(A2,Param_Table,3,FALSE) &amp; ") - " &amp; A3</f>
        <v>Sum_All - CO2_MTons (MTons) - All_NRGs</v>
      </c>
    </row>
    <row r="4" spans="1:4" x14ac:dyDescent="0.85"/>
    <row r="5" spans="1:4" x14ac:dyDescent="0.85">
      <c r="B5" s="3">
        <v>-1</v>
      </c>
    </row>
    <row r="6" spans="1:4" x14ac:dyDescent="0.85">
      <c r="B6" s="3">
        <f>B5+1</f>
        <v>0</v>
      </c>
      <c r="C6" s="3">
        <f>Selected_NRG</f>
        <v>7</v>
      </c>
    </row>
    <row r="7" spans="1:4" x14ac:dyDescent="0.85"/>
    <row r="8" spans="1:4" x14ac:dyDescent="0.85"/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Cases</vt:lpstr>
      <vt:lpstr>Reference</vt:lpstr>
      <vt:lpstr>Graph</vt:lpstr>
      <vt:lpstr>Calc</vt:lpstr>
      <vt:lpstr>_1st_ref</vt:lpstr>
      <vt:lpstr>Case_Count</vt:lpstr>
      <vt:lpstr>First_Case</vt:lpstr>
      <vt:lpstr>NRG_Selections</vt:lpstr>
      <vt:lpstr>NRG_Table</vt:lpstr>
      <vt:lpstr>NRGs</vt:lpstr>
      <vt:lpstr>Param_Count</vt:lpstr>
      <vt:lpstr>Param_Table</vt:lpstr>
      <vt:lpstr>Params</vt:lpstr>
      <vt:lpstr>Parm_Count</vt:lpstr>
      <vt:lpstr>Region</vt:lpstr>
      <vt:lpstr>Region_abbr</vt:lpstr>
      <vt:lpstr>Region_lookup</vt:lpstr>
      <vt:lpstr>Regions</vt:lpstr>
      <vt:lpstr>Selected_NRG</vt:lpstr>
      <vt:lpstr>Table_Corner</vt:lpstr>
      <vt:lpstr>To_Long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2024-02-29T05:52:35Z</dcterms:modified>
</cp:coreProperties>
</file>