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liff\OneDrive\Documents\GenAtomic\Optimize\Template\"/>
    </mc:Choice>
  </mc:AlternateContent>
  <xr:revisionPtr revIDLastSave="0" documentId="13_ncr:1_{AC88DF5F-B090-428E-83AC-A12E3C0E66A6}" xr6:coauthVersionLast="47" xr6:coauthVersionMax="47" xr10:uidLastSave="{00000000-0000-0000-0000-000000000000}"/>
  <bookViews>
    <workbookView xWindow="-90" yWindow="-90" windowWidth="16637" windowHeight="9437" activeTab="2" xr2:uid="{8C7994C1-A10A-4AD4-8C33-2FA8764EDF37}"/>
  </bookViews>
  <sheets>
    <sheet name="Cases" sheetId="1" r:id="rId1"/>
    <sheet name="Reference" sheetId="4" r:id="rId2"/>
    <sheet name="Graph" sheetId="3" r:id="rId3"/>
    <sheet name="Graph_1y" sheetId="6" r:id="rId4"/>
    <sheet name="Calc" sheetId="5" r:id="rId5"/>
    <sheet name="Calc_1y" sheetId="7" r:id="rId6"/>
  </sheets>
  <definedNames>
    <definedName name="_1st_ref">Reference!$H$2</definedName>
    <definedName name="Case_Count">Cases!$B$1</definedName>
    <definedName name="First_Case">Cases!$A$2</definedName>
    <definedName name="NRG_Selections">Reference!$I$2:$I$8</definedName>
    <definedName name="NRG_Table">Reference!$I$2:$K$8</definedName>
    <definedName name="NRGs">Reference!$I$2</definedName>
    <definedName name="Param_Count">Reference!$G$2</definedName>
    <definedName name="Param_Table">Reference!$D$2:$F$7</definedName>
    <definedName name="Params">Reference!$D$2:$D$7</definedName>
    <definedName name="Parm_Count">Reference!$G$2</definedName>
    <definedName name="Region">Graph!$A$1</definedName>
    <definedName name="Region_1y">Graph_1y!$A$1</definedName>
    <definedName name="Region_abbr">Reference!$D$10</definedName>
    <definedName name="Region_lookup">Reference!$A$2:$B$15</definedName>
    <definedName name="Regions">Reference!$A$2:$A$15</definedName>
    <definedName name="Selected_NRG">Calc!$B$3</definedName>
    <definedName name="Selected_Year">Graph_1y!$B$3</definedName>
    <definedName name="Table_Corner">Calc!$B$5</definedName>
    <definedName name="Table_Corner_1y">Calc_1y!$B$5</definedName>
    <definedName name="To_Long">Reference!$B$2:$C$16</definedName>
    <definedName name="Year_1y">Calc_1y!$A$3</definedName>
    <definedName name="Years">Cases!$D$1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" i="7" l="1"/>
  <c r="A2" i="7" l="1"/>
  <c r="A1" i="7"/>
  <c r="C15" i="4"/>
  <c r="C2" i="4"/>
  <c r="C3" i="4"/>
  <c r="C4" i="4"/>
  <c r="C5" i="4"/>
  <c r="C6" i="4"/>
  <c r="C7" i="4"/>
  <c r="C8" i="4"/>
  <c r="C9" i="4"/>
  <c r="C10" i="4"/>
  <c r="C11" i="4"/>
  <c r="C12" i="4"/>
  <c r="C13" i="4"/>
  <c r="C14" i="4"/>
  <c r="C1" i="4"/>
  <c r="D10" i="4"/>
  <c r="A3" i="5"/>
  <c r="B3" i="5" s="1"/>
  <c r="D3" i="7" l="1"/>
  <c r="J3" i="4"/>
  <c r="J4" i="4" s="1"/>
  <c r="J5" i="4" s="1"/>
  <c r="J6" i="4" s="1"/>
  <c r="J7" i="4" s="1"/>
  <c r="A2" i="5"/>
  <c r="A1" i="5"/>
  <c r="D3" i="5" l="1"/>
  <c r="J8" i="4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Cliff Gold</author>
  </authors>
  <commentList>
    <comment ref="G2" authorId="0" shapeId="0" xr:uid="{E38691D2-B902-4CD9-9ED5-DF23D2F2979D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per NRG</t>
        </r>
      </text>
    </comment>
    <comment ref="H2" authorId="0" shapeId="0" xr:uid="{6F162621-69E0-45CC-9AD0-8CD3526EB08D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of Globals</t>
        </r>
      </text>
    </comment>
  </commentList>
</comments>
</file>

<file path=xl/sharedStrings.xml><?xml version="1.0" encoding="utf-8"?>
<sst xmlns="http://schemas.openxmlformats.org/spreadsheetml/2006/main" count="71" uniqueCount="60">
  <si>
    <t>Cases</t>
  </si>
  <si>
    <t>Sum_All</t>
  </si>
  <si>
    <t>Solar</t>
  </si>
  <si>
    <t>Wind</t>
  </si>
  <si>
    <t>Nuclear</t>
  </si>
  <si>
    <t>Gas</t>
  </si>
  <si>
    <t>Coal</t>
  </si>
  <si>
    <t>Storage</t>
  </si>
  <si>
    <t>Regions</t>
  </si>
  <si>
    <t>Params</t>
  </si>
  <si>
    <t>Units</t>
  </si>
  <si>
    <t>Parm_Count</t>
  </si>
  <si>
    <t>1st ref</t>
  </si>
  <si>
    <t>NRG_Table</t>
  </si>
  <si>
    <t>CAL</t>
  </si>
  <si>
    <t>MW</t>
  </si>
  <si>
    <t>CAR</t>
  </si>
  <si>
    <t>CENT</t>
  </si>
  <si>
    <t>MWh</t>
  </si>
  <si>
    <t>FLA</t>
  </si>
  <si>
    <t>MIDA</t>
  </si>
  <si>
    <t>MIDW</t>
  </si>
  <si>
    <t>NE</t>
  </si>
  <si>
    <t>NY</t>
  </si>
  <si>
    <t>NW</t>
  </si>
  <si>
    <t>SE</t>
  </si>
  <si>
    <t>SW</t>
  </si>
  <si>
    <t>TEN</t>
  </si>
  <si>
    <t>TEX</t>
  </si>
  <si>
    <t>Years</t>
  </si>
  <si>
    <t>Be Sure To Match Results_Template.xlsx</t>
  </si>
  <si>
    <t>Capacity</t>
  </si>
  <si>
    <t>Energy</t>
  </si>
  <si>
    <t>Cost</t>
  </si>
  <si>
    <t>M$</t>
  </si>
  <si>
    <t>All_NRGs</t>
  </si>
  <si>
    <t>Results Offset</t>
  </si>
  <si>
    <t>CSV Offset</t>
  </si>
  <si>
    <t>CO2_Cost</t>
  </si>
  <si>
    <t>CO2_MTons</t>
  </si>
  <si>
    <t>MTons</t>
  </si>
  <si>
    <t>Supply</t>
  </si>
  <si>
    <t>Regions_abbrs</t>
  </si>
  <si>
    <t>Region_abbr</t>
  </si>
  <si>
    <t>California</t>
  </si>
  <si>
    <t>Carolinas</t>
  </si>
  <si>
    <t>Central</t>
  </si>
  <si>
    <t>Florida</t>
  </si>
  <si>
    <t>Mid Atlantic</t>
  </si>
  <si>
    <t>Mid West</t>
  </si>
  <si>
    <t>North East</t>
  </si>
  <si>
    <t>New York</t>
  </si>
  <si>
    <t>North West</t>
  </si>
  <si>
    <t>South East</t>
  </si>
  <si>
    <t>South West</t>
  </si>
  <si>
    <t>Tennessee</t>
  </si>
  <si>
    <t>Texas</t>
  </si>
  <si>
    <t>Results_CO2-500_All.xlsm</t>
  </si>
  <si>
    <t>All</t>
  </si>
  <si>
    <t>Year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</si>
</sst>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0" fontId="1" fillId="0" borderId="0" xfId="0" applyFont="1"/>
    <xf numFmtId="0" fontId="0" fillId="0" borderId="0" xfId="0" applyAlignment="1">
      <alignment wrapText="1"/>
    </xf>
    <xf numFmtId="3" fontId="0" fillId="0" borderId="0" xfId="0" applyNumberFormat="1"/>
    <xf numFmtId="0" fontId="1" fillId="2" borderId="0" xfId="0" applyFont="1" applyFill="1"/>
    <xf numFmtId="3" fontId="0" fillId="0" borderId="0" xfId="0" applyNumberFormat="1" applyAlignment="1" applyProtection="1">
      <alignment horizontal="right"/>
      <protection locked="0"/>
    </xf>
    <xf numFmtId="3" fontId="0" fillId="3" borderId="0" xfId="0" applyNumberFormat="1" applyFill="1" applyProtection="1">
      <protection locked="0"/>
    </xf>
    <xf numFmtId="3" fontId="0" fillId="3" borderId="0" xfId="0" applyNumberFormat="1" applyFill="1"/>
    <xf numFmtId="3" fontId="0" fillId="0" borderId="0" xfId="0" applyNumberFormat="1" applyProtection="1">
      <protection locked="0"/>
    </xf>
    <xf numFmtId="0" fontId="0" fillId="0" borderId="0" xfId="0" applyProtection="1">
      <protection locked="0"/>
    </xf>
    <xf numFmtId="0" fontId="1" fillId="0" borderId="0" xfId="0" applyFont="1"/>
    <xf numFmtId="0" fontId="0" fillId="0" borderId="0" xfId="0"/>
    <xf numFmtId="3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Calc!$D$3</c:f>
          <c:strCache>
            <c:ptCount val="1"/>
            <c:pt idx="0">
              <c:v>Sum_All - CO2_MTons (MTons) - All_NRGs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1423351424214021E-2"/>
          <c:y val="0.15319444444444447"/>
          <c:w val="0.68697916813829929"/>
          <c:h val="0.72088764946048411"/>
        </c:manualLayout>
      </c:layout>
      <c:lineChart>
        <c:grouping val="standard"/>
        <c:varyColors val="0"/>
        <c:ser>
          <c:idx val="1"/>
          <c:order val="0"/>
          <c:marker>
            <c:symbol val="none"/>
          </c:marker>
          <c:val>
            <c:numRef>
              <c:f>Calc!$C$6</c:f>
              <c:numCache>
                <c:formatCode>#,##0</c:formatCode>
                <c:ptCount val="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106-4B01-8BFD-FFC9BCD425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9876352"/>
        <c:axId val="26624208"/>
      </c:lineChart>
      <c:catAx>
        <c:axId val="2498763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Years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624208"/>
        <c:crosses val="autoZero"/>
        <c:auto val="1"/>
        <c:lblAlgn val="ctr"/>
        <c:lblOffset val="100"/>
        <c:noMultiLvlLbl val="0"/>
      </c:catAx>
      <c:valAx>
        <c:axId val="26624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987635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031941805679941"/>
          <c:y val="0.20651574803149605"/>
          <c:w val="0.15829157932736393"/>
          <c:h val="0.6012736949547972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Calc!$D$3</c:f>
          <c:strCache>
            <c:ptCount val="1"/>
            <c:pt idx="0">
              <c:v>Sum_All - CO2_MTons (MTons) - All_NRGs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8258475637534283E-2"/>
          <c:y val="0.18097222222222226"/>
          <c:w val="0.75668559883316"/>
          <c:h val="0.72088764946048411"/>
        </c:manualLayout>
      </c:layout>
      <c:barChart>
        <c:barDir val="col"/>
        <c:grouping val="stacked"/>
        <c:varyColors val="0"/>
        <c:ser>
          <c:idx val="1"/>
          <c:order val="0"/>
          <c:invertIfNegative val="0"/>
          <c:val>
            <c:numRef>
              <c:f>Calc!$C$6</c:f>
              <c:numCache>
                <c:formatCode>#,##0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547D-4CC8-90FB-A91D24FFEC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49876352"/>
        <c:axId val="26624208"/>
      </c:barChart>
      <c:catAx>
        <c:axId val="249876352"/>
        <c:scaling>
          <c:orientation val="minMax"/>
        </c:scaling>
        <c:delete val="0"/>
        <c:axPos val="b"/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624208"/>
        <c:crosses val="autoZero"/>
        <c:auto val="1"/>
        <c:lblAlgn val="ctr"/>
        <c:lblOffset val="100"/>
        <c:noMultiLvlLbl val="0"/>
      </c:catAx>
      <c:valAx>
        <c:axId val="26624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987635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7831708918590157"/>
          <c:y val="0.22040463692038495"/>
          <c:w val="0.10019262451479162"/>
          <c:h val="0.6592249927092446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348020</xdr:colOff>
      <xdr:row>7</xdr:row>
      <xdr:rowOff>121504</xdr:rowOff>
    </xdr:from>
    <xdr:to>
      <xdr:col>2</xdr:col>
      <xdr:colOff>25290</xdr:colOff>
      <xdr:row>8</xdr:row>
      <xdr:rowOff>143275</xdr:rowOff>
    </xdr:to>
    <xdr:sp macro="[0]!Line_Bar" textlink="">
      <xdr:nvSpPr>
        <xdr:cNvPr id="3" name="Line4Bar">
          <a:extLst>
            <a:ext uri="{FF2B5EF4-FFF2-40B4-BE49-F238E27FC236}">
              <a16:creationId xmlns:a16="http://schemas.microsoft.com/office/drawing/2014/main" id="{4FAC2F9A-9352-8EC7-A994-E8B5D0092ECE}"/>
            </a:ext>
          </a:extLst>
        </xdr:cNvPr>
        <xdr:cNvSpPr/>
      </xdr:nvSpPr>
      <xdr:spPr>
        <a:xfrm>
          <a:off x="348020" y="1421386"/>
          <a:ext cx="884304" cy="207469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100"/>
            <a:t>     To Bar</a:t>
          </a:r>
        </a:p>
      </xdr:txBody>
    </xdr:sp>
    <xdr:clientData/>
  </xdr:twoCellAnchor>
  <xdr:twoCellAnchor>
    <xdr:from>
      <xdr:col>3</xdr:col>
      <xdr:colOff>95250</xdr:colOff>
      <xdr:row>1</xdr:row>
      <xdr:rowOff>17689</xdr:rowOff>
    </xdr:from>
    <xdr:to>
      <xdr:col>13</xdr:col>
      <xdr:colOff>987878</xdr:colOff>
      <xdr:row>15</xdr:row>
      <xdr:rowOff>170089</xdr:rowOff>
    </xdr:to>
    <xdr:graphicFrame macro="">
      <xdr:nvGraphicFramePr>
        <xdr:cNvPr id="5" name="Comparison">
          <a:extLst>
            <a:ext uri="{FF2B5EF4-FFF2-40B4-BE49-F238E27FC236}">
              <a16:creationId xmlns:a16="http://schemas.microsoft.com/office/drawing/2014/main" id="{0FA16ADE-0337-5D3E-AFBC-A583082E128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348020</xdr:colOff>
      <xdr:row>7</xdr:row>
      <xdr:rowOff>121504</xdr:rowOff>
    </xdr:from>
    <xdr:to>
      <xdr:col>2</xdr:col>
      <xdr:colOff>25290</xdr:colOff>
      <xdr:row>8</xdr:row>
      <xdr:rowOff>143275</xdr:rowOff>
    </xdr:to>
    <xdr:sp macro="[0]!Line_Bar" textlink="">
      <xdr:nvSpPr>
        <xdr:cNvPr id="2" name="Line4Bar">
          <a:extLst>
            <a:ext uri="{FF2B5EF4-FFF2-40B4-BE49-F238E27FC236}">
              <a16:creationId xmlns:a16="http://schemas.microsoft.com/office/drawing/2014/main" id="{A7D38CE4-CB3C-4360-8F17-A31313805921}"/>
            </a:ext>
          </a:extLst>
        </xdr:cNvPr>
        <xdr:cNvSpPr/>
      </xdr:nvSpPr>
      <xdr:spPr>
        <a:xfrm>
          <a:off x="348020" y="1416904"/>
          <a:ext cx="882863" cy="206828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100"/>
            <a:t>    To Line</a:t>
          </a:r>
        </a:p>
      </xdr:txBody>
    </xdr:sp>
    <xdr:clientData/>
  </xdr:twoCellAnchor>
  <xdr:twoCellAnchor>
    <xdr:from>
      <xdr:col>3</xdr:col>
      <xdr:colOff>95251</xdr:colOff>
      <xdr:row>1</xdr:row>
      <xdr:rowOff>17689</xdr:rowOff>
    </xdr:from>
    <xdr:to>
      <xdr:col>13</xdr:col>
      <xdr:colOff>478972</xdr:colOff>
      <xdr:row>15</xdr:row>
      <xdr:rowOff>170089</xdr:rowOff>
    </xdr:to>
    <xdr:graphicFrame macro="">
      <xdr:nvGraphicFramePr>
        <xdr:cNvPr id="3" name="Comparison">
          <a:extLst>
            <a:ext uri="{FF2B5EF4-FFF2-40B4-BE49-F238E27FC236}">
              <a16:creationId xmlns:a16="http://schemas.microsoft.com/office/drawing/2014/main" id="{FEE04F21-1E33-4F38-A8A9-AA1EF0F281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6A9A7B-A228-4F75-941F-BBF6AD6C26D0}">
  <sheetPr codeName="Sheet1"/>
  <dimension ref="A1:D6"/>
  <sheetViews>
    <sheetView workbookViewId="0">
      <selection activeCell="D1" sqref="D1"/>
    </sheetView>
  </sheetViews>
  <sheetFormatPr defaultRowHeight="14.6" x14ac:dyDescent="0.85"/>
  <sheetData>
    <row r="1" spans="1:4" x14ac:dyDescent="0.85">
      <c r="A1" t="s">
        <v>0</v>
      </c>
      <c r="C1" t="s">
        <v>29</v>
      </c>
      <c r="D1">
        <v>3</v>
      </c>
    </row>
    <row r="2" spans="1:4" x14ac:dyDescent="0.85">
      <c r="A2" t="s">
        <v>57</v>
      </c>
    </row>
    <row r="3" spans="1:4" x14ac:dyDescent="0.85"/>
    <row r="4" spans="1:4" x14ac:dyDescent="0.85"/>
    <row r="5" spans="1:4" x14ac:dyDescent="0.85"/>
    <row r="6" spans="1:4" x14ac:dyDescent="0.85"/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6BA2E1-F421-4E99-BD52-4ED1AAC9DD52}">
  <sheetPr codeName="Sheet16"/>
  <dimension ref="A1:K16"/>
  <sheetViews>
    <sheetView workbookViewId="0">
      <selection activeCell="M5" sqref="M5"/>
    </sheetView>
  </sheetViews>
  <sheetFormatPr defaultRowHeight="14.6" x14ac:dyDescent="0.85"/>
  <cols>
    <col min="1" max="3" width="12.07421875" customWidth="1"/>
    <col min="4" max="4" width="14.69140625" customWidth="1"/>
    <col min="5" max="5" width="1.65234375" bestFit="1" customWidth="1"/>
    <col min="6" max="6" width="9.15234375" customWidth="1"/>
    <col min="7" max="7" width="10.73046875" bestFit="1" customWidth="1"/>
    <col min="9" max="9" width="9.765625" bestFit="1" customWidth="1"/>
    <col min="10" max="10" width="9.73046875" bestFit="1" customWidth="1"/>
    <col min="11" max="11" width="12" bestFit="1" customWidth="1"/>
    <col min="12" max="12" width="10.23046875" bestFit="1" customWidth="1"/>
  </cols>
  <sheetData>
    <row r="1" spans="1:11" s="1" customFormat="1" x14ac:dyDescent="0.85">
      <c r="A1" s="1" t="s">
        <v>8</v>
      </c>
      <c r="B1" s="1" t="s">
        <v>42</v>
      </c>
      <c r="C1" s="1" t="str">
        <f>A1</f>
        <v>Regions</v>
      </c>
      <c r="D1" s="10" t="s">
        <v>9</v>
      </c>
      <c r="E1" s="11"/>
      <c r="F1" s="1" t="s">
        <v>10</v>
      </c>
      <c r="G1" s="1" t="s">
        <v>11</v>
      </c>
      <c r="H1" s="1" t="s">
        <v>12</v>
      </c>
      <c r="I1" s="1" t="s">
        <v>13</v>
      </c>
      <c r="J1" s="1" t="s">
        <v>37</v>
      </c>
      <c r="K1" s="1" t="s">
        <v>36</v>
      </c>
    </row>
    <row r="2" spans="1:11" x14ac:dyDescent="0.85">
      <c r="A2" t="s">
        <v>1</v>
      </c>
      <c r="B2" t="s">
        <v>1</v>
      </c>
      <c r="C2" t="str">
        <f t="shared" ref="C2:C14" si="0">A2</f>
        <v>Sum_All</v>
      </c>
      <c r="D2" s="2" t="s">
        <v>31</v>
      </c>
      <c r="E2" s="2">
        <v>0</v>
      </c>
      <c r="F2" s="2" t="s">
        <v>15</v>
      </c>
      <c r="G2" s="2">
        <v>11</v>
      </c>
      <c r="H2">
        <v>14</v>
      </c>
      <c r="I2" t="s">
        <v>35</v>
      </c>
      <c r="K2">
        <v>7</v>
      </c>
    </row>
    <row r="3" spans="1:11" x14ac:dyDescent="0.85">
      <c r="A3" t="s">
        <v>44</v>
      </c>
      <c r="B3" t="s">
        <v>14</v>
      </c>
      <c r="C3" t="str">
        <f t="shared" si="0"/>
        <v>California</v>
      </c>
      <c r="D3" s="2" t="s">
        <v>32</v>
      </c>
      <c r="E3" s="2">
        <v>1</v>
      </c>
      <c r="F3" s="2" t="s">
        <v>18</v>
      </c>
      <c r="G3" s="2"/>
      <c r="I3" t="s">
        <v>2</v>
      </c>
      <c r="J3">
        <f>_1st_ref</f>
        <v>14</v>
      </c>
      <c r="K3">
        <v>1</v>
      </c>
    </row>
    <row r="4" spans="1:11" x14ac:dyDescent="0.85">
      <c r="A4" t="s">
        <v>45</v>
      </c>
      <c r="B4" t="s">
        <v>16</v>
      </c>
      <c r="C4" t="str">
        <f t="shared" si="0"/>
        <v>Carolinas</v>
      </c>
      <c r="D4" s="2" t="s">
        <v>41</v>
      </c>
      <c r="E4" s="2">
        <v>2</v>
      </c>
      <c r="F4" s="2" t="s">
        <v>18</v>
      </c>
      <c r="G4" s="2"/>
      <c r="I4" t="s">
        <v>3</v>
      </c>
      <c r="J4">
        <f>J3+Param_Count</f>
        <v>25</v>
      </c>
      <c r="K4">
        <v>2</v>
      </c>
    </row>
    <row r="5" spans="1:11" x14ac:dyDescent="0.85">
      <c r="A5" t="s">
        <v>46</v>
      </c>
      <c r="B5" t="s">
        <v>17</v>
      </c>
      <c r="C5" t="str">
        <f t="shared" si="0"/>
        <v>Central</v>
      </c>
      <c r="D5" s="2" t="s">
        <v>33</v>
      </c>
      <c r="E5" s="2">
        <v>3</v>
      </c>
      <c r="F5" s="2" t="s">
        <v>34</v>
      </c>
      <c r="G5" s="2"/>
      <c r="I5" t="s">
        <v>4</v>
      </c>
      <c r="J5">
        <f>J4+Param_Count</f>
        <v>36</v>
      </c>
      <c r="K5">
        <v>3</v>
      </c>
    </row>
    <row r="6" spans="1:11" x14ac:dyDescent="0.85">
      <c r="A6" t="s">
        <v>47</v>
      </c>
      <c r="B6" t="s">
        <v>19</v>
      </c>
      <c r="C6" t="str">
        <f t="shared" si="0"/>
        <v>Florida</v>
      </c>
      <c r="D6" s="2" t="s">
        <v>38</v>
      </c>
      <c r="E6" s="2">
        <v>4</v>
      </c>
      <c r="F6" s="2" t="s">
        <v>34</v>
      </c>
      <c r="G6" s="2"/>
      <c r="I6" t="s">
        <v>5</v>
      </c>
      <c r="J6">
        <f>J5+Param_Count</f>
        <v>47</v>
      </c>
      <c r="K6">
        <v>4</v>
      </c>
    </row>
    <row r="7" spans="1:11" x14ac:dyDescent="0.85">
      <c r="A7" t="s">
        <v>48</v>
      </c>
      <c r="B7" t="s">
        <v>20</v>
      </c>
      <c r="C7" t="str">
        <f t="shared" si="0"/>
        <v>Mid Atlantic</v>
      </c>
      <c r="D7" s="2" t="s">
        <v>39</v>
      </c>
      <c r="E7" s="2">
        <v>5</v>
      </c>
      <c r="F7" s="2" t="s">
        <v>40</v>
      </c>
      <c r="G7" s="2"/>
      <c r="I7" t="s">
        <v>6</v>
      </c>
      <c r="J7">
        <f>J6+Param_Count</f>
        <v>58</v>
      </c>
      <c r="K7">
        <v>5</v>
      </c>
    </row>
    <row r="8" spans="1:11" x14ac:dyDescent="0.85">
      <c r="A8" t="s">
        <v>49</v>
      </c>
      <c r="B8" t="s">
        <v>21</v>
      </c>
      <c r="C8" t="str">
        <f t="shared" si="0"/>
        <v>Mid West</v>
      </c>
      <c r="D8" s="2"/>
      <c r="E8" s="2"/>
      <c r="F8" s="2"/>
      <c r="I8" t="s">
        <v>7</v>
      </c>
      <c r="J8">
        <f>J7+Param_Count</f>
        <v>69</v>
      </c>
      <c r="K8">
        <v>6</v>
      </c>
    </row>
    <row r="9" spans="1:11" x14ac:dyDescent="0.85">
      <c r="A9" t="s">
        <v>50</v>
      </c>
      <c r="B9" t="s">
        <v>22</v>
      </c>
      <c r="C9" t="str">
        <f t="shared" si="0"/>
        <v>North East</v>
      </c>
      <c r="D9" s="1" t="s">
        <v>43</v>
      </c>
    </row>
    <row r="10" spans="1:11" x14ac:dyDescent="0.85">
      <c r="A10" t="s">
        <v>51</v>
      </c>
      <c r="B10" t="s">
        <v>23</v>
      </c>
      <c r="C10" t="str">
        <f t="shared" si="0"/>
        <v>New York</v>
      </c>
      <c r="D10" t="str">
        <f>VLOOKUP(Region,Region_lookup,2,FALSE)</f>
        <v>Sum_All</v>
      </c>
    </row>
    <row r="11" spans="1:11" x14ac:dyDescent="0.85">
      <c r="A11" t="s">
        <v>52</v>
      </c>
      <c r="B11" t="s">
        <v>24</v>
      </c>
      <c r="C11" t="str">
        <f t="shared" si="0"/>
        <v>North West</v>
      </c>
    </row>
    <row r="12" spans="1:11" x14ac:dyDescent="0.85">
      <c r="A12" t="s">
        <v>53</v>
      </c>
      <c r="B12" t="s">
        <v>25</v>
      </c>
      <c r="C12" t="str">
        <f t="shared" si="0"/>
        <v>South East</v>
      </c>
      <c r="F12" s="4" t="s">
        <v>30</v>
      </c>
      <c r="G12" s="4"/>
      <c r="H12" s="4"/>
      <c r="I12" s="4"/>
    </row>
    <row r="13" spans="1:11" x14ac:dyDescent="0.85">
      <c r="A13" t="s">
        <v>54</v>
      </c>
      <c r="B13" t="s">
        <v>26</v>
      </c>
      <c r="C13" t="str">
        <f t="shared" si="0"/>
        <v>South West</v>
      </c>
    </row>
    <row r="14" spans="1:11" x14ac:dyDescent="0.85">
      <c r="A14" t="s">
        <v>55</v>
      </c>
      <c r="B14" t="s">
        <v>27</v>
      </c>
      <c r="C14" t="str">
        <f t="shared" si="0"/>
        <v>Tennessee</v>
      </c>
    </row>
    <row r="15" spans="1:11" x14ac:dyDescent="0.85">
      <c r="A15" t="s">
        <v>56</v>
      </c>
      <c r="B15" t="s">
        <v>28</v>
      </c>
      <c r="C15" t="str">
        <f>A14</f>
        <v>Tennessee</v>
      </c>
    </row>
    <row r="16" spans="1:11" x14ac:dyDescent="0.85">
      <c r="B16" t="s">
        <v>58</v>
      </c>
      <c r="C16" t="s">
        <v>1</v>
      </c>
    </row>
  </sheetData>
  <mergeCells count="1">
    <mergeCell ref="D1:E1"/>
  </mergeCell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56FB76-2A1F-47E5-A2EC-0F2EEF9A49A6}">
  <sheetPr codeName="Sheet3"/>
  <dimension ref="A1:K33"/>
  <sheetViews>
    <sheetView tabSelected="1" zoomScaleNormal="100" workbookViewId="0">
      <selection activeCell="B2" sqref="B2"/>
    </sheetView>
  </sheetViews>
  <sheetFormatPr defaultRowHeight="14.6" x14ac:dyDescent="0.85"/>
  <cols>
    <col min="1" max="1" width="10.765625" style="3" customWidth="1"/>
    <col min="2" max="11" width="7.53515625" style="3" customWidth="1"/>
    <col min="12" max="12" width="14.69140625" style="3" bestFit="1" customWidth="1"/>
    <col min="13" max="13" width="17.421875" style="3" customWidth="1"/>
    <col min="14" max="15" width="15.69140625" style="3" bestFit="1" customWidth="1"/>
    <col min="16" max="16" width="6.73046875" style="3" bestFit="1" customWidth="1"/>
    <col min="17" max="17" width="13.19140625" style="3" bestFit="1" customWidth="1"/>
    <col min="18" max="16384" width="8.921875" style="3"/>
  </cols>
  <sheetData>
    <row r="1" spans="1:11" x14ac:dyDescent="0.85">
      <c r="A1" s="6" t="s">
        <v>1</v>
      </c>
    </row>
    <row r="2" spans="1:11" x14ac:dyDescent="0.85">
      <c r="A2" s="6" t="s">
        <v>39</v>
      </c>
      <c r="D2" s="12"/>
      <c r="E2" s="11"/>
      <c r="F2" s="11"/>
      <c r="G2" s="11"/>
      <c r="H2" s="11"/>
      <c r="I2" s="11"/>
      <c r="J2" s="11"/>
      <c r="K2" s="11"/>
    </row>
    <row r="3" spans="1:11" x14ac:dyDescent="0.85">
      <c r="A3" s="6" t="s">
        <v>35</v>
      </c>
    </row>
    <row r="4" spans="1:11" x14ac:dyDescent="0.85"/>
    <row r="5" spans="1:11" x14ac:dyDescent="0.85"/>
    <row r="6" spans="1:11" x14ac:dyDescent="0.85"/>
    <row r="7" spans="1:11" x14ac:dyDescent="0.85"/>
    <row r="8" spans="1:11" x14ac:dyDescent="0.85"/>
    <row r="9" spans="1:11" x14ac:dyDescent="0.85"/>
    <row r="10" spans="1:11" x14ac:dyDescent="0.85"/>
    <row r="11" spans="1:11" x14ac:dyDescent="0.85"/>
    <row r="12" spans="1:11" x14ac:dyDescent="0.85"/>
    <row r="13" spans="1:11" x14ac:dyDescent="0.85"/>
    <row r="14" spans="1:11" x14ac:dyDescent="0.85"/>
    <row r="15" spans="1:11" x14ac:dyDescent="0.85"/>
    <row r="16" spans="1:11" x14ac:dyDescent="0.85"/>
    <row r="17" x14ac:dyDescent="0.85"/>
    <row r="18" x14ac:dyDescent="0.85"/>
    <row r="19" x14ac:dyDescent="0.85"/>
    <row r="20" x14ac:dyDescent="0.85"/>
    <row r="21" x14ac:dyDescent="0.85"/>
    <row r="22" x14ac:dyDescent="0.85"/>
    <row r="23" x14ac:dyDescent="0.85"/>
    <row r="24" x14ac:dyDescent="0.85"/>
    <row r="25" x14ac:dyDescent="0.85"/>
    <row r="26" x14ac:dyDescent="0.85"/>
    <row r="27" x14ac:dyDescent="0.85"/>
    <row r="28" x14ac:dyDescent="0.85"/>
    <row r="29" x14ac:dyDescent="0.85"/>
    <row r="30" x14ac:dyDescent="0.85"/>
    <row r="31" x14ac:dyDescent="0.85"/>
    <row r="32" x14ac:dyDescent="0.85"/>
    <row r="33" x14ac:dyDescent="0.85"/>
  </sheetData>
  <mergeCells count="1">
    <mergeCell ref="D2:K2"/>
  </mergeCells>
  <dataValidations disablePrompts="1" count="3">
    <dataValidation type="list" allowBlank="1" showInputMessage="1" showErrorMessage="1" sqref="A2" xr:uid="{2906BB6A-E169-4BB4-B5C9-4A048FA3A3EB}">
      <formula1>Params</formula1>
    </dataValidation>
    <dataValidation type="list" showInputMessage="1" showErrorMessage="1" sqref="A1" xr:uid="{E29B4DE8-1DCE-428B-9D97-BB9A7749BE8B}">
      <formula1>Regions</formula1>
    </dataValidation>
    <dataValidation type="list" allowBlank="1" showInputMessage="1" showErrorMessage="1" sqref="A3" xr:uid="{6814C036-4AA4-4AD5-BE43-F52ACDE110A7}">
      <formula1>NRG_Selections</formula1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336304-3C25-4609-B384-BC67A8B4038C}">
  <sheetPr codeName="Sheet4"/>
  <dimension ref="A1:K33"/>
  <sheetViews>
    <sheetView zoomScaleNormal="100" workbookViewId="0">
      <selection activeCell="B3" sqref="B3"/>
    </sheetView>
  </sheetViews>
  <sheetFormatPr defaultRowHeight="14.6" x14ac:dyDescent="0.85"/>
  <cols>
    <col min="1" max="1" width="10.69140625" style="3" customWidth="1"/>
    <col min="2" max="11" width="7.53515625" style="3" customWidth="1"/>
    <col min="12" max="12" width="14.69140625" style="3" bestFit="1" customWidth="1"/>
    <col min="13" max="13" width="17.421875" style="3" customWidth="1"/>
    <col min="14" max="15" width="15.69140625" style="3" bestFit="1" customWidth="1"/>
    <col min="16" max="16" width="6.73046875" style="3" bestFit="1" customWidth="1"/>
    <col min="17" max="17" width="13.19140625" style="3" bestFit="1" customWidth="1"/>
    <col min="18" max="16384" width="8.921875" style="3"/>
  </cols>
  <sheetData>
    <row r="1" spans="1:11" x14ac:dyDescent="0.85">
      <c r="A1" s="6" t="s">
        <v>1</v>
      </c>
    </row>
    <row r="2" spans="1:11" x14ac:dyDescent="0.85">
      <c r="A2" s="6" t="s">
        <v>39</v>
      </c>
      <c r="D2" s="12"/>
      <c r="E2" s="11"/>
      <c r="F2" s="11"/>
      <c r="G2" s="11"/>
      <c r="H2" s="11"/>
      <c r="I2" s="11"/>
      <c r="J2" s="11"/>
      <c r="K2" s="11"/>
    </row>
    <row r="3" spans="1:11" x14ac:dyDescent="0.85">
      <c r="A3" s="5" t="s">
        <v>59</v>
      </c>
      <c r="B3" s="7">
        <v>3</v>
      </c>
    </row>
    <row r="4" spans="1:11" x14ac:dyDescent="0.85"/>
    <row r="5" spans="1:11" x14ac:dyDescent="0.85"/>
    <row r="6" spans="1:11" x14ac:dyDescent="0.85"/>
    <row r="7" spans="1:11" x14ac:dyDescent="0.85"/>
    <row r="8" spans="1:11" x14ac:dyDescent="0.85"/>
    <row r="9" spans="1:11" x14ac:dyDescent="0.85"/>
    <row r="10" spans="1:11" x14ac:dyDescent="0.85"/>
    <row r="11" spans="1:11" x14ac:dyDescent="0.85"/>
    <row r="12" spans="1:11" x14ac:dyDescent="0.85"/>
    <row r="13" spans="1:11" x14ac:dyDescent="0.85"/>
    <row r="14" spans="1:11" x14ac:dyDescent="0.85"/>
    <row r="15" spans="1:11" x14ac:dyDescent="0.85"/>
    <row r="16" spans="1:11" x14ac:dyDescent="0.85"/>
    <row r="17" x14ac:dyDescent="0.85"/>
    <row r="18" x14ac:dyDescent="0.85"/>
    <row r="19" x14ac:dyDescent="0.85"/>
    <row r="20" x14ac:dyDescent="0.85"/>
    <row r="21" x14ac:dyDescent="0.85"/>
    <row r="22" x14ac:dyDescent="0.85"/>
    <row r="23" x14ac:dyDescent="0.85"/>
    <row r="24" x14ac:dyDescent="0.85"/>
    <row r="25" x14ac:dyDescent="0.85"/>
    <row r="26" x14ac:dyDescent="0.85"/>
    <row r="27" x14ac:dyDescent="0.85"/>
    <row r="28" x14ac:dyDescent="0.85"/>
    <row r="29" x14ac:dyDescent="0.85"/>
    <row r="30" x14ac:dyDescent="0.85"/>
    <row r="31" x14ac:dyDescent="0.85"/>
    <row r="32" x14ac:dyDescent="0.85"/>
    <row r="33" x14ac:dyDescent="0.85"/>
  </sheetData>
  <mergeCells count="1">
    <mergeCell ref="D2:K2"/>
  </mergeCells>
  <dataValidations count="3">
    <dataValidation type="list" showInputMessage="1" showErrorMessage="1" sqref="A1" xr:uid="{1D0B8FAF-690E-4641-AD6A-66D54438218F}">
      <formula1>Regions</formula1>
    </dataValidation>
    <dataValidation type="list" allowBlank="1" showInputMessage="1" showErrorMessage="1" sqref="A2" xr:uid="{E5F8F2AC-C890-43A2-BD9E-6608C9249705}">
      <formula1>Params</formula1>
    </dataValidation>
    <dataValidation type="custom" allowBlank="1" showInputMessage="1" showErrorMessage="1" sqref="B3" xr:uid="{EA6DC2BC-95ED-43F0-96D2-AB094A0EC61D}">
      <formula1>AND(B3&gt;=0,B3&lt;=Years)</formula1>
    </dataValidation>
  </dataValidation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8C4687-86D3-401A-8461-46BD18D54FFA}">
  <sheetPr codeName="Sheet2"/>
  <dimension ref="A1:Z33"/>
  <sheetViews>
    <sheetView workbookViewId="0">
      <selection activeCell="B3" sqref="B3"/>
    </sheetView>
  </sheetViews>
  <sheetFormatPr defaultColWidth="15.03515625" defaultRowHeight="14.6" x14ac:dyDescent="0.85"/>
  <cols>
    <col min="1" max="1" width="15.03515625" style="3"/>
    <col min="2" max="2" width="4.19140625" style="8" bestFit="1" customWidth="1"/>
    <col min="3" max="26" width="15.03515625" style="8"/>
    <col min="27" max="16384" width="15.03515625" style="3"/>
  </cols>
  <sheetData>
    <row r="1" spans="1:4" x14ac:dyDescent="0.85">
      <c r="A1" s="3" t="str">
        <f>Graph!$A$1</f>
        <v>Sum_All</v>
      </c>
    </row>
    <row r="2" spans="1:4" x14ac:dyDescent="0.85">
      <c r="A2" s="3" t="str">
        <f>Graph!$A$2</f>
        <v>CO2_MTons</v>
      </c>
    </row>
    <row r="3" spans="1:4" x14ac:dyDescent="0.85">
      <c r="A3" s="3" t="str">
        <f>Graph!$A$3</f>
        <v>All_NRGs</v>
      </c>
      <c r="B3" s="3">
        <f>VLOOKUP($A$3,NRG_Table,3,FALSE)</f>
        <v>7</v>
      </c>
      <c r="D3" s="8" t="str">
        <f>$A$1 &amp; " - " &amp; $A$2 &amp; " (" &amp; VLOOKUP(A2,Param_Table,3,FALSE) &amp; ") - " &amp; A3</f>
        <v>Sum_All - CO2_MTons (MTons) - All_NRGs</v>
      </c>
    </row>
    <row r="4" spans="1:4" x14ac:dyDescent="0.85"/>
    <row r="5" spans="1:4" x14ac:dyDescent="0.85">
      <c r="B5" s="8" t="s">
        <v>59</v>
      </c>
    </row>
    <row r="6" spans="1:4" x14ac:dyDescent="0.85"/>
    <row r="7" spans="1:4" x14ac:dyDescent="0.85"/>
    <row r="8" spans="1:4" x14ac:dyDescent="0.85"/>
    <row r="9" spans="1:4" x14ac:dyDescent="0.85"/>
    <row r="10" spans="1:4" x14ac:dyDescent="0.85"/>
    <row r="11" spans="1:4" x14ac:dyDescent="0.85"/>
    <row r="12" spans="1:4" x14ac:dyDescent="0.85"/>
    <row r="13" spans="1:4" x14ac:dyDescent="0.85"/>
    <row r="14" spans="1:4" x14ac:dyDescent="0.85"/>
    <row r="15" spans="1:4" x14ac:dyDescent="0.85"/>
    <row r="16" spans="1:4" x14ac:dyDescent="0.85"/>
    <row r="17" x14ac:dyDescent="0.85"/>
    <row r="18" x14ac:dyDescent="0.85"/>
    <row r="19" x14ac:dyDescent="0.85"/>
    <row r="20" x14ac:dyDescent="0.85"/>
    <row r="21" x14ac:dyDescent="0.85"/>
    <row r="22" x14ac:dyDescent="0.85"/>
    <row r="23" x14ac:dyDescent="0.85"/>
    <row r="24" x14ac:dyDescent="0.85"/>
    <row r="25" x14ac:dyDescent="0.85"/>
    <row r="26" x14ac:dyDescent="0.85"/>
    <row r="27" x14ac:dyDescent="0.85"/>
    <row r="28" x14ac:dyDescent="0.85"/>
    <row r="29" x14ac:dyDescent="0.85"/>
    <row r="30" x14ac:dyDescent="0.85"/>
    <row r="31" x14ac:dyDescent="0.85"/>
    <row r="32" x14ac:dyDescent="0.85"/>
    <row r="33" x14ac:dyDescent="0.85"/>
  </sheetData>
  <sheetProtection sheet="1" objects="1" scenarios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798066-5324-40CB-9EB9-1929A513EC1C}">
  <sheetPr codeName="Sheet5"/>
  <dimension ref="A1:Z33"/>
  <sheetViews>
    <sheetView workbookViewId="0">
      <selection activeCell="B5" sqref="B5"/>
    </sheetView>
  </sheetViews>
  <sheetFormatPr defaultColWidth="15.03515625" defaultRowHeight="14.6" x14ac:dyDescent="0.85"/>
  <cols>
    <col min="1" max="1" width="15.03515625" style="3"/>
    <col min="2" max="2" width="12.8828125" style="8" customWidth="1"/>
    <col min="3" max="26" width="15.03515625" style="8"/>
    <col min="27" max="16384" width="15.03515625" style="3"/>
  </cols>
  <sheetData>
    <row r="1" spans="1:4" x14ac:dyDescent="0.85">
      <c r="A1" s="3" t="str">
        <f>Graph_1y!$A$1</f>
        <v>Sum_All</v>
      </c>
    </row>
    <row r="2" spans="1:4" x14ac:dyDescent="0.85">
      <c r="A2" s="3" t="str">
        <f>Graph_1y!$A$2</f>
        <v>CO2_MTons</v>
      </c>
    </row>
    <row r="3" spans="1:4" x14ac:dyDescent="0.85">
      <c r="A3" s="3" t="s">
        <v>59</v>
      </c>
      <c r="B3" s="3">
        <f>Graph_1y!$B$3</f>
        <v>3</v>
      </c>
      <c r="D3" s="8" t="str">
        <f>$A$1 &amp; " - " &amp; $A$2 &amp; " (" &amp; VLOOKUP(A2,Param_Table,3,FALSE) &amp; ") - " &amp; A3</f>
        <v>Sum_All - CO2_MTons (MTons) - Year</v>
      </c>
    </row>
    <row r="4" spans="1:4" x14ac:dyDescent="0.85"/>
    <row r="5" spans="1:4" x14ac:dyDescent="0.85">
      <c r="B5" s="8">
        <v>-1</v>
      </c>
    </row>
    <row r="6" spans="1:4" x14ac:dyDescent="0.85">
      <c r="B6" s="9"/>
    </row>
    <row r="7" spans="1:4" x14ac:dyDescent="0.85">
      <c r="B7" s="9"/>
    </row>
    <row r="8" spans="1:4" x14ac:dyDescent="0.85">
      <c r="B8" s="9"/>
    </row>
    <row r="9" spans="1:4" x14ac:dyDescent="0.85">
      <c r="B9" s="9"/>
    </row>
    <row r="10" spans="1:4" x14ac:dyDescent="0.85">
      <c r="B10" s="9"/>
    </row>
    <row r="11" spans="1:4" x14ac:dyDescent="0.85">
      <c r="B11" s="9"/>
    </row>
    <row r="12" spans="1:4" x14ac:dyDescent="0.85"/>
    <row r="13" spans="1:4" x14ac:dyDescent="0.85"/>
    <row r="14" spans="1:4" x14ac:dyDescent="0.85"/>
    <row r="15" spans="1:4" x14ac:dyDescent="0.85"/>
    <row r="16" spans="1:4" x14ac:dyDescent="0.85"/>
    <row r="17" x14ac:dyDescent="0.85"/>
    <row r="18" x14ac:dyDescent="0.85"/>
    <row r="19" x14ac:dyDescent="0.85"/>
    <row r="20" x14ac:dyDescent="0.85"/>
    <row r="21" x14ac:dyDescent="0.85"/>
    <row r="22" x14ac:dyDescent="0.85"/>
    <row r="23" x14ac:dyDescent="0.85"/>
    <row r="24" x14ac:dyDescent="0.85"/>
    <row r="25" x14ac:dyDescent="0.85"/>
    <row r="26" x14ac:dyDescent="0.85"/>
    <row r="27" x14ac:dyDescent="0.85"/>
    <row r="28" x14ac:dyDescent="0.85"/>
    <row r="29" x14ac:dyDescent="0.85"/>
    <row r="30" x14ac:dyDescent="0.85"/>
    <row r="31" x14ac:dyDescent="0.85"/>
    <row r="32" x14ac:dyDescent="0.85"/>
    <row r="33" x14ac:dyDescent="0.85"/>
  </sheetData>
  <sheetProtection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22</vt:i4>
      </vt:variant>
    </vt:vector>
  </HeadingPairs>
  <TitlesOfParts>
    <vt:vector size="28" baseType="lpstr">
      <vt:lpstr>Cases</vt:lpstr>
      <vt:lpstr>Reference</vt:lpstr>
      <vt:lpstr>Graph</vt:lpstr>
      <vt:lpstr>Graph_1y</vt:lpstr>
      <vt:lpstr>Calc</vt:lpstr>
      <vt:lpstr>Calc_1y</vt:lpstr>
      <vt:lpstr>_1st_ref</vt:lpstr>
      <vt:lpstr>Case_Count</vt:lpstr>
      <vt:lpstr>First_Case</vt:lpstr>
      <vt:lpstr>NRG_Selections</vt:lpstr>
      <vt:lpstr>NRG_Table</vt:lpstr>
      <vt:lpstr>NRGs</vt:lpstr>
      <vt:lpstr>Param_Count</vt:lpstr>
      <vt:lpstr>Param_Table</vt:lpstr>
      <vt:lpstr>Params</vt:lpstr>
      <vt:lpstr>Parm_Count</vt:lpstr>
      <vt:lpstr>Region</vt:lpstr>
      <vt:lpstr>Region_1y</vt:lpstr>
      <vt:lpstr>Region_abbr</vt:lpstr>
      <vt:lpstr>Region_lookup</vt:lpstr>
      <vt:lpstr>Regions</vt:lpstr>
      <vt:lpstr>Selected_NRG</vt:lpstr>
      <vt:lpstr>Selected_Year</vt:lpstr>
      <vt:lpstr>Table_Corner</vt:lpstr>
      <vt:lpstr>Table_Corner_1y</vt:lpstr>
      <vt:lpstr>To_Long</vt:lpstr>
      <vt:lpstr>Year_1y</vt:lpstr>
      <vt:lpstr>Years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Cliff Gold</dc:creator>
  <cp:lastModifiedBy>Cliff Gold</cp:lastModifiedBy>
  <dcterms:created xsi:type="dcterms:W3CDTF">2023-10-26T21:09:11Z</dcterms:created>
  <dcterms:modified xsi:type="dcterms:W3CDTF">2024-03-10T22:49:26Z</dcterms:modified>
</cp:coreProperties>
</file>