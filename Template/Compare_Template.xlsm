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84E00F1C-DF59-4496-B554-30C6A12F8193}" xr6:coauthVersionLast="47" xr6:coauthVersionMax="47" xr10:uidLastSave="{00000000-0000-0000-0000-000000000000}"/>
  <bookViews>
    <workbookView xWindow="-90" yWindow="-90" windowWidth="16637" windowHeight="9437" activeTab="4" xr2:uid="{8C7994C1-A10A-4AD4-8C33-2FA8764EDF37}"/>
  </bookViews>
  <sheets>
    <sheet name="Cases" sheetId="1" r:id="rId1"/>
    <sheet name="Graph" sheetId="3" r:id="rId2"/>
    <sheet name="Graph_1y" sheetId="6" r:id="rId3"/>
    <sheet name="Calc" sheetId="5" r:id="rId4"/>
    <sheet name="Calc_1y" sheetId="7" r:id="rId5"/>
  </sheets>
  <definedNames>
    <definedName name="Case_Count">Cases!$B$1</definedName>
    <definedName name="First_Case">Cases!$A$2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Calc_1y!$A$3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B3" i="7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<sst xmlns="http://schemas.openxmlformats.org/spreadsheetml/2006/main" count="11" uniqueCount="7">
  <si>
    <t>Cases</t>
  </si>
  <si>
    <t>Years</t>
  </si>
  <si>
    <t>All_NRGs</t>
  </si>
  <si>
    <t>CO2_MTons</t>
  </si>
  <si>
    <t>Year</t>
  </si>
  <si>
    <t>Entire US</t>
  </si>
  <si>
    <t>Results_CO2-500_US.xlsm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</si>
</sst>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869791681382992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invertIfNegative val="0"/>
          <c:val>
            <c:numRef>
              <c:f>Calc!$C$6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20651574803149605"/>
          <c:w val="7.222417094432472E-2"/>
          <c:h val="0.5873848060659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8.1128488466650509E-2"/>
          <c:h val="0.468753280839895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17689</xdr:rowOff>
    </xdr:from>
    <xdr:to>
      <xdr:col>13</xdr:col>
      <xdr:colOff>478972</xdr:colOff>
      <xdr:row>15</xdr:row>
      <xdr:rowOff>170089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F5" sqref="F5"/>
    </sheetView>
  </sheetViews>
  <sheetFormatPr defaultRowHeight="14.6" x14ac:dyDescent="0.85"/>
  <sheetData>
    <row r="1" spans="1:4" x14ac:dyDescent="0.85">
      <c r="A1" t="s">
        <v>0</v>
      </c>
      <c r="C1" t="s">
        <v>1</v>
      </c>
      <c r="D1">
        <v>3</v>
      </c>
    </row>
    <row r="2" spans="1:4" x14ac:dyDescent="0.85">
      <c r="A2" t="s">
        <v>6</v>
      </c>
    </row>
    <row r="3" spans="1:4" x14ac:dyDescent="0.85"/>
    <row r="4" spans="1:4" x14ac:dyDescent="0.85"/>
    <row r="5" spans="1:4" x14ac:dyDescent="0.85"/>
    <row r="6" spans="1:4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B5" sqref="B5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7"/>
      <c r="E2" s="8"/>
      <c r="F2" s="8"/>
      <c r="G2" s="8"/>
      <c r="H2" s="8"/>
      <c r="I2" s="8"/>
      <c r="J2" s="8"/>
      <c r="K2" s="8"/>
    </row>
    <row r="3" spans="1:11" x14ac:dyDescent="0.85">
      <c r="A3" s="3" t="s">
        <v>2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7"/>
      <c r="E2" s="8"/>
      <c r="F2" s="8"/>
      <c r="G2" s="8"/>
      <c r="H2" s="8"/>
      <c r="I2" s="8"/>
      <c r="J2" s="8"/>
      <c r="K2" s="8"/>
    </row>
    <row r="3" spans="1:11" x14ac:dyDescent="0.85">
      <c r="A3" s="2" t="s">
        <v>4</v>
      </c>
      <c r="B3" s="4">
        <v>3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5" sqref="B5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4" x14ac:dyDescent="0.85">
      <c r="A1" s="1" t="str">
        <f>Graph!$A$1</f>
        <v>Entire US</v>
      </c>
    </row>
    <row r="2" spans="1:4" x14ac:dyDescent="0.85">
      <c r="A2" s="1" t="str">
        <f>Graph!$A$2</f>
        <v>CO2_MTons</v>
      </c>
    </row>
    <row r="3" spans="1:4" x14ac:dyDescent="0.85">
      <c r="A3" s="1" t="str">
        <f>Graph!$A$3</f>
        <v>All_NRGs</v>
      </c>
      <c r="B3" s="1" t="e">
        <f>VLOOKUP($A$3,NRG_Table,3,FALSE)</f>
        <v>#NAME?</v>
      </c>
      <c r="D3" s="5" t="e">
        <f>$A$1 &amp; " - " &amp; $A$2 &amp; " (" &amp; VLOOKUP(A2,Param_Table,3,FALSE) &amp; ") - " &amp; A3</f>
        <v>#NAME?</v>
      </c>
    </row>
    <row r="4" spans="1:4" x14ac:dyDescent="0.85"/>
    <row r="5" spans="1:4" x14ac:dyDescent="0.85">
      <c r="B5" s="5" t="s">
        <v>4</v>
      </c>
    </row>
    <row r="6" spans="1:4" x14ac:dyDescent="0.85"/>
    <row r="7" spans="1:4" x14ac:dyDescent="0.85"/>
    <row r="8" spans="1:4" x14ac:dyDescent="0.85"/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tabSelected="1" workbookViewId="0">
      <selection activeCell="D4" sqref="D4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4" x14ac:dyDescent="0.85">
      <c r="A1" s="1" t="str">
        <f>Graph_1y!$A$1</f>
        <v>Entire US</v>
      </c>
    </row>
    <row r="2" spans="1:4" x14ac:dyDescent="0.85">
      <c r="A2" s="1" t="str">
        <f>Graph_1y!$A$2</f>
        <v>CO2_MTons</v>
      </c>
    </row>
    <row r="3" spans="1:4" x14ac:dyDescent="0.85">
      <c r="A3" s="1" t="s">
        <v>4</v>
      </c>
      <c r="B3" s="1">
        <f>Graph_1y!$B$3</f>
        <v>3</v>
      </c>
      <c r="D3" s="5" t="e">
        <f>$A$1 &amp; " - " &amp; $A$2 &amp; " (" &amp; VLOOKUP(A2,Param_Table,3,FALSE) &amp; ") - Year " &amp; $B$3</f>
        <v>#NAME?</v>
      </c>
    </row>
    <row r="4" spans="1:4" x14ac:dyDescent="0.85"/>
    <row r="5" spans="1:4" x14ac:dyDescent="0.85">
      <c r="B5" s="5">
        <v>-1</v>
      </c>
    </row>
    <row r="6" spans="1:4" x14ac:dyDescent="0.85">
      <c r="B6" s="6"/>
    </row>
    <row r="7" spans="1:4" x14ac:dyDescent="0.85">
      <c r="B7" s="6"/>
    </row>
    <row r="8" spans="1:4" x14ac:dyDescent="0.85">
      <c r="B8" s="6"/>
    </row>
    <row r="9" spans="1:4" x14ac:dyDescent="0.85">
      <c r="B9" s="6"/>
    </row>
    <row r="10" spans="1:4" x14ac:dyDescent="0.85">
      <c r="B10" s="6"/>
    </row>
    <row r="11" spans="1:4" x14ac:dyDescent="0.85">
      <c r="B11" s="6"/>
    </row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Cases</vt:lpstr>
      <vt:lpstr>Graph</vt:lpstr>
      <vt:lpstr>Graph_1y</vt:lpstr>
      <vt:lpstr>Calc</vt:lpstr>
      <vt:lpstr>Calc_1y</vt:lpstr>
      <vt:lpstr>Case_Count</vt:lpstr>
      <vt:lpstr>First_Case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2024-03-12T20:40:19Z</dcterms:modified>
</cp:coreProperties>
</file>