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6" documentId="13_ncr:1_{6795354A-D884-4FDC-803D-A18038E8790E}" xr6:coauthVersionLast="47" xr6:coauthVersionMax="47" xr10:uidLastSave="{2EB282D6-A3DC-4BDB-9E9C-8FF8484E6154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Reference!$F$2</definedName>
    <definedName name="Case_Count">Cases!$B$1</definedName>
    <definedName name="First_Case">Cases!$A$2</definedName>
    <definedName name="NRG_Selections">Reference!$G$2:$G$8</definedName>
    <definedName name="NRG_Table">Reference!$G$2:$I$8</definedName>
    <definedName name="NRGs">Reference!$G$2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Selected_NRG">Calc!$B$3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5" l="1"/>
  <c r="B3" i="5" s="1"/>
  <c r="C6" i="5" s="1"/>
  <c r="H3" i="4" l="1"/>
  <c r="H4" i="4" s="1"/>
  <c r="H5" i="4" s="1"/>
  <c r="H6" i="4" s="1"/>
  <c r="H7" i="4" s="1"/>
  <c r="A2" i="5"/>
  <c r="A1" i="5"/>
  <c r="D3" i="5" l="1"/>
  <c r="B6" i="5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<sst xmlns="http://schemas.openxmlformats.org/spreadsheetml/2006/main" count="47" uniqueCount="42">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</sst>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Energy (MWh)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0.1766391284338429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C6"/>
  <sheetViews>
    <sheetView workbookViewId="0">
      <selection activeCell="D1" sqref="D1"/>
    </sheetView>
  </sheetViews>
  <sheetFormatPr defaultRowHeight="14.6" x14ac:dyDescent="0.85"/>
  <sheetData>
    <row r="1" spans="1:3" x14ac:dyDescent="0.85">
      <c r="A1" t="s">
        <v>0</v>
      </c>
      <c r="C1" t="s">
        <v>29</v>
      </c>
    </row>
    <row r="2" spans="1:3" x14ac:dyDescent="0.85"/>
    <row r="3" spans="1:3" x14ac:dyDescent="0.85"/>
    <row r="4" spans="1:3" x14ac:dyDescent="0.85"/>
    <row r="5" spans="1:3" x14ac:dyDescent="0.85"/>
    <row r="6" spans="1:3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5" t="s">
        <v>9</v>
      </c>
      <c r="C1" s="6"/>
      <c r="D1" s="1" t="s">
        <v>10</v>
      </c>
      <c r="E1" s="1" t="s">
        <v>11</v>
      </c>
      <c r="F1" s="1" t="s">
        <v>12</v>
      </c>
      <c r="G1" s="1" t="s">
        <v>13</v>
      </c>
      <c r="H1" s="1" t="s">
        <v>37</v>
      </c>
      <c r="I1" s="1" t="s">
        <v>36</v>
      </c>
    </row>
    <row r="2" spans="1:9" x14ac:dyDescent="0.85">
      <c r="A2" t="s">
        <v>1</v>
      </c>
      <c r="B2" s="2" t="s">
        <v>31</v>
      </c>
      <c r="C2" s="2">
        <v>0</v>
      </c>
      <c r="D2" s="2" t="s">
        <v>15</v>
      </c>
      <c r="E2" s="2">
        <v>11</v>
      </c>
      <c r="F2">
        <v>10</v>
      </c>
      <c r="G2" t="s">
        <v>35</v>
      </c>
      <c r="I2">
        <v>7</v>
      </c>
    </row>
    <row r="3" spans="1:9" x14ac:dyDescent="0.85">
      <c r="A3" t="s">
        <v>14</v>
      </c>
      <c r="B3" s="2" t="s">
        <v>32</v>
      </c>
      <c r="C3" s="2">
        <v>1</v>
      </c>
      <c r="D3" s="2" t="s">
        <v>18</v>
      </c>
      <c r="E3" s="2"/>
      <c r="G3" t="s">
        <v>2</v>
      </c>
      <c r="H3">
        <f>_1st_ref</f>
        <v>10</v>
      </c>
      <c r="I3">
        <v>1</v>
      </c>
    </row>
    <row r="4" spans="1:9" x14ac:dyDescent="0.85">
      <c r="A4" t="s">
        <v>16</v>
      </c>
      <c r="B4" s="2" t="s">
        <v>41</v>
      </c>
      <c r="C4" s="2">
        <v>2</v>
      </c>
      <c r="D4" s="2" t="s">
        <v>18</v>
      </c>
      <c r="E4" s="2"/>
      <c r="G4" t="s">
        <v>3</v>
      </c>
      <c r="H4">
        <f>H3+Param_Count</f>
        <v>21</v>
      </c>
      <c r="I4">
        <v>2</v>
      </c>
    </row>
    <row r="5" spans="1:9" x14ac:dyDescent="0.85">
      <c r="A5" t="s">
        <v>17</v>
      </c>
      <c r="B5" s="2" t="s">
        <v>33</v>
      </c>
      <c r="C5" s="2">
        <v>3</v>
      </c>
      <c r="D5" s="2" t="s">
        <v>34</v>
      </c>
      <c r="E5" s="2"/>
      <c r="G5" t="s">
        <v>4</v>
      </c>
      <c r="H5">
        <f>H4+Param_Count</f>
        <v>32</v>
      </c>
      <c r="I5">
        <v>3</v>
      </c>
    </row>
    <row r="6" spans="1:9" x14ac:dyDescent="0.85">
      <c r="A6" t="s">
        <v>19</v>
      </c>
      <c r="B6" s="2" t="s">
        <v>38</v>
      </c>
      <c r="C6" s="2">
        <v>4</v>
      </c>
      <c r="D6" s="2" t="s">
        <v>34</v>
      </c>
      <c r="E6" s="2"/>
      <c r="G6" t="s">
        <v>5</v>
      </c>
      <c r="H6">
        <f>H5+Param_Count</f>
        <v>43</v>
      </c>
      <c r="I6">
        <v>4</v>
      </c>
    </row>
    <row r="7" spans="1:9" x14ac:dyDescent="0.85">
      <c r="A7" t="s">
        <v>20</v>
      </c>
      <c r="B7" s="2" t="s">
        <v>39</v>
      </c>
      <c r="C7" s="2">
        <v>5</v>
      </c>
      <c r="D7" s="2" t="s">
        <v>40</v>
      </c>
      <c r="E7" s="2"/>
      <c r="G7" t="s">
        <v>6</v>
      </c>
      <c r="H7">
        <f>H6+Param_Count</f>
        <v>54</v>
      </c>
      <c r="I7">
        <v>5</v>
      </c>
    </row>
    <row r="8" spans="1:9" x14ac:dyDescent="0.85">
      <c r="A8" t="s">
        <v>21</v>
      </c>
      <c r="B8" s="2"/>
      <c r="C8" s="2"/>
      <c r="D8" s="2"/>
      <c r="G8" t="s">
        <v>7</v>
      </c>
      <c r="H8">
        <f>H7+Param_Count</f>
        <v>65</v>
      </c>
      <c r="I8">
        <v>6</v>
      </c>
    </row>
    <row r="9" spans="1:9" x14ac:dyDescent="0.85">
      <c r="A9" t="s">
        <v>22</v>
      </c>
    </row>
    <row r="10" spans="1:9" x14ac:dyDescent="0.85">
      <c r="A10" t="s">
        <v>23</v>
      </c>
    </row>
    <row r="11" spans="1:9" x14ac:dyDescent="0.85">
      <c r="A11" t="s">
        <v>24</v>
      </c>
    </row>
    <row r="12" spans="1:9" x14ac:dyDescent="0.85">
      <c r="A12" t="s">
        <v>25</v>
      </c>
      <c r="D12" s="4" t="s">
        <v>30</v>
      </c>
      <c r="E12" s="4"/>
      <c r="F12" s="4"/>
      <c r="G12" s="4"/>
    </row>
    <row r="13" spans="1:9" x14ac:dyDescent="0.85">
      <c r="A13" t="s">
        <v>26</v>
      </c>
    </row>
    <row r="14" spans="1:9" x14ac:dyDescent="0.85">
      <c r="A14" t="s">
        <v>27</v>
      </c>
    </row>
    <row r="15" spans="1:9" x14ac:dyDescent="0.85">
      <c r="A15" t="s">
        <v>28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N12" sqref="N1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3" t="s">
        <v>1</v>
      </c>
    </row>
    <row r="2" spans="1:11" x14ac:dyDescent="0.85">
      <c r="A2" s="3" t="s">
        <v>32</v>
      </c>
      <c r="D2" s="7"/>
      <c r="E2" s="6"/>
      <c r="F2" s="6"/>
      <c r="G2" s="6"/>
      <c r="H2" s="6"/>
      <c r="I2" s="6"/>
      <c r="J2" s="6"/>
      <c r="K2" s="6"/>
    </row>
    <row r="3" spans="1:11" x14ac:dyDescent="0.85">
      <c r="A3" s="3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>
      <selection activeCell="E9" sqref="E9"/>
    </sheetView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Energy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Energy (MWh) - All_NRGs</v>
      </c>
    </row>
    <row r="4" spans="1:4" x14ac:dyDescent="0.85"/>
    <row r="5" spans="1:4" x14ac:dyDescent="0.85">
      <c r="B5" s="3">
        <v>-1</v>
      </c>
    </row>
    <row r="6" spans="1:4" x14ac:dyDescent="0.85">
      <c r="B6" s="3">
        <f>B5+1</f>
        <v>0</v>
      </c>
      <c r="C6" s="3">
        <f>Selected_NRG</f>
        <v>7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Selected_NRG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2024-02-15T01:34:36Z</dcterms:modified>
</cp:coreProperties>
</file>