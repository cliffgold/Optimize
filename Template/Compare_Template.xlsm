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Template\"/>
    </mc:Choice>
  </mc:AlternateContent>
  <xr:revisionPtr revIDLastSave="0" documentId="13_ncr:1_{EA301235-F361-4B19-8C7E-1C667A8D55D8}" xr6:coauthVersionLast="47" xr6:coauthVersionMax="47" xr10:uidLastSave="{00000000-0000-0000-0000-000000000000}"/>
  <bookViews>
    <workbookView xWindow="-90" yWindow="-90" windowWidth="16637" windowHeight="9437" activeTab="1" xr2:uid="{8C7994C1-A10A-4AD4-8C33-2FA8764EDF37}"/>
  </bookViews>
  <sheets>
    <sheet name="Cases" sheetId="1" r:id="rId1"/>
    <sheet name="Reference" sheetId="4" r:id="rId2"/>
    <sheet name="Graph" sheetId="3" r:id="rId3"/>
    <sheet name="Calc" sheetId="5" r:id="rId4"/>
  </sheets>
  <definedNames>
    <definedName name="_1st_ref">Reference!$F$2</definedName>
    <definedName name="Case_Count">Cases!$B$1</definedName>
    <definedName name="First_Case">Cases!$A$2</definedName>
    <definedName name="NRG_Selections">Reference!$G$2:$G$8</definedName>
    <definedName name="NRG_Table">Reference!$G$2:$I$8</definedName>
    <definedName name="NRGs">Reference!$G$2</definedName>
    <definedName name="Param_Count">Reference!$E$2</definedName>
    <definedName name="Param_Table">Reference!$B$2:$D$7</definedName>
    <definedName name="Params">Reference!$B$2:$B$7</definedName>
    <definedName name="Parm_Count">Reference!$E$2</definedName>
    <definedName name="Regions">Reference!$A$2:$A$15</definedName>
    <definedName name="Selected_NRG">Calc!$B$3</definedName>
    <definedName name="Table_Corner">Calc!$B$5</definedName>
    <definedName name="Years">Cases!$D$1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5" l="1"/>
  <c r="B3" i="5" s="1"/>
  <c r="C6" i="5" s="1"/>
  <c r="H3" i="4" l="1"/>
  <c r="H4" i="4" s="1"/>
  <c r="H5" i="4" s="1"/>
  <c r="H6" i="4" s="1"/>
  <c r="H7" i="4" s="1"/>
  <c r="A2" i="5"/>
  <c r="A1" i="5"/>
  <c r="D3" i="5" l="1"/>
  <c r="B6" i="5"/>
  <c r="H8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E2" authorId="0" shapeId="0" xr:uid="{E38691D2-B902-4CD9-9ED5-DF23D2F2979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F2" authorId="0" shapeId="0" xr:uid="{6F162621-69E0-45CC-9AD0-8CD3526EB08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sharedStrings.xml><?xml version="1.0" encoding="utf-8"?>
<sst xmlns="http://schemas.openxmlformats.org/spreadsheetml/2006/main" count="47" uniqueCount="42">
  <si>
    <t>Cases</t>
  </si>
  <si>
    <t>Sum_All</t>
  </si>
  <si>
    <t>Solar</t>
  </si>
  <si>
    <t>Wind</t>
  </si>
  <si>
    <t>Nuclear</t>
  </si>
  <si>
    <t>Gas</t>
  </si>
  <si>
    <t>Coal</t>
  </si>
  <si>
    <t>Storage</t>
  </si>
  <si>
    <t>Regions</t>
  </si>
  <si>
    <t>Params</t>
  </si>
  <si>
    <t>Units</t>
  </si>
  <si>
    <t>Parm_Count</t>
  </si>
  <si>
    <t>1st ref</t>
  </si>
  <si>
    <t>NRG_Table</t>
  </si>
  <si>
    <t>CAL</t>
  </si>
  <si>
    <t>MW</t>
  </si>
  <si>
    <t>CAR</t>
  </si>
  <si>
    <t>CENT</t>
  </si>
  <si>
    <t>MWh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</si>
  <si>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</si>
  <si>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</si>
  <si>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</si>
  <si>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</si>
  <si>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</si>
  <si>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</si>
  <si>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</si>
  <si>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</si>
  <si>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</si>
  <si>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</si>
  <si>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Years</t>
  </si>
  <si>
    <t>Be Sure To Match Results_Template.xlsx</t>
  </si>
  <si>
    <t>Capacity</t>
  </si>
  <si>
    <t>Energy</t>
  </si>
  <si>
    <t>Cost</t>
  </si>
  <si>
    <t>M$</t>
  </si>
  <si>
    <t>All_NRGs</t>
  </si>
  <si>
    <t>Results Offset</t>
  </si>
  <si>
    <t>CSV Offset</t>
  </si>
  <si>
    <t>CO2_Cost</t>
  </si>
  <si>
    <t>CO2_MTons</t>
  </si>
  <si>
    <t>MTons</t>
  </si>
  <si>
    <t>Supply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</si>
</sst>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3" fontId="0" fillId="0" borderId="0" xfId="0" applyNumberFormat="1"/>
    <xf numFmtId="0" fontId="1" fillId="2" borderId="0" xfId="0" applyFont="1" applyFill="1"/>
    <xf numFmtId="0" fontId="1" fillId="0" borderId="0" xfId="0" applyFont="1"/>
    <xf numFmtId="0" fontId="0" fillId="0" borderId="0" xfId="0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Sum_All - Energy (MWh) - All_NRGs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51424214021E-2"/>
          <c:y val="0.15319444444444447"/>
          <c:w val="0.63571587002328933"/>
          <c:h val="0.72088764946048411"/>
        </c:manualLayout>
      </c:layout>
      <c:barChart>
        <c:barDir val="col"/>
        <c:grouping val="stacked"/>
        <c:varyColors val="0"/>
        <c:ser>
          <c:idx val="1"/>
          <c:order val="0"/>
          <c:invertIfNegative val="0"/>
          <c:val>
            <c:numRef>
              <c:f>Calc!$C$6</c:f>
              <c:numCache>
                <c:formatCode>#,##0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876352"/>
        <c:axId val="26624208"/>
      </c:barChart>
      <c:catAx>
        <c:axId val="249876352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031941805679941"/>
          <c:y val="0.52133056284631085"/>
          <c:w val="0.17663912843384297"/>
          <c:h val="7.8125546806649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14</xdr:col>
      <xdr:colOff>560614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C6"/>
  <sheetViews>
    <sheetView workbookViewId="0">
      <selection activeCell="D1" sqref="D1"/>
    </sheetView>
  </sheetViews>
  <sheetFormatPr defaultRowHeight="14.6" x14ac:dyDescent="0.85"/>
  <sheetData>
    <row r="1" spans="1:3" x14ac:dyDescent="0.85">
      <c r="A1" t="s">
        <v>0</v>
      </c>
      <c r="C1" t="s">
        <v>29</v>
      </c>
    </row>
    <row r="2" spans="1:3" x14ac:dyDescent="0.85"/>
    <row r="3" spans="1:3" x14ac:dyDescent="0.85"/>
    <row r="4" spans="1:3" x14ac:dyDescent="0.85"/>
    <row r="5" spans="1:3" x14ac:dyDescent="0.85"/>
    <row r="6" spans="1:3" x14ac:dyDescent="0.8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BA2E1-F421-4E99-BD52-4ED1AAC9DD52}">
  <sheetPr codeName="Sheet16"/>
  <dimension ref="A1:I15"/>
  <sheetViews>
    <sheetView tabSelected="1" workbookViewId="0">
      <selection activeCell="F3" sqref="F3"/>
    </sheetView>
  </sheetViews>
  <sheetFormatPr defaultRowHeight="14.6" x14ac:dyDescent="0.85"/>
  <cols>
    <col min="1" max="1" width="12.07421875" customWidth="1"/>
    <col min="2" max="2" width="14.69140625" customWidth="1"/>
    <col min="3" max="3" width="1.65234375" bestFit="1" customWidth="1"/>
    <col min="4" max="4" width="9.15234375" customWidth="1"/>
    <col min="5" max="5" width="10.73046875" bestFit="1" customWidth="1"/>
    <col min="7" max="7" width="9.765625" bestFit="1" customWidth="1"/>
    <col min="8" max="8" width="9.73046875" bestFit="1" customWidth="1"/>
    <col min="9" max="9" width="12" bestFit="1" customWidth="1"/>
  </cols>
  <sheetData>
    <row r="1" spans="1:9" s="1" customFormat="1" x14ac:dyDescent="0.85">
      <c r="A1" s="1" t="s">
        <v>8</v>
      </c>
      <c r="B1" s="5" t="s">
        <v>9</v>
      </c>
      <c r="C1" s="6"/>
      <c r="D1" s="1" t="s">
        <v>10</v>
      </c>
      <c r="E1" s="1" t="s">
        <v>11</v>
      </c>
      <c r="F1" s="1" t="s">
        <v>12</v>
      </c>
      <c r="G1" s="1" t="s">
        <v>13</v>
      </c>
      <c r="H1" s="1" t="s">
        <v>37</v>
      </c>
      <c r="I1" s="1" t="s">
        <v>36</v>
      </c>
    </row>
    <row r="2" spans="1:9" x14ac:dyDescent="0.85">
      <c r="A2" t="s">
        <v>1</v>
      </c>
      <c r="B2" s="2" t="s">
        <v>31</v>
      </c>
      <c r="C2" s="2">
        <v>0</v>
      </c>
      <c r="D2" s="2" t="s">
        <v>15</v>
      </c>
      <c r="E2" s="2">
        <v>11</v>
      </c>
      <c r="F2">
        <v>14</v>
      </c>
      <c r="G2" t="s">
        <v>35</v>
      </c>
      <c r="I2">
        <v>7</v>
      </c>
    </row>
    <row r="3" spans="1:9" x14ac:dyDescent="0.85">
      <c r="A3" t="s">
        <v>14</v>
      </c>
      <c r="B3" s="2" t="s">
        <v>32</v>
      </c>
      <c r="C3" s="2">
        <v>1</v>
      </c>
      <c r="D3" s="2" t="s">
        <v>18</v>
      </c>
      <c r="E3" s="2"/>
      <c r="G3" t="s">
        <v>2</v>
      </c>
      <c r="H3">
        <f>_1st_ref</f>
        <v>14</v>
      </c>
      <c r="I3">
        <v>1</v>
      </c>
    </row>
    <row r="4" spans="1:9" x14ac:dyDescent="0.85">
      <c r="A4" t="s">
        <v>16</v>
      </c>
      <c r="B4" s="2" t="s">
        <v>41</v>
      </c>
      <c r="C4" s="2">
        <v>2</v>
      </c>
      <c r="D4" s="2" t="s">
        <v>18</v>
      </c>
      <c r="E4" s="2"/>
      <c r="G4" t="s">
        <v>3</v>
      </c>
      <c r="H4">
        <f>H3+Param_Count</f>
        <v>25</v>
      </c>
      <c r="I4">
        <v>2</v>
      </c>
    </row>
    <row r="5" spans="1:9" x14ac:dyDescent="0.85">
      <c r="A5" t="s">
        <v>17</v>
      </c>
      <c r="B5" s="2" t="s">
        <v>33</v>
      </c>
      <c r="C5" s="2">
        <v>3</v>
      </c>
      <c r="D5" s="2" t="s">
        <v>34</v>
      </c>
      <c r="E5" s="2"/>
      <c r="G5" t="s">
        <v>4</v>
      </c>
      <c r="H5">
        <f>H4+Param_Count</f>
        <v>36</v>
      </c>
      <c r="I5">
        <v>3</v>
      </c>
    </row>
    <row r="6" spans="1:9" x14ac:dyDescent="0.85">
      <c r="A6" t="s">
        <v>19</v>
      </c>
      <c r="B6" s="2" t="s">
        <v>38</v>
      </c>
      <c r="C6" s="2">
        <v>4</v>
      </c>
      <c r="D6" s="2" t="s">
        <v>34</v>
      </c>
      <c r="E6" s="2"/>
      <c r="G6" t="s">
        <v>5</v>
      </c>
      <c r="H6">
        <f>H5+Param_Count</f>
        <v>47</v>
      </c>
      <c r="I6">
        <v>4</v>
      </c>
    </row>
    <row r="7" spans="1:9" x14ac:dyDescent="0.85">
      <c r="A7" t="s">
        <v>20</v>
      </c>
      <c r="B7" s="2" t="s">
        <v>39</v>
      </c>
      <c r="C7" s="2">
        <v>5</v>
      </c>
      <c r="D7" s="2" t="s">
        <v>40</v>
      </c>
      <c r="E7" s="2"/>
      <c r="G7" t="s">
        <v>6</v>
      </c>
      <c r="H7">
        <f>H6+Param_Count</f>
        <v>58</v>
      </c>
      <c r="I7">
        <v>5</v>
      </c>
    </row>
    <row r="8" spans="1:9" x14ac:dyDescent="0.85">
      <c r="A8" t="s">
        <v>21</v>
      </c>
      <c r="B8" s="2"/>
      <c r="C8" s="2"/>
      <c r="D8" s="2"/>
      <c r="G8" t="s">
        <v>7</v>
      </c>
      <c r="H8">
        <f>H7+Param_Count</f>
        <v>69</v>
      </c>
      <c r="I8">
        <v>6</v>
      </c>
    </row>
    <row r="9" spans="1:9" x14ac:dyDescent="0.85">
      <c r="A9" t="s">
        <v>22</v>
      </c>
    </row>
    <row r="10" spans="1:9" x14ac:dyDescent="0.85">
      <c r="A10" t="s">
        <v>23</v>
      </c>
    </row>
    <row r="11" spans="1:9" x14ac:dyDescent="0.85">
      <c r="A11" t="s">
        <v>24</v>
      </c>
    </row>
    <row r="12" spans="1:9" x14ac:dyDescent="0.85">
      <c r="A12" t="s">
        <v>25</v>
      </c>
      <c r="D12" s="4" t="s">
        <v>30</v>
      </c>
      <c r="E12" s="4"/>
      <c r="F12" s="4"/>
      <c r="G12" s="4"/>
    </row>
    <row r="13" spans="1:9" x14ac:dyDescent="0.85">
      <c r="A13" t="s">
        <v>26</v>
      </c>
    </row>
    <row r="14" spans="1:9" x14ac:dyDescent="0.85">
      <c r="A14" t="s">
        <v>27</v>
      </c>
    </row>
    <row r="15" spans="1:9" x14ac:dyDescent="0.85">
      <c r="A15" t="s">
        <v>28</v>
      </c>
    </row>
  </sheetData>
  <mergeCells count="1">
    <mergeCell ref="B1:C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zoomScaleNormal="100" workbookViewId="0">
      <selection activeCell="N12" sqref="N12"/>
    </sheetView>
  </sheetViews>
  <sheetFormatPr defaultRowHeight="14.6" x14ac:dyDescent="0.85"/>
  <cols>
    <col min="1" max="1" width="9.5" style="3" customWidth="1"/>
    <col min="2" max="11" width="7.53515625" style="3" customWidth="1"/>
    <col min="12" max="12" width="14.69140625" style="3" bestFit="1" customWidth="1"/>
    <col min="13" max="13" width="17.421875" style="3" customWidth="1"/>
    <col min="14" max="15" width="15.69140625" style="3" bestFit="1" customWidth="1"/>
    <col min="16" max="16" width="6.73046875" style="3" bestFit="1" customWidth="1"/>
    <col min="17" max="17" width="13.19140625" style="3" bestFit="1" customWidth="1"/>
    <col min="18" max="16384" width="8.921875" style="3"/>
  </cols>
  <sheetData>
    <row r="1" spans="1:11" x14ac:dyDescent="0.85">
      <c r="A1" s="3" t="s">
        <v>1</v>
      </c>
    </row>
    <row r="2" spans="1:11" x14ac:dyDescent="0.85">
      <c r="A2" s="3" t="s">
        <v>32</v>
      </c>
      <c r="D2" s="7"/>
      <c r="E2" s="6"/>
      <c r="F2" s="6"/>
      <c r="G2" s="6"/>
      <c r="H2" s="6"/>
      <c r="I2" s="6"/>
      <c r="J2" s="6"/>
      <c r="K2" s="6"/>
    </row>
    <row r="3" spans="1:11" x14ac:dyDescent="0.85">
      <c r="A3" s="3" t="s">
        <v>35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D33"/>
  <sheetViews>
    <sheetView workbookViewId="0">
      <selection activeCell="E9" sqref="E9"/>
    </sheetView>
  </sheetViews>
  <sheetFormatPr defaultColWidth="15.03515625" defaultRowHeight="14.6" x14ac:dyDescent="0.85"/>
  <cols>
    <col min="1" max="16384" width="15.03515625" style="3"/>
  </cols>
  <sheetData>
    <row r="1" spans="1:4" x14ac:dyDescent="0.85">
      <c r="A1" s="3" t="str">
        <f>Graph!$A$1</f>
        <v>Sum_All</v>
      </c>
    </row>
    <row r="2" spans="1:4" x14ac:dyDescent="0.85">
      <c r="A2" s="3" t="str">
        <f>Graph!$A$2</f>
        <v>Energy</v>
      </c>
    </row>
    <row r="3" spans="1:4" x14ac:dyDescent="0.85">
      <c r="A3" s="3" t="str">
        <f>Graph!$A$3</f>
        <v>All_NRGs</v>
      </c>
      <c r="B3" s="3">
        <f>VLOOKUP($A$3,NRG_Table,3,FALSE)</f>
        <v>7</v>
      </c>
      <c r="D3" s="3" t="str">
        <f>$A$1 &amp; " - " &amp; $A$2 &amp; " (" &amp; VLOOKUP(A2,Param_Table,3,FALSE) &amp; ") - " &amp; A3</f>
        <v>Sum_All - Energy (MWh) - All_NRGs</v>
      </c>
    </row>
    <row r="4" spans="1:4" x14ac:dyDescent="0.85"/>
    <row r="5" spans="1:4" x14ac:dyDescent="0.85">
      <c r="B5" s="3">
        <v>-1</v>
      </c>
    </row>
    <row r="6" spans="1:4" x14ac:dyDescent="0.85">
      <c r="B6" s="3">
        <f>B5+1</f>
        <v>0</v>
      </c>
      <c r="C6" s="3">
        <f>Selected_NRG</f>
        <v>7</v>
      </c>
    </row>
    <row r="7" spans="1:4" x14ac:dyDescent="0.85"/>
    <row r="8" spans="1:4" x14ac:dyDescent="0.85"/>
    <row r="9" spans="1:4" x14ac:dyDescent="0.85"/>
    <row r="10" spans="1:4" x14ac:dyDescent="0.85"/>
    <row r="11" spans="1:4" x14ac:dyDescent="0.85"/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Cases</vt:lpstr>
      <vt:lpstr>Reference</vt:lpstr>
      <vt:lpstr>Graph</vt:lpstr>
      <vt:lpstr>Calc</vt:lpstr>
      <vt:lpstr>_1st_ref</vt:lpstr>
      <vt:lpstr>Case_Count</vt:lpstr>
      <vt:lpstr>First_Case</vt:lpstr>
      <vt:lpstr>NRG_Selections</vt:lpstr>
      <vt:lpstr>NRG_Table</vt:lpstr>
      <vt:lpstr>NRGs</vt:lpstr>
      <vt:lpstr>Param_Count</vt:lpstr>
      <vt:lpstr>Param_Table</vt:lpstr>
      <vt:lpstr>Params</vt:lpstr>
      <vt:lpstr>Parm_Count</vt:lpstr>
      <vt:lpstr>Regions</vt:lpstr>
      <vt:lpstr>Selected_NRG</vt:lpstr>
      <vt:lpstr>Table_Corner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2024-02-25T23:20:18Z</dcterms:modified>
</cp:coreProperties>
</file>