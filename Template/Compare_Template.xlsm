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Template\"/>
    </mc:Choice>
  </mc:AlternateContent>
  <xr:revisionPtr revIDLastSave="0" documentId="13_ncr:1_{2CC400E2-BE31-42B7-9853-E7A03358A5E4}" xr6:coauthVersionLast="47" xr6:coauthVersionMax="47" xr10:uidLastSave="{00000000-0000-0000-0000-000000000000}"/>
  <bookViews>
    <workbookView xWindow="-90" yWindow="-90" windowWidth="16637" windowHeight="9437" activeTab="4" xr2:uid="{8C7994C1-A10A-4AD4-8C33-2FA8764EDF37}"/>
  </bookViews>
  <sheets>
    <sheet name="Cases" sheetId="1" r:id="rId1"/>
    <sheet name="Graph" sheetId="3" r:id="rId2"/>
    <sheet name="Graph_1y" sheetId="6" r:id="rId3"/>
    <sheet name="Calc" sheetId="5" r:id="rId4"/>
    <sheet name="Calc_1y" sheetId="7" r:id="rId5"/>
  </sheets>
  <definedNames>
    <definedName name="Case_Count">Cases!$B$1</definedName>
    <definedName name="First_Case">Cases!$A$2</definedName>
    <definedName name="Region">Graph!$A$1</definedName>
    <definedName name="Region_1y">Graph_1y!$A$1</definedName>
    <definedName name="Selected_NRG">Calc!$B$3</definedName>
    <definedName name="Selected_Year">Graph_1y!$B$3</definedName>
    <definedName name="Table_Corner">Calc!$B$5</definedName>
    <definedName name="Table_Corner_1y">Calc_1y!$B$5</definedName>
    <definedName name="Year_1y">Calc_1y!$A$3</definedName>
    <definedName name="Years">Cases!$D$1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7" l="1"/>
  <c r="B3" i="7"/>
  <c r="A2" i="7" l="1"/>
  <c r="A1" i="7"/>
  <c r="A3" i="5"/>
  <c r="B3" i="5" s="1"/>
  <c r="A2" i="5" l="1"/>
  <c r="A1" i="5"/>
  <c r="D3" i="5" l="1"/>
</calcChain>
</file>

<file path=xl/sharedStrings.xml><?xml version="1.0" encoding="utf-8"?>
<sst xmlns="http://schemas.openxmlformats.org/spreadsheetml/2006/main" count="11" uniqueCount="7">
  <si>
    <t>Cases</t>
  </si>
  <si>
    <t>Years</t>
  </si>
  <si>
    <t>All_NRGs</t>
  </si>
  <si>
    <t>CO2_MTons</t>
  </si>
  <si>
    <t>Year</t>
  </si>
  <si>
    <t>Entire US</t>
  </si>
  <si>
    <t>Results_CO2-500_US.xlsm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</si>
</sst>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3" fontId="0" fillId="0" borderId="0" xfId="0" applyNumberFormat="1"/>
    <xf numFmtId="3" fontId="0" fillId="0" borderId="0" xfId="0" applyNumberFormat="1" applyAlignment="1" applyProtection="1">
      <alignment horizontal="right"/>
      <protection locked="0"/>
    </xf>
    <xf numFmtId="3" fontId="0" fillId="2" borderId="0" xfId="0" applyNumberFormat="1" applyFill="1" applyProtection="1">
      <protection locked="0"/>
    </xf>
    <xf numFmtId="3" fontId="0" fillId="2" borderId="0" xfId="0" applyNumberFormat="1" applyFill="1"/>
    <xf numFmtId="3" fontId="0" fillId="0" borderId="0" xfId="0" applyNumberFormat="1" applyProtection="1">
      <protection locked="0"/>
    </xf>
    <xf numFmtId="0" fontId="0" fillId="0" borderId="0" xfId="0" applyProtection="1">
      <protection locked="0"/>
    </xf>
    <xf numFmtId="3" fontId="0" fillId="0" borderId="0" xfId="0" applyNumberFormat="1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Calc!$D$3</c:f>
          <c:strCache>
            <c:ptCount val="1"/>
            <c:pt idx="0">
              <c:v>#NAME?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1423351424214021E-2"/>
          <c:y val="0.15319444444444447"/>
          <c:w val="0.68697916813829929"/>
          <c:h val="0.72088764946048411"/>
        </c:manualLayout>
      </c:layout>
      <c:barChart>
        <c:barDir val="col"/>
        <c:grouping val="stacked"/>
        <c:varyColors val="0"/>
        <c:ser>
          <c:idx val="1"/>
          <c:order val="0"/>
          <c:invertIfNegative val="0"/>
          <c:val>
            <c:numRef>
              <c:f>Calc!$C$6</c:f>
              <c:numCache>
                <c:formatCode>#,##0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E106-4B01-8BFD-FFC9BCD425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49876352"/>
        <c:axId val="26624208"/>
      </c:barChart>
      <c:catAx>
        <c:axId val="2498763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Years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624208"/>
        <c:crosses val="autoZero"/>
        <c:auto val="1"/>
        <c:lblAlgn val="ctr"/>
        <c:lblOffset val="100"/>
        <c:noMultiLvlLbl val="0"/>
      </c:catAx>
      <c:valAx>
        <c:axId val="2662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8763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031941805679941"/>
          <c:y val="0.20651574803149605"/>
          <c:w val="7.222417094432472E-2"/>
          <c:h val="0.587384806065908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Calc_1y!$D$3</c:f>
          <c:strCache>
            <c:ptCount val="1"/>
            <c:pt idx="0">
              <c:v>#NAME?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8258475637534283E-2"/>
          <c:y val="0.18097222222222226"/>
          <c:w val="0.75668559883316"/>
          <c:h val="0.72088764946048411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Calc_1y!$C$5</c:f>
              <c:strCache>
                <c:ptCount val="1"/>
              </c:strCache>
            </c:strRef>
          </c:tx>
          <c:spPr>
            <a:solidFill>
              <a:srgbClr val="FFFF00"/>
            </a:solidFill>
            <a:ln>
              <a:solidFill>
                <a:srgbClr val="FFFF00"/>
              </a:solidFill>
            </a:ln>
          </c:spPr>
          <c:invertIfNegative val="0"/>
          <c:cat>
            <c:numRef>
              <c:f>Calc_1y!$B$6:$B$6</c:f>
              <c:numCache>
                <c:formatCode>General</c:formatCode>
                <c:ptCount val="1"/>
              </c:numCache>
            </c:numRef>
          </c:cat>
          <c:val>
            <c:numRef>
              <c:f>Calc_1y!$C$6:$C$6</c:f>
              <c:numCache>
                <c:formatCode>#,##0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37F1-4948-9D13-A8AFB5A0B7E5}"/>
            </c:ext>
          </c:extLst>
        </c:ser>
        <c:ser>
          <c:idx val="0"/>
          <c:order val="1"/>
          <c:tx>
            <c:strRef>
              <c:f>Calc_1y!$D$5</c:f>
              <c:strCache>
                <c:ptCount val="1"/>
              </c:strCache>
            </c:strRef>
          </c:tx>
          <c:spPr>
            <a:solidFill>
              <a:srgbClr val="FFC000"/>
            </a:solidFill>
            <a:ln>
              <a:solidFill>
                <a:srgbClr val="FFC000"/>
              </a:solidFill>
            </a:ln>
          </c:spPr>
          <c:invertIfNegative val="0"/>
          <c:cat>
            <c:numRef>
              <c:f>Calc_1y!$B$6:$B$6</c:f>
              <c:numCache>
                <c:formatCode>General</c:formatCode>
                <c:ptCount val="1"/>
              </c:numCache>
            </c:numRef>
          </c:cat>
          <c:val>
            <c:numRef>
              <c:f>Calc_1y!$D$6</c:f>
              <c:numCache>
                <c:formatCode>#,##0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37F1-4948-9D13-A8AFB5A0B7E5}"/>
            </c:ext>
          </c:extLst>
        </c:ser>
        <c:ser>
          <c:idx val="2"/>
          <c:order val="2"/>
          <c:tx>
            <c:strRef>
              <c:f>Calc_1y!$E$5</c:f>
              <c:strCache>
                <c:ptCount val="1"/>
              </c:strCache>
            </c:strRef>
          </c:tx>
          <c:spPr>
            <a:solidFill>
              <a:srgbClr val="92D050"/>
            </a:solidFill>
            <a:ln>
              <a:solidFill>
                <a:srgbClr val="92D050"/>
              </a:solidFill>
            </a:ln>
          </c:spPr>
          <c:invertIfNegative val="0"/>
          <c:cat>
            <c:numRef>
              <c:f>Calc_1y!$B$6:$B$6</c:f>
              <c:numCache>
                <c:formatCode>General</c:formatCode>
                <c:ptCount val="1"/>
              </c:numCache>
            </c:numRef>
          </c:cat>
          <c:val>
            <c:numRef>
              <c:f>Calc_1y!$E$6</c:f>
              <c:numCache>
                <c:formatCode>#,##0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5-37F1-4948-9D13-A8AFB5A0B7E5}"/>
            </c:ext>
          </c:extLst>
        </c:ser>
        <c:ser>
          <c:idx val="3"/>
          <c:order val="3"/>
          <c:tx>
            <c:strRef>
              <c:f>Calc_1y!$F$5</c:f>
              <c:strCache>
                <c:ptCount val="1"/>
              </c:strCache>
            </c:strRef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cat>
            <c:numRef>
              <c:f>Calc_1y!$B$6:$B$6</c:f>
              <c:numCache>
                <c:formatCode>General</c:formatCode>
                <c:ptCount val="1"/>
              </c:numCache>
            </c:numRef>
          </c:cat>
          <c:val>
            <c:numRef>
              <c:f>Calc_1y!$F$6</c:f>
              <c:numCache>
                <c:formatCode>#,##0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7-37F1-4948-9D13-A8AFB5A0B7E5}"/>
            </c:ext>
          </c:extLst>
        </c:ser>
        <c:ser>
          <c:idx val="4"/>
          <c:order val="4"/>
          <c:tx>
            <c:strRef>
              <c:f>Calc_1y!$G$5</c:f>
              <c:strCache>
                <c:ptCount val="1"/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solidFill>
                <a:schemeClr val="accent4">
                  <a:lumMod val="75000"/>
                </a:schemeClr>
              </a:solidFill>
            </a:ln>
          </c:spPr>
          <c:invertIfNegative val="0"/>
          <c:cat>
            <c:numRef>
              <c:f>Calc_1y!$B$6:$B$6</c:f>
              <c:numCache>
                <c:formatCode>General</c:formatCode>
                <c:ptCount val="1"/>
              </c:numCache>
            </c:numRef>
          </c:cat>
          <c:val>
            <c:numRef>
              <c:f>Calc_1y!$G$6</c:f>
              <c:numCache>
                <c:formatCode>#,##0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9-37F1-4948-9D13-A8AFB5A0B7E5}"/>
            </c:ext>
          </c:extLst>
        </c:ser>
        <c:ser>
          <c:idx val="5"/>
          <c:order val="5"/>
          <c:tx>
            <c:strRef>
              <c:f>Calc_1y!$H$5</c:f>
              <c:strCache>
                <c:ptCount val="1"/>
              </c:strCache>
            </c:strRef>
          </c:tx>
          <c:spPr>
            <a:solidFill>
              <a:srgbClr val="7030A0"/>
            </a:solidFill>
            <a:ln>
              <a:solidFill>
                <a:srgbClr val="7030A0"/>
              </a:solidFill>
            </a:ln>
          </c:spPr>
          <c:invertIfNegative val="0"/>
          <c:cat>
            <c:numRef>
              <c:f>Calc_1y!$B$6:$B$6</c:f>
              <c:numCache>
                <c:formatCode>General</c:formatCode>
                <c:ptCount val="1"/>
              </c:numCache>
            </c:numRef>
          </c:cat>
          <c:val>
            <c:numRef>
              <c:f>Calc_1y!$H$6</c:f>
              <c:numCache>
                <c:formatCode>#,##0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B-37F1-4948-9D13-A8AFB5A0B7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49876352"/>
        <c:axId val="26624208"/>
      </c:barChart>
      <c:catAx>
        <c:axId val="24987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624208"/>
        <c:crosses val="autoZero"/>
        <c:auto val="1"/>
        <c:lblAlgn val="ctr"/>
        <c:lblOffset val="100"/>
        <c:noMultiLvlLbl val="0"/>
      </c:catAx>
      <c:valAx>
        <c:axId val="2662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8763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831708918590157"/>
          <c:y val="0.22040463692038495"/>
          <c:w val="8.1128488466650509E-2"/>
          <c:h val="0.4687532808398950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348020</xdr:colOff>
      <xdr:row>7</xdr:row>
      <xdr:rowOff>121504</xdr:rowOff>
    </xdr:from>
    <xdr:to>
      <xdr:col>2</xdr:col>
      <xdr:colOff>25290</xdr:colOff>
      <xdr:row>8</xdr:row>
      <xdr:rowOff>143275</xdr:rowOff>
    </xdr:to>
    <xdr:sp macro="[0]!Line_Bar" textlink="">
      <xdr:nvSpPr>
        <xdr:cNvPr id="3" name="Line4Bar">
          <a:extLst>
            <a:ext uri="{FF2B5EF4-FFF2-40B4-BE49-F238E27FC236}">
              <a16:creationId xmlns:a16="http://schemas.microsoft.com/office/drawing/2014/main" id="{4FAC2F9A-9352-8EC7-A994-E8B5D0092ECE}"/>
            </a:ext>
          </a:extLst>
        </xdr:cNvPr>
        <xdr:cNvSpPr/>
      </xdr:nvSpPr>
      <xdr:spPr>
        <a:xfrm>
          <a:off x="348020" y="1421386"/>
          <a:ext cx="884304" cy="20746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3</xdr:col>
      <xdr:colOff>95250</xdr:colOff>
      <xdr:row>1</xdr:row>
      <xdr:rowOff>17689</xdr:rowOff>
    </xdr:from>
    <xdr:to>
      <xdr:col>13</xdr:col>
      <xdr:colOff>987878</xdr:colOff>
      <xdr:row>15</xdr:row>
      <xdr:rowOff>170089</xdr:rowOff>
    </xdr:to>
    <xdr:graphicFrame macro="">
      <xdr:nvGraphicFramePr>
        <xdr:cNvPr id="5" name="Comparison">
          <a:extLst>
            <a:ext uri="{FF2B5EF4-FFF2-40B4-BE49-F238E27FC236}">
              <a16:creationId xmlns:a16="http://schemas.microsoft.com/office/drawing/2014/main" id="{0FA16ADE-0337-5D3E-AFBC-A583082E12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348020</xdr:colOff>
      <xdr:row>7</xdr:row>
      <xdr:rowOff>121504</xdr:rowOff>
    </xdr:from>
    <xdr:to>
      <xdr:col>2</xdr:col>
      <xdr:colOff>25290</xdr:colOff>
      <xdr:row>8</xdr:row>
      <xdr:rowOff>143275</xdr:rowOff>
    </xdr:to>
    <xdr:sp macro="[0]!Line_Bar" textlink="">
      <xdr:nvSpPr>
        <xdr:cNvPr id="2" name="Line4Bar">
          <a:extLst>
            <a:ext uri="{FF2B5EF4-FFF2-40B4-BE49-F238E27FC236}">
              <a16:creationId xmlns:a16="http://schemas.microsoft.com/office/drawing/2014/main" id="{A7D38CE4-CB3C-4360-8F17-A31313805921}"/>
            </a:ext>
          </a:extLst>
        </xdr:cNvPr>
        <xdr:cNvSpPr/>
      </xdr:nvSpPr>
      <xdr:spPr>
        <a:xfrm>
          <a:off x="348020" y="1416904"/>
          <a:ext cx="882863" cy="20682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3</xdr:col>
      <xdr:colOff>95251</xdr:colOff>
      <xdr:row>1</xdr:row>
      <xdr:rowOff>17689</xdr:rowOff>
    </xdr:from>
    <xdr:to>
      <xdr:col>13</xdr:col>
      <xdr:colOff>478972</xdr:colOff>
      <xdr:row>15</xdr:row>
      <xdr:rowOff>170089</xdr:rowOff>
    </xdr:to>
    <xdr:graphicFrame macro="">
      <xdr:nvGraphicFramePr>
        <xdr:cNvPr id="3" name="Comparison">
          <a:extLst>
            <a:ext uri="{FF2B5EF4-FFF2-40B4-BE49-F238E27FC236}">
              <a16:creationId xmlns:a16="http://schemas.microsoft.com/office/drawing/2014/main" id="{FEE04F21-1E33-4F38-A8A9-AA1EF0F281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A9A7B-A228-4F75-941F-BBF6AD6C26D0}">
  <sheetPr codeName="Sheet1"/>
  <dimension ref="A1:D6"/>
  <sheetViews>
    <sheetView workbookViewId="0">
      <selection activeCell="F5" sqref="F5"/>
    </sheetView>
  </sheetViews>
  <sheetFormatPr defaultRowHeight="14.6" x14ac:dyDescent="0.85"/>
  <sheetData>
    <row r="1" spans="1:4" x14ac:dyDescent="0.85">
      <c r="A1" t="s">
        <v>0</v>
      </c>
      <c r="C1" t="s">
        <v>1</v>
      </c>
      <c r="D1">
        <v>3</v>
      </c>
    </row>
    <row r="2" spans="1:4" x14ac:dyDescent="0.85">
      <c r="A2" t="s">
        <v>6</v>
      </c>
    </row>
    <row r="3" spans="1:4" x14ac:dyDescent="0.85"/>
    <row r="4" spans="1:4" x14ac:dyDescent="0.85"/>
    <row r="5" spans="1:4" x14ac:dyDescent="0.85"/>
    <row r="6" spans="1:4" x14ac:dyDescent="0.85"/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56FB76-2A1F-47E5-A2EC-0F2EEF9A49A6}">
  <sheetPr codeName="Sheet3"/>
  <dimension ref="A1:K33"/>
  <sheetViews>
    <sheetView zoomScaleNormal="100" workbookViewId="0">
      <selection activeCell="B5" sqref="B5"/>
    </sheetView>
  </sheetViews>
  <sheetFormatPr defaultRowHeight="14.6" x14ac:dyDescent="0.85"/>
  <cols>
    <col min="1" max="1" width="10.765625" style="1" customWidth="1"/>
    <col min="2" max="11" width="7.53515625" style="1" customWidth="1"/>
    <col min="12" max="12" width="14.69140625" style="1" bestFit="1" customWidth="1"/>
    <col min="13" max="13" width="17.421875" style="1" customWidth="1"/>
    <col min="14" max="15" width="15.69140625" style="1" bestFit="1" customWidth="1"/>
    <col min="16" max="16" width="6.73046875" style="1" bestFit="1" customWidth="1"/>
    <col min="17" max="17" width="13.19140625" style="1" bestFit="1" customWidth="1"/>
    <col min="18" max="16384" width="8.921875" style="1"/>
  </cols>
  <sheetData>
    <row r="1" spans="1:11" x14ac:dyDescent="0.85">
      <c r="A1" s="3" t="s">
        <v>5</v>
      </c>
    </row>
    <row r="2" spans="1:11" x14ac:dyDescent="0.85">
      <c r="A2" s="3" t="s">
        <v>3</v>
      </c>
      <c r="D2" s="7"/>
      <c r="E2" s="8"/>
      <c r="F2" s="8"/>
      <c r="G2" s="8"/>
      <c r="H2" s="8"/>
      <c r="I2" s="8"/>
      <c r="J2" s="8"/>
      <c r="K2" s="8"/>
    </row>
    <row r="3" spans="1:11" x14ac:dyDescent="0.85">
      <c r="A3" s="3" t="s">
        <v>2</v>
      </c>
    </row>
    <row r="4" spans="1:11" x14ac:dyDescent="0.85"/>
    <row r="5" spans="1:11" x14ac:dyDescent="0.85"/>
    <row r="6" spans="1:11" x14ac:dyDescent="0.85"/>
    <row r="7" spans="1:11" x14ac:dyDescent="0.85"/>
    <row r="8" spans="1:11" x14ac:dyDescent="0.85"/>
    <row r="9" spans="1:11" x14ac:dyDescent="0.85"/>
    <row r="10" spans="1:11" x14ac:dyDescent="0.85"/>
    <row r="11" spans="1:11" x14ac:dyDescent="0.85"/>
    <row r="12" spans="1:11" x14ac:dyDescent="0.85"/>
    <row r="13" spans="1:11" x14ac:dyDescent="0.85"/>
    <row r="14" spans="1:11" x14ac:dyDescent="0.85"/>
    <row r="15" spans="1:11" x14ac:dyDescent="0.85"/>
    <row r="16" spans="1:11" x14ac:dyDescent="0.85"/>
    <row r="17" x14ac:dyDescent="0.85"/>
    <row r="18" x14ac:dyDescent="0.85"/>
    <row r="19" x14ac:dyDescent="0.85"/>
    <row r="20" x14ac:dyDescent="0.85"/>
    <row r="21" x14ac:dyDescent="0.85"/>
    <row r="22" x14ac:dyDescent="0.85"/>
    <row r="23" x14ac:dyDescent="0.85"/>
    <row r="24" x14ac:dyDescent="0.85"/>
    <row r="25" x14ac:dyDescent="0.85"/>
    <row r="26" x14ac:dyDescent="0.85"/>
    <row r="27" x14ac:dyDescent="0.85"/>
    <row r="28" x14ac:dyDescent="0.85"/>
    <row r="29" x14ac:dyDescent="0.85"/>
    <row r="30" x14ac:dyDescent="0.85"/>
    <row r="31" x14ac:dyDescent="0.85"/>
    <row r="32" x14ac:dyDescent="0.85"/>
    <row r="33" x14ac:dyDescent="0.85"/>
  </sheetData>
  <mergeCells count="1">
    <mergeCell ref="D2:K2"/>
  </mergeCells>
  <dataValidations count="3">
    <dataValidation type="list" allowBlank="1" showInputMessage="1" showErrorMessage="1" sqref="A2" xr:uid="{2906BB6A-E169-4BB4-B5C9-4A048FA3A3EB}">
      <formula1>Params</formula1>
    </dataValidation>
    <dataValidation type="list" showInputMessage="1" showErrorMessage="1" sqref="A1" xr:uid="{E29B4DE8-1DCE-428B-9D97-BB9A7749BE8B}">
      <formula1>Regions</formula1>
    </dataValidation>
    <dataValidation type="list" allowBlank="1" showInputMessage="1" showErrorMessage="1" sqref="A3" xr:uid="{6814C036-4AA4-4AD5-BE43-F52ACDE110A7}">
      <formula1>NRG_Selections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36304-3C25-4609-B384-BC67A8B4038C}">
  <sheetPr codeName="Sheet4"/>
  <dimension ref="A1:K33"/>
  <sheetViews>
    <sheetView zoomScaleNormal="100" workbookViewId="0">
      <selection activeCell="B3" sqref="B3"/>
    </sheetView>
  </sheetViews>
  <sheetFormatPr defaultRowHeight="14.6" x14ac:dyDescent="0.85"/>
  <cols>
    <col min="1" max="1" width="10.69140625" style="1" customWidth="1"/>
    <col min="2" max="11" width="7.53515625" style="1" customWidth="1"/>
    <col min="12" max="12" width="14.69140625" style="1" bestFit="1" customWidth="1"/>
    <col min="13" max="13" width="17.421875" style="1" customWidth="1"/>
    <col min="14" max="15" width="15.69140625" style="1" bestFit="1" customWidth="1"/>
    <col min="16" max="16" width="6.73046875" style="1" bestFit="1" customWidth="1"/>
    <col min="17" max="17" width="13.19140625" style="1" bestFit="1" customWidth="1"/>
    <col min="18" max="16384" width="8.921875" style="1"/>
  </cols>
  <sheetData>
    <row r="1" spans="1:11" x14ac:dyDescent="0.85">
      <c r="A1" s="3" t="s">
        <v>5</v>
      </c>
    </row>
    <row r="2" spans="1:11" x14ac:dyDescent="0.85">
      <c r="A2" s="3" t="s">
        <v>3</v>
      </c>
      <c r="D2" s="7"/>
      <c r="E2" s="8"/>
      <c r="F2" s="8"/>
      <c r="G2" s="8"/>
      <c r="H2" s="8"/>
      <c r="I2" s="8"/>
      <c r="J2" s="8"/>
      <c r="K2" s="8"/>
    </row>
    <row r="3" spans="1:11" x14ac:dyDescent="0.85">
      <c r="A3" s="2" t="s">
        <v>4</v>
      </c>
      <c r="B3" s="4">
        <v>3</v>
      </c>
    </row>
    <row r="4" spans="1:11" x14ac:dyDescent="0.85"/>
    <row r="5" spans="1:11" x14ac:dyDescent="0.85"/>
    <row r="6" spans="1:11" x14ac:dyDescent="0.85"/>
    <row r="7" spans="1:11" x14ac:dyDescent="0.85"/>
    <row r="8" spans="1:11" x14ac:dyDescent="0.85"/>
    <row r="9" spans="1:11" x14ac:dyDescent="0.85"/>
    <row r="10" spans="1:11" x14ac:dyDescent="0.85"/>
    <row r="11" spans="1:11" x14ac:dyDescent="0.85"/>
    <row r="12" spans="1:11" x14ac:dyDescent="0.85"/>
    <row r="13" spans="1:11" x14ac:dyDescent="0.85"/>
    <row r="14" spans="1:11" x14ac:dyDescent="0.85"/>
    <row r="15" spans="1:11" x14ac:dyDescent="0.85"/>
    <row r="16" spans="1:11" x14ac:dyDescent="0.85"/>
    <row r="17" x14ac:dyDescent="0.85"/>
    <row r="18" x14ac:dyDescent="0.85"/>
    <row r="19" x14ac:dyDescent="0.85"/>
    <row r="20" x14ac:dyDescent="0.85"/>
    <row r="21" x14ac:dyDescent="0.85"/>
    <row r="22" x14ac:dyDescent="0.85"/>
    <row r="23" x14ac:dyDescent="0.85"/>
    <row r="24" x14ac:dyDescent="0.85"/>
    <row r="25" x14ac:dyDescent="0.85"/>
    <row r="26" x14ac:dyDescent="0.85"/>
    <row r="27" x14ac:dyDescent="0.85"/>
    <row r="28" x14ac:dyDescent="0.85"/>
    <row r="29" x14ac:dyDescent="0.85"/>
    <row r="30" x14ac:dyDescent="0.85"/>
    <row r="31" x14ac:dyDescent="0.85"/>
    <row r="32" x14ac:dyDescent="0.85"/>
    <row r="33" x14ac:dyDescent="0.85"/>
  </sheetData>
  <mergeCells count="1">
    <mergeCell ref="D2:K2"/>
  </mergeCells>
  <dataValidations count="3">
    <dataValidation type="list" showInputMessage="1" showErrorMessage="1" sqref="A1" xr:uid="{1D0B8FAF-690E-4641-AD6A-66D54438218F}">
      <formula1>Regions</formula1>
    </dataValidation>
    <dataValidation type="list" allowBlank="1" showInputMessage="1" showErrorMessage="1" sqref="A2" xr:uid="{E5F8F2AC-C890-43A2-BD9E-6608C9249705}">
      <formula1>Params</formula1>
    </dataValidation>
    <dataValidation type="custom" allowBlank="1" showInputMessage="1" showErrorMessage="1" sqref="B3" xr:uid="{EA6DC2BC-95ED-43F0-96D2-AB094A0EC61D}">
      <formula1>AND(B3&gt;=0,B3&lt;=Years)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C4687-86D3-401A-8461-46BD18D54FFA}">
  <sheetPr codeName="Sheet2"/>
  <dimension ref="A1:Z33"/>
  <sheetViews>
    <sheetView workbookViewId="0">
      <selection activeCell="B5" sqref="B5"/>
    </sheetView>
  </sheetViews>
  <sheetFormatPr defaultColWidth="15.03515625" defaultRowHeight="14.6" x14ac:dyDescent="0.85"/>
  <cols>
    <col min="1" max="1" width="15.03515625" style="1"/>
    <col min="2" max="2" width="4.19140625" style="5" bestFit="1" customWidth="1"/>
    <col min="3" max="26" width="15.03515625" style="5"/>
    <col min="27" max="16384" width="15.03515625" style="1"/>
  </cols>
  <sheetData>
    <row r="1" spans="1:4" x14ac:dyDescent="0.85">
      <c r="A1" s="1" t="str">
        <f>Graph!$A$1</f>
        <v>Entire US</v>
      </c>
    </row>
    <row r="2" spans="1:4" x14ac:dyDescent="0.85">
      <c r="A2" s="1" t="str">
        <f>Graph!$A$2</f>
        <v>CO2_MTons</v>
      </c>
    </row>
    <row r="3" spans="1:4" x14ac:dyDescent="0.85">
      <c r="A3" s="1" t="str">
        <f>Graph!$A$3</f>
        <v>All_NRGs</v>
      </c>
      <c r="B3" s="1" t="e">
        <f>VLOOKUP($A$3,NRG_Table,3,FALSE)</f>
        <v>#NAME?</v>
      </c>
      <c r="D3" s="5" t="e">
        <f>$A$1 &amp; " - " &amp; $A$2 &amp; " (" &amp; VLOOKUP(A2,Param_Table,3,FALSE) &amp; ") - " &amp; A3</f>
        <v>#NAME?</v>
      </c>
    </row>
    <row r="4" spans="1:4" x14ac:dyDescent="0.85"/>
    <row r="5" spans="1:4" x14ac:dyDescent="0.85">
      <c r="B5" s="5" t="s">
        <v>4</v>
      </c>
    </row>
    <row r="6" spans="1:4" x14ac:dyDescent="0.85"/>
    <row r="7" spans="1:4" x14ac:dyDescent="0.85"/>
    <row r="8" spans="1:4" x14ac:dyDescent="0.85"/>
    <row r="9" spans="1:4" x14ac:dyDescent="0.85"/>
    <row r="10" spans="1:4" x14ac:dyDescent="0.85"/>
    <row r="11" spans="1:4" x14ac:dyDescent="0.85"/>
    <row r="12" spans="1:4" x14ac:dyDescent="0.85"/>
    <row r="13" spans="1:4" x14ac:dyDescent="0.85"/>
    <row r="14" spans="1:4" x14ac:dyDescent="0.85"/>
    <row r="15" spans="1:4" x14ac:dyDescent="0.85"/>
    <row r="16" spans="1:4" x14ac:dyDescent="0.85"/>
    <row r="17" x14ac:dyDescent="0.85"/>
    <row r="18" x14ac:dyDescent="0.85"/>
    <row r="19" x14ac:dyDescent="0.85"/>
    <row r="20" x14ac:dyDescent="0.85"/>
    <row r="21" x14ac:dyDescent="0.85"/>
    <row r="22" x14ac:dyDescent="0.85"/>
    <row r="23" x14ac:dyDescent="0.85"/>
    <row r="24" x14ac:dyDescent="0.85"/>
    <row r="25" x14ac:dyDescent="0.85"/>
    <row r="26" x14ac:dyDescent="0.85"/>
    <row r="27" x14ac:dyDescent="0.85"/>
    <row r="28" x14ac:dyDescent="0.85"/>
    <row r="29" x14ac:dyDescent="0.85"/>
    <row r="30" x14ac:dyDescent="0.85"/>
    <row r="31" x14ac:dyDescent="0.85"/>
    <row r="32" x14ac:dyDescent="0.85"/>
    <row r="33" x14ac:dyDescent="0.85"/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798066-5324-40CB-9EB9-1929A513EC1C}">
  <sheetPr codeName="Sheet5"/>
  <dimension ref="A1:Z33"/>
  <sheetViews>
    <sheetView tabSelected="1" workbookViewId="0">
      <selection activeCell="D4" sqref="D4"/>
    </sheetView>
  </sheetViews>
  <sheetFormatPr defaultColWidth="15.03515625" defaultRowHeight="14.6" x14ac:dyDescent="0.85"/>
  <cols>
    <col min="1" max="1" width="15.03515625" style="1"/>
    <col min="2" max="2" width="12.8828125" style="5" customWidth="1"/>
    <col min="3" max="26" width="15.03515625" style="5"/>
    <col min="27" max="16384" width="15.03515625" style="1"/>
  </cols>
  <sheetData>
    <row r="1" spans="1:4" x14ac:dyDescent="0.85">
      <c r="A1" s="1" t="str">
        <f>Graph_1y!$A$1</f>
        <v>Entire US</v>
      </c>
    </row>
    <row r="2" spans="1:4" x14ac:dyDescent="0.85">
      <c r="A2" s="1" t="str">
        <f>Graph_1y!$A$2</f>
        <v>CO2_MTons</v>
      </c>
    </row>
    <row r="3" spans="1:4" x14ac:dyDescent="0.85">
      <c r="A3" s="1" t="s">
        <v>4</v>
      </c>
      <c r="B3" s="1">
        <f>Graph_1y!$B$3</f>
        <v>3</v>
      </c>
      <c r="D3" s="5" t="e">
        <f>$A$1 &amp; " - " &amp; $A$2 &amp; " (" &amp; VLOOKUP(A2,Param_Table,3,FALSE) &amp; ") - Year " &amp; $B$3</f>
        <v>#NAME?</v>
      </c>
    </row>
    <row r="4" spans="1:4" x14ac:dyDescent="0.85"/>
    <row r="5" spans="1:4" x14ac:dyDescent="0.85">
      <c r="B5" s="5">
        <v>-1</v>
      </c>
    </row>
    <row r="6" spans="1:4" x14ac:dyDescent="0.85">
      <c r="B6" s="6"/>
    </row>
    <row r="7" spans="1:4" x14ac:dyDescent="0.85">
      <c r="B7" s="6"/>
    </row>
    <row r="8" spans="1:4" x14ac:dyDescent="0.85">
      <c r="B8" s="6"/>
    </row>
    <row r="9" spans="1:4" x14ac:dyDescent="0.85">
      <c r="B9" s="6"/>
    </row>
    <row r="10" spans="1:4" x14ac:dyDescent="0.85">
      <c r="B10" s="6"/>
    </row>
    <row r="11" spans="1:4" x14ac:dyDescent="0.85">
      <c r="B11" s="6"/>
    </row>
    <row r="12" spans="1:4" x14ac:dyDescent="0.85"/>
    <row r="13" spans="1:4" x14ac:dyDescent="0.85"/>
    <row r="14" spans="1:4" x14ac:dyDescent="0.85"/>
    <row r="15" spans="1:4" x14ac:dyDescent="0.85"/>
    <row r="16" spans="1:4" x14ac:dyDescent="0.85"/>
    <row r="17" x14ac:dyDescent="0.85"/>
    <row r="18" x14ac:dyDescent="0.85"/>
    <row r="19" x14ac:dyDescent="0.85"/>
    <row r="20" x14ac:dyDescent="0.85"/>
    <row r="21" x14ac:dyDescent="0.85"/>
    <row r="22" x14ac:dyDescent="0.85"/>
    <row r="23" x14ac:dyDescent="0.85"/>
    <row r="24" x14ac:dyDescent="0.85"/>
    <row r="25" x14ac:dyDescent="0.85"/>
    <row r="26" x14ac:dyDescent="0.85"/>
    <row r="27" x14ac:dyDescent="0.85"/>
    <row r="28" x14ac:dyDescent="0.85"/>
    <row r="29" x14ac:dyDescent="0.85"/>
    <row r="30" x14ac:dyDescent="0.85"/>
    <row r="31" x14ac:dyDescent="0.85"/>
    <row r="32" x14ac:dyDescent="0.85"/>
    <row r="33" x14ac:dyDescent="0.85"/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10</vt:i4>
      </vt:variant>
    </vt:vector>
  </HeadingPairs>
  <TitlesOfParts>
    <vt:vector size="15" baseType="lpstr">
      <vt:lpstr>Cases</vt:lpstr>
      <vt:lpstr>Graph</vt:lpstr>
      <vt:lpstr>Graph_1y</vt:lpstr>
      <vt:lpstr>Calc</vt:lpstr>
      <vt:lpstr>Calc_1y</vt:lpstr>
      <vt:lpstr>Case_Count</vt:lpstr>
      <vt:lpstr>First_Case</vt:lpstr>
      <vt:lpstr>Region</vt:lpstr>
      <vt:lpstr>Region_1y</vt:lpstr>
      <vt:lpstr>Selected_NRG</vt:lpstr>
      <vt:lpstr>Selected_Year</vt:lpstr>
      <vt:lpstr>Table_Corner</vt:lpstr>
      <vt:lpstr>Table_Corner_1y</vt:lpstr>
      <vt:lpstr>Year_1y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2023-10-26T21:09:11Z</dcterms:created>
  <dcterms:modified xsi:type="dcterms:W3CDTF">2024-03-13T22:43:38Z</dcterms:modified>
</cp:coreProperties>
</file>