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15" documentId="8_{303DC75C-8D90-4724-81D5-92290AC72DAE}" xr6:coauthVersionLast="47" xr6:coauthVersionMax="47" xr10:uidLastSave="{5B4FDC45-8F5A-4B52-B585-9EAAC5EE30B4}"/>
  <bookViews>
    <workbookView xWindow="-90" yWindow="-90" windowWidth="19380" windowHeight="10980" activeTab="3" xr2:uid="{F4D4EDAC-D9BE-40D7-9520-4AD57ED7D8EC}"/>
  </bookViews>
  <sheets>
    <sheet name="Graph" sheetId="1" r:id="rId1"/>
    <sheet name="Cost_Graph" sheetId="6" r:id="rId2"/>
    <sheet name="Comp_Graph" sheetId="24" r:id="rId3"/>
    <sheet name="Calc" sheetId="5" r:id="rId4"/>
    <sheet name="Cost_Calc" sheetId="7" r:id="rId5"/>
    <sheet name="Comp_Calc" sheetId="25" r:id="rId6"/>
  </sheets>
  <externalReferences>
    <externalReference r:id="rId7"/>
  </externalReferences>
  <definedNames>
    <definedName name="_1st_ref">#REF!</definedName>
    <definedName name="_xleta.NA" hidden="1" xlm="1">#NAME?</definedName>
    <definedName name="_xleta.T" hidden="1" xlm="1">#NAME?</definedName>
    <definedName name="_xleta.VALUE" hidden="1" xlm="1">#NAME?</definedName>
    <definedName name="Battery_Cost" localSheetId="2">Comp_Graph!$B$14</definedName>
    <definedName name="Battery_Cost">Cost_Graph!$B$14</definedName>
    <definedName name="Billion">#REF!</definedName>
    <definedName name="Capital" localSheetId="2">Comp_Graph!$B$4</definedName>
    <definedName name="Capital">Cost_Graph!$B$4</definedName>
    <definedName name="CO2_" localSheetId="2">Comp_Graph!$B$7</definedName>
    <definedName name="CO2_">Cost_Graph!$B$7</definedName>
    <definedName name="Coal_Cost" localSheetId="2">Comp_Graph!$B$13</definedName>
    <definedName name="Coal_Cost">Cost_Graph!$B$13</definedName>
    <definedName name="Cost_Corner" localSheetId="5">Comp_Calc!$B$38</definedName>
    <definedName name="Cost_Corner">Cost_Calc!$B$38</definedName>
    <definedName name="Delta_Corner">Calc!$K$12</definedName>
    <definedName name="filename_">Graph!$C$1</definedName>
    <definedName name="Fixed" localSheetId="2">Comp_Graph!$B$5</definedName>
    <definedName name="Fixed">Cost_Graph!$B$5</definedName>
    <definedName name="Gas_Cost" localSheetId="2">Comp_Graph!$B$12</definedName>
    <definedName name="Gas_Cost">Cost_Graph!$B$12</definedName>
    <definedName name="Inbox">#REF!</definedName>
    <definedName name="Include_Battery" localSheetId="2">Comp_Graph!$B$14</definedName>
    <definedName name="Include_Battery">Cost_Graph!$B$14</definedName>
    <definedName name="Include_Capital" localSheetId="2">Comp_Graph!$B$4</definedName>
    <definedName name="Include_Capital">Cost_Graph!$B$4</definedName>
    <definedName name="Include_CO2" localSheetId="2">Comp_Graph!$B$7</definedName>
    <definedName name="Include_CO2">Cost_Graph!$B$7</definedName>
    <definedName name="Include_Coal" localSheetId="2">Comp_Graph!$B$13</definedName>
    <definedName name="Include_Coal">Cost_Graph!$B$13</definedName>
    <definedName name="Include_Fixed" localSheetId="2">Comp_Graph!$B$5</definedName>
    <definedName name="Include_Fixed">Cost_Graph!$B$5</definedName>
    <definedName name="Include_Gas" localSheetId="2">Comp_Graph!$B$12</definedName>
    <definedName name="Include_Gas">Cost_Graph!$B$12</definedName>
    <definedName name="Include_Nuclear" localSheetId="2">Comp_Graph!$B$11</definedName>
    <definedName name="Include_Nuclear">Cost_Graph!$B$11</definedName>
    <definedName name="Include_Solar" localSheetId="2">Comp_Graph!$B$9</definedName>
    <definedName name="Include_Solar">Cost_Graph!$B$9</definedName>
    <definedName name="Include_Variable" localSheetId="2">Comp_Graph!$B$6</definedName>
    <definedName name="Include_Variable">Cost_Graph!$B$6</definedName>
    <definedName name="Include_Wind" localSheetId="2">Comp_Graph!$B$10</definedName>
    <definedName name="Include_Wind">Cost_Graph!$B$10</definedName>
    <definedName name="Main_Corner">Calc!$B$12</definedName>
    <definedName name="Million">#REF!</definedName>
    <definedName name="Mult">Calc!$C$4</definedName>
    <definedName name="NRG_Selections">#REF!</definedName>
    <definedName name="NRG_Table">#REF!</definedName>
    <definedName name="Nuclear_Cost" localSheetId="2">Comp_Graph!$B$11</definedName>
    <definedName name="Nuclear_Cost">Cost_Graph!$B$11</definedName>
    <definedName name="Param_Count">#REF!</definedName>
    <definedName name="Param_offset">Calc!$C$5</definedName>
    <definedName name="Param_Table">#REF!</definedName>
    <definedName name="Parameter">Graph!$A$2</definedName>
    <definedName name="Params">#REF!</definedName>
    <definedName name="Region" localSheetId="2">Comp_Graph!$A$1</definedName>
    <definedName name="Region" localSheetId="1">Cost_Graph!A1</definedName>
    <definedName name="Region">Graph!$A$1</definedName>
    <definedName name="Region_abbr">Calc!$C$3</definedName>
    <definedName name="Region_Abbr_Comp">Comp_Calc!$C$1</definedName>
    <definedName name="Region_Abbr_Cost" localSheetId="5">Comp_Calc!$C$1</definedName>
    <definedName name="Region_Abbr_Cost">Cost_Calc!$C$1</definedName>
    <definedName name="Region_Cost">[1]Cost_Graph!$A$1</definedName>
    <definedName name="Region_lookup">#REF!</definedName>
    <definedName name="Regions">#REF!</definedName>
    <definedName name="Solar_Cost" localSheetId="2">Comp_Graph!$B$9</definedName>
    <definedName name="Solar_Cost">Cost_Graph!$B$9</definedName>
    <definedName name="Thousand">#REF!</definedName>
    <definedName name="To_Long">#REF!</definedName>
    <definedName name="Variable" localSheetId="2">Comp_Graph!$B$6</definedName>
    <definedName name="Variable">Cost_Graph!$B$6</definedName>
    <definedName name="Wind_Cost" localSheetId="2">Comp_Graph!$B$10</definedName>
    <definedName name="Wind_Cost">Cost_Graph!$B$10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" i="7" l="1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J14" i="5"/>
  <c r="K14" i="5"/>
  <c r="J15" i="5"/>
  <c r="K15" i="5"/>
  <c r="J16" i="5"/>
  <c r="J17" i="5" s="1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K16" i="5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A14" i="5"/>
  <c r="B14" i="5"/>
  <c r="A15" i="5"/>
  <c r="B15" i="5"/>
  <c r="A16" i="5"/>
  <c r="B16" i="5"/>
  <c r="A17" i="5"/>
  <c r="B17" i="5"/>
  <c r="A18" i="5"/>
  <c r="B18" i="5"/>
  <c r="A19" i="5"/>
  <c r="B19" i="5"/>
  <c r="A20" i="5"/>
  <c r="B20" i="5"/>
  <c r="A21" i="5"/>
  <c r="B21" i="5"/>
  <c r="A22" i="5"/>
  <c r="B22" i="5"/>
  <c r="A23" i="5"/>
  <c r="B23" i="5"/>
  <c r="A24" i="5"/>
  <c r="B24" i="5"/>
  <c r="A25" i="5"/>
  <c r="B25" i="5"/>
  <c r="A26" i="5"/>
  <c r="B26" i="5"/>
  <c r="A27" i="5"/>
  <c r="B27" i="5"/>
  <c r="A28" i="5"/>
  <c r="B28" i="5"/>
  <c r="A29" i="5"/>
  <c r="B29" i="5"/>
  <c r="A30" i="5"/>
  <c r="B30" i="5"/>
  <c r="A31" i="5"/>
  <c r="B31" i="5"/>
  <c r="A32" i="5"/>
  <c r="B32" i="5"/>
  <c r="A33" i="5"/>
  <c r="B33" i="5"/>
  <c r="A34" i="5"/>
  <c r="B34" i="5"/>
  <c r="A35" i="5"/>
  <c r="B35" i="5"/>
  <c r="A36" i="5"/>
  <c r="B36" i="5"/>
  <c r="A37" i="5"/>
  <c r="B37" i="5"/>
  <c r="A38" i="5"/>
  <c r="B38" i="5"/>
  <c r="A39" i="5"/>
  <c r="B39" i="5"/>
  <c r="B4" i="25"/>
  <c r="A16" i="24"/>
  <c r="A1" i="25"/>
  <c r="C1" i="25" s="1"/>
  <c r="A1" i="7"/>
  <c r="C1" i="7" s="1"/>
  <c r="F38" i="25"/>
  <c r="E38" i="25"/>
  <c r="D38" i="25"/>
  <c r="C38" i="25"/>
  <c r="A39" i="25"/>
  <c r="B38" i="25"/>
  <c r="A38" i="25"/>
  <c r="B37" i="25"/>
  <c r="A37" i="25"/>
  <c r="A10" i="25"/>
  <c r="A41" i="25" s="1"/>
  <c r="AC9" i="25"/>
  <c r="AC10" i="25" s="1"/>
  <c r="AC11" i="25" s="1"/>
  <c r="AC12" i="25" s="1"/>
  <c r="AC13" i="25" s="1"/>
  <c r="AC14" i="25" s="1"/>
  <c r="AC15" i="25" s="1"/>
  <c r="AC16" i="25" s="1"/>
  <c r="AC17" i="25" s="1"/>
  <c r="AC18" i="25" s="1"/>
  <c r="AC19" i="25" s="1"/>
  <c r="AC20" i="25" s="1"/>
  <c r="AC21" i="25" s="1"/>
  <c r="AC22" i="25" s="1"/>
  <c r="AC23" i="25" s="1"/>
  <c r="AC24" i="25" s="1"/>
  <c r="AC25" i="25" s="1"/>
  <c r="AC26" i="25" s="1"/>
  <c r="AC27" i="25" s="1"/>
  <c r="AC28" i="25" s="1"/>
  <c r="AC29" i="25" s="1"/>
  <c r="AC30" i="25" s="1"/>
  <c r="AC31" i="25" s="1"/>
  <c r="AC32" i="25" s="1"/>
  <c r="AC33" i="25" s="1"/>
  <c r="AC34" i="25" s="1"/>
  <c r="S9" i="25"/>
  <c r="S10" i="25" s="1"/>
  <c r="S11" i="25" s="1"/>
  <c r="S12" i="25" s="1"/>
  <c r="S13" i="25" s="1"/>
  <c r="S14" i="25" s="1"/>
  <c r="S15" i="25" s="1"/>
  <c r="S16" i="25" s="1"/>
  <c r="S17" i="25" s="1"/>
  <c r="S18" i="25" s="1"/>
  <c r="S19" i="25" s="1"/>
  <c r="S20" i="25" s="1"/>
  <c r="S21" i="25" s="1"/>
  <c r="S22" i="25" s="1"/>
  <c r="S23" i="25" s="1"/>
  <c r="S24" i="25" s="1"/>
  <c r="S25" i="25" s="1"/>
  <c r="S26" i="25" s="1"/>
  <c r="S27" i="25" s="1"/>
  <c r="S28" i="25" s="1"/>
  <c r="S29" i="25" s="1"/>
  <c r="S30" i="25" s="1"/>
  <c r="S31" i="25" s="1"/>
  <c r="S32" i="25" s="1"/>
  <c r="S33" i="25" s="1"/>
  <c r="S34" i="25" s="1"/>
  <c r="K9" i="25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B9" i="25"/>
  <c r="B40" i="25" s="1"/>
  <c r="A9" i="25"/>
  <c r="A40" i="25" s="1"/>
  <c r="AC8" i="25"/>
  <c r="AB8" i="25"/>
  <c r="AB9" i="25" s="1"/>
  <c r="AB10" i="25" s="1"/>
  <c r="AB11" i="25" s="1"/>
  <c r="AB12" i="25" s="1"/>
  <c r="AB13" i="25" s="1"/>
  <c r="AB14" i="25" s="1"/>
  <c r="AB15" i="25" s="1"/>
  <c r="AB16" i="25" s="1"/>
  <c r="AB17" i="25" s="1"/>
  <c r="AB18" i="25" s="1"/>
  <c r="AB19" i="25" s="1"/>
  <c r="AB20" i="25" s="1"/>
  <c r="AB21" i="25" s="1"/>
  <c r="AB22" i="25" s="1"/>
  <c r="AB23" i="25" s="1"/>
  <c r="AB24" i="25" s="1"/>
  <c r="AB25" i="25" s="1"/>
  <c r="AB26" i="25" s="1"/>
  <c r="AB27" i="25" s="1"/>
  <c r="AB28" i="25" s="1"/>
  <c r="AB29" i="25" s="1"/>
  <c r="AB30" i="25" s="1"/>
  <c r="AB31" i="25" s="1"/>
  <c r="AB32" i="25" s="1"/>
  <c r="AB33" i="25" s="1"/>
  <c r="AB34" i="25" s="1"/>
  <c r="T8" i="25"/>
  <c r="T9" i="25" s="1"/>
  <c r="T10" i="25" s="1"/>
  <c r="T11" i="25" s="1"/>
  <c r="T12" i="25" s="1"/>
  <c r="T13" i="25" s="1"/>
  <c r="T14" i="25" s="1"/>
  <c r="T15" i="25" s="1"/>
  <c r="T16" i="25" s="1"/>
  <c r="T17" i="25" s="1"/>
  <c r="T18" i="25" s="1"/>
  <c r="T19" i="25" s="1"/>
  <c r="T20" i="25" s="1"/>
  <c r="T21" i="25" s="1"/>
  <c r="T22" i="25" s="1"/>
  <c r="T23" i="25" s="1"/>
  <c r="T24" i="25" s="1"/>
  <c r="T25" i="25" s="1"/>
  <c r="T26" i="25" s="1"/>
  <c r="T27" i="25" s="1"/>
  <c r="T28" i="25" s="1"/>
  <c r="T29" i="25" s="1"/>
  <c r="T30" i="25" s="1"/>
  <c r="T31" i="25" s="1"/>
  <c r="T32" i="25" s="1"/>
  <c r="T33" i="25" s="1"/>
  <c r="T34" i="25" s="1"/>
  <c r="S8" i="25"/>
  <c r="K8" i="25"/>
  <c r="J8" i="25"/>
  <c r="J9" i="25" s="1"/>
  <c r="J10" i="25" s="1"/>
  <c r="J11" i="25" s="1"/>
  <c r="J12" i="25" s="1"/>
  <c r="J13" i="25" s="1"/>
  <c r="J14" i="25" s="1"/>
  <c r="J15" i="25" s="1"/>
  <c r="J16" i="25" s="1"/>
  <c r="J17" i="25" s="1"/>
  <c r="J18" i="25" s="1"/>
  <c r="J19" i="25" s="1"/>
  <c r="J20" i="25" s="1"/>
  <c r="J21" i="25" s="1"/>
  <c r="J22" i="25" s="1"/>
  <c r="J23" i="25" s="1"/>
  <c r="J24" i="25" s="1"/>
  <c r="J25" i="25" s="1"/>
  <c r="J26" i="25" s="1"/>
  <c r="J27" i="25" s="1"/>
  <c r="J28" i="25" s="1"/>
  <c r="J29" i="25" s="1"/>
  <c r="J30" i="25" s="1"/>
  <c r="J31" i="25" s="1"/>
  <c r="J32" i="25" s="1"/>
  <c r="J33" i="25" s="1"/>
  <c r="J34" i="25" s="1"/>
  <c r="B8" i="25"/>
  <c r="B39" i="25" s="1"/>
  <c r="A8" i="25"/>
  <c r="AC5" i="25"/>
  <c r="T5" i="25"/>
  <c r="K5" i="25"/>
  <c r="B5" i="25"/>
  <c r="T4" i="25"/>
  <c r="C1" i="24"/>
  <c r="AC4" i="25"/>
  <c r="K4" i="25"/>
  <c r="S8" i="7"/>
  <c r="T8" i="7"/>
  <c r="AB8" i="7"/>
  <c r="AC8" i="7"/>
  <c r="S9" i="7"/>
  <c r="T9" i="7"/>
  <c r="AB9" i="7"/>
  <c r="AC9" i="7"/>
  <c r="S10" i="7"/>
  <c r="T10" i="7"/>
  <c r="AB10" i="7"/>
  <c r="AC10" i="7"/>
  <c r="S11" i="7"/>
  <c r="T11" i="7"/>
  <c r="AB11" i="7"/>
  <c r="AC11" i="7"/>
  <c r="S12" i="7"/>
  <c r="T12" i="7"/>
  <c r="AB12" i="7"/>
  <c r="AC12" i="7"/>
  <c r="S13" i="7"/>
  <c r="T13" i="7"/>
  <c r="AB13" i="7"/>
  <c r="AC13" i="7"/>
  <c r="D32" i="5" a="1"/>
  <c r="D14" i="5" a="1"/>
  <c r="E14" i="5" a="1"/>
  <c r="E16" i="5" a="1"/>
  <c r="E18" i="5" a="1"/>
  <c r="E26" i="5" a="1"/>
  <c r="F14" i="5" a="1"/>
  <c r="F16" i="5" a="1"/>
  <c r="F18" i="5" a="1"/>
  <c r="F20" i="5" a="1"/>
  <c r="F22" i="5" a="1"/>
  <c r="F24" i="5" a="1"/>
  <c r="F26" i="5" a="1"/>
  <c r="F28" i="5" a="1"/>
  <c r="F30" i="5" a="1"/>
  <c r="F32" i="5" a="1"/>
  <c r="F34" i="5" a="1"/>
  <c r="F36" i="5" a="1"/>
  <c r="F38" i="5" a="1"/>
  <c r="E36" i="5" a="1"/>
  <c r="G14" i="5" a="1"/>
  <c r="G16" i="5" a="1"/>
  <c r="G18" i="5" a="1"/>
  <c r="G20" i="5" a="1"/>
  <c r="G22" i="5" a="1"/>
  <c r="G24" i="5" a="1"/>
  <c r="G26" i="5" a="1"/>
  <c r="G28" i="5" a="1"/>
  <c r="G30" i="5" a="1"/>
  <c r="G32" i="5" a="1"/>
  <c r="G34" i="5" a="1"/>
  <c r="G36" i="5" a="1"/>
  <c r="G38" i="5" a="1"/>
  <c r="E32" i="5" a="1"/>
  <c r="E34" i="5" a="1"/>
  <c r="H14" i="5" a="1"/>
  <c r="H16" i="5" a="1"/>
  <c r="H18" i="5" a="1"/>
  <c r="H20" i="5" a="1"/>
  <c r="H22" i="5" a="1"/>
  <c r="H24" i="5" a="1"/>
  <c r="H26" i="5" a="1"/>
  <c r="H28" i="5" a="1"/>
  <c r="H30" i="5" a="1"/>
  <c r="H32" i="5" a="1"/>
  <c r="H34" i="5" a="1"/>
  <c r="H36" i="5" a="1"/>
  <c r="H38" i="5" a="1"/>
  <c r="E20" i="5" a="1"/>
  <c r="E30" i="5" a="1"/>
  <c r="C15" i="5" a="1"/>
  <c r="C17" i="5" a="1"/>
  <c r="C19" i="5" a="1"/>
  <c r="C21" i="5" a="1"/>
  <c r="C23" i="5" a="1"/>
  <c r="C25" i="5" a="1"/>
  <c r="C27" i="5" a="1"/>
  <c r="C29" i="5" a="1"/>
  <c r="C31" i="5" a="1"/>
  <c r="C33" i="5" a="1"/>
  <c r="C35" i="5" a="1"/>
  <c r="C37" i="5" a="1"/>
  <c r="C39" i="5" a="1"/>
  <c r="D19" i="5" a="1"/>
  <c r="D25" i="5" a="1"/>
  <c r="D29" i="5" a="1"/>
  <c r="D33" i="5" a="1"/>
  <c r="D37" i="5" a="1"/>
  <c r="D39" i="5" a="1"/>
  <c r="G19" i="5" a="1"/>
  <c r="G23" i="5" a="1"/>
  <c r="G29" i="5" a="1"/>
  <c r="G37" i="5" a="1"/>
  <c r="D26" i="5" a="1"/>
  <c r="D36" i="5" a="1"/>
  <c r="E24" i="5" a="1"/>
  <c r="D15" i="5" a="1"/>
  <c r="D17" i="5" a="1"/>
  <c r="D21" i="5" a="1"/>
  <c r="D23" i="5" a="1"/>
  <c r="D27" i="5" a="1"/>
  <c r="D31" i="5" a="1"/>
  <c r="D35" i="5" a="1"/>
  <c r="G21" i="5" a="1"/>
  <c r="G33" i="5" a="1"/>
  <c r="D30" i="5" a="1"/>
  <c r="E22" i="5" a="1"/>
  <c r="D18" i="5" a="1"/>
  <c r="E15" i="5" a="1"/>
  <c r="E17" i="5" a="1"/>
  <c r="E19" i="5" a="1"/>
  <c r="E21" i="5" a="1"/>
  <c r="E23" i="5" a="1"/>
  <c r="E25" i="5" a="1"/>
  <c r="E27" i="5" a="1"/>
  <c r="E29" i="5" a="1"/>
  <c r="E31" i="5" a="1"/>
  <c r="E33" i="5" a="1"/>
  <c r="E35" i="5" a="1"/>
  <c r="E37" i="5" a="1"/>
  <c r="E39" i="5" a="1"/>
  <c r="F33" i="5" a="1"/>
  <c r="F39" i="5" a="1"/>
  <c r="G17" i="5" a="1"/>
  <c r="G27" i="5" a="1"/>
  <c r="G35" i="5" a="1"/>
  <c r="D20" i="5" a="1"/>
  <c r="E38" i="5" a="1"/>
  <c r="F15" i="5" a="1"/>
  <c r="F17" i="5" a="1"/>
  <c r="F19" i="5" a="1"/>
  <c r="F21" i="5" a="1"/>
  <c r="F23" i="5" a="1"/>
  <c r="F25" i="5" a="1"/>
  <c r="F27" i="5" a="1"/>
  <c r="F29" i="5" a="1"/>
  <c r="F31" i="5" a="1"/>
  <c r="F35" i="5" a="1"/>
  <c r="F37" i="5" a="1"/>
  <c r="G15" i="5" a="1"/>
  <c r="G25" i="5" a="1"/>
  <c r="G31" i="5" a="1"/>
  <c r="G39" i="5" a="1"/>
  <c r="D24" i="5" a="1"/>
  <c r="D38" i="5" a="1"/>
  <c r="D16" i="5" a="1"/>
  <c r="H15" i="5" a="1"/>
  <c r="H17" i="5" a="1"/>
  <c r="H19" i="5" a="1"/>
  <c r="H21" i="5" a="1"/>
  <c r="H23" i="5" a="1"/>
  <c r="H25" i="5" a="1"/>
  <c r="H27" i="5" a="1"/>
  <c r="H29" i="5" a="1"/>
  <c r="H31" i="5" a="1"/>
  <c r="H33" i="5" a="1"/>
  <c r="H35" i="5" a="1"/>
  <c r="H37" i="5" a="1"/>
  <c r="H39" i="5" a="1"/>
  <c r="D22" i="5" a="1"/>
  <c r="C14" i="5" a="1"/>
  <c r="C16" i="5" a="1"/>
  <c r="C18" i="5" a="1"/>
  <c r="C20" i="5" a="1"/>
  <c r="C22" i="5" a="1"/>
  <c r="C24" i="5" a="1"/>
  <c r="C26" i="5" a="1"/>
  <c r="C28" i="5" a="1"/>
  <c r="C30" i="5" a="1"/>
  <c r="C32" i="5" a="1"/>
  <c r="C34" i="5" a="1"/>
  <c r="C36" i="5" a="1"/>
  <c r="C38" i="5" a="1"/>
  <c r="D28" i="5" a="1"/>
  <c r="D34" i="5" a="1"/>
  <c r="E28" i="5" a="1"/>
  <c r="D13" i="5" a="1"/>
  <c r="E13" i="5" a="1"/>
  <c r="F13" i="5" a="1"/>
  <c r="G13" i="5" a="1"/>
  <c r="H13" i="5" a="1"/>
  <c r="C13" i="5" a="1"/>
  <c r="E28" i="5" l="1"/>
  <c r="D34" i="5"/>
  <c r="D28" i="5"/>
  <c r="C38" i="5"/>
  <c r="C36" i="5"/>
  <c r="C34" i="5"/>
  <c r="L33" i="5" s="1"/>
  <c r="C32" i="5"/>
  <c r="L31" i="5" s="1"/>
  <c r="C30" i="5"/>
  <c r="L29" i="5" s="1"/>
  <c r="C28" i="5"/>
  <c r="C26" i="5"/>
  <c r="L25" i="5" s="1"/>
  <c r="C24" i="5"/>
  <c r="L23" i="5" s="1"/>
  <c r="C22" i="5"/>
  <c r="L21" i="5" s="1"/>
  <c r="C20" i="5"/>
  <c r="L19" i="5" s="1"/>
  <c r="C18" i="5"/>
  <c r="L17" i="5" s="1"/>
  <c r="C16" i="5"/>
  <c r="C14" i="5"/>
  <c r="D22" i="5"/>
  <c r="M21" i="5" s="1"/>
  <c r="H39" i="5"/>
  <c r="H37" i="5"/>
  <c r="H35" i="5"/>
  <c r="Q34" i="5" s="1"/>
  <c r="H33" i="5"/>
  <c r="Q32" i="5" s="1"/>
  <c r="H31" i="5"/>
  <c r="Q30" i="5" s="1"/>
  <c r="H29" i="5"/>
  <c r="Q28" i="5" s="1"/>
  <c r="H27" i="5"/>
  <c r="Q26" i="5" s="1"/>
  <c r="H25" i="5"/>
  <c r="H23" i="5"/>
  <c r="H21" i="5"/>
  <c r="H19" i="5"/>
  <c r="H17" i="5"/>
  <c r="H15" i="5"/>
  <c r="Q14" i="5" s="1"/>
  <c r="D16" i="5"/>
  <c r="D38" i="5"/>
  <c r="D24" i="5"/>
  <c r="M23" i="5" s="1"/>
  <c r="G39" i="5"/>
  <c r="G31" i="5"/>
  <c r="P30" i="5" s="1"/>
  <c r="G25" i="5"/>
  <c r="P24" i="5" s="1"/>
  <c r="G15" i="5"/>
  <c r="P14" i="5" s="1"/>
  <c r="F37" i="5"/>
  <c r="F35" i="5"/>
  <c r="F31" i="5"/>
  <c r="F29" i="5"/>
  <c r="F27" i="5"/>
  <c r="F25" i="5"/>
  <c r="O24" i="5" s="1"/>
  <c r="F23" i="5"/>
  <c r="O22" i="5" s="1"/>
  <c r="F21" i="5"/>
  <c r="O20" i="5" s="1"/>
  <c r="F19" i="5"/>
  <c r="O18" i="5" s="1"/>
  <c r="F17" i="5"/>
  <c r="O16" i="5" s="1"/>
  <c r="F15" i="5"/>
  <c r="O14" i="5" s="1"/>
  <c r="E38" i="5"/>
  <c r="D20" i="5"/>
  <c r="G35" i="5"/>
  <c r="G27" i="5"/>
  <c r="G17" i="5"/>
  <c r="F39" i="5"/>
  <c r="F33" i="5"/>
  <c r="E39" i="5"/>
  <c r="E37" i="5"/>
  <c r="E35" i="5"/>
  <c r="N34" i="5" s="1"/>
  <c r="E33" i="5"/>
  <c r="N32" i="5" s="1"/>
  <c r="E31" i="5"/>
  <c r="N30" i="5" s="1"/>
  <c r="E29" i="5"/>
  <c r="N28" i="5" s="1"/>
  <c r="E27" i="5"/>
  <c r="N26" i="5" s="1"/>
  <c r="E25" i="5"/>
  <c r="N24" i="5" s="1"/>
  <c r="E23" i="5"/>
  <c r="E21" i="5"/>
  <c r="E19" i="5"/>
  <c r="N18" i="5" s="1"/>
  <c r="E17" i="5"/>
  <c r="N16" i="5" s="1"/>
  <c r="E15" i="5"/>
  <c r="N14" i="5" s="1"/>
  <c r="D18" i="5"/>
  <c r="M17" i="5" s="1"/>
  <c r="E22" i="5"/>
  <c r="N21" i="5" s="1"/>
  <c r="D30" i="5"/>
  <c r="M29" i="5" s="1"/>
  <c r="G33" i="5"/>
  <c r="P32" i="5" s="1"/>
  <c r="G21" i="5"/>
  <c r="D35" i="5"/>
  <c r="M34" i="5" s="1"/>
  <c r="D31" i="5"/>
  <c r="D27" i="5"/>
  <c r="D23" i="5"/>
  <c r="D21" i="5"/>
  <c r="M20" i="5" s="1"/>
  <c r="D17" i="5"/>
  <c r="M16" i="5" s="1"/>
  <c r="D15" i="5"/>
  <c r="E24" i="5"/>
  <c r="D36" i="5"/>
  <c r="M35" i="5" s="1"/>
  <c r="D26" i="5"/>
  <c r="G37" i="5"/>
  <c r="P36" i="5" s="1"/>
  <c r="G29" i="5"/>
  <c r="P28" i="5" s="1"/>
  <c r="G23" i="5"/>
  <c r="G19" i="5"/>
  <c r="D39" i="5"/>
  <c r="D37" i="5"/>
  <c r="M36" i="5" s="1"/>
  <c r="D33" i="5"/>
  <c r="D29" i="5"/>
  <c r="M28" i="5" s="1"/>
  <c r="D25" i="5"/>
  <c r="M24" i="5" s="1"/>
  <c r="D19" i="5"/>
  <c r="C39" i="5"/>
  <c r="C37" i="5"/>
  <c r="L36" i="5" s="1"/>
  <c r="C35" i="5"/>
  <c r="L34" i="5" s="1"/>
  <c r="C33" i="5"/>
  <c r="C31" i="5"/>
  <c r="C29" i="5"/>
  <c r="C27" i="5"/>
  <c r="C25" i="5"/>
  <c r="C23" i="5"/>
  <c r="C21" i="5"/>
  <c r="C19" i="5"/>
  <c r="C17" i="5"/>
  <c r="C15" i="5"/>
  <c r="E30" i="5"/>
  <c r="E20" i="5"/>
  <c r="H38" i="5"/>
  <c r="H36" i="5"/>
  <c r="H34" i="5"/>
  <c r="H32" i="5"/>
  <c r="H30" i="5"/>
  <c r="H28" i="5"/>
  <c r="H26" i="5"/>
  <c r="Q25" i="5" s="1"/>
  <c r="H24" i="5"/>
  <c r="Q23" i="5" s="1"/>
  <c r="H22" i="5"/>
  <c r="Q21" i="5" s="1"/>
  <c r="H20" i="5"/>
  <c r="Q19" i="5" s="1"/>
  <c r="H18" i="5"/>
  <c r="Q17" i="5" s="1"/>
  <c r="H16" i="5"/>
  <c r="Q15" i="5" s="1"/>
  <c r="H14" i="5"/>
  <c r="E34" i="5"/>
  <c r="E32" i="5"/>
  <c r="G38" i="5"/>
  <c r="G36" i="5"/>
  <c r="G34" i="5"/>
  <c r="G32" i="5"/>
  <c r="G30" i="5"/>
  <c r="G28" i="5"/>
  <c r="G26" i="5"/>
  <c r="G24" i="5"/>
  <c r="G22" i="5"/>
  <c r="P21" i="5" s="1"/>
  <c r="G20" i="5"/>
  <c r="P19" i="5" s="1"/>
  <c r="G18" i="5"/>
  <c r="P17" i="5" s="1"/>
  <c r="G16" i="5"/>
  <c r="G14" i="5"/>
  <c r="E36" i="5"/>
  <c r="N35" i="5" s="1"/>
  <c r="F38" i="5"/>
  <c r="F36" i="5"/>
  <c r="O35" i="5" s="1"/>
  <c r="F34" i="5"/>
  <c r="O33" i="5" s="1"/>
  <c r="F32" i="5"/>
  <c r="O31" i="5" s="1"/>
  <c r="F30" i="5"/>
  <c r="O29" i="5" s="1"/>
  <c r="F28" i="5"/>
  <c r="O27" i="5" s="1"/>
  <c r="F26" i="5"/>
  <c r="O25" i="5" s="1"/>
  <c r="F24" i="5"/>
  <c r="F22" i="5"/>
  <c r="F20" i="5"/>
  <c r="F18" i="5"/>
  <c r="F16" i="5"/>
  <c r="F14" i="5"/>
  <c r="E26" i="5"/>
  <c r="E18" i="5"/>
  <c r="E16" i="5"/>
  <c r="E14" i="5"/>
  <c r="D14" i="5"/>
  <c r="D32" i="5"/>
  <c r="M31" i="5" s="1"/>
  <c r="H13" i="5"/>
  <c r="G13" i="5"/>
  <c r="F13" i="5"/>
  <c r="E13" i="5"/>
  <c r="D13" i="5"/>
  <c r="C13" i="5"/>
  <c r="U6" i="25"/>
  <c r="L6" i="25"/>
  <c r="C6" i="25"/>
  <c r="AD6" i="25"/>
  <c r="B10" i="25"/>
  <c r="A11" i="25"/>
  <c r="A9" i="7"/>
  <c r="B9" i="7"/>
  <c r="J9" i="7"/>
  <c r="K9" i="7"/>
  <c r="A10" i="7"/>
  <c r="B10" i="7"/>
  <c r="J10" i="7"/>
  <c r="K10" i="7"/>
  <c r="A11" i="7"/>
  <c r="B11" i="7"/>
  <c r="J11" i="7"/>
  <c r="K11" i="7"/>
  <c r="A12" i="7"/>
  <c r="B12" i="7"/>
  <c r="J12" i="7"/>
  <c r="K12" i="7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A13" i="7"/>
  <c r="B13" i="7"/>
  <c r="J13" i="7"/>
  <c r="A14" i="7"/>
  <c r="B14" i="7"/>
  <c r="J14" i="7"/>
  <c r="S14" i="7"/>
  <c r="T14" i="7"/>
  <c r="AB14" i="7"/>
  <c r="AC14" i="7"/>
  <c r="A15" i="7"/>
  <c r="B15" i="7"/>
  <c r="J15" i="7"/>
  <c r="J16" i="7" s="1"/>
  <c r="J17" i="7" s="1"/>
  <c r="S15" i="7"/>
  <c r="T15" i="7"/>
  <c r="AB15" i="7"/>
  <c r="AC15" i="7"/>
  <c r="A16" i="7"/>
  <c r="B16" i="7"/>
  <c r="S16" i="7"/>
  <c r="T16" i="7"/>
  <c r="AB16" i="7"/>
  <c r="AC16" i="7"/>
  <c r="A17" i="7"/>
  <c r="B17" i="7"/>
  <c r="S17" i="7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T17" i="7"/>
  <c r="AB17" i="7"/>
  <c r="AB18" i="7" s="1"/>
  <c r="AB19" i="7" s="1"/>
  <c r="AB20" i="7" s="1"/>
  <c r="AB21" i="7" s="1"/>
  <c r="AB22" i="7" s="1"/>
  <c r="AB23" i="7" s="1"/>
  <c r="AB24" i="7" s="1"/>
  <c r="AC17" i="7"/>
  <c r="A18" i="7"/>
  <c r="A19" i="7" s="1"/>
  <c r="A20" i="7" s="1"/>
  <c r="A21" i="7" s="1"/>
  <c r="A22" i="7" s="1"/>
  <c r="A23" i="7" s="1"/>
  <c r="A24" i="7" s="1"/>
  <c r="A25" i="7" s="1"/>
  <c r="A26" i="7" s="1"/>
  <c r="B18" i="7"/>
  <c r="J18" i="7"/>
  <c r="J19" i="7" s="1"/>
  <c r="J20" i="7" s="1"/>
  <c r="J21" i="7" s="1"/>
  <c r="J22" i="7" s="1"/>
  <c r="J23" i="7" s="1"/>
  <c r="J24" i="7" s="1"/>
  <c r="J25" i="7" s="1"/>
  <c r="T18" i="7"/>
  <c r="AC18" i="7"/>
  <c r="B19" i="7"/>
  <c r="T19" i="7"/>
  <c r="AC19" i="7"/>
  <c r="B20" i="7"/>
  <c r="T20" i="7"/>
  <c r="AC20" i="7"/>
  <c r="B21" i="7"/>
  <c r="T21" i="7"/>
  <c r="AC21" i="7"/>
  <c r="B22" i="7"/>
  <c r="T22" i="7"/>
  <c r="AC22" i="7"/>
  <c r="B23" i="7"/>
  <c r="T23" i="7"/>
  <c r="AC23" i="7"/>
  <c r="B24" i="7"/>
  <c r="T24" i="7"/>
  <c r="AC24" i="7"/>
  <c r="B25" i="7"/>
  <c r="T25" i="7"/>
  <c r="AB25" i="7"/>
  <c r="AC25" i="7"/>
  <c r="AC26" i="7" s="1"/>
  <c r="AC27" i="7" s="1"/>
  <c r="AC28" i="7" s="1"/>
  <c r="AC29" i="7" s="1"/>
  <c r="AC30" i="7" s="1"/>
  <c r="AC31" i="7" s="1"/>
  <c r="AC32" i="7" s="1"/>
  <c r="AC33" i="7" s="1"/>
  <c r="AC34" i="7" s="1"/>
  <c r="B26" i="7"/>
  <c r="J26" i="7"/>
  <c r="T26" i="7"/>
  <c r="AB26" i="7"/>
  <c r="A27" i="7"/>
  <c r="B27" i="7"/>
  <c r="J27" i="7"/>
  <c r="T27" i="7"/>
  <c r="AB27" i="7"/>
  <c r="A28" i="7"/>
  <c r="B28" i="7"/>
  <c r="J28" i="7"/>
  <c r="T28" i="7"/>
  <c r="AB28" i="7"/>
  <c r="A29" i="7"/>
  <c r="B29" i="7"/>
  <c r="J29" i="7"/>
  <c r="T29" i="7"/>
  <c r="AB29" i="7"/>
  <c r="A30" i="7"/>
  <c r="B30" i="7"/>
  <c r="J30" i="7"/>
  <c r="T30" i="7"/>
  <c r="AB30" i="7"/>
  <c r="A31" i="7"/>
  <c r="B31" i="7"/>
  <c r="J31" i="7"/>
  <c r="T31" i="7"/>
  <c r="AB31" i="7"/>
  <c r="AB32" i="7" s="1"/>
  <c r="AB33" i="7" s="1"/>
  <c r="AB34" i="7" s="1"/>
  <c r="A32" i="7"/>
  <c r="B32" i="7"/>
  <c r="J32" i="7"/>
  <c r="T32" i="7"/>
  <c r="A33" i="7"/>
  <c r="B33" i="7"/>
  <c r="J33" i="7"/>
  <c r="T33" i="7"/>
  <c r="A34" i="7"/>
  <c r="B34" i="7"/>
  <c r="J34" i="7"/>
  <c r="T34" i="7"/>
  <c r="B38" i="7"/>
  <c r="B39" i="7"/>
  <c r="A39" i="7"/>
  <c r="A38" i="7"/>
  <c r="C38" i="7"/>
  <c r="D38" i="7"/>
  <c r="E38" i="7"/>
  <c r="F38" i="7"/>
  <c r="G38" i="7"/>
  <c r="H38" i="7"/>
  <c r="B37" i="7"/>
  <c r="A37" i="7"/>
  <c r="C1" i="6"/>
  <c r="J13" i="5"/>
  <c r="J12" i="5"/>
  <c r="C5" i="5"/>
  <c r="L26" i="25" a="1"/>
  <c r="AD15" i="25" a="1"/>
  <c r="C14" i="25" a="1"/>
  <c r="C21" i="25" a="1"/>
  <c r="L19" i="25" a="1"/>
  <c r="C30" i="25" a="1"/>
  <c r="C20" i="25" a="1"/>
  <c r="U27" i="25" a="1"/>
  <c r="L10" i="25" a="1"/>
  <c r="AD10" i="25" a="1"/>
  <c r="U9" i="25" a="1"/>
  <c r="C17" i="25" a="1"/>
  <c r="L15" i="25" a="1"/>
  <c r="U23" i="25" a="1"/>
  <c r="AD33" i="25" a="1"/>
  <c r="L31" i="25" a="1"/>
  <c r="C31" i="25" a="1"/>
  <c r="L13" i="25" a="1"/>
  <c r="U25" i="25" a="1"/>
  <c r="L22" i="25" a="1"/>
  <c r="C24" i="25" a="1"/>
  <c r="AD13" i="25" a="1"/>
  <c r="U19" i="25" a="1"/>
  <c r="U34" i="25" a="1"/>
  <c r="AD34" i="25" a="1"/>
  <c r="U24" i="25" a="1"/>
  <c r="L34" i="25" a="1"/>
  <c r="C19" i="25" a="1"/>
  <c r="U22" i="25" a="1"/>
  <c r="C22" i="25" a="1"/>
  <c r="L23" i="25" a="1"/>
  <c r="AD21" i="25" a="1"/>
  <c r="AD22" i="25" a="1"/>
  <c r="C27" i="25" a="1"/>
  <c r="U11" i="25" a="1"/>
  <c r="U17" i="25" a="1"/>
  <c r="L12" i="25" a="1"/>
  <c r="AD14" i="25" a="1"/>
  <c r="U8" i="25" a="1"/>
  <c r="L21" i="25" a="1"/>
  <c r="L25" i="25" a="1"/>
  <c r="L14" i="25" a="1"/>
  <c r="C8" i="25" a="1"/>
  <c r="C33" i="25" a="1"/>
  <c r="AD19" i="25" a="1"/>
  <c r="AD23" i="25" a="1"/>
  <c r="L17" i="25" a="1"/>
  <c r="AD8" i="25" a="1"/>
  <c r="U28" i="25" a="1"/>
  <c r="L30" i="25" a="1"/>
  <c r="U18" i="25" a="1"/>
  <c r="C28" i="25" a="1"/>
  <c r="U21" i="25" a="1"/>
  <c r="AD18" i="25" a="1"/>
  <c r="AD29" i="25" a="1"/>
  <c r="C12" i="25" a="1"/>
  <c r="C15" i="25" a="1"/>
  <c r="L29" i="25" a="1"/>
  <c r="U26" i="25" a="1"/>
  <c r="AD28" i="25" a="1"/>
  <c r="L8" i="25" a="1"/>
  <c r="U20" i="25" a="1"/>
  <c r="L11" i="25" a="1"/>
  <c r="C29" i="25" a="1"/>
  <c r="U30" i="25" a="1"/>
  <c r="C32" i="25" a="1"/>
  <c r="C18" i="25" a="1"/>
  <c r="U12" i="25" a="1"/>
  <c r="C34" i="25" a="1"/>
  <c r="AD31" i="25" a="1"/>
  <c r="L16" i="25" a="1"/>
  <c r="L18" i="25" a="1"/>
  <c r="C26" i="25" a="1"/>
  <c r="AD30" i="25" a="1"/>
  <c r="C9" i="25" a="1"/>
  <c r="AD20" i="25" a="1"/>
  <c r="AD27" i="25" a="1"/>
  <c r="C13" i="25" a="1"/>
  <c r="AD11" i="25" a="1"/>
  <c r="AD24" i="25" a="1"/>
  <c r="U29" i="25" a="1"/>
  <c r="C23" i="25" a="1"/>
  <c r="U10" i="25" a="1"/>
  <c r="U14" i="25" a="1"/>
  <c r="L32" i="25" a="1"/>
  <c r="L20" i="25" a="1"/>
  <c r="AD12" i="25" a="1"/>
  <c r="C10" i="25" a="1"/>
  <c r="L33" i="25" a="1"/>
  <c r="L24" i="25" a="1"/>
  <c r="U16" i="25" a="1"/>
  <c r="C16" i="25" a="1"/>
  <c r="AD26" i="25" a="1"/>
  <c r="U32" i="25" a="1"/>
  <c r="AD17" i="25" a="1"/>
  <c r="AD16" i="25" a="1"/>
  <c r="L27" i="25" a="1"/>
  <c r="C25" i="25" a="1"/>
  <c r="C11" i="25" a="1"/>
  <c r="AD9" i="25" a="1"/>
  <c r="U33" i="25" a="1"/>
  <c r="AD32" i="25" a="1"/>
  <c r="L28" i="25" a="1"/>
  <c r="U15" i="25" a="1"/>
  <c r="L9" i="25" a="1"/>
  <c r="U13" i="25" a="1"/>
  <c r="U31" i="25" a="1"/>
  <c r="AD25" i="25" a="1"/>
  <c r="M18" i="5" l="1"/>
  <c r="P22" i="5"/>
  <c r="O36" i="5"/>
  <c r="Q37" i="5"/>
  <c r="N19" i="5"/>
  <c r="L28" i="5"/>
  <c r="L14" i="5"/>
  <c r="Q29" i="5"/>
  <c r="N20" i="5"/>
  <c r="O28" i="5"/>
  <c r="Q36" i="5"/>
  <c r="O37" i="5"/>
  <c r="Q27" i="5"/>
  <c r="M32" i="5"/>
  <c r="Q38" i="5"/>
  <c r="Q39" i="5"/>
  <c r="P13" i="5"/>
  <c r="Q31" i="5"/>
  <c r="M38" i="5"/>
  <c r="M39" i="5"/>
  <c r="N22" i="5"/>
  <c r="O30" i="5"/>
  <c r="O26" i="5"/>
  <c r="P15" i="5"/>
  <c r="Q33" i="5"/>
  <c r="P18" i="5"/>
  <c r="O34" i="5"/>
  <c r="L15" i="5"/>
  <c r="Q35" i="5"/>
  <c r="P23" i="5"/>
  <c r="M25" i="5"/>
  <c r="N13" i="5"/>
  <c r="P25" i="5"/>
  <c r="P38" i="5"/>
  <c r="P39" i="5"/>
  <c r="N15" i="5"/>
  <c r="P27" i="5"/>
  <c r="L16" i="5"/>
  <c r="N23" i="5"/>
  <c r="N36" i="5"/>
  <c r="L27" i="5"/>
  <c r="N29" i="5"/>
  <c r="L18" i="5"/>
  <c r="M37" i="5"/>
  <c r="N25" i="5"/>
  <c r="P31" i="5"/>
  <c r="L20" i="5"/>
  <c r="O32" i="5"/>
  <c r="M15" i="5"/>
  <c r="O13" i="5"/>
  <c r="P33" i="5"/>
  <c r="L22" i="5"/>
  <c r="O38" i="5"/>
  <c r="O39" i="5"/>
  <c r="O15" i="5"/>
  <c r="P35" i="5"/>
  <c r="L24" i="5"/>
  <c r="M22" i="5"/>
  <c r="P16" i="5"/>
  <c r="Q16" i="5"/>
  <c r="L35" i="5"/>
  <c r="L38" i="5"/>
  <c r="L39" i="5"/>
  <c r="N17" i="5"/>
  <c r="P29" i="5"/>
  <c r="M14" i="5"/>
  <c r="N39" i="5"/>
  <c r="N38" i="5"/>
  <c r="O17" i="5"/>
  <c r="P37" i="5"/>
  <c r="L26" i="5"/>
  <c r="M26" i="5"/>
  <c r="P26" i="5"/>
  <c r="Q18" i="5"/>
  <c r="L37" i="5"/>
  <c r="O19" i="5"/>
  <c r="N31" i="5"/>
  <c r="M30" i="5"/>
  <c r="P34" i="5"/>
  <c r="Q20" i="5"/>
  <c r="M27" i="5"/>
  <c r="O21" i="5"/>
  <c r="N33" i="5"/>
  <c r="L30" i="5"/>
  <c r="M19" i="5"/>
  <c r="Q22" i="5"/>
  <c r="M33" i="5"/>
  <c r="O23" i="5"/>
  <c r="Q13" i="5"/>
  <c r="L32" i="5"/>
  <c r="P20" i="5"/>
  <c r="N37" i="5"/>
  <c r="Q24" i="5"/>
  <c r="N27" i="5"/>
  <c r="M13" i="5"/>
  <c r="L13" i="5"/>
  <c r="AD29" i="25"/>
  <c r="AD17" i="25"/>
  <c r="AD20" i="25"/>
  <c r="AD32" i="25"/>
  <c r="AD28" i="25"/>
  <c r="AD16" i="25"/>
  <c r="AD27" i="25"/>
  <c r="AD15" i="25"/>
  <c r="AD26" i="25"/>
  <c r="AD14" i="25"/>
  <c r="AD25" i="25"/>
  <c r="AD13" i="25"/>
  <c r="AD24" i="25"/>
  <c r="AD12" i="25"/>
  <c r="AD8" i="25"/>
  <c r="AD18" i="25"/>
  <c r="AD23" i="25"/>
  <c r="AD11" i="25"/>
  <c r="AD34" i="25"/>
  <c r="AD22" i="25"/>
  <c r="AD10" i="25"/>
  <c r="AD33" i="25"/>
  <c r="AD21" i="25"/>
  <c r="AD9" i="25"/>
  <c r="AD19" i="25"/>
  <c r="AD30" i="25"/>
  <c r="AD31" i="25"/>
  <c r="C34" i="25"/>
  <c r="C17" i="25"/>
  <c r="C13" i="25"/>
  <c r="C12" i="25"/>
  <c r="C10" i="25"/>
  <c r="C26" i="25"/>
  <c r="C11" i="25"/>
  <c r="C9" i="25"/>
  <c r="C23" i="25"/>
  <c r="C28" i="25"/>
  <c r="C33" i="25"/>
  <c r="C8" i="25"/>
  <c r="C20" i="25"/>
  <c r="C30" i="25"/>
  <c r="C16" i="25"/>
  <c r="C15" i="25"/>
  <c r="C29" i="25"/>
  <c r="C22" i="25"/>
  <c r="C14" i="25"/>
  <c r="C24" i="25"/>
  <c r="C21" i="25"/>
  <c r="C31" i="25"/>
  <c r="C27" i="25"/>
  <c r="C18" i="25"/>
  <c r="C32" i="25"/>
  <c r="C25" i="25"/>
  <c r="C19" i="25"/>
  <c r="L26" i="25"/>
  <c r="L29" i="25"/>
  <c r="L17" i="25"/>
  <c r="L28" i="25"/>
  <c r="L16" i="25"/>
  <c r="L27" i="25"/>
  <c r="L15" i="25"/>
  <c r="L30" i="25"/>
  <c r="L14" i="25"/>
  <c r="L25" i="25"/>
  <c r="L13" i="25"/>
  <c r="L10" i="25"/>
  <c r="L24" i="25"/>
  <c r="L12" i="25"/>
  <c r="L22" i="25"/>
  <c r="L34" i="25"/>
  <c r="L23" i="25"/>
  <c r="L11" i="25"/>
  <c r="L33" i="25"/>
  <c r="L21" i="25"/>
  <c r="L9" i="25"/>
  <c r="L8" i="25"/>
  <c r="L32" i="25"/>
  <c r="L20" i="25"/>
  <c r="L18" i="25"/>
  <c r="L31" i="25"/>
  <c r="L19" i="25"/>
  <c r="U19" i="25"/>
  <c r="U20" i="25"/>
  <c r="U14" i="25"/>
  <c r="U21" i="25"/>
  <c r="U8" i="25"/>
  <c r="U12" i="25"/>
  <c r="U33" i="25"/>
  <c r="U23" i="25"/>
  <c r="U26" i="25"/>
  <c r="U13" i="25"/>
  <c r="U30" i="25"/>
  <c r="U11" i="25"/>
  <c r="U27" i="25"/>
  <c r="U32" i="25"/>
  <c r="U24" i="25"/>
  <c r="U17" i="25"/>
  <c r="U15" i="25"/>
  <c r="U28" i="25"/>
  <c r="U25" i="25"/>
  <c r="U29" i="25"/>
  <c r="U10" i="25"/>
  <c r="U31" i="25"/>
  <c r="U18" i="25"/>
  <c r="U22" i="25"/>
  <c r="U9" i="25"/>
  <c r="U34" i="25"/>
  <c r="U16" i="25"/>
  <c r="C37" i="25"/>
  <c r="A12" i="25"/>
  <c r="A42" i="25"/>
  <c r="B41" i="25"/>
  <c r="B11" i="25"/>
  <c r="V6" i="25"/>
  <c r="M6" i="25"/>
  <c r="D6" i="25"/>
  <c r="AE6" i="25"/>
  <c r="AC5" i="7"/>
  <c r="AC4" i="7"/>
  <c r="T5" i="7"/>
  <c r="T4" i="7"/>
  <c r="K5" i="7"/>
  <c r="B5" i="7"/>
  <c r="K4" i="7"/>
  <c r="B4" i="7"/>
  <c r="M12" i="25" a="1"/>
  <c r="V9" i="25" a="1"/>
  <c r="M19" i="25" a="1"/>
  <c r="M34" i="25" a="1"/>
  <c r="V26" i="25" a="1"/>
  <c r="M29" i="25" a="1"/>
  <c r="V13" i="25" a="1"/>
  <c r="M23" i="25" a="1"/>
  <c r="M33" i="25" a="1"/>
  <c r="AE10" i="25" a="1"/>
  <c r="D23" i="25" a="1"/>
  <c r="AE22" i="25" a="1"/>
  <c r="M20" i="25" a="1"/>
  <c r="D12" i="25" a="1"/>
  <c r="AE33" i="25" a="1"/>
  <c r="AE30" i="25" a="1"/>
  <c r="AE26" i="25" a="1"/>
  <c r="V33" i="25" a="1"/>
  <c r="D24" i="25" a="1"/>
  <c r="AE18" i="25" a="1"/>
  <c r="D33" i="25" a="1"/>
  <c r="V15" i="25" a="1"/>
  <c r="AE13" i="25" a="1"/>
  <c r="D21" i="25" a="1"/>
  <c r="AE25" i="25" a="1"/>
  <c r="D26" i="25" a="1"/>
  <c r="M18" i="25" a="1"/>
  <c r="V18" i="25" a="1"/>
  <c r="AE31" i="25" a="1"/>
  <c r="V14" i="25" a="1"/>
  <c r="D18" i="25" a="1"/>
  <c r="D28" i="25" a="1"/>
  <c r="V30" i="25" a="1"/>
  <c r="D32" i="25" a="1"/>
  <c r="D8" i="25" a="1"/>
  <c r="M14" i="25" a="1"/>
  <c r="D17" i="25" a="1"/>
  <c r="D30" i="25" a="1"/>
  <c r="AE8" i="25" a="1"/>
  <c r="AE24" i="25" a="1"/>
  <c r="M30" i="25" a="1"/>
  <c r="V12" i="25" a="1"/>
  <c r="D25" i="25" a="1"/>
  <c r="V34" i="25" a="1"/>
  <c r="AE27" i="25" a="1"/>
  <c r="V28" i="25" a="1"/>
  <c r="D22" i="25" a="1"/>
  <c r="D14" i="25" a="1"/>
  <c r="D16" i="25" a="1"/>
  <c r="AE14" i="25" a="1"/>
  <c r="M27" i="25" a="1"/>
  <c r="V29" i="25" a="1"/>
  <c r="M10" i="25" a="1"/>
  <c r="D27" i="25" a="1"/>
  <c r="V17" i="25" a="1"/>
  <c r="D19" i="25" a="1"/>
  <c r="M25" i="25" a="1"/>
  <c r="AE16" i="25" a="1"/>
  <c r="V16" i="25" a="1"/>
  <c r="AE32" i="25" a="1"/>
  <c r="V24" i="25" a="1"/>
  <c r="AE11" i="25" a="1"/>
  <c r="D34" i="25" a="1"/>
  <c r="AE34" i="25" a="1"/>
  <c r="M21" i="25" a="1"/>
  <c r="D31" i="25" a="1"/>
  <c r="AE21" i="25" a="1"/>
  <c r="M24" i="25" a="1"/>
  <c r="M8" i="25" a="1"/>
  <c r="AE15" i="25" a="1"/>
  <c r="AE17" i="25" a="1"/>
  <c r="M31" i="25" a="1"/>
  <c r="V22" i="25" a="1"/>
  <c r="M11" i="25" a="1"/>
  <c r="M28" i="25" a="1"/>
  <c r="V10" i="25" a="1"/>
  <c r="V25" i="25" a="1"/>
  <c r="D11" i="25" a="1"/>
  <c r="AE23" i="25" a="1"/>
  <c r="M16" i="25" a="1"/>
  <c r="D15" i="25" a="1"/>
  <c r="AE28" i="25" a="1"/>
  <c r="V20" i="25" a="1"/>
  <c r="D10" i="25" a="1"/>
  <c r="AE19" i="25" a="1"/>
  <c r="D13" i="25" a="1"/>
  <c r="D20" i="25" a="1"/>
  <c r="V19" i="25" a="1"/>
  <c r="D9" i="25" a="1"/>
  <c r="M9" i="25" a="1"/>
  <c r="V23" i="25" a="1"/>
  <c r="V8" i="25" a="1"/>
  <c r="V31" i="25" a="1"/>
  <c r="AE20" i="25" a="1"/>
  <c r="AE29" i="25" a="1"/>
  <c r="M13" i="25" a="1"/>
  <c r="AE12" i="25" a="1"/>
  <c r="V21" i="25" a="1"/>
  <c r="M32" i="25" a="1"/>
  <c r="D29" i="25" a="1"/>
  <c r="M17" i="25" a="1"/>
  <c r="V11" i="25" a="1"/>
  <c r="V27" i="25" a="1"/>
  <c r="AE9" i="25" a="1"/>
  <c r="M26" i="25" a="1"/>
  <c r="M15" i="25" a="1"/>
  <c r="M22" i="25" a="1"/>
  <c r="V32" i="25" a="1"/>
  <c r="D11" i="25" l="1"/>
  <c r="D32" i="25"/>
  <c r="D34" i="25"/>
  <c r="D18" i="25"/>
  <c r="D25" i="25"/>
  <c r="D21" i="25"/>
  <c r="D23" i="25"/>
  <c r="D20" i="25"/>
  <c r="D17" i="25"/>
  <c r="D19" i="25"/>
  <c r="D27" i="25"/>
  <c r="D14" i="25"/>
  <c r="D9" i="25"/>
  <c r="D29" i="25"/>
  <c r="D28" i="25"/>
  <c r="D16" i="25"/>
  <c r="D22" i="25"/>
  <c r="D26" i="25"/>
  <c r="D24" i="25"/>
  <c r="D10" i="25"/>
  <c r="D31" i="25"/>
  <c r="D8" i="25"/>
  <c r="D33" i="25"/>
  <c r="D30" i="25"/>
  <c r="D13" i="25"/>
  <c r="D15" i="25"/>
  <c r="D12" i="25"/>
  <c r="AE24" i="25"/>
  <c r="AE12" i="25"/>
  <c r="AE23" i="25"/>
  <c r="AE11" i="25"/>
  <c r="AE8" i="25"/>
  <c r="AE15" i="25"/>
  <c r="AE34" i="25"/>
  <c r="AE22" i="25"/>
  <c r="AE10" i="25"/>
  <c r="AE33" i="25"/>
  <c r="AE21" i="25"/>
  <c r="AE9" i="25"/>
  <c r="AE32" i="25"/>
  <c r="AE20" i="25"/>
  <c r="AE31" i="25"/>
  <c r="AE19" i="25"/>
  <c r="AE30" i="25"/>
  <c r="AE18" i="25"/>
  <c r="AE29" i="25"/>
  <c r="AE17" i="25"/>
  <c r="AE28" i="25"/>
  <c r="AE16" i="25"/>
  <c r="AE27" i="25"/>
  <c r="AE14" i="25"/>
  <c r="AE26" i="25"/>
  <c r="AE25" i="25"/>
  <c r="AE13" i="25"/>
  <c r="V8" i="25"/>
  <c r="V22" i="25"/>
  <c r="V19" i="25"/>
  <c r="V34" i="25"/>
  <c r="V24" i="25"/>
  <c r="V32" i="25"/>
  <c r="V15" i="25"/>
  <c r="V17" i="25"/>
  <c r="V31" i="25"/>
  <c r="V12" i="25"/>
  <c r="V13" i="25"/>
  <c r="V20" i="25"/>
  <c r="V9" i="25"/>
  <c r="V26" i="25"/>
  <c r="V21" i="25"/>
  <c r="V29" i="25"/>
  <c r="V25" i="25"/>
  <c r="V14" i="25"/>
  <c r="V33" i="25"/>
  <c r="V23" i="25"/>
  <c r="V28" i="25"/>
  <c r="V11" i="25"/>
  <c r="V18" i="25"/>
  <c r="V16" i="25"/>
  <c r="V10" i="25"/>
  <c r="V27" i="25"/>
  <c r="V30" i="25"/>
  <c r="M9" i="25"/>
  <c r="M21" i="25"/>
  <c r="M24" i="25"/>
  <c r="M12" i="25"/>
  <c r="M33" i="25"/>
  <c r="M23" i="25"/>
  <c r="M11" i="25"/>
  <c r="M34" i="25"/>
  <c r="M22" i="25"/>
  <c r="M10" i="25"/>
  <c r="M25" i="25"/>
  <c r="M8" i="25"/>
  <c r="M32" i="25"/>
  <c r="M20" i="25"/>
  <c r="M17" i="25"/>
  <c r="M31" i="25"/>
  <c r="M19" i="25"/>
  <c r="M13" i="25"/>
  <c r="M30" i="25"/>
  <c r="M18" i="25"/>
  <c r="M29" i="25"/>
  <c r="M28" i="25"/>
  <c r="M16" i="25"/>
  <c r="M27" i="25"/>
  <c r="M15" i="25"/>
  <c r="M26" i="25"/>
  <c r="M14" i="25"/>
  <c r="D37" i="25"/>
  <c r="W6" i="25"/>
  <c r="N6" i="25"/>
  <c r="E6" i="25"/>
  <c r="AF6" i="25"/>
  <c r="B12" i="25"/>
  <c r="B42" i="25"/>
  <c r="A43" i="25"/>
  <c r="A13" i="25"/>
  <c r="K8" i="7"/>
  <c r="J8" i="7"/>
  <c r="B8" i="7"/>
  <c r="A8" i="7"/>
  <c r="E3" i="5"/>
  <c r="B6" i="5"/>
  <c r="K13" i="5"/>
  <c r="B13" i="5"/>
  <c r="A13" i="5"/>
  <c r="C3" i="5"/>
  <c r="AF13" i="25" a="1"/>
  <c r="W29" i="25" a="1"/>
  <c r="E33" i="25" a="1"/>
  <c r="E12" i="25" a="1"/>
  <c r="AF22" i="25" a="1"/>
  <c r="E25" i="25" a="1"/>
  <c r="N15" i="25" a="1"/>
  <c r="W14" i="25" a="1"/>
  <c r="AF18" i="25" a="1"/>
  <c r="W15" i="25" a="1"/>
  <c r="AF12" i="25" a="1"/>
  <c r="N18" i="25" a="1"/>
  <c r="AF24" i="25" a="1"/>
  <c r="E9" i="25" a="1"/>
  <c r="N23" i="25" a="1"/>
  <c r="N21" i="25" a="1"/>
  <c r="AF20" i="25" a="1"/>
  <c r="W24" i="25" a="1"/>
  <c r="E14" i="25" a="1"/>
  <c r="W23" i="25" a="1"/>
  <c r="W25" i="25" a="1"/>
  <c r="N10" i="25" a="1"/>
  <c r="E11" i="25" a="1"/>
  <c r="E21" i="25" a="1"/>
  <c r="AF31" i="25" a="1"/>
  <c r="AF21" i="25" a="1"/>
  <c r="AF30" i="25" a="1"/>
  <c r="N13" i="25" a="1"/>
  <c r="E32" i="25" a="1"/>
  <c r="W33" i="25" a="1"/>
  <c r="N8" i="25" a="1"/>
  <c r="AF15" i="25" a="1"/>
  <c r="AF32" i="25" a="1"/>
  <c r="N11" i="25" a="1"/>
  <c r="N26" i="25" a="1"/>
  <c r="AF8" i="25" a="1"/>
  <c r="E30" i="25" a="1"/>
  <c r="W34" i="25" a="1"/>
  <c r="W8" i="25" a="1"/>
  <c r="W32" i="25" a="1"/>
  <c r="E24" i="25" a="1"/>
  <c r="N9" i="25" a="1"/>
  <c r="E26" i="25" a="1"/>
  <c r="AF28" i="25" a="1"/>
  <c r="W20" i="25" a="1"/>
  <c r="AF11" i="25" a="1"/>
  <c r="W18" i="25" a="1"/>
  <c r="W9" i="25" a="1"/>
  <c r="E29" i="25" a="1"/>
  <c r="N22" i="25" a="1"/>
  <c r="E23" i="25" a="1"/>
  <c r="E19" i="25" a="1"/>
  <c r="W22" i="25" a="1"/>
  <c r="E8" i="25" a="1"/>
  <c r="W13" i="25" a="1"/>
  <c r="N29" i="25" a="1"/>
  <c r="E28" i="25" a="1"/>
  <c r="W17" i="25" a="1"/>
  <c r="AF25" i="25" a="1"/>
  <c r="N16" i="25" a="1"/>
  <c r="AF29" i="25" a="1"/>
  <c r="E16" i="25" a="1"/>
  <c r="N32" i="25" a="1"/>
  <c r="N14" i="25" a="1"/>
  <c r="N19" i="25" a="1"/>
  <c r="N33" i="25" a="1"/>
  <c r="AF16" i="25" a="1"/>
  <c r="E18" i="25" a="1"/>
  <c r="AF27" i="25" a="1"/>
  <c r="W11" i="25" a="1"/>
  <c r="E20" i="25" a="1"/>
  <c r="W27" i="25" a="1"/>
  <c r="W19" i="25" a="1"/>
  <c r="W12" i="25" a="1"/>
  <c r="N31" i="25" a="1"/>
  <c r="N17" i="25" a="1"/>
  <c r="W28" i="25" a="1"/>
  <c r="E31" i="25" a="1"/>
  <c r="N20" i="25" a="1"/>
  <c r="N28" i="25" a="1"/>
  <c r="AF23" i="25" a="1"/>
  <c r="E13" i="25" a="1"/>
  <c r="AF26" i="25" a="1"/>
  <c r="AF33" i="25" a="1"/>
  <c r="AF10" i="25" a="1"/>
  <c r="N24" i="25" a="1"/>
  <c r="AF14" i="25" a="1"/>
  <c r="W21" i="25" a="1"/>
  <c r="W31" i="25" a="1"/>
  <c r="N27" i="25" a="1"/>
  <c r="AF34" i="25" a="1"/>
  <c r="E10" i="25" a="1"/>
  <c r="W26" i="25" a="1"/>
  <c r="AF17" i="25" a="1"/>
  <c r="N30" i="25" a="1"/>
  <c r="W10" i="25" a="1"/>
  <c r="N12" i="25" a="1"/>
  <c r="E34" i="25" a="1"/>
  <c r="AF19" i="25" a="1"/>
  <c r="N34" i="25" a="1"/>
  <c r="N25" i="25" a="1"/>
  <c r="W30" i="25" a="1"/>
  <c r="E27" i="25" a="1"/>
  <c r="E17" i="25" a="1"/>
  <c r="E15" i="25" a="1"/>
  <c r="E22" i="25" a="1"/>
  <c r="AF9" i="25" a="1"/>
  <c r="W16" i="25" a="1"/>
  <c r="AF27" i="25" l="1"/>
  <c r="AF30" i="25"/>
  <c r="AF18" i="25"/>
  <c r="AF15" i="25"/>
  <c r="AF29" i="25"/>
  <c r="AF17" i="25"/>
  <c r="AF28" i="25"/>
  <c r="AF16" i="25"/>
  <c r="AF19" i="25"/>
  <c r="AF26" i="25"/>
  <c r="AF14" i="25"/>
  <c r="AF11" i="25"/>
  <c r="AF9" i="25"/>
  <c r="AF31" i="25"/>
  <c r="AF25" i="25"/>
  <c r="AF13" i="25"/>
  <c r="AF23" i="25"/>
  <c r="AF24" i="25"/>
  <c r="AF12" i="25"/>
  <c r="AF10" i="25"/>
  <c r="AF34" i="25"/>
  <c r="AF22" i="25"/>
  <c r="AF33" i="25"/>
  <c r="AF21" i="25"/>
  <c r="AF8" i="25"/>
  <c r="AF32" i="25"/>
  <c r="AF20" i="25"/>
  <c r="W27" i="25"/>
  <c r="W15" i="25"/>
  <c r="W30" i="25"/>
  <c r="W26" i="25"/>
  <c r="W14" i="25"/>
  <c r="W25" i="25"/>
  <c r="W13" i="25"/>
  <c r="W24" i="25"/>
  <c r="W12" i="25"/>
  <c r="W23" i="25"/>
  <c r="W11" i="25"/>
  <c r="W34" i="25"/>
  <c r="W22" i="25"/>
  <c r="W9" i="25"/>
  <c r="W10" i="25"/>
  <c r="W33" i="25"/>
  <c r="W21" i="25"/>
  <c r="W28" i="25"/>
  <c r="W32" i="25"/>
  <c r="W20" i="25"/>
  <c r="W8" i="25"/>
  <c r="W31" i="25"/>
  <c r="W19" i="25"/>
  <c r="W18" i="25"/>
  <c r="W16" i="25"/>
  <c r="W29" i="25"/>
  <c r="W17" i="25"/>
  <c r="N31" i="25"/>
  <c r="N19" i="25"/>
  <c r="N22" i="25"/>
  <c r="N32" i="25"/>
  <c r="N30" i="25"/>
  <c r="N18" i="25"/>
  <c r="N29" i="25"/>
  <c r="N17" i="25"/>
  <c r="N28" i="25"/>
  <c r="N16" i="25"/>
  <c r="N27" i="25"/>
  <c r="N15" i="25"/>
  <c r="N26" i="25"/>
  <c r="N14" i="25"/>
  <c r="N25" i="25"/>
  <c r="N13" i="25"/>
  <c r="N11" i="25"/>
  <c r="N24" i="25"/>
  <c r="N12" i="25"/>
  <c r="N23" i="25"/>
  <c r="N10" i="25"/>
  <c r="N34" i="25"/>
  <c r="N9" i="25"/>
  <c r="N33" i="25"/>
  <c r="N21" i="25"/>
  <c r="N8" i="25"/>
  <c r="N20" i="25"/>
  <c r="E27" i="25"/>
  <c r="E15" i="25"/>
  <c r="E12" i="25"/>
  <c r="E26" i="25"/>
  <c r="E14" i="25"/>
  <c r="E25" i="25"/>
  <c r="E13" i="25"/>
  <c r="E16" i="25"/>
  <c r="E24" i="25"/>
  <c r="E34" i="25"/>
  <c r="E10" i="25"/>
  <c r="E8" i="25"/>
  <c r="E23" i="25"/>
  <c r="E11" i="25"/>
  <c r="E22" i="25"/>
  <c r="E20" i="25"/>
  <c r="E32" i="25"/>
  <c r="E33" i="25"/>
  <c r="E21" i="25"/>
  <c r="E9" i="25"/>
  <c r="E31" i="25"/>
  <c r="E19" i="25"/>
  <c r="E30" i="25"/>
  <c r="E18" i="25"/>
  <c r="E28" i="25"/>
  <c r="E29" i="25"/>
  <c r="E17" i="25"/>
  <c r="E37" i="25"/>
  <c r="A44" i="25"/>
  <c r="A14" i="25"/>
  <c r="B43" i="25"/>
  <c r="B13" i="25"/>
  <c r="X6" i="25"/>
  <c r="O6" i="25"/>
  <c r="F6" i="25"/>
  <c r="AG6" i="25"/>
  <c r="AD6" i="7"/>
  <c r="U6" i="7"/>
  <c r="C11" i="5"/>
  <c r="C6" i="7"/>
  <c r="L6" i="7"/>
  <c r="C4" i="5"/>
  <c r="U15" i="7" a="1"/>
  <c r="O10" i="25" a="1"/>
  <c r="C28" i="7" a="1"/>
  <c r="AD10" i="7" a="1"/>
  <c r="AD30" i="7" a="1"/>
  <c r="O22" i="25" a="1"/>
  <c r="C13" i="7" a="1"/>
  <c r="C18" i="7" a="1"/>
  <c r="F29" i="25" a="1"/>
  <c r="AD31" i="7" a="1"/>
  <c r="X26" i="25" a="1"/>
  <c r="AG9" i="25" a="1"/>
  <c r="C31" i="7" a="1"/>
  <c r="AD23" i="7" a="1"/>
  <c r="C26" i="7" a="1"/>
  <c r="L26" i="7" a="1"/>
  <c r="X22" i="25" a="1"/>
  <c r="AG11" i="25" a="1"/>
  <c r="U21" i="7" a="1"/>
  <c r="L18" i="7" a="1"/>
  <c r="C11" i="7" a="1"/>
  <c r="L12" i="7" a="1"/>
  <c r="C15" i="7" a="1"/>
  <c r="AG16" i="25" a="1"/>
  <c r="O14" i="25" a="1"/>
  <c r="F10" i="25" a="1"/>
  <c r="U17" i="7" a="1"/>
  <c r="U28" i="7" a="1"/>
  <c r="U34" i="7" a="1"/>
  <c r="L13" i="7" a="1"/>
  <c r="U13" i="7" a="1"/>
  <c r="F34" i="25" a="1"/>
  <c r="O20" i="25" a="1"/>
  <c r="X14" i="25" a="1"/>
  <c r="AG8" i="25" a="1"/>
  <c r="U22" i="7" a="1"/>
  <c r="L27" i="7" a="1"/>
  <c r="AG24" i="25" a="1"/>
  <c r="F18" i="25" a="1"/>
  <c r="AG12" i="25" a="1"/>
  <c r="L34" i="7" a="1"/>
  <c r="O31" i="25" a="1"/>
  <c r="AD25" i="7" a="1"/>
  <c r="F25" i="25" a="1"/>
  <c r="O15" i="25" a="1"/>
  <c r="F32" i="25" a="1"/>
  <c r="F31" i="25" a="1"/>
  <c r="AG10" i="25" a="1"/>
  <c r="O23" i="25" a="1"/>
  <c r="U23" i="7" a="1"/>
  <c r="U19" i="7" a="1"/>
  <c r="O24" i="25" a="1"/>
  <c r="AD16" i="7" a="1"/>
  <c r="O9" i="25" a="1"/>
  <c r="X11" i="25" a="1"/>
  <c r="O28" i="25" a="1"/>
  <c r="X20" i="25" a="1"/>
  <c r="U30" i="7" a="1"/>
  <c r="C34" i="7" a="1"/>
  <c r="L23" i="7" a="1"/>
  <c r="AD34" i="7" a="1"/>
  <c r="C8" i="7" a="1"/>
  <c r="C33" i="7" a="1"/>
  <c r="O21" i="25" a="1"/>
  <c r="U27" i="7" a="1"/>
  <c r="O27" i="25" a="1"/>
  <c r="L30" i="7" a="1"/>
  <c r="X32" i="25" a="1"/>
  <c r="X23" i="25" a="1"/>
  <c r="U26" i="7" a="1"/>
  <c r="O30" i="25" a="1"/>
  <c r="AD20" i="7" a="1"/>
  <c r="F27" i="25" a="1"/>
  <c r="X34" i="25" a="1"/>
  <c r="O26" i="25" a="1"/>
  <c r="C12" i="7" a="1"/>
  <c r="C20" i="7" a="1"/>
  <c r="AD27" i="7" a="1"/>
  <c r="L11" i="7" a="1"/>
  <c r="C14" i="7" a="1"/>
  <c r="C32" i="7" a="1"/>
  <c r="AD32" i="7" a="1"/>
  <c r="O33" i="25" a="1"/>
  <c r="AD14" i="7" a="1"/>
  <c r="L8" i="7" a="1"/>
  <c r="O8" i="25" a="1"/>
  <c r="X33" i="25" a="1"/>
  <c r="X9" i="25" a="1"/>
  <c r="U31" i="7" a="1"/>
  <c r="L21" i="7" a="1"/>
  <c r="L19" i="7" a="1"/>
  <c r="O29" i="25" a="1"/>
  <c r="O16" i="25" a="1"/>
  <c r="AD21" i="7" a="1"/>
  <c r="O12" i="25" a="1"/>
  <c r="O18" i="25" a="1"/>
  <c r="F17" i="25" a="1"/>
  <c r="AD29" i="7" a="1"/>
  <c r="O25" i="25" a="1"/>
  <c r="X19" i="25" a="1"/>
  <c r="U14" i="7" a="1"/>
  <c r="F33" i="25" a="1"/>
  <c r="L31" i="7" a="1"/>
  <c r="X31" i="25" a="1"/>
  <c r="C9" i="7" a="1"/>
  <c r="AG28" i="25" a="1"/>
  <c r="X18" i="25" a="1"/>
  <c r="U29" i="7" a="1"/>
  <c r="L25" i="7" a="1"/>
  <c r="X13" i="25" a="1"/>
  <c r="AG21" i="25" a="1"/>
  <c r="U16" i="7" a="1"/>
  <c r="O19" i="25" a="1"/>
  <c r="C17" i="7" a="1"/>
  <c r="X27" i="25" a="1"/>
  <c r="F28" i="25" a="1"/>
  <c r="AG34" i="25" a="1"/>
  <c r="O17" i="25" a="1"/>
  <c r="U8" i="7" a="1"/>
  <c r="F14" i="25" a="1"/>
  <c r="C21" i="7" a="1"/>
  <c r="F21" i="25" a="1"/>
  <c r="L22" i="7" a="1"/>
  <c r="L28" i="7" a="1"/>
  <c r="AG13" i="25" a="1"/>
  <c r="F16" i="25" a="1"/>
  <c r="AG31" i="25" a="1"/>
  <c r="U33" i="7" a="1"/>
  <c r="X29" i="25" a="1"/>
  <c r="AD26" i="7" a="1"/>
  <c r="X15" i="25" a="1"/>
  <c r="C23" i="7" a="1"/>
  <c r="L9" i="7" a="1"/>
  <c r="U9" i="7" a="1"/>
  <c r="AG32" i="25" a="1"/>
  <c r="L10" i="7" a="1"/>
  <c r="AG23" i="25" a="1"/>
  <c r="X21" i="25" a="1"/>
  <c r="U18" i="7" a="1"/>
  <c r="F20" i="25" a="1"/>
  <c r="L16" i="7" a="1"/>
  <c r="L33" i="7" a="1"/>
  <c r="AD24" i="7" a="1"/>
  <c r="O11" i="25" a="1"/>
  <c r="F26" i="25" a="1"/>
  <c r="AD15" i="7" a="1"/>
  <c r="X24" i="25" a="1"/>
  <c r="AG25" i="25" a="1"/>
  <c r="X10" i="25" a="1"/>
  <c r="U10" i="7" a="1"/>
  <c r="C16" i="7" a="1"/>
  <c r="AG19" i="25" a="1"/>
  <c r="X30" i="25" a="1"/>
  <c r="L29" i="7" a="1"/>
  <c r="C22" i="7" a="1"/>
  <c r="C30" i="7" a="1"/>
  <c r="F22" i="25" a="1"/>
  <c r="AG27" i="25" a="1"/>
  <c r="C25" i="7" a="1"/>
  <c r="AG33" i="25" a="1"/>
  <c r="U20" i="7" a="1"/>
  <c r="U24" i="7" a="1"/>
  <c r="C29" i="7" a="1"/>
  <c r="AD11" i="7" a="1"/>
  <c r="C10" i="7" a="1"/>
  <c r="AG30" i="25" a="1"/>
  <c r="AD33" i="7" a="1"/>
  <c r="C19" i="7" a="1"/>
  <c r="F24" i="25" a="1"/>
  <c r="F23" i="25" a="1"/>
  <c r="AG29" i="25" a="1"/>
  <c r="C27" i="7" a="1"/>
  <c r="AG15" i="25" a="1"/>
  <c r="AD9" i="7" a="1"/>
  <c r="AD12" i="7" a="1"/>
  <c r="F13" i="25" a="1"/>
  <c r="AD17" i="7" a="1"/>
  <c r="F9" i="25" a="1"/>
  <c r="AD18" i="7" a="1"/>
  <c r="L14" i="7" a="1"/>
  <c r="X25" i="25" a="1"/>
  <c r="AG20" i="25" a="1"/>
  <c r="U25" i="7" a="1"/>
  <c r="L20" i="7" a="1"/>
  <c r="AG26" i="25" a="1"/>
  <c r="L32" i="7" a="1"/>
  <c r="O32" i="25" a="1"/>
  <c r="AG14" i="25" a="1"/>
  <c r="AG22" i="25" a="1"/>
  <c r="F15" i="25" a="1"/>
  <c r="F19" i="25" a="1"/>
  <c r="O34" i="25" a="1"/>
  <c r="U11" i="7" a="1"/>
  <c r="X12" i="25" a="1"/>
  <c r="AD28" i="7" a="1"/>
  <c r="X16" i="25" a="1"/>
  <c r="L24" i="7" a="1"/>
  <c r="AG17" i="25" a="1"/>
  <c r="U32" i="7" a="1"/>
  <c r="L15" i="7" a="1"/>
  <c r="AD22" i="7" a="1"/>
  <c r="C24" i="7" a="1"/>
  <c r="F11" i="25" a="1"/>
  <c r="F8" i="25" a="1"/>
  <c r="X8" i="25" a="1"/>
  <c r="AG18" i="25" a="1"/>
  <c r="X28" i="25" a="1"/>
  <c r="AD19" i="7" a="1"/>
  <c r="X17" i="25" a="1"/>
  <c r="O13" i="25" a="1"/>
  <c r="AD8" i="7" a="1"/>
  <c r="F12" i="25" a="1"/>
  <c r="L17" i="7" a="1"/>
  <c r="U12" i="7" a="1"/>
  <c r="AD13" i="7" a="1"/>
  <c r="F30" i="25" a="1"/>
  <c r="O26" i="25" l="1"/>
  <c r="O14" i="25"/>
  <c r="O25" i="25"/>
  <c r="O13" i="25"/>
  <c r="O10" i="25"/>
  <c r="O11" i="25"/>
  <c r="O24" i="25"/>
  <c r="O12" i="25"/>
  <c r="O23" i="25"/>
  <c r="O34" i="25"/>
  <c r="O22" i="25"/>
  <c r="O29" i="25"/>
  <c r="O9" i="25"/>
  <c r="O33" i="25"/>
  <c r="O21" i="25"/>
  <c r="O8" i="25"/>
  <c r="O32" i="25"/>
  <c r="O20" i="25"/>
  <c r="O31" i="25"/>
  <c r="O19" i="25"/>
  <c r="O17" i="25"/>
  <c r="O30" i="25"/>
  <c r="O18" i="25"/>
  <c r="O15" i="25"/>
  <c r="O16" i="25"/>
  <c r="O28" i="25"/>
  <c r="O27" i="25"/>
  <c r="F28" i="25"/>
  <c r="F16" i="25"/>
  <c r="F31" i="25"/>
  <c r="F29" i="25"/>
  <c r="F27" i="25"/>
  <c r="F15" i="25"/>
  <c r="F26" i="25"/>
  <c r="F14" i="25"/>
  <c r="F25" i="25"/>
  <c r="F13" i="25"/>
  <c r="F24" i="25"/>
  <c r="F12" i="25"/>
  <c r="F23" i="25"/>
  <c r="F11" i="25"/>
  <c r="F34" i="25"/>
  <c r="F22" i="25"/>
  <c r="F10" i="25"/>
  <c r="F33" i="25"/>
  <c r="F21" i="25"/>
  <c r="F9" i="25"/>
  <c r="F32" i="25"/>
  <c r="F20" i="25"/>
  <c r="F8" i="25"/>
  <c r="F17" i="25"/>
  <c r="F19" i="25"/>
  <c r="F18" i="25"/>
  <c r="F30" i="25"/>
  <c r="X27" i="25"/>
  <c r="X15" i="25"/>
  <c r="X24" i="25"/>
  <c r="X26" i="25"/>
  <c r="X14" i="25"/>
  <c r="X12" i="25"/>
  <c r="X28" i="25"/>
  <c r="X25" i="25"/>
  <c r="X13" i="25"/>
  <c r="X16" i="25"/>
  <c r="X10" i="25"/>
  <c r="X23" i="25"/>
  <c r="X11" i="25"/>
  <c r="X22" i="25"/>
  <c r="X32" i="25"/>
  <c r="X8" i="25"/>
  <c r="X34" i="25"/>
  <c r="X33" i="25"/>
  <c r="X21" i="25"/>
  <c r="X9" i="25"/>
  <c r="X20" i="25"/>
  <c r="X31" i="25"/>
  <c r="X19" i="25"/>
  <c r="X30" i="25"/>
  <c r="X18" i="25"/>
  <c r="X29" i="25"/>
  <c r="X17" i="25"/>
  <c r="AD8" i="7"/>
  <c r="AD28" i="7"/>
  <c r="AD24" i="7"/>
  <c r="AD18" i="7"/>
  <c r="AD34" i="7"/>
  <c r="AD33" i="7"/>
  <c r="AD26" i="7"/>
  <c r="AD31" i="7"/>
  <c r="AD21" i="7"/>
  <c r="AD13" i="7"/>
  <c r="AD10" i="7"/>
  <c r="AD16" i="7"/>
  <c r="AD27" i="7"/>
  <c r="AD14" i="7"/>
  <c r="AD19" i="7"/>
  <c r="AD17" i="7"/>
  <c r="AD11" i="7"/>
  <c r="AD22" i="7"/>
  <c r="AD12" i="7"/>
  <c r="AD30" i="7"/>
  <c r="AD20" i="7"/>
  <c r="AD25" i="7"/>
  <c r="AD29" i="7"/>
  <c r="AD9" i="7"/>
  <c r="AD15" i="7"/>
  <c r="AD23" i="7"/>
  <c r="AD32" i="7"/>
  <c r="AG25" i="25"/>
  <c r="AG13" i="25"/>
  <c r="AG22" i="25"/>
  <c r="AG34" i="25"/>
  <c r="AG24" i="25"/>
  <c r="AG12" i="25"/>
  <c r="AG23" i="25"/>
  <c r="AG11" i="25"/>
  <c r="AG14" i="25"/>
  <c r="AG10" i="25"/>
  <c r="AG9" i="25"/>
  <c r="AG33" i="25"/>
  <c r="AG21" i="25"/>
  <c r="AG30" i="25"/>
  <c r="AG8" i="25"/>
  <c r="AG18" i="25"/>
  <c r="AG32" i="25"/>
  <c r="AG20" i="25"/>
  <c r="AG31" i="25"/>
  <c r="AG19" i="25"/>
  <c r="AG26" i="25"/>
  <c r="AG29" i="25"/>
  <c r="AG17" i="25"/>
  <c r="AG28" i="25"/>
  <c r="AG16" i="25"/>
  <c r="AG27" i="25"/>
  <c r="AG15" i="25"/>
  <c r="L17" i="7"/>
  <c r="L34" i="7"/>
  <c r="L10" i="7"/>
  <c r="L12" i="7"/>
  <c r="L20" i="7"/>
  <c r="L22" i="7"/>
  <c r="L18" i="7"/>
  <c r="L9" i="7"/>
  <c r="L13" i="7"/>
  <c r="L31" i="7"/>
  <c r="L23" i="7"/>
  <c r="L19" i="7"/>
  <c r="L26" i="7"/>
  <c r="L28" i="7"/>
  <c r="L24" i="7"/>
  <c r="L29" i="7"/>
  <c r="L25" i="7"/>
  <c r="L30" i="7"/>
  <c r="L8" i="7"/>
  <c r="L27" i="7"/>
  <c r="L14" i="7"/>
  <c r="L16" i="7"/>
  <c r="L32" i="7"/>
  <c r="L11" i="7"/>
  <c r="L15" i="7"/>
  <c r="L21" i="7"/>
  <c r="L33" i="7"/>
  <c r="U16" i="7"/>
  <c r="U28" i="7"/>
  <c r="U17" i="7"/>
  <c r="U29" i="7"/>
  <c r="U18" i="7"/>
  <c r="U30" i="7"/>
  <c r="U19" i="7"/>
  <c r="U31" i="7"/>
  <c r="U8" i="7"/>
  <c r="U20" i="7"/>
  <c r="U32" i="7"/>
  <c r="U9" i="7"/>
  <c r="U21" i="7"/>
  <c r="U33" i="7"/>
  <c r="U10" i="7"/>
  <c r="U22" i="7"/>
  <c r="U34" i="7"/>
  <c r="U11" i="7"/>
  <c r="U23" i="7"/>
  <c r="U12" i="7"/>
  <c r="U24" i="7"/>
  <c r="U13" i="7"/>
  <c r="U25" i="7"/>
  <c r="U14" i="7"/>
  <c r="U26" i="7"/>
  <c r="U15" i="7"/>
  <c r="U27" i="7"/>
  <c r="C16" i="7"/>
  <c r="C17" i="7"/>
  <c r="C29" i="7"/>
  <c r="C28" i="7"/>
  <c r="C18" i="7"/>
  <c r="C30" i="7"/>
  <c r="C19" i="7"/>
  <c r="C31" i="7"/>
  <c r="C9" i="7"/>
  <c r="C21" i="7"/>
  <c r="C33" i="7"/>
  <c r="C8" i="7"/>
  <c r="C20" i="7"/>
  <c r="C10" i="7"/>
  <c r="C22" i="7"/>
  <c r="C34" i="7"/>
  <c r="C32" i="7"/>
  <c r="C11" i="7"/>
  <c r="C23" i="7"/>
  <c r="C13" i="7"/>
  <c r="C25" i="7"/>
  <c r="C14" i="7"/>
  <c r="C26" i="7"/>
  <c r="C24" i="7"/>
  <c r="C15" i="7"/>
  <c r="C27" i="7"/>
  <c r="C12" i="7"/>
  <c r="P6" i="25"/>
  <c r="G6" i="25"/>
  <c r="AH6" i="25"/>
  <c r="Y6" i="25"/>
  <c r="A15" i="25"/>
  <c r="A45" i="25"/>
  <c r="B44" i="25"/>
  <c r="B14" i="25"/>
  <c r="F37" i="25"/>
  <c r="C37" i="7"/>
  <c r="D11" i="5"/>
  <c r="AE6" i="7"/>
  <c r="V6" i="7"/>
  <c r="M6" i="7"/>
  <c r="D6" i="7"/>
  <c r="V17" i="7" a="1"/>
  <c r="AE29" i="7" a="1"/>
  <c r="D10" i="7" a="1"/>
  <c r="P25" i="25" a="1"/>
  <c r="Y15" i="25" a="1"/>
  <c r="Y21" i="25" a="1"/>
  <c r="AH10" i="25" a="1"/>
  <c r="Y18" i="25" a="1"/>
  <c r="AE18" i="7" a="1"/>
  <c r="G14" i="25" a="1"/>
  <c r="P29" i="25" a="1"/>
  <c r="P12" i="25" a="1"/>
  <c r="AE31" i="7" a="1"/>
  <c r="P8" i="25" a="1"/>
  <c r="V20" i="7" a="1"/>
  <c r="M24" i="7" a="1"/>
  <c r="M18" i="7" a="1"/>
  <c r="D31" i="7" a="1"/>
  <c r="Y30" i="25" a="1"/>
  <c r="P9" i="25" a="1"/>
  <c r="P10" i="25" a="1"/>
  <c r="AH24" i="25" a="1"/>
  <c r="M29" i="7" a="1"/>
  <c r="G26" i="25" a="1"/>
  <c r="AH27" i="25" a="1"/>
  <c r="M8" i="7" a="1"/>
  <c r="D9" i="7" a="1"/>
  <c r="AE9" i="7" a="1"/>
  <c r="AH11" i="25" a="1"/>
  <c r="V23" i="7" a="1"/>
  <c r="P33" i="25" a="1"/>
  <c r="D18" i="7" a="1"/>
  <c r="G9" i="25" a="1"/>
  <c r="Y16" i="25" a="1"/>
  <c r="G13" i="25" a="1"/>
  <c r="D20" i="7" a="1"/>
  <c r="AH31" i="25" a="1"/>
  <c r="AE19" i="7" a="1"/>
  <c r="Y24" i="25" a="1"/>
  <c r="V14" i="7" a="1"/>
  <c r="AH21" i="25" a="1"/>
  <c r="Y27" i="25" a="1"/>
  <c r="Y25" i="25" a="1"/>
  <c r="V28" i="7" a="1"/>
  <c r="AH18" i="25" a="1"/>
  <c r="AE25" i="7" a="1"/>
  <c r="G19" i="25" a="1"/>
  <c r="AE32" i="7" a="1"/>
  <c r="D28" i="7" a="1"/>
  <c r="AE34" i="7" a="1"/>
  <c r="V25" i="7" a="1"/>
  <c r="AE30" i="7" a="1"/>
  <c r="V26" i="7" a="1"/>
  <c r="M30" i="7" a="1"/>
  <c r="M27" i="7" a="1"/>
  <c r="Y17" i="25" a="1"/>
  <c r="AH8" i="25" a="1"/>
  <c r="P14" i="25" a="1"/>
  <c r="M12" i="7" a="1"/>
  <c r="M9" i="7" a="1"/>
  <c r="M17" i="7" a="1"/>
  <c r="AH9" i="25" a="1"/>
  <c r="AH23" i="25" a="1"/>
  <c r="Y29" i="25" a="1"/>
  <c r="M22" i="7" a="1"/>
  <c r="M31" i="7" a="1"/>
  <c r="AE21" i="7" a="1"/>
  <c r="D33" i="7" a="1"/>
  <c r="V24" i="7" a="1"/>
  <c r="V22" i="7" a="1"/>
  <c r="Y11" i="25" a="1"/>
  <c r="Y23" i="25" a="1"/>
  <c r="V21" i="7" a="1"/>
  <c r="Y19" i="25" a="1"/>
  <c r="AE12" i="7" a="1"/>
  <c r="V27" i="7" a="1"/>
  <c r="Y10" i="25" a="1"/>
  <c r="AH12" i="25" a="1"/>
  <c r="G11" i="25" a="1"/>
  <c r="G20" i="25" a="1"/>
  <c r="AH33" i="25" a="1"/>
  <c r="V30" i="7" a="1"/>
  <c r="M19" i="7" a="1"/>
  <c r="AE10" i="7" a="1"/>
  <c r="Y26" i="25" a="1"/>
  <c r="P23" i="25" a="1"/>
  <c r="D24" i="7" a="1"/>
  <c r="V15" i="7" a="1"/>
  <c r="AE17" i="7" a="1"/>
  <c r="V9" i="7" a="1"/>
  <c r="M20" i="7" a="1"/>
  <c r="V18" i="7" a="1"/>
  <c r="P19" i="25" a="1"/>
  <c r="AE15" i="7" a="1"/>
  <c r="V11" i="7" a="1"/>
  <c r="M16" i="7" a="1"/>
  <c r="M23" i="7" a="1"/>
  <c r="G30" i="25" a="1"/>
  <c r="D23" i="7" a="1"/>
  <c r="G34" i="25" a="1"/>
  <c r="AH19" i="25" a="1"/>
  <c r="M13" i="7" a="1"/>
  <c r="AE20" i="7" a="1"/>
  <c r="AH29" i="25" a="1"/>
  <c r="P32" i="25" a="1"/>
  <c r="V34" i="7" a="1"/>
  <c r="P11" i="25" a="1"/>
  <c r="Y34" i="25" a="1"/>
  <c r="P17" i="25" a="1"/>
  <c r="D27" i="7" a="1"/>
  <c r="AH32" i="25" a="1"/>
  <c r="P16" i="25" a="1"/>
  <c r="AH16" i="25" a="1"/>
  <c r="AE8" i="7" a="1"/>
  <c r="M32" i="7" a="1"/>
  <c r="AE23" i="7" a="1"/>
  <c r="P24" i="25" a="1"/>
  <c r="G15" i="25" a="1"/>
  <c r="M26" i="7" a="1"/>
  <c r="G24" i="25" a="1"/>
  <c r="V16" i="7" a="1"/>
  <c r="G31" i="25" a="1"/>
  <c r="Y32" i="25" a="1"/>
  <c r="AE27" i="7" a="1"/>
  <c r="D8" i="7" a="1"/>
  <c r="G16" i="25" a="1"/>
  <c r="D19" i="7" a="1"/>
  <c r="AE28" i="7" a="1"/>
  <c r="M15" i="7" a="1"/>
  <c r="D34" i="7" a="1"/>
  <c r="D13" i="7" a="1"/>
  <c r="V19" i="7" a="1"/>
  <c r="D30" i="7" a="1"/>
  <c r="Y33" i="25" a="1"/>
  <c r="M10" i="7" a="1"/>
  <c r="P26" i="25" a="1"/>
  <c r="P13" i="25" a="1"/>
  <c r="G27" i="25" a="1"/>
  <c r="D15" i="7" a="1"/>
  <c r="M11" i="7" a="1"/>
  <c r="D11" i="7" a="1"/>
  <c r="V13" i="7" a="1"/>
  <c r="Y13" i="25" a="1"/>
  <c r="Y14" i="25" a="1"/>
  <c r="M14" i="7" a="1"/>
  <c r="AE11" i="7" a="1"/>
  <c r="V33" i="7" a="1"/>
  <c r="P15" i="25" a="1"/>
  <c r="AH15" i="25" a="1"/>
  <c r="V8" i="7" a="1"/>
  <c r="AH13" i="25" a="1"/>
  <c r="P18" i="25" a="1"/>
  <c r="AH34" i="25" a="1"/>
  <c r="G22" i="25" a="1"/>
  <c r="D21" i="7" a="1"/>
  <c r="AE16" i="7" a="1"/>
  <c r="V12" i="7" a="1"/>
  <c r="G23" i="25" a="1"/>
  <c r="Y20" i="25" a="1"/>
  <c r="Y12" i="25" a="1"/>
  <c r="G10" i="25" a="1"/>
  <c r="M25" i="7" a="1"/>
  <c r="V31" i="7" a="1"/>
  <c r="AE14" i="7" a="1"/>
  <c r="P27" i="25" a="1"/>
  <c r="AH30" i="25" a="1"/>
  <c r="AH22" i="25" a="1"/>
  <c r="M34" i="7" a="1"/>
  <c r="D17" i="7" a="1"/>
  <c r="D14" i="7" a="1"/>
  <c r="D12" i="7" a="1"/>
  <c r="P31" i="25" a="1"/>
  <c r="AH25" i="25" a="1"/>
  <c r="AH14" i="25" a="1"/>
  <c r="P22" i="25" a="1"/>
  <c r="V10" i="7" a="1"/>
  <c r="AH20" i="25" a="1"/>
  <c r="AE26" i="7" a="1"/>
  <c r="M21" i="7" a="1"/>
  <c r="G18" i="25" a="1"/>
  <c r="G12" i="25" a="1"/>
  <c r="G28" i="25" a="1"/>
  <c r="D26" i="7" a="1"/>
  <c r="AE33" i="7" a="1"/>
  <c r="P30" i="25" a="1"/>
  <c r="V32" i="7" a="1"/>
  <c r="Y8" i="25" a="1"/>
  <c r="G21" i="25" a="1"/>
  <c r="D32" i="7" a="1"/>
  <c r="V29" i="7" a="1"/>
  <c r="AH17" i="25" a="1"/>
  <c r="D25" i="7" a="1"/>
  <c r="G29" i="25" a="1"/>
  <c r="Y31" i="25" a="1"/>
  <c r="AE13" i="7" a="1"/>
  <c r="G8" i="25" a="1"/>
  <c r="M33" i="7" a="1"/>
  <c r="G33" i="25" a="1"/>
  <c r="Y9" i="25" a="1"/>
  <c r="G25" i="25" a="1"/>
  <c r="Y28" i="25" a="1"/>
  <c r="P28" i="25" a="1"/>
  <c r="AH28" i="25" a="1"/>
  <c r="D29" i="7" a="1"/>
  <c r="M28" i="7" a="1"/>
  <c r="D22" i="7" a="1"/>
  <c r="G17" i="25" a="1"/>
  <c r="P34" i="25" a="1"/>
  <c r="P20" i="25" a="1"/>
  <c r="AE22" i="7" a="1"/>
  <c r="Y22" i="25" a="1"/>
  <c r="P21" i="25" a="1"/>
  <c r="D16" i="7" a="1"/>
  <c r="G32" i="25" a="1"/>
  <c r="AH26" i="25" a="1"/>
  <c r="AE24" i="7" a="1"/>
  <c r="I27" i="5" l="1"/>
  <c r="I26" i="5"/>
  <c r="I25" i="5"/>
  <c r="I24" i="5"/>
  <c r="I23" i="5"/>
  <c r="I22" i="5"/>
  <c r="I21" i="5"/>
  <c r="I20" i="5"/>
  <c r="I19" i="5"/>
  <c r="I18" i="5"/>
  <c r="I16" i="5"/>
  <c r="I39" i="5"/>
  <c r="I15" i="5"/>
  <c r="I38" i="5"/>
  <c r="I14" i="5"/>
  <c r="I17" i="5"/>
  <c r="I36" i="5"/>
  <c r="I37" i="5"/>
  <c r="I34" i="5"/>
  <c r="C56" i="7"/>
  <c r="I33" i="5"/>
  <c r="I32" i="5"/>
  <c r="I35" i="5"/>
  <c r="I31" i="5"/>
  <c r="I30" i="5"/>
  <c r="I29" i="5"/>
  <c r="I28" i="5"/>
  <c r="C46" i="7"/>
  <c r="C57" i="7"/>
  <c r="C60" i="7"/>
  <c r="C55" i="7"/>
  <c r="C48" i="7"/>
  <c r="C63" i="7"/>
  <c r="C58" i="7"/>
  <c r="C44" i="7"/>
  <c r="C54" i="7"/>
  <c r="C43" i="7"/>
  <c r="C53" i="7"/>
  <c r="C65" i="7"/>
  <c r="C42" i="7"/>
  <c r="C62" i="7"/>
  <c r="C47" i="7"/>
  <c r="C45" i="7"/>
  <c r="C41" i="7"/>
  <c r="C52" i="7"/>
  <c r="C50" i="7"/>
  <c r="C61" i="7"/>
  <c r="C51" i="7"/>
  <c r="C64" i="7"/>
  <c r="C40" i="7"/>
  <c r="C49" i="7"/>
  <c r="C59" i="7"/>
  <c r="D25" i="7"/>
  <c r="D33" i="7"/>
  <c r="D17" i="7"/>
  <c r="D30" i="7"/>
  <c r="D20" i="7"/>
  <c r="D28" i="7"/>
  <c r="D23" i="7"/>
  <c r="D15" i="7"/>
  <c r="D26" i="7"/>
  <c r="D31" i="7"/>
  <c r="D29" i="7"/>
  <c r="D13" i="7"/>
  <c r="D12" i="7"/>
  <c r="D18" i="7"/>
  <c r="D9" i="7"/>
  <c r="D8" i="7"/>
  <c r="D16" i="7"/>
  <c r="D32" i="7"/>
  <c r="D11" i="7"/>
  <c r="D19" i="7"/>
  <c r="D24" i="7"/>
  <c r="D14" i="7"/>
  <c r="D22" i="7"/>
  <c r="D34" i="7"/>
  <c r="D10" i="7"/>
  <c r="D21" i="7"/>
  <c r="D27" i="7"/>
  <c r="M18" i="7"/>
  <c r="M32" i="7"/>
  <c r="M26" i="7"/>
  <c r="M31" i="7"/>
  <c r="M29" i="7"/>
  <c r="M13" i="7"/>
  <c r="M27" i="7"/>
  <c r="M16" i="7"/>
  <c r="M33" i="7"/>
  <c r="M24" i="7"/>
  <c r="M14" i="7"/>
  <c r="M8" i="7"/>
  <c r="M12" i="7"/>
  <c r="M34" i="7"/>
  <c r="M19" i="7"/>
  <c r="M21" i="7"/>
  <c r="M15" i="7"/>
  <c r="M30" i="7"/>
  <c r="M11" i="7"/>
  <c r="M20" i="7"/>
  <c r="M9" i="7"/>
  <c r="M25" i="7"/>
  <c r="M17" i="7"/>
  <c r="M10" i="7"/>
  <c r="M22" i="7"/>
  <c r="M23" i="7"/>
  <c r="M28" i="7"/>
  <c r="AH31" i="25"/>
  <c r="AH19" i="25"/>
  <c r="AH30" i="25"/>
  <c r="AH18" i="25"/>
  <c r="AH29" i="25"/>
  <c r="AH17" i="25"/>
  <c r="AH28" i="25"/>
  <c r="AH16" i="25"/>
  <c r="AH10" i="25"/>
  <c r="AH27" i="25"/>
  <c r="AH15" i="25"/>
  <c r="AH26" i="25"/>
  <c r="AH14" i="25"/>
  <c r="AH34" i="25"/>
  <c r="AH25" i="25"/>
  <c r="AH13" i="25"/>
  <c r="AH8" i="25"/>
  <c r="AH24" i="25"/>
  <c r="AH12" i="25"/>
  <c r="AH23" i="25"/>
  <c r="AH11" i="25"/>
  <c r="AH22" i="25"/>
  <c r="AH21" i="25"/>
  <c r="AH9" i="25"/>
  <c r="AH20" i="25"/>
  <c r="AH33" i="25"/>
  <c r="AH32" i="25"/>
  <c r="G34" i="25"/>
  <c r="G22" i="25"/>
  <c r="G10" i="25"/>
  <c r="G9" i="25"/>
  <c r="G25" i="25"/>
  <c r="G33" i="25"/>
  <c r="G21" i="25"/>
  <c r="G32" i="25"/>
  <c r="G20" i="25"/>
  <c r="G31" i="25"/>
  <c r="G19" i="25"/>
  <c r="G30" i="25"/>
  <c r="G18" i="25"/>
  <c r="G29" i="25"/>
  <c r="G17" i="25"/>
  <c r="G28" i="25"/>
  <c r="G16" i="25"/>
  <c r="G13" i="25"/>
  <c r="G27" i="25"/>
  <c r="G15" i="25"/>
  <c r="G26" i="25"/>
  <c r="G14" i="25"/>
  <c r="G12" i="25"/>
  <c r="G11" i="25"/>
  <c r="G24" i="25"/>
  <c r="G8" i="25"/>
  <c r="G23" i="25"/>
  <c r="V13" i="7"/>
  <c r="V18" i="7"/>
  <c r="V20" i="7"/>
  <c r="V16" i="7"/>
  <c r="V12" i="7"/>
  <c r="V21" i="7"/>
  <c r="V24" i="7"/>
  <c r="V26" i="7"/>
  <c r="V32" i="7"/>
  <c r="V11" i="7"/>
  <c r="V29" i="7"/>
  <c r="V22" i="7"/>
  <c r="V27" i="7"/>
  <c r="V10" i="7"/>
  <c r="V9" i="7"/>
  <c r="V31" i="7"/>
  <c r="V28" i="7"/>
  <c r="V19" i="7"/>
  <c r="V25" i="7"/>
  <c r="V14" i="7"/>
  <c r="V8" i="7"/>
  <c r="V33" i="7"/>
  <c r="V30" i="7"/>
  <c r="V34" i="7"/>
  <c r="V23" i="7"/>
  <c r="V17" i="7"/>
  <c r="V15" i="7"/>
  <c r="AE14" i="7"/>
  <c r="AE34" i="7"/>
  <c r="AE17" i="7"/>
  <c r="AE19" i="7"/>
  <c r="AE22" i="7"/>
  <c r="AE24" i="7"/>
  <c r="AE20" i="7"/>
  <c r="AE15" i="7"/>
  <c r="AE32" i="7"/>
  <c r="AE33" i="7"/>
  <c r="AE16" i="7"/>
  <c r="AE23" i="7"/>
  <c r="AE25" i="7"/>
  <c r="AE18" i="7"/>
  <c r="AE9" i="7"/>
  <c r="AE21" i="7"/>
  <c r="AE8" i="7"/>
  <c r="AE28" i="7"/>
  <c r="AE30" i="7"/>
  <c r="AE26" i="7"/>
  <c r="AE11" i="7"/>
  <c r="AE31" i="7"/>
  <c r="AE12" i="7"/>
  <c r="AE27" i="7"/>
  <c r="AE29" i="7"/>
  <c r="AE10" i="7"/>
  <c r="AE13" i="7"/>
  <c r="Y18" i="25"/>
  <c r="Y22" i="25"/>
  <c r="Y33" i="25"/>
  <c r="Y21" i="25"/>
  <c r="Y9" i="25"/>
  <c r="Y30" i="25"/>
  <c r="Y32" i="25"/>
  <c r="Y20" i="25"/>
  <c r="Y31" i="25"/>
  <c r="Y19" i="25"/>
  <c r="Y10" i="25"/>
  <c r="Y16" i="25"/>
  <c r="Y26" i="25"/>
  <c r="Y29" i="25"/>
  <c r="Y17" i="25"/>
  <c r="Y28" i="25"/>
  <c r="Y14" i="25"/>
  <c r="Y27" i="25"/>
  <c r="Y15" i="25"/>
  <c r="Y34" i="25"/>
  <c r="Y8" i="25"/>
  <c r="Y25" i="25"/>
  <c r="Y13" i="25"/>
  <c r="Y24" i="25"/>
  <c r="Y12" i="25"/>
  <c r="Y23" i="25"/>
  <c r="Y11" i="25"/>
  <c r="P20" i="25"/>
  <c r="P31" i="25"/>
  <c r="P19" i="25"/>
  <c r="P30" i="25"/>
  <c r="P18" i="25"/>
  <c r="P28" i="25"/>
  <c r="P29" i="25"/>
  <c r="P17" i="25"/>
  <c r="P16" i="25"/>
  <c r="P12" i="25"/>
  <c r="P27" i="25"/>
  <c r="P15" i="25"/>
  <c r="P26" i="25"/>
  <c r="P14" i="25"/>
  <c r="P25" i="25"/>
  <c r="P13" i="25"/>
  <c r="P24" i="25"/>
  <c r="P23" i="25"/>
  <c r="P11" i="25"/>
  <c r="P32" i="25"/>
  <c r="P34" i="25"/>
  <c r="P22" i="25"/>
  <c r="P10" i="25"/>
  <c r="P8" i="25"/>
  <c r="P33" i="25"/>
  <c r="P21" i="25"/>
  <c r="P9" i="25"/>
  <c r="A46" i="25"/>
  <c r="A16" i="25"/>
  <c r="Q6" i="25"/>
  <c r="H6" i="25"/>
  <c r="AI6" i="25"/>
  <c r="Z6" i="25"/>
  <c r="B15" i="25"/>
  <c r="B45" i="25"/>
  <c r="C39" i="7"/>
  <c r="D37" i="7"/>
  <c r="E11" i="5"/>
  <c r="AF6" i="7"/>
  <c r="W6" i="7"/>
  <c r="N6" i="7"/>
  <c r="E6" i="7"/>
  <c r="AI19" i="25" a="1"/>
  <c r="Q25" i="25" a="1"/>
  <c r="AI21" i="25" a="1"/>
  <c r="H17" i="25" a="1"/>
  <c r="Z26" i="25" a="1"/>
  <c r="E8" i="7" a="1"/>
  <c r="E32" i="7" a="1"/>
  <c r="Z34" i="25" a="1"/>
  <c r="N15" i="7" a="1"/>
  <c r="AF18" i="7" a="1"/>
  <c r="H31" i="25" a="1"/>
  <c r="Z22" i="25" a="1"/>
  <c r="AF30" i="7" a="1"/>
  <c r="W13" i="7" a="1"/>
  <c r="W12" i="7" a="1"/>
  <c r="AF17" i="7" a="1"/>
  <c r="H29" i="25" a="1"/>
  <c r="E29" i="7" a="1"/>
  <c r="AF11" i="7" a="1"/>
  <c r="H13" i="25" a="1"/>
  <c r="E26" i="7" a="1"/>
  <c r="AI13" i="25" a="1"/>
  <c r="W23" i="7" a="1"/>
  <c r="E27" i="7" a="1"/>
  <c r="W16" i="7" a="1"/>
  <c r="H14" i="25" a="1"/>
  <c r="H22" i="25" a="1"/>
  <c r="AF23" i="7" a="1"/>
  <c r="AI30" i="25" a="1"/>
  <c r="H24" i="25" a="1"/>
  <c r="AI33" i="25" a="1"/>
  <c r="Q27" i="25" a="1"/>
  <c r="AI28" i="25" a="1"/>
  <c r="H9" i="25" a="1"/>
  <c r="E33" i="7" a="1"/>
  <c r="Q23" i="25" a="1"/>
  <c r="Z12" i="25" a="1"/>
  <c r="Q30" i="25" a="1"/>
  <c r="N31" i="7" a="1"/>
  <c r="Q10" i="25" a="1"/>
  <c r="Q33" i="25" a="1"/>
  <c r="Q31" i="25" a="1"/>
  <c r="AI9" i="25" a="1"/>
  <c r="AI11" i="25" a="1"/>
  <c r="Q26" i="25" a="1"/>
  <c r="Q22" i="25" a="1"/>
  <c r="H18" i="25" a="1"/>
  <c r="W29" i="7" a="1"/>
  <c r="AI22" i="25" a="1"/>
  <c r="N18" i="7" a="1"/>
  <c r="Z28" i="25" a="1"/>
  <c r="Q9" i="25" a="1"/>
  <c r="H34" i="25" a="1"/>
  <c r="AF25" i="7" a="1"/>
  <c r="N14" i="7" a="1"/>
  <c r="N12" i="7" a="1"/>
  <c r="Z18" i="25" a="1"/>
  <c r="H16" i="25" a="1"/>
  <c r="W34" i="7" a="1"/>
  <c r="H19" i="25" a="1"/>
  <c r="N22" i="7" a="1"/>
  <c r="Q12" i="25" a="1"/>
  <c r="N30" i="7" a="1"/>
  <c r="AI15" i="25" a="1"/>
  <c r="Z33" i="25" a="1"/>
  <c r="AI16" i="25" a="1"/>
  <c r="W19" i="7" a="1"/>
  <c r="Q17" i="25" a="1"/>
  <c r="AF16" i="7" a="1"/>
  <c r="E10" i="7" a="1"/>
  <c r="N32" i="7" a="1"/>
  <c r="Z16" i="25" a="1"/>
  <c r="N20" i="7" a="1"/>
  <c r="N16" i="7" a="1"/>
  <c r="Q29" i="25" a="1"/>
  <c r="E9" i="7" a="1"/>
  <c r="Q13" i="25" a="1"/>
  <c r="Q16" i="25" a="1"/>
  <c r="H10" i="25" a="1"/>
  <c r="N23" i="7" a="1"/>
  <c r="AI32" i="25" a="1"/>
  <c r="E20" i="7" a="1"/>
  <c r="Z21" i="25" a="1"/>
  <c r="AF10" i="7" a="1"/>
  <c r="AF21" i="7" a="1"/>
  <c r="E23" i="7" a="1"/>
  <c r="Q28" i="25" a="1"/>
  <c r="W32" i="7" a="1"/>
  <c r="AI34" i="25" a="1"/>
  <c r="N29" i="7" a="1"/>
  <c r="W20" i="7" a="1"/>
  <c r="H28" i="25" a="1"/>
  <c r="Z30" i="25" a="1"/>
  <c r="E14" i="7" a="1"/>
  <c r="AI20" i="25" a="1"/>
  <c r="N10" i="7" a="1"/>
  <c r="Z23" i="25" a="1"/>
  <c r="H11" i="25" a="1"/>
  <c r="Z27" i="25" a="1"/>
  <c r="AF20" i="7" a="1"/>
  <c r="E12" i="7" a="1"/>
  <c r="AF34" i="7" a="1"/>
  <c r="H15" i="25" a="1"/>
  <c r="W14" i="7" a="1"/>
  <c r="AI23" i="25" a="1"/>
  <c r="W9" i="7" a="1"/>
  <c r="E11" i="7" a="1"/>
  <c r="AI10" i="25" a="1"/>
  <c r="N13" i="7" a="1"/>
  <c r="W33" i="7" a="1"/>
  <c r="N21" i="7" a="1"/>
  <c r="W31" i="7" a="1"/>
  <c r="Z9" i="25" a="1"/>
  <c r="Z10" i="25" a="1"/>
  <c r="E25" i="7" a="1"/>
  <c r="Z15" i="25" a="1"/>
  <c r="AF14" i="7" a="1"/>
  <c r="Q20" i="25" a="1"/>
  <c r="AI29" i="25" a="1"/>
  <c r="AI17" i="25" a="1"/>
  <c r="AI25" i="25" a="1"/>
  <c r="AI31" i="25" a="1"/>
  <c r="Q14" i="25" a="1"/>
  <c r="AF15" i="7" a="1"/>
  <c r="Z11" i="25" a="1"/>
  <c r="H25" i="25" a="1"/>
  <c r="Q21" i="25" a="1"/>
  <c r="AF28" i="7" a="1"/>
  <c r="N27" i="7" a="1"/>
  <c r="W11" i="7" a="1"/>
  <c r="N19" i="7" a="1"/>
  <c r="H8" i="25" a="1"/>
  <c r="AF12" i="7" a="1"/>
  <c r="AF27" i="7" a="1"/>
  <c r="W28" i="7" a="1"/>
  <c r="E31" i="7" a="1"/>
  <c r="Z13" i="25" a="1"/>
  <c r="AF33" i="7" a="1"/>
  <c r="E34" i="7" a="1"/>
  <c r="AF9" i="7" a="1"/>
  <c r="E28" i="7" a="1"/>
  <c r="W21" i="7" a="1"/>
  <c r="AF22" i="7" a="1"/>
  <c r="E19" i="7" a="1"/>
  <c r="Z20" i="25" a="1"/>
  <c r="AF26" i="7" a="1"/>
  <c r="W27" i="7" a="1"/>
  <c r="H30" i="25" a="1"/>
  <c r="W10" i="7" a="1"/>
  <c r="AI27" i="25" a="1"/>
  <c r="Z29" i="25" a="1"/>
  <c r="AF32" i="7" a="1"/>
  <c r="H20" i="25" a="1"/>
  <c r="W30" i="7" a="1"/>
  <c r="W15" i="7" a="1"/>
  <c r="Z14" i="25" a="1"/>
  <c r="N28" i="7" a="1"/>
  <c r="AI12" i="25" a="1"/>
  <c r="E24" i="7" a="1"/>
  <c r="AI26" i="25" a="1"/>
  <c r="N9" i="7" a="1"/>
  <c r="H12" i="25" a="1"/>
  <c r="N8" i="7" a="1"/>
  <c r="N34" i="7" a="1"/>
  <c r="Z25" i="25" a="1"/>
  <c r="Q19" i="25" a="1"/>
  <c r="AF13" i="7" a="1"/>
  <c r="AF8" i="7" a="1"/>
  <c r="AI24" i="25" a="1"/>
  <c r="Z19" i="25" a="1"/>
  <c r="Q34" i="25" a="1"/>
  <c r="N33" i="7" a="1"/>
  <c r="AF31" i="7" a="1"/>
  <c r="W17" i="7" a="1"/>
  <c r="AF24" i="7" a="1"/>
  <c r="N24" i="7" a="1"/>
  <c r="Q24" i="25" a="1"/>
  <c r="Q32" i="25" a="1"/>
  <c r="Z8" i="25" a="1"/>
  <c r="H21" i="25" a="1"/>
  <c r="Q18" i="25" a="1"/>
  <c r="Z24" i="25" a="1"/>
  <c r="N26" i="7" a="1"/>
  <c r="E15" i="7" a="1"/>
  <c r="Q15" i="25" a="1"/>
  <c r="W8" i="7" a="1"/>
  <c r="E18" i="7" a="1"/>
  <c r="AI18" i="25" a="1"/>
  <c r="H26" i="25" a="1"/>
  <c r="W22" i="7" a="1"/>
  <c r="AF19" i="7" a="1"/>
  <c r="W25" i="7" a="1"/>
  <c r="H23" i="25" a="1"/>
  <c r="Q11" i="25" a="1"/>
  <c r="E22" i="7" a="1"/>
  <c r="W24" i="7" a="1"/>
  <c r="W26" i="7" a="1"/>
  <c r="N11" i="7" a="1"/>
  <c r="N17" i="7" a="1"/>
  <c r="Z32" i="25" a="1"/>
  <c r="H33" i="25" a="1"/>
  <c r="N25" i="7" a="1"/>
  <c r="AI8" i="25" a="1"/>
  <c r="E13" i="7" a="1"/>
  <c r="E30" i="7" a="1"/>
  <c r="W18" i="7" a="1"/>
  <c r="H27" i="25" a="1"/>
  <c r="E21" i="7" a="1"/>
  <c r="Z31" i="25" a="1"/>
  <c r="E17" i="7" a="1"/>
  <c r="Q8" i="25" a="1"/>
  <c r="E16" i="7" a="1"/>
  <c r="H32" i="25" a="1"/>
  <c r="AI14" i="25" a="1"/>
  <c r="Z17" i="25" a="1"/>
  <c r="AF29" i="7" a="1"/>
  <c r="I13" i="5" l="1"/>
  <c r="R13" i="5" s="1"/>
  <c r="R29" i="5"/>
  <c r="R25" i="5"/>
  <c r="R22" i="5"/>
  <c r="R14" i="5"/>
  <c r="R26" i="5"/>
  <c r="R36" i="5"/>
  <c r="R20" i="5"/>
  <c r="R17" i="5"/>
  <c r="R23" i="5"/>
  <c r="R37" i="5"/>
  <c r="R28" i="5"/>
  <c r="R18" i="5"/>
  <c r="R31" i="5"/>
  <c r="R15" i="5"/>
  <c r="R16" i="5"/>
  <c r="R32" i="5"/>
  <c r="R24" i="5"/>
  <c r="R33" i="5"/>
  <c r="R19" i="5"/>
  <c r="R39" i="5"/>
  <c r="R38" i="5"/>
  <c r="R34" i="5"/>
  <c r="R21" i="5"/>
  <c r="R30" i="5"/>
  <c r="R27" i="5"/>
  <c r="R35" i="5"/>
  <c r="D64" i="7"/>
  <c r="D65" i="7"/>
  <c r="D51" i="7"/>
  <c r="D61" i="7"/>
  <c r="D58" i="7"/>
  <c r="D48" i="7"/>
  <c r="D52" i="7"/>
  <c r="D41" i="7"/>
  <c r="D56" i="7"/>
  <c r="D53" i="7"/>
  <c r="D45" i="7"/>
  <c r="D55" i="7"/>
  <c r="D50" i="7"/>
  <c r="D42" i="7"/>
  <c r="D63" i="7"/>
  <c r="D40" i="7"/>
  <c r="D49" i="7"/>
  <c r="D44" i="7"/>
  <c r="D43" i="7"/>
  <c r="D60" i="7"/>
  <c r="D57" i="7"/>
  <c r="D46" i="7"/>
  <c r="D47" i="7"/>
  <c r="D62" i="7"/>
  <c r="D54" i="7"/>
  <c r="D59" i="7"/>
  <c r="N20" i="7"/>
  <c r="N19" i="7"/>
  <c r="N21" i="7"/>
  <c r="N11" i="7"/>
  <c r="N8" i="7"/>
  <c r="N10" i="7"/>
  <c r="N34" i="7"/>
  <c r="N17" i="7"/>
  <c r="N22" i="7"/>
  <c r="N16" i="7"/>
  <c r="N32" i="7"/>
  <c r="N18" i="7"/>
  <c r="N25" i="7"/>
  <c r="N27" i="7"/>
  <c r="N14" i="7"/>
  <c r="N23" i="7"/>
  <c r="N12" i="7"/>
  <c r="N28" i="7"/>
  <c r="N9" i="7"/>
  <c r="N24" i="7"/>
  <c r="N31" i="7"/>
  <c r="N33" i="7"/>
  <c r="N26" i="7"/>
  <c r="N29" i="7"/>
  <c r="N13" i="7"/>
  <c r="N15" i="7"/>
  <c r="N30" i="7"/>
  <c r="E14" i="7"/>
  <c r="E26" i="7"/>
  <c r="E15" i="7"/>
  <c r="E27" i="7"/>
  <c r="E16" i="7"/>
  <c r="E28" i="7"/>
  <c r="E18" i="7"/>
  <c r="E30" i="7"/>
  <c r="E17" i="7"/>
  <c r="E19" i="7"/>
  <c r="E31" i="7"/>
  <c r="E29" i="7"/>
  <c r="E8" i="7"/>
  <c r="E20" i="7"/>
  <c r="E32" i="7"/>
  <c r="E21" i="7"/>
  <c r="E10" i="7"/>
  <c r="E22" i="7"/>
  <c r="E34" i="7"/>
  <c r="E13" i="7"/>
  <c r="E11" i="7"/>
  <c r="E23" i="7"/>
  <c r="E25" i="7"/>
  <c r="E33" i="7"/>
  <c r="E12" i="7"/>
  <c r="E24" i="7"/>
  <c r="E9" i="7"/>
  <c r="W13" i="7"/>
  <c r="W25" i="7"/>
  <c r="W14" i="7"/>
  <c r="W26" i="7"/>
  <c r="W15" i="7"/>
  <c r="W27" i="7"/>
  <c r="W16" i="7"/>
  <c r="W28" i="7"/>
  <c r="W17" i="7"/>
  <c r="W29" i="7"/>
  <c r="W18" i="7"/>
  <c r="W30" i="7"/>
  <c r="W19" i="7"/>
  <c r="W31" i="7"/>
  <c r="W8" i="7"/>
  <c r="W20" i="7"/>
  <c r="W32" i="7"/>
  <c r="W9" i="7"/>
  <c r="W21" i="7"/>
  <c r="W33" i="7"/>
  <c r="W10" i="7"/>
  <c r="W22" i="7"/>
  <c r="W34" i="7"/>
  <c r="W11" i="7"/>
  <c r="W23" i="7"/>
  <c r="W12" i="7"/>
  <c r="W24" i="7"/>
  <c r="AF25" i="7"/>
  <c r="AF9" i="7"/>
  <c r="AF30" i="7"/>
  <c r="AF20" i="7"/>
  <c r="AF8" i="7"/>
  <c r="AF28" i="7"/>
  <c r="AF34" i="7"/>
  <c r="AF23" i="7"/>
  <c r="AF31" i="7"/>
  <c r="AF29" i="7"/>
  <c r="AF15" i="7"/>
  <c r="AF27" i="7"/>
  <c r="AF11" i="7"/>
  <c r="AF26" i="7"/>
  <c r="AF13" i="7"/>
  <c r="AF18" i="7"/>
  <c r="AF16" i="7"/>
  <c r="AF10" i="7"/>
  <c r="AF21" i="7"/>
  <c r="AF12" i="7"/>
  <c r="AF19" i="7"/>
  <c r="AF33" i="7"/>
  <c r="AF24" i="7"/>
  <c r="AF14" i="7"/>
  <c r="AF22" i="7"/>
  <c r="AF32" i="7"/>
  <c r="AF17" i="7"/>
  <c r="AI8" i="25"/>
  <c r="F39" i="25" s="1"/>
  <c r="AI23" i="25"/>
  <c r="F54" i="25" s="1"/>
  <c r="AI11" i="25"/>
  <c r="F42" i="25" s="1"/>
  <c r="AI20" i="25"/>
  <c r="F51" i="25" s="1"/>
  <c r="AI34" i="25"/>
  <c r="F65" i="25" s="1"/>
  <c r="AI22" i="25"/>
  <c r="F53" i="25" s="1"/>
  <c r="AI10" i="25"/>
  <c r="F41" i="25" s="1"/>
  <c r="AI24" i="25"/>
  <c r="F55" i="25" s="1"/>
  <c r="AI33" i="25"/>
  <c r="F64" i="25" s="1"/>
  <c r="AI21" i="25"/>
  <c r="F52" i="25" s="1"/>
  <c r="AI9" i="25"/>
  <c r="F40" i="25" s="1"/>
  <c r="AI32" i="25"/>
  <c r="F63" i="25" s="1"/>
  <c r="AI31" i="25"/>
  <c r="F62" i="25" s="1"/>
  <c r="AI19" i="25"/>
  <c r="F50" i="25" s="1"/>
  <c r="AI28" i="25"/>
  <c r="F59" i="25" s="1"/>
  <c r="AI30" i="25"/>
  <c r="F61" i="25" s="1"/>
  <c r="AI18" i="25"/>
  <c r="F49" i="25" s="1"/>
  <c r="AI16" i="25"/>
  <c r="F47" i="25" s="1"/>
  <c r="AI29" i="25"/>
  <c r="F60" i="25" s="1"/>
  <c r="AI17" i="25"/>
  <c r="F48" i="25" s="1"/>
  <c r="AI27" i="25"/>
  <c r="F58" i="25" s="1"/>
  <c r="AI15" i="25"/>
  <c r="F46" i="25" s="1"/>
  <c r="AI26" i="25"/>
  <c r="F57" i="25" s="1"/>
  <c r="AI14" i="25"/>
  <c r="F45" i="25" s="1"/>
  <c r="AI12" i="25"/>
  <c r="F43" i="25" s="1"/>
  <c r="AI25" i="25"/>
  <c r="F56" i="25" s="1"/>
  <c r="AI13" i="25"/>
  <c r="F44" i="25" s="1"/>
  <c r="Z34" i="25"/>
  <c r="E65" i="25" s="1"/>
  <c r="Z22" i="25"/>
  <c r="E53" i="25" s="1"/>
  <c r="Z10" i="25"/>
  <c r="E41" i="25" s="1"/>
  <c r="Z31" i="25"/>
  <c r="E62" i="25" s="1"/>
  <c r="Z33" i="25"/>
  <c r="E64" i="25" s="1"/>
  <c r="Z21" i="25"/>
  <c r="E52" i="25" s="1"/>
  <c r="Z9" i="25"/>
  <c r="E40" i="25" s="1"/>
  <c r="Z19" i="25"/>
  <c r="E50" i="25" s="1"/>
  <c r="Z23" i="25"/>
  <c r="E54" i="25" s="1"/>
  <c r="Z32" i="25"/>
  <c r="E63" i="25" s="1"/>
  <c r="Z20" i="25"/>
  <c r="E51" i="25" s="1"/>
  <c r="Z8" i="25"/>
  <c r="E39" i="25" s="1"/>
  <c r="Z11" i="25"/>
  <c r="E42" i="25" s="1"/>
  <c r="Z30" i="25"/>
  <c r="E61" i="25" s="1"/>
  <c r="Z18" i="25"/>
  <c r="E49" i="25" s="1"/>
  <c r="Z29" i="25"/>
  <c r="E60" i="25" s="1"/>
  <c r="Z17" i="25"/>
  <c r="E48" i="25" s="1"/>
  <c r="Z28" i="25"/>
  <c r="E59" i="25" s="1"/>
  <c r="Z16" i="25"/>
  <c r="E47" i="25" s="1"/>
  <c r="Z15" i="25"/>
  <c r="E46" i="25" s="1"/>
  <c r="Z27" i="25"/>
  <c r="E58" i="25" s="1"/>
  <c r="Z26" i="25"/>
  <c r="E57" i="25" s="1"/>
  <c r="Z14" i="25"/>
  <c r="E45" i="25" s="1"/>
  <c r="Z25" i="25"/>
  <c r="E56" i="25" s="1"/>
  <c r="Z13" i="25"/>
  <c r="E44" i="25" s="1"/>
  <c r="Z24" i="25"/>
  <c r="E55" i="25" s="1"/>
  <c r="Z12" i="25"/>
  <c r="E43" i="25" s="1"/>
  <c r="H23" i="25"/>
  <c r="H11" i="25"/>
  <c r="C42" i="25" s="1"/>
  <c r="H26" i="25"/>
  <c r="H34" i="25"/>
  <c r="H22" i="25"/>
  <c r="H10" i="25"/>
  <c r="C41" i="25" s="1"/>
  <c r="H12" i="25"/>
  <c r="C43" i="25" s="1"/>
  <c r="H33" i="25"/>
  <c r="H21" i="25"/>
  <c r="H9" i="25"/>
  <c r="C40" i="25" s="1"/>
  <c r="H32" i="25"/>
  <c r="H20" i="25"/>
  <c r="H8" i="25"/>
  <c r="C39" i="25" s="1"/>
  <c r="H31" i="25"/>
  <c r="H19" i="25"/>
  <c r="H30" i="25"/>
  <c r="H18" i="25"/>
  <c r="H14" i="25"/>
  <c r="C45" i="25" s="1"/>
  <c r="H29" i="25"/>
  <c r="H17" i="25"/>
  <c r="H28" i="25"/>
  <c r="H16" i="25"/>
  <c r="H27" i="25"/>
  <c r="H15" i="25"/>
  <c r="H25" i="25"/>
  <c r="H13" i="25"/>
  <c r="C44" i="25" s="1"/>
  <c r="H24" i="25"/>
  <c r="Q24" i="25"/>
  <c r="D55" i="25" s="1"/>
  <c r="Q12" i="25"/>
  <c r="D43" i="25" s="1"/>
  <c r="Q27" i="25"/>
  <c r="D58" i="25" s="1"/>
  <c r="Q23" i="25"/>
  <c r="D54" i="25" s="1"/>
  <c r="Q11" i="25"/>
  <c r="D42" i="25" s="1"/>
  <c r="Q34" i="25"/>
  <c r="D65" i="25" s="1"/>
  <c r="Q22" i="25"/>
  <c r="D53" i="25" s="1"/>
  <c r="Q10" i="25"/>
  <c r="D41" i="25" s="1"/>
  <c r="Q33" i="25"/>
  <c r="D64" i="25" s="1"/>
  <c r="Q21" i="25"/>
  <c r="D52" i="25" s="1"/>
  <c r="Q9" i="25"/>
  <c r="D40" i="25" s="1"/>
  <c r="Q32" i="25"/>
  <c r="D63" i="25" s="1"/>
  <c r="Q20" i="25"/>
  <c r="D51" i="25" s="1"/>
  <c r="Q8" i="25"/>
  <c r="D39" i="25" s="1"/>
  <c r="Q31" i="25"/>
  <c r="D62" i="25" s="1"/>
  <c r="Q19" i="25"/>
  <c r="D50" i="25" s="1"/>
  <c r="Q30" i="25"/>
  <c r="D61" i="25" s="1"/>
  <c r="Q18" i="25"/>
  <c r="D49" i="25" s="1"/>
  <c r="Q29" i="25"/>
  <c r="D60" i="25" s="1"/>
  <c r="Q17" i="25"/>
  <c r="D48" i="25" s="1"/>
  <c r="Q28" i="25"/>
  <c r="D59" i="25" s="1"/>
  <c r="Q16" i="25"/>
  <c r="D47" i="25" s="1"/>
  <c r="Q15" i="25"/>
  <c r="D46" i="25" s="1"/>
  <c r="Q26" i="25"/>
  <c r="D57" i="25" s="1"/>
  <c r="Q14" i="25"/>
  <c r="D45" i="25" s="1"/>
  <c r="Q25" i="25"/>
  <c r="D56" i="25" s="1"/>
  <c r="Q13" i="25"/>
  <c r="D44" i="25" s="1"/>
  <c r="A47" i="25"/>
  <c r="A17" i="25"/>
  <c r="B46" i="25"/>
  <c r="B16" i="25"/>
  <c r="D39" i="7"/>
  <c r="E37" i="7"/>
  <c r="F11" i="5"/>
  <c r="AG6" i="7"/>
  <c r="X6" i="7"/>
  <c r="F6" i="7"/>
  <c r="O6" i="7"/>
  <c r="X32" i="7" a="1"/>
  <c r="F31" i="7" a="1"/>
  <c r="F27" i="7" a="1"/>
  <c r="O31" i="7" a="1"/>
  <c r="X19" i="7" a="1"/>
  <c r="X31" i="7" a="1"/>
  <c r="F16" i="7" a="1"/>
  <c r="O25" i="7" a="1"/>
  <c r="O22" i="7" a="1"/>
  <c r="AG12" i="7" a="1"/>
  <c r="AG9" i="7" a="1"/>
  <c r="X34" i="7" a="1"/>
  <c r="AG14" i="7" a="1"/>
  <c r="F12" i="7" a="1"/>
  <c r="AG29" i="7" a="1"/>
  <c r="X17" i="7" a="1"/>
  <c r="AG13" i="7" a="1"/>
  <c r="X28" i="7" a="1"/>
  <c r="AG10" i="7" a="1"/>
  <c r="X33" i="7" a="1"/>
  <c r="AG18" i="7" a="1"/>
  <c r="AG27" i="7" a="1"/>
  <c r="X14" i="7" a="1"/>
  <c r="O19" i="7" a="1"/>
  <c r="O12" i="7" a="1"/>
  <c r="O24" i="7" a="1"/>
  <c r="F14" i="7" a="1"/>
  <c r="X16" i="7" a="1"/>
  <c r="X26" i="7" a="1"/>
  <c r="O11" i="7" a="1"/>
  <c r="F34" i="7" a="1"/>
  <c r="X30" i="7" a="1"/>
  <c r="AG28" i="7" a="1"/>
  <c r="F21" i="7" a="1"/>
  <c r="AG24" i="7" a="1"/>
  <c r="X21" i="7" a="1"/>
  <c r="AG25" i="7" a="1"/>
  <c r="X13" i="7" a="1"/>
  <c r="F23" i="7" a="1"/>
  <c r="X23" i="7" a="1"/>
  <c r="X27" i="7" a="1"/>
  <c r="O34" i="7" a="1"/>
  <c r="O13" i="7" a="1"/>
  <c r="X22" i="7" a="1"/>
  <c r="AG23" i="7" a="1"/>
  <c r="AG30" i="7" a="1"/>
  <c r="AG33" i="7" a="1"/>
  <c r="F9" i="7" a="1"/>
  <c r="F26" i="7" a="1"/>
  <c r="F24" i="7" a="1"/>
  <c r="O30" i="7" a="1"/>
  <c r="F11" i="7" a="1"/>
  <c r="F17" i="7" a="1"/>
  <c r="O17" i="7" a="1"/>
  <c r="O20" i="7" a="1"/>
  <c r="AG22" i="7" a="1"/>
  <c r="F18" i="7" a="1"/>
  <c r="X20" i="7" a="1"/>
  <c r="AG11" i="7" a="1"/>
  <c r="O18" i="7" a="1"/>
  <c r="O26" i="7" a="1"/>
  <c r="F30" i="7" a="1"/>
  <c r="O15" i="7" a="1"/>
  <c r="AG8" i="7" a="1"/>
  <c r="AG16" i="7" a="1"/>
  <c r="AG21" i="7" a="1"/>
  <c r="O33" i="7" a="1"/>
  <c r="X15" i="7" a="1"/>
  <c r="X8" i="7" a="1"/>
  <c r="O10" i="7" a="1"/>
  <c r="F29" i="7" a="1"/>
  <c r="F13" i="7" a="1"/>
  <c r="O28" i="7" a="1"/>
  <c r="O29" i="7" a="1"/>
  <c r="F15" i="7" a="1"/>
  <c r="F8" i="7" a="1"/>
  <c r="O8" i="7" a="1"/>
  <c r="O9" i="7" a="1"/>
  <c r="X24" i="7" a="1"/>
  <c r="AG26" i="7" a="1"/>
  <c r="AG15" i="7" a="1"/>
  <c r="O21" i="7" a="1"/>
  <c r="O27" i="7" a="1"/>
  <c r="F22" i="7" a="1"/>
  <c r="O23" i="7" a="1"/>
  <c r="X12" i="7" a="1"/>
  <c r="F28" i="7" a="1"/>
  <c r="AG31" i="7" a="1"/>
  <c r="AG34" i="7" a="1"/>
  <c r="F32" i="7" a="1"/>
  <c r="AG32" i="7" a="1"/>
  <c r="AG20" i="7" a="1"/>
  <c r="X18" i="7" a="1"/>
  <c r="F19" i="7" a="1"/>
  <c r="X25" i="7" a="1"/>
  <c r="F20" i="7" a="1"/>
  <c r="X9" i="7" a="1"/>
  <c r="O16" i="7" a="1"/>
  <c r="O32" i="7" a="1"/>
  <c r="AG17" i="7" a="1"/>
  <c r="X29" i="7" a="1"/>
  <c r="AG19" i="7" a="1"/>
  <c r="X11" i="7" a="1"/>
  <c r="F33" i="7" a="1"/>
  <c r="X10" i="7" a="1"/>
  <c r="F25" i="7" a="1"/>
  <c r="O14" i="7" a="1"/>
  <c r="F10" i="7" a="1"/>
  <c r="E53" i="7" l="1"/>
  <c r="E56" i="7"/>
  <c r="E42" i="7"/>
  <c r="E44" i="7"/>
  <c r="E65" i="7"/>
  <c r="E54" i="7"/>
  <c r="E64" i="7"/>
  <c r="E51" i="7"/>
  <c r="E41" i="7"/>
  <c r="E52" i="7"/>
  <c r="E63" i="7"/>
  <c r="E48" i="7"/>
  <c r="E60" i="7"/>
  <c r="E59" i="7"/>
  <c r="E47" i="7"/>
  <c r="E58" i="7"/>
  <c r="E40" i="7"/>
  <c r="E46" i="7"/>
  <c r="E62" i="7"/>
  <c r="E50" i="7"/>
  <c r="E61" i="7"/>
  <c r="E49" i="7"/>
  <c r="E55" i="7"/>
  <c r="E57" i="7"/>
  <c r="E43" i="7"/>
  <c r="E45" i="7"/>
  <c r="AG8" i="7"/>
  <c r="AG22" i="7"/>
  <c r="AG34" i="7"/>
  <c r="AG23" i="7"/>
  <c r="AG24" i="7"/>
  <c r="AG21" i="7"/>
  <c r="AG12" i="7"/>
  <c r="AG11" i="7"/>
  <c r="AG10" i="7"/>
  <c r="AG25" i="7"/>
  <c r="AG33" i="7"/>
  <c r="AG14" i="7"/>
  <c r="AG26" i="7"/>
  <c r="AG15" i="7"/>
  <c r="AG27" i="7"/>
  <c r="AG16" i="7"/>
  <c r="AG28" i="7"/>
  <c r="AG13" i="7"/>
  <c r="AG17" i="7"/>
  <c r="AG18" i="7"/>
  <c r="AG30" i="7"/>
  <c r="AG29" i="7"/>
  <c r="AG9" i="7"/>
  <c r="AG19" i="7"/>
  <c r="AG31" i="7"/>
  <c r="AG20" i="7"/>
  <c r="AG32" i="7"/>
  <c r="X33" i="7"/>
  <c r="X15" i="7"/>
  <c r="X27" i="7"/>
  <c r="X8" i="7"/>
  <c r="X21" i="7"/>
  <c r="X11" i="7"/>
  <c r="X31" i="7"/>
  <c r="X16" i="7"/>
  <c r="X22" i="7"/>
  <c r="X28" i="7"/>
  <c r="X17" i="7"/>
  <c r="X23" i="7"/>
  <c r="X19" i="7"/>
  <c r="X34" i="7"/>
  <c r="X12" i="7"/>
  <c r="X29" i="7"/>
  <c r="X10" i="7"/>
  <c r="X20" i="7"/>
  <c r="X26" i="7"/>
  <c r="X30" i="7"/>
  <c r="X13" i="7"/>
  <c r="X9" i="7"/>
  <c r="X25" i="7"/>
  <c r="X18" i="7"/>
  <c r="X32" i="7"/>
  <c r="X14" i="7"/>
  <c r="X24" i="7"/>
  <c r="O22" i="7"/>
  <c r="O34" i="7"/>
  <c r="O23" i="7"/>
  <c r="O12" i="7"/>
  <c r="O24" i="7"/>
  <c r="O13" i="7"/>
  <c r="O25" i="7"/>
  <c r="O14" i="7"/>
  <c r="O26" i="7"/>
  <c r="O15" i="7"/>
  <c r="O27" i="7"/>
  <c r="O16" i="7"/>
  <c r="O28" i="7"/>
  <c r="O17" i="7"/>
  <c r="O29" i="7"/>
  <c r="O10" i="7"/>
  <c r="O18" i="7"/>
  <c r="O30" i="7"/>
  <c r="O8" i="7"/>
  <c r="O19" i="7"/>
  <c r="O31" i="7"/>
  <c r="O9" i="7"/>
  <c r="O11" i="7"/>
  <c r="O20" i="7"/>
  <c r="O32" i="7"/>
  <c r="O21" i="7"/>
  <c r="O33" i="7"/>
  <c r="F20" i="7"/>
  <c r="F26" i="7"/>
  <c r="F32" i="7"/>
  <c r="F10" i="7"/>
  <c r="F34" i="7"/>
  <c r="F17" i="7"/>
  <c r="F15" i="7"/>
  <c r="F29" i="7"/>
  <c r="F21" i="7"/>
  <c r="F18" i="7"/>
  <c r="F14" i="7"/>
  <c r="F23" i="7"/>
  <c r="F27" i="7"/>
  <c r="F24" i="7"/>
  <c r="F30" i="7"/>
  <c r="F13" i="7"/>
  <c r="F9" i="7"/>
  <c r="F28" i="7"/>
  <c r="F19" i="7"/>
  <c r="F25" i="7"/>
  <c r="F33" i="7"/>
  <c r="F22" i="7"/>
  <c r="F16" i="7"/>
  <c r="F8" i="7"/>
  <c r="F12" i="7"/>
  <c r="F11" i="7"/>
  <c r="F31" i="7"/>
  <c r="C46" i="25"/>
  <c r="B47" i="25"/>
  <c r="B17" i="25"/>
  <c r="A18" i="25"/>
  <c r="A48" i="25"/>
  <c r="F37" i="7"/>
  <c r="G11" i="5"/>
  <c r="AH6" i="7"/>
  <c r="Y6" i="7"/>
  <c r="G6" i="7"/>
  <c r="P6" i="7"/>
  <c r="G21" i="7" a="1"/>
  <c r="AH32" i="7" a="1"/>
  <c r="AH22" i="7" a="1"/>
  <c r="P23" i="7" a="1"/>
  <c r="G24" i="7" a="1"/>
  <c r="AH19" i="7" a="1"/>
  <c r="Y11" i="7" a="1"/>
  <c r="AH27" i="7" a="1"/>
  <c r="Y26" i="7" a="1"/>
  <c r="Y17" i="7" a="1"/>
  <c r="P28" i="7" a="1"/>
  <c r="Y33" i="7" a="1"/>
  <c r="P32" i="7" a="1"/>
  <c r="AH17" i="7" a="1"/>
  <c r="G13" i="7" a="1"/>
  <c r="P15" i="7" a="1"/>
  <c r="Y13" i="7" a="1"/>
  <c r="P24" i="7" a="1"/>
  <c r="G16" i="7" a="1"/>
  <c r="Y12" i="7" a="1"/>
  <c r="Y28" i="7" a="1"/>
  <c r="AH12" i="7" a="1"/>
  <c r="P20" i="7" a="1"/>
  <c r="G17" i="7" a="1"/>
  <c r="Y20" i="7" a="1"/>
  <c r="AH14" i="7" a="1"/>
  <c r="P8" i="7" a="1"/>
  <c r="P22" i="7" a="1"/>
  <c r="G20" i="7" a="1"/>
  <c r="P19" i="7" a="1"/>
  <c r="P13" i="7" a="1"/>
  <c r="P18" i="7" a="1"/>
  <c r="G26" i="7" a="1"/>
  <c r="G8" i="7" a="1"/>
  <c r="G31" i="7" a="1"/>
  <c r="G32" i="7" a="1"/>
  <c r="AH29" i="7" a="1"/>
  <c r="AH13" i="7" a="1"/>
  <c r="Y16" i="7" a="1"/>
  <c r="G34" i="7" a="1"/>
  <c r="G29" i="7" a="1"/>
  <c r="P27" i="7" a="1"/>
  <c r="P14" i="7" a="1"/>
  <c r="G11" i="7" a="1"/>
  <c r="P33" i="7" a="1"/>
  <c r="P10" i="7" a="1"/>
  <c r="P12" i="7" a="1"/>
  <c r="AH16" i="7" a="1"/>
  <c r="Y31" i="7" a="1"/>
  <c r="Y14" i="7" a="1"/>
  <c r="Y10" i="7" a="1"/>
  <c r="AH33" i="7" a="1"/>
  <c r="G22" i="7" a="1"/>
  <c r="G10" i="7" a="1"/>
  <c r="G12" i="7" a="1"/>
  <c r="Y18" i="7" a="1"/>
  <c r="AH23" i="7" a="1"/>
  <c r="AH9" i="7" a="1"/>
  <c r="AH28" i="7" a="1"/>
  <c r="Y34" i="7" a="1"/>
  <c r="Y30" i="7" a="1"/>
  <c r="Y23" i="7" a="1"/>
  <c r="Y19" i="7" a="1"/>
  <c r="G15" i="7" a="1"/>
  <c r="G14" i="7" a="1"/>
  <c r="AH30" i="7" a="1"/>
  <c r="G25" i="7" a="1"/>
  <c r="G27" i="7" a="1"/>
  <c r="Y21" i="7" a="1"/>
  <c r="P16" i="7" a="1"/>
  <c r="P29" i="7" a="1"/>
  <c r="AH20" i="7" a="1"/>
  <c r="Y32" i="7" a="1"/>
  <c r="AH31" i="7" a="1"/>
  <c r="P34" i="7" a="1"/>
  <c r="AH15" i="7" a="1"/>
  <c r="G18" i="7" a="1"/>
  <c r="Y15" i="7" a="1"/>
  <c r="P25" i="7" a="1"/>
  <c r="AH11" i="7" a="1"/>
  <c r="AH24" i="7" a="1"/>
  <c r="P31" i="7" a="1"/>
  <c r="G30" i="7" a="1"/>
  <c r="Y29" i="7" a="1"/>
  <c r="P30" i="7" a="1"/>
  <c r="P9" i="7" a="1"/>
  <c r="P11" i="7" a="1"/>
  <c r="Y27" i="7" a="1"/>
  <c r="G19" i="7" a="1"/>
  <c r="Y25" i="7" a="1"/>
  <c r="P26" i="7" a="1"/>
  <c r="Y22" i="7" a="1"/>
  <c r="G28" i="7" a="1"/>
  <c r="G23" i="7" a="1"/>
  <c r="P21" i="7" a="1"/>
  <c r="AH34" i="7" a="1"/>
  <c r="AH21" i="7" a="1"/>
  <c r="AH10" i="7" a="1"/>
  <c r="G33" i="7" a="1"/>
  <c r="Y8" i="7" a="1"/>
  <c r="G9" i="7" a="1"/>
  <c r="Y9" i="7" a="1"/>
  <c r="Y24" i="7" a="1"/>
  <c r="P17" i="7" a="1"/>
  <c r="AH18" i="7" a="1"/>
  <c r="AH8" i="7" a="1"/>
  <c r="AH26" i="7" a="1"/>
  <c r="AH25" i="7" a="1"/>
  <c r="F42" i="7" l="1"/>
  <c r="F58" i="7"/>
  <c r="F45" i="7"/>
  <c r="F52" i="7"/>
  <c r="F46" i="7"/>
  <c r="F55" i="7"/>
  <c r="F44" i="7"/>
  <c r="F61" i="7"/>
  <c r="F50" i="7"/>
  <c r="F59" i="7"/>
  <c r="F40" i="7"/>
  <c r="F49" i="7"/>
  <c r="F63" i="7"/>
  <c r="F51" i="7"/>
  <c r="F41" i="7"/>
  <c r="F62" i="7"/>
  <c r="F54" i="7"/>
  <c r="F60" i="7"/>
  <c r="F48" i="7"/>
  <c r="F65" i="7"/>
  <c r="F57" i="7"/>
  <c r="F43" i="7"/>
  <c r="F47" i="7"/>
  <c r="F53" i="7"/>
  <c r="F64" i="7"/>
  <c r="F56" i="7"/>
  <c r="P11" i="7"/>
  <c r="P30" i="7"/>
  <c r="P32" i="7"/>
  <c r="P26" i="7"/>
  <c r="P20" i="7"/>
  <c r="P34" i="7"/>
  <c r="P28" i="7"/>
  <c r="P23" i="7"/>
  <c r="P31" i="7"/>
  <c r="P9" i="7"/>
  <c r="P13" i="7"/>
  <c r="P25" i="7"/>
  <c r="P10" i="7"/>
  <c r="P33" i="7"/>
  <c r="P18" i="7"/>
  <c r="P15" i="7"/>
  <c r="P29" i="7"/>
  <c r="P16" i="7"/>
  <c r="P21" i="7"/>
  <c r="P17" i="7"/>
  <c r="P19" i="7"/>
  <c r="P24" i="7"/>
  <c r="P14" i="7"/>
  <c r="P8" i="7"/>
  <c r="P22" i="7"/>
  <c r="P27" i="7"/>
  <c r="P12" i="7"/>
  <c r="Y29" i="7"/>
  <c r="Y10" i="7"/>
  <c r="Y27" i="7"/>
  <c r="Y22" i="7"/>
  <c r="Y30" i="7"/>
  <c r="Y25" i="7"/>
  <c r="Y14" i="7"/>
  <c r="Y31" i="7"/>
  <c r="Y9" i="7"/>
  <c r="Y19" i="7"/>
  <c r="Y17" i="7"/>
  <c r="Y28" i="7"/>
  <c r="Y15" i="7"/>
  <c r="Y8" i="7"/>
  <c r="Y20" i="7"/>
  <c r="Y33" i="7"/>
  <c r="Y11" i="7"/>
  <c r="Y23" i="7"/>
  <c r="Y12" i="7"/>
  <c r="Y32" i="7"/>
  <c r="Y34" i="7"/>
  <c r="Y21" i="7"/>
  <c r="Y26" i="7"/>
  <c r="Y18" i="7"/>
  <c r="Y16" i="7"/>
  <c r="Y24" i="7"/>
  <c r="Y13" i="7"/>
  <c r="G13" i="7"/>
  <c r="G9" i="7"/>
  <c r="G22" i="7"/>
  <c r="G18" i="7"/>
  <c r="G8" i="7"/>
  <c r="G33" i="7"/>
  <c r="G19" i="7"/>
  <c r="G11" i="7"/>
  <c r="G24" i="7"/>
  <c r="G28" i="7"/>
  <c r="G32" i="7"/>
  <c r="G20" i="7"/>
  <c r="G34" i="7"/>
  <c r="G27" i="7"/>
  <c r="G29" i="7"/>
  <c r="G25" i="7"/>
  <c r="G21" i="7"/>
  <c r="G12" i="7"/>
  <c r="G26" i="7"/>
  <c r="G16" i="7"/>
  <c r="G10" i="7"/>
  <c r="G31" i="7"/>
  <c r="G14" i="7"/>
  <c r="G15" i="7"/>
  <c r="G17" i="7"/>
  <c r="G23" i="7"/>
  <c r="G30" i="7"/>
  <c r="AH9" i="7"/>
  <c r="AH13" i="7"/>
  <c r="AH8" i="7"/>
  <c r="AH18" i="7"/>
  <c r="AH33" i="7"/>
  <c r="AH34" i="7"/>
  <c r="AH21" i="7"/>
  <c r="AH23" i="7"/>
  <c r="AH22" i="7"/>
  <c r="AH12" i="7"/>
  <c r="AH24" i="7"/>
  <c r="AH10" i="7"/>
  <c r="AH20" i="7"/>
  <c r="AH27" i="7"/>
  <c r="AH29" i="7"/>
  <c r="AH14" i="7"/>
  <c r="AH19" i="7"/>
  <c r="AH25" i="7"/>
  <c r="AH11" i="7"/>
  <c r="AH30" i="7"/>
  <c r="AH32" i="7"/>
  <c r="AH16" i="7"/>
  <c r="AH26" i="7"/>
  <c r="AH31" i="7"/>
  <c r="AH15" i="7"/>
  <c r="AH17" i="7"/>
  <c r="AH28" i="7"/>
  <c r="C47" i="25"/>
  <c r="A49" i="25"/>
  <c r="A19" i="25"/>
  <c r="B18" i="25"/>
  <c r="B48" i="25"/>
  <c r="E39" i="7"/>
  <c r="F39" i="7"/>
  <c r="G37" i="7"/>
  <c r="H11" i="5"/>
  <c r="AI6" i="7"/>
  <c r="Z6" i="7"/>
  <c r="H6" i="7"/>
  <c r="Q6" i="7"/>
  <c r="H8" i="7" a="1"/>
  <c r="AI24" i="7" a="1"/>
  <c r="Z18" i="7" a="1"/>
  <c r="H32" i="7" a="1"/>
  <c r="H21" i="7" a="1"/>
  <c r="AI23" i="7" a="1"/>
  <c r="Q29" i="7" a="1"/>
  <c r="H34" i="7" a="1"/>
  <c r="H31" i="7" a="1"/>
  <c r="Q19" i="7" a="1"/>
  <c r="Z28" i="7" a="1"/>
  <c r="Z22" i="7" a="1"/>
  <c r="Z20" i="7" a="1"/>
  <c r="Z32" i="7" a="1"/>
  <c r="AI14" i="7" a="1"/>
  <c r="Q15" i="7" a="1"/>
  <c r="AI13" i="7" a="1"/>
  <c r="H19" i="7" a="1"/>
  <c r="Q14" i="7" a="1"/>
  <c r="Q24" i="7" a="1"/>
  <c r="AI17" i="7" a="1"/>
  <c r="Z12" i="7" a="1"/>
  <c r="Z25" i="7" a="1"/>
  <c r="AI25" i="7" a="1"/>
  <c r="H13" i="7" a="1"/>
  <c r="Q31" i="7" a="1"/>
  <c r="H29" i="7" a="1"/>
  <c r="Q8" i="7" a="1"/>
  <c r="H28" i="7" a="1"/>
  <c r="Q32" i="7" a="1"/>
  <c r="AI33" i="7" a="1"/>
  <c r="H17" i="7" a="1"/>
  <c r="Z21" i="7" a="1"/>
  <c r="Q33" i="7" a="1"/>
  <c r="Q21" i="7" a="1"/>
  <c r="AI30" i="7" a="1"/>
  <c r="H30" i="7" a="1"/>
  <c r="Z30" i="7" a="1"/>
  <c r="AI19" i="7" a="1"/>
  <c r="AI34" i="7" a="1"/>
  <c r="H33" i="7" a="1"/>
  <c r="H14" i="7" a="1"/>
  <c r="Q12" i="7" a="1"/>
  <c r="AI27" i="7" a="1"/>
  <c r="H22" i="7" a="1"/>
  <c r="Q28" i="7" a="1"/>
  <c r="Z24" i="7" a="1"/>
  <c r="H25" i="7" a="1"/>
  <c r="Z14" i="7" a="1"/>
  <c r="H23" i="7" a="1"/>
  <c r="AI28" i="7" a="1"/>
  <c r="AI10" i="7" a="1"/>
  <c r="Q13" i="7" a="1"/>
  <c r="Q11" i="7" a="1"/>
  <c r="Q25" i="7" a="1"/>
  <c r="Q30" i="7" a="1"/>
  <c r="Z16" i="7" a="1"/>
  <c r="H11" i="7" a="1"/>
  <c r="AI31" i="7" a="1"/>
  <c r="Z15" i="7" a="1"/>
  <c r="AI16" i="7" a="1"/>
  <c r="Z8" i="7" a="1"/>
  <c r="AI29" i="7" a="1"/>
  <c r="Q10" i="7" a="1"/>
  <c r="H9" i="7" a="1"/>
  <c r="Z27" i="7" a="1"/>
  <c r="Z19" i="7" a="1"/>
  <c r="AI22" i="7" a="1"/>
  <c r="Z9" i="7" a="1"/>
  <c r="Z31" i="7" a="1"/>
  <c r="AI20" i="7" a="1"/>
  <c r="H26" i="7" a="1"/>
  <c r="H15" i="7" a="1"/>
  <c r="Q16" i="7" a="1"/>
  <c r="Q9" i="7" a="1"/>
  <c r="AI8" i="7" a="1"/>
  <c r="AI32" i="7" a="1"/>
  <c r="Z26" i="7" a="1"/>
  <c r="Q23" i="7" a="1"/>
  <c r="H18" i="7" a="1"/>
  <c r="H12" i="7" a="1"/>
  <c r="Z11" i="7" a="1"/>
  <c r="Q22" i="7" a="1"/>
  <c r="Z17" i="7" a="1"/>
  <c r="H16" i="7" a="1"/>
  <c r="H27" i="7" a="1"/>
  <c r="H10" i="7" a="1"/>
  <c r="Z34" i="7" a="1"/>
  <c r="AI26" i="7" a="1"/>
  <c r="Z33" i="7" a="1"/>
  <c r="AI18" i="7" a="1"/>
  <c r="Z10" i="7" a="1"/>
  <c r="AI11" i="7" a="1"/>
  <c r="Q26" i="7" a="1"/>
  <c r="H20" i="7" a="1"/>
  <c r="Q18" i="7" a="1"/>
  <c r="AI21" i="7" a="1"/>
  <c r="Z29" i="7" a="1"/>
  <c r="AI15" i="7" a="1"/>
  <c r="Z13" i="7" a="1"/>
  <c r="AI9" i="7" a="1"/>
  <c r="Q20" i="7" a="1"/>
  <c r="Q17" i="7" a="1"/>
  <c r="Q27" i="7" a="1"/>
  <c r="Z23" i="7" a="1"/>
  <c r="AI12" i="7" a="1"/>
  <c r="H24" i="7" a="1"/>
  <c r="Q34" i="7" a="1"/>
  <c r="G62" i="7" l="1"/>
  <c r="G46" i="7"/>
  <c r="G45" i="7"/>
  <c r="G54" i="7"/>
  <c r="G40" i="7"/>
  <c r="G48" i="7"/>
  <c r="G44" i="7"/>
  <c r="G47" i="7"/>
  <c r="G57" i="7"/>
  <c r="G59" i="7"/>
  <c r="G41" i="7"/>
  <c r="G52" i="7"/>
  <c r="G56" i="7"/>
  <c r="G60" i="7"/>
  <c r="G63" i="7"/>
  <c r="G42" i="7"/>
  <c r="G50" i="7"/>
  <c r="G43" i="7"/>
  <c r="G58" i="7"/>
  <c r="G65" i="7"/>
  <c r="G51" i="7"/>
  <c r="G55" i="7"/>
  <c r="G64" i="7"/>
  <c r="G49" i="7"/>
  <c r="G61" i="7"/>
  <c r="G53" i="7"/>
  <c r="Q9" i="7"/>
  <c r="Q23" i="7"/>
  <c r="Q24" i="7"/>
  <c r="Q8" i="7"/>
  <c r="Q13" i="7"/>
  <c r="Q25" i="7"/>
  <c r="Q26" i="7"/>
  <c r="Q14" i="7"/>
  <c r="Q11" i="7"/>
  <c r="Q15" i="7"/>
  <c r="Q27" i="7"/>
  <c r="Q16" i="7"/>
  <c r="Q28" i="7"/>
  <c r="Q17" i="7"/>
  <c r="Q29" i="7"/>
  <c r="Q30" i="7"/>
  <c r="Q19" i="7"/>
  <c r="Q31" i="7"/>
  <c r="Q10" i="7"/>
  <c r="Q18" i="7"/>
  <c r="Q20" i="7"/>
  <c r="Q32" i="7"/>
  <c r="Q12" i="7"/>
  <c r="Q21" i="7"/>
  <c r="Q33" i="7"/>
  <c r="Q22" i="7"/>
  <c r="Q34" i="7"/>
  <c r="AI34" i="7"/>
  <c r="AI22" i="7"/>
  <c r="AI23" i="7"/>
  <c r="AI10" i="7"/>
  <c r="AI24" i="7"/>
  <c r="AI11" i="7"/>
  <c r="AI13" i="7"/>
  <c r="AI25" i="7"/>
  <c r="AI9" i="7"/>
  <c r="AI14" i="7"/>
  <c r="AI26" i="7"/>
  <c r="AI15" i="7"/>
  <c r="AI27" i="7"/>
  <c r="AI16" i="7"/>
  <c r="AI28" i="7"/>
  <c r="AI17" i="7"/>
  <c r="AI29" i="7"/>
  <c r="AI18" i="7"/>
  <c r="AI30" i="7"/>
  <c r="AI8" i="7"/>
  <c r="AI19" i="7"/>
  <c r="AI31" i="7"/>
  <c r="AI12" i="7"/>
  <c r="AI20" i="7"/>
  <c r="AI32" i="7"/>
  <c r="AI21" i="7"/>
  <c r="AI33" i="7"/>
  <c r="Z17" i="7"/>
  <c r="Z19" i="7"/>
  <c r="Z24" i="7"/>
  <c r="Z15" i="7"/>
  <c r="Z8" i="7"/>
  <c r="Z10" i="7"/>
  <c r="Z11" i="7"/>
  <c r="Z20" i="7"/>
  <c r="Z33" i="7"/>
  <c r="Z16" i="7"/>
  <c r="Z12" i="7"/>
  <c r="Z21" i="7"/>
  <c r="Z23" i="7"/>
  <c r="Z25" i="7"/>
  <c r="Z26" i="7"/>
  <c r="Z32" i="7"/>
  <c r="Z22" i="7"/>
  <c r="Z29" i="7"/>
  <c r="Z9" i="7"/>
  <c r="Z31" i="7"/>
  <c r="Z27" i="7"/>
  <c r="Z13" i="7"/>
  <c r="Z30" i="7"/>
  <c r="Z34" i="7"/>
  <c r="Z28" i="7"/>
  <c r="Z14" i="7"/>
  <c r="Z18" i="7"/>
  <c r="H22" i="7"/>
  <c r="H11" i="7"/>
  <c r="H19" i="7"/>
  <c r="H34" i="7"/>
  <c r="H27" i="7"/>
  <c r="H28" i="7"/>
  <c r="H32" i="7"/>
  <c r="H30" i="7"/>
  <c r="H10" i="7"/>
  <c r="H25" i="7"/>
  <c r="H17" i="7"/>
  <c r="H29" i="7"/>
  <c r="H14" i="7"/>
  <c r="H12" i="7"/>
  <c r="H8" i="7"/>
  <c r="H15" i="7"/>
  <c r="H20" i="7"/>
  <c r="H18" i="7"/>
  <c r="H23" i="7"/>
  <c r="H33" i="7"/>
  <c r="H31" i="7"/>
  <c r="H13" i="7"/>
  <c r="H21" i="7"/>
  <c r="H26" i="7"/>
  <c r="H16" i="7"/>
  <c r="H9" i="7"/>
  <c r="H24" i="7"/>
  <c r="C48" i="25"/>
  <c r="A50" i="25"/>
  <c r="A20" i="25"/>
  <c r="B49" i="25"/>
  <c r="B19" i="25"/>
  <c r="G39" i="7"/>
  <c r="H37" i="7"/>
  <c r="H45" i="7" l="1"/>
  <c r="H48" i="7"/>
  <c r="H46" i="7"/>
  <c r="H64" i="7"/>
  <c r="H54" i="7"/>
  <c r="H49" i="7"/>
  <c r="H56" i="7"/>
  <c r="H63" i="7"/>
  <c r="H59" i="7"/>
  <c r="H50" i="7"/>
  <c r="H47" i="7"/>
  <c r="H51" i="7"/>
  <c r="H43" i="7"/>
  <c r="H60" i="7"/>
  <c r="H41" i="7"/>
  <c r="H61" i="7"/>
  <c r="H58" i="7"/>
  <c r="H65" i="7"/>
  <c r="H55" i="7"/>
  <c r="H40" i="7"/>
  <c r="H53" i="7"/>
  <c r="H42" i="7"/>
  <c r="H57" i="7"/>
  <c r="H52" i="7"/>
  <c r="H44" i="7"/>
  <c r="H62" i="7"/>
  <c r="C49" i="25"/>
  <c r="B50" i="25"/>
  <c r="B20" i="25"/>
  <c r="A21" i="25"/>
  <c r="A51" i="25"/>
  <c r="H39" i="7"/>
  <c r="C50" i="25" l="1"/>
  <c r="A52" i="25"/>
  <c r="A22" i="25"/>
  <c r="B21" i="25"/>
  <c r="B51" i="25"/>
  <c r="C51" i="25" l="1"/>
  <c r="B52" i="25"/>
  <c r="B22" i="25"/>
  <c r="A53" i="25"/>
  <c r="A23" i="25"/>
  <c r="C52" i="25" l="1"/>
  <c r="A24" i="25"/>
  <c r="A54" i="25"/>
  <c r="B53" i="25"/>
  <c r="B23" i="25"/>
  <c r="C53" i="25" l="1"/>
  <c r="B24" i="25"/>
  <c r="B54" i="25"/>
  <c r="A55" i="25"/>
  <c r="A25" i="25"/>
  <c r="C54" i="25" l="1"/>
  <c r="A56" i="25"/>
  <c r="A26" i="25"/>
  <c r="B55" i="25"/>
  <c r="B25" i="25"/>
  <c r="C55" i="25" l="1"/>
  <c r="B56" i="25"/>
  <c r="B26" i="25"/>
  <c r="A27" i="25"/>
  <c r="A57" i="25"/>
  <c r="C56" i="25" l="1"/>
  <c r="A58" i="25"/>
  <c r="A28" i="25"/>
  <c r="B27" i="25"/>
  <c r="B57" i="25"/>
  <c r="C57" i="25" l="1"/>
  <c r="B58" i="25"/>
  <c r="B28" i="25"/>
  <c r="A59" i="25"/>
  <c r="A29" i="25"/>
  <c r="C58" i="25" l="1"/>
  <c r="A30" i="25"/>
  <c r="A60" i="25"/>
  <c r="B59" i="25"/>
  <c r="B29" i="25"/>
  <c r="C59" i="25" l="1"/>
  <c r="B30" i="25"/>
  <c r="B60" i="25"/>
  <c r="A61" i="25"/>
  <c r="A31" i="25"/>
  <c r="C60" i="25" l="1"/>
  <c r="A62" i="25"/>
  <c r="A32" i="25"/>
  <c r="B61" i="25"/>
  <c r="B31" i="25"/>
  <c r="C61" i="25" l="1"/>
  <c r="B62" i="25"/>
  <c r="B32" i="25"/>
  <c r="A33" i="25"/>
  <c r="A63" i="25"/>
  <c r="C62" i="25" l="1"/>
  <c r="A64" i="25"/>
  <c r="A34" i="25"/>
  <c r="A65" i="25" s="1"/>
  <c r="B33" i="25"/>
  <c r="B63" i="25"/>
  <c r="C63" i="25" l="1"/>
  <c r="B64" i="25"/>
  <c r="B34" i="25"/>
  <c r="C64" i="25" l="1"/>
  <c r="B65" i="25"/>
  <c r="C65" i="2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<sst xmlns="http://schemas.openxmlformats.org/spreadsheetml/2006/main" count="139" uniqueCount="38">
  <si>
    <t>Solar</t>
  </si>
  <si>
    <t>Wind</t>
  </si>
  <si>
    <t>Nuclear</t>
  </si>
  <si>
    <t>Gas</t>
  </si>
  <si>
    <t>Coal</t>
  </si>
  <si>
    <t>Sum</t>
  </si>
  <si>
    <t>Offset</t>
  </si>
  <si>
    <t>Cost</t>
  </si>
  <si>
    <t>Year</t>
  </si>
  <si>
    <t>Battery</t>
  </si>
  <si>
    <t>Region_abbr</t>
  </si>
  <si>
    <t>Mult</t>
  </si>
  <si>
    <t>Capital</t>
  </si>
  <si>
    <t>Fixed</t>
  </si>
  <si>
    <t>Variable</t>
  </si>
  <si>
    <t>CO2</t>
  </si>
  <si>
    <t>Yearly Change</t>
  </si>
  <si>
    <t>Param_offset</t>
  </si>
  <si>
    <t>Offsets</t>
  </si>
  <si>
    <t>Include_Capital</t>
  </si>
  <si>
    <t>Include_Fixed</t>
  </si>
  <si>
    <t>Include_Variable</t>
  </si>
  <si>
    <t>Include_CO2</t>
  </si>
  <si>
    <t>Include_Solar</t>
  </si>
  <si>
    <t>Include_Wind</t>
  </si>
  <si>
    <t>Include_Nuclear</t>
  </si>
  <si>
    <t>Include_Gas</t>
  </si>
  <si>
    <t>Include_Coal</t>
  </si>
  <si>
    <t>Include_Battery</t>
  </si>
  <si>
    <t>Offsets -&gt;</t>
  </si>
  <si>
    <t>Changes year-to-year:</t>
  </si>
  <si>
    <t>Multiplier</t>
  </si>
  <si>
    <t>Sum of included parameters</t>
  </si>
  <si>
    <t>Lib-Default_Default-CO2_5_9999.xlsm</t>
  </si>
  <si>
    <t>Warning - Muliple NRGs</t>
  </si>
  <si>
    <t>Entire US</t>
  </si>
  <si>
    <t>Max US Sum is 13 (regions)</t>
  </si>
  <si>
    <t>CO2_Mtons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</si>
</sst>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"/>
    <numFmt numFmtId="165" formatCode="#,##0.0000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164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165" fontId="0" fillId="0" borderId="0" xfId="0" applyNumberFormat="1"/>
    <xf numFmtId="1" fontId="0" fillId="0" borderId="0" xfId="0" applyNumberFormat="1"/>
    <xf numFmtId="2" fontId="0" fillId="0" borderId="0" xfId="0" applyNumberFormat="1"/>
    <xf numFmtId="3" fontId="2" fillId="0" borderId="0" xfId="0" applyNumberFormat="1" applyFont="1"/>
    <xf numFmtId="0" fontId="3" fillId="0" borderId="0" xfId="0" applyFont="1"/>
    <xf numFmtId="0" fontId="4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8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color theme="0"/>
      </font>
    </dxf>
    <dxf>
      <font>
        <color theme="1"/>
      </font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Entire US - CO2_Mtons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Calc!$C$12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Calc!$C$13:$C$39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Calc!$D$12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Calc!$D$13:$D$39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Calc!$E$12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Calc!$E$13:$E$39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Calc!$F$12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Calc!$F$13:$F$39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Calc!$G$12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Calc!$G$13:$G$39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Calc!$H$12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Calc!$H$13:$H$39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Entire US - CO2_Mtons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Calc!$L$12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Calc!$J$13:$J$38</c:f>
              <c:numCache>
                <c:formatCode>0</c:formatCode>
                <c:ptCount val="26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</c:numCache>
            </c:numRef>
          </c:cat>
          <c:val>
            <c:numRef>
              <c:f>Calc!$L$13:$L$38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4-46B8-A186-1E17D9D988DF}"/>
            </c:ext>
          </c:extLst>
        </c:ser>
        <c:ser>
          <c:idx val="1"/>
          <c:order val="1"/>
          <c:tx>
            <c:strRef>
              <c:f>Calc!$M$12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Calc!$M$13:$M$38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4-46B8-A186-1E17D9D988DF}"/>
            </c:ext>
          </c:extLst>
        </c:ser>
        <c:ser>
          <c:idx val="2"/>
          <c:order val="2"/>
          <c:tx>
            <c:strRef>
              <c:f>Calc!$N$12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Calc!$N$13:$N$38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4-46B8-A186-1E17D9D988DF}"/>
            </c:ext>
          </c:extLst>
        </c:ser>
        <c:ser>
          <c:idx val="3"/>
          <c:order val="3"/>
          <c:tx>
            <c:strRef>
              <c:f>Calc!$O$12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Calc!$O$13:$O$38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4-46B8-A186-1E17D9D988DF}"/>
            </c:ext>
          </c:extLst>
        </c:ser>
        <c:ser>
          <c:idx val="4"/>
          <c:order val="4"/>
          <c:tx>
            <c:strRef>
              <c:f>Calc!$P$12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Calc!$P$13:$P$38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B4-46B8-A186-1E17D9D988DF}"/>
            </c:ext>
          </c:extLst>
        </c:ser>
        <c:ser>
          <c:idx val="5"/>
          <c:order val="5"/>
          <c:tx>
            <c:strRef>
              <c:f>Calc!$Q$12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Calc!$Q$13:$Q$38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4-46B8-A186-1E17D9D98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Costs</a:t>
            </a:r>
            <a:r>
              <a:rPr lang="en-US" baseline="0"/>
              <a:t> B$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Cost_Calc!$C$38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Cost_Calc!$C$39:$C$65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5-49B1-839A-E0836CD573E2}"/>
            </c:ext>
          </c:extLst>
        </c:ser>
        <c:ser>
          <c:idx val="1"/>
          <c:order val="1"/>
          <c:tx>
            <c:strRef>
              <c:f>Cost_Calc!$D$38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Cost_Calc!$D$39:$D$65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9B1-839A-E0836CD573E2}"/>
            </c:ext>
          </c:extLst>
        </c:ser>
        <c:ser>
          <c:idx val="2"/>
          <c:order val="2"/>
          <c:tx>
            <c:strRef>
              <c:f>Cost_Calc!$E$38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Cost_Calc!$E$39:$E$65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5-49B1-839A-E0836CD573E2}"/>
            </c:ext>
          </c:extLst>
        </c:ser>
        <c:ser>
          <c:idx val="3"/>
          <c:order val="3"/>
          <c:tx>
            <c:strRef>
              <c:f>Cost_Calc!$F$38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Cost_Calc!$F$39:$F$65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5-49B1-839A-E0836CD573E2}"/>
            </c:ext>
          </c:extLst>
        </c:ser>
        <c:ser>
          <c:idx val="4"/>
          <c:order val="4"/>
          <c:tx>
            <c:strRef>
              <c:f>Cost_Calc!$G$38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Cost_Calc!$G$39:$G$65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F-4511-A1CF-185B143AA091}"/>
            </c:ext>
          </c:extLst>
        </c:ser>
        <c:ser>
          <c:idx val="5"/>
          <c:order val="5"/>
          <c:tx>
            <c:strRef>
              <c:f>Cost_Calc!$H$38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Cost_Calc!$H$39:$H$65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CF-4511-A1CF-185B143AA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Costs</a:t>
            </a:r>
            <a:r>
              <a:rPr lang="en-US" baseline="0"/>
              <a:t> B$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Comp_Calc!$C$38</c:f>
              <c:strCache>
                <c:ptCount val="1"/>
                <c:pt idx="0">
                  <c:v>Capital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Comp_Calc!$A$38:$A$65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Comp_Calc!$C$39:$C$65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42-4D25-9B31-B50E4316E83A}"/>
            </c:ext>
          </c:extLst>
        </c:ser>
        <c:ser>
          <c:idx val="1"/>
          <c:order val="1"/>
          <c:tx>
            <c:strRef>
              <c:f>Comp_Calc!$D$38</c:f>
              <c:strCache>
                <c:ptCount val="1"/>
                <c:pt idx="0">
                  <c:v>Fixed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Comp_Calc!$A$38:$A$65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Comp_Calc!$D$39:$D$65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42-4D25-9B31-B50E4316E83A}"/>
            </c:ext>
          </c:extLst>
        </c:ser>
        <c:ser>
          <c:idx val="2"/>
          <c:order val="2"/>
          <c:tx>
            <c:strRef>
              <c:f>Comp_Calc!$E$38</c:f>
              <c:strCache>
                <c:ptCount val="1"/>
                <c:pt idx="0">
                  <c:v>Variable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Comp_Calc!$A$38:$A$65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Comp_Calc!$E$39:$E$65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42-4D25-9B31-B50E4316E83A}"/>
            </c:ext>
          </c:extLst>
        </c:ser>
        <c:ser>
          <c:idx val="3"/>
          <c:order val="3"/>
          <c:tx>
            <c:strRef>
              <c:f>Comp_Calc!$F$38</c:f>
              <c:strCache>
                <c:ptCount val="1"/>
                <c:pt idx="0">
                  <c:v>CO2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Comp_Calc!$A$38:$A$65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Comp_Calc!$F$39:$F$65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42-4D25-9B31-B50E4316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10</xdr:col>
      <xdr:colOff>165999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32658</xdr:colOff>
      <xdr:row>3</xdr:row>
      <xdr:rowOff>40822</xdr:rowOff>
    </xdr:from>
    <xdr:to>
      <xdr:col>1</xdr:col>
      <xdr:colOff>19050</xdr:colOff>
      <xdr:row>4</xdr:row>
      <xdr:rowOff>24493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32658" y="615043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9</xdr:col>
      <xdr:colOff>179613</xdr:colOff>
      <xdr:row>36</xdr:row>
      <xdr:rowOff>117021</xdr:rowOff>
    </xdr:to>
    <xdr:graphicFrame macro="">
      <xdr:nvGraphicFramePr>
        <xdr:cNvPr id="7" name="Delta_Chart">
          <a:extLst>
            <a:ext uri="{FF2B5EF4-FFF2-40B4-BE49-F238E27FC236}">
              <a16:creationId xmlns:a16="http://schemas.microsoft.com/office/drawing/2014/main" id="{C4ACE980-5439-48D5-B37B-88B62B6B1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9</xdr:col>
      <xdr:colOff>0</xdr:colOff>
      <xdr:row>17</xdr:row>
      <xdr:rowOff>160565</xdr:rowOff>
    </xdr:to>
    <xdr:graphicFrame macro="">
      <xdr:nvGraphicFramePr>
        <xdr:cNvPr id="2" name="Cost_Chart">
          <a:extLst>
            <a:ext uri="{FF2B5EF4-FFF2-40B4-BE49-F238E27FC236}">
              <a16:creationId xmlns:a16="http://schemas.microsoft.com/office/drawing/2014/main" id="{471CDF07-5B44-4BD9-B978-170343838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A92104C0-8527-4EB3-B1B3-9C94F8DA5161}"/>
            </a:ext>
          </a:extLst>
        </xdr:cNvPr>
        <xdr:cNvSpPr/>
      </xdr:nvSpPr>
      <xdr:spPr>
        <a:xfrm>
          <a:off x="1518558" y="223157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9</xdr:col>
      <xdr:colOff>0</xdr:colOff>
      <xdr:row>17</xdr:row>
      <xdr:rowOff>160565</xdr:rowOff>
    </xdr:to>
    <xdr:graphicFrame macro="">
      <xdr:nvGraphicFramePr>
        <xdr:cNvPr id="2" name="Comp_Chart">
          <a:extLst>
            <a:ext uri="{FF2B5EF4-FFF2-40B4-BE49-F238E27FC236}">
              <a16:creationId xmlns:a16="http://schemas.microsoft.com/office/drawing/2014/main" id="{1414A879-0136-4967-AD02-9CB9CF551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145175B8-FEA6-46F0-85ED-B21A9FB5A696}"/>
            </a:ext>
          </a:extLst>
        </xdr:cNvPr>
        <xdr:cNvSpPr/>
      </xdr:nvSpPr>
      <xdr:spPr>
        <a:xfrm>
          <a:off x="1985737" y="222250"/>
          <a:ext cx="824592" cy="17099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7cd0e7a053322a97/Documents/GenAtomic/Optimize/Library/Default/Debug_New/Lib-Default_Debug_New-CAL-CO2_40_40.xlsm" TargetMode="External"/><Relationship Id="rId1" Type="http://schemas.openxmlformats.org/officeDocument/2006/relationships/externalLinkPath" Target="/7cd0e7a053322a97/Documents/GenAtomic/Optimize/Library/Default/Debug_New/Lib-Default_Debug_New-CAL-CO2_40_4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Cost_Graph"/>
      <sheetName val="Calc"/>
      <sheetName val="Cost_Calc"/>
      <sheetName val="Reference"/>
      <sheetName val="Inbox"/>
      <sheetName val="CAL"/>
    </sheetNames>
    <sheetDataSet>
      <sheetData sheetId="0">
        <row r="1">
          <cell r="A1" t="str">
            <v>California</v>
          </cell>
        </row>
      </sheetData>
      <sheetData sheetId="1">
        <row r="1">
          <cell r="A1" t="str">
            <v>California</v>
          </cell>
        </row>
      </sheetData>
      <sheetData sheetId="2">
        <row r="3">
          <cell r="C3" t="str">
            <v>CAL</v>
          </cell>
        </row>
      </sheetData>
      <sheetData sheetId="3"/>
      <sheetData sheetId="4"/>
      <sheetData sheetId="5"/>
      <sheetData sheetId="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workbookViewId="0">
      <selection activeCell="A3" sqref="A3"/>
    </sheetView>
  </sheetViews>
  <sheetFormatPr defaultRowHeight="14.75" x14ac:dyDescent="0.75"/>
  <cols>
    <col min="1" max="1" width="11.81640625" customWidth="1"/>
    <col min="2" max="2" width="9.6796875" bestFit="1" customWidth="1"/>
    <col min="3" max="3" width="9" bestFit="1" customWidth="1"/>
    <col min="4" max="4" width="9.6796875" bestFit="1" customWidth="1"/>
    <col min="5" max="6" width="9" bestFit="1" customWidth="1"/>
    <col min="7" max="7" width="24.6796875" customWidth="1"/>
    <col min="8" max="8" width="13.6796875" customWidth="1"/>
    <col min="9" max="9" width="11.58984375" customWidth="1"/>
    <col min="10" max="10" width="3.6796875" customWidth="1"/>
    <col min="11" max="17" width="12.6796875" customWidth="1"/>
    <col min="18" max="18" width="3" customWidth="1"/>
  </cols>
  <sheetData>
    <row r="1" spans="1:27" ht="16" x14ac:dyDescent="0.75">
      <c r="A1" s="2" t="s">
        <v>35</v>
      </c>
      <c r="C1" s="14" t="s">
        <v>33</v>
      </c>
      <c r="D1" s="13"/>
      <c r="E1" s="13"/>
      <c r="F1" s="13"/>
      <c r="G1" s="13"/>
      <c r="H1" s="13"/>
      <c r="I1" s="13"/>
    </row>
    <row r="2" spans="1:27" x14ac:dyDescent="0.75">
      <c r="A2" s="2" t="s">
        <v>37</v>
      </c>
      <c r="K2" s="4"/>
    </row>
    <row r="3" spans="1:27" x14ac:dyDescent="0.75">
      <c r="M3" s="13"/>
      <c r="N3" s="13"/>
      <c r="O3" s="13"/>
    </row>
    <row r="4" spans="1:27" ht="14.65" customHeight="1" x14ac:dyDescent="0.75"/>
    <row r="6" spans="1:27" x14ac:dyDescent="0.75">
      <c r="K6" s="1"/>
      <c r="L6" s="1"/>
      <c r="M6" s="1"/>
      <c r="N6" s="1"/>
      <c r="O6" s="1"/>
      <c r="P6" s="1"/>
      <c r="Q6" s="1"/>
      <c r="U6" s="1"/>
      <c r="V6" s="1"/>
      <c r="W6" s="1"/>
      <c r="X6" s="1"/>
      <c r="Y6" s="1"/>
      <c r="Z6" s="1"/>
      <c r="AA6" s="1"/>
    </row>
    <row r="7" spans="1:27" x14ac:dyDescent="0.75">
      <c r="A7" s="12" t="s">
        <v>36</v>
      </c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x14ac:dyDescent="0.7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x14ac:dyDescent="0.7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x14ac:dyDescent="0.7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x14ac:dyDescent="0.7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x14ac:dyDescent="0.7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x14ac:dyDescent="0.7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x14ac:dyDescent="0.7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x14ac:dyDescent="0.7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x14ac:dyDescent="0.7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  <row r="17" spans="1:27" x14ac:dyDescent="0.75">
      <c r="K17" s="1"/>
      <c r="L17" s="1"/>
      <c r="M17" s="1"/>
      <c r="N17" s="1"/>
      <c r="O17" s="1"/>
      <c r="P17" s="1"/>
      <c r="Q17" s="1"/>
      <c r="U17" s="1"/>
      <c r="V17" s="1"/>
      <c r="W17" s="1"/>
      <c r="X17" s="1"/>
      <c r="Y17" s="1"/>
      <c r="Z17" s="1"/>
      <c r="AA17" s="1"/>
    </row>
    <row r="18" spans="1:27" x14ac:dyDescent="0.75">
      <c r="K18" s="1"/>
      <c r="L18" s="1"/>
      <c r="M18" s="1"/>
      <c r="N18" s="1"/>
      <c r="O18" s="1"/>
      <c r="P18" s="1"/>
      <c r="Q18" s="1"/>
      <c r="U18" s="1"/>
      <c r="V18" s="1"/>
      <c r="W18" s="1"/>
      <c r="X18" s="1"/>
      <c r="Y18" s="1"/>
      <c r="Z18" s="1"/>
      <c r="AA18" s="1"/>
    </row>
    <row r="19" spans="1:27" x14ac:dyDescent="0.75">
      <c r="K19" s="1"/>
      <c r="L19" s="1"/>
      <c r="M19" s="1"/>
      <c r="N19" s="1"/>
      <c r="O19" s="1"/>
      <c r="P19" s="1"/>
      <c r="Q19" s="1"/>
      <c r="U19" s="1"/>
      <c r="V19" s="1"/>
      <c r="W19" s="1"/>
      <c r="X19" s="1"/>
      <c r="Y19" s="1"/>
      <c r="Z19" s="1"/>
      <c r="AA19" s="1"/>
    </row>
    <row r="20" spans="1:27" x14ac:dyDescent="0.75">
      <c r="K20" s="1"/>
      <c r="L20" s="1"/>
      <c r="M20" s="1"/>
      <c r="N20" s="1"/>
      <c r="O20" s="1"/>
      <c r="P20" s="1"/>
      <c r="Q20" s="1"/>
      <c r="U20" s="1"/>
      <c r="V20" s="1"/>
      <c r="W20" s="1"/>
      <c r="X20" s="1"/>
      <c r="Y20" s="1"/>
      <c r="Z20" s="1"/>
      <c r="AA20" s="1"/>
    </row>
    <row r="21" spans="1:27" x14ac:dyDescent="0.75">
      <c r="K21" s="1"/>
      <c r="L21" s="1"/>
      <c r="M21" s="1"/>
      <c r="N21" s="1"/>
      <c r="O21" s="1"/>
      <c r="P21" s="1"/>
      <c r="Q21" s="1"/>
      <c r="U21" s="1"/>
      <c r="V21" s="1"/>
      <c r="W21" s="1"/>
      <c r="X21" s="1"/>
      <c r="Y21" s="1"/>
      <c r="Z21" s="1"/>
      <c r="AA21" s="1"/>
    </row>
    <row r="22" spans="1:27" x14ac:dyDescent="0.75">
      <c r="A22" s="6" t="s">
        <v>30</v>
      </c>
      <c r="K22" s="1"/>
      <c r="L22" s="1"/>
      <c r="M22" s="1"/>
      <c r="N22" s="1"/>
      <c r="O22" s="1"/>
      <c r="P22" s="1"/>
      <c r="Q22" s="1"/>
      <c r="U22" s="1"/>
      <c r="V22" s="1"/>
      <c r="W22" s="1"/>
      <c r="X22" s="1"/>
      <c r="Y22" s="1"/>
      <c r="Z22" s="1"/>
      <c r="AA22" s="1"/>
    </row>
    <row r="23" spans="1:27" x14ac:dyDescent="0.75">
      <c r="K23" s="1"/>
      <c r="L23" s="1"/>
      <c r="M23" s="1"/>
      <c r="N23" s="1"/>
      <c r="O23" s="1"/>
      <c r="P23" s="1"/>
      <c r="Q23" s="1"/>
      <c r="U23" s="1"/>
      <c r="V23" s="1"/>
      <c r="W23" s="1"/>
      <c r="X23" s="1"/>
      <c r="Y23" s="1"/>
      <c r="Z23" s="1"/>
      <c r="AA23" s="1"/>
    </row>
    <row r="24" spans="1:27" x14ac:dyDescent="0.75">
      <c r="K24" s="1"/>
      <c r="L24" s="1"/>
      <c r="M24" s="1"/>
      <c r="N24" s="1"/>
      <c r="O24" s="1"/>
      <c r="P24" s="1"/>
      <c r="Q24" s="1"/>
      <c r="U24" s="1"/>
      <c r="V24" s="1"/>
      <c r="W24" s="1"/>
      <c r="X24" s="1"/>
      <c r="Y24" s="1"/>
      <c r="Z24" s="1"/>
      <c r="AA24" s="1"/>
    </row>
    <row r="25" spans="1:27" x14ac:dyDescent="0.75">
      <c r="K25" s="1"/>
      <c r="L25" s="1"/>
      <c r="M25" s="1"/>
      <c r="N25" s="1"/>
      <c r="O25" s="1"/>
      <c r="P25" s="1"/>
      <c r="Q25" s="1"/>
      <c r="U25" s="1"/>
      <c r="V25" s="1"/>
      <c r="W25" s="1"/>
      <c r="X25" s="1"/>
      <c r="Y25" s="1"/>
      <c r="Z25" s="1"/>
      <c r="AA25" s="1"/>
    </row>
    <row r="26" spans="1:27" x14ac:dyDescent="0.75">
      <c r="K26" s="1"/>
      <c r="L26" s="1"/>
      <c r="M26" s="1"/>
      <c r="N26" s="1"/>
      <c r="O26" s="1"/>
      <c r="P26" s="1"/>
      <c r="Q26" s="1"/>
      <c r="U26" s="1"/>
      <c r="V26" s="1"/>
      <c r="W26" s="1"/>
      <c r="X26" s="1"/>
      <c r="Y26" s="1"/>
      <c r="Z26" s="1"/>
      <c r="AA26" s="1"/>
    </row>
    <row r="27" spans="1:27" x14ac:dyDescent="0.75">
      <c r="K27" s="1"/>
      <c r="L27" s="1"/>
      <c r="M27" s="1"/>
      <c r="N27" s="1"/>
      <c r="O27" s="1"/>
      <c r="P27" s="1"/>
      <c r="Q27" s="1"/>
      <c r="U27" s="1"/>
      <c r="V27" s="1"/>
      <c r="W27" s="1"/>
      <c r="X27" s="1"/>
      <c r="Y27" s="1"/>
      <c r="Z27" s="1"/>
      <c r="AA27" s="1"/>
    </row>
    <row r="28" spans="1:27" x14ac:dyDescent="0.75">
      <c r="K28" s="1"/>
      <c r="L28" s="1"/>
      <c r="M28" s="1"/>
      <c r="N28" s="1"/>
      <c r="O28" s="1"/>
      <c r="P28" s="1"/>
      <c r="Q28" s="1"/>
      <c r="U28" s="1"/>
      <c r="V28" s="1"/>
      <c r="W28" s="1"/>
      <c r="X28" s="1"/>
      <c r="Y28" s="1"/>
      <c r="Z28" s="1"/>
      <c r="AA28" s="1"/>
    </row>
    <row r="29" spans="1:27" x14ac:dyDescent="0.75">
      <c r="K29" s="1"/>
      <c r="L29" s="1"/>
      <c r="M29" s="1"/>
      <c r="N29" s="1"/>
      <c r="O29" s="1"/>
      <c r="P29" s="1"/>
      <c r="Q29" s="1"/>
      <c r="U29" s="1"/>
      <c r="V29" s="1"/>
      <c r="W29" s="1"/>
      <c r="X29" s="1"/>
      <c r="Y29" s="1"/>
      <c r="Z29" s="1"/>
      <c r="AA29" s="1"/>
    </row>
    <row r="30" spans="1:27" x14ac:dyDescent="0.75">
      <c r="K30" s="1"/>
      <c r="L30" s="1"/>
      <c r="M30" s="1"/>
      <c r="N30" s="1"/>
      <c r="O30" s="1"/>
      <c r="P30" s="1"/>
      <c r="Q30" s="1"/>
      <c r="U30" s="1"/>
      <c r="V30" s="1"/>
      <c r="W30" s="1"/>
      <c r="X30" s="1"/>
      <c r="Y30" s="1"/>
      <c r="Z30" s="1"/>
      <c r="AA30" s="1"/>
    </row>
    <row r="31" spans="1:27" x14ac:dyDescent="0.75">
      <c r="K31" s="1"/>
      <c r="L31" s="1"/>
      <c r="M31" s="1"/>
      <c r="N31" s="1"/>
      <c r="O31" s="1"/>
      <c r="P31" s="1"/>
      <c r="Q31" s="1"/>
      <c r="U31" s="1"/>
      <c r="V31" s="1"/>
      <c r="W31" s="1"/>
      <c r="X31" s="1"/>
      <c r="Y31" s="1"/>
      <c r="Z31" s="1"/>
      <c r="AA31" s="1"/>
    </row>
    <row r="32" spans="1:27" x14ac:dyDescent="0.75">
      <c r="K32" s="1"/>
      <c r="L32" s="1"/>
      <c r="M32" s="1"/>
      <c r="N32" s="1"/>
      <c r="O32" s="1"/>
      <c r="P32" s="1"/>
      <c r="Q32" s="1"/>
    </row>
  </sheetData>
  <mergeCells count="2">
    <mergeCell ref="M3:O3"/>
    <mergeCell ref="C1:I1"/>
  </mergeCells>
  <conditionalFormatting sqref="K6:Q32">
    <cfRule type="expression" dxfId="17" priority="6">
      <formula>$Q6 &gt; 10000</formula>
    </cfRule>
  </conditionalFormatting>
  <conditionalFormatting sqref="U6:AA31">
    <cfRule type="expression" dxfId="16" priority="4">
      <formula>$Q6 &gt; 10000</formula>
    </cfRule>
  </conditionalFormatting>
  <conditionalFormatting sqref="K2">
    <cfRule type="expression" dxfId="15" priority="3">
      <formula>$Q2 &gt; 10000</formula>
    </cfRule>
  </conditionalFormatting>
  <conditionalFormatting sqref="A7">
    <cfRule type="expression" dxfId="14" priority="1">
      <formula>AND($A$1 = "Entire US", $A$2 = "Max_Build")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0A1996DF-32EB-4FF6-8EA2-A578BF51D2A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6B7B-C308-4369-B725-05C64C64DE0D}">
  <sheetPr codeName="Sheet5"/>
  <dimension ref="A1:I14"/>
  <sheetViews>
    <sheetView workbookViewId="0">
      <selection activeCell="B5" sqref="B5"/>
    </sheetView>
  </sheetViews>
  <sheetFormatPr defaultRowHeight="14.75" x14ac:dyDescent="0.75"/>
  <cols>
    <col min="1" max="1" width="16.40625" customWidth="1"/>
    <col min="2" max="2" width="9.6796875" bestFit="1" customWidth="1"/>
    <col min="3" max="3" width="9" bestFit="1" customWidth="1"/>
    <col min="4" max="4" width="9.6796875" bestFit="1" customWidth="1"/>
    <col min="5" max="6" width="9" bestFit="1" customWidth="1"/>
    <col min="7" max="7" width="24.6796875" customWidth="1"/>
    <col min="8" max="8" width="13.6796875" customWidth="1"/>
    <col min="9" max="9" width="11.58984375" customWidth="1"/>
  </cols>
  <sheetData>
    <row r="1" spans="1:9" ht="16" x14ac:dyDescent="0.75">
      <c r="A1" s="2" t="s">
        <v>35</v>
      </c>
      <c r="C1" s="14" t="str">
        <f>filename_</f>
        <v>Lib-Default_Default-CO2_5_9999.xlsm</v>
      </c>
      <c r="D1" s="13"/>
      <c r="E1" s="13"/>
      <c r="F1" s="13"/>
      <c r="G1" s="13"/>
      <c r="H1" s="13"/>
      <c r="I1" s="13"/>
    </row>
    <row r="2" spans="1:9" x14ac:dyDescent="0.75">
      <c r="A2" s="2"/>
    </row>
    <row r="4" spans="1:9" ht="14.65" customHeight="1" x14ac:dyDescent="0.75">
      <c r="A4" t="s">
        <v>19</v>
      </c>
      <c r="B4" s="5" t="b">
        <v>1</v>
      </c>
    </row>
    <row r="5" spans="1:9" x14ac:dyDescent="0.75">
      <c r="A5" t="s">
        <v>20</v>
      </c>
      <c r="B5" s="5" t="b">
        <v>0</v>
      </c>
    </row>
    <row r="6" spans="1:9" x14ac:dyDescent="0.75">
      <c r="A6" t="s">
        <v>21</v>
      </c>
      <c r="B6" s="5" t="b">
        <v>0</v>
      </c>
    </row>
    <row r="7" spans="1:9" x14ac:dyDescent="0.75">
      <c r="A7" t="s">
        <v>22</v>
      </c>
      <c r="B7" s="5" t="b">
        <v>0</v>
      </c>
    </row>
    <row r="9" spans="1:9" x14ac:dyDescent="0.75">
      <c r="A9" t="s">
        <v>23</v>
      </c>
      <c r="B9" s="5" t="b">
        <v>1</v>
      </c>
    </row>
    <row r="10" spans="1:9" x14ac:dyDescent="0.75">
      <c r="A10" t="s">
        <v>24</v>
      </c>
      <c r="B10" s="5" t="b">
        <v>1</v>
      </c>
    </row>
    <row r="11" spans="1:9" x14ac:dyDescent="0.75">
      <c r="A11" t="s">
        <v>25</v>
      </c>
      <c r="B11" s="5" t="b">
        <v>1</v>
      </c>
    </row>
    <row r="12" spans="1:9" x14ac:dyDescent="0.75">
      <c r="A12" t="s">
        <v>26</v>
      </c>
      <c r="B12" s="5" t="b">
        <v>1</v>
      </c>
    </row>
    <row r="13" spans="1:9" x14ac:dyDescent="0.75">
      <c r="A13" t="s">
        <v>27</v>
      </c>
      <c r="B13" s="5" t="b">
        <v>0</v>
      </c>
    </row>
    <row r="14" spans="1:9" x14ac:dyDescent="0.75">
      <c r="A14" t="s">
        <v>28</v>
      </c>
      <c r="B14" s="5" t="b">
        <v>0</v>
      </c>
    </row>
  </sheetData>
  <mergeCells count="1">
    <mergeCell ref="C1:I1"/>
  </mergeCells>
  <dataValidations count="2">
    <dataValidation type="list" allowBlank="1" showInputMessage="1" showErrorMessage="1" sqref="A2" xr:uid="{88D65C1F-558A-4663-B549-55B891711BDC}">
      <formula1>Params</formula1>
    </dataValidation>
    <dataValidation type="list" allowBlank="1" showInputMessage="1" showErrorMessage="1" sqref="A1" xr:uid="{9B2D7ED1-ACDA-4A30-BA11-83BCB4C78E8D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B596B-EAFE-46CC-AAF2-8D442DE90080}">
  <sheetPr codeName="Sheet6"/>
  <dimension ref="A1:I19"/>
  <sheetViews>
    <sheetView workbookViewId="0">
      <selection activeCell="A19" sqref="A19"/>
    </sheetView>
  </sheetViews>
  <sheetFormatPr defaultRowHeight="14.75" x14ac:dyDescent="0.75"/>
  <cols>
    <col min="1" max="1" width="16.40625" customWidth="1"/>
    <col min="2" max="2" width="9.6796875" bestFit="1" customWidth="1"/>
    <col min="3" max="3" width="9" bestFit="1" customWidth="1"/>
    <col min="4" max="4" width="9.6796875" bestFit="1" customWidth="1"/>
    <col min="5" max="6" width="9" bestFit="1" customWidth="1"/>
    <col min="7" max="7" width="24.6796875" customWidth="1"/>
    <col min="8" max="8" width="13.6796875" customWidth="1"/>
    <col min="9" max="9" width="11.58984375" customWidth="1"/>
  </cols>
  <sheetData>
    <row r="1" spans="1:9" ht="16" x14ac:dyDescent="0.75">
      <c r="A1" s="2" t="s">
        <v>35</v>
      </c>
      <c r="C1" s="14" t="str">
        <f>filename_</f>
        <v>Lib-Default_Default-CO2_5_9999.xlsm</v>
      </c>
      <c r="D1" s="13"/>
      <c r="E1" s="13"/>
      <c r="F1" s="13"/>
      <c r="G1" s="13"/>
      <c r="H1" s="13"/>
      <c r="I1" s="13"/>
    </row>
    <row r="2" spans="1:9" x14ac:dyDescent="0.75">
      <c r="A2" s="2" t="s">
        <v>7</v>
      </c>
    </row>
    <row r="4" spans="1:9" ht="14.65" customHeight="1" x14ac:dyDescent="0.75">
      <c r="A4" t="s">
        <v>19</v>
      </c>
      <c r="B4" s="5" t="b">
        <v>1</v>
      </c>
    </row>
    <row r="5" spans="1:9" x14ac:dyDescent="0.75">
      <c r="A5" t="s">
        <v>20</v>
      </c>
      <c r="B5" s="5" t="b">
        <v>1</v>
      </c>
    </row>
    <row r="6" spans="1:9" x14ac:dyDescent="0.75">
      <c r="A6" t="s">
        <v>21</v>
      </c>
      <c r="B6" s="5" t="b">
        <v>1</v>
      </c>
    </row>
    <row r="7" spans="1:9" x14ac:dyDescent="0.75">
      <c r="A7" t="s">
        <v>22</v>
      </c>
      <c r="B7" s="5" t="b">
        <v>1</v>
      </c>
    </row>
    <row r="9" spans="1:9" x14ac:dyDescent="0.75">
      <c r="A9" t="s">
        <v>23</v>
      </c>
      <c r="B9" s="5" t="b">
        <v>0</v>
      </c>
    </row>
    <row r="10" spans="1:9" x14ac:dyDescent="0.75">
      <c r="A10" t="s">
        <v>24</v>
      </c>
      <c r="B10" s="5" t="b">
        <v>0</v>
      </c>
    </row>
    <row r="11" spans="1:9" x14ac:dyDescent="0.75">
      <c r="A11" t="s">
        <v>25</v>
      </c>
      <c r="B11" s="5" t="b">
        <v>1</v>
      </c>
    </row>
    <row r="12" spans="1:9" x14ac:dyDescent="0.75">
      <c r="A12" t="s">
        <v>26</v>
      </c>
      <c r="B12" s="5" t="b">
        <v>0</v>
      </c>
    </row>
    <row r="13" spans="1:9" x14ac:dyDescent="0.75">
      <c r="A13" t="s">
        <v>27</v>
      </c>
      <c r="B13" s="5" t="b">
        <v>0</v>
      </c>
    </row>
    <row r="14" spans="1:9" x14ac:dyDescent="0.75">
      <c r="A14" t="s">
        <v>28</v>
      </c>
      <c r="B14" s="5" t="b">
        <v>0</v>
      </c>
    </row>
    <row r="16" spans="1:9" x14ac:dyDescent="0.75">
      <c r="A16">
        <f>Include_Solar+Include_Wind+Include_Nuclear+Gas_Cost+Coal_Cost+Battery_Cost</f>
        <v>1</v>
      </c>
    </row>
    <row r="19" spans="1:4" ht="21" x14ac:dyDescent="1">
      <c r="A19" s="11" t="s">
        <v>34</v>
      </c>
      <c r="B19" s="11"/>
      <c r="C19" s="11"/>
      <c r="D19" s="11"/>
    </row>
  </sheetData>
  <mergeCells count="1">
    <mergeCell ref="C1:I1"/>
  </mergeCells>
  <conditionalFormatting sqref="A19">
    <cfRule type="expression" dxfId="13" priority="1">
      <formula>$A$16&lt;2</formula>
    </cfRule>
  </conditionalFormatting>
  <dataValidations count="2">
    <dataValidation type="list" allowBlank="1" showInputMessage="1" showErrorMessage="1" sqref="A2" xr:uid="{A0363F04-5525-4274-BFC8-C2E6471A32CF}">
      <formula1>Params</formula1>
    </dataValidation>
    <dataValidation type="list" allowBlank="1" showInputMessage="1" showErrorMessage="1" sqref="A1" xr:uid="{0E1FCDA6-7F7D-41DF-A7E2-292CF0F7BAD2}">
      <formula1>Regions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EDE5-8FEE-47AB-9518-62B7C472B416}">
  <sheetPr codeName="Sheet2"/>
  <dimension ref="A2:R39"/>
  <sheetViews>
    <sheetView tabSelected="1" topLeftCell="C16" workbookViewId="0">
      <selection activeCell="L13" sqref="L13:Q39"/>
    </sheetView>
  </sheetViews>
  <sheetFormatPr defaultRowHeight="14.75" x14ac:dyDescent="0.75"/>
  <cols>
    <col min="1" max="1" width="11.58984375" customWidth="1"/>
    <col min="2" max="2" width="10.81640625" bestFit="1" customWidth="1"/>
    <col min="3" max="9" width="12.6796875" customWidth="1"/>
    <col min="10" max="10" width="10.6796875" style="8" bestFit="1" customWidth="1"/>
    <col min="11" max="11" width="3.1328125" customWidth="1"/>
  </cols>
  <sheetData>
    <row r="2" spans="1:18" x14ac:dyDescent="0.75">
      <c r="C2" s="4"/>
    </row>
    <row r="3" spans="1:18" x14ac:dyDescent="0.75">
      <c r="B3" t="s">
        <v>10</v>
      </c>
      <c r="C3" t="e">
        <f>VLOOKUP(Region, Region_lookup,2,FALSE)</f>
        <v>#REF!</v>
      </c>
      <c r="E3" s="13" t="str">
        <f>Graph!$A$1 &amp; " - " &amp; Graph!$A$2</f>
        <v>Entire US - CO2_Mtons</v>
      </c>
      <c r="F3" s="13"/>
      <c r="G3" s="13"/>
    </row>
    <row r="4" spans="1:18" x14ac:dyDescent="0.75">
      <c r="B4" t="s">
        <v>11</v>
      </c>
      <c r="C4" t="e">
        <f>VLOOKUP(Parameter,Param_Table,4,FALSE)</f>
        <v>#REF!</v>
      </c>
    </row>
    <row r="5" spans="1:18" x14ac:dyDescent="0.75">
      <c r="B5" t="s">
        <v>17</v>
      </c>
      <c r="C5" t="e">
        <f>VLOOKUP(Parameter,Param_Table,2,FALSE)</f>
        <v>#REF!</v>
      </c>
    </row>
    <row r="6" spans="1:18" x14ac:dyDescent="0.75">
      <c r="B6" t="str">
        <f>Parameter</f>
        <v>CO2_Mtons</v>
      </c>
    </row>
    <row r="11" spans="1:18" x14ac:dyDescent="0.75">
      <c r="A11" t="s">
        <v>18</v>
      </c>
      <c r="B11" t="s">
        <v>8</v>
      </c>
      <c r="C11" t="e">
        <f t="shared" ref="C11:H11" si="0">VLOOKUP(C$12,NRG_Table,2,FALSE)</f>
        <v>#REF!</v>
      </c>
      <c r="D11" t="e">
        <f t="shared" si="0"/>
        <v>#REF!</v>
      </c>
      <c r="E11" t="e">
        <f t="shared" si="0"/>
        <v>#REF!</v>
      </c>
      <c r="F11" t="e">
        <f t="shared" si="0"/>
        <v>#REF!</v>
      </c>
      <c r="G11" t="e">
        <f t="shared" si="0"/>
        <v>#REF!</v>
      </c>
      <c r="H11" t="e">
        <f t="shared" si="0"/>
        <v>#REF!</v>
      </c>
      <c r="L11" s="6" t="s">
        <v>16</v>
      </c>
    </row>
    <row r="12" spans="1:18" x14ac:dyDescent="0.75">
      <c r="A12">
        <v>2023</v>
      </c>
      <c r="B12">
        <v>-1</v>
      </c>
      <c r="C12" t="s">
        <v>0</v>
      </c>
      <c r="D12" t="s">
        <v>1</v>
      </c>
      <c r="E12" t="s">
        <v>2</v>
      </c>
      <c r="F12" t="s">
        <v>3</v>
      </c>
      <c r="G12" t="s">
        <v>4</v>
      </c>
      <c r="H12" t="s">
        <v>9</v>
      </c>
      <c r="I12" t="s">
        <v>5</v>
      </c>
      <c r="J12" s="8">
        <f>2023</f>
        <v>2023</v>
      </c>
      <c r="K12">
        <v>0</v>
      </c>
      <c r="L12" t="s">
        <v>0</v>
      </c>
      <c r="M12" t="s">
        <v>1</v>
      </c>
      <c r="N12" t="s">
        <v>2</v>
      </c>
      <c r="O12" t="s">
        <v>3</v>
      </c>
      <c r="P12" t="s">
        <v>4</v>
      </c>
      <c r="Q12" t="s">
        <v>9</v>
      </c>
      <c r="R12" t="s">
        <v>5</v>
      </c>
    </row>
    <row r="13" spans="1:18" x14ac:dyDescent="0.75">
      <c r="A13">
        <f>A12+1</f>
        <v>2024</v>
      </c>
      <c r="B13">
        <f>B12+1</f>
        <v>0</v>
      </c>
      <c r="C13" s="7" t="e" cm="1">
        <f t="array" aca="1" ref="C13" ca="1" xml:space="preserve"> IF(AND(Parameter = "Max_Build",$B13 = 0),NA(),Mult *
 OFFSET(INDIRECT(Region_abbr &amp; "!A1"), Param_offset + C$11,$B13+1))</f>
        <v>#REF!</v>
      </c>
      <c r="D13" s="7" t="e" cm="1">
        <f t="array" aca="1" ref="D13" ca="1" xml:space="preserve"> IF(AND(Parameter = "Max_Build",$B13 = 0),NA(),Mult *
 OFFSET(INDIRECT(Region_abbr &amp; "!A1"), Param_offset + D$11,$B13+1))</f>
        <v>#REF!</v>
      </c>
      <c r="E13" s="7" t="e" cm="1">
        <f t="array" aca="1" ref="E13" ca="1" xml:space="preserve"> IF(AND(Parameter = "Max_Build",$B13 = 0),NA(),Mult *
 OFFSET(INDIRECT(Region_abbr &amp; "!A1"), Param_offset + E$11,$B13+1))</f>
        <v>#REF!</v>
      </c>
      <c r="F13" s="7" t="e" cm="1">
        <f t="array" aca="1" ref="F13" ca="1" xml:space="preserve"> IF(AND(Parameter = "Max_Build",$B13 = 0),NA(),Mult *
 OFFSET(INDIRECT(Region_abbr &amp; "!A1"), Param_offset + F$11,$B13+1))</f>
        <v>#REF!</v>
      </c>
      <c r="G13" s="7" t="e" cm="1">
        <f t="array" aca="1" ref="G13" ca="1" xml:space="preserve"> IF(AND(Parameter = "Max_Build",$B13 = 0),NA(),Mult *
 OFFSET(INDIRECT(Region_abbr &amp; "!A1"), Param_offset + G$11,$B13+1))</f>
        <v>#REF!</v>
      </c>
      <c r="H13" s="7" t="e" cm="1">
        <f t="array" aca="1" ref="H13" ca="1" xml:space="preserve"> IF(AND(Parameter = "Max_Build",$B13 = 0),NA(),Mult *
 OFFSET(INDIRECT(Region_abbr &amp; "!A1"), Param_offset + H$11,$B13+1))</f>
        <v>#REF!</v>
      </c>
      <c r="I13" s="1" t="e">
        <f ca="1">SUM(C13:H13)</f>
        <v>#REF!</v>
      </c>
      <c r="J13" s="8">
        <f>J12+1</f>
        <v>2024</v>
      </c>
      <c r="K13">
        <f>K12+1</f>
        <v>1</v>
      </c>
      <c r="L13" s="1" t="e">
        <f ca="1">C14-C13</f>
        <v>#REF!</v>
      </c>
      <c r="M13" s="1" t="e">
        <f t="shared" ref="M13:Q13" ca="1" si="1">D14-D13</f>
        <v>#REF!</v>
      </c>
      <c r="N13" s="1" t="e">
        <f t="shared" ca="1" si="1"/>
        <v>#REF!</v>
      </c>
      <c r="O13" s="1" t="e">
        <f t="shared" ca="1" si="1"/>
        <v>#REF!</v>
      </c>
      <c r="P13" s="1" t="e">
        <f t="shared" ca="1" si="1"/>
        <v>#REF!</v>
      </c>
      <c r="Q13" s="1" t="e">
        <f t="shared" ca="1" si="1"/>
        <v>#REF!</v>
      </c>
      <c r="R13" s="1" t="e">
        <f t="shared" ref="L13:R13" ca="1" si="2">IF(Parameter = "Max_Build",NA(),I14-I13)</f>
        <v>#REF!</v>
      </c>
    </row>
    <row r="14" spans="1:18" x14ac:dyDescent="0.75">
      <c r="A14">
        <f t="shared" ref="A14:A39" si="3">A13+1</f>
        <v>2025</v>
      </c>
      <c r="B14">
        <f t="shared" ref="B14:B39" si="4">B13+1</f>
        <v>1</v>
      </c>
      <c r="C14" s="7" t="e" cm="1">
        <f t="array" aca="1" ref="C14" ca="1" xml:space="preserve"> IF(AND(Parameter = "Max_Build",$B14 = 0),NA(),Mult *
 OFFSET(INDIRECT(Region_abbr &amp; "!A1"), Param_offset + C$11,$B14+1))</f>
        <v>#REF!</v>
      </c>
      <c r="D14" s="7" t="e" cm="1">
        <f t="array" aca="1" ref="D14" ca="1" xml:space="preserve"> IF(AND(Parameter = "Max_Build",$B14 = 0),NA(),Mult *
 OFFSET(INDIRECT(Region_abbr &amp; "!A1"), Param_offset + D$11,$B14+1))</f>
        <v>#REF!</v>
      </c>
      <c r="E14" s="7" t="e" cm="1">
        <f t="array" aca="1" ref="E14" ca="1" xml:space="preserve"> IF(AND(Parameter = "Max_Build",$B14 = 0),NA(),Mult *
 OFFSET(INDIRECT(Region_abbr &amp; "!A1"), Param_offset + E$11,$B14+1))</f>
        <v>#REF!</v>
      </c>
      <c r="F14" s="7" t="e" cm="1">
        <f t="array" aca="1" ref="F14" ca="1" xml:space="preserve"> IF(AND(Parameter = "Max_Build",$B14 = 0),NA(),Mult *
 OFFSET(INDIRECT(Region_abbr &amp; "!A1"), Param_offset + F$11,$B14+1))</f>
        <v>#REF!</v>
      </c>
      <c r="G14" s="7" t="e" cm="1">
        <f t="array" aca="1" ref="G14" ca="1" xml:space="preserve"> IF(AND(Parameter = "Max_Build",$B14 = 0),NA(),Mult *
 OFFSET(INDIRECT(Region_abbr &amp; "!A1"), Param_offset + G$11,$B14+1))</f>
        <v>#REF!</v>
      </c>
      <c r="H14" s="7" t="e" cm="1">
        <f t="array" aca="1" ref="H14" ca="1" xml:space="preserve"> IF(AND(Parameter = "Max_Build",$B14 = 0),NA(),Mult *
 OFFSET(INDIRECT(Region_abbr &amp; "!A1"), Param_offset + H$11,$B14+1))</f>
        <v>#REF!</v>
      </c>
      <c r="I14" s="1" t="e">
        <f t="shared" ref="I14:I39" ca="1" si="5">SUM(C14:H14)</f>
        <v>#REF!</v>
      </c>
      <c r="J14" s="8">
        <f t="shared" ref="J14:J38" si="6">J13+1</f>
        <v>2025</v>
      </c>
      <c r="K14">
        <f t="shared" ref="K14:K38" si="7">K13+1</f>
        <v>2</v>
      </c>
      <c r="L14" s="1" t="e">
        <f t="shared" ref="L14:L39" ca="1" si="8">C15-C14</f>
        <v>#REF!</v>
      </c>
      <c r="M14" s="1" t="e">
        <f t="shared" ref="M14:M39" ca="1" si="9">D15-D14</f>
        <v>#REF!</v>
      </c>
      <c r="N14" s="1" t="e">
        <f t="shared" ref="N14:N39" ca="1" si="10">E15-E14</f>
        <v>#REF!</v>
      </c>
      <c r="O14" s="1" t="e">
        <f t="shared" ref="O14:O39" ca="1" si="11">F15-F14</f>
        <v>#REF!</v>
      </c>
      <c r="P14" s="1" t="e">
        <f t="shared" ref="P14:P39" ca="1" si="12">G15-G14</f>
        <v>#REF!</v>
      </c>
      <c r="Q14" s="1" t="e">
        <f t="shared" ref="Q14:Q39" ca="1" si="13">H15-H14</f>
        <v>#REF!</v>
      </c>
      <c r="R14" s="1" t="e">
        <f t="shared" ref="R14:R38" ca="1" si="14">I15-I14</f>
        <v>#REF!</v>
      </c>
    </row>
    <row r="15" spans="1:18" x14ac:dyDescent="0.75">
      <c r="A15">
        <f t="shared" si="3"/>
        <v>2026</v>
      </c>
      <c r="B15">
        <f t="shared" si="4"/>
        <v>2</v>
      </c>
      <c r="C15" s="7" t="e" cm="1">
        <f t="array" aca="1" ref="C15" ca="1" xml:space="preserve"> IF(AND(Parameter = "Max_Build",$B15 = 0),NA(),Mult *
 OFFSET(INDIRECT(Region_abbr &amp; "!A1"), Param_offset + C$11,$B15+1))</f>
        <v>#REF!</v>
      </c>
      <c r="D15" s="7" t="e" cm="1">
        <f t="array" aca="1" ref="D15" ca="1" xml:space="preserve"> IF(AND(Parameter = "Max_Build",$B15 = 0),NA(),Mult *
 OFFSET(INDIRECT(Region_abbr &amp; "!A1"), Param_offset + D$11,$B15+1))</f>
        <v>#REF!</v>
      </c>
      <c r="E15" s="7" t="e" cm="1">
        <f t="array" aca="1" ref="E15" ca="1" xml:space="preserve"> IF(AND(Parameter = "Max_Build",$B15 = 0),NA(),Mult *
 OFFSET(INDIRECT(Region_abbr &amp; "!A1"), Param_offset + E$11,$B15+1))</f>
        <v>#REF!</v>
      </c>
      <c r="F15" s="7" t="e" cm="1">
        <f t="array" aca="1" ref="F15" ca="1" xml:space="preserve"> IF(AND(Parameter = "Max_Build",$B15 = 0),NA(),Mult *
 OFFSET(INDIRECT(Region_abbr &amp; "!A1"), Param_offset + F$11,$B15+1))</f>
        <v>#REF!</v>
      </c>
      <c r="G15" s="7" t="e" cm="1">
        <f t="array" aca="1" ref="G15" ca="1" xml:space="preserve"> IF(AND(Parameter = "Max_Build",$B15 = 0),NA(),Mult *
 OFFSET(INDIRECT(Region_abbr &amp; "!A1"), Param_offset + G$11,$B15+1))</f>
        <v>#REF!</v>
      </c>
      <c r="H15" s="7" t="e" cm="1">
        <f t="array" aca="1" ref="H15" ca="1" xml:space="preserve"> IF(AND(Parameter = "Max_Build",$B15 = 0),NA(),Mult *
 OFFSET(INDIRECT(Region_abbr &amp; "!A1"), Param_offset + H$11,$B15+1))</f>
        <v>#REF!</v>
      </c>
      <c r="I15" s="1" t="e">
        <f t="shared" ca="1" si="5"/>
        <v>#REF!</v>
      </c>
      <c r="J15" s="8">
        <f t="shared" si="6"/>
        <v>2026</v>
      </c>
      <c r="K15">
        <f t="shared" si="7"/>
        <v>3</v>
      </c>
      <c r="L15" s="1" t="e">
        <f t="shared" ca="1" si="8"/>
        <v>#REF!</v>
      </c>
      <c r="M15" s="1" t="e">
        <f t="shared" ca="1" si="9"/>
        <v>#REF!</v>
      </c>
      <c r="N15" s="1" t="e">
        <f t="shared" ca="1" si="10"/>
        <v>#REF!</v>
      </c>
      <c r="O15" s="1" t="e">
        <f t="shared" ca="1" si="11"/>
        <v>#REF!</v>
      </c>
      <c r="P15" s="1" t="e">
        <f t="shared" ca="1" si="12"/>
        <v>#REF!</v>
      </c>
      <c r="Q15" s="1" t="e">
        <f t="shared" ca="1" si="13"/>
        <v>#REF!</v>
      </c>
      <c r="R15" s="1" t="e">
        <f t="shared" ca="1" si="14"/>
        <v>#REF!</v>
      </c>
    </row>
    <row r="16" spans="1:18" x14ac:dyDescent="0.75">
      <c r="A16">
        <f t="shared" si="3"/>
        <v>2027</v>
      </c>
      <c r="B16">
        <f t="shared" si="4"/>
        <v>3</v>
      </c>
      <c r="C16" s="7" t="e" cm="1">
        <f t="array" aca="1" ref="C16" ca="1" xml:space="preserve"> IF(AND(Parameter = "Max_Build",$B16 = 0),NA(),Mult *
 OFFSET(INDIRECT(Region_abbr &amp; "!A1"), Param_offset + C$11,$B16+1))</f>
        <v>#REF!</v>
      </c>
      <c r="D16" s="7" t="e" cm="1">
        <f t="array" aca="1" ref="D16" ca="1" xml:space="preserve"> IF(AND(Parameter = "Max_Build",$B16 = 0),NA(),Mult *
 OFFSET(INDIRECT(Region_abbr &amp; "!A1"), Param_offset + D$11,$B16+1))</f>
        <v>#REF!</v>
      </c>
      <c r="E16" s="7" t="e" cm="1">
        <f t="array" aca="1" ref="E16" ca="1" xml:space="preserve"> IF(AND(Parameter = "Max_Build",$B16 = 0),NA(),Mult *
 OFFSET(INDIRECT(Region_abbr &amp; "!A1"), Param_offset + E$11,$B16+1))</f>
        <v>#REF!</v>
      </c>
      <c r="F16" s="7" t="e" cm="1">
        <f t="array" aca="1" ref="F16" ca="1" xml:space="preserve"> IF(AND(Parameter = "Max_Build",$B16 = 0),NA(),Mult *
 OFFSET(INDIRECT(Region_abbr &amp; "!A1"), Param_offset + F$11,$B16+1))</f>
        <v>#REF!</v>
      </c>
      <c r="G16" s="7" t="e" cm="1">
        <f t="array" aca="1" ref="G16" ca="1" xml:space="preserve"> IF(AND(Parameter = "Max_Build",$B16 = 0),NA(),Mult *
 OFFSET(INDIRECT(Region_abbr &amp; "!A1"), Param_offset + G$11,$B16+1))</f>
        <v>#REF!</v>
      </c>
      <c r="H16" s="7" t="e" cm="1">
        <f t="array" aca="1" ref="H16" ca="1" xml:space="preserve"> IF(AND(Parameter = "Max_Build",$B16 = 0),NA(),Mult *
 OFFSET(INDIRECT(Region_abbr &amp; "!A1"), Param_offset + H$11,$B16+1))</f>
        <v>#REF!</v>
      </c>
      <c r="I16" s="1" t="e">
        <f t="shared" ca="1" si="5"/>
        <v>#REF!</v>
      </c>
      <c r="J16" s="8">
        <f t="shared" si="6"/>
        <v>2027</v>
      </c>
      <c r="K16">
        <f t="shared" si="7"/>
        <v>4</v>
      </c>
      <c r="L16" s="1" t="e">
        <f t="shared" ca="1" si="8"/>
        <v>#REF!</v>
      </c>
      <c r="M16" s="1" t="e">
        <f t="shared" ca="1" si="9"/>
        <v>#REF!</v>
      </c>
      <c r="N16" s="1" t="e">
        <f t="shared" ca="1" si="10"/>
        <v>#REF!</v>
      </c>
      <c r="O16" s="1" t="e">
        <f t="shared" ca="1" si="11"/>
        <v>#REF!</v>
      </c>
      <c r="P16" s="1" t="e">
        <f t="shared" ca="1" si="12"/>
        <v>#REF!</v>
      </c>
      <c r="Q16" s="1" t="e">
        <f t="shared" ca="1" si="13"/>
        <v>#REF!</v>
      </c>
      <c r="R16" s="1" t="e">
        <f t="shared" ca="1" si="14"/>
        <v>#REF!</v>
      </c>
    </row>
    <row r="17" spans="1:18" x14ac:dyDescent="0.75">
      <c r="A17">
        <f t="shared" si="3"/>
        <v>2028</v>
      </c>
      <c r="B17">
        <f t="shared" si="4"/>
        <v>4</v>
      </c>
      <c r="C17" s="7" t="e" cm="1">
        <f t="array" aca="1" ref="C17" ca="1" xml:space="preserve"> IF(AND(Parameter = "Max_Build",$B17 = 0),NA(),Mult *
 OFFSET(INDIRECT(Region_abbr &amp; "!A1"), Param_offset + C$11,$B17+1))</f>
        <v>#REF!</v>
      </c>
      <c r="D17" s="7" t="e" cm="1">
        <f t="array" aca="1" ref="D17" ca="1" xml:space="preserve"> IF(AND(Parameter = "Max_Build",$B17 = 0),NA(),Mult *
 OFFSET(INDIRECT(Region_abbr &amp; "!A1"), Param_offset + D$11,$B17+1))</f>
        <v>#REF!</v>
      </c>
      <c r="E17" s="7" t="e" cm="1">
        <f t="array" aca="1" ref="E17" ca="1" xml:space="preserve"> IF(AND(Parameter = "Max_Build",$B17 = 0),NA(),Mult *
 OFFSET(INDIRECT(Region_abbr &amp; "!A1"), Param_offset + E$11,$B17+1))</f>
        <v>#REF!</v>
      </c>
      <c r="F17" s="7" t="e" cm="1">
        <f t="array" aca="1" ref="F17" ca="1" xml:space="preserve"> IF(AND(Parameter = "Max_Build",$B17 = 0),NA(),Mult *
 OFFSET(INDIRECT(Region_abbr &amp; "!A1"), Param_offset + F$11,$B17+1))</f>
        <v>#REF!</v>
      </c>
      <c r="G17" s="7" t="e" cm="1">
        <f t="array" aca="1" ref="G17" ca="1" xml:space="preserve"> IF(AND(Parameter = "Max_Build",$B17 = 0),NA(),Mult *
 OFFSET(INDIRECT(Region_abbr &amp; "!A1"), Param_offset + G$11,$B17+1))</f>
        <v>#REF!</v>
      </c>
      <c r="H17" s="7" t="e" cm="1">
        <f t="array" aca="1" ref="H17" ca="1" xml:space="preserve"> IF(AND(Parameter = "Max_Build",$B17 = 0),NA(),Mult *
 OFFSET(INDIRECT(Region_abbr &amp; "!A1"), Param_offset + H$11,$B17+1))</f>
        <v>#REF!</v>
      </c>
      <c r="I17" s="1" t="e">
        <f t="shared" ca="1" si="5"/>
        <v>#REF!</v>
      </c>
      <c r="J17" s="8">
        <f t="shared" si="6"/>
        <v>2028</v>
      </c>
      <c r="K17">
        <f t="shared" si="7"/>
        <v>5</v>
      </c>
      <c r="L17" s="1" t="e">
        <f t="shared" ca="1" si="8"/>
        <v>#REF!</v>
      </c>
      <c r="M17" s="1" t="e">
        <f t="shared" ca="1" si="9"/>
        <v>#REF!</v>
      </c>
      <c r="N17" s="1" t="e">
        <f t="shared" ca="1" si="10"/>
        <v>#REF!</v>
      </c>
      <c r="O17" s="1" t="e">
        <f t="shared" ca="1" si="11"/>
        <v>#REF!</v>
      </c>
      <c r="P17" s="1" t="e">
        <f t="shared" ca="1" si="12"/>
        <v>#REF!</v>
      </c>
      <c r="Q17" s="1" t="e">
        <f t="shared" ca="1" si="13"/>
        <v>#REF!</v>
      </c>
      <c r="R17" s="1" t="e">
        <f t="shared" ca="1" si="14"/>
        <v>#REF!</v>
      </c>
    </row>
    <row r="18" spans="1:18" x14ac:dyDescent="0.75">
      <c r="A18">
        <f t="shared" si="3"/>
        <v>2029</v>
      </c>
      <c r="B18">
        <f t="shared" si="4"/>
        <v>5</v>
      </c>
      <c r="C18" s="7" t="e" cm="1">
        <f t="array" aca="1" ref="C18" ca="1" xml:space="preserve"> IF(AND(Parameter = "Max_Build",$B18 = 0),NA(),Mult *
 OFFSET(INDIRECT(Region_abbr &amp; "!A1"), Param_offset + C$11,$B18+1))</f>
        <v>#REF!</v>
      </c>
      <c r="D18" s="7" t="e" cm="1">
        <f t="array" aca="1" ref="D18" ca="1" xml:space="preserve"> IF(AND(Parameter = "Max_Build",$B18 = 0),NA(),Mult *
 OFFSET(INDIRECT(Region_abbr &amp; "!A1"), Param_offset + D$11,$B18+1))</f>
        <v>#REF!</v>
      </c>
      <c r="E18" s="7" t="e" cm="1">
        <f t="array" aca="1" ref="E18" ca="1" xml:space="preserve"> IF(AND(Parameter = "Max_Build",$B18 = 0),NA(),Mult *
 OFFSET(INDIRECT(Region_abbr &amp; "!A1"), Param_offset + E$11,$B18+1))</f>
        <v>#REF!</v>
      </c>
      <c r="F18" s="7" t="e" cm="1">
        <f t="array" aca="1" ref="F18" ca="1" xml:space="preserve"> IF(AND(Parameter = "Max_Build",$B18 = 0),NA(),Mult *
 OFFSET(INDIRECT(Region_abbr &amp; "!A1"), Param_offset + F$11,$B18+1))</f>
        <v>#REF!</v>
      </c>
      <c r="G18" s="7" t="e" cm="1">
        <f t="array" aca="1" ref="G18" ca="1" xml:space="preserve"> IF(AND(Parameter = "Max_Build",$B18 = 0),NA(),Mult *
 OFFSET(INDIRECT(Region_abbr &amp; "!A1"), Param_offset + G$11,$B18+1))</f>
        <v>#REF!</v>
      </c>
      <c r="H18" s="7" t="e" cm="1">
        <f t="array" aca="1" ref="H18" ca="1" xml:space="preserve"> IF(AND(Parameter = "Max_Build",$B18 = 0),NA(),Mult *
 OFFSET(INDIRECT(Region_abbr &amp; "!A1"), Param_offset + H$11,$B18+1))</f>
        <v>#REF!</v>
      </c>
      <c r="I18" s="1" t="e">
        <f t="shared" ca="1" si="5"/>
        <v>#REF!</v>
      </c>
      <c r="J18" s="8">
        <f t="shared" si="6"/>
        <v>2029</v>
      </c>
      <c r="K18">
        <f t="shared" si="7"/>
        <v>6</v>
      </c>
      <c r="L18" s="1" t="e">
        <f t="shared" ca="1" si="8"/>
        <v>#REF!</v>
      </c>
      <c r="M18" s="1" t="e">
        <f t="shared" ca="1" si="9"/>
        <v>#REF!</v>
      </c>
      <c r="N18" s="1" t="e">
        <f t="shared" ca="1" si="10"/>
        <v>#REF!</v>
      </c>
      <c r="O18" s="1" t="e">
        <f t="shared" ca="1" si="11"/>
        <v>#REF!</v>
      </c>
      <c r="P18" s="1" t="e">
        <f t="shared" ca="1" si="12"/>
        <v>#REF!</v>
      </c>
      <c r="Q18" s="1" t="e">
        <f t="shared" ca="1" si="13"/>
        <v>#REF!</v>
      </c>
      <c r="R18" s="1" t="e">
        <f t="shared" ca="1" si="14"/>
        <v>#REF!</v>
      </c>
    </row>
    <row r="19" spans="1:18" x14ac:dyDescent="0.75">
      <c r="A19">
        <f t="shared" si="3"/>
        <v>2030</v>
      </c>
      <c r="B19">
        <f t="shared" si="4"/>
        <v>6</v>
      </c>
      <c r="C19" s="7" t="e" cm="1">
        <f t="array" aca="1" ref="C19" ca="1" xml:space="preserve"> IF(AND(Parameter = "Max_Build",$B19 = 0),NA(),Mult *
 OFFSET(INDIRECT(Region_abbr &amp; "!A1"), Param_offset + C$11,$B19+1))</f>
        <v>#REF!</v>
      </c>
      <c r="D19" s="7" t="e" cm="1">
        <f t="array" aca="1" ref="D19" ca="1" xml:space="preserve"> IF(AND(Parameter = "Max_Build",$B19 = 0),NA(),Mult *
 OFFSET(INDIRECT(Region_abbr &amp; "!A1"), Param_offset + D$11,$B19+1))</f>
        <v>#REF!</v>
      </c>
      <c r="E19" s="7" t="e" cm="1">
        <f t="array" aca="1" ref="E19" ca="1" xml:space="preserve"> IF(AND(Parameter = "Max_Build",$B19 = 0),NA(),Mult *
 OFFSET(INDIRECT(Region_abbr &amp; "!A1"), Param_offset + E$11,$B19+1))</f>
        <v>#REF!</v>
      </c>
      <c r="F19" s="7" t="e" cm="1">
        <f t="array" aca="1" ref="F19" ca="1" xml:space="preserve"> IF(AND(Parameter = "Max_Build",$B19 = 0),NA(),Mult *
 OFFSET(INDIRECT(Region_abbr &amp; "!A1"), Param_offset + F$11,$B19+1))</f>
        <v>#REF!</v>
      </c>
      <c r="G19" s="7" t="e" cm="1">
        <f t="array" aca="1" ref="G19" ca="1" xml:space="preserve"> IF(AND(Parameter = "Max_Build",$B19 = 0),NA(),Mult *
 OFFSET(INDIRECT(Region_abbr &amp; "!A1"), Param_offset + G$11,$B19+1))</f>
        <v>#REF!</v>
      </c>
      <c r="H19" s="7" t="e" cm="1">
        <f t="array" aca="1" ref="H19" ca="1" xml:space="preserve"> IF(AND(Parameter = "Max_Build",$B19 = 0),NA(),Mult *
 OFFSET(INDIRECT(Region_abbr &amp; "!A1"), Param_offset + H$11,$B19+1))</f>
        <v>#REF!</v>
      </c>
      <c r="I19" s="1" t="e">
        <f t="shared" ca="1" si="5"/>
        <v>#REF!</v>
      </c>
      <c r="J19" s="8">
        <f t="shared" si="6"/>
        <v>2030</v>
      </c>
      <c r="K19">
        <f t="shared" si="7"/>
        <v>7</v>
      </c>
      <c r="L19" s="1" t="e">
        <f t="shared" ca="1" si="8"/>
        <v>#REF!</v>
      </c>
      <c r="M19" s="1" t="e">
        <f t="shared" ca="1" si="9"/>
        <v>#REF!</v>
      </c>
      <c r="N19" s="1" t="e">
        <f t="shared" ca="1" si="10"/>
        <v>#REF!</v>
      </c>
      <c r="O19" s="1" t="e">
        <f t="shared" ca="1" si="11"/>
        <v>#REF!</v>
      </c>
      <c r="P19" s="1" t="e">
        <f t="shared" ca="1" si="12"/>
        <v>#REF!</v>
      </c>
      <c r="Q19" s="1" t="e">
        <f t="shared" ca="1" si="13"/>
        <v>#REF!</v>
      </c>
      <c r="R19" s="1" t="e">
        <f t="shared" ca="1" si="14"/>
        <v>#REF!</v>
      </c>
    </row>
    <row r="20" spans="1:18" x14ac:dyDescent="0.75">
      <c r="A20">
        <f t="shared" si="3"/>
        <v>2031</v>
      </c>
      <c r="B20">
        <f t="shared" si="4"/>
        <v>7</v>
      </c>
      <c r="C20" s="7" t="e" cm="1">
        <f t="array" aca="1" ref="C20" ca="1" xml:space="preserve"> IF(AND(Parameter = "Max_Build",$B20 = 0),NA(),Mult *
 OFFSET(INDIRECT(Region_abbr &amp; "!A1"), Param_offset + C$11,$B20+1))</f>
        <v>#REF!</v>
      </c>
      <c r="D20" s="7" t="e" cm="1">
        <f t="array" aca="1" ref="D20" ca="1" xml:space="preserve"> IF(AND(Parameter = "Max_Build",$B20 = 0),NA(),Mult *
 OFFSET(INDIRECT(Region_abbr &amp; "!A1"), Param_offset + D$11,$B20+1))</f>
        <v>#REF!</v>
      </c>
      <c r="E20" s="7" t="e" cm="1">
        <f t="array" aca="1" ref="E20" ca="1" xml:space="preserve"> IF(AND(Parameter = "Max_Build",$B20 = 0),NA(),Mult *
 OFFSET(INDIRECT(Region_abbr &amp; "!A1"), Param_offset + E$11,$B20+1))</f>
        <v>#REF!</v>
      </c>
      <c r="F20" s="7" t="e" cm="1">
        <f t="array" aca="1" ref="F20" ca="1" xml:space="preserve"> IF(AND(Parameter = "Max_Build",$B20 = 0),NA(),Mult *
 OFFSET(INDIRECT(Region_abbr &amp; "!A1"), Param_offset + F$11,$B20+1))</f>
        <v>#REF!</v>
      </c>
      <c r="G20" s="7" t="e" cm="1">
        <f t="array" aca="1" ref="G20" ca="1" xml:space="preserve"> IF(AND(Parameter = "Max_Build",$B20 = 0),NA(),Mult *
 OFFSET(INDIRECT(Region_abbr &amp; "!A1"), Param_offset + G$11,$B20+1))</f>
        <v>#REF!</v>
      </c>
      <c r="H20" s="7" t="e" cm="1">
        <f t="array" aca="1" ref="H20" ca="1" xml:space="preserve"> IF(AND(Parameter = "Max_Build",$B20 = 0),NA(),Mult *
 OFFSET(INDIRECT(Region_abbr &amp; "!A1"), Param_offset + H$11,$B20+1))</f>
        <v>#REF!</v>
      </c>
      <c r="I20" s="1" t="e">
        <f t="shared" ca="1" si="5"/>
        <v>#REF!</v>
      </c>
      <c r="J20" s="8">
        <f t="shared" si="6"/>
        <v>2031</v>
      </c>
      <c r="K20">
        <f t="shared" si="7"/>
        <v>8</v>
      </c>
      <c r="L20" s="1" t="e">
        <f t="shared" ca="1" si="8"/>
        <v>#REF!</v>
      </c>
      <c r="M20" s="1" t="e">
        <f t="shared" ca="1" si="9"/>
        <v>#REF!</v>
      </c>
      <c r="N20" s="1" t="e">
        <f t="shared" ca="1" si="10"/>
        <v>#REF!</v>
      </c>
      <c r="O20" s="1" t="e">
        <f t="shared" ca="1" si="11"/>
        <v>#REF!</v>
      </c>
      <c r="P20" s="1" t="e">
        <f t="shared" ca="1" si="12"/>
        <v>#REF!</v>
      </c>
      <c r="Q20" s="1" t="e">
        <f t="shared" ca="1" si="13"/>
        <v>#REF!</v>
      </c>
      <c r="R20" s="1" t="e">
        <f t="shared" ca="1" si="14"/>
        <v>#REF!</v>
      </c>
    </row>
    <row r="21" spans="1:18" x14ac:dyDescent="0.75">
      <c r="A21">
        <f t="shared" si="3"/>
        <v>2032</v>
      </c>
      <c r="B21">
        <f t="shared" si="4"/>
        <v>8</v>
      </c>
      <c r="C21" s="7" t="e" cm="1">
        <f t="array" aca="1" ref="C21" ca="1" xml:space="preserve"> IF(AND(Parameter = "Max_Build",$B21 = 0),NA(),Mult *
 OFFSET(INDIRECT(Region_abbr &amp; "!A1"), Param_offset + C$11,$B21+1))</f>
        <v>#REF!</v>
      </c>
      <c r="D21" s="7" t="e" cm="1">
        <f t="array" aca="1" ref="D21" ca="1" xml:space="preserve"> IF(AND(Parameter = "Max_Build",$B21 = 0),NA(),Mult *
 OFFSET(INDIRECT(Region_abbr &amp; "!A1"), Param_offset + D$11,$B21+1))</f>
        <v>#REF!</v>
      </c>
      <c r="E21" s="7" t="e" cm="1">
        <f t="array" aca="1" ref="E21" ca="1" xml:space="preserve"> IF(AND(Parameter = "Max_Build",$B21 = 0),NA(),Mult *
 OFFSET(INDIRECT(Region_abbr &amp; "!A1"), Param_offset + E$11,$B21+1))</f>
        <v>#REF!</v>
      </c>
      <c r="F21" s="7" t="e" cm="1">
        <f t="array" aca="1" ref="F21" ca="1" xml:space="preserve"> IF(AND(Parameter = "Max_Build",$B21 = 0),NA(),Mult *
 OFFSET(INDIRECT(Region_abbr &amp; "!A1"), Param_offset + F$11,$B21+1))</f>
        <v>#REF!</v>
      </c>
      <c r="G21" s="7" t="e" cm="1">
        <f t="array" aca="1" ref="G21" ca="1" xml:space="preserve"> IF(AND(Parameter = "Max_Build",$B21 = 0),NA(),Mult *
 OFFSET(INDIRECT(Region_abbr &amp; "!A1"), Param_offset + G$11,$B21+1))</f>
        <v>#REF!</v>
      </c>
      <c r="H21" s="7" t="e" cm="1">
        <f t="array" aca="1" ref="H21" ca="1" xml:space="preserve"> IF(AND(Parameter = "Max_Build",$B21 = 0),NA(),Mult *
 OFFSET(INDIRECT(Region_abbr &amp; "!A1"), Param_offset + H$11,$B21+1))</f>
        <v>#REF!</v>
      </c>
      <c r="I21" s="1" t="e">
        <f t="shared" ca="1" si="5"/>
        <v>#REF!</v>
      </c>
      <c r="J21" s="8">
        <f t="shared" si="6"/>
        <v>2032</v>
      </c>
      <c r="K21">
        <f t="shared" si="7"/>
        <v>9</v>
      </c>
      <c r="L21" s="1" t="e">
        <f t="shared" ca="1" si="8"/>
        <v>#REF!</v>
      </c>
      <c r="M21" s="1" t="e">
        <f t="shared" ca="1" si="9"/>
        <v>#REF!</v>
      </c>
      <c r="N21" s="1" t="e">
        <f t="shared" ca="1" si="10"/>
        <v>#REF!</v>
      </c>
      <c r="O21" s="1" t="e">
        <f t="shared" ca="1" si="11"/>
        <v>#REF!</v>
      </c>
      <c r="P21" s="1" t="e">
        <f t="shared" ca="1" si="12"/>
        <v>#REF!</v>
      </c>
      <c r="Q21" s="1" t="e">
        <f t="shared" ca="1" si="13"/>
        <v>#REF!</v>
      </c>
      <c r="R21" s="1" t="e">
        <f t="shared" ca="1" si="14"/>
        <v>#REF!</v>
      </c>
    </row>
    <row r="22" spans="1:18" x14ac:dyDescent="0.75">
      <c r="A22">
        <f t="shared" si="3"/>
        <v>2033</v>
      </c>
      <c r="B22">
        <f t="shared" si="4"/>
        <v>9</v>
      </c>
      <c r="C22" s="7" t="e" cm="1">
        <f t="array" aca="1" ref="C22" ca="1" xml:space="preserve"> IF(AND(Parameter = "Max_Build",$B22 = 0),NA(),Mult *
 OFFSET(INDIRECT(Region_abbr &amp; "!A1"), Param_offset + C$11,$B22+1))</f>
        <v>#REF!</v>
      </c>
      <c r="D22" s="7" t="e" cm="1">
        <f t="array" aca="1" ref="D22" ca="1" xml:space="preserve"> IF(AND(Parameter = "Max_Build",$B22 = 0),NA(),Mult *
 OFFSET(INDIRECT(Region_abbr &amp; "!A1"), Param_offset + D$11,$B22+1))</f>
        <v>#REF!</v>
      </c>
      <c r="E22" s="7" t="e" cm="1">
        <f t="array" aca="1" ref="E22" ca="1" xml:space="preserve"> IF(AND(Parameter = "Max_Build",$B22 = 0),NA(),Mult *
 OFFSET(INDIRECT(Region_abbr &amp; "!A1"), Param_offset + E$11,$B22+1))</f>
        <v>#REF!</v>
      </c>
      <c r="F22" s="7" t="e" cm="1">
        <f t="array" aca="1" ref="F22" ca="1" xml:space="preserve"> IF(AND(Parameter = "Max_Build",$B22 = 0),NA(),Mult *
 OFFSET(INDIRECT(Region_abbr &amp; "!A1"), Param_offset + F$11,$B22+1))</f>
        <v>#REF!</v>
      </c>
      <c r="G22" s="7" t="e" cm="1">
        <f t="array" aca="1" ref="G22" ca="1" xml:space="preserve"> IF(AND(Parameter = "Max_Build",$B22 = 0),NA(),Mult *
 OFFSET(INDIRECT(Region_abbr &amp; "!A1"), Param_offset + G$11,$B22+1))</f>
        <v>#REF!</v>
      </c>
      <c r="H22" s="7" t="e" cm="1">
        <f t="array" aca="1" ref="H22" ca="1" xml:space="preserve"> IF(AND(Parameter = "Max_Build",$B22 = 0),NA(),Mult *
 OFFSET(INDIRECT(Region_abbr &amp; "!A1"), Param_offset + H$11,$B22+1))</f>
        <v>#REF!</v>
      </c>
      <c r="I22" s="1" t="e">
        <f t="shared" ca="1" si="5"/>
        <v>#REF!</v>
      </c>
      <c r="J22" s="8">
        <f t="shared" si="6"/>
        <v>2033</v>
      </c>
      <c r="K22">
        <f t="shared" si="7"/>
        <v>10</v>
      </c>
      <c r="L22" s="1" t="e">
        <f t="shared" ca="1" si="8"/>
        <v>#REF!</v>
      </c>
      <c r="M22" s="1" t="e">
        <f t="shared" ca="1" si="9"/>
        <v>#REF!</v>
      </c>
      <c r="N22" s="1" t="e">
        <f t="shared" ca="1" si="10"/>
        <v>#REF!</v>
      </c>
      <c r="O22" s="1" t="e">
        <f t="shared" ca="1" si="11"/>
        <v>#REF!</v>
      </c>
      <c r="P22" s="1" t="e">
        <f t="shared" ca="1" si="12"/>
        <v>#REF!</v>
      </c>
      <c r="Q22" s="1" t="e">
        <f t="shared" ca="1" si="13"/>
        <v>#REF!</v>
      </c>
      <c r="R22" s="1" t="e">
        <f t="shared" ca="1" si="14"/>
        <v>#REF!</v>
      </c>
    </row>
    <row r="23" spans="1:18" x14ac:dyDescent="0.75">
      <c r="A23">
        <f t="shared" si="3"/>
        <v>2034</v>
      </c>
      <c r="B23">
        <f t="shared" si="4"/>
        <v>10</v>
      </c>
      <c r="C23" s="7" t="e" cm="1">
        <f t="array" aca="1" ref="C23" ca="1" xml:space="preserve"> IF(AND(Parameter = "Max_Build",$B23 = 0),NA(),Mult *
 OFFSET(INDIRECT(Region_abbr &amp; "!A1"), Param_offset + C$11,$B23+1))</f>
        <v>#REF!</v>
      </c>
      <c r="D23" s="7" t="e" cm="1">
        <f t="array" aca="1" ref="D23" ca="1" xml:space="preserve"> IF(AND(Parameter = "Max_Build",$B23 = 0),NA(),Mult *
 OFFSET(INDIRECT(Region_abbr &amp; "!A1"), Param_offset + D$11,$B23+1))</f>
        <v>#REF!</v>
      </c>
      <c r="E23" s="7" t="e" cm="1">
        <f t="array" aca="1" ref="E23" ca="1" xml:space="preserve"> IF(AND(Parameter = "Max_Build",$B23 = 0),NA(),Mult *
 OFFSET(INDIRECT(Region_abbr &amp; "!A1"), Param_offset + E$11,$B23+1))</f>
        <v>#REF!</v>
      </c>
      <c r="F23" s="7" t="e" cm="1">
        <f t="array" aca="1" ref="F23" ca="1" xml:space="preserve"> IF(AND(Parameter = "Max_Build",$B23 = 0),NA(),Mult *
 OFFSET(INDIRECT(Region_abbr &amp; "!A1"), Param_offset + F$11,$B23+1))</f>
        <v>#REF!</v>
      </c>
      <c r="G23" s="7" t="e" cm="1">
        <f t="array" aca="1" ref="G23" ca="1" xml:space="preserve"> IF(AND(Parameter = "Max_Build",$B23 = 0),NA(),Mult *
 OFFSET(INDIRECT(Region_abbr &amp; "!A1"), Param_offset + G$11,$B23+1))</f>
        <v>#REF!</v>
      </c>
      <c r="H23" s="7" t="e" cm="1">
        <f t="array" aca="1" ref="H23" ca="1" xml:space="preserve"> IF(AND(Parameter = "Max_Build",$B23 = 0),NA(),Mult *
 OFFSET(INDIRECT(Region_abbr &amp; "!A1"), Param_offset + H$11,$B23+1))</f>
        <v>#REF!</v>
      </c>
      <c r="I23" s="1" t="e">
        <f t="shared" ca="1" si="5"/>
        <v>#REF!</v>
      </c>
      <c r="J23" s="8">
        <f t="shared" si="6"/>
        <v>2034</v>
      </c>
      <c r="K23">
        <f t="shared" si="7"/>
        <v>11</v>
      </c>
      <c r="L23" s="1" t="e">
        <f t="shared" ca="1" si="8"/>
        <v>#REF!</v>
      </c>
      <c r="M23" s="1" t="e">
        <f t="shared" ca="1" si="9"/>
        <v>#REF!</v>
      </c>
      <c r="N23" s="1" t="e">
        <f t="shared" ca="1" si="10"/>
        <v>#REF!</v>
      </c>
      <c r="O23" s="1" t="e">
        <f t="shared" ca="1" si="11"/>
        <v>#REF!</v>
      </c>
      <c r="P23" s="1" t="e">
        <f t="shared" ca="1" si="12"/>
        <v>#REF!</v>
      </c>
      <c r="Q23" s="1" t="e">
        <f t="shared" ca="1" si="13"/>
        <v>#REF!</v>
      </c>
      <c r="R23" s="1" t="e">
        <f t="shared" ca="1" si="14"/>
        <v>#REF!</v>
      </c>
    </row>
    <row r="24" spans="1:18" x14ac:dyDescent="0.75">
      <c r="A24">
        <f t="shared" si="3"/>
        <v>2035</v>
      </c>
      <c r="B24">
        <f t="shared" si="4"/>
        <v>11</v>
      </c>
      <c r="C24" s="7" t="e" cm="1">
        <f t="array" aca="1" ref="C24" ca="1" xml:space="preserve"> IF(AND(Parameter = "Max_Build",$B24 = 0),NA(),Mult *
 OFFSET(INDIRECT(Region_abbr &amp; "!A1"), Param_offset + C$11,$B24+1))</f>
        <v>#REF!</v>
      </c>
      <c r="D24" s="7" t="e" cm="1">
        <f t="array" aca="1" ref="D24" ca="1" xml:space="preserve"> IF(AND(Parameter = "Max_Build",$B24 = 0),NA(),Mult *
 OFFSET(INDIRECT(Region_abbr &amp; "!A1"), Param_offset + D$11,$B24+1))</f>
        <v>#REF!</v>
      </c>
      <c r="E24" s="7" t="e" cm="1">
        <f t="array" aca="1" ref="E24" ca="1" xml:space="preserve"> IF(AND(Parameter = "Max_Build",$B24 = 0),NA(),Mult *
 OFFSET(INDIRECT(Region_abbr &amp; "!A1"), Param_offset + E$11,$B24+1))</f>
        <v>#REF!</v>
      </c>
      <c r="F24" s="7" t="e" cm="1">
        <f t="array" aca="1" ref="F24" ca="1" xml:space="preserve"> IF(AND(Parameter = "Max_Build",$B24 = 0),NA(),Mult *
 OFFSET(INDIRECT(Region_abbr &amp; "!A1"), Param_offset + F$11,$B24+1))</f>
        <v>#REF!</v>
      </c>
      <c r="G24" s="7" t="e" cm="1">
        <f t="array" aca="1" ref="G24" ca="1" xml:space="preserve"> IF(AND(Parameter = "Max_Build",$B24 = 0),NA(),Mult *
 OFFSET(INDIRECT(Region_abbr &amp; "!A1"), Param_offset + G$11,$B24+1))</f>
        <v>#REF!</v>
      </c>
      <c r="H24" s="7" t="e" cm="1">
        <f t="array" aca="1" ref="H24" ca="1" xml:space="preserve"> IF(AND(Parameter = "Max_Build",$B24 = 0),NA(),Mult *
 OFFSET(INDIRECT(Region_abbr &amp; "!A1"), Param_offset + H$11,$B24+1))</f>
        <v>#REF!</v>
      </c>
      <c r="I24" s="1" t="e">
        <f t="shared" ca="1" si="5"/>
        <v>#REF!</v>
      </c>
      <c r="J24" s="8">
        <f t="shared" si="6"/>
        <v>2035</v>
      </c>
      <c r="K24">
        <f t="shared" si="7"/>
        <v>12</v>
      </c>
      <c r="L24" s="1" t="e">
        <f t="shared" ca="1" si="8"/>
        <v>#REF!</v>
      </c>
      <c r="M24" s="1" t="e">
        <f t="shared" ca="1" si="9"/>
        <v>#REF!</v>
      </c>
      <c r="N24" s="1" t="e">
        <f t="shared" ca="1" si="10"/>
        <v>#REF!</v>
      </c>
      <c r="O24" s="1" t="e">
        <f t="shared" ca="1" si="11"/>
        <v>#REF!</v>
      </c>
      <c r="P24" s="1" t="e">
        <f t="shared" ca="1" si="12"/>
        <v>#REF!</v>
      </c>
      <c r="Q24" s="1" t="e">
        <f t="shared" ca="1" si="13"/>
        <v>#REF!</v>
      </c>
      <c r="R24" s="1" t="e">
        <f t="shared" ca="1" si="14"/>
        <v>#REF!</v>
      </c>
    </row>
    <row r="25" spans="1:18" x14ac:dyDescent="0.75">
      <c r="A25">
        <f t="shared" si="3"/>
        <v>2036</v>
      </c>
      <c r="B25">
        <f t="shared" si="4"/>
        <v>12</v>
      </c>
      <c r="C25" s="7" t="e" cm="1">
        <f t="array" aca="1" ref="C25" ca="1" xml:space="preserve"> IF(AND(Parameter = "Max_Build",$B25 = 0),NA(),Mult *
 OFFSET(INDIRECT(Region_abbr &amp; "!A1"), Param_offset + C$11,$B25+1))</f>
        <v>#REF!</v>
      </c>
      <c r="D25" s="7" t="e" cm="1">
        <f t="array" aca="1" ref="D25" ca="1" xml:space="preserve"> IF(AND(Parameter = "Max_Build",$B25 = 0),NA(),Mult *
 OFFSET(INDIRECT(Region_abbr &amp; "!A1"), Param_offset + D$11,$B25+1))</f>
        <v>#REF!</v>
      </c>
      <c r="E25" s="7" t="e" cm="1">
        <f t="array" aca="1" ref="E25" ca="1" xml:space="preserve"> IF(AND(Parameter = "Max_Build",$B25 = 0),NA(),Mult *
 OFFSET(INDIRECT(Region_abbr &amp; "!A1"), Param_offset + E$11,$B25+1))</f>
        <v>#REF!</v>
      </c>
      <c r="F25" s="7" t="e" cm="1">
        <f t="array" aca="1" ref="F25" ca="1" xml:space="preserve"> IF(AND(Parameter = "Max_Build",$B25 = 0),NA(),Mult *
 OFFSET(INDIRECT(Region_abbr &amp; "!A1"), Param_offset + F$11,$B25+1))</f>
        <v>#REF!</v>
      </c>
      <c r="G25" s="7" t="e" cm="1">
        <f t="array" aca="1" ref="G25" ca="1" xml:space="preserve"> IF(AND(Parameter = "Max_Build",$B25 = 0),NA(),Mult *
 OFFSET(INDIRECT(Region_abbr &amp; "!A1"), Param_offset + G$11,$B25+1))</f>
        <v>#REF!</v>
      </c>
      <c r="H25" s="7" t="e" cm="1">
        <f t="array" aca="1" ref="H25" ca="1" xml:space="preserve"> IF(AND(Parameter = "Max_Build",$B25 = 0),NA(),Mult *
 OFFSET(INDIRECT(Region_abbr &amp; "!A1"), Param_offset + H$11,$B25+1))</f>
        <v>#REF!</v>
      </c>
      <c r="I25" s="1" t="e">
        <f t="shared" ca="1" si="5"/>
        <v>#REF!</v>
      </c>
      <c r="J25" s="8">
        <f t="shared" si="6"/>
        <v>2036</v>
      </c>
      <c r="K25">
        <f t="shared" si="7"/>
        <v>13</v>
      </c>
      <c r="L25" s="1" t="e">
        <f t="shared" ca="1" si="8"/>
        <v>#REF!</v>
      </c>
      <c r="M25" s="1" t="e">
        <f t="shared" ca="1" si="9"/>
        <v>#REF!</v>
      </c>
      <c r="N25" s="1" t="e">
        <f t="shared" ca="1" si="10"/>
        <v>#REF!</v>
      </c>
      <c r="O25" s="1" t="e">
        <f t="shared" ca="1" si="11"/>
        <v>#REF!</v>
      </c>
      <c r="P25" s="1" t="e">
        <f t="shared" ca="1" si="12"/>
        <v>#REF!</v>
      </c>
      <c r="Q25" s="1" t="e">
        <f t="shared" ca="1" si="13"/>
        <v>#REF!</v>
      </c>
      <c r="R25" s="1" t="e">
        <f t="shared" ca="1" si="14"/>
        <v>#REF!</v>
      </c>
    </row>
    <row r="26" spans="1:18" x14ac:dyDescent="0.75">
      <c r="A26">
        <f t="shared" si="3"/>
        <v>2037</v>
      </c>
      <c r="B26">
        <f t="shared" si="4"/>
        <v>13</v>
      </c>
      <c r="C26" s="7" t="e" cm="1">
        <f t="array" aca="1" ref="C26" ca="1" xml:space="preserve"> IF(AND(Parameter = "Max_Build",$B26 = 0),NA(),Mult *
 OFFSET(INDIRECT(Region_abbr &amp; "!A1"), Param_offset + C$11,$B26+1))</f>
        <v>#REF!</v>
      </c>
      <c r="D26" s="7" t="e" cm="1">
        <f t="array" aca="1" ref="D26" ca="1" xml:space="preserve"> IF(AND(Parameter = "Max_Build",$B26 = 0),NA(),Mult *
 OFFSET(INDIRECT(Region_abbr &amp; "!A1"), Param_offset + D$11,$B26+1))</f>
        <v>#REF!</v>
      </c>
      <c r="E26" s="7" t="e" cm="1">
        <f t="array" aca="1" ref="E26" ca="1" xml:space="preserve"> IF(AND(Parameter = "Max_Build",$B26 = 0),NA(),Mult *
 OFFSET(INDIRECT(Region_abbr &amp; "!A1"), Param_offset + E$11,$B26+1))</f>
        <v>#REF!</v>
      </c>
      <c r="F26" s="7" t="e" cm="1">
        <f t="array" aca="1" ref="F26" ca="1" xml:space="preserve"> IF(AND(Parameter = "Max_Build",$B26 = 0),NA(),Mult *
 OFFSET(INDIRECT(Region_abbr &amp; "!A1"), Param_offset + F$11,$B26+1))</f>
        <v>#REF!</v>
      </c>
      <c r="G26" s="7" t="e" cm="1">
        <f t="array" aca="1" ref="G26" ca="1" xml:space="preserve"> IF(AND(Parameter = "Max_Build",$B26 = 0),NA(),Mult *
 OFFSET(INDIRECT(Region_abbr &amp; "!A1"), Param_offset + G$11,$B26+1))</f>
        <v>#REF!</v>
      </c>
      <c r="H26" s="7" t="e" cm="1">
        <f t="array" aca="1" ref="H26" ca="1" xml:space="preserve"> IF(AND(Parameter = "Max_Build",$B26 = 0),NA(),Mult *
 OFFSET(INDIRECT(Region_abbr &amp; "!A1"), Param_offset + H$11,$B26+1))</f>
        <v>#REF!</v>
      </c>
      <c r="I26" s="1" t="e">
        <f t="shared" ca="1" si="5"/>
        <v>#REF!</v>
      </c>
      <c r="J26" s="8">
        <f t="shared" si="6"/>
        <v>2037</v>
      </c>
      <c r="K26">
        <f t="shared" si="7"/>
        <v>14</v>
      </c>
      <c r="L26" s="1" t="e">
        <f t="shared" ca="1" si="8"/>
        <v>#REF!</v>
      </c>
      <c r="M26" s="1" t="e">
        <f t="shared" ca="1" si="9"/>
        <v>#REF!</v>
      </c>
      <c r="N26" s="1" t="e">
        <f t="shared" ca="1" si="10"/>
        <v>#REF!</v>
      </c>
      <c r="O26" s="1" t="e">
        <f t="shared" ca="1" si="11"/>
        <v>#REF!</v>
      </c>
      <c r="P26" s="1" t="e">
        <f t="shared" ca="1" si="12"/>
        <v>#REF!</v>
      </c>
      <c r="Q26" s="1" t="e">
        <f t="shared" ca="1" si="13"/>
        <v>#REF!</v>
      </c>
      <c r="R26" s="1" t="e">
        <f t="shared" ca="1" si="14"/>
        <v>#REF!</v>
      </c>
    </row>
    <row r="27" spans="1:18" x14ac:dyDescent="0.75">
      <c r="A27">
        <f t="shared" si="3"/>
        <v>2038</v>
      </c>
      <c r="B27">
        <f t="shared" si="4"/>
        <v>14</v>
      </c>
      <c r="C27" s="7" t="e" cm="1">
        <f t="array" aca="1" ref="C27" ca="1" xml:space="preserve"> IF(AND(Parameter = "Max_Build",$B27 = 0),NA(),Mult *
 OFFSET(INDIRECT(Region_abbr &amp; "!A1"), Param_offset + C$11,$B27+1))</f>
        <v>#REF!</v>
      </c>
      <c r="D27" s="7" t="e" cm="1">
        <f t="array" aca="1" ref="D27" ca="1" xml:space="preserve"> IF(AND(Parameter = "Max_Build",$B27 = 0),NA(),Mult *
 OFFSET(INDIRECT(Region_abbr &amp; "!A1"), Param_offset + D$11,$B27+1))</f>
        <v>#REF!</v>
      </c>
      <c r="E27" s="7" t="e" cm="1">
        <f t="array" aca="1" ref="E27" ca="1" xml:space="preserve"> IF(AND(Parameter = "Max_Build",$B27 = 0),NA(),Mult *
 OFFSET(INDIRECT(Region_abbr &amp; "!A1"), Param_offset + E$11,$B27+1))</f>
        <v>#REF!</v>
      </c>
      <c r="F27" s="7" t="e" cm="1">
        <f t="array" aca="1" ref="F27" ca="1" xml:space="preserve"> IF(AND(Parameter = "Max_Build",$B27 = 0),NA(),Mult *
 OFFSET(INDIRECT(Region_abbr &amp; "!A1"), Param_offset + F$11,$B27+1))</f>
        <v>#REF!</v>
      </c>
      <c r="G27" s="7" t="e" cm="1">
        <f t="array" aca="1" ref="G27" ca="1" xml:space="preserve"> IF(AND(Parameter = "Max_Build",$B27 = 0),NA(),Mult *
 OFFSET(INDIRECT(Region_abbr &amp; "!A1"), Param_offset + G$11,$B27+1))</f>
        <v>#REF!</v>
      </c>
      <c r="H27" s="7" t="e" cm="1">
        <f t="array" aca="1" ref="H27" ca="1" xml:space="preserve"> IF(AND(Parameter = "Max_Build",$B27 = 0),NA(),Mult *
 OFFSET(INDIRECT(Region_abbr &amp; "!A1"), Param_offset + H$11,$B27+1))</f>
        <v>#REF!</v>
      </c>
      <c r="I27" s="1" t="e">
        <f t="shared" ca="1" si="5"/>
        <v>#REF!</v>
      </c>
      <c r="J27" s="8">
        <f t="shared" si="6"/>
        <v>2038</v>
      </c>
      <c r="K27">
        <f t="shared" si="7"/>
        <v>15</v>
      </c>
      <c r="L27" s="1" t="e">
        <f t="shared" ca="1" si="8"/>
        <v>#REF!</v>
      </c>
      <c r="M27" s="1" t="e">
        <f t="shared" ca="1" si="9"/>
        <v>#REF!</v>
      </c>
      <c r="N27" s="1" t="e">
        <f t="shared" ca="1" si="10"/>
        <v>#REF!</v>
      </c>
      <c r="O27" s="1" t="e">
        <f t="shared" ca="1" si="11"/>
        <v>#REF!</v>
      </c>
      <c r="P27" s="1" t="e">
        <f t="shared" ca="1" si="12"/>
        <v>#REF!</v>
      </c>
      <c r="Q27" s="1" t="e">
        <f t="shared" ca="1" si="13"/>
        <v>#REF!</v>
      </c>
      <c r="R27" s="1" t="e">
        <f t="shared" ca="1" si="14"/>
        <v>#REF!</v>
      </c>
    </row>
    <row r="28" spans="1:18" x14ac:dyDescent="0.75">
      <c r="A28">
        <f t="shared" si="3"/>
        <v>2039</v>
      </c>
      <c r="B28">
        <f t="shared" si="4"/>
        <v>15</v>
      </c>
      <c r="C28" s="7" t="e" cm="1">
        <f t="array" aca="1" ref="C28" ca="1" xml:space="preserve"> IF(AND(Parameter = "Max_Build",$B28 = 0),NA(),Mult *
 OFFSET(INDIRECT(Region_abbr &amp; "!A1"), Param_offset + C$11,$B28+1))</f>
        <v>#REF!</v>
      </c>
      <c r="D28" s="7" t="e" cm="1">
        <f t="array" aca="1" ref="D28" ca="1" xml:space="preserve"> IF(AND(Parameter = "Max_Build",$B28 = 0),NA(),Mult *
 OFFSET(INDIRECT(Region_abbr &amp; "!A1"), Param_offset + D$11,$B28+1))</f>
        <v>#REF!</v>
      </c>
      <c r="E28" s="7" t="e" cm="1">
        <f t="array" aca="1" ref="E28" ca="1" xml:space="preserve"> IF(AND(Parameter = "Max_Build",$B28 = 0),NA(),Mult *
 OFFSET(INDIRECT(Region_abbr &amp; "!A1"), Param_offset + E$11,$B28+1))</f>
        <v>#REF!</v>
      </c>
      <c r="F28" s="7" t="e" cm="1">
        <f t="array" aca="1" ref="F28" ca="1" xml:space="preserve"> IF(AND(Parameter = "Max_Build",$B28 = 0),NA(),Mult *
 OFFSET(INDIRECT(Region_abbr &amp; "!A1"), Param_offset + F$11,$B28+1))</f>
        <v>#REF!</v>
      </c>
      <c r="G28" s="7" t="e" cm="1">
        <f t="array" aca="1" ref="G28" ca="1" xml:space="preserve"> IF(AND(Parameter = "Max_Build",$B28 = 0),NA(),Mult *
 OFFSET(INDIRECT(Region_abbr &amp; "!A1"), Param_offset + G$11,$B28+1))</f>
        <v>#REF!</v>
      </c>
      <c r="H28" s="7" t="e" cm="1">
        <f t="array" aca="1" ref="H28" ca="1" xml:space="preserve"> IF(AND(Parameter = "Max_Build",$B28 = 0),NA(),Mult *
 OFFSET(INDIRECT(Region_abbr &amp; "!A1"), Param_offset + H$11,$B28+1))</f>
        <v>#REF!</v>
      </c>
      <c r="I28" s="1" t="e">
        <f t="shared" ca="1" si="5"/>
        <v>#REF!</v>
      </c>
      <c r="J28" s="8">
        <f t="shared" si="6"/>
        <v>2039</v>
      </c>
      <c r="K28">
        <f t="shared" si="7"/>
        <v>16</v>
      </c>
      <c r="L28" s="1" t="e">
        <f t="shared" ca="1" si="8"/>
        <v>#REF!</v>
      </c>
      <c r="M28" s="1" t="e">
        <f t="shared" ca="1" si="9"/>
        <v>#REF!</v>
      </c>
      <c r="N28" s="1" t="e">
        <f t="shared" ca="1" si="10"/>
        <v>#REF!</v>
      </c>
      <c r="O28" s="1" t="e">
        <f t="shared" ca="1" si="11"/>
        <v>#REF!</v>
      </c>
      <c r="P28" s="1" t="e">
        <f t="shared" ca="1" si="12"/>
        <v>#REF!</v>
      </c>
      <c r="Q28" s="1" t="e">
        <f t="shared" ca="1" si="13"/>
        <v>#REF!</v>
      </c>
      <c r="R28" s="1" t="e">
        <f t="shared" ca="1" si="14"/>
        <v>#REF!</v>
      </c>
    </row>
    <row r="29" spans="1:18" x14ac:dyDescent="0.75">
      <c r="A29">
        <f t="shared" si="3"/>
        <v>2040</v>
      </c>
      <c r="B29">
        <f t="shared" si="4"/>
        <v>16</v>
      </c>
      <c r="C29" s="7" t="e" cm="1">
        <f t="array" aca="1" ref="C29" ca="1" xml:space="preserve"> IF(AND(Parameter = "Max_Build",$B29 = 0),NA(),Mult *
 OFFSET(INDIRECT(Region_abbr &amp; "!A1"), Param_offset + C$11,$B29+1))</f>
        <v>#REF!</v>
      </c>
      <c r="D29" s="7" t="e" cm="1">
        <f t="array" aca="1" ref="D29" ca="1" xml:space="preserve"> IF(AND(Parameter = "Max_Build",$B29 = 0),NA(),Mult *
 OFFSET(INDIRECT(Region_abbr &amp; "!A1"), Param_offset + D$11,$B29+1))</f>
        <v>#REF!</v>
      </c>
      <c r="E29" s="7" t="e" cm="1">
        <f t="array" aca="1" ref="E29" ca="1" xml:space="preserve"> IF(AND(Parameter = "Max_Build",$B29 = 0),NA(),Mult *
 OFFSET(INDIRECT(Region_abbr &amp; "!A1"), Param_offset + E$11,$B29+1))</f>
        <v>#REF!</v>
      </c>
      <c r="F29" s="7" t="e" cm="1">
        <f t="array" aca="1" ref="F29" ca="1" xml:space="preserve"> IF(AND(Parameter = "Max_Build",$B29 = 0),NA(),Mult *
 OFFSET(INDIRECT(Region_abbr &amp; "!A1"), Param_offset + F$11,$B29+1))</f>
        <v>#REF!</v>
      </c>
      <c r="G29" s="7" t="e" cm="1">
        <f t="array" aca="1" ref="G29" ca="1" xml:space="preserve"> IF(AND(Parameter = "Max_Build",$B29 = 0),NA(),Mult *
 OFFSET(INDIRECT(Region_abbr &amp; "!A1"), Param_offset + G$11,$B29+1))</f>
        <v>#REF!</v>
      </c>
      <c r="H29" s="7" t="e" cm="1">
        <f t="array" aca="1" ref="H29" ca="1" xml:space="preserve"> IF(AND(Parameter = "Max_Build",$B29 = 0),NA(),Mult *
 OFFSET(INDIRECT(Region_abbr &amp; "!A1"), Param_offset + H$11,$B29+1))</f>
        <v>#REF!</v>
      </c>
      <c r="I29" s="1" t="e">
        <f t="shared" ca="1" si="5"/>
        <v>#REF!</v>
      </c>
      <c r="J29" s="8">
        <f t="shared" si="6"/>
        <v>2040</v>
      </c>
      <c r="K29">
        <f t="shared" si="7"/>
        <v>17</v>
      </c>
      <c r="L29" s="1" t="e">
        <f t="shared" ca="1" si="8"/>
        <v>#REF!</v>
      </c>
      <c r="M29" s="1" t="e">
        <f t="shared" ca="1" si="9"/>
        <v>#REF!</v>
      </c>
      <c r="N29" s="1" t="e">
        <f t="shared" ca="1" si="10"/>
        <v>#REF!</v>
      </c>
      <c r="O29" s="1" t="e">
        <f t="shared" ca="1" si="11"/>
        <v>#REF!</v>
      </c>
      <c r="P29" s="1" t="e">
        <f t="shared" ca="1" si="12"/>
        <v>#REF!</v>
      </c>
      <c r="Q29" s="1" t="e">
        <f t="shared" ca="1" si="13"/>
        <v>#REF!</v>
      </c>
      <c r="R29" s="1" t="e">
        <f t="shared" ca="1" si="14"/>
        <v>#REF!</v>
      </c>
    </row>
    <row r="30" spans="1:18" x14ac:dyDescent="0.75">
      <c r="A30">
        <f t="shared" si="3"/>
        <v>2041</v>
      </c>
      <c r="B30">
        <f t="shared" si="4"/>
        <v>17</v>
      </c>
      <c r="C30" s="7" t="e" cm="1">
        <f t="array" aca="1" ref="C30" ca="1" xml:space="preserve"> IF(AND(Parameter = "Max_Build",$B30 = 0),NA(),Mult *
 OFFSET(INDIRECT(Region_abbr &amp; "!A1"), Param_offset + C$11,$B30+1))</f>
        <v>#REF!</v>
      </c>
      <c r="D30" s="7" t="e" cm="1">
        <f t="array" aca="1" ref="D30" ca="1" xml:space="preserve"> IF(AND(Parameter = "Max_Build",$B30 = 0),NA(),Mult *
 OFFSET(INDIRECT(Region_abbr &amp; "!A1"), Param_offset + D$11,$B30+1))</f>
        <v>#REF!</v>
      </c>
      <c r="E30" s="7" t="e" cm="1">
        <f t="array" aca="1" ref="E30" ca="1" xml:space="preserve"> IF(AND(Parameter = "Max_Build",$B30 = 0),NA(),Mult *
 OFFSET(INDIRECT(Region_abbr &amp; "!A1"), Param_offset + E$11,$B30+1))</f>
        <v>#REF!</v>
      </c>
      <c r="F30" s="7" t="e" cm="1">
        <f t="array" aca="1" ref="F30" ca="1" xml:space="preserve"> IF(AND(Parameter = "Max_Build",$B30 = 0),NA(),Mult *
 OFFSET(INDIRECT(Region_abbr &amp; "!A1"), Param_offset + F$11,$B30+1))</f>
        <v>#REF!</v>
      </c>
      <c r="G30" s="7" t="e" cm="1">
        <f t="array" aca="1" ref="G30" ca="1" xml:space="preserve"> IF(AND(Parameter = "Max_Build",$B30 = 0),NA(),Mult *
 OFFSET(INDIRECT(Region_abbr &amp; "!A1"), Param_offset + G$11,$B30+1))</f>
        <v>#REF!</v>
      </c>
      <c r="H30" s="7" t="e" cm="1">
        <f t="array" aca="1" ref="H30" ca="1" xml:space="preserve"> IF(AND(Parameter = "Max_Build",$B30 = 0),NA(),Mult *
 OFFSET(INDIRECT(Region_abbr &amp; "!A1"), Param_offset + H$11,$B30+1))</f>
        <v>#REF!</v>
      </c>
      <c r="I30" s="1" t="e">
        <f t="shared" ca="1" si="5"/>
        <v>#REF!</v>
      </c>
      <c r="J30" s="8">
        <f t="shared" si="6"/>
        <v>2041</v>
      </c>
      <c r="K30">
        <f t="shared" si="7"/>
        <v>18</v>
      </c>
      <c r="L30" s="1" t="e">
        <f t="shared" ca="1" si="8"/>
        <v>#REF!</v>
      </c>
      <c r="M30" s="1" t="e">
        <f t="shared" ca="1" si="9"/>
        <v>#REF!</v>
      </c>
      <c r="N30" s="1" t="e">
        <f t="shared" ca="1" si="10"/>
        <v>#REF!</v>
      </c>
      <c r="O30" s="1" t="e">
        <f t="shared" ca="1" si="11"/>
        <v>#REF!</v>
      </c>
      <c r="P30" s="1" t="e">
        <f t="shared" ca="1" si="12"/>
        <v>#REF!</v>
      </c>
      <c r="Q30" s="1" t="e">
        <f t="shared" ca="1" si="13"/>
        <v>#REF!</v>
      </c>
      <c r="R30" s="1" t="e">
        <f t="shared" ca="1" si="14"/>
        <v>#REF!</v>
      </c>
    </row>
    <row r="31" spans="1:18" x14ac:dyDescent="0.75">
      <c r="A31">
        <f t="shared" si="3"/>
        <v>2042</v>
      </c>
      <c r="B31">
        <f t="shared" si="4"/>
        <v>18</v>
      </c>
      <c r="C31" s="7" t="e" cm="1">
        <f t="array" aca="1" ref="C31" ca="1" xml:space="preserve"> IF(AND(Parameter = "Max_Build",$B31 = 0),NA(),Mult *
 OFFSET(INDIRECT(Region_abbr &amp; "!A1"), Param_offset + C$11,$B31+1))</f>
        <v>#REF!</v>
      </c>
      <c r="D31" s="7" t="e" cm="1">
        <f t="array" aca="1" ref="D31" ca="1" xml:space="preserve"> IF(AND(Parameter = "Max_Build",$B31 = 0),NA(),Mult *
 OFFSET(INDIRECT(Region_abbr &amp; "!A1"), Param_offset + D$11,$B31+1))</f>
        <v>#REF!</v>
      </c>
      <c r="E31" s="7" t="e" cm="1">
        <f t="array" aca="1" ref="E31" ca="1" xml:space="preserve"> IF(AND(Parameter = "Max_Build",$B31 = 0),NA(),Mult *
 OFFSET(INDIRECT(Region_abbr &amp; "!A1"), Param_offset + E$11,$B31+1))</f>
        <v>#REF!</v>
      </c>
      <c r="F31" s="7" t="e" cm="1">
        <f t="array" aca="1" ref="F31" ca="1" xml:space="preserve"> IF(AND(Parameter = "Max_Build",$B31 = 0),NA(),Mult *
 OFFSET(INDIRECT(Region_abbr &amp; "!A1"), Param_offset + F$11,$B31+1))</f>
        <v>#REF!</v>
      </c>
      <c r="G31" s="7" t="e" cm="1">
        <f t="array" aca="1" ref="G31" ca="1" xml:space="preserve"> IF(AND(Parameter = "Max_Build",$B31 = 0),NA(),Mult *
 OFFSET(INDIRECT(Region_abbr &amp; "!A1"), Param_offset + G$11,$B31+1))</f>
        <v>#REF!</v>
      </c>
      <c r="H31" s="7" t="e" cm="1">
        <f t="array" aca="1" ref="H31" ca="1" xml:space="preserve"> IF(AND(Parameter = "Max_Build",$B31 = 0),NA(),Mult *
 OFFSET(INDIRECT(Region_abbr &amp; "!A1"), Param_offset + H$11,$B31+1))</f>
        <v>#REF!</v>
      </c>
      <c r="I31" s="1" t="e">
        <f t="shared" ca="1" si="5"/>
        <v>#REF!</v>
      </c>
      <c r="J31" s="8">
        <f t="shared" si="6"/>
        <v>2042</v>
      </c>
      <c r="K31">
        <f t="shared" si="7"/>
        <v>19</v>
      </c>
      <c r="L31" s="1" t="e">
        <f t="shared" ca="1" si="8"/>
        <v>#REF!</v>
      </c>
      <c r="M31" s="1" t="e">
        <f t="shared" ca="1" si="9"/>
        <v>#REF!</v>
      </c>
      <c r="N31" s="1" t="e">
        <f t="shared" ca="1" si="10"/>
        <v>#REF!</v>
      </c>
      <c r="O31" s="1" t="e">
        <f t="shared" ca="1" si="11"/>
        <v>#REF!</v>
      </c>
      <c r="P31" s="1" t="e">
        <f t="shared" ca="1" si="12"/>
        <v>#REF!</v>
      </c>
      <c r="Q31" s="1" t="e">
        <f t="shared" ca="1" si="13"/>
        <v>#REF!</v>
      </c>
      <c r="R31" s="1" t="e">
        <f t="shared" ca="1" si="14"/>
        <v>#REF!</v>
      </c>
    </row>
    <row r="32" spans="1:18" x14ac:dyDescent="0.75">
      <c r="A32">
        <f t="shared" si="3"/>
        <v>2043</v>
      </c>
      <c r="B32">
        <f t="shared" si="4"/>
        <v>19</v>
      </c>
      <c r="C32" s="7" t="e" cm="1">
        <f t="array" aca="1" ref="C32" ca="1" xml:space="preserve"> IF(AND(Parameter = "Max_Build",$B32 = 0),NA(),Mult *
 OFFSET(INDIRECT(Region_abbr &amp; "!A1"), Param_offset + C$11,$B32+1))</f>
        <v>#REF!</v>
      </c>
      <c r="D32" s="7" t="e" cm="1">
        <f t="array" aca="1" ref="D32" ca="1" xml:space="preserve"> IF(AND(Parameter = "Max_Build",$B32 = 0),NA(),Mult *
 OFFSET(INDIRECT(Region_abbr &amp; "!A1"), Param_offset + D$11,$B32+1))</f>
        <v>#REF!</v>
      </c>
      <c r="E32" s="7" t="e" cm="1">
        <f t="array" aca="1" ref="E32" ca="1" xml:space="preserve"> IF(AND(Parameter = "Max_Build",$B32 = 0),NA(),Mult *
 OFFSET(INDIRECT(Region_abbr &amp; "!A1"), Param_offset + E$11,$B32+1))</f>
        <v>#REF!</v>
      </c>
      <c r="F32" s="7" t="e" cm="1">
        <f t="array" aca="1" ref="F32" ca="1" xml:space="preserve"> IF(AND(Parameter = "Max_Build",$B32 = 0),NA(),Mult *
 OFFSET(INDIRECT(Region_abbr &amp; "!A1"), Param_offset + F$11,$B32+1))</f>
        <v>#REF!</v>
      </c>
      <c r="G32" s="7" t="e" cm="1">
        <f t="array" aca="1" ref="G32" ca="1" xml:space="preserve"> IF(AND(Parameter = "Max_Build",$B32 = 0),NA(),Mult *
 OFFSET(INDIRECT(Region_abbr &amp; "!A1"), Param_offset + G$11,$B32+1))</f>
        <v>#REF!</v>
      </c>
      <c r="H32" s="7" t="e" cm="1">
        <f t="array" aca="1" ref="H32" ca="1" xml:space="preserve"> IF(AND(Parameter = "Max_Build",$B32 = 0),NA(),Mult *
 OFFSET(INDIRECT(Region_abbr &amp; "!A1"), Param_offset + H$11,$B32+1))</f>
        <v>#REF!</v>
      </c>
      <c r="I32" s="1" t="e">
        <f t="shared" ca="1" si="5"/>
        <v>#REF!</v>
      </c>
      <c r="J32" s="8">
        <f t="shared" si="6"/>
        <v>2043</v>
      </c>
      <c r="K32">
        <f t="shared" si="7"/>
        <v>20</v>
      </c>
      <c r="L32" s="1" t="e">
        <f t="shared" ca="1" si="8"/>
        <v>#REF!</v>
      </c>
      <c r="M32" s="1" t="e">
        <f t="shared" ca="1" si="9"/>
        <v>#REF!</v>
      </c>
      <c r="N32" s="1" t="e">
        <f t="shared" ca="1" si="10"/>
        <v>#REF!</v>
      </c>
      <c r="O32" s="1" t="e">
        <f t="shared" ca="1" si="11"/>
        <v>#REF!</v>
      </c>
      <c r="P32" s="1" t="e">
        <f t="shared" ca="1" si="12"/>
        <v>#REF!</v>
      </c>
      <c r="Q32" s="1" t="e">
        <f t="shared" ca="1" si="13"/>
        <v>#REF!</v>
      </c>
      <c r="R32" s="1" t="e">
        <f t="shared" ca="1" si="14"/>
        <v>#REF!</v>
      </c>
    </row>
    <row r="33" spans="1:18" x14ac:dyDescent="0.75">
      <c r="A33">
        <f t="shared" si="3"/>
        <v>2044</v>
      </c>
      <c r="B33">
        <f t="shared" si="4"/>
        <v>20</v>
      </c>
      <c r="C33" s="7" t="e" cm="1">
        <f t="array" aca="1" ref="C33" ca="1" xml:space="preserve"> IF(AND(Parameter = "Max_Build",$B33 = 0),NA(),Mult *
 OFFSET(INDIRECT(Region_abbr &amp; "!A1"), Param_offset + C$11,$B33+1))</f>
        <v>#REF!</v>
      </c>
      <c r="D33" s="7" t="e" cm="1">
        <f t="array" aca="1" ref="D33" ca="1" xml:space="preserve"> IF(AND(Parameter = "Max_Build",$B33 = 0),NA(),Mult *
 OFFSET(INDIRECT(Region_abbr &amp; "!A1"), Param_offset + D$11,$B33+1))</f>
        <v>#REF!</v>
      </c>
      <c r="E33" s="7" t="e" cm="1">
        <f t="array" aca="1" ref="E33" ca="1" xml:space="preserve"> IF(AND(Parameter = "Max_Build",$B33 = 0),NA(),Mult *
 OFFSET(INDIRECT(Region_abbr &amp; "!A1"), Param_offset + E$11,$B33+1))</f>
        <v>#REF!</v>
      </c>
      <c r="F33" s="7" t="e" cm="1">
        <f t="array" aca="1" ref="F33" ca="1" xml:space="preserve"> IF(AND(Parameter = "Max_Build",$B33 = 0),NA(),Mult *
 OFFSET(INDIRECT(Region_abbr &amp; "!A1"), Param_offset + F$11,$B33+1))</f>
        <v>#REF!</v>
      </c>
      <c r="G33" s="7" t="e" cm="1">
        <f t="array" aca="1" ref="G33" ca="1" xml:space="preserve"> IF(AND(Parameter = "Max_Build",$B33 = 0),NA(),Mult *
 OFFSET(INDIRECT(Region_abbr &amp; "!A1"), Param_offset + G$11,$B33+1))</f>
        <v>#REF!</v>
      </c>
      <c r="H33" s="7" t="e" cm="1">
        <f t="array" aca="1" ref="H33" ca="1" xml:space="preserve"> IF(AND(Parameter = "Max_Build",$B33 = 0),NA(),Mult *
 OFFSET(INDIRECT(Region_abbr &amp; "!A1"), Param_offset + H$11,$B33+1))</f>
        <v>#REF!</v>
      </c>
      <c r="I33" s="1" t="e">
        <f t="shared" ca="1" si="5"/>
        <v>#REF!</v>
      </c>
      <c r="J33" s="8">
        <f t="shared" si="6"/>
        <v>2044</v>
      </c>
      <c r="K33">
        <f t="shared" si="7"/>
        <v>21</v>
      </c>
      <c r="L33" s="1" t="e">
        <f t="shared" ca="1" si="8"/>
        <v>#REF!</v>
      </c>
      <c r="M33" s="1" t="e">
        <f t="shared" ca="1" si="9"/>
        <v>#REF!</v>
      </c>
      <c r="N33" s="1" t="e">
        <f t="shared" ca="1" si="10"/>
        <v>#REF!</v>
      </c>
      <c r="O33" s="1" t="e">
        <f t="shared" ca="1" si="11"/>
        <v>#REF!</v>
      </c>
      <c r="P33" s="1" t="e">
        <f t="shared" ca="1" si="12"/>
        <v>#REF!</v>
      </c>
      <c r="Q33" s="1" t="e">
        <f t="shared" ca="1" si="13"/>
        <v>#REF!</v>
      </c>
      <c r="R33" s="1" t="e">
        <f t="shared" ca="1" si="14"/>
        <v>#REF!</v>
      </c>
    </row>
    <row r="34" spans="1:18" x14ac:dyDescent="0.75">
      <c r="A34">
        <f t="shared" si="3"/>
        <v>2045</v>
      </c>
      <c r="B34">
        <f t="shared" si="4"/>
        <v>21</v>
      </c>
      <c r="C34" s="7" t="e" cm="1">
        <f t="array" aca="1" ref="C34" ca="1" xml:space="preserve"> IF(AND(Parameter = "Max_Build",$B34 = 0),NA(),Mult *
 OFFSET(INDIRECT(Region_abbr &amp; "!A1"), Param_offset + C$11,$B34+1))</f>
        <v>#REF!</v>
      </c>
      <c r="D34" s="7" t="e" cm="1">
        <f t="array" aca="1" ref="D34" ca="1" xml:space="preserve"> IF(AND(Parameter = "Max_Build",$B34 = 0),NA(),Mult *
 OFFSET(INDIRECT(Region_abbr &amp; "!A1"), Param_offset + D$11,$B34+1))</f>
        <v>#REF!</v>
      </c>
      <c r="E34" s="7" t="e" cm="1">
        <f t="array" aca="1" ref="E34" ca="1" xml:space="preserve"> IF(AND(Parameter = "Max_Build",$B34 = 0),NA(),Mult *
 OFFSET(INDIRECT(Region_abbr &amp; "!A1"), Param_offset + E$11,$B34+1))</f>
        <v>#REF!</v>
      </c>
      <c r="F34" s="7" t="e" cm="1">
        <f t="array" aca="1" ref="F34" ca="1" xml:space="preserve"> IF(AND(Parameter = "Max_Build",$B34 = 0),NA(),Mult *
 OFFSET(INDIRECT(Region_abbr &amp; "!A1"), Param_offset + F$11,$B34+1))</f>
        <v>#REF!</v>
      </c>
      <c r="G34" s="7" t="e" cm="1">
        <f t="array" aca="1" ref="G34" ca="1" xml:space="preserve"> IF(AND(Parameter = "Max_Build",$B34 = 0),NA(),Mult *
 OFFSET(INDIRECT(Region_abbr &amp; "!A1"), Param_offset + G$11,$B34+1))</f>
        <v>#REF!</v>
      </c>
      <c r="H34" s="7" t="e" cm="1">
        <f t="array" aca="1" ref="H34" ca="1" xml:space="preserve"> IF(AND(Parameter = "Max_Build",$B34 = 0),NA(),Mult *
 OFFSET(INDIRECT(Region_abbr &amp; "!A1"), Param_offset + H$11,$B34+1))</f>
        <v>#REF!</v>
      </c>
      <c r="I34" s="1" t="e">
        <f t="shared" ca="1" si="5"/>
        <v>#REF!</v>
      </c>
      <c r="J34" s="8">
        <f t="shared" si="6"/>
        <v>2045</v>
      </c>
      <c r="K34">
        <f t="shared" si="7"/>
        <v>22</v>
      </c>
      <c r="L34" s="1" t="e">
        <f t="shared" ca="1" si="8"/>
        <v>#REF!</v>
      </c>
      <c r="M34" s="1" t="e">
        <f t="shared" ca="1" si="9"/>
        <v>#REF!</v>
      </c>
      <c r="N34" s="1" t="e">
        <f t="shared" ca="1" si="10"/>
        <v>#REF!</v>
      </c>
      <c r="O34" s="1" t="e">
        <f t="shared" ca="1" si="11"/>
        <v>#REF!</v>
      </c>
      <c r="P34" s="1" t="e">
        <f t="shared" ca="1" si="12"/>
        <v>#REF!</v>
      </c>
      <c r="Q34" s="1" t="e">
        <f t="shared" ca="1" si="13"/>
        <v>#REF!</v>
      </c>
      <c r="R34" s="1" t="e">
        <f t="shared" ca="1" si="14"/>
        <v>#REF!</v>
      </c>
    </row>
    <row r="35" spans="1:18" x14ac:dyDescent="0.75">
      <c r="A35">
        <f t="shared" si="3"/>
        <v>2046</v>
      </c>
      <c r="B35">
        <f t="shared" si="4"/>
        <v>22</v>
      </c>
      <c r="C35" s="7" t="e" cm="1">
        <f t="array" aca="1" ref="C35" ca="1" xml:space="preserve"> IF(AND(Parameter = "Max_Build",$B35 = 0),NA(),Mult *
 OFFSET(INDIRECT(Region_abbr &amp; "!A1"), Param_offset + C$11,$B35+1))</f>
        <v>#REF!</v>
      </c>
      <c r="D35" s="7" t="e" cm="1">
        <f t="array" aca="1" ref="D35" ca="1" xml:space="preserve"> IF(AND(Parameter = "Max_Build",$B35 = 0),NA(),Mult *
 OFFSET(INDIRECT(Region_abbr &amp; "!A1"), Param_offset + D$11,$B35+1))</f>
        <v>#REF!</v>
      </c>
      <c r="E35" s="7" t="e" cm="1">
        <f t="array" aca="1" ref="E35" ca="1" xml:space="preserve"> IF(AND(Parameter = "Max_Build",$B35 = 0),NA(),Mult *
 OFFSET(INDIRECT(Region_abbr &amp; "!A1"), Param_offset + E$11,$B35+1))</f>
        <v>#REF!</v>
      </c>
      <c r="F35" s="7" t="e" cm="1">
        <f t="array" aca="1" ref="F35" ca="1" xml:space="preserve"> IF(AND(Parameter = "Max_Build",$B35 = 0),NA(),Mult *
 OFFSET(INDIRECT(Region_abbr &amp; "!A1"), Param_offset + F$11,$B35+1))</f>
        <v>#REF!</v>
      </c>
      <c r="G35" s="7" t="e" cm="1">
        <f t="array" aca="1" ref="G35" ca="1" xml:space="preserve"> IF(AND(Parameter = "Max_Build",$B35 = 0),NA(),Mult *
 OFFSET(INDIRECT(Region_abbr &amp; "!A1"), Param_offset + G$11,$B35+1))</f>
        <v>#REF!</v>
      </c>
      <c r="H35" s="7" t="e" cm="1">
        <f t="array" aca="1" ref="H35" ca="1" xml:space="preserve"> IF(AND(Parameter = "Max_Build",$B35 = 0),NA(),Mult *
 OFFSET(INDIRECT(Region_abbr &amp; "!A1"), Param_offset + H$11,$B35+1))</f>
        <v>#REF!</v>
      </c>
      <c r="I35" s="1" t="e">
        <f t="shared" ca="1" si="5"/>
        <v>#REF!</v>
      </c>
      <c r="J35" s="8">
        <f t="shared" si="6"/>
        <v>2046</v>
      </c>
      <c r="K35">
        <f t="shared" si="7"/>
        <v>23</v>
      </c>
      <c r="L35" s="1" t="e">
        <f t="shared" ca="1" si="8"/>
        <v>#REF!</v>
      </c>
      <c r="M35" s="1" t="e">
        <f t="shared" ca="1" si="9"/>
        <v>#REF!</v>
      </c>
      <c r="N35" s="1" t="e">
        <f t="shared" ca="1" si="10"/>
        <v>#REF!</v>
      </c>
      <c r="O35" s="1" t="e">
        <f t="shared" ca="1" si="11"/>
        <v>#REF!</v>
      </c>
      <c r="P35" s="1" t="e">
        <f t="shared" ca="1" si="12"/>
        <v>#REF!</v>
      </c>
      <c r="Q35" s="1" t="e">
        <f t="shared" ca="1" si="13"/>
        <v>#REF!</v>
      </c>
      <c r="R35" s="1" t="e">
        <f t="shared" ca="1" si="14"/>
        <v>#REF!</v>
      </c>
    </row>
    <row r="36" spans="1:18" x14ac:dyDescent="0.75">
      <c r="A36">
        <f t="shared" si="3"/>
        <v>2047</v>
      </c>
      <c r="B36">
        <f t="shared" si="4"/>
        <v>23</v>
      </c>
      <c r="C36" s="7" t="e" cm="1">
        <f t="array" aca="1" ref="C36" ca="1" xml:space="preserve"> IF(AND(Parameter = "Max_Build",$B36 = 0),NA(),Mult *
 OFFSET(INDIRECT(Region_abbr &amp; "!A1"), Param_offset + C$11,$B36+1))</f>
        <v>#REF!</v>
      </c>
      <c r="D36" s="7" t="e" cm="1">
        <f t="array" aca="1" ref="D36" ca="1" xml:space="preserve"> IF(AND(Parameter = "Max_Build",$B36 = 0),NA(),Mult *
 OFFSET(INDIRECT(Region_abbr &amp; "!A1"), Param_offset + D$11,$B36+1))</f>
        <v>#REF!</v>
      </c>
      <c r="E36" s="7" t="e" cm="1">
        <f t="array" aca="1" ref="E36" ca="1" xml:space="preserve"> IF(AND(Parameter = "Max_Build",$B36 = 0),NA(),Mult *
 OFFSET(INDIRECT(Region_abbr &amp; "!A1"), Param_offset + E$11,$B36+1))</f>
        <v>#REF!</v>
      </c>
      <c r="F36" s="7" t="e" cm="1">
        <f t="array" aca="1" ref="F36" ca="1" xml:space="preserve"> IF(AND(Parameter = "Max_Build",$B36 = 0),NA(),Mult *
 OFFSET(INDIRECT(Region_abbr &amp; "!A1"), Param_offset + F$11,$B36+1))</f>
        <v>#REF!</v>
      </c>
      <c r="G36" s="7" t="e" cm="1">
        <f t="array" aca="1" ref="G36" ca="1" xml:space="preserve"> IF(AND(Parameter = "Max_Build",$B36 = 0),NA(),Mult *
 OFFSET(INDIRECT(Region_abbr &amp; "!A1"), Param_offset + G$11,$B36+1))</f>
        <v>#REF!</v>
      </c>
      <c r="H36" s="7" t="e" cm="1">
        <f t="array" aca="1" ref="H36" ca="1" xml:space="preserve"> IF(AND(Parameter = "Max_Build",$B36 = 0),NA(),Mult *
 OFFSET(INDIRECT(Region_abbr &amp; "!A1"), Param_offset + H$11,$B36+1))</f>
        <v>#REF!</v>
      </c>
      <c r="I36" s="1" t="e">
        <f t="shared" ca="1" si="5"/>
        <v>#REF!</v>
      </c>
      <c r="J36" s="8">
        <f t="shared" si="6"/>
        <v>2047</v>
      </c>
      <c r="K36">
        <f t="shared" si="7"/>
        <v>24</v>
      </c>
      <c r="L36" s="1" t="e">
        <f t="shared" ca="1" si="8"/>
        <v>#REF!</v>
      </c>
      <c r="M36" s="1" t="e">
        <f t="shared" ca="1" si="9"/>
        <v>#REF!</v>
      </c>
      <c r="N36" s="1" t="e">
        <f t="shared" ca="1" si="10"/>
        <v>#REF!</v>
      </c>
      <c r="O36" s="1" t="e">
        <f t="shared" ca="1" si="11"/>
        <v>#REF!</v>
      </c>
      <c r="P36" s="1" t="e">
        <f t="shared" ca="1" si="12"/>
        <v>#REF!</v>
      </c>
      <c r="Q36" s="1" t="e">
        <f t="shared" ca="1" si="13"/>
        <v>#REF!</v>
      </c>
      <c r="R36" s="1" t="e">
        <f t="shared" ca="1" si="14"/>
        <v>#REF!</v>
      </c>
    </row>
    <row r="37" spans="1:18" x14ac:dyDescent="0.75">
      <c r="A37">
        <f t="shared" si="3"/>
        <v>2048</v>
      </c>
      <c r="B37">
        <f t="shared" si="4"/>
        <v>24</v>
      </c>
      <c r="C37" s="7" t="e" cm="1">
        <f t="array" aca="1" ref="C37" ca="1" xml:space="preserve"> IF(AND(Parameter = "Max_Build",$B37 = 0),NA(),Mult *
 OFFSET(INDIRECT(Region_abbr &amp; "!A1"), Param_offset + C$11,$B37+1))</f>
        <v>#REF!</v>
      </c>
      <c r="D37" s="7" t="e" cm="1">
        <f t="array" aca="1" ref="D37" ca="1" xml:space="preserve"> IF(AND(Parameter = "Max_Build",$B37 = 0),NA(),Mult *
 OFFSET(INDIRECT(Region_abbr &amp; "!A1"), Param_offset + D$11,$B37+1))</f>
        <v>#REF!</v>
      </c>
      <c r="E37" s="7" t="e" cm="1">
        <f t="array" aca="1" ref="E37" ca="1" xml:space="preserve"> IF(AND(Parameter = "Max_Build",$B37 = 0),NA(),Mult *
 OFFSET(INDIRECT(Region_abbr &amp; "!A1"), Param_offset + E$11,$B37+1))</f>
        <v>#REF!</v>
      </c>
      <c r="F37" s="7" t="e" cm="1">
        <f t="array" aca="1" ref="F37" ca="1" xml:space="preserve"> IF(AND(Parameter = "Max_Build",$B37 = 0),NA(),Mult *
 OFFSET(INDIRECT(Region_abbr &amp; "!A1"), Param_offset + F$11,$B37+1))</f>
        <v>#REF!</v>
      </c>
      <c r="G37" s="7" t="e" cm="1">
        <f t="array" aca="1" ref="G37" ca="1" xml:space="preserve"> IF(AND(Parameter = "Max_Build",$B37 = 0),NA(),Mult *
 OFFSET(INDIRECT(Region_abbr &amp; "!A1"), Param_offset + G$11,$B37+1))</f>
        <v>#REF!</v>
      </c>
      <c r="H37" s="7" t="e" cm="1">
        <f t="array" aca="1" ref="H37" ca="1" xml:space="preserve"> IF(AND(Parameter = "Max_Build",$B37 = 0),NA(),Mult *
 OFFSET(INDIRECT(Region_abbr &amp; "!A1"), Param_offset + H$11,$B37+1))</f>
        <v>#REF!</v>
      </c>
      <c r="I37" s="1" t="e">
        <f t="shared" ca="1" si="5"/>
        <v>#REF!</v>
      </c>
      <c r="J37" s="8">
        <f t="shared" si="6"/>
        <v>2048</v>
      </c>
      <c r="K37">
        <f t="shared" si="7"/>
        <v>25</v>
      </c>
      <c r="L37" s="1" t="e">
        <f t="shared" ca="1" si="8"/>
        <v>#REF!</v>
      </c>
      <c r="M37" s="1" t="e">
        <f t="shared" ca="1" si="9"/>
        <v>#REF!</v>
      </c>
      <c r="N37" s="1" t="e">
        <f t="shared" ca="1" si="10"/>
        <v>#REF!</v>
      </c>
      <c r="O37" s="1" t="e">
        <f t="shared" ca="1" si="11"/>
        <v>#REF!</v>
      </c>
      <c r="P37" s="1" t="e">
        <f t="shared" ca="1" si="12"/>
        <v>#REF!</v>
      </c>
      <c r="Q37" s="1" t="e">
        <f t="shared" ca="1" si="13"/>
        <v>#REF!</v>
      </c>
      <c r="R37" s="1" t="e">
        <f t="shared" ca="1" si="14"/>
        <v>#REF!</v>
      </c>
    </row>
    <row r="38" spans="1:18" x14ac:dyDescent="0.75">
      <c r="A38">
        <f t="shared" si="3"/>
        <v>2049</v>
      </c>
      <c r="B38">
        <f t="shared" si="4"/>
        <v>25</v>
      </c>
      <c r="C38" s="7" t="e" cm="1">
        <f t="array" aca="1" ref="C38" ca="1" xml:space="preserve"> IF(AND(Parameter = "Max_Build",$B38 = 0),NA(),Mult *
 OFFSET(INDIRECT(Region_abbr &amp; "!A1"), Param_offset + C$11,$B38+1))</f>
        <v>#REF!</v>
      </c>
      <c r="D38" s="7" t="e" cm="1">
        <f t="array" aca="1" ref="D38" ca="1" xml:space="preserve"> IF(AND(Parameter = "Max_Build",$B38 = 0),NA(),Mult *
 OFFSET(INDIRECT(Region_abbr &amp; "!A1"), Param_offset + D$11,$B38+1))</f>
        <v>#REF!</v>
      </c>
      <c r="E38" s="7" t="e" cm="1">
        <f t="array" aca="1" ref="E38" ca="1" xml:space="preserve"> IF(AND(Parameter = "Max_Build",$B38 = 0),NA(),Mult *
 OFFSET(INDIRECT(Region_abbr &amp; "!A1"), Param_offset + E$11,$B38+1))</f>
        <v>#REF!</v>
      </c>
      <c r="F38" s="7" t="e" cm="1">
        <f t="array" aca="1" ref="F38" ca="1" xml:space="preserve"> IF(AND(Parameter = "Max_Build",$B38 = 0),NA(),Mult *
 OFFSET(INDIRECT(Region_abbr &amp; "!A1"), Param_offset + F$11,$B38+1))</f>
        <v>#REF!</v>
      </c>
      <c r="G38" s="7" t="e" cm="1">
        <f t="array" aca="1" ref="G38" ca="1" xml:space="preserve"> IF(AND(Parameter = "Max_Build",$B38 = 0),NA(),Mult *
 OFFSET(INDIRECT(Region_abbr &amp; "!A1"), Param_offset + G$11,$B38+1))</f>
        <v>#REF!</v>
      </c>
      <c r="H38" s="7" t="e" cm="1">
        <f t="array" aca="1" ref="H38" ca="1" xml:space="preserve"> IF(AND(Parameter = "Max_Build",$B38 = 0),NA(),Mult *
 OFFSET(INDIRECT(Region_abbr &amp; "!A1"), Param_offset + H$11,$B38+1))</f>
        <v>#REF!</v>
      </c>
      <c r="I38" s="1" t="e">
        <f t="shared" ca="1" si="5"/>
        <v>#REF!</v>
      </c>
      <c r="J38" s="8">
        <f t="shared" si="6"/>
        <v>2049</v>
      </c>
      <c r="K38">
        <f t="shared" si="7"/>
        <v>26</v>
      </c>
      <c r="L38" s="1" t="e">
        <f t="shared" ca="1" si="8"/>
        <v>#REF!</v>
      </c>
      <c r="M38" s="1" t="e">
        <f t="shared" ca="1" si="9"/>
        <v>#REF!</v>
      </c>
      <c r="N38" s="1" t="e">
        <f t="shared" ca="1" si="10"/>
        <v>#REF!</v>
      </c>
      <c r="O38" s="1" t="e">
        <f t="shared" ca="1" si="11"/>
        <v>#REF!</v>
      </c>
      <c r="P38" s="1" t="e">
        <f t="shared" ca="1" si="12"/>
        <v>#REF!</v>
      </c>
      <c r="Q38" s="1" t="e">
        <f t="shared" ca="1" si="13"/>
        <v>#REF!</v>
      </c>
      <c r="R38" s="1" t="e">
        <f t="shared" ca="1" si="14"/>
        <v>#REF!</v>
      </c>
    </row>
    <row r="39" spans="1:18" x14ac:dyDescent="0.75">
      <c r="A39">
        <f t="shared" si="3"/>
        <v>2050</v>
      </c>
      <c r="B39">
        <f t="shared" si="4"/>
        <v>26</v>
      </c>
      <c r="C39" s="7" t="e" cm="1">
        <f t="array" aca="1" ref="C39" ca="1" xml:space="preserve"> IF(AND(Parameter = "Max_Build",$B39 = 0),NA(),Mult *
 OFFSET(INDIRECT(Region_abbr &amp; "!A1"), Param_offset + C$11,$B39+1))</f>
        <v>#REF!</v>
      </c>
      <c r="D39" s="7" t="e" cm="1">
        <f t="array" aca="1" ref="D39" ca="1" xml:space="preserve"> IF(AND(Parameter = "Max_Build",$B39 = 0),NA(),Mult *
 OFFSET(INDIRECT(Region_abbr &amp; "!A1"), Param_offset + D$11,$B39+1))</f>
        <v>#REF!</v>
      </c>
      <c r="E39" s="7" t="e" cm="1">
        <f t="array" aca="1" ref="E39" ca="1" xml:space="preserve"> IF(AND(Parameter = "Max_Build",$B39 = 0),NA(),Mult *
 OFFSET(INDIRECT(Region_abbr &amp; "!A1"), Param_offset + E$11,$B39+1))</f>
        <v>#REF!</v>
      </c>
      <c r="F39" s="7" t="e" cm="1">
        <f t="array" aca="1" ref="F39" ca="1" xml:space="preserve"> IF(AND(Parameter = "Max_Build",$B39 = 0),NA(),Mult *
 OFFSET(INDIRECT(Region_abbr &amp; "!A1"), Param_offset + F$11,$B39+1))</f>
        <v>#REF!</v>
      </c>
      <c r="G39" s="7" t="e" cm="1">
        <f t="array" aca="1" ref="G39" ca="1" xml:space="preserve"> IF(AND(Parameter = "Max_Build",$B39 = 0),NA(),Mult *
 OFFSET(INDIRECT(Region_abbr &amp; "!A1"), Param_offset + G$11,$B39+1))</f>
        <v>#REF!</v>
      </c>
      <c r="H39" s="7" t="e" cm="1">
        <f t="array" aca="1" ref="H39" ca="1" xml:space="preserve"> IF(AND(Parameter = "Max_Build",$B39 = 0),NA(),Mult *
 OFFSET(INDIRECT(Region_abbr &amp; "!A1"), Param_offset + H$11,$B39+1))</f>
        <v>#REF!</v>
      </c>
      <c r="I39" s="1" t="e">
        <f t="shared" ca="1" si="5"/>
        <v>#REF!</v>
      </c>
      <c r="J39" s="8">
        <f t="shared" ref="J39" si="15">J38+1</f>
        <v>2050</v>
      </c>
      <c r="K39">
        <f t="shared" ref="K39" si="16">K38+1</f>
        <v>27</v>
      </c>
      <c r="L39" s="1" t="e">
        <f t="shared" ca="1" si="8"/>
        <v>#REF!</v>
      </c>
      <c r="M39" s="1" t="e">
        <f t="shared" ca="1" si="9"/>
        <v>#REF!</v>
      </c>
      <c r="N39" s="1" t="e">
        <f t="shared" ca="1" si="10"/>
        <v>#REF!</v>
      </c>
      <c r="O39" s="1" t="e">
        <f t="shared" ca="1" si="11"/>
        <v>#REF!</v>
      </c>
      <c r="P39" s="1" t="e">
        <f t="shared" ca="1" si="12"/>
        <v>#REF!</v>
      </c>
      <c r="Q39" s="1" t="e">
        <f t="shared" ca="1" si="13"/>
        <v>#REF!</v>
      </c>
      <c r="R39" s="1" t="e">
        <f t="shared" ref="R39" ca="1" si="17">I40-I39</f>
        <v>#REF!</v>
      </c>
    </row>
  </sheetData>
  <mergeCells count="1">
    <mergeCell ref="E3:G3"/>
  </mergeCells>
  <conditionalFormatting sqref="C13:J39">
    <cfRule type="expression" dxfId="12" priority="3">
      <formula>$P13 &gt; 10000</formula>
    </cfRule>
  </conditionalFormatting>
  <conditionalFormatting sqref="L13:R39">
    <cfRule type="expression" dxfId="11" priority="2">
      <formula>$P13 &gt; 10000</formula>
    </cfRule>
  </conditionalFormatting>
  <conditionalFormatting sqref="C2">
    <cfRule type="expression" dxfId="10" priority="1">
      <formula>$P2 &gt; 10000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6A7E-D8DB-44EB-B1D7-64960F4154EB}">
  <sheetPr codeName="Sheet3"/>
  <dimension ref="A1:AI65"/>
  <sheetViews>
    <sheetView workbookViewId="0">
      <selection activeCell="C1" sqref="C1"/>
    </sheetView>
  </sheetViews>
  <sheetFormatPr defaultRowHeight="14.75" x14ac:dyDescent="0.75"/>
  <cols>
    <col min="1" max="1" width="11.6796875" customWidth="1"/>
    <col min="3" max="3" width="5.58984375" style="3" bestFit="1" customWidth="1"/>
    <col min="4" max="4" width="5.6796875" style="3" bestFit="1" customWidth="1"/>
    <col min="5" max="5" width="6.81640625" style="3" bestFit="1" customWidth="1"/>
    <col min="6" max="6" width="5.58984375" style="3" bestFit="1" customWidth="1"/>
    <col min="7" max="7" width="4.81640625" style="3" bestFit="1" customWidth="1"/>
    <col min="8" max="8" width="6.40625" style="3" bestFit="1" customWidth="1"/>
  </cols>
  <sheetData>
    <row r="1" spans="1:35" x14ac:dyDescent="0.75">
      <c r="A1" s="13" t="str">
        <f>Cost_Graph!Region</f>
        <v>Entire US</v>
      </c>
      <c r="B1" s="13"/>
      <c r="C1" s="3" t="e">
        <f>VLOOKUP(A1,Region_lookup,2,FALSE)</f>
        <v>#REF!</v>
      </c>
    </row>
    <row r="3" spans="1:35" x14ac:dyDescent="0.75">
      <c r="A3" s="6" t="s">
        <v>12</v>
      </c>
      <c r="J3" s="6" t="s">
        <v>13</v>
      </c>
      <c r="S3" s="6" t="s">
        <v>14</v>
      </c>
      <c r="AB3" s="6" t="s">
        <v>15</v>
      </c>
    </row>
    <row r="4" spans="1:35" x14ac:dyDescent="0.75">
      <c r="A4" t="s">
        <v>31</v>
      </c>
      <c r="B4" t="e">
        <f>VLOOKUP(A3 &amp; " Cost",Param_Table,4,FALSE)</f>
        <v>#REF!</v>
      </c>
      <c r="J4" t="s">
        <v>31</v>
      </c>
      <c r="K4" t="e">
        <f>VLOOKUP(J3 &amp; " Cost",Param_Table,4,FALSE)</f>
        <v>#REF!</v>
      </c>
      <c r="S4" t="s">
        <v>31</v>
      </c>
      <c r="T4" t="e">
        <f>VLOOKUP(S3 &amp; " Cost",Param_Table,4,FALSE)</f>
        <v>#REF!</v>
      </c>
      <c r="AB4" t="s">
        <v>31</v>
      </c>
      <c r="AC4" t="e">
        <f>VLOOKUP(AB3 &amp; " Cost",Param_Table,4,FALSE)</f>
        <v>#REF!</v>
      </c>
    </row>
    <row r="5" spans="1:35" x14ac:dyDescent="0.75">
      <c r="A5" t="s">
        <v>6</v>
      </c>
      <c r="B5" t="e">
        <f>VLOOKUP(A3 &amp; " Cost",Param_Table,2,FALSE)</f>
        <v>#REF!</v>
      </c>
      <c r="J5" t="s">
        <v>6</v>
      </c>
      <c r="K5" t="e">
        <f>VLOOKUP(J3 &amp; " Cost",Param_Table,2,FALSE)</f>
        <v>#REF!</v>
      </c>
      <c r="L5" s="3"/>
      <c r="M5" s="3"/>
      <c r="N5" s="3"/>
      <c r="O5" s="3"/>
      <c r="P5" s="3"/>
      <c r="Q5" s="3"/>
      <c r="S5" t="s">
        <v>6</v>
      </c>
      <c r="T5" t="e">
        <f>VLOOKUP(S3 &amp; " Cost",Param_Table,2,FALSE)</f>
        <v>#REF!</v>
      </c>
      <c r="U5" s="3"/>
      <c r="V5" s="3"/>
      <c r="W5" s="3"/>
      <c r="X5" s="3"/>
      <c r="Y5" s="3"/>
      <c r="Z5" s="3"/>
      <c r="AB5" t="s">
        <v>6</v>
      </c>
      <c r="AC5" t="e">
        <f>VLOOKUP(AB3 &amp; " Cost",Param_Table,2,FALSE)</f>
        <v>#REF!</v>
      </c>
      <c r="AD5" s="3"/>
      <c r="AE5" s="3"/>
      <c r="AF5" s="3"/>
      <c r="AG5" s="3"/>
      <c r="AH5" s="3"/>
      <c r="AI5" s="3"/>
    </row>
    <row r="6" spans="1:35" x14ac:dyDescent="0.75">
      <c r="A6" t="s">
        <v>8</v>
      </c>
      <c r="B6" t="s">
        <v>29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J6" t="s">
        <v>8</v>
      </c>
      <c r="K6" t="s">
        <v>29</v>
      </c>
      <c r="L6" s="3" t="e">
        <f t="shared" ref="L6:Q6" si="1">VALUE(VLOOKUP(L$7,NRG_Table,2,FALSE))</f>
        <v>#REF!</v>
      </c>
      <c r="M6" s="3" t="e">
        <f t="shared" si="1"/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S6" t="s">
        <v>8</v>
      </c>
      <c r="T6" t="s">
        <v>29</v>
      </c>
      <c r="U6" s="3" t="e">
        <f t="shared" ref="U6:Z6" si="2">VALUE(VLOOKUP(U$7,NRG_Table,2,FALSE))</f>
        <v>#REF!</v>
      </c>
      <c r="V6" s="3" t="e">
        <f t="shared" si="2"/>
        <v>#REF!</v>
      </c>
      <c r="W6" s="3" t="e">
        <f t="shared" si="2"/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B6" t="s">
        <v>8</v>
      </c>
      <c r="AC6" t="s">
        <v>29</v>
      </c>
      <c r="AD6" s="3" t="e">
        <f t="shared" ref="AD6:AI6" si="3">VALUE(VLOOKUP(AD$7,NRG_Table,2,FALSE))</f>
        <v>#REF!</v>
      </c>
      <c r="AE6" s="3" t="e">
        <f t="shared" si="3"/>
        <v>#REF!</v>
      </c>
      <c r="AF6" s="3" t="e">
        <f t="shared" si="3"/>
        <v>#REF!</v>
      </c>
      <c r="AG6" s="3" t="e">
        <f t="shared" si="3"/>
        <v>#REF!</v>
      </c>
      <c r="AH6" s="3" t="e">
        <f t="shared" si="3"/>
        <v>#REF!</v>
      </c>
      <c r="AI6" s="3" t="e">
        <f t="shared" si="3"/>
        <v>#REF!</v>
      </c>
    </row>
    <row r="7" spans="1:35" x14ac:dyDescent="0.75">
      <c r="A7">
        <v>2023</v>
      </c>
      <c r="B7">
        <v>-1</v>
      </c>
      <c r="C7" s="3" t="s">
        <v>0</v>
      </c>
      <c r="D7" s="3" t="s">
        <v>1</v>
      </c>
      <c r="E7" s="3" t="s">
        <v>2</v>
      </c>
      <c r="F7" s="3" t="s">
        <v>3</v>
      </c>
      <c r="G7" s="3" t="s">
        <v>4</v>
      </c>
      <c r="H7" s="3" t="s">
        <v>9</v>
      </c>
      <c r="J7">
        <v>2023</v>
      </c>
      <c r="K7">
        <v>-1</v>
      </c>
      <c r="L7" s="3" t="s">
        <v>0</v>
      </c>
      <c r="M7" s="3" t="s">
        <v>1</v>
      </c>
      <c r="N7" s="3" t="s">
        <v>2</v>
      </c>
      <c r="O7" s="3" t="s">
        <v>3</v>
      </c>
      <c r="P7" s="3" t="s">
        <v>4</v>
      </c>
      <c r="Q7" s="3" t="s">
        <v>9</v>
      </c>
      <c r="S7">
        <v>2023</v>
      </c>
      <c r="T7">
        <v>-1</v>
      </c>
      <c r="U7" s="3" t="s">
        <v>0</v>
      </c>
      <c r="V7" s="3" t="s">
        <v>1</v>
      </c>
      <c r="W7" s="3" t="s">
        <v>2</v>
      </c>
      <c r="X7" s="3" t="s">
        <v>3</v>
      </c>
      <c r="Y7" s="3" t="s">
        <v>4</v>
      </c>
      <c r="Z7" s="3" t="s">
        <v>9</v>
      </c>
      <c r="AB7">
        <v>2023</v>
      </c>
      <c r="AC7">
        <v>-1</v>
      </c>
      <c r="AD7" s="3" t="s">
        <v>0</v>
      </c>
      <c r="AE7" s="3" t="s">
        <v>1</v>
      </c>
      <c r="AF7" s="3" t="s">
        <v>2</v>
      </c>
      <c r="AG7" s="3" t="s">
        <v>3</v>
      </c>
      <c r="AH7" s="3" t="s">
        <v>4</v>
      </c>
      <c r="AI7" s="3" t="s">
        <v>9</v>
      </c>
    </row>
    <row r="8" spans="1:35" x14ac:dyDescent="0.75">
      <c r="A8">
        <f>A7+1</f>
        <v>2024</v>
      </c>
      <c r="B8">
        <f>B7+1</f>
        <v>0</v>
      </c>
      <c r="C8" s="9" t="e" cm="1">
        <f t="array" aca="1" ref="C8" ca="1">$B$4 *
INDIRECT("Include_" &amp; $A$3)*INDIRECT("Include_" &amp; C$7)*
OFFSET(INDIRECT(Region_Abbr_Cost &amp; "!A1"), $B$5 + C$6,$B8+1)</f>
        <v>#REF!</v>
      </c>
      <c r="D8" s="9" t="e" cm="1">
        <f t="array" aca="1" ref="D8" ca="1">$B$4 *
INDIRECT("Include_" &amp; $A$3)*INDIRECT("Include_" &amp; D$7)*
OFFSET(INDIRECT(Region_Abbr_Cost &amp; "!A1"), $B$5 + D$6,$B8+1)</f>
        <v>#REF!</v>
      </c>
      <c r="E8" s="9" t="e" cm="1">
        <f t="array" aca="1" ref="E8" ca="1">$B$4 *
INDIRECT("Include_" &amp; $A$3)*INDIRECT("Include_" &amp; E$7)*
OFFSET(INDIRECT(Region_Abbr_Cost &amp; "!A1"), $B$5 + E$6,$B8+1)</f>
        <v>#REF!</v>
      </c>
      <c r="F8" s="9" t="e" cm="1">
        <f t="array" aca="1" ref="F8" ca="1">$B$4 *
INDIRECT("Include_" &amp; $A$3)*INDIRECT("Include_" &amp; F$7)*
OFFSET(INDIRECT(Region_Abbr_Cost &amp; "!A1"), $B$5 + F$6,$B8+1)</f>
        <v>#REF!</v>
      </c>
      <c r="G8" s="9" t="e" cm="1">
        <f t="array" aca="1" ref="G8" ca="1">$B$4 *
INDIRECT("Include_" &amp; $A$3)*INDIRECT("Include_" &amp; G$7)*
OFFSET(INDIRECT(Region_Abbr_Cost &amp; "!A1"), $B$5 + G$6,$B8+1)</f>
        <v>#REF!</v>
      </c>
      <c r="H8" s="9" t="e" cm="1">
        <f t="array" aca="1" ref="H8" ca="1">$B$4 *
INDIRECT("Include_" &amp; $A$3)*INDIRECT("Include_" &amp; H$7)*
OFFSET(INDIRECT(Region_Abbr_Cost &amp; "!A1"), $B$5 + H$6,$B8+1)</f>
        <v>#REF!</v>
      </c>
      <c r="J8">
        <f>J7+1</f>
        <v>2024</v>
      </c>
      <c r="K8">
        <f>K7+1</f>
        <v>0</v>
      </c>
      <c r="L8" s="9" t="e" cm="1">
        <f t="array" aca="1" ref="L8" ca="1">$K$4 *
INDIRECT("Include_" &amp; $J$3)*INDIRECT("Include_" &amp; L$7)*
OFFSET(INDIRECT(Region_Abbr_Cost &amp; "!A1"), $K$5 + L$6,$K8+1)</f>
        <v>#REF!</v>
      </c>
      <c r="M8" s="9" t="e" cm="1">
        <f t="array" aca="1" ref="M8" ca="1">$K$4 *
INDIRECT("Include_" &amp; $J$3)*INDIRECT("Include_" &amp; M$7)*
OFFSET(INDIRECT(Region_Abbr_Cost &amp; "!A1"), $K$5 + M$6,$K8+1)</f>
        <v>#REF!</v>
      </c>
      <c r="N8" s="9" t="e" cm="1">
        <f t="array" aca="1" ref="N8" ca="1">$K$4 *
INDIRECT("Include_" &amp; $J$3)*INDIRECT("Include_" &amp; N$7)*
OFFSET(INDIRECT(Region_Abbr_Cost &amp; "!A1"), $K$5 + N$6,$K8+1)</f>
        <v>#REF!</v>
      </c>
      <c r="O8" s="9" t="e" cm="1">
        <f t="array" aca="1" ref="O8" ca="1">$K$4 *
INDIRECT("Include_" &amp; $J$3)*INDIRECT("Include_" &amp; O$7)*
OFFSET(INDIRECT(Region_Abbr_Cost &amp; "!A1"), $K$5 + O$6,$K8+1)</f>
        <v>#REF!</v>
      </c>
      <c r="P8" s="9" t="e" cm="1">
        <f t="array" aca="1" ref="P8" ca="1">$K$4 *
INDIRECT("Include_" &amp; $J$3)*INDIRECT("Include_" &amp; P$7)*
OFFSET(INDIRECT(Region_Abbr_Cost &amp; "!A1"), $K$5 + P$6,$K8+1)</f>
        <v>#REF!</v>
      </c>
      <c r="Q8" s="9" t="e" cm="1">
        <f t="array" aca="1" ref="Q8" ca="1">$K$4 *
INDIRECT("Include_" &amp; $J$3)*INDIRECT("Include_" &amp; Q$7)*
OFFSET(INDIRECT(Region_Abbr_Cost &amp; "!A1"), $K$5 + Q$6,$K8+1)</f>
        <v>#REF!</v>
      </c>
      <c r="S8">
        <f>S7+1</f>
        <v>2024</v>
      </c>
      <c r="T8">
        <f>T7+1</f>
        <v>0</v>
      </c>
      <c r="U8" s="9" t="e" cm="1">
        <f t="array" aca="1" ref="U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U$6,$T8+1)</f>
        <v>#REF!</v>
      </c>
      <c r="V8" s="9" t="e" cm="1">
        <f t="array" aca="1" ref="V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V$6,$T8+1)</f>
        <v>#REF!</v>
      </c>
      <c r="W8" s="9" t="e" cm="1">
        <f t="array" aca="1" ref="W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W$6,$T8+1)</f>
        <v>#REF!</v>
      </c>
      <c r="X8" s="9" t="e" cm="1">
        <f t="array" aca="1" ref="X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X$6,$T8+1)</f>
        <v>#REF!</v>
      </c>
      <c r="Y8" s="9" t="e" cm="1">
        <f t="array" aca="1" ref="Y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Y$6,$T8+1)</f>
        <v>#REF!</v>
      </c>
      <c r="Z8" s="9" t="e" cm="1">
        <f t="array" aca="1" ref="Z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Z$6,$T8+1)</f>
        <v>#REF!</v>
      </c>
      <c r="AB8">
        <f>AB7+1</f>
        <v>2024</v>
      </c>
      <c r="AC8">
        <f>AC7+1</f>
        <v>0</v>
      </c>
      <c r="AD8" s="9" t="e" cm="1">
        <f t="array" aca="1" ref="AD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AD$6,$AC8+1)</f>
        <v>#REF!</v>
      </c>
      <c r="AE8" s="9" t="e" cm="1">
        <f t="array" aca="1" ref="AE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AE$6,$AC8+1)</f>
        <v>#REF!</v>
      </c>
      <c r="AF8" s="9" t="e" cm="1">
        <f t="array" aca="1" ref="AF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AF$6,$AC8+1)</f>
        <v>#REF!</v>
      </c>
      <c r="AG8" s="9" t="e" cm="1">
        <f t="array" aca="1" ref="AG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AG$6,$AC8+1)</f>
        <v>#REF!</v>
      </c>
      <c r="AH8" s="9" t="e" cm="1">
        <f t="array" aca="1" ref="AH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AH$6,$AC8+1)</f>
        <v>#REF!</v>
      </c>
      <c r="AI8" s="9" t="e" cm="1">
        <f t="array" aca="1" ref="AI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AI$6,$AC8+1)</f>
        <v>#REF!</v>
      </c>
    </row>
    <row r="9" spans="1:35" x14ac:dyDescent="0.75">
      <c r="A9">
        <f t="shared" ref="A9:A34" si="4">A8+1</f>
        <v>2025</v>
      </c>
      <c r="B9">
        <f t="shared" ref="B9:B34" si="5">B8+1</f>
        <v>1</v>
      </c>
      <c r="C9" s="9" t="e" cm="1">
        <f t="array" aca="1" ref="C9" ca="1">$B$4 *
INDIRECT("Include_" &amp; $A$3)*INDIRECT("Include_" &amp; C$7)*
OFFSET(INDIRECT(Region_Abbr_Cost &amp; "!A1"), $B$5 + C$6,$B9+1)</f>
        <v>#REF!</v>
      </c>
      <c r="D9" s="9" t="e" cm="1">
        <f t="array" aca="1" ref="D9" ca="1">$B$4 *
INDIRECT("Include_" &amp; $A$3)*INDIRECT("Include_" &amp; D$7)*
OFFSET(INDIRECT(Region_Abbr_Cost &amp; "!A1"), $B$5 + D$6,$B9+1)</f>
        <v>#REF!</v>
      </c>
      <c r="E9" s="9" t="e" cm="1">
        <f t="array" aca="1" ref="E9" ca="1">$B$4 *
INDIRECT("Include_" &amp; $A$3)*INDIRECT("Include_" &amp; E$7)*
OFFSET(INDIRECT(Region_Abbr_Cost &amp; "!A1"), $B$5 + E$6,$B9+1)</f>
        <v>#REF!</v>
      </c>
      <c r="F9" s="9" t="e" cm="1">
        <f t="array" aca="1" ref="F9" ca="1">$B$4 *
INDIRECT("Include_" &amp; $A$3)*INDIRECT("Include_" &amp; F$7)*
OFFSET(INDIRECT(Region_Abbr_Cost &amp; "!A1"), $B$5 + F$6,$B9+1)</f>
        <v>#REF!</v>
      </c>
      <c r="G9" s="9" t="e" cm="1">
        <f t="array" aca="1" ref="G9" ca="1">$B$4 *
INDIRECT("Include_" &amp; $A$3)*INDIRECT("Include_" &amp; G$7)*
OFFSET(INDIRECT(Region_Abbr_Cost &amp; "!A1"), $B$5 + G$6,$B9+1)</f>
        <v>#REF!</v>
      </c>
      <c r="H9" s="9" t="e" cm="1">
        <f t="array" aca="1" ref="H9" ca="1">$B$4 *
INDIRECT("Include_" &amp; $A$3)*INDIRECT("Include_" &amp; H$7)*
OFFSET(INDIRECT(Region_Abbr_Cost &amp; "!A1"), $B$5 + H$6,$B9+1)</f>
        <v>#REF!</v>
      </c>
      <c r="J9">
        <f t="shared" ref="J9:J34" si="6">J8+1</f>
        <v>2025</v>
      </c>
      <c r="K9">
        <f t="shared" ref="K9:K34" si="7">K8+1</f>
        <v>1</v>
      </c>
      <c r="L9" s="9" t="e" cm="1">
        <f t="array" aca="1" ref="L9" ca="1">$K$4 *
INDIRECT("Include_" &amp; $J$3)*INDIRECT("Include_" &amp; L$7)*
OFFSET(INDIRECT(Region_Abbr_Cost &amp; "!A1"), $K$5 + L$6,$K9+1)</f>
        <v>#REF!</v>
      </c>
      <c r="M9" s="9" t="e" cm="1">
        <f t="array" aca="1" ref="M9" ca="1">$K$4 *
INDIRECT("Include_" &amp; $J$3)*INDIRECT("Include_" &amp; M$7)*
OFFSET(INDIRECT(Region_Abbr_Cost &amp; "!A1"), $K$5 + M$6,$K9+1)</f>
        <v>#REF!</v>
      </c>
      <c r="N9" s="9" t="e" cm="1">
        <f t="array" aca="1" ref="N9" ca="1">$K$4 *
INDIRECT("Include_" &amp; $J$3)*INDIRECT("Include_" &amp; N$7)*
OFFSET(INDIRECT(Region_Abbr_Cost &amp; "!A1"), $K$5 + N$6,$K9+1)</f>
        <v>#REF!</v>
      </c>
      <c r="O9" s="9" t="e" cm="1">
        <f t="array" aca="1" ref="O9" ca="1">$K$4 *
INDIRECT("Include_" &amp; $J$3)*INDIRECT("Include_" &amp; O$7)*
OFFSET(INDIRECT(Region_Abbr_Cost &amp; "!A1"), $K$5 + O$6,$K9+1)</f>
        <v>#REF!</v>
      </c>
      <c r="P9" s="9" t="e" cm="1">
        <f t="array" aca="1" ref="P9" ca="1">$K$4 *
INDIRECT("Include_" &amp; $J$3)*INDIRECT("Include_" &amp; P$7)*
OFFSET(INDIRECT(Region_Abbr_Cost &amp; "!A1"), $K$5 + P$6,$K9+1)</f>
        <v>#REF!</v>
      </c>
      <c r="Q9" s="9" t="e" cm="1">
        <f t="array" aca="1" ref="Q9" ca="1">$K$4 *
INDIRECT("Include_" &amp; $J$3)*INDIRECT("Include_" &amp; Q$7)*
OFFSET(INDIRECT(Region_Abbr_Cost &amp; "!A1"), $K$5 + Q$6,$K9+1)</f>
        <v>#REF!</v>
      </c>
      <c r="S9">
        <f t="shared" ref="S9:S34" si="8">S8+1</f>
        <v>2025</v>
      </c>
      <c r="T9">
        <f t="shared" ref="T9:T34" si="9">T8+1</f>
        <v>1</v>
      </c>
      <c r="U9" s="9" t="e" cm="1">
        <f t="array" aca="1" ref="U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U$6,$T9+1)</f>
        <v>#REF!</v>
      </c>
      <c r="V9" s="9" t="e" cm="1">
        <f t="array" aca="1" ref="V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V$6,$T9+1)</f>
        <v>#REF!</v>
      </c>
      <c r="W9" s="9" t="e" cm="1">
        <f t="array" aca="1" ref="W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W$6,$T9+1)</f>
        <v>#REF!</v>
      </c>
      <c r="X9" s="9" t="e" cm="1">
        <f t="array" aca="1" ref="X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X$6,$T9+1)</f>
        <v>#REF!</v>
      </c>
      <c r="Y9" s="9" t="e" cm="1">
        <f t="array" aca="1" ref="Y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Y$6,$T9+1)</f>
        <v>#REF!</v>
      </c>
      <c r="Z9" s="9" t="e" cm="1">
        <f t="array" aca="1" ref="Z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Z$6,$T9+1)</f>
        <v>#REF!</v>
      </c>
      <c r="AB9">
        <f t="shared" ref="AB9:AB34" si="10">AB8+1</f>
        <v>2025</v>
      </c>
      <c r="AC9">
        <f t="shared" ref="AC9:AC34" si="11">AC8+1</f>
        <v>1</v>
      </c>
      <c r="AD9" s="9" t="e" cm="1">
        <f t="array" aca="1" ref="AD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AD$6,$AC9+1)</f>
        <v>#REF!</v>
      </c>
      <c r="AE9" s="9" t="e" cm="1">
        <f t="array" aca="1" ref="AE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AE$6,$AC9+1)</f>
        <v>#REF!</v>
      </c>
      <c r="AF9" s="9" t="e" cm="1">
        <f t="array" aca="1" ref="AF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AF$6,$AC9+1)</f>
        <v>#REF!</v>
      </c>
      <c r="AG9" s="9" t="e" cm="1">
        <f t="array" aca="1" ref="AG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AG$6,$AC9+1)</f>
        <v>#REF!</v>
      </c>
      <c r="AH9" s="9" t="e" cm="1">
        <f t="array" aca="1" ref="AH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AH$6,$AC9+1)</f>
        <v>#REF!</v>
      </c>
      <c r="AI9" s="9" t="e" cm="1">
        <f t="array" aca="1" ref="AI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AI$6,$AC9+1)</f>
        <v>#REF!</v>
      </c>
    </row>
    <row r="10" spans="1:35" x14ac:dyDescent="0.75">
      <c r="A10">
        <f t="shared" si="4"/>
        <v>2026</v>
      </c>
      <c r="B10">
        <f t="shared" si="5"/>
        <v>2</v>
      </c>
      <c r="C10" s="9" t="e" cm="1">
        <f t="array" aca="1" ref="C10" ca="1">$B$4 *
INDIRECT("Include_" &amp; $A$3)*INDIRECT("Include_" &amp; C$7)*
OFFSET(INDIRECT(Region_Abbr_Cost &amp; "!A1"), $B$5 + C$6,$B10+1)</f>
        <v>#REF!</v>
      </c>
      <c r="D10" s="9" t="e" cm="1">
        <f t="array" aca="1" ref="D10" ca="1">$B$4 *
INDIRECT("Include_" &amp; $A$3)*INDIRECT("Include_" &amp; D$7)*
OFFSET(INDIRECT(Region_Abbr_Cost &amp; "!A1"), $B$5 + D$6,$B10+1)</f>
        <v>#REF!</v>
      </c>
      <c r="E10" s="9" t="e" cm="1">
        <f t="array" aca="1" ref="E10" ca="1">$B$4 *
INDIRECT("Include_" &amp; $A$3)*INDIRECT("Include_" &amp; E$7)*
OFFSET(INDIRECT(Region_Abbr_Cost &amp; "!A1"), $B$5 + E$6,$B10+1)</f>
        <v>#REF!</v>
      </c>
      <c r="F10" s="9" t="e" cm="1">
        <f t="array" aca="1" ref="F10" ca="1">$B$4 *
INDIRECT("Include_" &amp; $A$3)*INDIRECT("Include_" &amp; F$7)*
OFFSET(INDIRECT(Region_Abbr_Cost &amp; "!A1"), $B$5 + F$6,$B10+1)</f>
        <v>#REF!</v>
      </c>
      <c r="G10" s="9" t="e" cm="1">
        <f t="array" aca="1" ref="G10" ca="1">$B$4 *
INDIRECT("Include_" &amp; $A$3)*INDIRECT("Include_" &amp; G$7)*
OFFSET(INDIRECT(Region_Abbr_Cost &amp; "!A1"), $B$5 + G$6,$B10+1)</f>
        <v>#REF!</v>
      </c>
      <c r="H10" s="9" t="e" cm="1">
        <f t="array" aca="1" ref="H10" ca="1">$B$4 *
INDIRECT("Include_" &amp; $A$3)*INDIRECT("Include_" &amp; H$7)*
OFFSET(INDIRECT(Region_Abbr_Cost &amp; "!A1"), $B$5 + H$6,$B10+1)</f>
        <v>#REF!</v>
      </c>
      <c r="J10">
        <f t="shared" si="6"/>
        <v>2026</v>
      </c>
      <c r="K10">
        <f t="shared" si="7"/>
        <v>2</v>
      </c>
      <c r="L10" s="9" t="e" cm="1">
        <f t="array" aca="1" ref="L10" ca="1">$K$4 *
INDIRECT("Include_" &amp; $J$3)*INDIRECT("Include_" &amp; L$7)*
OFFSET(INDIRECT(Region_Abbr_Cost &amp; "!A1"), $K$5 + L$6,$K10+1)</f>
        <v>#REF!</v>
      </c>
      <c r="M10" s="9" t="e" cm="1">
        <f t="array" aca="1" ref="M10" ca="1">$K$4 *
INDIRECT("Include_" &amp; $J$3)*INDIRECT("Include_" &amp; M$7)*
OFFSET(INDIRECT(Region_Abbr_Cost &amp; "!A1"), $K$5 + M$6,$K10+1)</f>
        <v>#REF!</v>
      </c>
      <c r="N10" s="9" t="e" cm="1">
        <f t="array" aca="1" ref="N10" ca="1">$K$4 *
INDIRECT("Include_" &amp; $J$3)*INDIRECT("Include_" &amp; N$7)*
OFFSET(INDIRECT(Region_Abbr_Cost &amp; "!A1"), $K$5 + N$6,$K10+1)</f>
        <v>#REF!</v>
      </c>
      <c r="O10" s="9" t="e" cm="1">
        <f t="array" aca="1" ref="O10" ca="1">$K$4 *
INDIRECT("Include_" &amp; $J$3)*INDIRECT("Include_" &amp; O$7)*
OFFSET(INDIRECT(Region_Abbr_Cost &amp; "!A1"), $K$5 + O$6,$K10+1)</f>
        <v>#REF!</v>
      </c>
      <c r="P10" s="9" t="e" cm="1">
        <f t="array" aca="1" ref="P10" ca="1">$K$4 *
INDIRECT("Include_" &amp; $J$3)*INDIRECT("Include_" &amp; P$7)*
OFFSET(INDIRECT(Region_Abbr_Cost &amp; "!A1"), $K$5 + P$6,$K10+1)</f>
        <v>#REF!</v>
      </c>
      <c r="Q10" s="9" t="e" cm="1">
        <f t="array" aca="1" ref="Q10" ca="1">$K$4 *
INDIRECT("Include_" &amp; $J$3)*INDIRECT("Include_" &amp; Q$7)*
OFFSET(INDIRECT(Region_Abbr_Cost &amp; "!A1"), $K$5 + Q$6,$K10+1)</f>
        <v>#REF!</v>
      </c>
      <c r="S10">
        <f t="shared" si="8"/>
        <v>2026</v>
      </c>
      <c r="T10">
        <f t="shared" si="9"/>
        <v>2</v>
      </c>
      <c r="U10" s="9" t="e" cm="1">
        <f t="array" aca="1" ref="U1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U$6,$T10+1)</f>
        <v>#REF!</v>
      </c>
      <c r="V10" s="9" t="e" cm="1">
        <f t="array" aca="1" ref="V1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V$6,$T10+1)</f>
        <v>#REF!</v>
      </c>
      <c r="W10" s="9" t="e" cm="1">
        <f t="array" aca="1" ref="W1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W$6,$T10+1)</f>
        <v>#REF!</v>
      </c>
      <c r="X10" s="9" t="e" cm="1">
        <f t="array" aca="1" ref="X1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X$6,$T10+1)</f>
        <v>#REF!</v>
      </c>
      <c r="Y10" s="9" t="e" cm="1">
        <f t="array" aca="1" ref="Y1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Y$6,$T10+1)</f>
        <v>#REF!</v>
      </c>
      <c r="Z10" s="9" t="e" cm="1">
        <f t="array" aca="1" ref="Z1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Z$6,$T10+1)</f>
        <v>#REF!</v>
      </c>
      <c r="AB10">
        <f t="shared" si="10"/>
        <v>2026</v>
      </c>
      <c r="AC10">
        <f t="shared" si="11"/>
        <v>2</v>
      </c>
      <c r="AD10" s="9" t="e" cm="1">
        <f t="array" aca="1" ref="AD1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AD$6,$AC10+1)</f>
        <v>#REF!</v>
      </c>
      <c r="AE10" s="9" t="e" cm="1">
        <f t="array" aca="1" ref="AE1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AE$6,$AC10+1)</f>
        <v>#REF!</v>
      </c>
      <c r="AF10" s="9" t="e" cm="1">
        <f t="array" aca="1" ref="AF1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AF$6,$AC10+1)</f>
        <v>#REF!</v>
      </c>
      <c r="AG10" s="9" t="e" cm="1">
        <f t="array" aca="1" ref="AG1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AG$6,$AC10+1)</f>
        <v>#REF!</v>
      </c>
      <c r="AH10" s="9" t="e" cm="1">
        <f t="array" aca="1" ref="AH1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AH$6,$AC10+1)</f>
        <v>#REF!</v>
      </c>
      <c r="AI10" s="9" t="e" cm="1">
        <f t="array" aca="1" ref="AI1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AI$6,$AC10+1)</f>
        <v>#REF!</v>
      </c>
    </row>
    <row r="11" spans="1:35" x14ac:dyDescent="0.75">
      <c r="A11">
        <f t="shared" si="4"/>
        <v>2027</v>
      </c>
      <c r="B11">
        <f t="shared" si="5"/>
        <v>3</v>
      </c>
      <c r="C11" s="9" t="e" cm="1">
        <f t="array" aca="1" ref="C11" ca="1">$B$4 *
INDIRECT("Include_" &amp; $A$3)*INDIRECT("Include_" &amp; C$7)*
OFFSET(INDIRECT(Region_Abbr_Cost &amp; "!A1"), $B$5 + C$6,$B11+1)</f>
        <v>#REF!</v>
      </c>
      <c r="D11" s="9" t="e" cm="1">
        <f t="array" aca="1" ref="D11" ca="1">$B$4 *
INDIRECT("Include_" &amp; $A$3)*INDIRECT("Include_" &amp; D$7)*
OFFSET(INDIRECT(Region_Abbr_Cost &amp; "!A1"), $B$5 + D$6,$B11+1)</f>
        <v>#REF!</v>
      </c>
      <c r="E11" s="9" t="e" cm="1">
        <f t="array" aca="1" ref="E11" ca="1">$B$4 *
INDIRECT("Include_" &amp; $A$3)*INDIRECT("Include_" &amp; E$7)*
OFFSET(INDIRECT(Region_Abbr_Cost &amp; "!A1"), $B$5 + E$6,$B11+1)</f>
        <v>#REF!</v>
      </c>
      <c r="F11" s="9" t="e" cm="1">
        <f t="array" aca="1" ref="F11" ca="1">$B$4 *
INDIRECT("Include_" &amp; $A$3)*INDIRECT("Include_" &amp; F$7)*
OFFSET(INDIRECT(Region_Abbr_Cost &amp; "!A1"), $B$5 + F$6,$B11+1)</f>
        <v>#REF!</v>
      </c>
      <c r="G11" s="9" t="e" cm="1">
        <f t="array" aca="1" ref="G11" ca="1">$B$4 *
INDIRECT("Include_" &amp; $A$3)*INDIRECT("Include_" &amp; G$7)*
OFFSET(INDIRECT(Region_Abbr_Cost &amp; "!A1"), $B$5 + G$6,$B11+1)</f>
        <v>#REF!</v>
      </c>
      <c r="H11" s="9" t="e" cm="1">
        <f t="array" aca="1" ref="H11" ca="1">$B$4 *
INDIRECT("Include_" &amp; $A$3)*INDIRECT("Include_" &amp; H$7)*
OFFSET(INDIRECT(Region_Abbr_Cost &amp; "!A1"), $B$5 + H$6,$B11+1)</f>
        <v>#REF!</v>
      </c>
      <c r="J11">
        <f t="shared" si="6"/>
        <v>2027</v>
      </c>
      <c r="K11">
        <f t="shared" si="7"/>
        <v>3</v>
      </c>
      <c r="L11" s="9" t="e" cm="1">
        <f t="array" aca="1" ref="L11" ca="1">$K$4 *
INDIRECT("Include_" &amp; $J$3)*INDIRECT("Include_" &amp; L$7)*
OFFSET(INDIRECT(Region_Abbr_Cost &amp; "!A1"), $K$5 + L$6,$K11+1)</f>
        <v>#REF!</v>
      </c>
      <c r="M11" s="9" t="e" cm="1">
        <f t="array" aca="1" ref="M11" ca="1">$K$4 *
INDIRECT("Include_" &amp; $J$3)*INDIRECT("Include_" &amp; M$7)*
OFFSET(INDIRECT(Region_Abbr_Cost &amp; "!A1"), $K$5 + M$6,$K11+1)</f>
        <v>#REF!</v>
      </c>
      <c r="N11" s="9" t="e" cm="1">
        <f t="array" aca="1" ref="N11" ca="1">$K$4 *
INDIRECT("Include_" &amp; $J$3)*INDIRECT("Include_" &amp; N$7)*
OFFSET(INDIRECT(Region_Abbr_Cost &amp; "!A1"), $K$5 + N$6,$K11+1)</f>
        <v>#REF!</v>
      </c>
      <c r="O11" s="9" t="e" cm="1">
        <f t="array" aca="1" ref="O11" ca="1">$K$4 *
INDIRECT("Include_" &amp; $J$3)*INDIRECT("Include_" &amp; O$7)*
OFFSET(INDIRECT(Region_Abbr_Cost &amp; "!A1"), $K$5 + O$6,$K11+1)</f>
        <v>#REF!</v>
      </c>
      <c r="P11" s="9" t="e" cm="1">
        <f t="array" aca="1" ref="P11" ca="1">$K$4 *
INDIRECT("Include_" &amp; $J$3)*INDIRECT("Include_" &amp; P$7)*
OFFSET(INDIRECT(Region_Abbr_Cost &amp; "!A1"), $K$5 + P$6,$K11+1)</f>
        <v>#REF!</v>
      </c>
      <c r="Q11" s="9" t="e" cm="1">
        <f t="array" aca="1" ref="Q11" ca="1">$K$4 *
INDIRECT("Include_" &amp; $J$3)*INDIRECT("Include_" &amp; Q$7)*
OFFSET(INDIRECT(Region_Abbr_Cost &amp; "!A1"), $K$5 + Q$6,$K11+1)</f>
        <v>#REF!</v>
      </c>
      <c r="S11">
        <f t="shared" si="8"/>
        <v>2027</v>
      </c>
      <c r="T11">
        <f t="shared" si="9"/>
        <v>3</v>
      </c>
      <c r="U11" s="9" t="e" cm="1">
        <f t="array" aca="1" ref="U1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U$6,$T11+1)</f>
        <v>#REF!</v>
      </c>
      <c r="V11" s="9" t="e" cm="1">
        <f t="array" aca="1" ref="V1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V$6,$T11+1)</f>
        <v>#REF!</v>
      </c>
      <c r="W11" s="9" t="e" cm="1">
        <f t="array" aca="1" ref="W1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W$6,$T11+1)</f>
        <v>#REF!</v>
      </c>
      <c r="X11" s="9" t="e" cm="1">
        <f t="array" aca="1" ref="X1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X$6,$T11+1)</f>
        <v>#REF!</v>
      </c>
      <c r="Y11" s="9" t="e" cm="1">
        <f t="array" aca="1" ref="Y1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Y$6,$T11+1)</f>
        <v>#REF!</v>
      </c>
      <c r="Z11" s="9" t="e" cm="1">
        <f t="array" aca="1" ref="Z1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Z$6,$T11+1)</f>
        <v>#REF!</v>
      </c>
      <c r="AB11">
        <f t="shared" si="10"/>
        <v>2027</v>
      </c>
      <c r="AC11">
        <f t="shared" si="11"/>
        <v>3</v>
      </c>
      <c r="AD11" s="9" t="e" cm="1">
        <f t="array" aca="1" ref="AD1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AD$6,$AC11+1)</f>
        <v>#REF!</v>
      </c>
      <c r="AE11" s="9" t="e" cm="1">
        <f t="array" aca="1" ref="AE1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AE$6,$AC11+1)</f>
        <v>#REF!</v>
      </c>
      <c r="AF11" s="9" t="e" cm="1">
        <f t="array" aca="1" ref="AF1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AF$6,$AC11+1)</f>
        <v>#REF!</v>
      </c>
      <c r="AG11" s="9" t="e" cm="1">
        <f t="array" aca="1" ref="AG1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AG$6,$AC11+1)</f>
        <v>#REF!</v>
      </c>
      <c r="AH11" s="9" t="e" cm="1">
        <f t="array" aca="1" ref="AH1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AH$6,$AC11+1)</f>
        <v>#REF!</v>
      </c>
      <c r="AI11" s="9" t="e" cm="1">
        <f t="array" aca="1" ref="AI1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AI$6,$AC11+1)</f>
        <v>#REF!</v>
      </c>
    </row>
    <row r="12" spans="1:35" x14ac:dyDescent="0.75">
      <c r="A12">
        <f t="shared" si="4"/>
        <v>2028</v>
      </c>
      <c r="B12">
        <f t="shared" si="5"/>
        <v>4</v>
      </c>
      <c r="C12" s="9" t="e" cm="1">
        <f t="array" aca="1" ref="C12" ca="1">$B$4 *
INDIRECT("Include_" &amp; $A$3)*INDIRECT("Include_" &amp; C$7)*
OFFSET(INDIRECT(Region_Abbr_Cost &amp; "!A1"), $B$5 + C$6,$B12+1)</f>
        <v>#REF!</v>
      </c>
      <c r="D12" s="9" t="e" cm="1">
        <f t="array" aca="1" ref="D12" ca="1">$B$4 *
INDIRECT("Include_" &amp; $A$3)*INDIRECT("Include_" &amp; D$7)*
OFFSET(INDIRECT(Region_Abbr_Cost &amp; "!A1"), $B$5 + D$6,$B12+1)</f>
        <v>#REF!</v>
      </c>
      <c r="E12" s="9" t="e" cm="1">
        <f t="array" aca="1" ref="E12" ca="1">$B$4 *
INDIRECT("Include_" &amp; $A$3)*INDIRECT("Include_" &amp; E$7)*
OFFSET(INDIRECT(Region_Abbr_Cost &amp; "!A1"), $B$5 + E$6,$B12+1)</f>
        <v>#REF!</v>
      </c>
      <c r="F12" s="9" t="e" cm="1">
        <f t="array" aca="1" ref="F12" ca="1">$B$4 *
INDIRECT("Include_" &amp; $A$3)*INDIRECT("Include_" &amp; F$7)*
OFFSET(INDIRECT(Region_Abbr_Cost &amp; "!A1"), $B$5 + F$6,$B12+1)</f>
        <v>#REF!</v>
      </c>
      <c r="G12" s="9" t="e" cm="1">
        <f t="array" aca="1" ref="G12" ca="1">$B$4 *
INDIRECT("Include_" &amp; $A$3)*INDIRECT("Include_" &amp; G$7)*
OFFSET(INDIRECT(Region_Abbr_Cost &amp; "!A1"), $B$5 + G$6,$B12+1)</f>
        <v>#REF!</v>
      </c>
      <c r="H12" s="9" t="e" cm="1">
        <f t="array" aca="1" ref="H12" ca="1">$B$4 *
INDIRECT("Include_" &amp; $A$3)*INDIRECT("Include_" &amp; H$7)*
OFFSET(INDIRECT(Region_Abbr_Cost &amp; "!A1"), $B$5 + H$6,$B12+1)</f>
        <v>#REF!</v>
      </c>
      <c r="J12">
        <f t="shared" si="6"/>
        <v>2028</v>
      </c>
      <c r="K12">
        <f t="shared" si="7"/>
        <v>4</v>
      </c>
      <c r="L12" s="9" t="e" cm="1">
        <f t="array" aca="1" ref="L12" ca="1">$K$4 *
INDIRECT("Include_" &amp; $J$3)*INDIRECT("Include_" &amp; L$7)*
OFFSET(INDIRECT(Region_Abbr_Cost &amp; "!A1"), $K$5 + L$6,$K12+1)</f>
        <v>#REF!</v>
      </c>
      <c r="M12" s="9" t="e" cm="1">
        <f t="array" aca="1" ref="M12" ca="1">$K$4 *
INDIRECT("Include_" &amp; $J$3)*INDIRECT("Include_" &amp; M$7)*
OFFSET(INDIRECT(Region_Abbr_Cost &amp; "!A1"), $K$5 + M$6,$K12+1)</f>
        <v>#REF!</v>
      </c>
      <c r="N12" s="9" t="e" cm="1">
        <f t="array" aca="1" ref="N12" ca="1">$K$4 *
INDIRECT("Include_" &amp; $J$3)*INDIRECT("Include_" &amp; N$7)*
OFFSET(INDIRECT(Region_Abbr_Cost &amp; "!A1"), $K$5 + N$6,$K12+1)</f>
        <v>#REF!</v>
      </c>
      <c r="O12" s="9" t="e" cm="1">
        <f t="array" aca="1" ref="O12" ca="1">$K$4 *
INDIRECT("Include_" &amp; $J$3)*INDIRECT("Include_" &amp; O$7)*
OFFSET(INDIRECT(Region_Abbr_Cost &amp; "!A1"), $K$5 + O$6,$K12+1)</f>
        <v>#REF!</v>
      </c>
      <c r="P12" s="9" t="e" cm="1">
        <f t="array" aca="1" ref="P12" ca="1">$K$4 *
INDIRECT("Include_" &amp; $J$3)*INDIRECT("Include_" &amp; P$7)*
OFFSET(INDIRECT(Region_Abbr_Cost &amp; "!A1"), $K$5 + P$6,$K12+1)</f>
        <v>#REF!</v>
      </c>
      <c r="Q12" s="9" t="e" cm="1">
        <f t="array" aca="1" ref="Q12" ca="1">$K$4 *
INDIRECT("Include_" &amp; $J$3)*INDIRECT("Include_" &amp; Q$7)*
OFFSET(INDIRECT(Region_Abbr_Cost &amp; "!A1"), $K$5 + Q$6,$K12+1)</f>
        <v>#REF!</v>
      </c>
      <c r="S12">
        <f t="shared" si="8"/>
        <v>2028</v>
      </c>
      <c r="T12">
        <f t="shared" si="9"/>
        <v>4</v>
      </c>
      <c r="U12" s="9" t="e" cm="1">
        <f t="array" aca="1" ref="U1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U$6,$T12+1)</f>
        <v>#REF!</v>
      </c>
      <c r="V12" s="9" t="e" cm="1">
        <f t="array" aca="1" ref="V1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V$6,$T12+1)</f>
        <v>#REF!</v>
      </c>
      <c r="W12" s="9" t="e" cm="1">
        <f t="array" aca="1" ref="W1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W$6,$T12+1)</f>
        <v>#REF!</v>
      </c>
      <c r="X12" s="9" t="e" cm="1">
        <f t="array" aca="1" ref="X1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X$6,$T12+1)</f>
        <v>#REF!</v>
      </c>
      <c r="Y12" s="9" t="e" cm="1">
        <f t="array" aca="1" ref="Y1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Y$6,$T12+1)</f>
        <v>#REF!</v>
      </c>
      <c r="Z12" s="9" t="e" cm="1">
        <f t="array" aca="1" ref="Z1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Z$6,$T12+1)</f>
        <v>#REF!</v>
      </c>
      <c r="AB12">
        <f t="shared" si="10"/>
        <v>2028</v>
      </c>
      <c r="AC12">
        <f t="shared" si="11"/>
        <v>4</v>
      </c>
      <c r="AD12" s="9" t="e" cm="1">
        <f t="array" aca="1" ref="AD1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AD$6,$AC12+1)</f>
        <v>#REF!</v>
      </c>
      <c r="AE12" s="9" t="e" cm="1">
        <f t="array" aca="1" ref="AE1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AE$6,$AC12+1)</f>
        <v>#REF!</v>
      </c>
      <c r="AF12" s="9" t="e" cm="1">
        <f t="array" aca="1" ref="AF1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AF$6,$AC12+1)</f>
        <v>#REF!</v>
      </c>
      <c r="AG12" s="9" t="e" cm="1">
        <f t="array" aca="1" ref="AG1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AG$6,$AC12+1)</f>
        <v>#REF!</v>
      </c>
      <c r="AH12" s="9" t="e" cm="1">
        <f t="array" aca="1" ref="AH1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AH$6,$AC12+1)</f>
        <v>#REF!</v>
      </c>
      <c r="AI12" s="9" t="e" cm="1">
        <f t="array" aca="1" ref="AI1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AI$6,$AC12+1)</f>
        <v>#REF!</v>
      </c>
    </row>
    <row r="13" spans="1:35" x14ac:dyDescent="0.75">
      <c r="A13">
        <f t="shared" si="4"/>
        <v>2029</v>
      </c>
      <c r="B13">
        <f t="shared" si="5"/>
        <v>5</v>
      </c>
      <c r="C13" s="9" t="e" cm="1">
        <f t="array" aca="1" ref="C13" ca="1">$B$4 *
INDIRECT("Include_" &amp; $A$3)*INDIRECT("Include_" &amp; C$7)*
OFFSET(INDIRECT(Region_Abbr_Cost &amp; "!A1"), $B$5 + C$6,$B13+1)</f>
        <v>#REF!</v>
      </c>
      <c r="D13" s="9" t="e" cm="1">
        <f t="array" aca="1" ref="D13" ca="1">$B$4 *
INDIRECT("Include_" &amp; $A$3)*INDIRECT("Include_" &amp; D$7)*
OFFSET(INDIRECT(Region_Abbr_Cost &amp; "!A1"), $B$5 + D$6,$B13+1)</f>
        <v>#REF!</v>
      </c>
      <c r="E13" s="9" t="e" cm="1">
        <f t="array" aca="1" ref="E13" ca="1">$B$4 *
INDIRECT("Include_" &amp; $A$3)*INDIRECT("Include_" &amp; E$7)*
OFFSET(INDIRECT(Region_Abbr_Cost &amp; "!A1"), $B$5 + E$6,$B13+1)</f>
        <v>#REF!</v>
      </c>
      <c r="F13" s="9" t="e" cm="1">
        <f t="array" aca="1" ref="F13" ca="1">$B$4 *
INDIRECT("Include_" &amp; $A$3)*INDIRECT("Include_" &amp; F$7)*
OFFSET(INDIRECT(Region_Abbr_Cost &amp; "!A1"), $B$5 + F$6,$B13+1)</f>
        <v>#REF!</v>
      </c>
      <c r="G13" s="9" t="e" cm="1">
        <f t="array" aca="1" ref="G13" ca="1">$B$4 *
INDIRECT("Include_" &amp; $A$3)*INDIRECT("Include_" &amp; G$7)*
OFFSET(INDIRECT(Region_Abbr_Cost &amp; "!A1"), $B$5 + G$6,$B13+1)</f>
        <v>#REF!</v>
      </c>
      <c r="H13" s="9" t="e" cm="1">
        <f t="array" aca="1" ref="H13" ca="1">$B$4 *
INDIRECT("Include_" &amp; $A$3)*INDIRECT("Include_" &amp; H$7)*
OFFSET(INDIRECT(Region_Abbr_Cost &amp; "!A1"), $B$5 + H$6,$B13+1)</f>
        <v>#REF!</v>
      </c>
      <c r="J13">
        <f t="shared" si="6"/>
        <v>2029</v>
      </c>
      <c r="K13">
        <f t="shared" si="7"/>
        <v>5</v>
      </c>
      <c r="L13" s="9" t="e" cm="1">
        <f t="array" aca="1" ref="L13" ca="1">$K$4 *
INDIRECT("Include_" &amp; $J$3)*INDIRECT("Include_" &amp; L$7)*
OFFSET(INDIRECT(Region_Abbr_Cost &amp; "!A1"), $K$5 + L$6,$K13+1)</f>
        <v>#REF!</v>
      </c>
      <c r="M13" s="9" t="e" cm="1">
        <f t="array" aca="1" ref="M13" ca="1">$K$4 *
INDIRECT("Include_" &amp; $J$3)*INDIRECT("Include_" &amp; M$7)*
OFFSET(INDIRECT(Region_Abbr_Cost &amp; "!A1"), $K$5 + M$6,$K13+1)</f>
        <v>#REF!</v>
      </c>
      <c r="N13" s="9" t="e" cm="1">
        <f t="array" aca="1" ref="N13" ca="1">$K$4 *
INDIRECT("Include_" &amp; $J$3)*INDIRECT("Include_" &amp; N$7)*
OFFSET(INDIRECT(Region_Abbr_Cost &amp; "!A1"), $K$5 + N$6,$K13+1)</f>
        <v>#REF!</v>
      </c>
      <c r="O13" s="9" t="e" cm="1">
        <f t="array" aca="1" ref="O13" ca="1">$K$4 *
INDIRECT("Include_" &amp; $J$3)*INDIRECT("Include_" &amp; O$7)*
OFFSET(INDIRECT(Region_Abbr_Cost &amp; "!A1"), $K$5 + O$6,$K13+1)</f>
        <v>#REF!</v>
      </c>
      <c r="P13" s="9" t="e" cm="1">
        <f t="array" aca="1" ref="P13" ca="1">$K$4 *
INDIRECT("Include_" &amp; $J$3)*INDIRECT("Include_" &amp; P$7)*
OFFSET(INDIRECT(Region_Abbr_Cost &amp; "!A1"), $K$5 + P$6,$K13+1)</f>
        <v>#REF!</v>
      </c>
      <c r="Q13" s="9" t="e" cm="1">
        <f t="array" aca="1" ref="Q13" ca="1">$K$4 *
INDIRECT("Include_" &amp; $J$3)*INDIRECT("Include_" &amp; Q$7)*
OFFSET(INDIRECT(Region_Abbr_Cost &amp; "!A1"), $K$5 + Q$6,$K13+1)</f>
        <v>#REF!</v>
      </c>
      <c r="S13">
        <f t="shared" si="8"/>
        <v>2029</v>
      </c>
      <c r="T13">
        <f t="shared" si="9"/>
        <v>5</v>
      </c>
      <c r="U13" s="9" t="e" cm="1">
        <f t="array" aca="1" ref="U1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U$6,$T13+1)</f>
        <v>#REF!</v>
      </c>
      <c r="V13" s="9" t="e" cm="1">
        <f t="array" aca="1" ref="V1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V$6,$T13+1)</f>
        <v>#REF!</v>
      </c>
      <c r="W13" s="9" t="e" cm="1">
        <f t="array" aca="1" ref="W1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W$6,$T13+1)</f>
        <v>#REF!</v>
      </c>
      <c r="X13" s="9" t="e" cm="1">
        <f t="array" aca="1" ref="X1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X$6,$T13+1)</f>
        <v>#REF!</v>
      </c>
      <c r="Y13" s="9" t="e" cm="1">
        <f t="array" aca="1" ref="Y1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Y$6,$T13+1)</f>
        <v>#REF!</v>
      </c>
      <c r="Z13" s="9" t="e" cm="1">
        <f t="array" aca="1" ref="Z1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Z$6,$T13+1)</f>
        <v>#REF!</v>
      </c>
      <c r="AB13">
        <f t="shared" si="10"/>
        <v>2029</v>
      </c>
      <c r="AC13">
        <f t="shared" si="11"/>
        <v>5</v>
      </c>
      <c r="AD13" s="9" t="e" cm="1">
        <f t="array" aca="1" ref="AD1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AD$6,$AC13+1)</f>
        <v>#REF!</v>
      </c>
      <c r="AE13" s="9" t="e" cm="1">
        <f t="array" aca="1" ref="AE1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AE$6,$AC13+1)</f>
        <v>#REF!</v>
      </c>
      <c r="AF13" s="9" t="e" cm="1">
        <f t="array" aca="1" ref="AF1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AF$6,$AC13+1)</f>
        <v>#REF!</v>
      </c>
      <c r="AG13" s="9" t="e" cm="1">
        <f t="array" aca="1" ref="AG1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AG$6,$AC13+1)</f>
        <v>#REF!</v>
      </c>
      <c r="AH13" s="9" t="e" cm="1">
        <f t="array" aca="1" ref="AH1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AH$6,$AC13+1)</f>
        <v>#REF!</v>
      </c>
      <c r="AI13" s="9" t="e" cm="1">
        <f t="array" aca="1" ref="AI1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AI$6,$AC13+1)</f>
        <v>#REF!</v>
      </c>
    </row>
    <row r="14" spans="1:35" x14ac:dyDescent="0.75">
      <c r="A14">
        <f t="shared" si="4"/>
        <v>2030</v>
      </c>
      <c r="B14">
        <f t="shared" si="5"/>
        <v>6</v>
      </c>
      <c r="C14" s="9" t="e" cm="1">
        <f t="array" aca="1" ref="C14" ca="1">$B$4 *
INDIRECT("Include_" &amp; $A$3)*INDIRECT("Include_" &amp; C$7)*
OFFSET(INDIRECT(Region_Abbr_Cost &amp; "!A1"), $B$5 + C$6,$B14+1)</f>
        <v>#REF!</v>
      </c>
      <c r="D14" s="9" t="e" cm="1">
        <f t="array" aca="1" ref="D14" ca="1">$B$4 *
INDIRECT("Include_" &amp; $A$3)*INDIRECT("Include_" &amp; D$7)*
OFFSET(INDIRECT(Region_Abbr_Cost &amp; "!A1"), $B$5 + D$6,$B14+1)</f>
        <v>#REF!</v>
      </c>
      <c r="E14" s="9" t="e" cm="1">
        <f t="array" aca="1" ref="E14" ca="1">$B$4 *
INDIRECT("Include_" &amp; $A$3)*INDIRECT("Include_" &amp; E$7)*
OFFSET(INDIRECT(Region_Abbr_Cost &amp; "!A1"), $B$5 + E$6,$B14+1)</f>
        <v>#REF!</v>
      </c>
      <c r="F14" s="9" t="e" cm="1">
        <f t="array" aca="1" ref="F14" ca="1">$B$4 *
INDIRECT("Include_" &amp; $A$3)*INDIRECT("Include_" &amp; F$7)*
OFFSET(INDIRECT(Region_Abbr_Cost &amp; "!A1"), $B$5 + F$6,$B14+1)</f>
        <v>#REF!</v>
      </c>
      <c r="G14" s="9" t="e" cm="1">
        <f t="array" aca="1" ref="G14" ca="1">$B$4 *
INDIRECT("Include_" &amp; $A$3)*INDIRECT("Include_" &amp; G$7)*
OFFSET(INDIRECT(Region_Abbr_Cost &amp; "!A1"), $B$5 + G$6,$B14+1)</f>
        <v>#REF!</v>
      </c>
      <c r="H14" s="9" t="e" cm="1">
        <f t="array" aca="1" ref="H14" ca="1">$B$4 *
INDIRECT("Include_" &amp; $A$3)*INDIRECT("Include_" &amp; H$7)*
OFFSET(INDIRECT(Region_Abbr_Cost &amp; "!A1"), $B$5 + H$6,$B14+1)</f>
        <v>#REF!</v>
      </c>
      <c r="J14">
        <f t="shared" si="6"/>
        <v>2030</v>
      </c>
      <c r="K14">
        <f t="shared" si="7"/>
        <v>6</v>
      </c>
      <c r="L14" s="9" t="e" cm="1">
        <f t="array" aca="1" ref="L14" ca="1">$K$4 *
INDIRECT("Include_" &amp; $J$3)*INDIRECT("Include_" &amp; L$7)*
OFFSET(INDIRECT(Region_Abbr_Cost &amp; "!A1"), $K$5 + L$6,$K14+1)</f>
        <v>#REF!</v>
      </c>
      <c r="M14" s="9" t="e" cm="1">
        <f t="array" aca="1" ref="M14" ca="1">$K$4 *
INDIRECT("Include_" &amp; $J$3)*INDIRECT("Include_" &amp; M$7)*
OFFSET(INDIRECT(Region_Abbr_Cost &amp; "!A1"), $K$5 + M$6,$K14+1)</f>
        <v>#REF!</v>
      </c>
      <c r="N14" s="9" t="e" cm="1">
        <f t="array" aca="1" ref="N14" ca="1">$K$4 *
INDIRECT("Include_" &amp; $J$3)*INDIRECT("Include_" &amp; N$7)*
OFFSET(INDIRECT(Region_Abbr_Cost &amp; "!A1"), $K$5 + N$6,$K14+1)</f>
        <v>#REF!</v>
      </c>
      <c r="O14" s="9" t="e" cm="1">
        <f t="array" aca="1" ref="O14" ca="1">$K$4 *
INDIRECT("Include_" &amp; $J$3)*INDIRECT("Include_" &amp; O$7)*
OFFSET(INDIRECT(Region_Abbr_Cost &amp; "!A1"), $K$5 + O$6,$K14+1)</f>
        <v>#REF!</v>
      </c>
      <c r="P14" s="9" t="e" cm="1">
        <f t="array" aca="1" ref="P14" ca="1">$K$4 *
INDIRECT("Include_" &amp; $J$3)*INDIRECT("Include_" &amp; P$7)*
OFFSET(INDIRECT(Region_Abbr_Cost &amp; "!A1"), $K$5 + P$6,$K14+1)</f>
        <v>#REF!</v>
      </c>
      <c r="Q14" s="9" t="e" cm="1">
        <f t="array" aca="1" ref="Q14" ca="1">$K$4 *
INDIRECT("Include_" &amp; $J$3)*INDIRECT("Include_" &amp; Q$7)*
OFFSET(INDIRECT(Region_Abbr_Cost &amp; "!A1"), $K$5 + Q$6,$K14+1)</f>
        <v>#REF!</v>
      </c>
      <c r="S14">
        <f t="shared" si="8"/>
        <v>2030</v>
      </c>
      <c r="T14">
        <f t="shared" si="9"/>
        <v>6</v>
      </c>
      <c r="U14" s="9" t="e" cm="1">
        <f t="array" aca="1" ref="U1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U$6,$T14+1)</f>
        <v>#REF!</v>
      </c>
      <c r="V14" s="9" t="e" cm="1">
        <f t="array" aca="1" ref="V1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V$6,$T14+1)</f>
        <v>#REF!</v>
      </c>
      <c r="W14" s="9" t="e" cm="1">
        <f t="array" aca="1" ref="W1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W$6,$T14+1)</f>
        <v>#REF!</v>
      </c>
      <c r="X14" s="9" t="e" cm="1">
        <f t="array" aca="1" ref="X1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X$6,$T14+1)</f>
        <v>#REF!</v>
      </c>
      <c r="Y14" s="9" t="e" cm="1">
        <f t="array" aca="1" ref="Y1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Y$6,$T14+1)</f>
        <v>#REF!</v>
      </c>
      <c r="Z14" s="9" t="e" cm="1">
        <f t="array" aca="1" ref="Z1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Z$6,$T14+1)</f>
        <v>#REF!</v>
      </c>
      <c r="AB14">
        <f t="shared" si="10"/>
        <v>2030</v>
      </c>
      <c r="AC14">
        <f t="shared" si="11"/>
        <v>6</v>
      </c>
      <c r="AD14" s="9" t="e" cm="1">
        <f t="array" aca="1" ref="AD1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AD$6,$AC14+1)</f>
        <v>#REF!</v>
      </c>
      <c r="AE14" s="9" t="e" cm="1">
        <f t="array" aca="1" ref="AE1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AE$6,$AC14+1)</f>
        <v>#REF!</v>
      </c>
      <c r="AF14" s="9" t="e" cm="1">
        <f t="array" aca="1" ref="AF1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AF$6,$AC14+1)</f>
        <v>#REF!</v>
      </c>
      <c r="AG14" s="9" t="e" cm="1">
        <f t="array" aca="1" ref="AG1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AG$6,$AC14+1)</f>
        <v>#REF!</v>
      </c>
      <c r="AH14" s="9" t="e" cm="1">
        <f t="array" aca="1" ref="AH1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AH$6,$AC14+1)</f>
        <v>#REF!</v>
      </c>
      <c r="AI14" s="9" t="e" cm="1">
        <f t="array" aca="1" ref="AI1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AI$6,$AC14+1)</f>
        <v>#REF!</v>
      </c>
    </row>
    <row r="15" spans="1:35" x14ac:dyDescent="0.75">
      <c r="A15">
        <f t="shared" si="4"/>
        <v>2031</v>
      </c>
      <c r="B15">
        <f t="shared" si="5"/>
        <v>7</v>
      </c>
      <c r="C15" s="9" t="e" cm="1">
        <f t="array" aca="1" ref="C15" ca="1">$B$4 *
INDIRECT("Include_" &amp; $A$3)*INDIRECT("Include_" &amp; C$7)*
OFFSET(INDIRECT(Region_Abbr_Cost &amp; "!A1"), $B$5 + C$6,$B15+1)</f>
        <v>#REF!</v>
      </c>
      <c r="D15" s="9" t="e" cm="1">
        <f t="array" aca="1" ref="D15" ca="1">$B$4 *
INDIRECT("Include_" &amp; $A$3)*INDIRECT("Include_" &amp; D$7)*
OFFSET(INDIRECT(Region_Abbr_Cost &amp; "!A1"), $B$5 + D$6,$B15+1)</f>
        <v>#REF!</v>
      </c>
      <c r="E15" s="9" t="e" cm="1">
        <f t="array" aca="1" ref="E15" ca="1">$B$4 *
INDIRECT("Include_" &amp; $A$3)*INDIRECT("Include_" &amp; E$7)*
OFFSET(INDIRECT(Region_Abbr_Cost &amp; "!A1"), $B$5 + E$6,$B15+1)</f>
        <v>#REF!</v>
      </c>
      <c r="F15" s="9" t="e" cm="1">
        <f t="array" aca="1" ref="F15" ca="1">$B$4 *
INDIRECT("Include_" &amp; $A$3)*INDIRECT("Include_" &amp; F$7)*
OFFSET(INDIRECT(Region_Abbr_Cost &amp; "!A1"), $B$5 + F$6,$B15+1)</f>
        <v>#REF!</v>
      </c>
      <c r="G15" s="9" t="e" cm="1">
        <f t="array" aca="1" ref="G15" ca="1">$B$4 *
INDIRECT("Include_" &amp; $A$3)*INDIRECT("Include_" &amp; G$7)*
OFFSET(INDIRECT(Region_Abbr_Cost &amp; "!A1"), $B$5 + G$6,$B15+1)</f>
        <v>#REF!</v>
      </c>
      <c r="H15" s="9" t="e" cm="1">
        <f t="array" aca="1" ref="H15" ca="1">$B$4 *
INDIRECT("Include_" &amp; $A$3)*INDIRECT("Include_" &amp; H$7)*
OFFSET(INDIRECT(Region_Abbr_Cost &amp; "!A1"), $B$5 + H$6,$B15+1)</f>
        <v>#REF!</v>
      </c>
      <c r="J15">
        <f t="shared" si="6"/>
        <v>2031</v>
      </c>
      <c r="K15">
        <f t="shared" si="7"/>
        <v>7</v>
      </c>
      <c r="L15" s="9" t="e" cm="1">
        <f t="array" aca="1" ref="L15" ca="1">$K$4 *
INDIRECT("Include_" &amp; $J$3)*INDIRECT("Include_" &amp; L$7)*
OFFSET(INDIRECT(Region_Abbr_Cost &amp; "!A1"), $K$5 + L$6,$K15+1)</f>
        <v>#REF!</v>
      </c>
      <c r="M15" s="9" t="e" cm="1">
        <f t="array" aca="1" ref="M15" ca="1">$K$4 *
INDIRECT("Include_" &amp; $J$3)*INDIRECT("Include_" &amp; M$7)*
OFFSET(INDIRECT(Region_Abbr_Cost &amp; "!A1"), $K$5 + M$6,$K15+1)</f>
        <v>#REF!</v>
      </c>
      <c r="N15" s="9" t="e" cm="1">
        <f t="array" aca="1" ref="N15" ca="1">$K$4 *
INDIRECT("Include_" &amp; $J$3)*INDIRECT("Include_" &amp; N$7)*
OFFSET(INDIRECT(Region_Abbr_Cost &amp; "!A1"), $K$5 + N$6,$K15+1)</f>
        <v>#REF!</v>
      </c>
      <c r="O15" s="9" t="e" cm="1">
        <f t="array" aca="1" ref="O15" ca="1">$K$4 *
INDIRECT("Include_" &amp; $J$3)*INDIRECT("Include_" &amp; O$7)*
OFFSET(INDIRECT(Region_Abbr_Cost &amp; "!A1"), $K$5 + O$6,$K15+1)</f>
        <v>#REF!</v>
      </c>
      <c r="P15" s="9" t="e" cm="1">
        <f t="array" aca="1" ref="P15" ca="1">$K$4 *
INDIRECT("Include_" &amp; $J$3)*INDIRECT("Include_" &amp; P$7)*
OFFSET(INDIRECT(Region_Abbr_Cost &amp; "!A1"), $K$5 + P$6,$K15+1)</f>
        <v>#REF!</v>
      </c>
      <c r="Q15" s="9" t="e" cm="1">
        <f t="array" aca="1" ref="Q15" ca="1">$K$4 *
INDIRECT("Include_" &amp; $J$3)*INDIRECT("Include_" &amp; Q$7)*
OFFSET(INDIRECT(Region_Abbr_Cost &amp; "!A1"), $K$5 + Q$6,$K15+1)</f>
        <v>#REF!</v>
      </c>
      <c r="S15">
        <f t="shared" si="8"/>
        <v>2031</v>
      </c>
      <c r="T15">
        <f t="shared" si="9"/>
        <v>7</v>
      </c>
      <c r="U15" s="9" t="e" cm="1">
        <f t="array" aca="1" ref="U15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U$6,$T15+1)</f>
        <v>#REF!</v>
      </c>
      <c r="V15" s="9" t="e" cm="1">
        <f t="array" aca="1" ref="V15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V$6,$T15+1)</f>
        <v>#REF!</v>
      </c>
      <c r="W15" s="9" t="e" cm="1">
        <f t="array" aca="1" ref="W15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W$6,$T15+1)</f>
        <v>#REF!</v>
      </c>
      <c r="X15" s="9" t="e" cm="1">
        <f t="array" aca="1" ref="X15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X$6,$T15+1)</f>
        <v>#REF!</v>
      </c>
      <c r="Y15" s="9" t="e" cm="1">
        <f t="array" aca="1" ref="Y15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Y$6,$T15+1)</f>
        <v>#REF!</v>
      </c>
      <c r="Z15" s="9" t="e" cm="1">
        <f t="array" aca="1" ref="Z15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Z$6,$T15+1)</f>
        <v>#REF!</v>
      </c>
      <c r="AB15">
        <f t="shared" si="10"/>
        <v>2031</v>
      </c>
      <c r="AC15">
        <f t="shared" si="11"/>
        <v>7</v>
      </c>
      <c r="AD15" s="9" t="e" cm="1">
        <f t="array" aca="1" ref="AD15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AD$6,$AC15+1)</f>
        <v>#REF!</v>
      </c>
      <c r="AE15" s="9" t="e" cm="1">
        <f t="array" aca="1" ref="AE15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AE$6,$AC15+1)</f>
        <v>#REF!</v>
      </c>
      <c r="AF15" s="9" t="e" cm="1">
        <f t="array" aca="1" ref="AF15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AF$6,$AC15+1)</f>
        <v>#REF!</v>
      </c>
      <c r="AG15" s="9" t="e" cm="1">
        <f t="array" aca="1" ref="AG15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AG$6,$AC15+1)</f>
        <v>#REF!</v>
      </c>
      <c r="AH15" s="9" t="e" cm="1">
        <f t="array" aca="1" ref="AH15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AH$6,$AC15+1)</f>
        <v>#REF!</v>
      </c>
      <c r="AI15" s="9" t="e" cm="1">
        <f t="array" aca="1" ref="AI15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AI$6,$AC15+1)</f>
        <v>#REF!</v>
      </c>
    </row>
    <row r="16" spans="1:35" x14ac:dyDescent="0.75">
      <c r="A16">
        <f t="shared" si="4"/>
        <v>2032</v>
      </c>
      <c r="B16">
        <f t="shared" si="5"/>
        <v>8</v>
      </c>
      <c r="C16" s="9" t="e" cm="1">
        <f t="array" aca="1" ref="C16" ca="1">$B$4 *
INDIRECT("Include_" &amp; $A$3)*INDIRECT("Include_" &amp; C$7)*
OFFSET(INDIRECT(Region_Abbr_Cost &amp; "!A1"), $B$5 + C$6,$B16+1)</f>
        <v>#REF!</v>
      </c>
      <c r="D16" s="9" t="e" cm="1">
        <f t="array" aca="1" ref="D16" ca="1">$B$4 *
INDIRECT("Include_" &amp; $A$3)*INDIRECT("Include_" &amp; D$7)*
OFFSET(INDIRECT(Region_Abbr_Cost &amp; "!A1"), $B$5 + D$6,$B16+1)</f>
        <v>#REF!</v>
      </c>
      <c r="E16" s="9" t="e" cm="1">
        <f t="array" aca="1" ref="E16" ca="1">$B$4 *
INDIRECT("Include_" &amp; $A$3)*INDIRECT("Include_" &amp; E$7)*
OFFSET(INDIRECT(Region_Abbr_Cost &amp; "!A1"), $B$5 + E$6,$B16+1)</f>
        <v>#REF!</v>
      </c>
      <c r="F16" s="9" t="e" cm="1">
        <f t="array" aca="1" ref="F16" ca="1">$B$4 *
INDIRECT("Include_" &amp; $A$3)*INDIRECT("Include_" &amp; F$7)*
OFFSET(INDIRECT(Region_Abbr_Cost &amp; "!A1"), $B$5 + F$6,$B16+1)</f>
        <v>#REF!</v>
      </c>
      <c r="G16" s="9" t="e" cm="1">
        <f t="array" aca="1" ref="G16" ca="1">$B$4 *
INDIRECT("Include_" &amp; $A$3)*INDIRECT("Include_" &amp; G$7)*
OFFSET(INDIRECT(Region_Abbr_Cost &amp; "!A1"), $B$5 + G$6,$B16+1)</f>
        <v>#REF!</v>
      </c>
      <c r="H16" s="9" t="e" cm="1">
        <f t="array" aca="1" ref="H16" ca="1">$B$4 *
INDIRECT("Include_" &amp; $A$3)*INDIRECT("Include_" &amp; H$7)*
OFFSET(INDIRECT(Region_Abbr_Cost &amp; "!A1"), $B$5 + H$6,$B16+1)</f>
        <v>#REF!</v>
      </c>
      <c r="J16">
        <f t="shared" si="6"/>
        <v>2032</v>
      </c>
      <c r="K16">
        <f t="shared" si="7"/>
        <v>8</v>
      </c>
      <c r="L16" s="9" t="e" cm="1">
        <f t="array" aca="1" ref="L16" ca="1">$K$4 *
INDIRECT("Include_" &amp; $J$3)*INDIRECT("Include_" &amp; L$7)*
OFFSET(INDIRECT(Region_Abbr_Cost &amp; "!A1"), $K$5 + L$6,$K16+1)</f>
        <v>#REF!</v>
      </c>
      <c r="M16" s="9" t="e" cm="1">
        <f t="array" aca="1" ref="M16" ca="1">$K$4 *
INDIRECT("Include_" &amp; $J$3)*INDIRECT("Include_" &amp; M$7)*
OFFSET(INDIRECT(Region_Abbr_Cost &amp; "!A1"), $K$5 + M$6,$K16+1)</f>
        <v>#REF!</v>
      </c>
      <c r="N16" s="9" t="e" cm="1">
        <f t="array" aca="1" ref="N16" ca="1">$K$4 *
INDIRECT("Include_" &amp; $J$3)*INDIRECT("Include_" &amp; N$7)*
OFFSET(INDIRECT(Region_Abbr_Cost &amp; "!A1"), $K$5 + N$6,$K16+1)</f>
        <v>#REF!</v>
      </c>
      <c r="O16" s="9" t="e" cm="1">
        <f t="array" aca="1" ref="O16" ca="1">$K$4 *
INDIRECT("Include_" &amp; $J$3)*INDIRECT("Include_" &amp; O$7)*
OFFSET(INDIRECT(Region_Abbr_Cost &amp; "!A1"), $K$5 + O$6,$K16+1)</f>
        <v>#REF!</v>
      </c>
      <c r="P16" s="9" t="e" cm="1">
        <f t="array" aca="1" ref="P16" ca="1">$K$4 *
INDIRECT("Include_" &amp; $J$3)*INDIRECT("Include_" &amp; P$7)*
OFFSET(INDIRECT(Region_Abbr_Cost &amp; "!A1"), $K$5 + P$6,$K16+1)</f>
        <v>#REF!</v>
      </c>
      <c r="Q16" s="9" t="e" cm="1">
        <f t="array" aca="1" ref="Q16" ca="1">$K$4 *
INDIRECT("Include_" &amp; $J$3)*INDIRECT("Include_" &amp; Q$7)*
OFFSET(INDIRECT(Region_Abbr_Cost &amp; "!A1"), $K$5 + Q$6,$K16+1)</f>
        <v>#REF!</v>
      </c>
      <c r="S16">
        <f t="shared" si="8"/>
        <v>2032</v>
      </c>
      <c r="T16">
        <f t="shared" si="9"/>
        <v>8</v>
      </c>
      <c r="U16" s="9" t="e" cm="1">
        <f t="array" aca="1" ref="U16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U$6,$T16+1)</f>
        <v>#REF!</v>
      </c>
      <c r="V16" s="9" t="e" cm="1">
        <f t="array" aca="1" ref="V16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V$6,$T16+1)</f>
        <v>#REF!</v>
      </c>
      <c r="W16" s="9" t="e" cm="1">
        <f t="array" aca="1" ref="W16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W$6,$T16+1)</f>
        <v>#REF!</v>
      </c>
      <c r="X16" s="9" t="e" cm="1">
        <f t="array" aca="1" ref="X16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X$6,$T16+1)</f>
        <v>#REF!</v>
      </c>
      <c r="Y16" s="9" t="e" cm="1">
        <f t="array" aca="1" ref="Y16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Y$6,$T16+1)</f>
        <v>#REF!</v>
      </c>
      <c r="Z16" s="9" t="e" cm="1">
        <f t="array" aca="1" ref="Z16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Z$6,$T16+1)</f>
        <v>#REF!</v>
      </c>
      <c r="AB16">
        <f t="shared" si="10"/>
        <v>2032</v>
      </c>
      <c r="AC16">
        <f t="shared" si="11"/>
        <v>8</v>
      </c>
      <c r="AD16" s="9" t="e" cm="1">
        <f t="array" aca="1" ref="AD16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AD$6,$AC16+1)</f>
        <v>#REF!</v>
      </c>
      <c r="AE16" s="9" t="e" cm="1">
        <f t="array" aca="1" ref="AE16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AE$6,$AC16+1)</f>
        <v>#REF!</v>
      </c>
      <c r="AF16" s="9" t="e" cm="1">
        <f t="array" aca="1" ref="AF16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AF$6,$AC16+1)</f>
        <v>#REF!</v>
      </c>
      <c r="AG16" s="9" t="e" cm="1">
        <f t="array" aca="1" ref="AG16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AG$6,$AC16+1)</f>
        <v>#REF!</v>
      </c>
      <c r="AH16" s="9" t="e" cm="1">
        <f t="array" aca="1" ref="AH16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AH$6,$AC16+1)</f>
        <v>#REF!</v>
      </c>
      <c r="AI16" s="9" t="e" cm="1">
        <f t="array" aca="1" ref="AI16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AI$6,$AC16+1)</f>
        <v>#REF!</v>
      </c>
    </row>
    <row r="17" spans="1:35" x14ac:dyDescent="0.75">
      <c r="A17">
        <f t="shared" si="4"/>
        <v>2033</v>
      </c>
      <c r="B17">
        <f t="shared" si="5"/>
        <v>9</v>
      </c>
      <c r="C17" s="9" t="e" cm="1">
        <f t="array" aca="1" ref="C17" ca="1">$B$4 *
INDIRECT("Include_" &amp; $A$3)*INDIRECT("Include_" &amp; C$7)*
OFFSET(INDIRECT(Region_Abbr_Cost &amp; "!A1"), $B$5 + C$6,$B17+1)</f>
        <v>#REF!</v>
      </c>
      <c r="D17" s="9" t="e" cm="1">
        <f t="array" aca="1" ref="D17" ca="1">$B$4 *
INDIRECT("Include_" &amp; $A$3)*INDIRECT("Include_" &amp; D$7)*
OFFSET(INDIRECT(Region_Abbr_Cost &amp; "!A1"), $B$5 + D$6,$B17+1)</f>
        <v>#REF!</v>
      </c>
      <c r="E17" s="9" t="e" cm="1">
        <f t="array" aca="1" ref="E17" ca="1">$B$4 *
INDIRECT("Include_" &amp; $A$3)*INDIRECT("Include_" &amp; E$7)*
OFFSET(INDIRECT(Region_Abbr_Cost &amp; "!A1"), $B$5 + E$6,$B17+1)</f>
        <v>#REF!</v>
      </c>
      <c r="F17" s="9" t="e" cm="1">
        <f t="array" aca="1" ref="F17" ca="1">$B$4 *
INDIRECT("Include_" &amp; $A$3)*INDIRECT("Include_" &amp; F$7)*
OFFSET(INDIRECT(Region_Abbr_Cost &amp; "!A1"), $B$5 + F$6,$B17+1)</f>
        <v>#REF!</v>
      </c>
      <c r="G17" s="9" t="e" cm="1">
        <f t="array" aca="1" ref="G17" ca="1">$B$4 *
INDIRECT("Include_" &amp; $A$3)*INDIRECT("Include_" &amp; G$7)*
OFFSET(INDIRECT(Region_Abbr_Cost &amp; "!A1"), $B$5 + G$6,$B17+1)</f>
        <v>#REF!</v>
      </c>
      <c r="H17" s="9" t="e" cm="1">
        <f t="array" aca="1" ref="H17" ca="1">$B$4 *
INDIRECT("Include_" &amp; $A$3)*INDIRECT("Include_" &amp; H$7)*
OFFSET(INDIRECT(Region_Abbr_Cost &amp; "!A1"), $B$5 + H$6,$B17+1)</f>
        <v>#REF!</v>
      </c>
      <c r="J17">
        <f t="shared" si="6"/>
        <v>2033</v>
      </c>
      <c r="K17">
        <f t="shared" si="7"/>
        <v>9</v>
      </c>
      <c r="L17" s="9" t="e" cm="1">
        <f t="array" aca="1" ref="L17" ca="1">$K$4 *
INDIRECT("Include_" &amp; $J$3)*INDIRECT("Include_" &amp; L$7)*
OFFSET(INDIRECT(Region_Abbr_Cost &amp; "!A1"), $K$5 + L$6,$K17+1)</f>
        <v>#REF!</v>
      </c>
      <c r="M17" s="9" t="e" cm="1">
        <f t="array" aca="1" ref="M17" ca="1">$K$4 *
INDIRECT("Include_" &amp; $J$3)*INDIRECT("Include_" &amp; M$7)*
OFFSET(INDIRECT(Region_Abbr_Cost &amp; "!A1"), $K$5 + M$6,$K17+1)</f>
        <v>#REF!</v>
      </c>
      <c r="N17" s="9" t="e" cm="1">
        <f t="array" aca="1" ref="N17" ca="1">$K$4 *
INDIRECT("Include_" &amp; $J$3)*INDIRECT("Include_" &amp; N$7)*
OFFSET(INDIRECT(Region_Abbr_Cost &amp; "!A1"), $K$5 + N$6,$K17+1)</f>
        <v>#REF!</v>
      </c>
      <c r="O17" s="9" t="e" cm="1">
        <f t="array" aca="1" ref="O17" ca="1">$K$4 *
INDIRECT("Include_" &amp; $J$3)*INDIRECT("Include_" &amp; O$7)*
OFFSET(INDIRECT(Region_Abbr_Cost &amp; "!A1"), $K$5 + O$6,$K17+1)</f>
        <v>#REF!</v>
      </c>
      <c r="P17" s="9" t="e" cm="1">
        <f t="array" aca="1" ref="P17" ca="1">$K$4 *
INDIRECT("Include_" &amp; $J$3)*INDIRECT("Include_" &amp; P$7)*
OFFSET(INDIRECT(Region_Abbr_Cost &amp; "!A1"), $K$5 + P$6,$K17+1)</f>
        <v>#REF!</v>
      </c>
      <c r="Q17" s="9" t="e" cm="1">
        <f t="array" aca="1" ref="Q17" ca="1">$K$4 *
INDIRECT("Include_" &amp; $J$3)*INDIRECT("Include_" &amp; Q$7)*
OFFSET(INDIRECT(Region_Abbr_Cost &amp; "!A1"), $K$5 + Q$6,$K17+1)</f>
        <v>#REF!</v>
      </c>
      <c r="S17">
        <f t="shared" si="8"/>
        <v>2033</v>
      </c>
      <c r="T17">
        <f t="shared" si="9"/>
        <v>9</v>
      </c>
      <c r="U17" s="9" t="e" cm="1">
        <f t="array" aca="1" ref="U17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U$6,$T17+1)</f>
        <v>#REF!</v>
      </c>
      <c r="V17" s="9" t="e" cm="1">
        <f t="array" aca="1" ref="V17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V$6,$T17+1)</f>
        <v>#REF!</v>
      </c>
      <c r="W17" s="9" t="e" cm="1">
        <f t="array" aca="1" ref="W17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W$6,$T17+1)</f>
        <v>#REF!</v>
      </c>
      <c r="X17" s="9" t="e" cm="1">
        <f t="array" aca="1" ref="X17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X$6,$T17+1)</f>
        <v>#REF!</v>
      </c>
      <c r="Y17" s="9" t="e" cm="1">
        <f t="array" aca="1" ref="Y17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Y$6,$T17+1)</f>
        <v>#REF!</v>
      </c>
      <c r="Z17" s="9" t="e" cm="1">
        <f t="array" aca="1" ref="Z17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Z$6,$T17+1)</f>
        <v>#REF!</v>
      </c>
      <c r="AB17">
        <f t="shared" si="10"/>
        <v>2033</v>
      </c>
      <c r="AC17">
        <f t="shared" si="11"/>
        <v>9</v>
      </c>
      <c r="AD17" s="9" t="e" cm="1">
        <f t="array" aca="1" ref="AD17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AD$6,$AC17+1)</f>
        <v>#REF!</v>
      </c>
      <c r="AE17" s="9" t="e" cm="1">
        <f t="array" aca="1" ref="AE17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AE$6,$AC17+1)</f>
        <v>#REF!</v>
      </c>
      <c r="AF17" s="9" t="e" cm="1">
        <f t="array" aca="1" ref="AF17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AF$6,$AC17+1)</f>
        <v>#REF!</v>
      </c>
      <c r="AG17" s="9" t="e" cm="1">
        <f t="array" aca="1" ref="AG17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AG$6,$AC17+1)</f>
        <v>#REF!</v>
      </c>
      <c r="AH17" s="9" t="e" cm="1">
        <f t="array" aca="1" ref="AH17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AH$6,$AC17+1)</f>
        <v>#REF!</v>
      </c>
      <c r="AI17" s="9" t="e" cm="1">
        <f t="array" aca="1" ref="AI17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AI$6,$AC17+1)</f>
        <v>#REF!</v>
      </c>
    </row>
    <row r="18" spans="1:35" x14ac:dyDescent="0.75">
      <c r="A18">
        <f t="shared" si="4"/>
        <v>2034</v>
      </c>
      <c r="B18">
        <f t="shared" si="5"/>
        <v>10</v>
      </c>
      <c r="C18" s="9" t="e" cm="1">
        <f t="array" aca="1" ref="C18" ca="1">$B$4 *
INDIRECT("Include_" &amp; $A$3)*INDIRECT("Include_" &amp; C$7)*
OFFSET(INDIRECT(Region_Abbr_Cost &amp; "!A1"), $B$5 + C$6,$B18+1)</f>
        <v>#REF!</v>
      </c>
      <c r="D18" s="9" t="e" cm="1">
        <f t="array" aca="1" ref="D18" ca="1">$B$4 *
INDIRECT("Include_" &amp; $A$3)*INDIRECT("Include_" &amp; D$7)*
OFFSET(INDIRECT(Region_Abbr_Cost &amp; "!A1"), $B$5 + D$6,$B18+1)</f>
        <v>#REF!</v>
      </c>
      <c r="E18" s="9" t="e" cm="1">
        <f t="array" aca="1" ref="E18" ca="1">$B$4 *
INDIRECT("Include_" &amp; $A$3)*INDIRECT("Include_" &amp; E$7)*
OFFSET(INDIRECT(Region_Abbr_Cost &amp; "!A1"), $B$5 + E$6,$B18+1)</f>
        <v>#REF!</v>
      </c>
      <c r="F18" s="9" t="e" cm="1">
        <f t="array" aca="1" ref="F18" ca="1">$B$4 *
INDIRECT("Include_" &amp; $A$3)*INDIRECT("Include_" &amp; F$7)*
OFFSET(INDIRECT(Region_Abbr_Cost &amp; "!A1"), $B$5 + F$6,$B18+1)</f>
        <v>#REF!</v>
      </c>
      <c r="G18" s="9" t="e" cm="1">
        <f t="array" aca="1" ref="G18" ca="1">$B$4 *
INDIRECT("Include_" &amp; $A$3)*INDIRECT("Include_" &amp; G$7)*
OFFSET(INDIRECT(Region_Abbr_Cost &amp; "!A1"), $B$5 + G$6,$B18+1)</f>
        <v>#REF!</v>
      </c>
      <c r="H18" s="9" t="e" cm="1">
        <f t="array" aca="1" ref="H18" ca="1">$B$4 *
INDIRECT("Include_" &amp; $A$3)*INDIRECT("Include_" &amp; H$7)*
OFFSET(INDIRECT(Region_Abbr_Cost &amp; "!A1"), $B$5 + H$6,$B18+1)</f>
        <v>#REF!</v>
      </c>
      <c r="J18">
        <f t="shared" si="6"/>
        <v>2034</v>
      </c>
      <c r="K18">
        <f t="shared" si="7"/>
        <v>10</v>
      </c>
      <c r="L18" s="9" t="e" cm="1">
        <f t="array" aca="1" ref="L18" ca="1">$K$4 *
INDIRECT("Include_" &amp; $J$3)*INDIRECT("Include_" &amp; L$7)*
OFFSET(INDIRECT(Region_Abbr_Cost &amp; "!A1"), $K$5 + L$6,$K18+1)</f>
        <v>#REF!</v>
      </c>
      <c r="M18" s="9" t="e" cm="1">
        <f t="array" aca="1" ref="M18" ca="1">$K$4 *
INDIRECT("Include_" &amp; $J$3)*INDIRECT("Include_" &amp; M$7)*
OFFSET(INDIRECT(Region_Abbr_Cost &amp; "!A1"), $K$5 + M$6,$K18+1)</f>
        <v>#REF!</v>
      </c>
      <c r="N18" s="9" t="e" cm="1">
        <f t="array" aca="1" ref="N18" ca="1">$K$4 *
INDIRECT("Include_" &amp; $J$3)*INDIRECT("Include_" &amp; N$7)*
OFFSET(INDIRECT(Region_Abbr_Cost &amp; "!A1"), $K$5 + N$6,$K18+1)</f>
        <v>#REF!</v>
      </c>
      <c r="O18" s="9" t="e" cm="1">
        <f t="array" aca="1" ref="O18" ca="1">$K$4 *
INDIRECT("Include_" &amp; $J$3)*INDIRECT("Include_" &amp; O$7)*
OFFSET(INDIRECT(Region_Abbr_Cost &amp; "!A1"), $K$5 + O$6,$K18+1)</f>
        <v>#REF!</v>
      </c>
      <c r="P18" s="9" t="e" cm="1">
        <f t="array" aca="1" ref="P18" ca="1">$K$4 *
INDIRECT("Include_" &amp; $J$3)*INDIRECT("Include_" &amp; P$7)*
OFFSET(INDIRECT(Region_Abbr_Cost &amp; "!A1"), $K$5 + P$6,$K18+1)</f>
        <v>#REF!</v>
      </c>
      <c r="Q18" s="9" t="e" cm="1">
        <f t="array" aca="1" ref="Q18" ca="1">$K$4 *
INDIRECT("Include_" &amp; $J$3)*INDIRECT("Include_" &amp; Q$7)*
OFFSET(INDIRECT(Region_Abbr_Cost &amp; "!A1"), $K$5 + Q$6,$K18+1)</f>
        <v>#REF!</v>
      </c>
      <c r="S18">
        <f t="shared" si="8"/>
        <v>2034</v>
      </c>
      <c r="T18">
        <f t="shared" si="9"/>
        <v>10</v>
      </c>
      <c r="U18" s="9" t="e" cm="1">
        <f t="array" aca="1" ref="U1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U$6,$T18+1)</f>
        <v>#REF!</v>
      </c>
      <c r="V18" s="9" t="e" cm="1">
        <f t="array" aca="1" ref="V1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V$6,$T18+1)</f>
        <v>#REF!</v>
      </c>
      <c r="W18" s="9" t="e" cm="1">
        <f t="array" aca="1" ref="W1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W$6,$T18+1)</f>
        <v>#REF!</v>
      </c>
      <c r="X18" s="9" t="e" cm="1">
        <f t="array" aca="1" ref="X1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X$6,$T18+1)</f>
        <v>#REF!</v>
      </c>
      <c r="Y18" s="9" t="e" cm="1">
        <f t="array" aca="1" ref="Y1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Y$6,$T18+1)</f>
        <v>#REF!</v>
      </c>
      <c r="Z18" s="9" t="e" cm="1">
        <f t="array" aca="1" ref="Z1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Z$6,$T18+1)</f>
        <v>#REF!</v>
      </c>
      <c r="AB18">
        <f t="shared" si="10"/>
        <v>2034</v>
      </c>
      <c r="AC18">
        <f t="shared" si="11"/>
        <v>10</v>
      </c>
      <c r="AD18" s="9" t="e" cm="1">
        <f t="array" aca="1" ref="AD1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AD$6,$AC18+1)</f>
        <v>#REF!</v>
      </c>
      <c r="AE18" s="9" t="e" cm="1">
        <f t="array" aca="1" ref="AE1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AE$6,$AC18+1)</f>
        <v>#REF!</v>
      </c>
      <c r="AF18" s="9" t="e" cm="1">
        <f t="array" aca="1" ref="AF1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AF$6,$AC18+1)</f>
        <v>#REF!</v>
      </c>
      <c r="AG18" s="9" t="e" cm="1">
        <f t="array" aca="1" ref="AG1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AG$6,$AC18+1)</f>
        <v>#REF!</v>
      </c>
      <c r="AH18" s="9" t="e" cm="1">
        <f t="array" aca="1" ref="AH1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AH$6,$AC18+1)</f>
        <v>#REF!</v>
      </c>
      <c r="AI18" s="9" t="e" cm="1">
        <f t="array" aca="1" ref="AI1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AI$6,$AC18+1)</f>
        <v>#REF!</v>
      </c>
    </row>
    <row r="19" spans="1:35" x14ac:dyDescent="0.75">
      <c r="A19">
        <f t="shared" si="4"/>
        <v>2035</v>
      </c>
      <c r="B19">
        <f t="shared" si="5"/>
        <v>11</v>
      </c>
      <c r="C19" s="9" t="e" cm="1">
        <f t="array" aca="1" ref="C19" ca="1">$B$4 *
INDIRECT("Include_" &amp; $A$3)*INDIRECT("Include_" &amp; C$7)*
OFFSET(INDIRECT(Region_Abbr_Cost &amp; "!A1"), $B$5 + C$6,$B19+1)</f>
        <v>#REF!</v>
      </c>
      <c r="D19" s="9" t="e" cm="1">
        <f t="array" aca="1" ref="D19" ca="1">$B$4 *
INDIRECT("Include_" &amp; $A$3)*INDIRECT("Include_" &amp; D$7)*
OFFSET(INDIRECT(Region_Abbr_Cost &amp; "!A1"), $B$5 + D$6,$B19+1)</f>
        <v>#REF!</v>
      </c>
      <c r="E19" s="9" t="e" cm="1">
        <f t="array" aca="1" ref="E19" ca="1">$B$4 *
INDIRECT("Include_" &amp; $A$3)*INDIRECT("Include_" &amp; E$7)*
OFFSET(INDIRECT(Region_Abbr_Cost &amp; "!A1"), $B$5 + E$6,$B19+1)</f>
        <v>#REF!</v>
      </c>
      <c r="F19" s="9" t="e" cm="1">
        <f t="array" aca="1" ref="F19" ca="1">$B$4 *
INDIRECT("Include_" &amp; $A$3)*INDIRECT("Include_" &amp; F$7)*
OFFSET(INDIRECT(Region_Abbr_Cost &amp; "!A1"), $B$5 + F$6,$B19+1)</f>
        <v>#REF!</v>
      </c>
      <c r="G19" s="9" t="e" cm="1">
        <f t="array" aca="1" ref="G19" ca="1">$B$4 *
INDIRECT("Include_" &amp; $A$3)*INDIRECT("Include_" &amp; G$7)*
OFFSET(INDIRECT(Region_Abbr_Cost &amp; "!A1"), $B$5 + G$6,$B19+1)</f>
        <v>#REF!</v>
      </c>
      <c r="H19" s="9" t="e" cm="1">
        <f t="array" aca="1" ref="H19" ca="1">$B$4 *
INDIRECT("Include_" &amp; $A$3)*INDIRECT("Include_" &amp; H$7)*
OFFSET(INDIRECT(Region_Abbr_Cost &amp; "!A1"), $B$5 + H$6,$B19+1)</f>
        <v>#REF!</v>
      </c>
      <c r="J19">
        <f t="shared" si="6"/>
        <v>2035</v>
      </c>
      <c r="K19">
        <f t="shared" si="7"/>
        <v>11</v>
      </c>
      <c r="L19" s="9" t="e" cm="1">
        <f t="array" aca="1" ref="L19" ca="1">$K$4 *
INDIRECT("Include_" &amp; $J$3)*INDIRECT("Include_" &amp; L$7)*
OFFSET(INDIRECT(Region_Abbr_Cost &amp; "!A1"), $K$5 + L$6,$K19+1)</f>
        <v>#REF!</v>
      </c>
      <c r="M19" s="9" t="e" cm="1">
        <f t="array" aca="1" ref="M19" ca="1">$K$4 *
INDIRECT("Include_" &amp; $J$3)*INDIRECT("Include_" &amp; M$7)*
OFFSET(INDIRECT(Region_Abbr_Cost &amp; "!A1"), $K$5 + M$6,$K19+1)</f>
        <v>#REF!</v>
      </c>
      <c r="N19" s="9" t="e" cm="1">
        <f t="array" aca="1" ref="N19" ca="1">$K$4 *
INDIRECT("Include_" &amp; $J$3)*INDIRECT("Include_" &amp; N$7)*
OFFSET(INDIRECT(Region_Abbr_Cost &amp; "!A1"), $K$5 + N$6,$K19+1)</f>
        <v>#REF!</v>
      </c>
      <c r="O19" s="9" t="e" cm="1">
        <f t="array" aca="1" ref="O19" ca="1">$K$4 *
INDIRECT("Include_" &amp; $J$3)*INDIRECT("Include_" &amp; O$7)*
OFFSET(INDIRECT(Region_Abbr_Cost &amp; "!A1"), $K$5 + O$6,$K19+1)</f>
        <v>#REF!</v>
      </c>
      <c r="P19" s="9" t="e" cm="1">
        <f t="array" aca="1" ref="P19" ca="1">$K$4 *
INDIRECT("Include_" &amp; $J$3)*INDIRECT("Include_" &amp; P$7)*
OFFSET(INDIRECT(Region_Abbr_Cost &amp; "!A1"), $K$5 + P$6,$K19+1)</f>
        <v>#REF!</v>
      </c>
      <c r="Q19" s="9" t="e" cm="1">
        <f t="array" aca="1" ref="Q19" ca="1">$K$4 *
INDIRECT("Include_" &amp; $J$3)*INDIRECT("Include_" &amp; Q$7)*
OFFSET(INDIRECT(Region_Abbr_Cost &amp; "!A1"), $K$5 + Q$6,$K19+1)</f>
        <v>#REF!</v>
      </c>
      <c r="S19">
        <f t="shared" si="8"/>
        <v>2035</v>
      </c>
      <c r="T19">
        <f t="shared" si="9"/>
        <v>11</v>
      </c>
      <c r="U19" s="9" t="e" cm="1">
        <f t="array" aca="1" ref="U1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U$6,$T19+1)</f>
        <v>#REF!</v>
      </c>
      <c r="V19" s="9" t="e" cm="1">
        <f t="array" aca="1" ref="V1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V$6,$T19+1)</f>
        <v>#REF!</v>
      </c>
      <c r="W19" s="9" t="e" cm="1">
        <f t="array" aca="1" ref="W1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W$6,$T19+1)</f>
        <v>#REF!</v>
      </c>
      <c r="X19" s="9" t="e" cm="1">
        <f t="array" aca="1" ref="X1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X$6,$T19+1)</f>
        <v>#REF!</v>
      </c>
      <c r="Y19" s="9" t="e" cm="1">
        <f t="array" aca="1" ref="Y1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Y$6,$T19+1)</f>
        <v>#REF!</v>
      </c>
      <c r="Z19" s="9" t="e" cm="1">
        <f t="array" aca="1" ref="Z1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Z$6,$T19+1)</f>
        <v>#REF!</v>
      </c>
      <c r="AB19">
        <f t="shared" si="10"/>
        <v>2035</v>
      </c>
      <c r="AC19">
        <f t="shared" si="11"/>
        <v>11</v>
      </c>
      <c r="AD19" s="9" t="e" cm="1">
        <f t="array" aca="1" ref="AD1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AD$6,$AC19+1)</f>
        <v>#REF!</v>
      </c>
      <c r="AE19" s="9" t="e" cm="1">
        <f t="array" aca="1" ref="AE1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AE$6,$AC19+1)</f>
        <v>#REF!</v>
      </c>
      <c r="AF19" s="9" t="e" cm="1">
        <f t="array" aca="1" ref="AF1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AF$6,$AC19+1)</f>
        <v>#REF!</v>
      </c>
      <c r="AG19" s="9" t="e" cm="1">
        <f t="array" aca="1" ref="AG1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AG$6,$AC19+1)</f>
        <v>#REF!</v>
      </c>
      <c r="AH19" s="9" t="e" cm="1">
        <f t="array" aca="1" ref="AH1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AH$6,$AC19+1)</f>
        <v>#REF!</v>
      </c>
      <c r="AI19" s="9" t="e" cm="1">
        <f t="array" aca="1" ref="AI1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AI$6,$AC19+1)</f>
        <v>#REF!</v>
      </c>
    </row>
    <row r="20" spans="1:35" x14ac:dyDescent="0.75">
      <c r="A20">
        <f t="shared" si="4"/>
        <v>2036</v>
      </c>
      <c r="B20">
        <f t="shared" si="5"/>
        <v>12</v>
      </c>
      <c r="C20" s="9" t="e" cm="1">
        <f t="array" aca="1" ref="C20" ca="1">$B$4 *
INDIRECT("Include_" &amp; $A$3)*INDIRECT("Include_" &amp; C$7)*
OFFSET(INDIRECT(Region_Abbr_Cost &amp; "!A1"), $B$5 + C$6,$B20+1)</f>
        <v>#REF!</v>
      </c>
      <c r="D20" s="9" t="e" cm="1">
        <f t="array" aca="1" ref="D20" ca="1">$B$4 *
INDIRECT("Include_" &amp; $A$3)*INDIRECT("Include_" &amp; D$7)*
OFFSET(INDIRECT(Region_Abbr_Cost &amp; "!A1"), $B$5 + D$6,$B20+1)</f>
        <v>#REF!</v>
      </c>
      <c r="E20" s="9" t="e" cm="1">
        <f t="array" aca="1" ref="E20" ca="1">$B$4 *
INDIRECT("Include_" &amp; $A$3)*INDIRECT("Include_" &amp; E$7)*
OFFSET(INDIRECT(Region_Abbr_Cost &amp; "!A1"), $B$5 + E$6,$B20+1)</f>
        <v>#REF!</v>
      </c>
      <c r="F20" s="9" t="e" cm="1">
        <f t="array" aca="1" ref="F20" ca="1">$B$4 *
INDIRECT("Include_" &amp; $A$3)*INDIRECT("Include_" &amp; F$7)*
OFFSET(INDIRECT(Region_Abbr_Cost &amp; "!A1"), $B$5 + F$6,$B20+1)</f>
        <v>#REF!</v>
      </c>
      <c r="G20" s="9" t="e" cm="1">
        <f t="array" aca="1" ref="G20" ca="1">$B$4 *
INDIRECT("Include_" &amp; $A$3)*INDIRECT("Include_" &amp; G$7)*
OFFSET(INDIRECT(Region_Abbr_Cost &amp; "!A1"), $B$5 + G$6,$B20+1)</f>
        <v>#REF!</v>
      </c>
      <c r="H20" s="9" t="e" cm="1">
        <f t="array" aca="1" ref="H20" ca="1">$B$4 *
INDIRECT("Include_" &amp; $A$3)*INDIRECT("Include_" &amp; H$7)*
OFFSET(INDIRECT(Region_Abbr_Cost &amp; "!A1"), $B$5 + H$6,$B20+1)</f>
        <v>#REF!</v>
      </c>
      <c r="J20">
        <f t="shared" si="6"/>
        <v>2036</v>
      </c>
      <c r="K20">
        <f t="shared" si="7"/>
        <v>12</v>
      </c>
      <c r="L20" s="9" t="e" cm="1">
        <f t="array" aca="1" ref="L20" ca="1">$K$4 *
INDIRECT("Include_" &amp; $J$3)*INDIRECT("Include_" &amp; L$7)*
OFFSET(INDIRECT(Region_Abbr_Cost &amp; "!A1"), $K$5 + L$6,$K20+1)</f>
        <v>#REF!</v>
      </c>
      <c r="M20" s="9" t="e" cm="1">
        <f t="array" aca="1" ref="M20" ca="1">$K$4 *
INDIRECT("Include_" &amp; $J$3)*INDIRECT("Include_" &amp; M$7)*
OFFSET(INDIRECT(Region_Abbr_Cost &amp; "!A1"), $K$5 + M$6,$K20+1)</f>
        <v>#REF!</v>
      </c>
      <c r="N20" s="9" t="e" cm="1">
        <f t="array" aca="1" ref="N20" ca="1">$K$4 *
INDIRECT("Include_" &amp; $J$3)*INDIRECT("Include_" &amp; N$7)*
OFFSET(INDIRECT(Region_Abbr_Cost &amp; "!A1"), $K$5 + N$6,$K20+1)</f>
        <v>#REF!</v>
      </c>
      <c r="O20" s="9" t="e" cm="1">
        <f t="array" aca="1" ref="O20" ca="1">$K$4 *
INDIRECT("Include_" &amp; $J$3)*INDIRECT("Include_" &amp; O$7)*
OFFSET(INDIRECT(Region_Abbr_Cost &amp; "!A1"), $K$5 + O$6,$K20+1)</f>
        <v>#REF!</v>
      </c>
      <c r="P20" s="9" t="e" cm="1">
        <f t="array" aca="1" ref="P20" ca="1">$K$4 *
INDIRECT("Include_" &amp; $J$3)*INDIRECT("Include_" &amp; P$7)*
OFFSET(INDIRECT(Region_Abbr_Cost &amp; "!A1"), $K$5 + P$6,$K20+1)</f>
        <v>#REF!</v>
      </c>
      <c r="Q20" s="9" t="e" cm="1">
        <f t="array" aca="1" ref="Q20" ca="1">$K$4 *
INDIRECT("Include_" &amp; $J$3)*INDIRECT("Include_" &amp; Q$7)*
OFFSET(INDIRECT(Region_Abbr_Cost &amp; "!A1"), $K$5 + Q$6,$K20+1)</f>
        <v>#REF!</v>
      </c>
      <c r="S20">
        <f t="shared" si="8"/>
        <v>2036</v>
      </c>
      <c r="T20">
        <f t="shared" si="9"/>
        <v>12</v>
      </c>
      <c r="U20" s="9" t="e" cm="1">
        <f t="array" aca="1" ref="U2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U$6,$T20+1)</f>
        <v>#REF!</v>
      </c>
      <c r="V20" s="9" t="e" cm="1">
        <f t="array" aca="1" ref="V2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V$6,$T20+1)</f>
        <v>#REF!</v>
      </c>
      <c r="W20" s="9" t="e" cm="1">
        <f t="array" aca="1" ref="W2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W$6,$T20+1)</f>
        <v>#REF!</v>
      </c>
      <c r="X20" s="9" t="e" cm="1">
        <f t="array" aca="1" ref="X2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X$6,$T20+1)</f>
        <v>#REF!</v>
      </c>
      <c r="Y20" s="9" t="e" cm="1">
        <f t="array" aca="1" ref="Y2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Y$6,$T20+1)</f>
        <v>#REF!</v>
      </c>
      <c r="Z20" s="9" t="e" cm="1">
        <f t="array" aca="1" ref="Z2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Z$6,$T20+1)</f>
        <v>#REF!</v>
      </c>
      <c r="AB20">
        <f t="shared" si="10"/>
        <v>2036</v>
      </c>
      <c r="AC20">
        <f t="shared" si="11"/>
        <v>12</v>
      </c>
      <c r="AD20" s="9" t="e" cm="1">
        <f t="array" aca="1" ref="AD2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AD$6,$AC20+1)</f>
        <v>#REF!</v>
      </c>
      <c r="AE20" s="9" t="e" cm="1">
        <f t="array" aca="1" ref="AE2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AE$6,$AC20+1)</f>
        <v>#REF!</v>
      </c>
      <c r="AF20" s="9" t="e" cm="1">
        <f t="array" aca="1" ref="AF2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AF$6,$AC20+1)</f>
        <v>#REF!</v>
      </c>
      <c r="AG20" s="9" t="e" cm="1">
        <f t="array" aca="1" ref="AG2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AG$6,$AC20+1)</f>
        <v>#REF!</v>
      </c>
      <c r="AH20" s="9" t="e" cm="1">
        <f t="array" aca="1" ref="AH2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AH$6,$AC20+1)</f>
        <v>#REF!</v>
      </c>
      <c r="AI20" s="9" t="e" cm="1">
        <f t="array" aca="1" ref="AI2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AI$6,$AC20+1)</f>
        <v>#REF!</v>
      </c>
    </row>
    <row r="21" spans="1:35" x14ac:dyDescent="0.75">
      <c r="A21">
        <f t="shared" si="4"/>
        <v>2037</v>
      </c>
      <c r="B21">
        <f t="shared" si="5"/>
        <v>13</v>
      </c>
      <c r="C21" s="9" t="e" cm="1">
        <f t="array" aca="1" ref="C21" ca="1">$B$4 *
INDIRECT("Include_" &amp; $A$3)*INDIRECT("Include_" &amp; C$7)*
OFFSET(INDIRECT(Region_Abbr_Cost &amp; "!A1"), $B$5 + C$6,$B21+1)</f>
        <v>#REF!</v>
      </c>
      <c r="D21" s="9" t="e" cm="1">
        <f t="array" aca="1" ref="D21" ca="1">$B$4 *
INDIRECT("Include_" &amp; $A$3)*INDIRECT("Include_" &amp; D$7)*
OFFSET(INDIRECT(Region_Abbr_Cost &amp; "!A1"), $B$5 + D$6,$B21+1)</f>
        <v>#REF!</v>
      </c>
      <c r="E21" s="9" t="e" cm="1">
        <f t="array" aca="1" ref="E21" ca="1">$B$4 *
INDIRECT("Include_" &amp; $A$3)*INDIRECT("Include_" &amp; E$7)*
OFFSET(INDIRECT(Region_Abbr_Cost &amp; "!A1"), $B$5 + E$6,$B21+1)</f>
        <v>#REF!</v>
      </c>
      <c r="F21" s="9" t="e" cm="1">
        <f t="array" aca="1" ref="F21" ca="1">$B$4 *
INDIRECT("Include_" &amp; $A$3)*INDIRECT("Include_" &amp; F$7)*
OFFSET(INDIRECT(Region_Abbr_Cost &amp; "!A1"), $B$5 + F$6,$B21+1)</f>
        <v>#REF!</v>
      </c>
      <c r="G21" s="9" t="e" cm="1">
        <f t="array" aca="1" ref="G21" ca="1">$B$4 *
INDIRECT("Include_" &amp; $A$3)*INDIRECT("Include_" &amp; G$7)*
OFFSET(INDIRECT(Region_Abbr_Cost &amp; "!A1"), $B$5 + G$6,$B21+1)</f>
        <v>#REF!</v>
      </c>
      <c r="H21" s="9" t="e" cm="1">
        <f t="array" aca="1" ref="H21" ca="1">$B$4 *
INDIRECT("Include_" &amp; $A$3)*INDIRECT("Include_" &amp; H$7)*
OFFSET(INDIRECT(Region_Abbr_Cost &amp; "!A1"), $B$5 + H$6,$B21+1)</f>
        <v>#REF!</v>
      </c>
      <c r="J21">
        <f t="shared" si="6"/>
        <v>2037</v>
      </c>
      <c r="K21">
        <f t="shared" si="7"/>
        <v>13</v>
      </c>
      <c r="L21" s="9" t="e" cm="1">
        <f t="array" aca="1" ref="L21" ca="1">$K$4 *
INDIRECT("Include_" &amp; $J$3)*INDIRECT("Include_" &amp; L$7)*
OFFSET(INDIRECT(Region_Abbr_Cost &amp; "!A1"), $K$5 + L$6,$K21+1)</f>
        <v>#REF!</v>
      </c>
      <c r="M21" s="9" t="e" cm="1">
        <f t="array" aca="1" ref="M21" ca="1">$K$4 *
INDIRECT("Include_" &amp; $J$3)*INDIRECT("Include_" &amp; M$7)*
OFFSET(INDIRECT(Region_Abbr_Cost &amp; "!A1"), $K$5 + M$6,$K21+1)</f>
        <v>#REF!</v>
      </c>
      <c r="N21" s="9" t="e" cm="1">
        <f t="array" aca="1" ref="N21" ca="1">$K$4 *
INDIRECT("Include_" &amp; $J$3)*INDIRECT("Include_" &amp; N$7)*
OFFSET(INDIRECT(Region_Abbr_Cost &amp; "!A1"), $K$5 + N$6,$K21+1)</f>
        <v>#REF!</v>
      </c>
      <c r="O21" s="9" t="e" cm="1">
        <f t="array" aca="1" ref="O21" ca="1">$K$4 *
INDIRECT("Include_" &amp; $J$3)*INDIRECT("Include_" &amp; O$7)*
OFFSET(INDIRECT(Region_Abbr_Cost &amp; "!A1"), $K$5 + O$6,$K21+1)</f>
        <v>#REF!</v>
      </c>
      <c r="P21" s="9" t="e" cm="1">
        <f t="array" aca="1" ref="P21" ca="1">$K$4 *
INDIRECT("Include_" &amp; $J$3)*INDIRECT("Include_" &amp; P$7)*
OFFSET(INDIRECT(Region_Abbr_Cost &amp; "!A1"), $K$5 + P$6,$K21+1)</f>
        <v>#REF!</v>
      </c>
      <c r="Q21" s="9" t="e" cm="1">
        <f t="array" aca="1" ref="Q21" ca="1">$K$4 *
INDIRECT("Include_" &amp; $J$3)*INDIRECT("Include_" &amp; Q$7)*
OFFSET(INDIRECT(Region_Abbr_Cost &amp; "!A1"), $K$5 + Q$6,$K21+1)</f>
        <v>#REF!</v>
      </c>
      <c r="S21">
        <f t="shared" si="8"/>
        <v>2037</v>
      </c>
      <c r="T21">
        <f t="shared" si="9"/>
        <v>13</v>
      </c>
      <c r="U21" s="9" t="e" cm="1">
        <f t="array" aca="1" ref="U2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U$6,$T21+1)</f>
        <v>#REF!</v>
      </c>
      <c r="V21" s="9" t="e" cm="1">
        <f t="array" aca="1" ref="V2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V$6,$T21+1)</f>
        <v>#REF!</v>
      </c>
      <c r="W21" s="9" t="e" cm="1">
        <f t="array" aca="1" ref="W2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W$6,$T21+1)</f>
        <v>#REF!</v>
      </c>
      <c r="X21" s="9" t="e" cm="1">
        <f t="array" aca="1" ref="X2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X$6,$T21+1)</f>
        <v>#REF!</v>
      </c>
      <c r="Y21" s="9" t="e" cm="1">
        <f t="array" aca="1" ref="Y2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Y$6,$T21+1)</f>
        <v>#REF!</v>
      </c>
      <c r="Z21" s="9" t="e" cm="1">
        <f t="array" aca="1" ref="Z2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Z$6,$T21+1)</f>
        <v>#REF!</v>
      </c>
      <c r="AB21">
        <f t="shared" si="10"/>
        <v>2037</v>
      </c>
      <c r="AC21">
        <f t="shared" si="11"/>
        <v>13</v>
      </c>
      <c r="AD21" s="9" t="e" cm="1">
        <f t="array" aca="1" ref="AD2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AD$6,$AC21+1)</f>
        <v>#REF!</v>
      </c>
      <c r="AE21" s="9" t="e" cm="1">
        <f t="array" aca="1" ref="AE2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AE$6,$AC21+1)</f>
        <v>#REF!</v>
      </c>
      <c r="AF21" s="9" t="e" cm="1">
        <f t="array" aca="1" ref="AF2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AF$6,$AC21+1)</f>
        <v>#REF!</v>
      </c>
      <c r="AG21" s="9" t="e" cm="1">
        <f t="array" aca="1" ref="AG2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AG$6,$AC21+1)</f>
        <v>#REF!</v>
      </c>
      <c r="AH21" s="9" t="e" cm="1">
        <f t="array" aca="1" ref="AH2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AH$6,$AC21+1)</f>
        <v>#REF!</v>
      </c>
      <c r="AI21" s="9" t="e" cm="1">
        <f t="array" aca="1" ref="AI2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AI$6,$AC21+1)</f>
        <v>#REF!</v>
      </c>
    </row>
    <row r="22" spans="1:35" x14ac:dyDescent="0.75">
      <c r="A22">
        <f t="shared" si="4"/>
        <v>2038</v>
      </c>
      <c r="B22">
        <f t="shared" si="5"/>
        <v>14</v>
      </c>
      <c r="C22" s="9" t="e" cm="1">
        <f t="array" aca="1" ref="C22" ca="1">$B$4 *
INDIRECT("Include_" &amp; $A$3)*INDIRECT("Include_" &amp; C$7)*
OFFSET(INDIRECT(Region_Abbr_Cost &amp; "!A1"), $B$5 + C$6,$B22+1)</f>
        <v>#REF!</v>
      </c>
      <c r="D22" s="9" t="e" cm="1">
        <f t="array" aca="1" ref="D22" ca="1">$B$4 *
INDIRECT("Include_" &amp; $A$3)*INDIRECT("Include_" &amp; D$7)*
OFFSET(INDIRECT(Region_Abbr_Cost &amp; "!A1"), $B$5 + D$6,$B22+1)</f>
        <v>#REF!</v>
      </c>
      <c r="E22" s="9" t="e" cm="1">
        <f t="array" aca="1" ref="E22" ca="1">$B$4 *
INDIRECT("Include_" &amp; $A$3)*INDIRECT("Include_" &amp; E$7)*
OFFSET(INDIRECT(Region_Abbr_Cost &amp; "!A1"), $B$5 + E$6,$B22+1)</f>
        <v>#REF!</v>
      </c>
      <c r="F22" s="9" t="e" cm="1">
        <f t="array" aca="1" ref="F22" ca="1">$B$4 *
INDIRECT("Include_" &amp; $A$3)*INDIRECT("Include_" &amp; F$7)*
OFFSET(INDIRECT(Region_Abbr_Cost &amp; "!A1"), $B$5 + F$6,$B22+1)</f>
        <v>#REF!</v>
      </c>
      <c r="G22" s="9" t="e" cm="1">
        <f t="array" aca="1" ref="G22" ca="1">$B$4 *
INDIRECT("Include_" &amp; $A$3)*INDIRECT("Include_" &amp; G$7)*
OFFSET(INDIRECT(Region_Abbr_Cost &amp; "!A1"), $B$5 + G$6,$B22+1)</f>
        <v>#REF!</v>
      </c>
      <c r="H22" s="9" t="e" cm="1">
        <f t="array" aca="1" ref="H22" ca="1">$B$4 *
INDIRECT("Include_" &amp; $A$3)*INDIRECT("Include_" &amp; H$7)*
OFFSET(INDIRECT(Region_Abbr_Cost &amp; "!A1"), $B$5 + H$6,$B22+1)</f>
        <v>#REF!</v>
      </c>
      <c r="J22">
        <f t="shared" si="6"/>
        <v>2038</v>
      </c>
      <c r="K22">
        <f t="shared" si="7"/>
        <v>14</v>
      </c>
      <c r="L22" s="9" t="e" cm="1">
        <f t="array" aca="1" ref="L22" ca="1">$K$4 *
INDIRECT("Include_" &amp; $J$3)*INDIRECT("Include_" &amp; L$7)*
OFFSET(INDIRECT(Region_Abbr_Cost &amp; "!A1"), $K$5 + L$6,$K22+1)</f>
        <v>#REF!</v>
      </c>
      <c r="M22" s="9" t="e" cm="1">
        <f t="array" aca="1" ref="M22" ca="1">$K$4 *
INDIRECT("Include_" &amp; $J$3)*INDIRECT("Include_" &amp; M$7)*
OFFSET(INDIRECT(Region_Abbr_Cost &amp; "!A1"), $K$5 + M$6,$K22+1)</f>
        <v>#REF!</v>
      </c>
      <c r="N22" s="9" t="e" cm="1">
        <f t="array" aca="1" ref="N22" ca="1">$K$4 *
INDIRECT("Include_" &amp; $J$3)*INDIRECT("Include_" &amp; N$7)*
OFFSET(INDIRECT(Region_Abbr_Cost &amp; "!A1"), $K$5 + N$6,$K22+1)</f>
        <v>#REF!</v>
      </c>
      <c r="O22" s="9" t="e" cm="1">
        <f t="array" aca="1" ref="O22" ca="1">$K$4 *
INDIRECT("Include_" &amp; $J$3)*INDIRECT("Include_" &amp; O$7)*
OFFSET(INDIRECT(Region_Abbr_Cost &amp; "!A1"), $K$5 + O$6,$K22+1)</f>
        <v>#REF!</v>
      </c>
      <c r="P22" s="9" t="e" cm="1">
        <f t="array" aca="1" ref="P22" ca="1">$K$4 *
INDIRECT("Include_" &amp; $J$3)*INDIRECT("Include_" &amp; P$7)*
OFFSET(INDIRECT(Region_Abbr_Cost &amp; "!A1"), $K$5 + P$6,$K22+1)</f>
        <v>#REF!</v>
      </c>
      <c r="Q22" s="9" t="e" cm="1">
        <f t="array" aca="1" ref="Q22" ca="1">$K$4 *
INDIRECT("Include_" &amp; $J$3)*INDIRECT("Include_" &amp; Q$7)*
OFFSET(INDIRECT(Region_Abbr_Cost &amp; "!A1"), $K$5 + Q$6,$K22+1)</f>
        <v>#REF!</v>
      </c>
      <c r="S22">
        <f t="shared" si="8"/>
        <v>2038</v>
      </c>
      <c r="T22">
        <f t="shared" si="9"/>
        <v>14</v>
      </c>
      <c r="U22" s="9" t="e" cm="1">
        <f t="array" aca="1" ref="U2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U$6,$T22+1)</f>
        <v>#REF!</v>
      </c>
      <c r="V22" s="9" t="e" cm="1">
        <f t="array" aca="1" ref="V2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V$6,$T22+1)</f>
        <v>#REF!</v>
      </c>
      <c r="W22" s="9" t="e" cm="1">
        <f t="array" aca="1" ref="W2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W$6,$T22+1)</f>
        <v>#REF!</v>
      </c>
      <c r="X22" s="9" t="e" cm="1">
        <f t="array" aca="1" ref="X2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X$6,$T22+1)</f>
        <v>#REF!</v>
      </c>
      <c r="Y22" s="9" t="e" cm="1">
        <f t="array" aca="1" ref="Y2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Y$6,$T22+1)</f>
        <v>#REF!</v>
      </c>
      <c r="Z22" s="9" t="e" cm="1">
        <f t="array" aca="1" ref="Z2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Z$6,$T22+1)</f>
        <v>#REF!</v>
      </c>
      <c r="AB22">
        <f t="shared" si="10"/>
        <v>2038</v>
      </c>
      <c r="AC22">
        <f t="shared" si="11"/>
        <v>14</v>
      </c>
      <c r="AD22" s="9" t="e" cm="1">
        <f t="array" aca="1" ref="AD2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AD$6,$AC22+1)</f>
        <v>#REF!</v>
      </c>
      <c r="AE22" s="9" t="e" cm="1">
        <f t="array" aca="1" ref="AE2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AE$6,$AC22+1)</f>
        <v>#REF!</v>
      </c>
      <c r="AF22" s="9" t="e" cm="1">
        <f t="array" aca="1" ref="AF2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AF$6,$AC22+1)</f>
        <v>#REF!</v>
      </c>
      <c r="AG22" s="9" t="e" cm="1">
        <f t="array" aca="1" ref="AG2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AG$6,$AC22+1)</f>
        <v>#REF!</v>
      </c>
      <c r="AH22" s="9" t="e" cm="1">
        <f t="array" aca="1" ref="AH2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AH$6,$AC22+1)</f>
        <v>#REF!</v>
      </c>
      <c r="AI22" s="9" t="e" cm="1">
        <f t="array" aca="1" ref="AI2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AI$6,$AC22+1)</f>
        <v>#REF!</v>
      </c>
    </row>
    <row r="23" spans="1:35" x14ac:dyDescent="0.75">
      <c r="A23">
        <f t="shared" si="4"/>
        <v>2039</v>
      </c>
      <c r="B23">
        <f t="shared" si="5"/>
        <v>15</v>
      </c>
      <c r="C23" s="9" t="e" cm="1">
        <f t="array" aca="1" ref="C23" ca="1">$B$4 *
INDIRECT("Include_" &amp; $A$3)*INDIRECT("Include_" &amp; C$7)*
OFFSET(INDIRECT(Region_Abbr_Cost &amp; "!A1"), $B$5 + C$6,$B23+1)</f>
        <v>#REF!</v>
      </c>
      <c r="D23" s="9" t="e" cm="1">
        <f t="array" aca="1" ref="D23" ca="1">$B$4 *
INDIRECT("Include_" &amp; $A$3)*INDIRECT("Include_" &amp; D$7)*
OFFSET(INDIRECT(Region_Abbr_Cost &amp; "!A1"), $B$5 + D$6,$B23+1)</f>
        <v>#REF!</v>
      </c>
      <c r="E23" s="9" t="e" cm="1">
        <f t="array" aca="1" ref="E23" ca="1">$B$4 *
INDIRECT("Include_" &amp; $A$3)*INDIRECT("Include_" &amp; E$7)*
OFFSET(INDIRECT(Region_Abbr_Cost &amp; "!A1"), $B$5 + E$6,$B23+1)</f>
        <v>#REF!</v>
      </c>
      <c r="F23" s="9" t="e" cm="1">
        <f t="array" aca="1" ref="F23" ca="1">$B$4 *
INDIRECT("Include_" &amp; $A$3)*INDIRECT("Include_" &amp; F$7)*
OFFSET(INDIRECT(Region_Abbr_Cost &amp; "!A1"), $B$5 + F$6,$B23+1)</f>
        <v>#REF!</v>
      </c>
      <c r="G23" s="9" t="e" cm="1">
        <f t="array" aca="1" ref="G23" ca="1">$B$4 *
INDIRECT("Include_" &amp; $A$3)*INDIRECT("Include_" &amp; G$7)*
OFFSET(INDIRECT(Region_Abbr_Cost &amp; "!A1"), $B$5 + G$6,$B23+1)</f>
        <v>#REF!</v>
      </c>
      <c r="H23" s="9" t="e" cm="1">
        <f t="array" aca="1" ref="H23" ca="1">$B$4 *
INDIRECT("Include_" &amp; $A$3)*INDIRECT("Include_" &amp; H$7)*
OFFSET(INDIRECT(Region_Abbr_Cost &amp; "!A1"), $B$5 + H$6,$B23+1)</f>
        <v>#REF!</v>
      </c>
      <c r="J23">
        <f t="shared" si="6"/>
        <v>2039</v>
      </c>
      <c r="K23">
        <f t="shared" si="7"/>
        <v>15</v>
      </c>
      <c r="L23" s="9" t="e" cm="1">
        <f t="array" aca="1" ref="L23" ca="1">$K$4 *
INDIRECT("Include_" &amp; $J$3)*INDIRECT("Include_" &amp; L$7)*
OFFSET(INDIRECT(Region_Abbr_Cost &amp; "!A1"), $K$5 + L$6,$K23+1)</f>
        <v>#REF!</v>
      </c>
      <c r="M23" s="9" t="e" cm="1">
        <f t="array" aca="1" ref="M23" ca="1">$K$4 *
INDIRECT("Include_" &amp; $J$3)*INDIRECT("Include_" &amp; M$7)*
OFFSET(INDIRECT(Region_Abbr_Cost &amp; "!A1"), $K$5 + M$6,$K23+1)</f>
        <v>#REF!</v>
      </c>
      <c r="N23" s="9" t="e" cm="1">
        <f t="array" aca="1" ref="N23" ca="1">$K$4 *
INDIRECT("Include_" &amp; $J$3)*INDIRECT("Include_" &amp; N$7)*
OFFSET(INDIRECT(Region_Abbr_Cost &amp; "!A1"), $K$5 + N$6,$K23+1)</f>
        <v>#REF!</v>
      </c>
      <c r="O23" s="9" t="e" cm="1">
        <f t="array" aca="1" ref="O23" ca="1">$K$4 *
INDIRECT("Include_" &amp; $J$3)*INDIRECT("Include_" &amp; O$7)*
OFFSET(INDIRECT(Region_Abbr_Cost &amp; "!A1"), $K$5 + O$6,$K23+1)</f>
        <v>#REF!</v>
      </c>
      <c r="P23" s="9" t="e" cm="1">
        <f t="array" aca="1" ref="P23" ca="1">$K$4 *
INDIRECT("Include_" &amp; $J$3)*INDIRECT("Include_" &amp; P$7)*
OFFSET(INDIRECT(Region_Abbr_Cost &amp; "!A1"), $K$5 + P$6,$K23+1)</f>
        <v>#REF!</v>
      </c>
      <c r="Q23" s="9" t="e" cm="1">
        <f t="array" aca="1" ref="Q23" ca="1">$K$4 *
INDIRECT("Include_" &amp; $J$3)*INDIRECT("Include_" &amp; Q$7)*
OFFSET(INDIRECT(Region_Abbr_Cost &amp; "!A1"), $K$5 + Q$6,$K23+1)</f>
        <v>#REF!</v>
      </c>
      <c r="S23">
        <f t="shared" si="8"/>
        <v>2039</v>
      </c>
      <c r="T23">
        <f t="shared" si="9"/>
        <v>15</v>
      </c>
      <c r="U23" s="9" t="e" cm="1">
        <f t="array" aca="1" ref="U2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U$6,$T23+1)</f>
        <v>#REF!</v>
      </c>
      <c r="V23" s="9" t="e" cm="1">
        <f t="array" aca="1" ref="V2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V$6,$T23+1)</f>
        <v>#REF!</v>
      </c>
      <c r="W23" s="9" t="e" cm="1">
        <f t="array" aca="1" ref="W2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W$6,$T23+1)</f>
        <v>#REF!</v>
      </c>
      <c r="X23" s="9" t="e" cm="1">
        <f t="array" aca="1" ref="X2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X$6,$T23+1)</f>
        <v>#REF!</v>
      </c>
      <c r="Y23" s="9" t="e" cm="1">
        <f t="array" aca="1" ref="Y2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Y$6,$T23+1)</f>
        <v>#REF!</v>
      </c>
      <c r="Z23" s="9" t="e" cm="1">
        <f t="array" aca="1" ref="Z2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Z$6,$T23+1)</f>
        <v>#REF!</v>
      </c>
      <c r="AB23">
        <f t="shared" si="10"/>
        <v>2039</v>
      </c>
      <c r="AC23">
        <f t="shared" si="11"/>
        <v>15</v>
      </c>
      <c r="AD23" s="9" t="e" cm="1">
        <f t="array" aca="1" ref="AD2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AD$6,$AC23+1)</f>
        <v>#REF!</v>
      </c>
      <c r="AE23" s="9" t="e" cm="1">
        <f t="array" aca="1" ref="AE2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AE$6,$AC23+1)</f>
        <v>#REF!</v>
      </c>
      <c r="AF23" s="9" t="e" cm="1">
        <f t="array" aca="1" ref="AF2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AF$6,$AC23+1)</f>
        <v>#REF!</v>
      </c>
      <c r="AG23" s="9" t="e" cm="1">
        <f t="array" aca="1" ref="AG2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AG$6,$AC23+1)</f>
        <v>#REF!</v>
      </c>
      <c r="AH23" s="9" t="e" cm="1">
        <f t="array" aca="1" ref="AH2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AH$6,$AC23+1)</f>
        <v>#REF!</v>
      </c>
      <c r="AI23" s="9" t="e" cm="1">
        <f t="array" aca="1" ref="AI2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AI$6,$AC23+1)</f>
        <v>#REF!</v>
      </c>
    </row>
    <row r="24" spans="1:35" x14ac:dyDescent="0.75">
      <c r="A24">
        <f t="shared" si="4"/>
        <v>2040</v>
      </c>
      <c r="B24">
        <f t="shared" si="5"/>
        <v>16</v>
      </c>
      <c r="C24" s="9" t="e" cm="1">
        <f t="array" aca="1" ref="C24" ca="1">$B$4 *
INDIRECT("Include_" &amp; $A$3)*INDIRECT("Include_" &amp; C$7)*
OFFSET(INDIRECT(Region_Abbr_Cost &amp; "!A1"), $B$5 + C$6,$B24+1)</f>
        <v>#REF!</v>
      </c>
      <c r="D24" s="9" t="e" cm="1">
        <f t="array" aca="1" ref="D24" ca="1">$B$4 *
INDIRECT("Include_" &amp; $A$3)*INDIRECT("Include_" &amp; D$7)*
OFFSET(INDIRECT(Region_Abbr_Cost &amp; "!A1"), $B$5 + D$6,$B24+1)</f>
        <v>#REF!</v>
      </c>
      <c r="E24" s="9" t="e" cm="1">
        <f t="array" aca="1" ref="E24" ca="1">$B$4 *
INDIRECT("Include_" &amp; $A$3)*INDIRECT("Include_" &amp; E$7)*
OFFSET(INDIRECT(Region_Abbr_Cost &amp; "!A1"), $B$5 + E$6,$B24+1)</f>
        <v>#REF!</v>
      </c>
      <c r="F24" s="9" t="e" cm="1">
        <f t="array" aca="1" ref="F24" ca="1">$B$4 *
INDIRECT("Include_" &amp; $A$3)*INDIRECT("Include_" &amp; F$7)*
OFFSET(INDIRECT(Region_Abbr_Cost &amp; "!A1"), $B$5 + F$6,$B24+1)</f>
        <v>#REF!</v>
      </c>
      <c r="G24" s="9" t="e" cm="1">
        <f t="array" aca="1" ref="G24" ca="1">$B$4 *
INDIRECT("Include_" &amp; $A$3)*INDIRECT("Include_" &amp; G$7)*
OFFSET(INDIRECT(Region_Abbr_Cost &amp; "!A1"), $B$5 + G$6,$B24+1)</f>
        <v>#REF!</v>
      </c>
      <c r="H24" s="9" t="e" cm="1">
        <f t="array" aca="1" ref="H24" ca="1">$B$4 *
INDIRECT("Include_" &amp; $A$3)*INDIRECT("Include_" &amp; H$7)*
OFFSET(INDIRECT(Region_Abbr_Cost &amp; "!A1"), $B$5 + H$6,$B24+1)</f>
        <v>#REF!</v>
      </c>
      <c r="J24">
        <f t="shared" si="6"/>
        <v>2040</v>
      </c>
      <c r="K24">
        <f t="shared" si="7"/>
        <v>16</v>
      </c>
      <c r="L24" s="9" t="e" cm="1">
        <f t="array" aca="1" ref="L24" ca="1">$K$4 *
INDIRECT("Include_" &amp; $J$3)*INDIRECT("Include_" &amp; L$7)*
OFFSET(INDIRECT(Region_Abbr_Cost &amp; "!A1"), $K$5 + L$6,$K24+1)</f>
        <v>#REF!</v>
      </c>
      <c r="M24" s="9" t="e" cm="1">
        <f t="array" aca="1" ref="M24" ca="1">$K$4 *
INDIRECT("Include_" &amp; $J$3)*INDIRECT("Include_" &amp; M$7)*
OFFSET(INDIRECT(Region_Abbr_Cost &amp; "!A1"), $K$5 + M$6,$K24+1)</f>
        <v>#REF!</v>
      </c>
      <c r="N24" s="9" t="e" cm="1">
        <f t="array" aca="1" ref="N24" ca="1">$K$4 *
INDIRECT("Include_" &amp; $J$3)*INDIRECT("Include_" &amp; N$7)*
OFFSET(INDIRECT(Region_Abbr_Cost &amp; "!A1"), $K$5 + N$6,$K24+1)</f>
        <v>#REF!</v>
      </c>
      <c r="O24" s="9" t="e" cm="1">
        <f t="array" aca="1" ref="O24" ca="1">$K$4 *
INDIRECT("Include_" &amp; $J$3)*INDIRECT("Include_" &amp; O$7)*
OFFSET(INDIRECT(Region_Abbr_Cost &amp; "!A1"), $K$5 + O$6,$K24+1)</f>
        <v>#REF!</v>
      </c>
      <c r="P24" s="9" t="e" cm="1">
        <f t="array" aca="1" ref="P24" ca="1">$K$4 *
INDIRECT("Include_" &amp; $J$3)*INDIRECT("Include_" &amp; P$7)*
OFFSET(INDIRECT(Region_Abbr_Cost &amp; "!A1"), $K$5 + P$6,$K24+1)</f>
        <v>#REF!</v>
      </c>
      <c r="Q24" s="9" t="e" cm="1">
        <f t="array" aca="1" ref="Q24" ca="1">$K$4 *
INDIRECT("Include_" &amp; $J$3)*INDIRECT("Include_" &amp; Q$7)*
OFFSET(INDIRECT(Region_Abbr_Cost &amp; "!A1"), $K$5 + Q$6,$K24+1)</f>
        <v>#REF!</v>
      </c>
      <c r="S24">
        <f t="shared" si="8"/>
        <v>2040</v>
      </c>
      <c r="T24">
        <f t="shared" si="9"/>
        <v>16</v>
      </c>
      <c r="U24" s="9" t="e" cm="1">
        <f t="array" aca="1" ref="U2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U$6,$T24+1)</f>
        <v>#REF!</v>
      </c>
      <c r="V24" s="9" t="e" cm="1">
        <f t="array" aca="1" ref="V2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V$6,$T24+1)</f>
        <v>#REF!</v>
      </c>
      <c r="W24" s="9" t="e" cm="1">
        <f t="array" aca="1" ref="W2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W$6,$T24+1)</f>
        <v>#REF!</v>
      </c>
      <c r="X24" s="9" t="e" cm="1">
        <f t="array" aca="1" ref="X2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X$6,$T24+1)</f>
        <v>#REF!</v>
      </c>
      <c r="Y24" s="9" t="e" cm="1">
        <f t="array" aca="1" ref="Y2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Y$6,$T24+1)</f>
        <v>#REF!</v>
      </c>
      <c r="Z24" s="9" t="e" cm="1">
        <f t="array" aca="1" ref="Z2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Z$6,$T24+1)</f>
        <v>#REF!</v>
      </c>
      <c r="AB24">
        <f t="shared" si="10"/>
        <v>2040</v>
      </c>
      <c r="AC24">
        <f t="shared" si="11"/>
        <v>16</v>
      </c>
      <c r="AD24" s="9" t="e" cm="1">
        <f t="array" aca="1" ref="AD2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AD$6,$AC24+1)</f>
        <v>#REF!</v>
      </c>
      <c r="AE24" s="9" t="e" cm="1">
        <f t="array" aca="1" ref="AE2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AE$6,$AC24+1)</f>
        <v>#REF!</v>
      </c>
      <c r="AF24" s="9" t="e" cm="1">
        <f t="array" aca="1" ref="AF2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AF$6,$AC24+1)</f>
        <v>#REF!</v>
      </c>
      <c r="AG24" s="9" t="e" cm="1">
        <f t="array" aca="1" ref="AG2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AG$6,$AC24+1)</f>
        <v>#REF!</v>
      </c>
      <c r="AH24" s="9" t="e" cm="1">
        <f t="array" aca="1" ref="AH2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AH$6,$AC24+1)</f>
        <v>#REF!</v>
      </c>
      <c r="AI24" s="9" t="e" cm="1">
        <f t="array" aca="1" ref="AI2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AI$6,$AC24+1)</f>
        <v>#REF!</v>
      </c>
    </row>
    <row r="25" spans="1:35" x14ac:dyDescent="0.75">
      <c r="A25">
        <f t="shared" si="4"/>
        <v>2041</v>
      </c>
      <c r="B25">
        <f t="shared" si="5"/>
        <v>17</v>
      </c>
      <c r="C25" s="9" t="e" cm="1">
        <f t="array" aca="1" ref="C25" ca="1">$B$4 *
INDIRECT("Include_" &amp; $A$3)*INDIRECT("Include_" &amp; C$7)*
OFFSET(INDIRECT(Region_Abbr_Cost &amp; "!A1"), $B$5 + C$6,$B25+1)</f>
        <v>#REF!</v>
      </c>
      <c r="D25" s="9" t="e" cm="1">
        <f t="array" aca="1" ref="D25" ca="1">$B$4 *
INDIRECT("Include_" &amp; $A$3)*INDIRECT("Include_" &amp; D$7)*
OFFSET(INDIRECT(Region_Abbr_Cost &amp; "!A1"), $B$5 + D$6,$B25+1)</f>
        <v>#REF!</v>
      </c>
      <c r="E25" s="9" t="e" cm="1">
        <f t="array" aca="1" ref="E25" ca="1">$B$4 *
INDIRECT("Include_" &amp; $A$3)*INDIRECT("Include_" &amp; E$7)*
OFFSET(INDIRECT(Region_Abbr_Cost &amp; "!A1"), $B$5 + E$6,$B25+1)</f>
        <v>#REF!</v>
      </c>
      <c r="F25" s="9" t="e" cm="1">
        <f t="array" aca="1" ref="F25" ca="1">$B$4 *
INDIRECT("Include_" &amp; $A$3)*INDIRECT("Include_" &amp; F$7)*
OFFSET(INDIRECT(Region_Abbr_Cost &amp; "!A1"), $B$5 + F$6,$B25+1)</f>
        <v>#REF!</v>
      </c>
      <c r="G25" s="9" t="e" cm="1">
        <f t="array" aca="1" ref="G25" ca="1">$B$4 *
INDIRECT("Include_" &amp; $A$3)*INDIRECT("Include_" &amp; G$7)*
OFFSET(INDIRECT(Region_Abbr_Cost &amp; "!A1"), $B$5 + G$6,$B25+1)</f>
        <v>#REF!</v>
      </c>
      <c r="H25" s="9" t="e" cm="1">
        <f t="array" aca="1" ref="H25" ca="1">$B$4 *
INDIRECT("Include_" &amp; $A$3)*INDIRECT("Include_" &amp; H$7)*
OFFSET(INDIRECT(Region_Abbr_Cost &amp; "!A1"), $B$5 + H$6,$B25+1)</f>
        <v>#REF!</v>
      </c>
      <c r="J25">
        <f t="shared" si="6"/>
        <v>2041</v>
      </c>
      <c r="K25">
        <f t="shared" si="7"/>
        <v>17</v>
      </c>
      <c r="L25" s="9" t="e" cm="1">
        <f t="array" aca="1" ref="L25" ca="1">$K$4 *
INDIRECT("Include_" &amp; $J$3)*INDIRECT("Include_" &amp; L$7)*
OFFSET(INDIRECT(Region_Abbr_Cost &amp; "!A1"), $K$5 + L$6,$K25+1)</f>
        <v>#REF!</v>
      </c>
      <c r="M25" s="9" t="e" cm="1">
        <f t="array" aca="1" ref="M25" ca="1">$K$4 *
INDIRECT("Include_" &amp; $J$3)*INDIRECT("Include_" &amp; M$7)*
OFFSET(INDIRECT(Region_Abbr_Cost &amp; "!A1"), $K$5 + M$6,$K25+1)</f>
        <v>#REF!</v>
      </c>
      <c r="N25" s="9" t="e" cm="1">
        <f t="array" aca="1" ref="N25" ca="1">$K$4 *
INDIRECT("Include_" &amp; $J$3)*INDIRECT("Include_" &amp; N$7)*
OFFSET(INDIRECT(Region_Abbr_Cost &amp; "!A1"), $K$5 + N$6,$K25+1)</f>
        <v>#REF!</v>
      </c>
      <c r="O25" s="9" t="e" cm="1">
        <f t="array" aca="1" ref="O25" ca="1">$K$4 *
INDIRECT("Include_" &amp; $J$3)*INDIRECT("Include_" &amp; O$7)*
OFFSET(INDIRECT(Region_Abbr_Cost &amp; "!A1"), $K$5 + O$6,$K25+1)</f>
        <v>#REF!</v>
      </c>
      <c r="P25" s="9" t="e" cm="1">
        <f t="array" aca="1" ref="P25" ca="1">$K$4 *
INDIRECT("Include_" &amp; $J$3)*INDIRECT("Include_" &amp; P$7)*
OFFSET(INDIRECT(Region_Abbr_Cost &amp; "!A1"), $K$5 + P$6,$K25+1)</f>
        <v>#REF!</v>
      </c>
      <c r="Q25" s="9" t="e" cm="1">
        <f t="array" aca="1" ref="Q25" ca="1">$K$4 *
INDIRECT("Include_" &amp; $J$3)*INDIRECT("Include_" &amp; Q$7)*
OFFSET(INDIRECT(Region_Abbr_Cost &amp; "!A1"), $K$5 + Q$6,$K25+1)</f>
        <v>#REF!</v>
      </c>
      <c r="S25">
        <f t="shared" si="8"/>
        <v>2041</v>
      </c>
      <c r="T25">
        <f t="shared" si="9"/>
        <v>17</v>
      </c>
      <c r="U25" s="9" t="e" cm="1">
        <f t="array" aca="1" ref="U25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U$6,$T25+1)</f>
        <v>#REF!</v>
      </c>
      <c r="V25" s="9" t="e" cm="1">
        <f t="array" aca="1" ref="V25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V$6,$T25+1)</f>
        <v>#REF!</v>
      </c>
      <c r="W25" s="9" t="e" cm="1">
        <f t="array" aca="1" ref="W25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W$6,$T25+1)</f>
        <v>#REF!</v>
      </c>
      <c r="X25" s="9" t="e" cm="1">
        <f t="array" aca="1" ref="X25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X$6,$T25+1)</f>
        <v>#REF!</v>
      </c>
      <c r="Y25" s="9" t="e" cm="1">
        <f t="array" aca="1" ref="Y25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Y$6,$T25+1)</f>
        <v>#REF!</v>
      </c>
      <c r="Z25" s="9" t="e" cm="1">
        <f t="array" aca="1" ref="Z25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Z$6,$T25+1)</f>
        <v>#REF!</v>
      </c>
      <c r="AB25">
        <f t="shared" si="10"/>
        <v>2041</v>
      </c>
      <c r="AC25">
        <f t="shared" si="11"/>
        <v>17</v>
      </c>
      <c r="AD25" s="9" t="e" cm="1">
        <f t="array" aca="1" ref="AD25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AD$6,$AC25+1)</f>
        <v>#REF!</v>
      </c>
      <c r="AE25" s="9" t="e" cm="1">
        <f t="array" aca="1" ref="AE25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AE$6,$AC25+1)</f>
        <v>#REF!</v>
      </c>
      <c r="AF25" s="9" t="e" cm="1">
        <f t="array" aca="1" ref="AF25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AF$6,$AC25+1)</f>
        <v>#REF!</v>
      </c>
      <c r="AG25" s="9" t="e" cm="1">
        <f t="array" aca="1" ref="AG25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AG$6,$AC25+1)</f>
        <v>#REF!</v>
      </c>
      <c r="AH25" s="9" t="e" cm="1">
        <f t="array" aca="1" ref="AH25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AH$6,$AC25+1)</f>
        <v>#REF!</v>
      </c>
      <c r="AI25" s="9" t="e" cm="1">
        <f t="array" aca="1" ref="AI25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AI$6,$AC25+1)</f>
        <v>#REF!</v>
      </c>
    </row>
    <row r="26" spans="1:35" x14ac:dyDescent="0.75">
      <c r="A26">
        <f t="shared" si="4"/>
        <v>2042</v>
      </c>
      <c r="B26">
        <f t="shared" si="5"/>
        <v>18</v>
      </c>
      <c r="C26" s="9" t="e" cm="1">
        <f t="array" aca="1" ref="C26" ca="1">$B$4 *
INDIRECT("Include_" &amp; $A$3)*INDIRECT("Include_" &amp; C$7)*
OFFSET(INDIRECT(Region_Abbr_Cost &amp; "!A1"), $B$5 + C$6,$B26+1)</f>
        <v>#REF!</v>
      </c>
      <c r="D26" s="9" t="e" cm="1">
        <f t="array" aca="1" ref="D26" ca="1">$B$4 *
INDIRECT("Include_" &amp; $A$3)*INDIRECT("Include_" &amp; D$7)*
OFFSET(INDIRECT(Region_Abbr_Cost &amp; "!A1"), $B$5 + D$6,$B26+1)</f>
        <v>#REF!</v>
      </c>
      <c r="E26" s="9" t="e" cm="1">
        <f t="array" aca="1" ref="E26" ca="1">$B$4 *
INDIRECT("Include_" &amp; $A$3)*INDIRECT("Include_" &amp; E$7)*
OFFSET(INDIRECT(Region_Abbr_Cost &amp; "!A1"), $B$5 + E$6,$B26+1)</f>
        <v>#REF!</v>
      </c>
      <c r="F26" s="9" t="e" cm="1">
        <f t="array" aca="1" ref="F26" ca="1">$B$4 *
INDIRECT("Include_" &amp; $A$3)*INDIRECT("Include_" &amp; F$7)*
OFFSET(INDIRECT(Region_Abbr_Cost &amp; "!A1"), $B$5 + F$6,$B26+1)</f>
        <v>#REF!</v>
      </c>
      <c r="G26" s="9" t="e" cm="1">
        <f t="array" aca="1" ref="G26" ca="1">$B$4 *
INDIRECT("Include_" &amp; $A$3)*INDIRECT("Include_" &amp; G$7)*
OFFSET(INDIRECT(Region_Abbr_Cost &amp; "!A1"), $B$5 + G$6,$B26+1)</f>
        <v>#REF!</v>
      </c>
      <c r="H26" s="9" t="e" cm="1">
        <f t="array" aca="1" ref="H26" ca="1">$B$4 *
INDIRECT("Include_" &amp; $A$3)*INDIRECT("Include_" &amp; H$7)*
OFFSET(INDIRECT(Region_Abbr_Cost &amp; "!A1"), $B$5 + H$6,$B26+1)</f>
        <v>#REF!</v>
      </c>
      <c r="J26">
        <f t="shared" si="6"/>
        <v>2042</v>
      </c>
      <c r="K26">
        <f t="shared" si="7"/>
        <v>18</v>
      </c>
      <c r="L26" s="9" t="e" cm="1">
        <f t="array" aca="1" ref="L26" ca="1">$K$4 *
INDIRECT("Include_" &amp; $J$3)*INDIRECT("Include_" &amp; L$7)*
OFFSET(INDIRECT(Region_Abbr_Cost &amp; "!A1"), $K$5 + L$6,$K26+1)</f>
        <v>#REF!</v>
      </c>
      <c r="M26" s="9" t="e" cm="1">
        <f t="array" aca="1" ref="M26" ca="1">$K$4 *
INDIRECT("Include_" &amp; $J$3)*INDIRECT("Include_" &amp; M$7)*
OFFSET(INDIRECT(Region_Abbr_Cost &amp; "!A1"), $K$5 + M$6,$K26+1)</f>
        <v>#REF!</v>
      </c>
      <c r="N26" s="9" t="e" cm="1">
        <f t="array" aca="1" ref="N26" ca="1">$K$4 *
INDIRECT("Include_" &amp; $J$3)*INDIRECT("Include_" &amp; N$7)*
OFFSET(INDIRECT(Region_Abbr_Cost &amp; "!A1"), $K$5 + N$6,$K26+1)</f>
        <v>#REF!</v>
      </c>
      <c r="O26" s="9" t="e" cm="1">
        <f t="array" aca="1" ref="O26" ca="1">$K$4 *
INDIRECT("Include_" &amp; $J$3)*INDIRECT("Include_" &amp; O$7)*
OFFSET(INDIRECT(Region_Abbr_Cost &amp; "!A1"), $K$5 + O$6,$K26+1)</f>
        <v>#REF!</v>
      </c>
      <c r="P26" s="9" t="e" cm="1">
        <f t="array" aca="1" ref="P26" ca="1">$K$4 *
INDIRECT("Include_" &amp; $J$3)*INDIRECT("Include_" &amp; P$7)*
OFFSET(INDIRECT(Region_Abbr_Cost &amp; "!A1"), $K$5 + P$6,$K26+1)</f>
        <v>#REF!</v>
      </c>
      <c r="Q26" s="9" t="e" cm="1">
        <f t="array" aca="1" ref="Q26" ca="1">$K$4 *
INDIRECT("Include_" &amp; $J$3)*INDIRECT("Include_" &amp; Q$7)*
OFFSET(INDIRECT(Region_Abbr_Cost &amp; "!A1"), $K$5 + Q$6,$K26+1)</f>
        <v>#REF!</v>
      </c>
      <c r="S26">
        <f t="shared" si="8"/>
        <v>2042</v>
      </c>
      <c r="T26">
        <f t="shared" si="9"/>
        <v>18</v>
      </c>
      <c r="U26" s="9" t="e" cm="1">
        <f t="array" aca="1" ref="U26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U$6,$T26+1)</f>
        <v>#REF!</v>
      </c>
      <c r="V26" s="9" t="e" cm="1">
        <f t="array" aca="1" ref="V26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V$6,$T26+1)</f>
        <v>#REF!</v>
      </c>
      <c r="W26" s="9" t="e" cm="1">
        <f t="array" aca="1" ref="W26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W$6,$T26+1)</f>
        <v>#REF!</v>
      </c>
      <c r="X26" s="9" t="e" cm="1">
        <f t="array" aca="1" ref="X26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X$6,$T26+1)</f>
        <v>#REF!</v>
      </c>
      <c r="Y26" s="9" t="e" cm="1">
        <f t="array" aca="1" ref="Y26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Y$6,$T26+1)</f>
        <v>#REF!</v>
      </c>
      <c r="Z26" s="9" t="e" cm="1">
        <f t="array" aca="1" ref="Z26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Z$6,$T26+1)</f>
        <v>#REF!</v>
      </c>
      <c r="AB26">
        <f t="shared" si="10"/>
        <v>2042</v>
      </c>
      <c r="AC26">
        <f t="shared" si="11"/>
        <v>18</v>
      </c>
      <c r="AD26" s="9" t="e" cm="1">
        <f t="array" aca="1" ref="AD26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AD$6,$AC26+1)</f>
        <v>#REF!</v>
      </c>
      <c r="AE26" s="9" t="e" cm="1">
        <f t="array" aca="1" ref="AE26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AE$6,$AC26+1)</f>
        <v>#REF!</v>
      </c>
      <c r="AF26" s="9" t="e" cm="1">
        <f t="array" aca="1" ref="AF26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AF$6,$AC26+1)</f>
        <v>#REF!</v>
      </c>
      <c r="AG26" s="9" t="e" cm="1">
        <f t="array" aca="1" ref="AG26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AG$6,$AC26+1)</f>
        <v>#REF!</v>
      </c>
      <c r="AH26" s="9" t="e" cm="1">
        <f t="array" aca="1" ref="AH26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AH$6,$AC26+1)</f>
        <v>#REF!</v>
      </c>
      <c r="AI26" s="9" t="e" cm="1">
        <f t="array" aca="1" ref="AI26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AI$6,$AC26+1)</f>
        <v>#REF!</v>
      </c>
    </row>
    <row r="27" spans="1:35" x14ac:dyDescent="0.75">
      <c r="A27">
        <f t="shared" si="4"/>
        <v>2043</v>
      </c>
      <c r="B27">
        <f t="shared" si="5"/>
        <v>19</v>
      </c>
      <c r="C27" s="9" t="e" cm="1">
        <f t="array" aca="1" ref="C27" ca="1">$B$4 *
INDIRECT("Include_" &amp; $A$3)*INDIRECT("Include_" &amp; C$7)*
OFFSET(INDIRECT(Region_Abbr_Cost &amp; "!A1"), $B$5 + C$6,$B27+1)</f>
        <v>#REF!</v>
      </c>
      <c r="D27" s="9" t="e" cm="1">
        <f t="array" aca="1" ref="D27" ca="1">$B$4 *
INDIRECT("Include_" &amp; $A$3)*INDIRECT("Include_" &amp; D$7)*
OFFSET(INDIRECT(Region_Abbr_Cost &amp; "!A1"), $B$5 + D$6,$B27+1)</f>
        <v>#REF!</v>
      </c>
      <c r="E27" s="9" t="e" cm="1">
        <f t="array" aca="1" ref="E27" ca="1">$B$4 *
INDIRECT("Include_" &amp; $A$3)*INDIRECT("Include_" &amp; E$7)*
OFFSET(INDIRECT(Region_Abbr_Cost &amp; "!A1"), $B$5 + E$6,$B27+1)</f>
        <v>#REF!</v>
      </c>
      <c r="F27" s="9" t="e" cm="1">
        <f t="array" aca="1" ref="F27" ca="1">$B$4 *
INDIRECT("Include_" &amp; $A$3)*INDIRECT("Include_" &amp; F$7)*
OFFSET(INDIRECT(Region_Abbr_Cost &amp; "!A1"), $B$5 + F$6,$B27+1)</f>
        <v>#REF!</v>
      </c>
      <c r="G27" s="9" t="e" cm="1">
        <f t="array" aca="1" ref="G27" ca="1">$B$4 *
INDIRECT("Include_" &amp; $A$3)*INDIRECT("Include_" &amp; G$7)*
OFFSET(INDIRECT(Region_Abbr_Cost &amp; "!A1"), $B$5 + G$6,$B27+1)</f>
        <v>#REF!</v>
      </c>
      <c r="H27" s="9" t="e" cm="1">
        <f t="array" aca="1" ref="H27" ca="1">$B$4 *
INDIRECT("Include_" &amp; $A$3)*INDIRECT("Include_" &amp; H$7)*
OFFSET(INDIRECT(Region_Abbr_Cost &amp; "!A1"), $B$5 + H$6,$B27+1)</f>
        <v>#REF!</v>
      </c>
      <c r="J27">
        <f t="shared" si="6"/>
        <v>2043</v>
      </c>
      <c r="K27">
        <f t="shared" si="7"/>
        <v>19</v>
      </c>
      <c r="L27" s="9" t="e" cm="1">
        <f t="array" aca="1" ref="L27" ca="1">$K$4 *
INDIRECT("Include_" &amp; $J$3)*INDIRECT("Include_" &amp; L$7)*
OFFSET(INDIRECT(Region_Abbr_Cost &amp; "!A1"), $K$5 + L$6,$K27+1)</f>
        <v>#REF!</v>
      </c>
      <c r="M27" s="9" t="e" cm="1">
        <f t="array" aca="1" ref="M27" ca="1">$K$4 *
INDIRECT("Include_" &amp; $J$3)*INDIRECT("Include_" &amp; M$7)*
OFFSET(INDIRECT(Region_Abbr_Cost &amp; "!A1"), $K$5 + M$6,$K27+1)</f>
        <v>#REF!</v>
      </c>
      <c r="N27" s="9" t="e" cm="1">
        <f t="array" aca="1" ref="N27" ca="1">$K$4 *
INDIRECT("Include_" &amp; $J$3)*INDIRECT("Include_" &amp; N$7)*
OFFSET(INDIRECT(Region_Abbr_Cost &amp; "!A1"), $K$5 + N$6,$K27+1)</f>
        <v>#REF!</v>
      </c>
      <c r="O27" s="9" t="e" cm="1">
        <f t="array" aca="1" ref="O27" ca="1">$K$4 *
INDIRECT("Include_" &amp; $J$3)*INDIRECT("Include_" &amp; O$7)*
OFFSET(INDIRECT(Region_Abbr_Cost &amp; "!A1"), $K$5 + O$6,$K27+1)</f>
        <v>#REF!</v>
      </c>
      <c r="P27" s="9" t="e" cm="1">
        <f t="array" aca="1" ref="P27" ca="1">$K$4 *
INDIRECT("Include_" &amp; $J$3)*INDIRECT("Include_" &amp; P$7)*
OFFSET(INDIRECT(Region_Abbr_Cost &amp; "!A1"), $K$5 + P$6,$K27+1)</f>
        <v>#REF!</v>
      </c>
      <c r="Q27" s="9" t="e" cm="1">
        <f t="array" aca="1" ref="Q27" ca="1">$K$4 *
INDIRECT("Include_" &amp; $J$3)*INDIRECT("Include_" &amp; Q$7)*
OFFSET(INDIRECT(Region_Abbr_Cost &amp; "!A1"), $K$5 + Q$6,$K27+1)</f>
        <v>#REF!</v>
      </c>
      <c r="S27">
        <f t="shared" si="8"/>
        <v>2043</v>
      </c>
      <c r="T27">
        <f t="shared" si="9"/>
        <v>19</v>
      </c>
      <c r="U27" s="9" t="e" cm="1">
        <f t="array" aca="1" ref="U27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U$6,$T27+1)</f>
        <v>#REF!</v>
      </c>
      <c r="V27" s="9" t="e" cm="1">
        <f t="array" aca="1" ref="V27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V$6,$T27+1)</f>
        <v>#REF!</v>
      </c>
      <c r="W27" s="9" t="e" cm="1">
        <f t="array" aca="1" ref="W27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W$6,$T27+1)</f>
        <v>#REF!</v>
      </c>
      <c r="X27" s="9" t="e" cm="1">
        <f t="array" aca="1" ref="X27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X$6,$T27+1)</f>
        <v>#REF!</v>
      </c>
      <c r="Y27" s="9" t="e" cm="1">
        <f t="array" aca="1" ref="Y27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Y$6,$T27+1)</f>
        <v>#REF!</v>
      </c>
      <c r="Z27" s="9" t="e" cm="1">
        <f t="array" aca="1" ref="Z27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Z$6,$T27+1)</f>
        <v>#REF!</v>
      </c>
      <c r="AB27">
        <f t="shared" si="10"/>
        <v>2043</v>
      </c>
      <c r="AC27">
        <f t="shared" si="11"/>
        <v>19</v>
      </c>
      <c r="AD27" s="9" t="e" cm="1">
        <f t="array" aca="1" ref="AD27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AD$6,$AC27+1)</f>
        <v>#REF!</v>
      </c>
      <c r="AE27" s="9" t="e" cm="1">
        <f t="array" aca="1" ref="AE27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AE$6,$AC27+1)</f>
        <v>#REF!</v>
      </c>
      <c r="AF27" s="9" t="e" cm="1">
        <f t="array" aca="1" ref="AF27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AF$6,$AC27+1)</f>
        <v>#REF!</v>
      </c>
      <c r="AG27" s="9" t="e" cm="1">
        <f t="array" aca="1" ref="AG27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AG$6,$AC27+1)</f>
        <v>#REF!</v>
      </c>
      <c r="AH27" s="9" t="e" cm="1">
        <f t="array" aca="1" ref="AH27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AH$6,$AC27+1)</f>
        <v>#REF!</v>
      </c>
      <c r="AI27" s="9" t="e" cm="1">
        <f t="array" aca="1" ref="AI27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AI$6,$AC27+1)</f>
        <v>#REF!</v>
      </c>
    </row>
    <row r="28" spans="1:35" x14ac:dyDescent="0.75">
      <c r="A28">
        <f t="shared" si="4"/>
        <v>2044</v>
      </c>
      <c r="B28">
        <f t="shared" si="5"/>
        <v>20</v>
      </c>
      <c r="C28" s="9" t="e" cm="1">
        <f t="array" aca="1" ref="C28" ca="1">$B$4 *
INDIRECT("Include_" &amp; $A$3)*INDIRECT("Include_" &amp; C$7)*
OFFSET(INDIRECT(Region_Abbr_Cost &amp; "!A1"), $B$5 + C$6,$B28+1)</f>
        <v>#REF!</v>
      </c>
      <c r="D28" s="9" t="e" cm="1">
        <f t="array" aca="1" ref="D28" ca="1">$B$4 *
INDIRECT("Include_" &amp; $A$3)*INDIRECT("Include_" &amp; D$7)*
OFFSET(INDIRECT(Region_Abbr_Cost &amp; "!A1"), $B$5 + D$6,$B28+1)</f>
        <v>#REF!</v>
      </c>
      <c r="E28" s="9" t="e" cm="1">
        <f t="array" aca="1" ref="E28" ca="1">$B$4 *
INDIRECT("Include_" &amp; $A$3)*INDIRECT("Include_" &amp; E$7)*
OFFSET(INDIRECT(Region_Abbr_Cost &amp; "!A1"), $B$5 + E$6,$B28+1)</f>
        <v>#REF!</v>
      </c>
      <c r="F28" s="9" t="e" cm="1">
        <f t="array" aca="1" ref="F28" ca="1">$B$4 *
INDIRECT("Include_" &amp; $A$3)*INDIRECT("Include_" &amp; F$7)*
OFFSET(INDIRECT(Region_Abbr_Cost &amp; "!A1"), $B$5 + F$6,$B28+1)</f>
        <v>#REF!</v>
      </c>
      <c r="G28" s="9" t="e" cm="1">
        <f t="array" aca="1" ref="G28" ca="1">$B$4 *
INDIRECT("Include_" &amp; $A$3)*INDIRECT("Include_" &amp; G$7)*
OFFSET(INDIRECT(Region_Abbr_Cost &amp; "!A1"), $B$5 + G$6,$B28+1)</f>
        <v>#REF!</v>
      </c>
      <c r="H28" s="9" t="e" cm="1">
        <f t="array" aca="1" ref="H28" ca="1">$B$4 *
INDIRECT("Include_" &amp; $A$3)*INDIRECT("Include_" &amp; H$7)*
OFFSET(INDIRECT(Region_Abbr_Cost &amp; "!A1"), $B$5 + H$6,$B28+1)</f>
        <v>#REF!</v>
      </c>
      <c r="J28">
        <f t="shared" si="6"/>
        <v>2044</v>
      </c>
      <c r="K28">
        <f t="shared" si="7"/>
        <v>20</v>
      </c>
      <c r="L28" s="9" t="e" cm="1">
        <f t="array" aca="1" ref="L28" ca="1">$K$4 *
INDIRECT("Include_" &amp; $J$3)*INDIRECT("Include_" &amp; L$7)*
OFFSET(INDIRECT(Region_Abbr_Cost &amp; "!A1"), $K$5 + L$6,$K28+1)</f>
        <v>#REF!</v>
      </c>
      <c r="M28" s="9" t="e" cm="1">
        <f t="array" aca="1" ref="M28" ca="1">$K$4 *
INDIRECT("Include_" &amp; $J$3)*INDIRECT("Include_" &amp; M$7)*
OFFSET(INDIRECT(Region_Abbr_Cost &amp; "!A1"), $K$5 + M$6,$K28+1)</f>
        <v>#REF!</v>
      </c>
      <c r="N28" s="9" t="e" cm="1">
        <f t="array" aca="1" ref="N28" ca="1">$K$4 *
INDIRECT("Include_" &amp; $J$3)*INDIRECT("Include_" &amp; N$7)*
OFFSET(INDIRECT(Region_Abbr_Cost &amp; "!A1"), $K$5 + N$6,$K28+1)</f>
        <v>#REF!</v>
      </c>
      <c r="O28" s="9" t="e" cm="1">
        <f t="array" aca="1" ref="O28" ca="1">$K$4 *
INDIRECT("Include_" &amp; $J$3)*INDIRECT("Include_" &amp; O$7)*
OFFSET(INDIRECT(Region_Abbr_Cost &amp; "!A1"), $K$5 + O$6,$K28+1)</f>
        <v>#REF!</v>
      </c>
      <c r="P28" s="9" t="e" cm="1">
        <f t="array" aca="1" ref="P28" ca="1">$K$4 *
INDIRECT("Include_" &amp; $J$3)*INDIRECT("Include_" &amp; P$7)*
OFFSET(INDIRECT(Region_Abbr_Cost &amp; "!A1"), $K$5 + P$6,$K28+1)</f>
        <v>#REF!</v>
      </c>
      <c r="Q28" s="9" t="e" cm="1">
        <f t="array" aca="1" ref="Q28" ca="1">$K$4 *
INDIRECT("Include_" &amp; $J$3)*INDIRECT("Include_" &amp; Q$7)*
OFFSET(INDIRECT(Region_Abbr_Cost &amp; "!A1"), $K$5 + Q$6,$K28+1)</f>
        <v>#REF!</v>
      </c>
      <c r="S28">
        <f t="shared" si="8"/>
        <v>2044</v>
      </c>
      <c r="T28">
        <f t="shared" si="9"/>
        <v>20</v>
      </c>
      <c r="U28" s="9" t="e" cm="1">
        <f t="array" aca="1" ref="U2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U$6,$T28+1)</f>
        <v>#REF!</v>
      </c>
      <c r="V28" s="9" t="e" cm="1">
        <f t="array" aca="1" ref="V2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V$6,$T28+1)</f>
        <v>#REF!</v>
      </c>
      <c r="W28" s="9" t="e" cm="1">
        <f t="array" aca="1" ref="W2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W$6,$T28+1)</f>
        <v>#REF!</v>
      </c>
      <c r="X28" s="9" t="e" cm="1">
        <f t="array" aca="1" ref="X2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X$6,$T28+1)</f>
        <v>#REF!</v>
      </c>
      <c r="Y28" s="9" t="e" cm="1">
        <f t="array" aca="1" ref="Y2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Y$6,$T28+1)</f>
        <v>#REF!</v>
      </c>
      <c r="Z28" s="9" t="e" cm="1">
        <f t="array" aca="1" ref="Z2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Z$6,$T28+1)</f>
        <v>#REF!</v>
      </c>
      <c r="AB28">
        <f t="shared" si="10"/>
        <v>2044</v>
      </c>
      <c r="AC28">
        <f t="shared" si="11"/>
        <v>20</v>
      </c>
      <c r="AD28" s="9" t="e" cm="1">
        <f t="array" aca="1" ref="AD2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AD$6,$AC28+1)</f>
        <v>#REF!</v>
      </c>
      <c r="AE28" s="9" t="e" cm="1">
        <f t="array" aca="1" ref="AE2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AE$6,$AC28+1)</f>
        <v>#REF!</v>
      </c>
      <c r="AF28" s="9" t="e" cm="1">
        <f t="array" aca="1" ref="AF2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AF$6,$AC28+1)</f>
        <v>#REF!</v>
      </c>
      <c r="AG28" s="9" t="e" cm="1">
        <f t="array" aca="1" ref="AG2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AG$6,$AC28+1)</f>
        <v>#REF!</v>
      </c>
      <c r="AH28" s="9" t="e" cm="1">
        <f t="array" aca="1" ref="AH2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AH$6,$AC28+1)</f>
        <v>#REF!</v>
      </c>
      <c r="AI28" s="9" t="e" cm="1">
        <f t="array" aca="1" ref="AI2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AI$6,$AC28+1)</f>
        <v>#REF!</v>
      </c>
    </row>
    <row r="29" spans="1:35" x14ac:dyDescent="0.75">
      <c r="A29">
        <f t="shared" si="4"/>
        <v>2045</v>
      </c>
      <c r="B29">
        <f t="shared" si="5"/>
        <v>21</v>
      </c>
      <c r="C29" s="9" t="e" cm="1">
        <f t="array" aca="1" ref="C29" ca="1">$B$4 *
INDIRECT("Include_" &amp; $A$3)*INDIRECT("Include_" &amp; C$7)*
OFFSET(INDIRECT(Region_Abbr_Cost &amp; "!A1"), $B$5 + C$6,$B29+1)</f>
        <v>#REF!</v>
      </c>
      <c r="D29" s="9" t="e" cm="1">
        <f t="array" aca="1" ref="D29" ca="1">$B$4 *
INDIRECT("Include_" &amp; $A$3)*INDIRECT("Include_" &amp; D$7)*
OFFSET(INDIRECT(Region_Abbr_Cost &amp; "!A1"), $B$5 + D$6,$B29+1)</f>
        <v>#REF!</v>
      </c>
      <c r="E29" s="9" t="e" cm="1">
        <f t="array" aca="1" ref="E29" ca="1">$B$4 *
INDIRECT("Include_" &amp; $A$3)*INDIRECT("Include_" &amp; E$7)*
OFFSET(INDIRECT(Region_Abbr_Cost &amp; "!A1"), $B$5 + E$6,$B29+1)</f>
        <v>#REF!</v>
      </c>
      <c r="F29" s="9" t="e" cm="1">
        <f t="array" aca="1" ref="F29" ca="1">$B$4 *
INDIRECT("Include_" &amp; $A$3)*INDIRECT("Include_" &amp; F$7)*
OFFSET(INDIRECT(Region_Abbr_Cost &amp; "!A1"), $B$5 + F$6,$B29+1)</f>
        <v>#REF!</v>
      </c>
      <c r="G29" s="9" t="e" cm="1">
        <f t="array" aca="1" ref="G29" ca="1">$B$4 *
INDIRECT("Include_" &amp; $A$3)*INDIRECT("Include_" &amp; G$7)*
OFFSET(INDIRECT(Region_Abbr_Cost &amp; "!A1"), $B$5 + G$6,$B29+1)</f>
        <v>#REF!</v>
      </c>
      <c r="H29" s="9" t="e" cm="1">
        <f t="array" aca="1" ref="H29" ca="1">$B$4 *
INDIRECT("Include_" &amp; $A$3)*INDIRECT("Include_" &amp; H$7)*
OFFSET(INDIRECT(Region_Abbr_Cost &amp; "!A1"), $B$5 + H$6,$B29+1)</f>
        <v>#REF!</v>
      </c>
      <c r="J29">
        <f t="shared" si="6"/>
        <v>2045</v>
      </c>
      <c r="K29">
        <f t="shared" si="7"/>
        <v>21</v>
      </c>
      <c r="L29" s="9" t="e" cm="1">
        <f t="array" aca="1" ref="L29" ca="1">$K$4 *
INDIRECT("Include_" &amp; $J$3)*INDIRECT("Include_" &amp; L$7)*
OFFSET(INDIRECT(Region_Abbr_Cost &amp; "!A1"), $K$5 + L$6,$K29+1)</f>
        <v>#REF!</v>
      </c>
      <c r="M29" s="9" t="e" cm="1">
        <f t="array" aca="1" ref="M29" ca="1">$K$4 *
INDIRECT("Include_" &amp; $J$3)*INDIRECT("Include_" &amp; M$7)*
OFFSET(INDIRECT(Region_Abbr_Cost &amp; "!A1"), $K$5 + M$6,$K29+1)</f>
        <v>#REF!</v>
      </c>
      <c r="N29" s="9" t="e" cm="1">
        <f t="array" aca="1" ref="N29" ca="1">$K$4 *
INDIRECT("Include_" &amp; $J$3)*INDIRECT("Include_" &amp; N$7)*
OFFSET(INDIRECT(Region_Abbr_Cost &amp; "!A1"), $K$5 + N$6,$K29+1)</f>
        <v>#REF!</v>
      </c>
      <c r="O29" s="9" t="e" cm="1">
        <f t="array" aca="1" ref="O29" ca="1">$K$4 *
INDIRECT("Include_" &amp; $J$3)*INDIRECT("Include_" &amp; O$7)*
OFFSET(INDIRECT(Region_Abbr_Cost &amp; "!A1"), $K$5 + O$6,$K29+1)</f>
        <v>#REF!</v>
      </c>
      <c r="P29" s="9" t="e" cm="1">
        <f t="array" aca="1" ref="P29" ca="1">$K$4 *
INDIRECT("Include_" &amp; $J$3)*INDIRECT("Include_" &amp; P$7)*
OFFSET(INDIRECT(Region_Abbr_Cost &amp; "!A1"), $K$5 + P$6,$K29+1)</f>
        <v>#REF!</v>
      </c>
      <c r="Q29" s="9" t="e" cm="1">
        <f t="array" aca="1" ref="Q29" ca="1">$K$4 *
INDIRECT("Include_" &amp; $J$3)*INDIRECT("Include_" &amp; Q$7)*
OFFSET(INDIRECT(Region_Abbr_Cost &amp; "!A1"), $K$5 + Q$6,$K29+1)</f>
        <v>#REF!</v>
      </c>
      <c r="S29">
        <f t="shared" si="8"/>
        <v>2045</v>
      </c>
      <c r="T29">
        <f t="shared" si="9"/>
        <v>21</v>
      </c>
      <c r="U29" s="9" t="e" cm="1">
        <f t="array" aca="1" ref="U2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U$6,$T29+1)</f>
        <v>#REF!</v>
      </c>
      <c r="V29" s="9" t="e" cm="1">
        <f t="array" aca="1" ref="V2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V$6,$T29+1)</f>
        <v>#REF!</v>
      </c>
      <c r="W29" s="9" t="e" cm="1">
        <f t="array" aca="1" ref="W2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W$6,$T29+1)</f>
        <v>#REF!</v>
      </c>
      <c r="X29" s="9" t="e" cm="1">
        <f t="array" aca="1" ref="X2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X$6,$T29+1)</f>
        <v>#REF!</v>
      </c>
      <c r="Y29" s="9" t="e" cm="1">
        <f t="array" aca="1" ref="Y2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Y$6,$T29+1)</f>
        <v>#REF!</v>
      </c>
      <c r="Z29" s="9" t="e" cm="1">
        <f t="array" aca="1" ref="Z2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Z$6,$T29+1)</f>
        <v>#REF!</v>
      </c>
      <c r="AB29">
        <f t="shared" si="10"/>
        <v>2045</v>
      </c>
      <c r="AC29">
        <f t="shared" si="11"/>
        <v>21</v>
      </c>
      <c r="AD29" s="9" t="e" cm="1">
        <f t="array" aca="1" ref="AD2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AD$6,$AC29+1)</f>
        <v>#REF!</v>
      </c>
      <c r="AE29" s="9" t="e" cm="1">
        <f t="array" aca="1" ref="AE2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AE$6,$AC29+1)</f>
        <v>#REF!</v>
      </c>
      <c r="AF29" s="9" t="e" cm="1">
        <f t="array" aca="1" ref="AF2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AF$6,$AC29+1)</f>
        <v>#REF!</v>
      </c>
      <c r="AG29" s="9" t="e" cm="1">
        <f t="array" aca="1" ref="AG2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AG$6,$AC29+1)</f>
        <v>#REF!</v>
      </c>
      <c r="AH29" s="9" t="e" cm="1">
        <f t="array" aca="1" ref="AH2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AH$6,$AC29+1)</f>
        <v>#REF!</v>
      </c>
      <c r="AI29" s="9" t="e" cm="1">
        <f t="array" aca="1" ref="AI2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AI$6,$AC29+1)</f>
        <v>#REF!</v>
      </c>
    </row>
    <row r="30" spans="1:35" x14ac:dyDescent="0.75">
      <c r="A30">
        <f t="shared" si="4"/>
        <v>2046</v>
      </c>
      <c r="B30">
        <f t="shared" si="5"/>
        <v>22</v>
      </c>
      <c r="C30" s="9" t="e" cm="1">
        <f t="array" aca="1" ref="C30" ca="1">$B$4 *
INDIRECT("Include_" &amp; $A$3)*INDIRECT("Include_" &amp; C$7)*
OFFSET(INDIRECT(Region_Abbr_Cost &amp; "!A1"), $B$5 + C$6,$B30+1)</f>
        <v>#REF!</v>
      </c>
      <c r="D30" s="9" t="e" cm="1">
        <f t="array" aca="1" ref="D30" ca="1">$B$4 *
INDIRECT("Include_" &amp; $A$3)*INDIRECT("Include_" &amp; D$7)*
OFFSET(INDIRECT(Region_Abbr_Cost &amp; "!A1"), $B$5 + D$6,$B30+1)</f>
        <v>#REF!</v>
      </c>
      <c r="E30" s="9" t="e" cm="1">
        <f t="array" aca="1" ref="E30" ca="1">$B$4 *
INDIRECT("Include_" &amp; $A$3)*INDIRECT("Include_" &amp; E$7)*
OFFSET(INDIRECT(Region_Abbr_Cost &amp; "!A1"), $B$5 + E$6,$B30+1)</f>
        <v>#REF!</v>
      </c>
      <c r="F30" s="9" t="e" cm="1">
        <f t="array" aca="1" ref="F30" ca="1">$B$4 *
INDIRECT("Include_" &amp; $A$3)*INDIRECT("Include_" &amp; F$7)*
OFFSET(INDIRECT(Region_Abbr_Cost &amp; "!A1"), $B$5 + F$6,$B30+1)</f>
        <v>#REF!</v>
      </c>
      <c r="G30" s="9" t="e" cm="1">
        <f t="array" aca="1" ref="G30" ca="1">$B$4 *
INDIRECT("Include_" &amp; $A$3)*INDIRECT("Include_" &amp; G$7)*
OFFSET(INDIRECT(Region_Abbr_Cost &amp; "!A1"), $B$5 + G$6,$B30+1)</f>
        <v>#REF!</v>
      </c>
      <c r="H30" s="9" t="e" cm="1">
        <f t="array" aca="1" ref="H30" ca="1">$B$4 *
INDIRECT("Include_" &amp; $A$3)*INDIRECT("Include_" &amp; H$7)*
OFFSET(INDIRECT(Region_Abbr_Cost &amp; "!A1"), $B$5 + H$6,$B30+1)</f>
        <v>#REF!</v>
      </c>
      <c r="J30">
        <f t="shared" si="6"/>
        <v>2046</v>
      </c>
      <c r="K30">
        <f t="shared" si="7"/>
        <v>22</v>
      </c>
      <c r="L30" s="9" t="e" cm="1">
        <f t="array" aca="1" ref="L30" ca="1">$K$4 *
INDIRECT("Include_" &amp; $J$3)*INDIRECT("Include_" &amp; L$7)*
OFFSET(INDIRECT(Region_Abbr_Cost &amp; "!A1"), $K$5 + L$6,$K30+1)</f>
        <v>#REF!</v>
      </c>
      <c r="M30" s="9" t="e" cm="1">
        <f t="array" aca="1" ref="M30" ca="1">$K$4 *
INDIRECT("Include_" &amp; $J$3)*INDIRECT("Include_" &amp; M$7)*
OFFSET(INDIRECT(Region_Abbr_Cost &amp; "!A1"), $K$5 + M$6,$K30+1)</f>
        <v>#REF!</v>
      </c>
      <c r="N30" s="9" t="e" cm="1">
        <f t="array" aca="1" ref="N30" ca="1">$K$4 *
INDIRECT("Include_" &amp; $J$3)*INDIRECT("Include_" &amp; N$7)*
OFFSET(INDIRECT(Region_Abbr_Cost &amp; "!A1"), $K$5 + N$6,$K30+1)</f>
        <v>#REF!</v>
      </c>
      <c r="O30" s="9" t="e" cm="1">
        <f t="array" aca="1" ref="O30" ca="1">$K$4 *
INDIRECT("Include_" &amp; $J$3)*INDIRECT("Include_" &amp; O$7)*
OFFSET(INDIRECT(Region_Abbr_Cost &amp; "!A1"), $K$5 + O$6,$K30+1)</f>
        <v>#REF!</v>
      </c>
      <c r="P30" s="9" t="e" cm="1">
        <f t="array" aca="1" ref="P30" ca="1">$K$4 *
INDIRECT("Include_" &amp; $J$3)*INDIRECT("Include_" &amp; P$7)*
OFFSET(INDIRECT(Region_Abbr_Cost &amp; "!A1"), $K$5 + P$6,$K30+1)</f>
        <v>#REF!</v>
      </c>
      <c r="Q30" s="9" t="e" cm="1">
        <f t="array" aca="1" ref="Q30" ca="1">$K$4 *
INDIRECT("Include_" &amp; $J$3)*INDIRECT("Include_" &amp; Q$7)*
OFFSET(INDIRECT(Region_Abbr_Cost &amp; "!A1"), $K$5 + Q$6,$K30+1)</f>
        <v>#REF!</v>
      </c>
      <c r="S30">
        <f t="shared" si="8"/>
        <v>2046</v>
      </c>
      <c r="T30">
        <f t="shared" si="9"/>
        <v>22</v>
      </c>
      <c r="U30" s="9" t="e" cm="1">
        <f t="array" aca="1" ref="U3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U$6,$T30+1)</f>
        <v>#REF!</v>
      </c>
      <c r="V30" s="9" t="e" cm="1">
        <f t="array" aca="1" ref="V3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V$6,$T30+1)</f>
        <v>#REF!</v>
      </c>
      <c r="W30" s="9" t="e" cm="1">
        <f t="array" aca="1" ref="W3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W$6,$T30+1)</f>
        <v>#REF!</v>
      </c>
      <c r="X30" s="9" t="e" cm="1">
        <f t="array" aca="1" ref="X3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X$6,$T30+1)</f>
        <v>#REF!</v>
      </c>
      <c r="Y30" s="9" t="e" cm="1">
        <f t="array" aca="1" ref="Y3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Y$6,$T30+1)</f>
        <v>#REF!</v>
      </c>
      <c r="Z30" s="9" t="e" cm="1">
        <f t="array" aca="1" ref="Z3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Z$6,$T30+1)</f>
        <v>#REF!</v>
      </c>
      <c r="AB30">
        <f t="shared" si="10"/>
        <v>2046</v>
      </c>
      <c r="AC30">
        <f t="shared" si="11"/>
        <v>22</v>
      </c>
      <c r="AD30" s="9" t="e" cm="1">
        <f t="array" aca="1" ref="AD3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AD$6,$AC30+1)</f>
        <v>#REF!</v>
      </c>
      <c r="AE30" s="9" t="e" cm="1">
        <f t="array" aca="1" ref="AE3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AE$6,$AC30+1)</f>
        <v>#REF!</v>
      </c>
      <c r="AF30" s="9" t="e" cm="1">
        <f t="array" aca="1" ref="AF3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AF$6,$AC30+1)</f>
        <v>#REF!</v>
      </c>
      <c r="AG30" s="9" t="e" cm="1">
        <f t="array" aca="1" ref="AG3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AG$6,$AC30+1)</f>
        <v>#REF!</v>
      </c>
      <c r="AH30" s="9" t="e" cm="1">
        <f t="array" aca="1" ref="AH3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AH$6,$AC30+1)</f>
        <v>#REF!</v>
      </c>
      <c r="AI30" s="9" t="e" cm="1">
        <f t="array" aca="1" ref="AI3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AI$6,$AC30+1)</f>
        <v>#REF!</v>
      </c>
    </row>
    <row r="31" spans="1:35" x14ac:dyDescent="0.75">
      <c r="A31">
        <f t="shared" si="4"/>
        <v>2047</v>
      </c>
      <c r="B31">
        <f t="shared" si="5"/>
        <v>23</v>
      </c>
      <c r="C31" s="9" t="e" cm="1">
        <f t="array" aca="1" ref="C31" ca="1">$B$4 *
INDIRECT("Include_" &amp; $A$3)*INDIRECT("Include_" &amp; C$7)*
OFFSET(INDIRECT(Region_Abbr_Cost &amp; "!A1"), $B$5 + C$6,$B31+1)</f>
        <v>#REF!</v>
      </c>
      <c r="D31" s="9" t="e" cm="1">
        <f t="array" aca="1" ref="D31" ca="1">$B$4 *
INDIRECT("Include_" &amp; $A$3)*INDIRECT("Include_" &amp; D$7)*
OFFSET(INDIRECT(Region_Abbr_Cost &amp; "!A1"), $B$5 + D$6,$B31+1)</f>
        <v>#REF!</v>
      </c>
      <c r="E31" s="9" t="e" cm="1">
        <f t="array" aca="1" ref="E31" ca="1">$B$4 *
INDIRECT("Include_" &amp; $A$3)*INDIRECT("Include_" &amp; E$7)*
OFFSET(INDIRECT(Region_Abbr_Cost &amp; "!A1"), $B$5 + E$6,$B31+1)</f>
        <v>#REF!</v>
      </c>
      <c r="F31" s="9" t="e" cm="1">
        <f t="array" aca="1" ref="F31" ca="1">$B$4 *
INDIRECT("Include_" &amp; $A$3)*INDIRECT("Include_" &amp; F$7)*
OFFSET(INDIRECT(Region_Abbr_Cost &amp; "!A1"), $B$5 + F$6,$B31+1)</f>
        <v>#REF!</v>
      </c>
      <c r="G31" s="9" t="e" cm="1">
        <f t="array" aca="1" ref="G31" ca="1">$B$4 *
INDIRECT("Include_" &amp; $A$3)*INDIRECT("Include_" &amp; G$7)*
OFFSET(INDIRECT(Region_Abbr_Cost &amp; "!A1"), $B$5 + G$6,$B31+1)</f>
        <v>#REF!</v>
      </c>
      <c r="H31" s="9" t="e" cm="1">
        <f t="array" aca="1" ref="H31" ca="1">$B$4 *
INDIRECT("Include_" &amp; $A$3)*INDIRECT("Include_" &amp; H$7)*
OFFSET(INDIRECT(Region_Abbr_Cost &amp; "!A1"), $B$5 + H$6,$B31+1)</f>
        <v>#REF!</v>
      </c>
      <c r="J31">
        <f t="shared" si="6"/>
        <v>2047</v>
      </c>
      <c r="K31">
        <f t="shared" si="7"/>
        <v>23</v>
      </c>
      <c r="L31" s="9" t="e" cm="1">
        <f t="array" aca="1" ref="L31" ca="1">$K$4 *
INDIRECT("Include_" &amp; $J$3)*INDIRECT("Include_" &amp; L$7)*
OFFSET(INDIRECT(Region_Abbr_Cost &amp; "!A1"), $K$5 + L$6,$K31+1)</f>
        <v>#REF!</v>
      </c>
      <c r="M31" s="9" t="e" cm="1">
        <f t="array" aca="1" ref="M31" ca="1">$K$4 *
INDIRECT("Include_" &amp; $J$3)*INDIRECT("Include_" &amp; M$7)*
OFFSET(INDIRECT(Region_Abbr_Cost &amp; "!A1"), $K$5 + M$6,$K31+1)</f>
        <v>#REF!</v>
      </c>
      <c r="N31" s="9" t="e" cm="1">
        <f t="array" aca="1" ref="N31" ca="1">$K$4 *
INDIRECT("Include_" &amp; $J$3)*INDIRECT("Include_" &amp; N$7)*
OFFSET(INDIRECT(Region_Abbr_Cost &amp; "!A1"), $K$5 + N$6,$K31+1)</f>
        <v>#REF!</v>
      </c>
      <c r="O31" s="9" t="e" cm="1">
        <f t="array" aca="1" ref="O31" ca="1">$K$4 *
INDIRECT("Include_" &amp; $J$3)*INDIRECT("Include_" &amp; O$7)*
OFFSET(INDIRECT(Region_Abbr_Cost &amp; "!A1"), $K$5 + O$6,$K31+1)</f>
        <v>#REF!</v>
      </c>
      <c r="P31" s="9" t="e" cm="1">
        <f t="array" aca="1" ref="P31" ca="1">$K$4 *
INDIRECT("Include_" &amp; $J$3)*INDIRECT("Include_" &amp; P$7)*
OFFSET(INDIRECT(Region_Abbr_Cost &amp; "!A1"), $K$5 + P$6,$K31+1)</f>
        <v>#REF!</v>
      </c>
      <c r="Q31" s="9" t="e" cm="1">
        <f t="array" aca="1" ref="Q31" ca="1">$K$4 *
INDIRECT("Include_" &amp; $J$3)*INDIRECT("Include_" &amp; Q$7)*
OFFSET(INDIRECT(Region_Abbr_Cost &amp; "!A1"), $K$5 + Q$6,$K31+1)</f>
        <v>#REF!</v>
      </c>
      <c r="S31">
        <f t="shared" si="8"/>
        <v>2047</v>
      </c>
      <c r="T31">
        <f t="shared" si="9"/>
        <v>23</v>
      </c>
      <c r="U31" s="9" t="e" cm="1">
        <f t="array" aca="1" ref="U3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U$6,$T31+1)</f>
        <v>#REF!</v>
      </c>
      <c r="V31" s="9" t="e" cm="1">
        <f t="array" aca="1" ref="V3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V$6,$T31+1)</f>
        <v>#REF!</v>
      </c>
      <c r="W31" s="9" t="e" cm="1">
        <f t="array" aca="1" ref="W3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W$6,$T31+1)</f>
        <v>#REF!</v>
      </c>
      <c r="X31" s="9" t="e" cm="1">
        <f t="array" aca="1" ref="X3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X$6,$T31+1)</f>
        <v>#REF!</v>
      </c>
      <c r="Y31" s="9" t="e" cm="1">
        <f t="array" aca="1" ref="Y3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Y$6,$T31+1)</f>
        <v>#REF!</v>
      </c>
      <c r="Z31" s="9" t="e" cm="1">
        <f t="array" aca="1" ref="Z3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Z$6,$T31+1)</f>
        <v>#REF!</v>
      </c>
      <c r="AB31">
        <f t="shared" si="10"/>
        <v>2047</v>
      </c>
      <c r="AC31">
        <f t="shared" si="11"/>
        <v>23</v>
      </c>
      <c r="AD31" s="9" t="e" cm="1">
        <f t="array" aca="1" ref="AD3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AD$6,$AC31+1)</f>
        <v>#REF!</v>
      </c>
      <c r="AE31" s="9" t="e" cm="1">
        <f t="array" aca="1" ref="AE3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AE$6,$AC31+1)</f>
        <v>#REF!</v>
      </c>
      <c r="AF31" s="9" t="e" cm="1">
        <f t="array" aca="1" ref="AF3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AF$6,$AC31+1)</f>
        <v>#REF!</v>
      </c>
      <c r="AG31" s="9" t="e" cm="1">
        <f t="array" aca="1" ref="AG3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AG$6,$AC31+1)</f>
        <v>#REF!</v>
      </c>
      <c r="AH31" s="9" t="e" cm="1">
        <f t="array" aca="1" ref="AH3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AH$6,$AC31+1)</f>
        <v>#REF!</v>
      </c>
      <c r="AI31" s="9" t="e" cm="1">
        <f t="array" aca="1" ref="AI3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AI$6,$AC31+1)</f>
        <v>#REF!</v>
      </c>
    </row>
    <row r="32" spans="1:35" x14ac:dyDescent="0.75">
      <c r="A32">
        <f t="shared" si="4"/>
        <v>2048</v>
      </c>
      <c r="B32">
        <f t="shared" si="5"/>
        <v>24</v>
      </c>
      <c r="C32" s="9" t="e" cm="1">
        <f t="array" aca="1" ref="C32" ca="1">$B$4 *
INDIRECT("Include_" &amp; $A$3)*INDIRECT("Include_" &amp; C$7)*
OFFSET(INDIRECT(Region_Abbr_Cost &amp; "!A1"), $B$5 + C$6,$B32+1)</f>
        <v>#REF!</v>
      </c>
      <c r="D32" s="9" t="e" cm="1">
        <f t="array" aca="1" ref="D32" ca="1">$B$4 *
INDIRECT("Include_" &amp; $A$3)*INDIRECT("Include_" &amp; D$7)*
OFFSET(INDIRECT(Region_Abbr_Cost &amp; "!A1"), $B$5 + D$6,$B32+1)</f>
        <v>#REF!</v>
      </c>
      <c r="E32" s="9" t="e" cm="1">
        <f t="array" aca="1" ref="E32" ca="1">$B$4 *
INDIRECT("Include_" &amp; $A$3)*INDIRECT("Include_" &amp; E$7)*
OFFSET(INDIRECT(Region_Abbr_Cost &amp; "!A1"), $B$5 + E$6,$B32+1)</f>
        <v>#REF!</v>
      </c>
      <c r="F32" s="9" t="e" cm="1">
        <f t="array" aca="1" ref="F32" ca="1">$B$4 *
INDIRECT("Include_" &amp; $A$3)*INDIRECT("Include_" &amp; F$7)*
OFFSET(INDIRECT(Region_Abbr_Cost &amp; "!A1"), $B$5 + F$6,$B32+1)</f>
        <v>#REF!</v>
      </c>
      <c r="G32" s="9" t="e" cm="1">
        <f t="array" aca="1" ref="G32" ca="1">$B$4 *
INDIRECT("Include_" &amp; $A$3)*INDIRECT("Include_" &amp; G$7)*
OFFSET(INDIRECT(Region_Abbr_Cost &amp; "!A1"), $B$5 + G$6,$B32+1)</f>
        <v>#REF!</v>
      </c>
      <c r="H32" s="9" t="e" cm="1">
        <f t="array" aca="1" ref="H32" ca="1">$B$4 *
INDIRECT("Include_" &amp; $A$3)*INDIRECT("Include_" &amp; H$7)*
OFFSET(INDIRECT(Region_Abbr_Cost &amp; "!A1"), $B$5 + H$6,$B32+1)</f>
        <v>#REF!</v>
      </c>
      <c r="J32">
        <f t="shared" si="6"/>
        <v>2048</v>
      </c>
      <c r="K32">
        <f t="shared" si="7"/>
        <v>24</v>
      </c>
      <c r="L32" s="9" t="e" cm="1">
        <f t="array" aca="1" ref="L32" ca="1">$K$4 *
INDIRECT("Include_" &amp; $J$3)*INDIRECT("Include_" &amp; L$7)*
OFFSET(INDIRECT(Region_Abbr_Cost &amp; "!A1"), $K$5 + L$6,$K32+1)</f>
        <v>#REF!</v>
      </c>
      <c r="M32" s="9" t="e" cm="1">
        <f t="array" aca="1" ref="M32" ca="1">$K$4 *
INDIRECT("Include_" &amp; $J$3)*INDIRECT("Include_" &amp; M$7)*
OFFSET(INDIRECT(Region_Abbr_Cost &amp; "!A1"), $K$5 + M$6,$K32+1)</f>
        <v>#REF!</v>
      </c>
      <c r="N32" s="9" t="e" cm="1">
        <f t="array" aca="1" ref="N32" ca="1">$K$4 *
INDIRECT("Include_" &amp; $J$3)*INDIRECT("Include_" &amp; N$7)*
OFFSET(INDIRECT(Region_Abbr_Cost &amp; "!A1"), $K$5 + N$6,$K32+1)</f>
        <v>#REF!</v>
      </c>
      <c r="O32" s="9" t="e" cm="1">
        <f t="array" aca="1" ref="O32" ca="1">$K$4 *
INDIRECT("Include_" &amp; $J$3)*INDIRECT("Include_" &amp; O$7)*
OFFSET(INDIRECT(Region_Abbr_Cost &amp; "!A1"), $K$5 + O$6,$K32+1)</f>
        <v>#REF!</v>
      </c>
      <c r="P32" s="9" t="e" cm="1">
        <f t="array" aca="1" ref="P32" ca="1">$K$4 *
INDIRECT("Include_" &amp; $J$3)*INDIRECT("Include_" &amp; P$7)*
OFFSET(INDIRECT(Region_Abbr_Cost &amp; "!A1"), $K$5 + P$6,$K32+1)</f>
        <v>#REF!</v>
      </c>
      <c r="Q32" s="9" t="e" cm="1">
        <f t="array" aca="1" ref="Q32" ca="1">$K$4 *
INDIRECT("Include_" &amp; $J$3)*INDIRECT("Include_" &amp; Q$7)*
OFFSET(INDIRECT(Region_Abbr_Cost &amp; "!A1"), $K$5 + Q$6,$K32+1)</f>
        <v>#REF!</v>
      </c>
      <c r="S32">
        <f t="shared" si="8"/>
        <v>2048</v>
      </c>
      <c r="T32">
        <f t="shared" si="9"/>
        <v>24</v>
      </c>
      <c r="U32" s="9" t="e" cm="1">
        <f t="array" aca="1" ref="U3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U$6,$T32+1)</f>
        <v>#REF!</v>
      </c>
      <c r="V32" s="9" t="e" cm="1">
        <f t="array" aca="1" ref="V3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V$6,$T32+1)</f>
        <v>#REF!</v>
      </c>
      <c r="W32" s="9" t="e" cm="1">
        <f t="array" aca="1" ref="W3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W$6,$T32+1)</f>
        <v>#REF!</v>
      </c>
      <c r="X32" s="9" t="e" cm="1">
        <f t="array" aca="1" ref="X3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X$6,$T32+1)</f>
        <v>#REF!</v>
      </c>
      <c r="Y32" s="9" t="e" cm="1">
        <f t="array" aca="1" ref="Y3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Y$6,$T32+1)</f>
        <v>#REF!</v>
      </c>
      <c r="Z32" s="9" t="e" cm="1">
        <f t="array" aca="1" ref="Z3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Z$6,$T32+1)</f>
        <v>#REF!</v>
      </c>
      <c r="AB32">
        <f t="shared" si="10"/>
        <v>2048</v>
      </c>
      <c r="AC32">
        <f t="shared" si="11"/>
        <v>24</v>
      </c>
      <c r="AD32" s="9" t="e" cm="1">
        <f t="array" aca="1" ref="AD3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AD$6,$AC32+1)</f>
        <v>#REF!</v>
      </c>
      <c r="AE32" s="9" t="e" cm="1">
        <f t="array" aca="1" ref="AE3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AE$6,$AC32+1)</f>
        <v>#REF!</v>
      </c>
      <c r="AF32" s="9" t="e" cm="1">
        <f t="array" aca="1" ref="AF3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AF$6,$AC32+1)</f>
        <v>#REF!</v>
      </c>
      <c r="AG32" s="9" t="e" cm="1">
        <f t="array" aca="1" ref="AG3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AG$6,$AC32+1)</f>
        <v>#REF!</v>
      </c>
      <c r="AH32" s="9" t="e" cm="1">
        <f t="array" aca="1" ref="AH3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AH$6,$AC32+1)</f>
        <v>#REF!</v>
      </c>
      <c r="AI32" s="9" t="e" cm="1">
        <f t="array" aca="1" ref="AI3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AI$6,$AC32+1)</f>
        <v>#REF!</v>
      </c>
    </row>
    <row r="33" spans="1:35" x14ac:dyDescent="0.75">
      <c r="A33">
        <f t="shared" si="4"/>
        <v>2049</v>
      </c>
      <c r="B33">
        <f t="shared" si="5"/>
        <v>25</v>
      </c>
      <c r="C33" s="9" t="e" cm="1">
        <f t="array" aca="1" ref="C33" ca="1">$B$4 *
INDIRECT("Include_" &amp; $A$3)*INDIRECT("Include_" &amp; C$7)*
OFFSET(INDIRECT(Region_Abbr_Cost &amp; "!A1"), $B$5 + C$6,$B33+1)</f>
        <v>#REF!</v>
      </c>
      <c r="D33" s="9" t="e" cm="1">
        <f t="array" aca="1" ref="D33" ca="1">$B$4 *
INDIRECT("Include_" &amp; $A$3)*INDIRECT("Include_" &amp; D$7)*
OFFSET(INDIRECT(Region_Abbr_Cost &amp; "!A1"), $B$5 + D$6,$B33+1)</f>
        <v>#REF!</v>
      </c>
      <c r="E33" s="9" t="e" cm="1">
        <f t="array" aca="1" ref="E33" ca="1">$B$4 *
INDIRECT("Include_" &amp; $A$3)*INDIRECT("Include_" &amp; E$7)*
OFFSET(INDIRECT(Region_Abbr_Cost &amp; "!A1"), $B$5 + E$6,$B33+1)</f>
        <v>#REF!</v>
      </c>
      <c r="F33" s="9" t="e" cm="1">
        <f t="array" aca="1" ref="F33" ca="1">$B$4 *
INDIRECT("Include_" &amp; $A$3)*INDIRECT("Include_" &amp; F$7)*
OFFSET(INDIRECT(Region_Abbr_Cost &amp; "!A1"), $B$5 + F$6,$B33+1)</f>
        <v>#REF!</v>
      </c>
      <c r="G33" s="9" t="e" cm="1">
        <f t="array" aca="1" ref="G33" ca="1">$B$4 *
INDIRECT("Include_" &amp; $A$3)*INDIRECT("Include_" &amp; G$7)*
OFFSET(INDIRECT(Region_Abbr_Cost &amp; "!A1"), $B$5 + G$6,$B33+1)</f>
        <v>#REF!</v>
      </c>
      <c r="H33" s="9" t="e" cm="1">
        <f t="array" aca="1" ref="H33" ca="1">$B$4 *
INDIRECT("Include_" &amp; $A$3)*INDIRECT("Include_" &amp; H$7)*
OFFSET(INDIRECT(Region_Abbr_Cost &amp; "!A1"), $B$5 + H$6,$B33+1)</f>
        <v>#REF!</v>
      </c>
      <c r="J33">
        <f t="shared" si="6"/>
        <v>2049</v>
      </c>
      <c r="K33">
        <f t="shared" si="7"/>
        <v>25</v>
      </c>
      <c r="L33" s="9" t="e" cm="1">
        <f t="array" aca="1" ref="L33" ca="1">$K$4 *
INDIRECT("Include_" &amp; $J$3)*INDIRECT("Include_" &amp; L$7)*
OFFSET(INDIRECT(Region_Abbr_Cost &amp; "!A1"), $K$5 + L$6,$K33+1)</f>
        <v>#REF!</v>
      </c>
      <c r="M33" s="9" t="e" cm="1">
        <f t="array" aca="1" ref="M33" ca="1">$K$4 *
INDIRECT("Include_" &amp; $J$3)*INDIRECT("Include_" &amp; M$7)*
OFFSET(INDIRECT(Region_Abbr_Cost &amp; "!A1"), $K$5 + M$6,$K33+1)</f>
        <v>#REF!</v>
      </c>
      <c r="N33" s="9" t="e" cm="1">
        <f t="array" aca="1" ref="N33" ca="1">$K$4 *
INDIRECT("Include_" &amp; $J$3)*INDIRECT("Include_" &amp; N$7)*
OFFSET(INDIRECT(Region_Abbr_Cost &amp; "!A1"), $K$5 + N$6,$K33+1)</f>
        <v>#REF!</v>
      </c>
      <c r="O33" s="9" t="e" cm="1">
        <f t="array" aca="1" ref="O33" ca="1">$K$4 *
INDIRECT("Include_" &amp; $J$3)*INDIRECT("Include_" &amp; O$7)*
OFFSET(INDIRECT(Region_Abbr_Cost &amp; "!A1"), $K$5 + O$6,$K33+1)</f>
        <v>#REF!</v>
      </c>
      <c r="P33" s="9" t="e" cm="1">
        <f t="array" aca="1" ref="P33" ca="1">$K$4 *
INDIRECT("Include_" &amp; $J$3)*INDIRECT("Include_" &amp; P$7)*
OFFSET(INDIRECT(Region_Abbr_Cost &amp; "!A1"), $K$5 + P$6,$K33+1)</f>
        <v>#REF!</v>
      </c>
      <c r="Q33" s="9" t="e" cm="1">
        <f t="array" aca="1" ref="Q33" ca="1">$K$4 *
INDIRECT("Include_" &amp; $J$3)*INDIRECT("Include_" &amp; Q$7)*
OFFSET(INDIRECT(Region_Abbr_Cost &amp; "!A1"), $K$5 + Q$6,$K33+1)</f>
        <v>#REF!</v>
      </c>
      <c r="S33">
        <f t="shared" si="8"/>
        <v>2049</v>
      </c>
      <c r="T33">
        <f t="shared" si="9"/>
        <v>25</v>
      </c>
      <c r="U33" s="9" t="e" cm="1">
        <f t="array" aca="1" ref="U3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U$6,$T33+1)</f>
        <v>#REF!</v>
      </c>
      <c r="V33" s="9" t="e" cm="1">
        <f t="array" aca="1" ref="V3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V$6,$T33+1)</f>
        <v>#REF!</v>
      </c>
      <c r="W33" s="9" t="e" cm="1">
        <f t="array" aca="1" ref="W3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W$6,$T33+1)</f>
        <v>#REF!</v>
      </c>
      <c r="X33" s="9" t="e" cm="1">
        <f t="array" aca="1" ref="X3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X$6,$T33+1)</f>
        <v>#REF!</v>
      </c>
      <c r="Y33" s="9" t="e" cm="1">
        <f t="array" aca="1" ref="Y3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Y$6,$T33+1)</f>
        <v>#REF!</v>
      </c>
      <c r="Z33" s="9" t="e" cm="1">
        <f t="array" aca="1" ref="Z3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Z$6,$T33+1)</f>
        <v>#REF!</v>
      </c>
      <c r="AB33">
        <f t="shared" si="10"/>
        <v>2049</v>
      </c>
      <c r="AC33">
        <f t="shared" si="11"/>
        <v>25</v>
      </c>
      <c r="AD33" s="9" t="e" cm="1">
        <f t="array" aca="1" ref="AD3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AD$6,$AC33+1)</f>
        <v>#REF!</v>
      </c>
      <c r="AE33" s="9" t="e" cm="1">
        <f t="array" aca="1" ref="AE3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AE$6,$AC33+1)</f>
        <v>#REF!</v>
      </c>
      <c r="AF33" s="9" t="e" cm="1">
        <f t="array" aca="1" ref="AF3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AF$6,$AC33+1)</f>
        <v>#REF!</v>
      </c>
      <c r="AG33" s="9" t="e" cm="1">
        <f t="array" aca="1" ref="AG3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AG$6,$AC33+1)</f>
        <v>#REF!</v>
      </c>
      <c r="AH33" s="9" t="e" cm="1">
        <f t="array" aca="1" ref="AH3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AH$6,$AC33+1)</f>
        <v>#REF!</v>
      </c>
      <c r="AI33" s="9" t="e" cm="1">
        <f t="array" aca="1" ref="AI3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AI$6,$AC33+1)</f>
        <v>#REF!</v>
      </c>
    </row>
    <row r="34" spans="1:35" x14ac:dyDescent="0.75">
      <c r="A34">
        <f t="shared" si="4"/>
        <v>2050</v>
      </c>
      <c r="B34">
        <f t="shared" si="5"/>
        <v>26</v>
      </c>
      <c r="C34" s="9" t="e" cm="1">
        <f t="array" aca="1" ref="C34" ca="1">$B$4 *
INDIRECT("Include_" &amp; $A$3)*INDIRECT("Include_" &amp; C$7)*
OFFSET(INDIRECT(Region_Abbr_Cost &amp; "!A1"), $B$5 + C$6,$B34+1)</f>
        <v>#REF!</v>
      </c>
      <c r="D34" s="9" t="e" cm="1">
        <f t="array" aca="1" ref="D34" ca="1">$B$4 *
INDIRECT("Include_" &amp; $A$3)*INDIRECT("Include_" &amp; D$7)*
OFFSET(INDIRECT(Region_Abbr_Cost &amp; "!A1"), $B$5 + D$6,$B34+1)</f>
        <v>#REF!</v>
      </c>
      <c r="E34" s="9" t="e" cm="1">
        <f t="array" aca="1" ref="E34" ca="1">$B$4 *
INDIRECT("Include_" &amp; $A$3)*INDIRECT("Include_" &amp; E$7)*
OFFSET(INDIRECT(Region_Abbr_Cost &amp; "!A1"), $B$5 + E$6,$B34+1)</f>
        <v>#REF!</v>
      </c>
      <c r="F34" s="9" t="e" cm="1">
        <f t="array" aca="1" ref="F34" ca="1">$B$4 *
INDIRECT("Include_" &amp; $A$3)*INDIRECT("Include_" &amp; F$7)*
OFFSET(INDIRECT(Region_Abbr_Cost &amp; "!A1"), $B$5 + F$6,$B34+1)</f>
        <v>#REF!</v>
      </c>
      <c r="G34" s="9" t="e" cm="1">
        <f t="array" aca="1" ref="G34" ca="1">$B$4 *
INDIRECT("Include_" &amp; $A$3)*INDIRECT("Include_" &amp; G$7)*
OFFSET(INDIRECT(Region_Abbr_Cost &amp; "!A1"), $B$5 + G$6,$B34+1)</f>
        <v>#REF!</v>
      </c>
      <c r="H34" s="9" t="e" cm="1">
        <f t="array" aca="1" ref="H34" ca="1">$B$4 *
INDIRECT("Include_" &amp; $A$3)*INDIRECT("Include_" &amp; H$7)*
OFFSET(INDIRECT(Region_Abbr_Cost &amp; "!A1"), $B$5 + H$6,$B34+1)</f>
        <v>#REF!</v>
      </c>
      <c r="J34">
        <f t="shared" si="6"/>
        <v>2050</v>
      </c>
      <c r="K34">
        <f t="shared" si="7"/>
        <v>26</v>
      </c>
      <c r="L34" s="9" t="e" cm="1">
        <f t="array" aca="1" ref="L34" ca="1">$K$4 *
INDIRECT("Include_" &amp; $J$3)*INDIRECT("Include_" &amp; L$7)*
OFFSET(INDIRECT(Region_Abbr_Cost &amp; "!A1"), $K$5 + L$6,$K34+1)</f>
        <v>#REF!</v>
      </c>
      <c r="M34" s="9" t="e" cm="1">
        <f t="array" aca="1" ref="M34" ca="1">$K$4 *
INDIRECT("Include_" &amp; $J$3)*INDIRECT("Include_" &amp; M$7)*
OFFSET(INDIRECT(Region_Abbr_Cost &amp; "!A1"), $K$5 + M$6,$K34+1)</f>
        <v>#REF!</v>
      </c>
      <c r="N34" s="9" t="e" cm="1">
        <f t="array" aca="1" ref="N34" ca="1">$K$4 *
INDIRECT("Include_" &amp; $J$3)*INDIRECT("Include_" &amp; N$7)*
OFFSET(INDIRECT(Region_Abbr_Cost &amp; "!A1"), $K$5 + N$6,$K34+1)</f>
        <v>#REF!</v>
      </c>
      <c r="O34" s="9" t="e" cm="1">
        <f t="array" aca="1" ref="O34" ca="1">$K$4 *
INDIRECT("Include_" &amp; $J$3)*INDIRECT("Include_" &amp; O$7)*
OFFSET(INDIRECT(Region_Abbr_Cost &amp; "!A1"), $K$5 + O$6,$K34+1)</f>
        <v>#REF!</v>
      </c>
      <c r="P34" s="9" t="e" cm="1">
        <f t="array" aca="1" ref="P34" ca="1">$K$4 *
INDIRECT("Include_" &amp; $J$3)*INDIRECT("Include_" &amp; P$7)*
OFFSET(INDIRECT(Region_Abbr_Cost &amp; "!A1"), $K$5 + P$6,$K34+1)</f>
        <v>#REF!</v>
      </c>
      <c r="Q34" s="9" t="e" cm="1">
        <f t="array" aca="1" ref="Q34" ca="1">$K$4 *
INDIRECT("Include_" &amp; $J$3)*INDIRECT("Include_" &amp; Q$7)*
OFFSET(INDIRECT(Region_Abbr_Cost &amp; "!A1"), $K$5 + Q$6,$K34+1)</f>
        <v>#REF!</v>
      </c>
      <c r="S34">
        <f t="shared" si="8"/>
        <v>2050</v>
      </c>
      <c r="T34">
        <f t="shared" si="9"/>
        <v>26</v>
      </c>
      <c r="U34" s="9" t="e" cm="1">
        <f t="array" aca="1" ref="U3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U$6,$T34+1)</f>
        <v>#REF!</v>
      </c>
      <c r="V34" s="9" t="e" cm="1">
        <f t="array" aca="1" ref="V3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V$6,$T34+1)</f>
        <v>#REF!</v>
      </c>
      <c r="W34" s="9" t="e" cm="1">
        <f t="array" aca="1" ref="W3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W$6,$T34+1)</f>
        <v>#REF!</v>
      </c>
      <c r="X34" s="9" t="e" cm="1">
        <f t="array" aca="1" ref="X3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X$6,$T34+1)</f>
        <v>#REF!</v>
      </c>
      <c r="Y34" s="9" t="e" cm="1">
        <f t="array" aca="1" ref="Y3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Y$6,$T34+1)</f>
        <v>#REF!</v>
      </c>
      <c r="Z34" s="9" t="e" cm="1">
        <f t="array" aca="1" ref="Z3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Z$6,$T34+1)</f>
        <v>#REF!</v>
      </c>
      <c r="AB34">
        <f t="shared" si="10"/>
        <v>2050</v>
      </c>
      <c r="AC34">
        <f t="shared" si="11"/>
        <v>26</v>
      </c>
      <c r="AD34" s="9" t="e" cm="1">
        <f t="array" aca="1" ref="AD3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AD$6,$AC34+1)</f>
        <v>#REF!</v>
      </c>
      <c r="AE34" s="9" t="e" cm="1">
        <f t="array" aca="1" ref="AE3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AE$6,$AC34+1)</f>
        <v>#REF!</v>
      </c>
      <c r="AF34" s="9" t="e" cm="1">
        <f t="array" aca="1" ref="AF3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AF$6,$AC34+1)</f>
        <v>#REF!</v>
      </c>
      <c r="AG34" s="9" t="e" cm="1">
        <f t="array" aca="1" ref="AG3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AG$6,$AC34+1)</f>
        <v>#REF!</v>
      </c>
      <c r="AH34" s="9" t="e" cm="1">
        <f t="array" aca="1" ref="AH3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AH$6,$AC34+1)</f>
        <v>#REF!</v>
      </c>
      <c r="AI34" s="9" t="e" cm="1">
        <f t="array" aca="1" ref="AI3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AI$6,$AC34+1)</f>
        <v>#REF!</v>
      </c>
    </row>
    <row r="36" spans="1:35" x14ac:dyDescent="0.75">
      <c r="A36" t="s">
        <v>32</v>
      </c>
    </row>
    <row r="37" spans="1:35" x14ac:dyDescent="0.75">
      <c r="A37" t="str">
        <f>A6</f>
        <v>Year</v>
      </c>
      <c r="B37" t="str">
        <f t="shared" ref="B37:H38" si="12">B6</f>
        <v>Offsets -&gt;</v>
      </c>
      <c r="C37" t="e">
        <f t="shared" si="12"/>
        <v>#REF!</v>
      </c>
      <c r="D37" t="e">
        <f t="shared" si="12"/>
        <v>#REF!</v>
      </c>
      <c r="E37" t="e">
        <f t="shared" si="12"/>
        <v>#REF!</v>
      </c>
      <c r="F37" t="e">
        <f t="shared" si="12"/>
        <v>#REF!</v>
      </c>
      <c r="G37" t="e">
        <f t="shared" si="12"/>
        <v>#REF!</v>
      </c>
      <c r="H37" t="e">
        <f t="shared" si="12"/>
        <v>#REF!</v>
      </c>
    </row>
    <row r="38" spans="1:35" x14ac:dyDescent="0.75">
      <c r="A38">
        <f>A7</f>
        <v>2023</v>
      </c>
      <c r="B38">
        <f t="shared" si="12"/>
        <v>-1</v>
      </c>
      <c r="C38" t="str">
        <f t="shared" si="12"/>
        <v>Solar</v>
      </c>
      <c r="D38" t="str">
        <f t="shared" si="12"/>
        <v>Wind</v>
      </c>
      <c r="E38" t="str">
        <f t="shared" si="12"/>
        <v>Nuclear</v>
      </c>
      <c r="F38" t="str">
        <f t="shared" si="12"/>
        <v>Gas</v>
      </c>
      <c r="G38" t="str">
        <f t="shared" si="12"/>
        <v>Coal</v>
      </c>
      <c r="H38" t="str">
        <f t="shared" si="12"/>
        <v>Battery</v>
      </c>
    </row>
    <row r="39" spans="1:35" x14ac:dyDescent="0.75">
      <c r="A39">
        <f t="shared" ref="A39:B39" si="13">A8</f>
        <v>2024</v>
      </c>
      <c r="B39">
        <f t="shared" si="13"/>
        <v>0</v>
      </c>
      <c r="C39" s="9" t="e">
        <f ca="1">SUM(C8,L8,U8,AD8)</f>
        <v>#REF!</v>
      </c>
      <c r="D39" s="9" t="e">
        <f t="shared" ref="D39:H39" ca="1" si="14">SUM(D8,M8,V8,AE8)</f>
        <v>#REF!</v>
      </c>
      <c r="E39" s="9" t="e">
        <f t="shared" ca="1" si="14"/>
        <v>#REF!</v>
      </c>
      <c r="F39" s="9" t="e">
        <f t="shared" ca="1" si="14"/>
        <v>#REF!</v>
      </c>
      <c r="G39" s="9" t="e">
        <f t="shared" ca="1" si="14"/>
        <v>#REF!</v>
      </c>
      <c r="H39" s="9" t="e">
        <f t="shared" ca="1" si="14"/>
        <v>#REF!</v>
      </c>
    </row>
    <row r="40" spans="1:35" x14ac:dyDescent="0.75">
      <c r="A40">
        <f t="shared" ref="A40:B40" si="15">A9</f>
        <v>2025</v>
      </c>
      <c r="B40">
        <f t="shared" si="15"/>
        <v>1</v>
      </c>
      <c r="C40" s="9" t="e">
        <f t="shared" ref="C40:C65" ca="1" si="16">SUM(C9,L9,U9,AD9)</f>
        <v>#REF!</v>
      </c>
      <c r="D40" s="9" t="e">
        <f t="shared" ref="D40:D65" ca="1" si="17">SUM(D9,M9,V9,AE9)</f>
        <v>#REF!</v>
      </c>
      <c r="E40" s="9" t="e">
        <f t="shared" ref="E40:E65" ca="1" si="18">SUM(E9,N9,W9,AF9)</f>
        <v>#REF!</v>
      </c>
      <c r="F40" s="9" t="e">
        <f t="shared" ref="F40:F65" ca="1" si="19">SUM(F9,O9,X9,AG9)</f>
        <v>#REF!</v>
      </c>
      <c r="G40" s="9" t="e">
        <f t="shared" ref="G40:G65" ca="1" si="20">SUM(G9,P9,Y9,AH9)</f>
        <v>#REF!</v>
      </c>
      <c r="H40" s="9" t="e">
        <f t="shared" ref="H40:H65" ca="1" si="21">SUM(H9,Q9,Z9,AI9)</f>
        <v>#REF!</v>
      </c>
    </row>
    <row r="41" spans="1:35" x14ac:dyDescent="0.75">
      <c r="A41">
        <f t="shared" ref="A41:B41" si="22">A10</f>
        <v>2026</v>
      </c>
      <c r="B41">
        <f t="shared" si="22"/>
        <v>2</v>
      </c>
      <c r="C41" s="9" t="e">
        <f t="shared" ca="1" si="16"/>
        <v>#REF!</v>
      </c>
      <c r="D41" s="9" t="e">
        <f t="shared" ca="1" si="17"/>
        <v>#REF!</v>
      </c>
      <c r="E41" s="9" t="e">
        <f t="shared" ca="1" si="18"/>
        <v>#REF!</v>
      </c>
      <c r="F41" s="9" t="e">
        <f t="shared" ca="1" si="19"/>
        <v>#REF!</v>
      </c>
      <c r="G41" s="9" t="e">
        <f t="shared" ca="1" si="20"/>
        <v>#REF!</v>
      </c>
      <c r="H41" s="9" t="e">
        <f t="shared" ca="1" si="21"/>
        <v>#REF!</v>
      </c>
    </row>
    <row r="42" spans="1:35" x14ac:dyDescent="0.75">
      <c r="A42">
        <f t="shared" ref="A42:B42" si="23">A11</f>
        <v>2027</v>
      </c>
      <c r="B42">
        <f t="shared" si="23"/>
        <v>3</v>
      </c>
      <c r="C42" s="9" t="e">
        <f t="shared" ca="1" si="16"/>
        <v>#REF!</v>
      </c>
      <c r="D42" s="9" t="e">
        <f t="shared" ca="1" si="17"/>
        <v>#REF!</v>
      </c>
      <c r="E42" s="9" t="e">
        <f t="shared" ca="1" si="18"/>
        <v>#REF!</v>
      </c>
      <c r="F42" s="9" t="e">
        <f t="shared" ca="1" si="19"/>
        <v>#REF!</v>
      </c>
      <c r="G42" s="9" t="e">
        <f t="shared" ca="1" si="20"/>
        <v>#REF!</v>
      </c>
      <c r="H42" s="9" t="e">
        <f t="shared" ca="1" si="21"/>
        <v>#REF!</v>
      </c>
    </row>
    <row r="43" spans="1:35" x14ac:dyDescent="0.75">
      <c r="A43">
        <f t="shared" ref="A43:B43" si="24">A12</f>
        <v>2028</v>
      </c>
      <c r="B43">
        <f t="shared" si="24"/>
        <v>4</v>
      </c>
      <c r="C43" s="9" t="e">
        <f t="shared" ca="1" si="16"/>
        <v>#REF!</v>
      </c>
      <c r="D43" s="9" t="e">
        <f t="shared" ca="1" si="17"/>
        <v>#REF!</v>
      </c>
      <c r="E43" s="9" t="e">
        <f t="shared" ca="1" si="18"/>
        <v>#REF!</v>
      </c>
      <c r="F43" s="9" t="e">
        <f t="shared" ca="1" si="19"/>
        <v>#REF!</v>
      </c>
      <c r="G43" s="9" t="e">
        <f t="shared" ca="1" si="20"/>
        <v>#REF!</v>
      </c>
      <c r="H43" s="9" t="e">
        <f t="shared" ca="1" si="21"/>
        <v>#REF!</v>
      </c>
    </row>
    <row r="44" spans="1:35" x14ac:dyDescent="0.75">
      <c r="A44">
        <f t="shared" ref="A44:B44" si="25">A13</f>
        <v>2029</v>
      </c>
      <c r="B44">
        <f t="shared" si="25"/>
        <v>5</v>
      </c>
      <c r="C44" s="9" t="e">
        <f t="shared" ca="1" si="16"/>
        <v>#REF!</v>
      </c>
      <c r="D44" s="9" t="e">
        <f t="shared" ca="1" si="17"/>
        <v>#REF!</v>
      </c>
      <c r="E44" s="9" t="e">
        <f t="shared" ca="1" si="18"/>
        <v>#REF!</v>
      </c>
      <c r="F44" s="9" t="e">
        <f t="shared" ca="1" si="19"/>
        <v>#REF!</v>
      </c>
      <c r="G44" s="9" t="e">
        <f t="shared" ca="1" si="20"/>
        <v>#REF!</v>
      </c>
      <c r="H44" s="9" t="e">
        <f t="shared" ca="1" si="21"/>
        <v>#REF!</v>
      </c>
    </row>
    <row r="45" spans="1:35" x14ac:dyDescent="0.75">
      <c r="A45">
        <f t="shared" ref="A45:B45" si="26">A14</f>
        <v>2030</v>
      </c>
      <c r="B45">
        <f t="shared" si="26"/>
        <v>6</v>
      </c>
      <c r="C45" s="9" t="e">
        <f t="shared" ca="1" si="16"/>
        <v>#REF!</v>
      </c>
      <c r="D45" s="9" t="e">
        <f t="shared" ca="1" si="17"/>
        <v>#REF!</v>
      </c>
      <c r="E45" s="9" t="e">
        <f t="shared" ca="1" si="18"/>
        <v>#REF!</v>
      </c>
      <c r="F45" s="9" t="e">
        <f t="shared" ca="1" si="19"/>
        <v>#REF!</v>
      </c>
      <c r="G45" s="9" t="e">
        <f t="shared" ca="1" si="20"/>
        <v>#REF!</v>
      </c>
      <c r="H45" s="9" t="e">
        <f t="shared" ca="1" si="21"/>
        <v>#REF!</v>
      </c>
    </row>
    <row r="46" spans="1:35" x14ac:dyDescent="0.75">
      <c r="A46">
        <f t="shared" ref="A46:B46" si="27">A15</f>
        <v>2031</v>
      </c>
      <c r="B46">
        <f t="shared" si="27"/>
        <v>7</v>
      </c>
      <c r="C46" s="9" t="e">
        <f t="shared" ca="1" si="16"/>
        <v>#REF!</v>
      </c>
      <c r="D46" s="9" t="e">
        <f t="shared" ca="1" si="17"/>
        <v>#REF!</v>
      </c>
      <c r="E46" s="9" t="e">
        <f t="shared" ca="1" si="18"/>
        <v>#REF!</v>
      </c>
      <c r="F46" s="9" t="e">
        <f t="shared" ca="1" si="19"/>
        <v>#REF!</v>
      </c>
      <c r="G46" s="9" t="e">
        <f t="shared" ca="1" si="20"/>
        <v>#REF!</v>
      </c>
      <c r="H46" s="9" t="e">
        <f t="shared" ca="1" si="21"/>
        <v>#REF!</v>
      </c>
    </row>
    <row r="47" spans="1:35" x14ac:dyDescent="0.75">
      <c r="A47">
        <f t="shared" ref="A47:B47" si="28">A16</f>
        <v>2032</v>
      </c>
      <c r="B47">
        <f t="shared" si="28"/>
        <v>8</v>
      </c>
      <c r="C47" s="9" t="e">
        <f t="shared" ca="1" si="16"/>
        <v>#REF!</v>
      </c>
      <c r="D47" s="9" t="e">
        <f t="shared" ca="1" si="17"/>
        <v>#REF!</v>
      </c>
      <c r="E47" s="9" t="e">
        <f t="shared" ca="1" si="18"/>
        <v>#REF!</v>
      </c>
      <c r="F47" s="9" t="e">
        <f t="shared" ca="1" si="19"/>
        <v>#REF!</v>
      </c>
      <c r="G47" s="9" t="e">
        <f t="shared" ca="1" si="20"/>
        <v>#REF!</v>
      </c>
      <c r="H47" s="9" t="e">
        <f t="shared" ca="1" si="21"/>
        <v>#REF!</v>
      </c>
    </row>
    <row r="48" spans="1:35" x14ac:dyDescent="0.75">
      <c r="A48">
        <f t="shared" ref="A48:B48" si="29">A17</f>
        <v>2033</v>
      </c>
      <c r="B48">
        <f t="shared" si="29"/>
        <v>9</v>
      </c>
      <c r="C48" s="9" t="e">
        <f t="shared" ca="1" si="16"/>
        <v>#REF!</v>
      </c>
      <c r="D48" s="9" t="e">
        <f t="shared" ca="1" si="17"/>
        <v>#REF!</v>
      </c>
      <c r="E48" s="9" t="e">
        <f t="shared" ca="1" si="18"/>
        <v>#REF!</v>
      </c>
      <c r="F48" s="9" t="e">
        <f t="shared" ca="1" si="19"/>
        <v>#REF!</v>
      </c>
      <c r="G48" s="9" t="e">
        <f t="shared" ca="1" si="20"/>
        <v>#REF!</v>
      </c>
      <c r="H48" s="9" t="e">
        <f t="shared" ca="1" si="21"/>
        <v>#REF!</v>
      </c>
    </row>
    <row r="49" spans="1:8" x14ac:dyDescent="0.75">
      <c r="A49">
        <f t="shared" ref="A49:B49" si="30">A18</f>
        <v>2034</v>
      </c>
      <c r="B49">
        <f t="shared" si="30"/>
        <v>10</v>
      </c>
      <c r="C49" s="9" t="e">
        <f t="shared" ca="1" si="16"/>
        <v>#REF!</v>
      </c>
      <c r="D49" s="9" t="e">
        <f t="shared" ca="1" si="17"/>
        <v>#REF!</v>
      </c>
      <c r="E49" s="9" t="e">
        <f t="shared" ca="1" si="18"/>
        <v>#REF!</v>
      </c>
      <c r="F49" s="9" t="e">
        <f t="shared" ca="1" si="19"/>
        <v>#REF!</v>
      </c>
      <c r="G49" s="9" t="e">
        <f t="shared" ca="1" si="20"/>
        <v>#REF!</v>
      </c>
      <c r="H49" s="9" t="e">
        <f t="shared" ca="1" si="21"/>
        <v>#REF!</v>
      </c>
    </row>
    <row r="50" spans="1:8" x14ac:dyDescent="0.75">
      <c r="A50">
        <f t="shared" ref="A50:B50" si="31">A19</f>
        <v>2035</v>
      </c>
      <c r="B50">
        <f t="shared" si="31"/>
        <v>11</v>
      </c>
      <c r="C50" s="9" t="e">
        <f t="shared" ca="1" si="16"/>
        <v>#REF!</v>
      </c>
      <c r="D50" s="9" t="e">
        <f t="shared" ca="1" si="17"/>
        <v>#REF!</v>
      </c>
      <c r="E50" s="9" t="e">
        <f t="shared" ca="1" si="18"/>
        <v>#REF!</v>
      </c>
      <c r="F50" s="9" t="e">
        <f t="shared" ca="1" si="19"/>
        <v>#REF!</v>
      </c>
      <c r="G50" s="9" t="e">
        <f t="shared" ca="1" si="20"/>
        <v>#REF!</v>
      </c>
      <c r="H50" s="9" t="e">
        <f t="shared" ca="1" si="21"/>
        <v>#REF!</v>
      </c>
    </row>
    <row r="51" spans="1:8" x14ac:dyDescent="0.75">
      <c r="A51">
        <f t="shared" ref="A51:B51" si="32">A20</f>
        <v>2036</v>
      </c>
      <c r="B51">
        <f t="shared" si="32"/>
        <v>12</v>
      </c>
      <c r="C51" s="9" t="e">
        <f t="shared" ca="1" si="16"/>
        <v>#REF!</v>
      </c>
      <c r="D51" s="9" t="e">
        <f t="shared" ca="1" si="17"/>
        <v>#REF!</v>
      </c>
      <c r="E51" s="9" t="e">
        <f t="shared" ca="1" si="18"/>
        <v>#REF!</v>
      </c>
      <c r="F51" s="9" t="e">
        <f t="shared" ca="1" si="19"/>
        <v>#REF!</v>
      </c>
      <c r="G51" s="9" t="e">
        <f t="shared" ca="1" si="20"/>
        <v>#REF!</v>
      </c>
      <c r="H51" s="9" t="e">
        <f t="shared" ca="1" si="21"/>
        <v>#REF!</v>
      </c>
    </row>
    <row r="52" spans="1:8" x14ac:dyDescent="0.75">
      <c r="A52">
        <f t="shared" ref="A52:B52" si="33">A21</f>
        <v>2037</v>
      </c>
      <c r="B52">
        <f t="shared" si="33"/>
        <v>13</v>
      </c>
      <c r="C52" s="9" t="e">
        <f t="shared" ca="1" si="16"/>
        <v>#REF!</v>
      </c>
      <c r="D52" s="9" t="e">
        <f t="shared" ca="1" si="17"/>
        <v>#REF!</v>
      </c>
      <c r="E52" s="9" t="e">
        <f t="shared" ca="1" si="18"/>
        <v>#REF!</v>
      </c>
      <c r="F52" s="9" t="e">
        <f t="shared" ca="1" si="19"/>
        <v>#REF!</v>
      </c>
      <c r="G52" s="9" t="e">
        <f t="shared" ca="1" si="20"/>
        <v>#REF!</v>
      </c>
      <c r="H52" s="9" t="e">
        <f t="shared" ca="1" si="21"/>
        <v>#REF!</v>
      </c>
    </row>
    <row r="53" spans="1:8" x14ac:dyDescent="0.75">
      <c r="A53">
        <f t="shared" ref="A53:B53" si="34">A22</f>
        <v>2038</v>
      </c>
      <c r="B53">
        <f t="shared" si="34"/>
        <v>14</v>
      </c>
      <c r="C53" s="9" t="e">
        <f t="shared" ca="1" si="16"/>
        <v>#REF!</v>
      </c>
      <c r="D53" s="9" t="e">
        <f t="shared" ca="1" si="17"/>
        <v>#REF!</v>
      </c>
      <c r="E53" s="9" t="e">
        <f t="shared" ca="1" si="18"/>
        <v>#REF!</v>
      </c>
      <c r="F53" s="9" t="e">
        <f t="shared" ca="1" si="19"/>
        <v>#REF!</v>
      </c>
      <c r="G53" s="9" t="e">
        <f t="shared" ca="1" si="20"/>
        <v>#REF!</v>
      </c>
      <c r="H53" s="9" t="e">
        <f t="shared" ca="1" si="21"/>
        <v>#REF!</v>
      </c>
    </row>
    <row r="54" spans="1:8" x14ac:dyDescent="0.75">
      <c r="A54">
        <f t="shared" ref="A54:B54" si="35">A23</f>
        <v>2039</v>
      </c>
      <c r="B54">
        <f t="shared" si="35"/>
        <v>15</v>
      </c>
      <c r="C54" s="9" t="e">
        <f t="shared" ca="1" si="16"/>
        <v>#REF!</v>
      </c>
      <c r="D54" s="9" t="e">
        <f t="shared" ca="1" si="17"/>
        <v>#REF!</v>
      </c>
      <c r="E54" s="9" t="e">
        <f t="shared" ca="1" si="18"/>
        <v>#REF!</v>
      </c>
      <c r="F54" s="9" t="e">
        <f t="shared" ca="1" si="19"/>
        <v>#REF!</v>
      </c>
      <c r="G54" s="9" t="e">
        <f t="shared" ca="1" si="20"/>
        <v>#REF!</v>
      </c>
      <c r="H54" s="9" t="e">
        <f t="shared" ca="1" si="21"/>
        <v>#REF!</v>
      </c>
    </row>
    <row r="55" spans="1:8" x14ac:dyDescent="0.75">
      <c r="A55">
        <f t="shared" ref="A55:B55" si="36">A24</f>
        <v>2040</v>
      </c>
      <c r="B55">
        <f t="shared" si="36"/>
        <v>16</v>
      </c>
      <c r="C55" s="9" t="e">
        <f t="shared" ca="1" si="16"/>
        <v>#REF!</v>
      </c>
      <c r="D55" s="9" t="e">
        <f t="shared" ca="1" si="17"/>
        <v>#REF!</v>
      </c>
      <c r="E55" s="9" t="e">
        <f t="shared" ca="1" si="18"/>
        <v>#REF!</v>
      </c>
      <c r="F55" s="9" t="e">
        <f t="shared" ca="1" si="19"/>
        <v>#REF!</v>
      </c>
      <c r="G55" s="9" t="e">
        <f t="shared" ca="1" si="20"/>
        <v>#REF!</v>
      </c>
      <c r="H55" s="9" t="e">
        <f t="shared" ca="1" si="21"/>
        <v>#REF!</v>
      </c>
    </row>
    <row r="56" spans="1:8" x14ac:dyDescent="0.75">
      <c r="A56">
        <f t="shared" ref="A56:B56" si="37">A25</f>
        <v>2041</v>
      </c>
      <c r="B56">
        <f t="shared" si="37"/>
        <v>17</v>
      </c>
      <c r="C56" s="9" t="e">
        <f t="shared" ca="1" si="16"/>
        <v>#REF!</v>
      </c>
      <c r="D56" s="9" t="e">
        <f t="shared" ca="1" si="17"/>
        <v>#REF!</v>
      </c>
      <c r="E56" s="9" t="e">
        <f t="shared" ca="1" si="18"/>
        <v>#REF!</v>
      </c>
      <c r="F56" s="9" t="e">
        <f t="shared" ca="1" si="19"/>
        <v>#REF!</v>
      </c>
      <c r="G56" s="9" t="e">
        <f t="shared" ca="1" si="20"/>
        <v>#REF!</v>
      </c>
      <c r="H56" s="9" t="e">
        <f t="shared" ca="1" si="21"/>
        <v>#REF!</v>
      </c>
    </row>
    <row r="57" spans="1:8" x14ac:dyDescent="0.75">
      <c r="A57">
        <f t="shared" ref="A57:B57" si="38">A26</f>
        <v>2042</v>
      </c>
      <c r="B57">
        <f t="shared" si="38"/>
        <v>18</v>
      </c>
      <c r="C57" s="9" t="e">
        <f t="shared" ca="1" si="16"/>
        <v>#REF!</v>
      </c>
      <c r="D57" s="9" t="e">
        <f t="shared" ca="1" si="17"/>
        <v>#REF!</v>
      </c>
      <c r="E57" s="9" t="e">
        <f t="shared" ca="1" si="18"/>
        <v>#REF!</v>
      </c>
      <c r="F57" s="9" t="e">
        <f t="shared" ca="1" si="19"/>
        <v>#REF!</v>
      </c>
      <c r="G57" s="9" t="e">
        <f t="shared" ca="1" si="20"/>
        <v>#REF!</v>
      </c>
      <c r="H57" s="9" t="e">
        <f t="shared" ca="1" si="21"/>
        <v>#REF!</v>
      </c>
    </row>
    <row r="58" spans="1:8" x14ac:dyDescent="0.75">
      <c r="A58">
        <f t="shared" ref="A58:B58" si="39">A27</f>
        <v>2043</v>
      </c>
      <c r="B58">
        <f t="shared" si="39"/>
        <v>19</v>
      </c>
      <c r="C58" s="9" t="e">
        <f t="shared" ca="1" si="16"/>
        <v>#REF!</v>
      </c>
      <c r="D58" s="9" t="e">
        <f t="shared" ca="1" si="17"/>
        <v>#REF!</v>
      </c>
      <c r="E58" s="9" t="e">
        <f t="shared" ca="1" si="18"/>
        <v>#REF!</v>
      </c>
      <c r="F58" s="9" t="e">
        <f t="shared" ca="1" si="19"/>
        <v>#REF!</v>
      </c>
      <c r="G58" s="9" t="e">
        <f t="shared" ca="1" si="20"/>
        <v>#REF!</v>
      </c>
      <c r="H58" s="9" t="e">
        <f t="shared" ca="1" si="21"/>
        <v>#REF!</v>
      </c>
    </row>
    <row r="59" spans="1:8" x14ac:dyDescent="0.75">
      <c r="A59">
        <f t="shared" ref="A59:B59" si="40">A28</f>
        <v>2044</v>
      </c>
      <c r="B59">
        <f t="shared" si="40"/>
        <v>20</v>
      </c>
      <c r="C59" s="9" t="e">
        <f t="shared" ca="1" si="16"/>
        <v>#REF!</v>
      </c>
      <c r="D59" s="9" t="e">
        <f t="shared" ca="1" si="17"/>
        <v>#REF!</v>
      </c>
      <c r="E59" s="9" t="e">
        <f t="shared" ca="1" si="18"/>
        <v>#REF!</v>
      </c>
      <c r="F59" s="9" t="e">
        <f t="shared" ca="1" si="19"/>
        <v>#REF!</v>
      </c>
      <c r="G59" s="9" t="e">
        <f t="shared" ca="1" si="20"/>
        <v>#REF!</v>
      </c>
      <c r="H59" s="9" t="e">
        <f t="shared" ca="1" si="21"/>
        <v>#REF!</v>
      </c>
    </row>
    <row r="60" spans="1:8" x14ac:dyDescent="0.75">
      <c r="A60">
        <f t="shared" ref="A60:B60" si="41">A29</f>
        <v>2045</v>
      </c>
      <c r="B60">
        <f t="shared" si="41"/>
        <v>21</v>
      </c>
      <c r="C60" s="9" t="e">
        <f t="shared" ca="1" si="16"/>
        <v>#REF!</v>
      </c>
      <c r="D60" s="9" t="e">
        <f t="shared" ca="1" si="17"/>
        <v>#REF!</v>
      </c>
      <c r="E60" s="9" t="e">
        <f t="shared" ca="1" si="18"/>
        <v>#REF!</v>
      </c>
      <c r="F60" s="9" t="e">
        <f t="shared" ca="1" si="19"/>
        <v>#REF!</v>
      </c>
      <c r="G60" s="9" t="e">
        <f t="shared" ca="1" si="20"/>
        <v>#REF!</v>
      </c>
      <c r="H60" s="9" t="e">
        <f t="shared" ca="1" si="21"/>
        <v>#REF!</v>
      </c>
    </row>
    <row r="61" spans="1:8" x14ac:dyDescent="0.75">
      <c r="A61">
        <f t="shared" ref="A61:B61" si="42">A30</f>
        <v>2046</v>
      </c>
      <c r="B61">
        <f t="shared" si="42"/>
        <v>22</v>
      </c>
      <c r="C61" s="9" t="e">
        <f t="shared" ca="1" si="16"/>
        <v>#REF!</v>
      </c>
      <c r="D61" s="9" t="e">
        <f t="shared" ca="1" si="17"/>
        <v>#REF!</v>
      </c>
      <c r="E61" s="9" t="e">
        <f t="shared" ca="1" si="18"/>
        <v>#REF!</v>
      </c>
      <c r="F61" s="9" t="e">
        <f t="shared" ca="1" si="19"/>
        <v>#REF!</v>
      </c>
      <c r="G61" s="9" t="e">
        <f t="shared" ca="1" si="20"/>
        <v>#REF!</v>
      </c>
      <c r="H61" s="9" t="e">
        <f t="shared" ca="1" si="21"/>
        <v>#REF!</v>
      </c>
    </row>
    <row r="62" spans="1:8" x14ac:dyDescent="0.75">
      <c r="A62">
        <f t="shared" ref="A62:B62" si="43">A31</f>
        <v>2047</v>
      </c>
      <c r="B62">
        <f t="shared" si="43"/>
        <v>23</v>
      </c>
      <c r="C62" s="9" t="e">
        <f t="shared" ca="1" si="16"/>
        <v>#REF!</v>
      </c>
      <c r="D62" s="9" t="e">
        <f t="shared" ca="1" si="17"/>
        <v>#REF!</v>
      </c>
      <c r="E62" s="9" t="e">
        <f t="shared" ca="1" si="18"/>
        <v>#REF!</v>
      </c>
      <c r="F62" s="9" t="e">
        <f t="shared" ca="1" si="19"/>
        <v>#REF!</v>
      </c>
      <c r="G62" s="9" t="e">
        <f t="shared" ca="1" si="20"/>
        <v>#REF!</v>
      </c>
      <c r="H62" s="9" t="e">
        <f t="shared" ca="1" si="21"/>
        <v>#REF!</v>
      </c>
    </row>
    <row r="63" spans="1:8" x14ac:dyDescent="0.75">
      <c r="A63">
        <f t="shared" ref="A63:B63" si="44">A32</f>
        <v>2048</v>
      </c>
      <c r="B63">
        <f t="shared" si="44"/>
        <v>24</v>
      </c>
      <c r="C63" s="9" t="e">
        <f t="shared" ca="1" si="16"/>
        <v>#REF!</v>
      </c>
      <c r="D63" s="9" t="e">
        <f t="shared" ca="1" si="17"/>
        <v>#REF!</v>
      </c>
      <c r="E63" s="9" t="e">
        <f t="shared" ca="1" si="18"/>
        <v>#REF!</v>
      </c>
      <c r="F63" s="9" t="e">
        <f t="shared" ca="1" si="19"/>
        <v>#REF!</v>
      </c>
      <c r="G63" s="9" t="e">
        <f t="shared" ca="1" si="20"/>
        <v>#REF!</v>
      </c>
      <c r="H63" s="9" t="e">
        <f t="shared" ca="1" si="21"/>
        <v>#REF!</v>
      </c>
    </row>
    <row r="64" spans="1:8" x14ac:dyDescent="0.75">
      <c r="A64">
        <f t="shared" ref="A64:B64" si="45">A33</f>
        <v>2049</v>
      </c>
      <c r="B64">
        <f t="shared" si="45"/>
        <v>25</v>
      </c>
      <c r="C64" s="9" t="e">
        <f t="shared" ca="1" si="16"/>
        <v>#REF!</v>
      </c>
      <c r="D64" s="9" t="e">
        <f t="shared" ca="1" si="17"/>
        <v>#REF!</v>
      </c>
      <c r="E64" s="9" t="e">
        <f t="shared" ca="1" si="18"/>
        <v>#REF!</v>
      </c>
      <c r="F64" s="9" t="e">
        <f t="shared" ca="1" si="19"/>
        <v>#REF!</v>
      </c>
      <c r="G64" s="9" t="e">
        <f t="shared" ca="1" si="20"/>
        <v>#REF!</v>
      </c>
      <c r="H64" s="9" t="e">
        <f t="shared" ca="1" si="21"/>
        <v>#REF!</v>
      </c>
    </row>
    <row r="65" spans="1:8" x14ac:dyDescent="0.75">
      <c r="A65">
        <f t="shared" ref="A65:B65" si="46">A34</f>
        <v>2050</v>
      </c>
      <c r="B65">
        <f t="shared" si="46"/>
        <v>26</v>
      </c>
      <c r="C65" s="9" t="e">
        <f t="shared" ca="1" si="16"/>
        <v>#REF!</v>
      </c>
      <c r="D65" s="9" t="e">
        <f t="shared" ca="1" si="17"/>
        <v>#REF!</v>
      </c>
      <c r="E65" s="9" t="e">
        <f t="shared" ca="1" si="18"/>
        <v>#REF!</v>
      </c>
      <c r="F65" s="9" t="e">
        <f t="shared" ca="1" si="19"/>
        <v>#REF!</v>
      </c>
      <c r="G65" s="9" t="e">
        <f t="shared" ca="1" si="20"/>
        <v>#REF!</v>
      </c>
      <c r="H65" s="9" t="e">
        <f t="shared" ca="1" si="21"/>
        <v>#REF!</v>
      </c>
    </row>
  </sheetData>
  <mergeCells count="1">
    <mergeCell ref="A1:B1"/>
  </mergeCells>
  <conditionalFormatting sqref="C8:H34">
    <cfRule type="expression" dxfId="9" priority="14">
      <formula>#REF! &gt; 10000</formula>
    </cfRule>
  </conditionalFormatting>
  <conditionalFormatting sqref="L8:Q34">
    <cfRule type="expression" dxfId="8" priority="4">
      <formula>#REF! &gt; 10000</formula>
    </cfRule>
  </conditionalFormatting>
  <conditionalFormatting sqref="U8:Z34">
    <cfRule type="expression" dxfId="7" priority="3">
      <formula>#REF! &gt; 10000</formula>
    </cfRule>
  </conditionalFormatting>
  <conditionalFormatting sqref="AD8:AI34">
    <cfRule type="expression" dxfId="6" priority="2">
      <formula>#REF! &gt; 10000</formula>
    </cfRule>
  </conditionalFormatting>
  <conditionalFormatting sqref="C39:H65">
    <cfRule type="expression" dxfId="5" priority="1">
      <formula>#REF! &gt; 10000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C423-4870-4C89-9EC2-F2BB04FE1751}">
  <sheetPr codeName="Sheet4"/>
  <dimension ref="A1:AI65"/>
  <sheetViews>
    <sheetView workbookViewId="0">
      <selection sqref="A1:B1"/>
    </sheetView>
  </sheetViews>
  <sheetFormatPr defaultRowHeight="14.75" x14ac:dyDescent="0.75"/>
  <cols>
    <col min="1" max="1" width="11.6796875" customWidth="1"/>
    <col min="3" max="3" width="5.58984375" style="3" bestFit="1" customWidth="1"/>
    <col min="4" max="4" width="5.6796875" style="3" bestFit="1" customWidth="1"/>
    <col min="5" max="5" width="6.81640625" style="3" bestFit="1" customWidth="1"/>
    <col min="6" max="6" width="5.58984375" style="3" bestFit="1" customWidth="1"/>
    <col min="7" max="7" width="4.81640625" style="3" bestFit="1" customWidth="1"/>
    <col min="8" max="8" width="6.40625" style="3" bestFit="1" customWidth="1"/>
  </cols>
  <sheetData>
    <row r="1" spans="1:35" x14ac:dyDescent="0.75">
      <c r="A1" s="13" t="str">
        <f>Comp_Graph!Region</f>
        <v>Entire US</v>
      </c>
      <c r="B1" s="13"/>
      <c r="C1" s="3" t="e">
        <f>VLOOKUP(A1,Region_lookup,2,FALSE)</f>
        <v>#REF!</v>
      </c>
    </row>
    <row r="3" spans="1:35" x14ac:dyDescent="0.75">
      <c r="A3" s="6" t="s">
        <v>12</v>
      </c>
      <c r="J3" s="6" t="s">
        <v>13</v>
      </c>
      <c r="S3" s="6" t="s">
        <v>14</v>
      </c>
      <c r="AB3" s="6" t="s">
        <v>15</v>
      </c>
    </row>
    <row r="4" spans="1:35" x14ac:dyDescent="0.75">
      <c r="A4" t="s">
        <v>31</v>
      </c>
      <c r="B4" t="e">
        <f>VLOOKUP(A3 &amp; " Cost",Param_Table,4,FALSE)</f>
        <v>#REF!</v>
      </c>
      <c r="J4" t="s">
        <v>31</v>
      </c>
      <c r="K4" t="e">
        <f>VLOOKUP(J3 &amp; " Cost",Param_Table,4,FALSE)</f>
        <v>#REF!</v>
      </c>
      <c r="S4" t="s">
        <v>31</v>
      </c>
      <c r="T4" t="e">
        <f>VLOOKUP(S3 &amp; " Cost",Param_Table,4,FALSE)</f>
        <v>#REF!</v>
      </c>
      <c r="AB4" t="s">
        <v>31</v>
      </c>
      <c r="AC4" t="e">
        <f>VLOOKUP(AB3 &amp; " Cost",Param_Table,4,FALSE)</f>
        <v>#REF!</v>
      </c>
    </row>
    <row r="5" spans="1:35" x14ac:dyDescent="0.75">
      <c r="A5" t="s">
        <v>6</v>
      </c>
      <c r="B5" t="e">
        <f>VLOOKUP(A3 &amp; " Cost",Param_Table,2,FALSE)</f>
        <v>#REF!</v>
      </c>
      <c r="J5" t="s">
        <v>6</v>
      </c>
      <c r="K5" t="e">
        <f>VLOOKUP(J3 &amp; " Cost",Param_Table,2,FALSE)</f>
        <v>#REF!</v>
      </c>
      <c r="L5" s="3"/>
      <c r="M5" s="3"/>
      <c r="N5" s="3"/>
      <c r="O5" s="3"/>
      <c r="P5" s="3"/>
      <c r="Q5" s="3"/>
      <c r="S5" t="s">
        <v>6</v>
      </c>
      <c r="T5" t="e">
        <f>VLOOKUP(S3 &amp; " Cost",Param_Table,2,FALSE)</f>
        <v>#REF!</v>
      </c>
      <c r="U5" s="3"/>
      <c r="V5" s="3"/>
      <c r="W5" s="3"/>
      <c r="X5" s="3"/>
      <c r="Y5" s="3"/>
      <c r="Z5" s="3"/>
      <c r="AB5" t="s">
        <v>6</v>
      </c>
      <c r="AC5" t="e">
        <f>VLOOKUP(AB3 &amp; " Cost",Param_Table,2,FALSE)</f>
        <v>#REF!</v>
      </c>
      <c r="AD5" s="3"/>
      <c r="AE5" s="3"/>
      <c r="AF5" s="3"/>
      <c r="AG5" s="3"/>
      <c r="AH5" s="3"/>
      <c r="AI5" s="3"/>
    </row>
    <row r="6" spans="1:35" x14ac:dyDescent="0.75">
      <c r="A6" t="s">
        <v>8</v>
      </c>
      <c r="B6" t="s">
        <v>29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J6" t="s">
        <v>8</v>
      </c>
      <c r="K6" t="s">
        <v>29</v>
      </c>
      <c r="L6" s="3" t="e">
        <f t="shared" ref="L6:Q6" si="1">VALUE(VLOOKUP(L$7,NRG_Table,2,FALSE))</f>
        <v>#REF!</v>
      </c>
      <c r="M6" s="3" t="e">
        <f t="shared" si="1"/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S6" t="s">
        <v>8</v>
      </c>
      <c r="T6" t="s">
        <v>29</v>
      </c>
      <c r="U6" s="3" t="e">
        <f t="shared" ref="U6:Z6" si="2">VALUE(VLOOKUP(U$7,NRG_Table,2,FALSE))</f>
        <v>#REF!</v>
      </c>
      <c r="V6" s="3" t="e">
        <f t="shared" si="2"/>
        <v>#REF!</v>
      </c>
      <c r="W6" s="3" t="e">
        <f t="shared" si="2"/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B6" t="s">
        <v>8</v>
      </c>
      <c r="AC6" t="s">
        <v>29</v>
      </c>
      <c r="AD6" s="3" t="e">
        <f t="shared" ref="AD6:AI6" si="3">VALUE(VLOOKUP(AD$7,NRG_Table,2,FALSE))</f>
        <v>#REF!</v>
      </c>
      <c r="AE6" s="3" t="e">
        <f t="shared" si="3"/>
        <v>#REF!</v>
      </c>
      <c r="AF6" s="3" t="e">
        <f t="shared" si="3"/>
        <v>#REF!</v>
      </c>
      <c r="AG6" s="3" t="e">
        <f t="shared" si="3"/>
        <v>#REF!</v>
      </c>
      <c r="AH6" s="3" t="e">
        <f t="shared" si="3"/>
        <v>#REF!</v>
      </c>
      <c r="AI6" s="3" t="e">
        <f t="shared" si="3"/>
        <v>#REF!</v>
      </c>
    </row>
    <row r="7" spans="1:35" x14ac:dyDescent="0.75">
      <c r="A7">
        <v>2023</v>
      </c>
      <c r="B7">
        <v>-1</v>
      </c>
      <c r="C7" s="10" t="s">
        <v>0</v>
      </c>
      <c r="D7" s="10" t="s">
        <v>1</v>
      </c>
      <c r="E7" s="10" t="s">
        <v>2</v>
      </c>
      <c r="F7" s="10" t="s">
        <v>3</v>
      </c>
      <c r="G7" s="10" t="s">
        <v>4</v>
      </c>
      <c r="H7" s="10" t="s">
        <v>9</v>
      </c>
      <c r="J7">
        <v>2023</v>
      </c>
      <c r="K7">
        <v>-1</v>
      </c>
      <c r="L7" s="10" t="s">
        <v>0</v>
      </c>
      <c r="M7" s="10" t="s">
        <v>1</v>
      </c>
      <c r="N7" s="10" t="s">
        <v>2</v>
      </c>
      <c r="O7" s="10" t="s">
        <v>3</v>
      </c>
      <c r="P7" s="10" t="s">
        <v>4</v>
      </c>
      <c r="Q7" s="10" t="s">
        <v>9</v>
      </c>
      <c r="S7">
        <v>2023</v>
      </c>
      <c r="T7">
        <v>-1</v>
      </c>
      <c r="U7" s="10" t="s">
        <v>0</v>
      </c>
      <c r="V7" s="10" t="s">
        <v>1</v>
      </c>
      <c r="W7" s="10" t="s">
        <v>2</v>
      </c>
      <c r="X7" s="10" t="s">
        <v>3</v>
      </c>
      <c r="Y7" s="10" t="s">
        <v>4</v>
      </c>
      <c r="Z7" s="10" t="s">
        <v>9</v>
      </c>
      <c r="AB7">
        <v>2023</v>
      </c>
      <c r="AC7">
        <v>-1</v>
      </c>
      <c r="AD7" s="10" t="s">
        <v>0</v>
      </c>
      <c r="AE7" s="10" t="s">
        <v>1</v>
      </c>
      <c r="AF7" s="10" t="s">
        <v>2</v>
      </c>
      <c r="AG7" s="10" t="s">
        <v>3</v>
      </c>
      <c r="AH7" s="10" t="s">
        <v>4</v>
      </c>
      <c r="AI7" s="10" t="s">
        <v>9</v>
      </c>
    </row>
    <row r="8" spans="1:35" x14ac:dyDescent="0.75">
      <c r="A8">
        <f>A7+1</f>
        <v>2024</v>
      </c>
      <c r="B8">
        <f>B7+1</f>
        <v>0</v>
      </c>
      <c r="C8" s="9" t="e" cm="1">
        <f t="array" aca="1" ref="C8" ca="1">$B$4 *
INDIRECT("Comp_Graph!Include_" &amp; $A$3)*INDIRECT("Comp_Graph!Include_" &amp; C$7)*
OFFSET(INDIRECT(Region_Abbr_Comp &amp; "!A1"), $B$5 + C$6,$B8+1)</f>
        <v>#REF!</v>
      </c>
      <c r="D8" s="9" t="e" cm="1">
        <f t="array" aca="1" ref="D8" ca="1">$B$4 *
INDIRECT("Comp_Graph!Include_" &amp; $A$3)*INDIRECT("Comp_Graph!Include_" &amp; D$7)*
OFFSET(INDIRECT(Region_Abbr_Comp &amp; "!A1"), $B$5 + D$6,$B8+1)</f>
        <v>#REF!</v>
      </c>
      <c r="E8" s="9" t="e" cm="1">
        <f t="array" aca="1" ref="E8" ca="1">$B$4 *
INDIRECT("Comp_Graph!Include_" &amp; $A$3)*INDIRECT("Comp_Graph!Include_" &amp; E$7)*
OFFSET(INDIRECT(Region_Abbr_Comp &amp; "!A1"), $B$5 + E$6,$B8+1)</f>
        <v>#REF!</v>
      </c>
      <c r="F8" s="9" t="e" cm="1">
        <f t="array" aca="1" ref="F8" ca="1">$B$4 *
INDIRECT("Comp_Graph!Include_" &amp; $A$3)*INDIRECT("Comp_Graph!Include_" &amp; F$7)*
OFFSET(INDIRECT(Region_Abbr_Comp &amp; "!A1"), $B$5 + F$6,$B8+1)</f>
        <v>#REF!</v>
      </c>
      <c r="G8" s="9" t="e" cm="1">
        <f t="array" aca="1" ref="G8" ca="1">$B$4 *
INDIRECT("Comp_Graph!Include_" &amp; $A$3)*INDIRECT("Comp_Graph!Include_" &amp; G$7)*
OFFSET(INDIRECT(Region_Abbr_Comp &amp; "!A1"), $B$5 + G$6,$B8+1)</f>
        <v>#REF!</v>
      </c>
      <c r="H8" s="9" t="e" cm="1">
        <f t="array" aca="1" ref="H8" ca="1">$B$4 *
INDIRECT("Comp_Graph!Include_" &amp; $A$3)*INDIRECT("Comp_Graph!Include_" &amp; H$7)*
OFFSET(INDIRECT(Region_Abbr_Comp &amp; "!A1"), $B$5 + H$6,$B8+1)</f>
        <v>#REF!</v>
      </c>
      <c r="J8">
        <f>J7+1</f>
        <v>2024</v>
      </c>
      <c r="K8">
        <f>K7+1</f>
        <v>0</v>
      </c>
      <c r="L8" s="9" t="e" cm="1">
        <f t="array" aca="1" ref="L8" ca="1">$K$4 *
INDIRECT("Comp_Graph!Include_" &amp; $J$3)*INDIRECT("Comp_Graph!Include_" &amp; L$7)*
OFFSET(INDIRECT(Region_Abbr_Comp &amp; "!A1"), $K$5 + L$6,$K8+1)</f>
        <v>#REF!</v>
      </c>
      <c r="M8" s="9" t="e" cm="1">
        <f t="array" aca="1" ref="M8" ca="1">$K$4 *
INDIRECT("Comp_Graph!Include_" &amp; $J$3)*INDIRECT("Comp_Graph!Include_" &amp; M$7)*
OFFSET(INDIRECT(Region_Abbr_Comp &amp; "!A1"), $K$5 + M$6,$K8+1)</f>
        <v>#REF!</v>
      </c>
      <c r="N8" s="9" t="e" cm="1">
        <f t="array" aca="1" ref="N8" ca="1">$K$4 *
INDIRECT("Comp_Graph!Include_" &amp; $J$3)*INDIRECT("Comp_Graph!Include_" &amp; N$7)*
OFFSET(INDIRECT(Region_Abbr_Comp &amp; "!A1"), $K$5 + N$6,$K8+1)</f>
        <v>#REF!</v>
      </c>
      <c r="O8" s="9" t="e" cm="1">
        <f t="array" aca="1" ref="O8" ca="1">$K$4 *
INDIRECT("Comp_Graph!Include_" &amp; $J$3)*INDIRECT("Comp_Graph!Include_" &amp; O$7)*
OFFSET(INDIRECT(Region_Abbr_Comp &amp; "!A1"), $K$5 + O$6,$K8+1)</f>
        <v>#REF!</v>
      </c>
      <c r="P8" s="9" t="e" cm="1">
        <f t="array" aca="1" ref="P8" ca="1">$K$4 *
INDIRECT("Comp_Graph!Include_" &amp; $J$3)*INDIRECT("Comp_Graph!Include_" &amp; P$7)*
OFFSET(INDIRECT(Region_Abbr_Comp &amp; "!A1"), $K$5 + P$6,$K8+1)</f>
        <v>#REF!</v>
      </c>
      <c r="Q8" s="9" t="e" cm="1">
        <f t="array" aca="1" ref="Q8" ca="1">$K$4 *
INDIRECT("Comp_Graph!Include_" &amp; $J$3)*INDIRECT("Comp_Graph!Include_" &amp; Q$7)*
OFFSET(INDIRECT(Region_Abbr_Comp &amp; "!A1"), $K$5 + Q$6,$K8+1)</f>
        <v>#REF!</v>
      </c>
      <c r="S8">
        <f>S7+1</f>
        <v>2024</v>
      </c>
      <c r="T8">
        <f>T7+1</f>
        <v>0</v>
      </c>
      <c r="U8" s="9" t="e" cm="1">
        <f t="array" aca="1" ref="U8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U$6,$T8+1)</f>
        <v>#REF!</v>
      </c>
      <c r="V8" s="9" t="e" cm="1">
        <f t="array" aca="1" ref="V8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V$6,$T8+1)</f>
        <v>#REF!</v>
      </c>
      <c r="W8" s="9" t="e" cm="1">
        <f t="array" aca="1" ref="W8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W$6,$T8+1)</f>
        <v>#REF!</v>
      </c>
      <c r="X8" s="9" t="e" cm="1">
        <f t="array" aca="1" ref="X8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X$6,$T8+1)</f>
        <v>#REF!</v>
      </c>
      <c r="Y8" s="9" t="e" cm="1">
        <f t="array" aca="1" ref="Y8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Y$6,$T8+1)</f>
        <v>#REF!</v>
      </c>
      <c r="Z8" s="9" t="e" cm="1">
        <f t="array" aca="1" ref="Z8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Z$6,$T8+1)</f>
        <v>#REF!</v>
      </c>
      <c r="AB8">
        <f>AB7+1</f>
        <v>2024</v>
      </c>
      <c r="AC8">
        <f>AC7+1</f>
        <v>0</v>
      </c>
      <c r="AD8" s="9" t="e" cm="1">
        <f t="array" aca="1" ref="AD8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AD$6,$AC8+1)</f>
        <v>#REF!</v>
      </c>
      <c r="AE8" s="9" t="e" cm="1">
        <f t="array" aca="1" ref="AE8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AE$6,$AC8+1)</f>
        <v>#REF!</v>
      </c>
      <c r="AF8" s="9" t="e" cm="1">
        <f t="array" aca="1" ref="AF8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AF$6,$AC8+1)</f>
        <v>#REF!</v>
      </c>
      <c r="AG8" s="9" t="e" cm="1">
        <f t="array" aca="1" ref="AG8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AG$6,$AC8+1)</f>
        <v>#REF!</v>
      </c>
      <c r="AH8" s="9" t="e" cm="1">
        <f t="array" aca="1" ref="AH8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AH$6,$AC8+1)</f>
        <v>#REF!</v>
      </c>
      <c r="AI8" s="9" t="e" cm="1">
        <f t="array" aca="1" ref="AI8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AI$6,$AC8+1)</f>
        <v>#REF!</v>
      </c>
    </row>
    <row r="9" spans="1:35" x14ac:dyDescent="0.75">
      <c r="A9">
        <f t="shared" ref="A9:B24" si="4">A8+1</f>
        <v>2025</v>
      </c>
      <c r="B9">
        <f t="shared" si="4"/>
        <v>1</v>
      </c>
      <c r="C9" s="9" t="e" cm="1">
        <f t="array" aca="1" ref="C9" ca="1">$B$4 *
INDIRECT("Comp_Graph!Include_" &amp; $A$3)*INDIRECT("Comp_Graph!Include_" &amp; C$7)*
OFFSET(INDIRECT(Region_Abbr_Comp &amp; "!A1"), $B$5 + C$6,$B9+1)</f>
        <v>#REF!</v>
      </c>
      <c r="D9" s="9" t="e" cm="1">
        <f t="array" aca="1" ref="D9" ca="1">$B$4 *
INDIRECT("Comp_Graph!Include_" &amp; $A$3)*INDIRECT("Comp_Graph!Include_" &amp; D$7)*
OFFSET(INDIRECT(Region_Abbr_Comp &amp; "!A1"), $B$5 + D$6,$B9+1)</f>
        <v>#REF!</v>
      </c>
      <c r="E9" s="9" t="e" cm="1">
        <f t="array" aca="1" ref="E9" ca="1">$B$4 *
INDIRECT("Comp_Graph!Include_" &amp; $A$3)*INDIRECT("Comp_Graph!Include_" &amp; E$7)*
OFFSET(INDIRECT(Region_Abbr_Comp &amp; "!A1"), $B$5 + E$6,$B9+1)</f>
        <v>#REF!</v>
      </c>
      <c r="F9" s="9" t="e" cm="1">
        <f t="array" aca="1" ref="F9" ca="1">$B$4 *
INDIRECT("Comp_Graph!Include_" &amp; $A$3)*INDIRECT("Comp_Graph!Include_" &amp; F$7)*
OFFSET(INDIRECT(Region_Abbr_Comp &amp; "!A1"), $B$5 + F$6,$B9+1)</f>
        <v>#REF!</v>
      </c>
      <c r="G9" s="9" t="e" cm="1">
        <f t="array" aca="1" ref="G9" ca="1">$B$4 *
INDIRECT("Comp_Graph!Include_" &amp; $A$3)*INDIRECT("Comp_Graph!Include_" &amp; G$7)*
OFFSET(INDIRECT(Region_Abbr_Comp &amp; "!A1"), $B$5 + G$6,$B9+1)</f>
        <v>#REF!</v>
      </c>
      <c r="H9" s="9" t="e" cm="1">
        <f t="array" aca="1" ref="H9" ca="1">$B$4 *
INDIRECT("Comp_Graph!Include_" &amp; $A$3)*INDIRECT("Comp_Graph!Include_" &amp; H$7)*
OFFSET(INDIRECT(Region_Abbr_Comp &amp; "!A1"), $B$5 + H$6,$B9+1)</f>
        <v>#REF!</v>
      </c>
      <c r="J9">
        <f t="shared" ref="J9:K24" si="5">J8+1</f>
        <v>2025</v>
      </c>
      <c r="K9">
        <f t="shared" si="5"/>
        <v>1</v>
      </c>
      <c r="L9" s="9" t="e" cm="1">
        <f t="array" aca="1" ref="L9" ca="1">$K$4 *
INDIRECT("Comp_Graph!Include_" &amp; $J$3)*INDIRECT("Comp_Graph!Include_" &amp; L$7)*
OFFSET(INDIRECT(Region_Abbr_Comp &amp; "!A1"), $K$5 + L$6,$K9+1)</f>
        <v>#REF!</v>
      </c>
      <c r="M9" s="9" t="e" cm="1">
        <f t="array" aca="1" ref="M9" ca="1">$K$4 *
INDIRECT("Comp_Graph!Include_" &amp; $J$3)*INDIRECT("Comp_Graph!Include_" &amp; M$7)*
OFFSET(INDIRECT(Region_Abbr_Comp &amp; "!A1"), $K$5 + M$6,$K9+1)</f>
        <v>#REF!</v>
      </c>
      <c r="N9" s="9" t="e" cm="1">
        <f t="array" aca="1" ref="N9" ca="1">$K$4 *
INDIRECT("Comp_Graph!Include_" &amp; $J$3)*INDIRECT("Comp_Graph!Include_" &amp; N$7)*
OFFSET(INDIRECT(Region_Abbr_Comp &amp; "!A1"), $K$5 + N$6,$K9+1)</f>
        <v>#REF!</v>
      </c>
      <c r="O9" s="9" t="e" cm="1">
        <f t="array" aca="1" ref="O9" ca="1">$K$4 *
INDIRECT("Comp_Graph!Include_" &amp; $J$3)*INDIRECT("Comp_Graph!Include_" &amp; O$7)*
OFFSET(INDIRECT(Region_Abbr_Comp &amp; "!A1"), $K$5 + O$6,$K9+1)</f>
        <v>#REF!</v>
      </c>
      <c r="P9" s="9" t="e" cm="1">
        <f t="array" aca="1" ref="P9" ca="1">$K$4 *
INDIRECT("Comp_Graph!Include_" &amp; $J$3)*INDIRECT("Comp_Graph!Include_" &amp; P$7)*
OFFSET(INDIRECT(Region_Abbr_Comp &amp; "!A1"), $K$5 + P$6,$K9+1)</f>
        <v>#REF!</v>
      </c>
      <c r="Q9" s="9" t="e" cm="1">
        <f t="array" aca="1" ref="Q9" ca="1">$K$4 *
INDIRECT("Comp_Graph!Include_" &amp; $J$3)*INDIRECT("Comp_Graph!Include_" &amp; Q$7)*
OFFSET(INDIRECT(Region_Abbr_Comp &amp; "!A1"), $K$5 + Q$6,$K9+1)</f>
        <v>#REF!</v>
      </c>
      <c r="S9">
        <f t="shared" ref="S9:T24" si="6">S8+1</f>
        <v>2025</v>
      </c>
      <c r="T9">
        <f t="shared" si="6"/>
        <v>1</v>
      </c>
      <c r="U9" s="9" t="e" cm="1">
        <f t="array" aca="1" ref="U9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U$6,$T9+1)</f>
        <v>#REF!</v>
      </c>
      <c r="V9" s="9" t="e" cm="1">
        <f t="array" aca="1" ref="V9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V$6,$T9+1)</f>
        <v>#REF!</v>
      </c>
      <c r="W9" s="9" t="e" cm="1">
        <f t="array" aca="1" ref="W9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W$6,$T9+1)</f>
        <v>#REF!</v>
      </c>
      <c r="X9" s="9" t="e" cm="1">
        <f t="array" aca="1" ref="X9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X$6,$T9+1)</f>
        <v>#REF!</v>
      </c>
      <c r="Y9" s="9" t="e" cm="1">
        <f t="array" aca="1" ref="Y9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Y$6,$T9+1)</f>
        <v>#REF!</v>
      </c>
      <c r="Z9" s="9" t="e" cm="1">
        <f t="array" aca="1" ref="Z9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Z$6,$T9+1)</f>
        <v>#REF!</v>
      </c>
      <c r="AB9">
        <f t="shared" ref="AB9:AC24" si="7">AB8+1</f>
        <v>2025</v>
      </c>
      <c r="AC9">
        <f t="shared" si="7"/>
        <v>1</v>
      </c>
      <c r="AD9" s="9" t="e" cm="1">
        <f t="array" aca="1" ref="AD9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AD$6,$AC9+1)</f>
        <v>#REF!</v>
      </c>
      <c r="AE9" s="9" t="e" cm="1">
        <f t="array" aca="1" ref="AE9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AE$6,$AC9+1)</f>
        <v>#REF!</v>
      </c>
      <c r="AF9" s="9" t="e" cm="1">
        <f t="array" aca="1" ref="AF9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AF$6,$AC9+1)</f>
        <v>#REF!</v>
      </c>
      <c r="AG9" s="9" t="e" cm="1">
        <f t="array" aca="1" ref="AG9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AG$6,$AC9+1)</f>
        <v>#REF!</v>
      </c>
      <c r="AH9" s="9" t="e" cm="1">
        <f t="array" aca="1" ref="AH9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AH$6,$AC9+1)</f>
        <v>#REF!</v>
      </c>
      <c r="AI9" s="9" t="e" cm="1">
        <f t="array" aca="1" ref="AI9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AI$6,$AC9+1)</f>
        <v>#REF!</v>
      </c>
    </row>
    <row r="10" spans="1:35" x14ac:dyDescent="0.75">
      <c r="A10">
        <f t="shared" si="4"/>
        <v>2026</v>
      </c>
      <c r="B10">
        <f t="shared" si="4"/>
        <v>2</v>
      </c>
      <c r="C10" s="9" t="e" cm="1">
        <f t="array" aca="1" ref="C10" ca="1">$B$4 *
INDIRECT("Comp_Graph!Include_" &amp; $A$3)*INDIRECT("Comp_Graph!Include_" &amp; C$7)*
OFFSET(INDIRECT(Region_Abbr_Comp &amp; "!A1"), $B$5 + C$6,$B10+1)</f>
        <v>#REF!</v>
      </c>
      <c r="D10" s="9" t="e" cm="1">
        <f t="array" aca="1" ref="D10" ca="1">$B$4 *
INDIRECT("Comp_Graph!Include_" &amp; $A$3)*INDIRECT("Comp_Graph!Include_" &amp; D$7)*
OFFSET(INDIRECT(Region_Abbr_Comp &amp; "!A1"), $B$5 + D$6,$B10+1)</f>
        <v>#REF!</v>
      </c>
      <c r="E10" s="9" t="e" cm="1">
        <f t="array" aca="1" ref="E10" ca="1">$B$4 *
INDIRECT("Comp_Graph!Include_" &amp; $A$3)*INDIRECT("Comp_Graph!Include_" &amp; E$7)*
OFFSET(INDIRECT(Region_Abbr_Comp &amp; "!A1"), $B$5 + E$6,$B10+1)</f>
        <v>#REF!</v>
      </c>
      <c r="F10" s="9" t="e" cm="1">
        <f t="array" aca="1" ref="F10" ca="1">$B$4 *
INDIRECT("Comp_Graph!Include_" &amp; $A$3)*INDIRECT("Comp_Graph!Include_" &amp; F$7)*
OFFSET(INDIRECT(Region_Abbr_Comp &amp; "!A1"), $B$5 + F$6,$B10+1)</f>
        <v>#REF!</v>
      </c>
      <c r="G10" s="9" t="e" cm="1">
        <f t="array" aca="1" ref="G10" ca="1">$B$4 *
INDIRECT("Comp_Graph!Include_" &amp; $A$3)*INDIRECT("Comp_Graph!Include_" &amp; G$7)*
OFFSET(INDIRECT(Region_Abbr_Comp &amp; "!A1"), $B$5 + G$6,$B10+1)</f>
        <v>#REF!</v>
      </c>
      <c r="H10" s="9" t="e" cm="1">
        <f t="array" aca="1" ref="H10" ca="1">$B$4 *
INDIRECT("Comp_Graph!Include_" &amp; $A$3)*INDIRECT("Comp_Graph!Include_" &amp; H$7)*
OFFSET(INDIRECT(Region_Abbr_Comp &amp; "!A1"), $B$5 + H$6,$B10+1)</f>
        <v>#REF!</v>
      </c>
      <c r="J10">
        <f t="shared" si="5"/>
        <v>2026</v>
      </c>
      <c r="K10">
        <f t="shared" si="5"/>
        <v>2</v>
      </c>
      <c r="L10" s="9" t="e" cm="1">
        <f t="array" aca="1" ref="L10" ca="1">$K$4 *
INDIRECT("Comp_Graph!Include_" &amp; $J$3)*INDIRECT("Comp_Graph!Include_" &amp; L$7)*
OFFSET(INDIRECT(Region_Abbr_Comp &amp; "!A1"), $K$5 + L$6,$K10+1)</f>
        <v>#REF!</v>
      </c>
      <c r="M10" s="9" t="e" cm="1">
        <f t="array" aca="1" ref="M10" ca="1">$K$4 *
INDIRECT("Comp_Graph!Include_" &amp; $J$3)*INDIRECT("Comp_Graph!Include_" &amp; M$7)*
OFFSET(INDIRECT(Region_Abbr_Comp &amp; "!A1"), $K$5 + M$6,$K10+1)</f>
        <v>#REF!</v>
      </c>
      <c r="N10" s="9" t="e" cm="1">
        <f t="array" aca="1" ref="N10" ca="1">$K$4 *
INDIRECT("Comp_Graph!Include_" &amp; $J$3)*INDIRECT("Comp_Graph!Include_" &amp; N$7)*
OFFSET(INDIRECT(Region_Abbr_Comp &amp; "!A1"), $K$5 + N$6,$K10+1)</f>
        <v>#REF!</v>
      </c>
      <c r="O10" s="9" t="e" cm="1">
        <f t="array" aca="1" ref="O10" ca="1">$K$4 *
INDIRECT("Comp_Graph!Include_" &amp; $J$3)*INDIRECT("Comp_Graph!Include_" &amp; O$7)*
OFFSET(INDIRECT(Region_Abbr_Comp &amp; "!A1"), $K$5 + O$6,$K10+1)</f>
        <v>#REF!</v>
      </c>
      <c r="P10" s="9" t="e" cm="1">
        <f t="array" aca="1" ref="P10" ca="1">$K$4 *
INDIRECT("Comp_Graph!Include_" &amp; $J$3)*INDIRECT("Comp_Graph!Include_" &amp; P$7)*
OFFSET(INDIRECT(Region_Abbr_Comp &amp; "!A1"), $K$5 + P$6,$K10+1)</f>
        <v>#REF!</v>
      </c>
      <c r="Q10" s="9" t="e" cm="1">
        <f t="array" aca="1" ref="Q10" ca="1">$K$4 *
INDIRECT("Comp_Graph!Include_" &amp; $J$3)*INDIRECT("Comp_Graph!Include_" &amp; Q$7)*
OFFSET(INDIRECT(Region_Abbr_Comp &amp; "!A1"), $K$5 + Q$6,$K10+1)</f>
        <v>#REF!</v>
      </c>
      <c r="S10">
        <f t="shared" si="6"/>
        <v>2026</v>
      </c>
      <c r="T10">
        <f t="shared" si="6"/>
        <v>2</v>
      </c>
      <c r="U10" s="9" t="e" cm="1">
        <f t="array" aca="1" ref="U10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U$6,$T10+1)</f>
        <v>#REF!</v>
      </c>
      <c r="V10" s="9" t="e" cm="1">
        <f t="array" aca="1" ref="V10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V$6,$T10+1)</f>
        <v>#REF!</v>
      </c>
      <c r="W10" s="9" t="e" cm="1">
        <f t="array" aca="1" ref="W10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W$6,$T10+1)</f>
        <v>#REF!</v>
      </c>
      <c r="X10" s="9" t="e" cm="1">
        <f t="array" aca="1" ref="X10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X$6,$T10+1)</f>
        <v>#REF!</v>
      </c>
      <c r="Y10" s="9" t="e" cm="1">
        <f t="array" aca="1" ref="Y10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Y$6,$T10+1)</f>
        <v>#REF!</v>
      </c>
      <c r="Z10" s="9" t="e" cm="1">
        <f t="array" aca="1" ref="Z10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Z$6,$T10+1)</f>
        <v>#REF!</v>
      </c>
      <c r="AB10">
        <f t="shared" si="7"/>
        <v>2026</v>
      </c>
      <c r="AC10">
        <f t="shared" si="7"/>
        <v>2</v>
      </c>
      <c r="AD10" s="9" t="e" cm="1">
        <f t="array" aca="1" ref="AD10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AD$6,$AC10+1)</f>
        <v>#REF!</v>
      </c>
      <c r="AE10" s="9" t="e" cm="1">
        <f t="array" aca="1" ref="AE10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AE$6,$AC10+1)</f>
        <v>#REF!</v>
      </c>
      <c r="AF10" s="9" t="e" cm="1">
        <f t="array" aca="1" ref="AF10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AF$6,$AC10+1)</f>
        <v>#REF!</v>
      </c>
      <c r="AG10" s="9" t="e" cm="1">
        <f t="array" aca="1" ref="AG10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AG$6,$AC10+1)</f>
        <v>#REF!</v>
      </c>
      <c r="AH10" s="9" t="e" cm="1">
        <f t="array" aca="1" ref="AH10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AH$6,$AC10+1)</f>
        <v>#REF!</v>
      </c>
      <c r="AI10" s="9" t="e" cm="1">
        <f t="array" aca="1" ref="AI10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AI$6,$AC10+1)</f>
        <v>#REF!</v>
      </c>
    </row>
    <row r="11" spans="1:35" x14ac:dyDescent="0.75">
      <c r="A11">
        <f t="shared" si="4"/>
        <v>2027</v>
      </c>
      <c r="B11">
        <f t="shared" si="4"/>
        <v>3</v>
      </c>
      <c r="C11" s="9" t="e" cm="1">
        <f t="array" aca="1" ref="C11" ca="1">$B$4 *
INDIRECT("Comp_Graph!Include_" &amp; $A$3)*INDIRECT("Comp_Graph!Include_" &amp; C$7)*
OFFSET(INDIRECT(Region_Abbr_Comp &amp; "!A1"), $B$5 + C$6,$B11+1)</f>
        <v>#REF!</v>
      </c>
      <c r="D11" s="9" t="e" cm="1">
        <f t="array" aca="1" ref="D11" ca="1">$B$4 *
INDIRECT("Comp_Graph!Include_" &amp; $A$3)*INDIRECT("Comp_Graph!Include_" &amp; D$7)*
OFFSET(INDIRECT(Region_Abbr_Comp &amp; "!A1"), $B$5 + D$6,$B11+1)</f>
        <v>#REF!</v>
      </c>
      <c r="E11" s="9" t="e" cm="1">
        <f t="array" aca="1" ref="E11" ca="1">$B$4 *
INDIRECT("Comp_Graph!Include_" &amp; $A$3)*INDIRECT("Comp_Graph!Include_" &amp; E$7)*
OFFSET(INDIRECT(Region_Abbr_Comp &amp; "!A1"), $B$5 + E$6,$B11+1)</f>
        <v>#REF!</v>
      </c>
      <c r="F11" s="9" t="e" cm="1">
        <f t="array" aca="1" ref="F11" ca="1">$B$4 *
INDIRECT("Comp_Graph!Include_" &amp; $A$3)*INDIRECT("Comp_Graph!Include_" &amp; F$7)*
OFFSET(INDIRECT(Region_Abbr_Comp &amp; "!A1"), $B$5 + F$6,$B11+1)</f>
        <v>#REF!</v>
      </c>
      <c r="G11" s="9" t="e" cm="1">
        <f t="array" aca="1" ref="G11" ca="1">$B$4 *
INDIRECT("Comp_Graph!Include_" &amp; $A$3)*INDIRECT("Comp_Graph!Include_" &amp; G$7)*
OFFSET(INDIRECT(Region_Abbr_Comp &amp; "!A1"), $B$5 + G$6,$B11+1)</f>
        <v>#REF!</v>
      </c>
      <c r="H11" s="9" t="e" cm="1">
        <f t="array" aca="1" ref="H11" ca="1">$B$4 *
INDIRECT("Comp_Graph!Include_" &amp; $A$3)*INDIRECT("Comp_Graph!Include_" &amp; H$7)*
OFFSET(INDIRECT(Region_Abbr_Comp &amp; "!A1"), $B$5 + H$6,$B11+1)</f>
        <v>#REF!</v>
      </c>
      <c r="J11">
        <f t="shared" si="5"/>
        <v>2027</v>
      </c>
      <c r="K11">
        <f t="shared" si="5"/>
        <v>3</v>
      </c>
      <c r="L11" s="9" t="e" cm="1">
        <f t="array" aca="1" ref="L11" ca="1">$K$4 *
INDIRECT("Comp_Graph!Include_" &amp; $J$3)*INDIRECT("Comp_Graph!Include_" &amp; L$7)*
OFFSET(INDIRECT(Region_Abbr_Comp &amp; "!A1"), $K$5 + L$6,$K11+1)</f>
        <v>#REF!</v>
      </c>
      <c r="M11" s="9" t="e" cm="1">
        <f t="array" aca="1" ref="M11" ca="1">$K$4 *
INDIRECT("Comp_Graph!Include_" &amp; $J$3)*INDIRECT("Comp_Graph!Include_" &amp; M$7)*
OFFSET(INDIRECT(Region_Abbr_Comp &amp; "!A1"), $K$5 + M$6,$K11+1)</f>
        <v>#REF!</v>
      </c>
      <c r="N11" s="9" t="e" cm="1">
        <f t="array" aca="1" ref="N11" ca="1">$K$4 *
INDIRECT("Comp_Graph!Include_" &amp; $J$3)*INDIRECT("Comp_Graph!Include_" &amp; N$7)*
OFFSET(INDIRECT(Region_Abbr_Comp &amp; "!A1"), $K$5 + N$6,$K11+1)</f>
        <v>#REF!</v>
      </c>
      <c r="O11" s="9" t="e" cm="1">
        <f t="array" aca="1" ref="O11" ca="1">$K$4 *
INDIRECT("Comp_Graph!Include_" &amp; $J$3)*INDIRECT("Comp_Graph!Include_" &amp; O$7)*
OFFSET(INDIRECT(Region_Abbr_Comp &amp; "!A1"), $K$5 + O$6,$K11+1)</f>
        <v>#REF!</v>
      </c>
      <c r="P11" s="9" t="e" cm="1">
        <f t="array" aca="1" ref="P11" ca="1">$K$4 *
INDIRECT("Comp_Graph!Include_" &amp; $J$3)*INDIRECT("Comp_Graph!Include_" &amp; P$7)*
OFFSET(INDIRECT(Region_Abbr_Comp &amp; "!A1"), $K$5 + P$6,$K11+1)</f>
        <v>#REF!</v>
      </c>
      <c r="Q11" s="9" t="e" cm="1">
        <f t="array" aca="1" ref="Q11" ca="1">$K$4 *
INDIRECT("Comp_Graph!Include_" &amp; $J$3)*INDIRECT("Comp_Graph!Include_" &amp; Q$7)*
OFFSET(INDIRECT(Region_Abbr_Comp &amp; "!A1"), $K$5 + Q$6,$K11+1)</f>
        <v>#REF!</v>
      </c>
      <c r="S11">
        <f t="shared" si="6"/>
        <v>2027</v>
      </c>
      <c r="T11">
        <f t="shared" si="6"/>
        <v>3</v>
      </c>
      <c r="U11" s="9" t="e" cm="1">
        <f t="array" aca="1" ref="U11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U$6,$T11+1)</f>
        <v>#REF!</v>
      </c>
      <c r="V11" s="9" t="e" cm="1">
        <f t="array" aca="1" ref="V11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V$6,$T11+1)</f>
        <v>#REF!</v>
      </c>
      <c r="W11" s="9" t="e" cm="1">
        <f t="array" aca="1" ref="W11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W$6,$T11+1)</f>
        <v>#REF!</v>
      </c>
      <c r="X11" s="9" t="e" cm="1">
        <f t="array" aca="1" ref="X11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X$6,$T11+1)</f>
        <v>#REF!</v>
      </c>
      <c r="Y11" s="9" t="e" cm="1">
        <f t="array" aca="1" ref="Y11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Y$6,$T11+1)</f>
        <v>#REF!</v>
      </c>
      <c r="Z11" s="9" t="e" cm="1">
        <f t="array" aca="1" ref="Z11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Z$6,$T11+1)</f>
        <v>#REF!</v>
      </c>
      <c r="AB11">
        <f t="shared" si="7"/>
        <v>2027</v>
      </c>
      <c r="AC11">
        <f t="shared" si="7"/>
        <v>3</v>
      </c>
      <c r="AD11" s="9" t="e" cm="1">
        <f t="array" aca="1" ref="AD11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AD$6,$AC11+1)</f>
        <v>#REF!</v>
      </c>
      <c r="AE11" s="9" t="e" cm="1">
        <f t="array" aca="1" ref="AE11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AE$6,$AC11+1)</f>
        <v>#REF!</v>
      </c>
      <c r="AF11" s="9" t="e" cm="1">
        <f t="array" aca="1" ref="AF11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AF$6,$AC11+1)</f>
        <v>#REF!</v>
      </c>
      <c r="AG11" s="9" t="e" cm="1">
        <f t="array" aca="1" ref="AG11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AG$6,$AC11+1)</f>
        <v>#REF!</v>
      </c>
      <c r="AH11" s="9" t="e" cm="1">
        <f t="array" aca="1" ref="AH11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AH$6,$AC11+1)</f>
        <v>#REF!</v>
      </c>
      <c r="AI11" s="9" t="e" cm="1">
        <f t="array" aca="1" ref="AI11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AI$6,$AC11+1)</f>
        <v>#REF!</v>
      </c>
    </row>
    <row r="12" spans="1:35" x14ac:dyDescent="0.75">
      <c r="A12">
        <f t="shared" si="4"/>
        <v>2028</v>
      </c>
      <c r="B12">
        <f t="shared" si="4"/>
        <v>4</v>
      </c>
      <c r="C12" s="9" t="e" cm="1">
        <f t="array" aca="1" ref="C12" ca="1">$B$4 *
INDIRECT("Comp_Graph!Include_" &amp; $A$3)*INDIRECT("Comp_Graph!Include_" &amp; C$7)*
OFFSET(INDIRECT(Region_Abbr_Comp &amp; "!A1"), $B$5 + C$6,$B12+1)</f>
        <v>#REF!</v>
      </c>
      <c r="D12" s="9" t="e" cm="1">
        <f t="array" aca="1" ref="D12" ca="1">$B$4 *
INDIRECT("Comp_Graph!Include_" &amp; $A$3)*INDIRECT("Comp_Graph!Include_" &amp; D$7)*
OFFSET(INDIRECT(Region_Abbr_Comp &amp; "!A1"), $B$5 + D$6,$B12+1)</f>
        <v>#REF!</v>
      </c>
      <c r="E12" s="9" t="e" cm="1">
        <f t="array" aca="1" ref="E12" ca="1">$B$4 *
INDIRECT("Comp_Graph!Include_" &amp; $A$3)*INDIRECT("Comp_Graph!Include_" &amp; E$7)*
OFFSET(INDIRECT(Region_Abbr_Comp &amp; "!A1"), $B$5 + E$6,$B12+1)</f>
        <v>#REF!</v>
      </c>
      <c r="F12" s="9" t="e" cm="1">
        <f t="array" aca="1" ref="F12" ca="1">$B$4 *
INDIRECT("Comp_Graph!Include_" &amp; $A$3)*INDIRECT("Comp_Graph!Include_" &amp; F$7)*
OFFSET(INDIRECT(Region_Abbr_Comp &amp; "!A1"), $B$5 + F$6,$B12+1)</f>
        <v>#REF!</v>
      </c>
      <c r="G12" s="9" t="e" cm="1">
        <f t="array" aca="1" ref="G12" ca="1">$B$4 *
INDIRECT("Comp_Graph!Include_" &amp; $A$3)*INDIRECT("Comp_Graph!Include_" &amp; G$7)*
OFFSET(INDIRECT(Region_Abbr_Comp &amp; "!A1"), $B$5 + G$6,$B12+1)</f>
        <v>#REF!</v>
      </c>
      <c r="H12" s="9" t="e" cm="1">
        <f t="array" aca="1" ref="H12" ca="1">$B$4 *
INDIRECT("Comp_Graph!Include_" &amp; $A$3)*INDIRECT("Comp_Graph!Include_" &amp; H$7)*
OFFSET(INDIRECT(Region_Abbr_Comp &amp; "!A1"), $B$5 + H$6,$B12+1)</f>
        <v>#REF!</v>
      </c>
      <c r="J12">
        <f t="shared" si="5"/>
        <v>2028</v>
      </c>
      <c r="K12">
        <f t="shared" si="5"/>
        <v>4</v>
      </c>
      <c r="L12" s="9" t="e" cm="1">
        <f t="array" aca="1" ref="L12" ca="1">$K$4 *
INDIRECT("Comp_Graph!Include_" &amp; $J$3)*INDIRECT("Comp_Graph!Include_" &amp; L$7)*
OFFSET(INDIRECT(Region_Abbr_Comp &amp; "!A1"), $K$5 + L$6,$K12+1)</f>
        <v>#REF!</v>
      </c>
      <c r="M12" s="9" t="e" cm="1">
        <f t="array" aca="1" ref="M12" ca="1">$K$4 *
INDIRECT("Comp_Graph!Include_" &amp; $J$3)*INDIRECT("Comp_Graph!Include_" &amp; M$7)*
OFFSET(INDIRECT(Region_Abbr_Comp &amp; "!A1"), $K$5 + M$6,$K12+1)</f>
        <v>#REF!</v>
      </c>
      <c r="N12" s="9" t="e" cm="1">
        <f t="array" aca="1" ref="N12" ca="1">$K$4 *
INDIRECT("Comp_Graph!Include_" &amp; $J$3)*INDIRECT("Comp_Graph!Include_" &amp; N$7)*
OFFSET(INDIRECT(Region_Abbr_Comp &amp; "!A1"), $K$5 + N$6,$K12+1)</f>
        <v>#REF!</v>
      </c>
      <c r="O12" s="9" t="e" cm="1">
        <f t="array" aca="1" ref="O12" ca="1">$K$4 *
INDIRECT("Comp_Graph!Include_" &amp; $J$3)*INDIRECT("Comp_Graph!Include_" &amp; O$7)*
OFFSET(INDIRECT(Region_Abbr_Comp &amp; "!A1"), $K$5 + O$6,$K12+1)</f>
        <v>#REF!</v>
      </c>
      <c r="P12" s="9" t="e" cm="1">
        <f t="array" aca="1" ref="P12" ca="1">$K$4 *
INDIRECT("Comp_Graph!Include_" &amp; $J$3)*INDIRECT("Comp_Graph!Include_" &amp; P$7)*
OFFSET(INDIRECT(Region_Abbr_Comp &amp; "!A1"), $K$5 + P$6,$K12+1)</f>
        <v>#REF!</v>
      </c>
      <c r="Q12" s="9" t="e" cm="1">
        <f t="array" aca="1" ref="Q12" ca="1">$K$4 *
INDIRECT("Comp_Graph!Include_" &amp; $J$3)*INDIRECT("Comp_Graph!Include_" &amp; Q$7)*
OFFSET(INDIRECT(Region_Abbr_Comp &amp; "!A1"), $K$5 + Q$6,$K12+1)</f>
        <v>#REF!</v>
      </c>
      <c r="S12">
        <f t="shared" si="6"/>
        <v>2028</v>
      </c>
      <c r="T12">
        <f t="shared" si="6"/>
        <v>4</v>
      </c>
      <c r="U12" s="9" t="e" cm="1">
        <f t="array" aca="1" ref="U12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U$6,$T12+1)</f>
        <v>#REF!</v>
      </c>
      <c r="V12" s="9" t="e" cm="1">
        <f t="array" aca="1" ref="V12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V$6,$T12+1)</f>
        <v>#REF!</v>
      </c>
      <c r="W12" s="9" t="e" cm="1">
        <f t="array" aca="1" ref="W12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W$6,$T12+1)</f>
        <v>#REF!</v>
      </c>
      <c r="X12" s="9" t="e" cm="1">
        <f t="array" aca="1" ref="X12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X$6,$T12+1)</f>
        <v>#REF!</v>
      </c>
      <c r="Y12" s="9" t="e" cm="1">
        <f t="array" aca="1" ref="Y12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Y$6,$T12+1)</f>
        <v>#REF!</v>
      </c>
      <c r="Z12" s="9" t="e" cm="1">
        <f t="array" aca="1" ref="Z12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Z$6,$T12+1)</f>
        <v>#REF!</v>
      </c>
      <c r="AB12">
        <f t="shared" si="7"/>
        <v>2028</v>
      </c>
      <c r="AC12">
        <f t="shared" si="7"/>
        <v>4</v>
      </c>
      <c r="AD12" s="9" t="e" cm="1">
        <f t="array" aca="1" ref="AD12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AD$6,$AC12+1)</f>
        <v>#REF!</v>
      </c>
      <c r="AE12" s="9" t="e" cm="1">
        <f t="array" aca="1" ref="AE12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AE$6,$AC12+1)</f>
        <v>#REF!</v>
      </c>
      <c r="AF12" s="9" t="e" cm="1">
        <f t="array" aca="1" ref="AF12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AF$6,$AC12+1)</f>
        <v>#REF!</v>
      </c>
      <c r="AG12" s="9" t="e" cm="1">
        <f t="array" aca="1" ref="AG12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AG$6,$AC12+1)</f>
        <v>#REF!</v>
      </c>
      <c r="AH12" s="9" t="e" cm="1">
        <f t="array" aca="1" ref="AH12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AH$6,$AC12+1)</f>
        <v>#REF!</v>
      </c>
      <c r="AI12" s="9" t="e" cm="1">
        <f t="array" aca="1" ref="AI12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AI$6,$AC12+1)</f>
        <v>#REF!</v>
      </c>
    </row>
    <row r="13" spans="1:35" x14ac:dyDescent="0.75">
      <c r="A13">
        <f t="shared" si="4"/>
        <v>2029</v>
      </c>
      <c r="B13">
        <f t="shared" si="4"/>
        <v>5</v>
      </c>
      <c r="C13" s="9" t="e" cm="1">
        <f t="array" aca="1" ref="C13" ca="1">$B$4 *
INDIRECT("Comp_Graph!Include_" &amp; $A$3)*INDIRECT("Comp_Graph!Include_" &amp; C$7)*
OFFSET(INDIRECT(Region_Abbr_Comp &amp; "!A1"), $B$5 + C$6,$B13+1)</f>
        <v>#REF!</v>
      </c>
      <c r="D13" s="9" t="e" cm="1">
        <f t="array" aca="1" ref="D13" ca="1">$B$4 *
INDIRECT("Comp_Graph!Include_" &amp; $A$3)*INDIRECT("Comp_Graph!Include_" &amp; D$7)*
OFFSET(INDIRECT(Region_Abbr_Comp &amp; "!A1"), $B$5 + D$6,$B13+1)</f>
        <v>#REF!</v>
      </c>
      <c r="E13" s="9" t="e" cm="1">
        <f t="array" aca="1" ref="E13" ca="1">$B$4 *
INDIRECT("Comp_Graph!Include_" &amp; $A$3)*INDIRECT("Comp_Graph!Include_" &amp; E$7)*
OFFSET(INDIRECT(Region_Abbr_Comp &amp; "!A1"), $B$5 + E$6,$B13+1)</f>
        <v>#REF!</v>
      </c>
      <c r="F13" s="9" t="e" cm="1">
        <f t="array" aca="1" ref="F13" ca="1">$B$4 *
INDIRECT("Comp_Graph!Include_" &amp; $A$3)*INDIRECT("Comp_Graph!Include_" &amp; F$7)*
OFFSET(INDIRECT(Region_Abbr_Comp &amp; "!A1"), $B$5 + F$6,$B13+1)</f>
        <v>#REF!</v>
      </c>
      <c r="G13" s="9" t="e" cm="1">
        <f t="array" aca="1" ref="G13" ca="1">$B$4 *
INDIRECT("Comp_Graph!Include_" &amp; $A$3)*INDIRECT("Comp_Graph!Include_" &amp; G$7)*
OFFSET(INDIRECT(Region_Abbr_Comp &amp; "!A1"), $B$5 + G$6,$B13+1)</f>
        <v>#REF!</v>
      </c>
      <c r="H13" s="9" t="e" cm="1">
        <f t="array" aca="1" ref="H13" ca="1">$B$4 *
INDIRECT("Comp_Graph!Include_" &amp; $A$3)*INDIRECT("Comp_Graph!Include_" &amp; H$7)*
OFFSET(INDIRECT(Region_Abbr_Comp &amp; "!A1"), $B$5 + H$6,$B13+1)</f>
        <v>#REF!</v>
      </c>
      <c r="J13">
        <f t="shared" si="5"/>
        <v>2029</v>
      </c>
      <c r="K13">
        <f t="shared" si="5"/>
        <v>5</v>
      </c>
      <c r="L13" s="9" t="e" cm="1">
        <f t="array" aca="1" ref="L13" ca="1">$K$4 *
INDIRECT("Comp_Graph!Include_" &amp; $J$3)*INDIRECT("Comp_Graph!Include_" &amp; L$7)*
OFFSET(INDIRECT(Region_Abbr_Comp &amp; "!A1"), $K$5 + L$6,$K13+1)</f>
        <v>#REF!</v>
      </c>
      <c r="M13" s="9" t="e" cm="1">
        <f t="array" aca="1" ref="M13" ca="1">$K$4 *
INDIRECT("Comp_Graph!Include_" &amp; $J$3)*INDIRECT("Comp_Graph!Include_" &amp; M$7)*
OFFSET(INDIRECT(Region_Abbr_Comp &amp; "!A1"), $K$5 + M$6,$K13+1)</f>
        <v>#REF!</v>
      </c>
      <c r="N13" s="9" t="e" cm="1">
        <f t="array" aca="1" ref="N13" ca="1">$K$4 *
INDIRECT("Comp_Graph!Include_" &amp; $J$3)*INDIRECT("Comp_Graph!Include_" &amp; N$7)*
OFFSET(INDIRECT(Region_Abbr_Comp &amp; "!A1"), $K$5 + N$6,$K13+1)</f>
        <v>#REF!</v>
      </c>
      <c r="O13" s="9" t="e" cm="1">
        <f t="array" aca="1" ref="O13" ca="1">$K$4 *
INDIRECT("Comp_Graph!Include_" &amp; $J$3)*INDIRECT("Comp_Graph!Include_" &amp; O$7)*
OFFSET(INDIRECT(Region_Abbr_Comp &amp; "!A1"), $K$5 + O$6,$K13+1)</f>
        <v>#REF!</v>
      </c>
      <c r="P13" s="9" t="e" cm="1">
        <f t="array" aca="1" ref="P13" ca="1">$K$4 *
INDIRECT("Comp_Graph!Include_" &amp; $J$3)*INDIRECT("Comp_Graph!Include_" &amp; P$7)*
OFFSET(INDIRECT(Region_Abbr_Comp &amp; "!A1"), $K$5 + P$6,$K13+1)</f>
        <v>#REF!</v>
      </c>
      <c r="Q13" s="9" t="e" cm="1">
        <f t="array" aca="1" ref="Q13" ca="1">$K$4 *
INDIRECT("Comp_Graph!Include_" &amp; $J$3)*INDIRECT("Comp_Graph!Include_" &amp; Q$7)*
OFFSET(INDIRECT(Region_Abbr_Comp &amp; "!A1"), $K$5 + Q$6,$K13+1)</f>
        <v>#REF!</v>
      </c>
      <c r="S13">
        <f t="shared" si="6"/>
        <v>2029</v>
      </c>
      <c r="T13">
        <f t="shared" si="6"/>
        <v>5</v>
      </c>
      <c r="U13" s="9" t="e" cm="1">
        <f t="array" aca="1" ref="U13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U$6,$T13+1)</f>
        <v>#REF!</v>
      </c>
      <c r="V13" s="9" t="e" cm="1">
        <f t="array" aca="1" ref="V13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V$6,$T13+1)</f>
        <v>#REF!</v>
      </c>
      <c r="W13" s="9" t="e" cm="1">
        <f t="array" aca="1" ref="W13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W$6,$T13+1)</f>
        <v>#REF!</v>
      </c>
      <c r="X13" s="9" t="e" cm="1">
        <f t="array" aca="1" ref="X13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X$6,$T13+1)</f>
        <v>#REF!</v>
      </c>
      <c r="Y13" s="9" t="e" cm="1">
        <f t="array" aca="1" ref="Y13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Y$6,$T13+1)</f>
        <v>#REF!</v>
      </c>
      <c r="Z13" s="9" t="e" cm="1">
        <f t="array" aca="1" ref="Z13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Z$6,$T13+1)</f>
        <v>#REF!</v>
      </c>
      <c r="AB13">
        <f t="shared" si="7"/>
        <v>2029</v>
      </c>
      <c r="AC13">
        <f t="shared" si="7"/>
        <v>5</v>
      </c>
      <c r="AD13" s="9" t="e" cm="1">
        <f t="array" aca="1" ref="AD13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AD$6,$AC13+1)</f>
        <v>#REF!</v>
      </c>
      <c r="AE13" s="9" t="e" cm="1">
        <f t="array" aca="1" ref="AE13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AE$6,$AC13+1)</f>
        <v>#REF!</v>
      </c>
      <c r="AF13" s="9" t="e" cm="1">
        <f t="array" aca="1" ref="AF13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AF$6,$AC13+1)</f>
        <v>#REF!</v>
      </c>
      <c r="AG13" s="9" t="e" cm="1">
        <f t="array" aca="1" ref="AG13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AG$6,$AC13+1)</f>
        <v>#REF!</v>
      </c>
      <c r="AH13" s="9" t="e" cm="1">
        <f t="array" aca="1" ref="AH13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AH$6,$AC13+1)</f>
        <v>#REF!</v>
      </c>
      <c r="AI13" s="9" t="e" cm="1">
        <f t="array" aca="1" ref="AI13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AI$6,$AC13+1)</f>
        <v>#REF!</v>
      </c>
    </row>
    <row r="14" spans="1:35" x14ac:dyDescent="0.75">
      <c r="A14">
        <f t="shared" si="4"/>
        <v>2030</v>
      </c>
      <c r="B14">
        <f t="shared" si="4"/>
        <v>6</v>
      </c>
      <c r="C14" s="9" t="e" cm="1">
        <f t="array" aca="1" ref="C14" ca="1">$B$4 *
INDIRECT("Comp_Graph!Include_" &amp; $A$3)*INDIRECT("Comp_Graph!Include_" &amp; C$7)*
OFFSET(INDIRECT(Region_Abbr_Comp &amp; "!A1"), $B$5 + C$6,$B14+1)</f>
        <v>#REF!</v>
      </c>
      <c r="D14" s="9" t="e" cm="1">
        <f t="array" aca="1" ref="D14" ca="1">$B$4 *
INDIRECT("Comp_Graph!Include_" &amp; $A$3)*INDIRECT("Comp_Graph!Include_" &amp; D$7)*
OFFSET(INDIRECT(Region_Abbr_Comp &amp; "!A1"), $B$5 + D$6,$B14+1)</f>
        <v>#REF!</v>
      </c>
      <c r="E14" s="9" t="e" cm="1">
        <f t="array" aca="1" ref="E14" ca="1">$B$4 *
INDIRECT("Comp_Graph!Include_" &amp; $A$3)*INDIRECT("Comp_Graph!Include_" &amp; E$7)*
OFFSET(INDIRECT(Region_Abbr_Comp &amp; "!A1"), $B$5 + E$6,$B14+1)</f>
        <v>#REF!</v>
      </c>
      <c r="F14" s="9" t="e" cm="1">
        <f t="array" aca="1" ref="F14" ca="1">$B$4 *
INDIRECT("Comp_Graph!Include_" &amp; $A$3)*INDIRECT("Comp_Graph!Include_" &amp; F$7)*
OFFSET(INDIRECT(Region_Abbr_Comp &amp; "!A1"), $B$5 + F$6,$B14+1)</f>
        <v>#REF!</v>
      </c>
      <c r="G14" s="9" t="e" cm="1">
        <f t="array" aca="1" ref="G14" ca="1">$B$4 *
INDIRECT("Comp_Graph!Include_" &amp; $A$3)*INDIRECT("Comp_Graph!Include_" &amp; G$7)*
OFFSET(INDIRECT(Region_Abbr_Comp &amp; "!A1"), $B$5 + G$6,$B14+1)</f>
        <v>#REF!</v>
      </c>
      <c r="H14" s="9" t="e" cm="1">
        <f t="array" aca="1" ref="H14" ca="1">$B$4 *
INDIRECT("Comp_Graph!Include_" &amp; $A$3)*INDIRECT("Comp_Graph!Include_" &amp; H$7)*
OFFSET(INDIRECT(Region_Abbr_Comp &amp; "!A1"), $B$5 + H$6,$B14+1)</f>
        <v>#REF!</v>
      </c>
      <c r="J14">
        <f t="shared" si="5"/>
        <v>2030</v>
      </c>
      <c r="K14">
        <f t="shared" si="5"/>
        <v>6</v>
      </c>
      <c r="L14" s="9" t="e" cm="1">
        <f t="array" aca="1" ref="L14" ca="1">$K$4 *
INDIRECT("Comp_Graph!Include_" &amp; $J$3)*INDIRECT("Comp_Graph!Include_" &amp; L$7)*
OFFSET(INDIRECT(Region_Abbr_Comp &amp; "!A1"), $K$5 + L$6,$K14+1)</f>
        <v>#REF!</v>
      </c>
      <c r="M14" s="9" t="e" cm="1">
        <f t="array" aca="1" ref="M14" ca="1">$K$4 *
INDIRECT("Comp_Graph!Include_" &amp; $J$3)*INDIRECT("Comp_Graph!Include_" &amp; M$7)*
OFFSET(INDIRECT(Region_Abbr_Comp &amp; "!A1"), $K$5 + M$6,$K14+1)</f>
        <v>#REF!</v>
      </c>
      <c r="N14" s="9" t="e" cm="1">
        <f t="array" aca="1" ref="N14" ca="1">$K$4 *
INDIRECT("Comp_Graph!Include_" &amp; $J$3)*INDIRECT("Comp_Graph!Include_" &amp; N$7)*
OFFSET(INDIRECT(Region_Abbr_Comp &amp; "!A1"), $K$5 + N$6,$K14+1)</f>
        <v>#REF!</v>
      </c>
      <c r="O14" s="9" t="e" cm="1">
        <f t="array" aca="1" ref="O14" ca="1">$K$4 *
INDIRECT("Comp_Graph!Include_" &amp; $J$3)*INDIRECT("Comp_Graph!Include_" &amp; O$7)*
OFFSET(INDIRECT(Region_Abbr_Comp &amp; "!A1"), $K$5 + O$6,$K14+1)</f>
        <v>#REF!</v>
      </c>
      <c r="P14" s="9" t="e" cm="1">
        <f t="array" aca="1" ref="P14" ca="1">$K$4 *
INDIRECT("Comp_Graph!Include_" &amp; $J$3)*INDIRECT("Comp_Graph!Include_" &amp; P$7)*
OFFSET(INDIRECT(Region_Abbr_Comp &amp; "!A1"), $K$5 + P$6,$K14+1)</f>
        <v>#REF!</v>
      </c>
      <c r="Q14" s="9" t="e" cm="1">
        <f t="array" aca="1" ref="Q14" ca="1">$K$4 *
INDIRECT("Comp_Graph!Include_" &amp; $J$3)*INDIRECT("Comp_Graph!Include_" &amp; Q$7)*
OFFSET(INDIRECT(Region_Abbr_Comp &amp; "!A1"), $K$5 + Q$6,$K14+1)</f>
        <v>#REF!</v>
      </c>
      <c r="S14">
        <f t="shared" si="6"/>
        <v>2030</v>
      </c>
      <c r="T14">
        <f t="shared" si="6"/>
        <v>6</v>
      </c>
      <c r="U14" s="9" t="e" cm="1">
        <f t="array" aca="1" ref="U14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U$6,$T14+1)</f>
        <v>#REF!</v>
      </c>
      <c r="V14" s="9" t="e" cm="1">
        <f t="array" aca="1" ref="V14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V$6,$T14+1)</f>
        <v>#REF!</v>
      </c>
      <c r="W14" s="9" t="e" cm="1">
        <f t="array" aca="1" ref="W14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W$6,$T14+1)</f>
        <v>#REF!</v>
      </c>
      <c r="X14" s="9" t="e" cm="1">
        <f t="array" aca="1" ref="X14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X$6,$T14+1)</f>
        <v>#REF!</v>
      </c>
      <c r="Y14" s="9" t="e" cm="1">
        <f t="array" aca="1" ref="Y14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Y$6,$T14+1)</f>
        <v>#REF!</v>
      </c>
      <c r="Z14" s="9" t="e" cm="1">
        <f t="array" aca="1" ref="Z14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Z$6,$T14+1)</f>
        <v>#REF!</v>
      </c>
      <c r="AB14">
        <f t="shared" si="7"/>
        <v>2030</v>
      </c>
      <c r="AC14">
        <f t="shared" si="7"/>
        <v>6</v>
      </c>
      <c r="AD14" s="9" t="e" cm="1">
        <f t="array" aca="1" ref="AD14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AD$6,$AC14+1)</f>
        <v>#REF!</v>
      </c>
      <c r="AE14" s="9" t="e" cm="1">
        <f t="array" aca="1" ref="AE14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AE$6,$AC14+1)</f>
        <v>#REF!</v>
      </c>
      <c r="AF14" s="9" t="e" cm="1">
        <f t="array" aca="1" ref="AF14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AF$6,$AC14+1)</f>
        <v>#REF!</v>
      </c>
      <c r="AG14" s="9" t="e" cm="1">
        <f t="array" aca="1" ref="AG14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AG$6,$AC14+1)</f>
        <v>#REF!</v>
      </c>
      <c r="AH14" s="9" t="e" cm="1">
        <f t="array" aca="1" ref="AH14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AH$6,$AC14+1)</f>
        <v>#REF!</v>
      </c>
      <c r="AI14" s="9" t="e" cm="1">
        <f t="array" aca="1" ref="AI14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AI$6,$AC14+1)</f>
        <v>#REF!</v>
      </c>
    </row>
    <row r="15" spans="1:35" x14ac:dyDescent="0.75">
      <c r="A15">
        <f t="shared" si="4"/>
        <v>2031</v>
      </c>
      <c r="B15">
        <f t="shared" si="4"/>
        <v>7</v>
      </c>
      <c r="C15" s="9" t="e" cm="1">
        <f t="array" aca="1" ref="C15" ca="1">$B$4 *
INDIRECT("Comp_Graph!Include_" &amp; $A$3)*INDIRECT("Comp_Graph!Include_" &amp; C$7)*
OFFSET(INDIRECT(Region_Abbr_Comp &amp; "!A1"), $B$5 + C$6,$B15+1)</f>
        <v>#REF!</v>
      </c>
      <c r="D15" s="9" t="e" cm="1">
        <f t="array" aca="1" ref="D15" ca="1">$B$4 *
INDIRECT("Comp_Graph!Include_" &amp; $A$3)*INDIRECT("Comp_Graph!Include_" &amp; D$7)*
OFFSET(INDIRECT(Region_Abbr_Comp &amp; "!A1"), $B$5 + D$6,$B15+1)</f>
        <v>#REF!</v>
      </c>
      <c r="E15" s="9" t="e" cm="1">
        <f t="array" aca="1" ref="E15" ca="1">$B$4 *
INDIRECT("Comp_Graph!Include_" &amp; $A$3)*INDIRECT("Comp_Graph!Include_" &amp; E$7)*
OFFSET(INDIRECT(Region_Abbr_Comp &amp; "!A1"), $B$5 + E$6,$B15+1)</f>
        <v>#REF!</v>
      </c>
      <c r="F15" s="9" t="e" cm="1">
        <f t="array" aca="1" ref="F15" ca="1">$B$4 *
INDIRECT("Comp_Graph!Include_" &amp; $A$3)*INDIRECT("Comp_Graph!Include_" &amp; F$7)*
OFFSET(INDIRECT(Region_Abbr_Comp &amp; "!A1"), $B$5 + F$6,$B15+1)</f>
        <v>#REF!</v>
      </c>
      <c r="G15" s="9" t="e" cm="1">
        <f t="array" aca="1" ref="G15" ca="1">$B$4 *
INDIRECT("Comp_Graph!Include_" &amp; $A$3)*INDIRECT("Comp_Graph!Include_" &amp; G$7)*
OFFSET(INDIRECT(Region_Abbr_Comp &amp; "!A1"), $B$5 + G$6,$B15+1)</f>
        <v>#REF!</v>
      </c>
      <c r="H15" s="9" t="e" cm="1">
        <f t="array" aca="1" ref="H15" ca="1">$B$4 *
INDIRECT("Comp_Graph!Include_" &amp; $A$3)*INDIRECT("Comp_Graph!Include_" &amp; H$7)*
OFFSET(INDIRECT(Region_Abbr_Comp &amp; "!A1"), $B$5 + H$6,$B15+1)</f>
        <v>#REF!</v>
      </c>
      <c r="J15">
        <f t="shared" si="5"/>
        <v>2031</v>
      </c>
      <c r="K15">
        <f t="shared" si="5"/>
        <v>7</v>
      </c>
      <c r="L15" s="9" t="e" cm="1">
        <f t="array" aca="1" ref="L15" ca="1">$K$4 *
INDIRECT("Comp_Graph!Include_" &amp; $J$3)*INDIRECT("Comp_Graph!Include_" &amp; L$7)*
OFFSET(INDIRECT(Region_Abbr_Comp &amp; "!A1"), $K$5 + L$6,$K15+1)</f>
        <v>#REF!</v>
      </c>
      <c r="M15" s="9" t="e" cm="1">
        <f t="array" aca="1" ref="M15" ca="1">$K$4 *
INDIRECT("Comp_Graph!Include_" &amp; $J$3)*INDIRECT("Comp_Graph!Include_" &amp; M$7)*
OFFSET(INDIRECT(Region_Abbr_Comp &amp; "!A1"), $K$5 + M$6,$K15+1)</f>
        <v>#REF!</v>
      </c>
      <c r="N15" s="9" t="e" cm="1">
        <f t="array" aca="1" ref="N15" ca="1">$K$4 *
INDIRECT("Comp_Graph!Include_" &amp; $J$3)*INDIRECT("Comp_Graph!Include_" &amp; N$7)*
OFFSET(INDIRECT(Region_Abbr_Comp &amp; "!A1"), $K$5 + N$6,$K15+1)</f>
        <v>#REF!</v>
      </c>
      <c r="O15" s="9" t="e" cm="1">
        <f t="array" aca="1" ref="O15" ca="1">$K$4 *
INDIRECT("Comp_Graph!Include_" &amp; $J$3)*INDIRECT("Comp_Graph!Include_" &amp; O$7)*
OFFSET(INDIRECT(Region_Abbr_Comp &amp; "!A1"), $K$5 + O$6,$K15+1)</f>
        <v>#REF!</v>
      </c>
      <c r="P15" s="9" t="e" cm="1">
        <f t="array" aca="1" ref="P15" ca="1">$K$4 *
INDIRECT("Comp_Graph!Include_" &amp; $J$3)*INDIRECT("Comp_Graph!Include_" &amp; P$7)*
OFFSET(INDIRECT(Region_Abbr_Comp &amp; "!A1"), $K$5 + P$6,$K15+1)</f>
        <v>#REF!</v>
      </c>
      <c r="Q15" s="9" t="e" cm="1">
        <f t="array" aca="1" ref="Q15" ca="1">$K$4 *
INDIRECT("Comp_Graph!Include_" &amp; $J$3)*INDIRECT("Comp_Graph!Include_" &amp; Q$7)*
OFFSET(INDIRECT(Region_Abbr_Comp &amp; "!A1"), $K$5 + Q$6,$K15+1)</f>
        <v>#REF!</v>
      </c>
      <c r="S15">
        <f t="shared" si="6"/>
        <v>2031</v>
      </c>
      <c r="T15">
        <f t="shared" si="6"/>
        <v>7</v>
      </c>
      <c r="U15" s="9" t="e" cm="1">
        <f t="array" aca="1" ref="U15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U$6,$T15+1)</f>
        <v>#REF!</v>
      </c>
      <c r="V15" s="9" t="e" cm="1">
        <f t="array" aca="1" ref="V15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V$6,$T15+1)</f>
        <v>#REF!</v>
      </c>
      <c r="W15" s="9" t="e" cm="1">
        <f t="array" aca="1" ref="W15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W$6,$T15+1)</f>
        <v>#REF!</v>
      </c>
      <c r="X15" s="9" t="e" cm="1">
        <f t="array" aca="1" ref="X15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X$6,$T15+1)</f>
        <v>#REF!</v>
      </c>
      <c r="Y15" s="9" t="e" cm="1">
        <f t="array" aca="1" ref="Y15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Y$6,$T15+1)</f>
        <v>#REF!</v>
      </c>
      <c r="Z15" s="9" t="e" cm="1">
        <f t="array" aca="1" ref="Z15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Z$6,$T15+1)</f>
        <v>#REF!</v>
      </c>
      <c r="AB15">
        <f t="shared" si="7"/>
        <v>2031</v>
      </c>
      <c r="AC15">
        <f t="shared" si="7"/>
        <v>7</v>
      </c>
      <c r="AD15" s="9" t="e" cm="1">
        <f t="array" aca="1" ref="AD15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AD$6,$AC15+1)</f>
        <v>#REF!</v>
      </c>
      <c r="AE15" s="9" t="e" cm="1">
        <f t="array" aca="1" ref="AE15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AE$6,$AC15+1)</f>
        <v>#REF!</v>
      </c>
      <c r="AF15" s="9" t="e" cm="1">
        <f t="array" aca="1" ref="AF15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AF$6,$AC15+1)</f>
        <v>#REF!</v>
      </c>
      <c r="AG15" s="9" t="e" cm="1">
        <f t="array" aca="1" ref="AG15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AG$6,$AC15+1)</f>
        <v>#REF!</v>
      </c>
      <c r="AH15" s="9" t="e" cm="1">
        <f t="array" aca="1" ref="AH15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AH$6,$AC15+1)</f>
        <v>#REF!</v>
      </c>
      <c r="AI15" s="9" t="e" cm="1">
        <f t="array" aca="1" ref="AI15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AI$6,$AC15+1)</f>
        <v>#REF!</v>
      </c>
    </row>
    <row r="16" spans="1:35" x14ac:dyDescent="0.75">
      <c r="A16">
        <f t="shared" si="4"/>
        <v>2032</v>
      </c>
      <c r="B16">
        <f t="shared" si="4"/>
        <v>8</v>
      </c>
      <c r="C16" s="9" t="e" cm="1">
        <f t="array" aca="1" ref="C16" ca="1">$B$4 *
INDIRECT("Comp_Graph!Include_" &amp; $A$3)*INDIRECT("Comp_Graph!Include_" &amp; C$7)*
OFFSET(INDIRECT(Region_Abbr_Comp &amp; "!A1"), $B$5 + C$6,$B16+1)</f>
        <v>#REF!</v>
      </c>
      <c r="D16" s="9" t="e" cm="1">
        <f t="array" aca="1" ref="D16" ca="1">$B$4 *
INDIRECT("Comp_Graph!Include_" &amp; $A$3)*INDIRECT("Comp_Graph!Include_" &amp; D$7)*
OFFSET(INDIRECT(Region_Abbr_Comp &amp; "!A1"), $B$5 + D$6,$B16+1)</f>
        <v>#REF!</v>
      </c>
      <c r="E16" s="9" t="e" cm="1">
        <f t="array" aca="1" ref="E16" ca="1">$B$4 *
INDIRECT("Comp_Graph!Include_" &amp; $A$3)*INDIRECT("Comp_Graph!Include_" &amp; E$7)*
OFFSET(INDIRECT(Region_Abbr_Comp &amp; "!A1"), $B$5 + E$6,$B16+1)</f>
        <v>#REF!</v>
      </c>
      <c r="F16" s="9" t="e" cm="1">
        <f t="array" aca="1" ref="F16" ca="1">$B$4 *
INDIRECT("Comp_Graph!Include_" &amp; $A$3)*INDIRECT("Comp_Graph!Include_" &amp; F$7)*
OFFSET(INDIRECT(Region_Abbr_Comp &amp; "!A1"), $B$5 + F$6,$B16+1)</f>
        <v>#REF!</v>
      </c>
      <c r="G16" s="9" t="e" cm="1">
        <f t="array" aca="1" ref="G16" ca="1">$B$4 *
INDIRECT("Comp_Graph!Include_" &amp; $A$3)*INDIRECT("Comp_Graph!Include_" &amp; G$7)*
OFFSET(INDIRECT(Region_Abbr_Comp &amp; "!A1"), $B$5 + G$6,$B16+1)</f>
        <v>#REF!</v>
      </c>
      <c r="H16" s="9" t="e" cm="1">
        <f t="array" aca="1" ref="H16" ca="1">$B$4 *
INDIRECT("Comp_Graph!Include_" &amp; $A$3)*INDIRECT("Comp_Graph!Include_" &amp; H$7)*
OFFSET(INDIRECT(Region_Abbr_Comp &amp; "!A1"), $B$5 + H$6,$B16+1)</f>
        <v>#REF!</v>
      </c>
      <c r="J16">
        <f t="shared" si="5"/>
        <v>2032</v>
      </c>
      <c r="K16">
        <f t="shared" si="5"/>
        <v>8</v>
      </c>
      <c r="L16" s="9" t="e" cm="1">
        <f t="array" aca="1" ref="L16" ca="1">$K$4 *
INDIRECT("Comp_Graph!Include_" &amp; $J$3)*INDIRECT("Comp_Graph!Include_" &amp; L$7)*
OFFSET(INDIRECT(Region_Abbr_Comp &amp; "!A1"), $K$5 + L$6,$K16+1)</f>
        <v>#REF!</v>
      </c>
      <c r="M16" s="9" t="e" cm="1">
        <f t="array" aca="1" ref="M16" ca="1">$K$4 *
INDIRECT("Comp_Graph!Include_" &amp; $J$3)*INDIRECT("Comp_Graph!Include_" &amp; M$7)*
OFFSET(INDIRECT(Region_Abbr_Comp &amp; "!A1"), $K$5 + M$6,$K16+1)</f>
        <v>#REF!</v>
      </c>
      <c r="N16" s="9" t="e" cm="1">
        <f t="array" aca="1" ref="N16" ca="1">$K$4 *
INDIRECT("Comp_Graph!Include_" &amp; $J$3)*INDIRECT("Comp_Graph!Include_" &amp; N$7)*
OFFSET(INDIRECT(Region_Abbr_Comp &amp; "!A1"), $K$5 + N$6,$K16+1)</f>
        <v>#REF!</v>
      </c>
      <c r="O16" s="9" t="e" cm="1">
        <f t="array" aca="1" ref="O16" ca="1">$K$4 *
INDIRECT("Comp_Graph!Include_" &amp; $J$3)*INDIRECT("Comp_Graph!Include_" &amp; O$7)*
OFFSET(INDIRECT(Region_Abbr_Comp &amp; "!A1"), $K$5 + O$6,$K16+1)</f>
        <v>#REF!</v>
      </c>
      <c r="P16" s="9" t="e" cm="1">
        <f t="array" aca="1" ref="P16" ca="1">$K$4 *
INDIRECT("Comp_Graph!Include_" &amp; $J$3)*INDIRECT("Comp_Graph!Include_" &amp; P$7)*
OFFSET(INDIRECT(Region_Abbr_Comp &amp; "!A1"), $K$5 + P$6,$K16+1)</f>
        <v>#REF!</v>
      </c>
      <c r="Q16" s="9" t="e" cm="1">
        <f t="array" aca="1" ref="Q16" ca="1">$K$4 *
INDIRECT("Comp_Graph!Include_" &amp; $J$3)*INDIRECT("Comp_Graph!Include_" &amp; Q$7)*
OFFSET(INDIRECT(Region_Abbr_Comp &amp; "!A1"), $K$5 + Q$6,$K16+1)</f>
        <v>#REF!</v>
      </c>
      <c r="S16">
        <f t="shared" si="6"/>
        <v>2032</v>
      </c>
      <c r="T16">
        <f t="shared" si="6"/>
        <v>8</v>
      </c>
      <c r="U16" s="9" t="e" cm="1">
        <f t="array" aca="1" ref="U16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U$6,$T16+1)</f>
        <v>#REF!</v>
      </c>
      <c r="V16" s="9" t="e" cm="1">
        <f t="array" aca="1" ref="V16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V$6,$T16+1)</f>
        <v>#REF!</v>
      </c>
      <c r="W16" s="9" t="e" cm="1">
        <f t="array" aca="1" ref="W16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W$6,$T16+1)</f>
        <v>#REF!</v>
      </c>
      <c r="X16" s="9" t="e" cm="1">
        <f t="array" aca="1" ref="X16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X$6,$T16+1)</f>
        <v>#REF!</v>
      </c>
      <c r="Y16" s="9" t="e" cm="1">
        <f t="array" aca="1" ref="Y16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Y$6,$T16+1)</f>
        <v>#REF!</v>
      </c>
      <c r="Z16" s="9" t="e" cm="1">
        <f t="array" aca="1" ref="Z16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Z$6,$T16+1)</f>
        <v>#REF!</v>
      </c>
      <c r="AB16">
        <f t="shared" si="7"/>
        <v>2032</v>
      </c>
      <c r="AC16">
        <f t="shared" si="7"/>
        <v>8</v>
      </c>
      <c r="AD16" s="9" t="e" cm="1">
        <f t="array" aca="1" ref="AD16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AD$6,$AC16+1)</f>
        <v>#REF!</v>
      </c>
      <c r="AE16" s="9" t="e" cm="1">
        <f t="array" aca="1" ref="AE16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AE$6,$AC16+1)</f>
        <v>#REF!</v>
      </c>
      <c r="AF16" s="9" t="e" cm="1">
        <f t="array" aca="1" ref="AF16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AF$6,$AC16+1)</f>
        <v>#REF!</v>
      </c>
      <c r="AG16" s="9" t="e" cm="1">
        <f t="array" aca="1" ref="AG16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AG$6,$AC16+1)</f>
        <v>#REF!</v>
      </c>
      <c r="AH16" s="9" t="e" cm="1">
        <f t="array" aca="1" ref="AH16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AH$6,$AC16+1)</f>
        <v>#REF!</v>
      </c>
      <c r="AI16" s="9" t="e" cm="1">
        <f t="array" aca="1" ref="AI16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AI$6,$AC16+1)</f>
        <v>#REF!</v>
      </c>
    </row>
    <row r="17" spans="1:35" x14ac:dyDescent="0.75">
      <c r="A17">
        <f t="shared" si="4"/>
        <v>2033</v>
      </c>
      <c r="B17">
        <f t="shared" si="4"/>
        <v>9</v>
      </c>
      <c r="C17" s="9" t="e" cm="1">
        <f t="array" aca="1" ref="C17" ca="1">$B$4 *
INDIRECT("Comp_Graph!Include_" &amp; $A$3)*INDIRECT("Comp_Graph!Include_" &amp; C$7)*
OFFSET(INDIRECT(Region_Abbr_Comp &amp; "!A1"), $B$5 + C$6,$B17+1)</f>
        <v>#REF!</v>
      </c>
      <c r="D17" s="9" t="e" cm="1">
        <f t="array" aca="1" ref="D17" ca="1">$B$4 *
INDIRECT("Comp_Graph!Include_" &amp; $A$3)*INDIRECT("Comp_Graph!Include_" &amp; D$7)*
OFFSET(INDIRECT(Region_Abbr_Comp &amp; "!A1"), $B$5 + D$6,$B17+1)</f>
        <v>#REF!</v>
      </c>
      <c r="E17" s="9" t="e" cm="1">
        <f t="array" aca="1" ref="E17" ca="1">$B$4 *
INDIRECT("Comp_Graph!Include_" &amp; $A$3)*INDIRECT("Comp_Graph!Include_" &amp; E$7)*
OFFSET(INDIRECT(Region_Abbr_Comp &amp; "!A1"), $B$5 + E$6,$B17+1)</f>
        <v>#REF!</v>
      </c>
      <c r="F17" s="9" t="e" cm="1">
        <f t="array" aca="1" ref="F17" ca="1">$B$4 *
INDIRECT("Comp_Graph!Include_" &amp; $A$3)*INDIRECT("Comp_Graph!Include_" &amp; F$7)*
OFFSET(INDIRECT(Region_Abbr_Comp &amp; "!A1"), $B$5 + F$6,$B17+1)</f>
        <v>#REF!</v>
      </c>
      <c r="G17" s="9" t="e" cm="1">
        <f t="array" aca="1" ref="G17" ca="1">$B$4 *
INDIRECT("Comp_Graph!Include_" &amp; $A$3)*INDIRECT("Comp_Graph!Include_" &amp; G$7)*
OFFSET(INDIRECT(Region_Abbr_Comp &amp; "!A1"), $B$5 + G$6,$B17+1)</f>
        <v>#REF!</v>
      </c>
      <c r="H17" s="9" t="e" cm="1">
        <f t="array" aca="1" ref="H17" ca="1">$B$4 *
INDIRECT("Comp_Graph!Include_" &amp; $A$3)*INDIRECT("Comp_Graph!Include_" &amp; H$7)*
OFFSET(INDIRECT(Region_Abbr_Comp &amp; "!A1"), $B$5 + H$6,$B17+1)</f>
        <v>#REF!</v>
      </c>
      <c r="J17">
        <f t="shared" si="5"/>
        <v>2033</v>
      </c>
      <c r="K17">
        <f t="shared" si="5"/>
        <v>9</v>
      </c>
      <c r="L17" s="9" t="e" cm="1">
        <f t="array" aca="1" ref="L17" ca="1">$K$4 *
INDIRECT("Comp_Graph!Include_" &amp; $J$3)*INDIRECT("Comp_Graph!Include_" &amp; L$7)*
OFFSET(INDIRECT(Region_Abbr_Comp &amp; "!A1"), $K$5 + L$6,$K17+1)</f>
        <v>#REF!</v>
      </c>
      <c r="M17" s="9" t="e" cm="1">
        <f t="array" aca="1" ref="M17" ca="1">$K$4 *
INDIRECT("Comp_Graph!Include_" &amp; $J$3)*INDIRECT("Comp_Graph!Include_" &amp; M$7)*
OFFSET(INDIRECT(Region_Abbr_Comp &amp; "!A1"), $K$5 + M$6,$K17+1)</f>
        <v>#REF!</v>
      </c>
      <c r="N17" s="9" t="e" cm="1">
        <f t="array" aca="1" ref="N17" ca="1">$K$4 *
INDIRECT("Comp_Graph!Include_" &amp; $J$3)*INDIRECT("Comp_Graph!Include_" &amp; N$7)*
OFFSET(INDIRECT(Region_Abbr_Comp &amp; "!A1"), $K$5 + N$6,$K17+1)</f>
        <v>#REF!</v>
      </c>
      <c r="O17" s="9" t="e" cm="1">
        <f t="array" aca="1" ref="O17" ca="1">$K$4 *
INDIRECT("Comp_Graph!Include_" &amp; $J$3)*INDIRECT("Comp_Graph!Include_" &amp; O$7)*
OFFSET(INDIRECT(Region_Abbr_Comp &amp; "!A1"), $K$5 + O$6,$K17+1)</f>
        <v>#REF!</v>
      </c>
      <c r="P17" s="9" t="e" cm="1">
        <f t="array" aca="1" ref="P17" ca="1">$K$4 *
INDIRECT("Comp_Graph!Include_" &amp; $J$3)*INDIRECT("Comp_Graph!Include_" &amp; P$7)*
OFFSET(INDIRECT(Region_Abbr_Comp &amp; "!A1"), $K$5 + P$6,$K17+1)</f>
        <v>#REF!</v>
      </c>
      <c r="Q17" s="9" t="e" cm="1">
        <f t="array" aca="1" ref="Q17" ca="1">$K$4 *
INDIRECT("Comp_Graph!Include_" &amp; $J$3)*INDIRECT("Comp_Graph!Include_" &amp; Q$7)*
OFFSET(INDIRECT(Region_Abbr_Comp &amp; "!A1"), $K$5 + Q$6,$K17+1)</f>
        <v>#REF!</v>
      </c>
      <c r="S17">
        <f t="shared" si="6"/>
        <v>2033</v>
      </c>
      <c r="T17">
        <f t="shared" si="6"/>
        <v>9</v>
      </c>
      <c r="U17" s="9" t="e" cm="1">
        <f t="array" aca="1" ref="U17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U$6,$T17+1)</f>
        <v>#REF!</v>
      </c>
      <c r="V17" s="9" t="e" cm="1">
        <f t="array" aca="1" ref="V17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V$6,$T17+1)</f>
        <v>#REF!</v>
      </c>
      <c r="W17" s="9" t="e" cm="1">
        <f t="array" aca="1" ref="W17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W$6,$T17+1)</f>
        <v>#REF!</v>
      </c>
      <c r="X17" s="9" t="e" cm="1">
        <f t="array" aca="1" ref="X17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X$6,$T17+1)</f>
        <v>#REF!</v>
      </c>
      <c r="Y17" s="9" t="e" cm="1">
        <f t="array" aca="1" ref="Y17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Y$6,$T17+1)</f>
        <v>#REF!</v>
      </c>
      <c r="Z17" s="9" t="e" cm="1">
        <f t="array" aca="1" ref="Z17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Z$6,$T17+1)</f>
        <v>#REF!</v>
      </c>
      <c r="AB17">
        <f t="shared" si="7"/>
        <v>2033</v>
      </c>
      <c r="AC17">
        <f t="shared" si="7"/>
        <v>9</v>
      </c>
      <c r="AD17" s="9" t="e" cm="1">
        <f t="array" aca="1" ref="AD17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AD$6,$AC17+1)</f>
        <v>#REF!</v>
      </c>
      <c r="AE17" s="9" t="e" cm="1">
        <f t="array" aca="1" ref="AE17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AE$6,$AC17+1)</f>
        <v>#REF!</v>
      </c>
      <c r="AF17" s="9" t="e" cm="1">
        <f t="array" aca="1" ref="AF17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AF$6,$AC17+1)</f>
        <v>#REF!</v>
      </c>
      <c r="AG17" s="9" t="e" cm="1">
        <f t="array" aca="1" ref="AG17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AG$6,$AC17+1)</f>
        <v>#REF!</v>
      </c>
      <c r="AH17" s="9" t="e" cm="1">
        <f t="array" aca="1" ref="AH17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AH$6,$AC17+1)</f>
        <v>#REF!</v>
      </c>
      <c r="AI17" s="9" t="e" cm="1">
        <f t="array" aca="1" ref="AI17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AI$6,$AC17+1)</f>
        <v>#REF!</v>
      </c>
    </row>
    <row r="18" spans="1:35" x14ac:dyDescent="0.75">
      <c r="A18">
        <f t="shared" si="4"/>
        <v>2034</v>
      </c>
      <c r="B18">
        <f t="shared" si="4"/>
        <v>10</v>
      </c>
      <c r="C18" s="9" t="e" cm="1">
        <f t="array" aca="1" ref="C18" ca="1">$B$4 *
INDIRECT("Comp_Graph!Include_" &amp; $A$3)*INDIRECT("Comp_Graph!Include_" &amp; C$7)*
OFFSET(INDIRECT(Region_Abbr_Comp &amp; "!A1"), $B$5 + C$6,$B18+1)</f>
        <v>#REF!</v>
      </c>
      <c r="D18" s="9" t="e" cm="1">
        <f t="array" aca="1" ref="D18" ca="1">$B$4 *
INDIRECT("Comp_Graph!Include_" &amp; $A$3)*INDIRECT("Comp_Graph!Include_" &amp; D$7)*
OFFSET(INDIRECT(Region_Abbr_Comp &amp; "!A1"), $B$5 + D$6,$B18+1)</f>
        <v>#REF!</v>
      </c>
      <c r="E18" s="9" t="e" cm="1">
        <f t="array" aca="1" ref="E18" ca="1">$B$4 *
INDIRECT("Comp_Graph!Include_" &amp; $A$3)*INDIRECT("Comp_Graph!Include_" &amp; E$7)*
OFFSET(INDIRECT(Region_Abbr_Comp &amp; "!A1"), $B$5 + E$6,$B18+1)</f>
        <v>#REF!</v>
      </c>
      <c r="F18" s="9" t="e" cm="1">
        <f t="array" aca="1" ref="F18" ca="1">$B$4 *
INDIRECT("Comp_Graph!Include_" &amp; $A$3)*INDIRECT("Comp_Graph!Include_" &amp; F$7)*
OFFSET(INDIRECT(Region_Abbr_Comp &amp; "!A1"), $B$5 + F$6,$B18+1)</f>
        <v>#REF!</v>
      </c>
      <c r="G18" s="9" t="e" cm="1">
        <f t="array" aca="1" ref="G18" ca="1">$B$4 *
INDIRECT("Comp_Graph!Include_" &amp; $A$3)*INDIRECT("Comp_Graph!Include_" &amp; G$7)*
OFFSET(INDIRECT(Region_Abbr_Comp &amp; "!A1"), $B$5 + G$6,$B18+1)</f>
        <v>#REF!</v>
      </c>
      <c r="H18" s="9" t="e" cm="1">
        <f t="array" aca="1" ref="H18" ca="1">$B$4 *
INDIRECT("Comp_Graph!Include_" &amp; $A$3)*INDIRECT("Comp_Graph!Include_" &amp; H$7)*
OFFSET(INDIRECT(Region_Abbr_Comp &amp; "!A1"), $B$5 + H$6,$B18+1)</f>
        <v>#REF!</v>
      </c>
      <c r="J18">
        <f t="shared" si="5"/>
        <v>2034</v>
      </c>
      <c r="K18">
        <f t="shared" si="5"/>
        <v>10</v>
      </c>
      <c r="L18" s="9" t="e" cm="1">
        <f t="array" aca="1" ref="L18" ca="1">$K$4 *
INDIRECT("Comp_Graph!Include_" &amp; $J$3)*INDIRECT("Comp_Graph!Include_" &amp; L$7)*
OFFSET(INDIRECT(Region_Abbr_Comp &amp; "!A1"), $K$5 + L$6,$K18+1)</f>
        <v>#REF!</v>
      </c>
      <c r="M18" s="9" t="e" cm="1">
        <f t="array" aca="1" ref="M18" ca="1">$K$4 *
INDIRECT("Comp_Graph!Include_" &amp; $J$3)*INDIRECT("Comp_Graph!Include_" &amp; M$7)*
OFFSET(INDIRECT(Region_Abbr_Comp &amp; "!A1"), $K$5 + M$6,$K18+1)</f>
        <v>#REF!</v>
      </c>
      <c r="N18" s="9" t="e" cm="1">
        <f t="array" aca="1" ref="N18" ca="1">$K$4 *
INDIRECT("Comp_Graph!Include_" &amp; $J$3)*INDIRECT("Comp_Graph!Include_" &amp; N$7)*
OFFSET(INDIRECT(Region_Abbr_Comp &amp; "!A1"), $K$5 + N$6,$K18+1)</f>
        <v>#REF!</v>
      </c>
      <c r="O18" s="9" t="e" cm="1">
        <f t="array" aca="1" ref="O18" ca="1">$K$4 *
INDIRECT("Comp_Graph!Include_" &amp; $J$3)*INDIRECT("Comp_Graph!Include_" &amp; O$7)*
OFFSET(INDIRECT(Region_Abbr_Comp &amp; "!A1"), $K$5 + O$6,$K18+1)</f>
        <v>#REF!</v>
      </c>
      <c r="P18" s="9" t="e" cm="1">
        <f t="array" aca="1" ref="P18" ca="1">$K$4 *
INDIRECT("Comp_Graph!Include_" &amp; $J$3)*INDIRECT("Comp_Graph!Include_" &amp; P$7)*
OFFSET(INDIRECT(Region_Abbr_Comp &amp; "!A1"), $K$5 + P$6,$K18+1)</f>
        <v>#REF!</v>
      </c>
      <c r="Q18" s="9" t="e" cm="1">
        <f t="array" aca="1" ref="Q18" ca="1">$K$4 *
INDIRECT("Comp_Graph!Include_" &amp; $J$3)*INDIRECT("Comp_Graph!Include_" &amp; Q$7)*
OFFSET(INDIRECT(Region_Abbr_Comp &amp; "!A1"), $K$5 + Q$6,$K18+1)</f>
        <v>#REF!</v>
      </c>
      <c r="S18">
        <f t="shared" si="6"/>
        <v>2034</v>
      </c>
      <c r="T18">
        <f t="shared" si="6"/>
        <v>10</v>
      </c>
      <c r="U18" s="9" t="e" cm="1">
        <f t="array" aca="1" ref="U18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U$6,$T18+1)</f>
        <v>#REF!</v>
      </c>
      <c r="V18" s="9" t="e" cm="1">
        <f t="array" aca="1" ref="V18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V$6,$T18+1)</f>
        <v>#REF!</v>
      </c>
      <c r="W18" s="9" t="e" cm="1">
        <f t="array" aca="1" ref="W18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W$6,$T18+1)</f>
        <v>#REF!</v>
      </c>
      <c r="X18" s="9" t="e" cm="1">
        <f t="array" aca="1" ref="X18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X$6,$T18+1)</f>
        <v>#REF!</v>
      </c>
      <c r="Y18" s="9" t="e" cm="1">
        <f t="array" aca="1" ref="Y18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Y$6,$T18+1)</f>
        <v>#REF!</v>
      </c>
      <c r="Z18" s="9" t="e" cm="1">
        <f t="array" aca="1" ref="Z18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Z$6,$T18+1)</f>
        <v>#REF!</v>
      </c>
      <c r="AB18">
        <f t="shared" si="7"/>
        <v>2034</v>
      </c>
      <c r="AC18">
        <f t="shared" si="7"/>
        <v>10</v>
      </c>
      <c r="AD18" s="9" t="e" cm="1">
        <f t="array" aca="1" ref="AD18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AD$6,$AC18+1)</f>
        <v>#REF!</v>
      </c>
      <c r="AE18" s="9" t="e" cm="1">
        <f t="array" aca="1" ref="AE18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AE$6,$AC18+1)</f>
        <v>#REF!</v>
      </c>
      <c r="AF18" s="9" t="e" cm="1">
        <f t="array" aca="1" ref="AF18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AF$6,$AC18+1)</f>
        <v>#REF!</v>
      </c>
      <c r="AG18" s="9" t="e" cm="1">
        <f t="array" aca="1" ref="AG18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AG$6,$AC18+1)</f>
        <v>#REF!</v>
      </c>
      <c r="AH18" s="9" t="e" cm="1">
        <f t="array" aca="1" ref="AH18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AH$6,$AC18+1)</f>
        <v>#REF!</v>
      </c>
      <c r="AI18" s="9" t="e" cm="1">
        <f t="array" aca="1" ref="AI18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AI$6,$AC18+1)</f>
        <v>#REF!</v>
      </c>
    </row>
    <row r="19" spans="1:35" x14ac:dyDescent="0.75">
      <c r="A19">
        <f t="shared" si="4"/>
        <v>2035</v>
      </c>
      <c r="B19">
        <f t="shared" si="4"/>
        <v>11</v>
      </c>
      <c r="C19" s="9" t="e" cm="1">
        <f t="array" aca="1" ref="C19" ca="1">$B$4 *
INDIRECT("Comp_Graph!Include_" &amp; $A$3)*INDIRECT("Comp_Graph!Include_" &amp; C$7)*
OFFSET(INDIRECT(Region_Abbr_Comp &amp; "!A1"), $B$5 + C$6,$B19+1)</f>
        <v>#REF!</v>
      </c>
      <c r="D19" s="9" t="e" cm="1">
        <f t="array" aca="1" ref="D19" ca="1">$B$4 *
INDIRECT("Comp_Graph!Include_" &amp; $A$3)*INDIRECT("Comp_Graph!Include_" &amp; D$7)*
OFFSET(INDIRECT(Region_Abbr_Comp &amp; "!A1"), $B$5 + D$6,$B19+1)</f>
        <v>#REF!</v>
      </c>
      <c r="E19" s="9" t="e" cm="1">
        <f t="array" aca="1" ref="E19" ca="1">$B$4 *
INDIRECT("Comp_Graph!Include_" &amp; $A$3)*INDIRECT("Comp_Graph!Include_" &amp; E$7)*
OFFSET(INDIRECT(Region_Abbr_Comp &amp; "!A1"), $B$5 + E$6,$B19+1)</f>
        <v>#REF!</v>
      </c>
      <c r="F19" s="9" t="e" cm="1">
        <f t="array" aca="1" ref="F19" ca="1">$B$4 *
INDIRECT("Comp_Graph!Include_" &amp; $A$3)*INDIRECT("Comp_Graph!Include_" &amp; F$7)*
OFFSET(INDIRECT(Region_Abbr_Comp &amp; "!A1"), $B$5 + F$6,$B19+1)</f>
        <v>#REF!</v>
      </c>
      <c r="G19" s="9" t="e" cm="1">
        <f t="array" aca="1" ref="G19" ca="1">$B$4 *
INDIRECT("Comp_Graph!Include_" &amp; $A$3)*INDIRECT("Comp_Graph!Include_" &amp; G$7)*
OFFSET(INDIRECT(Region_Abbr_Comp &amp; "!A1"), $B$5 + G$6,$B19+1)</f>
        <v>#REF!</v>
      </c>
      <c r="H19" s="9" t="e" cm="1">
        <f t="array" aca="1" ref="H19" ca="1">$B$4 *
INDIRECT("Comp_Graph!Include_" &amp; $A$3)*INDIRECT("Comp_Graph!Include_" &amp; H$7)*
OFFSET(INDIRECT(Region_Abbr_Comp &amp; "!A1"), $B$5 + H$6,$B19+1)</f>
        <v>#REF!</v>
      </c>
      <c r="J19">
        <f t="shared" si="5"/>
        <v>2035</v>
      </c>
      <c r="K19">
        <f t="shared" si="5"/>
        <v>11</v>
      </c>
      <c r="L19" s="9" t="e" cm="1">
        <f t="array" aca="1" ref="L19" ca="1">$K$4 *
INDIRECT("Comp_Graph!Include_" &amp; $J$3)*INDIRECT("Comp_Graph!Include_" &amp; L$7)*
OFFSET(INDIRECT(Region_Abbr_Comp &amp; "!A1"), $K$5 + L$6,$K19+1)</f>
        <v>#REF!</v>
      </c>
      <c r="M19" s="9" t="e" cm="1">
        <f t="array" aca="1" ref="M19" ca="1">$K$4 *
INDIRECT("Comp_Graph!Include_" &amp; $J$3)*INDIRECT("Comp_Graph!Include_" &amp; M$7)*
OFFSET(INDIRECT(Region_Abbr_Comp &amp; "!A1"), $K$5 + M$6,$K19+1)</f>
        <v>#REF!</v>
      </c>
      <c r="N19" s="9" t="e" cm="1">
        <f t="array" aca="1" ref="N19" ca="1">$K$4 *
INDIRECT("Comp_Graph!Include_" &amp; $J$3)*INDIRECT("Comp_Graph!Include_" &amp; N$7)*
OFFSET(INDIRECT(Region_Abbr_Comp &amp; "!A1"), $K$5 + N$6,$K19+1)</f>
        <v>#REF!</v>
      </c>
      <c r="O19" s="9" t="e" cm="1">
        <f t="array" aca="1" ref="O19" ca="1">$K$4 *
INDIRECT("Comp_Graph!Include_" &amp; $J$3)*INDIRECT("Comp_Graph!Include_" &amp; O$7)*
OFFSET(INDIRECT(Region_Abbr_Comp &amp; "!A1"), $K$5 + O$6,$K19+1)</f>
        <v>#REF!</v>
      </c>
      <c r="P19" s="9" t="e" cm="1">
        <f t="array" aca="1" ref="P19" ca="1">$K$4 *
INDIRECT("Comp_Graph!Include_" &amp; $J$3)*INDIRECT("Comp_Graph!Include_" &amp; P$7)*
OFFSET(INDIRECT(Region_Abbr_Comp &amp; "!A1"), $K$5 + P$6,$K19+1)</f>
        <v>#REF!</v>
      </c>
      <c r="Q19" s="9" t="e" cm="1">
        <f t="array" aca="1" ref="Q19" ca="1">$K$4 *
INDIRECT("Comp_Graph!Include_" &amp; $J$3)*INDIRECT("Comp_Graph!Include_" &amp; Q$7)*
OFFSET(INDIRECT(Region_Abbr_Comp &amp; "!A1"), $K$5 + Q$6,$K19+1)</f>
        <v>#REF!</v>
      </c>
      <c r="S19">
        <f t="shared" si="6"/>
        <v>2035</v>
      </c>
      <c r="T19">
        <f t="shared" si="6"/>
        <v>11</v>
      </c>
      <c r="U19" s="9" t="e" cm="1">
        <f t="array" aca="1" ref="U19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U$6,$T19+1)</f>
        <v>#REF!</v>
      </c>
      <c r="V19" s="9" t="e" cm="1">
        <f t="array" aca="1" ref="V19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V$6,$T19+1)</f>
        <v>#REF!</v>
      </c>
      <c r="W19" s="9" t="e" cm="1">
        <f t="array" aca="1" ref="W19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W$6,$T19+1)</f>
        <v>#REF!</v>
      </c>
      <c r="X19" s="9" t="e" cm="1">
        <f t="array" aca="1" ref="X19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X$6,$T19+1)</f>
        <v>#REF!</v>
      </c>
      <c r="Y19" s="9" t="e" cm="1">
        <f t="array" aca="1" ref="Y19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Y$6,$T19+1)</f>
        <v>#REF!</v>
      </c>
      <c r="Z19" s="9" t="e" cm="1">
        <f t="array" aca="1" ref="Z19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Z$6,$T19+1)</f>
        <v>#REF!</v>
      </c>
      <c r="AB19">
        <f t="shared" si="7"/>
        <v>2035</v>
      </c>
      <c r="AC19">
        <f t="shared" si="7"/>
        <v>11</v>
      </c>
      <c r="AD19" s="9" t="e" cm="1">
        <f t="array" aca="1" ref="AD19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AD$6,$AC19+1)</f>
        <v>#REF!</v>
      </c>
      <c r="AE19" s="9" t="e" cm="1">
        <f t="array" aca="1" ref="AE19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AE$6,$AC19+1)</f>
        <v>#REF!</v>
      </c>
      <c r="AF19" s="9" t="e" cm="1">
        <f t="array" aca="1" ref="AF19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AF$6,$AC19+1)</f>
        <v>#REF!</v>
      </c>
      <c r="AG19" s="9" t="e" cm="1">
        <f t="array" aca="1" ref="AG19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AG$6,$AC19+1)</f>
        <v>#REF!</v>
      </c>
      <c r="AH19" s="9" t="e" cm="1">
        <f t="array" aca="1" ref="AH19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AH$6,$AC19+1)</f>
        <v>#REF!</v>
      </c>
      <c r="AI19" s="9" t="e" cm="1">
        <f t="array" aca="1" ref="AI19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AI$6,$AC19+1)</f>
        <v>#REF!</v>
      </c>
    </row>
    <row r="20" spans="1:35" x14ac:dyDescent="0.75">
      <c r="A20">
        <f t="shared" si="4"/>
        <v>2036</v>
      </c>
      <c r="B20">
        <f t="shared" si="4"/>
        <v>12</v>
      </c>
      <c r="C20" s="9" t="e" cm="1">
        <f t="array" aca="1" ref="C20" ca="1">$B$4 *
INDIRECT("Comp_Graph!Include_" &amp; $A$3)*INDIRECT("Comp_Graph!Include_" &amp; C$7)*
OFFSET(INDIRECT(Region_Abbr_Comp &amp; "!A1"), $B$5 + C$6,$B20+1)</f>
        <v>#REF!</v>
      </c>
      <c r="D20" s="9" t="e" cm="1">
        <f t="array" aca="1" ref="D20" ca="1">$B$4 *
INDIRECT("Comp_Graph!Include_" &amp; $A$3)*INDIRECT("Comp_Graph!Include_" &amp; D$7)*
OFFSET(INDIRECT(Region_Abbr_Comp &amp; "!A1"), $B$5 + D$6,$B20+1)</f>
        <v>#REF!</v>
      </c>
      <c r="E20" s="9" t="e" cm="1">
        <f t="array" aca="1" ref="E20" ca="1">$B$4 *
INDIRECT("Comp_Graph!Include_" &amp; $A$3)*INDIRECT("Comp_Graph!Include_" &amp; E$7)*
OFFSET(INDIRECT(Region_Abbr_Comp &amp; "!A1"), $B$5 + E$6,$B20+1)</f>
        <v>#REF!</v>
      </c>
      <c r="F20" s="9" t="e" cm="1">
        <f t="array" aca="1" ref="F20" ca="1">$B$4 *
INDIRECT("Comp_Graph!Include_" &amp; $A$3)*INDIRECT("Comp_Graph!Include_" &amp; F$7)*
OFFSET(INDIRECT(Region_Abbr_Comp &amp; "!A1"), $B$5 + F$6,$B20+1)</f>
        <v>#REF!</v>
      </c>
      <c r="G20" s="9" t="e" cm="1">
        <f t="array" aca="1" ref="G20" ca="1">$B$4 *
INDIRECT("Comp_Graph!Include_" &amp; $A$3)*INDIRECT("Comp_Graph!Include_" &amp; G$7)*
OFFSET(INDIRECT(Region_Abbr_Comp &amp; "!A1"), $B$5 + G$6,$B20+1)</f>
        <v>#REF!</v>
      </c>
      <c r="H20" s="9" t="e" cm="1">
        <f t="array" aca="1" ref="H20" ca="1">$B$4 *
INDIRECT("Comp_Graph!Include_" &amp; $A$3)*INDIRECT("Comp_Graph!Include_" &amp; H$7)*
OFFSET(INDIRECT(Region_Abbr_Comp &amp; "!A1"), $B$5 + H$6,$B20+1)</f>
        <v>#REF!</v>
      </c>
      <c r="J20">
        <f t="shared" si="5"/>
        <v>2036</v>
      </c>
      <c r="K20">
        <f t="shared" si="5"/>
        <v>12</v>
      </c>
      <c r="L20" s="9" t="e" cm="1">
        <f t="array" aca="1" ref="L20" ca="1">$K$4 *
INDIRECT("Comp_Graph!Include_" &amp; $J$3)*INDIRECT("Comp_Graph!Include_" &amp; L$7)*
OFFSET(INDIRECT(Region_Abbr_Comp &amp; "!A1"), $K$5 + L$6,$K20+1)</f>
        <v>#REF!</v>
      </c>
      <c r="M20" s="9" t="e" cm="1">
        <f t="array" aca="1" ref="M20" ca="1">$K$4 *
INDIRECT("Comp_Graph!Include_" &amp; $J$3)*INDIRECT("Comp_Graph!Include_" &amp; M$7)*
OFFSET(INDIRECT(Region_Abbr_Comp &amp; "!A1"), $K$5 + M$6,$K20+1)</f>
        <v>#REF!</v>
      </c>
      <c r="N20" s="9" t="e" cm="1">
        <f t="array" aca="1" ref="N20" ca="1">$K$4 *
INDIRECT("Comp_Graph!Include_" &amp; $J$3)*INDIRECT("Comp_Graph!Include_" &amp; N$7)*
OFFSET(INDIRECT(Region_Abbr_Comp &amp; "!A1"), $K$5 + N$6,$K20+1)</f>
        <v>#REF!</v>
      </c>
      <c r="O20" s="9" t="e" cm="1">
        <f t="array" aca="1" ref="O20" ca="1">$K$4 *
INDIRECT("Comp_Graph!Include_" &amp; $J$3)*INDIRECT("Comp_Graph!Include_" &amp; O$7)*
OFFSET(INDIRECT(Region_Abbr_Comp &amp; "!A1"), $K$5 + O$6,$K20+1)</f>
        <v>#REF!</v>
      </c>
      <c r="P20" s="9" t="e" cm="1">
        <f t="array" aca="1" ref="P20" ca="1">$K$4 *
INDIRECT("Comp_Graph!Include_" &amp; $J$3)*INDIRECT("Comp_Graph!Include_" &amp; P$7)*
OFFSET(INDIRECT(Region_Abbr_Comp &amp; "!A1"), $K$5 + P$6,$K20+1)</f>
        <v>#REF!</v>
      </c>
      <c r="Q20" s="9" t="e" cm="1">
        <f t="array" aca="1" ref="Q20" ca="1">$K$4 *
INDIRECT("Comp_Graph!Include_" &amp; $J$3)*INDIRECT("Comp_Graph!Include_" &amp; Q$7)*
OFFSET(INDIRECT(Region_Abbr_Comp &amp; "!A1"), $K$5 + Q$6,$K20+1)</f>
        <v>#REF!</v>
      </c>
      <c r="S20">
        <f t="shared" si="6"/>
        <v>2036</v>
      </c>
      <c r="T20">
        <f t="shared" si="6"/>
        <v>12</v>
      </c>
      <c r="U20" s="9" t="e" cm="1">
        <f t="array" aca="1" ref="U20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U$6,$T20+1)</f>
        <v>#REF!</v>
      </c>
      <c r="V20" s="9" t="e" cm="1">
        <f t="array" aca="1" ref="V20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V$6,$T20+1)</f>
        <v>#REF!</v>
      </c>
      <c r="W20" s="9" t="e" cm="1">
        <f t="array" aca="1" ref="W20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W$6,$T20+1)</f>
        <v>#REF!</v>
      </c>
      <c r="X20" s="9" t="e" cm="1">
        <f t="array" aca="1" ref="X20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X$6,$T20+1)</f>
        <v>#REF!</v>
      </c>
      <c r="Y20" s="9" t="e" cm="1">
        <f t="array" aca="1" ref="Y20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Y$6,$T20+1)</f>
        <v>#REF!</v>
      </c>
      <c r="Z20" s="9" t="e" cm="1">
        <f t="array" aca="1" ref="Z20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Z$6,$T20+1)</f>
        <v>#REF!</v>
      </c>
      <c r="AB20">
        <f t="shared" si="7"/>
        <v>2036</v>
      </c>
      <c r="AC20">
        <f t="shared" si="7"/>
        <v>12</v>
      </c>
      <c r="AD20" s="9" t="e" cm="1">
        <f t="array" aca="1" ref="AD20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AD$6,$AC20+1)</f>
        <v>#REF!</v>
      </c>
      <c r="AE20" s="9" t="e" cm="1">
        <f t="array" aca="1" ref="AE20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AE$6,$AC20+1)</f>
        <v>#REF!</v>
      </c>
      <c r="AF20" s="9" t="e" cm="1">
        <f t="array" aca="1" ref="AF20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AF$6,$AC20+1)</f>
        <v>#REF!</v>
      </c>
      <c r="AG20" s="9" t="e" cm="1">
        <f t="array" aca="1" ref="AG20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AG$6,$AC20+1)</f>
        <v>#REF!</v>
      </c>
      <c r="AH20" s="9" t="e" cm="1">
        <f t="array" aca="1" ref="AH20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AH$6,$AC20+1)</f>
        <v>#REF!</v>
      </c>
      <c r="AI20" s="9" t="e" cm="1">
        <f t="array" aca="1" ref="AI20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AI$6,$AC20+1)</f>
        <v>#REF!</v>
      </c>
    </row>
    <row r="21" spans="1:35" x14ac:dyDescent="0.75">
      <c r="A21">
        <f t="shared" si="4"/>
        <v>2037</v>
      </c>
      <c r="B21">
        <f t="shared" si="4"/>
        <v>13</v>
      </c>
      <c r="C21" s="9" t="e" cm="1">
        <f t="array" aca="1" ref="C21" ca="1">$B$4 *
INDIRECT("Comp_Graph!Include_" &amp; $A$3)*INDIRECT("Comp_Graph!Include_" &amp; C$7)*
OFFSET(INDIRECT(Region_Abbr_Comp &amp; "!A1"), $B$5 + C$6,$B21+1)</f>
        <v>#REF!</v>
      </c>
      <c r="D21" s="9" t="e" cm="1">
        <f t="array" aca="1" ref="D21" ca="1">$B$4 *
INDIRECT("Comp_Graph!Include_" &amp; $A$3)*INDIRECT("Comp_Graph!Include_" &amp; D$7)*
OFFSET(INDIRECT(Region_Abbr_Comp &amp; "!A1"), $B$5 + D$6,$B21+1)</f>
        <v>#REF!</v>
      </c>
      <c r="E21" s="9" t="e" cm="1">
        <f t="array" aca="1" ref="E21" ca="1">$B$4 *
INDIRECT("Comp_Graph!Include_" &amp; $A$3)*INDIRECT("Comp_Graph!Include_" &amp; E$7)*
OFFSET(INDIRECT(Region_Abbr_Comp &amp; "!A1"), $B$5 + E$6,$B21+1)</f>
        <v>#REF!</v>
      </c>
      <c r="F21" s="9" t="e" cm="1">
        <f t="array" aca="1" ref="F21" ca="1">$B$4 *
INDIRECT("Comp_Graph!Include_" &amp; $A$3)*INDIRECT("Comp_Graph!Include_" &amp; F$7)*
OFFSET(INDIRECT(Region_Abbr_Comp &amp; "!A1"), $B$5 + F$6,$B21+1)</f>
        <v>#REF!</v>
      </c>
      <c r="G21" s="9" t="e" cm="1">
        <f t="array" aca="1" ref="G21" ca="1">$B$4 *
INDIRECT("Comp_Graph!Include_" &amp; $A$3)*INDIRECT("Comp_Graph!Include_" &amp; G$7)*
OFFSET(INDIRECT(Region_Abbr_Comp &amp; "!A1"), $B$5 + G$6,$B21+1)</f>
        <v>#REF!</v>
      </c>
      <c r="H21" s="9" t="e" cm="1">
        <f t="array" aca="1" ref="H21" ca="1">$B$4 *
INDIRECT("Comp_Graph!Include_" &amp; $A$3)*INDIRECT("Comp_Graph!Include_" &amp; H$7)*
OFFSET(INDIRECT(Region_Abbr_Comp &amp; "!A1"), $B$5 + H$6,$B21+1)</f>
        <v>#REF!</v>
      </c>
      <c r="J21">
        <f t="shared" si="5"/>
        <v>2037</v>
      </c>
      <c r="K21">
        <f t="shared" si="5"/>
        <v>13</v>
      </c>
      <c r="L21" s="9" t="e" cm="1">
        <f t="array" aca="1" ref="L21" ca="1">$K$4 *
INDIRECT("Comp_Graph!Include_" &amp; $J$3)*INDIRECT("Comp_Graph!Include_" &amp; L$7)*
OFFSET(INDIRECT(Region_Abbr_Comp &amp; "!A1"), $K$5 + L$6,$K21+1)</f>
        <v>#REF!</v>
      </c>
      <c r="M21" s="9" t="e" cm="1">
        <f t="array" aca="1" ref="M21" ca="1">$K$4 *
INDIRECT("Comp_Graph!Include_" &amp; $J$3)*INDIRECT("Comp_Graph!Include_" &amp; M$7)*
OFFSET(INDIRECT(Region_Abbr_Comp &amp; "!A1"), $K$5 + M$6,$K21+1)</f>
        <v>#REF!</v>
      </c>
      <c r="N21" s="9" t="e" cm="1">
        <f t="array" aca="1" ref="N21" ca="1">$K$4 *
INDIRECT("Comp_Graph!Include_" &amp; $J$3)*INDIRECT("Comp_Graph!Include_" &amp; N$7)*
OFFSET(INDIRECT(Region_Abbr_Comp &amp; "!A1"), $K$5 + N$6,$K21+1)</f>
        <v>#REF!</v>
      </c>
      <c r="O21" s="9" t="e" cm="1">
        <f t="array" aca="1" ref="O21" ca="1">$K$4 *
INDIRECT("Comp_Graph!Include_" &amp; $J$3)*INDIRECT("Comp_Graph!Include_" &amp; O$7)*
OFFSET(INDIRECT(Region_Abbr_Comp &amp; "!A1"), $K$5 + O$6,$K21+1)</f>
        <v>#REF!</v>
      </c>
      <c r="P21" s="9" t="e" cm="1">
        <f t="array" aca="1" ref="P21" ca="1">$K$4 *
INDIRECT("Comp_Graph!Include_" &amp; $J$3)*INDIRECT("Comp_Graph!Include_" &amp; P$7)*
OFFSET(INDIRECT(Region_Abbr_Comp &amp; "!A1"), $K$5 + P$6,$K21+1)</f>
        <v>#REF!</v>
      </c>
      <c r="Q21" s="9" t="e" cm="1">
        <f t="array" aca="1" ref="Q21" ca="1">$K$4 *
INDIRECT("Comp_Graph!Include_" &amp; $J$3)*INDIRECT("Comp_Graph!Include_" &amp; Q$7)*
OFFSET(INDIRECT(Region_Abbr_Comp &amp; "!A1"), $K$5 + Q$6,$K21+1)</f>
        <v>#REF!</v>
      </c>
      <c r="S21">
        <f t="shared" si="6"/>
        <v>2037</v>
      </c>
      <c r="T21">
        <f t="shared" si="6"/>
        <v>13</v>
      </c>
      <c r="U21" s="9" t="e" cm="1">
        <f t="array" aca="1" ref="U21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U$6,$T21+1)</f>
        <v>#REF!</v>
      </c>
      <c r="V21" s="9" t="e" cm="1">
        <f t="array" aca="1" ref="V21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V$6,$T21+1)</f>
        <v>#REF!</v>
      </c>
      <c r="W21" s="9" t="e" cm="1">
        <f t="array" aca="1" ref="W21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W$6,$T21+1)</f>
        <v>#REF!</v>
      </c>
      <c r="X21" s="9" t="e" cm="1">
        <f t="array" aca="1" ref="X21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X$6,$T21+1)</f>
        <v>#REF!</v>
      </c>
      <c r="Y21" s="9" t="e" cm="1">
        <f t="array" aca="1" ref="Y21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Y$6,$T21+1)</f>
        <v>#REF!</v>
      </c>
      <c r="Z21" s="9" t="e" cm="1">
        <f t="array" aca="1" ref="Z21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Z$6,$T21+1)</f>
        <v>#REF!</v>
      </c>
      <c r="AB21">
        <f t="shared" si="7"/>
        <v>2037</v>
      </c>
      <c r="AC21">
        <f t="shared" si="7"/>
        <v>13</v>
      </c>
      <c r="AD21" s="9" t="e" cm="1">
        <f t="array" aca="1" ref="AD21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AD$6,$AC21+1)</f>
        <v>#REF!</v>
      </c>
      <c r="AE21" s="9" t="e" cm="1">
        <f t="array" aca="1" ref="AE21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AE$6,$AC21+1)</f>
        <v>#REF!</v>
      </c>
      <c r="AF21" s="9" t="e" cm="1">
        <f t="array" aca="1" ref="AF21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AF$6,$AC21+1)</f>
        <v>#REF!</v>
      </c>
      <c r="AG21" s="9" t="e" cm="1">
        <f t="array" aca="1" ref="AG21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AG$6,$AC21+1)</f>
        <v>#REF!</v>
      </c>
      <c r="AH21" s="9" t="e" cm="1">
        <f t="array" aca="1" ref="AH21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AH$6,$AC21+1)</f>
        <v>#REF!</v>
      </c>
      <c r="AI21" s="9" t="e" cm="1">
        <f t="array" aca="1" ref="AI21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AI$6,$AC21+1)</f>
        <v>#REF!</v>
      </c>
    </row>
    <row r="22" spans="1:35" x14ac:dyDescent="0.75">
      <c r="A22">
        <f t="shared" si="4"/>
        <v>2038</v>
      </c>
      <c r="B22">
        <f t="shared" si="4"/>
        <v>14</v>
      </c>
      <c r="C22" s="9" t="e" cm="1">
        <f t="array" aca="1" ref="C22" ca="1">$B$4 *
INDIRECT("Comp_Graph!Include_" &amp; $A$3)*INDIRECT("Comp_Graph!Include_" &amp; C$7)*
OFFSET(INDIRECT(Region_Abbr_Comp &amp; "!A1"), $B$5 + C$6,$B22+1)</f>
        <v>#REF!</v>
      </c>
      <c r="D22" s="9" t="e" cm="1">
        <f t="array" aca="1" ref="D22" ca="1">$B$4 *
INDIRECT("Comp_Graph!Include_" &amp; $A$3)*INDIRECT("Comp_Graph!Include_" &amp; D$7)*
OFFSET(INDIRECT(Region_Abbr_Comp &amp; "!A1"), $B$5 + D$6,$B22+1)</f>
        <v>#REF!</v>
      </c>
      <c r="E22" s="9" t="e" cm="1">
        <f t="array" aca="1" ref="E22" ca="1">$B$4 *
INDIRECT("Comp_Graph!Include_" &amp; $A$3)*INDIRECT("Comp_Graph!Include_" &amp; E$7)*
OFFSET(INDIRECT(Region_Abbr_Comp &amp; "!A1"), $B$5 + E$6,$B22+1)</f>
        <v>#REF!</v>
      </c>
      <c r="F22" s="9" t="e" cm="1">
        <f t="array" aca="1" ref="F22" ca="1">$B$4 *
INDIRECT("Comp_Graph!Include_" &amp; $A$3)*INDIRECT("Comp_Graph!Include_" &amp; F$7)*
OFFSET(INDIRECT(Region_Abbr_Comp &amp; "!A1"), $B$5 + F$6,$B22+1)</f>
        <v>#REF!</v>
      </c>
      <c r="G22" s="9" t="e" cm="1">
        <f t="array" aca="1" ref="G22" ca="1">$B$4 *
INDIRECT("Comp_Graph!Include_" &amp; $A$3)*INDIRECT("Comp_Graph!Include_" &amp; G$7)*
OFFSET(INDIRECT(Region_Abbr_Comp &amp; "!A1"), $B$5 + G$6,$B22+1)</f>
        <v>#REF!</v>
      </c>
      <c r="H22" s="9" t="e" cm="1">
        <f t="array" aca="1" ref="H22" ca="1">$B$4 *
INDIRECT("Comp_Graph!Include_" &amp; $A$3)*INDIRECT("Comp_Graph!Include_" &amp; H$7)*
OFFSET(INDIRECT(Region_Abbr_Comp &amp; "!A1"), $B$5 + H$6,$B22+1)</f>
        <v>#REF!</v>
      </c>
      <c r="J22">
        <f t="shared" si="5"/>
        <v>2038</v>
      </c>
      <c r="K22">
        <f t="shared" si="5"/>
        <v>14</v>
      </c>
      <c r="L22" s="9" t="e" cm="1">
        <f t="array" aca="1" ref="L22" ca="1">$K$4 *
INDIRECT("Comp_Graph!Include_" &amp; $J$3)*INDIRECT("Comp_Graph!Include_" &amp; L$7)*
OFFSET(INDIRECT(Region_Abbr_Comp &amp; "!A1"), $K$5 + L$6,$K22+1)</f>
        <v>#REF!</v>
      </c>
      <c r="M22" s="9" t="e" cm="1">
        <f t="array" aca="1" ref="M22" ca="1">$K$4 *
INDIRECT("Comp_Graph!Include_" &amp; $J$3)*INDIRECT("Comp_Graph!Include_" &amp; M$7)*
OFFSET(INDIRECT(Region_Abbr_Comp &amp; "!A1"), $K$5 + M$6,$K22+1)</f>
        <v>#REF!</v>
      </c>
      <c r="N22" s="9" t="e" cm="1">
        <f t="array" aca="1" ref="N22" ca="1">$K$4 *
INDIRECT("Comp_Graph!Include_" &amp; $J$3)*INDIRECT("Comp_Graph!Include_" &amp; N$7)*
OFFSET(INDIRECT(Region_Abbr_Comp &amp; "!A1"), $K$5 + N$6,$K22+1)</f>
        <v>#REF!</v>
      </c>
      <c r="O22" s="9" t="e" cm="1">
        <f t="array" aca="1" ref="O22" ca="1">$K$4 *
INDIRECT("Comp_Graph!Include_" &amp; $J$3)*INDIRECT("Comp_Graph!Include_" &amp; O$7)*
OFFSET(INDIRECT(Region_Abbr_Comp &amp; "!A1"), $K$5 + O$6,$K22+1)</f>
        <v>#REF!</v>
      </c>
      <c r="P22" s="9" t="e" cm="1">
        <f t="array" aca="1" ref="P22" ca="1">$K$4 *
INDIRECT("Comp_Graph!Include_" &amp; $J$3)*INDIRECT("Comp_Graph!Include_" &amp; P$7)*
OFFSET(INDIRECT(Region_Abbr_Comp &amp; "!A1"), $K$5 + P$6,$K22+1)</f>
        <v>#REF!</v>
      </c>
      <c r="Q22" s="9" t="e" cm="1">
        <f t="array" aca="1" ref="Q22" ca="1">$K$4 *
INDIRECT("Comp_Graph!Include_" &amp; $J$3)*INDIRECT("Comp_Graph!Include_" &amp; Q$7)*
OFFSET(INDIRECT(Region_Abbr_Comp &amp; "!A1"), $K$5 + Q$6,$K22+1)</f>
        <v>#REF!</v>
      </c>
      <c r="S22">
        <f t="shared" si="6"/>
        <v>2038</v>
      </c>
      <c r="T22">
        <f t="shared" si="6"/>
        <v>14</v>
      </c>
      <c r="U22" s="9" t="e" cm="1">
        <f t="array" aca="1" ref="U22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U$6,$T22+1)</f>
        <v>#REF!</v>
      </c>
      <c r="V22" s="9" t="e" cm="1">
        <f t="array" aca="1" ref="V22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V$6,$T22+1)</f>
        <v>#REF!</v>
      </c>
      <c r="W22" s="9" t="e" cm="1">
        <f t="array" aca="1" ref="W22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W$6,$T22+1)</f>
        <v>#REF!</v>
      </c>
      <c r="X22" s="9" t="e" cm="1">
        <f t="array" aca="1" ref="X22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X$6,$T22+1)</f>
        <v>#REF!</v>
      </c>
      <c r="Y22" s="9" t="e" cm="1">
        <f t="array" aca="1" ref="Y22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Y$6,$T22+1)</f>
        <v>#REF!</v>
      </c>
      <c r="Z22" s="9" t="e" cm="1">
        <f t="array" aca="1" ref="Z22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Z$6,$T22+1)</f>
        <v>#REF!</v>
      </c>
      <c r="AB22">
        <f t="shared" si="7"/>
        <v>2038</v>
      </c>
      <c r="AC22">
        <f t="shared" si="7"/>
        <v>14</v>
      </c>
      <c r="AD22" s="9" t="e" cm="1">
        <f t="array" aca="1" ref="AD22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AD$6,$AC22+1)</f>
        <v>#REF!</v>
      </c>
      <c r="AE22" s="9" t="e" cm="1">
        <f t="array" aca="1" ref="AE22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AE$6,$AC22+1)</f>
        <v>#REF!</v>
      </c>
      <c r="AF22" s="9" t="e" cm="1">
        <f t="array" aca="1" ref="AF22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AF$6,$AC22+1)</f>
        <v>#REF!</v>
      </c>
      <c r="AG22" s="9" t="e" cm="1">
        <f t="array" aca="1" ref="AG22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AG$6,$AC22+1)</f>
        <v>#REF!</v>
      </c>
      <c r="AH22" s="9" t="e" cm="1">
        <f t="array" aca="1" ref="AH22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AH$6,$AC22+1)</f>
        <v>#REF!</v>
      </c>
      <c r="AI22" s="9" t="e" cm="1">
        <f t="array" aca="1" ref="AI22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AI$6,$AC22+1)</f>
        <v>#REF!</v>
      </c>
    </row>
    <row r="23" spans="1:35" x14ac:dyDescent="0.75">
      <c r="A23">
        <f t="shared" si="4"/>
        <v>2039</v>
      </c>
      <c r="B23">
        <f t="shared" si="4"/>
        <v>15</v>
      </c>
      <c r="C23" s="9" t="e" cm="1">
        <f t="array" aca="1" ref="C23" ca="1">$B$4 *
INDIRECT("Comp_Graph!Include_" &amp; $A$3)*INDIRECT("Comp_Graph!Include_" &amp; C$7)*
OFFSET(INDIRECT(Region_Abbr_Comp &amp; "!A1"), $B$5 + C$6,$B23+1)</f>
        <v>#REF!</v>
      </c>
      <c r="D23" s="9" t="e" cm="1">
        <f t="array" aca="1" ref="D23" ca="1">$B$4 *
INDIRECT("Comp_Graph!Include_" &amp; $A$3)*INDIRECT("Comp_Graph!Include_" &amp; D$7)*
OFFSET(INDIRECT(Region_Abbr_Comp &amp; "!A1"), $B$5 + D$6,$B23+1)</f>
        <v>#REF!</v>
      </c>
      <c r="E23" s="9" t="e" cm="1">
        <f t="array" aca="1" ref="E23" ca="1">$B$4 *
INDIRECT("Comp_Graph!Include_" &amp; $A$3)*INDIRECT("Comp_Graph!Include_" &amp; E$7)*
OFFSET(INDIRECT(Region_Abbr_Comp &amp; "!A1"), $B$5 + E$6,$B23+1)</f>
        <v>#REF!</v>
      </c>
      <c r="F23" s="9" t="e" cm="1">
        <f t="array" aca="1" ref="F23" ca="1">$B$4 *
INDIRECT("Comp_Graph!Include_" &amp; $A$3)*INDIRECT("Comp_Graph!Include_" &amp; F$7)*
OFFSET(INDIRECT(Region_Abbr_Comp &amp; "!A1"), $B$5 + F$6,$B23+1)</f>
        <v>#REF!</v>
      </c>
      <c r="G23" s="9" t="e" cm="1">
        <f t="array" aca="1" ref="G23" ca="1">$B$4 *
INDIRECT("Comp_Graph!Include_" &amp; $A$3)*INDIRECT("Comp_Graph!Include_" &amp; G$7)*
OFFSET(INDIRECT(Region_Abbr_Comp &amp; "!A1"), $B$5 + G$6,$B23+1)</f>
        <v>#REF!</v>
      </c>
      <c r="H23" s="9" t="e" cm="1">
        <f t="array" aca="1" ref="H23" ca="1">$B$4 *
INDIRECT("Comp_Graph!Include_" &amp; $A$3)*INDIRECT("Comp_Graph!Include_" &amp; H$7)*
OFFSET(INDIRECT(Region_Abbr_Comp &amp; "!A1"), $B$5 + H$6,$B23+1)</f>
        <v>#REF!</v>
      </c>
      <c r="J23">
        <f t="shared" si="5"/>
        <v>2039</v>
      </c>
      <c r="K23">
        <f t="shared" si="5"/>
        <v>15</v>
      </c>
      <c r="L23" s="9" t="e" cm="1">
        <f t="array" aca="1" ref="L23" ca="1">$K$4 *
INDIRECT("Comp_Graph!Include_" &amp; $J$3)*INDIRECT("Comp_Graph!Include_" &amp; L$7)*
OFFSET(INDIRECT(Region_Abbr_Comp &amp; "!A1"), $K$5 + L$6,$K23+1)</f>
        <v>#REF!</v>
      </c>
      <c r="M23" s="9" t="e" cm="1">
        <f t="array" aca="1" ref="M23" ca="1">$K$4 *
INDIRECT("Comp_Graph!Include_" &amp; $J$3)*INDIRECT("Comp_Graph!Include_" &amp; M$7)*
OFFSET(INDIRECT(Region_Abbr_Comp &amp; "!A1"), $K$5 + M$6,$K23+1)</f>
        <v>#REF!</v>
      </c>
      <c r="N23" s="9" t="e" cm="1">
        <f t="array" aca="1" ref="N23" ca="1">$K$4 *
INDIRECT("Comp_Graph!Include_" &amp; $J$3)*INDIRECT("Comp_Graph!Include_" &amp; N$7)*
OFFSET(INDIRECT(Region_Abbr_Comp &amp; "!A1"), $K$5 + N$6,$K23+1)</f>
        <v>#REF!</v>
      </c>
      <c r="O23" s="9" t="e" cm="1">
        <f t="array" aca="1" ref="O23" ca="1">$K$4 *
INDIRECT("Comp_Graph!Include_" &amp; $J$3)*INDIRECT("Comp_Graph!Include_" &amp; O$7)*
OFFSET(INDIRECT(Region_Abbr_Comp &amp; "!A1"), $K$5 + O$6,$K23+1)</f>
        <v>#REF!</v>
      </c>
      <c r="P23" s="9" t="e" cm="1">
        <f t="array" aca="1" ref="P23" ca="1">$K$4 *
INDIRECT("Comp_Graph!Include_" &amp; $J$3)*INDIRECT("Comp_Graph!Include_" &amp; P$7)*
OFFSET(INDIRECT(Region_Abbr_Comp &amp; "!A1"), $K$5 + P$6,$K23+1)</f>
        <v>#REF!</v>
      </c>
      <c r="Q23" s="9" t="e" cm="1">
        <f t="array" aca="1" ref="Q23" ca="1">$K$4 *
INDIRECT("Comp_Graph!Include_" &amp; $J$3)*INDIRECT("Comp_Graph!Include_" &amp; Q$7)*
OFFSET(INDIRECT(Region_Abbr_Comp &amp; "!A1"), $K$5 + Q$6,$K23+1)</f>
        <v>#REF!</v>
      </c>
      <c r="S23">
        <f t="shared" si="6"/>
        <v>2039</v>
      </c>
      <c r="T23">
        <f t="shared" si="6"/>
        <v>15</v>
      </c>
      <c r="U23" s="9" t="e" cm="1">
        <f t="array" aca="1" ref="U23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U$6,$T23+1)</f>
        <v>#REF!</v>
      </c>
      <c r="V23" s="9" t="e" cm="1">
        <f t="array" aca="1" ref="V23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V$6,$T23+1)</f>
        <v>#REF!</v>
      </c>
      <c r="W23" s="9" t="e" cm="1">
        <f t="array" aca="1" ref="W23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W$6,$T23+1)</f>
        <v>#REF!</v>
      </c>
      <c r="X23" s="9" t="e" cm="1">
        <f t="array" aca="1" ref="X23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X$6,$T23+1)</f>
        <v>#REF!</v>
      </c>
      <c r="Y23" s="9" t="e" cm="1">
        <f t="array" aca="1" ref="Y23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Y$6,$T23+1)</f>
        <v>#REF!</v>
      </c>
      <c r="Z23" s="9" t="e" cm="1">
        <f t="array" aca="1" ref="Z23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Z$6,$T23+1)</f>
        <v>#REF!</v>
      </c>
      <c r="AB23">
        <f t="shared" si="7"/>
        <v>2039</v>
      </c>
      <c r="AC23">
        <f t="shared" si="7"/>
        <v>15</v>
      </c>
      <c r="AD23" s="9" t="e" cm="1">
        <f t="array" aca="1" ref="AD23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AD$6,$AC23+1)</f>
        <v>#REF!</v>
      </c>
      <c r="AE23" s="9" t="e" cm="1">
        <f t="array" aca="1" ref="AE23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AE$6,$AC23+1)</f>
        <v>#REF!</v>
      </c>
      <c r="AF23" s="9" t="e" cm="1">
        <f t="array" aca="1" ref="AF23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AF$6,$AC23+1)</f>
        <v>#REF!</v>
      </c>
      <c r="AG23" s="9" t="e" cm="1">
        <f t="array" aca="1" ref="AG23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AG$6,$AC23+1)</f>
        <v>#REF!</v>
      </c>
      <c r="AH23" s="9" t="e" cm="1">
        <f t="array" aca="1" ref="AH23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AH$6,$AC23+1)</f>
        <v>#REF!</v>
      </c>
      <c r="AI23" s="9" t="e" cm="1">
        <f t="array" aca="1" ref="AI23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AI$6,$AC23+1)</f>
        <v>#REF!</v>
      </c>
    </row>
    <row r="24" spans="1:35" x14ac:dyDescent="0.75">
      <c r="A24">
        <f t="shared" si="4"/>
        <v>2040</v>
      </c>
      <c r="B24">
        <f t="shared" si="4"/>
        <v>16</v>
      </c>
      <c r="C24" s="9" t="e" cm="1">
        <f t="array" aca="1" ref="C24" ca="1">$B$4 *
INDIRECT("Comp_Graph!Include_" &amp; $A$3)*INDIRECT("Comp_Graph!Include_" &amp; C$7)*
OFFSET(INDIRECT(Region_Abbr_Comp &amp; "!A1"), $B$5 + C$6,$B24+1)</f>
        <v>#REF!</v>
      </c>
      <c r="D24" s="9" t="e" cm="1">
        <f t="array" aca="1" ref="D24" ca="1">$B$4 *
INDIRECT("Comp_Graph!Include_" &amp; $A$3)*INDIRECT("Comp_Graph!Include_" &amp; D$7)*
OFFSET(INDIRECT(Region_Abbr_Comp &amp; "!A1"), $B$5 + D$6,$B24+1)</f>
        <v>#REF!</v>
      </c>
      <c r="E24" s="9" t="e" cm="1">
        <f t="array" aca="1" ref="E24" ca="1">$B$4 *
INDIRECT("Comp_Graph!Include_" &amp; $A$3)*INDIRECT("Comp_Graph!Include_" &amp; E$7)*
OFFSET(INDIRECT(Region_Abbr_Comp &amp; "!A1"), $B$5 + E$6,$B24+1)</f>
        <v>#REF!</v>
      </c>
      <c r="F24" s="9" t="e" cm="1">
        <f t="array" aca="1" ref="F24" ca="1">$B$4 *
INDIRECT("Comp_Graph!Include_" &amp; $A$3)*INDIRECT("Comp_Graph!Include_" &amp; F$7)*
OFFSET(INDIRECT(Region_Abbr_Comp &amp; "!A1"), $B$5 + F$6,$B24+1)</f>
        <v>#REF!</v>
      </c>
      <c r="G24" s="9" t="e" cm="1">
        <f t="array" aca="1" ref="G24" ca="1">$B$4 *
INDIRECT("Comp_Graph!Include_" &amp; $A$3)*INDIRECT("Comp_Graph!Include_" &amp; G$7)*
OFFSET(INDIRECT(Region_Abbr_Comp &amp; "!A1"), $B$5 + G$6,$B24+1)</f>
        <v>#REF!</v>
      </c>
      <c r="H24" s="9" t="e" cm="1">
        <f t="array" aca="1" ref="H24" ca="1">$B$4 *
INDIRECT("Comp_Graph!Include_" &amp; $A$3)*INDIRECT("Comp_Graph!Include_" &amp; H$7)*
OFFSET(INDIRECT(Region_Abbr_Comp &amp; "!A1"), $B$5 + H$6,$B24+1)</f>
        <v>#REF!</v>
      </c>
      <c r="J24">
        <f t="shared" si="5"/>
        <v>2040</v>
      </c>
      <c r="K24">
        <f t="shared" si="5"/>
        <v>16</v>
      </c>
      <c r="L24" s="9" t="e" cm="1">
        <f t="array" aca="1" ref="L24" ca="1">$K$4 *
INDIRECT("Comp_Graph!Include_" &amp; $J$3)*INDIRECT("Comp_Graph!Include_" &amp; L$7)*
OFFSET(INDIRECT(Region_Abbr_Comp &amp; "!A1"), $K$5 + L$6,$K24+1)</f>
        <v>#REF!</v>
      </c>
      <c r="M24" s="9" t="e" cm="1">
        <f t="array" aca="1" ref="M24" ca="1">$K$4 *
INDIRECT("Comp_Graph!Include_" &amp; $J$3)*INDIRECT("Comp_Graph!Include_" &amp; M$7)*
OFFSET(INDIRECT(Region_Abbr_Comp &amp; "!A1"), $K$5 + M$6,$K24+1)</f>
        <v>#REF!</v>
      </c>
      <c r="N24" s="9" t="e" cm="1">
        <f t="array" aca="1" ref="N24" ca="1">$K$4 *
INDIRECT("Comp_Graph!Include_" &amp; $J$3)*INDIRECT("Comp_Graph!Include_" &amp; N$7)*
OFFSET(INDIRECT(Region_Abbr_Comp &amp; "!A1"), $K$5 + N$6,$K24+1)</f>
        <v>#REF!</v>
      </c>
      <c r="O24" s="9" t="e" cm="1">
        <f t="array" aca="1" ref="O24" ca="1">$K$4 *
INDIRECT("Comp_Graph!Include_" &amp; $J$3)*INDIRECT("Comp_Graph!Include_" &amp; O$7)*
OFFSET(INDIRECT(Region_Abbr_Comp &amp; "!A1"), $K$5 + O$6,$K24+1)</f>
        <v>#REF!</v>
      </c>
      <c r="P24" s="9" t="e" cm="1">
        <f t="array" aca="1" ref="P24" ca="1">$K$4 *
INDIRECT("Comp_Graph!Include_" &amp; $J$3)*INDIRECT("Comp_Graph!Include_" &amp; P$7)*
OFFSET(INDIRECT(Region_Abbr_Comp &amp; "!A1"), $K$5 + P$6,$K24+1)</f>
        <v>#REF!</v>
      </c>
      <c r="Q24" s="9" t="e" cm="1">
        <f t="array" aca="1" ref="Q24" ca="1">$K$4 *
INDIRECT("Comp_Graph!Include_" &amp; $J$3)*INDIRECT("Comp_Graph!Include_" &amp; Q$7)*
OFFSET(INDIRECT(Region_Abbr_Comp &amp; "!A1"), $K$5 + Q$6,$K24+1)</f>
        <v>#REF!</v>
      </c>
      <c r="S24">
        <f t="shared" si="6"/>
        <v>2040</v>
      </c>
      <c r="T24">
        <f t="shared" si="6"/>
        <v>16</v>
      </c>
      <c r="U24" s="9" t="e" cm="1">
        <f t="array" aca="1" ref="U24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U$6,$T24+1)</f>
        <v>#REF!</v>
      </c>
      <c r="V24" s="9" t="e" cm="1">
        <f t="array" aca="1" ref="V24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V$6,$T24+1)</f>
        <v>#REF!</v>
      </c>
      <c r="W24" s="9" t="e" cm="1">
        <f t="array" aca="1" ref="W24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W$6,$T24+1)</f>
        <v>#REF!</v>
      </c>
      <c r="X24" s="9" t="e" cm="1">
        <f t="array" aca="1" ref="X24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X$6,$T24+1)</f>
        <v>#REF!</v>
      </c>
      <c r="Y24" s="9" t="e" cm="1">
        <f t="array" aca="1" ref="Y24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Y$6,$T24+1)</f>
        <v>#REF!</v>
      </c>
      <c r="Z24" s="9" t="e" cm="1">
        <f t="array" aca="1" ref="Z24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Z$6,$T24+1)</f>
        <v>#REF!</v>
      </c>
      <c r="AB24">
        <f t="shared" si="7"/>
        <v>2040</v>
      </c>
      <c r="AC24">
        <f t="shared" si="7"/>
        <v>16</v>
      </c>
      <c r="AD24" s="9" t="e" cm="1">
        <f t="array" aca="1" ref="AD24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AD$6,$AC24+1)</f>
        <v>#REF!</v>
      </c>
      <c r="AE24" s="9" t="e" cm="1">
        <f t="array" aca="1" ref="AE24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AE$6,$AC24+1)</f>
        <v>#REF!</v>
      </c>
      <c r="AF24" s="9" t="e" cm="1">
        <f t="array" aca="1" ref="AF24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AF$6,$AC24+1)</f>
        <v>#REF!</v>
      </c>
      <c r="AG24" s="9" t="e" cm="1">
        <f t="array" aca="1" ref="AG24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AG$6,$AC24+1)</f>
        <v>#REF!</v>
      </c>
      <c r="AH24" s="9" t="e" cm="1">
        <f t="array" aca="1" ref="AH24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AH$6,$AC24+1)</f>
        <v>#REF!</v>
      </c>
      <c r="AI24" s="9" t="e" cm="1">
        <f t="array" aca="1" ref="AI24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AI$6,$AC24+1)</f>
        <v>#REF!</v>
      </c>
    </row>
    <row r="25" spans="1:35" x14ac:dyDescent="0.75">
      <c r="A25">
        <f t="shared" ref="A25:B34" si="8">A24+1</f>
        <v>2041</v>
      </c>
      <c r="B25">
        <f t="shared" si="8"/>
        <v>17</v>
      </c>
      <c r="C25" s="9" t="e" cm="1">
        <f t="array" aca="1" ref="C25" ca="1">$B$4 *
INDIRECT("Comp_Graph!Include_" &amp; $A$3)*INDIRECT("Comp_Graph!Include_" &amp; C$7)*
OFFSET(INDIRECT(Region_Abbr_Comp &amp; "!A1"), $B$5 + C$6,$B25+1)</f>
        <v>#REF!</v>
      </c>
      <c r="D25" s="9" t="e" cm="1">
        <f t="array" aca="1" ref="D25" ca="1">$B$4 *
INDIRECT("Comp_Graph!Include_" &amp; $A$3)*INDIRECT("Comp_Graph!Include_" &amp; D$7)*
OFFSET(INDIRECT(Region_Abbr_Comp &amp; "!A1"), $B$5 + D$6,$B25+1)</f>
        <v>#REF!</v>
      </c>
      <c r="E25" s="9" t="e" cm="1">
        <f t="array" aca="1" ref="E25" ca="1">$B$4 *
INDIRECT("Comp_Graph!Include_" &amp; $A$3)*INDIRECT("Comp_Graph!Include_" &amp; E$7)*
OFFSET(INDIRECT(Region_Abbr_Comp &amp; "!A1"), $B$5 + E$6,$B25+1)</f>
        <v>#REF!</v>
      </c>
      <c r="F25" s="9" t="e" cm="1">
        <f t="array" aca="1" ref="F25" ca="1">$B$4 *
INDIRECT("Comp_Graph!Include_" &amp; $A$3)*INDIRECT("Comp_Graph!Include_" &amp; F$7)*
OFFSET(INDIRECT(Region_Abbr_Comp &amp; "!A1"), $B$5 + F$6,$B25+1)</f>
        <v>#REF!</v>
      </c>
      <c r="G25" s="9" t="e" cm="1">
        <f t="array" aca="1" ref="G25" ca="1">$B$4 *
INDIRECT("Comp_Graph!Include_" &amp; $A$3)*INDIRECT("Comp_Graph!Include_" &amp; G$7)*
OFFSET(INDIRECT(Region_Abbr_Comp &amp; "!A1"), $B$5 + G$6,$B25+1)</f>
        <v>#REF!</v>
      </c>
      <c r="H25" s="9" t="e" cm="1">
        <f t="array" aca="1" ref="H25" ca="1">$B$4 *
INDIRECT("Comp_Graph!Include_" &amp; $A$3)*INDIRECT("Comp_Graph!Include_" &amp; H$7)*
OFFSET(INDIRECT(Region_Abbr_Comp &amp; "!A1"), $B$5 + H$6,$B25+1)</f>
        <v>#REF!</v>
      </c>
      <c r="J25">
        <f t="shared" ref="J25:K34" si="9">J24+1</f>
        <v>2041</v>
      </c>
      <c r="K25">
        <f t="shared" si="9"/>
        <v>17</v>
      </c>
      <c r="L25" s="9" t="e" cm="1">
        <f t="array" aca="1" ref="L25" ca="1">$K$4 *
INDIRECT("Comp_Graph!Include_" &amp; $J$3)*INDIRECT("Comp_Graph!Include_" &amp; L$7)*
OFFSET(INDIRECT(Region_Abbr_Comp &amp; "!A1"), $K$5 + L$6,$K25+1)</f>
        <v>#REF!</v>
      </c>
      <c r="M25" s="9" t="e" cm="1">
        <f t="array" aca="1" ref="M25" ca="1">$K$4 *
INDIRECT("Comp_Graph!Include_" &amp; $J$3)*INDIRECT("Comp_Graph!Include_" &amp; M$7)*
OFFSET(INDIRECT(Region_Abbr_Comp &amp; "!A1"), $K$5 + M$6,$K25+1)</f>
        <v>#REF!</v>
      </c>
      <c r="N25" s="9" t="e" cm="1">
        <f t="array" aca="1" ref="N25" ca="1">$K$4 *
INDIRECT("Comp_Graph!Include_" &amp; $J$3)*INDIRECT("Comp_Graph!Include_" &amp; N$7)*
OFFSET(INDIRECT(Region_Abbr_Comp &amp; "!A1"), $K$5 + N$6,$K25+1)</f>
        <v>#REF!</v>
      </c>
      <c r="O25" s="9" t="e" cm="1">
        <f t="array" aca="1" ref="O25" ca="1">$K$4 *
INDIRECT("Comp_Graph!Include_" &amp; $J$3)*INDIRECT("Comp_Graph!Include_" &amp; O$7)*
OFFSET(INDIRECT(Region_Abbr_Comp &amp; "!A1"), $K$5 + O$6,$K25+1)</f>
        <v>#REF!</v>
      </c>
      <c r="P25" s="9" t="e" cm="1">
        <f t="array" aca="1" ref="P25" ca="1">$K$4 *
INDIRECT("Comp_Graph!Include_" &amp; $J$3)*INDIRECT("Comp_Graph!Include_" &amp; P$7)*
OFFSET(INDIRECT(Region_Abbr_Comp &amp; "!A1"), $K$5 + P$6,$K25+1)</f>
        <v>#REF!</v>
      </c>
      <c r="Q25" s="9" t="e" cm="1">
        <f t="array" aca="1" ref="Q25" ca="1">$K$4 *
INDIRECT("Comp_Graph!Include_" &amp; $J$3)*INDIRECT("Comp_Graph!Include_" &amp; Q$7)*
OFFSET(INDIRECT(Region_Abbr_Comp &amp; "!A1"), $K$5 + Q$6,$K25+1)</f>
        <v>#REF!</v>
      </c>
      <c r="S25">
        <f t="shared" ref="S25:T34" si="10">S24+1</f>
        <v>2041</v>
      </c>
      <c r="T25">
        <f t="shared" si="10"/>
        <v>17</v>
      </c>
      <c r="U25" s="9" t="e" cm="1">
        <f t="array" aca="1" ref="U25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U$6,$T25+1)</f>
        <v>#REF!</v>
      </c>
      <c r="V25" s="9" t="e" cm="1">
        <f t="array" aca="1" ref="V25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V$6,$T25+1)</f>
        <v>#REF!</v>
      </c>
      <c r="W25" s="9" t="e" cm="1">
        <f t="array" aca="1" ref="W25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W$6,$T25+1)</f>
        <v>#REF!</v>
      </c>
      <c r="X25" s="9" t="e" cm="1">
        <f t="array" aca="1" ref="X25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X$6,$T25+1)</f>
        <v>#REF!</v>
      </c>
      <c r="Y25" s="9" t="e" cm="1">
        <f t="array" aca="1" ref="Y25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Y$6,$T25+1)</f>
        <v>#REF!</v>
      </c>
      <c r="Z25" s="9" t="e" cm="1">
        <f t="array" aca="1" ref="Z25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Z$6,$T25+1)</f>
        <v>#REF!</v>
      </c>
      <c r="AB25">
        <f t="shared" ref="AB25:AC34" si="11">AB24+1</f>
        <v>2041</v>
      </c>
      <c r="AC25">
        <f t="shared" si="11"/>
        <v>17</v>
      </c>
      <c r="AD25" s="9" t="e" cm="1">
        <f t="array" aca="1" ref="AD25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AD$6,$AC25+1)</f>
        <v>#REF!</v>
      </c>
      <c r="AE25" s="9" t="e" cm="1">
        <f t="array" aca="1" ref="AE25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AE$6,$AC25+1)</f>
        <v>#REF!</v>
      </c>
      <c r="AF25" s="9" t="e" cm="1">
        <f t="array" aca="1" ref="AF25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AF$6,$AC25+1)</f>
        <v>#REF!</v>
      </c>
      <c r="AG25" s="9" t="e" cm="1">
        <f t="array" aca="1" ref="AG25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AG$6,$AC25+1)</f>
        <v>#REF!</v>
      </c>
      <c r="AH25" s="9" t="e" cm="1">
        <f t="array" aca="1" ref="AH25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AH$6,$AC25+1)</f>
        <v>#REF!</v>
      </c>
      <c r="AI25" s="9" t="e" cm="1">
        <f t="array" aca="1" ref="AI25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AI$6,$AC25+1)</f>
        <v>#REF!</v>
      </c>
    </row>
    <row r="26" spans="1:35" x14ac:dyDescent="0.75">
      <c r="A26">
        <f t="shared" si="8"/>
        <v>2042</v>
      </c>
      <c r="B26">
        <f t="shared" si="8"/>
        <v>18</v>
      </c>
      <c r="C26" s="9" t="e" cm="1">
        <f t="array" aca="1" ref="C26" ca="1">$B$4 *
INDIRECT("Comp_Graph!Include_" &amp; $A$3)*INDIRECT("Comp_Graph!Include_" &amp; C$7)*
OFFSET(INDIRECT(Region_Abbr_Comp &amp; "!A1"), $B$5 + C$6,$B26+1)</f>
        <v>#REF!</v>
      </c>
      <c r="D26" s="9" t="e" cm="1">
        <f t="array" aca="1" ref="D26" ca="1">$B$4 *
INDIRECT("Comp_Graph!Include_" &amp; $A$3)*INDIRECT("Comp_Graph!Include_" &amp; D$7)*
OFFSET(INDIRECT(Region_Abbr_Comp &amp; "!A1"), $B$5 + D$6,$B26+1)</f>
        <v>#REF!</v>
      </c>
      <c r="E26" s="9" t="e" cm="1">
        <f t="array" aca="1" ref="E26" ca="1">$B$4 *
INDIRECT("Comp_Graph!Include_" &amp; $A$3)*INDIRECT("Comp_Graph!Include_" &amp; E$7)*
OFFSET(INDIRECT(Region_Abbr_Comp &amp; "!A1"), $B$5 + E$6,$B26+1)</f>
        <v>#REF!</v>
      </c>
      <c r="F26" s="9" t="e" cm="1">
        <f t="array" aca="1" ref="F26" ca="1">$B$4 *
INDIRECT("Comp_Graph!Include_" &amp; $A$3)*INDIRECT("Comp_Graph!Include_" &amp; F$7)*
OFFSET(INDIRECT(Region_Abbr_Comp &amp; "!A1"), $B$5 + F$6,$B26+1)</f>
        <v>#REF!</v>
      </c>
      <c r="G26" s="9" t="e" cm="1">
        <f t="array" aca="1" ref="G26" ca="1">$B$4 *
INDIRECT("Comp_Graph!Include_" &amp; $A$3)*INDIRECT("Comp_Graph!Include_" &amp; G$7)*
OFFSET(INDIRECT(Region_Abbr_Comp &amp; "!A1"), $B$5 + G$6,$B26+1)</f>
        <v>#REF!</v>
      </c>
      <c r="H26" s="9" t="e" cm="1">
        <f t="array" aca="1" ref="H26" ca="1">$B$4 *
INDIRECT("Comp_Graph!Include_" &amp; $A$3)*INDIRECT("Comp_Graph!Include_" &amp; H$7)*
OFFSET(INDIRECT(Region_Abbr_Comp &amp; "!A1"), $B$5 + H$6,$B26+1)</f>
        <v>#REF!</v>
      </c>
      <c r="J26">
        <f t="shared" si="9"/>
        <v>2042</v>
      </c>
      <c r="K26">
        <f t="shared" si="9"/>
        <v>18</v>
      </c>
      <c r="L26" s="9" t="e" cm="1">
        <f t="array" aca="1" ref="L26" ca="1">$K$4 *
INDIRECT("Comp_Graph!Include_" &amp; $J$3)*INDIRECT("Comp_Graph!Include_" &amp; L$7)*
OFFSET(INDIRECT(Region_Abbr_Comp &amp; "!A1"), $K$5 + L$6,$K26+1)</f>
        <v>#REF!</v>
      </c>
      <c r="M26" s="9" t="e" cm="1">
        <f t="array" aca="1" ref="M26" ca="1">$K$4 *
INDIRECT("Comp_Graph!Include_" &amp; $J$3)*INDIRECT("Comp_Graph!Include_" &amp; M$7)*
OFFSET(INDIRECT(Region_Abbr_Comp &amp; "!A1"), $K$5 + M$6,$K26+1)</f>
        <v>#REF!</v>
      </c>
      <c r="N26" s="9" t="e" cm="1">
        <f t="array" aca="1" ref="N26" ca="1">$K$4 *
INDIRECT("Comp_Graph!Include_" &amp; $J$3)*INDIRECT("Comp_Graph!Include_" &amp; N$7)*
OFFSET(INDIRECT(Region_Abbr_Comp &amp; "!A1"), $K$5 + N$6,$K26+1)</f>
        <v>#REF!</v>
      </c>
      <c r="O26" s="9" t="e" cm="1">
        <f t="array" aca="1" ref="O26" ca="1">$K$4 *
INDIRECT("Comp_Graph!Include_" &amp; $J$3)*INDIRECT("Comp_Graph!Include_" &amp; O$7)*
OFFSET(INDIRECT(Region_Abbr_Comp &amp; "!A1"), $K$5 + O$6,$K26+1)</f>
        <v>#REF!</v>
      </c>
      <c r="P26" s="9" t="e" cm="1">
        <f t="array" aca="1" ref="P26" ca="1">$K$4 *
INDIRECT("Comp_Graph!Include_" &amp; $J$3)*INDIRECT("Comp_Graph!Include_" &amp; P$7)*
OFFSET(INDIRECT(Region_Abbr_Comp &amp; "!A1"), $K$5 + P$6,$K26+1)</f>
        <v>#REF!</v>
      </c>
      <c r="Q26" s="9" t="e" cm="1">
        <f t="array" aca="1" ref="Q26" ca="1">$K$4 *
INDIRECT("Comp_Graph!Include_" &amp; $J$3)*INDIRECT("Comp_Graph!Include_" &amp; Q$7)*
OFFSET(INDIRECT(Region_Abbr_Comp &amp; "!A1"), $K$5 + Q$6,$K26+1)</f>
        <v>#REF!</v>
      </c>
      <c r="S26">
        <f t="shared" si="10"/>
        <v>2042</v>
      </c>
      <c r="T26">
        <f t="shared" si="10"/>
        <v>18</v>
      </c>
      <c r="U26" s="9" t="e" cm="1">
        <f t="array" aca="1" ref="U26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U$6,$T26+1)</f>
        <v>#REF!</v>
      </c>
      <c r="V26" s="9" t="e" cm="1">
        <f t="array" aca="1" ref="V26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V$6,$T26+1)</f>
        <v>#REF!</v>
      </c>
      <c r="W26" s="9" t="e" cm="1">
        <f t="array" aca="1" ref="W26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W$6,$T26+1)</f>
        <v>#REF!</v>
      </c>
      <c r="X26" s="9" t="e" cm="1">
        <f t="array" aca="1" ref="X26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X$6,$T26+1)</f>
        <v>#REF!</v>
      </c>
      <c r="Y26" s="9" t="e" cm="1">
        <f t="array" aca="1" ref="Y26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Y$6,$T26+1)</f>
        <v>#REF!</v>
      </c>
      <c r="Z26" s="9" t="e" cm="1">
        <f t="array" aca="1" ref="Z26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Z$6,$T26+1)</f>
        <v>#REF!</v>
      </c>
      <c r="AB26">
        <f t="shared" si="11"/>
        <v>2042</v>
      </c>
      <c r="AC26">
        <f t="shared" si="11"/>
        <v>18</v>
      </c>
      <c r="AD26" s="9" t="e" cm="1">
        <f t="array" aca="1" ref="AD26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AD$6,$AC26+1)</f>
        <v>#REF!</v>
      </c>
      <c r="AE26" s="9" t="e" cm="1">
        <f t="array" aca="1" ref="AE26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AE$6,$AC26+1)</f>
        <v>#REF!</v>
      </c>
      <c r="AF26" s="9" t="e" cm="1">
        <f t="array" aca="1" ref="AF26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AF$6,$AC26+1)</f>
        <v>#REF!</v>
      </c>
      <c r="AG26" s="9" t="e" cm="1">
        <f t="array" aca="1" ref="AG26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AG$6,$AC26+1)</f>
        <v>#REF!</v>
      </c>
      <c r="AH26" s="9" t="e" cm="1">
        <f t="array" aca="1" ref="AH26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AH$6,$AC26+1)</f>
        <v>#REF!</v>
      </c>
      <c r="AI26" s="9" t="e" cm="1">
        <f t="array" aca="1" ref="AI26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AI$6,$AC26+1)</f>
        <v>#REF!</v>
      </c>
    </row>
    <row r="27" spans="1:35" x14ac:dyDescent="0.75">
      <c r="A27">
        <f t="shared" si="8"/>
        <v>2043</v>
      </c>
      <c r="B27">
        <f t="shared" si="8"/>
        <v>19</v>
      </c>
      <c r="C27" s="9" t="e" cm="1">
        <f t="array" aca="1" ref="C27" ca="1">$B$4 *
INDIRECT("Comp_Graph!Include_" &amp; $A$3)*INDIRECT("Comp_Graph!Include_" &amp; C$7)*
OFFSET(INDIRECT(Region_Abbr_Comp &amp; "!A1"), $B$5 + C$6,$B27+1)</f>
        <v>#REF!</v>
      </c>
      <c r="D27" s="9" t="e" cm="1">
        <f t="array" aca="1" ref="D27" ca="1">$B$4 *
INDIRECT("Comp_Graph!Include_" &amp; $A$3)*INDIRECT("Comp_Graph!Include_" &amp; D$7)*
OFFSET(INDIRECT(Region_Abbr_Comp &amp; "!A1"), $B$5 + D$6,$B27+1)</f>
        <v>#REF!</v>
      </c>
      <c r="E27" s="9" t="e" cm="1">
        <f t="array" aca="1" ref="E27" ca="1">$B$4 *
INDIRECT("Comp_Graph!Include_" &amp; $A$3)*INDIRECT("Comp_Graph!Include_" &amp; E$7)*
OFFSET(INDIRECT(Region_Abbr_Comp &amp; "!A1"), $B$5 + E$6,$B27+1)</f>
        <v>#REF!</v>
      </c>
      <c r="F27" s="9" t="e" cm="1">
        <f t="array" aca="1" ref="F27" ca="1">$B$4 *
INDIRECT("Comp_Graph!Include_" &amp; $A$3)*INDIRECT("Comp_Graph!Include_" &amp; F$7)*
OFFSET(INDIRECT(Region_Abbr_Comp &amp; "!A1"), $B$5 + F$6,$B27+1)</f>
        <v>#REF!</v>
      </c>
      <c r="G27" s="9" t="e" cm="1">
        <f t="array" aca="1" ref="G27" ca="1">$B$4 *
INDIRECT("Comp_Graph!Include_" &amp; $A$3)*INDIRECT("Comp_Graph!Include_" &amp; G$7)*
OFFSET(INDIRECT(Region_Abbr_Comp &amp; "!A1"), $B$5 + G$6,$B27+1)</f>
        <v>#REF!</v>
      </c>
      <c r="H27" s="9" t="e" cm="1">
        <f t="array" aca="1" ref="H27" ca="1">$B$4 *
INDIRECT("Comp_Graph!Include_" &amp; $A$3)*INDIRECT("Comp_Graph!Include_" &amp; H$7)*
OFFSET(INDIRECT(Region_Abbr_Comp &amp; "!A1"), $B$5 + H$6,$B27+1)</f>
        <v>#REF!</v>
      </c>
      <c r="J27">
        <f t="shared" si="9"/>
        <v>2043</v>
      </c>
      <c r="K27">
        <f t="shared" si="9"/>
        <v>19</v>
      </c>
      <c r="L27" s="9" t="e" cm="1">
        <f t="array" aca="1" ref="L27" ca="1">$K$4 *
INDIRECT("Comp_Graph!Include_" &amp; $J$3)*INDIRECT("Comp_Graph!Include_" &amp; L$7)*
OFFSET(INDIRECT(Region_Abbr_Comp &amp; "!A1"), $K$5 + L$6,$K27+1)</f>
        <v>#REF!</v>
      </c>
      <c r="M27" s="9" t="e" cm="1">
        <f t="array" aca="1" ref="M27" ca="1">$K$4 *
INDIRECT("Comp_Graph!Include_" &amp; $J$3)*INDIRECT("Comp_Graph!Include_" &amp; M$7)*
OFFSET(INDIRECT(Region_Abbr_Comp &amp; "!A1"), $K$5 + M$6,$K27+1)</f>
        <v>#REF!</v>
      </c>
      <c r="N27" s="9" t="e" cm="1">
        <f t="array" aca="1" ref="N27" ca="1">$K$4 *
INDIRECT("Comp_Graph!Include_" &amp; $J$3)*INDIRECT("Comp_Graph!Include_" &amp; N$7)*
OFFSET(INDIRECT(Region_Abbr_Comp &amp; "!A1"), $K$5 + N$6,$K27+1)</f>
        <v>#REF!</v>
      </c>
      <c r="O27" s="9" t="e" cm="1">
        <f t="array" aca="1" ref="O27" ca="1">$K$4 *
INDIRECT("Comp_Graph!Include_" &amp; $J$3)*INDIRECT("Comp_Graph!Include_" &amp; O$7)*
OFFSET(INDIRECT(Region_Abbr_Comp &amp; "!A1"), $K$5 + O$6,$K27+1)</f>
        <v>#REF!</v>
      </c>
      <c r="P27" s="9" t="e" cm="1">
        <f t="array" aca="1" ref="P27" ca="1">$K$4 *
INDIRECT("Comp_Graph!Include_" &amp; $J$3)*INDIRECT("Comp_Graph!Include_" &amp; P$7)*
OFFSET(INDIRECT(Region_Abbr_Comp &amp; "!A1"), $K$5 + P$6,$K27+1)</f>
        <v>#REF!</v>
      </c>
      <c r="Q27" s="9" t="e" cm="1">
        <f t="array" aca="1" ref="Q27" ca="1">$K$4 *
INDIRECT("Comp_Graph!Include_" &amp; $J$3)*INDIRECT("Comp_Graph!Include_" &amp; Q$7)*
OFFSET(INDIRECT(Region_Abbr_Comp &amp; "!A1"), $K$5 + Q$6,$K27+1)</f>
        <v>#REF!</v>
      </c>
      <c r="S27">
        <f t="shared" si="10"/>
        <v>2043</v>
      </c>
      <c r="T27">
        <f t="shared" si="10"/>
        <v>19</v>
      </c>
      <c r="U27" s="9" t="e" cm="1">
        <f t="array" aca="1" ref="U27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U$6,$T27+1)</f>
        <v>#REF!</v>
      </c>
      <c r="V27" s="9" t="e" cm="1">
        <f t="array" aca="1" ref="V27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V$6,$T27+1)</f>
        <v>#REF!</v>
      </c>
      <c r="W27" s="9" t="e" cm="1">
        <f t="array" aca="1" ref="W27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W$6,$T27+1)</f>
        <v>#REF!</v>
      </c>
      <c r="X27" s="9" t="e" cm="1">
        <f t="array" aca="1" ref="X27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X$6,$T27+1)</f>
        <v>#REF!</v>
      </c>
      <c r="Y27" s="9" t="e" cm="1">
        <f t="array" aca="1" ref="Y27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Y$6,$T27+1)</f>
        <v>#REF!</v>
      </c>
      <c r="Z27" s="9" t="e" cm="1">
        <f t="array" aca="1" ref="Z27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Z$6,$T27+1)</f>
        <v>#REF!</v>
      </c>
      <c r="AB27">
        <f t="shared" si="11"/>
        <v>2043</v>
      </c>
      <c r="AC27">
        <f t="shared" si="11"/>
        <v>19</v>
      </c>
      <c r="AD27" s="9" t="e" cm="1">
        <f t="array" aca="1" ref="AD27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AD$6,$AC27+1)</f>
        <v>#REF!</v>
      </c>
      <c r="AE27" s="9" t="e" cm="1">
        <f t="array" aca="1" ref="AE27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AE$6,$AC27+1)</f>
        <v>#REF!</v>
      </c>
      <c r="AF27" s="9" t="e" cm="1">
        <f t="array" aca="1" ref="AF27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AF$6,$AC27+1)</f>
        <v>#REF!</v>
      </c>
      <c r="AG27" s="9" t="e" cm="1">
        <f t="array" aca="1" ref="AG27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AG$6,$AC27+1)</f>
        <v>#REF!</v>
      </c>
      <c r="AH27" s="9" t="e" cm="1">
        <f t="array" aca="1" ref="AH27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AH$6,$AC27+1)</f>
        <v>#REF!</v>
      </c>
      <c r="AI27" s="9" t="e" cm="1">
        <f t="array" aca="1" ref="AI27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AI$6,$AC27+1)</f>
        <v>#REF!</v>
      </c>
    </row>
    <row r="28" spans="1:35" x14ac:dyDescent="0.75">
      <c r="A28">
        <f t="shared" si="8"/>
        <v>2044</v>
      </c>
      <c r="B28">
        <f t="shared" si="8"/>
        <v>20</v>
      </c>
      <c r="C28" s="9" t="e" cm="1">
        <f t="array" aca="1" ref="C28" ca="1">$B$4 *
INDIRECT("Comp_Graph!Include_" &amp; $A$3)*INDIRECT("Comp_Graph!Include_" &amp; C$7)*
OFFSET(INDIRECT(Region_Abbr_Comp &amp; "!A1"), $B$5 + C$6,$B28+1)</f>
        <v>#REF!</v>
      </c>
      <c r="D28" s="9" t="e" cm="1">
        <f t="array" aca="1" ref="D28" ca="1">$B$4 *
INDIRECT("Comp_Graph!Include_" &amp; $A$3)*INDIRECT("Comp_Graph!Include_" &amp; D$7)*
OFFSET(INDIRECT(Region_Abbr_Comp &amp; "!A1"), $B$5 + D$6,$B28+1)</f>
        <v>#REF!</v>
      </c>
      <c r="E28" s="9" t="e" cm="1">
        <f t="array" aca="1" ref="E28" ca="1">$B$4 *
INDIRECT("Comp_Graph!Include_" &amp; $A$3)*INDIRECT("Comp_Graph!Include_" &amp; E$7)*
OFFSET(INDIRECT(Region_Abbr_Comp &amp; "!A1"), $B$5 + E$6,$B28+1)</f>
        <v>#REF!</v>
      </c>
      <c r="F28" s="9" t="e" cm="1">
        <f t="array" aca="1" ref="F28" ca="1">$B$4 *
INDIRECT("Comp_Graph!Include_" &amp; $A$3)*INDIRECT("Comp_Graph!Include_" &amp; F$7)*
OFFSET(INDIRECT(Region_Abbr_Comp &amp; "!A1"), $B$5 + F$6,$B28+1)</f>
        <v>#REF!</v>
      </c>
      <c r="G28" s="9" t="e" cm="1">
        <f t="array" aca="1" ref="G28" ca="1">$B$4 *
INDIRECT("Comp_Graph!Include_" &amp; $A$3)*INDIRECT("Comp_Graph!Include_" &amp; G$7)*
OFFSET(INDIRECT(Region_Abbr_Comp &amp; "!A1"), $B$5 + G$6,$B28+1)</f>
        <v>#REF!</v>
      </c>
      <c r="H28" s="9" t="e" cm="1">
        <f t="array" aca="1" ref="H28" ca="1">$B$4 *
INDIRECT("Comp_Graph!Include_" &amp; $A$3)*INDIRECT("Comp_Graph!Include_" &amp; H$7)*
OFFSET(INDIRECT(Region_Abbr_Comp &amp; "!A1"), $B$5 + H$6,$B28+1)</f>
        <v>#REF!</v>
      </c>
      <c r="J28">
        <f t="shared" si="9"/>
        <v>2044</v>
      </c>
      <c r="K28">
        <f t="shared" si="9"/>
        <v>20</v>
      </c>
      <c r="L28" s="9" t="e" cm="1">
        <f t="array" aca="1" ref="L28" ca="1">$K$4 *
INDIRECT("Comp_Graph!Include_" &amp; $J$3)*INDIRECT("Comp_Graph!Include_" &amp; L$7)*
OFFSET(INDIRECT(Region_Abbr_Comp &amp; "!A1"), $K$5 + L$6,$K28+1)</f>
        <v>#REF!</v>
      </c>
      <c r="M28" s="9" t="e" cm="1">
        <f t="array" aca="1" ref="M28" ca="1">$K$4 *
INDIRECT("Comp_Graph!Include_" &amp; $J$3)*INDIRECT("Comp_Graph!Include_" &amp; M$7)*
OFFSET(INDIRECT(Region_Abbr_Comp &amp; "!A1"), $K$5 + M$6,$K28+1)</f>
        <v>#REF!</v>
      </c>
      <c r="N28" s="9" t="e" cm="1">
        <f t="array" aca="1" ref="N28" ca="1">$K$4 *
INDIRECT("Comp_Graph!Include_" &amp; $J$3)*INDIRECT("Comp_Graph!Include_" &amp; N$7)*
OFFSET(INDIRECT(Region_Abbr_Comp &amp; "!A1"), $K$5 + N$6,$K28+1)</f>
        <v>#REF!</v>
      </c>
      <c r="O28" s="9" t="e" cm="1">
        <f t="array" aca="1" ref="O28" ca="1">$K$4 *
INDIRECT("Comp_Graph!Include_" &amp; $J$3)*INDIRECT("Comp_Graph!Include_" &amp; O$7)*
OFFSET(INDIRECT(Region_Abbr_Comp &amp; "!A1"), $K$5 + O$6,$K28+1)</f>
        <v>#REF!</v>
      </c>
      <c r="P28" s="9" t="e" cm="1">
        <f t="array" aca="1" ref="P28" ca="1">$K$4 *
INDIRECT("Comp_Graph!Include_" &amp; $J$3)*INDIRECT("Comp_Graph!Include_" &amp; P$7)*
OFFSET(INDIRECT(Region_Abbr_Comp &amp; "!A1"), $K$5 + P$6,$K28+1)</f>
        <v>#REF!</v>
      </c>
      <c r="Q28" s="9" t="e" cm="1">
        <f t="array" aca="1" ref="Q28" ca="1">$K$4 *
INDIRECT("Comp_Graph!Include_" &amp; $J$3)*INDIRECT("Comp_Graph!Include_" &amp; Q$7)*
OFFSET(INDIRECT(Region_Abbr_Comp &amp; "!A1"), $K$5 + Q$6,$K28+1)</f>
        <v>#REF!</v>
      </c>
      <c r="S28">
        <f t="shared" si="10"/>
        <v>2044</v>
      </c>
      <c r="T28">
        <f t="shared" si="10"/>
        <v>20</v>
      </c>
      <c r="U28" s="9" t="e" cm="1">
        <f t="array" aca="1" ref="U28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U$6,$T28+1)</f>
        <v>#REF!</v>
      </c>
      <c r="V28" s="9" t="e" cm="1">
        <f t="array" aca="1" ref="V28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V$6,$T28+1)</f>
        <v>#REF!</v>
      </c>
      <c r="W28" s="9" t="e" cm="1">
        <f t="array" aca="1" ref="W28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W$6,$T28+1)</f>
        <v>#REF!</v>
      </c>
      <c r="X28" s="9" t="e" cm="1">
        <f t="array" aca="1" ref="X28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X$6,$T28+1)</f>
        <v>#REF!</v>
      </c>
      <c r="Y28" s="9" t="e" cm="1">
        <f t="array" aca="1" ref="Y28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Y$6,$T28+1)</f>
        <v>#REF!</v>
      </c>
      <c r="Z28" s="9" t="e" cm="1">
        <f t="array" aca="1" ref="Z28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Z$6,$T28+1)</f>
        <v>#REF!</v>
      </c>
      <c r="AB28">
        <f t="shared" si="11"/>
        <v>2044</v>
      </c>
      <c r="AC28">
        <f t="shared" si="11"/>
        <v>20</v>
      </c>
      <c r="AD28" s="9" t="e" cm="1">
        <f t="array" aca="1" ref="AD28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AD$6,$AC28+1)</f>
        <v>#REF!</v>
      </c>
      <c r="AE28" s="9" t="e" cm="1">
        <f t="array" aca="1" ref="AE28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AE$6,$AC28+1)</f>
        <v>#REF!</v>
      </c>
      <c r="AF28" s="9" t="e" cm="1">
        <f t="array" aca="1" ref="AF28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AF$6,$AC28+1)</f>
        <v>#REF!</v>
      </c>
      <c r="AG28" s="9" t="e" cm="1">
        <f t="array" aca="1" ref="AG28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AG$6,$AC28+1)</f>
        <v>#REF!</v>
      </c>
      <c r="AH28" s="9" t="e" cm="1">
        <f t="array" aca="1" ref="AH28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AH$6,$AC28+1)</f>
        <v>#REF!</v>
      </c>
      <c r="AI28" s="9" t="e" cm="1">
        <f t="array" aca="1" ref="AI28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AI$6,$AC28+1)</f>
        <v>#REF!</v>
      </c>
    </row>
    <row r="29" spans="1:35" x14ac:dyDescent="0.75">
      <c r="A29">
        <f t="shared" si="8"/>
        <v>2045</v>
      </c>
      <c r="B29">
        <f t="shared" si="8"/>
        <v>21</v>
      </c>
      <c r="C29" s="9" t="e" cm="1">
        <f t="array" aca="1" ref="C29" ca="1">$B$4 *
INDIRECT("Comp_Graph!Include_" &amp; $A$3)*INDIRECT("Comp_Graph!Include_" &amp; C$7)*
OFFSET(INDIRECT(Region_Abbr_Comp &amp; "!A1"), $B$5 + C$6,$B29+1)</f>
        <v>#REF!</v>
      </c>
      <c r="D29" s="9" t="e" cm="1">
        <f t="array" aca="1" ref="D29" ca="1">$B$4 *
INDIRECT("Comp_Graph!Include_" &amp; $A$3)*INDIRECT("Comp_Graph!Include_" &amp; D$7)*
OFFSET(INDIRECT(Region_Abbr_Comp &amp; "!A1"), $B$5 + D$6,$B29+1)</f>
        <v>#REF!</v>
      </c>
      <c r="E29" s="9" t="e" cm="1">
        <f t="array" aca="1" ref="E29" ca="1">$B$4 *
INDIRECT("Comp_Graph!Include_" &amp; $A$3)*INDIRECT("Comp_Graph!Include_" &amp; E$7)*
OFFSET(INDIRECT(Region_Abbr_Comp &amp; "!A1"), $B$5 + E$6,$B29+1)</f>
        <v>#REF!</v>
      </c>
      <c r="F29" s="9" t="e" cm="1">
        <f t="array" aca="1" ref="F29" ca="1">$B$4 *
INDIRECT("Comp_Graph!Include_" &amp; $A$3)*INDIRECT("Comp_Graph!Include_" &amp; F$7)*
OFFSET(INDIRECT(Region_Abbr_Comp &amp; "!A1"), $B$5 + F$6,$B29+1)</f>
        <v>#REF!</v>
      </c>
      <c r="G29" s="9" t="e" cm="1">
        <f t="array" aca="1" ref="G29" ca="1">$B$4 *
INDIRECT("Comp_Graph!Include_" &amp; $A$3)*INDIRECT("Comp_Graph!Include_" &amp; G$7)*
OFFSET(INDIRECT(Region_Abbr_Comp &amp; "!A1"), $B$5 + G$6,$B29+1)</f>
        <v>#REF!</v>
      </c>
      <c r="H29" s="9" t="e" cm="1">
        <f t="array" aca="1" ref="H29" ca="1">$B$4 *
INDIRECT("Comp_Graph!Include_" &amp; $A$3)*INDIRECT("Comp_Graph!Include_" &amp; H$7)*
OFFSET(INDIRECT(Region_Abbr_Comp &amp; "!A1"), $B$5 + H$6,$B29+1)</f>
        <v>#REF!</v>
      </c>
      <c r="J29">
        <f t="shared" si="9"/>
        <v>2045</v>
      </c>
      <c r="K29">
        <f t="shared" si="9"/>
        <v>21</v>
      </c>
      <c r="L29" s="9" t="e" cm="1">
        <f t="array" aca="1" ref="L29" ca="1">$K$4 *
INDIRECT("Comp_Graph!Include_" &amp; $J$3)*INDIRECT("Comp_Graph!Include_" &amp; L$7)*
OFFSET(INDIRECT(Region_Abbr_Comp &amp; "!A1"), $K$5 + L$6,$K29+1)</f>
        <v>#REF!</v>
      </c>
      <c r="M29" s="9" t="e" cm="1">
        <f t="array" aca="1" ref="M29" ca="1">$K$4 *
INDIRECT("Comp_Graph!Include_" &amp; $J$3)*INDIRECT("Comp_Graph!Include_" &amp; M$7)*
OFFSET(INDIRECT(Region_Abbr_Comp &amp; "!A1"), $K$5 + M$6,$K29+1)</f>
        <v>#REF!</v>
      </c>
      <c r="N29" s="9" t="e" cm="1">
        <f t="array" aca="1" ref="N29" ca="1">$K$4 *
INDIRECT("Comp_Graph!Include_" &amp; $J$3)*INDIRECT("Comp_Graph!Include_" &amp; N$7)*
OFFSET(INDIRECT(Region_Abbr_Comp &amp; "!A1"), $K$5 + N$6,$K29+1)</f>
        <v>#REF!</v>
      </c>
      <c r="O29" s="9" t="e" cm="1">
        <f t="array" aca="1" ref="O29" ca="1">$K$4 *
INDIRECT("Comp_Graph!Include_" &amp; $J$3)*INDIRECT("Comp_Graph!Include_" &amp; O$7)*
OFFSET(INDIRECT(Region_Abbr_Comp &amp; "!A1"), $K$5 + O$6,$K29+1)</f>
        <v>#REF!</v>
      </c>
      <c r="P29" s="9" t="e" cm="1">
        <f t="array" aca="1" ref="P29" ca="1">$K$4 *
INDIRECT("Comp_Graph!Include_" &amp; $J$3)*INDIRECT("Comp_Graph!Include_" &amp; P$7)*
OFFSET(INDIRECT(Region_Abbr_Comp &amp; "!A1"), $K$5 + P$6,$K29+1)</f>
        <v>#REF!</v>
      </c>
      <c r="Q29" s="9" t="e" cm="1">
        <f t="array" aca="1" ref="Q29" ca="1">$K$4 *
INDIRECT("Comp_Graph!Include_" &amp; $J$3)*INDIRECT("Comp_Graph!Include_" &amp; Q$7)*
OFFSET(INDIRECT(Region_Abbr_Comp &amp; "!A1"), $K$5 + Q$6,$K29+1)</f>
        <v>#REF!</v>
      </c>
      <c r="S29">
        <f t="shared" si="10"/>
        <v>2045</v>
      </c>
      <c r="T29">
        <f t="shared" si="10"/>
        <v>21</v>
      </c>
      <c r="U29" s="9" t="e" cm="1">
        <f t="array" aca="1" ref="U29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U$6,$T29+1)</f>
        <v>#REF!</v>
      </c>
      <c r="V29" s="9" t="e" cm="1">
        <f t="array" aca="1" ref="V29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V$6,$T29+1)</f>
        <v>#REF!</v>
      </c>
      <c r="W29" s="9" t="e" cm="1">
        <f t="array" aca="1" ref="W29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W$6,$T29+1)</f>
        <v>#REF!</v>
      </c>
      <c r="X29" s="9" t="e" cm="1">
        <f t="array" aca="1" ref="X29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X$6,$T29+1)</f>
        <v>#REF!</v>
      </c>
      <c r="Y29" s="9" t="e" cm="1">
        <f t="array" aca="1" ref="Y29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Y$6,$T29+1)</f>
        <v>#REF!</v>
      </c>
      <c r="Z29" s="9" t="e" cm="1">
        <f t="array" aca="1" ref="Z29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Z$6,$T29+1)</f>
        <v>#REF!</v>
      </c>
      <c r="AB29">
        <f t="shared" si="11"/>
        <v>2045</v>
      </c>
      <c r="AC29">
        <f t="shared" si="11"/>
        <v>21</v>
      </c>
      <c r="AD29" s="9" t="e" cm="1">
        <f t="array" aca="1" ref="AD29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AD$6,$AC29+1)</f>
        <v>#REF!</v>
      </c>
      <c r="AE29" s="9" t="e" cm="1">
        <f t="array" aca="1" ref="AE29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AE$6,$AC29+1)</f>
        <v>#REF!</v>
      </c>
      <c r="AF29" s="9" t="e" cm="1">
        <f t="array" aca="1" ref="AF29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AF$6,$AC29+1)</f>
        <v>#REF!</v>
      </c>
      <c r="AG29" s="9" t="e" cm="1">
        <f t="array" aca="1" ref="AG29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AG$6,$AC29+1)</f>
        <v>#REF!</v>
      </c>
      <c r="AH29" s="9" t="e" cm="1">
        <f t="array" aca="1" ref="AH29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AH$6,$AC29+1)</f>
        <v>#REF!</v>
      </c>
      <c r="AI29" s="9" t="e" cm="1">
        <f t="array" aca="1" ref="AI29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AI$6,$AC29+1)</f>
        <v>#REF!</v>
      </c>
    </row>
    <row r="30" spans="1:35" x14ac:dyDescent="0.75">
      <c r="A30">
        <f t="shared" si="8"/>
        <v>2046</v>
      </c>
      <c r="B30">
        <f t="shared" si="8"/>
        <v>22</v>
      </c>
      <c r="C30" s="9" t="e" cm="1">
        <f t="array" aca="1" ref="C30" ca="1">$B$4 *
INDIRECT("Comp_Graph!Include_" &amp; $A$3)*INDIRECT("Comp_Graph!Include_" &amp; C$7)*
OFFSET(INDIRECT(Region_Abbr_Comp &amp; "!A1"), $B$5 + C$6,$B30+1)</f>
        <v>#REF!</v>
      </c>
      <c r="D30" s="9" t="e" cm="1">
        <f t="array" aca="1" ref="D30" ca="1">$B$4 *
INDIRECT("Comp_Graph!Include_" &amp; $A$3)*INDIRECT("Comp_Graph!Include_" &amp; D$7)*
OFFSET(INDIRECT(Region_Abbr_Comp &amp; "!A1"), $B$5 + D$6,$B30+1)</f>
        <v>#REF!</v>
      </c>
      <c r="E30" s="9" t="e" cm="1">
        <f t="array" aca="1" ref="E30" ca="1">$B$4 *
INDIRECT("Comp_Graph!Include_" &amp; $A$3)*INDIRECT("Comp_Graph!Include_" &amp; E$7)*
OFFSET(INDIRECT(Region_Abbr_Comp &amp; "!A1"), $B$5 + E$6,$B30+1)</f>
        <v>#REF!</v>
      </c>
      <c r="F30" s="9" t="e" cm="1">
        <f t="array" aca="1" ref="F30" ca="1">$B$4 *
INDIRECT("Comp_Graph!Include_" &amp; $A$3)*INDIRECT("Comp_Graph!Include_" &amp; F$7)*
OFFSET(INDIRECT(Region_Abbr_Comp &amp; "!A1"), $B$5 + F$6,$B30+1)</f>
        <v>#REF!</v>
      </c>
      <c r="G30" s="9" t="e" cm="1">
        <f t="array" aca="1" ref="G30" ca="1">$B$4 *
INDIRECT("Comp_Graph!Include_" &amp; $A$3)*INDIRECT("Comp_Graph!Include_" &amp; G$7)*
OFFSET(INDIRECT(Region_Abbr_Comp &amp; "!A1"), $B$5 + G$6,$B30+1)</f>
        <v>#REF!</v>
      </c>
      <c r="H30" s="9" t="e" cm="1">
        <f t="array" aca="1" ref="H30" ca="1">$B$4 *
INDIRECT("Comp_Graph!Include_" &amp; $A$3)*INDIRECT("Comp_Graph!Include_" &amp; H$7)*
OFFSET(INDIRECT(Region_Abbr_Comp &amp; "!A1"), $B$5 + H$6,$B30+1)</f>
        <v>#REF!</v>
      </c>
      <c r="J30">
        <f t="shared" si="9"/>
        <v>2046</v>
      </c>
      <c r="K30">
        <f t="shared" si="9"/>
        <v>22</v>
      </c>
      <c r="L30" s="9" t="e" cm="1">
        <f t="array" aca="1" ref="L30" ca="1">$K$4 *
INDIRECT("Comp_Graph!Include_" &amp; $J$3)*INDIRECT("Comp_Graph!Include_" &amp; L$7)*
OFFSET(INDIRECT(Region_Abbr_Comp &amp; "!A1"), $K$5 + L$6,$K30+1)</f>
        <v>#REF!</v>
      </c>
      <c r="M30" s="9" t="e" cm="1">
        <f t="array" aca="1" ref="M30" ca="1">$K$4 *
INDIRECT("Comp_Graph!Include_" &amp; $J$3)*INDIRECT("Comp_Graph!Include_" &amp; M$7)*
OFFSET(INDIRECT(Region_Abbr_Comp &amp; "!A1"), $K$5 + M$6,$K30+1)</f>
        <v>#REF!</v>
      </c>
      <c r="N30" s="9" t="e" cm="1">
        <f t="array" aca="1" ref="N30" ca="1">$K$4 *
INDIRECT("Comp_Graph!Include_" &amp; $J$3)*INDIRECT("Comp_Graph!Include_" &amp; N$7)*
OFFSET(INDIRECT(Region_Abbr_Comp &amp; "!A1"), $K$5 + N$6,$K30+1)</f>
        <v>#REF!</v>
      </c>
      <c r="O30" s="9" t="e" cm="1">
        <f t="array" aca="1" ref="O30" ca="1">$K$4 *
INDIRECT("Comp_Graph!Include_" &amp; $J$3)*INDIRECT("Comp_Graph!Include_" &amp; O$7)*
OFFSET(INDIRECT(Region_Abbr_Comp &amp; "!A1"), $K$5 + O$6,$K30+1)</f>
        <v>#REF!</v>
      </c>
      <c r="P30" s="9" t="e" cm="1">
        <f t="array" aca="1" ref="P30" ca="1">$K$4 *
INDIRECT("Comp_Graph!Include_" &amp; $J$3)*INDIRECT("Comp_Graph!Include_" &amp; P$7)*
OFFSET(INDIRECT(Region_Abbr_Comp &amp; "!A1"), $K$5 + P$6,$K30+1)</f>
        <v>#REF!</v>
      </c>
      <c r="Q30" s="9" t="e" cm="1">
        <f t="array" aca="1" ref="Q30" ca="1">$K$4 *
INDIRECT("Comp_Graph!Include_" &amp; $J$3)*INDIRECT("Comp_Graph!Include_" &amp; Q$7)*
OFFSET(INDIRECT(Region_Abbr_Comp &amp; "!A1"), $K$5 + Q$6,$K30+1)</f>
        <v>#REF!</v>
      </c>
      <c r="S30">
        <f t="shared" si="10"/>
        <v>2046</v>
      </c>
      <c r="T30">
        <f t="shared" si="10"/>
        <v>22</v>
      </c>
      <c r="U30" s="9" t="e" cm="1">
        <f t="array" aca="1" ref="U30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U$6,$T30+1)</f>
        <v>#REF!</v>
      </c>
      <c r="V30" s="9" t="e" cm="1">
        <f t="array" aca="1" ref="V30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V$6,$T30+1)</f>
        <v>#REF!</v>
      </c>
      <c r="W30" s="9" t="e" cm="1">
        <f t="array" aca="1" ref="W30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W$6,$T30+1)</f>
        <v>#REF!</v>
      </c>
      <c r="X30" s="9" t="e" cm="1">
        <f t="array" aca="1" ref="X30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X$6,$T30+1)</f>
        <v>#REF!</v>
      </c>
      <c r="Y30" s="9" t="e" cm="1">
        <f t="array" aca="1" ref="Y30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Y$6,$T30+1)</f>
        <v>#REF!</v>
      </c>
      <c r="Z30" s="9" t="e" cm="1">
        <f t="array" aca="1" ref="Z30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Z$6,$T30+1)</f>
        <v>#REF!</v>
      </c>
      <c r="AB30">
        <f t="shared" si="11"/>
        <v>2046</v>
      </c>
      <c r="AC30">
        <f t="shared" si="11"/>
        <v>22</v>
      </c>
      <c r="AD30" s="9" t="e" cm="1">
        <f t="array" aca="1" ref="AD30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AD$6,$AC30+1)</f>
        <v>#REF!</v>
      </c>
      <c r="AE30" s="9" t="e" cm="1">
        <f t="array" aca="1" ref="AE30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AE$6,$AC30+1)</f>
        <v>#REF!</v>
      </c>
      <c r="AF30" s="9" t="e" cm="1">
        <f t="array" aca="1" ref="AF30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AF$6,$AC30+1)</f>
        <v>#REF!</v>
      </c>
      <c r="AG30" s="9" t="e" cm="1">
        <f t="array" aca="1" ref="AG30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AG$6,$AC30+1)</f>
        <v>#REF!</v>
      </c>
      <c r="AH30" s="9" t="e" cm="1">
        <f t="array" aca="1" ref="AH30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AH$6,$AC30+1)</f>
        <v>#REF!</v>
      </c>
      <c r="AI30" s="9" t="e" cm="1">
        <f t="array" aca="1" ref="AI30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AI$6,$AC30+1)</f>
        <v>#REF!</v>
      </c>
    </row>
    <row r="31" spans="1:35" x14ac:dyDescent="0.75">
      <c r="A31">
        <f t="shared" si="8"/>
        <v>2047</v>
      </c>
      <c r="B31">
        <f t="shared" si="8"/>
        <v>23</v>
      </c>
      <c r="C31" s="9" t="e" cm="1">
        <f t="array" aca="1" ref="C31" ca="1">$B$4 *
INDIRECT("Comp_Graph!Include_" &amp; $A$3)*INDIRECT("Comp_Graph!Include_" &amp; C$7)*
OFFSET(INDIRECT(Region_Abbr_Comp &amp; "!A1"), $B$5 + C$6,$B31+1)</f>
        <v>#REF!</v>
      </c>
      <c r="D31" s="9" t="e" cm="1">
        <f t="array" aca="1" ref="D31" ca="1">$B$4 *
INDIRECT("Comp_Graph!Include_" &amp; $A$3)*INDIRECT("Comp_Graph!Include_" &amp; D$7)*
OFFSET(INDIRECT(Region_Abbr_Comp &amp; "!A1"), $B$5 + D$6,$B31+1)</f>
        <v>#REF!</v>
      </c>
      <c r="E31" s="9" t="e" cm="1">
        <f t="array" aca="1" ref="E31" ca="1">$B$4 *
INDIRECT("Comp_Graph!Include_" &amp; $A$3)*INDIRECT("Comp_Graph!Include_" &amp; E$7)*
OFFSET(INDIRECT(Region_Abbr_Comp &amp; "!A1"), $B$5 + E$6,$B31+1)</f>
        <v>#REF!</v>
      </c>
      <c r="F31" s="9" t="e" cm="1">
        <f t="array" aca="1" ref="F31" ca="1">$B$4 *
INDIRECT("Comp_Graph!Include_" &amp; $A$3)*INDIRECT("Comp_Graph!Include_" &amp; F$7)*
OFFSET(INDIRECT(Region_Abbr_Comp &amp; "!A1"), $B$5 + F$6,$B31+1)</f>
        <v>#REF!</v>
      </c>
      <c r="G31" s="9" t="e" cm="1">
        <f t="array" aca="1" ref="G31" ca="1">$B$4 *
INDIRECT("Comp_Graph!Include_" &amp; $A$3)*INDIRECT("Comp_Graph!Include_" &amp; G$7)*
OFFSET(INDIRECT(Region_Abbr_Comp &amp; "!A1"), $B$5 + G$6,$B31+1)</f>
        <v>#REF!</v>
      </c>
      <c r="H31" s="9" t="e" cm="1">
        <f t="array" aca="1" ref="H31" ca="1">$B$4 *
INDIRECT("Comp_Graph!Include_" &amp; $A$3)*INDIRECT("Comp_Graph!Include_" &amp; H$7)*
OFFSET(INDIRECT(Region_Abbr_Comp &amp; "!A1"), $B$5 + H$6,$B31+1)</f>
        <v>#REF!</v>
      </c>
      <c r="J31">
        <f t="shared" si="9"/>
        <v>2047</v>
      </c>
      <c r="K31">
        <f t="shared" si="9"/>
        <v>23</v>
      </c>
      <c r="L31" s="9" t="e" cm="1">
        <f t="array" aca="1" ref="L31" ca="1">$K$4 *
INDIRECT("Comp_Graph!Include_" &amp; $J$3)*INDIRECT("Comp_Graph!Include_" &amp; L$7)*
OFFSET(INDIRECT(Region_Abbr_Comp &amp; "!A1"), $K$5 + L$6,$K31+1)</f>
        <v>#REF!</v>
      </c>
      <c r="M31" s="9" t="e" cm="1">
        <f t="array" aca="1" ref="M31" ca="1">$K$4 *
INDIRECT("Comp_Graph!Include_" &amp; $J$3)*INDIRECT("Comp_Graph!Include_" &amp; M$7)*
OFFSET(INDIRECT(Region_Abbr_Comp &amp; "!A1"), $K$5 + M$6,$K31+1)</f>
        <v>#REF!</v>
      </c>
      <c r="N31" s="9" t="e" cm="1">
        <f t="array" aca="1" ref="N31" ca="1">$K$4 *
INDIRECT("Comp_Graph!Include_" &amp; $J$3)*INDIRECT("Comp_Graph!Include_" &amp; N$7)*
OFFSET(INDIRECT(Region_Abbr_Comp &amp; "!A1"), $K$5 + N$6,$K31+1)</f>
        <v>#REF!</v>
      </c>
      <c r="O31" s="9" t="e" cm="1">
        <f t="array" aca="1" ref="O31" ca="1">$K$4 *
INDIRECT("Comp_Graph!Include_" &amp; $J$3)*INDIRECT("Comp_Graph!Include_" &amp; O$7)*
OFFSET(INDIRECT(Region_Abbr_Comp &amp; "!A1"), $K$5 + O$6,$K31+1)</f>
        <v>#REF!</v>
      </c>
      <c r="P31" s="9" t="e" cm="1">
        <f t="array" aca="1" ref="P31" ca="1">$K$4 *
INDIRECT("Comp_Graph!Include_" &amp; $J$3)*INDIRECT("Comp_Graph!Include_" &amp; P$7)*
OFFSET(INDIRECT(Region_Abbr_Comp &amp; "!A1"), $K$5 + P$6,$K31+1)</f>
        <v>#REF!</v>
      </c>
      <c r="Q31" s="9" t="e" cm="1">
        <f t="array" aca="1" ref="Q31" ca="1">$K$4 *
INDIRECT("Comp_Graph!Include_" &amp; $J$3)*INDIRECT("Comp_Graph!Include_" &amp; Q$7)*
OFFSET(INDIRECT(Region_Abbr_Comp &amp; "!A1"), $K$5 + Q$6,$K31+1)</f>
        <v>#REF!</v>
      </c>
      <c r="S31">
        <f t="shared" si="10"/>
        <v>2047</v>
      </c>
      <c r="T31">
        <f t="shared" si="10"/>
        <v>23</v>
      </c>
      <c r="U31" s="9" t="e" cm="1">
        <f t="array" aca="1" ref="U31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U$6,$T31+1)</f>
        <v>#REF!</v>
      </c>
      <c r="V31" s="9" t="e" cm="1">
        <f t="array" aca="1" ref="V31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V$6,$T31+1)</f>
        <v>#REF!</v>
      </c>
      <c r="W31" s="9" t="e" cm="1">
        <f t="array" aca="1" ref="W31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W$6,$T31+1)</f>
        <v>#REF!</v>
      </c>
      <c r="X31" s="9" t="e" cm="1">
        <f t="array" aca="1" ref="X31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X$6,$T31+1)</f>
        <v>#REF!</v>
      </c>
      <c r="Y31" s="9" t="e" cm="1">
        <f t="array" aca="1" ref="Y31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Y$6,$T31+1)</f>
        <v>#REF!</v>
      </c>
      <c r="Z31" s="9" t="e" cm="1">
        <f t="array" aca="1" ref="Z31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Z$6,$T31+1)</f>
        <v>#REF!</v>
      </c>
      <c r="AB31">
        <f t="shared" si="11"/>
        <v>2047</v>
      </c>
      <c r="AC31">
        <f t="shared" si="11"/>
        <v>23</v>
      </c>
      <c r="AD31" s="9" t="e" cm="1">
        <f t="array" aca="1" ref="AD31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AD$6,$AC31+1)</f>
        <v>#REF!</v>
      </c>
      <c r="AE31" s="9" t="e" cm="1">
        <f t="array" aca="1" ref="AE31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AE$6,$AC31+1)</f>
        <v>#REF!</v>
      </c>
      <c r="AF31" s="9" t="e" cm="1">
        <f t="array" aca="1" ref="AF31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AF$6,$AC31+1)</f>
        <v>#REF!</v>
      </c>
      <c r="AG31" s="9" t="e" cm="1">
        <f t="array" aca="1" ref="AG31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AG$6,$AC31+1)</f>
        <v>#REF!</v>
      </c>
      <c r="AH31" s="9" t="e" cm="1">
        <f t="array" aca="1" ref="AH31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AH$6,$AC31+1)</f>
        <v>#REF!</v>
      </c>
      <c r="AI31" s="9" t="e" cm="1">
        <f t="array" aca="1" ref="AI31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AI$6,$AC31+1)</f>
        <v>#REF!</v>
      </c>
    </row>
    <row r="32" spans="1:35" x14ac:dyDescent="0.75">
      <c r="A32">
        <f t="shared" si="8"/>
        <v>2048</v>
      </c>
      <c r="B32">
        <f t="shared" si="8"/>
        <v>24</v>
      </c>
      <c r="C32" s="9" t="e" cm="1">
        <f t="array" aca="1" ref="C32" ca="1">$B$4 *
INDIRECT("Comp_Graph!Include_" &amp; $A$3)*INDIRECT("Comp_Graph!Include_" &amp; C$7)*
OFFSET(INDIRECT(Region_Abbr_Comp &amp; "!A1"), $B$5 + C$6,$B32+1)</f>
        <v>#REF!</v>
      </c>
      <c r="D32" s="9" t="e" cm="1">
        <f t="array" aca="1" ref="D32" ca="1">$B$4 *
INDIRECT("Comp_Graph!Include_" &amp; $A$3)*INDIRECT("Comp_Graph!Include_" &amp; D$7)*
OFFSET(INDIRECT(Region_Abbr_Comp &amp; "!A1"), $B$5 + D$6,$B32+1)</f>
        <v>#REF!</v>
      </c>
      <c r="E32" s="9" t="e" cm="1">
        <f t="array" aca="1" ref="E32" ca="1">$B$4 *
INDIRECT("Comp_Graph!Include_" &amp; $A$3)*INDIRECT("Comp_Graph!Include_" &amp; E$7)*
OFFSET(INDIRECT(Region_Abbr_Comp &amp; "!A1"), $B$5 + E$6,$B32+1)</f>
        <v>#REF!</v>
      </c>
      <c r="F32" s="9" t="e" cm="1">
        <f t="array" aca="1" ref="F32" ca="1">$B$4 *
INDIRECT("Comp_Graph!Include_" &amp; $A$3)*INDIRECT("Comp_Graph!Include_" &amp; F$7)*
OFFSET(INDIRECT(Region_Abbr_Comp &amp; "!A1"), $B$5 + F$6,$B32+1)</f>
        <v>#REF!</v>
      </c>
      <c r="G32" s="9" t="e" cm="1">
        <f t="array" aca="1" ref="G32" ca="1">$B$4 *
INDIRECT("Comp_Graph!Include_" &amp; $A$3)*INDIRECT("Comp_Graph!Include_" &amp; G$7)*
OFFSET(INDIRECT(Region_Abbr_Comp &amp; "!A1"), $B$5 + G$6,$B32+1)</f>
        <v>#REF!</v>
      </c>
      <c r="H32" s="9" t="e" cm="1">
        <f t="array" aca="1" ref="H32" ca="1">$B$4 *
INDIRECT("Comp_Graph!Include_" &amp; $A$3)*INDIRECT("Comp_Graph!Include_" &amp; H$7)*
OFFSET(INDIRECT(Region_Abbr_Comp &amp; "!A1"), $B$5 + H$6,$B32+1)</f>
        <v>#REF!</v>
      </c>
      <c r="J32">
        <f t="shared" si="9"/>
        <v>2048</v>
      </c>
      <c r="K32">
        <f t="shared" si="9"/>
        <v>24</v>
      </c>
      <c r="L32" s="9" t="e" cm="1">
        <f t="array" aca="1" ref="L32" ca="1">$K$4 *
INDIRECT("Comp_Graph!Include_" &amp; $J$3)*INDIRECT("Comp_Graph!Include_" &amp; L$7)*
OFFSET(INDIRECT(Region_Abbr_Comp &amp; "!A1"), $K$5 + L$6,$K32+1)</f>
        <v>#REF!</v>
      </c>
      <c r="M32" s="9" t="e" cm="1">
        <f t="array" aca="1" ref="M32" ca="1">$K$4 *
INDIRECT("Comp_Graph!Include_" &amp; $J$3)*INDIRECT("Comp_Graph!Include_" &amp; M$7)*
OFFSET(INDIRECT(Region_Abbr_Comp &amp; "!A1"), $K$5 + M$6,$K32+1)</f>
        <v>#REF!</v>
      </c>
      <c r="N32" s="9" t="e" cm="1">
        <f t="array" aca="1" ref="N32" ca="1">$K$4 *
INDIRECT("Comp_Graph!Include_" &amp; $J$3)*INDIRECT("Comp_Graph!Include_" &amp; N$7)*
OFFSET(INDIRECT(Region_Abbr_Comp &amp; "!A1"), $K$5 + N$6,$K32+1)</f>
        <v>#REF!</v>
      </c>
      <c r="O32" s="9" t="e" cm="1">
        <f t="array" aca="1" ref="O32" ca="1">$K$4 *
INDIRECT("Comp_Graph!Include_" &amp; $J$3)*INDIRECT("Comp_Graph!Include_" &amp; O$7)*
OFFSET(INDIRECT(Region_Abbr_Comp &amp; "!A1"), $K$5 + O$6,$K32+1)</f>
        <v>#REF!</v>
      </c>
      <c r="P32" s="9" t="e" cm="1">
        <f t="array" aca="1" ref="P32" ca="1">$K$4 *
INDIRECT("Comp_Graph!Include_" &amp; $J$3)*INDIRECT("Comp_Graph!Include_" &amp; P$7)*
OFFSET(INDIRECT(Region_Abbr_Comp &amp; "!A1"), $K$5 + P$6,$K32+1)</f>
        <v>#REF!</v>
      </c>
      <c r="Q32" s="9" t="e" cm="1">
        <f t="array" aca="1" ref="Q32" ca="1">$K$4 *
INDIRECT("Comp_Graph!Include_" &amp; $J$3)*INDIRECT("Comp_Graph!Include_" &amp; Q$7)*
OFFSET(INDIRECT(Region_Abbr_Comp &amp; "!A1"), $K$5 + Q$6,$K32+1)</f>
        <v>#REF!</v>
      </c>
      <c r="S32">
        <f t="shared" si="10"/>
        <v>2048</v>
      </c>
      <c r="T32">
        <f t="shared" si="10"/>
        <v>24</v>
      </c>
      <c r="U32" s="9" t="e" cm="1">
        <f t="array" aca="1" ref="U32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U$6,$T32+1)</f>
        <v>#REF!</v>
      </c>
      <c r="V32" s="9" t="e" cm="1">
        <f t="array" aca="1" ref="V32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V$6,$T32+1)</f>
        <v>#REF!</v>
      </c>
      <c r="W32" s="9" t="e" cm="1">
        <f t="array" aca="1" ref="W32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W$6,$T32+1)</f>
        <v>#REF!</v>
      </c>
      <c r="X32" s="9" t="e" cm="1">
        <f t="array" aca="1" ref="X32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X$6,$T32+1)</f>
        <v>#REF!</v>
      </c>
      <c r="Y32" s="9" t="e" cm="1">
        <f t="array" aca="1" ref="Y32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Y$6,$T32+1)</f>
        <v>#REF!</v>
      </c>
      <c r="Z32" s="9" t="e" cm="1">
        <f t="array" aca="1" ref="Z32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Z$6,$T32+1)</f>
        <v>#REF!</v>
      </c>
      <c r="AB32">
        <f t="shared" si="11"/>
        <v>2048</v>
      </c>
      <c r="AC32">
        <f t="shared" si="11"/>
        <v>24</v>
      </c>
      <c r="AD32" s="9" t="e" cm="1">
        <f t="array" aca="1" ref="AD32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AD$6,$AC32+1)</f>
        <v>#REF!</v>
      </c>
      <c r="AE32" s="9" t="e" cm="1">
        <f t="array" aca="1" ref="AE32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AE$6,$AC32+1)</f>
        <v>#REF!</v>
      </c>
      <c r="AF32" s="9" t="e" cm="1">
        <f t="array" aca="1" ref="AF32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AF$6,$AC32+1)</f>
        <v>#REF!</v>
      </c>
      <c r="AG32" s="9" t="e" cm="1">
        <f t="array" aca="1" ref="AG32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AG$6,$AC32+1)</f>
        <v>#REF!</v>
      </c>
      <c r="AH32" s="9" t="e" cm="1">
        <f t="array" aca="1" ref="AH32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AH$6,$AC32+1)</f>
        <v>#REF!</v>
      </c>
      <c r="AI32" s="9" t="e" cm="1">
        <f t="array" aca="1" ref="AI32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AI$6,$AC32+1)</f>
        <v>#REF!</v>
      </c>
    </row>
    <row r="33" spans="1:35" x14ac:dyDescent="0.75">
      <c r="A33">
        <f t="shared" si="8"/>
        <v>2049</v>
      </c>
      <c r="B33">
        <f t="shared" si="8"/>
        <v>25</v>
      </c>
      <c r="C33" s="9" t="e" cm="1">
        <f t="array" aca="1" ref="C33" ca="1">$B$4 *
INDIRECT("Comp_Graph!Include_" &amp; $A$3)*INDIRECT("Comp_Graph!Include_" &amp; C$7)*
OFFSET(INDIRECT(Region_Abbr_Comp &amp; "!A1"), $B$5 + C$6,$B33+1)</f>
        <v>#REF!</v>
      </c>
      <c r="D33" s="9" t="e" cm="1">
        <f t="array" aca="1" ref="D33" ca="1">$B$4 *
INDIRECT("Comp_Graph!Include_" &amp; $A$3)*INDIRECT("Comp_Graph!Include_" &amp; D$7)*
OFFSET(INDIRECT(Region_Abbr_Comp &amp; "!A1"), $B$5 + D$6,$B33+1)</f>
        <v>#REF!</v>
      </c>
      <c r="E33" s="9" t="e" cm="1">
        <f t="array" aca="1" ref="E33" ca="1">$B$4 *
INDIRECT("Comp_Graph!Include_" &amp; $A$3)*INDIRECT("Comp_Graph!Include_" &amp; E$7)*
OFFSET(INDIRECT(Region_Abbr_Comp &amp; "!A1"), $B$5 + E$6,$B33+1)</f>
        <v>#REF!</v>
      </c>
      <c r="F33" s="9" t="e" cm="1">
        <f t="array" aca="1" ref="F33" ca="1">$B$4 *
INDIRECT("Comp_Graph!Include_" &amp; $A$3)*INDIRECT("Comp_Graph!Include_" &amp; F$7)*
OFFSET(INDIRECT(Region_Abbr_Comp &amp; "!A1"), $B$5 + F$6,$B33+1)</f>
        <v>#REF!</v>
      </c>
      <c r="G33" s="9" t="e" cm="1">
        <f t="array" aca="1" ref="G33" ca="1">$B$4 *
INDIRECT("Comp_Graph!Include_" &amp; $A$3)*INDIRECT("Comp_Graph!Include_" &amp; G$7)*
OFFSET(INDIRECT(Region_Abbr_Comp &amp; "!A1"), $B$5 + G$6,$B33+1)</f>
        <v>#REF!</v>
      </c>
      <c r="H33" s="9" t="e" cm="1">
        <f t="array" aca="1" ref="H33" ca="1">$B$4 *
INDIRECT("Comp_Graph!Include_" &amp; $A$3)*INDIRECT("Comp_Graph!Include_" &amp; H$7)*
OFFSET(INDIRECT(Region_Abbr_Comp &amp; "!A1"), $B$5 + H$6,$B33+1)</f>
        <v>#REF!</v>
      </c>
      <c r="J33">
        <f t="shared" si="9"/>
        <v>2049</v>
      </c>
      <c r="K33">
        <f t="shared" si="9"/>
        <v>25</v>
      </c>
      <c r="L33" s="9" t="e" cm="1">
        <f t="array" aca="1" ref="L33" ca="1">$K$4 *
INDIRECT("Comp_Graph!Include_" &amp; $J$3)*INDIRECT("Comp_Graph!Include_" &amp; L$7)*
OFFSET(INDIRECT(Region_Abbr_Comp &amp; "!A1"), $K$5 + L$6,$K33+1)</f>
        <v>#REF!</v>
      </c>
      <c r="M33" s="9" t="e" cm="1">
        <f t="array" aca="1" ref="M33" ca="1">$K$4 *
INDIRECT("Comp_Graph!Include_" &amp; $J$3)*INDIRECT("Comp_Graph!Include_" &amp; M$7)*
OFFSET(INDIRECT(Region_Abbr_Comp &amp; "!A1"), $K$5 + M$6,$K33+1)</f>
        <v>#REF!</v>
      </c>
      <c r="N33" s="9" t="e" cm="1">
        <f t="array" aca="1" ref="N33" ca="1">$K$4 *
INDIRECT("Comp_Graph!Include_" &amp; $J$3)*INDIRECT("Comp_Graph!Include_" &amp; N$7)*
OFFSET(INDIRECT(Region_Abbr_Comp &amp; "!A1"), $K$5 + N$6,$K33+1)</f>
        <v>#REF!</v>
      </c>
      <c r="O33" s="9" t="e" cm="1">
        <f t="array" aca="1" ref="O33" ca="1">$K$4 *
INDIRECT("Comp_Graph!Include_" &amp; $J$3)*INDIRECT("Comp_Graph!Include_" &amp; O$7)*
OFFSET(INDIRECT(Region_Abbr_Comp &amp; "!A1"), $K$5 + O$6,$K33+1)</f>
        <v>#REF!</v>
      </c>
      <c r="P33" s="9" t="e" cm="1">
        <f t="array" aca="1" ref="P33" ca="1">$K$4 *
INDIRECT("Comp_Graph!Include_" &amp; $J$3)*INDIRECT("Comp_Graph!Include_" &amp; P$7)*
OFFSET(INDIRECT(Region_Abbr_Comp &amp; "!A1"), $K$5 + P$6,$K33+1)</f>
        <v>#REF!</v>
      </c>
      <c r="Q33" s="9" t="e" cm="1">
        <f t="array" aca="1" ref="Q33" ca="1">$K$4 *
INDIRECT("Comp_Graph!Include_" &amp; $J$3)*INDIRECT("Comp_Graph!Include_" &amp; Q$7)*
OFFSET(INDIRECT(Region_Abbr_Comp &amp; "!A1"), $K$5 + Q$6,$K33+1)</f>
        <v>#REF!</v>
      </c>
      <c r="S33">
        <f t="shared" si="10"/>
        <v>2049</v>
      </c>
      <c r="T33">
        <f t="shared" si="10"/>
        <v>25</v>
      </c>
      <c r="U33" s="9" t="e" cm="1">
        <f t="array" aca="1" ref="U33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U$6,$T33+1)</f>
        <v>#REF!</v>
      </c>
      <c r="V33" s="9" t="e" cm="1">
        <f t="array" aca="1" ref="V33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V$6,$T33+1)</f>
        <v>#REF!</v>
      </c>
      <c r="W33" s="9" t="e" cm="1">
        <f t="array" aca="1" ref="W33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W$6,$T33+1)</f>
        <v>#REF!</v>
      </c>
      <c r="X33" s="9" t="e" cm="1">
        <f t="array" aca="1" ref="X33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X$6,$T33+1)</f>
        <v>#REF!</v>
      </c>
      <c r="Y33" s="9" t="e" cm="1">
        <f t="array" aca="1" ref="Y33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Y$6,$T33+1)</f>
        <v>#REF!</v>
      </c>
      <c r="Z33" s="9" t="e" cm="1">
        <f t="array" aca="1" ref="Z33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Z$6,$T33+1)</f>
        <v>#REF!</v>
      </c>
      <c r="AB33">
        <f t="shared" si="11"/>
        <v>2049</v>
      </c>
      <c r="AC33">
        <f t="shared" si="11"/>
        <v>25</v>
      </c>
      <c r="AD33" s="9" t="e" cm="1">
        <f t="array" aca="1" ref="AD33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AD$6,$AC33+1)</f>
        <v>#REF!</v>
      </c>
      <c r="AE33" s="9" t="e" cm="1">
        <f t="array" aca="1" ref="AE33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AE$6,$AC33+1)</f>
        <v>#REF!</v>
      </c>
      <c r="AF33" s="9" t="e" cm="1">
        <f t="array" aca="1" ref="AF33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AF$6,$AC33+1)</f>
        <v>#REF!</v>
      </c>
      <c r="AG33" s="9" t="e" cm="1">
        <f t="array" aca="1" ref="AG33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AG$6,$AC33+1)</f>
        <v>#REF!</v>
      </c>
      <c r="AH33" s="9" t="e" cm="1">
        <f t="array" aca="1" ref="AH33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AH$6,$AC33+1)</f>
        <v>#REF!</v>
      </c>
      <c r="AI33" s="9" t="e" cm="1">
        <f t="array" aca="1" ref="AI33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AI$6,$AC33+1)</f>
        <v>#REF!</v>
      </c>
    </row>
    <row r="34" spans="1:35" x14ac:dyDescent="0.75">
      <c r="A34">
        <f t="shared" si="8"/>
        <v>2050</v>
      </c>
      <c r="B34">
        <f t="shared" si="8"/>
        <v>26</v>
      </c>
      <c r="C34" s="9" t="e" cm="1">
        <f t="array" aca="1" ref="C34" ca="1">$B$4 *
INDIRECT("Comp_Graph!Include_" &amp; $A$3)*INDIRECT("Comp_Graph!Include_" &amp; C$7)*
OFFSET(INDIRECT(Region_Abbr_Comp &amp; "!A1"), $B$5 + C$6,$B34+1)</f>
        <v>#REF!</v>
      </c>
      <c r="D34" s="9" t="e" cm="1">
        <f t="array" aca="1" ref="D34" ca="1">$B$4 *
INDIRECT("Comp_Graph!Include_" &amp; $A$3)*INDIRECT("Comp_Graph!Include_" &amp; D$7)*
OFFSET(INDIRECT(Region_Abbr_Comp &amp; "!A1"), $B$5 + D$6,$B34+1)</f>
        <v>#REF!</v>
      </c>
      <c r="E34" s="9" t="e" cm="1">
        <f t="array" aca="1" ref="E34" ca="1">$B$4 *
INDIRECT("Comp_Graph!Include_" &amp; $A$3)*INDIRECT("Comp_Graph!Include_" &amp; E$7)*
OFFSET(INDIRECT(Region_Abbr_Comp &amp; "!A1"), $B$5 + E$6,$B34+1)</f>
        <v>#REF!</v>
      </c>
      <c r="F34" s="9" t="e" cm="1">
        <f t="array" aca="1" ref="F34" ca="1">$B$4 *
INDIRECT("Comp_Graph!Include_" &amp; $A$3)*INDIRECT("Comp_Graph!Include_" &amp; F$7)*
OFFSET(INDIRECT(Region_Abbr_Comp &amp; "!A1"), $B$5 + F$6,$B34+1)</f>
        <v>#REF!</v>
      </c>
      <c r="G34" s="9" t="e" cm="1">
        <f t="array" aca="1" ref="G34" ca="1">$B$4 *
INDIRECT("Comp_Graph!Include_" &amp; $A$3)*INDIRECT("Comp_Graph!Include_" &amp; G$7)*
OFFSET(INDIRECT(Region_Abbr_Comp &amp; "!A1"), $B$5 + G$6,$B34+1)</f>
        <v>#REF!</v>
      </c>
      <c r="H34" s="9" t="e" cm="1">
        <f t="array" aca="1" ref="H34" ca="1">$B$4 *
INDIRECT("Comp_Graph!Include_" &amp; $A$3)*INDIRECT("Comp_Graph!Include_" &amp; H$7)*
OFFSET(INDIRECT(Region_Abbr_Comp &amp; "!A1"), $B$5 + H$6,$B34+1)</f>
        <v>#REF!</v>
      </c>
      <c r="J34">
        <f t="shared" si="9"/>
        <v>2050</v>
      </c>
      <c r="K34">
        <f t="shared" si="9"/>
        <v>26</v>
      </c>
      <c r="L34" s="9" t="e" cm="1">
        <f t="array" aca="1" ref="L34" ca="1">$K$4 *
INDIRECT("Comp_Graph!Include_" &amp; $J$3)*INDIRECT("Comp_Graph!Include_" &amp; L$7)*
OFFSET(INDIRECT(Region_Abbr_Comp &amp; "!A1"), $K$5 + L$6,$K34+1)</f>
        <v>#REF!</v>
      </c>
      <c r="M34" s="9" t="e" cm="1">
        <f t="array" aca="1" ref="M34" ca="1">$K$4 *
INDIRECT("Comp_Graph!Include_" &amp; $J$3)*INDIRECT("Comp_Graph!Include_" &amp; M$7)*
OFFSET(INDIRECT(Region_Abbr_Comp &amp; "!A1"), $K$5 + M$6,$K34+1)</f>
        <v>#REF!</v>
      </c>
      <c r="N34" s="9" t="e" cm="1">
        <f t="array" aca="1" ref="N34" ca="1">$K$4 *
INDIRECT("Comp_Graph!Include_" &amp; $J$3)*INDIRECT("Comp_Graph!Include_" &amp; N$7)*
OFFSET(INDIRECT(Region_Abbr_Comp &amp; "!A1"), $K$5 + N$6,$K34+1)</f>
        <v>#REF!</v>
      </c>
      <c r="O34" s="9" t="e" cm="1">
        <f t="array" aca="1" ref="O34" ca="1">$K$4 *
INDIRECT("Comp_Graph!Include_" &amp; $J$3)*INDIRECT("Comp_Graph!Include_" &amp; O$7)*
OFFSET(INDIRECT(Region_Abbr_Comp &amp; "!A1"), $K$5 + O$6,$K34+1)</f>
        <v>#REF!</v>
      </c>
      <c r="P34" s="9" t="e" cm="1">
        <f t="array" aca="1" ref="P34" ca="1">$K$4 *
INDIRECT("Comp_Graph!Include_" &amp; $J$3)*INDIRECT("Comp_Graph!Include_" &amp; P$7)*
OFFSET(INDIRECT(Region_Abbr_Comp &amp; "!A1"), $K$5 + P$6,$K34+1)</f>
        <v>#REF!</v>
      </c>
      <c r="Q34" s="9" t="e" cm="1">
        <f t="array" aca="1" ref="Q34" ca="1">$K$4 *
INDIRECT("Comp_Graph!Include_" &amp; $J$3)*INDIRECT("Comp_Graph!Include_" &amp; Q$7)*
OFFSET(INDIRECT(Region_Abbr_Comp &amp; "!A1"), $K$5 + Q$6,$K34+1)</f>
        <v>#REF!</v>
      </c>
      <c r="S34">
        <f t="shared" si="10"/>
        <v>2050</v>
      </c>
      <c r="T34">
        <f t="shared" si="10"/>
        <v>26</v>
      </c>
      <c r="U34" s="9" t="e" cm="1">
        <f t="array" aca="1" ref="U34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U$6,$T34+1)</f>
        <v>#REF!</v>
      </c>
      <c r="V34" s="9" t="e" cm="1">
        <f t="array" aca="1" ref="V34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V$6,$T34+1)</f>
        <v>#REF!</v>
      </c>
      <c r="W34" s="9" t="e" cm="1">
        <f t="array" aca="1" ref="W34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W$6,$T34+1)</f>
        <v>#REF!</v>
      </c>
      <c r="X34" s="9" t="e" cm="1">
        <f t="array" aca="1" ref="X34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X$6,$T34+1)</f>
        <v>#REF!</v>
      </c>
      <c r="Y34" s="9" t="e" cm="1">
        <f t="array" aca="1" ref="Y34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Y$6,$T34+1)</f>
        <v>#REF!</v>
      </c>
      <c r="Z34" s="9" t="e" cm="1">
        <f t="array" aca="1" ref="Z34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Z$6,$T34+1)</f>
        <v>#REF!</v>
      </c>
      <c r="AB34">
        <f t="shared" si="11"/>
        <v>2050</v>
      </c>
      <c r="AC34">
        <f t="shared" si="11"/>
        <v>26</v>
      </c>
      <c r="AD34" s="9" t="e" cm="1">
        <f t="array" aca="1" ref="AD34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AD$6,$AC34+1)</f>
        <v>#REF!</v>
      </c>
      <c r="AE34" s="9" t="e" cm="1">
        <f t="array" aca="1" ref="AE34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AE$6,$AC34+1)</f>
        <v>#REF!</v>
      </c>
      <c r="AF34" s="9" t="e" cm="1">
        <f t="array" aca="1" ref="AF34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AF$6,$AC34+1)</f>
        <v>#REF!</v>
      </c>
      <c r="AG34" s="9" t="e" cm="1">
        <f t="array" aca="1" ref="AG34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AG$6,$AC34+1)</f>
        <v>#REF!</v>
      </c>
      <c r="AH34" s="9" t="e" cm="1">
        <f t="array" aca="1" ref="AH34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AH$6,$AC34+1)</f>
        <v>#REF!</v>
      </c>
      <c r="AI34" s="9" t="e" cm="1">
        <f t="array" aca="1" ref="AI34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AI$6,$AC34+1)</f>
        <v>#REF!</v>
      </c>
    </row>
    <row r="36" spans="1:35" x14ac:dyDescent="0.75">
      <c r="A36" t="s">
        <v>32</v>
      </c>
    </row>
    <row r="37" spans="1:35" x14ac:dyDescent="0.75">
      <c r="A37" t="str">
        <f>A6</f>
        <v>Year</v>
      </c>
      <c r="B37" t="str">
        <f t="shared" ref="B37:F38" si="12">B6</f>
        <v>Offsets -&gt;</v>
      </c>
      <c r="C37" t="e">
        <f t="shared" si="12"/>
        <v>#REF!</v>
      </c>
      <c r="D37" t="e">
        <f t="shared" si="12"/>
        <v>#REF!</v>
      </c>
      <c r="E37" t="e">
        <f t="shared" si="12"/>
        <v>#REF!</v>
      </c>
      <c r="F37" t="e">
        <f t="shared" si="12"/>
        <v>#REF!</v>
      </c>
      <c r="G37"/>
      <c r="H37"/>
    </row>
    <row r="38" spans="1:35" x14ac:dyDescent="0.75">
      <c r="A38">
        <f>A7</f>
        <v>2023</v>
      </c>
      <c r="B38">
        <f t="shared" si="12"/>
        <v>-1</v>
      </c>
      <c r="C38" t="str">
        <f>A3</f>
        <v>Capital</v>
      </c>
      <c r="D38" t="str">
        <f>J3</f>
        <v>Fixed</v>
      </c>
      <c r="E38" t="str">
        <f>S3</f>
        <v>Variable</v>
      </c>
      <c r="F38" t="str">
        <f>AB3</f>
        <v>CO2</v>
      </c>
      <c r="G38"/>
      <c r="H38"/>
    </row>
    <row r="39" spans="1:35" x14ac:dyDescent="0.75">
      <c r="A39">
        <f t="shared" ref="A39:B54" si="13">A8</f>
        <v>2024</v>
      </c>
      <c r="B39">
        <f t="shared" si="13"/>
        <v>0</v>
      </c>
      <c r="C39" s="9" t="e">
        <f ca="1">SUM(C8:H8)</f>
        <v>#REF!</v>
      </c>
      <c r="D39" s="9" t="e">
        <f ca="1">SUM(L8:Q8)</f>
        <v>#REF!</v>
      </c>
      <c r="E39" s="9" t="e">
        <f ca="1">SUM(U8:Z8)</f>
        <v>#REF!</v>
      </c>
      <c r="F39" s="9" t="e">
        <f ca="1">SUM(AD8:AI8)</f>
        <v>#REF!</v>
      </c>
      <c r="G39" s="9"/>
      <c r="H39" s="9"/>
    </row>
    <row r="40" spans="1:35" x14ac:dyDescent="0.75">
      <c r="A40">
        <f t="shared" si="13"/>
        <v>2025</v>
      </c>
      <c r="B40">
        <f t="shared" si="13"/>
        <v>1</v>
      </c>
      <c r="C40" s="9" t="e">
        <f t="shared" ref="C40:C65" ca="1" si="14">SUM(C9:H9)</f>
        <v>#REF!</v>
      </c>
      <c r="D40" s="9" t="e">
        <f t="shared" ref="D40:D65" ca="1" si="15">SUM(L9:Q9)</f>
        <v>#REF!</v>
      </c>
      <c r="E40" s="9" t="e">
        <f t="shared" ref="E40:E65" ca="1" si="16">SUM(U9:Z9)</f>
        <v>#REF!</v>
      </c>
      <c r="F40" s="9" t="e">
        <f t="shared" ref="F40:F65" ca="1" si="17">SUM(AD9:AI9)</f>
        <v>#REF!</v>
      </c>
      <c r="G40" s="9"/>
      <c r="H40" s="9"/>
    </row>
    <row r="41" spans="1:35" x14ac:dyDescent="0.75">
      <c r="A41">
        <f t="shared" si="13"/>
        <v>2026</v>
      </c>
      <c r="B41">
        <f t="shared" si="13"/>
        <v>2</v>
      </c>
      <c r="C41" s="9" t="e">
        <f t="shared" ca="1" si="14"/>
        <v>#REF!</v>
      </c>
      <c r="D41" s="9" t="e">
        <f t="shared" ca="1" si="15"/>
        <v>#REF!</v>
      </c>
      <c r="E41" s="9" t="e">
        <f t="shared" ca="1" si="16"/>
        <v>#REF!</v>
      </c>
      <c r="F41" s="9" t="e">
        <f t="shared" ca="1" si="17"/>
        <v>#REF!</v>
      </c>
      <c r="G41" s="9"/>
      <c r="H41" s="9"/>
    </row>
    <row r="42" spans="1:35" x14ac:dyDescent="0.75">
      <c r="A42">
        <f t="shared" si="13"/>
        <v>2027</v>
      </c>
      <c r="B42">
        <f t="shared" si="13"/>
        <v>3</v>
      </c>
      <c r="C42" s="9" t="e">
        <f t="shared" ca="1" si="14"/>
        <v>#REF!</v>
      </c>
      <c r="D42" s="9" t="e">
        <f t="shared" ca="1" si="15"/>
        <v>#REF!</v>
      </c>
      <c r="E42" s="9" t="e">
        <f t="shared" ca="1" si="16"/>
        <v>#REF!</v>
      </c>
      <c r="F42" s="9" t="e">
        <f t="shared" ca="1" si="17"/>
        <v>#REF!</v>
      </c>
      <c r="G42" s="9"/>
      <c r="H42" s="9"/>
    </row>
    <row r="43" spans="1:35" x14ac:dyDescent="0.75">
      <c r="A43">
        <f t="shared" si="13"/>
        <v>2028</v>
      </c>
      <c r="B43">
        <f t="shared" si="13"/>
        <v>4</v>
      </c>
      <c r="C43" s="9" t="e">
        <f t="shared" ca="1" si="14"/>
        <v>#REF!</v>
      </c>
      <c r="D43" s="9" t="e">
        <f t="shared" ca="1" si="15"/>
        <v>#REF!</v>
      </c>
      <c r="E43" s="9" t="e">
        <f t="shared" ca="1" si="16"/>
        <v>#REF!</v>
      </c>
      <c r="F43" s="9" t="e">
        <f t="shared" ca="1" si="17"/>
        <v>#REF!</v>
      </c>
      <c r="G43" s="9"/>
      <c r="H43" s="9"/>
    </row>
    <row r="44" spans="1:35" x14ac:dyDescent="0.75">
      <c r="A44">
        <f t="shared" si="13"/>
        <v>2029</v>
      </c>
      <c r="B44">
        <f t="shared" si="13"/>
        <v>5</v>
      </c>
      <c r="C44" s="9" t="e">
        <f t="shared" ca="1" si="14"/>
        <v>#REF!</v>
      </c>
      <c r="D44" s="9" t="e">
        <f t="shared" ca="1" si="15"/>
        <v>#REF!</v>
      </c>
      <c r="E44" s="9" t="e">
        <f t="shared" ca="1" si="16"/>
        <v>#REF!</v>
      </c>
      <c r="F44" s="9" t="e">
        <f t="shared" ca="1" si="17"/>
        <v>#REF!</v>
      </c>
      <c r="G44" s="9"/>
      <c r="H44" s="9"/>
    </row>
    <row r="45" spans="1:35" x14ac:dyDescent="0.75">
      <c r="A45">
        <f t="shared" si="13"/>
        <v>2030</v>
      </c>
      <c r="B45">
        <f t="shared" si="13"/>
        <v>6</v>
      </c>
      <c r="C45" s="9" t="e">
        <f t="shared" ca="1" si="14"/>
        <v>#REF!</v>
      </c>
      <c r="D45" s="9" t="e">
        <f t="shared" ca="1" si="15"/>
        <v>#REF!</v>
      </c>
      <c r="E45" s="9" t="e">
        <f t="shared" ca="1" si="16"/>
        <v>#REF!</v>
      </c>
      <c r="F45" s="9" t="e">
        <f t="shared" ca="1" si="17"/>
        <v>#REF!</v>
      </c>
      <c r="G45" s="9"/>
      <c r="H45" s="9"/>
    </row>
    <row r="46" spans="1:35" x14ac:dyDescent="0.75">
      <c r="A46">
        <f t="shared" si="13"/>
        <v>2031</v>
      </c>
      <c r="B46">
        <f t="shared" si="13"/>
        <v>7</v>
      </c>
      <c r="C46" s="9" t="e">
        <f t="shared" ca="1" si="14"/>
        <v>#REF!</v>
      </c>
      <c r="D46" s="9" t="e">
        <f t="shared" ca="1" si="15"/>
        <v>#REF!</v>
      </c>
      <c r="E46" s="9" t="e">
        <f t="shared" ca="1" si="16"/>
        <v>#REF!</v>
      </c>
      <c r="F46" s="9" t="e">
        <f t="shared" ca="1" si="17"/>
        <v>#REF!</v>
      </c>
      <c r="G46" s="9"/>
      <c r="H46" s="9"/>
    </row>
    <row r="47" spans="1:35" x14ac:dyDescent="0.75">
      <c r="A47">
        <f t="shared" si="13"/>
        <v>2032</v>
      </c>
      <c r="B47">
        <f t="shared" si="13"/>
        <v>8</v>
      </c>
      <c r="C47" s="9" t="e">
        <f t="shared" ca="1" si="14"/>
        <v>#REF!</v>
      </c>
      <c r="D47" s="9" t="e">
        <f t="shared" ca="1" si="15"/>
        <v>#REF!</v>
      </c>
      <c r="E47" s="9" t="e">
        <f t="shared" ca="1" si="16"/>
        <v>#REF!</v>
      </c>
      <c r="F47" s="9" t="e">
        <f t="shared" ca="1" si="17"/>
        <v>#REF!</v>
      </c>
      <c r="G47" s="9"/>
      <c r="H47" s="9"/>
    </row>
    <row r="48" spans="1:35" x14ac:dyDescent="0.75">
      <c r="A48">
        <f t="shared" si="13"/>
        <v>2033</v>
      </c>
      <c r="B48">
        <f t="shared" si="13"/>
        <v>9</v>
      </c>
      <c r="C48" s="9" t="e">
        <f t="shared" ca="1" si="14"/>
        <v>#REF!</v>
      </c>
      <c r="D48" s="9" t="e">
        <f t="shared" ca="1" si="15"/>
        <v>#REF!</v>
      </c>
      <c r="E48" s="9" t="e">
        <f t="shared" ca="1" si="16"/>
        <v>#REF!</v>
      </c>
      <c r="F48" s="9" t="e">
        <f t="shared" ca="1" si="17"/>
        <v>#REF!</v>
      </c>
      <c r="G48" s="9"/>
      <c r="H48" s="9"/>
    </row>
    <row r="49" spans="1:8" x14ac:dyDescent="0.75">
      <c r="A49">
        <f t="shared" si="13"/>
        <v>2034</v>
      </c>
      <c r="B49">
        <f t="shared" si="13"/>
        <v>10</v>
      </c>
      <c r="C49" s="9" t="e">
        <f t="shared" ca="1" si="14"/>
        <v>#REF!</v>
      </c>
      <c r="D49" s="9" t="e">
        <f t="shared" ca="1" si="15"/>
        <v>#REF!</v>
      </c>
      <c r="E49" s="9" t="e">
        <f t="shared" ca="1" si="16"/>
        <v>#REF!</v>
      </c>
      <c r="F49" s="9" t="e">
        <f t="shared" ca="1" si="17"/>
        <v>#REF!</v>
      </c>
      <c r="G49" s="9"/>
      <c r="H49" s="9"/>
    </row>
    <row r="50" spans="1:8" x14ac:dyDescent="0.75">
      <c r="A50">
        <f t="shared" si="13"/>
        <v>2035</v>
      </c>
      <c r="B50">
        <f t="shared" si="13"/>
        <v>11</v>
      </c>
      <c r="C50" s="9" t="e">
        <f t="shared" ca="1" si="14"/>
        <v>#REF!</v>
      </c>
      <c r="D50" s="9" t="e">
        <f t="shared" ca="1" si="15"/>
        <v>#REF!</v>
      </c>
      <c r="E50" s="9" t="e">
        <f t="shared" ca="1" si="16"/>
        <v>#REF!</v>
      </c>
      <c r="F50" s="9" t="e">
        <f t="shared" ca="1" si="17"/>
        <v>#REF!</v>
      </c>
      <c r="G50" s="9"/>
      <c r="H50" s="9"/>
    </row>
    <row r="51" spans="1:8" x14ac:dyDescent="0.75">
      <c r="A51">
        <f t="shared" si="13"/>
        <v>2036</v>
      </c>
      <c r="B51">
        <f t="shared" si="13"/>
        <v>12</v>
      </c>
      <c r="C51" s="9" t="e">
        <f t="shared" ca="1" si="14"/>
        <v>#REF!</v>
      </c>
      <c r="D51" s="9" t="e">
        <f t="shared" ca="1" si="15"/>
        <v>#REF!</v>
      </c>
      <c r="E51" s="9" t="e">
        <f t="shared" ca="1" si="16"/>
        <v>#REF!</v>
      </c>
      <c r="F51" s="9" t="e">
        <f t="shared" ca="1" si="17"/>
        <v>#REF!</v>
      </c>
      <c r="G51" s="9"/>
      <c r="H51" s="9"/>
    </row>
    <row r="52" spans="1:8" x14ac:dyDescent="0.75">
      <c r="A52">
        <f t="shared" si="13"/>
        <v>2037</v>
      </c>
      <c r="B52">
        <f t="shared" si="13"/>
        <v>13</v>
      </c>
      <c r="C52" s="9" t="e">
        <f t="shared" ca="1" si="14"/>
        <v>#REF!</v>
      </c>
      <c r="D52" s="9" t="e">
        <f t="shared" ca="1" si="15"/>
        <v>#REF!</v>
      </c>
      <c r="E52" s="9" t="e">
        <f t="shared" ca="1" si="16"/>
        <v>#REF!</v>
      </c>
      <c r="F52" s="9" t="e">
        <f t="shared" ca="1" si="17"/>
        <v>#REF!</v>
      </c>
      <c r="G52" s="9"/>
      <c r="H52" s="9"/>
    </row>
    <row r="53" spans="1:8" x14ac:dyDescent="0.75">
      <c r="A53">
        <f t="shared" si="13"/>
        <v>2038</v>
      </c>
      <c r="B53">
        <f t="shared" si="13"/>
        <v>14</v>
      </c>
      <c r="C53" s="9" t="e">
        <f t="shared" ca="1" si="14"/>
        <v>#REF!</v>
      </c>
      <c r="D53" s="9" t="e">
        <f t="shared" ca="1" si="15"/>
        <v>#REF!</v>
      </c>
      <c r="E53" s="9" t="e">
        <f t="shared" ca="1" si="16"/>
        <v>#REF!</v>
      </c>
      <c r="F53" s="9" t="e">
        <f t="shared" ca="1" si="17"/>
        <v>#REF!</v>
      </c>
      <c r="G53" s="9"/>
      <c r="H53" s="9"/>
    </row>
    <row r="54" spans="1:8" x14ac:dyDescent="0.75">
      <c r="A54">
        <f t="shared" si="13"/>
        <v>2039</v>
      </c>
      <c r="B54">
        <f t="shared" si="13"/>
        <v>15</v>
      </c>
      <c r="C54" s="9" t="e">
        <f t="shared" ca="1" si="14"/>
        <v>#REF!</v>
      </c>
      <c r="D54" s="9" t="e">
        <f t="shared" ca="1" si="15"/>
        <v>#REF!</v>
      </c>
      <c r="E54" s="9" t="e">
        <f t="shared" ca="1" si="16"/>
        <v>#REF!</v>
      </c>
      <c r="F54" s="9" t="e">
        <f t="shared" ca="1" si="17"/>
        <v>#REF!</v>
      </c>
      <c r="G54" s="9"/>
      <c r="H54" s="9"/>
    </row>
    <row r="55" spans="1:8" x14ac:dyDescent="0.75">
      <c r="A55">
        <f t="shared" ref="A55:B65" si="18">A24</f>
        <v>2040</v>
      </c>
      <c r="B55">
        <f t="shared" si="18"/>
        <v>16</v>
      </c>
      <c r="C55" s="9" t="e">
        <f t="shared" ca="1" si="14"/>
        <v>#REF!</v>
      </c>
      <c r="D55" s="9" t="e">
        <f t="shared" ca="1" si="15"/>
        <v>#REF!</v>
      </c>
      <c r="E55" s="9" t="e">
        <f t="shared" ca="1" si="16"/>
        <v>#REF!</v>
      </c>
      <c r="F55" s="9" t="e">
        <f t="shared" ca="1" si="17"/>
        <v>#REF!</v>
      </c>
      <c r="G55" s="9"/>
      <c r="H55" s="9"/>
    </row>
    <row r="56" spans="1:8" x14ac:dyDescent="0.75">
      <c r="A56">
        <f t="shared" si="18"/>
        <v>2041</v>
      </c>
      <c r="B56">
        <f t="shared" si="18"/>
        <v>17</v>
      </c>
      <c r="C56" s="9" t="e">
        <f t="shared" ca="1" si="14"/>
        <v>#REF!</v>
      </c>
      <c r="D56" s="9" t="e">
        <f t="shared" ca="1" si="15"/>
        <v>#REF!</v>
      </c>
      <c r="E56" s="9" t="e">
        <f t="shared" ca="1" si="16"/>
        <v>#REF!</v>
      </c>
      <c r="F56" s="9" t="e">
        <f t="shared" ca="1" si="17"/>
        <v>#REF!</v>
      </c>
      <c r="G56" s="9"/>
      <c r="H56" s="9"/>
    </row>
    <row r="57" spans="1:8" x14ac:dyDescent="0.75">
      <c r="A57">
        <f t="shared" si="18"/>
        <v>2042</v>
      </c>
      <c r="B57">
        <f t="shared" si="18"/>
        <v>18</v>
      </c>
      <c r="C57" s="9" t="e">
        <f t="shared" ca="1" si="14"/>
        <v>#REF!</v>
      </c>
      <c r="D57" s="9" t="e">
        <f t="shared" ca="1" si="15"/>
        <v>#REF!</v>
      </c>
      <c r="E57" s="9" t="e">
        <f t="shared" ca="1" si="16"/>
        <v>#REF!</v>
      </c>
      <c r="F57" s="9" t="e">
        <f t="shared" ca="1" si="17"/>
        <v>#REF!</v>
      </c>
      <c r="G57" s="9"/>
      <c r="H57" s="9"/>
    </row>
    <row r="58" spans="1:8" x14ac:dyDescent="0.75">
      <c r="A58">
        <f t="shared" si="18"/>
        <v>2043</v>
      </c>
      <c r="B58">
        <f t="shared" si="18"/>
        <v>19</v>
      </c>
      <c r="C58" s="9" t="e">
        <f t="shared" ca="1" si="14"/>
        <v>#REF!</v>
      </c>
      <c r="D58" s="9" t="e">
        <f t="shared" ca="1" si="15"/>
        <v>#REF!</v>
      </c>
      <c r="E58" s="9" t="e">
        <f t="shared" ca="1" si="16"/>
        <v>#REF!</v>
      </c>
      <c r="F58" s="9" t="e">
        <f t="shared" ca="1" si="17"/>
        <v>#REF!</v>
      </c>
      <c r="G58" s="9"/>
      <c r="H58" s="9"/>
    </row>
    <row r="59" spans="1:8" x14ac:dyDescent="0.75">
      <c r="A59">
        <f t="shared" si="18"/>
        <v>2044</v>
      </c>
      <c r="B59">
        <f t="shared" si="18"/>
        <v>20</v>
      </c>
      <c r="C59" s="9" t="e">
        <f t="shared" ca="1" si="14"/>
        <v>#REF!</v>
      </c>
      <c r="D59" s="9" t="e">
        <f t="shared" ca="1" si="15"/>
        <v>#REF!</v>
      </c>
      <c r="E59" s="9" t="e">
        <f t="shared" ca="1" si="16"/>
        <v>#REF!</v>
      </c>
      <c r="F59" s="9" t="e">
        <f t="shared" ca="1" si="17"/>
        <v>#REF!</v>
      </c>
      <c r="G59" s="9"/>
      <c r="H59" s="9"/>
    </row>
    <row r="60" spans="1:8" x14ac:dyDescent="0.75">
      <c r="A60">
        <f t="shared" si="18"/>
        <v>2045</v>
      </c>
      <c r="B60">
        <f t="shared" si="18"/>
        <v>21</v>
      </c>
      <c r="C60" s="9" t="e">
        <f t="shared" ca="1" si="14"/>
        <v>#REF!</v>
      </c>
      <c r="D60" s="9" t="e">
        <f t="shared" ca="1" si="15"/>
        <v>#REF!</v>
      </c>
      <c r="E60" s="9" t="e">
        <f t="shared" ca="1" si="16"/>
        <v>#REF!</v>
      </c>
      <c r="F60" s="9" t="e">
        <f t="shared" ca="1" si="17"/>
        <v>#REF!</v>
      </c>
      <c r="G60" s="9"/>
      <c r="H60" s="9"/>
    </row>
    <row r="61" spans="1:8" x14ac:dyDescent="0.75">
      <c r="A61">
        <f t="shared" si="18"/>
        <v>2046</v>
      </c>
      <c r="B61">
        <f t="shared" si="18"/>
        <v>22</v>
      </c>
      <c r="C61" s="9" t="e">
        <f t="shared" ca="1" si="14"/>
        <v>#REF!</v>
      </c>
      <c r="D61" s="9" t="e">
        <f t="shared" ca="1" si="15"/>
        <v>#REF!</v>
      </c>
      <c r="E61" s="9" t="e">
        <f t="shared" ca="1" si="16"/>
        <v>#REF!</v>
      </c>
      <c r="F61" s="9" t="e">
        <f t="shared" ca="1" si="17"/>
        <v>#REF!</v>
      </c>
      <c r="G61" s="9"/>
      <c r="H61" s="9"/>
    </row>
    <row r="62" spans="1:8" x14ac:dyDescent="0.75">
      <c r="A62">
        <f t="shared" si="18"/>
        <v>2047</v>
      </c>
      <c r="B62">
        <f t="shared" si="18"/>
        <v>23</v>
      </c>
      <c r="C62" s="9" t="e">
        <f t="shared" ca="1" si="14"/>
        <v>#REF!</v>
      </c>
      <c r="D62" s="9" t="e">
        <f t="shared" ca="1" si="15"/>
        <v>#REF!</v>
      </c>
      <c r="E62" s="9" t="e">
        <f t="shared" ca="1" si="16"/>
        <v>#REF!</v>
      </c>
      <c r="F62" s="9" t="e">
        <f t="shared" ca="1" si="17"/>
        <v>#REF!</v>
      </c>
      <c r="G62" s="9"/>
      <c r="H62" s="9"/>
    </row>
    <row r="63" spans="1:8" x14ac:dyDescent="0.75">
      <c r="A63">
        <f t="shared" si="18"/>
        <v>2048</v>
      </c>
      <c r="B63">
        <f t="shared" si="18"/>
        <v>24</v>
      </c>
      <c r="C63" s="9" t="e">
        <f t="shared" ca="1" si="14"/>
        <v>#REF!</v>
      </c>
      <c r="D63" s="9" t="e">
        <f t="shared" ca="1" si="15"/>
        <v>#REF!</v>
      </c>
      <c r="E63" s="9" t="e">
        <f t="shared" ca="1" si="16"/>
        <v>#REF!</v>
      </c>
      <c r="F63" s="9" t="e">
        <f t="shared" ca="1" si="17"/>
        <v>#REF!</v>
      </c>
      <c r="G63" s="9"/>
      <c r="H63" s="9"/>
    </row>
    <row r="64" spans="1:8" x14ac:dyDescent="0.75">
      <c r="A64">
        <f t="shared" si="18"/>
        <v>2049</v>
      </c>
      <c r="B64">
        <f t="shared" si="18"/>
        <v>25</v>
      </c>
      <c r="C64" s="9" t="e">
        <f t="shared" ca="1" si="14"/>
        <v>#REF!</v>
      </c>
      <c r="D64" s="9" t="e">
        <f t="shared" ca="1" si="15"/>
        <v>#REF!</v>
      </c>
      <c r="E64" s="9" t="e">
        <f t="shared" ca="1" si="16"/>
        <v>#REF!</v>
      </c>
      <c r="F64" s="9" t="e">
        <f t="shared" ca="1" si="17"/>
        <v>#REF!</v>
      </c>
      <c r="G64" s="9"/>
      <c r="H64" s="9"/>
    </row>
    <row r="65" spans="1:8" x14ac:dyDescent="0.75">
      <c r="A65">
        <f t="shared" si="18"/>
        <v>2050</v>
      </c>
      <c r="B65">
        <f t="shared" si="18"/>
        <v>26</v>
      </c>
      <c r="C65" s="9" t="e">
        <f t="shared" ca="1" si="14"/>
        <v>#REF!</v>
      </c>
      <c r="D65" s="9" t="e">
        <f t="shared" ca="1" si="15"/>
        <v>#REF!</v>
      </c>
      <c r="E65" s="9" t="e">
        <f t="shared" ca="1" si="16"/>
        <v>#REF!</v>
      </c>
      <c r="F65" s="9" t="e">
        <f t="shared" ca="1" si="17"/>
        <v>#REF!</v>
      </c>
      <c r="G65" s="9"/>
      <c r="H65" s="9"/>
    </row>
  </sheetData>
  <mergeCells count="1">
    <mergeCell ref="A1:B1"/>
  </mergeCells>
  <conditionalFormatting sqref="C8:H34">
    <cfRule type="expression" dxfId="4" priority="5">
      <formula>#REF! &gt; 10000</formula>
    </cfRule>
  </conditionalFormatting>
  <conditionalFormatting sqref="L8:Q34">
    <cfRule type="expression" dxfId="3" priority="4">
      <formula>#REF! &gt; 10000</formula>
    </cfRule>
  </conditionalFormatting>
  <conditionalFormatting sqref="U8:Z34">
    <cfRule type="expression" dxfId="2" priority="3">
      <formula>#REF! &gt; 10000</formula>
    </cfRule>
  </conditionalFormatting>
  <conditionalFormatting sqref="AD8:AI34">
    <cfRule type="expression" dxfId="1" priority="2">
      <formula>#REF! &gt; 10000</formula>
    </cfRule>
  </conditionalFormatting>
  <conditionalFormatting sqref="C39:H65">
    <cfRule type="expression" dxfId="0" priority="1">
      <formula>#REF! &gt; 10000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56</vt:i4>
      </vt:variant>
    </vt:vector>
  </HeadingPairs>
  <TitlesOfParts>
    <vt:vector size="62" baseType="lpstr">
      <vt:lpstr>Graph</vt:lpstr>
      <vt:lpstr>Cost_Graph</vt:lpstr>
      <vt:lpstr>Comp_Graph</vt:lpstr>
      <vt:lpstr>Calc</vt:lpstr>
      <vt:lpstr>Cost_Calc</vt:lpstr>
      <vt:lpstr>Comp_Calc</vt:lpstr>
      <vt:lpstr>Comp_Graph!Battery_Cost</vt:lpstr>
      <vt:lpstr>Battery_Cost</vt:lpstr>
      <vt:lpstr>Comp_Graph!Capital</vt:lpstr>
      <vt:lpstr>Capital</vt:lpstr>
      <vt:lpstr>Comp_Graph!CO2_</vt:lpstr>
      <vt:lpstr>CO2_</vt:lpstr>
      <vt:lpstr>Comp_Graph!Coal_Cost</vt:lpstr>
      <vt:lpstr>Coal_Cost</vt:lpstr>
      <vt:lpstr>Comp_Calc!Cost_Corner</vt:lpstr>
      <vt:lpstr>Cost_Corner</vt:lpstr>
      <vt:lpstr>Delta_Corner</vt:lpstr>
      <vt:lpstr>filename_</vt:lpstr>
      <vt:lpstr>Comp_Graph!Fixed</vt:lpstr>
      <vt:lpstr>Fixed</vt:lpstr>
      <vt:lpstr>Comp_Graph!Gas_Cost</vt:lpstr>
      <vt:lpstr>Gas_Cost</vt:lpstr>
      <vt:lpstr>Comp_Graph!Include_Battery</vt:lpstr>
      <vt:lpstr>Include_Battery</vt:lpstr>
      <vt:lpstr>Comp_Graph!Include_Capital</vt:lpstr>
      <vt:lpstr>Include_Capital</vt:lpstr>
      <vt:lpstr>Comp_Graph!Include_CO2</vt:lpstr>
      <vt:lpstr>Include_CO2</vt:lpstr>
      <vt:lpstr>Comp_Graph!Include_Coal</vt:lpstr>
      <vt:lpstr>Include_Coal</vt:lpstr>
      <vt:lpstr>Comp_Graph!Include_Fixed</vt:lpstr>
      <vt:lpstr>Include_Fixed</vt:lpstr>
      <vt:lpstr>Comp_Graph!Include_Gas</vt:lpstr>
      <vt:lpstr>Include_Gas</vt:lpstr>
      <vt:lpstr>Comp_Graph!Include_Nuclear</vt:lpstr>
      <vt:lpstr>Include_Nuclear</vt:lpstr>
      <vt:lpstr>Comp_Graph!Include_Solar</vt:lpstr>
      <vt:lpstr>Include_Solar</vt:lpstr>
      <vt:lpstr>Comp_Graph!Include_Variable</vt:lpstr>
      <vt:lpstr>Include_Variable</vt:lpstr>
      <vt:lpstr>Comp_Graph!Include_Wind</vt:lpstr>
      <vt:lpstr>Include_Wind</vt:lpstr>
      <vt:lpstr>Main_Corner</vt:lpstr>
      <vt:lpstr>Mult</vt:lpstr>
      <vt:lpstr>Comp_Graph!Nuclear_Cost</vt:lpstr>
      <vt:lpstr>Nuclear_Cost</vt:lpstr>
      <vt:lpstr>Param_offset</vt:lpstr>
      <vt:lpstr>Parameter</vt:lpstr>
      <vt:lpstr>Comp_Graph!Region</vt:lpstr>
      <vt:lpstr>Cost_Graph!Region</vt:lpstr>
      <vt:lpstr>Region</vt:lpstr>
      <vt:lpstr>Region_abbr</vt:lpstr>
      <vt:lpstr>Region_Abbr_Comp</vt:lpstr>
      <vt:lpstr>Comp_Calc!Region_Abbr_Cost</vt:lpstr>
      <vt:lpstr>Region_Abbr_Cost</vt:lpstr>
      <vt:lpstr>Comp_Graph!Solar_Cost</vt:lpstr>
      <vt:lpstr>Solar_Cost</vt:lpstr>
      <vt:lpstr>Comp_Graph!Variable</vt:lpstr>
      <vt:lpstr>Variable</vt:lpstr>
      <vt:lpstr>Comp_Graph!Wind_Cost</vt:lpstr>
      <vt:lpstr>Wind_Cost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2025-10-20T16:47:22Z</dcterms:modified>
</cp:coreProperties>
</file>