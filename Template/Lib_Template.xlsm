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Template/"/>
    </mc:Choice>
  </mc:AlternateContent>
  <xr:revisionPtr revIDLastSave="591" documentId="8_{F1F74A3A-C232-4F8A-A90E-8189464B63CE}" xr6:coauthVersionLast="47" xr6:coauthVersionMax="47" xr10:uidLastSave="{25816754-4BF3-4F6E-8824-BD92003071C2}"/>
  <bookViews>
    <workbookView xWindow="-90" yWindow="-90" windowWidth="16637" windowHeight="9437" xr2:uid="{F4D4EDAC-D9BE-40D7-9520-4AD57ED7D8EC}"/>
  </bookViews>
  <sheets>
    <sheet name="Graph" sheetId="1" r:id="rId1"/>
    <sheet name="Cost_Graph" sheetId="6" r:id="rId2"/>
    <sheet name="Calc" sheetId="5" r:id="rId3"/>
    <sheet name="Cost_Calc" sheetId="7" r:id="rId4"/>
  </sheets>
  <definedNames>
    <definedName name="_1st_ref">#REF!</definedName>
    <definedName name="_xleta.VALUE" hidden="1" xlm="1">#NAME?</definedName>
    <definedName name="Battery_Cost">Cost_Graph!$B$14</definedName>
    <definedName name="Billion">#REF!</definedName>
    <definedName name="Capital">Cost_Graph!$B$4</definedName>
    <definedName name="CO2_">Cost_Graph!$B$7</definedName>
    <definedName name="Coal_Cost">Cost_Graph!$B$13</definedName>
    <definedName name="Delta_Corner">Graph!$T$5</definedName>
    <definedName name="filename_">Graph!$C$1</definedName>
    <definedName name="Fixed">Cost_Graph!$B$5</definedName>
    <definedName name="Gas_Cost">Cost_Graph!$B$12</definedName>
    <definedName name="Inbox">#REF!</definedName>
    <definedName name="Include_Battery">Cost_Graph!$B$14</definedName>
    <definedName name="Include_Capital">Cost_Graph!$B$4</definedName>
    <definedName name="Include_CO2">Cost_Graph!$B$7</definedName>
    <definedName name="Include_Coal">Cost_Graph!$B$13</definedName>
    <definedName name="Include_Fixed">Cost_Graph!$B$5</definedName>
    <definedName name="Include_Gas">Cost_Graph!$B$12</definedName>
    <definedName name="Include_Nuclear">Cost_Graph!$B$11</definedName>
    <definedName name="Include_Solar">Cost_Graph!$B$9</definedName>
    <definedName name="Include_Variable">Cost_Graph!$B$6</definedName>
    <definedName name="Include_Wind">Cost_Graph!$B$10</definedName>
    <definedName name="Million">#REF!</definedName>
    <definedName name="Mult">Calc!$C$4</definedName>
    <definedName name="NRG_Selections">#REF!</definedName>
    <definedName name="NRG_Table">#REF!</definedName>
    <definedName name="Nuclear_Cost">Cost_Graph!$B$11</definedName>
    <definedName name="Param_Count">#REF!</definedName>
    <definedName name="Param_offset">Calc!$C$5</definedName>
    <definedName name="Param_Table">#REF!</definedName>
    <definedName name="Parameter">Graph!$A$2</definedName>
    <definedName name="Params">#REF!</definedName>
    <definedName name="Region">Graph!$A$1</definedName>
    <definedName name="Region_abbr">Calc!$C$3</definedName>
    <definedName name="Region_Abbr_Cost">Cost_Calc!$C$1</definedName>
    <definedName name="Region_Cost">Cost_Graph!$A$1</definedName>
    <definedName name="Region_lookup">#REF!</definedName>
    <definedName name="Regions">#REF!</definedName>
    <definedName name="Solar_Cost">Cost_Graph!$B$9</definedName>
    <definedName name="Table_Corner">Graph!$J$5</definedName>
    <definedName name="Thousand">#REF!</definedName>
    <definedName name="To_Long">#REF!</definedName>
    <definedName name="Variable">Cost_Graph!$B$6</definedName>
    <definedName name="Wind_Cost">Cost_Graph!$B$10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5" l="1"/>
  <c r="AF5" i="7" l="1"/>
  <c r="AF4" i="7"/>
  <c r="V5" i="7"/>
  <c r="V4" i="7"/>
  <c r="L5" i="7"/>
  <c r="B5" i="7"/>
  <c r="L4" i="7"/>
  <c r="B4" i="7"/>
  <c r="AF8" i="7"/>
  <c r="AF9" i="7" s="1"/>
  <c r="AF10" i="7" s="1"/>
  <c r="AF11" i="7" s="1"/>
  <c r="AF12" i="7" s="1"/>
  <c r="AF13" i="7" s="1"/>
  <c r="AF14" i="7" s="1"/>
  <c r="AF15" i="7" s="1"/>
  <c r="AF16" i="7" s="1"/>
  <c r="AF17" i="7" s="1"/>
  <c r="AF18" i="7" s="1"/>
  <c r="AF19" i="7" s="1"/>
  <c r="AF20" i="7" s="1"/>
  <c r="AF21" i="7" s="1"/>
  <c r="AF22" i="7" s="1"/>
  <c r="AF23" i="7" s="1"/>
  <c r="AF24" i="7" s="1"/>
  <c r="AF25" i="7" s="1"/>
  <c r="AF26" i="7" s="1"/>
  <c r="AF27" i="7" s="1"/>
  <c r="AF28" i="7" s="1"/>
  <c r="AF29" i="7" s="1"/>
  <c r="AF30" i="7" s="1"/>
  <c r="AF31" i="7" s="1"/>
  <c r="AF32" i="7" s="1"/>
  <c r="AF33" i="7" s="1"/>
  <c r="AF34" i="7" s="1"/>
  <c r="AE8" i="7"/>
  <c r="AE9" i="7" s="1"/>
  <c r="AE10" i="7" s="1"/>
  <c r="AE11" i="7" s="1"/>
  <c r="AE12" i="7" s="1"/>
  <c r="AE13" i="7" s="1"/>
  <c r="AE14" i="7" s="1"/>
  <c r="AE15" i="7" s="1"/>
  <c r="AE16" i="7" s="1"/>
  <c r="AE17" i="7" s="1"/>
  <c r="AE18" i="7" s="1"/>
  <c r="AE19" i="7" s="1"/>
  <c r="AE20" i="7" s="1"/>
  <c r="AE21" i="7" s="1"/>
  <c r="AE22" i="7" s="1"/>
  <c r="AE23" i="7" s="1"/>
  <c r="AE24" i="7" s="1"/>
  <c r="AE25" i="7" s="1"/>
  <c r="AE26" i="7" s="1"/>
  <c r="AE27" i="7" s="1"/>
  <c r="AE28" i="7" s="1"/>
  <c r="AE29" i="7" s="1"/>
  <c r="AE30" i="7" s="1"/>
  <c r="AE31" i="7" s="1"/>
  <c r="AE32" i="7" s="1"/>
  <c r="AE33" i="7" s="1"/>
  <c r="AE34" i="7" s="1"/>
  <c r="V8" i="7"/>
  <c r="V9" i="7" s="1"/>
  <c r="V10" i="7" s="1"/>
  <c r="V11" i="7" s="1"/>
  <c r="V12" i="7" s="1"/>
  <c r="V13" i="7" s="1"/>
  <c r="V14" i="7" s="1"/>
  <c r="V15" i="7" s="1"/>
  <c r="V16" i="7" s="1"/>
  <c r="V17" i="7" s="1"/>
  <c r="V18" i="7" s="1"/>
  <c r="V19" i="7" s="1"/>
  <c r="V20" i="7" s="1"/>
  <c r="V21" i="7" s="1"/>
  <c r="V22" i="7" s="1"/>
  <c r="V23" i="7" s="1"/>
  <c r="V24" i="7" s="1"/>
  <c r="V25" i="7" s="1"/>
  <c r="V26" i="7" s="1"/>
  <c r="V27" i="7" s="1"/>
  <c r="V28" i="7" s="1"/>
  <c r="V29" i="7" s="1"/>
  <c r="V30" i="7" s="1"/>
  <c r="V31" i="7" s="1"/>
  <c r="V32" i="7" s="1"/>
  <c r="V33" i="7" s="1"/>
  <c r="V34" i="7" s="1"/>
  <c r="U8" i="7"/>
  <c r="U9" i="7" s="1"/>
  <c r="U10" i="7" s="1"/>
  <c r="U11" i="7" s="1"/>
  <c r="U12" i="7" s="1"/>
  <c r="U13" i="7" s="1"/>
  <c r="U14" i="7" s="1"/>
  <c r="U15" i="7" s="1"/>
  <c r="U16" i="7" s="1"/>
  <c r="U17" i="7" s="1"/>
  <c r="U18" i="7" s="1"/>
  <c r="U19" i="7" s="1"/>
  <c r="U20" i="7" s="1"/>
  <c r="U21" i="7" s="1"/>
  <c r="U22" i="7" s="1"/>
  <c r="U23" i="7" s="1"/>
  <c r="U24" i="7" s="1"/>
  <c r="U25" i="7" s="1"/>
  <c r="U26" i="7" s="1"/>
  <c r="U27" i="7" s="1"/>
  <c r="U28" i="7" s="1"/>
  <c r="U29" i="7" s="1"/>
  <c r="U30" i="7" s="1"/>
  <c r="U31" i="7" s="1"/>
  <c r="U32" i="7" s="1"/>
  <c r="U33" i="7" s="1"/>
  <c r="U34" i="7" s="1"/>
  <c r="L8" i="7" l="1"/>
  <c r="L9" i="7" s="1"/>
  <c r="L10" i="7" s="1"/>
  <c r="L11" i="7" s="1"/>
  <c r="L12" i="7" s="1"/>
  <c r="L13" i="7" s="1"/>
  <c r="L14" i="7" s="1"/>
  <c r="L15" i="7" s="1"/>
  <c r="L16" i="7" s="1"/>
  <c r="L17" i="7" s="1"/>
  <c r="L18" i="7" s="1"/>
  <c r="L19" i="7" s="1"/>
  <c r="L20" i="7" s="1"/>
  <c r="L21" i="7" s="1"/>
  <c r="L22" i="7" s="1"/>
  <c r="L23" i="7" s="1"/>
  <c r="L24" i="7" s="1"/>
  <c r="L25" i="7" s="1"/>
  <c r="L26" i="7" s="1"/>
  <c r="L27" i="7" s="1"/>
  <c r="L28" i="7" s="1"/>
  <c r="L29" i="7" s="1"/>
  <c r="L30" i="7" s="1"/>
  <c r="L31" i="7" s="1"/>
  <c r="L32" i="7" s="1"/>
  <c r="L33" i="7" s="1"/>
  <c r="L34" i="7" s="1"/>
  <c r="K8" i="7"/>
  <c r="K9" i="7" s="1"/>
  <c r="K10" i="7" s="1"/>
  <c r="K11" i="7" s="1"/>
  <c r="K12" i="7" s="1"/>
  <c r="K13" i="7" s="1"/>
  <c r="K14" i="7" s="1"/>
  <c r="K15" i="7" s="1"/>
  <c r="K16" i="7" s="1"/>
  <c r="K17" i="7" s="1"/>
  <c r="K18" i="7" s="1"/>
  <c r="K19" i="7" s="1"/>
  <c r="K20" i="7" s="1"/>
  <c r="K21" i="7" s="1"/>
  <c r="K22" i="7" s="1"/>
  <c r="K23" i="7" s="1"/>
  <c r="K24" i="7" s="1"/>
  <c r="K25" i="7" s="1"/>
  <c r="K26" i="7" s="1"/>
  <c r="K27" i="7" s="1"/>
  <c r="K28" i="7" s="1"/>
  <c r="K29" i="7" s="1"/>
  <c r="K30" i="7" s="1"/>
  <c r="K31" i="7" s="1"/>
  <c r="K32" i="7" s="1"/>
  <c r="K33" i="7" s="1"/>
  <c r="K34" i="7" s="1"/>
  <c r="C1" i="7"/>
  <c r="B8" i="7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A8" i="7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E3" i="5"/>
  <c r="B6" i="5"/>
  <c r="I6" i="6"/>
  <c r="I7" i="6" s="1"/>
  <c r="I8" i="6" s="1"/>
  <c r="I9" i="6" s="1"/>
  <c r="I10" i="6" s="1"/>
  <c r="I11" i="6" s="1"/>
  <c r="I12" i="6" s="1"/>
  <c r="I13" i="6" s="1"/>
  <c r="I14" i="6" s="1"/>
  <c r="I15" i="6" s="1"/>
  <c r="I16" i="6" s="1"/>
  <c r="I17" i="6" s="1"/>
  <c r="I18" i="6" s="1"/>
  <c r="I19" i="6" s="1"/>
  <c r="I20" i="6" s="1"/>
  <c r="I21" i="6" s="1"/>
  <c r="I22" i="6" s="1"/>
  <c r="I23" i="6" s="1"/>
  <c r="I24" i="6" s="1"/>
  <c r="I25" i="6" s="1"/>
  <c r="I26" i="6" s="1"/>
  <c r="I27" i="6" s="1"/>
  <c r="I28" i="6" s="1"/>
  <c r="I29" i="6" s="1"/>
  <c r="I30" i="6" s="1"/>
  <c r="I31" i="6" s="1"/>
  <c r="I32" i="6" s="1"/>
  <c r="K13" i="5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B13" i="5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A13" i="5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C3" i="5"/>
  <c r="AG6" i="7" l="1"/>
  <c r="W6" i="7"/>
  <c r="C11" i="5"/>
  <c r="C6" i="7"/>
  <c r="M6" i="7"/>
  <c r="C4" i="5"/>
  <c r="AG28" i="7" a="1"/>
  <c r="AG20" i="7" a="1"/>
  <c r="AG27" i="7" a="1"/>
  <c r="AG18" i="7" a="1"/>
  <c r="W28" i="7" a="1"/>
  <c r="M23" i="7" a="1"/>
  <c r="C27" i="7" a="1"/>
  <c r="C9" i="7" a="1"/>
  <c r="W30" i="7" a="1"/>
  <c r="C16" i="5" a="1"/>
  <c r="C19" i="5" a="1"/>
  <c r="C21" i="7" a="1"/>
  <c r="W10" i="7" a="1"/>
  <c r="C19" i="7" a="1"/>
  <c r="C23" i="7" a="1"/>
  <c r="AG25" i="7" a="1"/>
  <c r="W22" i="7" a="1"/>
  <c r="M26" i="7" a="1"/>
  <c r="C23" i="5" a="1"/>
  <c r="C34" i="5" a="1"/>
  <c r="C10" i="7" a="1"/>
  <c r="C28" i="7" a="1"/>
  <c r="AG21" i="7" a="1"/>
  <c r="C25" i="5" a="1"/>
  <c r="C33" i="5" a="1"/>
  <c r="W15" i="7" a="1"/>
  <c r="W31" i="7" a="1"/>
  <c r="C32" i="5" a="1"/>
  <c r="M8" i="7" a="1"/>
  <c r="C22" i="5" a="1"/>
  <c r="AG22" i="7" a="1"/>
  <c r="W8" i="7" a="1"/>
  <c r="M17" i="7" a="1"/>
  <c r="C30" i="7" a="1"/>
  <c r="C17" i="5" a="1"/>
  <c r="M15" i="7" a="1"/>
  <c r="W32" i="7" a="1"/>
  <c r="M34" i="7" a="1"/>
  <c r="C27" i="5" a="1"/>
  <c r="M18" i="7" a="1"/>
  <c r="C34" i="7" a="1"/>
  <c r="C31" i="5" a="1"/>
  <c r="C14" i="5" a="1"/>
  <c r="M20" i="7" a="1"/>
  <c r="M21" i="7" a="1"/>
  <c r="C20" i="7" a="1"/>
  <c r="C24" i="5" a="1"/>
  <c r="AG16" i="7" a="1"/>
  <c r="AG12" i="7" a="1"/>
  <c r="AG23" i="7" a="1"/>
  <c r="W18" i="7" a="1"/>
  <c r="M13" i="7" a="1"/>
  <c r="C39" i="5" a="1"/>
  <c r="C29" i="5" a="1"/>
  <c r="AG14" i="7" a="1"/>
  <c r="W16" i="7" a="1"/>
  <c r="C25" i="7" a="1"/>
  <c r="W21" i="7" a="1"/>
  <c r="C15" i="7" a="1"/>
  <c r="C18" i="5" a="1"/>
  <c r="C30" i="5" a="1"/>
  <c r="M28" i="7" a="1"/>
  <c r="AG19" i="7" a="1"/>
  <c r="AG10" i="7" a="1"/>
  <c r="AG17" i="7" a="1"/>
  <c r="W29" i="7" a="1"/>
  <c r="W26" i="7" a="1"/>
  <c r="M11" i="7" a="1"/>
  <c r="C22" i="7" a="1"/>
  <c r="C31" i="7" a="1"/>
  <c r="W25" i="7" a="1"/>
  <c r="W20" i="7" a="1"/>
  <c r="M30" i="7" a="1"/>
  <c r="C13" i="5" a="1"/>
  <c r="C33" i="7" a="1"/>
  <c r="M10" i="7" a="1"/>
  <c r="M24" i="7" a="1"/>
  <c r="C35" i="5" a="1"/>
  <c r="W19" i="7" a="1"/>
  <c r="C11" i="7" a="1"/>
  <c r="C13" i="7" a="1"/>
  <c r="M31" i="7" a="1"/>
  <c r="C17" i="7" a="1"/>
  <c r="M32" i="7" a="1"/>
  <c r="W13" i="7" a="1"/>
  <c r="C29" i="7" a="1"/>
  <c r="C26" i="5" a="1"/>
  <c r="W14" i="7" a="1"/>
  <c r="M19" i="7" a="1"/>
  <c r="AG15" i="7" a="1"/>
  <c r="AG13" i="7" a="1"/>
  <c r="W23" i="7" a="1"/>
  <c r="W33" i="7" a="1"/>
  <c r="M22" i="7" a="1"/>
  <c r="C12" i="7" a="1"/>
  <c r="C38" i="5" a="1"/>
  <c r="W12" i="7" a="1"/>
  <c r="C26" i="7" a="1"/>
  <c r="M14" i="7" a="1"/>
  <c r="M12" i="7" a="1"/>
  <c r="C15" i="5" a="1"/>
  <c r="W17" i="7" a="1"/>
  <c r="W11" i="7" a="1"/>
  <c r="W34" i="7" a="1"/>
  <c r="AG11" i="7" a="1"/>
  <c r="AG9" i="7" a="1"/>
  <c r="AG8" i="7" a="1"/>
  <c r="W27" i="7" a="1"/>
  <c r="M33" i="7" a="1"/>
  <c r="M9" i="7" a="1"/>
  <c r="C8" i="7" a="1"/>
  <c r="M16" i="7" a="1"/>
  <c r="C24" i="7" a="1"/>
  <c r="C20" i="5" a="1"/>
  <c r="AG34" i="7" a="1"/>
  <c r="AG32" i="7" a="1"/>
  <c r="AG30" i="7" a="1"/>
  <c r="AG33" i="7" a="1"/>
  <c r="AG26" i="7" a="1"/>
  <c r="W24" i="7" a="1"/>
  <c r="M29" i="7" a="1"/>
  <c r="C16" i="7" a="1"/>
  <c r="C37" i="5" a="1"/>
  <c r="C21" i="5" a="1"/>
  <c r="W9" i="7" a="1"/>
  <c r="M27" i="7" a="1"/>
  <c r="C14" i="7" a="1"/>
  <c r="C28" i="5" a="1"/>
  <c r="C18" i="7" a="1"/>
  <c r="M25" i="7" a="1"/>
  <c r="C36" i="5" a="1"/>
  <c r="C32" i="7" a="1"/>
  <c r="AG24" i="7" a="1"/>
  <c r="AG31" i="7" a="1"/>
  <c r="AG29" i="7" a="1"/>
  <c r="M9" i="7" l="1"/>
  <c r="M12" i="7"/>
  <c r="M24" i="7"/>
  <c r="M22" i="7"/>
  <c r="M30" i="7"/>
  <c r="M11" i="7"/>
  <c r="M18" i="7"/>
  <c r="M34" i="7"/>
  <c r="M13" i="7"/>
  <c r="M15" i="7"/>
  <c r="M17" i="7"/>
  <c r="M26" i="7"/>
  <c r="M23" i="7"/>
  <c r="M19" i="7"/>
  <c r="M28" i="7"/>
  <c r="M8" i="7"/>
  <c r="M21" i="7"/>
  <c r="M25" i="7"/>
  <c r="M27" i="7"/>
  <c r="M29" i="7"/>
  <c r="M20" i="7"/>
  <c r="M32" i="7"/>
  <c r="M16" i="7"/>
  <c r="M31" i="7"/>
  <c r="M33" i="7"/>
  <c r="M14" i="7"/>
  <c r="M10" i="7"/>
  <c r="W33" i="7"/>
  <c r="W20" i="7"/>
  <c r="W26" i="7"/>
  <c r="W16" i="7"/>
  <c r="W32" i="7"/>
  <c r="W18" i="7"/>
  <c r="W30" i="7"/>
  <c r="W8" i="7"/>
  <c r="W22" i="7"/>
  <c r="W28" i="7"/>
  <c r="W34" i="7"/>
  <c r="W11" i="7"/>
  <c r="W14" i="7"/>
  <c r="W10" i="7"/>
  <c r="W31" i="7"/>
  <c r="W9" i="7"/>
  <c r="W24" i="7"/>
  <c r="W13" i="7"/>
  <c r="W15" i="7"/>
  <c r="W17" i="7"/>
  <c r="W21" i="7"/>
  <c r="W27" i="7"/>
  <c r="W19" i="7"/>
  <c r="W12" i="7"/>
  <c r="W23" i="7"/>
  <c r="W25" i="7"/>
  <c r="W29" i="7"/>
  <c r="AG21" i="7"/>
  <c r="AG14" i="7"/>
  <c r="AG23" i="7"/>
  <c r="AG16" i="7"/>
  <c r="AG22" i="7"/>
  <c r="AG25" i="7"/>
  <c r="AG18" i="7"/>
  <c r="AG27" i="7"/>
  <c r="AG20" i="7"/>
  <c r="AG28" i="7"/>
  <c r="AG29" i="7"/>
  <c r="AG31" i="7"/>
  <c r="AG24" i="7"/>
  <c r="AG26" i="7"/>
  <c r="AG33" i="7"/>
  <c r="AG30" i="7"/>
  <c r="AG32" i="7"/>
  <c r="AG34" i="7"/>
  <c r="AG8" i="7"/>
  <c r="AG9" i="7"/>
  <c r="AG11" i="7"/>
  <c r="AG13" i="7"/>
  <c r="AG15" i="7"/>
  <c r="AG17" i="7"/>
  <c r="AG10" i="7"/>
  <c r="AG19" i="7"/>
  <c r="AG12" i="7"/>
  <c r="C8" i="7"/>
  <c r="C14" i="7"/>
  <c r="C16" i="7"/>
  <c r="C26" i="7"/>
  <c r="C12" i="7"/>
  <c r="C32" i="7"/>
  <c r="C22" i="7"/>
  <c r="C28" i="7"/>
  <c r="C24" i="7"/>
  <c r="C34" i="7"/>
  <c r="C18" i="7"/>
  <c r="C10" i="7"/>
  <c r="C20" i="7"/>
  <c r="C30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D11" i="5"/>
  <c r="AH6" i="7"/>
  <c r="X6" i="7"/>
  <c r="N6" i="7"/>
  <c r="D6" i="7"/>
  <c r="C14" i="5"/>
  <c r="C26" i="5"/>
  <c r="C38" i="5"/>
  <c r="C27" i="5"/>
  <c r="C39" i="5"/>
  <c r="C16" i="5"/>
  <c r="C28" i="5"/>
  <c r="C15" i="5"/>
  <c r="C18" i="5"/>
  <c r="C30" i="5"/>
  <c r="C19" i="5"/>
  <c r="C31" i="5"/>
  <c r="C20" i="5"/>
  <c r="C32" i="5"/>
  <c r="C34" i="5"/>
  <c r="C23" i="5"/>
  <c r="C36" i="5"/>
  <c r="C25" i="5"/>
  <c r="C29" i="5"/>
  <c r="C21" i="5"/>
  <c r="C33" i="5"/>
  <c r="C22" i="5"/>
  <c r="C35" i="5"/>
  <c r="C37" i="5"/>
  <c r="C17" i="5"/>
  <c r="C24" i="5"/>
  <c r="C13" i="5"/>
  <c r="AH30" i="7" a="1"/>
  <c r="N15" i="7" a="1"/>
  <c r="N21" i="7" a="1"/>
  <c r="X8" i="7" a="1"/>
  <c r="D38" i="5" a="1"/>
  <c r="D36" i="5" a="1"/>
  <c r="N8" i="7" a="1"/>
  <c r="D24" i="7" a="1"/>
  <c r="D17" i="7" a="1"/>
  <c r="AH27" i="7" a="1"/>
  <c r="D34" i="7" a="1"/>
  <c r="X28" i="7" a="1"/>
  <c r="D31" i="7" a="1"/>
  <c r="X27" i="7" a="1"/>
  <c r="X25" i="7" a="1"/>
  <c r="X23" i="7" a="1"/>
  <c r="D22" i="7" a="1"/>
  <c r="AH12" i="7" a="1"/>
  <c r="D18" i="5" a="1"/>
  <c r="D13" i="7" a="1"/>
  <c r="N17" i="7" a="1"/>
  <c r="D20" i="5" a="1"/>
  <c r="D32" i="5" a="1"/>
  <c r="AH33" i="7" a="1"/>
  <c r="N18" i="7" a="1"/>
  <c r="N24" i="7" a="1"/>
  <c r="X14" i="7" a="1"/>
  <c r="D25" i="7" a="1"/>
  <c r="D21" i="5" a="1"/>
  <c r="X34" i="7" a="1"/>
  <c r="AH31" i="7" a="1"/>
  <c r="N16" i="7" a="1"/>
  <c r="X10" i="7" a="1"/>
  <c r="D33" i="7" a="1"/>
  <c r="D15" i="7" a="1"/>
  <c r="AH34" i="7" a="1"/>
  <c r="N13" i="7" a="1"/>
  <c r="N19" i="7" a="1"/>
  <c r="X11" i="7" a="1"/>
  <c r="D29" i="7" a="1"/>
  <c r="D18" i="7" a="1"/>
  <c r="D26" i="7" a="1"/>
  <c r="N14" i="7" a="1"/>
  <c r="X18" i="7" a="1"/>
  <c r="D11" i="7" a="1"/>
  <c r="AH28" i="7" a="1"/>
  <c r="X9" i="7" a="1"/>
  <c r="D27" i="5" a="1"/>
  <c r="X24" i="7" a="1"/>
  <c r="AH26" i="7" a="1"/>
  <c r="N11" i="7" a="1"/>
  <c r="X12" i="7" a="1"/>
  <c r="X15" i="7" a="1"/>
  <c r="D16" i="5" a="1"/>
  <c r="D10" i="7" a="1"/>
  <c r="N9" i="7" a="1"/>
  <c r="D35" i="5" a="1"/>
  <c r="X31" i="7" a="1"/>
  <c r="D39" i="5" a="1"/>
  <c r="N10" i="7" a="1"/>
  <c r="D19" i="7" a="1"/>
  <c r="D33" i="5" a="1"/>
  <c r="AH29" i="7" a="1"/>
  <c r="X22" i="7" a="1"/>
  <c r="D23" i="5" a="1"/>
  <c r="AH24" i="7" a="1"/>
  <c r="D24" i="5" a="1"/>
  <c r="N34" i="7" a="1"/>
  <c r="N31" i="7" a="1"/>
  <c r="D20" i="7" a="1"/>
  <c r="D16" i="7" a="1"/>
  <c r="N25" i="7" a="1"/>
  <c r="X21" i="7" a="1"/>
  <c r="D26" i="5" a="1"/>
  <c r="D23" i="7" a="1"/>
  <c r="AH9" i="7" a="1"/>
  <c r="AH32" i="7" a="1"/>
  <c r="AH8" i="7" a="1"/>
  <c r="AH25" i="7" a="1"/>
  <c r="N22" i="7" a="1"/>
  <c r="X33" i="7" a="1"/>
  <c r="D15" i="5" a="1"/>
  <c r="D30" i="7" a="1"/>
  <c r="D21" i="7" a="1"/>
  <c r="D19" i="5" a="1"/>
  <c r="D27" i="7" a="1"/>
  <c r="N29" i="7" a="1"/>
  <c r="D14" i="7" a="1"/>
  <c r="AH19" i="7" a="1"/>
  <c r="D13" i="5" a="1"/>
  <c r="D17" i="5" a="1"/>
  <c r="N30" i="7" a="1"/>
  <c r="X30" i="7" a="1"/>
  <c r="D28" i="7" a="1"/>
  <c r="D37" i="5" a="1"/>
  <c r="N20" i="7" a="1"/>
  <c r="AH23" i="7" a="1"/>
  <c r="N12" i="7" a="1"/>
  <c r="X29" i="7" a="1"/>
  <c r="D22" i="5" a="1"/>
  <c r="AH21" i="7" a="1"/>
  <c r="D12" i="7" a="1"/>
  <c r="AH16" i="7" a="1"/>
  <c r="D30" i="5" a="1"/>
  <c r="N32" i="7" a="1"/>
  <c r="D9" i="7" a="1"/>
  <c r="N33" i="7" a="1"/>
  <c r="AH20" i="7" a="1"/>
  <c r="AH15" i="7" a="1"/>
  <c r="X19" i="7" a="1"/>
  <c r="D14" i="5" a="1"/>
  <c r="AH14" i="7" a="1"/>
  <c r="N27" i="7" a="1"/>
  <c r="D34" i="5" a="1"/>
  <c r="D25" i="5" a="1"/>
  <c r="X16" i="7" a="1"/>
  <c r="N26" i="7" a="1"/>
  <c r="D31" i="5" a="1"/>
  <c r="AH18" i="7" a="1"/>
  <c r="X32" i="7" a="1"/>
  <c r="D32" i="7" a="1"/>
  <c r="X26" i="7" a="1"/>
  <c r="N28" i="7" a="1"/>
  <c r="AH11" i="7" a="1"/>
  <c r="X17" i="7" a="1"/>
  <c r="D8" i="7" a="1"/>
  <c r="D28" i="5" a="1"/>
  <c r="X13" i="7" a="1"/>
  <c r="AH17" i="7" a="1"/>
  <c r="D29" i="5" a="1"/>
  <c r="AH10" i="7" a="1"/>
  <c r="N23" i="7" a="1"/>
  <c r="AH13" i="7" a="1"/>
  <c r="AH22" i="7" a="1"/>
  <c r="X20" i="7" a="1"/>
  <c r="X9" i="7" l="1"/>
  <c r="X18" i="7"/>
  <c r="X15" i="7"/>
  <c r="X11" i="7"/>
  <c r="X14" i="7"/>
  <c r="X8" i="7"/>
  <c r="X13" i="7"/>
  <c r="X16" i="7"/>
  <c r="X17" i="7"/>
  <c r="X20" i="7"/>
  <c r="X30" i="7"/>
  <c r="X19" i="7"/>
  <c r="X26" i="7"/>
  <c r="X21" i="7"/>
  <c r="X32" i="7"/>
  <c r="X23" i="7"/>
  <c r="X25" i="7"/>
  <c r="X27" i="7"/>
  <c r="X28" i="7"/>
  <c r="X29" i="7"/>
  <c r="X33" i="7"/>
  <c r="X24" i="7"/>
  <c r="X31" i="7"/>
  <c r="X10" i="7"/>
  <c r="X34" i="7"/>
  <c r="X22" i="7"/>
  <c r="X12" i="7"/>
  <c r="N19" i="7"/>
  <c r="N24" i="7"/>
  <c r="N21" i="7"/>
  <c r="N26" i="7"/>
  <c r="N27" i="7"/>
  <c r="N20" i="7"/>
  <c r="N17" i="7"/>
  <c r="N23" i="7"/>
  <c r="N28" i="7"/>
  <c r="N30" i="7"/>
  <c r="N33" i="7"/>
  <c r="N25" i="7"/>
  <c r="N32" i="7"/>
  <c r="N31" i="7"/>
  <c r="N29" i="7"/>
  <c r="N34" i="7"/>
  <c r="N12" i="7"/>
  <c r="N22" i="7"/>
  <c r="N10" i="7"/>
  <c r="N8" i="7"/>
  <c r="N16" i="7"/>
  <c r="N9" i="7"/>
  <c r="N14" i="7"/>
  <c r="N11" i="7"/>
  <c r="N13" i="7"/>
  <c r="N18" i="7"/>
  <c r="N15" i="7"/>
  <c r="AH8" i="7"/>
  <c r="AH9" i="7"/>
  <c r="AH11" i="7"/>
  <c r="AH22" i="7"/>
  <c r="AH13" i="7"/>
  <c r="AH15" i="7"/>
  <c r="AH20" i="7"/>
  <c r="AH17" i="7"/>
  <c r="AH12" i="7"/>
  <c r="AH18" i="7"/>
  <c r="AH19" i="7"/>
  <c r="AH16" i="7"/>
  <c r="AH21" i="7"/>
  <c r="AH23" i="7"/>
  <c r="AH25" i="7"/>
  <c r="AH27" i="7"/>
  <c r="AH24" i="7"/>
  <c r="AH31" i="7"/>
  <c r="AH28" i="7"/>
  <c r="AH29" i="7"/>
  <c r="AH26" i="7"/>
  <c r="AH34" i="7"/>
  <c r="AH33" i="7"/>
  <c r="AH30" i="7"/>
  <c r="AH32" i="7"/>
  <c r="AH14" i="7"/>
  <c r="AH10" i="7"/>
  <c r="D8" i="7"/>
  <c r="D32" i="7"/>
  <c r="D30" i="7"/>
  <c r="D28" i="7"/>
  <c r="D26" i="7"/>
  <c r="D24" i="7"/>
  <c r="D22" i="7"/>
  <c r="D20" i="7"/>
  <c r="D18" i="7"/>
  <c r="D16" i="7"/>
  <c r="D14" i="7"/>
  <c r="D12" i="7"/>
  <c r="D10" i="7"/>
  <c r="D34" i="7"/>
  <c r="D33" i="7"/>
  <c r="D31" i="7"/>
  <c r="D29" i="7"/>
  <c r="D27" i="7"/>
  <c r="D25" i="7"/>
  <c r="D23" i="7"/>
  <c r="D21" i="7"/>
  <c r="D19" i="7"/>
  <c r="D17" i="7"/>
  <c r="D15" i="7"/>
  <c r="D13" i="7"/>
  <c r="D11" i="7"/>
  <c r="D9" i="7"/>
  <c r="D28" i="5"/>
  <c r="D29" i="5"/>
  <c r="D34" i="5"/>
  <c r="D14" i="5"/>
  <c r="D27" i="5"/>
  <c r="D20" i="5"/>
  <c r="D24" i="5"/>
  <c r="D25" i="5"/>
  <c r="D26" i="5"/>
  <c r="D17" i="5"/>
  <c r="D18" i="5"/>
  <c r="D23" i="5"/>
  <c r="D35" i="5"/>
  <c r="D13" i="5"/>
  <c r="D30" i="5"/>
  <c r="D19" i="5"/>
  <c r="D15" i="5"/>
  <c r="D39" i="5"/>
  <c r="D21" i="5"/>
  <c r="D16" i="5"/>
  <c r="D36" i="5"/>
  <c r="D33" i="5"/>
  <c r="D38" i="5"/>
  <c r="D32" i="5"/>
  <c r="D22" i="5"/>
  <c r="D31" i="5"/>
  <c r="D37" i="5"/>
  <c r="E11" i="5"/>
  <c r="AI6" i="7"/>
  <c r="Y6" i="7"/>
  <c r="O6" i="7"/>
  <c r="E6" i="7"/>
  <c r="L14" i="5"/>
  <c r="L36" i="5"/>
  <c r="L30" i="5"/>
  <c r="L29" i="5"/>
  <c r="L19" i="5"/>
  <c r="L20" i="5"/>
  <c r="L26" i="5"/>
  <c r="L25" i="5"/>
  <c r="L34" i="5"/>
  <c r="L32" i="5"/>
  <c r="L27" i="5"/>
  <c r="L16" i="5"/>
  <c r="L24" i="5"/>
  <c r="L35" i="5"/>
  <c r="L33" i="5"/>
  <c r="L15" i="5"/>
  <c r="L38" i="5"/>
  <c r="L37" i="5"/>
  <c r="L22" i="5"/>
  <c r="L31" i="5"/>
  <c r="L23" i="5"/>
  <c r="L17" i="5"/>
  <c r="L28" i="5"/>
  <c r="L18" i="5"/>
  <c r="L21" i="5"/>
  <c r="L13" i="5"/>
  <c r="O8" i="7" a="1"/>
  <c r="O14" i="7" a="1"/>
  <c r="Y33" i="7" a="1"/>
  <c r="AI23" i="7" a="1"/>
  <c r="E22" i="5" a="1"/>
  <c r="E11" i="7" a="1"/>
  <c r="O25" i="7" a="1"/>
  <c r="AI11" i="7" a="1"/>
  <c r="E13" i="5" a="1"/>
  <c r="O28" i="7" a="1"/>
  <c r="E25" i="7" a="1"/>
  <c r="O26" i="7" a="1"/>
  <c r="E26" i="5" a="1"/>
  <c r="O31" i="7" a="1"/>
  <c r="O10" i="7" a="1"/>
  <c r="Y8" i="7" a="1"/>
  <c r="AI25" i="7" a="1"/>
  <c r="E16" i="7" a="1"/>
  <c r="E25" i="5" a="1"/>
  <c r="AI13" i="7" a="1"/>
  <c r="Y28" i="7" a="1"/>
  <c r="AI17" i="7" a="1"/>
  <c r="E27" i="7" a="1"/>
  <c r="AI16" i="7" a="1"/>
  <c r="E14" i="5" a="1"/>
  <c r="AI14" i="7" a="1"/>
  <c r="Y18" i="7" a="1"/>
  <c r="O16" i="7" a="1"/>
  <c r="Y34" i="7" a="1"/>
  <c r="Y31" i="7" a="1"/>
  <c r="AI21" i="7" a="1"/>
  <c r="E16" i="5" a="1"/>
  <c r="E32" i="5" a="1"/>
  <c r="E31" i="7" a="1"/>
  <c r="E33" i="5" a="1"/>
  <c r="Y24" i="7" a="1"/>
  <c r="E23" i="5" a="1"/>
  <c r="E36" i="5" a="1"/>
  <c r="Y11" i="7" a="1"/>
  <c r="O12" i="7" a="1"/>
  <c r="Y27" i="7" a="1"/>
  <c r="Y30" i="7" a="1"/>
  <c r="AI8" i="7" a="1"/>
  <c r="E17" i="5" a="1"/>
  <c r="E19" i="7" a="1"/>
  <c r="Y21" i="7" a="1"/>
  <c r="E15" i="5" a="1"/>
  <c r="AI9" i="7" a="1"/>
  <c r="E29" i="7" a="1"/>
  <c r="E38" i="5" a="1"/>
  <c r="O19" i="7" a="1"/>
  <c r="Y23" i="7" a="1"/>
  <c r="E34" i="5" a="1"/>
  <c r="O27" i="7" a="1"/>
  <c r="Y16" i="7" a="1"/>
  <c r="Y29" i="7" a="1"/>
  <c r="AI31" i="7" a="1"/>
  <c r="E12" i="7" a="1"/>
  <c r="E27" i="5" a="1"/>
  <c r="E19" i="5" a="1"/>
  <c r="Y19" i="7" a="1"/>
  <c r="Y17" i="7" a="1"/>
  <c r="O29" i="7" a="1"/>
  <c r="Y25" i="7" a="1"/>
  <c r="AI15" i="7" a="1"/>
  <c r="AI30" i="7" a="1"/>
  <c r="E13" i="7" a="1"/>
  <c r="E28" i="7" a="1"/>
  <c r="O34" i="7" a="1"/>
  <c r="AI19" i="7" a="1"/>
  <c r="E30" i="7" a="1"/>
  <c r="E39" i="5" a="1"/>
  <c r="AI10" i="7" a="1"/>
  <c r="O32" i="7" a="1"/>
  <c r="AI32" i="7" a="1"/>
  <c r="E20" i="5" a="1"/>
  <c r="E24" i="7" a="1"/>
  <c r="E24" i="5" a="1"/>
  <c r="AI28" i="7" a="1"/>
  <c r="AI12" i="7" a="1"/>
  <c r="O21" i="7" a="1"/>
  <c r="E30" i="5" a="1"/>
  <c r="Y13" i="7" a="1"/>
  <c r="O15" i="7" a="1"/>
  <c r="AI22" i="7" a="1"/>
  <c r="E28" i="5" a="1"/>
  <c r="AI27" i="7" a="1"/>
  <c r="E34" i="7" a="1"/>
  <c r="O17" i="7" a="1"/>
  <c r="Y15" i="7" a="1"/>
  <c r="AI20" i="7" a="1"/>
  <c r="E21" i="5" a="1"/>
  <c r="E20" i="7" a="1"/>
  <c r="E31" i="5" a="1"/>
  <c r="E15" i="7" a="1"/>
  <c r="O24" i="7" a="1"/>
  <c r="E37" i="5" a="1"/>
  <c r="O30" i="7" a="1"/>
  <c r="Y32" i="7" a="1"/>
  <c r="E22" i="7" a="1"/>
  <c r="Y10" i="7" a="1"/>
  <c r="E18" i="7" a="1"/>
  <c r="Y12" i="7" a="1"/>
  <c r="E10" i="7" a="1"/>
  <c r="AI24" i="7" a="1"/>
  <c r="E18" i="5" a="1"/>
  <c r="O22" i="7" a="1"/>
  <c r="Y9" i="7" a="1"/>
  <c r="AI34" i="7" a="1"/>
  <c r="E32" i="7" a="1"/>
  <c r="E26" i="7" a="1"/>
  <c r="Y26" i="7" a="1"/>
  <c r="AI33" i="7" a="1"/>
  <c r="E29" i="5" a="1"/>
  <c r="O13" i="7" a="1"/>
  <c r="O20" i="7" a="1"/>
  <c r="Y22" i="7" a="1"/>
  <c r="AI26" i="7" a="1"/>
  <c r="E9" i="7" a="1"/>
  <c r="E17" i="7" a="1"/>
  <c r="Y20" i="7" a="1"/>
  <c r="AI29" i="7" a="1"/>
  <c r="E8" i="7" a="1"/>
  <c r="E23" i="7" a="1"/>
  <c r="O18" i="7" a="1"/>
  <c r="O11" i="7" a="1"/>
  <c r="O9" i="7" a="1"/>
  <c r="O33" i="7" a="1"/>
  <c r="O23" i="7" a="1"/>
  <c r="Y14" i="7" a="1"/>
  <c r="AI18" i="7" a="1"/>
  <c r="E33" i="7" a="1"/>
  <c r="E14" i="7" a="1"/>
  <c r="E21" i="7" a="1"/>
  <c r="E35" i="5" a="1"/>
  <c r="AI17" i="7" l="1"/>
  <c r="AI19" i="7"/>
  <c r="AI30" i="7"/>
  <c r="AI31" i="7"/>
  <c r="AI8" i="7"/>
  <c r="AI21" i="7"/>
  <c r="AI25" i="7"/>
  <c r="AI23" i="7"/>
  <c r="AI18" i="7"/>
  <c r="AI24" i="7"/>
  <c r="AI27" i="7"/>
  <c r="AI29" i="7"/>
  <c r="AI26" i="7"/>
  <c r="AI33" i="7"/>
  <c r="AI34" i="7"/>
  <c r="AI28" i="7"/>
  <c r="AI12" i="7"/>
  <c r="AI22" i="7"/>
  <c r="AI14" i="7"/>
  <c r="AI32" i="7"/>
  <c r="AI20" i="7"/>
  <c r="AI10" i="7"/>
  <c r="AI16" i="7"/>
  <c r="AI9" i="7"/>
  <c r="AI11" i="7"/>
  <c r="AI13" i="7"/>
  <c r="AI15" i="7"/>
  <c r="Y29" i="7"/>
  <c r="Y30" i="7"/>
  <c r="Y31" i="7"/>
  <c r="Y8" i="7"/>
  <c r="Y33" i="7"/>
  <c r="Y14" i="7"/>
  <c r="Y18" i="7"/>
  <c r="Y12" i="7"/>
  <c r="Y20" i="7"/>
  <c r="Y22" i="7"/>
  <c r="Y26" i="7"/>
  <c r="Y9" i="7"/>
  <c r="Y10" i="7"/>
  <c r="Y32" i="7"/>
  <c r="Y11" i="7"/>
  <c r="Y13" i="7"/>
  <c r="Y24" i="7"/>
  <c r="Y15" i="7"/>
  <c r="Y17" i="7"/>
  <c r="Y23" i="7"/>
  <c r="Y19" i="7"/>
  <c r="Y28" i="7"/>
  <c r="Y21" i="7"/>
  <c r="Y25" i="7"/>
  <c r="Y16" i="7"/>
  <c r="Y27" i="7"/>
  <c r="Y34" i="7"/>
  <c r="O10" i="7"/>
  <c r="O14" i="7"/>
  <c r="O23" i="7"/>
  <c r="O9" i="7"/>
  <c r="O18" i="7"/>
  <c r="O11" i="7"/>
  <c r="O20" i="7"/>
  <c r="O13" i="7"/>
  <c r="O22" i="7"/>
  <c r="O21" i="7"/>
  <c r="O30" i="7"/>
  <c r="O15" i="7"/>
  <c r="O24" i="7"/>
  <c r="O32" i="7"/>
  <c r="O17" i="7"/>
  <c r="O26" i="7"/>
  <c r="O19" i="7"/>
  <c r="O28" i="7"/>
  <c r="O25" i="7"/>
  <c r="O34" i="7"/>
  <c r="O29" i="7"/>
  <c r="O27" i="7"/>
  <c r="O12" i="7"/>
  <c r="O16" i="7"/>
  <c r="O31" i="7"/>
  <c r="O8" i="7"/>
  <c r="O33" i="7"/>
  <c r="M22" i="5"/>
  <c r="M16" i="5"/>
  <c r="E8" i="7"/>
  <c r="E12" i="7"/>
  <c r="E28" i="7"/>
  <c r="E14" i="7"/>
  <c r="E26" i="7"/>
  <c r="E32" i="7"/>
  <c r="E18" i="7"/>
  <c r="E22" i="7"/>
  <c r="E34" i="7"/>
  <c r="E24" i="7"/>
  <c r="E10" i="7"/>
  <c r="E20" i="7"/>
  <c r="E30" i="7"/>
  <c r="E16" i="7"/>
  <c r="E33" i="7"/>
  <c r="E31" i="7"/>
  <c r="E29" i="7"/>
  <c r="E27" i="7"/>
  <c r="E25" i="7"/>
  <c r="E23" i="7"/>
  <c r="E21" i="7"/>
  <c r="E19" i="7"/>
  <c r="E17" i="7"/>
  <c r="E15" i="7"/>
  <c r="E13" i="7"/>
  <c r="E11" i="7"/>
  <c r="E9" i="7"/>
  <c r="M18" i="5"/>
  <c r="M19" i="5"/>
  <c r="M13" i="5"/>
  <c r="M36" i="5"/>
  <c r="M33" i="5"/>
  <c r="M30" i="5"/>
  <c r="M29" i="5"/>
  <c r="M21" i="5"/>
  <c r="M35" i="5"/>
  <c r="M15" i="5"/>
  <c r="M17" i="5"/>
  <c r="M25" i="5"/>
  <c r="M23" i="5"/>
  <c r="M24" i="5"/>
  <c r="M27" i="5"/>
  <c r="M31" i="5"/>
  <c r="M37" i="5"/>
  <c r="M32" i="5"/>
  <c r="M20" i="5"/>
  <c r="M38" i="5"/>
  <c r="E14" i="5"/>
  <c r="E39" i="5"/>
  <c r="E19" i="5"/>
  <c r="E25" i="5"/>
  <c r="E38" i="5"/>
  <c r="E26" i="5"/>
  <c r="E29" i="5"/>
  <c r="E18" i="5"/>
  <c r="E30" i="5"/>
  <c r="E17" i="5"/>
  <c r="E37" i="5"/>
  <c r="E28" i="5"/>
  <c r="E36" i="5"/>
  <c r="E16" i="5"/>
  <c r="E23" i="5"/>
  <c r="E33" i="5"/>
  <c r="E31" i="5"/>
  <c r="E22" i="5"/>
  <c r="E21" i="5"/>
  <c r="E34" i="5"/>
  <c r="E20" i="5"/>
  <c r="E35" i="5"/>
  <c r="E13" i="5"/>
  <c r="E27" i="5"/>
  <c r="E15" i="5"/>
  <c r="E24" i="5"/>
  <c r="E32" i="5"/>
  <c r="M26" i="5"/>
  <c r="M34" i="5"/>
  <c r="M28" i="5"/>
  <c r="M14" i="5"/>
  <c r="F11" i="5"/>
  <c r="AJ6" i="7"/>
  <c r="Z6" i="7"/>
  <c r="F6" i="7"/>
  <c r="P6" i="7"/>
  <c r="P15" i="7" a="1"/>
  <c r="P21" i="7" a="1"/>
  <c r="AJ12" i="7" a="1"/>
  <c r="Z15" i="7" a="1"/>
  <c r="F18" i="5" a="1"/>
  <c r="F25" i="5" a="1"/>
  <c r="P13" i="7" a="1"/>
  <c r="F19" i="5" a="1"/>
  <c r="AJ10" i="7" a="1"/>
  <c r="F15" i="7" a="1"/>
  <c r="P30" i="7" a="1"/>
  <c r="F31" i="7" a="1"/>
  <c r="AJ28" i="7" a="1"/>
  <c r="F17" i="5" a="1"/>
  <c r="AJ27" i="7" a="1"/>
  <c r="F33" i="7" a="1"/>
  <c r="F16" i="7" a="1"/>
  <c r="AJ34" i="7" a="1"/>
  <c r="P34" i="7" a="1"/>
  <c r="P19" i="7" a="1"/>
  <c r="AJ22" i="7" a="1"/>
  <c r="Z13" i="7" a="1"/>
  <c r="F16" i="5" a="1"/>
  <c r="F12" i="7" a="1"/>
  <c r="P20" i="7" a="1"/>
  <c r="Z8" i="7" a="1"/>
  <c r="AJ31" i="7" a="1"/>
  <c r="Z30" i="7" a="1"/>
  <c r="AJ16" i="7" a="1"/>
  <c r="F19" i="7" a="1"/>
  <c r="F21" i="5" a="1"/>
  <c r="P10" i="7" a="1"/>
  <c r="F31" i="5" a="1"/>
  <c r="F27" i="7" a="1"/>
  <c r="F26" i="7" a="1"/>
  <c r="F33" i="5" a="1"/>
  <c r="AJ19" i="7" a="1"/>
  <c r="Z27" i="7" a="1"/>
  <c r="F23" i="5" a="1"/>
  <c r="AJ26" i="7" a="1"/>
  <c r="P14" i="7" a="1"/>
  <c r="AJ32" i="7" a="1"/>
  <c r="AJ18" i="7" a="1"/>
  <c r="Z9" i="7" a="1"/>
  <c r="F20" i="7" a="1"/>
  <c r="F34" i="7" a="1"/>
  <c r="AJ14" i="7" a="1"/>
  <c r="AJ30" i="7" a="1"/>
  <c r="F26" i="5" a="1"/>
  <c r="F13" i="7" a="1"/>
  <c r="Z22" i="7" a="1"/>
  <c r="F8" i="7" a="1"/>
  <c r="Z18" i="7" a="1"/>
  <c r="Z28" i="7" a="1"/>
  <c r="F35" i="5" a="1"/>
  <c r="Z17" i="7" a="1"/>
  <c r="Z26" i="7" a="1"/>
  <c r="AJ23" i="7" a="1"/>
  <c r="F27" i="5" a="1"/>
  <c r="Z14" i="7" a="1"/>
  <c r="P12" i="7" a="1"/>
  <c r="F38" i="5" a="1"/>
  <c r="F39" i="5" a="1"/>
  <c r="P8" i="7" a="1"/>
  <c r="AJ33" i="7" a="1"/>
  <c r="AJ20" i="7" a="1"/>
  <c r="Z11" i="7" a="1"/>
  <c r="F28" i="7" a="1"/>
  <c r="F18" i="7" a="1"/>
  <c r="P31" i="7" a="1"/>
  <c r="F9" i="7" a="1"/>
  <c r="AJ29" i="7" a="1"/>
  <c r="F36" i="5" a="1"/>
  <c r="Z16" i="7" a="1"/>
  <c r="F24" i="5" a="1"/>
  <c r="Z29" i="7" a="1"/>
  <c r="Z34" i="7" a="1"/>
  <c r="P25" i="7" a="1"/>
  <c r="AJ21" i="7" a="1"/>
  <c r="F10" i="7" a="1"/>
  <c r="P22" i="7" a="1"/>
  <c r="AJ13" i="7" a="1"/>
  <c r="Z33" i="7" a="1"/>
  <c r="F37" i="5" a="1"/>
  <c r="Z23" i="7" a="1"/>
  <c r="F29" i="5" a="1"/>
  <c r="P16" i="7" a="1"/>
  <c r="P32" i="7" a="1"/>
  <c r="F32" i="5" a="1"/>
  <c r="Z12" i="7" a="1"/>
  <c r="F23" i="7" a="1"/>
  <c r="P26" i="7" a="1"/>
  <c r="Z10" i="7" a="1"/>
  <c r="F17" i="7" a="1"/>
  <c r="P18" i="7" a="1"/>
  <c r="F14" i="5" a="1"/>
  <c r="AJ24" i="7" a="1"/>
  <c r="F34" i="5" a="1"/>
  <c r="Z24" i="7" a="1"/>
  <c r="F24" i="7" a="1"/>
  <c r="P29" i="7" a="1"/>
  <c r="P24" i="7" a="1"/>
  <c r="F22" i="7" a="1"/>
  <c r="P17" i="7" a="1"/>
  <c r="Z19" i="7" a="1"/>
  <c r="F14" i="7" a="1"/>
  <c r="AJ25" i="7" a="1"/>
  <c r="F13" i="5" a="1"/>
  <c r="P11" i="7" a="1"/>
  <c r="AJ15" i="7" a="1"/>
  <c r="P27" i="7" a="1"/>
  <c r="Z20" i="7" a="1"/>
  <c r="F15" i="5" a="1"/>
  <c r="P33" i="7" a="1"/>
  <c r="F28" i="5" a="1"/>
  <c r="AJ11" i="7" a="1"/>
  <c r="F21" i="7" a="1"/>
  <c r="P28" i="7" a="1"/>
  <c r="AJ17" i="7" a="1"/>
  <c r="Z25" i="7" a="1"/>
  <c r="Z21" i="7" a="1"/>
  <c r="F25" i="7" a="1"/>
  <c r="P23" i="7" a="1"/>
  <c r="F22" i="5" a="1"/>
  <c r="F30" i="7" a="1"/>
  <c r="Z31" i="7" a="1"/>
  <c r="F11" i="7" a="1"/>
  <c r="F20" i="5" a="1"/>
  <c r="Z32" i="7" a="1"/>
  <c r="F32" i="7" a="1"/>
  <c r="F30" i="5" a="1"/>
  <c r="P9" i="7" a="1"/>
  <c r="AJ8" i="7" a="1"/>
  <c r="AJ9" i="7" a="1"/>
  <c r="F29" i="7" a="1"/>
  <c r="Z30" i="7" l="1"/>
  <c r="Z26" i="7"/>
  <c r="Z8" i="7"/>
  <c r="Z11" i="7"/>
  <c r="Z17" i="7"/>
  <c r="Z9" i="7"/>
  <c r="Z13" i="7"/>
  <c r="Z15" i="7"/>
  <c r="Z19" i="7"/>
  <c r="Z21" i="7"/>
  <c r="Z23" i="7"/>
  <c r="Z32" i="7"/>
  <c r="Z31" i="7"/>
  <c r="Z33" i="7"/>
  <c r="Z25" i="7"/>
  <c r="Z34" i="7"/>
  <c r="Z27" i="7"/>
  <c r="Z29" i="7"/>
  <c r="Z14" i="7"/>
  <c r="Z20" i="7"/>
  <c r="Z10" i="7"/>
  <c r="Z12" i="7"/>
  <c r="Z24" i="7"/>
  <c r="Z16" i="7"/>
  <c r="Z28" i="7"/>
  <c r="Z18" i="7"/>
  <c r="Z22" i="7"/>
  <c r="AJ20" i="7"/>
  <c r="AJ30" i="7"/>
  <c r="AJ18" i="7"/>
  <c r="AJ22" i="7"/>
  <c r="AJ12" i="7"/>
  <c r="AJ8" i="7"/>
  <c r="AJ9" i="7"/>
  <c r="AJ26" i="7"/>
  <c r="AJ34" i="7"/>
  <c r="AJ11" i="7"/>
  <c r="AJ13" i="7"/>
  <c r="AJ24" i="7"/>
  <c r="AJ15" i="7"/>
  <c r="AJ17" i="7"/>
  <c r="AJ19" i="7"/>
  <c r="AJ21" i="7"/>
  <c r="AJ23" i="7"/>
  <c r="AJ25" i="7"/>
  <c r="AJ27" i="7"/>
  <c r="AJ28" i="7"/>
  <c r="AJ16" i="7"/>
  <c r="AJ29" i="7"/>
  <c r="AJ31" i="7"/>
  <c r="AJ10" i="7"/>
  <c r="AJ33" i="7"/>
  <c r="AJ14" i="7"/>
  <c r="AJ32" i="7"/>
  <c r="P19" i="7"/>
  <c r="P21" i="7"/>
  <c r="P23" i="7"/>
  <c r="P27" i="7"/>
  <c r="P24" i="7"/>
  <c r="P9" i="7"/>
  <c r="P25" i="7"/>
  <c r="P22" i="7"/>
  <c r="P29" i="7"/>
  <c r="P33" i="7"/>
  <c r="P11" i="7"/>
  <c r="P12" i="7"/>
  <c r="P28" i="7"/>
  <c r="P18" i="7"/>
  <c r="P26" i="7"/>
  <c r="P10" i="7"/>
  <c r="P32" i="7"/>
  <c r="P30" i="7"/>
  <c r="P16" i="7"/>
  <c r="P31" i="7"/>
  <c r="P20" i="7"/>
  <c r="P8" i="7"/>
  <c r="P13" i="7"/>
  <c r="P14" i="7"/>
  <c r="P34" i="7"/>
  <c r="P15" i="7"/>
  <c r="P17" i="7"/>
  <c r="F8" i="7"/>
  <c r="F34" i="7"/>
  <c r="F12" i="7"/>
  <c r="F32" i="7"/>
  <c r="F14" i="7"/>
  <c r="F18" i="7"/>
  <c r="F28" i="7"/>
  <c r="F22" i="7"/>
  <c r="F10" i="7"/>
  <c r="F30" i="7"/>
  <c r="F24" i="7"/>
  <c r="F20" i="7"/>
  <c r="F16" i="7"/>
  <c r="F26" i="7"/>
  <c r="F29" i="7"/>
  <c r="F33" i="7"/>
  <c r="F31" i="7"/>
  <c r="F27" i="7"/>
  <c r="F25" i="7"/>
  <c r="F23" i="7"/>
  <c r="F21" i="7"/>
  <c r="F19" i="7"/>
  <c r="F17" i="7"/>
  <c r="F15" i="7"/>
  <c r="F13" i="7"/>
  <c r="F11" i="7"/>
  <c r="F9" i="7"/>
  <c r="N35" i="5"/>
  <c r="N33" i="5"/>
  <c r="N23" i="5"/>
  <c r="N22" i="5"/>
  <c r="N14" i="5"/>
  <c r="N13" i="5"/>
  <c r="N37" i="5"/>
  <c r="N24" i="5"/>
  <c r="N32" i="5"/>
  <c r="N19" i="5"/>
  <c r="N21" i="5"/>
  <c r="N17" i="5"/>
  <c r="N20" i="5"/>
  <c r="N29" i="5"/>
  <c r="N25" i="5"/>
  <c r="N26" i="5"/>
  <c r="N38" i="5"/>
  <c r="N34" i="5"/>
  <c r="N15" i="5"/>
  <c r="N36" i="5"/>
  <c r="N18" i="5"/>
  <c r="N27" i="5"/>
  <c r="N16" i="5"/>
  <c r="N30" i="5"/>
  <c r="F23" i="5"/>
  <c r="F20" i="5"/>
  <c r="F32" i="5"/>
  <c r="F28" i="5"/>
  <c r="F19" i="5"/>
  <c r="F30" i="5"/>
  <c r="F25" i="5"/>
  <c r="F39" i="5"/>
  <c r="F15" i="5"/>
  <c r="F37" i="5"/>
  <c r="F33" i="5"/>
  <c r="F26" i="5"/>
  <c r="F27" i="5"/>
  <c r="F22" i="5"/>
  <c r="F38" i="5"/>
  <c r="F16" i="5"/>
  <c r="F18" i="5"/>
  <c r="F14" i="5"/>
  <c r="F31" i="5"/>
  <c r="F21" i="5"/>
  <c r="F17" i="5"/>
  <c r="F13" i="5"/>
  <c r="F34" i="5"/>
  <c r="F24" i="5"/>
  <c r="F35" i="5"/>
  <c r="F29" i="5"/>
  <c r="F36" i="5"/>
  <c r="N28" i="5"/>
  <c r="G11" i="5"/>
  <c r="AK6" i="7"/>
  <c r="AA6" i="7"/>
  <c r="G6" i="7"/>
  <c r="Q6" i="7"/>
  <c r="N31" i="5"/>
  <c r="Q11" i="7" a="1"/>
  <c r="Q23" i="7" a="1"/>
  <c r="AA17" i="7" a="1"/>
  <c r="AK11" i="7" a="1"/>
  <c r="G32" i="7" a="1"/>
  <c r="G22" i="5" a="1"/>
  <c r="AA13" i="7" a="1"/>
  <c r="AK15" i="7" a="1"/>
  <c r="AK32" i="7" a="1"/>
  <c r="G33" i="7" a="1"/>
  <c r="G10" i="7" a="1"/>
  <c r="AK29" i="7" a="1"/>
  <c r="Q29" i="7" a="1"/>
  <c r="G18" i="5" a="1"/>
  <c r="AK27" i="7" a="1"/>
  <c r="AA25" i="7" a="1"/>
  <c r="G33" i="5" a="1"/>
  <c r="G16" i="7" a="1"/>
  <c r="Q30" i="7" a="1"/>
  <c r="Q16" i="7" a="1"/>
  <c r="Q17" i="7" a="1"/>
  <c r="AA21" i="7" a="1"/>
  <c r="AK30" i="7" a="1"/>
  <c r="G19" i="7" a="1"/>
  <c r="G28" i="5" a="1"/>
  <c r="AK16" i="7" a="1"/>
  <c r="AA26" i="7" a="1"/>
  <c r="AK26" i="7" a="1"/>
  <c r="G17" i="7" a="1"/>
  <c r="G39" i="5" a="1"/>
  <c r="AA9" i="7" a="1"/>
  <c r="G15" i="5" a="1"/>
  <c r="G11" i="7" a="1"/>
  <c r="G31" i="5" a="1"/>
  <c r="AK28" i="7" a="1"/>
  <c r="G25" i="7" a="1"/>
  <c r="Q24" i="7" a="1"/>
  <c r="Q8" i="7" a="1"/>
  <c r="AA32" i="7" a="1"/>
  <c r="AA27" i="7" a="1"/>
  <c r="AK14" i="7" a="1"/>
  <c r="G34" i="7" a="1"/>
  <c r="G27" i="7" a="1"/>
  <c r="G30" i="5" a="1"/>
  <c r="Q33" i="7" a="1"/>
  <c r="AK21" i="7" a="1"/>
  <c r="G13" i="7" a="1"/>
  <c r="Q21" i="7" a="1"/>
  <c r="Q18" i="7" a="1"/>
  <c r="AA20" i="7" a="1"/>
  <c r="AA8" i="7" a="1"/>
  <c r="G21" i="5" a="1"/>
  <c r="Q34" i="7" a="1"/>
  <c r="AA28" i="7" a="1"/>
  <c r="AK22" i="7" a="1"/>
  <c r="G34" i="5" a="1"/>
  <c r="AK9" i="7" a="1"/>
  <c r="AA10" i="7" a="1"/>
  <c r="G30" i="7" a="1"/>
  <c r="Q25" i="7" a="1"/>
  <c r="G15" i="7" a="1"/>
  <c r="Q28" i="7" a="1"/>
  <c r="G18" i="7" a="1"/>
  <c r="G9" i="7" a="1"/>
  <c r="Q12" i="7" a="1"/>
  <c r="AA31" i="7" a="1"/>
  <c r="G37" i="5" a="1"/>
  <c r="AK24" i="7" a="1"/>
  <c r="G21" i="7" a="1"/>
  <c r="Q9" i="7" a="1"/>
  <c r="G20" i="5" a="1"/>
  <c r="AK23" i="7" a="1"/>
  <c r="G20" i="7" a="1"/>
  <c r="G8" i="7" a="1"/>
  <c r="G14" i="7" a="1"/>
  <c r="G28" i="7" a="1"/>
  <c r="AA29" i="7" a="1"/>
  <c r="AK34" i="7" a="1"/>
  <c r="G22" i="7" a="1"/>
  <c r="AK12" i="7" a="1"/>
  <c r="G35" i="5" a="1"/>
  <c r="AK31" i="7" a="1"/>
  <c r="AA34" i="7" a="1"/>
  <c r="G17" i="5" a="1"/>
  <c r="G23" i="7" a="1"/>
  <c r="AA22" i="7" a="1"/>
  <c r="G24" i="5" a="1"/>
  <c r="AK20" i="7" a="1"/>
  <c r="AK8" i="7" a="1"/>
  <c r="AA24" i="7" a="1"/>
  <c r="AA19" i="7" a="1"/>
  <c r="G38" i="5" a="1"/>
  <c r="AK19" i="7" a="1"/>
  <c r="Q20" i="7" a="1"/>
  <c r="G12" i="7" a="1"/>
  <c r="Q27" i="7" a="1"/>
  <c r="AA16" i="7" a="1"/>
  <c r="AK10" i="7" a="1"/>
  <c r="G29" i="5" a="1"/>
  <c r="AK25" i="7" a="1"/>
  <c r="G27" i="5" a="1"/>
  <c r="G31" i="7" a="1"/>
  <c r="Q13" i="7" a="1"/>
  <c r="G16" i="5" a="1"/>
  <c r="G32" i="5" a="1"/>
  <c r="Q22" i="7" a="1"/>
  <c r="AA14" i="7" a="1"/>
  <c r="G26" i="5" a="1"/>
  <c r="G36" i="5" a="1"/>
  <c r="G19" i="5" a="1"/>
  <c r="AA23" i="7" a="1"/>
  <c r="AA33" i="7" a="1"/>
  <c r="AA15" i="7" a="1"/>
  <c r="AA18" i="7" a="1"/>
  <c r="G29" i="7" a="1"/>
  <c r="Q14" i="7" a="1"/>
  <c r="G24" i="7" a="1"/>
  <c r="Q10" i="7" a="1"/>
  <c r="G25" i="5" a="1"/>
  <c r="Q19" i="7" a="1"/>
  <c r="AA30" i="7" a="1"/>
  <c r="G23" i="5" a="1"/>
  <c r="AK17" i="7" a="1"/>
  <c r="AA11" i="7" a="1"/>
  <c r="Q31" i="7" a="1"/>
  <c r="AK33" i="7" a="1"/>
  <c r="AK18" i="7" a="1"/>
  <c r="Q15" i="7" a="1"/>
  <c r="G13" i="5" a="1"/>
  <c r="G14" i="5" a="1"/>
  <c r="Q26" i="7" a="1"/>
  <c r="G26" i="7" a="1"/>
  <c r="AK13" i="7" a="1"/>
  <c r="Q32" i="7" a="1"/>
  <c r="AA12" i="7" a="1"/>
  <c r="AK9" i="7" l="1"/>
  <c r="AK22" i="7"/>
  <c r="AK32" i="7"/>
  <c r="AK26" i="7"/>
  <c r="AK16" i="7"/>
  <c r="AK14" i="7"/>
  <c r="AK30" i="7"/>
  <c r="AK11" i="7"/>
  <c r="AK19" i="7"/>
  <c r="AK18" i="7"/>
  <c r="AK13" i="7"/>
  <c r="AK33" i="7"/>
  <c r="AK8" i="7"/>
  <c r="AK20" i="7"/>
  <c r="AK31" i="7"/>
  <c r="AK17" i="7"/>
  <c r="AK23" i="7"/>
  <c r="AK28" i="7"/>
  <c r="AK12" i="7"/>
  <c r="AK34" i="7"/>
  <c r="AK24" i="7"/>
  <c r="AK27" i="7"/>
  <c r="AK25" i="7"/>
  <c r="AK10" i="7"/>
  <c r="AK21" i="7"/>
  <c r="AK29" i="7"/>
  <c r="AK15" i="7"/>
  <c r="AA26" i="7"/>
  <c r="AA8" i="7"/>
  <c r="AA27" i="7"/>
  <c r="AA21" i="7"/>
  <c r="AA17" i="7"/>
  <c r="AA12" i="7"/>
  <c r="AA34" i="7"/>
  <c r="AA19" i="7"/>
  <c r="AA24" i="7"/>
  <c r="AA18" i="7"/>
  <c r="AA11" i="7"/>
  <c r="AA15" i="7"/>
  <c r="AA33" i="7"/>
  <c r="AA30" i="7"/>
  <c r="AA23" i="7"/>
  <c r="AA25" i="7"/>
  <c r="AA29" i="7"/>
  <c r="AA14" i="7"/>
  <c r="AA22" i="7"/>
  <c r="AA10" i="7"/>
  <c r="AA16" i="7"/>
  <c r="AA31" i="7"/>
  <c r="AA28" i="7"/>
  <c r="AA9" i="7"/>
  <c r="AA13" i="7"/>
  <c r="AA20" i="7"/>
  <c r="AA32" i="7"/>
  <c r="Q17" i="7"/>
  <c r="Q23" i="7"/>
  <c r="Q22" i="7"/>
  <c r="Q32" i="7"/>
  <c r="Q14" i="7"/>
  <c r="Q30" i="7"/>
  <c r="Q31" i="7"/>
  <c r="Q20" i="7"/>
  <c r="Q26" i="7"/>
  <c r="Q13" i="7"/>
  <c r="Q24" i="7"/>
  <c r="Q15" i="7"/>
  <c r="Q19" i="7"/>
  <c r="Q9" i="7"/>
  <c r="Q28" i="7"/>
  <c r="Q25" i="7"/>
  <c r="Q21" i="7"/>
  <c r="Q27" i="7"/>
  <c r="Q29" i="7"/>
  <c r="Q33" i="7"/>
  <c r="Q34" i="7"/>
  <c r="Q12" i="7"/>
  <c r="Q18" i="7"/>
  <c r="Q8" i="7"/>
  <c r="Q16" i="7"/>
  <c r="Q11" i="7"/>
  <c r="Q10" i="7"/>
  <c r="G8" i="7"/>
  <c r="G17" i="7"/>
  <c r="G24" i="7"/>
  <c r="G10" i="7"/>
  <c r="G20" i="7"/>
  <c r="G18" i="7"/>
  <c r="G34" i="7"/>
  <c r="G31" i="7"/>
  <c r="G19" i="7"/>
  <c r="G32" i="7"/>
  <c r="G25" i="7"/>
  <c r="G14" i="7"/>
  <c r="G11" i="7"/>
  <c r="G22" i="7"/>
  <c r="G29" i="7"/>
  <c r="G15" i="7"/>
  <c r="G28" i="7"/>
  <c r="G21" i="7"/>
  <c r="G30" i="7"/>
  <c r="G27" i="7"/>
  <c r="G16" i="7"/>
  <c r="G13" i="7"/>
  <c r="G26" i="7"/>
  <c r="G23" i="7"/>
  <c r="G33" i="7"/>
  <c r="G12" i="7"/>
  <c r="G9" i="7"/>
  <c r="O13" i="5"/>
  <c r="O26" i="5"/>
  <c r="O31" i="5"/>
  <c r="O16" i="5"/>
  <c r="O27" i="5"/>
  <c r="O30" i="5"/>
  <c r="O18" i="5"/>
  <c r="O35" i="5"/>
  <c r="O36" i="5"/>
  <c r="O19" i="5"/>
  <c r="O28" i="5"/>
  <c r="O37" i="5"/>
  <c r="O29" i="5"/>
  <c r="O22" i="5"/>
  <c r="O25" i="5"/>
  <c r="O32" i="5"/>
  <c r="O17" i="5"/>
  <c r="O38" i="5"/>
  <c r="O23" i="5"/>
  <c r="O33" i="5"/>
  <c r="O20" i="5"/>
  <c r="O14" i="5"/>
  <c r="O15" i="5"/>
  <c r="G22" i="5"/>
  <c r="G15" i="5"/>
  <c r="G18" i="5"/>
  <c r="G34" i="5"/>
  <c r="G13" i="5"/>
  <c r="G30" i="5"/>
  <c r="G16" i="5"/>
  <c r="G23" i="5"/>
  <c r="G39" i="5"/>
  <c r="G14" i="5"/>
  <c r="G35" i="5"/>
  <c r="G20" i="5"/>
  <c r="G21" i="5"/>
  <c r="G26" i="5"/>
  <c r="G24" i="5"/>
  <c r="G19" i="5"/>
  <c r="G17" i="5"/>
  <c r="G32" i="5"/>
  <c r="G27" i="5"/>
  <c r="G29" i="5"/>
  <c r="G33" i="5"/>
  <c r="G36" i="5"/>
  <c r="G31" i="5"/>
  <c r="G28" i="5"/>
  <c r="G38" i="5"/>
  <c r="G37" i="5"/>
  <c r="G25" i="5"/>
  <c r="H11" i="5"/>
  <c r="AL6" i="7"/>
  <c r="AB6" i="7"/>
  <c r="H6" i="7"/>
  <c r="R6" i="7"/>
  <c r="O21" i="5"/>
  <c r="O24" i="5"/>
  <c r="O34" i="5"/>
  <c r="AB22" i="7" a="1"/>
  <c r="AB33" i="7" a="1"/>
  <c r="R11" i="7" a="1"/>
  <c r="AL14" i="7" a="1"/>
  <c r="H31" i="5" a="1"/>
  <c r="H26" i="7" a="1"/>
  <c r="H30" i="5" a="1"/>
  <c r="R16" i="7" a="1"/>
  <c r="H11" i="7" a="1"/>
  <c r="AL17" i="7" a="1"/>
  <c r="H31" i="7" a="1"/>
  <c r="H37" i="5" a="1"/>
  <c r="R24" i="7" a="1"/>
  <c r="H32" i="5" a="1"/>
  <c r="H12" i="7" a="1"/>
  <c r="AB19" i="7" a="1"/>
  <c r="R34" i="7" a="1"/>
  <c r="R33" i="7" a="1"/>
  <c r="AL24" i="7" a="1"/>
  <c r="H28" i="7" a="1"/>
  <c r="H39" i="5" a="1"/>
  <c r="H20" i="7" a="1"/>
  <c r="AB23" i="7" a="1"/>
  <c r="AB12" i="7" a="1"/>
  <c r="H18" i="5" a="1"/>
  <c r="R17" i="7" a="1"/>
  <c r="AL33" i="7" a="1"/>
  <c r="H36" i="5" a="1"/>
  <c r="AB15" i="7" a="1"/>
  <c r="R28" i="7" a="1"/>
  <c r="R19" i="7" a="1"/>
  <c r="AL15" i="7" a="1"/>
  <c r="H23" i="5" a="1"/>
  <c r="R32" i="7" a="1"/>
  <c r="AL21" i="7" a="1"/>
  <c r="H30" i="7" a="1"/>
  <c r="H33" i="5" a="1"/>
  <c r="AL28" i="7" a="1"/>
  <c r="H33" i="7" a="1"/>
  <c r="AB14" i="7" a="1"/>
  <c r="AL29" i="7" a="1"/>
  <c r="H8" i="7" a="1"/>
  <c r="AL11" i="7" a="1"/>
  <c r="H18" i="7" a="1"/>
  <c r="R21" i="7" a="1"/>
  <c r="H24" i="5" a="1"/>
  <c r="AB24" i="7" a="1"/>
  <c r="AB18" i="7" a="1"/>
  <c r="H16" i="7" a="1"/>
  <c r="AL26" i="7" a="1"/>
  <c r="AB34" i="7" a="1"/>
  <c r="R22" i="7" a="1"/>
  <c r="AL18" i="7" a="1"/>
  <c r="H24" i="7" a="1"/>
  <c r="R15" i="7" a="1"/>
  <c r="R26" i="7" a="1"/>
  <c r="H35" i="5" a="1"/>
  <c r="AL10" i="7" a="1"/>
  <c r="AB29" i="7" a="1"/>
  <c r="H27" i="5" a="1"/>
  <c r="R30" i="7" a="1"/>
  <c r="R14" i="7" a="1"/>
  <c r="H32" i="7" a="1"/>
  <c r="H25" i="5" a="1"/>
  <c r="AL22" i="7" a="1"/>
  <c r="H34" i="7" a="1"/>
  <c r="H17" i="5" a="1"/>
  <c r="R13" i="7" a="1"/>
  <c r="R9" i="7" a="1"/>
  <c r="H29" i="5" a="1"/>
  <c r="H21" i="5" a="1"/>
  <c r="AL16" i="7" a="1"/>
  <c r="AL12" i="7" a="1"/>
  <c r="AL25" i="7" a="1"/>
  <c r="H13" i="7" a="1"/>
  <c r="AL27" i="7" a="1"/>
  <c r="H9" i="7" a="1"/>
  <c r="AB30" i="7" a="1"/>
  <c r="AB9" i="7" a="1"/>
  <c r="H14" i="5" a="1"/>
  <c r="AB25" i="7" a="1"/>
  <c r="H19" i="7" a="1"/>
  <c r="R31" i="7" a="1"/>
  <c r="H22" i="7" a="1"/>
  <c r="AB10" i="7" a="1"/>
  <c r="H15" i="5" a="1"/>
  <c r="AB13" i="7" a="1"/>
  <c r="AL20" i="7" a="1"/>
  <c r="H34" i="5" a="1"/>
  <c r="R25" i="7" a="1"/>
  <c r="H23" i="7" a="1"/>
  <c r="R12" i="7" a="1"/>
  <c r="H38" i="5" a="1"/>
  <c r="H27" i="7" a="1"/>
  <c r="AL31" i="7" a="1"/>
  <c r="AL32" i="7" a="1"/>
  <c r="AB16" i="7" a="1"/>
  <c r="R29" i="7" a="1"/>
  <c r="AL30" i="7" a="1"/>
  <c r="H13" i="5" a="1"/>
  <c r="H21" i="7" a="1"/>
  <c r="H19" i="5" a="1"/>
  <c r="H15" i="7" a="1"/>
  <c r="AL34" i="7" a="1"/>
  <c r="H29" i="7" a="1"/>
  <c r="AB20" i="7" a="1"/>
  <c r="H26" i="5" a="1"/>
  <c r="AB32" i="7" a="1"/>
  <c r="AL13" i="7" a="1"/>
  <c r="H25" i="7" a="1"/>
  <c r="H14" i="7" a="1"/>
  <c r="AL8" i="7" a="1"/>
  <c r="AL19" i="7" a="1"/>
  <c r="R18" i="7" a="1"/>
  <c r="H17" i="7" a="1"/>
  <c r="R10" i="7" a="1"/>
  <c r="AB27" i="7" a="1"/>
  <c r="AB11" i="7" a="1"/>
  <c r="R23" i="7" a="1"/>
  <c r="H20" i="5" a="1"/>
  <c r="AB17" i="7" a="1"/>
  <c r="R8" i="7" a="1"/>
  <c r="AL23" i="7" a="1"/>
  <c r="H22" i="5" a="1"/>
  <c r="H16" i="5" a="1"/>
  <c r="H10" i="7" a="1"/>
  <c r="AB31" i="7" a="1"/>
  <c r="AB26" i="7" a="1"/>
  <c r="AL9" i="7" a="1"/>
  <c r="AB28" i="7" a="1"/>
  <c r="AB8" i="7" a="1"/>
  <c r="R20" i="7" a="1"/>
  <c r="H28" i="5" a="1"/>
  <c r="R27" i="7" a="1"/>
  <c r="AB21" i="7" a="1"/>
  <c r="AL17" i="7" l="1"/>
  <c r="AM17" i="7" s="1"/>
  <c r="AL12" i="7"/>
  <c r="AL28" i="7"/>
  <c r="AL21" i="7"/>
  <c r="AM21" i="7" s="1"/>
  <c r="AL15" i="7"/>
  <c r="AM15" i="7" s="1"/>
  <c r="AL24" i="7"/>
  <c r="AM24" i="7" s="1"/>
  <c r="AL14" i="7"/>
  <c r="AM14" i="7" s="1"/>
  <c r="AL32" i="7"/>
  <c r="AM32" i="7" s="1"/>
  <c r="AL9" i="7"/>
  <c r="AM9" i="7" s="1"/>
  <c r="AL34" i="7"/>
  <c r="AM34" i="7" s="1"/>
  <c r="AL31" i="7"/>
  <c r="AM31" i="7" s="1"/>
  <c r="AL19" i="7"/>
  <c r="AM19" i="7" s="1"/>
  <c r="AL16" i="7"/>
  <c r="AM16" i="7" s="1"/>
  <c r="AL33" i="7"/>
  <c r="AM33" i="7" s="1"/>
  <c r="AL23" i="7"/>
  <c r="AM23" i="7" s="1"/>
  <c r="AL8" i="7"/>
  <c r="AM8" i="7" s="1"/>
  <c r="AL13" i="7"/>
  <c r="AM13" i="7" s="1"/>
  <c r="AL26" i="7"/>
  <c r="AM26" i="7" s="1"/>
  <c r="AL22" i="7"/>
  <c r="AM22" i="7" s="1"/>
  <c r="AL30" i="7"/>
  <c r="AM30" i="7" s="1"/>
  <c r="AL20" i="7"/>
  <c r="AM20" i="7" s="1"/>
  <c r="AL27" i="7"/>
  <c r="AM27" i="7" s="1"/>
  <c r="AL25" i="7"/>
  <c r="AM25" i="7" s="1"/>
  <c r="AL10" i="7"/>
  <c r="AM10" i="7" s="1"/>
  <c r="AL11" i="7"/>
  <c r="AL29" i="7"/>
  <c r="AM29" i="7" s="1"/>
  <c r="AL18" i="7"/>
  <c r="R16" i="7"/>
  <c r="S16" i="7" s="1"/>
  <c r="R19" i="7"/>
  <c r="S19" i="7" s="1"/>
  <c r="R33" i="7"/>
  <c r="S33" i="7" s="1"/>
  <c r="R11" i="7"/>
  <c r="S11" i="7" s="1"/>
  <c r="R27" i="7"/>
  <c r="S27" i="7" s="1"/>
  <c r="R10" i="7"/>
  <c r="S10" i="7" s="1"/>
  <c r="R20" i="7"/>
  <c r="S20" i="7" s="1"/>
  <c r="R18" i="7"/>
  <c r="S18" i="7" s="1"/>
  <c r="R12" i="7"/>
  <c r="S12" i="7" s="1"/>
  <c r="R23" i="7"/>
  <c r="S23" i="7" s="1"/>
  <c r="R25" i="7"/>
  <c r="S25" i="7" s="1"/>
  <c r="R8" i="7"/>
  <c r="S8" i="7" s="1"/>
  <c r="R9" i="7"/>
  <c r="S9" i="7" s="1"/>
  <c r="R17" i="7"/>
  <c r="S17" i="7" s="1"/>
  <c r="R13" i="7"/>
  <c r="S13" i="7" s="1"/>
  <c r="R24" i="7"/>
  <c r="S24" i="7" s="1"/>
  <c r="R29" i="7"/>
  <c r="S29" i="7" s="1"/>
  <c r="R14" i="7"/>
  <c r="S14" i="7" s="1"/>
  <c r="R30" i="7"/>
  <c r="S30" i="7" s="1"/>
  <c r="R31" i="7"/>
  <c r="S31" i="7" s="1"/>
  <c r="R21" i="7"/>
  <c r="S21" i="7" s="1"/>
  <c r="R26" i="7"/>
  <c r="S26" i="7" s="1"/>
  <c r="R15" i="7"/>
  <c r="R22" i="7"/>
  <c r="R32" i="7"/>
  <c r="S32" i="7" s="1"/>
  <c r="R28" i="7"/>
  <c r="S28" i="7" s="1"/>
  <c r="R34" i="7"/>
  <c r="S34" i="7" s="1"/>
  <c r="AB33" i="7"/>
  <c r="AC33" i="7" s="1"/>
  <c r="AB20" i="7"/>
  <c r="AC20" i="7" s="1"/>
  <c r="AB9" i="7"/>
  <c r="AC9" i="7" s="1"/>
  <c r="AB8" i="7"/>
  <c r="AC8" i="7" s="1"/>
  <c r="AB26" i="7"/>
  <c r="AC26" i="7" s="1"/>
  <c r="AB31" i="7"/>
  <c r="AC31" i="7" s="1"/>
  <c r="AB30" i="7"/>
  <c r="AC30" i="7" s="1"/>
  <c r="AB11" i="7"/>
  <c r="AC11" i="7" s="1"/>
  <c r="AB17" i="7"/>
  <c r="AC17" i="7" s="1"/>
  <c r="AB27" i="7"/>
  <c r="AC27" i="7" s="1"/>
  <c r="AB32" i="7"/>
  <c r="AC32" i="7" s="1"/>
  <c r="AB12" i="7"/>
  <c r="AC12" i="7" s="1"/>
  <c r="AB23" i="7"/>
  <c r="AC23" i="7" s="1"/>
  <c r="AB16" i="7"/>
  <c r="AC16" i="7" s="1"/>
  <c r="AB13" i="7"/>
  <c r="AC13" i="7" s="1"/>
  <c r="AB10" i="7"/>
  <c r="AC10" i="7" s="1"/>
  <c r="AB29" i="7"/>
  <c r="AC29" i="7" s="1"/>
  <c r="AB18" i="7"/>
  <c r="AC18" i="7" s="1"/>
  <c r="AB25" i="7"/>
  <c r="AC25" i="7" s="1"/>
  <c r="AB14" i="7"/>
  <c r="AC14" i="7" s="1"/>
  <c r="AB34" i="7"/>
  <c r="AB24" i="7"/>
  <c r="AB15" i="7"/>
  <c r="AC15" i="7" s="1"/>
  <c r="AB19" i="7"/>
  <c r="AC19" i="7" s="1"/>
  <c r="AB22" i="7"/>
  <c r="AC22" i="7" s="1"/>
  <c r="AB28" i="7"/>
  <c r="AB21" i="7"/>
  <c r="AC21" i="7" s="1"/>
  <c r="H8" i="7"/>
  <c r="H31" i="7"/>
  <c r="H29" i="7"/>
  <c r="H15" i="7"/>
  <c r="H18" i="7"/>
  <c r="H25" i="7"/>
  <c r="H11" i="7"/>
  <c r="H24" i="7"/>
  <c r="H21" i="7"/>
  <c r="H30" i="7"/>
  <c r="H32" i="7"/>
  <c r="H28" i="7"/>
  <c r="H14" i="7"/>
  <c r="H34" i="7"/>
  <c r="H10" i="7"/>
  <c r="H16" i="7"/>
  <c r="H33" i="7"/>
  <c r="H17" i="7"/>
  <c r="H9" i="7"/>
  <c r="H20" i="7"/>
  <c r="H27" i="7"/>
  <c r="H13" i="7"/>
  <c r="H26" i="7"/>
  <c r="H23" i="7"/>
  <c r="H12" i="7"/>
  <c r="H22" i="7"/>
  <c r="H19" i="7"/>
  <c r="P38" i="5"/>
  <c r="P19" i="5"/>
  <c r="P32" i="5"/>
  <c r="P26" i="5"/>
  <c r="P35" i="5"/>
  <c r="P24" i="5"/>
  <c r="P17" i="5"/>
  <c r="P15" i="5"/>
  <c r="P22" i="5"/>
  <c r="P27" i="5"/>
  <c r="P33" i="5"/>
  <c r="P36" i="5"/>
  <c r="P30" i="5"/>
  <c r="P25" i="5"/>
  <c r="P18" i="5"/>
  <c r="P34" i="5"/>
  <c r="P21" i="5"/>
  <c r="P31" i="5"/>
  <c r="P20" i="5"/>
  <c r="P13" i="5"/>
  <c r="P37" i="5"/>
  <c r="P16" i="5"/>
  <c r="P23" i="5"/>
  <c r="P29" i="5"/>
  <c r="AC28" i="7"/>
  <c r="AC24" i="7"/>
  <c r="AC34" i="7"/>
  <c r="AM11" i="7"/>
  <c r="AM28" i="7"/>
  <c r="AM18" i="7"/>
  <c r="AM12" i="7"/>
  <c r="H38" i="5"/>
  <c r="I38" i="5" s="1"/>
  <c r="H34" i="5"/>
  <c r="I34" i="5" s="1"/>
  <c r="H35" i="5"/>
  <c r="I35" i="5" s="1"/>
  <c r="H26" i="5"/>
  <c r="I26" i="5" s="1"/>
  <c r="H28" i="5"/>
  <c r="I28" i="5" s="1"/>
  <c r="H22" i="5"/>
  <c r="I22" i="5" s="1"/>
  <c r="H29" i="5"/>
  <c r="I29" i="5" s="1"/>
  <c r="H20" i="5"/>
  <c r="I20" i="5" s="1"/>
  <c r="H21" i="5"/>
  <c r="I21" i="5" s="1"/>
  <c r="H16" i="5"/>
  <c r="I16" i="5" s="1"/>
  <c r="H32" i="5"/>
  <c r="I32" i="5" s="1"/>
  <c r="H19" i="5"/>
  <c r="I19" i="5" s="1"/>
  <c r="H13" i="5"/>
  <c r="I13" i="5" s="1"/>
  <c r="H23" i="5"/>
  <c r="I23" i="5" s="1"/>
  <c r="H15" i="5"/>
  <c r="I15" i="5" s="1"/>
  <c r="H31" i="5"/>
  <c r="I31" i="5" s="1"/>
  <c r="H18" i="5"/>
  <c r="I18" i="5" s="1"/>
  <c r="H36" i="5"/>
  <c r="I36" i="5" s="1"/>
  <c r="H27" i="5"/>
  <c r="I27" i="5" s="1"/>
  <c r="H17" i="5"/>
  <c r="I17" i="5" s="1"/>
  <c r="H33" i="5"/>
  <c r="I33" i="5" s="1"/>
  <c r="H30" i="5"/>
  <c r="I30" i="5" s="1"/>
  <c r="H39" i="5"/>
  <c r="I39" i="5" s="1"/>
  <c r="H37" i="5"/>
  <c r="I37" i="5" s="1"/>
  <c r="H25" i="5"/>
  <c r="I25" i="5" s="1"/>
  <c r="H24" i="5"/>
  <c r="I24" i="5" s="1"/>
  <c r="H14" i="5"/>
  <c r="I14" i="5" s="1"/>
  <c r="S15" i="7"/>
  <c r="S22" i="7"/>
  <c r="P14" i="5"/>
  <c r="P28" i="5"/>
  <c r="R25" i="5" l="1"/>
  <c r="R29" i="5"/>
  <c r="Q16" i="5"/>
  <c r="Q15" i="5"/>
  <c r="R20" i="5"/>
  <c r="R38" i="5"/>
  <c r="R32" i="5"/>
  <c r="R19" i="5"/>
  <c r="R27" i="5"/>
  <c r="Q31" i="5"/>
  <c r="R13" i="5"/>
  <c r="R34" i="5"/>
  <c r="R23" i="5"/>
  <c r="Q23" i="5"/>
  <c r="R33" i="5"/>
  <c r="Q29" i="5"/>
  <c r="R24" i="5"/>
  <c r="R37" i="5"/>
  <c r="Q30" i="5"/>
  <c r="R36" i="5"/>
  <c r="R28" i="5"/>
  <c r="Q37" i="5"/>
  <c r="Q14" i="5"/>
  <c r="R17" i="5"/>
  <c r="Q27" i="5"/>
  <c r="R30" i="5"/>
  <c r="R31" i="5"/>
  <c r="Q38" i="5"/>
  <c r="R14" i="5"/>
  <c r="R15" i="5"/>
  <c r="R35" i="5"/>
  <c r="R22" i="5"/>
  <c r="Q24" i="5"/>
  <c r="Q33" i="5"/>
  <c r="Q36" i="5"/>
  <c r="Q18" i="5"/>
  <c r="Q20" i="5"/>
  <c r="R18" i="5"/>
  <c r="Q32" i="5"/>
  <c r="Q17" i="5"/>
  <c r="R16" i="5"/>
  <c r="R26" i="5"/>
  <c r="Q26" i="5"/>
  <c r="R21" i="5"/>
  <c r="Q19" i="5"/>
  <c r="Q35" i="5"/>
  <c r="Q28" i="5"/>
  <c r="Q13" i="5"/>
  <c r="Q21" i="5"/>
  <c r="Q22" i="5"/>
  <c r="Q25" i="5"/>
  <c r="Q34" i="5"/>
  <c r="I22" i="7"/>
  <c r="I15" i="7" l="1"/>
  <c r="I29" i="7" l="1"/>
  <c r="I21" i="7" l="1"/>
  <c r="I30" i="7" l="1"/>
  <c r="I11" i="7" l="1"/>
  <c r="I25" i="7" l="1"/>
  <c r="I12" i="7" l="1"/>
  <c r="I16" i="7" l="1"/>
  <c r="I33" i="7" l="1"/>
  <c r="I14" i="7" l="1"/>
  <c r="I32" i="7" l="1"/>
  <c r="I28" i="7" l="1"/>
  <c r="I23" i="7" l="1"/>
  <c r="I24" i="7" l="1"/>
  <c r="I20" i="7" l="1"/>
  <c r="I31" i="7" l="1"/>
  <c r="I26" i="7" l="1"/>
  <c r="I27" i="7" l="1"/>
  <c r="I10" i="7" l="1"/>
  <c r="I17" i="7" l="1"/>
  <c r="I9" i="7" l="1"/>
  <c r="I18" i="7" l="1"/>
  <c r="I34" i="7"/>
  <c r="I8" i="7" l="1"/>
  <c r="I13" i="7" l="1"/>
  <c r="I1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<sst xmlns="http://schemas.openxmlformats.org/spreadsheetml/2006/main" count="86" uniqueCount="36">
  <si>
    <t>Solar</t>
  </si>
  <si>
    <t>Wind</t>
  </si>
  <si>
    <t>Nuclear</t>
  </si>
  <si>
    <t>Gas</t>
  </si>
  <si>
    <t>Coal</t>
  </si>
  <si>
    <t>Sum</t>
  </si>
  <si>
    <t>Lib-Default_Debug_New-CAL-CO2_40_40.xlsm</t>
  </si>
  <si>
    <t>Offset</t>
  </si>
  <si>
    <t>California</t>
  </si>
  <si>
    <t>Cost</t>
  </si>
  <si>
    <t>Year</t>
  </si>
  <si>
    <t>Battery</t>
  </si>
  <si>
    <t>Region_abbr</t>
  </si>
  <si>
    <t>Mult</t>
  </si>
  <si>
    <t>Capital</t>
  </si>
  <si>
    <t>Fixed</t>
  </si>
  <si>
    <t>Variable</t>
  </si>
  <si>
    <t>CO2</t>
  </si>
  <si>
    <t>Yearly Change</t>
  </si>
  <si>
    <t>Capacity GW</t>
  </si>
  <si>
    <t>Param_offset</t>
  </si>
  <si>
    <t>Offsets</t>
  </si>
  <si>
    <t>Include_Capital</t>
  </si>
  <si>
    <t>Include_Fixed</t>
  </si>
  <si>
    <t>Include_Variable</t>
  </si>
  <si>
    <t>Include_CO2</t>
  </si>
  <si>
    <t>Include_Solar</t>
  </si>
  <si>
    <t>Include_Wind</t>
  </si>
  <si>
    <t>Include_Nuclear</t>
  </si>
  <si>
    <t>Include_Gas</t>
  </si>
  <si>
    <t>Include_Coal</t>
  </si>
  <si>
    <t>Include_Battery</t>
  </si>
  <si>
    <t>Region_Abbr_Cost</t>
  </si>
  <si>
    <t>Offsets -&gt;</t>
  </si>
  <si>
    <t>Changes year-to-year:</t>
  </si>
  <si>
    <t>Multiplier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</si>
</sst>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#,##0.000000"/>
    <numFmt numFmtId="166" formatCode="#,##0.00000"/>
  </numFmts>
  <fonts count="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3" fontId="0" fillId="0" borderId="0" xfId="0" applyNumberFormat="1"/>
    <xf numFmtId="165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0" borderId="0" xfId="0" applyFont="1"/>
    <xf numFmtId="166" fontId="0" fillId="0" borderId="0" xfId="0" applyNumberFormat="1"/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1"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Calc!$E$3</c:f>
          <c:strCache>
            <c:ptCount val="1"/>
            <c:pt idx="0">
              <c:v>California - Capacity GW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464583179038016E-2"/>
          <c:y val="0.25915161303034556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Calc!$C$12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Calc!$C$13:$C$39</c:f>
              <c:numCache>
                <c:formatCode>#,##0.00000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Calc!$D$12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Calc!$D$13:$D$39</c:f>
              <c:numCache>
                <c:formatCode>#,##0.00000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Calc!$E$12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Calc!$E$13:$E$39</c:f>
              <c:numCache>
                <c:formatCode>#,##0.00000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Calc!$F$12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Calc!$F$13:$F$39</c:f>
              <c:numCache>
                <c:formatCode>#,##0.00000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Calc!$G$12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Calc!$G$13:$G$39</c:f>
              <c:numCache>
                <c:formatCode>#,##0.00000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Calc!$H$12</c:f>
              <c:strCache>
                <c:ptCount val="1"/>
                <c:pt idx="0">
                  <c:v>Battery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Calc!$H$13:$H$39</c:f>
              <c:numCache>
                <c:formatCode>#,##0.00000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Calc!$E$3</c:f>
          <c:strCache>
            <c:ptCount val="1"/>
            <c:pt idx="0">
              <c:v>California - Capacity GW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464583179038016E-2"/>
          <c:y val="0.25915161303034556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Calc!$L$12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Calc!$L$13:$L$39</c:f>
              <c:numCache>
                <c:formatCode>#,##0.00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B4-46B8-A186-1E17D9D988DF}"/>
            </c:ext>
          </c:extLst>
        </c:ser>
        <c:ser>
          <c:idx val="1"/>
          <c:order val="1"/>
          <c:tx>
            <c:strRef>
              <c:f>Calc!$M$12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Calc!$M$13:$M$39</c:f>
              <c:numCache>
                <c:formatCode>#,##0.00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B4-46B8-A186-1E17D9D988DF}"/>
            </c:ext>
          </c:extLst>
        </c:ser>
        <c:ser>
          <c:idx val="2"/>
          <c:order val="2"/>
          <c:tx>
            <c:strRef>
              <c:f>Calc!$N$12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Calc!$N$13:$N$39</c:f>
              <c:numCache>
                <c:formatCode>#,##0.00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B4-46B8-A186-1E17D9D988DF}"/>
            </c:ext>
          </c:extLst>
        </c:ser>
        <c:ser>
          <c:idx val="3"/>
          <c:order val="3"/>
          <c:tx>
            <c:strRef>
              <c:f>Calc!$O$12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Calc!$O$13:$O$39</c:f>
              <c:numCache>
                <c:formatCode>#,##0.00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B4-46B8-A186-1E17D9D988DF}"/>
            </c:ext>
          </c:extLst>
        </c:ser>
        <c:ser>
          <c:idx val="4"/>
          <c:order val="4"/>
          <c:tx>
            <c:strRef>
              <c:f>Calc!$P$12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Calc!$P$13:$P$39</c:f>
              <c:numCache>
                <c:formatCode>#,##0.00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B4-46B8-A186-1E17D9D988DF}"/>
            </c:ext>
          </c:extLst>
        </c:ser>
        <c:ser>
          <c:idx val="5"/>
          <c:order val="5"/>
          <c:tx>
            <c:strRef>
              <c:f>Calc!$Q$12</c:f>
              <c:strCache>
                <c:ptCount val="1"/>
                <c:pt idx="0">
                  <c:v>Battery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Calc!$Q$13:$Q$39</c:f>
              <c:numCache>
                <c:formatCode>#,##0.00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B4-46B8-A186-1E17D9D98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Costs</a:t>
            </a:r>
            <a:r>
              <a:rPr lang="en-US" baseline="0"/>
              <a:t> B$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464583179038016E-2"/>
          <c:y val="0.25915161303034556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Cost_Calc!$A$3</c:f>
              <c:strCache>
                <c:ptCount val="1"/>
                <c:pt idx="0">
                  <c:v>Capital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Cost_Calc!$A$8:$A$34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Cost_Calc!$I$8:$I$34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5-49B1-839A-E0836CD573E2}"/>
            </c:ext>
          </c:extLst>
        </c:ser>
        <c:ser>
          <c:idx val="1"/>
          <c:order val="1"/>
          <c:tx>
            <c:strRef>
              <c:f>Cost_Calc!$K$3</c:f>
              <c:strCache>
                <c:ptCount val="1"/>
                <c:pt idx="0">
                  <c:v>Fixed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Cost_Calc!$A$8:$A$34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Cost_Calc!$S$8:$S$34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75-49B1-839A-E0836CD573E2}"/>
            </c:ext>
          </c:extLst>
        </c:ser>
        <c:ser>
          <c:idx val="2"/>
          <c:order val="2"/>
          <c:tx>
            <c:strRef>
              <c:f>Cost_Calc!$U$3</c:f>
              <c:strCache>
                <c:ptCount val="1"/>
                <c:pt idx="0">
                  <c:v>Variable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Cost_Calc!$A$8:$A$34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Cost_Calc!$AC$8:$AC$34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75-49B1-839A-E0836CD573E2}"/>
            </c:ext>
          </c:extLst>
        </c:ser>
        <c:ser>
          <c:idx val="3"/>
          <c:order val="3"/>
          <c:tx>
            <c:strRef>
              <c:f>Cost_Calc!$AE$3</c:f>
              <c:strCache>
                <c:ptCount val="1"/>
                <c:pt idx="0">
                  <c:v>CO2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Cost_Calc!$A$8:$A$34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Cost_Calc!$AM$8:$AM$34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75-49B1-839A-E0836CD57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Cost_Graph!#REF!</c:f>
          <c:strCache>
            <c:ptCount val="1"/>
            <c:pt idx="0">
              <c:v>#REF!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Cost_Graph!#REF!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4B46-454E-BED4-5145489F483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Cost_Graph!#REF!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4B46-454E-BED4-5145489F4833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Cost_Graph!#REF!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4B46-454E-BED4-5145489F4833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Cost_Graph!#REF!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4B46-454E-BED4-5145489F4833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Cost_Graph!#REF!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4B46-454E-BED4-5145489F4833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Cost_Graph!#REF!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4B46-454E-BED4-5145489F4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244922</xdr:colOff>
      <xdr:row>2</xdr:row>
      <xdr:rowOff>43544</xdr:rowOff>
    </xdr:from>
    <xdr:to>
      <xdr:col>10</xdr:col>
      <xdr:colOff>165999</xdr:colOff>
      <xdr:row>17</xdr:row>
      <xdr:rowOff>160565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0</xdr:col>
      <xdr:colOff>32658</xdr:colOff>
      <xdr:row>3</xdr:row>
      <xdr:rowOff>40822</xdr:rowOff>
    </xdr:from>
    <xdr:to>
      <xdr:col>1</xdr:col>
      <xdr:colOff>19050</xdr:colOff>
      <xdr:row>4</xdr:row>
      <xdr:rowOff>24493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32658" y="615043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2</xdr:col>
      <xdr:colOff>0</xdr:colOff>
      <xdr:row>21</xdr:row>
      <xdr:rowOff>0</xdr:rowOff>
    </xdr:from>
    <xdr:to>
      <xdr:col>9</xdr:col>
      <xdr:colOff>179613</xdr:colOff>
      <xdr:row>36</xdr:row>
      <xdr:rowOff>117021</xdr:rowOff>
    </xdr:to>
    <xdr:graphicFrame macro="">
      <xdr:nvGraphicFramePr>
        <xdr:cNvPr id="7" name="Main_Chart">
          <a:extLst>
            <a:ext uri="{FF2B5EF4-FFF2-40B4-BE49-F238E27FC236}">
              <a16:creationId xmlns:a16="http://schemas.microsoft.com/office/drawing/2014/main" id="{C4ACE980-5439-48D5-B37B-88B62B6B16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244922</xdr:colOff>
      <xdr:row>2</xdr:row>
      <xdr:rowOff>43544</xdr:rowOff>
    </xdr:from>
    <xdr:to>
      <xdr:col>9</xdr:col>
      <xdr:colOff>0</xdr:colOff>
      <xdr:row>17</xdr:row>
      <xdr:rowOff>160565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471CDF07-5B44-4BD9-B978-170343838F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A92104C0-8527-4EB3-B1B3-9C94F8DA5161}"/>
            </a:ext>
          </a:extLst>
        </xdr:cNvPr>
        <xdr:cNvSpPr/>
      </xdr:nvSpPr>
      <xdr:spPr>
        <a:xfrm>
          <a:off x="1518558" y="223157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4" name="Delta_Chart">
          <a:extLst>
            <a:ext uri="{FF2B5EF4-FFF2-40B4-BE49-F238E27FC236}">
              <a16:creationId xmlns:a16="http://schemas.microsoft.com/office/drawing/2014/main" id="{000DB447-8296-417D-856A-81AA9DD887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2"/>
  <sheetViews>
    <sheetView tabSelected="1" workbookViewId="0">
      <selection activeCell="A2" sqref="A2"/>
    </sheetView>
  </sheetViews>
  <sheetFormatPr defaultRowHeight="14.6" x14ac:dyDescent="0.85"/>
  <cols>
    <col min="1" max="1" width="11.92187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8" width="13.73046875" customWidth="1"/>
    <col min="9" max="9" width="11.53515625" customWidth="1"/>
    <col min="10" max="10" width="3.65234375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8</v>
      </c>
      <c r="C1" s="9" t="s">
        <v>6</v>
      </c>
      <c r="D1" s="8"/>
      <c r="E1" s="8"/>
      <c r="F1" s="8"/>
      <c r="G1" s="8"/>
      <c r="H1" s="8"/>
      <c r="I1" s="8"/>
    </row>
    <row r="2" spans="1:27" ht="14.65" x14ac:dyDescent="0.85">
      <c r="A2" s="2" t="s">
        <v>19</v>
      </c>
      <c r="K2" s="4"/>
    </row>
    <row r="3" spans="1:27" ht="14.65" x14ac:dyDescent="0.85">
      <c r="M3" s="8"/>
      <c r="N3" s="8"/>
      <c r="O3" s="8"/>
    </row>
    <row r="4" spans="1:27" ht="14.65" customHeight="1" x14ac:dyDescent="0.85"/>
    <row r="5" spans="1:27" ht="14.65" x14ac:dyDescent="0.85"/>
    <row r="6" spans="1:27" ht="14.65" x14ac:dyDescent="0.85">
      <c r="K6" s="1"/>
      <c r="L6" s="1"/>
      <c r="M6" s="1"/>
      <c r="N6" s="1"/>
      <c r="O6" s="1"/>
      <c r="P6" s="1"/>
      <c r="Q6" s="1"/>
      <c r="U6" s="1"/>
      <c r="V6" s="1"/>
      <c r="W6" s="1"/>
      <c r="X6" s="1"/>
      <c r="Y6" s="1"/>
      <c r="Z6" s="1"/>
      <c r="AA6" s="1"/>
    </row>
    <row r="7" spans="1:27" ht="14.65" x14ac:dyDescent="0.85">
      <c r="K7" s="1"/>
      <c r="L7" s="1"/>
      <c r="M7" s="1"/>
      <c r="N7" s="1"/>
      <c r="O7" s="1"/>
      <c r="P7" s="1"/>
      <c r="Q7" s="1"/>
      <c r="U7" s="1"/>
      <c r="V7" s="1"/>
      <c r="W7" s="1"/>
      <c r="X7" s="1"/>
      <c r="Y7" s="1"/>
      <c r="Z7" s="1"/>
      <c r="AA7" s="1"/>
    </row>
    <row r="8" spans="1:27" ht="14.65" x14ac:dyDescent="0.85">
      <c r="K8" s="1"/>
      <c r="L8" s="1"/>
      <c r="M8" s="1"/>
      <c r="N8" s="1"/>
      <c r="O8" s="1"/>
      <c r="P8" s="1"/>
      <c r="Q8" s="1"/>
      <c r="U8" s="1"/>
      <c r="V8" s="1"/>
      <c r="W8" s="1"/>
      <c r="X8" s="1"/>
      <c r="Y8" s="1"/>
      <c r="Z8" s="1"/>
      <c r="AA8" s="1"/>
    </row>
    <row r="9" spans="1:27" ht="14.65" x14ac:dyDescent="0.85">
      <c r="K9" s="1"/>
      <c r="L9" s="1"/>
      <c r="M9" s="1"/>
      <c r="N9" s="1"/>
      <c r="O9" s="1"/>
      <c r="P9" s="1"/>
      <c r="Q9" s="1"/>
      <c r="U9" s="1"/>
      <c r="V9" s="1"/>
      <c r="W9" s="1"/>
      <c r="X9" s="1"/>
      <c r="Y9" s="1"/>
      <c r="Z9" s="1"/>
      <c r="AA9" s="1"/>
    </row>
    <row r="10" spans="1:27" ht="14.65" x14ac:dyDescent="0.85">
      <c r="K10" s="1"/>
      <c r="L10" s="1"/>
      <c r="M10" s="1"/>
      <c r="N10" s="1"/>
      <c r="O10" s="1"/>
      <c r="P10" s="1"/>
      <c r="Q10" s="1"/>
      <c r="U10" s="1"/>
      <c r="V10" s="1"/>
      <c r="W10" s="1"/>
      <c r="X10" s="1"/>
      <c r="Y10" s="1"/>
      <c r="Z10" s="1"/>
      <c r="AA10" s="1"/>
    </row>
    <row r="11" spans="1:27" ht="14.65" x14ac:dyDescent="0.85">
      <c r="K11" s="1"/>
      <c r="L11" s="1"/>
      <c r="M11" s="1"/>
      <c r="N11" s="1"/>
      <c r="O11" s="1"/>
      <c r="P11" s="1"/>
      <c r="Q11" s="1"/>
      <c r="U11" s="1"/>
      <c r="V11" s="1"/>
      <c r="W11" s="1"/>
      <c r="X11" s="1"/>
      <c r="Y11" s="1"/>
      <c r="Z11" s="1"/>
      <c r="AA11" s="1"/>
    </row>
    <row r="12" spans="1:27" ht="14.65" x14ac:dyDescent="0.85">
      <c r="K12" s="1"/>
      <c r="L12" s="1"/>
      <c r="M12" s="1"/>
      <c r="N12" s="1"/>
      <c r="O12" s="1"/>
      <c r="P12" s="1"/>
      <c r="Q12" s="1"/>
      <c r="U12" s="1"/>
      <c r="V12" s="1"/>
      <c r="W12" s="1"/>
      <c r="X12" s="1"/>
      <c r="Y12" s="1"/>
      <c r="Z12" s="1"/>
      <c r="AA12" s="1"/>
    </row>
    <row r="13" spans="1:27" ht="14.65" x14ac:dyDescent="0.85">
      <c r="K13" s="1"/>
      <c r="L13" s="1"/>
      <c r="M13" s="1"/>
      <c r="N13" s="1"/>
      <c r="O13" s="1"/>
      <c r="P13" s="1"/>
      <c r="Q13" s="1"/>
      <c r="U13" s="1"/>
      <c r="V13" s="1"/>
      <c r="W13" s="1"/>
      <c r="X13" s="1"/>
      <c r="Y13" s="1"/>
      <c r="Z13" s="1"/>
      <c r="AA13" s="1"/>
    </row>
    <row r="14" spans="1:27" ht="14.65" x14ac:dyDescent="0.85">
      <c r="K14" s="1"/>
      <c r="L14" s="1"/>
      <c r="M14" s="1"/>
      <c r="N14" s="1"/>
      <c r="O14" s="1"/>
      <c r="P14" s="1"/>
      <c r="Q14" s="1"/>
      <c r="U14" s="1"/>
      <c r="V14" s="1"/>
      <c r="W14" s="1"/>
      <c r="X14" s="1"/>
      <c r="Y14" s="1"/>
      <c r="Z14" s="1"/>
      <c r="AA14" s="1"/>
    </row>
    <row r="15" spans="1:27" ht="14.65" x14ac:dyDescent="0.85">
      <c r="K15" s="1"/>
      <c r="L15" s="1"/>
      <c r="M15" s="1"/>
      <c r="N15" s="1"/>
      <c r="O15" s="1"/>
      <c r="P15" s="1"/>
      <c r="Q15" s="1"/>
      <c r="U15" s="1"/>
      <c r="V15" s="1"/>
      <c r="W15" s="1"/>
      <c r="X15" s="1"/>
      <c r="Y15" s="1"/>
      <c r="Z15" s="1"/>
      <c r="AA15" s="1"/>
    </row>
    <row r="16" spans="1:27" ht="14.65" x14ac:dyDescent="0.85">
      <c r="K16" s="1"/>
      <c r="L16" s="1"/>
      <c r="M16" s="1"/>
      <c r="N16" s="1"/>
      <c r="O16" s="1"/>
      <c r="P16" s="1"/>
      <c r="Q16" s="1"/>
      <c r="U16" s="1"/>
      <c r="V16" s="1"/>
      <c r="W16" s="1"/>
      <c r="X16" s="1"/>
      <c r="Y16" s="1"/>
      <c r="Z16" s="1"/>
      <c r="AA16" s="1"/>
    </row>
    <row r="17" spans="1:27" ht="14.65" x14ac:dyDescent="0.85">
      <c r="K17" s="1"/>
      <c r="L17" s="1"/>
      <c r="M17" s="1"/>
      <c r="N17" s="1"/>
      <c r="O17" s="1"/>
      <c r="P17" s="1"/>
      <c r="Q17" s="1"/>
      <c r="U17" s="1"/>
      <c r="V17" s="1"/>
      <c r="W17" s="1"/>
      <c r="X17" s="1"/>
      <c r="Y17" s="1"/>
      <c r="Z17" s="1"/>
      <c r="AA17" s="1"/>
    </row>
    <row r="18" spans="1:27" ht="14.65" x14ac:dyDescent="0.85">
      <c r="K18" s="1"/>
      <c r="L18" s="1"/>
      <c r="M18" s="1"/>
      <c r="N18" s="1"/>
      <c r="O18" s="1"/>
      <c r="P18" s="1"/>
      <c r="Q18" s="1"/>
      <c r="U18" s="1"/>
      <c r="V18" s="1"/>
      <c r="W18" s="1"/>
      <c r="X18" s="1"/>
      <c r="Y18" s="1"/>
      <c r="Z18" s="1"/>
      <c r="AA18" s="1"/>
    </row>
    <row r="19" spans="1:27" ht="14.65" x14ac:dyDescent="0.85">
      <c r="K19" s="1"/>
      <c r="L19" s="1"/>
      <c r="M19" s="1"/>
      <c r="N19" s="1"/>
      <c r="O19" s="1"/>
      <c r="P19" s="1"/>
      <c r="Q19" s="1"/>
      <c r="U19" s="1"/>
      <c r="V19" s="1"/>
      <c r="W19" s="1"/>
      <c r="X19" s="1"/>
      <c r="Y19" s="1"/>
      <c r="Z19" s="1"/>
      <c r="AA19" s="1"/>
    </row>
    <row r="20" spans="1:27" ht="14.65" x14ac:dyDescent="0.85">
      <c r="K20" s="1"/>
      <c r="L20" s="1"/>
      <c r="M20" s="1"/>
      <c r="N20" s="1"/>
      <c r="O20" s="1"/>
      <c r="P20" s="1"/>
      <c r="Q20" s="1"/>
      <c r="U20" s="1"/>
      <c r="V20" s="1"/>
      <c r="W20" s="1"/>
      <c r="X20" s="1"/>
      <c r="Y20" s="1"/>
      <c r="Z20" s="1"/>
      <c r="AA20" s="1"/>
    </row>
    <row r="21" spans="1:27" ht="14.65" x14ac:dyDescent="0.85">
      <c r="K21" s="1"/>
      <c r="L21" s="1"/>
      <c r="M21" s="1"/>
      <c r="N21" s="1"/>
      <c r="O21" s="1"/>
      <c r="P21" s="1"/>
      <c r="Q21" s="1"/>
      <c r="U21" s="1"/>
      <c r="V21" s="1"/>
      <c r="W21" s="1"/>
      <c r="X21" s="1"/>
      <c r="Y21" s="1"/>
      <c r="Z21" s="1"/>
      <c r="AA21" s="1"/>
    </row>
    <row r="22" spans="1:27" ht="14.65" x14ac:dyDescent="0.85">
      <c r="A22" s="6" t="s">
        <v>34</v>
      </c>
      <c r="K22" s="1"/>
      <c r="L22" s="1"/>
      <c r="M22" s="1"/>
      <c r="N22" s="1"/>
      <c r="O22" s="1"/>
      <c r="P22" s="1"/>
      <c r="Q22" s="1"/>
      <c r="U22" s="1"/>
      <c r="V22" s="1"/>
      <c r="W22" s="1"/>
      <c r="X22" s="1"/>
      <c r="Y22" s="1"/>
      <c r="Z22" s="1"/>
      <c r="AA22" s="1"/>
    </row>
    <row r="23" spans="1:27" ht="14.65" x14ac:dyDescent="0.85">
      <c r="K23" s="1"/>
      <c r="L23" s="1"/>
      <c r="M23" s="1"/>
      <c r="N23" s="1"/>
      <c r="O23" s="1"/>
      <c r="P23" s="1"/>
      <c r="Q23" s="1"/>
      <c r="U23" s="1"/>
      <c r="V23" s="1"/>
      <c r="W23" s="1"/>
      <c r="X23" s="1"/>
      <c r="Y23" s="1"/>
      <c r="Z23" s="1"/>
      <c r="AA23" s="1"/>
    </row>
    <row r="24" spans="1:27" ht="14.65" x14ac:dyDescent="0.85">
      <c r="K24" s="1"/>
      <c r="L24" s="1"/>
      <c r="M24" s="1"/>
      <c r="N24" s="1"/>
      <c r="O24" s="1"/>
      <c r="P24" s="1"/>
      <c r="Q24" s="1"/>
      <c r="U24" s="1"/>
      <c r="V24" s="1"/>
      <c r="W24" s="1"/>
      <c r="X24" s="1"/>
      <c r="Y24" s="1"/>
      <c r="Z24" s="1"/>
      <c r="AA24" s="1"/>
    </row>
    <row r="25" spans="1:27" x14ac:dyDescent="0.85">
      <c r="K25" s="1"/>
      <c r="L25" s="1"/>
      <c r="M25" s="1"/>
      <c r="N25" s="1"/>
      <c r="O25" s="1"/>
      <c r="P25" s="1"/>
      <c r="Q25" s="1"/>
      <c r="U25" s="1"/>
      <c r="V25" s="1"/>
      <c r="W25" s="1"/>
      <c r="X25" s="1"/>
      <c r="Y25" s="1"/>
      <c r="Z25" s="1"/>
      <c r="AA25" s="1"/>
    </row>
    <row r="26" spans="1:27" x14ac:dyDescent="0.85">
      <c r="K26" s="1"/>
      <c r="L26" s="1"/>
      <c r="M26" s="1"/>
      <c r="N26" s="1"/>
      <c r="O26" s="1"/>
      <c r="P26" s="1"/>
      <c r="Q26" s="1"/>
      <c r="U26" s="1"/>
      <c r="V26" s="1"/>
      <c r="W26" s="1"/>
      <c r="X26" s="1"/>
      <c r="Y26" s="1"/>
      <c r="Z26" s="1"/>
      <c r="AA26" s="1"/>
    </row>
    <row r="27" spans="1:27" x14ac:dyDescent="0.85">
      <c r="K27" s="1"/>
      <c r="L27" s="1"/>
      <c r="M27" s="1"/>
      <c r="N27" s="1"/>
      <c r="O27" s="1"/>
      <c r="P27" s="1"/>
      <c r="Q27" s="1"/>
      <c r="U27" s="1"/>
      <c r="V27" s="1"/>
      <c r="W27" s="1"/>
      <c r="X27" s="1"/>
      <c r="Y27" s="1"/>
      <c r="Z27" s="1"/>
      <c r="AA27" s="1"/>
    </row>
    <row r="28" spans="1:27" x14ac:dyDescent="0.85">
      <c r="K28" s="1"/>
      <c r="L28" s="1"/>
      <c r="M28" s="1"/>
      <c r="N28" s="1"/>
      <c r="O28" s="1"/>
      <c r="P28" s="1"/>
      <c r="Q28" s="1"/>
      <c r="U28" s="1"/>
      <c r="V28" s="1"/>
      <c r="W28" s="1"/>
      <c r="X28" s="1"/>
      <c r="Y28" s="1"/>
      <c r="Z28" s="1"/>
      <c r="AA28" s="1"/>
    </row>
    <row r="29" spans="1:27" x14ac:dyDescent="0.85">
      <c r="K29" s="1"/>
      <c r="L29" s="1"/>
      <c r="M29" s="1"/>
      <c r="N29" s="1"/>
      <c r="O29" s="1"/>
      <c r="P29" s="1"/>
      <c r="Q29" s="1"/>
      <c r="U29" s="1"/>
      <c r="V29" s="1"/>
      <c r="W29" s="1"/>
      <c r="X29" s="1"/>
      <c r="Y29" s="1"/>
      <c r="Z29" s="1"/>
      <c r="AA29" s="1"/>
    </row>
    <row r="30" spans="1:27" x14ac:dyDescent="0.85">
      <c r="K30" s="1"/>
      <c r="L30" s="1"/>
      <c r="M30" s="1"/>
      <c r="N30" s="1"/>
      <c r="O30" s="1"/>
      <c r="P30" s="1"/>
      <c r="Q30" s="1"/>
      <c r="U30" s="1"/>
      <c r="V30" s="1"/>
      <c r="W30" s="1"/>
      <c r="X30" s="1"/>
      <c r="Y30" s="1"/>
      <c r="Z30" s="1"/>
      <c r="AA30" s="1"/>
    </row>
    <row r="31" spans="1:27" x14ac:dyDescent="0.85">
      <c r="K31" s="1"/>
      <c r="L31" s="1"/>
      <c r="M31" s="1"/>
      <c r="N31" s="1"/>
      <c r="O31" s="1"/>
      <c r="P31" s="1"/>
      <c r="Q31" s="1"/>
      <c r="U31" s="1"/>
      <c r="V31" s="1"/>
      <c r="W31" s="1"/>
      <c r="X31" s="1"/>
      <c r="Y31" s="1"/>
      <c r="Z31" s="1"/>
      <c r="AA31" s="1"/>
    </row>
    <row r="32" spans="1:27" x14ac:dyDescent="0.85">
      <c r="K32" s="1"/>
      <c r="L32" s="1"/>
      <c r="M32" s="1"/>
      <c r="N32" s="1"/>
      <c r="O32" s="1"/>
      <c r="P32" s="1"/>
      <c r="Q32" s="1"/>
    </row>
  </sheetData>
  <mergeCells count="2">
    <mergeCell ref="M3:O3"/>
    <mergeCell ref="C1:I1"/>
  </mergeCells>
  <conditionalFormatting sqref="K6:Q32">
    <cfRule type="expression" dxfId="10" priority="5">
      <formula>$Q6 &gt; 10000</formula>
    </cfRule>
  </conditionalFormatting>
  <conditionalFormatting sqref="U6:AA31">
    <cfRule type="expression" dxfId="9" priority="3">
      <formula>$Q6 &gt; 10000</formula>
    </cfRule>
  </conditionalFormatting>
  <conditionalFormatting sqref="K2">
    <cfRule type="expression" dxfId="8" priority="2">
      <formula>$Q2 &gt; 10000</formula>
    </cfRule>
  </conditionalFormatting>
  <dataValidations count="1">
    <dataValidation type="list" allowBlank="1" showInputMessage="1" showErrorMessage="1" sqref="A2" xr:uid="{FBA341F7-B53D-40FE-9073-E8DFC7E6B155}">
      <formula1>Params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C6B7B-C308-4369-B725-05C64C64DE0D}">
  <sheetPr codeName="Sheet5"/>
  <dimension ref="A1:I32"/>
  <sheetViews>
    <sheetView workbookViewId="0">
      <selection activeCell="B7" sqref="B7"/>
    </sheetView>
  </sheetViews>
  <sheetFormatPr defaultRowHeight="14.6" x14ac:dyDescent="0.85"/>
  <cols>
    <col min="1" max="1" width="14.11328125" bestFit="1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8" width="13.73046875" customWidth="1"/>
    <col min="9" max="9" width="11.53515625" customWidth="1"/>
  </cols>
  <sheetData>
    <row r="1" spans="1:9" ht="16.149999999999999" x14ac:dyDescent="0.85">
      <c r="A1" s="2" t="s">
        <v>8</v>
      </c>
      <c r="C1" s="9" t="s">
        <v>6</v>
      </c>
      <c r="D1" s="8"/>
      <c r="E1" s="8"/>
      <c r="F1" s="8"/>
      <c r="G1" s="8"/>
      <c r="H1" s="8"/>
      <c r="I1" s="8"/>
    </row>
    <row r="2" spans="1:9" ht="14.65" x14ac:dyDescent="0.85">
      <c r="A2" s="2" t="s">
        <v>9</v>
      </c>
    </row>
    <row r="4" spans="1:9" ht="14.65" customHeight="1" x14ac:dyDescent="0.85">
      <c r="A4" t="s">
        <v>22</v>
      </c>
      <c r="B4" s="5" t="b">
        <v>1</v>
      </c>
    </row>
    <row r="5" spans="1:9" ht="14.65" x14ac:dyDescent="0.85">
      <c r="A5" t="s">
        <v>23</v>
      </c>
      <c r="B5" s="5" t="b">
        <v>0</v>
      </c>
      <c r="I5">
        <v>2023</v>
      </c>
    </row>
    <row r="6" spans="1:9" ht="14.65" x14ac:dyDescent="0.85">
      <c r="A6" t="s">
        <v>24</v>
      </c>
      <c r="B6" s="5" t="b">
        <v>0</v>
      </c>
      <c r="I6">
        <f>I5+1</f>
        <v>2024</v>
      </c>
    </row>
    <row r="7" spans="1:9" ht="14.65" x14ac:dyDescent="0.85">
      <c r="A7" t="s">
        <v>25</v>
      </c>
      <c r="B7" s="5" t="b">
        <v>0</v>
      </c>
      <c r="I7">
        <f t="shared" ref="I7:I22" si="0">I6+1</f>
        <v>2025</v>
      </c>
    </row>
    <row r="8" spans="1:9" ht="14.65" x14ac:dyDescent="0.85">
      <c r="I8">
        <f t="shared" si="0"/>
        <v>2026</v>
      </c>
    </row>
    <row r="9" spans="1:9" ht="14.65" x14ac:dyDescent="0.85">
      <c r="A9" t="s">
        <v>26</v>
      </c>
      <c r="B9" s="5" t="b">
        <v>1</v>
      </c>
      <c r="I9">
        <f t="shared" si="0"/>
        <v>2027</v>
      </c>
    </row>
    <row r="10" spans="1:9" ht="14.65" x14ac:dyDescent="0.85">
      <c r="A10" t="s">
        <v>27</v>
      </c>
      <c r="B10" s="5" t="b">
        <v>1</v>
      </c>
      <c r="I10">
        <f t="shared" si="0"/>
        <v>2028</v>
      </c>
    </row>
    <row r="11" spans="1:9" ht="14.65" x14ac:dyDescent="0.85">
      <c r="A11" t="s">
        <v>28</v>
      </c>
      <c r="B11" s="5" t="b">
        <v>1</v>
      </c>
      <c r="I11">
        <f t="shared" si="0"/>
        <v>2029</v>
      </c>
    </row>
    <row r="12" spans="1:9" ht="14.65" x14ac:dyDescent="0.85">
      <c r="A12" t="s">
        <v>29</v>
      </c>
      <c r="B12" s="5" t="b">
        <v>1</v>
      </c>
      <c r="I12">
        <f t="shared" si="0"/>
        <v>2030</v>
      </c>
    </row>
    <row r="13" spans="1:9" ht="14.65" x14ac:dyDescent="0.85">
      <c r="A13" t="s">
        <v>30</v>
      </c>
      <c r="B13" s="5" t="b">
        <v>1</v>
      </c>
      <c r="I13">
        <f t="shared" si="0"/>
        <v>2031</v>
      </c>
    </row>
    <row r="14" spans="1:9" ht="14.65" x14ac:dyDescent="0.85">
      <c r="A14" t="s">
        <v>31</v>
      </c>
      <c r="B14" s="5" t="b">
        <v>1</v>
      </c>
      <c r="I14">
        <f t="shared" si="0"/>
        <v>2032</v>
      </c>
    </row>
    <row r="15" spans="1:9" ht="14.65" x14ac:dyDescent="0.85">
      <c r="I15">
        <f t="shared" si="0"/>
        <v>2033</v>
      </c>
    </row>
    <row r="16" spans="1:9" ht="14.65" x14ac:dyDescent="0.85">
      <c r="I16">
        <f t="shared" si="0"/>
        <v>2034</v>
      </c>
    </row>
    <row r="17" spans="9:9" ht="14.65" x14ac:dyDescent="0.85">
      <c r="I17">
        <f t="shared" si="0"/>
        <v>2035</v>
      </c>
    </row>
    <row r="18" spans="9:9" ht="14.65" x14ac:dyDescent="0.85">
      <c r="I18">
        <f t="shared" si="0"/>
        <v>2036</v>
      </c>
    </row>
    <row r="19" spans="9:9" ht="14.65" x14ac:dyDescent="0.85">
      <c r="I19">
        <f t="shared" si="0"/>
        <v>2037</v>
      </c>
    </row>
    <row r="20" spans="9:9" x14ac:dyDescent="0.85">
      <c r="I20">
        <f t="shared" si="0"/>
        <v>2038</v>
      </c>
    </row>
    <row r="21" spans="9:9" x14ac:dyDescent="0.85">
      <c r="I21">
        <f t="shared" si="0"/>
        <v>2039</v>
      </c>
    </row>
    <row r="22" spans="9:9" x14ac:dyDescent="0.85">
      <c r="I22">
        <f t="shared" si="0"/>
        <v>2040</v>
      </c>
    </row>
    <row r="23" spans="9:9" x14ac:dyDescent="0.85">
      <c r="I23">
        <f t="shared" ref="I23:I32" si="1">I22+1</f>
        <v>2041</v>
      </c>
    </row>
    <row r="24" spans="9:9" x14ac:dyDescent="0.85">
      <c r="I24">
        <f t="shared" si="1"/>
        <v>2042</v>
      </c>
    </row>
    <row r="25" spans="9:9" x14ac:dyDescent="0.85">
      <c r="I25">
        <f t="shared" si="1"/>
        <v>2043</v>
      </c>
    </row>
    <row r="26" spans="9:9" x14ac:dyDescent="0.85">
      <c r="I26">
        <f t="shared" si="1"/>
        <v>2044</v>
      </c>
    </row>
    <row r="27" spans="9:9" x14ac:dyDescent="0.85">
      <c r="I27">
        <f t="shared" si="1"/>
        <v>2045</v>
      </c>
    </row>
    <row r="28" spans="9:9" x14ac:dyDescent="0.85">
      <c r="I28">
        <f t="shared" si="1"/>
        <v>2046</v>
      </c>
    </row>
    <row r="29" spans="9:9" x14ac:dyDescent="0.85">
      <c r="I29">
        <f t="shared" si="1"/>
        <v>2047</v>
      </c>
    </row>
    <row r="30" spans="9:9" x14ac:dyDescent="0.85">
      <c r="I30">
        <f t="shared" si="1"/>
        <v>2048</v>
      </c>
    </row>
    <row r="31" spans="9:9" x14ac:dyDescent="0.85">
      <c r="I31">
        <f t="shared" si="1"/>
        <v>2049</v>
      </c>
    </row>
    <row r="32" spans="9:9" x14ac:dyDescent="0.85">
      <c r="I32">
        <f t="shared" si="1"/>
        <v>2050</v>
      </c>
    </row>
  </sheetData>
  <mergeCells count="1">
    <mergeCell ref="C1:I1"/>
  </mergeCells>
  <dataValidations count="1">
    <dataValidation type="list" allowBlank="1" showInputMessage="1" showErrorMessage="1" sqref="A2" xr:uid="{88D65C1F-558A-4663-B549-55B891711BDC}">
      <formula1>Params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7EDE5-8FEE-47AB-9518-62B7C472B416}">
  <dimension ref="A2:R39"/>
  <sheetViews>
    <sheetView workbookViewId="0">
      <selection activeCell="B6" sqref="B6"/>
    </sheetView>
  </sheetViews>
  <sheetFormatPr defaultRowHeight="14.6" x14ac:dyDescent="0.85"/>
  <cols>
    <col min="1" max="1" width="11.53515625" customWidth="1"/>
    <col min="2" max="2" width="10.8046875" bestFit="1" customWidth="1"/>
    <col min="3" max="9" width="12.69140625" customWidth="1"/>
    <col min="10" max="10" width="2.9609375" customWidth="1"/>
    <col min="11" max="11" width="3.11328125" customWidth="1"/>
  </cols>
  <sheetData>
    <row r="2" spans="1:18" x14ac:dyDescent="0.85">
      <c r="C2" s="4"/>
    </row>
    <row r="3" spans="1:18" x14ac:dyDescent="0.85">
      <c r="B3" t="s">
        <v>12</v>
      </c>
      <c r="C3" t="e">
        <f>VLOOKUP(Region, Region_lookup,2,FALSE)</f>
        <v>#REF!</v>
      </c>
      <c r="E3" s="8" t="str">
        <f>Graph!$A$1 &amp; " - " &amp; Graph!$A$2</f>
        <v>California - Capacity GW</v>
      </c>
      <c r="F3" s="8"/>
      <c r="G3" s="8"/>
    </row>
    <row r="4" spans="1:18" x14ac:dyDescent="0.85">
      <c r="B4" t="s">
        <v>13</v>
      </c>
      <c r="C4" t="e">
        <f>VLOOKUP(Parameter,Param_Table,4,FALSE)</f>
        <v>#REF!</v>
      </c>
    </row>
    <row r="5" spans="1:18" x14ac:dyDescent="0.85">
      <c r="B5" t="s">
        <v>20</v>
      </c>
      <c r="C5" t="e">
        <f>VLOOKUP(Parameter,Param_Table,2,FALSE)</f>
        <v>#REF!</v>
      </c>
    </row>
    <row r="6" spans="1:18" x14ac:dyDescent="0.85">
      <c r="B6" t="str">
        <f>Parameter</f>
        <v>Capacity GW</v>
      </c>
    </row>
    <row r="11" spans="1:18" x14ac:dyDescent="0.85">
      <c r="A11" t="s">
        <v>21</v>
      </c>
      <c r="B11" t="s">
        <v>10</v>
      </c>
      <c r="C11" t="e">
        <f t="shared" ref="C11:H11" si="0">VLOOKUP(C$12,NRG_Table,2,FALSE)</f>
        <v>#REF!</v>
      </c>
      <c r="D11" t="e">
        <f t="shared" si="0"/>
        <v>#REF!</v>
      </c>
      <c r="E11" t="e">
        <f t="shared" si="0"/>
        <v>#REF!</v>
      </c>
      <c r="F11" t="e">
        <f t="shared" si="0"/>
        <v>#REF!</v>
      </c>
      <c r="G11" t="e">
        <f t="shared" si="0"/>
        <v>#REF!</v>
      </c>
      <c r="H11" t="e">
        <f t="shared" si="0"/>
        <v>#REF!</v>
      </c>
      <c r="L11" s="6" t="s">
        <v>18</v>
      </c>
    </row>
    <row r="12" spans="1:18" x14ac:dyDescent="0.85">
      <c r="A12">
        <v>2023</v>
      </c>
      <c r="B12">
        <v>-1</v>
      </c>
      <c r="C12" t="s">
        <v>0</v>
      </c>
      <c r="D12" t="s">
        <v>1</v>
      </c>
      <c r="E12" t="s">
        <v>2</v>
      </c>
      <c r="F12" t="s">
        <v>3</v>
      </c>
      <c r="G12" t="s">
        <v>4</v>
      </c>
      <c r="H12" t="s">
        <v>11</v>
      </c>
      <c r="I12" t="s">
        <v>5</v>
      </c>
      <c r="K12">
        <v>0</v>
      </c>
      <c r="L12" t="s">
        <v>0</v>
      </c>
      <c r="M12" t="s">
        <v>1</v>
      </c>
      <c r="N12" t="s">
        <v>2</v>
      </c>
      <c r="O12" t="s">
        <v>3</v>
      </c>
      <c r="P12" t="s">
        <v>4</v>
      </c>
      <c r="Q12" t="s">
        <v>11</v>
      </c>
      <c r="R12" t="s">
        <v>5</v>
      </c>
    </row>
    <row r="13" spans="1:18" x14ac:dyDescent="0.85">
      <c r="A13">
        <f>A12+1</f>
        <v>2024</v>
      </c>
      <c r="B13">
        <f>B12+1</f>
        <v>0</v>
      </c>
      <c r="C13" s="7" t="e" cm="1">
        <f t="array" aca="1" ref="C13" ca="1" xml:space="preserve"> Mult * OFFSET(INDIRECT(Region_abbr &amp; "!A1"), Param_offset + C$11,$B13+1)</f>
        <v>#REF!</v>
      </c>
      <c r="D13" s="7" t="e" cm="1">
        <f t="array" aca="1" ref="D13" ca="1" xml:space="preserve"> Mult * OFFSET(INDIRECT(Region_abbr &amp; "!A1"), Param_offset + D$11,$B13+1)</f>
        <v>#REF!</v>
      </c>
      <c r="E13" s="7" t="e" cm="1">
        <f t="array" aca="1" ref="E13" ca="1" xml:space="preserve"> Mult * OFFSET(INDIRECT(Region_abbr &amp; "!A1"), Param_offset + E$11,$B13+1)</f>
        <v>#REF!</v>
      </c>
      <c r="F13" s="7" t="e" cm="1">
        <f t="array" aca="1" ref="F13" ca="1" xml:space="preserve"> Mult * OFFSET(INDIRECT(Region_abbr &amp; "!A1"), Param_offset + F$11,$B13+1)</f>
        <v>#REF!</v>
      </c>
      <c r="G13" s="7" t="e" cm="1">
        <f t="array" aca="1" ref="G13" ca="1" xml:space="preserve"> Mult * OFFSET(INDIRECT(Region_abbr &amp; "!A1"), Param_offset + G$11,$B13+1)</f>
        <v>#REF!</v>
      </c>
      <c r="H13" s="7" t="e" cm="1">
        <f t="array" aca="1" ref="H13" ca="1" xml:space="preserve"> Mult * OFFSET(INDIRECT(Region_abbr &amp; "!A1"), Param_offset + H$11,$B13+1)</f>
        <v>#REF!</v>
      </c>
      <c r="I13" s="1" t="e">
        <f ca="1">SUM(C13:H13)</f>
        <v>#REF!</v>
      </c>
      <c r="K13">
        <f>K12+1</f>
        <v>1</v>
      </c>
      <c r="L13" s="1" t="e">
        <f t="shared" ref="L13:R13" ca="1" si="1">C14-C13</f>
        <v>#REF!</v>
      </c>
      <c r="M13" s="1" t="e">
        <f t="shared" ca="1" si="1"/>
        <v>#REF!</v>
      </c>
      <c r="N13" s="1" t="e">
        <f t="shared" ca="1" si="1"/>
        <v>#REF!</v>
      </c>
      <c r="O13" s="1" t="e">
        <f t="shared" ca="1" si="1"/>
        <v>#REF!</v>
      </c>
      <c r="P13" s="1" t="e">
        <f t="shared" ca="1" si="1"/>
        <v>#REF!</v>
      </c>
      <c r="Q13" s="1" t="e">
        <f t="shared" ca="1" si="1"/>
        <v>#REF!</v>
      </c>
      <c r="R13" s="1" t="e">
        <f t="shared" ca="1" si="1"/>
        <v>#REF!</v>
      </c>
    </row>
    <row r="14" spans="1:18" x14ac:dyDescent="0.85">
      <c r="A14">
        <f t="shared" ref="A14:B29" si="2">A13+1</f>
        <v>2025</v>
      </c>
      <c r="B14">
        <f t="shared" si="2"/>
        <v>1</v>
      </c>
      <c r="C14" s="7" t="e" cm="1">
        <f t="array" aca="1" ref="C14" ca="1" xml:space="preserve"> Mult * OFFSET(INDIRECT(Region_abbr &amp; "!A1"), Param_offset + C$11,$B14+1)</f>
        <v>#REF!</v>
      </c>
      <c r="D14" s="7" t="e" cm="1">
        <f t="array" aca="1" ref="D14" ca="1" xml:space="preserve"> Mult * OFFSET(INDIRECT(Region_abbr &amp; "!A1"), Param_offset + D$11,$B14+1)</f>
        <v>#REF!</v>
      </c>
      <c r="E14" s="7" t="e" cm="1">
        <f t="array" aca="1" ref="E14" ca="1" xml:space="preserve"> Mult * OFFSET(INDIRECT(Region_abbr &amp; "!A1"), Param_offset + E$11,$B14+1)</f>
        <v>#REF!</v>
      </c>
      <c r="F14" s="7" t="e" cm="1">
        <f t="array" aca="1" ref="F14" ca="1" xml:space="preserve"> Mult * OFFSET(INDIRECT(Region_abbr &amp; "!A1"), Param_offset + F$11,$B14+1)</f>
        <v>#REF!</v>
      </c>
      <c r="G14" s="7" t="e" cm="1">
        <f t="array" aca="1" ref="G14" ca="1" xml:space="preserve"> Mult * OFFSET(INDIRECT(Region_abbr &amp; "!A1"), Param_offset + G$11,$B14+1)</f>
        <v>#REF!</v>
      </c>
      <c r="H14" s="7" t="e" cm="1">
        <f t="array" aca="1" ref="H14" ca="1" xml:space="preserve"> Mult * OFFSET(INDIRECT(Region_abbr &amp; "!A1"), Param_offset + H$11,$B14+1)</f>
        <v>#REF!</v>
      </c>
      <c r="I14" s="1" t="e">
        <f t="shared" ref="I14:I39" ca="1" si="3">SUM(C14:H14)</f>
        <v>#REF!</v>
      </c>
      <c r="K14">
        <f t="shared" ref="K14:K38" si="4">K13+1</f>
        <v>2</v>
      </c>
      <c r="L14" s="1" t="e">
        <f t="shared" ref="L14:R38" ca="1" si="5">C15-C14</f>
        <v>#REF!</v>
      </c>
      <c r="M14" s="1" t="e">
        <f t="shared" ref="M14:M28" ca="1" si="6">D15-D14</f>
        <v>#REF!</v>
      </c>
      <c r="N14" s="1" t="e">
        <f t="shared" ref="N14:N28" ca="1" si="7">E15-E14</f>
        <v>#REF!</v>
      </c>
      <c r="O14" s="1" t="e">
        <f t="shared" ref="O14:O28" ca="1" si="8">F15-F14</f>
        <v>#REF!</v>
      </c>
      <c r="P14" s="1" t="e">
        <f t="shared" ref="P14:P28" ca="1" si="9">G15-G14</f>
        <v>#REF!</v>
      </c>
      <c r="Q14" s="1" t="e">
        <f t="shared" ref="Q14:Q28" ca="1" si="10">H15-H14</f>
        <v>#REF!</v>
      </c>
      <c r="R14" s="1" t="e">
        <f t="shared" ref="R14:R28" ca="1" si="11">I15-I14</f>
        <v>#REF!</v>
      </c>
    </row>
    <row r="15" spans="1:18" x14ac:dyDescent="0.85">
      <c r="A15">
        <f t="shared" si="2"/>
        <v>2026</v>
      </c>
      <c r="B15">
        <f t="shared" si="2"/>
        <v>2</v>
      </c>
      <c r="C15" s="7" t="e" cm="1">
        <f t="array" aca="1" ref="C15" ca="1" xml:space="preserve"> Mult * OFFSET(INDIRECT(Region_abbr &amp; "!A1"), Param_offset + C$11,$B15+1)</f>
        <v>#REF!</v>
      </c>
      <c r="D15" s="7" t="e" cm="1">
        <f t="array" aca="1" ref="D15" ca="1" xml:space="preserve"> Mult * OFFSET(INDIRECT(Region_abbr &amp; "!A1"), Param_offset + D$11,$B15+1)</f>
        <v>#REF!</v>
      </c>
      <c r="E15" s="7" t="e" cm="1">
        <f t="array" aca="1" ref="E15" ca="1" xml:space="preserve"> Mult * OFFSET(INDIRECT(Region_abbr &amp; "!A1"), Param_offset + E$11,$B15+1)</f>
        <v>#REF!</v>
      </c>
      <c r="F15" s="7" t="e" cm="1">
        <f t="array" aca="1" ref="F15" ca="1" xml:space="preserve"> Mult * OFFSET(INDIRECT(Region_abbr &amp; "!A1"), Param_offset + F$11,$B15+1)</f>
        <v>#REF!</v>
      </c>
      <c r="G15" s="7" t="e" cm="1">
        <f t="array" aca="1" ref="G15" ca="1" xml:space="preserve"> Mult * OFFSET(INDIRECT(Region_abbr &amp; "!A1"), Param_offset + G$11,$B15+1)</f>
        <v>#REF!</v>
      </c>
      <c r="H15" s="7" t="e" cm="1">
        <f t="array" aca="1" ref="H15" ca="1" xml:space="preserve"> Mult * OFFSET(INDIRECT(Region_abbr &amp; "!A1"), Param_offset + H$11,$B15+1)</f>
        <v>#REF!</v>
      </c>
      <c r="I15" s="1" t="e">
        <f t="shared" ca="1" si="3"/>
        <v>#REF!</v>
      </c>
      <c r="K15">
        <f t="shared" si="4"/>
        <v>3</v>
      </c>
      <c r="L15" s="1" t="e">
        <f t="shared" ca="1" si="5"/>
        <v>#REF!</v>
      </c>
      <c r="M15" s="1" t="e">
        <f t="shared" ca="1" si="6"/>
        <v>#REF!</v>
      </c>
      <c r="N15" s="1" t="e">
        <f t="shared" ca="1" si="7"/>
        <v>#REF!</v>
      </c>
      <c r="O15" s="1" t="e">
        <f t="shared" ca="1" si="8"/>
        <v>#REF!</v>
      </c>
      <c r="P15" s="1" t="e">
        <f t="shared" ca="1" si="9"/>
        <v>#REF!</v>
      </c>
      <c r="Q15" s="1" t="e">
        <f t="shared" ca="1" si="10"/>
        <v>#REF!</v>
      </c>
      <c r="R15" s="1" t="e">
        <f t="shared" ca="1" si="11"/>
        <v>#REF!</v>
      </c>
    </row>
    <row r="16" spans="1:18" x14ac:dyDescent="0.85">
      <c r="A16">
        <f t="shared" si="2"/>
        <v>2027</v>
      </c>
      <c r="B16">
        <f t="shared" si="2"/>
        <v>3</v>
      </c>
      <c r="C16" s="7" t="e" cm="1">
        <f t="array" aca="1" ref="C16" ca="1" xml:space="preserve"> Mult * OFFSET(INDIRECT(Region_abbr &amp; "!A1"), Param_offset + C$11,$B16+1)</f>
        <v>#REF!</v>
      </c>
      <c r="D16" s="7" t="e" cm="1">
        <f t="array" aca="1" ref="D16" ca="1" xml:space="preserve"> Mult * OFFSET(INDIRECT(Region_abbr &amp; "!A1"), Param_offset + D$11,$B16+1)</f>
        <v>#REF!</v>
      </c>
      <c r="E16" s="7" t="e" cm="1">
        <f t="array" aca="1" ref="E16" ca="1" xml:space="preserve"> Mult * OFFSET(INDIRECT(Region_abbr &amp; "!A1"), Param_offset + E$11,$B16+1)</f>
        <v>#REF!</v>
      </c>
      <c r="F16" s="7" t="e" cm="1">
        <f t="array" aca="1" ref="F16" ca="1" xml:space="preserve"> Mult * OFFSET(INDIRECT(Region_abbr &amp; "!A1"), Param_offset + F$11,$B16+1)</f>
        <v>#REF!</v>
      </c>
      <c r="G16" s="7" t="e" cm="1">
        <f t="array" aca="1" ref="G16" ca="1" xml:space="preserve"> Mult * OFFSET(INDIRECT(Region_abbr &amp; "!A1"), Param_offset + G$11,$B16+1)</f>
        <v>#REF!</v>
      </c>
      <c r="H16" s="7" t="e" cm="1">
        <f t="array" aca="1" ref="H16" ca="1" xml:space="preserve"> Mult * OFFSET(INDIRECT(Region_abbr &amp; "!A1"), Param_offset + H$11,$B16+1)</f>
        <v>#REF!</v>
      </c>
      <c r="I16" s="1" t="e">
        <f t="shared" ca="1" si="3"/>
        <v>#REF!</v>
      </c>
      <c r="K16">
        <f t="shared" si="4"/>
        <v>4</v>
      </c>
      <c r="L16" s="1" t="e">
        <f t="shared" ca="1" si="5"/>
        <v>#REF!</v>
      </c>
      <c r="M16" s="1" t="e">
        <f t="shared" ca="1" si="6"/>
        <v>#REF!</v>
      </c>
      <c r="N16" s="1" t="e">
        <f t="shared" ca="1" si="7"/>
        <v>#REF!</v>
      </c>
      <c r="O16" s="1" t="e">
        <f t="shared" ca="1" si="8"/>
        <v>#REF!</v>
      </c>
      <c r="P16" s="1" t="e">
        <f t="shared" ca="1" si="9"/>
        <v>#REF!</v>
      </c>
      <c r="Q16" s="1" t="e">
        <f t="shared" ca="1" si="10"/>
        <v>#REF!</v>
      </c>
      <c r="R16" s="1" t="e">
        <f t="shared" ca="1" si="11"/>
        <v>#REF!</v>
      </c>
    </row>
    <row r="17" spans="1:18" x14ac:dyDescent="0.85">
      <c r="A17">
        <f t="shared" si="2"/>
        <v>2028</v>
      </c>
      <c r="B17">
        <f t="shared" si="2"/>
        <v>4</v>
      </c>
      <c r="C17" s="7" t="e" cm="1">
        <f t="array" aca="1" ref="C17" ca="1" xml:space="preserve"> Mult * OFFSET(INDIRECT(Region_abbr &amp; "!A1"), Param_offset + C$11,$B17+1)</f>
        <v>#REF!</v>
      </c>
      <c r="D17" s="7" t="e" cm="1">
        <f t="array" aca="1" ref="D17" ca="1" xml:space="preserve"> Mult * OFFSET(INDIRECT(Region_abbr &amp; "!A1"), Param_offset + D$11,$B17+1)</f>
        <v>#REF!</v>
      </c>
      <c r="E17" s="7" t="e" cm="1">
        <f t="array" aca="1" ref="E17" ca="1" xml:space="preserve"> Mult * OFFSET(INDIRECT(Region_abbr &amp; "!A1"), Param_offset + E$11,$B17+1)</f>
        <v>#REF!</v>
      </c>
      <c r="F17" s="7" t="e" cm="1">
        <f t="array" aca="1" ref="F17" ca="1" xml:space="preserve"> Mult * OFFSET(INDIRECT(Region_abbr &amp; "!A1"), Param_offset + F$11,$B17+1)</f>
        <v>#REF!</v>
      </c>
      <c r="G17" s="7" t="e" cm="1">
        <f t="array" aca="1" ref="G17" ca="1" xml:space="preserve"> Mult * OFFSET(INDIRECT(Region_abbr &amp; "!A1"), Param_offset + G$11,$B17+1)</f>
        <v>#REF!</v>
      </c>
      <c r="H17" s="7" t="e" cm="1">
        <f t="array" aca="1" ref="H17" ca="1" xml:space="preserve"> Mult * OFFSET(INDIRECT(Region_abbr &amp; "!A1"), Param_offset + H$11,$B17+1)</f>
        <v>#REF!</v>
      </c>
      <c r="I17" s="1" t="e">
        <f t="shared" ca="1" si="3"/>
        <v>#REF!</v>
      </c>
      <c r="K17">
        <f t="shared" si="4"/>
        <v>5</v>
      </c>
      <c r="L17" s="1" t="e">
        <f t="shared" ca="1" si="5"/>
        <v>#REF!</v>
      </c>
      <c r="M17" s="1" t="e">
        <f t="shared" ca="1" si="6"/>
        <v>#REF!</v>
      </c>
      <c r="N17" s="1" t="e">
        <f t="shared" ca="1" si="7"/>
        <v>#REF!</v>
      </c>
      <c r="O17" s="1" t="e">
        <f t="shared" ca="1" si="8"/>
        <v>#REF!</v>
      </c>
      <c r="P17" s="1" t="e">
        <f t="shared" ca="1" si="9"/>
        <v>#REF!</v>
      </c>
      <c r="Q17" s="1" t="e">
        <f t="shared" ca="1" si="10"/>
        <v>#REF!</v>
      </c>
      <c r="R17" s="1" t="e">
        <f t="shared" ca="1" si="11"/>
        <v>#REF!</v>
      </c>
    </row>
    <row r="18" spans="1:18" x14ac:dyDescent="0.85">
      <c r="A18">
        <f t="shared" si="2"/>
        <v>2029</v>
      </c>
      <c r="B18">
        <f t="shared" si="2"/>
        <v>5</v>
      </c>
      <c r="C18" s="7" t="e" cm="1">
        <f t="array" aca="1" ref="C18" ca="1" xml:space="preserve"> Mult * OFFSET(INDIRECT(Region_abbr &amp; "!A1"), Param_offset + C$11,$B18+1)</f>
        <v>#REF!</v>
      </c>
      <c r="D18" s="7" t="e" cm="1">
        <f t="array" aca="1" ref="D18" ca="1" xml:space="preserve"> Mult * OFFSET(INDIRECT(Region_abbr &amp; "!A1"), Param_offset + D$11,$B18+1)</f>
        <v>#REF!</v>
      </c>
      <c r="E18" s="7" t="e" cm="1">
        <f t="array" aca="1" ref="E18" ca="1" xml:space="preserve"> Mult * OFFSET(INDIRECT(Region_abbr &amp; "!A1"), Param_offset + E$11,$B18+1)</f>
        <v>#REF!</v>
      </c>
      <c r="F18" s="7" t="e" cm="1">
        <f t="array" aca="1" ref="F18" ca="1" xml:space="preserve"> Mult * OFFSET(INDIRECT(Region_abbr &amp; "!A1"), Param_offset + F$11,$B18+1)</f>
        <v>#REF!</v>
      </c>
      <c r="G18" s="7" t="e" cm="1">
        <f t="array" aca="1" ref="G18" ca="1" xml:space="preserve"> Mult * OFFSET(INDIRECT(Region_abbr &amp; "!A1"), Param_offset + G$11,$B18+1)</f>
        <v>#REF!</v>
      </c>
      <c r="H18" s="7" t="e" cm="1">
        <f t="array" aca="1" ref="H18" ca="1" xml:space="preserve"> Mult * OFFSET(INDIRECT(Region_abbr &amp; "!A1"), Param_offset + H$11,$B18+1)</f>
        <v>#REF!</v>
      </c>
      <c r="I18" s="1" t="e">
        <f t="shared" ca="1" si="3"/>
        <v>#REF!</v>
      </c>
      <c r="K18">
        <f t="shared" si="4"/>
        <v>6</v>
      </c>
      <c r="L18" s="1" t="e">
        <f t="shared" ca="1" si="5"/>
        <v>#REF!</v>
      </c>
      <c r="M18" s="1" t="e">
        <f t="shared" ca="1" si="6"/>
        <v>#REF!</v>
      </c>
      <c r="N18" s="1" t="e">
        <f t="shared" ca="1" si="7"/>
        <v>#REF!</v>
      </c>
      <c r="O18" s="1" t="e">
        <f t="shared" ca="1" si="8"/>
        <v>#REF!</v>
      </c>
      <c r="P18" s="1" t="e">
        <f t="shared" ca="1" si="9"/>
        <v>#REF!</v>
      </c>
      <c r="Q18" s="1" t="e">
        <f t="shared" ca="1" si="10"/>
        <v>#REF!</v>
      </c>
      <c r="R18" s="1" t="e">
        <f t="shared" ca="1" si="11"/>
        <v>#REF!</v>
      </c>
    </row>
    <row r="19" spans="1:18" x14ac:dyDescent="0.85">
      <c r="A19">
        <f t="shared" si="2"/>
        <v>2030</v>
      </c>
      <c r="B19">
        <f t="shared" si="2"/>
        <v>6</v>
      </c>
      <c r="C19" s="7" t="e" cm="1">
        <f t="array" aca="1" ref="C19" ca="1" xml:space="preserve"> Mult * OFFSET(INDIRECT(Region_abbr &amp; "!A1"), Param_offset + C$11,$B19+1)</f>
        <v>#REF!</v>
      </c>
      <c r="D19" s="7" t="e" cm="1">
        <f t="array" aca="1" ref="D19" ca="1" xml:space="preserve"> Mult * OFFSET(INDIRECT(Region_abbr &amp; "!A1"), Param_offset + D$11,$B19+1)</f>
        <v>#REF!</v>
      </c>
      <c r="E19" s="7" t="e" cm="1">
        <f t="array" aca="1" ref="E19" ca="1" xml:space="preserve"> Mult * OFFSET(INDIRECT(Region_abbr &amp; "!A1"), Param_offset + E$11,$B19+1)</f>
        <v>#REF!</v>
      </c>
      <c r="F19" s="7" t="e" cm="1">
        <f t="array" aca="1" ref="F19" ca="1" xml:space="preserve"> Mult * OFFSET(INDIRECT(Region_abbr &amp; "!A1"), Param_offset + F$11,$B19+1)</f>
        <v>#REF!</v>
      </c>
      <c r="G19" s="7" t="e" cm="1">
        <f t="array" aca="1" ref="G19" ca="1" xml:space="preserve"> Mult * OFFSET(INDIRECT(Region_abbr &amp; "!A1"), Param_offset + G$11,$B19+1)</f>
        <v>#REF!</v>
      </c>
      <c r="H19" s="7" t="e" cm="1">
        <f t="array" aca="1" ref="H19" ca="1" xml:space="preserve"> Mult * OFFSET(INDIRECT(Region_abbr &amp; "!A1"), Param_offset + H$11,$B19+1)</f>
        <v>#REF!</v>
      </c>
      <c r="I19" s="1" t="e">
        <f t="shared" ca="1" si="3"/>
        <v>#REF!</v>
      </c>
      <c r="K19">
        <f t="shared" si="4"/>
        <v>7</v>
      </c>
      <c r="L19" s="1" t="e">
        <f t="shared" ca="1" si="5"/>
        <v>#REF!</v>
      </c>
      <c r="M19" s="1" t="e">
        <f t="shared" ca="1" si="6"/>
        <v>#REF!</v>
      </c>
      <c r="N19" s="1" t="e">
        <f t="shared" ca="1" si="7"/>
        <v>#REF!</v>
      </c>
      <c r="O19" s="1" t="e">
        <f t="shared" ca="1" si="8"/>
        <v>#REF!</v>
      </c>
      <c r="P19" s="1" t="e">
        <f t="shared" ca="1" si="9"/>
        <v>#REF!</v>
      </c>
      <c r="Q19" s="1" t="e">
        <f t="shared" ca="1" si="10"/>
        <v>#REF!</v>
      </c>
      <c r="R19" s="1" t="e">
        <f t="shared" ca="1" si="11"/>
        <v>#REF!</v>
      </c>
    </row>
    <row r="20" spans="1:18" x14ac:dyDescent="0.85">
      <c r="A20">
        <f t="shared" si="2"/>
        <v>2031</v>
      </c>
      <c r="B20">
        <f t="shared" si="2"/>
        <v>7</v>
      </c>
      <c r="C20" s="7" t="e" cm="1">
        <f t="array" aca="1" ref="C20" ca="1" xml:space="preserve"> Mult * OFFSET(INDIRECT(Region_abbr &amp; "!A1"), Param_offset + C$11,$B20+1)</f>
        <v>#REF!</v>
      </c>
      <c r="D20" s="7" t="e" cm="1">
        <f t="array" aca="1" ref="D20" ca="1" xml:space="preserve"> Mult * OFFSET(INDIRECT(Region_abbr &amp; "!A1"), Param_offset + D$11,$B20+1)</f>
        <v>#REF!</v>
      </c>
      <c r="E20" s="7" t="e" cm="1">
        <f t="array" aca="1" ref="E20" ca="1" xml:space="preserve"> Mult * OFFSET(INDIRECT(Region_abbr &amp; "!A1"), Param_offset + E$11,$B20+1)</f>
        <v>#REF!</v>
      </c>
      <c r="F20" s="7" t="e" cm="1">
        <f t="array" aca="1" ref="F20" ca="1" xml:space="preserve"> Mult * OFFSET(INDIRECT(Region_abbr &amp; "!A1"), Param_offset + F$11,$B20+1)</f>
        <v>#REF!</v>
      </c>
      <c r="G20" s="7" t="e" cm="1">
        <f t="array" aca="1" ref="G20" ca="1" xml:space="preserve"> Mult * OFFSET(INDIRECT(Region_abbr &amp; "!A1"), Param_offset + G$11,$B20+1)</f>
        <v>#REF!</v>
      </c>
      <c r="H20" s="7" t="e" cm="1">
        <f t="array" aca="1" ref="H20" ca="1" xml:space="preserve"> Mult * OFFSET(INDIRECT(Region_abbr &amp; "!A1"), Param_offset + H$11,$B20+1)</f>
        <v>#REF!</v>
      </c>
      <c r="I20" s="1" t="e">
        <f t="shared" ca="1" si="3"/>
        <v>#REF!</v>
      </c>
      <c r="K20">
        <f t="shared" si="4"/>
        <v>8</v>
      </c>
      <c r="L20" s="1" t="e">
        <f t="shared" ca="1" si="5"/>
        <v>#REF!</v>
      </c>
      <c r="M20" s="1" t="e">
        <f t="shared" ca="1" si="6"/>
        <v>#REF!</v>
      </c>
      <c r="N20" s="1" t="e">
        <f t="shared" ca="1" si="7"/>
        <v>#REF!</v>
      </c>
      <c r="O20" s="1" t="e">
        <f t="shared" ca="1" si="8"/>
        <v>#REF!</v>
      </c>
      <c r="P20" s="1" t="e">
        <f t="shared" ca="1" si="9"/>
        <v>#REF!</v>
      </c>
      <c r="Q20" s="1" t="e">
        <f t="shared" ca="1" si="10"/>
        <v>#REF!</v>
      </c>
      <c r="R20" s="1" t="e">
        <f t="shared" ca="1" si="11"/>
        <v>#REF!</v>
      </c>
    </row>
    <row r="21" spans="1:18" x14ac:dyDescent="0.85">
      <c r="A21">
        <f t="shared" si="2"/>
        <v>2032</v>
      </c>
      <c r="B21">
        <f t="shared" si="2"/>
        <v>8</v>
      </c>
      <c r="C21" s="7" t="e" cm="1">
        <f t="array" aca="1" ref="C21" ca="1" xml:space="preserve"> Mult * OFFSET(INDIRECT(Region_abbr &amp; "!A1"), Param_offset + C$11,$B21+1)</f>
        <v>#REF!</v>
      </c>
      <c r="D21" s="7" t="e" cm="1">
        <f t="array" aca="1" ref="D21" ca="1" xml:space="preserve"> Mult * OFFSET(INDIRECT(Region_abbr &amp; "!A1"), Param_offset + D$11,$B21+1)</f>
        <v>#REF!</v>
      </c>
      <c r="E21" s="7" t="e" cm="1">
        <f t="array" aca="1" ref="E21" ca="1" xml:space="preserve"> Mult * OFFSET(INDIRECT(Region_abbr &amp; "!A1"), Param_offset + E$11,$B21+1)</f>
        <v>#REF!</v>
      </c>
      <c r="F21" s="7" t="e" cm="1">
        <f t="array" aca="1" ref="F21" ca="1" xml:space="preserve"> Mult * OFFSET(INDIRECT(Region_abbr &amp; "!A1"), Param_offset + F$11,$B21+1)</f>
        <v>#REF!</v>
      </c>
      <c r="G21" s="7" t="e" cm="1">
        <f t="array" aca="1" ref="G21" ca="1" xml:space="preserve"> Mult * OFFSET(INDIRECT(Region_abbr &amp; "!A1"), Param_offset + G$11,$B21+1)</f>
        <v>#REF!</v>
      </c>
      <c r="H21" s="7" t="e" cm="1">
        <f t="array" aca="1" ref="H21" ca="1" xml:space="preserve"> Mult * OFFSET(INDIRECT(Region_abbr &amp; "!A1"), Param_offset + H$11,$B21+1)</f>
        <v>#REF!</v>
      </c>
      <c r="I21" s="1" t="e">
        <f t="shared" ca="1" si="3"/>
        <v>#REF!</v>
      </c>
      <c r="K21">
        <f t="shared" si="4"/>
        <v>9</v>
      </c>
      <c r="L21" s="1" t="e">
        <f t="shared" ca="1" si="5"/>
        <v>#REF!</v>
      </c>
      <c r="M21" s="1" t="e">
        <f t="shared" ca="1" si="6"/>
        <v>#REF!</v>
      </c>
      <c r="N21" s="1" t="e">
        <f t="shared" ca="1" si="7"/>
        <v>#REF!</v>
      </c>
      <c r="O21" s="1" t="e">
        <f t="shared" ca="1" si="8"/>
        <v>#REF!</v>
      </c>
      <c r="P21" s="1" t="e">
        <f t="shared" ca="1" si="9"/>
        <v>#REF!</v>
      </c>
      <c r="Q21" s="1" t="e">
        <f t="shared" ca="1" si="10"/>
        <v>#REF!</v>
      </c>
      <c r="R21" s="1" t="e">
        <f t="shared" ca="1" si="11"/>
        <v>#REF!</v>
      </c>
    </row>
    <row r="22" spans="1:18" x14ac:dyDescent="0.85">
      <c r="A22">
        <f t="shared" si="2"/>
        <v>2033</v>
      </c>
      <c r="B22">
        <f t="shared" si="2"/>
        <v>9</v>
      </c>
      <c r="C22" s="7" t="e" cm="1">
        <f t="array" aca="1" ref="C22" ca="1" xml:space="preserve"> Mult * OFFSET(INDIRECT(Region_abbr &amp; "!A1"), Param_offset + C$11,$B22+1)</f>
        <v>#REF!</v>
      </c>
      <c r="D22" s="7" t="e" cm="1">
        <f t="array" aca="1" ref="D22" ca="1" xml:space="preserve"> Mult * OFFSET(INDIRECT(Region_abbr &amp; "!A1"), Param_offset + D$11,$B22+1)</f>
        <v>#REF!</v>
      </c>
      <c r="E22" s="7" t="e" cm="1">
        <f t="array" aca="1" ref="E22" ca="1" xml:space="preserve"> Mult * OFFSET(INDIRECT(Region_abbr &amp; "!A1"), Param_offset + E$11,$B22+1)</f>
        <v>#REF!</v>
      </c>
      <c r="F22" s="7" t="e" cm="1">
        <f t="array" aca="1" ref="F22" ca="1" xml:space="preserve"> Mult * OFFSET(INDIRECT(Region_abbr &amp; "!A1"), Param_offset + F$11,$B22+1)</f>
        <v>#REF!</v>
      </c>
      <c r="G22" s="7" t="e" cm="1">
        <f t="array" aca="1" ref="G22" ca="1" xml:space="preserve"> Mult * OFFSET(INDIRECT(Region_abbr &amp; "!A1"), Param_offset + G$11,$B22+1)</f>
        <v>#REF!</v>
      </c>
      <c r="H22" s="7" t="e" cm="1">
        <f t="array" aca="1" ref="H22" ca="1" xml:space="preserve"> Mult * OFFSET(INDIRECT(Region_abbr &amp; "!A1"), Param_offset + H$11,$B22+1)</f>
        <v>#REF!</v>
      </c>
      <c r="I22" s="1" t="e">
        <f t="shared" ca="1" si="3"/>
        <v>#REF!</v>
      </c>
      <c r="K22">
        <f t="shared" si="4"/>
        <v>10</v>
      </c>
      <c r="L22" s="1" t="e">
        <f t="shared" ca="1" si="5"/>
        <v>#REF!</v>
      </c>
      <c r="M22" s="1" t="e">
        <f t="shared" ca="1" si="6"/>
        <v>#REF!</v>
      </c>
      <c r="N22" s="1" t="e">
        <f t="shared" ca="1" si="7"/>
        <v>#REF!</v>
      </c>
      <c r="O22" s="1" t="e">
        <f t="shared" ca="1" si="8"/>
        <v>#REF!</v>
      </c>
      <c r="P22" s="1" t="e">
        <f t="shared" ca="1" si="9"/>
        <v>#REF!</v>
      </c>
      <c r="Q22" s="1" t="e">
        <f t="shared" ca="1" si="10"/>
        <v>#REF!</v>
      </c>
      <c r="R22" s="1" t="e">
        <f t="shared" ca="1" si="11"/>
        <v>#REF!</v>
      </c>
    </row>
    <row r="23" spans="1:18" x14ac:dyDescent="0.85">
      <c r="A23">
        <f t="shared" si="2"/>
        <v>2034</v>
      </c>
      <c r="B23">
        <f t="shared" si="2"/>
        <v>10</v>
      </c>
      <c r="C23" s="7" t="e" cm="1">
        <f t="array" aca="1" ref="C23" ca="1" xml:space="preserve"> Mult * OFFSET(INDIRECT(Region_abbr &amp; "!A1"), Param_offset + C$11,$B23+1)</f>
        <v>#REF!</v>
      </c>
      <c r="D23" s="7" t="e" cm="1">
        <f t="array" aca="1" ref="D23" ca="1" xml:space="preserve"> Mult * OFFSET(INDIRECT(Region_abbr &amp; "!A1"), Param_offset + D$11,$B23+1)</f>
        <v>#REF!</v>
      </c>
      <c r="E23" s="7" t="e" cm="1">
        <f t="array" aca="1" ref="E23" ca="1" xml:space="preserve"> Mult * OFFSET(INDIRECT(Region_abbr &amp; "!A1"), Param_offset + E$11,$B23+1)</f>
        <v>#REF!</v>
      </c>
      <c r="F23" s="7" t="e" cm="1">
        <f t="array" aca="1" ref="F23" ca="1" xml:space="preserve"> Mult * OFFSET(INDIRECT(Region_abbr &amp; "!A1"), Param_offset + F$11,$B23+1)</f>
        <v>#REF!</v>
      </c>
      <c r="G23" s="7" t="e" cm="1">
        <f t="array" aca="1" ref="G23" ca="1" xml:space="preserve"> Mult * OFFSET(INDIRECT(Region_abbr &amp; "!A1"), Param_offset + G$11,$B23+1)</f>
        <v>#REF!</v>
      </c>
      <c r="H23" s="7" t="e" cm="1">
        <f t="array" aca="1" ref="H23" ca="1" xml:space="preserve"> Mult * OFFSET(INDIRECT(Region_abbr &amp; "!A1"), Param_offset + H$11,$B23+1)</f>
        <v>#REF!</v>
      </c>
      <c r="I23" s="1" t="e">
        <f t="shared" ca="1" si="3"/>
        <v>#REF!</v>
      </c>
      <c r="K23">
        <f t="shared" si="4"/>
        <v>11</v>
      </c>
      <c r="L23" s="1" t="e">
        <f t="shared" ca="1" si="5"/>
        <v>#REF!</v>
      </c>
      <c r="M23" s="1" t="e">
        <f t="shared" ca="1" si="6"/>
        <v>#REF!</v>
      </c>
      <c r="N23" s="1" t="e">
        <f t="shared" ca="1" si="7"/>
        <v>#REF!</v>
      </c>
      <c r="O23" s="1" t="e">
        <f t="shared" ca="1" si="8"/>
        <v>#REF!</v>
      </c>
      <c r="P23" s="1" t="e">
        <f t="shared" ca="1" si="9"/>
        <v>#REF!</v>
      </c>
      <c r="Q23" s="1" t="e">
        <f t="shared" ca="1" si="10"/>
        <v>#REF!</v>
      </c>
      <c r="R23" s="1" t="e">
        <f t="shared" ca="1" si="11"/>
        <v>#REF!</v>
      </c>
    </row>
    <row r="24" spans="1:18" x14ac:dyDescent="0.85">
      <c r="A24">
        <f t="shared" si="2"/>
        <v>2035</v>
      </c>
      <c r="B24">
        <f t="shared" si="2"/>
        <v>11</v>
      </c>
      <c r="C24" s="7" t="e" cm="1">
        <f t="array" aca="1" ref="C24" ca="1" xml:space="preserve"> Mult * OFFSET(INDIRECT(Region_abbr &amp; "!A1"), Param_offset + C$11,$B24+1)</f>
        <v>#REF!</v>
      </c>
      <c r="D24" s="7" t="e" cm="1">
        <f t="array" aca="1" ref="D24" ca="1" xml:space="preserve"> Mult * OFFSET(INDIRECT(Region_abbr &amp; "!A1"), Param_offset + D$11,$B24+1)</f>
        <v>#REF!</v>
      </c>
      <c r="E24" s="7" t="e" cm="1">
        <f t="array" aca="1" ref="E24" ca="1" xml:space="preserve"> Mult * OFFSET(INDIRECT(Region_abbr &amp; "!A1"), Param_offset + E$11,$B24+1)</f>
        <v>#REF!</v>
      </c>
      <c r="F24" s="7" t="e" cm="1">
        <f t="array" aca="1" ref="F24" ca="1" xml:space="preserve"> Mult * OFFSET(INDIRECT(Region_abbr &amp; "!A1"), Param_offset + F$11,$B24+1)</f>
        <v>#REF!</v>
      </c>
      <c r="G24" s="7" t="e" cm="1">
        <f t="array" aca="1" ref="G24" ca="1" xml:space="preserve"> Mult * OFFSET(INDIRECT(Region_abbr &amp; "!A1"), Param_offset + G$11,$B24+1)</f>
        <v>#REF!</v>
      </c>
      <c r="H24" s="7" t="e" cm="1">
        <f t="array" aca="1" ref="H24" ca="1" xml:space="preserve"> Mult * OFFSET(INDIRECT(Region_abbr &amp; "!A1"), Param_offset + H$11,$B24+1)</f>
        <v>#REF!</v>
      </c>
      <c r="I24" s="1" t="e">
        <f t="shared" ca="1" si="3"/>
        <v>#REF!</v>
      </c>
      <c r="K24">
        <f t="shared" si="4"/>
        <v>12</v>
      </c>
      <c r="L24" s="1" t="e">
        <f t="shared" ca="1" si="5"/>
        <v>#REF!</v>
      </c>
      <c r="M24" s="1" t="e">
        <f t="shared" ca="1" si="6"/>
        <v>#REF!</v>
      </c>
      <c r="N24" s="1" t="e">
        <f t="shared" ca="1" si="7"/>
        <v>#REF!</v>
      </c>
      <c r="O24" s="1" t="e">
        <f t="shared" ca="1" si="8"/>
        <v>#REF!</v>
      </c>
      <c r="P24" s="1" t="e">
        <f t="shared" ca="1" si="9"/>
        <v>#REF!</v>
      </c>
      <c r="Q24" s="1" t="e">
        <f t="shared" ca="1" si="10"/>
        <v>#REF!</v>
      </c>
      <c r="R24" s="1" t="e">
        <f t="shared" ca="1" si="11"/>
        <v>#REF!</v>
      </c>
    </row>
    <row r="25" spans="1:18" x14ac:dyDescent="0.85">
      <c r="A25">
        <f t="shared" si="2"/>
        <v>2036</v>
      </c>
      <c r="B25">
        <f t="shared" si="2"/>
        <v>12</v>
      </c>
      <c r="C25" s="7" t="e" cm="1">
        <f t="array" aca="1" ref="C25" ca="1" xml:space="preserve"> Mult * OFFSET(INDIRECT(Region_abbr &amp; "!A1"), Param_offset + C$11,$B25+1)</f>
        <v>#REF!</v>
      </c>
      <c r="D25" s="7" t="e" cm="1">
        <f t="array" aca="1" ref="D25" ca="1" xml:space="preserve"> Mult * OFFSET(INDIRECT(Region_abbr &amp; "!A1"), Param_offset + D$11,$B25+1)</f>
        <v>#REF!</v>
      </c>
      <c r="E25" s="7" t="e" cm="1">
        <f t="array" aca="1" ref="E25" ca="1" xml:space="preserve"> Mult * OFFSET(INDIRECT(Region_abbr &amp; "!A1"), Param_offset + E$11,$B25+1)</f>
        <v>#REF!</v>
      </c>
      <c r="F25" s="7" t="e" cm="1">
        <f t="array" aca="1" ref="F25" ca="1" xml:space="preserve"> Mult * OFFSET(INDIRECT(Region_abbr &amp; "!A1"), Param_offset + F$11,$B25+1)</f>
        <v>#REF!</v>
      </c>
      <c r="G25" s="7" t="e" cm="1">
        <f t="array" aca="1" ref="G25" ca="1" xml:space="preserve"> Mult * OFFSET(INDIRECT(Region_abbr &amp; "!A1"), Param_offset + G$11,$B25+1)</f>
        <v>#REF!</v>
      </c>
      <c r="H25" s="7" t="e" cm="1">
        <f t="array" aca="1" ref="H25" ca="1" xml:space="preserve"> Mult * OFFSET(INDIRECT(Region_abbr &amp; "!A1"), Param_offset + H$11,$B25+1)</f>
        <v>#REF!</v>
      </c>
      <c r="I25" s="1" t="e">
        <f t="shared" ca="1" si="3"/>
        <v>#REF!</v>
      </c>
      <c r="K25">
        <f t="shared" si="4"/>
        <v>13</v>
      </c>
      <c r="L25" s="1" t="e">
        <f t="shared" ca="1" si="5"/>
        <v>#REF!</v>
      </c>
      <c r="M25" s="1" t="e">
        <f t="shared" ca="1" si="6"/>
        <v>#REF!</v>
      </c>
      <c r="N25" s="1" t="e">
        <f t="shared" ca="1" si="7"/>
        <v>#REF!</v>
      </c>
      <c r="O25" s="1" t="e">
        <f t="shared" ca="1" si="8"/>
        <v>#REF!</v>
      </c>
      <c r="P25" s="1" t="e">
        <f t="shared" ca="1" si="9"/>
        <v>#REF!</v>
      </c>
      <c r="Q25" s="1" t="e">
        <f t="shared" ca="1" si="10"/>
        <v>#REF!</v>
      </c>
      <c r="R25" s="1" t="e">
        <f t="shared" ca="1" si="11"/>
        <v>#REF!</v>
      </c>
    </row>
    <row r="26" spans="1:18" x14ac:dyDescent="0.85">
      <c r="A26">
        <f t="shared" si="2"/>
        <v>2037</v>
      </c>
      <c r="B26">
        <f t="shared" si="2"/>
        <v>13</v>
      </c>
      <c r="C26" s="7" t="e" cm="1">
        <f t="array" aca="1" ref="C26" ca="1" xml:space="preserve"> Mult * OFFSET(INDIRECT(Region_abbr &amp; "!A1"), Param_offset + C$11,$B26+1)</f>
        <v>#REF!</v>
      </c>
      <c r="D26" s="7" t="e" cm="1">
        <f t="array" aca="1" ref="D26" ca="1" xml:space="preserve"> Mult * OFFSET(INDIRECT(Region_abbr &amp; "!A1"), Param_offset + D$11,$B26+1)</f>
        <v>#REF!</v>
      </c>
      <c r="E26" s="7" t="e" cm="1">
        <f t="array" aca="1" ref="E26" ca="1" xml:space="preserve"> Mult * OFFSET(INDIRECT(Region_abbr &amp; "!A1"), Param_offset + E$11,$B26+1)</f>
        <v>#REF!</v>
      </c>
      <c r="F26" s="7" t="e" cm="1">
        <f t="array" aca="1" ref="F26" ca="1" xml:space="preserve"> Mult * OFFSET(INDIRECT(Region_abbr &amp; "!A1"), Param_offset + F$11,$B26+1)</f>
        <v>#REF!</v>
      </c>
      <c r="G26" s="7" t="e" cm="1">
        <f t="array" aca="1" ref="G26" ca="1" xml:space="preserve"> Mult * OFFSET(INDIRECT(Region_abbr &amp; "!A1"), Param_offset + G$11,$B26+1)</f>
        <v>#REF!</v>
      </c>
      <c r="H26" s="7" t="e" cm="1">
        <f t="array" aca="1" ref="H26" ca="1" xml:space="preserve"> Mult * OFFSET(INDIRECT(Region_abbr &amp; "!A1"), Param_offset + H$11,$B26+1)</f>
        <v>#REF!</v>
      </c>
      <c r="I26" s="1" t="e">
        <f t="shared" ca="1" si="3"/>
        <v>#REF!</v>
      </c>
      <c r="K26">
        <f t="shared" si="4"/>
        <v>14</v>
      </c>
      <c r="L26" s="1" t="e">
        <f t="shared" ca="1" si="5"/>
        <v>#REF!</v>
      </c>
      <c r="M26" s="1" t="e">
        <f t="shared" ca="1" si="6"/>
        <v>#REF!</v>
      </c>
      <c r="N26" s="1" t="e">
        <f t="shared" ca="1" si="7"/>
        <v>#REF!</v>
      </c>
      <c r="O26" s="1" t="e">
        <f t="shared" ca="1" si="8"/>
        <v>#REF!</v>
      </c>
      <c r="P26" s="1" t="e">
        <f t="shared" ca="1" si="9"/>
        <v>#REF!</v>
      </c>
      <c r="Q26" s="1" t="e">
        <f t="shared" ca="1" si="10"/>
        <v>#REF!</v>
      </c>
      <c r="R26" s="1" t="e">
        <f t="shared" ca="1" si="11"/>
        <v>#REF!</v>
      </c>
    </row>
    <row r="27" spans="1:18" x14ac:dyDescent="0.85">
      <c r="A27">
        <f t="shared" si="2"/>
        <v>2038</v>
      </c>
      <c r="B27">
        <f t="shared" si="2"/>
        <v>14</v>
      </c>
      <c r="C27" s="7" t="e" cm="1">
        <f t="array" aca="1" ref="C27" ca="1" xml:space="preserve"> Mult * OFFSET(INDIRECT(Region_abbr &amp; "!A1"), Param_offset + C$11,$B27+1)</f>
        <v>#REF!</v>
      </c>
      <c r="D27" s="7" t="e" cm="1">
        <f t="array" aca="1" ref="D27" ca="1" xml:space="preserve"> Mult * OFFSET(INDIRECT(Region_abbr &amp; "!A1"), Param_offset + D$11,$B27+1)</f>
        <v>#REF!</v>
      </c>
      <c r="E27" s="7" t="e" cm="1">
        <f t="array" aca="1" ref="E27" ca="1" xml:space="preserve"> Mult * OFFSET(INDIRECT(Region_abbr &amp; "!A1"), Param_offset + E$11,$B27+1)</f>
        <v>#REF!</v>
      </c>
      <c r="F27" s="7" t="e" cm="1">
        <f t="array" aca="1" ref="F27" ca="1" xml:space="preserve"> Mult * OFFSET(INDIRECT(Region_abbr &amp; "!A1"), Param_offset + F$11,$B27+1)</f>
        <v>#REF!</v>
      </c>
      <c r="G27" s="7" t="e" cm="1">
        <f t="array" aca="1" ref="G27" ca="1" xml:space="preserve"> Mult * OFFSET(INDIRECT(Region_abbr &amp; "!A1"), Param_offset + G$11,$B27+1)</f>
        <v>#REF!</v>
      </c>
      <c r="H27" s="7" t="e" cm="1">
        <f t="array" aca="1" ref="H27" ca="1" xml:space="preserve"> Mult * OFFSET(INDIRECT(Region_abbr &amp; "!A1"), Param_offset + H$11,$B27+1)</f>
        <v>#REF!</v>
      </c>
      <c r="I27" s="1" t="e">
        <f t="shared" ca="1" si="3"/>
        <v>#REF!</v>
      </c>
      <c r="K27">
        <f t="shared" si="4"/>
        <v>15</v>
      </c>
      <c r="L27" s="1" t="e">
        <f t="shared" ca="1" si="5"/>
        <v>#REF!</v>
      </c>
      <c r="M27" s="1" t="e">
        <f t="shared" ca="1" si="6"/>
        <v>#REF!</v>
      </c>
      <c r="N27" s="1" t="e">
        <f t="shared" ca="1" si="7"/>
        <v>#REF!</v>
      </c>
      <c r="O27" s="1" t="e">
        <f t="shared" ca="1" si="8"/>
        <v>#REF!</v>
      </c>
      <c r="P27" s="1" t="e">
        <f t="shared" ca="1" si="9"/>
        <v>#REF!</v>
      </c>
      <c r="Q27" s="1" t="e">
        <f t="shared" ca="1" si="10"/>
        <v>#REF!</v>
      </c>
      <c r="R27" s="1" t="e">
        <f t="shared" ca="1" si="11"/>
        <v>#REF!</v>
      </c>
    </row>
    <row r="28" spans="1:18" x14ac:dyDescent="0.85">
      <c r="A28">
        <f t="shared" si="2"/>
        <v>2039</v>
      </c>
      <c r="B28">
        <f t="shared" si="2"/>
        <v>15</v>
      </c>
      <c r="C28" s="7" t="e" cm="1">
        <f t="array" aca="1" ref="C28" ca="1" xml:space="preserve"> Mult * OFFSET(INDIRECT(Region_abbr &amp; "!A1"), Param_offset + C$11,$B28+1)</f>
        <v>#REF!</v>
      </c>
      <c r="D28" s="7" t="e" cm="1">
        <f t="array" aca="1" ref="D28" ca="1" xml:space="preserve"> Mult * OFFSET(INDIRECT(Region_abbr &amp; "!A1"), Param_offset + D$11,$B28+1)</f>
        <v>#REF!</v>
      </c>
      <c r="E28" s="7" t="e" cm="1">
        <f t="array" aca="1" ref="E28" ca="1" xml:space="preserve"> Mult * OFFSET(INDIRECT(Region_abbr &amp; "!A1"), Param_offset + E$11,$B28+1)</f>
        <v>#REF!</v>
      </c>
      <c r="F28" s="7" t="e" cm="1">
        <f t="array" aca="1" ref="F28" ca="1" xml:space="preserve"> Mult * OFFSET(INDIRECT(Region_abbr &amp; "!A1"), Param_offset + F$11,$B28+1)</f>
        <v>#REF!</v>
      </c>
      <c r="G28" s="7" t="e" cm="1">
        <f t="array" aca="1" ref="G28" ca="1" xml:space="preserve"> Mult * OFFSET(INDIRECT(Region_abbr &amp; "!A1"), Param_offset + G$11,$B28+1)</f>
        <v>#REF!</v>
      </c>
      <c r="H28" s="7" t="e" cm="1">
        <f t="array" aca="1" ref="H28" ca="1" xml:space="preserve"> Mult * OFFSET(INDIRECT(Region_abbr &amp; "!A1"), Param_offset + H$11,$B28+1)</f>
        <v>#REF!</v>
      </c>
      <c r="I28" s="1" t="e">
        <f t="shared" ca="1" si="3"/>
        <v>#REF!</v>
      </c>
      <c r="K28">
        <f t="shared" si="4"/>
        <v>16</v>
      </c>
      <c r="L28" s="1" t="e">
        <f t="shared" ca="1" si="5"/>
        <v>#REF!</v>
      </c>
      <c r="M28" s="1" t="e">
        <f t="shared" ca="1" si="6"/>
        <v>#REF!</v>
      </c>
      <c r="N28" s="1" t="e">
        <f t="shared" ca="1" si="7"/>
        <v>#REF!</v>
      </c>
      <c r="O28" s="1" t="e">
        <f t="shared" ca="1" si="8"/>
        <v>#REF!</v>
      </c>
      <c r="P28" s="1" t="e">
        <f t="shared" ca="1" si="9"/>
        <v>#REF!</v>
      </c>
      <c r="Q28" s="1" t="e">
        <f t="shared" ca="1" si="10"/>
        <v>#REF!</v>
      </c>
      <c r="R28" s="1" t="e">
        <f t="shared" ca="1" si="11"/>
        <v>#REF!</v>
      </c>
    </row>
    <row r="29" spans="1:18" x14ac:dyDescent="0.85">
      <c r="A29">
        <f t="shared" si="2"/>
        <v>2040</v>
      </c>
      <c r="B29">
        <f t="shared" si="2"/>
        <v>16</v>
      </c>
      <c r="C29" s="7" t="e" cm="1">
        <f t="array" aca="1" ref="C29" ca="1" xml:space="preserve"> Mult * OFFSET(INDIRECT(Region_abbr &amp; "!A1"), Param_offset + C$11,$B29+1)</f>
        <v>#REF!</v>
      </c>
      <c r="D29" s="7" t="e" cm="1">
        <f t="array" aca="1" ref="D29" ca="1" xml:space="preserve"> Mult * OFFSET(INDIRECT(Region_abbr &amp; "!A1"), Param_offset + D$11,$B29+1)</f>
        <v>#REF!</v>
      </c>
      <c r="E29" s="7" t="e" cm="1">
        <f t="array" aca="1" ref="E29" ca="1" xml:space="preserve"> Mult * OFFSET(INDIRECT(Region_abbr &amp; "!A1"), Param_offset + E$11,$B29+1)</f>
        <v>#REF!</v>
      </c>
      <c r="F29" s="7" t="e" cm="1">
        <f t="array" aca="1" ref="F29" ca="1" xml:space="preserve"> Mult * OFFSET(INDIRECT(Region_abbr &amp; "!A1"), Param_offset + F$11,$B29+1)</f>
        <v>#REF!</v>
      </c>
      <c r="G29" s="7" t="e" cm="1">
        <f t="array" aca="1" ref="G29" ca="1" xml:space="preserve"> Mult * OFFSET(INDIRECT(Region_abbr &amp; "!A1"), Param_offset + G$11,$B29+1)</f>
        <v>#REF!</v>
      </c>
      <c r="H29" s="7" t="e" cm="1">
        <f t="array" aca="1" ref="H29" ca="1" xml:space="preserve"> Mult * OFFSET(INDIRECT(Region_abbr &amp; "!A1"), Param_offset + H$11,$B29+1)</f>
        <v>#REF!</v>
      </c>
      <c r="I29" s="1" t="e">
        <f t="shared" ca="1" si="3"/>
        <v>#REF!</v>
      </c>
      <c r="K29">
        <f t="shared" si="4"/>
        <v>17</v>
      </c>
      <c r="L29" s="1" t="e">
        <f t="shared" ca="1" si="5"/>
        <v>#REF!</v>
      </c>
      <c r="M29" s="1" t="e">
        <f t="shared" ca="1" si="5"/>
        <v>#REF!</v>
      </c>
      <c r="N29" s="1" t="e">
        <f t="shared" ca="1" si="5"/>
        <v>#REF!</v>
      </c>
      <c r="O29" s="1" t="e">
        <f t="shared" ca="1" si="5"/>
        <v>#REF!</v>
      </c>
      <c r="P29" s="1" t="e">
        <f t="shared" ca="1" si="5"/>
        <v>#REF!</v>
      </c>
      <c r="Q29" s="1" t="e">
        <f t="shared" ca="1" si="5"/>
        <v>#REF!</v>
      </c>
      <c r="R29" s="1" t="e">
        <f t="shared" ca="1" si="5"/>
        <v>#REF!</v>
      </c>
    </row>
    <row r="30" spans="1:18" x14ac:dyDescent="0.85">
      <c r="A30">
        <f t="shared" ref="A30:B39" si="12">A29+1</f>
        <v>2041</v>
      </c>
      <c r="B30">
        <f t="shared" si="12"/>
        <v>17</v>
      </c>
      <c r="C30" s="7" t="e" cm="1">
        <f t="array" aca="1" ref="C30" ca="1" xml:space="preserve"> Mult * OFFSET(INDIRECT(Region_abbr &amp; "!A1"), Param_offset + C$11,$B30+1)</f>
        <v>#REF!</v>
      </c>
      <c r="D30" s="7" t="e" cm="1">
        <f t="array" aca="1" ref="D30" ca="1" xml:space="preserve"> Mult * OFFSET(INDIRECT(Region_abbr &amp; "!A1"), Param_offset + D$11,$B30+1)</f>
        <v>#REF!</v>
      </c>
      <c r="E30" s="7" t="e" cm="1">
        <f t="array" aca="1" ref="E30" ca="1" xml:space="preserve"> Mult * OFFSET(INDIRECT(Region_abbr &amp; "!A1"), Param_offset + E$11,$B30+1)</f>
        <v>#REF!</v>
      </c>
      <c r="F30" s="7" t="e" cm="1">
        <f t="array" aca="1" ref="F30" ca="1" xml:space="preserve"> Mult * OFFSET(INDIRECT(Region_abbr &amp; "!A1"), Param_offset + F$11,$B30+1)</f>
        <v>#REF!</v>
      </c>
      <c r="G30" s="7" t="e" cm="1">
        <f t="array" aca="1" ref="G30" ca="1" xml:space="preserve"> Mult * OFFSET(INDIRECT(Region_abbr &amp; "!A1"), Param_offset + G$11,$B30+1)</f>
        <v>#REF!</v>
      </c>
      <c r="H30" s="7" t="e" cm="1">
        <f t="array" aca="1" ref="H30" ca="1" xml:space="preserve"> Mult * OFFSET(INDIRECT(Region_abbr &amp; "!A1"), Param_offset + H$11,$B30+1)</f>
        <v>#REF!</v>
      </c>
      <c r="I30" s="1" t="e">
        <f t="shared" ca="1" si="3"/>
        <v>#REF!</v>
      </c>
      <c r="K30">
        <f t="shared" si="4"/>
        <v>18</v>
      </c>
      <c r="L30" s="1" t="e">
        <f t="shared" ca="1" si="5"/>
        <v>#REF!</v>
      </c>
      <c r="M30" s="1" t="e">
        <f t="shared" ca="1" si="5"/>
        <v>#REF!</v>
      </c>
      <c r="N30" s="1" t="e">
        <f t="shared" ca="1" si="5"/>
        <v>#REF!</v>
      </c>
      <c r="O30" s="1" t="e">
        <f t="shared" ca="1" si="5"/>
        <v>#REF!</v>
      </c>
      <c r="P30" s="1" t="e">
        <f t="shared" ca="1" si="5"/>
        <v>#REF!</v>
      </c>
      <c r="Q30" s="1" t="e">
        <f t="shared" ca="1" si="5"/>
        <v>#REF!</v>
      </c>
      <c r="R30" s="1" t="e">
        <f t="shared" ca="1" si="5"/>
        <v>#REF!</v>
      </c>
    </row>
    <row r="31" spans="1:18" x14ac:dyDescent="0.85">
      <c r="A31">
        <f t="shared" si="12"/>
        <v>2042</v>
      </c>
      <c r="B31">
        <f t="shared" si="12"/>
        <v>18</v>
      </c>
      <c r="C31" s="7" t="e" cm="1">
        <f t="array" aca="1" ref="C31" ca="1" xml:space="preserve"> Mult * OFFSET(INDIRECT(Region_abbr &amp; "!A1"), Param_offset + C$11,$B31+1)</f>
        <v>#REF!</v>
      </c>
      <c r="D31" s="7" t="e" cm="1">
        <f t="array" aca="1" ref="D31" ca="1" xml:space="preserve"> Mult * OFFSET(INDIRECT(Region_abbr &amp; "!A1"), Param_offset + D$11,$B31+1)</f>
        <v>#REF!</v>
      </c>
      <c r="E31" s="7" t="e" cm="1">
        <f t="array" aca="1" ref="E31" ca="1" xml:space="preserve"> Mult * OFFSET(INDIRECT(Region_abbr &amp; "!A1"), Param_offset + E$11,$B31+1)</f>
        <v>#REF!</v>
      </c>
      <c r="F31" s="7" t="e" cm="1">
        <f t="array" aca="1" ref="F31" ca="1" xml:space="preserve"> Mult * OFFSET(INDIRECT(Region_abbr &amp; "!A1"), Param_offset + F$11,$B31+1)</f>
        <v>#REF!</v>
      </c>
      <c r="G31" s="7" t="e" cm="1">
        <f t="array" aca="1" ref="G31" ca="1" xml:space="preserve"> Mult * OFFSET(INDIRECT(Region_abbr &amp; "!A1"), Param_offset + G$11,$B31+1)</f>
        <v>#REF!</v>
      </c>
      <c r="H31" s="7" t="e" cm="1">
        <f t="array" aca="1" ref="H31" ca="1" xml:space="preserve"> Mult * OFFSET(INDIRECT(Region_abbr &amp; "!A1"), Param_offset + H$11,$B31+1)</f>
        <v>#REF!</v>
      </c>
      <c r="I31" s="1" t="e">
        <f t="shared" ca="1" si="3"/>
        <v>#REF!</v>
      </c>
      <c r="K31">
        <f t="shared" si="4"/>
        <v>19</v>
      </c>
      <c r="L31" s="1" t="e">
        <f t="shared" ca="1" si="5"/>
        <v>#REF!</v>
      </c>
      <c r="M31" s="1" t="e">
        <f t="shared" ca="1" si="5"/>
        <v>#REF!</v>
      </c>
      <c r="N31" s="1" t="e">
        <f t="shared" ca="1" si="5"/>
        <v>#REF!</v>
      </c>
      <c r="O31" s="1" t="e">
        <f t="shared" ca="1" si="5"/>
        <v>#REF!</v>
      </c>
      <c r="P31" s="1" t="e">
        <f t="shared" ca="1" si="5"/>
        <v>#REF!</v>
      </c>
      <c r="Q31" s="1" t="e">
        <f t="shared" ca="1" si="5"/>
        <v>#REF!</v>
      </c>
      <c r="R31" s="1" t="e">
        <f t="shared" ca="1" si="5"/>
        <v>#REF!</v>
      </c>
    </row>
    <row r="32" spans="1:18" x14ac:dyDescent="0.85">
      <c r="A32">
        <f t="shared" si="12"/>
        <v>2043</v>
      </c>
      <c r="B32">
        <f t="shared" si="12"/>
        <v>19</v>
      </c>
      <c r="C32" s="7" t="e" cm="1">
        <f t="array" aca="1" ref="C32" ca="1" xml:space="preserve"> Mult * OFFSET(INDIRECT(Region_abbr &amp; "!A1"), Param_offset + C$11,$B32+1)</f>
        <v>#REF!</v>
      </c>
      <c r="D32" s="7" t="e" cm="1">
        <f t="array" aca="1" ref="D32" ca="1" xml:space="preserve"> Mult * OFFSET(INDIRECT(Region_abbr &amp; "!A1"), Param_offset + D$11,$B32+1)</f>
        <v>#REF!</v>
      </c>
      <c r="E32" s="7" t="e" cm="1">
        <f t="array" aca="1" ref="E32" ca="1" xml:space="preserve"> Mult * OFFSET(INDIRECT(Region_abbr &amp; "!A1"), Param_offset + E$11,$B32+1)</f>
        <v>#REF!</v>
      </c>
      <c r="F32" s="7" t="e" cm="1">
        <f t="array" aca="1" ref="F32" ca="1" xml:space="preserve"> Mult * OFFSET(INDIRECT(Region_abbr &amp; "!A1"), Param_offset + F$11,$B32+1)</f>
        <v>#REF!</v>
      </c>
      <c r="G32" s="7" t="e" cm="1">
        <f t="array" aca="1" ref="G32" ca="1" xml:space="preserve"> Mult * OFFSET(INDIRECT(Region_abbr &amp; "!A1"), Param_offset + G$11,$B32+1)</f>
        <v>#REF!</v>
      </c>
      <c r="H32" s="7" t="e" cm="1">
        <f t="array" aca="1" ref="H32" ca="1" xml:space="preserve"> Mult * OFFSET(INDIRECT(Region_abbr &amp; "!A1"), Param_offset + H$11,$B32+1)</f>
        <v>#REF!</v>
      </c>
      <c r="I32" s="1" t="e">
        <f t="shared" ca="1" si="3"/>
        <v>#REF!</v>
      </c>
      <c r="K32">
        <f t="shared" si="4"/>
        <v>20</v>
      </c>
      <c r="L32" s="1" t="e">
        <f t="shared" ca="1" si="5"/>
        <v>#REF!</v>
      </c>
      <c r="M32" s="1" t="e">
        <f t="shared" ca="1" si="5"/>
        <v>#REF!</v>
      </c>
      <c r="N32" s="1" t="e">
        <f t="shared" ca="1" si="5"/>
        <v>#REF!</v>
      </c>
      <c r="O32" s="1" t="e">
        <f t="shared" ca="1" si="5"/>
        <v>#REF!</v>
      </c>
      <c r="P32" s="1" t="e">
        <f t="shared" ca="1" si="5"/>
        <v>#REF!</v>
      </c>
      <c r="Q32" s="1" t="e">
        <f t="shared" ca="1" si="5"/>
        <v>#REF!</v>
      </c>
      <c r="R32" s="1" t="e">
        <f t="shared" ca="1" si="5"/>
        <v>#REF!</v>
      </c>
    </row>
    <row r="33" spans="1:18" x14ac:dyDescent="0.85">
      <c r="A33">
        <f t="shared" si="12"/>
        <v>2044</v>
      </c>
      <c r="B33">
        <f t="shared" si="12"/>
        <v>20</v>
      </c>
      <c r="C33" s="7" t="e" cm="1">
        <f t="array" aca="1" ref="C33" ca="1" xml:space="preserve"> Mult * OFFSET(INDIRECT(Region_abbr &amp; "!A1"), Param_offset + C$11,$B33+1)</f>
        <v>#REF!</v>
      </c>
      <c r="D33" s="7" t="e" cm="1">
        <f t="array" aca="1" ref="D33" ca="1" xml:space="preserve"> Mult * OFFSET(INDIRECT(Region_abbr &amp; "!A1"), Param_offset + D$11,$B33+1)</f>
        <v>#REF!</v>
      </c>
      <c r="E33" s="7" t="e" cm="1">
        <f t="array" aca="1" ref="E33" ca="1" xml:space="preserve"> Mult * OFFSET(INDIRECT(Region_abbr &amp; "!A1"), Param_offset + E$11,$B33+1)</f>
        <v>#REF!</v>
      </c>
      <c r="F33" s="7" t="e" cm="1">
        <f t="array" aca="1" ref="F33" ca="1" xml:space="preserve"> Mult * OFFSET(INDIRECT(Region_abbr &amp; "!A1"), Param_offset + F$11,$B33+1)</f>
        <v>#REF!</v>
      </c>
      <c r="G33" s="7" t="e" cm="1">
        <f t="array" aca="1" ref="G33" ca="1" xml:space="preserve"> Mult * OFFSET(INDIRECT(Region_abbr &amp; "!A1"), Param_offset + G$11,$B33+1)</f>
        <v>#REF!</v>
      </c>
      <c r="H33" s="7" t="e" cm="1">
        <f t="array" aca="1" ref="H33" ca="1" xml:space="preserve"> Mult * OFFSET(INDIRECT(Region_abbr &amp; "!A1"), Param_offset + H$11,$B33+1)</f>
        <v>#REF!</v>
      </c>
      <c r="I33" s="1" t="e">
        <f t="shared" ca="1" si="3"/>
        <v>#REF!</v>
      </c>
      <c r="K33">
        <f t="shared" si="4"/>
        <v>21</v>
      </c>
      <c r="L33" s="1" t="e">
        <f t="shared" ca="1" si="5"/>
        <v>#REF!</v>
      </c>
      <c r="M33" s="1" t="e">
        <f t="shared" ca="1" si="5"/>
        <v>#REF!</v>
      </c>
      <c r="N33" s="1" t="e">
        <f t="shared" ca="1" si="5"/>
        <v>#REF!</v>
      </c>
      <c r="O33" s="1" t="e">
        <f t="shared" ca="1" si="5"/>
        <v>#REF!</v>
      </c>
      <c r="P33" s="1" t="e">
        <f t="shared" ca="1" si="5"/>
        <v>#REF!</v>
      </c>
      <c r="Q33" s="1" t="e">
        <f t="shared" ca="1" si="5"/>
        <v>#REF!</v>
      </c>
      <c r="R33" s="1" t="e">
        <f t="shared" ca="1" si="5"/>
        <v>#REF!</v>
      </c>
    </row>
    <row r="34" spans="1:18" x14ac:dyDescent="0.85">
      <c r="A34">
        <f t="shared" si="12"/>
        <v>2045</v>
      </c>
      <c r="B34">
        <f t="shared" si="12"/>
        <v>21</v>
      </c>
      <c r="C34" s="7" t="e" cm="1">
        <f t="array" aca="1" ref="C34" ca="1" xml:space="preserve"> Mult * OFFSET(INDIRECT(Region_abbr &amp; "!A1"), Param_offset + C$11,$B34+1)</f>
        <v>#REF!</v>
      </c>
      <c r="D34" s="7" t="e" cm="1">
        <f t="array" aca="1" ref="D34" ca="1" xml:space="preserve"> Mult * OFFSET(INDIRECT(Region_abbr &amp; "!A1"), Param_offset + D$11,$B34+1)</f>
        <v>#REF!</v>
      </c>
      <c r="E34" s="7" t="e" cm="1">
        <f t="array" aca="1" ref="E34" ca="1" xml:space="preserve"> Mult * OFFSET(INDIRECT(Region_abbr &amp; "!A1"), Param_offset + E$11,$B34+1)</f>
        <v>#REF!</v>
      </c>
      <c r="F34" s="7" t="e" cm="1">
        <f t="array" aca="1" ref="F34" ca="1" xml:space="preserve"> Mult * OFFSET(INDIRECT(Region_abbr &amp; "!A1"), Param_offset + F$11,$B34+1)</f>
        <v>#REF!</v>
      </c>
      <c r="G34" s="7" t="e" cm="1">
        <f t="array" aca="1" ref="G34" ca="1" xml:space="preserve"> Mult * OFFSET(INDIRECT(Region_abbr &amp; "!A1"), Param_offset + G$11,$B34+1)</f>
        <v>#REF!</v>
      </c>
      <c r="H34" s="7" t="e" cm="1">
        <f t="array" aca="1" ref="H34" ca="1" xml:space="preserve"> Mult * OFFSET(INDIRECT(Region_abbr &amp; "!A1"), Param_offset + H$11,$B34+1)</f>
        <v>#REF!</v>
      </c>
      <c r="I34" s="1" t="e">
        <f t="shared" ca="1" si="3"/>
        <v>#REF!</v>
      </c>
      <c r="K34">
        <f t="shared" si="4"/>
        <v>22</v>
      </c>
      <c r="L34" s="1" t="e">
        <f t="shared" ca="1" si="5"/>
        <v>#REF!</v>
      </c>
      <c r="M34" s="1" t="e">
        <f t="shared" ca="1" si="5"/>
        <v>#REF!</v>
      </c>
      <c r="N34" s="1" t="e">
        <f t="shared" ca="1" si="5"/>
        <v>#REF!</v>
      </c>
      <c r="O34" s="1" t="e">
        <f t="shared" ca="1" si="5"/>
        <v>#REF!</v>
      </c>
      <c r="P34" s="1" t="e">
        <f t="shared" ca="1" si="5"/>
        <v>#REF!</v>
      </c>
      <c r="Q34" s="1" t="e">
        <f t="shared" ca="1" si="5"/>
        <v>#REF!</v>
      </c>
      <c r="R34" s="1" t="e">
        <f t="shared" ca="1" si="5"/>
        <v>#REF!</v>
      </c>
    </row>
    <row r="35" spans="1:18" x14ac:dyDescent="0.85">
      <c r="A35">
        <f t="shared" si="12"/>
        <v>2046</v>
      </c>
      <c r="B35">
        <f t="shared" si="12"/>
        <v>22</v>
      </c>
      <c r="C35" s="7" t="e" cm="1">
        <f t="array" aca="1" ref="C35" ca="1" xml:space="preserve"> Mult * OFFSET(INDIRECT(Region_abbr &amp; "!A1"), Param_offset + C$11,$B35+1)</f>
        <v>#REF!</v>
      </c>
      <c r="D35" s="7" t="e" cm="1">
        <f t="array" aca="1" ref="D35" ca="1" xml:space="preserve"> Mult * OFFSET(INDIRECT(Region_abbr &amp; "!A1"), Param_offset + D$11,$B35+1)</f>
        <v>#REF!</v>
      </c>
      <c r="E35" s="7" t="e" cm="1">
        <f t="array" aca="1" ref="E35" ca="1" xml:space="preserve"> Mult * OFFSET(INDIRECT(Region_abbr &amp; "!A1"), Param_offset + E$11,$B35+1)</f>
        <v>#REF!</v>
      </c>
      <c r="F35" s="7" t="e" cm="1">
        <f t="array" aca="1" ref="F35" ca="1" xml:space="preserve"> Mult * OFFSET(INDIRECT(Region_abbr &amp; "!A1"), Param_offset + F$11,$B35+1)</f>
        <v>#REF!</v>
      </c>
      <c r="G35" s="7" t="e" cm="1">
        <f t="array" aca="1" ref="G35" ca="1" xml:space="preserve"> Mult * OFFSET(INDIRECT(Region_abbr &amp; "!A1"), Param_offset + G$11,$B35+1)</f>
        <v>#REF!</v>
      </c>
      <c r="H35" s="7" t="e" cm="1">
        <f t="array" aca="1" ref="H35" ca="1" xml:space="preserve"> Mult * OFFSET(INDIRECT(Region_abbr &amp; "!A1"), Param_offset + H$11,$B35+1)</f>
        <v>#REF!</v>
      </c>
      <c r="I35" s="1" t="e">
        <f t="shared" ca="1" si="3"/>
        <v>#REF!</v>
      </c>
      <c r="K35">
        <f t="shared" si="4"/>
        <v>23</v>
      </c>
      <c r="L35" s="1" t="e">
        <f t="shared" ca="1" si="5"/>
        <v>#REF!</v>
      </c>
      <c r="M35" s="1" t="e">
        <f t="shared" ca="1" si="5"/>
        <v>#REF!</v>
      </c>
      <c r="N35" s="1" t="e">
        <f t="shared" ca="1" si="5"/>
        <v>#REF!</v>
      </c>
      <c r="O35" s="1" t="e">
        <f t="shared" ca="1" si="5"/>
        <v>#REF!</v>
      </c>
      <c r="P35" s="1" t="e">
        <f t="shared" ca="1" si="5"/>
        <v>#REF!</v>
      </c>
      <c r="Q35" s="1" t="e">
        <f t="shared" ca="1" si="5"/>
        <v>#REF!</v>
      </c>
      <c r="R35" s="1" t="e">
        <f t="shared" ca="1" si="5"/>
        <v>#REF!</v>
      </c>
    </row>
    <row r="36" spans="1:18" x14ac:dyDescent="0.85">
      <c r="A36">
        <f t="shared" si="12"/>
        <v>2047</v>
      </c>
      <c r="B36">
        <f t="shared" si="12"/>
        <v>23</v>
      </c>
      <c r="C36" s="7" t="e" cm="1">
        <f t="array" aca="1" ref="C36" ca="1" xml:space="preserve"> Mult * OFFSET(INDIRECT(Region_abbr &amp; "!A1"), Param_offset + C$11,$B36+1)</f>
        <v>#REF!</v>
      </c>
      <c r="D36" s="7" t="e" cm="1">
        <f t="array" aca="1" ref="D36" ca="1" xml:space="preserve"> Mult * OFFSET(INDIRECT(Region_abbr &amp; "!A1"), Param_offset + D$11,$B36+1)</f>
        <v>#REF!</v>
      </c>
      <c r="E36" s="7" t="e" cm="1">
        <f t="array" aca="1" ref="E36" ca="1" xml:space="preserve"> Mult * OFFSET(INDIRECT(Region_abbr &amp; "!A1"), Param_offset + E$11,$B36+1)</f>
        <v>#REF!</v>
      </c>
      <c r="F36" s="7" t="e" cm="1">
        <f t="array" aca="1" ref="F36" ca="1" xml:space="preserve"> Mult * OFFSET(INDIRECT(Region_abbr &amp; "!A1"), Param_offset + F$11,$B36+1)</f>
        <v>#REF!</v>
      </c>
      <c r="G36" s="7" t="e" cm="1">
        <f t="array" aca="1" ref="G36" ca="1" xml:space="preserve"> Mult * OFFSET(INDIRECT(Region_abbr &amp; "!A1"), Param_offset + G$11,$B36+1)</f>
        <v>#REF!</v>
      </c>
      <c r="H36" s="7" t="e" cm="1">
        <f t="array" aca="1" ref="H36" ca="1" xml:space="preserve"> Mult * OFFSET(INDIRECT(Region_abbr &amp; "!A1"), Param_offset + H$11,$B36+1)</f>
        <v>#REF!</v>
      </c>
      <c r="I36" s="1" t="e">
        <f t="shared" ca="1" si="3"/>
        <v>#REF!</v>
      </c>
      <c r="K36">
        <f t="shared" si="4"/>
        <v>24</v>
      </c>
      <c r="L36" s="1" t="e">
        <f t="shared" ca="1" si="5"/>
        <v>#REF!</v>
      </c>
      <c r="M36" s="1" t="e">
        <f t="shared" ca="1" si="5"/>
        <v>#REF!</v>
      </c>
      <c r="N36" s="1" t="e">
        <f t="shared" ca="1" si="5"/>
        <v>#REF!</v>
      </c>
      <c r="O36" s="1" t="e">
        <f t="shared" ca="1" si="5"/>
        <v>#REF!</v>
      </c>
      <c r="P36" s="1" t="e">
        <f t="shared" ca="1" si="5"/>
        <v>#REF!</v>
      </c>
      <c r="Q36" s="1" t="e">
        <f t="shared" ca="1" si="5"/>
        <v>#REF!</v>
      </c>
      <c r="R36" s="1" t="e">
        <f t="shared" ca="1" si="5"/>
        <v>#REF!</v>
      </c>
    </row>
    <row r="37" spans="1:18" x14ac:dyDescent="0.85">
      <c r="A37">
        <f t="shared" si="12"/>
        <v>2048</v>
      </c>
      <c r="B37">
        <f t="shared" si="12"/>
        <v>24</v>
      </c>
      <c r="C37" s="7" t="e" cm="1">
        <f t="array" aca="1" ref="C37" ca="1" xml:space="preserve"> Mult * OFFSET(INDIRECT(Region_abbr &amp; "!A1"), Param_offset + C$11,$B37+1)</f>
        <v>#REF!</v>
      </c>
      <c r="D37" s="7" t="e" cm="1">
        <f t="array" aca="1" ref="D37" ca="1" xml:space="preserve"> Mult * OFFSET(INDIRECT(Region_abbr &amp; "!A1"), Param_offset + D$11,$B37+1)</f>
        <v>#REF!</v>
      </c>
      <c r="E37" s="7" t="e" cm="1">
        <f t="array" aca="1" ref="E37" ca="1" xml:space="preserve"> Mult * OFFSET(INDIRECT(Region_abbr &amp; "!A1"), Param_offset + E$11,$B37+1)</f>
        <v>#REF!</v>
      </c>
      <c r="F37" s="7" t="e" cm="1">
        <f t="array" aca="1" ref="F37" ca="1" xml:space="preserve"> Mult * OFFSET(INDIRECT(Region_abbr &amp; "!A1"), Param_offset + F$11,$B37+1)</f>
        <v>#REF!</v>
      </c>
      <c r="G37" s="7" t="e" cm="1">
        <f t="array" aca="1" ref="G37" ca="1" xml:space="preserve"> Mult * OFFSET(INDIRECT(Region_abbr &amp; "!A1"), Param_offset + G$11,$B37+1)</f>
        <v>#REF!</v>
      </c>
      <c r="H37" s="7" t="e" cm="1">
        <f t="array" aca="1" ref="H37" ca="1" xml:space="preserve"> Mult * OFFSET(INDIRECT(Region_abbr &amp; "!A1"), Param_offset + H$11,$B37+1)</f>
        <v>#REF!</v>
      </c>
      <c r="I37" s="1" t="e">
        <f t="shared" ca="1" si="3"/>
        <v>#REF!</v>
      </c>
      <c r="K37">
        <f t="shared" si="4"/>
        <v>25</v>
      </c>
      <c r="L37" s="1" t="e">
        <f t="shared" ca="1" si="5"/>
        <v>#REF!</v>
      </c>
      <c r="M37" s="1" t="e">
        <f t="shared" ca="1" si="5"/>
        <v>#REF!</v>
      </c>
      <c r="N37" s="1" t="e">
        <f t="shared" ca="1" si="5"/>
        <v>#REF!</v>
      </c>
      <c r="O37" s="1" t="e">
        <f t="shared" ca="1" si="5"/>
        <v>#REF!</v>
      </c>
      <c r="P37" s="1" t="e">
        <f t="shared" ca="1" si="5"/>
        <v>#REF!</v>
      </c>
      <c r="Q37" s="1" t="e">
        <f t="shared" ca="1" si="5"/>
        <v>#REF!</v>
      </c>
      <c r="R37" s="1" t="e">
        <f t="shared" ca="1" si="5"/>
        <v>#REF!</v>
      </c>
    </row>
    <row r="38" spans="1:18" x14ac:dyDescent="0.85">
      <c r="A38">
        <f t="shared" si="12"/>
        <v>2049</v>
      </c>
      <c r="B38">
        <f t="shared" si="12"/>
        <v>25</v>
      </c>
      <c r="C38" s="7" t="e" cm="1">
        <f t="array" aca="1" ref="C38" ca="1" xml:space="preserve"> Mult * OFFSET(INDIRECT(Region_abbr &amp; "!A1"), Param_offset + C$11,$B38+1)</f>
        <v>#REF!</v>
      </c>
      <c r="D38" s="7" t="e" cm="1">
        <f t="array" aca="1" ref="D38" ca="1" xml:space="preserve"> Mult * OFFSET(INDIRECT(Region_abbr &amp; "!A1"), Param_offset + D$11,$B38+1)</f>
        <v>#REF!</v>
      </c>
      <c r="E38" s="7" t="e" cm="1">
        <f t="array" aca="1" ref="E38" ca="1" xml:space="preserve"> Mult * OFFSET(INDIRECT(Region_abbr &amp; "!A1"), Param_offset + E$11,$B38+1)</f>
        <v>#REF!</v>
      </c>
      <c r="F38" s="7" t="e" cm="1">
        <f t="array" aca="1" ref="F38" ca="1" xml:space="preserve"> Mult * OFFSET(INDIRECT(Region_abbr &amp; "!A1"), Param_offset + F$11,$B38+1)</f>
        <v>#REF!</v>
      </c>
      <c r="G38" s="7" t="e" cm="1">
        <f t="array" aca="1" ref="G38" ca="1" xml:space="preserve"> Mult * OFFSET(INDIRECT(Region_abbr &amp; "!A1"), Param_offset + G$11,$B38+1)</f>
        <v>#REF!</v>
      </c>
      <c r="H38" s="7" t="e" cm="1">
        <f t="array" aca="1" ref="H38" ca="1" xml:space="preserve"> Mult * OFFSET(INDIRECT(Region_abbr &amp; "!A1"), Param_offset + H$11,$B38+1)</f>
        <v>#REF!</v>
      </c>
      <c r="I38" s="1" t="e">
        <f t="shared" ca="1" si="3"/>
        <v>#REF!</v>
      </c>
      <c r="K38">
        <f t="shared" si="4"/>
        <v>26</v>
      </c>
      <c r="L38" s="1" t="e">
        <f t="shared" ca="1" si="5"/>
        <v>#REF!</v>
      </c>
      <c r="M38" s="1" t="e">
        <f t="shared" ca="1" si="5"/>
        <v>#REF!</v>
      </c>
      <c r="N38" s="1" t="e">
        <f t="shared" ca="1" si="5"/>
        <v>#REF!</v>
      </c>
      <c r="O38" s="1" t="e">
        <f t="shared" ca="1" si="5"/>
        <v>#REF!</v>
      </c>
      <c r="P38" s="1" t="e">
        <f t="shared" ca="1" si="5"/>
        <v>#REF!</v>
      </c>
      <c r="Q38" s="1" t="e">
        <f t="shared" ca="1" si="5"/>
        <v>#REF!</v>
      </c>
      <c r="R38" s="1" t="e">
        <f t="shared" ca="1" si="5"/>
        <v>#REF!</v>
      </c>
    </row>
    <row r="39" spans="1:18" x14ac:dyDescent="0.85">
      <c r="A39">
        <f t="shared" si="12"/>
        <v>2050</v>
      </c>
      <c r="B39">
        <f t="shared" si="12"/>
        <v>26</v>
      </c>
      <c r="C39" s="7" t="e" cm="1">
        <f t="array" aca="1" ref="C39" ca="1" xml:space="preserve"> Mult * OFFSET(INDIRECT(Region_abbr &amp; "!A1"), Param_offset + C$11,$B39+1)</f>
        <v>#REF!</v>
      </c>
      <c r="D39" s="7" t="e" cm="1">
        <f t="array" aca="1" ref="D39" ca="1" xml:space="preserve"> Mult * OFFSET(INDIRECT(Region_abbr &amp; "!A1"), Param_offset + D$11,$B39+1)</f>
        <v>#REF!</v>
      </c>
      <c r="E39" s="7" t="e" cm="1">
        <f t="array" aca="1" ref="E39" ca="1" xml:space="preserve"> Mult * OFFSET(INDIRECT(Region_abbr &amp; "!A1"), Param_offset + E$11,$B39+1)</f>
        <v>#REF!</v>
      </c>
      <c r="F39" s="7" t="e" cm="1">
        <f t="array" aca="1" ref="F39" ca="1" xml:space="preserve"> Mult * OFFSET(INDIRECT(Region_abbr &amp; "!A1"), Param_offset + F$11,$B39+1)</f>
        <v>#REF!</v>
      </c>
      <c r="G39" s="7" t="e" cm="1">
        <f t="array" aca="1" ref="G39" ca="1" xml:space="preserve"> Mult * OFFSET(INDIRECT(Region_abbr &amp; "!A1"), Param_offset + G$11,$B39+1)</f>
        <v>#REF!</v>
      </c>
      <c r="H39" s="7" t="e" cm="1">
        <f t="array" aca="1" ref="H39" ca="1" xml:space="preserve"> Mult * OFFSET(INDIRECT(Region_abbr &amp; "!A1"), Param_offset + H$11,$B39+1)</f>
        <v>#REF!</v>
      </c>
      <c r="I39" s="1" t="e">
        <f t="shared" ca="1" si="3"/>
        <v>#REF!</v>
      </c>
    </row>
  </sheetData>
  <mergeCells count="1">
    <mergeCell ref="E3:G3"/>
  </mergeCells>
  <conditionalFormatting sqref="C13:I39">
    <cfRule type="expression" dxfId="7" priority="3">
      <formula>$P13 &gt; 10000</formula>
    </cfRule>
  </conditionalFormatting>
  <conditionalFormatting sqref="L13:R38">
    <cfRule type="expression" dxfId="6" priority="2">
      <formula>$P13 &gt; 10000</formula>
    </cfRule>
  </conditionalFormatting>
  <conditionalFormatting sqref="C2">
    <cfRule type="expression" dxfId="5" priority="1">
      <formula>$P2 &gt; 10000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76A7E-D8DB-44EB-B1D7-64960F4154EB}">
  <dimension ref="A1:AM34"/>
  <sheetViews>
    <sheetView workbookViewId="0">
      <selection activeCell="D10" sqref="D10"/>
    </sheetView>
  </sheetViews>
  <sheetFormatPr defaultRowHeight="14.6" x14ac:dyDescent="0.85"/>
  <cols>
    <col min="1" max="1" width="11.765625" customWidth="1"/>
    <col min="3" max="4" width="5.15234375" style="3" bestFit="1" customWidth="1"/>
    <col min="5" max="5" width="6.84375" style="3" bestFit="1" customWidth="1"/>
    <col min="6" max="6" width="5.15234375" style="3" bestFit="1" customWidth="1"/>
    <col min="7" max="7" width="4.11328125" style="3" bestFit="1" customWidth="1"/>
    <col min="8" max="8" width="6.5" style="3" bestFit="1" customWidth="1"/>
    <col min="9" max="9" width="6.15234375" style="3" bestFit="1" customWidth="1"/>
  </cols>
  <sheetData>
    <row r="1" spans="1:39" x14ac:dyDescent="0.85">
      <c r="A1" s="8" t="s">
        <v>32</v>
      </c>
      <c r="B1" s="8"/>
      <c r="C1" s="3" t="e">
        <f>VLOOKUP(Region_Cost,Region_lookup,2,FALSE)</f>
        <v>#REF!</v>
      </c>
    </row>
    <row r="2" spans="1:39" x14ac:dyDescent="0.85"/>
    <row r="3" spans="1:39" x14ac:dyDescent="0.85">
      <c r="A3" s="6" t="s">
        <v>14</v>
      </c>
      <c r="K3" s="6" t="s">
        <v>15</v>
      </c>
      <c r="U3" s="6" t="s">
        <v>16</v>
      </c>
      <c r="AE3" s="6" t="s">
        <v>17</v>
      </c>
    </row>
    <row r="4" spans="1:39" x14ac:dyDescent="0.85">
      <c r="A4" t="s">
        <v>35</v>
      </c>
      <c r="B4" t="e">
        <f>VLOOKUP(A3 &amp; " Cost",Param_Table,4,FALSE)</f>
        <v>#REF!</v>
      </c>
      <c r="K4" t="s">
        <v>35</v>
      </c>
      <c r="L4" t="e">
        <f>VLOOKUP(K3 &amp; " Cost",Param_Table,4,FALSE)</f>
        <v>#REF!</v>
      </c>
      <c r="U4" t="s">
        <v>35</v>
      </c>
      <c r="V4" t="e">
        <f>VLOOKUP(U3 &amp; " Cost",Param_Table,4,FALSE)</f>
        <v>#REF!</v>
      </c>
      <c r="AE4" t="s">
        <v>35</v>
      </c>
      <c r="AF4" t="e">
        <f>VLOOKUP(AE3 &amp; " Cost",Param_Table,4,FALSE)</f>
        <v>#REF!</v>
      </c>
    </row>
    <row r="5" spans="1:39" x14ac:dyDescent="0.85">
      <c r="A5" t="s">
        <v>7</v>
      </c>
      <c r="B5" t="e">
        <f>VLOOKUP(A3 &amp; " Cost",Param_Table,2,FALSE)</f>
        <v>#REF!</v>
      </c>
      <c r="K5" t="s">
        <v>7</v>
      </c>
      <c r="L5" t="e">
        <f>VLOOKUP(K3 &amp; " Cost",Param_Table,2,FALSE)</f>
        <v>#REF!</v>
      </c>
      <c r="M5" s="3"/>
      <c r="N5" s="3"/>
      <c r="O5" s="3"/>
      <c r="P5" s="3"/>
      <c r="Q5" s="3"/>
      <c r="R5" s="3"/>
      <c r="S5" s="3"/>
      <c r="U5" t="s">
        <v>7</v>
      </c>
      <c r="V5" t="e">
        <f>VLOOKUP(U3 &amp; " Cost",Param_Table,2,FALSE)</f>
        <v>#REF!</v>
      </c>
      <c r="W5" s="3"/>
      <c r="X5" s="3"/>
      <c r="Y5" s="3"/>
      <c r="Z5" s="3"/>
      <c r="AA5" s="3"/>
      <c r="AB5" s="3"/>
      <c r="AC5" s="3"/>
      <c r="AE5" t="s">
        <v>7</v>
      </c>
      <c r="AF5" t="e">
        <f>VLOOKUP(AE3 &amp; " Cost",Param_Table,2,FALSE)</f>
        <v>#REF!</v>
      </c>
      <c r="AG5" s="3"/>
      <c r="AH5" s="3"/>
      <c r="AI5" s="3"/>
      <c r="AJ5" s="3"/>
      <c r="AK5" s="3"/>
      <c r="AL5" s="3"/>
      <c r="AM5" s="3"/>
    </row>
    <row r="6" spans="1:39" x14ac:dyDescent="0.85">
      <c r="A6" t="s">
        <v>10</v>
      </c>
      <c r="B6" t="s">
        <v>33</v>
      </c>
      <c r="C6" s="3" t="e">
        <f t="shared" ref="C6:H6" si="0">VALUE(VLOOKUP(C$7,NRG_Table,2,FALSE))</f>
        <v>#REF!</v>
      </c>
      <c r="D6" s="3" t="e">
        <f t="shared" si="0"/>
        <v>#REF!</v>
      </c>
      <c r="E6" s="3" t="e">
        <f t="shared" si="0"/>
        <v>#REF!</v>
      </c>
      <c r="F6" s="3" t="e">
        <f t="shared" si="0"/>
        <v>#REF!</v>
      </c>
      <c r="G6" s="3" t="e">
        <f t="shared" si="0"/>
        <v>#REF!</v>
      </c>
      <c r="H6" s="3" t="e">
        <f t="shared" si="0"/>
        <v>#REF!</v>
      </c>
      <c r="K6" t="s">
        <v>10</v>
      </c>
      <c r="L6" t="s">
        <v>33</v>
      </c>
      <c r="M6" s="3" t="e">
        <f t="shared" ref="M6:R6" si="1">VALUE(VLOOKUP(M$7,NRG_Table,2,FALSE))</f>
        <v>#REF!</v>
      </c>
      <c r="N6" s="3" t="e">
        <f t="shared" si="1"/>
        <v>#REF!</v>
      </c>
      <c r="O6" s="3" t="e">
        <f t="shared" si="1"/>
        <v>#REF!</v>
      </c>
      <c r="P6" s="3" t="e">
        <f t="shared" si="1"/>
        <v>#REF!</v>
      </c>
      <c r="Q6" s="3" t="e">
        <f t="shared" si="1"/>
        <v>#REF!</v>
      </c>
      <c r="R6" s="3" t="e">
        <f t="shared" si="1"/>
        <v>#REF!</v>
      </c>
      <c r="S6" s="3"/>
      <c r="U6" t="s">
        <v>10</v>
      </c>
      <c r="V6" t="s">
        <v>33</v>
      </c>
      <c r="W6" s="3" t="e">
        <f t="shared" ref="W6:AB6" si="2">VALUE(VLOOKUP(W$7,NRG_Table,2,FALSE))</f>
        <v>#REF!</v>
      </c>
      <c r="X6" s="3" t="e">
        <f t="shared" si="2"/>
        <v>#REF!</v>
      </c>
      <c r="Y6" s="3" t="e">
        <f t="shared" si="2"/>
        <v>#REF!</v>
      </c>
      <c r="Z6" s="3" t="e">
        <f t="shared" si="2"/>
        <v>#REF!</v>
      </c>
      <c r="AA6" s="3" t="e">
        <f t="shared" si="2"/>
        <v>#REF!</v>
      </c>
      <c r="AB6" s="3" t="e">
        <f t="shared" si="2"/>
        <v>#REF!</v>
      </c>
      <c r="AC6" s="3"/>
      <c r="AE6" t="s">
        <v>10</v>
      </c>
      <c r="AF6" t="s">
        <v>33</v>
      </c>
      <c r="AG6" s="3" t="e">
        <f t="shared" ref="AG6:AL6" si="3">VALUE(VLOOKUP(AG$7,NRG_Table,2,FALSE))</f>
        <v>#REF!</v>
      </c>
      <c r="AH6" s="3" t="e">
        <f t="shared" si="3"/>
        <v>#REF!</v>
      </c>
      <c r="AI6" s="3" t="e">
        <f t="shared" si="3"/>
        <v>#REF!</v>
      </c>
      <c r="AJ6" s="3" t="e">
        <f t="shared" si="3"/>
        <v>#REF!</v>
      </c>
      <c r="AK6" s="3" t="e">
        <f t="shared" si="3"/>
        <v>#REF!</v>
      </c>
      <c r="AL6" s="3" t="e">
        <f t="shared" si="3"/>
        <v>#REF!</v>
      </c>
      <c r="AM6" s="3"/>
    </row>
    <row r="7" spans="1:39" x14ac:dyDescent="0.85">
      <c r="A7">
        <v>2023</v>
      </c>
      <c r="B7">
        <v>-1</v>
      </c>
      <c r="C7" s="3" t="s">
        <v>0</v>
      </c>
      <c r="D7" s="3" t="s">
        <v>1</v>
      </c>
      <c r="E7" s="3" t="s">
        <v>2</v>
      </c>
      <c r="F7" s="3" t="s">
        <v>3</v>
      </c>
      <c r="G7" s="3" t="s">
        <v>4</v>
      </c>
      <c r="H7" s="3" t="s">
        <v>11</v>
      </c>
      <c r="I7" s="3" t="s">
        <v>5</v>
      </c>
      <c r="K7">
        <v>2023</v>
      </c>
      <c r="L7">
        <v>-1</v>
      </c>
      <c r="M7" s="3" t="s">
        <v>0</v>
      </c>
      <c r="N7" s="3" t="s">
        <v>1</v>
      </c>
      <c r="O7" s="3" t="s">
        <v>2</v>
      </c>
      <c r="P7" s="3" t="s">
        <v>3</v>
      </c>
      <c r="Q7" s="3" t="s">
        <v>4</v>
      </c>
      <c r="R7" s="3" t="s">
        <v>11</v>
      </c>
      <c r="S7" s="3" t="s">
        <v>5</v>
      </c>
      <c r="U7">
        <v>2023</v>
      </c>
      <c r="V7">
        <v>-1</v>
      </c>
      <c r="W7" s="3" t="s">
        <v>0</v>
      </c>
      <c r="X7" s="3" t="s">
        <v>1</v>
      </c>
      <c r="Y7" s="3" t="s">
        <v>2</v>
      </c>
      <c r="Z7" s="3" t="s">
        <v>3</v>
      </c>
      <c r="AA7" s="3" t="s">
        <v>4</v>
      </c>
      <c r="AB7" s="3" t="s">
        <v>11</v>
      </c>
      <c r="AC7" s="3" t="s">
        <v>5</v>
      </c>
      <c r="AE7">
        <v>2023</v>
      </c>
      <c r="AF7">
        <v>-1</v>
      </c>
      <c r="AG7" s="3" t="s">
        <v>0</v>
      </c>
      <c r="AH7" s="3" t="s">
        <v>1</v>
      </c>
      <c r="AI7" s="3" t="s">
        <v>2</v>
      </c>
      <c r="AJ7" s="3" t="s">
        <v>3</v>
      </c>
      <c r="AK7" s="3" t="s">
        <v>4</v>
      </c>
      <c r="AL7" s="3" t="s">
        <v>11</v>
      </c>
      <c r="AM7" s="3" t="s">
        <v>5</v>
      </c>
    </row>
    <row r="8" spans="1:39" x14ac:dyDescent="0.85">
      <c r="A8">
        <f>A7+1</f>
        <v>2024</v>
      </c>
      <c r="B8">
        <f>B7+1</f>
        <v>0</v>
      </c>
      <c r="C8" s="3" t="e" cm="1">
        <f t="array" aca="1" ref="C8" ca="1">$B$4 *
INDIRECT("Include_" &amp; $A$3)*INDIRECT("Include_" &amp; C$7)*
OFFSET(INDIRECT(Region_abbr &amp; "!A1"), $B$5 + C$6,$B8+1)</f>
        <v>#REF!</v>
      </c>
      <c r="D8" s="3" t="e" cm="1">
        <f t="array" aca="1" ref="D8" ca="1">$B$4 *
INDIRECT("Include_" &amp; $A$3)*INDIRECT("Include_" &amp; D$7)*
OFFSET(INDIRECT(Region_abbr &amp; "!A1"), $B$5 + D$6,$B8+1)</f>
        <v>#REF!</v>
      </c>
      <c r="E8" s="3" t="e" cm="1">
        <f t="array" aca="1" ref="E8" ca="1">$B$4 *
INDIRECT("Include_" &amp; $A$3)*INDIRECT("Include_" &amp; E$7)*
OFFSET(INDIRECT(Region_abbr &amp; "!A1"), $B$5 + E$6,$B8+1)</f>
        <v>#REF!</v>
      </c>
      <c r="F8" s="3" t="e" cm="1">
        <f t="array" aca="1" ref="F8" ca="1">$B$4 *
INDIRECT("Include_" &amp; $A$3)*INDIRECT("Include_" &amp; F$7)*
OFFSET(INDIRECT(Region_abbr &amp; "!A1"), $B$5 + F$6,$B8+1)</f>
        <v>#REF!</v>
      </c>
      <c r="G8" s="3" t="e" cm="1">
        <f t="array" aca="1" ref="G8" ca="1">$B$4 *
INDIRECT("Include_" &amp; $A$3)*INDIRECT("Include_" &amp; G$7)*
OFFSET(INDIRECT(Region_abbr &amp; "!A1"), $B$5 + G$6,$B8+1)</f>
        <v>#REF!</v>
      </c>
      <c r="H8" s="3" t="e" cm="1">
        <f t="array" aca="1" ref="H8" ca="1">$B$4 *
INDIRECT("Include_" &amp; $A$3)*INDIRECT("Include_" &amp; H$7)*
OFFSET(INDIRECT(Region_abbr &amp; "!A1"), $B$5 + H$6,$B8+1)</f>
        <v>#REF!</v>
      </c>
      <c r="I8" s="3" t="e">
        <f ca="1">SUM(C8:H8)</f>
        <v>#REF!</v>
      </c>
      <c r="K8">
        <f>K7+1</f>
        <v>2024</v>
      </c>
      <c r="L8">
        <f>L7+1</f>
        <v>0</v>
      </c>
      <c r="M8" s="3" t="e" cm="1">
        <f t="array" aca="1" ref="M8" ca="1">$L$4 *
INDIRECT("Include_" &amp; $K$3)*INDIRECT("Include_" &amp; M$7)*
OFFSET(INDIRECT(Region_abbr &amp; "!A1"), $L$5 + M$6,$L8+1)</f>
        <v>#REF!</v>
      </c>
      <c r="N8" s="3" t="e" cm="1">
        <f t="array" aca="1" ref="N8" ca="1">$L$4 *
INDIRECT("Include_" &amp; $K$3)*INDIRECT("Include_" &amp; N$7)*
OFFSET(INDIRECT(Region_abbr &amp; "!A1"), $L$5 + N$6,$L8+1)</f>
        <v>#REF!</v>
      </c>
      <c r="O8" s="3" t="e" cm="1">
        <f t="array" aca="1" ref="O8" ca="1">$L$4 *
INDIRECT("Include_" &amp; $K$3)*INDIRECT("Include_" &amp; O$7)*
OFFSET(INDIRECT(Region_abbr &amp; "!A1"), $L$5 + O$6,$L8+1)</f>
        <v>#REF!</v>
      </c>
      <c r="P8" s="3" t="e" cm="1">
        <f t="array" aca="1" ref="P8" ca="1">$L$4 *
INDIRECT("Include_" &amp; $K$3)*INDIRECT("Include_" &amp; P$7)*
OFFSET(INDIRECT(Region_abbr &amp; "!A1"), $L$5 + P$6,$L8+1)</f>
        <v>#REF!</v>
      </c>
      <c r="Q8" s="3" t="e" cm="1">
        <f t="array" aca="1" ref="Q8" ca="1">$L$4 *
INDIRECT("Include_" &amp; $K$3)*INDIRECT("Include_" &amp; Q$7)*
OFFSET(INDIRECT(Region_abbr &amp; "!A1"), $L$5 + Q$6,$L8+1)</f>
        <v>#REF!</v>
      </c>
      <c r="R8" s="3" t="e" cm="1">
        <f t="array" aca="1" ref="R8" ca="1">$L$4 *
INDIRECT("Include_" &amp; $K$3)*INDIRECT("Include_" &amp; R$7)*
OFFSET(INDIRECT(Region_abbr &amp; "!A1"), $L$5 + R$6,$L8+1)</f>
        <v>#REF!</v>
      </c>
      <c r="S8" s="3" t="e">
        <f ca="1">SUM(M8:R8)</f>
        <v>#REF!</v>
      </c>
      <c r="U8">
        <f>U7+1</f>
        <v>2024</v>
      </c>
      <c r="V8">
        <f>V7+1</f>
        <v>0</v>
      </c>
      <c r="W8" s="3" t="e" cm="1">
        <f t="array" aca="1" ref="W8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W$6,$V8+1)</f>
        <v>#REF!</v>
      </c>
      <c r="X8" s="3" t="e" cm="1">
        <f t="array" aca="1" ref="X8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X$6,$V8+1)</f>
        <v>#REF!</v>
      </c>
      <c r="Y8" s="3" t="e" cm="1">
        <f t="array" aca="1" ref="Y8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Y$6,$V8+1)</f>
        <v>#REF!</v>
      </c>
      <c r="Z8" s="3" t="e" cm="1">
        <f t="array" aca="1" ref="Z8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Z$6,$V8+1)</f>
        <v>#REF!</v>
      </c>
      <c r="AA8" s="3" t="e" cm="1">
        <f t="array" aca="1" ref="AA8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AA$6,$V8+1)</f>
        <v>#REF!</v>
      </c>
      <c r="AB8" s="3" t="e" cm="1">
        <f t="array" aca="1" ref="AB8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AB$6,$V8+1)</f>
        <v>#REF!</v>
      </c>
      <c r="AC8" s="3" t="e">
        <f ca="1">SUM(W8:AB8)</f>
        <v>#REF!</v>
      </c>
      <c r="AE8">
        <f>AE7+1</f>
        <v>2024</v>
      </c>
      <c r="AF8">
        <f>AF7+1</f>
        <v>0</v>
      </c>
      <c r="AG8" s="3" t="e" cm="1">
        <f t="array" aca="1" ref="AG8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AG$6,$AF8+1)</f>
        <v>#REF!</v>
      </c>
      <c r="AH8" s="3" t="e" cm="1">
        <f t="array" aca="1" ref="AH8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AH$6,$AF8+1)</f>
        <v>#REF!</v>
      </c>
      <c r="AI8" s="3" t="e" cm="1">
        <f t="array" aca="1" ref="AI8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AI$6,$AF8+1)</f>
        <v>#REF!</v>
      </c>
      <c r="AJ8" s="3" t="e" cm="1">
        <f t="array" aca="1" ref="AJ8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AJ$6,$AF8+1)</f>
        <v>#REF!</v>
      </c>
      <c r="AK8" s="3" t="e" cm="1">
        <f t="array" aca="1" ref="AK8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AK$6,$AF8+1)</f>
        <v>#REF!</v>
      </c>
      <c r="AL8" s="3" t="e" cm="1">
        <f t="array" aca="1" ref="AL8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AL$6,$AF8+1)</f>
        <v>#REF!</v>
      </c>
      <c r="AM8" s="3" t="e">
        <f ca="1">SUM(AG8:AL8)</f>
        <v>#REF!</v>
      </c>
    </row>
    <row r="9" spans="1:39" x14ac:dyDescent="0.85">
      <c r="A9">
        <f t="shared" ref="A9:B24" si="4">A8+1</f>
        <v>2025</v>
      </c>
      <c r="B9">
        <f t="shared" si="4"/>
        <v>1</v>
      </c>
      <c r="C9" s="3" t="e" cm="1">
        <f t="array" aca="1" ref="C9" ca="1">$B$4 *
INDIRECT("Include_" &amp; $A$3)*INDIRECT("Include_" &amp; C$7)*
OFFSET(INDIRECT(Region_abbr &amp; "!A1"), $B$5 + C$6,$B9+1)</f>
        <v>#REF!</v>
      </c>
      <c r="D9" s="3" t="e" cm="1">
        <f t="array" aca="1" ref="D9" ca="1">$B$4 *
INDIRECT("Include_" &amp; $A$3)*INDIRECT("Include_" &amp; D$7)*
OFFSET(INDIRECT(Region_abbr &amp; "!A1"), $B$5 + D$6,$B9+1)</f>
        <v>#REF!</v>
      </c>
      <c r="E9" s="3" t="e" cm="1">
        <f t="array" aca="1" ref="E9" ca="1">$B$4 *
INDIRECT("Include_" &amp; $A$3)*INDIRECT("Include_" &amp; E$7)*
OFFSET(INDIRECT(Region_abbr &amp; "!A1"), $B$5 + E$6,$B9+1)</f>
        <v>#REF!</v>
      </c>
      <c r="F9" s="3" t="e" cm="1">
        <f t="array" aca="1" ref="F9" ca="1">$B$4 *
INDIRECT("Include_" &amp; $A$3)*INDIRECT("Include_" &amp; F$7)*
OFFSET(INDIRECT(Region_abbr &amp; "!A1"), $B$5 + F$6,$B9+1)</f>
        <v>#REF!</v>
      </c>
      <c r="G9" s="3" t="e" cm="1">
        <f t="array" aca="1" ref="G9" ca="1">$B$4 *
INDIRECT("Include_" &amp; $A$3)*INDIRECT("Include_" &amp; G$7)*
OFFSET(INDIRECT(Region_abbr &amp; "!A1"), $B$5 + G$6,$B9+1)</f>
        <v>#REF!</v>
      </c>
      <c r="H9" s="3" t="e" cm="1">
        <f t="array" aca="1" ref="H9" ca="1">$B$4 *
INDIRECT("Include_" &amp; $A$3)*INDIRECT("Include_" &amp; H$7)*
OFFSET(INDIRECT(Region_abbr &amp; "!A1"), $B$5 + H$6,$B9+1)</f>
        <v>#REF!</v>
      </c>
      <c r="I9" s="3" t="e">
        <f t="shared" ref="I9:I34" ca="1" si="5">SUM(C9:H9)</f>
        <v>#REF!</v>
      </c>
      <c r="K9">
        <f t="shared" ref="K9:L9" si="6">K8+1</f>
        <v>2025</v>
      </c>
      <c r="L9">
        <f t="shared" si="6"/>
        <v>1</v>
      </c>
      <c r="M9" s="3" t="e" cm="1">
        <f t="array" aca="1" ref="M9" ca="1">$L$4 *
INDIRECT("Include_" &amp; $K$3)*INDIRECT("Include_" &amp; M$7)*
OFFSET(INDIRECT(Region_abbr &amp; "!A1"), $L$5 + M$6,$L9+1)</f>
        <v>#REF!</v>
      </c>
      <c r="N9" s="3" t="e" cm="1">
        <f t="array" aca="1" ref="N9" ca="1">$L$4 *
INDIRECT("Include_" &amp; $K$3)*INDIRECT("Include_" &amp; N$7)*
OFFSET(INDIRECT(Region_abbr &amp; "!A1"), $L$5 + N$6,$L9+1)</f>
        <v>#REF!</v>
      </c>
      <c r="O9" s="3" t="e" cm="1">
        <f t="array" aca="1" ref="O9" ca="1">$L$4 *
INDIRECT("Include_" &amp; $K$3)*INDIRECT("Include_" &amp; O$7)*
OFFSET(INDIRECT(Region_abbr &amp; "!A1"), $L$5 + O$6,$L9+1)</f>
        <v>#REF!</v>
      </c>
      <c r="P9" s="3" t="e" cm="1">
        <f t="array" aca="1" ref="P9" ca="1">$L$4 *
INDIRECT("Include_" &amp; $K$3)*INDIRECT("Include_" &amp; P$7)*
OFFSET(INDIRECT(Region_abbr &amp; "!A1"), $L$5 + P$6,$L9+1)</f>
        <v>#REF!</v>
      </c>
      <c r="Q9" s="3" t="e" cm="1">
        <f t="array" aca="1" ref="Q9" ca="1">$L$4 *
INDIRECT("Include_" &amp; $K$3)*INDIRECT("Include_" &amp; Q$7)*
OFFSET(INDIRECT(Region_abbr &amp; "!A1"), $L$5 + Q$6,$L9+1)</f>
        <v>#REF!</v>
      </c>
      <c r="R9" s="3" t="e" cm="1">
        <f t="array" aca="1" ref="R9" ca="1">$L$4 *
INDIRECT("Include_" &amp; $K$3)*INDIRECT("Include_" &amp; R$7)*
OFFSET(INDIRECT(Region_abbr &amp; "!A1"), $L$5 + R$6,$L9+1)</f>
        <v>#REF!</v>
      </c>
      <c r="S9" s="3" t="e">
        <f t="shared" ref="S9:S34" ca="1" si="7">SUM(M9:R9)</f>
        <v>#REF!</v>
      </c>
      <c r="U9">
        <f t="shared" ref="U9:V9" si="8">U8+1</f>
        <v>2025</v>
      </c>
      <c r="V9">
        <f t="shared" si="8"/>
        <v>1</v>
      </c>
      <c r="W9" s="3" t="e" cm="1">
        <f t="array" aca="1" ref="W9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W$6,$V9+1)</f>
        <v>#REF!</v>
      </c>
      <c r="X9" s="3" t="e" cm="1">
        <f t="array" aca="1" ref="X9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X$6,$V9+1)</f>
        <v>#REF!</v>
      </c>
      <c r="Y9" s="3" t="e" cm="1">
        <f t="array" aca="1" ref="Y9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Y$6,$V9+1)</f>
        <v>#REF!</v>
      </c>
      <c r="Z9" s="3" t="e" cm="1">
        <f t="array" aca="1" ref="Z9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Z$6,$V9+1)</f>
        <v>#REF!</v>
      </c>
      <c r="AA9" s="3" t="e" cm="1">
        <f t="array" aca="1" ref="AA9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AA$6,$V9+1)</f>
        <v>#REF!</v>
      </c>
      <c r="AB9" s="3" t="e" cm="1">
        <f t="array" aca="1" ref="AB9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AB$6,$V9+1)</f>
        <v>#REF!</v>
      </c>
      <c r="AC9" s="3" t="e">
        <f t="shared" ref="AC9:AC34" ca="1" si="9">SUM(W9:AB9)</f>
        <v>#REF!</v>
      </c>
      <c r="AE9">
        <f t="shared" ref="AE9:AF9" si="10">AE8+1</f>
        <v>2025</v>
      </c>
      <c r="AF9">
        <f t="shared" si="10"/>
        <v>1</v>
      </c>
      <c r="AG9" s="3" t="e" cm="1">
        <f t="array" aca="1" ref="AG9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AG$6,$AF9+1)</f>
        <v>#REF!</v>
      </c>
      <c r="AH9" s="3" t="e" cm="1">
        <f t="array" aca="1" ref="AH9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AH$6,$AF9+1)</f>
        <v>#REF!</v>
      </c>
      <c r="AI9" s="3" t="e" cm="1">
        <f t="array" aca="1" ref="AI9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AI$6,$AF9+1)</f>
        <v>#REF!</v>
      </c>
      <c r="AJ9" s="3" t="e" cm="1">
        <f t="array" aca="1" ref="AJ9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AJ$6,$AF9+1)</f>
        <v>#REF!</v>
      </c>
      <c r="AK9" s="3" t="e" cm="1">
        <f t="array" aca="1" ref="AK9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AK$6,$AF9+1)</f>
        <v>#REF!</v>
      </c>
      <c r="AL9" s="3" t="e" cm="1">
        <f t="array" aca="1" ref="AL9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AL$6,$AF9+1)</f>
        <v>#REF!</v>
      </c>
      <c r="AM9" s="3" t="e">
        <f t="shared" ref="AM9:AM34" ca="1" si="11">SUM(AG9:AL9)</f>
        <v>#REF!</v>
      </c>
    </row>
    <row r="10" spans="1:39" x14ac:dyDescent="0.85">
      <c r="A10">
        <f t="shared" si="4"/>
        <v>2026</v>
      </c>
      <c r="B10">
        <f t="shared" si="4"/>
        <v>2</v>
      </c>
      <c r="C10" s="3" t="e" cm="1">
        <f t="array" aca="1" ref="C10" ca="1">$B$4 *
INDIRECT("Include_" &amp; $A$3)*INDIRECT("Include_" &amp; C$7)*
OFFSET(INDIRECT(Region_abbr &amp; "!A1"), $B$5 + C$6,$B10+1)</f>
        <v>#REF!</v>
      </c>
      <c r="D10" s="3" t="e" cm="1">
        <f t="array" aca="1" ref="D10" ca="1">$B$4 *
INDIRECT("Include_" &amp; $A$3)*INDIRECT("Include_" &amp; D$7)*
OFFSET(INDIRECT(Region_abbr &amp; "!A1"), $B$5 + D$6,$B10+1)</f>
        <v>#REF!</v>
      </c>
      <c r="E10" s="3" t="e" cm="1">
        <f t="array" aca="1" ref="E10" ca="1">$B$4 *
INDIRECT("Include_" &amp; $A$3)*INDIRECT("Include_" &amp; E$7)*
OFFSET(INDIRECT(Region_abbr &amp; "!A1"), $B$5 + E$6,$B10+1)</f>
        <v>#REF!</v>
      </c>
      <c r="F10" s="3" t="e" cm="1">
        <f t="array" aca="1" ref="F10" ca="1">$B$4 *
INDIRECT("Include_" &amp; $A$3)*INDIRECT("Include_" &amp; F$7)*
OFFSET(INDIRECT(Region_abbr &amp; "!A1"), $B$5 + F$6,$B10+1)</f>
        <v>#REF!</v>
      </c>
      <c r="G10" s="3" t="e" cm="1">
        <f t="array" aca="1" ref="G10" ca="1">$B$4 *
INDIRECT("Include_" &amp; $A$3)*INDIRECT("Include_" &amp; G$7)*
OFFSET(INDIRECT(Region_abbr &amp; "!A1"), $B$5 + G$6,$B10+1)</f>
        <v>#REF!</v>
      </c>
      <c r="H10" s="3" t="e" cm="1">
        <f t="array" aca="1" ref="H10" ca="1">$B$4 *
INDIRECT("Include_" &amp; $A$3)*INDIRECT("Include_" &amp; H$7)*
OFFSET(INDIRECT(Region_abbr &amp; "!A1"), $B$5 + H$6,$B10+1)</f>
        <v>#REF!</v>
      </c>
      <c r="I10" s="3" t="e">
        <f t="shared" ca="1" si="5"/>
        <v>#REF!</v>
      </c>
      <c r="K10">
        <f t="shared" ref="K10:L10" si="12">K9+1</f>
        <v>2026</v>
      </c>
      <c r="L10">
        <f t="shared" si="12"/>
        <v>2</v>
      </c>
      <c r="M10" s="3" t="e" cm="1">
        <f t="array" aca="1" ref="M10" ca="1">$L$4 *
INDIRECT("Include_" &amp; $K$3)*INDIRECT("Include_" &amp; M$7)*
OFFSET(INDIRECT(Region_abbr &amp; "!A1"), $L$5 + M$6,$L10+1)</f>
        <v>#REF!</v>
      </c>
      <c r="N10" s="3" t="e" cm="1">
        <f t="array" aca="1" ref="N10" ca="1">$L$4 *
INDIRECT("Include_" &amp; $K$3)*INDIRECT("Include_" &amp; N$7)*
OFFSET(INDIRECT(Region_abbr &amp; "!A1"), $L$5 + N$6,$L10+1)</f>
        <v>#REF!</v>
      </c>
      <c r="O10" s="3" t="e" cm="1">
        <f t="array" aca="1" ref="O10" ca="1">$L$4 *
INDIRECT("Include_" &amp; $K$3)*INDIRECT("Include_" &amp; O$7)*
OFFSET(INDIRECT(Region_abbr &amp; "!A1"), $L$5 + O$6,$L10+1)</f>
        <v>#REF!</v>
      </c>
      <c r="P10" s="3" t="e" cm="1">
        <f t="array" aca="1" ref="P10" ca="1">$L$4 *
INDIRECT("Include_" &amp; $K$3)*INDIRECT("Include_" &amp; P$7)*
OFFSET(INDIRECT(Region_abbr &amp; "!A1"), $L$5 + P$6,$L10+1)</f>
        <v>#REF!</v>
      </c>
      <c r="Q10" s="3" t="e" cm="1">
        <f t="array" aca="1" ref="Q10" ca="1">$L$4 *
INDIRECT("Include_" &amp; $K$3)*INDIRECT("Include_" &amp; Q$7)*
OFFSET(INDIRECT(Region_abbr &amp; "!A1"), $L$5 + Q$6,$L10+1)</f>
        <v>#REF!</v>
      </c>
      <c r="R10" s="3" t="e" cm="1">
        <f t="array" aca="1" ref="R10" ca="1">$L$4 *
INDIRECT("Include_" &amp; $K$3)*INDIRECT("Include_" &amp; R$7)*
OFFSET(INDIRECT(Region_abbr &amp; "!A1"), $L$5 + R$6,$L10+1)</f>
        <v>#REF!</v>
      </c>
      <c r="S10" s="3" t="e">
        <f t="shared" ca="1" si="7"/>
        <v>#REF!</v>
      </c>
      <c r="U10">
        <f t="shared" ref="U10:V10" si="13">U9+1</f>
        <v>2026</v>
      </c>
      <c r="V10">
        <f t="shared" si="13"/>
        <v>2</v>
      </c>
      <c r="W10" s="3" t="e" cm="1">
        <f t="array" aca="1" ref="W10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W$6,$V10+1)</f>
        <v>#REF!</v>
      </c>
      <c r="X10" s="3" t="e" cm="1">
        <f t="array" aca="1" ref="X10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X$6,$V10+1)</f>
        <v>#REF!</v>
      </c>
      <c r="Y10" s="3" t="e" cm="1">
        <f t="array" aca="1" ref="Y10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Y$6,$V10+1)</f>
        <v>#REF!</v>
      </c>
      <c r="Z10" s="3" t="e" cm="1">
        <f t="array" aca="1" ref="Z10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Z$6,$V10+1)</f>
        <v>#REF!</v>
      </c>
      <c r="AA10" s="3" t="e" cm="1">
        <f t="array" aca="1" ref="AA10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AA$6,$V10+1)</f>
        <v>#REF!</v>
      </c>
      <c r="AB10" s="3" t="e" cm="1">
        <f t="array" aca="1" ref="AB10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AB$6,$V10+1)</f>
        <v>#REF!</v>
      </c>
      <c r="AC10" s="3" t="e">
        <f t="shared" ca="1" si="9"/>
        <v>#REF!</v>
      </c>
      <c r="AE10">
        <f t="shared" ref="AE10:AF10" si="14">AE9+1</f>
        <v>2026</v>
      </c>
      <c r="AF10">
        <f t="shared" si="14"/>
        <v>2</v>
      </c>
      <c r="AG10" s="3" t="e" cm="1">
        <f t="array" aca="1" ref="AG10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AG$6,$AF10+1)</f>
        <v>#REF!</v>
      </c>
      <c r="AH10" s="3" t="e" cm="1">
        <f t="array" aca="1" ref="AH10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AH$6,$AF10+1)</f>
        <v>#REF!</v>
      </c>
      <c r="AI10" s="3" t="e" cm="1">
        <f t="array" aca="1" ref="AI10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AI$6,$AF10+1)</f>
        <v>#REF!</v>
      </c>
      <c r="AJ10" s="3" t="e" cm="1">
        <f t="array" aca="1" ref="AJ10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AJ$6,$AF10+1)</f>
        <v>#REF!</v>
      </c>
      <c r="AK10" s="3" t="e" cm="1">
        <f t="array" aca="1" ref="AK10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AK$6,$AF10+1)</f>
        <v>#REF!</v>
      </c>
      <c r="AL10" s="3" t="e" cm="1">
        <f t="array" aca="1" ref="AL10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AL$6,$AF10+1)</f>
        <v>#REF!</v>
      </c>
      <c r="AM10" s="3" t="e">
        <f t="shared" ca="1" si="11"/>
        <v>#REF!</v>
      </c>
    </row>
    <row r="11" spans="1:39" x14ac:dyDescent="0.85">
      <c r="A11">
        <f t="shared" si="4"/>
        <v>2027</v>
      </c>
      <c r="B11">
        <f t="shared" si="4"/>
        <v>3</v>
      </c>
      <c r="C11" s="3" t="e" cm="1">
        <f t="array" aca="1" ref="C11" ca="1">$B$4 *
INDIRECT("Include_" &amp; $A$3)*INDIRECT("Include_" &amp; C$7)*
OFFSET(INDIRECT(Region_abbr &amp; "!A1"), $B$5 + C$6,$B11+1)</f>
        <v>#REF!</v>
      </c>
      <c r="D11" s="3" t="e" cm="1">
        <f t="array" aca="1" ref="D11" ca="1">$B$4 *
INDIRECT("Include_" &amp; $A$3)*INDIRECT("Include_" &amp; D$7)*
OFFSET(INDIRECT(Region_abbr &amp; "!A1"), $B$5 + D$6,$B11+1)</f>
        <v>#REF!</v>
      </c>
      <c r="E11" s="3" t="e" cm="1">
        <f t="array" aca="1" ref="E11" ca="1">$B$4 *
INDIRECT("Include_" &amp; $A$3)*INDIRECT("Include_" &amp; E$7)*
OFFSET(INDIRECT(Region_abbr &amp; "!A1"), $B$5 + E$6,$B11+1)</f>
        <v>#REF!</v>
      </c>
      <c r="F11" s="3" t="e" cm="1">
        <f t="array" aca="1" ref="F11" ca="1">$B$4 *
INDIRECT("Include_" &amp; $A$3)*INDIRECT("Include_" &amp; F$7)*
OFFSET(INDIRECT(Region_abbr &amp; "!A1"), $B$5 + F$6,$B11+1)</f>
        <v>#REF!</v>
      </c>
      <c r="G11" s="3" t="e" cm="1">
        <f t="array" aca="1" ref="G11" ca="1">$B$4 *
INDIRECT("Include_" &amp; $A$3)*INDIRECT("Include_" &amp; G$7)*
OFFSET(INDIRECT(Region_abbr &amp; "!A1"), $B$5 + G$6,$B11+1)</f>
        <v>#REF!</v>
      </c>
      <c r="H11" s="3" t="e" cm="1">
        <f t="array" aca="1" ref="H11" ca="1">$B$4 *
INDIRECT("Include_" &amp; $A$3)*INDIRECT("Include_" &amp; H$7)*
OFFSET(INDIRECT(Region_abbr &amp; "!A1"), $B$5 + H$6,$B11+1)</f>
        <v>#REF!</v>
      </c>
      <c r="I11" s="3" t="e">
        <f t="shared" ca="1" si="5"/>
        <v>#REF!</v>
      </c>
      <c r="K11">
        <f t="shared" ref="K11:L11" si="15">K10+1</f>
        <v>2027</v>
      </c>
      <c r="L11">
        <f t="shared" si="15"/>
        <v>3</v>
      </c>
      <c r="M11" s="3" t="e" cm="1">
        <f t="array" aca="1" ref="M11" ca="1">$L$4 *
INDIRECT("Include_" &amp; $K$3)*INDIRECT("Include_" &amp; M$7)*
OFFSET(INDIRECT(Region_abbr &amp; "!A1"), $L$5 + M$6,$L11+1)</f>
        <v>#REF!</v>
      </c>
      <c r="N11" s="3" t="e" cm="1">
        <f t="array" aca="1" ref="N11" ca="1">$L$4 *
INDIRECT("Include_" &amp; $K$3)*INDIRECT("Include_" &amp; N$7)*
OFFSET(INDIRECT(Region_abbr &amp; "!A1"), $L$5 + N$6,$L11+1)</f>
        <v>#REF!</v>
      </c>
      <c r="O11" s="3" t="e" cm="1">
        <f t="array" aca="1" ref="O11" ca="1">$L$4 *
INDIRECT("Include_" &amp; $K$3)*INDIRECT("Include_" &amp; O$7)*
OFFSET(INDIRECT(Region_abbr &amp; "!A1"), $L$5 + O$6,$L11+1)</f>
        <v>#REF!</v>
      </c>
      <c r="P11" s="3" t="e" cm="1">
        <f t="array" aca="1" ref="P11" ca="1">$L$4 *
INDIRECT("Include_" &amp; $K$3)*INDIRECT("Include_" &amp; P$7)*
OFFSET(INDIRECT(Region_abbr &amp; "!A1"), $L$5 + P$6,$L11+1)</f>
        <v>#REF!</v>
      </c>
      <c r="Q11" s="3" t="e" cm="1">
        <f t="array" aca="1" ref="Q11" ca="1">$L$4 *
INDIRECT("Include_" &amp; $K$3)*INDIRECT("Include_" &amp; Q$7)*
OFFSET(INDIRECT(Region_abbr &amp; "!A1"), $L$5 + Q$6,$L11+1)</f>
        <v>#REF!</v>
      </c>
      <c r="R11" s="3" t="e" cm="1">
        <f t="array" aca="1" ref="R11" ca="1">$L$4 *
INDIRECT("Include_" &amp; $K$3)*INDIRECT("Include_" &amp; R$7)*
OFFSET(INDIRECT(Region_abbr &amp; "!A1"), $L$5 + R$6,$L11+1)</f>
        <v>#REF!</v>
      </c>
      <c r="S11" s="3" t="e">
        <f t="shared" ca="1" si="7"/>
        <v>#REF!</v>
      </c>
      <c r="U11">
        <f t="shared" ref="U11:V11" si="16">U10+1</f>
        <v>2027</v>
      </c>
      <c r="V11">
        <f t="shared" si="16"/>
        <v>3</v>
      </c>
      <c r="W11" s="3" t="e" cm="1">
        <f t="array" aca="1" ref="W11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W$6,$V11+1)</f>
        <v>#REF!</v>
      </c>
      <c r="X11" s="3" t="e" cm="1">
        <f t="array" aca="1" ref="X11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X$6,$V11+1)</f>
        <v>#REF!</v>
      </c>
      <c r="Y11" s="3" t="e" cm="1">
        <f t="array" aca="1" ref="Y11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Y$6,$V11+1)</f>
        <v>#REF!</v>
      </c>
      <c r="Z11" s="3" t="e" cm="1">
        <f t="array" aca="1" ref="Z11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Z$6,$V11+1)</f>
        <v>#REF!</v>
      </c>
      <c r="AA11" s="3" t="e" cm="1">
        <f t="array" aca="1" ref="AA11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AA$6,$V11+1)</f>
        <v>#REF!</v>
      </c>
      <c r="AB11" s="3" t="e" cm="1">
        <f t="array" aca="1" ref="AB11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AB$6,$V11+1)</f>
        <v>#REF!</v>
      </c>
      <c r="AC11" s="3" t="e">
        <f t="shared" ca="1" si="9"/>
        <v>#REF!</v>
      </c>
      <c r="AE11">
        <f t="shared" ref="AE11:AF11" si="17">AE10+1</f>
        <v>2027</v>
      </c>
      <c r="AF11">
        <f t="shared" si="17"/>
        <v>3</v>
      </c>
      <c r="AG11" s="3" t="e" cm="1">
        <f t="array" aca="1" ref="AG11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AG$6,$AF11+1)</f>
        <v>#REF!</v>
      </c>
      <c r="AH11" s="3" t="e" cm="1">
        <f t="array" aca="1" ref="AH11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AH$6,$AF11+1)</f>
        <v>#REF!</v>
      </c>
      <c r="AI11" s="3" t="e" cm="1">
        <f t="array" aca="1" ref="AI11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AI$6,$AF11+1)</f>
        <v>#REF!</v>
      </c>
      <c r="AJ11" s="3" t="e" cm="1">
        <f t="array" aca="1" ref="AJ11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AJ$6,$AF11+1)</f>
        <v>#REF!</v>
      </c>
      <c r="AK11" s="3" t="e" cm="1">
        <f t="array" aca="1" ref="AK11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AK$6,$AF11+1)</f>
        <v>#REF!</v>
      </c>
      <c r="AL11" s="3" t="e" cm="1">
        <f t="array" aca="1" ref="AL11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AL$6,$AF11+1)</f>
        <v>#REF!</v>
      </c>
      <c r="AM11" s="3" t="e">
        <f t="shared" ca="1" si="11"/>
        <v>#REF!</v>
      </c>
    </row>
    <row r="12" spans="1:39" x14ac:dyDescent="0.85">
      <c r="A12">
        <f t="shared" si="4"/>
        <v>2028</v>
      </c>
      <c r="B12">
        <f t="shared" si="4"/>
        <v>4</v>
      </c>
      <c r="C12" s="3" t="e" cm="1">
        <f t="array" aca="1" ref="C12" ca="1">$B$4 *
INDIRECT("Include_" &amp; $A$3)*INDIRECT("Include_" &amp; C$7)*
OFFSET(INDIRECT(Region_abbr &amp; "!A1"), $B$5 + C$6,$B12+1)</f>
        <v>#REF!</v>
      </c>
      <c r="D12" s="3" t="e" cm="1">
        <f t="array" aca="1" ref="D12" ca="1">$B$4 *
INDIRECT("Include_" &amp; $A$3)*INDIRECT("Include_" &amp; D$7)*
OFFSET(INDIRECT(Region_abbr &amp; "!A1"), $B$5 + D$6,$B12+1)</f>
        <v>#REF!</v>
      </c>
      <c r="E12" s="3" t="e" cm="1">
        <f t="array" aca="1" ref="E12" ca="1">$B$4 *
INDIRECT("Include_" &amp; $A$3)*INDIRECT("Include_" &amp; E$7)*
OFFSET(INDIRECT(Region_abbr &amp; "!A1"), $B$5 + E$6,$B12+1)</f>
        <v>#REF!</v>
      </c>
      <c r="F12" s="3" t="e" cm="1">
        <f t="array" aca="1" ref="F12" ca="1">$B$4 *
INDIRECT("Include_" &amp; $A$3)*INDIRECT("Include_" &amp; F$7)*
OFFSET(INDIRECT(Region_abbr &amp; "!A1"), $B$5 + F$6,$B12+1)</f>
        <v>#REF!</v>
      </c>
      <c r="G12" s="3" t="e" cm="1">
        <f t="array" aca="1" ref="G12" ca="1">$B$4 *
INDIRECT("Include_" &amp; $A$3)*INDIRECT("Include_" &amp; G$7)*
OFFSET(INDIRECT(Region_abbr &amp; "!A1"), $B$5 + G$6,$B12+1)</f>
        <v>#REF!</v>
      </c>
      <c r="H12" s="3" t="e" cm="1">
        <f t="array" aca="1" ref="H12" ca="1">$B$4 *
INDIRECT("Include_" &amp; $A$3)*INDIRECT("Include_" &amp; H$7)*
OFFSET(INDIRECT(Region_abbr &amp; "!A1"), $B$5 + H$6,$B12+1)</f>
        <v>#REF!</v>
      </c>
      <c r="I12" s="3" t="e">
        <f t="shared" ca="1" si="5"/>
        <v>#REF!</v>
      </c>
      <c r="K12">
        <f t="shared" ref="K12:L12" si="18">K11+1</f>
        <v>2028</v>
      </c>
      <c r="L12">
        <f t="shared" si="18"/>
        <v>4</v>
      </c>
      <c r="M12" s="3" t="e" cm="1">
        <f t="array" aca="1" ref="M12" ca="1">$L$4 *
INDIRECT("Include_" &amp; $K$3)*INDIRECT("Include_" &amp; M$7)*
OFFSET(INDIRECT(Region_abbr &amp; "!A1"), $L$5 + M$6,$L12+1)</f>
        <v>#REF!</v>
      </c>
      <c r="N12" s="3" t="e" cm="1">
        <f t="array" aca="1" ref="N12" ca="1">$L$4 *
INDIRECT("Include_" &amp; $K$3)*INDIRECT("Include_" &amp; N$7)*
OFFSET(INDIRECT(Region_abbr &amp; "!A1"), $L$5 + N$6,$L12+1)</f>
        <v>#REF!</v>
      </c>
      <c r="O12" s="3" t="e" cm="1">
        <f t="array" aca="1" ref="O12" ca="1">$L$4 *
INDIRECT("Include_" &amp; $K$3)*INDIRECT("Include_" &amp; O$7)*
OFFSET(INDIRECT(Region_abbr &amp; "!A1"), $L$5 + O$6,$L12+1)</f>
        <v>#REF!</v>
      </c>
      <c r="P12" s="3" t="e" cm="1">
        <f t="array" aca="1" ref="P12" ca="1">$L$4 *
INDIRECT("Include_" &amp; $K$3)*INDIRECT("Include_" &amp; P$7)*
OFFSET(INDIRECT(Region_abbr &amp; "!A1"), $L$5 + P$6,$L12+1)</f>
        <v>#REF!</v>
      </c>
      <c r="Q12" s="3" t="e" cm="1">
        <f t="array" aca="1" ref="Q12" ca="1">$L$4 *
INDIRECT("Include_" &amp; $K$3)*INDIRECT("Include_" &amp; Q$7)*
OFFSET(INDIRECT(Region_abbr &amp; "!A1"), $L$5 + Q$6,$L12+1)</f>
        <v>#REF!</v>
      </c>
      <c r="R12" s="3" t="e" cm="1">
        <f t="array" aca="1" ref="R12" ca="1">$L$4 *
INDIRECT("Include_" &amp; $K$3)*INDIRECT("Include_" &amp; R$7)*
OFFSET(INDIRECT(Region_abbr &amp; "!A1"), $L$5 + R$6,$L12+1)</f>
        <v>#REF!</v>
      </c>
      <c r="S12" s="3" t="e">
        <f t="shared" ca="1" si="7"/>
        <v>#REF!</v>
      </c>
      <c r="U12">
        <f t="shared" ref="U12:V12" si="19">U11+1</f>
        <v>2028</v>
      </c>
      <c r="V12">
        <f t="shared" si="19"/>
        <v>4</v>
      </c>
      <c r="W12" s="3" t="e" cm="1">
        <f t="array" aca="1" ref="W12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W$6,$V12+1)</f>
        <v>#REF!</v>
      </c>
      <c r="X12" s="3" t="e" cm="1">
        <f t="array" aca="1" ref="X12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X$6,$V12+1)</f>
        <v>#REF!</v>
      </c>
      <c r="Y12" s="3" t="e" cm="1">
        <f t="array" aca="1" ref="Y12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Y$6,$V12+1)</f>
        <v>#REF!</v>
      </c>
      <c r="Z12" s="3" t="e" cm="1">
        <f t="array" aca="1" ref="Z12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Z$6,$V12+1)</f>
        <v>#REF!</v>
      </c>
      <c r="AA12" s="3" t="e" cm="1">
        <f t="array" aca="1" ref="AA12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AA$6,$V12+1)</f>
        <v>#REF!</v>
      </c>
      <c r="AB12" s="3" t="e" cm="1">
        <f t="array" aca="1" ref="AB12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AB$6,$V12+1)</f>
        <v>#REF!</v>
      </c>
      <c r="AC12" s="3" t="e">
        <f t="shared" ca="1" si="9"/>
        <v>#REF!</v>
      </c>
      <c r="AE12">
        <f t="shared" ref="AE12:AF12" si="20">AE11+1</f>
        <v>2028</v>
      </c>
      <c r="AF12">
        <f t="shared" si="20"/>
        <v>4</v>
      </c>
      <c r="AG12" s="3" t="e" cm="1">
        <f t="array" aca="1" ref="AG12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AG$6,$AF12+1)</f>
        <v>#REF!</v>
      </c>
      <c r="AH12" s="3" t="e" cm="1">
        <f t="array" aca="1" ref="AH12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AH$6,$AF12+1)</f>
        <v>#REF!</v>
      </c>
      <c r="AI12" s="3" t="e" cm="1">
        <f t="array" aca="1" ref="AI12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AI$6,$AF12+1)</f>
        <v>#REF!</v>
      </c>
      <c r="AJ12" s="3" t="e" cm="1">
        <f t="array" aca="1" ref="AJ12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AJ$6,$AF12+1)</f>
        <v>#REF!</v>
      </c>
      <c r="AK12" s="3" t="e" cm="1">
        <f t="array" aca="1" ref="AK12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AK$6,$AF12+1)</f>
        <v>#REF!</v>
      </c>
      <c r="AL12" s="3" t="e" cm="1">
        <f t="array" aca="1" ref="AL12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AL$6,$AF12+1)</f>
        <v>#REF!</v>
      </c>
      <c r="AM12" s="3" t="e">
        <f t="shared" ca="1" si="11"/>
        <v>#REF!</v>
      </c>
    </row>
    <row r="13" spans="1:39" x14ac:dyDescent="0.85">
      <c r="A13">
        <f t="shared" si="4"/>
        <v>2029</v>
      </c>
      <c r="B13">
        <f t="shared" si="4"/>
        <v>5</v>
      </c>
      <c r="C13" s="3" t="e" cm="1">
        <f t="array" aca="1" ref="C13" ca="1">$B$4 *
INDIRECT("Include_" &amp; $A$3)*INDIRECT("Include_" &amp; C$7)*
OFFSET(INDIRECT(Region_abbr &amp; "!A1"), $B$5 + C$6,$B13+1)</f>
        <v>#REF!</v>
      </c>
      <c r="D13" s="3" t="e" cm="1">
        <f t="array" aca="1" ref="D13" ca="1">$B$4 *
INDIRECT("Include_" &amp; $A$3)*INDIRECT("Include_" &amp; D$7)*
OFFSET(INDIRECT(Region_abbr &amp; "!A1"), $B$5 + D$6,$B13+1)</f>
        <v>#REF!</v>
      </c>
      <c r="E13" s="3" t="e" cm="1">
        <f t="array" aca="1" ref="E13" ca="1">$B$4 *
INDIRECT("Include_" &amp; $A$3)*INDIRECT("Include_" &amp; E$7)*
OFFSET(INDIRECT(Region_abbr &amp; "!A1"), $B$5 + E$6,$B13+1)</f>
        <v>#REF!</v>
      </c>
      <c r="F13" s="3" t="e" cm="1">
        <f t="array" aca="1" ref="F13" ca="1">$B$4 *
INDIRECT("Include_" &amp; $A$3)*INDIRECT("Include_" &amp; F$7)*
OFFSET(INDIRECT(Region_abbr &amp; "!A1"), $B$5 + F$6,$B13+1)</f>
        <v>#REF!</v>
      </c>
      <c r="G13" s="3" t="e" cm="1">
        <f t="array" aca="1" ref="G13" ca="1">$B$4 *
INDIRECT("Include_" &amp; $A$3)*INDIRECT("Include_" &amp; G$7)*
OFFSET(INDIRECT(Region_abbr &amp; "!A1"), $B$5 + G$6,$B13+1)</f>
        <v>#REF!</v>
      </c>
      <c r="H13" s="3" t="e" cm="1">
        <f t="array" aca="1" ref="H13" ca="1">$B$4 *
INDIRECT("Include_" &amp; $A$3)*INDIRECT("Include_" &amp; H$7)*
OFFSET(INDIRECT(Region_abbr &amp; "!A1"), $B$5 + H$6,$B13+1)</f>
        <v>#REF!</v>
      </c>
      <c r="I13" s="3" t="e">
        <f t="shared" ca="1" si="5"/>
        <v>#REF!</v>
      </c>
      <c r="K13">
        <f t="shared" ref="K13:L13" si="21">K12+1</f>
        <v>2029</v>
      </c>
      <c r="L13">
        <f t="shared" si="21"/>
        <v>5</v>
      </c>
      <c r="M13" s="3" t="e" cm="1">
        <f t="array" aca="1" ref="M13" ca="1">$L$4 *
INDIRECT("Include_" &amp; $K$3)*INDIRECT("Include_" &amp; M$7)*
OFFSET(INDIRECT(Region_abbr &amp; "!A1"), $L$5 + M$6,$L13+1)</f>
        <v>#REF!</v>
      </c>
      <c r="N13" s="3" t="e" cm="1">
        <f t="array" aca="1" ref="N13" ca="1">$L$4 *
INDIRECT("Include_" &amp; $K$3)*INDIRECT("Include_" &amp; N$7)*
OFFSET(INDIRECT(Region_abbr &amp; "!A1"), $L$5 + N$6,$L13+1)</f>
        <v>#REF!</v>
      </c>
      <c r="O13" s="3" t="e" cm="1">
        <f t="array" aca="1" ref="O13" ca="1">$L$4 *
INDIRECT("Include_" &amp; $K$3)*INDIRECT("Include_" &amp; O$7)*
OFFSET(INDIRECT(Region_abbr &amp; "!A1"), $L$5 + O$6,$L13+1)</f>
        <v>#REF!</v>
      </c>
      <c r="P13" s="3" t="e" cm="1">
        <f t="array" aca="1" ref="P13" ca="1">$L$4 *
INDIRECT("Include_" &amp; $K$3)*INDIRECT("Include_" &amp; P$7)*
OFFSET(INDIRECT(Region_abbr &amp; "!A1"), $L$5 + P$6,$L13+1)</f>
        <v>#REF!</v>
      </c>
      <c r="Q13" s="3" t="e" cm="1">
        <f t="array" aca="1" ref="Q13" ca="1">$L$4 *
INDIRECT("Include_" &amp; $K$3)*INDIRECT("Include_" &amp; Q$7)*
OFFSET(INDIRECT(Region_abbr &amp; "!A1"), $L$5 + Q$6,$L13+1)</f>
        <v>#REF!</v>
      </c>
      <c r="R13" s="3" t="e" cm="1">
        <f t="array" aca="1" ref="R13" ca="1">$L$4 *
INDIRECT("Include_" &amp; $K$3)*INDIRECT("Include_" &amp; R$7)*
OFFSET(INDIRECT(Region_abbr &amp; "!A1"), $L$5 + R$6,$L13+1)</f>
        <v>#REF!</v>
      </c>
      <c r="S13" s="3" t="e">
        <f t="shared" ca="1" si="7"/>
        <v>#REF!</v>
      </c>
      <c r="U13">
        <f t="shared" ref="U13:V13" si="22">U12+1</f>
        <v>2029</v>
      </c>
      <c r="V13">
        <f t="shared" si="22"/>
        <v>5</v>
      </c>
      <c r="W13" s="3" t="e" cm="1">
        <f t="array" aca="1" ref="W13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W$6,$V13+1)</f>
        <v>#REF!</v>
      </c>
      <c r="X13" s="3" t="e" cm="1">
        <f t="array" aca="1" ref="X13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X$6,$V13+1)</f>
        <v>#REF!</v>
      </c>
      <c r="Y13" s="3" t="e" cm="1">
        <f t="array" aca="1" ref="Y13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Y$6,$V13+1)</f>
        <v>#REF!</v>
      </c>
      <c r="Z13" s="3" t="e" cm="1">
        <f t="array" aca="1" ref="Z13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Z$6,$V13+1)</f>
        <v>#REF!</v>
      </c>
      <c r="AA13" s="3" t="e" cm="1">
        <f t="array" aca="1" ref="AA13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AA$6,$V13+1)</f>
        <v>#REF!</v>
      </c>
      <c r="AB13" s="3" t="e" cm="1">
        <f t="array" aca="1" ref="AB13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AB$6,$V13+1)</f>
        <v>#REF!</v>
      </c>
      <c r="AC13" s="3" t="e">
        <f t="shared" ca="1" si="9"/>
        <v>#REF!</v>
      </c>
      <c r="AE13">
        <f t="shared" ref="AE13:AF13" si="23">AE12+1</f>
        <v>2029</v>
      </c>
      <c r="AF13">
        <f t="shared" si="23"/>
        <v>5</v>
      </c>
      <c r="AG13" s="3" t="e" cm="1">
        <f t="array" aca="1" ref="AG13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AG$6,$AF13+1)</f>
        <v>#REF!</v>
      </c>
      <c r="AH13" s="3" t="e" cm="1">
        <f t="array" aca="1" ref="AH13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AH$6,$AF13+1)</f>
        <v>#REF!</v>
      </c>
      <c r="AI13" s="3" t="e" cm="1">
        <f t="array" aca="1" ref="AI13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AI$6,$AF13+1)</f>
        <v>#REF!</v>
      </c>
      <c r="AJ13" s="3" t="e" cm="1">
        <f t="array" aca="1" ref="AJ13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AJ$6,$AF13+1)</f>
        <v>#REF!</v>
      </c>
      <c r="AK13" s="3" t="e" cm="1">
        <f t="array" aca="1" ref="AK13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AK$6,$AF13+1)</f>
        <v>#REF!</v>
      </c>
      <c r="AL13" s="3" t="e" cm="1">
        <f t="array" aca="1" ref="AL13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AL$6,$AF13+1)</f>
        <v>#REF!</v>
      </c>
      <c r="AM13" s="3" t="e">
        <f t="shared" ca="1" si="11"/>
        <v>#REF!</v>
      </c>
    </row>
    <row r="14" spans="1:39" x14ac:dyDescent="0.85">
      <c r="A14">
        <f t="shared" si="4"/>
        <v>2030</v>
      </c>
      <c r="B14">
        <f t="shared" si="4"/>
        <v>6</v>
      </c>
      <c r="C14" s="3" t="e" cm="1">
        <f t="array" aca="1" ref="C14" ca="1">$B$4 *
INDIRECT("Include_" &amp; $A$3)*INDIRECT("Include_" &amp; C$7)*
OFFSET(INDIRECT(Region_abbr &amp; "!A1"), $B$5 + C$6,$B14+1)</f>
        <v>#REF!</v>
      </c>
      <c r="D14" s="3" t="e" cm="1">
        <f t="array" aca="1" ref="D14" ca="1">$B$4 *
INDIRECT("Include_" &amp; $A$3)*INDIRECT("Include_" &amp; D$7)*
OFFSET(INDIRECT(Region_abbr &amp; "!A1"), $B$5 + D$6,$B14+1)</f>
        <v>#REF!</v>
      </c>
      <c r="E14" s="3" t="e" cm="1">
        <f t="array" aca="1" ref="E14" ca="1">$B$4 *
INDIRECT("Include_" &amp; $A$3)*INDIRECT("Include_" &amp; E$7)*
OFFSET(INDIRECT(Region_abbr &amp; "!A1"), $B$5 + E$6,$B14+1)</f>
        <v>#REF!</v>
      </c>
      <c r="F14" s="3" t="e" cm="1">
        <f t="array" aca="1" ref="F14" ca="1">$B$4 *
INDIRECT("Include_" &amp; $A$3)*INDIRECT("Include_" &amp; F$7)*
OFFSET(INDIRECT(Region_abbr &amp; "!A1"), $B$5 + F$6,$B14+1)</f>
        <v>#REF!</v>
      </c>
      <c r="G14" s="3" t="e" cm="1">
        <f t="array" aca="1" ref="G14" ca="1">$B$4 *
INDIRECT("Include_" &amp; $A$3)*INDIRECT("Include_" &amp; G$7)*
OFFSET(INDIRECT(Region_abbr &amp; "!A1"), $B$5 + G$6,$B14+1)</f>
        <v>#REF!</v>
      </c>
      <c r="H14" s="3" t="e" cm="1">
        <f t="array" aca="1" ref="H14" ca="1">$B$4 *
INDIRECT("Include_" &amp; $A$3)*INDIRECT("Include_" &amp; H$7)*
OFFSET(INDIRECT(Region_abbr &amp; "!A1"), $B$5 + H$6,$B14+1)</f>
        <v>#REF!</v>
      </c>
      <c r="I14" s="3" t="e">
        <f t="shared" ca="1" si="5"/>
        <v>#REF!</v>
      </c>
      <c r="K14">
        <f t="shared" ref="K14:L14" si="24">K13+1</f>
        <v>2030</v>
      </c>
      <c r="L14">
        <f t="shared" si="24"/>
        <v>6</v>
      </c>
      <c r="M14" s="3" t="e" cm="1">
        <f t="array" aca="1" ref="M14" ca="1">$L$4 *
INDIRECT("Include_" &amp; $K$3)*INDIRECT("Include_" &amp; M$7)*
OFFSET(INDIRECT(Region_abbr &amp; "!A1"), $L$5 + M$6,$L14+1)</f>
        <v>#REF!</v>
      </c>
      <c r="N14" s="3" t="e" cm="1">
        <f t="array" aca="1" ref="N14" ca="1">$L$4 *
INDIRECT("Include_" &amp; $K$3)*INDIRECT("Include_" &amp; N$7)*
OFFSET(INDIRECT(Region_abbr &amp; "!A1"), $L$5 + N$6,$L14+1)</f>
        <v>#REF!</v>
      </c>
      <c r="O14" s="3" t="e" cm="1">
        <f t="array" aca="1" ref="O14" ca="1">$L$4 *
INDIRECT("Include_" &amp; $K$3)*INDIRECT("Include_" &amp; O$7)*
OFFSET(INDIRECT(Region_abbr &amp; "!A1"), $L$5 + O$6,$L14+1)</f>
        <v>#REF!</v>
      </c>
      <c r="P14" s="3" t="e" cm="1">
        <f t="array" aca="1" ref="P14" ca="1">$L$4 *
INDIRECT("Include_" &amp; $K$3)*INDIRECT("Include_" &amp; P$7)*
OFFSET(INDIRECT(Region_abbr &amp; "!A1"), $L$5 + P$6,$L14+1)</f>
        <v>#REF!</v>
      </c>
      <c r="Q14" s="3" t="e" cm="1">
        <f t="array" aca="1" ref="Q14" ca="1">$L$4 *
INDIRECT("Include_" &amp; $K$3)*INDIRECT("Include_" &amp; Q$7)*
OFFSET(INDIRECT(Region_abbr &amp; "!A1"), $L$5 + Q$6,$L14+1)</f>
        <v>#REF!</v>
      </c>
      <c r="R14" s="3" t="e" cm="1">
        <f t="array" aca="1" ref="R14" ca="1">$L$4 *
INDIRECT("Include_" &amp; $K$3)*INDIRECT("Include_" &amp; R$7)*
OFFSET(INDIRECT(Region_abbr &amp; "!A1"), $L$5 + R$6,$L14+1)</f>
        <v>#REF!</v>
      </c>
      <c r="S14" s="3" t="e">
        <f t="shared" ca="1" si="7"/>
        <v>#REF!</v>
      </c>
      <c r="U14">
        <f t="shared" ref="U14:V14" si="25">U13+1</f>
        <v>2030</v>
      </c>
      <c r="V14">
        <f t="shared" si="25"/>
        <v>6</v>
      </c>
      <c r="W14" s="3" t="e" cm="1">
        <f t="array" aca="1" ref="W14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W$6,$V14+1)</f>
        <v>#REF!</v>
      </c>
      <c r="X14" s="3" t="e" cm="1">
        <f t="array" aca="1" ref="X14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X$6,$V14+1)</f>
        <v>#REF!</v>
      </c>
      <c r="Y14" s="3" t="e" cm="1">
        <f t="array" aca="1" ref="Y14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Y$6,$V14+1)</f>
        <v>#REF!</v>
      </c>
      <c r="Z14" s="3" t="e" cm="1">
        <f t="array" aca="1" ref="Z14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Z$6,$V14+1)</f>
        <v>#REF!</v>
      </c>
      <c r="AA14" s="3" t="e" cm="1">
        <f t="array" aca="1" ref="AA14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AA$6,$V14+1)</f>
        <v>#REF!</v>
      </c>
      <c r="AB14" s="3" t="e" cm="1">
        <f t="array" aca="1" ref="AB14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AB$6,$V14+1)</f>
        <v>#REF!</v>
      </c>
      <c r="AC14" s="3" t="e">
        <f t="shared" ca="1" si="9"/>
        <v>#REF!</v>
      </c>
      <c r="AE14">
        <f t="shared" ref="AE14:AF14" si="26">AE13+1</f>
        <v>2030</v>
      </c>
      <c r="AF14">
        <f t="shared" si="26"/>
        <v>6</v>
      </c>
      <c r="AG14" s="3" t="e" cm="1">
        <f t="array" aca="1" ref="AG14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AG$6,$AF14+1)</f>
        <v>#REF!</v>
      </c>
      <c r="AH14" s="3" t="e" cm="1">
        <f t="array" aca="1" ref="AH14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AH$6,$AF14+1)</f>
        <v>#REF!</v>
      </c>
      <c r="AI14" s="3" t="e" cm="1">
        <f t="array" aca="1" ref="AI14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AI$6,$AF14+1)</f>
        <v>#REF!</v>
      </c>
      <c r="AJ14" s="3" t="e" cm="1">
        <f t="array" aca="1" ref="AJ14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AJ$6,$AF14+1)</f>
        <v>#REF!</v>
      </c>
      <c r="AK14" s="3" t="e" cm="1">
        <f t="array" aca="1" ref="AK14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AK$6,$AF14+1)</f>
        <v>#REF!</v>
      </c>
      <c r="AL14" s="3" t="e" cm="1">
        <f t="array" aca="1" ref="AL14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AL$6,$AF14+1)</f>
        <v>#REF!</v>
      </c>
      <c r="AM14" s="3" t="e">
        <f t="shared" ca="1" si="11"/>
        <v>#REF!</v>
      </c>
    </row>
    <row r="15" spans="1:39" x14ac:dyDescent="0.85">
      <c r="A15">
        <f t="shared" si="4"/>
        <v>2031</v>
      </c>
      <c r="B15">
        <f t="shared" si="4"/>
        <v>7</v>
      </c>
      <c r="C15" s="3" t="e" cm="1">
        <f t="array" aca="1" ref="C15" ca="1">$B$4 *
INDIRECT("Include_" &amp; $A$3)*INDIRECT("Include_" &amp; C$7)*
OFFSET(INDIRECT(Region_abbr &amp; "!A1"), $B$5 + C$6,$B15+1)</f>
        <v>#REF!</v>
      </c>
      <c r="D15" s="3" t="e" cm="1">
        <f t="array" aca="1" ref="D15" ca="1">$B$4 *
INDIRECT("Include_" &amp; $A$3)*INDIRECT("Include_" &amp; D$7)*
OFFSET(INDIRECT(Region_abbr &amp; "!A1"), $B$5 + D$6,$B15+1)</f>
        <v>#REF!</v>
      </c>
      <c r="E15" s="3" t="e" cm="1">
        <f t="array" aca="1" ref="E15" ca="1">$B$4 *
INDIRECT("Include_" &amp; $A$3)*INDIRECT("Include_" &amp; E$7)*
OFFSET(INDIRECT(Region_abbr &amp; "!A1"), $B$5 + E$6,$B15+1)</f>
        <v>#REF!</v>
      </c>
      <c r="F15" s="3" t="e" cm="1">
        <f t="array" aca="1" ref="F15" ca="1">$B$4 *
INDIRECT("Include_" &amp; $A$3)*INDIRECT("Include_" &amp; F$7)*
OFFSET(INDIRECT(Region_abbr &amp; "!A1"), $B$5 + F$6,$B15+1)</f>
        <v>#REF!</v>
      </c>
      <c r="G15" s="3" t="e" cm="1">
        <f t="array" aca="1" ref="G15" ca="1">$B$4 *
INDIRECT("Include_" &amp; $A$3)*INDIRECT("Include_" &amp; G$7)*
OFFSET(INDIRECT(Region_abbr &amp; "!A1"), $B$5 + G$6,$B15+1)</f>
        <v>#REF!</v>
      </c>
      <c r="H15" s="3" t="e" cm="1">
        <f t="array" aca="1" ref="H15" ca="1">$B$4 *
INDIRECT("Include_" &amp; $A$3)*INDIRECT("Include_" &amp; H$7)*
OFFSET(INDIRECT(Region_abbr &amp; "!A1"), $B$5 + H$6,$B15+1)</f>
        <v>#REF!</v>
      </c>
      <c r="I15" s="3" t="e">
        <f t="shared" ca="1" si="5"/>
        <v>#REF!</v>
      </c>
      <c r="K15">
        <f t="shared" ref="K15:L15" si="27">K14+1</f>
        <v>2031</v>
      </c>
      <c r="L15">
        <f t="shared" si="27"/>
        <v>7</v>
      </c>
      <c r="M15" s="3" t="e" cm="1">
        <f t="array" aca="1" ref="M15" ca="1">$L$4 *
INDIRECT("Include_" &amp; $K$3)*INDIRECT("Include_" &amp; M$7)*
OFFSET(INDIRECT(Region_abbr &amp; "!A1"), $L$5 + M$6,$L15+1)</f>
        <v>#REF!</v>
      </c>
      <c r="N15" s="3" t="e" cm="1">
        <f t="array" aca="1" ref="N15" ca="1">$L$4 *
INDIRECT("Include_" &amp; $K$3)*INDIRECT("Include_" &amp; N$7)*
OFFSET(INDIRECT(Region_abbr &amp; "!A1"), $L$5 + N$6,$L15+1)</f>
        <v>#REF!</v>
      </c>
      <c r="O15" s="3" t="e" cm="1">
        <f t="array" aca="1" ref="O15" ca="1">$L$4 *
INDIRECT("Include_" &amp; $K$3)*INDIRECT("Include_" &amp; O$7)*
OFFSET(INDIRECT(Region_abbr &amp; "!A1"), $L$5 + O$6,$L15+1)</f>
        <v>#REF!</v>
      </c>
      <c r="P15" s="3" t="e" cm="1">
        <f t="array" aca="1" ref="P15" ca="1">$L$4 *
INDIRECT("Include_" &amp; $K$3)*INDIRECT("Include_" &amp; P$7)*
OFFSET(INDIRECT(Region_abbr &amp; "!A1"), $L$5 + P$6,$L15+1)</f>
        <v>#REF!</v>
      </c>
      <c r="Q15" s="3" t="e" cm="1">
        <f t="array" aca="1" ref="Q15" ca="1">$L$4 *
INDIRECT("Include_" &amp; $K$3)*INDIRECT("Include_" &amp; Q$7)*
OFFSET(INDIRECT(Region_abbr &amp; "!A1"), $L$5 + Q$6,$L15+1)</f>
        <v>#REF!</v>
      </c>
      <c r="R15" s="3" t="e" cm="1">
        <f t="array" aca="1" ref="R15" ca="1">$L$4 *
INDIRECT("Include_" &amp; $K$3)*INDIRECT("Include_" &amp; R$7)*
OFFSET(INDIRECT(Region_abbr &amp; "!A1"), $L$5 + R$6,$L15+1)</f>
        <v>#REF!</v>
      </c>
      <c r="S15" s="3" t="e">
        <f t="shared" ca="1" si="7"/>
        <v>#REF!</v>
      </c>
      <c r="U15">
        <f t="shared" ref="U15:V15" si="28">U14+1</f>
        <v>2031</v>
      </c>
      <c r="V15">
        <f t="shared" si="28"/>
        <v>7</v>
      </c>
      <c r="W15" s="3" t="e" cm="1">
        <f t="array" aca="1" ref="W15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W$6,$V15+1)</f>
        <v>#REF!</v>
      </c>
      <c r="X15" s="3" t="e" cm="1">
        <f t="array" aca="1" ref="X15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X$6,$V15+1)</f>
        <v>#REF!</v>
      </c>
      <c r="Y15" s="3" t="e" cm="1">
        <f t="array" aca="1" ref="Y15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Y$6,$V15+1)</f>
        <v>#REF!</v>
      </c>
      <c r="Z15" s="3" t="e" cm="1">
        <f t="array" aca="1" ref="Z15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Z$6,$V15+1)</f>
        <v>#REF!</v>
      </c>
      <c r="AA15" s="3" t="e" cm="1">
        <f t="array" aca="1" ref="AA15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AA$6,$V15+1)</f>
        <v>#REF!</v>
      </c>
      <c r="AB15" s="3" t="e" cm="1">
        <f t="array" aca="1" ref="AB15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AB$6,$V15+1)</f>
        <v>#REF!</v>
      </c>
      <c r="AC15" s="3" t="e">
        <f t="shared" ca="1" si="9"/>
        <v>#REF!</v>
      </c>
      <c r="AE15">
        <f t="shared" ref="AE15:AF15" si="29">AE14+1</f>
        <v>2031</v>
      </c>
      <c r="AF15">
        <f t="shared" si="29"/>
        <v>7</v>
      </c>
      <c r="AG15" s="3" t="e" cm="1">
        <f t="array" aca="1" ref="AG15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AG$6,$AF15+1)</f>
        <v>#REF!</v>
      </c>
      <c r="AH15" s="3" t="e" cm="1">
        <f t="array" aca="1" ref="AH15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AH$6,$AF15+1)</f>
        <v>#REF!</v>
      </c>
      <c r="AI15" s="3" t="e" cm="1">
        <f t="array" aca="1" ref="AI15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AI$6,$AF15+1)</f>
        <v>#REF!</v>
      </c>
      <c r="AJ15" s="3" t="e" cm="1">
        <f t="array" aca="1" ref="AJ15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AJ$6,$AF15+1)</f>
        <v>#REF!</v>
      </c>
      <c r="AK15" s="3" t="e" cm="1">
        <f t="array" aca="1" ref="AK15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AK$6,$AF15+1)</f>
        <v>#REF!</v>
      </c>
      <c r="AL15" s="3" t="e" cm="1">
        <f t="array" aca="1" ref="AL15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AL$6,$AF15+1)</f>
        <v>#REF!</v>
      </c>
      <c r="AM15" s="3" t="e">
        <f t="shared" ca="1" si="11"/>
        <v>#REF!</v>
      </c>
    </row>
    <row r="16" spans="1:39" x14ac:dyDescent="0.85">
      <c r="A16">
        <f t="shared" si="4"/>
        <v>2032</v>
      </c>
      <c r="B16">
        <f t="shared" si="4"/>
        <v>8</v>
      </c>
      <c r="C16" s="3" t="e" cm="1">
        <f t="array" aca="1" ref="C16" ca="1">$B$4 *
INDIRECT("Include_" &amp; $A$3)*INDIRECT("Include_" &amp; C$7)*
OFFSET(INDIRECT(Region_abbr &amp; "!A1"), $B$5 + C$6,$B16+1)</f>
        <v>#REF!</v>
      </c>
      <c r="D16" s="3" t="e" cm="1">
        <f t="array" aca="1" ref="D16" ca="1">$B$4 *
INDIRECT("Include_" &amp; $A$3)*INDIRECT("Include_" &amp; D$7)*
OFFSET(INDIRECT(Region_abbr &amp; "!A1"), $B$5 + D$6,$B16+1)</f>
        <v>#REF!</v>
      </c>
      <c r="E16" s="3" t="e" cm="1">
        <f t="array" aca="1" ref="E16" ca="1">$B$4 *
INDIRECT("Include_" &amp; $A$3)*INDIRECT("Include_" &amp; E$7)*
OFFSET(INDIRECT(Region_abbr &amp; "!A1"), $B$5 + E$6,$B16+1)</f>
        <v>#REF!</v>
      </c>
      <c r="F16" s="3" t="e" cm="1">
        <f t="array" aca="1" ref="F16" ca="1">$B$4 *
INDIRECT("Include_" &amp; $A$3)*INDIRECT("Include_" &amp; F$7)*
OFFSET(INDIRECT(Region_abbr &amp; "!A1"), $B$5 + F$6,$B16+1)</f>
        <v>#REF!</v>
      </c>
      <c r="G16" s="3" t="e" cm="1">
        <f t="array" aca="1" ref="G16" ca="1">$B$4 *
INDIRECT("Include_" &amp; $A$3)*INDIRECT("Include_" &amp; G$7)*
OFFSET(INDIRECT(Region_abbr &amp; "!A1"), $B$5 + G$6,$B16+1)</f>
        <v>#REF!</v>
      </c>
      <c r="H16" s="3" t="e" cm="1">
        <f t="array" aca="1" ref="H16" ca="1">$B$4 *
INDIRECT("Include_" &amp; $A$3)*INDIRECT("Include_" &amp; H$7)*
OFFSET(INDIRECT(Region_abbr &amp; "!A1"), $B$5 + H$6,$B16+1)</f>
        <v>#REF!</v>
      </c>
      <c r="I16" s="3" t="e">
        <f t="shared" ca="1" si="5"/>
        <v>#REF!</v>
      </c>
      <c r="K16">
        <f t="shared" ref="K16:L16" si="30">K15+1</f>
        <v>2032</v>
      </c>
      <c r="L16">
        <f t="shared" si="30"/>
        <v>8</v>
      </c>
      <c r="M16" s="3" t="e" cm="1">
        <f t="array" aca="1" ref="M16" ca="1">$L$4 *
INDIRECT("Include_" &amp; $K$3)*INDIRECT("Include_" &amp; M$7)*
OFFSET(INDIRECT(Region_abbr &amp; "!A1"), $L$5 + M$6,$L16+1)</f>
        <v>#REF!</v>
      </c>
      <c r="N16" s="3" t="e" cm="1">
        <f t="array" aca="1" ref="N16" ca="1">$L$4 *
INDIRECT("Include_" &amp; $K$3)*INDIRECT("Include_" &amp; N$7)*
OFFSET(INDIRECT(Region_abbr &amp; "!A1"), $L$5 + N$6,$L16+1)</f>
        <v>#REF!</v>
      </c>
      <c r="O16" s="3" t="e" cm="1">
        <f t="array" aca="1" ref="O16" ca="1">$L$4 *
INDIRECT("Include_" &amp; $K$3)*INDIRECT("Include_" &amp; O$7)*
OFFSET(INDIRECT(Region_abbr &amp; "!A1"), $L$5 + O$6,$L16+1)</f>
        <v>#REF!</v>
      </c>
      <c r="P16" s="3" t="e" cm="1">
        <f t="array" aca="1" ref="P16" ca="1">$L$4 *
INDIRECT("Include_" &amp; $K$3)*INDIRECT("Include_" &amp; P$7)*
OFFSET(INDIRECT(Region_abbr &amp; "!A1"), $L$5 + P$6,$L16+1)</f>
        <v>#REF!</v>
      </c>
      <c r="Q16" s="3" t="e" cm="1">
        <f t="array" aca="1" ref="Q16" ca="1">$L$4 *
INDIRECT("Include_" &amp; $K$3)*INDIRECT("Include_" &amp; Q$7)*
OFFSET(INDIRECT(Region_abbr &amp; "!A1"), $L$5 + Q$6,$L16+1)</f>
        <v>#REF!</v>
      </c>
      <c r="R16" s="3" t="e" cm="1">
        <f t="array" aca="1" ref="R16" ca="1">$L$4 *
INDIRECT("Include_" &amp; $K$3)*INDIRECT("Include_" &amp; R$7)*
OFFSET(INDIRECT(Region_abbr &amp; "!A1"), $L$5 + R$6,$L16+1)</f>
        <v>#REF!</v>
      </c>
      <c r="S16" s="3" t="e">
        <f t="shared" ca="1" si="7"/>
        <v>#REF!</v>
      </c>
      <c r="U16">
        <f t="shared" ref="U16:V16" si="31">U15+1</f>
        <v>2032</v>
      </c>
      <c r="V16">
        <f t="shared" si="31"/>
        <v>8</v>
      </c>
      <c r="W16" s="3" t="e" cm="1">
        <f t="array" aca="1" ref="W16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W$6,$V16+1)</f>
        <v>#REF!</v>
      </c>
      <c r="X16" s="3" t="e" cm="1">
        <f t="array" aca="1" ref="X16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X$6,$V16+1)</f>
        <v>#REF!</v>
      </c>
      <c r="Y16" s="3" t="e" cm="1">
        <f t="array" aca="1" ref="Y16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Y$6,$V16+1)</f>
        <v>#REF!</v>
      </c>
      <c r="Z16" s="3" t="e" cm="1">
        <f t="array" aca="1" ref="Z16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Z$6,$V16+1)</f>
        <v>#REF!</v>
      </c>
      <c r="AA16" s="3" t="e" cm="1">
        <f t="array" aca="1" ref="AA16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AA$6,$V16+1)</f>
        <v>#REF!</v>
      </c>
      <c r="AB16" s="3" t="e" cm="1">
        <f t="array" aca="1" ref="AB16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AB$6,$V16+1)</f>
        <v>#REF!</v>
      </c>
      <c r="AC16" s="3" t="e">
        <f t="shared" ca="1" si="9"/>
        <v>#REF!</v>
      </c>
      <c r="AE16">
        <f t="shared" ref="AE16:AF16" si="32">AE15+1</f>
        <v>2032</v>
      </c>
      <c r="AF16">
        <f t="shared" si="32"/>
        <v>8</v>
      </c>
      <c r="AG16" s="3" t="e" cm="1">
        <f t="array" aca="1" ref="AG16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AG$6,$AF16+1)</f>
        <v>#REF!</v>
      </c>
      <c r="AH16" s="3" t="e" cm="1">
        <f t="array" aca="1" ref="AH16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AH$6,$AF16+1)</f>
        <v>#REF!</v>
      </c>
      <c r="AI16" s="3" t="e" cm="1">
        <f t="array" aca="1" ref="AI16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AI$6,$AF16+1)</f>
        <v>#REF!</v>
      </c>
      <c r="AJ16" s="3" t="e" cm="1">
        <f t="array" aca="1" ref="AJ16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AJ$6,$AF16+1)</f>
        <v>#REF!</v>
      </c>
      <c r="AK16" s="3" t="e" cm="1">
        <f t="array" aca="1" ref="AK16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AK$6,$AF16+1)</f>
        <v>#REF!</v>
      </c>
      <c r="AL16" s="3" t="e" cm="1">
        <f t="array" aca="1" ref="AL16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AL$6,$AF16+1)</f>
        <v>#REF!</v>
      </c>
      <c r="AM16" s="3" t="e">
        <f t="shared" ca="1" si="11"/>
        <v>#REF!</v>
      </c>
    </row>
    <row r="17" spans="1:39" x14ac:dyDescent="0.85">
      <c r="A17">
        <f t="shared" si="4"/>
        <v>2033</v>
      </c>
      <c r="B17">
        <f t="shared" si="4"/>
        <v>9</v>
      </c>
      <c r="C17" s="3" t="e" cm="1">
        <f t="array" aca="1" ref="C17" ca="1">$B$4 *
INDIRECT("Include_" &amp; $A$3)*INDIRECT("Include_" &amp; C$7)*
OFFSET(INDIRECT(Region_abbr &amp; "!A1"), $B$5 + C$6,$B17+1)</f>
        <v>#REF!</v>
      </c>
      <c r="D17" s="3" t="e" cm="1">
        <f t="array" aca="1" ref="D17" ca="1">$B$4 *
INDIRECT("Include_" &amp; $A$3)*INDIRECT("Include_" &amp; D$7)*
OFFSET(INDIRECT(Region_abbr &amp; "!A1"), $B$5 + D$6,$B17+1)</f>
        <v>#REF!</v>
      </c>
      <c r="E17" s="3" t="e" cm="1">
        <f t="array" aca="1" ref="E17" ca="1">$B$4 *
INDIRECT("Include_" &amp; $A$3)*INDIRECT("Include_" &amp; E$7)*
OFFSET(INDIRECT(Region_abbr &amp; "!A1"), $B$5 + E$6,$B17+1)</f>
        <v>#REF!</v>
      </c>
      <c r="F17" s="3" t="e" cm="1">
        <f t="array" aca="1" ref="F17" ca="1">$B$4 *
INDIRECT("Include_" &amp; $A$3)*INDIRECT("Include_" &amp; F$7)*
OFFSET(INDIRECT(Region_abbr &amp; "!A1"), $B$5 + F$6,$B17+1)</f>
        <v>#REF!</v>
      </c>
      <c r="G17" s="3" t="e" cm="1">
        <f t="array" aca="1" ref="G17" ca="1">$B$4 *
INDIRECT("Include_" &amp; $A$3)*INDIRECT("Include_" &amp; G$7)*
OFFSET(INDIRECT(Region_abbr &amp; "!A1"), $B$5 + G$6,$B17+1)</f>
        <v>#REF!</v>
      </c>
      <c r="H17" s="3" t="e" cm="1">
        <f t="array" aca="1" ref="H17" ca="1">$B$4 *
INDIRECT("Include_" &amp; $A$3)*INDIRECT("Include_" &amp; H$7)*
OFFSET(INDIRECT(Region_abbr &amp; "!A1"), $B$5 + H$6,$B17+1)</f>
        <v>#REF!</v>
      </c>
      <c r="I17" s="3" t="e">
        <f t="shared" ca="1" si="5"/>
        <v>#REF!</v>
      </c>
      <c r="K17">
        <f t="shared" ref="K17:L17" si="33">K16+1</f>
        <v>2033</v>
      </c>
      <c r="L17">
        <f t="shared" si="33"/>
        <v>9</v>
      </c>
      <c r="M17" s="3" t="e" cm="1">
        <f t="array" aca="1" ref="M17" ca="1">$L$4 *
INDIRECT("Include_" &amp; $K$3)*INDIRECT("Include_" &amp; M$7)*
OFFSET(INDIRECT(Region_abbr &amp; "!A1"), $L$5 + M$6,$L17+1)</f>
        <v>#REF!</v>
      </c>
      <c r="N17" s="3" t="e" cm="1">
        <f t="array" aca="1" ref="N17" ca="1">$L$4 *
INDIRECT("Include_" &amp; $K$3)*INDIRECT("Include_" &amp; N$7)*
OFFSET(INDIRECT(Region_abbr &amp; "!A1"), $L$5 + N$6,$L17+1)</f>
        <v>#REF!</v>
      </c>
      <c r="O17" s="3" t="e" cm="1">
        <f t="array" aca="1" ref="O17" ca="1">$L$4 *
INDIRECT("Include_" &amp; $K$3)*INDIRECT("Include_" &amp; O$7)*
OFFSET(INDIRECT(Region_abbr &amp; "!A1"), $L$5 + O$6,$L17+1)</f>
        <v>#REF!</v>
      </c>
      <c r="P17" s="3" t="e" cm="1">
        <f t="array" aca="1" ref="P17" ca="1">$L$4 *
INDIRECT("Include_" &amp; $K$3)*INDIRECT("Include_" &amp; P$7)*
OFFSET(INDIRECT(Region_abbr &amp; "!A1"), $L$5 + P$6,$L17+1)</f>
        <v>#REF!</v>
      </c>
      <c r="Q17" s="3" t="e" cm="1">
        <f t="array" aca="1" ref="Q17" ca="1">$L$4 *
INDIRECT("Include_" &amp; $K$3)*INDIRECT("Include_" &amp; Q$7)*
OFFSET(INDIRECT(Region_abbr &amp; "!A1"), $L$5 + Q$6,$L17+1)</f>
        <v>#REF!</v>
      </c>
      <c r="R17" s="3" t="e" cm="1">
        <f t="array" aca="1" ref="R17" ca="1">$L$4 *
INDIRECT("Include_" &amp; $K$3)*INDIRECT("Include_" &amp; R$7)*
OFFSET(INDIRECT(Region_abbr &amp; "!A1"), $L$5 + R$6,$L17+1)</f>
        <v>#REF!</v>
      </c>
      <c r="S17" s="3" t="e">
        <f t="shared" ca="1" si="7"/>
        <v>#REF!</v>
      </c>
      <c r="U17">
        <f t="shared" ref="U17:V17" si="34">U16+1</f>
        <v>2033</v>
      </c>
      <c r="V17">
        <f t="shared" si="34"/>
        <v>9</v>
      </c>
      <c r="W17" s="3" t="e" cm="1">
        <f t="array" aca="1" ref="W17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W$6,$V17+1)</f>
        <v>#REF!</v>
      </c>
      <c r="X17" s="3" t="e" cm="1">
        <f t="array" aca="1" ref="X17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X$6,$V17+1)</f>
        <v>#REF!</v>
      </c>
      <c r="Y17" s="3" t="e" cm="1">
        <f t="array" aca="1" ref="Y17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Y$6,$V17+1)</f>
        <v>#REF!</v>
      </c>
      <c r="Z17" s="3" t="e" cm="1">
        <f t="array" aca="1" ref="Z17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Z$6,$V17+1)</f>
        <v>#REF!</v>
      </c>
      <c r="AA17" s="3" t="e" cm="1">
        <f t="array" aca="1" ref="AA17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AA$6,$V17+1)</f>
        <v>#REF!</v>
      </c>
      <c r="AB17" s="3" t="e" cm="1">
        <f t="array" aca="1" ref="AB17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AB$6,$V17+1)</f>
        <v>#REF!</v>
      </c>
      <c r="AC17" s="3" t="e">
        <f t="shared" ca="1" si="9"/>
        <v>#REF!</v>
      </c>
      <c r="AE17">
        <f t="shared" ref="AE17:AF17" si="35">AE16+1</f>
        <v>2033</v>
      </c>
      <c r="AF17">
        <f t="shared" si="35"/>
        <v>9</v>
      </c>
      <c r="AG17" s="3" t="e" cm="1">
        <f t="array" aca="1" ref="AG17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AG$6,$AF17+1)</f>
        <v>#REF!</v>
      </c>
      <c r="AH17" s="3" t="e" cm="1">
        <f t="array" aca="1" ref="AH17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AH$6,$AF17+1)</f>
        <v>#REF!</v>
      </c>
      <c r="AI17" s="3" t="e" cm="1">
        <f t="array" aca="1" ref="AI17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AI$6,$AF17+1)</f>
        <v>#REF!</v>
      </c>
      <c r="AJ17" s="3" t="e" cm="1">
        <f t="array" aca="1" ref="AJ17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AJ$6,$AF17+1)</f>
        <v>#REF!</v>
      </c>
      <c r="AK17" s="3" t="e" cm="1">
        <f t="array" aca="1" ref="AK17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AK$6,$AF17+1)</f>
        <v>#REF!</v>
      </c>
      <c r="AL17" s="3" t="e" cm="1">
        <f t="array" aca="1" ref="AL17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AL$6,$AF17+1)</f>
        <v>#REF!</v>
      </c>
      <c r="AM17" s="3" t="e">
        <f t="shared" ca="1" si="11"/>
        <v>#REF!</v>
      </c>
    </row>
    <row r="18" spans="1:39" x14ac:dyDescent="0.85">
      <c r="A18">
        <f t="shared" si="4"/>
        <v>2034</v>
      </c>
      <c r="B18">
        <f t="shared" si="4"/>
        <v>10</v>
      </c>
      <c r="C18" s="3" t="e" cm="1">
        <f t="array" aca="1" ref="C18" ca="1">$B$4 *
INDIRECT("Include_" &amp; $A$3)*INDIRECT("Include_" &amp; C$7)*
OFFSET(INDIRECT(Region_abbr &amp; "!A1"), $B$5 + C$6,$B18+1)</f>
        <v>#REF!</v>
      </c>
      <c r="D18" s="3" t="e" cm="1">
        <f t="array" aca="1" ref="D18" ca="1">$B$4 *
INDIRECT("Include_" &amp; $A$3)*INDIRECT("Include_" &amp; D$7)*
OFFSET(INDIRECT(Region_abbr &amp; "!A1"), $B$5 + D$6,$B18+1)</f>
        <v>#REF!</v>
      </c>
      <c r="E18" s="3" t="e" cm="1">
        <f t="array" aca="1" ref="E18" ca="1">$B$4 *
INDIRECT("Include_" &amp; $A$3)*INDIRECT("Include_" &amp; E$7)*
OFFSET(INDIRECT(Region_abbr &amp; "!A1"), $B$5 + E$6,$B18+1)</f>
        <v>#REF!</v>
      </c>
      <c r="F18" s="3" t="e" cm="1">
        <f t="array" aca="1" ref="F18" ca="1">$B$4 *
INDIRECT("Include_" &amp; $A$3)*INDIRECT("Include_" &amp; F$7)*
OFFSET(INDIRECT(Region_abbr &amp; "!A1"), $B$5 + F$6,$B18+1)</f>
        <v>#REF!</v>
      </c>
      <c r="G18" s="3" t="e" cm="1">
        <f t="array" aca="1" ref="G18" ca="1">$B$4 *
INDIRECT("Include_" &amp; $A$3)*INDIRECT("Include_" &amp; G$7)*
OFFSET(INDIRECT(Region_abbr &amp; "!A1"), $B$5 + G$6,$B18+1)</f>
        <v>#REF!</v>
      </c>
      <c r="H18" s="3" t="e" cm="1">
        <f t="array" aca="1" ref="H18" ca="1">$B$4 *
INDIRECT("Include_" &amp; $A$3)*INDIRECT("Include_" &amp; H$7)*
OFFSET(INDIRECT(Region_abbr &amp; "!A1"), $B$5 + H$6,$B18+1)</f>
        <v>#REF!</v>
      </c>
      <c r="I18" s="3" t="e">
        <f t="shared" ca="1" si="5"/>
        <v>#REF!</v>
      </c>
      <c r="K18">
        <f t="shared" ref="K18:L18" si="36">K17+1</f>
        <v>2034</v>
      </c>
      <c r="L18">
        <f t="shared" si="36"/>
        <v>10</v>
      </c>
      <c r="M18" s="3" t="e" cm="1">
        <f t="array" aca="1" ref="M18" ca="1">$L$4 *
INDIRECT("Include_" &amp; $K$3)*INDIRECT("Include_" &amp; M$7)*
OFFSET(INDIRECT(Region_abbr &amp; "!A1"), $L$5 + M$6,$L18+1)</f>
        <v>#REF!</v>
      </c>
      <c r="N18" s="3" t="e" cm="1">
        <f t="array" aca="1" ref="N18" ca="1">$L$4 *
INDIRECT("Include_" &amp; $K$3)*INDIRECT("Include_" &amp; N$7)*
OFFSET(INDIRECT(Region_abbr &amp; "!A1"), $L$5 + N$6,$L18+1)</f>
        <v>#REF!</v>
      </c>
      <c r="O18" s="3" t="e" cm="1">
        <f t="array" aca="1" ref="O18" ca="1">$L$4 *
INDIRECT("Include_" &amp; $K$3)*INDIRECT("Include_" &amp; O$7)*
OFFSET(INDIRECT(Region_abbr &amp; "!A1"), $L$5 + O$6,$L18+1)</f>
        <v>#REF!</v>
      </c>
      <c r="P18" s="3" t="e" cm="1">
        <f t="array" aca="1" ref="P18" ca="1">$L$4 *
INDIRECT("Include_" &amp; $K$3)*INDIRECT("Include_" &amp; P$7)*
OFFSET(INDIRECT(Region_abbr &amp; "!A1"), $L$5 + P$6,$L18+1)</f>
        <v>#REF!</v>
      </c>
      <c r="Q18" s="3" t="e" cm="1">
        <f t="array" aca="1" ref="Q18" ca="1">$L$4 *
INDIRECT("Include_" &amp; $K$3)*INDIRECT("Include_" &amp; Q$7)*
OFFSET(INDIRECT(Region_abbr &amp; "!A1"), $L$5 + Q$6,$L18+1)</f>
        <v>#REF!</v>
      </c>
      <c r="R18" s="3" t="e" cm="1">
        <f t="array" aca="1" ref="R18" ca="1">$L$4 *
INDIRECT("Include_" &amp; $K$3)*INDIRECT("Include_" &amp; R$7)*
OFFSET(INDIRECT(Region_abbr &amp; "!A1"), $L$5 + R$6,$L18+1)</f>
        <v>#REF!</v>
      </c>
      <c r="S18" s="3" t="e">
        <f t="shared" ca="1" si="7"/>
        <v>#REF!</v>
      </c>
      <c r="U18">
        <f t="shared" ref="U18:V18" si="37">U17+1</f>
        <v>2034</v>
      </c>
      <c r="V18">
        <f t="shared" si="37"/>
        <v>10</v>
      </c>
      <c r="W18" s="3" t="e" cm="1">
        <f t="array" aca="1" ref="W18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W$6,$V18+1)</f>
        <v>#REF!</v>
      </c>
      <c r="X18" s="3" t="e" cm="1">
        <f t="array" aca="1" ref="X18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X$6,$V18+1)</f>
        <v>#REF!</v>
      </c>
      <c r="Y18" s="3" t="e" cm="1">
        <f t="array" aca="1" ref="Y18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Y$6,$V18+1)</f>
        <v>#REF!</v>
      </c>
      <c r="Z18" s="3" t="e" cm="1">
        <f t="array" aca="1" ref="Z18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Z$6,$V18+1)</f>
        <v>#REF!</v>
      </c>
      <c r="AA18" s="3" t="e" cm="1">
        <f t="array" aca="1" ref="AA18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AA$6,$V18+1)</f>
        <v>#REF!</v>
      </c>
      <c r="AB18" s="3" t="e" cm="1">
        <f t="array" aca="1" ref="AB18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AB$6,$V18+1)</f>
        <v>#REF!</v>
      </c>
      <c r="AC18" s="3" t="e">
        <f t="shared" ca="1" si="9"/>
        <v>#REF!</v>
      </c>
      <c r="AE18">
        <f t="shared" ref="AE18:AF18" si="38">AE17+1</f>
        <v>2034</v>
      </c>
      <c r="AF18">
        <f t="shared" si="38"/>
        <v>10</v>
      </c>
      <c r="AG18" s="3" t="e" cm="1">
        <f t="array" aca="1" ref="AG18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AG$6,$AF18+1)</f>
        <v>#REF!</v>
      </c>
      <c r="AH18" s="3" t="e" cm="1">
        <f t="array" aca="1" ref="AH18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AH$6,$AF18+1)</f>
        <v>#REF!</v>
      </c>
      <c r="AI18" s="3" t="e" cm="1">
        <f t="array" aca="1" ref="AI18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AI$6,$AF18+1)</f>
        <v>#REF!</v>
      </c>
      <c r="AJ18" s="3" t="e" cm="1">
        <f t="array" aca="1" ref="AJ18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AJ$6,$AF18+1)</f>
        <v>#REF!</v>
      </c>
      <c r="AK18" s="3" t="e" cm="1">
        <f t="array" aca="1" ref="AK18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AK$6,$AF18+1)</f>
        <v>#REF!</v>
      </c>
      <c r="AL18" s="3" t="e" cm="1">
        <f t="array" aca="1" ref="AL18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AL$6,$AF18+1)</f>
        <v>#REF!</v>
      </c>
      <c r="AM18" s="3" t="e">
        <f t="shared" ca="1" si="11"/>
        <v>#REF!</v>
      </c>
    </row>
    <row r="19" spans="1:39" x14ac:dyDescent="0.85">
      <c r="A19">
        <f t="shared" si="4"/>
        <v>2035</v>
      </c>
      <c r="B19">
        <f t="shared" si="4"/>
        <v>11</v>
      </c>
      <c r="C19" s="3" t="e" cm="1">
        <f t="array" aca="1" ref="C19" ca="1">$B$4 *
INDIRECT("Include_" &amp; $A$3)*INDIRECT("Include_" &amp; C$7)*
OFFSET(INDIRECT(Region_abbr &amp; "!A1"), $B$5 + C$6,$B19+1)</f>
        <v>#REF!</v>
      </c>
      <c r="D19" s="3" t="e" cm="1">
        <f t="array" aca="1" ref="D19" ca="1">$B$4 *
INDIRECT("Include_" &amp; $A$3)*INDIRECT("Include_" &amp; D$7)*
OFFSET(INDIRECT(Region_abbr &amp; "!A1"), $B$5 + D$6,$B19+1)</f>
        <v>#REF!</v>
      </c>
      <c r="E19" s="3" t="e" cm="1">
        <f t="array" aca="1" ref="E19" ca="1">$B$4 *
INDIRECT("Include_" &amp; $A$3)*INDIRECT("Include_" &amp; E$7)*
OFFSET(INDIRECT(Region_abbr &amp; "!A1"), $B$5 + E$6,$B19+1)</f>
        <v>#REF!</v>
      </c>
      <c r="F19" s="3" t="e" cm="1">
        <f t="array" aca="1" ref="F19" ca="1">$B$4 *
INDIRECT("Include_" &amp; $A$3)*INDIRECT("Include_" &amp; F$7)*
OFFSET(INDIRECT(Region_abbr &amp; "!A1"), $B$5 + F$6,$B19+1)</f>
        <v>#REF!</v>
      </c>
      <c r="G19" s="3" t="e" cm="1">
        <f t="array" aca="1" ref="G19" ca="1">$B$4 *
INDIRECT("Include_" &amp; $A$3)*INDIRECT("Include_" &amp; G$7)*
OFFSET(INDIRECT(Region_abbr &amp; "!A1"), $B$5 + G$6,$B19+1)</f>
        <v>#REF!</v>
      </c>
      <c r="H19" s="3" t="e" cm="1">
        <f t="array" aca="1" ref="H19" ca="1">$B$4 *
INDIRECT("Include_" &amp; $A$3)*INDIRECT("Include_" &amp; H$7)*
OFFSET(INDIRECT(Region_abbr &amp; "!A1"), $B$5 + H$6,$B19+1)</f>
        <v>#REF!</v>
      </c>
      <c r="I19" s="3" t="e">
        <f t="shared" ca="1" si="5"/>
        <v>#REF!</v>
      </c>
      <c r="K19">
        <f t="shared" ref="K19:L19" si="39">K18+1</f>
        <v>2035</v>
      </c>
      <c r="L19">
        <f t="shared" si="39"/>
        <v>11</v>
      </c>
      <c r="M19" s="3" t="e" cm="1">
        <f t="array" aca="1" ref="M19" ca="1">$L$4 *
INDIRECT("Include_" &amp; $K$3)*INDIRECT("Include_" &amp; M$7)*
OFFSET(INDIRECT(Region_abbr &amp; "!A1"), $L$5 + M$6,$L19+1)</f>
        <v>#REF!</v>
      </c>
      <c r="N19" s="3" t="e" cm="1">
        <f t="array" aca="1" ref="N19" ca="1">$L$4 *
INDIRECT("Include_" &amp; $K$3)*INDIRECT("Include_" &amp; N$7)*
OFFSET(INDIRECT(Region_abbr &amp; "!A1"), $L$5 + N$6,$L19+1)</f>
        <v>#REF!</v>
      </c>
      <c r="O19" s="3" t="e" cm="1">
        <f t="array" aca="1" ref="O19" ca="1">$L$4 *
INDIRECT("Include_" &amp; $K$3)*INDIRECT("Include_" &amp; O$7)*
OFFSET(INDIRECT(Region_abbr &amp; "!A1"), $L$5 + O$6,$L19+1)</f>
        <v>#REF!</v>
      </c>
      <c r="P19" s="3" t="e" cm="1">
        <f t="array" aca="1" ref="P19" ca="1">$L$4 *
INDIRECT("Include_" &amp; $K$3)*INDIRECT("Include_" &amp; P$7)*
OFFSET(INDIRECT(Region_abbr &amp; "!A1"), $L$5 + P$6,$L19+1)</f>
        <v>#REF!</v>
      </c>
      <c r="Q19" s="3" t="e" cm="1">
        <f t="array" aca="1" ref="Q19" ca="1">$L$4 *
INDIRECT("Include_" &amp; $K$3)*INDIRECT("Include_" &amp; Q$7)*
OFFSET(INDIRECT(Region_abbr &amp; "!A1"), $L$5 + Q$6,$L19+1)</f>
        <v>#REF!</v>
      </c>
      <c r="R19" s="3" t="e" cm="1">
        <f t="array" aca="1" ref="R19" ca="1">$L$4 *
INDIRECT("Include_" &amp; $K$3)*INDIRECT("Include_" &amp; R$7)*
OFFSET(INDIRECT(Region_abbr &amp; "!A1"), $L$5 + R$6,$L19+1)</f>
        <v>#REF!</v>
      </c>
      <c r="S19" s="3" t="e">
        <f t="shared" ca="1" si="7"/>
        <v>#REF!</v>
      </c>
      <c r="U19">
        <f t="shared" ref="U19:V19" si="40">U18+1</f>
        <v>2035</v>
      </c>
      <c r="V19">
        <f t="shared" si="40"/>
        <v>11</v>
      </c>
      <c r="W19" s="3" t="e" cm="1">
        <f t="array" aca="1" ref="W19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W$6,$V19+1)</f>
        <v>#REF!</v>
      </c>
      <c r="X19" s="3" t="e" cm="1">
        <f t="array" aca="1" ref="X19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X$6,$V19+1)</f>
        <v>#REF!</v>
      </c>
      <c r="Y19" s="3" t="e" cm="1">
        <f t="array" aca="1" ref="Y19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Y$6,$V19+1)</f>
        <v>#REF!</v>
      </c>
      <c r="Z19" s="3" t="e" cm="1">
        <f t="array" aca="1" ref="Z19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Z$6,$V19+1)</f>
        <v>#REF!</v>
      </c>
      <c r="AA19" s="3" t="e" cm="1">
        <f t="array" aca="1" ref="AA19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AA$6,$V19+1)</f>
        <v>#REF!</v>
      </c>
      <c r="AB19" s="3" t="e" cm="1">
        <f t="array" aca="1" ref="AB19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AB$6,$V19+1)</f>
        <v>#REF!</v>
      </c>
      <c r="AC19" s="3" t="e">
        <f t="shared" ca="1" si="9"/>
        <v>#REF!</v>
      </c>
      <c r="AE19">
        <f t="shared" ref="AE19:AF19" si="41">AE18+1</f>
        <v>2035</v>
      </c>
      <c r="AF19">
        <f t="shared" si="41"/>
        <v>11</v>
      </c>
      <c r="AG19" s="3" t="e" cm="1">
        <f t="array" aca="1" ref="AG19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AG$6,$AF19+1)</f>
        <v>#REF!</v>
      </c>
      <c r="AH19" s="3" t="e" cm="1">
        <f t="array" aca="1" ref="AH19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AH$6,$AF19+1)</f>
        <v>#REF!</v>
      </c>
      <c r="AI19" s="3" t="e" cm="1">
        <f t="array" aca="1" ref="AI19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AI$6,$AF19+1)</f>
        <v>#REF!</v>
      </c>
      <c r="AJ19" s="3" t="e" cm="1">
        <f t="array" aca="1" ref="AJ19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AJ$6,$AF19+1)</f>
        <v>#REF!</v>
      </c>
      <c r="AK19" s="3" t="e" cm="1">
        <f t="array" aca="1" ref="AK19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AK$6,$AF19+1)</f>
        <v>#REF!</v>
      </c>
      <c r="AL19" s="3" t="e" cm="1">
        <f t="array" aca="1" ref="AL19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AL$6,$AF19+1)</f>
        <v>#REF!</v>
      </c>
      <c r="AM19" s="3" t="e">
        <f t="shared" ca="1" si="11"/>
        <v>#REF!</v>
      </c>
    </row>
    <row r="20" spans="1:39" x14ac:dyDescent="0.85">
      <c r="A20">
        <f t="shared" si="4"/>
        <v>2036</v>
      </c>
      <c r="B20">
        <f t="shared" si="4"/>
        <v>12</v>
      </c>
      <c r="C20" s="3" t="e" cm="1">
        <f t="array" aca="1" ref="C20" ca="1">$B$4 *
INDIRECT("Include_" &amp; $A$3)*INDIRECT("Include_" &amp; C$7)*
OFFSET(INDIRECT(Region_abbr &amp; "!A1"), $B$5 + C$6,$B20+1)</f>
        <v>#REF!</v>
      </c>
      <c r="D20" s="3" t="e" cm="1">
        <f t="array" aca="1" ref="D20" ca="1">$B$4 *
INDIRECT("Include_" &amp; $A$3)*INDIRECT("Include_" &amp; D$7)*
OFFSET(INDIRECT(Region_abbr &amp; "!A1"), $B$5 + D$6,$B20+1)</f>
        <v>#REF!</v>
      </c>
      <c r="E20" s="3" t="e" cm="1">
        <f t="array" aca="1" ref="E20" ca="1">$B$4 *
INDIRECT("Include_" &amp; $A$3)*INDIRECT("Include_" &amp; E$7)*
OFFSET(INDIRECT(Region_abbr &amp; "!A1"), $B$5 + E$6,$B20+1)</f>
        <v>#REF!</v>
      </c>
      <c r="F20" s="3" t="e" cm="1">
        <f t="array" aca="1" ref="F20" ca="1">$B$4 *
INDIRECT("Include_" &amp; $A$3)*INDIRECT("Include_" &amp; F$7)*
OFFSET(INDIRECT(Region_abbr &amp; "!A1"), $B$5 + F$6,$B20+1)</f>
        <v>#REF!</v>
      </c>
      <c r="G20" s="3" t="e" cm="1">
        <f t="array" aca="1" ref="G20" ca="1">$B$4 *
INDIRECT("Include_" &amp; $A$3)*INDIRECT("Include_" &amp; G$7)*
OFFSET(INDIRECT(Region_abbr &amp; "!A1"), $B$5 + G$6,$B20+1)</f>
        <v>#REF!</v>
      </c>
      <c r="H20" s="3" t="e" cm="1">
        <f t="array" aca="1" ref="H20" ca="1">$B$4 *
INDIRECT("Include_" &amp; $A$3)*INDIRECT("Include_" &amp; H$7)*
OFFSET(INDIRECT(Region_abbr &amp; "!A1"), $B$5 + H$6,$B20+1)</f>
        <v>#REF!</v>
      </c>
      <c r="I20" s="3" t="e">
        <f t="shared" ca="1" si="5"/>
        <v>#REF!</v>
      </c>
      <c r="K20">
        <f t="shared" ref="K20:L20" si="42">K19+1</f>
        <v>2036</v>
      </c>
      <c r="L20">
        <f t="shared" si="42"/>
        <v>12</v>
      </c>
      <c r="M20" s="3" t="e" cm="1">
        <f t="array" aca="1" ref="M20" ca="1">$L$4 *
INDIRECT("Include_" &amp; $K$3)*INDIRECT("Include_" &amp; M$7)*
OFFSET(INDIRECT(Region_abbr &amp; "!A1"), $L$5 + M$6,$L20+1)</f>
        <v>#REF!</v>
      </c>
      <c r="N20" s="3" t="e" cm="1">
        <f t="array" aca="1" ref="N20" ca="1">$L$4 *
INDIRECT("Include_" &amp; $K$3)*INDIRECT("Include_" &amp; N$7)*
OFFSET(INDIRECT(Region_abbr &amp; "!A1"), $L$5 + N$6,$L20+1)</f>
        <v>#REF!</v>
      </c>
      <c r="O20" s="3" t="e" cm="1">
        <f t="array" aca="1" ref="O20" ca="1">$L$4 *
INDIRECT("Include_" &amp; $K$3)*INDIRECT("Include_" &amp; O$7)*
OFFSET(INDIRECT(Region_abbr &amp; "!A1"), $L$5 + O$6,$L20+1)</f>
        <v>#REF!</v>
      </c>
      <c r="P20" s="3" t="e" cm="1">
        <f t="array" aca="1" ref="P20" ca="1">$L$4 *
INDIRECT("Include_" &amp; $K$3)*INDIRECT("Include_" &amp; P$7)*
OFFSET(INDIRECT(Region_abbr &amp; "!A1"), $L$5 + P$6,$L20+1)</f>
        <v>#REF!</v>
      </c>
      <c r="Q20" s="3" t="e" cm="1">
        <f t="array" aca="1" ref="Q20" ca="1">$L$4 *
INDIRECT("Include_" &amp; $K$3)*INDIRECT("Include_" &amp; Q$7)*
OFFSET(INDIRECT(Region_abbr &amp; "!A1"), $L$5 + Q$6,$L20+1)</f>
        <v>#REF!</v>
      </c>
      <c r="R20" s="3" t="e" cm="1">
        <f t="array" aca="1" ref="R20" ca="1">$L$4 *
INDIRECT("Include_" &amp; $K$3)*INDIRECT("Include_" &amp; R$7)*
OFFSET(INDIRECT(Region_abbr &amp; "!A1"), $L$5 + R$6,$L20+1)</f>
        <v>#REF!</v>
      </c>
      <c r="S20" s="3" t="e">
        <f t="shared" ca="1" si="7"/>
        <v>#REF!</v>
      </c>
      <c r="U20">
        <f t="shared" ref="U20:V20" si="43">U19+1</f>
        <v>2036</v>
      </c>
      <c r="V20">
        <f t="shared" si="43"/>
        <v>12</v>
      </c>
      <c r="W20" s="3" t="e" cm="1">
        <f t="array" aca="1" ref="W20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W$6,$V20+1)</f>
        <v>#REF!</v>
      </c>
      <c r="X20" s="3" t="e" cm="1">
        <f t="array" aca="1" ref="X20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X$6,$V20+1)</f>
        <v>#REF!</v>
      </c>
      <c r="Y20" s="3" t="e" cm="1">
        <f t="array" aca="1" ref="Y20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Y$6,$V20+1)</f>
        <v>#REF!</v>
      </c>
      <c r="Z20" s="3" t="e" cm="1">
        <f t="array" aca="1" ref="Z20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Z$6,$V20+1)</f>
        <v>#REF!</v>
      </c>
      <c r="AA20" s="3" t="e" cm="1">
        <f t="array" aca="1" ref="AA20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AA$6,$V20+1)</f>
        <v>#REF!</v>
      </c>
      <c r="AB20" s="3" t="e" cm="1">
        <f t="array" aca="1" ref="AB20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AB$6,$V20+1)</f>
        <v>#REF!</v>
      </c>
      <c r="AC20" s="3" t="e">
        <f t="shared" ca="1" si="9"/>
        <v>#REF!</v>
      </c>
      <c r="AE20">
        <f t="shared" ref="AE20:AF20" si="44">AE19+1</f>
        <v>2036</v>
      </c>
      <c r="AF20">
        <f t="shared" si="44"/>
        <v>12</v>
      </c>
      <c r="AG20" s="3" t="e" cm="1">
        <f t="array" aca="1" ref="AG20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AG$6,$AF20+1)</f>
        <v>#REF!</v>
      </c>
      <c r="AH20" s="3" t="e" cm="1">
        <f t="array" aca="1" ref="AH20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AH$6,$AF20+1)</f>
        <v>#REF!</v>
      </c>
      <c r="AI20" s="3" t="e" cm="1">
        <f t="array" aca="1" ref="AI20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AI$6,$AF20+1)</f>
        <v>#REF!</v>
      </c>
      <c r="AJ20" s="3" t="e" cm="1">
        <f t="array" aca="1" ref="AJ20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AJ$6,$AF20+1)</f>
        <v>#REF!</v>
      </c>
      <c r="AK20" s="3" t="e" cm="1">
        <f t="array" aca="1" ref="AK20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AK$6,$AF20+1)</f>
        <v>#REF!</v>
      </c>
      <c r="AL20" s="3" t="e" cm="1">
        <f t="array" aca="1" ref="AL20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AL$6,$AF20+1)</f>
        <v>#REF!</v>
      </c>
      <c r="AM20" s="3" t="e">
        <f t="shared" ca="1" si="11"/>
        <v>#REF!</v>
      </c>
    </row>
    <row r="21" spans="1:39" x14ac:dyDescent="0.85">
      <c r="A21">
        <f t="shared" si="4"/>
        <v>2037</v>
      </c>
      <c r="B21">
        <f t="shared" si="4"/>
        <v>13</v>
      </c>
      <c r="C21" s="3" t="e" cm="1">
        <f t="array" aca="1" ref="C21" ca="1">$B$4 *
INDIRECT("Include_" &amp; $A$3)*INDIRECT("Include_" &amp; C$7)*
OFFSET(INDIRECT(Region_abbr &amp; "!A1"), $B$5 + C$6,$B21+1)</f>
        <v>#REF!</v>
      </c>
      <c r="D21" s="3" t="e" cm="1">
        <f t="array" aca="1" ref="D21" ca="1">$B$4 *
INDIRECT("Include_" &amp; $A$3)*INDIRECT("Include_" &amp; D$7)*
OFFSET(INDIRECT(Region_abbr &amp; "!A1"), $B$5 + D$6,$B21+1)</f>
        <v>#REF!</v>
      </c>
      <c r="E21" s="3" t="e" cm="1">
        <f t="array" aca="1" ref="E21" ca="1">$B$4 *
INDIRECT("Include_" &amp; $A$3)*INDIRECT("Include_" &amp; E$7)*
OFFSET(INDIRECT(Region_abbr &amp; "!A1"), $B$5 + E$6,$B21+1)</f>
        <v>#REF!</v>
      </c>
      <c r="F21" s="3" t="e" cm="1">
        <f t="array" aca="1" ref="F21" ca="1">$B$4 *
INDIRECT("Include_" &amp; $A$3)*INDIRECT("Include_" &amp; F$7)*
OFFSET(INDIRECT(Region_abbr &amp; "!A1"), $B$5 + F$6,$B21+1)</f>
        <v>#REF!</v>
      </c>
      <c r="G21" s="3" t="e" cm="1">
        <f t="array" aca="1" ref="G21" ca="1">$B$4 *
INDIRECT("Include_" &amp; $A$3)*INDIRECT("Include_" &amp; G$7)*
OFFSET(INDIRECT(Region_abbr &amp; "!A1"), $B$5 + G$6,$B21+1)</f>
        <v>#REF!</v>
      </c>
      <c r="H21" s="3" t="e" cm="1">
        <f t="array" aca="1" ref="H21" ca="1">$B$4 *
INDIRECT("Include_" &amp; $A$3)*INDIRECT("Include_" &amp; H$7)*
OFFSET(INDIRECT(Region_abbr &amp; "!A1"), $B$5 + H$6,$B21+1)</f>
        <v>#REF!</v>
      </c>
      <c r="I21" s="3" t="e">
        <f t="shared" ca="1" si="5"/>
        <v>#REF!</v>
      </c>
      <c r="K21">
        <f t="shared" ref="K21:L21" si="45">K20+1</f>
        <v>2037</v>
      </c>
      <c r="L21">
        <f t="shared" si="45"/>
        <v>13</v>
      </c>
      <c r="M21" s="3" t="e" cm="1">
        <f t="array" aca="1" ref="M21" ca="1">$L$4 *
INDIRECT("Include_" &amp; $K$3)*INDIRECT("Include_" &amp; M$7)*
OFFSET(INDIRECT(Region_abbr &amp; "!A1"), $L$5 + M$6,$L21+1)</f>
        <v>#REF!</v>
      </c>
      <c r="N21" s="3" t="e" cm="1">
        <f t="array" aca="1" ref="N21" ca="1">$L$4 *
INDIRECT("Include_" &amp; $K$3)*INDIRECT("Include_" &amp; N$7)*
OFFSET(INDIRECT(Region_abbr &amp; "!A1"), $L$5 + N$6,$L21+1)</f>
        <v>#REF!</v>
      </c>
      <c r="O21" s="3" t="e" cm="1">
        <f t="array" aca="1" ref="O21" ca="1">$L$4 *
INDIRECT("Include_" &amp; $K$3)*INDIRECT("Include_" &amp; O$7)*
OFFSET(INDIRECT(Region_abbr &amp; "!A1"), $L$5 + O$6,$L21+1)</f>
        <v>#REF!</v>
      </c>
      <c r="P21" s="3" t="e" cm="1">
        <f t="array" aca="1" ref="P21" ca="1">$L$4 *
INDIRECT("Include_" &amp; $K$3)*INDIRECT("Include_" &amp; P$7)*
OFFSET(INDIRECT(Region_abbr &amp; "!A1"), $L$5 + P$6,$L21+1)</f>
        <v>#REF!</v>
      </c>
      <c r="Q21" s="3" t="e" cm="1">
        <f t="array" aca="1" ref="Q21" ca="1">$L$4 *
INDIRECT("Include_" &amp; $K$3)*INDIRECT("Include_" &amp; Q$7)*
OFFSET(INDIRECT(Region_abbr &amp; "!A1"), $L$5 + Q$6,$L21+1)</f>
        <v>#REF!</v>
      </c>
      <c r="R21" s="3" t="e" cm="1">
        <f t="array" aca="1" ref="R21" ca="1">$L$4 *
INDIRECT("Include_" &amp; $K$3)*INDIRECT("Include_" &amp; R$7)*
OFFSET(INDIRECT(Region_abbr &amp; "!A1"), $L$5 + R$6,$L21+1)</f>
        <v>#REF!</v>
      </c>
      <c r="S21" s="3" t="e">
        <f t="shared" ca="1" si="7"/>
        <v>#REF!</v>
      </c>
      <c r="U21">
        <f t="shared" ref="U21:V21" si="46">U20+1</f>
        <v>2037</v>
      </c>
      <c r="V21">
        <f t="shared" si="46"/>
        <v>13</v>
      </c>
      <c r="W21" s="3" t="e" cm="1">
        <f t="array" aca="1" ref="W21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W$6,$V21+1)</f>
        <v>#REF!</v>
      </c>
      <c r="X21" s="3" t="e" cm="1">
        <f t="array" aca="1" ref="X21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X$6,$V21+1)</f>
        <v>#REF!</v>
      </c>
      <c r="Y21" s="3" t="e" cm="1">
        <f t="array" aca="1" ref="Y21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Y$6,$V21+1)</f>
        <v>#REF!</v>
      </c>
      <c r="Z21" s="3" t="e" cm="1">
        <f t="array" aca="1" ref="Z21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Z$6,$V21+1)</f>
        <v>#REF!</v>
      </c>
      <c r="AA21" s="3" t="e" cm="1">
        <f t="array" aca="1" ref="AA21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AA$6,$V21+1)</f>
        <v>#REF!</v>
      </c>
      <c r="AB21" s="3" t="e" cm="1">
        <f t="array" aca="1" ref="AB21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AB$6,$V21+1)</f>
        <v>#REF!</v>
      </c>
      <c r="AC21" s="3" t="e">
        <f t="shared" ca="1" si="9"/>
        <v>#REF!</v>
      </c>
      <c r="AE21">
        <f t="shared" ref="AE21:AF21" si="47">AE20+1</f>
        <v>2037</v>
      </c>
      <c r="AF21">
        <f t="shared" si="47"/>
        <v>13</v>
      </c>
      <c r="AG21" s="3" t="e" cm="1">
        <f t="array" aca="1" ref="AG21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AG$6,$AF21+1)</f>
        <v>#REF!</v>
      </c>
      <c r="AH21" s="3" t="e" cm="1">
        <f t="array" aca="1" ref="AH21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AH$6,$AF21+1)</f>
        <v>#REF!</v>
      </c>
      <c r="AI21" s="3" t="e" cm="1">
        <f t="array" aca="1" ref="AI21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AI$6,$AF21+1)</f>
        <v>#REF!</v>
      </c>
      <c r="AJ21" s="3" t="e" cm="1">
        <f t="array" aca="1" ref="AJ21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AJ$6,$AF21+1)</f>
        <v>#REF!</v>
      </c>
      <c r="AK21" s="3" t="e" cm="1">
        <f t="array" aca="1" ref="AK21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AK$6,$AF21+1)</f>
        <v>#REF!</v>
      </c>
      <c r="AL21" s="3" t="e" cm="1">
        <f t="array" aca="1" ref="AL21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AL$6,$AF21+1)</f>
        <v>#REF!</v>
      </c>
      <c r="AM21" s="3" t="e">
        <f t="shared" ca="1" si="11"/>
        <v>#REF!</v>
      </c>
    </row>
    <row r="22" spans="1:39" x14ac:dyDescent="0.85">
      <c r="A22">
        <f t="shared" si="4"/>
        <v>2038</v>
      </c>
      <c r="B22">
        <f t="shared" si="4"/>
        <v>14</v>
      </c>
      <c r="C22" s="3" t="e" cm="1">
        <f t="array" aca="1" ref="C22" ca="1">$B$4 *
INDIRECT("Include_" &amp; $A$3)*INDIRECT("Include_" &amp; C$7)*
OFFSET(INDIRECT(Region_abbr &amp; "!A1"), $B$5 + C$6,$B22+1)</f>
        <v>#REF!</v>
      </c>
      <c r="D22" s="3" t="e" cm="1">
        <f t="array" aca="1" ref="D22" ca="1">$B$4 *
INDIRECT("Include_" &amp; $A$3)*INDIRECT("Include_" &amp; D$7)*
OFFSET(INDIRECT(Region_abbr &amp; "!A1"), $B$5 + D$6,$B22+1)</f>
        <v>#REF!</v>
      </c>
      <c r="E22" s="3" t="e" cm="1">
        <f t="array" aca="1" ref="E22" ca="1">$B$4 *
INDIRECT("Include_" &amp; $A$3)*INDIRECT("Include_" &amp; E$7)*
OFFSET(INDIRECT(Region_abbr &amp; "!A1"), $B$5 + E$6,$B22+1)</f>
        <v>#REF!</v>
      </c>
      <c r="F22" s="3" t="e" cm="1">
        <f t="array" aca="1" ref="F22" ca="1">$B$4 *
INDIRECT("Include_" &amp; $A$3)*INDIRECT("Include_" &amp; F$7)*
OFFSET(INDIRECT(Region_abbr &amp; "!A1"), $B$5 + F$6,$B22+1)</f>
        <v>#REF!</v>
      </c>
      <c r="G22" s="3" t="e" cm="1">
        <f t="array" aca="1" ref="G22" ca="1">$B$4 *
INDIRECT("Include_" &amp; $A$3)*INDIRECT("Include_" &amp; G$7)*
OFFSET(INDIRECT(Region_abbr &amp; "!A1"), $B$5 + G$6,$B22+1)</f>
        <v>#REF!</v>
      </c>
      <c r="H22" s="3" t="e" cm="1">
        <f t="array" aca="1" ref="H22" ca="1">$B$4 *
INDIRECT("Include_" &amp; $A$3)*INDIRECT("Include_" &amp; H$7)*
OFFSET(INDIRECT(Region_abbr &amp; "!A1"), $B$5 + H$6,$B22+1)</f>
        <v>#REF!</v>
      </c>
      <c r="I22" s="3" t="e">
        <f t="shared" ca="1" si="5"/>
        <v>#REF!</v>
      </c>
      <c r="K22">
        <f t="shared" ref="K22:L22" si="48">K21+1</f>
        <v>2038</v>
      </c>
      <c r="L22">
        <f t="shared" si="48"/>
        <v>14</v>
      </c>
      <c r="M22" s="3" t="e" cm="1">
        <f t="array" aca="1" ref="M22" ca="1">$L$4 *
INDIRECT("Include_" &amp; $K$3)*INDIRECT("Include_" &amp; M$7)*
OFFSET(INDIRECT(Region_abbr &amp; "!A1"), $L$5 + M$6,$L22+1)</f>
        <v>#REF!</v>
      </c>
      <c r="N22" s="3" t="e" cm="1">
        <f t="array" aca="1" ref="N22" ca="1">$L$4 *
INDIRECT("Include_" &amp; $K$3)*INDIRECT("Include_" &amp; N$7)*
OFFSET(INDIRECT(Region_abbr &amp; "!A1"), $L$5 + N$6,$L22+1)</f>
        <v>#REF!</v>
      </c>
      <c r="O22" s="3" t="e" cm="1">
        <f t="array" aca="1" ref="O22" ca="1">$L$4 *
INDIRECT("Include_" &amp; $K$3)*INDIRECT("Include_" &amp; O$7)*
OFFSET(INDIRECT(Region_abbr &amp; "!A1"), $L$5 + O$6,$L22+1)</f>
        <v>#REF!</v>
      </c>
      <c r="P22" s="3" t="e" cm="1">
        <f t="array" aca="1" ref="P22" ca="1">$L$4 *
INDIRECT("Include_" &amp; $K$3)*INDIRECT("Include_" &amp; P$7)*
OFFSET(INDIRECT(Region_abbr &amp; "!A1"), $L$5 + P$6,$L22+1)</f>
        <v>#REF!</v>
      </c>
      <c r="Q22" s="3" t="e" cm="1">
        <f t="array" aca="1" ref="Q22" ca="1">$L$4 *
INDIRECT("Include_" &amp; $K$3)*INDIRECT("Include_" &amp; Q$7)*
OFFSET(INDIRECT(Region_abbr &amp; "!A1"), $L$5 + Q$6,$L22+1)</f>
        <v>#REF!</v>
      </c>
      <c r="R22" s="3" t="e" cm="1">
        <f t="array" aca="1" ref="R22" ca="1">$L$4 *
INDIRECT("Include_" &amp; $K$3)*INDIRECT("Include_" &amp; R$7)*
OFFSET(INDIRECT(Region_abbr &amp; "!A1"), $L$5 + R$6,$L22+1)</f>
        <v>#REF!</v>
      </c>
      <c r="S22" s="3" t="e">
        <f t="shared" ca="1" si="7"/>
        <v>#REF!</v>
      </c>
      <c r="U22">
        <f t="shared" ref="U22:V22" si="49">U21+1</f>
        <v>2038</v>
      </c>
      <c r="V22">
        <f t="shared" si="49"/>
        <v>14</v>
      </c>
      <c r="W22" s="3" t="e" cm="1">
        <f t="array" aca="1" ref="W22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W$6,$V22+1)</f>
        <v>#REF!</v>
      </c>
      <c r="X22" s="3" t="e" cm="1">
        <f t="array" aca="1" ref="X22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X$6,$V22+1)</f>
        <v>#REF!</v>
      </c>
      <c r="Y22" s="3" t="e" cm="1">
        <f t="array" aca="1" ref="Y22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Y$6,$V22+1)</f>
        <v>#REF!</v>
      </c>
      <c r="Z22" s="3" t="e" cm="1">
        <f t="array" aca="1" ref="Z22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Z$6,$V22+1)</f>
        <v>#REF!</v>
      </c>
      <c r="AA22" s="3" t="e" cm="1">
        <f t="array" aca="1" ref="AA22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AA$6,$V22+1)</f>
        <v>#REF!</v>
      </c>
      <c r="AB22" s="3" t="e" cm="1">
        <f t="array" aca="1" ref="AB22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AB$6,$V22+1)</f>
        <v>#REF!</v>
      </c>
      <c r="AC22" s="3" t="e">
        <f t="shared" ca="1" si="9"/>
        <v>#REF!</v>
      </c>
      <c r="AE22">
        <f t="shared" ref="AE22:AF22" si="50">AE21+1</f>
        <v>2038</v>
      </c>
      <c r="AF22">
        <f t="shared" si="50"/>
        <v>14</v>
      </c>
      <c r="AG22" s="3" t="e" cm="1">
        <f t="array" aca="1" ref="AG22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AG$6,$AF22+1)</f>
        <v>#REF!</v>
      </c>
      <c r="AH22" s="3" t="e" cm="1">
        <f t="array" aca="1" ref="AH22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AH$6,$AF22+1)</f>
        <v>#REF!</v>
      </c>
      <c r="AI22" s="3" t="e" cm="1">
        <f t="array" aca="1" ref="AI22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AI$6,$AF22+1)</f>
        <v>#REF!</v>
      </c>
      <c r="AJ22" s="3" t="e" cm="1">
        <f t="array" aca="1" ref="AJ22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AJ$6,$AF22+1)</f>
        <v>#REF!</v>
      </c>
      <c r="AK22" s="3" t="e" cm="1">
        <f t="array" aca="1" ref="AK22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AK$6,$AF22+1)</f>
        <v>#REF!</v>
      </c>
      <c r="AL22" s="3" t="e" cm="1">
        <f t="array" aca="1" ref="AL22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AL$6,$AF22+1)</f>
        <v>#REF!</v>
      </c>
      <c r="AM22" s="3" t="e">
        <f t="shared" ca="1" si="11"/>
        <v>#REF!</v>
      </c>
    </row>
    <row r="23" spans="1:39" x14ac:dyDescent="0.85">
      <c r="A23">
        <f t="shared" si="4"/>
        <v>2039</v>
      </c>
      <c r="B23">
        <f t="shared" si="4"/>
        <v>15</v>
      </c>
      <c r="C23" s="3" t="e" cm="1">
        <f t="array" aca="1" ref="C23" ca="1">$B$4 *
INDIRECT("Include_" &amp; $A$3)*INDIRECT("Include_" &amp; C$7)*
OFFSET(INDIRECT(Region_abbr &amp; "!A1"), $B$5 + C$6,$B23+1)</f>
        <v>#REF!</v>
      </c>
      <c r="D23" s="3" t="e" cm="1">
        <f t="array" aca="1" ref="D23" ca="1">$B$4 *
INDIRECT("Include_" &amp; $A$3)*INDIRECT("Include_" &amp; D$7)*
OFFSET(INDIRECT(Region_abbr &amp; "!A1"), $B$5 + D$6,$B23+1)</f>
        <v>#REF!</v>
      </c>
      <c r="E23" s="3" t="e" cm="1">
        <f t="array" aca="1" ref="E23" ca="1">$B$4 *
INDIRECT("Include_" &amp; $A$3)*INDIRECT("Include_" &amp; E$7)*
OFFSET(INDIRECT(Region_abbr &amp; "!A1"), $B$5 + E$6,$B23+1)</f>
        <v>#REF!</v>
      </c>
      <c r="F23" s="3" t="e" cm="1">
        <f t="array" aca="1" ref="F23" ca="1">$B$4 *
INDIRECT("Include_" &amp; $A$3)*INDIRECT("Include_" &amp; F$7)*
OFFSET(INDIRECT(Region_abbr &amp; "!A1"), $B$5 + F$6,$B23+1)</f>
        <v>#REF!</v>
      </c>
      <c r="G23" s="3" t="e" cm="1">
        <f t="array" aca="1" ref="G23" ca="1">$B$4 *
INDIRECT("Include_" &amp; $A$3)*INDIRECT("Include_" &amp; G$7)*
OFFSET(INDIRECT(Region_abbr &amp; "!A1"), $B$5 + G$6,$B23+1)</f>
        <v>#REF!</v>
      </c>
      <c r="H23" s="3" t="e" cm="1">
        <f t="array" aca="1" ref="H23" ca="1">$B$4 *
INDIRECT("Include_" &amp; $A$3)*INDIRECT("Include_" &amp; H$7)*
OFFSET(INDIRECT(Region_abbr &amp; "!A1"), $B$5 + H$6,$B23+1)</f>
        <v>#REF!</v>
      </c>
      <c r="I23" s="3" t="e">
        <f t="shared" ca="1" si="5"/>
        <v>#REF!</v>
      </c>
      <c r="K23">
        <f t="shared" ref="K23:L23" si="51">K22+1</f>
        <v>2039</v>
      </c>
      <c r="L23">
        <f t="shared" si="51"/>
        <v>15</v>
      </c>
      <c r="M23" s="3" t="e" cm="1">
        <f t="array" aca="1" ref="M23" ca="1">$L$4 *
INDIRECT("Include_" &amp; $K$3)*INDIRECT("Include_" &amp; M$7)*
OFFSET(INDIRECT(Region_abbr &amp; "!A1"), $L$5 + M$6,$L23+1)</f>
        <v>#REF!</v>
      </c>
      <c r="N23" s="3" t="e" cm="1">
        <f t="array" aca="1" ref="N23" ca="1">$L$4 *
INDIRECT("Include_" &amp; $K$3)*INDIRECT("Include_" &amp; N$7)*
OFFSET(INDIRECT(Region_abbr &amp; "!A1"), $L$5 + N$6,$L23+1)</f>
        <v>#REF!</v>
      </c>
      <c r="O23" s="3" t="e" cm="1">
        <f t="array" aca="1" ref="O23" ca="1">$L$4 *
INDIRECT("Include_" &amp; $K$3)*INDIRECT("Include_" &amp; O$7)*
OFFSET(INDIRECT(Region_abbr &amp; "!A1"), $L$5 + O$6,$L23+1)</f>
        <v>#REF!</v>
      </c>
      <c r="P23" s="3" t="e" cm="1">
        <f t="array" aca="1" ref="P23" ca="1">$L$4 *
INDIRECT("Include_" &amp; $K$3)*INDIRECT("Include_" &amp; P$7)*
OFFSET(INDIRECT(Region_abbr &amp; "!A1"), $L$5 + P$6,$L23+1)</f>
        <v>#REF!</v>
      </c>
      <c r="Q23" s="3" t="e" cm="1">
        <f t="array" aca="1" ref="Q23" ca="1">$L$4 *
INDIRECT("Include_" &amp; $K$3)*INDIRECT("Include_" &amp; Q$7)*
OFFSET(INDIRECT(Region_abbr &amp; "!A1"), $L$5 + Q$6,$L23+1)</f>
        <v>#REF!</v>
      </c>
      <c r="R23" s="3" t="e" cm="1">
        <f t="array" aca="1" ref="R23" ca="1">$L$4 *
INDIRECT("Include_" &amp; $K$3)*INDIRECT("Include_" &amp; R$7)*
OFFSET(INDIRECT(Region_abbr &amp; "!A1"), $L$5 + R$6,$L23+1)</f>
        <v>#REF!</v>
      </c>
      <c r="S23" s="3" t="e">
        <f t="shared" ca="1" si="7"/>
        <v>#REF!</v>
      </c>
      <c r="U23">
        <f t="shared" ref="U23:V23" si="52">U22+1</f>
        <v>2039</v>
      </c>
      <c r="V23">
        <f t="shared" si="52"/>
        <v>15</v>
      </c>
      <c r="W23" s="3" t="e" cm="1">
        <f t="array" aca="1" ref="W23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W$6,$V23+1)</f>
        <v>#REF!</v>
      </c>
      <c r="X23" s="3" t="e" cm="1">
        <f t="array" aca="1" ref="X23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X$6,$V23+1)</f>
        <v>#REF!</v>
      </c>
      <c r="Y23" s="3" t="e" cm="1">
        <f t="array" aca="1" ref="Y23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Y$6,$V23+1)</f>
        <v>#REF!</v>
      </c>
      <c r="Z23" s="3" t="e" cm="1">
        <f t="array" aca="1" ref="Z23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Z$6,$V23+1)</f>
        <v>#REF!</v>
      </c>
      <c r="AA23" s="3" t="e" cm="1">
        <f t="array" aca="1" ref="AA23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AA$6,$V23+1)</f>
        <v>#REF!</v>
      </c>
      <c r="AB23" s="3" t="e" cm="1">
        <f t="array" aca="1" ref="AB23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AB$6,$V23+1)</f>
        <v>#REF!</v>
      </c>
      <c r="AC23" s="3" t="e">
        <f t="shared" ca="1" si="9"/>
        <v>#REF!</v>
      </c>
      <c r="AE23">
        <f t="shared" ref="AE23:AF23" si="53">AE22+1</f>
        <v>2039</v>
      </c>
      <c r="AF23">
        <f t="shared" si="53"/>
        <v>15</v>
      </c>
      <c r="AG23" s="3" t="e" cm="1">
        <f t="array" aca="1" ref="AG23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AG$6,$AF23+1)</f>
        <v>#REF!</v>
      </c>
      <c r="AH23" s="3" t="e" cm="1">
        <f t="array" aca="1" ref="AH23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AH$6,$AF23+1)</f>
        <v>#REF!</v>
      </c>
      <c r="AI23" s="3" t="e" cm="1">
        <f t="array" aca="1" ref="AI23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AI$6,$AF23+1)</f>
        <v>#REF!</v>
      </c>
      <c r="AJ23" s="3" t="e" cm="1">
        <f t="array" aca="1" ref="AJ23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AJ$6,$AF23+1)</f>
        <v>#REF!</v>
      </c>
      <c r="AK23" s="3" t="e" cm="1">
        <f t="array" aca="1" ref="AK23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AK$6,$AF23+1)</f>
        <v>#REF!</v>
      </c>
      <c r="AL23" s="3" t="e" cm="1">
        <f t="array" aca="1" ref="AL23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AL$6,$AF23+1)</f>
        <v>#REF!</v>
      </c>
      <c r="AM23" s="3" t="e">
        <f t="shared" ca="1" si="11"/>
        <v>#REF!</v>
      </c>
    </row>
    <row r="24" spans="1:39" x14ac:dyDescent="0.85">
      <c r="A24">
        <f t="shared" si="4"/>
        <v>2040</v>
      </c>
      <c r="B24">
        <f t="shared" si="4"/>
        <v>16</v>
      </c>
      <c r="C24" s="3" t="e" cm="1">
        <f t="array" aca="1" ref="C24" ca="1">$B$4 *
INDIRECT("Include_" &amp; $A$3)*INDIRECT("Include_" &amp; C$7)*
OFFSET(INDIRECT(Region_abbr &amp; "!A1"), $B$5 + C$6,$B24+1)</f>
        <v>#REF!</v>
      </c>
      <c r="D24" s="3" t="e" cm="1">
        <f t="array" aca="1" ref="D24" ca="1">$B$4 *
INDIRECT("Include_" &amp; $A$3)*INDIRECT("Include_" &amp; D$7)*
OFFSET(INDIRECT(Region_abbr &amp; "!A1"), $B$5 + D$6,$B24+1)</f>
        <v>#REF!</v>
      </c>
      <c r="E24" s="3" t="e" cm="1">
        <f t="array" aca="1" ref="E24" ca="1">$B$4 *
INDIRECT("Include_" &amp; $A$3)*INDIRECT("Include_" &amp; E$7)*
OFFSET(INDIRECT(Region_abbr &amp; "!A1"), $B$5 + E$6,$B24+1)</f>
        <v>#REF!</v>
      </c>
      <c r="F24" s="3" t="e" cm="1">
        <f t="array" aca="1" ref="F24" ca="1">$B$4 *
INDIRECT("Include_" &amp; $A$3)*INDIRECT("Include_" &amp; F$7)*
OFFSET(INDIRECT(Region_abbr &amp; "!A1"), $B$5 + F$6,$B24+1)</f>
        <v>#REF!</v>
      </c>
      <c r="G24" s="3" t="e" cm="1">
        <f t="array" aca="1" ref="G24" ca="1">$B$4 *
INDIRECT("Include_" &amp; $A$3)*INDIRECT("Include_" &amp; G$7)*
OFFSET(INDIRECT(Region_abbr &amp; "!A1"), $B$5 + G$6,$B24+1)</f>
        <v>#REF!</v>
      </c>
      <c r="H24" s="3" t="e" cm="1">
        <f t="array" aca="1" ref="H24" ca="1">$B$4 *
INDIRECT("Include_" &amp; $A$3)*INDIRECT("Include_" &amp; H$7)*
OFFSET(INDIRECT(Region_abbr &amp; "!A1"), $B$5 + H$6,$B24+1)</f>
        <v>#REF!</v>
      </c>
      <c r="I24" s="3" t="e">
        <f t="shared" ca="1" si="5"/>
        <v>#REF!</v>
      </c>
      <c r="K24">
        <f t="shared" ref="K24:L24" si="54">K23+1</f>
        <v>2040</v>
      </c>
      <c r="L24">
        <f t="shared" si="54"/>
        <v>16</v>
      </c>
      <c r="M24" s="3" t="e" cm="1">
        <f t="array" aca="1" ref="M24" ca="1">$L$4 *
INDIRECT("Include_" &amp; $K$3)*INDIRECT("Include_" &amp; M$7)*
OFFSET(INDIRECT(Region_abbr &amp; "!A1"), $L$5 + M$6,$L24+1)</f>
        <v>#REF!</v>
      </c>
      <c r="N24" s="3" t="e" cm="1">
        <f t="array" aca="1" ref="N24" ca="1">$L$4 *
INDIRECT("Include_" &amp; $K$3)*INDIRECT("Include_" &amp; N$7)*
OFFSET(INDIRECT(Region_abbr &amp; "!A1"), $L$5 + N$6,$L24+1)</f>
        <v>#REF!</v>
      </c>
      <c r="O24" s="3" t="e" cm="1">
        <f t="array" aca="1" ref="O24" ca="1">$L$4 *
INDIRECT("Include_" &amp; $K$3)*INDIRECT("Include_" &amp; O$7)*
OFFSET(INDIRECT(Region_abbr &amp; "!A1"), $L$5 + O$6,$L24+1)</f>
        <v>#REF!</v>
      </c>
      <c r="P24" s="3" t="e" cm="1">
        <f t="array" aca="1" ref="P24" ca="1">$L$4 *
INDIRECT("Include_" &amp; $K$3)*INDIRECT("Include_" &amp; P$7)*
OFFSET(INDIRECT(Region_abbr &amp; "!A1"), $L$5 + P$6,$L24+1)</f>
        <v>#REF!</v>
      </c>
      <c r="Q24" s="3" t="e" cm="1">
        <f t="array" aca="1" ref="Q24" ca="1">$L$4 *
INDIRECT("Include_" &amp; $K$3)*INDIRECT("Include_" &amp; Q$7)*
OFFSET(INDIRECT(Region_abbr &amp; "!A1"), $L$5 + Q$6,$L24+1)</f>
        <v>#REF!</v>
      </c>
      <c r="R24" s="3" t="e" cm="1">
        <f t="array" aca="1" ref="R24" ca="1">$L$4 *
INDIRECT("Include_" &amp; $K$3)*INDIRECT("Include_" &amp; R$7)*
OFFSET(INDIRECT(Region_abbr &amp; "!A1"), $L$5 + R$6,$L24+1)</f>
        <v>#REF!</v>
      </c>
      <c r="S24" s="3" t="e">
        <f t="shared" ca="1" si="7"/>
        <v>#REF!</v>
      </c>
      <c r="U24">
        <f t="shared" ref="U24:V24" si="55">U23+1</f>
        <v>2040</v>
      </c>
      <c r="V24">
        <f t="shared" si="55"/>
        <v>16</v>
      </c>
      <c r="W24" s="3" t="e" cm="1">
        <f t="array" aca="1" ref="W24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W$6,$V24+1)</f>
        <v>#REF!</v>
      </c>
      <c r="X24" s="3" t="e" cm="1">
        <f t="array" aca="1" ref="X24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X$6,$V24+1)</f>
        <v>#REF!</v>
      </c>
      <c r="Y24" s="3" t="e" cm="1">
        <f t="array" aca="1" ref="Y24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Y$6,$V24+1)</f>
        <v>#REF!</v>
      </c>
      <c r="Z24" s="3" t="e" cm="1">
        <f t="array" aca="1" ref="Z24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Z$6,$V24+1)</f>
        <v>#REF!</v>
      </c>
      <c r="AA24" s="3" t="e" cm="1">
        <f t="array" aca="1" ref="AA24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AA$6,$V24+1)</f>
        <v>#REF!</v>
      </c>
      <c r="AB24" s="3" t="e" cm="1">
        <f t="array" aca="1" ref="AB24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AB$6,$V24+1)</f>
        <v>#REF!</v>
      </c>
      <c r="AC24" s="3" t="e">
        <f t="shared" ca="1" si="9"/>
        <v>#REF!</v>
      </c>
      <c r="AE24">
        <f t="shared" ref="AE24:AF24" si="56">AE23+1</f>
        <v>2040</v>
      </c>
      <c r="AF24">
        <f t="shared" si="56"/>
        <v>16</v>
      </c>
      <c r="AG24" s="3" t="e" cm="1">
        <f t="array" aca="1" ref="AG24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AG$6,$AF24+1)</f>
        <v>#REF!</v>
      </c>
      <c r="AH24" s="3" t="e" cm="1">
        <f t="array" aca="1" ref="AH24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AH$6,$AF24+1)</f>
        <v>#REF!</v>
      </c>
      <c r="AI24" s="3" t="e" cm="1">
        <f t="array" aca="1" ref="AI24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AI$6,$AF24+1)</f>
        <v>#REF!</v>
      </c>
      <c r="AJ24" s="3" t="e" cm="1">
        <f t="array" aca="1" ref="AJ24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AJ$6,$AF24+1)</f>
        <v>#REF!</v>
      </c>
      <c r="AK24" s="3" t="e" cm="1">
        <f t="array" aca="1" ref="AK24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AK$6,$AF24+1)</f>
        <v>#REF!</v>
      </c>
      <c r="AL24" s="3" t="e" cm="1">
        <f t="array" aca="1" ref="AL24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AL$6,$AF24+1)</f>
        <v>#REF!</v>
      </c>
      <c r="AM24" s="3" t="e">
        <f t="shared" ca="1" si="11"/>
        <v>#REF!</v>
      </c>
    </row>
    <row r="25" spans="1:39" x14ac:dyDescent="0.85">
      <c r="A25">
        <f t="shared" ref="A25:B34" si="57">A24+1</f>
        <v>2041</v>
      </c>
      <c r="B25">
        <f t="shared" si="57"/>
        <v>17</v>
      </c>
      <c r="C25" s="3" t="e" cm="1">
        <f t="array" aca="1" ref="C25" ca="1">$B$4 *
INDIRECT("Include_" &amp; $A$3)*INDIRECT("Include_" &amp; C$7)*
OFFSET(INDIRECT(Region_abbr &amp; "!A1"), $B$5 + C$6,$B25+1)</f>
        <v>#REF!</v>
      </c>
      <c r="D25" s="3" t="e" cm="1">
        <f t="array" aca="1" ref="D25" ca="1">$B$4 *
INDIRECT("Include_" &amp; $A$3)*INDIRECT("Include_" &amp; D$7)*
OFFSET(INDIRECT(Region_abbr &amp; "!A1"), $B$5 + D$6,$B25+1)</f>
        <v>#REF!</v>
      </c>
      <c r="E25" s="3" t="e" cm="1">
        <f t="array" aca="1" ref="E25" ca="1">$B$4 *
INDIRECT("Include_" &amp; $A$3)*INDIRECT("Include_" &amp; E$7)*
OFFSET(INDIRECT(Region_abbr &amp; "!A1"), $B$5 + E$6,$B25+1)</f>
        <v>#REF!</v>
      </c>
      <c r="F25" s="3" t="e" cm="1">
        <f t="array" aca="1" ref="F25" ca="1">$B$4 *
INDIRECT("Include_" &amp; $A$3)*INDIRECT("Include_" &amp; F$7)*
OFFSET(INDIRECT(Region_abbr &amp; "!A1"), $B$5 + F$6,$B25+1)</f>
        <v>#REF!</v>
      </c>
      <c r="G25" s="3" t="e" cm="1">
        <f t="array" aca="1" ref="G25" ca="1">$B$4 *
INDIRECT("Include_" &amp; $A$3)*INDIRECT("Include_" &amp; G$7)*
OFFSET(INDIRECT(Region_abbr &amp; "!A1"), $B$5 + G$6,$B25+1)</f>
        <v>#REF!</v>
      </c>
      <c r="H25" s="3" t="e" cm="1">
        <f t="array" aca="1" ref="H25" ca="1">$B$4 *
INDIRECT("Include_" &amp; $A$3)*INDIRECT("Include_" &amp; H$7)*
OFFSET(INDIRECT(Region_abbr &amp; "!A1"), $B$5 + H$6,$B25+1)</f>
        <v>#REF!</v>
      </c>
      <c r="I25" s="3" t="e">
        <f t="shared" ca="1" si="5"/>
        <v>#REF!</v>
      </c>
      <c r="K25">
        <f t="shared" ref="K25:L25" si="58">K24+1</f>
        <v>2041</v>
      </c>
      <c r="L25">
        <f t="shared" si="58"/>
        <v>17</v>
      </c>
      <c r="M25" s="3" t="e" cm="1">
        <f t="array" aca="1" ref="M25" ca="1">$L$4 *
INDIRECT("Include_" &amp; $K$3)*INDIRECT("Include_" &amp; M$7)*
OFFSET(INDIRECT(Region_abbr &amp; "!A1"), $L$5 + M$6,$L25+1)</f>
        <v>#REF!</v>
      </c>
      <c r="N25" s="3" t="e" cm="1">
        <f t="array" aca="1" ref="N25" ca="1">$L$4 *
INDIRECT("Include_" &amp; $K$3)*INDIRECT("Include_" &amp; N$7)*
OFFSET(INDIRECT(Region_abbr &amp; "!A1"), $L$5 + N$6,$L25+1)</f>
        <v>#REF!</v>
      </c>
      <c r="O25" s="3" t="e" cm="1">
        <f t="array" aca="1" ref="O25" ca="1">$L$4 *
INDIRECT("Include_" &amp; $K$3)*INDIRECT("Include_" &amp; O$7)*
OFFSET(INDIRECT(Region_abbr &amp; "!A1"), $L$5 + O$6,$L25+1)</f>
        <v>#REF!</v>
      </c>
      <c r="P25" s="3" t="e" cm="1">
        <f t="array" aca="1" ref="P25" ca="1">$L$4 *
INDIRECT("Include_" &amp; $K$3)*INDIRECT("Include_" &amp; P$7)*
OFFSET(INDIRECT(Region_abbr &amp; "!A1"), $L$5 + P$6,$L25+1)</f>
        <v>#REF!</v>
      </c>
      <c r="Q25" s="3" t="e" cm="1">
        <f t="array" aca="1" ref="Q25" ca="1">$L$4 *
INDIRECT("Include_" &amp; $K$3)*INDIRECT("Include_" &amp; Q$7)*
OFFSET(INDIRECT(Region_abbr &amp; "!A1"), $L$5 + Q$6,$L25+1)</f>
        <v>#REF!</v>
      </c>
      <c r="R25" s="3" t="e" cm="1">
        <f t="array" aca="1" ref="R25" ca="1">$L$4 *
INDIRECT("Include_" &amp; $K$3)*INDIRECT("Include_" &amp; R$7)*
OFFSET(INDIRECT(Region_abbr &amp; "!A1"), $L$5 + R$6,$L25+1)</f>
        <v>#REF!</v>
      </c>
      <c r="S25" s="3" t="e">
        <f t="shared" ca="1" si="7"/>
        <v>#REF!</v>
      </c>
      <c r="U25">
        <f t="shared" ref="U25:V25" si="59">U24+1</f>
        <v>2041</v>
      </c>
      <c r="V25">
        <f t="shared" si="59"/>
        <v>17</v>
      </c>
      <c r="W25" s="3" t="e" cm="1">
        <f t="array" aca="1" ref="W25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W$6,$V25+1)</f>
        <v>#REF!</v>
      </c>
      <c r="X25" s="3" t="e" cm="1">
        <f t="array" aca="1" ref="X25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X$6,$V25+1)</f>
        <v>#REF!</v>
      </c>
      <c r="Y25" s="3" t="e" cm="1">
        <f t="array" aca="1" ref="Y25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Y$6,$V25+1)</f>
        <v>#REF!</v>
      </c>
      <c r="Z25" s="3" t="e" cm="1">
        <f t="array" aca="1" ref="Z25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Z$6,$V25+1)</f>
        <v>#REF!</v>
      </c>
      <c r="AA25" s="3" t="e" cm="1">
        <f t="array" aca="1" ref="AA25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AA$6,$V25+1)</f>
        <v>#REF!</v>
      </c>
      <c r="AB25" s="3" t="e" cm="1">
        <f t="array" aca="1" ref="AB25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AB$6,$V25+1)</f>
        <v>#REF!</v>
      </c>
      <c r="AC25" s="3" t="e">
        <f t="shared" ca="1" si="9"/>
        <v>#REF!</v>
      </c>
      <c r="AE25">
        <f t="shared" ref="AE25:AF25" si="60">AE24+1</f>
        <v>2041</v>
      </c>
      <c r="AF25">
        <f t="shared" si="60"/>
        <v>17</v>
      </c>
      <c r="AG25" s="3" t="e" cm="1">
        <f t="array" aca="1" ref="AG25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AG$6,$AF25+1)</f>
        <v>#REF!</v>
      </c>
      <c r="AH25" s="3" t="e" cm="1">
        <f t="array" aca="1" ref="AH25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AH$6,$AF25+1)</f>
        <v>#REF!</v>
      </c>
      <c r="AI25" s="3" t="e" cm="1">
        <f t="array" aca="1" ref="AI25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AI$6,$AF25+1)</f>
        <v>#REF!</v>
      </c>
      <c r="AJ25" s="3" t="e" cm="1">
        <f t="array" aca="1" ref="AJ25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AJ$6,$AF25+1)</f>
        <v>#REF!</v>
      </c>
      <c r="AK25" s="3" t="e" cm="1">
        <f t="array" aca="1" ref="AK25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AK$6,$AF25+1)</f>
        <v>#REF!</v>
      </c>
      <c r="AL25" s="3" t="e" cm="1">
        <f t="array" aca="1" ref="AL25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AL$6,$AF25+1)</f>
        <v>#REF!</v>
      </c>
      <c r="AM25" s="3" t="e">
        <f t="shared" ca="1" si="11"/>
        <v>#REF!</v>
      </c>
    </row>
    <row r="26" spans="1:39" x14ac:dyDescent="0.85">
      <c r="A26">
        <f t="shared" si="57"/>
        <v>2042</v>
      </c>
      <c r="B26">
        <f t="shared" si="57"/>
        <v>18</v>
      </c>
      <c r="C26" s="3" t="e" cm="1">
        <f t="array" aca="1" ref="C26" ca="1">$B$4 *
INDIRECT("Include_" &amp; $A$3)*INDIRECT("Include_" &amp; C$7)*
OFFSET(INDIRECT(Region_abbr &amp; "!A1"), $B$5 + C$6,$B26+1)</f>
        <v>#REF!</v>
      </c>
      <c r="D26" s="3" t="e" cm="1">
        <f t="array" aca="1" ref="D26" ca="1">$B$4 *
INDIRECT("Include_" &amp; $A$3)*INDIRECT("Include_" &amp; D$7)*
OFFSET(INDIRECT(Region_abbr &amp; "!A1"), $B$5 + D$6,$B26+1)</f>
        <v>#REF!</v>
      </c>
      <c r="E26" s="3" t="e" cm="1">
        <f t="array" aca="1" ref="E26" ca="1">$B$4 *
INDIRECT("Include_" &amp; $A$3)*INDIRECT("Include_" &amp; E$7)*
OFFSET(INDIRECT(Region_abbr &amp; "!A1"), $B$5 + E$6,$B26+1)</f>
        <v>#REF!</v>
      </c>
      <c r="F26" s="3" t="e" cm="1">
        <f t="array" aca="1" ref="F26" ca="1">$B$4 *
INDIRECT("Include_" &amp; $A$3)*INDIRECT("Include_" &amp; F$7)*
OFFSET(INDIRECT(Region_abbr &amp; "!A1"), $B$5 + F$6,$B26+1)</f>
        <v>#REF!</v>
      </c>
      <c r="G26" s="3" t="e" cm="1">
        <f t="array" aca="1" ref="G26" ca="1">$B$4 *
INDIRECT("Include_" &amp; $A$3)*INDIRECT("Include_" &amp; G$7)*
OFFSET(INDIRECT(Region_abbr &amp; "!A1"), $B$5 + G$6,$B26+1)</f>
        <v>#REF!</v>
      </c>
      <c r="H26" s="3" t="e" cm="1">
        <f t="array" aca="1" ref="H26" ca="1">$B$4 *
INDIRECT("Include_" &amp; $A$3)*INDIRECT("Include_" &amp; H$7)*
OFFSET(INDIRECT(Region_abbr &amp; "!A1"), $B$5 + H$6,$B26+1)</f>
        <v>#REF!</v>
      </c>
      <c r="I26" s="3" t="e">
        <f t="shared" ca="1" si="5"/>
        <v>#REF!</v>
      </c>
      <c r="K26">
        <f t="shared" ref="K26:L26" si="61">K25+1</f>
        <v>2042</v>
      </c>
      <c r="L26">
        <f t="shared" si="61"/>
        <v>18</v>
      </c>
      <c r="M26" s="3" t="e" cm="1">
        <f t="array" aca="1" ref="M26" ca="1">$L$4 *
INDIRECT("Include_" &amp; $K$3)*INDIRECT("Include_" &amp; M$7)*
OFFSET(INDIRECT(Region_abbr &amp; "!A1"), $L$5 + M$6,$L26+1)</f>
        <v>#REF!</v>
      </c>
      <c r="N26" s="3" t="e" cm="1">
        <f t="array" aca="1" ref="N26" ca="1">$L$4 *
INDIRECT("Include_" &amp; $K$3)*INDIRECT("Include_" &amp; N$7)*
OFFSET(INDIRECT(Region_abbr &amp; "!A1"), $L$5 + N$6,$L26+1)</f>
        <v>#REF!</v>
      </c>
      <c r="O26" s="3" t="e" cm="1">
        <f t="array" aca="1" ref="O26" ca="1">$L$4 *
INDIRECT("Include_" &amp; $K$3)*INDIRECT("Include_" &amp; O$7)*
OFFSET(INDIRECT(Region_abbr &amp; "!A1"), $L$5 + O$6,$L26+1)</f>
        <v>#REF!</v>
      </c>
      <c r="P26" s="3" t="e" cm="1">
        <f t="array" aca="1" ref="P26" ca="1">$L$4 *
INDIRECT("Include_" &amp; $K$3)*INDIRECT("Include_" &amp; P$7)*
OFFSET(INDIRECT(Region_abbr &amp; "!A1"), $L$5 + P$6,$L26+1)</f>
        <v>#REF!</v>
      </c>
      <c r="Q26" s="3" t="e" cm="1">
        <f t="array" aca="1" ref="Q26" ca="1">$L$4 *
INDIRECT("Include_" &amp; $K$3)*INDIRECT("Include_" &amp; Q$7)*
OFFSET(INDIRECT(Region_abbr &amp; "!A1"), $L$5 + Q$6,$L26+1)</f>
        <v>#REF!</v>
      </c>
      <c r="R26" s="3" t="e" cm="1">
        <f t="array" aca="1" ref="R26" ca="1">$L$4 *
INDIRECT("Include_" &amp; $K$3)*INDIRECT("Include_" &amp; R$7)*
OFFSET(INDIRECT(Region_abbr &amp; "!A1"), $L$5 + R$6,$L26+1)</f>
        <v>#REF!</v>
      </c>
      <c r="S26" s="3" t="e">
        <f t="shared" ca="1" si="7"/>
        <v>#REF!</v>
      </c>
      <c r="U26">
        <f t="shared" ref="U26:V26" si="62">U25+1</f>
        <v>2042</v>
      </c>
      <c r="V26">
        <f t="shared" si="62"/>
        <v>18</v>
      </c>
      <c r="W26" s="3" t="e" cm="1">
        <f t="array" aca="1" ref="W26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W$6,$V26+1)</f>
        <v>#REF!</v>
      </c>
      <c r="X26" s="3" t="e" cm="1">
        <f t="array" aca="1" ref="X26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X$6,$V26+1)</f>
        <v>#REF!</v>
      </c>
      <c r="Y26" s="3" t="e" cm="1">
        <f t="array" aca="1" ref="Y26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Y$6,$V26+1)</f>
        <v>#REF!</v>
      </c>
      <c r="Z26" s="3" t="e" cm="1">
        <f t="array" aca="1" ref="Z26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Z$6,$V26+1)</f>
        <v>#REF!</v>
      </c>
      <c r="AA26" s="3" t="e" cm="1">
        <f t="array" aca="1" ref="AA26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AA$6,$V26+1)</f>
        <v>#REF!</v>
      </c>
      <c r="AB26" s="3" t="e" cm="1">
        <f t="array" aca="1" ref="AB26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AB$6,$V26+1)</f>
        <v>#REF!</v>
      </c>
      <c r="AC26" s="3" t="e">
        <f t="shared" ca="1" si="9"/>
        <v>#REF!</v>
      </c>
      <c r="AE26">
        <f t="shared" ref="AE26:AF26" si="63">AE25+1</f>
        <v>2042</v>
      </c>
      <c r="AF26">
        <f t="shared" si="63"/>
        <v>18</v>
      </c>
      <c r="AG26" s="3" t="e" cm="1">
        <f t="array" aca="1" ref="AG26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AG$6,$AF26+1)</f>
        <v>#REF!</v>
      </c>
      <c r="AH26" s="3" t="e" cm="1">
        <f t="array" aca="1" ref="AH26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AH$6,$AF26+1)</f>
        <v>#REF!</v>
      </c>
      <c r="AI26" s="3" t="e" cm="1">
        <f t="array" aca="1" ref="AI26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AI$6,$AF26+1)</f>
        <v>#REF!</v>
      </c>
      <c r="AJ26" s="3" t="e" cm="1">
        <f t="array" aca="1" ref="AJ26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AJ$6,$AF26+1)</f>
        <v>#REF!</v>
      </c>
      <c r="AK26" s="3" t="e" cm="1">
        <f t="array" aca="1" ref="AK26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AK$6,$AF26+1)</f>
        <v>#REF!</v>
      </c>
      <c r="AL26" s="3" t="e" cm="1">
        <f t="array" aca="1" ref="AL26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AL$6,$AF26+1)</f>
        <v>#REF!</v>
      </c>
      <c r="AM26" s="3" t="e">
        <f t="shared" ca="1" si="11"/>
        <v>#REF!</v>
      </c>
    </row>
    <row r="27" spans="1:39" x14ac:dyDescent="0.85">
      <c r="A27">
        <f t="shared" si="57"/>
        <v>2043</v>
      </c>
      <c r="B27">
        <f t="shared" si="57"/>
        <v>19</v>
      </c>
      <c r="C27" s="3" t="e" cm="1">
        <f t="array" aca="1" ref="C27" ca="1">$B$4 *
INDIRECT("Include_" &amp; $A$3)*INDIRECT("Include_" &amp; C$7)*
OFFSET(INDIRECT(Region_abbr &amp; "!A1"), $B$5 + C$6,$B27+1)</f>
        <v>#REF!</v>
      </c>
      <c r="D27" s="3" t="e" cm="1">
        <f t="array" aca="1" ref="D27" ca="1">$B$4 *
INDIRECT("Include_" &amp; $A$3)*INDIRECT("Include_" &amp; D$7)*
OFFSET(INDIRECT(Region_abbr &amp; "!A1"), $B$5 + D$6,$B27+1)</f>
        <v>#REF!</v>
      </c>
      <c r="E27" s="3" t="e" cm="1">
        <f t="array" aca="1" ref="E27" ca="1">$B$4 *
INDIRECT("Include_" &amp; $A$3)*INDIRECT("Include_" &amp; E$7)*
OFFSET(INDIRECT(Region_abbr &amp; "!A1"), $B$5 + E$6,$B27+1)</f>
        <v>#REF!</v>
      </c>
      <c r="F27" s="3" t="e" cm="1">
        <f t="array" aca="1" ref="F27" ca="1">$B$4 *
INDIRECT("Include_" &amp; $A$3)*INDIRECT("Include_" &amp; F$7)*
OFFSET(INDIRECT(Region_abbr &amp; "!A1"), $B$5 + F$6,$B27+1)</f>
        <v>#REF!</v>
      </c>
      <c r="G27" s="3" t="e" cm="1">
        <f t="array" aca="1" ref="G27" ca="1">$B$4 *
INDIRECT("Include_" &amp; $A$3)*INDIRECT("Include_" &amp; G$7)*
OFFSET(INDIRECT(Region_abbr &amp; "!A1"), $B$5 + G$6,$B27+1)</f>
        <v>#REF!</v>
      </c>
      <c r="H27" s="3" t="e" cm="1">
        <f t="array" aca="1" ref="H27" ca="1">$B$4 *
INDIRECT("Include_" &amp; $A$3)*INDIRECT("Include_" &amp; H$7)*
OFFSET(INDIRECT(Region_abbr &amp; "!A1"), $B$5 + H$6,$B27+1)</f>
        <v>#REF!</v>
      </c>
      <c r="I27" s="3" t="e">
        <f t="shared" ca="1" si="5"/>
        <v>#REF!</v>
      </c>
      <c r="K27">
        <f t="shared" ref="K27:L27" si="64">K26+1</f>
        <v>2043</v>
      </c>
      <c r="L27">
        <f t="shared" si="64"/>
        <v>19</v>
      </c>
      <c r="M27" s="3" t="e" cm="1">
        <f t="array" aca="1" ref="M27" ca="1">$L$4 *
INDIRECT("Include_" &amp; $K$3)*INDIRECT("Include_" &amp; M$7)*
OFFSET(INDIRECT(Region_abbr &amp; "!A1"), $L$5 + M$6,$L27+1)</f>
        <v>#REF!</v>
      </c>
      <c r="N27" s="3" t="e" cm="1">
        <f t="array" aca="1" ref="N27" ca="1">$L$4 *
INDIRECT("Include_" &amp; $K$3)*INDIRECT("Include_" &amp; N$7)*
OFFSET(INDIRECT(Region_abbr &amp; "!A1"), $L$5 + N$6,$L27+1)</f>
        <v>#REF!</v>
      </c>
      <c r="O27" s="3" t="e" cm="1">
        <f t="array" aca="1" ref="O27" ca="1">$L$4 *
INDIRECT("Include_" &amp; $K$3)*INDIRECT("Include_" &amp; O$7)*
OFFSET(INDIRECT(Region_abbr &amp; "!A1"), $L$5 + O$6,$L27+1)</f>
        <v>#REF!</v>
      </c>
      <c r="P27" s="3" t="e" cm="1">
        <f t="array" aca="1" ref="P27" ca="1">$L$4 *
INDIRECT("Include_" &amp; $K$3)*INDIRECT("Include_" &amp; P$7)*
OFFSET(INDIRECT(Region_abbr &amp; "!A1"), $L$5 + P$6,$L27+1)</f>
        <v>#REF!</v>
      </c>
      <c r="Q27" s="3" t="e" cm="1">
        <f t="array" aca="1" ref="Q27" ca="1">$L$4 *
INDIRECT("Include_" &amp; $K$3)*INDIRECT("Include_" &amp; Q$7)*
OFFSET(INDIRECT(Region_abbr &amp; "!A1"), $L$5 + Q$6,$L27+1)</f>
        <v>#REF!</v>
      </c>
      <c r="R27" s="3" t="e" cm="1">
        <f t="array" aca="1" ref="R27" ca="1">$L$4 *
INDIRECT("Include_" &amp; $K$3)*INDIRECT("Include_" &amp; R$7)*
OFFSET(INDIRECT(Region_abbr &amp; "!A1"), $L$5 + R$6,$L27+1)</f>
        <v>#REF!</v>
      </c>
      <c r="S27" s="3" t="e">
        <f t="shared" ca="1" si="7"/>
        <v>#REF!</v>
      </c>
      <c r="U27">
        <f t="shared" ref="U27:V27" si="65">U26+1</f>
        <v>2043</v>
      </c>
      <c r="V27">
        <f t="shared" si="65"/>
        <v>19</v>
      </c>
      <c r="W27" s="3" t="e" cm="1">
        <f t="array" aca="1" ref="W27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W$6,$V27+1)</f>
        <v>#REF!</v>
      </c>
      <c r="X27" s="3" t="e" cm="1">
        <f t="array" aca="1" ref="X27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X$6,$V27+1)</f>
        <v>#REF!</v>
      </c>
      <c r="Y27" s="3" t="e" cm="1">
        <f t="array" aca="1" ref="Y27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Y$6,$V27+1)</f>
        <v>#REF!</v>
      </c>
      <c r="Z27" s="3" t="e" cm="1">
        <f t="array" aca="1" ref="Z27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Z$6,$V27+1)</f>
        <v>#REF!</v>
      </c>
      <c r="AA27" s="3" t="e" cm="1">
        <f t="array" aca="1" ref="AA27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AA$6,$V27+1)</f>
        <v>#REF!</v>
      </c>
      <c r="AB27" s="3" t="e" cm="1">
        <f t="array" aca="1" ref="AB27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AB$6,$V27+1)</f>
        <v>#REF!</v>
      </c>
      <c r="AC27" s="3" t="e">
        <f t="shared" ca="1" si="9"/>
        <v>#REF!</v>
      </c>
      <c r="AE27">
        <f t="shared" ref="AE27:AF27" si="66">AE26+1</f>
        <v>2043</v>
      </c>
      <c r="AF27">
        <f t="shared" si="66"/>
        <v>19</v>
      </c>
      <c r="AG27" s="3" t="e" cm="1">
        <f t="array" aca="1" ref="AG27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AG$6,$AF27+1)</f>
        <v>#REF!</v>
      </c>
      <c r="AH27" s="3" t="e" cm="1">
        <f t="array" aca="1" ref="AH27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AH$6,$AF27+1)</f>
        <v>#REF!</v>
      </c>
      <c r="AI27" s="3" t="e" cm="1">
        <f t="array" aca="1" ref="AI27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AI$6,$AF27+1)</f>
        <v>#REF!</v>
      </c>
      <c r="AJ27" s="3" t="e" cm="1">
        <f t="array" aca="1" ref="AJ27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AJ$6,$AF27+1)</f>
        <v>#REF!</v>
      </c>
      <c r="AK27" s="3" t="e" cm="1">
        <f t="array" aca="1" ref="AK27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AK$6,$AF27+1)</f>
        <v>#REF!</v>
      </c>
      <c r="AL27" s="3" t="e" cm="1">
        <f t="array" aca="1" ref="AL27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AL$6,$AF27+1)</f>
        <v>#REF!</v>
      </c>
      <c r="AM27" s="3" t="e">
        <f t="shared" ca="1" si="11"/>
        <v>#REF!</v>
      </c>
    </row>
    <row r="28" spans="1:39" x14ac:dyDescent="0.85">
      <c r="A28">
        <f t="shared" si="57"/>
        <v>2044</v>
      </c>
      <c r="B28">
        <f t="shared" si="57"/>
        <v>20</v>
      </c>
      <c r="C28" s="3" t="e" cm="1">
        <f t="array" aca="1" ref="C28" ca="1">$B$4 *
INDIRECT("Include_" &amp; $A$3)*INDIRECT("Include_" &amp; C$7)*
OFFSET(INDIRECT(Region_abbr &amp; "!A1"), $B$5 + C$6,$B28+1)</f>
        <v>#REF!</v>
      </c>
      <c r="D28" s="3" t="e" cm="1">
        <f t="array" aca="1" ref="D28" ca="1">$B$4 *
INDIRECT("Include_" &amp; $A$3)*INDIRECT("Include_" &amp; D$7)*
OFFSET(INDIRECT(Region_abbr &amp; "!A1"), $B$5 + D$6,$B28+1)</f>
        <v>#REF!</v>
      </c>
      <c r="E28" s="3" t="e" cm="1">
        <f t="array" aca="1" ref="E28" ca="1">$B$4 *
INDIRECT("Include_" &amp; $A$3)*INDIRECT("Include_" &amp; E$7)*
OFFSET(INDIRECT(Region_abbr &amp; "!A1"), $B$5 + E$6,$B28+1)</f>
        <v>#REF!</v>
      </c>
      <c r="F28" s="3" t="e" cm="1">
        <f t="array" aca="1" ref="F28" ca="1">$B$4 *
INDIRECT("Include_" &amp; $A$3)*INDIRECT("Include_" &amp; F$7)*
OFFSET(INDIRECT(Region_abbr &amp; "!A1"), $B$5 + F$6,$B28+1)</f>
        <v>#REF!</v>
      </c>
      <c r="G28" s="3" t="e" cm="1">
        <f t="array" aca="1" ref="G28" ca="1">$B$4 *
INDIRECT("Include_" &amp; $A$3)*INDIRECT("Include_" &amp; G$7)*
OFFSET(INDIRECT(Region_abbr &amp; "!A1"), $B$5 + G$6,$B28+1)</f>
        <v>#REF!</v>
      </c>
      <c r="H28" s="3" t="e" cm="1">
        <f t="array" aca="1" ref="H28" ca="1">$B$4 *
INDIRECT("Include_" &amp; $A$3)*INDIRECT("Include_" &amp; H$7)*
OFFSET(INDIRECT(Region_abbr &amp; "!A1"), $B$5 + H$6,$B28+1)</f>
        <v>#REF!</v>
      </c>
      <c r="I28" s="3" t="e">
        <f t="shared" ca="1" si="5"/>
        <v>#REF!</v>
      </c>
      <c r="K28">
        <f t="shared" ref="K28:L28" si="67">K27+1</f>
        <v>2044</v>
      </c>
      <c r="L28">
        <f t="shared" si="67"/>
        <v>20</v>
      </c>
      <c r="M28" s="3" t="e" cm="1">
        <f t="array" aca="1" ref="M28" ca="1">$L$4 *
INDIRECT("Include_" &amp; $K$3)*INDIRECT("Include_" &amp; M$7)*
OFFSET(INDIRECT(Region_abbr &amp; "!A1"), $L$5 + M$6,$L28+1)</f>
        <v>#REF!</v>
      </c>
      <c r="N28" s="3" t="e" cm="1">
        <f t="array" aca="1" ref="N28" ca="1">$L$4 *
INDIRECT("Include_" &amp; $K$3)*INDIRECT("Include_" &amp; N$7)*
OFFSET(INDIRECT(Region_abbr &amp; "!A1"), $L$5 + N$6,$L28+1)</f>
        <v>#REF!</v>
      </c>
      <c r="O28" s="3" t="e" cm="1">
        <f t="array" aca="1" ref="O28" ca="1">$L$4 *
INDIRECT("Include_" &amp; $K$3)*INDIRECT("Include_" &amp; O$7)*
OFFSET(INDIRECT(Region_abbr &amp; "!A1"), $L$5 + O$6,$L28+1)</f>
        <v>#REF!</v>
      </c>
      <c r="P28" s="3" t="e" cm="1">
        <f t="array" aca="1" ref="P28" ca="1">$L$4 *
INDIRECT("Include_" &amp; $K$3)*INDIRECT("Include_" &amp; P$7)*
OFFSET(INDIRECT(Region_abbr &amp; "!A1"), $L$5 + P$6,$L28+1)</f>
        <v>#REF!</v>
      </c>
      <c r="Q28" s="3" t="e" cm="1">
        <f t="array" aca="1" ref="Q28" ca="1">$L$4 *
INDIRECT("Include_" &amp; $K$3)*INDIRECT("Include_" &amp; Q$7)*
OFFSET(INDIRECT(Region_abbr &amp; "!A1"), $L$5 + Q$6,$L28+1)</f>
        <v>#REF!</v>
      </c>
      <c r="R28" s="3" t="e" cm="1">
        <f t="array" aca="1" ref="R28" ca="1">$L$4 *
INDIRECT("Include_" &amp; $K$3)*INDIRECT("Include_" &amp; R$7)*
OFFSET(INDIRECT(Region_abbr &amp; "!A1"), $L$5 + R$6,$L28+1)</f>
        <v>#REF!</v>
      </c>
      <c r="S28" s="3" t="e">
        <f t="shared" ca="1" si="7"/>
        <v>#REF!</v>
      </c>
      <c r="U28">
        <f t="shared" ref="U28:V28" si="68">U27+1</f>
        <v>2044</v>
      </c>
      <c r="V28">
        <f t="shared" si="68"/>
        <v>20</v>
      </c>
      <c r="W28" s="3" t="e" cm="1">
        <f t="array" aca="1" ref="W28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W$6,$V28+1)</f>
        <v>#REF!</v>
      </c>
      <c r="X28" s="3" t="e" cm="1">
        <f t="array" aca="1" ref="X28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X$6,$V28+1)</f>
        <v>#REF!</v>
      </c>
      <c r="Y28" s="3" t="e" cm="1">
        <f t="array" aca="1" ref="Y28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Y$6,$V28+1)</f>
        <v>#REF!</v>
      </c>
      <c r="Z28" s="3" t="e" cm="1">
        <f t="array" aca="1" ref="Z28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Z$6,$V28+1)</f>
        <v>#REF!</v>
      </c>
      <c r="AA28" s="3" t="e" cm="1">
        <f t="array" aca="1" ref="AA28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AA$6,$V28+1)</f>
        <v>#REF!</v>
      </c>
      <c r="AB28" s="3" t="e" cm="1">
        <f t="array" aca="1" ref="AB28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AB$6,$V28+1)</f>
        <v>#REF!</v>
      </c>
      <c r="AC28" s="3" t="e">
        <f t="shared" ca="1" si="9"/>
        <v>#REF!</v>
      </c>
      <c r="AE28">
        <f t="shared" ref="AE28:AF28" si="69">AE27+1</f>
        <v>2044</v>
      </c>
      <c r="AF28">
        <f t="shared" si="69"/>
        <v>20</v>
      </c>
      <c r="AG28" s="3" t="e" cm="1">
        <f t="array" aca="1" ref="AG28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AG$6,$AF28+1)</f>
        <v>#REF!</v>
      </c>
      <c r="AH28" s="3" t="e" cm="1">
        <f t="array" aca="1" ref="AH28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AH$6,$AF28+1)</f>
        <v>#REF!</v>
      </c>
      <c r="AI28" s="3" t="e" cm="1">
        <f t="array" aca="1" ref="AI28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AI$6,$AF28+1)</f>
        <v>#REF!</v>
      </c>
      <c r="AJ28" s="3" t="e" cm="1">
        <f t="array" aca="1" ref="AJ28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AJ$6,$AF28+1)</f>
        <v>#REF!</v>
      </c>
      <c r="AK28" s="3" t="e" cm="1">
        <f t="array" aca="1" ref="AK28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AK$6,$AF28+1)</f>
        <v>#REF!</v>
      </c>
      <c r="AL28" s="3" t="e" cm="1">
        <f t="array" aca="1" ref="AL28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AL$6,$AF28+1)</f>
        <v>#REF!</v>
      </c>
      <c r="AM28" s="3" t="e">
        <f t="shared" ca="1" si="11"/>
        <v>#REF!</v>
      </c>
    </row>
    <row r="29" spans="1:39" x14ac:dyDescent="0.85">
      <c r="A29">
        <f t="shared" si="57"/>
        <v>2045</v>
      </c>
      <c r="B29">
        <f t="shared" si="57"/>
        <v>21</v>
      </c>
      <c r="C29" s="3" t="e" cm="1">
        <f t="array" aca="1" ref="C29" ca="1">$B$4 *
INDIRECT("Include_" &amp; $A$3)*INDIRECT("Include_" &amp; C$7)*
OFFSET(INDIRECT(Region_abbr &amp; "!A1"), $B$5 + C$6,$B29+1)</f>
        <v>#REF!</v>
      </c>
      <c r="D29" s="3" t="e" cm="1">
        <f t="array" aca="1" ref="D29" ca="1">$B$4 *
INDIRECT("Include_" &amp; $A$3)*INDIRECT("Include_" &amp; D$7)*
OFFSET(INDIRECT(Region_abbr &amp; "!A1"), $B$5 + D$6,$B29+1)</f>
        <v>#REF!</v>
      </c>
      <c r="E29" s="3" t="e" cm="1">
        <f t="array" aca="1" ref="E29" ca="1">$B$4 *
INDIRECT("Include_" &amp; $A$3)*INDIRECT("Include_" &amp; E$7)*
OFFSET(INDIRECT(Region_abbr &amp; "!A1"), $B$5 + E$6,$B29+1)</f>
        <v>#REF!</v>
      </c>
      <c r="F29" s="3" t="e" cm="1">
        <f t="array" aca="1" ref="F29" ca="1">$B$4 *
INDIRECT("Include_" &amp; $A$3)*INDIRECT("Include_" &amp; F$7)*
OFFSET(INDIRECT(Region_abbr &amp; "!A1"), $B$5 + F$6,$B29+1)</f>
        <v>#REF!</v>
      </c>
      <c r="G29" s="3" t="e" cm="1">
        <f t="array" aca="1" ref="G29" ca="1">$B$4 *
INDIRECT("Include_" &amp; $A$3)*INDIRECT("Include_" &amp; G$7)*
OFFSET(INDIRECT(Region_abbr &amp; "!A1"), $B$5 + G$6,$B29+1)</f>
        <v>#REF!</v>
      </c>
      <c r="H29" s="3" t="e" cm="1">
        <f t="array" aca="1" ref="H29" ca="1">$B$4 *
INDIRECT("Include_" &amp; $A$3)*INDIRECT("Include_" &amp; H$7)*
OFFSET(INDIRECT(Region_abbr &amp; "!A1"), $B$5 + H$6,$B29+1)</f>
        <v>#REF!</v>
      </c>
      <c r="I29" s="3" t="e">
        <f t="shared" ca="1" si="5"/>
        <v>#REF!</v>
      </c>
      <c r="K29">
        <f t="shared" ref="K29:L29" si="70">K28+1</f>
        <v>2045</v>
      </c>
      <c r="L29">
        <f t="shared" si="70"/>
        <v>21</v>
      </c>
      <c r="M29" s="3" t="e" cm="1">
        <f t="array" aca="1" ref="M29" ca="1">$L$4 *
INDIRECT("Include_" &amp; $K$3)*INDIRECT("Include_" &amp; M$7)*
OFFSET(INDIRECT(Region_abbr &amp; "!A1"), $L$5 + M$6,$L29+1)</f>
        <v>#REF!</v>
      </c>
      <c r="N29" s="3" t="e" cm="1">
        <f t="array" aca="1" ref="N29" ca="1">$L$4 *
INDIRECT("Include_" &amp; $K$3)*INDIRECT("Include_" &amp; N$7)*
OFFSET(INDIRECT(Region_abbr &amp; "!A1"), $L$5 + N$6,$L29+1)</f>
        <v>#REF!</v>
      </c>
      <c r="O29" s="3" t="e" cm="1">
        <f t="array" aca="1" ref="O29" ca="1">$L$4 *
INDIRECT("Include_" &amp; $K$3)*INDIRECT("Include_" &amp; O$7)*
OFFSET(INDIRECT(Region_abbr &amp; "!A1"), $L$5 + O$6,$L29+1)</f>
        <v>#REF!</v>
      </c>
      <c r="P29" s="3" t="e" cm="1">
        <f t="array" aca="1" ref="P29" ca="1">$L$4 *
INDIRECT("Include_" &amp; $K$3)*INDIRECT("Include_" &amp; P$7)*
OFFSET(INDIRECT(Region_abbr &amp; "!A1"), $L$5 + P$6,$L29+1)</f>
        <v>#REF!</v>
      </c>
      <c r="Q29" s="3" t="e" cm="1">
        <f t="array" aca="1" ref="Q29" ca="1">$L$4 *
INDIRECT("Include_" &amp; $K$3)*INDIRECT("Include_" &amp; Q$7)*
OFFSET(INDIRECT(Region_abbr &amp; "!A1"), $L$5 + Q$6,$L29+1)</f>
        <v>#REF!</v>
      </c>
      <c r="R29" s="3" t="e" cm="1">
        <f t="array" aca="1" ref="R29" ca="1">$L$4 *
INDIRECT("Include_" &amp; $K$3)*INDIRECT("Include_" &amp; R$7)*
OFFSET(INDIRECT(Region_abbr &amp; "!A1"), $L$5 + R$6,$L29+1)</f>
        <v>#REF!</v>
      </c>
      <c r="S29" s="3" t="e">
        <f t="shared" ca="1" si="7"/>
        <v>#REF!</v>
      </c>
      <c r="U29">
        <f t="shared" ref="U29:V29" si="71">U28+1</f>
        <v>2045</v>
      </c>
      <c r="V29">
        <f t="shared" si="71"/>
        <v>21</v>
      </c>
      <c r="W29" s="3" t="e" cm="1">
        <f t="array" aca="1" ref="W29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W$6,$V29+1)</f>
        <v>#REF!</v>
      </c>
      <c r="X29" s="3" t="e" cm="1">
        <f t="array" aca="1" ref="X29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X$6,$V29+1)</f>
        <v>#REF!</v>
      </c>
      <c r="Y29" s="3" t="e" cm="1">
        <f t="array" aca="1" ref="Y29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Y$6,$V29+1)</f>
        <v>#REF!</v>
      </c>
      <c r="Z29" s="3" t="e" cm="1">
        <f t="array" aca="1" ref="Z29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Z$6,$V29+1)</f>
        <v>#REF!</v>
      </c>
      <c r="AA29" s="3" t="e" cm="1">
        <f t="array" aca="1" ref="AA29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AA$6,$V29+1)</f>
        <v>#REF!</v>
      </c>
      <c r="AB29" s="3" t="e" cm="1">
        <f t="array" aca="1" ref="AB29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AB$6,$V29+1)</f>
        <v>#REF!</v>
      </c>
      <c r="AC29" s="3" t="e">
        <f t="shared" ca="1" si="9"/>
        <v>#REF!</v>
      </c>
      <c r="AE29">
        <f t="shared" ref="AE29:AF29" si="72">AE28+1</f>
        <v>2045</v>
      </c>
      <c r="AF29">
        <f t="shared" si="72"/>
        <v>21</v>
      </c>
      <c r="AG29" s="3" t="e" cm="1">
        <f t="array" aca="1" ref="AG29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AG$6,$AF29+1)</f>
        <v>#REF!</v>
      </c>
      <c r="AH29" s="3" t="e" cm="1">
        <f t="array" aca="1" ref="AH29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AH$6,$AF29+1)</f>
        <v>#REF!</v>
      </c>
      <c r="AI29" s="3" t="e" cm="1">
        <f t="array" aca="1" ref="AI29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AI$6,$AF29+1)</f>
        <v>#REF!</v>
      </c>
      <c r="AJ29" s="3" t="e" cm="1">
        <f t="array" aca="1" ref="AJ29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AJ$6,$AF29+1)</f>
        <v>#REF!</v>
      </c>
      <c r="AK29" s="3" t="e" cm="1">
        <f t="array" aca="1" ref="AK29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AK$6,$AF29+1)</f>
        <v>#REF!</v>
      </c>
      <c r="AL29" s="3" t="e" cm="1">
        <f t="array" aca="1" ref="AL29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AL$6,$AF29+1)</f>
        <v>#REF!</v>
      </c>
      <c r="AM29" s="3" t="e">
        <f t="shared" ca="1" si="11"/>
        <v>#REF!</v>
      </c>
    </row>
    <row r="30" spans="1:39" x14ac:dyDescent="0.85">
      <c r="A30">
        <f t="shared" si="57"/>
        <v>2046</v>
      </c>
      <c r="B30">
        <f t="shared" si="57"/>
        <v>22</v>
      </c>
      <c r="C30" s="3" t="e" cm="1">
        <f t="array" aca="1" ref="C30" ca="1">$B$4 *
INDIRECT("Include_" &amp; $A$3)*INDIRECT("Include_" &amp; C$7)*
OFFSET(INDIRECT(Region_abbr &amp; "!A1"), $B$5 + C$6,$B30+1)</f>
        <v>#REF!</v>
      </c>
      <c r="D30" s="3" t="e" cm="1">
        <f t="array" aca="1" ref="D30" ca="1">$B$4 *
INDIRECT("Include_" &amp; $A$3)*INDIRECT("Include_" &amp; D$7)*
OFFSET(INDIRECT(Region_abbr &amp; "!A1"), $B$5 + D$6,$B30+1)</f>
        <v>#REF!</v>
      </c>
      <c r="E30" s="3" t="e" cm="1">
        <f t="array" aca="1" ref="E30" ca="1">$B$4 *
INDIRECT("Include_" &amp; $A$3)*INDIRECT("Include_" &amp; E$7)*
OFFSET(INDIRECT(Region_abbr &amp; "!A1"), $B$5 + E$6,$B30+1)</f>
        <v>#REF!</v>
      </c>
      <c r="F30" s="3" t="e" cm="1">
        <f t="array" aca="1" ref="F30" ca="1">$B$4 *
INDIRECT("Include_" &amp; $A$3)*INDIRECT("Include_" &amp; F$7)*
OFFSET(INDIRECT(Region_abbr &amp; "!A1"), $B$5 + F$6,$B30+1)</f>
        <v>#REF!</v>
      </c>
      <c r="G30" s="3" t="e" cm="1">
        <f t="array" aca="1" ref="G30" ca="1">$B$4 *
INDIRECT("Include_" &amp; $A$3)*INDIRECT("Include_" &amp; G$7)*
OFFSET(INDIRECT(Region_abbr &amp; "!A1"), $B$5 + G$6,$B30+1)</f>
        <v>#REF!</v>
      </c>
      <c r="H30" s="3" t="e" cm="1">
        <f t="array" aca="1" ref="H30" ca="1">$B$4 *
INDIRECT("Include_" &amp; $A$3)*INDIRECT("Include_" &amp; H$7)*
OFFSET(INDIRECT(Region_abbr &amp; "!A1"), $B$5 + H$6,$B30+1)</f>
        <v>#REF!</v>
      </c>
      <c r="I30" s="3" t="e">
        <f t="shared" ca="1" si="5"/>
        <v>#REF!</v>
      </c>
      <c r="K30">
        <f t="shared" ref="K30:L30" si="73">K29+1</f>
        <v>2046</v>
      </c>
      <c r="L30">
        <f t="shared" si="73"/>
        <v>22</v>
      </c>
      <c r="M30" s="3" t="e" cm="1">
        <f t="array" aca="1" ref="M30" ca="1">$L$4 *
INDIRECT("Include_" &amp; $K$3)*INDIRECT("Include_" &amp; M$7)*
OFFSET(INDIRECT(Region_abbr &amp; "!A1"), $L$5 + M$6,$L30+1)</f>
        <v>#REF!</v>
      </c>
      <c r="N30" s="3" t="e" cm="1">
        <f t="array" aca="1" ref="N30" ca="1">$L$4 *
INDIRECT("Include_" &amp; $K$3)*INDIRECT("Include_" &amp; N$7)*
OFFSET(INDIRECT(Region_abbr &amp; "!A1"), $L$5 + N$6,$L30+1)</f>
        <v>#REF!</v>
      </c>
      <c r="O30" s="3" t="e" cm="1">
        <f t="array" aca="1" ref="O30" ca="1">$L$4 *
INDIRECT("Include_" &amp; $K$3)*INDIRECT("Include_" &amp; O$7)*
OFFSET(INDIRECT(Region_abbr &amp; "!A1"), $L$5 + O$6,$L30+1)</f>
        <v>#REF!</v>
      </c>
      <c r="P30" s="3" t="e" cm="1">
        <f t="array" aca="1" ref="P30" ca="1">$L$4 *
INDIRECT("Include_" &amp; $K$3)*INDIRECT("Include_" &amp; P$7)*
OFFSET(INDIRECT(Region_abbr &amp; "!A1"), $L$5 + P$6,$L30+1)</f>
        <v>#REF!</v>
      </c>
      <c r="Q30" s="3" t="e" cm="1">
        <f t="array" aca="1" ref="Q30" ca="1">$L$4 *
INDIRECT("Include_" &amp; $K$3)*INDIRECT("Include_" &amp; Q$7)*
OFFSET(INDIRECT(Region_abbr &amp; "!A1"), $L$5 + Q$6,$L30+1)</f>
        <v>#REF!</v>
      </c>
      <c r="R30" s="3" t="e" cm="1">
        <f t="array" aca="1" ref="R30" ca="1">$L$4 *
INDIRECT("Include_" &amp; $K$3)*INDIRECT("Include_" &amp; R$7)*
OFFSET(INDIRECT(Region_abbr &amp; "!A1"), $L$5 + R$6,$L30+1)</f>
        <v>#REF!</v>
      </c>
      <c r="S30" s="3" t="e">
        <f t="shared" ca="1" si="7"/>
        <v>#REF!</v>
      </c>
      <c r="U30">
        <f t="shared" ref="U30:V30" si="74">U29+1</f>
        <v>2046</v>
      </c>
      <c r="V30">
        <f t="shared" si="74"/>
        <v>22</v>
      </c>
      <c r="W30" s="3" t="e" cm="1">
        <f t="array" aca="1" ref="W30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W$6,$V30+1)</f>
        <v>#REF!</v>
      </c>
      <c r="X30" s="3" t="e" cm="1">
        <f t="array" aca="1" ref="X30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X$6,$V30+1)</f>
        <v>#REF!</v>
      </c>
      <c r="Y30" s="3" t="e" cm="1">
        <f t="array" aca="1" ref="Y30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Y$6,$V30+1)</f>
        <v>#REF!</v>
      </c>
      <c r="Z30" s="3" t="e" cm="1">
        <f t="array" aca="1" ref="Z30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Z$6,$V30+1)</f>
        <v>#REF!</v>
      </c>
      <c r="AA30" s="3" t="e" cm="1">
        <f t="array" aca="1" ref="AA30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AA$6,$V30+1)</f>
        <v>#REF!</v>
      </c>
      <c r="AB30" s="3" t="e" cm="1">
        <f t="array" aca="1" ref="AB30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AB$6,$V30+1)</f>
        <v>#REF!</v>
      </c>
      <c r="AC30" s="3" t="e">
        <f t="shared" ca="1" si="9"/>
        <v>#REF!</v>
      </c>
      <c r="AE30">
        <f t="shared" ref="AE30:AF30" si="75">AE29+1</f>
        <v>2046</v>
      </c>
      <c r="AF30">
        <f t="shared" si="75"/>
        <v>22</v>
      </c>
      <c r="AG30" s="3" t="e" cm="1">
        <f t="array" aca="1" ref="AG30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AG$6,$AF30+1)</f>
        <v>#REF!</v>
      </c>
      <c r="AH30" s="3" t="e" cm="1">
        <f t="array" aca="1" ref="AH30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AH$6,$AF30+1)</f>
        <v>#REF!</v>
      </c>
      <c r="AI30" s="3" t="e" cm="1">
        <f t="array" aca="1" ref="AI30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AI$6,$AF30+1)</f>
        <v>#REF!</v>
      </c>
      <c r="AJ30" s="3" t="e" cm="1">
        <f t="array" aca="1" ref="AJ30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AJ$6,$AF30+1)</f>
        <v>#REF!</v>
      </c>
      <c r="AK30" s="3" t="e" cm="1">
        <f t="array" aca="1" ref="AK30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AK$6,$AF30+1)</f>
        <v>#REF!</v>
      </c>
      <c r="AL30" s="3" t="e" cm="1">
        <f t="array" aca="1" ref="AL30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AL$6,$AF30+1)</f>
        <v>#REF!</v>
      </c>
      <c r="AM30" s="3" t="e">
        <f t="shared" ca="1" si="11"/>
        <v>#REF!</v>
      </c>
    </row>
    <row r="31" spans="1:39" x14ac:dyDescent="0.85">
      <c r="A31">
        <f t="shared" si="57"/>
        <v>2047</v>
      </c>
      <c r="B31">
        <f t="shared" si="57"/>
        <v>23</v>
      </c>
      <c r="C31" s="3" t="e" cm="1">
        <f t="array" aca="1" ref="C31" ca="1">$B$4 *
INDIRECT("Include_" &amp; $A$3)*INDIRECT("Include_" &amp; C$7)*
OFFSET(INDIRECT(Region_abbr &amp; "!A1"), $B$5 + C$6,$B31+1)</f>
        <v>#REF!</v>
      </c>
      <c r="D31" s="3" t="e" cm="1">
        <f t="array" aca="1" ref="D31" ca="1">$B$4 *
INDIRECT("Include_" &amp; $A$3)*INDIRECT("Include_" &amp; D$7)*
OFFSET(INDIRECT(Region_abbr &amp; "!A1"), $B$5 + D$6,$B31+1)</f>
        <v>#REF!</v>
      </c>
      <c r="E31" s="3" t="e" cm="1">
        <f t="array" aca="1" ref="E31" ca="1">$B$4 *
INDIRECT("Include_" &amp; $A$3)*INDIRECT("Include_" &amp; E$7)*
OFFSET(INDIRECT(Region_abbr &amp; "!A1"), $B$5 + E$6,$B31+1)</f>
        <v>#REF!</v>
      </c>
      <c r="F31" s="3" t="e" cm="1">
        <f t="array" aca="1" ref="F31" ca="1">$B$4 *
INDIRECT("Include_" &amp; $A$3)*INDIRECT("Include_" &amp; F$7)*
OFFSET(INDIRECT(Region_abbr &amp; "!A1"), $B$5 + F$6,$B31+1)</f>
        <v>#REF!</v>
      </c>
      <c r="G31" s="3" t="e" cm="1">
        <f t="array" aca="1" ref="G31" ca="1">$B$4 *
INDIRECT("Include_" &amp; $A$3)*INDIRECT("Include_" &amp; G$7)*
OFFSET(INDIRECT(Region_abbr &amp; "!A1"), $B$5 + G$6,$B31+1)</f>
        <v>#REF!</v>
      </c>
      <c r="H31" s="3" t="e" cm="1">
        <f t="array" aca="1" ref="H31" ca="1">$B$4 *
INDIRECT("Include_" &amp; $A$3)*INDIRECT("Include_" &amp; H$7)*
OFFSET(INDIRECT(Region_abbr &amp; "!A1"), $B$5 + H$6,$B31+1)</f>
        <v>#REF!</v>
      </c>
      <c r="I31" s="3" t="e">
        <f t="shared" ca="1" si="5"/>
        <v>#REF!</v>
      </c>
      <c r="K31">
        <f t="shared" ref="K31:L31" si="76">K30+1</f>
        <v>2047</v>
      </c>
      <c r="L31">
        <f t="shared" si="76"/>
        <v>23</v>
      </c>
      <c r="M31" s="3" t="e" cm="1">
        <f t="array" aca="1" ref="M31" ca="1">$L$4 *
INDIRECT("Include_" &amp; $K$3)*INDIRECT("Include_" &amp; M$7)*
OFFSET(INDIRECT(Region_abbr &amp; "!A1"), $L$5 + M$6,$L31+1)</f>
        <v>#REF!</v>
      </c>
      <c r="N31" s="3" t="e" cm="1">
        <f t="array" aca="1" ref="N31" ca="1">$L$4 *
INDIRECT("Include_" &amp; $K$3)*INDIRECT("Include_" &amp; N$7)*
OFFSET(INDIRECT(Region_abbr &amp; "!A1"), $L$5 + N$6,$L31+1)</f>
        <v>#REF!</v>
      </c>
      <c r="O31" s="3" t="e" cm="1">
        <f t="array" aca="1" ref="O31" ca="1">$L$4 *
INDIRECT("Include_" &amp; $K$3)*INDIRECT("Include_" &amp; O$7)*
OFFSET(INDIRECT(Region_abbr &amp; "!A1"), $L$5 + O$6,$L31+1)</f>
        <v>#REF!</v>
      </c>
      <c r="P31" s="3" t="e" cm="1">
        <f t="array" aca="1" ref="P31" ca="1">$L$4 *
INDIRECT("Include_" &amp; $K$3)*INDIRECT("Include_" &amp; P$7)*
OFFSET(INDIRECT(Region_abbr &amp; "!A1"), $L$5 + P$6,$L31+1)</f>
        <v>#REF!</v>
      </c>
      <c r="Q31" s="3" t="e" cm="1">
        <f t="array" aca="1" ref="Q31" ca="1">$L$4 *
INDIRECT("Include_" &amp; $K$3)*INDIRECT("Include_" &amp; Q$7)*
OFFSET(INDIRECT(Region_abbr &amp; "!A1"), $L$5 + Q$6,$L31+1)</f>
        <v>#REF!</v>
      </c>
      <c r="R31" s="3" t="e" cm="1">
        <f t="array" aca="1" ref="R31" ca="1">$L$4 *
INDIRECT("Include_" &amp; $K$3)*INDIRECT("Include_" &amp; R$7)*
OFFSET(INDIRECT(Region_abbr &amp; "!A1"), $L$5 + R$6,$L31+1)</f>
        <v>#REF!</v>
      </c>
      <c r="S31" s="3" t="e">
        <f t="shared" ca="1" si="7"/>
        <v>#REF!</v>
      </c>
      <c r="U31">
        <f t="shared" ref="U31:V31" si="77">U30+1</f>
        <v>2047</v>
      </c>
      <c r="V31">
        <f t="shared" si="77"/>
        <v>23</v>
      </c>
      <c r="W31" s="3" t="e" cm="1">
        <f t="array" aca="1" ref="W31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W$6,$V31+1)</f>
        <v>#REF!</v>
      </c>
      <c r="X31" s="3" t="e" cm="1">
        <f t="array" aca="1" ref="X31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X$6,$V31+1)</f>
        <v>#REF!</v>
      </c>
      <c r="Y31" s="3" t="e" cm="1">
        <f t="array" aca="1" ref="Y31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Y$6,$V31+1)</f>
        <v>#REF!</v>
      </c>
      <c r="Z31" s="3" t="e" cm="1">
        <f t="array" aca="1" ref="Z31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Z$6,$V31+1)</f>
        <v>#REF!</v>
      </c>
      <c r="AA31" s="3" t="e" cm="1">
        <f t="array" aca="1" ref="AA31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AA$6,$V31+1)</f>
        <v>#REF!</v>
      </c>
      <c r="AB31" s="3" t="e" cm="1">
        <f t="array" aca="1" ref="AB31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AB$6,$V31+1)</f>
        <v>#REF!</v>
      </c>
      <c r="AC31" s="3" t="e">
        <f t="shared" ca="1" si="9"/>
        <v>#REF!</v>
      </c>
      <c r="AE31">
        <f t="shared" ref="AE31:AF31" si="78">AE30+1</f>
        <v>2047</v>
      </c>
      <c r="AF31">
        <f t="shared" si="78"/>
        <v>23</v>
      </c>
      <c r="AG31" s="3" t="e" cm="1">
        <f t="array" aca="1" ref="AG31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AG$6,$AF31+1)</f>
        <v>#REF!</v>
      </c>
      <c r="AH31" s="3" t="e" cm="1">
        <f t="array" aca="1" ref="AH31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AH$6,$AF31+1)</f>
        <v>#REF!</v>
      </c>
      <c r="AI31" s="3" t="e" cm="1">
        <f t="array" aca="1" ref="AI31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AI$6,$AF31+1)</f>
        <v>#REF!</v>
      </c>
      <c r="AJ31" s="3" t="e" cm="1">
        <f t="array" aca="1" ref="AJ31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AJ$6,$AF31+1)</f>
        <v>#REF!</v>
      </c>
      <c r="AK31" s="3" t="e" cm="1">
        <f t="array" aca="1" ref="AK31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AK$6,$AF31+1)</f>
        <v>#REF!</v>
      </c>
      <c r="AL31" s="3" t="e" cm="1">
        <f t="array" aca="1" ref="AL31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AL$6,$AF31+1)</f>
        <v>#REF!</v>
      </c>
      <c r="AM31" s="3" t="e">
        <f t="shared" ca="1" si="11"/>
        <v>#REF!</v>
      </c>
    </row>
    <row r="32" spans="1:39" x14ac:dyDescent="0.85">
      <c r="A32">
        <f t="shared" si="57"/>
        <v>2048</v>
      </c>
      <c r="B32">
        <f t="shared" si="57"/>
        <v>24</v>
      </c>
      <c r="C32" s="3" t="e" cm="1">
        <f t="array" aca="1" ref="C32" ca="1">$B$4 *
INDIRECT("Include_" &amp; $A$3)*INDIRECT("Include_" &amp; C$7)*
OFFSET(INDIRECT(Region_abbr &amp; "!A1"), $B$5 + C$6,$B32+1)</f>
        <v>#REF!</v>
      </c>
      <c r="D32" s="3" t="e" cm="1">
        <f t="array" aca="1" ref="D32" ca="1">$B$4 *
INDIRECT("Include_" &amp; $A$3)*INDIRECT("Include_" &amp; D$7)*
OFFSET(INDIRECT(Region_abbr &amp; "!A1"), $B$5 + D$6,$B32+1)</f>
        <v>#REF!</v>
      </c>
      <c r="E32" s="3" t="e" cm="1">
        <f t="array" aca="1" ref="E32" ca="1">$B$4 *
INDIRECT("Include_" &amp; $A$3)*INDIRECT("Include_" &amp; E$7)*
OFFSET(INDIRECT(Region_abbr &amp; "!A1"), $B$5 + E$6,$B32+1)</f>
        <v>#REF!</v>
      </c>
      <c r="F32" s="3" t="e" cm="1">
        <f t="array" aca="1" ref="F32" ca="1">$B$4 *
INDIRECT("Include_" &amp; $A$3)*INDIRECT("Include_" &amp; F$7)*
OFFSET(INDIRECT(Region_abbr &amp; "!A1"), $B$5 + F$6,$B32+1)</f>
        <v>#REF!</v>
      </c>
      <c r="G32" s="3" t="e" cm="1">
        <f t="array" aca="1" ref="G32" ca="1">$B$4 *
INDIRECT("Include_" &amp; $A$3)*INDIRECT("Include_" &amp; G$7)*
OFFSET(INDIRECT(Region_abbr &amp; "!A1"), $B$5 + G$6,$B32+1)</f>
        <v>#REF!</v>
      </c>
      <c r="H32" s="3" t="e" cm="1">
        <f t="array" aca="1" ref="H32" ca="1">$B$4 *
INDIRECT("Include_" &amp; $A$3)*INDIRECT("Include_" &amp; H$7)*
OFFSET(INDIRECT(Region_abbr &amp; "!A1"), $B$5 + H$6,$B32+1)</f>
        <v>#REF!</v>
      </c>
      <c r="I32" s="3" t="e">
        <f t="shared" ca="1" si="5"/>
        <v>#REF!</v>
      </c>
      <c r="K32">
        <f t="shared" ref="K32:L32" si="79">K31+1</f>
        <v>2048</v>
      </c>
      <c r="L32">
        <f t="shared" si="79"/>
        <v>24</v>
      </c>
      <c r="M32" s="3" t="e" cm="1">
        <f t="array" aca="1" ref="M32" ca="1">$L$4 *
INDIRECT("Include_" &amp; $K$3)*INDIRECT("Include_" &amp; M$7)*
OFFSET(INDIRECT(Region_abbr &amp; "!A1"), $L$5 + M$6,$L32+1)</f>
        <v>#REF!</v>
      </c>
      <c r="N32" s="3" t="e" cm="1">
        <f t="array" aca="1" ref="N32" ca="1">$L$4 *
INDIRECT("Include_" &amp; $K$3)*INDIRECT("Include_" &amp; N$7)*
OFFSET(INDIRECT(Region_abbr &amp; "!A1"), $L$5 + N$6,$L32+1)</f>
        <v>#REF!</v>
      </c>
      <c r="O32" s="3" t="e" cm="1">
        <f t="array" aca="1" ref="O32" ca="1">$L$4 *
INDIRECT("Include_" &amp; $K$3)*INDIRECT("Include_" &amp; O$7)*
OFFSET(INDIRECT(Region_abbr &amp; "!A1"), $L$5 + O$6,$L32+1)</f>
        <v>#REF!</v>
      </c>
      <c r="P32" s="3" t="e" cm="1">
        <f t="array" aca="1" ref="P32" ca="1">$L$4 *
INDIRECT("Include_" &amp; $K$3)*INDIRECT("Include_" &amp; P$7)*
OFFSET(INDIRECT(Region_abbr &amp; "!A1"), $L$5 + P$6,$L32+1)</f>
        <v>#REF!</v>
      </c>
      <c r="Q32" s="3" t="e" cm="1">
        <f t="array" aca="1" ref="Q32" ca="1">$L$4 *
INDIRECT("Include_" &amp; $K$3)*INDIRECT("Include_" &amp; Q$7)*
OFFSET(INDIRECT(Region_abbr &amp; "!A1"), $L$5 + Q$6,$L32+1)</f>
        <v>#REF!</v>
      </c>
      <c r="R32" s="3" t="e" cm="1">
        <f t="array" aca="1" ref="R32" ca="1">$L$4 *
INDIRECT("Include_" &amp; $K$3)*INDIRECT("Include_" &amp; R$7)*
OFFSET(INDIRECT(Region_abbr &amp; "!A1"), $L$5 + R$6,$L32+1)</f>
        <v>#REF!</v>
      </c>
      <c r="S32" s="3" t="e">
        <f t="shared" ca="1" si="7"/>
        <v>#REF!</v>
      </c>
      <c r="U32">
        <f t="shared" ref="U32:V32" si="80">U31+1</f>
        <v>2048</v>
      </c>
      <c r="V32">
        <f t="shared" si="80"/>
        <v>24</v>
      </c>
      <c r="W32" s="3" t="e" cm="1">
        <f t="array" aca="1" ref="W32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W$6,$V32+1)</f>
        <v>#REF!</v>
      </c>
      <c r="X32" s="3" t="e" cm="1">
        <f t="array" aca="1" ref="X32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X$6,$V32+1)</f>
        <v>#REF!</v>
      </c>
      <c r="Y32" s="3" t="e" cm="1">
        <f t="array" aca="1" ref="Y32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Y$6,$V32+1)</f>
        <v>#REF!</v>
      </c>
      <c r="Z32" s="3" t="e" cm="1">
        <f t="array" aca="1" ref="Z32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Z$6,$V32+1)</f>
        <v>#REF!</v>
      </c>
      <c r="AA32" s="3" t="e" cm="1">
        <f t="array" aca="1" ref="AA32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AA$6,$V32+1)</f>
        <v>#REF!</v>
      </c>
      <c r="AB32" s="3" t="e" cm="1">
        <f t="array" aca="1" ref="AB32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AB$6,$V32+1)</f>
        <v>#REF!</v>
      </c>
      <c r="AC32" s="3" t="e">
        <f t="shared" ca="1" si="9"/>
        <v>#REF!</v>
      </c>
      <c r="AE32">
        <f t="shared" ref="AE32:AF32" si="81">AE31+1</f>
        <v>2048</v>
      </c>
      <c r="AF32">
        <f t="shared" si="81"/>
        <v>24</v>
      </c>
      <c r="AG32" s="3" t="e" cm="1">
        <f t="array" aca="1" ref="AG32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AG$6,$AF32+1)</f>
        <v>#REF!</v>
      </c>
      <c r="AH32" s="3" t="e" cm="1">
        <f t="array" aca="1" ref="AH32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AH$6,$AF32+1)</f>
        <v>#REF!</v>
      </c>
      <c r="AI32" s="3" t="e" cm="1">
        <f t="array" aca="1" ref="AI32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AI$6,$AF32+1)</f>
        <v>#REF!</v>
      </c>
      <c r="AJ32" s="3" t="e" cm="1">
        <f t="array" aca="1" ref="AJ32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AJ$6,$AF32+1)</f>
        <v>#REF!</v>
      </c>
      <c r="AK32" s="3" t="e" cm="1">
        <f t="array" aca="1" ref="AK32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AK$6,$AF32+1)</f>
        <v>#REF!</v>
      </c>
      <c r="AL32" s="3" t="e" cm="1">
        <f t="array" aca="1" ref="AL32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AL$6,$AF32+1)</f>
        <v>#REF!</v>
      </c>
      <c r="AM32" s="3" t="e">
        <f t="shared" ca="1" si="11"/>
        <v>#REF!</v>
      </c>
    </row>
    <row r="33" spans="1:39" x14ac:dyDescent="0.85">
      <c r="A33">
        <f t="shared" si="57"/>
        <v>2049</v>
      </c>
      <c r="B33">
        <f t="shared" si="57"/>
        <v>25</v>
      </c>
      <c r="C33" s="3" t="e" cm="1">
        <f t="array" aca="1" ref="C33" ca="1">$B$4 *
INDIRECT("Include_" &amp; $A$3)*INDIRECT("Include_" &amp; C$7)*
OFFSET(INDIRECT(Region_abbr &amp; "!A1"), $B$5 + C$6,$B33+1)</f>
        <v>#REF!</v>
      </c>
      <c r="D33" s="3" t="e" cm="1">
        <f t="array" aca="1" ref="D33" ca="1">$B$4 *
INDIRECT("Include_" &amp; $A$3)*INDIRECT("Include_" &amp; D$7)*
OFFSET(INDIRECT(Region_abbr &amp; "!A1"), $B$5 + D$6,$B33+1)</f>
        <v>#REF!</v>
      </c>
      <c r="E33" s="3" t="e" cm="1">
        <f t="array" aca="1" ref="E33" ca="1">$B$4 *
INDIRECT("Include_" &amp; $A$3)*INDIRECT("Include_" &amp; E$7)*
OFFSET(INDIRECT(Region_abbr &amp; "!A1"), $B$5 + E$6,$B33+1)</f>
        <v>#REF!</v>
      </c>
      <c r="F33" s="3" t="e" cm="1">
        <f t="array" aca="1" ref="F33" ca="1">$B$4 *
INDIRECT("Include_" &amp; $A$3)*INDIRECT("Include_" &amp; F$7)*
OFFSET(INDIRECT(Region_abbr &amp; "!A1"), $B$5 + F$6,$B33+1)</f>
        <v>#REF!</v>
      </c>
      <c r="G33" s="3" t="e" cm="1">
        <f t="array" aca="1" ref="G33" ca="1">$B$4 *
INDIRECT("Include_" &amp; $A$3)*INDIRECT("Include_" &amp; G$7)*
OFFSET(INDIRECT(Region_abbr &amp; "!A1"), $B$5 + G$6,$B33+1)</f>
        <v>#REF!</v>
      </c>
      <c r="H33" s="3" t="e" cm="1">
        <f t="array" aca="1" ref="H33" ca="1">$B$4 *
INDIRECT("Include_" &amp; $A$3)*INDIRECT("Include_" &amp; H$7)*
OFFSET(INDIRECT(Region_abbr &amp; "!A1"), $B$5 + H$6,$B33+1)</f>
        <v>#REF!</v>
      </c>
      <c r="I33" s="3" t="e">
        <f t="shared" ca="1" si="5"/>
        <v>#REF!</v>
      </c>
      <c r="K33">
        <f t="shared" ref="K33:L33" si="82">K32+1</f>
        <v>2049</v>
      </c>
      <c r="L33">
        <f t="shared" si="82"/>
        <v>25</v>
      </c>
      <c r="M33" s="3" t="e" cm="1">
        <f t="array" aca="1" ref="M33" ca="1">$L$4 *
INDIRECT("Include_" &amp; $K$3)*INDIRECT("Include_" &amp; M$7)*
OFFSET(INDIRECT(Region_abbr &amp; "!A1"), $L$5 + M$6,$L33+1)</f>
        <v>#REF!</v>
      </c>
      <c r="N33" s="3" t="e" cm="1">
        <f t="array" aca="1" ref="N33" ca="1">$L$4 *
INDIRECT("Include_" &amp; $K$3)*INDIRECT("Include_" &amp; N$7)*
OFFSET(INDIRECT(Region_abbr &amp; "!A1"), $L$5 + N$6,$L33+1)</f>
        <v>#REF!</v>
      </c>
      <c r="O33" s="3" t="e" cm="1">
        <f t="array" aca="1" ref="O33" ca="1">$L$4 *
INDIRECT("Include_" &amp; $K$3)*INDIRECT("Include_" &amp; O$7)*
OFFSET(INDIRECT(Region_abbr &amp; "!A1"), $L$5 + O$6,$L33+1)</f>
        <v>#REF!</v>
      </c>
      <c r="P33" s="3" t="e" cm="1">
        <f t="array" aca="1" ref="P33" ca="1">$L$4 *
INDIRECT("Include_" &amp; $K$3)*INDIRECT("Include_" &amp; P$7)*
OFFSET(INDIRECT(Region_abbr &amp; "!A1"), $L$5 + P$6,$L33+1)</f>
        <v>#REF!</v>
      </c>
      <c r="Q33" s="3" t="e" cm="1">
        <f t="array" aca="1" ref="Q33" ca="1">$L$4 *
INDIRECT("Include_" &amp; $K$3)*INDIRECT("Include_" &amp; Q$7)*
OFFSET(INDIRECT(Region_abbr &amp; "!A1"), $L$5 + Q$6,$L33+1)</f>
        <v>#REF!</v>
      </c>
      <c r="R33" s="3" t="e" cm="1">
        <f t="array" aca="1" ref="R33" ca="1">$L$4 *
INDIRECT("Include_" &amp; $K$3)*INDIRECT("Include_" &amp; R$7)*
OFFSET(INDIRECT(Region_abbr &amp; "!A1"), $L$5 + R$6,$L33+1)</f>
        <v>#REF!</v>
      </c>
      <c r="S33" s="3" t="e">
        <f t="shared" ca="1" si="7"/>
        <v>#REF!</v>
      </c>
      <c r="U33">
        <f t="shared" ref="U33:V33" si="83">U32+1</f>
        <v>2049</v>
      </c>
      <c r="V33">
        <f t="shared" si="83"/>
        <v>25</v>
      </c>
      <c r="W33" s="3" t="e" cm="1">
        <f t="array" aca="1" ref="W33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W$6,$V33+1)</f>
        <v>#REF!</v>
      </c>
      <c r="X33" s="3" t="e" cm="1">
        <f t="array" aca="1" ref="X33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X$6,$V33+1)</f>
        <v>#REF!</v>
      </c>
      <c r="Y33" s="3" t="e" cm="1">
        <f t="array" aca="1" ref="Y33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Y$6,$V33+1)</f>
        <v>#REF!</v>
      </c>
      <c r="Z33" s="3" t="e" cm="1">
        <f t="array" aca="1" ref="Z33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Z$6,$V33+1)</f>
        <v>#REF!</v>
      </c>
      <c r="AA33" s="3" t="e" cm="1">
        <f t="array" aca="1" ref="AA33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AA$6,$V33+1)</f>
        <v>#REF!</v>
      </c>
      <c r="AB33" s="3" t="e" cm="1">
        <f t="array" aca="1" ref="AB33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AB$6,$V33+1)</f>
        <v>#REF!</v>
      </c>
      <c r="AC33" s="3" t="e">
        <f t="shared" ca="1" si="9"/>
        <v>#REF!</v>
      </c>
      <c r="AE33">
        <f t="shared" ref="AE33:AF33" si="84">AE32+1</f>
        <v>2049</v>
      </c>
      <c r="AF33">
        <f t="shared" si="84"/>
        <v>25</v>
      </c>
      <c r="AG33" s="3" t="e" cm="1">
        <f t="array" aca="1" ref="AG33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AG$6,$AF33+1)</f>
        <v>#REF!</v>
      </c>
      <c r="AH33" s="3" t="e" cm="1">
        <f t="array" aca="1" ref="AH33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AH$6,$AF33+1)</f>
        <v>#REF!</v>
      </c>
      <c r="AI33" s="3" t="e" cm="1">
        <f t="array" aca="1" ref="AI33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AI$6,$AF33+1)</f>
        <v>#REF!</v>
      </c>
      <c r="AJ33" s="3" t="e" cm="1">
        <f t="array" aca="1" ref="AJ33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AJ$6,$AF33+1)</f>
        <v>#REF!</v>
      </c>
      <c r="AK33" s="3" t="e" cm="1">
        <f t="array" aca="1" ref="AK33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AK$6,$AF33+1)</f>
        <v>#REF!</v>
      </c>
      <c r="AL33" s="3" t="e" cm="1">
        <f t="array" aca="1" ref="AL33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AL$6,$AF33+1)</f>
        <v>#REF!</v>
      </c>
      <c r="AM33" s="3" t="e">
        <f t="shared" ca="1" si="11"/>
        <v>#REF!</v>
      </c>
    </row>
    <row r="34" spans="1:39" x14ac:dyDescent="0.85">
      <c r="A34">
        <f t="shared" si="57"/>
        <v>2050</v>
      </c>
      <c r="B34">
        <f t="shared" si="57"/>
        <v>26</v>
      </c>
      <c r="C34" s="3" t="e" cm="1">
        <f t="array" aca="1" ref="C34" ca="1">$B$4 *
INDIRECT("Include_" &amp; $A$3)*INDIRECT("Include_" &amp; C$7)*
OFFSET(INDIRECT(Region_abbr &amp; "!A1"), $B$5 + C$6,$B34+1)</f>
        <v>#REF!</v>
      </c>
      <c r="D34" s="3" t="e" cm="1">
        <f t="array" aca="1" ref="D34" ca="1">$B$4 *
INDIRECT("Include_" &amp; $A$3)*INDIRECT("Include_" &amp; D$7)*
OFFSET(INDIRECT(Region_abbr &amp; "!A1"), $B$5 + D$6,$B34+1)</f>
        <v>#REF!</v>
      </c>
      <c r="E34" s="3" t="e" cm="1">
        <f t="array" aca="1" ref="E34" ca="1">$B$4 *
INDIRECT("Include_" &amp; $A$3)*INDIRECT("Include_" &amp; E$7)*
OFFSET(INDIRECT(Region_abbr &amp; "!A1"), $B$5 + E$6,$B34+1)</f>
        <v>#REF!</v>
      </c>
      <c r="F34" s="3" t="e" cm="1">
        <f t="array" aca="1" ref="F34" ca="1">$B$4 *
INDIRECT("Include_" &amp; $A$3)*INDIRECT("Include_" &amp; F$7)*
OFFSET(INDIRECT(Region_abbr &amp; "!A1"), $B$5 + F$6,$B34+1)</f>
        <v>#REF!</v>
      </c>
      <c r="G34" s="3" t="e" cm="1">
        <f t="array" aca="1" ref="G34" ca="1">$B$4 *
INDIRECT("Include_" &amp; $A$3)*INDIRECT("Include_" &amp; G$7)*
OFFSET(INDIRECT(Region_abbr &amp; "!A1"), $B$5 + G$6,$B34+1)</f>
        <v>#REF!</v>
      </c>
      <c r="H34" s="3" t="e" cm="1">
        <f t="array" aca="1" ref="H34" ca="1">$B$4 *
INDIRECT("Include_" &amp; $A$3)*INDIRECT("Include_" &amp; H$7)*
OFFSET(INDIRECT(Region_abbr &amp; "!A1"), $B$5 + H$6,$B34+1)</f>
        <v>#REF!</v>
      </c>
      <c r="I34" s="3" t="e">
        <f t="shared" ca="1" si="5"/>
        <v>#REF!</v>
      </c>
      <c r="K34">
        <f t="shared" ref="K34:L34" si="85">K33+1</f>
        <v>2050</v>
      </c>
      <c r="L34">
        <f t="shared" si="85"/>
        <v>26</v>
      </c>
      <c r="M34" s="3" t="e" cm="1">
        <f t="array" aca="1" ref="M34" ca="1">$L$4 *
INDIRECT("Include_" &amp; $K$3)*INDIRECT("Include_" &amp; M$7)*
OFFSET(INDIRECT(Region_abbr &amp; "!A1"), $L$5 + M$6,$L34+1)</f>
        <v>#REF!</v>
      </c>
      <c r="N34" s="3" t="e" cm="1">
        <f t="array" aca="1" ref="N34" ca="1">$L$4 *
INDIRECT("Include_" &amp; $K$3)*INDIRECT("Include_" &amp; N$7)*
OFFSET(INDIRECT(Region_abbr &amp; "!A1"), $L$5 + N$6,$L34+1)</f>
        <v>#REF!</v>
      </c>
      <c r="O34" s="3" t="e" cm="1">
        <f t="array" aca="1" ref="O34" ca="1">$L$4 *
INDIRECT("Include_" &amp; $K$3)*INDIRECT("Include_" &amp; O$7)*
OFFSET(INDIRECT(Region_abbr &amp; "!A1"), $L$5 + O$6,$L34+1)</f>
        <v>#REF!</v>
      </c>
      <c r="P34" s="3" t="e" cm="1">
        <f t="array" aca="1" ref="P34" ca="1">$L$4 *
INDIRECT("Include_" &amp; $K$3)*INDIRECT("Include_" &amp; P$7)*
OFFSET(INDIRECT(Region_abbr &amp; "!A1"), $L$5 + P$6,$L34+1)</f>
        <v>#REF!</v>
      </c>
      <c r="Q34" s="3" t="e" cm="1">
        <f t="array" aca="1" ref="Q34" ca="1">$L$4 *
INDIRECT("Include_" &amp; $K$3)*INDIRECT("Include_" &amp; Q$7)*
OFFSET(INDIRECT(Region_abbr &amp; "!A1"), $L$5 + Q$6,$L34+1)</f>
        <v>#REF!</v>
      </c>
      <c r="R34" s="3" t="e" cm="1">
        <f t="array" aca="1" ref="R34" ca="1">$L$4 *
INDIRECT("Include_" &amp; $K$3)*INDIRECT("Include_" &amp; R$7)*
OFFSET(INDIRECT(Region_abbr &amp; "!A1"), $L$5 + R$6,$L34+1)</f>
        <v>#REF!</v>
      </c>
      <c r="S34" s="3" t="e">
        <f t="shared" ca="1" si="7"/>
        <v>#REF!</v>
      </c>
      <c r="U34">
        <f t="shared" ref="U34:V34" si="86">U33+1</f>
        <v>2050</v>
      </c>
      <c r="V34">
        <f t="shared" si="86"/>
        <v>26</v>
      </c>
      <c r="W34" s="3" t="e" cm="1">
        <f t="array" aca="1" ref="W34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W$6,$V34+1)</f>
        <v>#REF!</v>
      </c>
      <c r="X34" s="3" t="e" cm="1">
        <f t="array" aca="1" ref="X34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X$6,$V34+1)</f>
        <v>#REF!</v>
      </c>
      <c r="Y34" s="3" t="e" cm="1">
        <f t="array" aca="1" ref="Y34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Y$6,$V34+1)</f>
        <v>#REF!</v>
      </c>
      <c r="Z34" s="3" t="e" cm="1">
        <f t="array" aca="1" ref="Z34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Z$6,$V34+1)</f>
        <v>#REF!</v>
      </c>
      <c r="AA34" s="3" t="e" cm="1">
        <f t="array" aca="1" ref="AA34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AA$6,$V34+1)</f>
        <v>#REF!</v>
      </c>
      <c r="AB34" s="3" t="e" cm="1">
        <f t="array" aca="1" ref="AB34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AB$6,$V34+1)</f>
        <v>#REF!</v>
      </c>
      <c r="AC34" s="3" t="e">
        <f t="shared" ca="1" si="9"/>
        <v>#REF!</v>
      </c>
      <c r="AE34">
        <f t="shared" ref="AE34:AF34" si="87">AE33+1</f>
        <v>2050</v>
      </c>
      <c r="AF34">
        <f t="shared" si="87"/>
        <v>26</v>
      </c>
      <c r="AG34" s="3" t="e" cm="1">
        <f t="array" aca="1" ref="AG34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AG$6,$AF34+1)</f>
        <v>#REF!</v>
      </c>
      <c r="AH34" s="3" t="e" cm="1">
        <f t="array" aca="1" ref="AH34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AH$6,$AF34+1)</f>
        <v>#REF!</v>
      </c>
      <c r="AI34" s="3" t="e" cm="1">
        <f t="array" aca="1" ref="AI34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AI$6,$AF34+1)</f>
        <v>#REF!</v>
      </c>
      <c r="AJ34" s="3" t="e" cm="1">
        <f t="array" aca="1" ref="AJ34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AJ$6,$AF34+1)</f>
        <v>#REF!</v>
      </c>
      <c r="AK34" s="3" t="e" cm="1">
        <f t="array" aca="1" ref="AK34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AK$6,$AF34+1)</f>
        <v>#REF!</v>
      </c>
      <c r="AL34" s="3" t="e" cm="1">
        <f t="array" aca="1" ref="AL34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AL$6,$AF34+1)</f>
        <v>#REF!</v>
      </c>
      <c r="AM34" s="3" t="e">
        <f t="shared" ca="1" si="11"/>
        <v>#REF!</v>
      </c>
    </row>
  </sheetData>
  <mergeCells count="1">
    <mergeCell ref="A1:B1"/>
  </mergeCells>
  <conditionalFormatting sqref="C8:I34">
    <cfRule type="expression" dxfId="4" priority="10">
      <formula>#REF! &gt; 10000</formula>
    </cfRule>
  </conditionalFormatting>
  <conditionalFormatting sqref="M8:S34">
    <cfRule type="expression" dxfId="3" priority="4">
      <formula>#REF! &gt; 10000</formula>
    </cfRule>
  </conditionalFormatting>
  <conditionalFormatting sqref="W8:AC34">
    <cfRule type="expression" dxfId="2" priority="3">
      <formula>#REF! &gt; 10000</formula>
    </cfRule>
  </conditionalFormatting>
  <conditionalFormatting sqref="AM8:AM34">
    <cfRule type="expression" dxfId="1" priority="2">
      <formula>#REF! &gt; 10000</formula>
    </cfRule>
  </conditionalFormatting>
  <conditionalFormatting sqref="AG8:AL34">
    <cfRule type="expression" dxfId="0" priority="1">
      <formula>#REF! &gt; 10000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31</vt:i4>
      </vt:variant>
    </vt:vector>
  </HeadingPairs>
  <TitlesOfParts>
    <vt:vector size="35" baseType="lpstr">
      <vt:lpstr>Graph</vt:lpstr>
      <vt:lpstr>Cost_Graph</vt:lpstr>
      <vt:lpstr>Calc</vt:lpstr>
      <vt:lpstr>Cost_Calc</vt:lpstr>
      <vt:lpstr>Battery_Cost</vt:lpstr>
      <vt:lpstr>Capital</vt:lpstr>
      <vt:lpstr>CO2_</vt:lpstr>
      <vt:lpstr>Coal_Cost</vt:lpstr>
      <vt:lpstr>Delta_Corner</vt:lpstr>
      <vt:lpstr>filename_</vt:lpstr>
      <vt:lpstr>Fixed</vt:lpstr>
      <vt:lpstr>Gas_Cost</vt:lpstr>
      <vt:lpstr>Include_Battery</vt:lpstr>
      <vt:lpstr>Include_Capital</vt:lpstr>
      <vt:lpstr>Include_CO2</vt:lpstr>
      <vt:lpstr>Include_Coal</vt:lpstr>
      <vt:lpstr>Include_Fixed</vt:lpstr>
      <vt:lpstr>Include_Gas</vt:lpstr>
      <vt:lpstr>Include_Nuclear</vt:lpstr>
      <vt:lpstr>Include_Solar</vt:lpstr>
      <vt:lpstr>Include_Variable</vt:lpstr>
      <vt:lpstr>Include_Wind</vt:lpstr>
      <vt:lpstr>Mult</vt:lpstr>
      <vt:lpstr>Nuclear_Cost</vt:lpstr>
      <vt:lpstr>Param_offset</vt:lpstr>
      <vt:lpstr>Parameter</vt:lpstr>
      <vt:lpstr>Region</vt:lpstr>
      <vt:lpstr>Region_abbr</vt:lpstr>
      <vt:lpstr>Region_Abbr_Cost</vt:lpstr>
      <vt:lpstr>Region_Cost</vt:lpstr>
      <vt:lpstr>Solar_Cost</vt:lpstr>
      <vt:lpstr>Table_Corner</vt:lpstr>
      <vt:lpstr>Variable</vt:lpstr>
      <vt:lpstr>Wind_Cost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2025-09-12T19:09:50Z</dcterms:modified>
</cp:coreProperties>
</file>