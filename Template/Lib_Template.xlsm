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Template/"/>
    </mc:Choice>
  </mc:AlternateContent>
  <xr:revisionPtr revIDLastSave="602" documentId="8_{F1F74A3A-C232-4F8A-A90E-8189464B63CE}" xr6:coauthVersionLast="47" xr6:coauthVersionMax="47" xr10:uidLastSave="{4D2FD586-9B14-4777-877C-F1A3AD3026C3}"/>
  <bookViews>
    <workbookView xWindow="-90" yWindow="-90" windowWidth="16637" windowHeight="9437" activeTab="2" xr2:uid="{F4D4EDAC-D9BE-40D7-9520-4AD57ED7D8EC}"/>
  </bookViews>
  <sheets>
    <sheet name="Graph" sheetId="1" r:id="rId1"/>
    <sheet name="Cost_Graph" sheetId="6" r:id="rId2"/>
    <sheet name="Calc" sheetId="5" r:id="rId3"/>
    <sheet name="Cost_Calc" sheetId="7" r:id="rId4"/>
  </sheets>
  <definedNames>
    <definedName name="_1st_ref">#REF!</definedName>
    <definedName name="_xleta.VALUE" hidden="1" xlm="1">#NAME?</definedName>
    <definedName name="Battery_Cost">Cost_Graph!$B$14</definedName>
    <definedName name="Billion">#REF!</definedName>
    <definedName name="Capital">Cost_Graph!$B$4</definedName>
    <definedName name="CO2_">Cost_Graph!$B$7</definedName>
    <definedName name="Coal_Cost">Cost_Graph!$B$13</definedName>
    <definedName name="Delta_Corner">Calc!$K$12</definedName>
    <definedName name="filename_">Graph!$C$1</definedName>
    <definedName name="Fixed">Cost_Graph!$B$5</definedName>
    <definedName name="Gas_Cost">Cost_Graph!$B$12</definedName>
    <definedName name="Inbox">#REF!</definedName>
    <definedName name="Include_Battery">Cost_Graph!$B$14</definedName>
    <definedName name="Include_Capital">Cost_Graph!$B$4</definedName>
    <definedName name="Include_CO2">Cost_Graph!$B$7</definedName>
    <definedName name="Include_Coal">Cost_Graph!$B$13</definedName>
    <definedName name="Include_Fixed">Cost_Graph!$B$5</definedName>
    <definedName name="Include_Gas">Cost_Graph!$B$12</definedName>
    <definedName name="Include_Nuclear">Cost_Graph!$B$11</definedName>
    <definedName name="Include_Solar">Cost_Graph!$B$9</definedName>
    <definedName name="Include_Variable">Cost_Graph!$B$6</definedName>
    <definedName name="Include_Wind">Cost_Graph!$B$10</definedName>
    <definedName name="Million">#REF!</definedName>
    <definedName name="Mult">Calc!$C$4</definedName>
    <definedName name="NRG_Selections">#REF!</definedName>
    <definedName name="NRG_Table">#REF!</definedName>
    <definedName name="Nuclear_Cost">Cost_Graph!$B$11</definedName>
    <definedName name="Param_Count">#REF!</definedName>
    <definedName name="Param_offset">Calc!$C$5</definedName>
    <definedName name="Param_Table">#REF!</definedName>
    <definedName name="Parameter">Graph!$A$2</definedName>
    <definedName name="Params">#REF!</definedName>
    <definedName name="Region">Graph!$A$1</definedName>
    <definedName name="Region_abbr">Calc!$C$3</definedName>
    <definedName name="Region_Abbr_Cost">Cost_Calc!$C$1</definedName>
    <definedName name="Region_Cost">Cost_Graph!$A$1</definedName>
    <definedName name="Region_lookup">#REF!</definedName>
    <definedName name="Regions">#REF!</definedName>
    <definedName name="Solar_Cost">Cost_Graph!$B$9</definedName>
    <definedName name="Table_Corner">Calc!$B$12</definedName>
    <definedName name="Thousand">#REF!</definedName>
    <definedName name="To_Long">#REF!</definedName>
    <definedName name="Variable">Cost_Graph!$B$6</definedName>
    <definedName name="Wind_Cost">Cost_Graph!$B$10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3" i="5" l="1"/>
  <c r="J12" i="5"/>
  <c r="C5" i="5"/>
  <c r="AF5" i="7" l="1"/>
  <c r="AF4" i="7"/>
  <c r="V5" i="7"/>
  <c r="V4" i="7"/>
  <c r="L5" i="7"/>
  <c r="B5" i="7"/>
  <c r="L4" i="7"/>
  <c r="B4" i="7"/>
  <c r="AF8" i="7"/>
  <c r="AE8" i="7"/>
  <c r="V8" i="7"/>
  <c r="U8" i="7"/>
  <c r="L8" i="7" l="1"/>
  <c r="K8" i="7"/>
  <c r="C1" i="7"/>
  <c r="B8" i="7"/>
  <c r="A8" i="7"/>
  <c r="E3" i="5"/>
  <c r="B6" i="5"/>
  <c r="I6" i="6"/>
  <c r="I7" i="6" s="1"/>
  <c r="I8" i="6" s="1"/>
  <c r="I9" i="6" s="1"/>
  <c r="I10" i="6" s="1"/>
  <c r="I11" i="6" s="1"/>
  <c r="I12" i="6" s="1"/>
  <c r="I13" i="6" s="1"/>
  <c r="I14" i="6" s="1"/>
  <c r="I15" i="6" s="1"/>
  <c r="I16" i="6" s="1"/>
  <c r="I17" i="6" s="1"/>
  <c r="I18" i="6" s="1"/>
  <c r="I19" i="6" s="1"/>
  <c r="I20" i="6" s="1"/>
  <c r="I21" i="6" s="1"/>
  <c r="I22" i="6" s="1"/>
  <c r="I23" i="6" s="1"/>
  <c r="I24" i="6" s="1"/>
  <c r="I25" i="6" s="1"/>
  <c r="I26" i="6" s="1"/>
  <c r="I27" i="6" s="1"/>
  <c r="I28" i="6" s="1"/>
  <c r="I29" i="6" s="1"/>
  <c r="I30" i="6" s="1"/>
  <c r="I31" i="6" s="1"/>
  <c r="I32" i="6" s="1"/>
  <c r="K13" i="5"/>
  <c r="B13" i="5"/>
  <c r="A13" i="5"/>
  <c r="C3" i="5"/>
  <c r="AG6" i="7" l="1"/>
  <c r="W6" i="7"/>
  <c r="C11" i="5"/>
  <c r="C6" i="7"/>
  <c r="M6" i="7"/>
  <c r="C4" i="5"/>
  <c r="AG8" i="7" a="1"/>
  <c r="C13" i="5" a="1"/>
  <c r="C8" i="7" a="1"/>
  <c r="W8" i="7" a="1"/>
  <c r="M8" i="7" a="1"/>
  <c r="M8" i="7" l="1"/>
  <c r="W8" i="7"/>
  <c r="AG8" i="7"/>
  <c r="C8" i="7"/>
  <c r="D11" i="5"/>
  <c r="AH6" i="7"/>
  <c r="X6" i="7"/>
  <c r="N6" i="7"/>
  <c r="D6" i="7"/>
  <c r="C13" i="5"/>
  <c r="N8" i="7" a="1"/>
  <c r="D8" i="7" a="1"/>
  <c r="X8" i="7" a="1"/>
  <c r="D13" i="5" a="1"/>
  <c r="AH8" i="7" a="1"/>
  <c r="X8" i="7" l="1"/>
  <c r="N8" i="7"/>
  <c r="AH8" i="7"/>
  <c r="D8" i="7"/>
  <c r="D13" i="5"/>
  <c r="E11" i="5"/>
  <c r="AI6" i="7"/>
  <c r="Y6" i="7"/>
  <c r="O6" i="7"/>
  <c r="E6" i="7"/>
  <c r="L13" i="5"/>
  <c r="E8" i="7" a="1"/>
  <c r="E13" i="5" a="1"/>
  <c r="O8" i="7" a="1"/>
  <c r="AI8" i="7" a="1"/>
  <c r="Y8" i="7" a="1"/>
  <c r="AI8" i="7" l="1"/>
  <c r="Y8" i="7"/>
  <c r="O8" i="7"/>
  <c r="E8" i="7"/>
  <c r="M13" i="5"/>
  <c r="E13" i="5"/>
  <c r="F11" i="5"/>
  <c r="AJ6" i="7"/>
  <c r="Z6" i="7"/>
  <c r="F6" i="7"/>
  <c r="P6" i="7"/>
  <c r="F13" i="5" a="1"/>
  <c r="F8" i="7" a="1"/>
  <c r="P8" i="7" a="1"/>
  <c r="Z8" i="7" a="1"/>
  <c r="AJ8" i="7" a="1"/>
  <c r="Z8" i="7" l="1"/>
  <c r="AJ8" i="7"/>
  <c r="P8" i="7"/>
  <c r="F8" i="7"/>
  <c r="N13" i="5"/>
  <c r="F13" i="5"/>
  <c r="G11" i="5"/>
  <c r="AK6" i="7"/>
  <c r="AA6" i="7"/>
  <c r="G6" i="7"/>
  <c r="Q6" i="7"/>
  <c r="Q8" i="7" a="1"/>
  <c r="AK8" i="7" a="1"/>
  <c r="AA8" i="7" a="1"/>
  <c r="G8" i="7" a="1"/>
  <c r="G13" i="5" a="1"/>
  <c r="AK8" i="7" l="1"/>
  <c r="AA8" i="7"/>
  <c r="Q8" i="7"/>
  <c r="G8" i="7"/>
  <c r="O13" i="5"/>
  <c r="G13" i="5"/>
  <c r="H11" i="5"/>
  <c r="AL6" i="7"/>
  <c r="AB6" i="7"/>
  <c r="H6" i="7"/>
  <c r="R6" i="7"/>
  <c r="H13" i="5" a="1"/>
  <c r="AB8" i="7" a="1"/>
  <c r="R8" i="7" a="1"/>
  <c r="H8" i="7" a="1"/>
  <c r="AL8" i="7" a="1"/>
  <c r="AL8" i="7" l="1"/>
  <c r="AM8" i="7" s="1"/>
  <c r="R8" i="7"/>
  <c r="S8" i="7" s="1"/>
  <c r="AB8" i="7"/>
  <c r="AC8" i="7" s="1"/>
  <c r="H8" i="7"/>
  <c r="P13" i="5"/>
  <c r="H13" i="5"/>
  <c r="I13" i="5" s="1"/>
  <c r="R13" i="5" l="1"/>
  <c r="Q13" i="5"/>
  <c r="I8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<sst xmlns="http://schemas.openxmlformats.org/spreadsheetml/2006/main" count="86" uniqueCount="36">
  <si>
    <t>Solar</t>
  </si>
  <si>
    <t>Wind</t>
  </si>
  <si>
    <t>Nuclear</t>
  </si>
  <si>
    <t>Gas</t>
  </si>
  <si>
    <t>Coal</t>
  </si>
  <si>
    <t>Sum</t>
  </si>
  <si>
    <t>Lib-Default_Debug_New-CAL-CO2_40_40.xlsm</t>
  </si>
  <si>
    <t>Offset</t>
  </si>
  <si>
    <t>California</t>
  </si>
  <si>
    <t>Cost</t>
  </si>
  <si>
    <t>Year</t>
  </si>
  <si>
    <t>Battery</t>
  </si>
  <si>
    <t>Region_abbr</t>
  </si>
  <si>
    <t>Mult</t>
  </si>
  <si>
    <t>Capital</t>
  </si>
  <si>
    <t>Fixed</t>
  </si>
  <si>
    <t>Variable</t>
  </si>
  <si>
    <t>CO2</t>
  </si>
  <si>
    <t>Yearly Change</t>
  </si>
  <si>
    <t>Capacity GW</t>
  </si>
  <si>
    <t>Param_offset</t>
  </si>
  <si>
    <t>Offsets</t>
  </si>
  <si>
    <t>Include_Capital</t>
  </si>
  <si>
    <t>Include_Fixed</t>
  </si>
  <si>
    <t>Include_Variable</t>
  </si>
  <si>
    <t>Include_CO2</t>
  </si>
  <si>
    <t>Include_Solar</t>
  </si>
  <si>
    <t>Include_Wind</t>
  </si>
  <si>
    <t>Include_Nuclear</t>
  </si>
  <si>
    <t>Include_Gas</t>
  </si>
  <si>
    <t>Include_Coal</t>
  </si>
  <si>
    <t>Include_Battery</t>
  </si>
  <si>
    <t>Region_Abbr_Cost</t>
  </si>
  <si>
    <t>Offsets -&gt;</t>
  </si>
  <si>
    <t>Changes year-to-year:</t>
  </si>
  <si>
    <t>Multiplier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</si>
</sst>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00"/>
    <numFmt numFmtId="165" formatCode="#,##0.00000"/>
  </numFmts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3" fontId="0" fillId="0" borderId="0" xfId="0" applyNumberFormat="1"/>
    <xf numFmtId="164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0" xfId="0" applyFont="1"/>
    <xf numFmtId="165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/>
    </xf>
    <xf numFmtId="1" fontId="0" fillId="0" borderId="0" xfId="0" applyNumberFormat="1"/>
  </cellXfs>
  <cellStyles count="1">
    <cellStyle name="Normal" xfId="0" builtinId="0"/>
  </cellStyles>
  <dxfs count="11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Calc!$E$3</c:f>
          <c:strCache>
            <c:ptCount val="1"/>
            <c:pt idx="0">
              <c:v>California - Capacity GW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Calc!$C$12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</c:numCache>
            </c:numRef>
          </c:cat>
          <c:val>
            <c:numRef>
              <c:f>Calc!$C$13:$C$39</c:f>
              <c:numCache>
                <c:formatCode>#,##0.00000</c:formatCode>
                <c:ptCount val="2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Calc!$D$12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</c:numCache>
            </c:numRef>
          </c:cat>
          <c:val>
            <c:numRef>
              <c:f>Calc!$D$13:$D$39</c:f>
              <c:numCache>
                <c:formatCode>#,##0.00000</c:formatCode>
                <c:ptCount val="2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Calc!$E$12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</c:numCache>
            </c:numRef>
          </c:cat>
          <c:val>
            <c:numRef>
              <c:f>Calc!$E$13:$E$39</c:f>
              <c:numCache>
                <c:formatCode>#,##0.00000</c:formatCode>
                <c:ptCount val="2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Calc!$F$12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</c:numCache>
            </c:numRef>
          </c:cat>
          <c:val>
            <c:numRef>
              <c:f>Calc!$F$13:$F$39</c:f>
              <c:numCache>
                <c:formatCode>#,##0.00000</c:formatCode>
                <c:ptCount val="2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Calc!$G$12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</c:numCache>
            </c:numRef>
          </c:cat>
          <c:val>
            <c:numRef>
              <c:f>Calc!$G$13:$G$39</c:f>
              <c:numCache>
                <c:formatCode>#,##0.00000</c:formatCode>
                <c:ptCount val="2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Calc!$H$12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</c:numCache>
            </c:numRef>
          </c:cat>
          <c:val>
            <c:numRef>
              <c:f>Calc!$H$13:$H$39</c:f>
              <c:numCache>
                <c:formatCode>#,##0.00000</c:formatCode>
                <c:ptCount val="2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Calc!$E$3</c:f>
          <c:strCache>
            <c:ptCount val="1"/>
            <c:pt idx="0">
              <c:v>California - Capacity GW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Calc!$L$12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</c:numCache>
            </c:numRef>
          </c:cat>
          <c:val>
            <c:numRef>
              <c:f>Calc!$L$13:$L$39</c:f>
              <c:numCache>
                <c:formatCode>#,##0.00</c:formatCode>
                <c:ptCount val="2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B4-46B8-A186-1E17D9D988DF}"/>
            </c:ext>
          </c:extLst>
        </c:ser>
        <c:ser>
          <c:idx val="1"/>
          <c:order val="1"/>
          <c:tx>
            <c:strRef>
              <c:f>Calc!$M$12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</c:numCache>
            </c:numRef>
          </c:cat>
          <c:val>
            <c:numRef>
              <c:f>Calc!$M$13:$M$39</c:f>
              <c:numCache>
                <c:formatCode>#,##0.00</c:formatCode>
                <c:ptCount val="2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B4-46B8-A186-1E17D9D988DF}"/>
            </c:ext>
          </c:extLst>
        </c:ser>
        <c:ser>
          <c:idx val="2"/>
          <c:order val="2"/>
          <c:tx>
            <c:strRef>
              <c:f>Calc!$N$12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</c:numCache>
            </c:numRef>
          </c:cat>
          <c:val>
            <c:numRef>
              <c:f>Calc!$N$13:$N$39</c:f>
              <c:numCache>
                <c:formatCode>#,##0.00</c:formatCode>
                <c:ptCount val="2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4-46B8-A186-1E17D9D988DF}"/>
            </c:ext>
          </c:extLst>
        </c:ser>
        <c:ser>
          <c:idx val="3"/>
          <c:order val="3"/>
          <c:tx>
            <c:strRef>
              <c:f>Calc!$O$12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</c:numCache>
            </c:numRef>
          </c:cat>
          <c:val>
            <c:numRef>
              <c:f>Calc!$O$13:$O$39</c:f>
              <c:numCache>
                <c:formatCode>#,##0.00</c:formatCode>
                <c:ptCount val="2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B4-46B8-A186-1E17D9D988DF}"/>
            </c:ext>
          </c:extLst>
        </c:ser>
        <c:ser>
          <c:idx val="4"/>
          <c:order val="4"/>
          <c:tx>
            <c:strRef>
              <c:f>Calc!$P$12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</c:numCache>
            </c:numRef>
          </c:cat>
          <c:val>
            <c:numRef>
              <c:f>Calc!$P$13:$P$39</c:f>
              <c:numCache>
                <c:formatCode>#,##0.00</c:formatCode>
                <c:ptCount val="2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B4-46B8-A186-1E17D9D988DF}"/>
            </c:ext>
          </c:extLst>
        </c:ser>
        <c:ser>
          <c:idx val="5"/>
          <c:order val="5"/>
          <c:tx>
            <c:strRef>
              <c:f>Calc!$Q$12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</c:numCache>
            </c:numRef>
          </c:cat>
          <c:val>
            <c:numRef>
              <c:f>Calc!$Q$13:$Q$39</c:f>
              <c:numCache>
                <c:formatCode>#,##0.00</c:formatCode>
                <c:ptCount val="2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B4-46B8-A186-1E17D9D98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Costs</a:t>
            </a:r>
            <a:r>
              <a:rPr lang="en-US" baseline="0"/>
              <a:t> B$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Cost_Calc!$A$3</c:f>
              <c:strCache>
                <c:ptCount val="1"/>
                <c:pt idx="0">
                  <c:v>Capital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Cost_Calc!$A$8:$A$34</c:f>
              <c:numCache>
                <c:formatCode>General</c:formatCode>
                <c:ptCount val="27"/>
                <c:pt idx="0">
                  <c:v>2024</c:v>
                </c:pt>
              </c:numCache>
            </c:numRef>
          </c:cat>
          <c:val>
            <c:numRef>
              <c:f>Cost_Calc!$I$8:$I$34</c:f>
              <c:numCache>
                <c:formatCode>#,##0</c:formatCode>
                <c:ptCount val="2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5-49B1-839A-E0836CD573E2}"/>
            </c:ext>
          </c:extLst>
        </c:ser>
        <c:ser>
          <c:idx val="1"/>
          <c:order val="1"/>
          <c:tx>
            <c:strRef>
              <c:f>Cost_Calc!$K$3</c:f>
              <c:strCache>
                <c:ptCount val="1"/>
                <c:pt idx="0">
                  <c:v>Fixed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Cost_Calc!$A$8:$A$34</c:f>
              <c:numCache>
                <c:formatCode>General</c:formatCode>
                <c:ptCount val="27"/>
                <c:pt idx="0">
                  <c:v>2024</c:v>
                </c:pt>
              </c:numCache>
            </c:numRef>
          </c:cat>
          <c:val>
            <c:numRef>
              <c:f>Cost_Calc!$S$8:$S$34</c:f>
              <c:numCache>
                <c:formatCode>#,##0</c:formatCode>
                <c:ptCount val="2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75-49B1-839A-E0836CD573E2}"/>
            </c:ext>
          </c:extLst>
        </c:ser>
        <c:ser>
          <c:idx val="2"/>
          <c:order val="2"/>
          <c:tx>
            <c:strRef>
              <c:f>Cost_Calc!$U$3</c:f>
              <c:strCache>
                <c:ptCount val="1"/>
                <c:pt idx="0">
                  <c:v>Variable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Cost_Calc!$A$8:$A$34</c:f>
              <c:numCache>
                <c:formatCode>General</c:formatCode>
                <c:ptCount val="27"/>
                <c:pt idx="0">
                  <c:v>2024</c:v>
                </c:pt>
              </c:numCache>
            </c:numRef>
          </c:cat>
          <c:val>
            <c:numRef>
              <c:f>Cost_Calc!$AC$8:$AC$34</c:f>
              <c:numCache>
                <c:formatCode>#,##0</c:formatCode>
                <c:ptCount val="2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75-49B1-839A-E0836CD573E2}"/>
            </c:ext>
          </c:extLst>
        </c:ser>
        <c:ser>
          <c:idx val="3"/>
          <c:order val="3"/>
          <c:tx>
            <c:strRef>
              <c:f>Cost_Calc!$AE$3</c:f>
              <c:strCache>
                <c:ptCount val="1"/>
                <c:pt idx="0">
                  <c:v>CO2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Cost_Calc!$A$8:$A$34</c:f>
              <c:numCache>
                <c:formatCode>General</c:formatCode>
                <c:ptCount val="27"/>
                <c:pt idx="0">
                  <c:v>2024</c:v>
                </c:pt>
              </c:numCache>
            </c:numRef>
          </c:cat>
          <c:val>
            <c:numRef>
              <c:f>Cost_Calc!$AM$8:$AM$34</c:f>
              <c:numCache>
                <c:formatCode>#,##0</c:formatCode>
                <c:ptCount val="2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75-49B1-839A-E0836CD57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Cost_Graph!#REF!</c:f>
          <c:strCache>
            <c:ptCount val="1"/>
            <c:pt idx="0">
              <c:v>#REF!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B46-454E-BED4-5145489F483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B46-454E-BED4-5145489F4833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4B46-454E-BED4-5145489F4833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4B46-454E-BED4-5145489F4833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4B46-454E-BED4-5145489F4833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4B46-454E-BED4-5145489F4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244922</xdr:colOff>
      <xdr:row>2</xdr:row>
      <xdr:rowOff>43544</xdr:rowOff>
    </xdr:from>
    <xdr:to>
      <xdr:col>10</xdr:col>
      <xdr:colOff>165999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32658</xdr:colOff>
      <xdr:row>3</xdr:row>
      <xdr:rowOff>40822</xdr:rowOff>
    </xdr:from>
    <xdr:to>
      <xdr:col>1</xdr:col>
      <xdr:colOff>19050</xdr:colOff>
      <xdr:row>4</xdr:row>
      <xdr:rowOff>24493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32658" y="615043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2</xdr:col>
      <xdr:colOff>0</xdr:colOff>
      <xdr:row>21</xdr:row>
      <xdr:rowOff>0</xdr:rowOff>
    </xdr:from>
    <xdr:to>
      <xdr:col>9</xdr:col>
      <xdr:colOff>179613</xdr:colOff>
      <xdr:row>36</xdr:row>
      <xdr:rowOff>117021</xdr:rowOff>
    </xdr:to>
    <xdr:graphicFrame macro="">
      <xdr:nvGraphicFramePr>
        <xdr:cNvPr id="7" name="Delta_Chart">
          <a:extLst>
            <a:ext uri="{FF2B5EF4-FFF2-40B4-BE49-F238E27FC236}">
              <a16:creationId xmlns:a16="http://schemas.microsoft.com/office/drawing/2014/main" id="{C4ACE980-5439-48D5-B37B-88B62B6B16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244922</xdr:colOff>
      <xdr:row>2</xdr:row>
      <xdr:rowOff>43544</xdr:rowOff>
    </xdr:from>
    <xdr:to>
      <xdr:col>9</xdr:col>
      <xdr:colOff>0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471CDF07-5B44-4BD9-B978-170343838F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A92104C0-8527-4EB3-B1B3-9C94F8DA5161}"/>
            </a:ext>
          </a:extLst>
        </xdr:cNvPr>
        <xdr:cNvSpPr/>
      </xdr:nvSpPr>
      <xdr:spPr>
        <a:xfrm>
          <a:off x="1518558" y="223157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4" name="Delta_Chart">
          <a:extLst>
            <a:ext uri="{FF2B5EF4-FFF2-40B4-BE49-F238E27FC236}">
              <a16:creationId xmlns:a16="http://schemas.microsoft.com/office/drawing/2014/main" id="{000DB447-8296-417D-856A-81AA9DD887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2"/>
  <sheetViews>
    <sheetView topLeftCell="H1" workbookViewId="0">
      <selection activeCell="B5" sqref="B5"/>
    </sheetView>
  </sheetViews>
  <sheetFormatPr defaultRowHeight="14.6" x14ac:dyDescent="0.85"/>
  <cols>
    <col min="1" max="1" width="11.92187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8" width="13.73046875" customWidth="1"/>
    <col min="9" max="9" width="11.53515625" customWidth="1"/>
    <col min="10" max="10" width="3.65234375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C1" s="9" t="s">
        <v>6</v>
      </c>
      <c r="D1" s="8"/>
      <c r="E1" s="8"/>
      <c r="F1" s="8"/>
      <c r="G1" s="8"/>
      <c r="H1" s="8"/>
      <c r="I1" s="8"/>
    </row>
    <row r="2" spans="1:27" ht="14.65" x14ac:dyDescent="0.85">
      <c r="A2" s="2" t="s">
        <v>19</v>
      </c>
      <c r="K2" s="4"/>
    </row>
    <row r="3" spans="1:27" ht="14.65" x14ac:dyDescent="0.85">
      <c r="M3" s="8"/>
      <c r="N3" s="8"/>
      <c r="O3" s="8"/>
    </row>
    <row r="4" spans="1:27" ht="14.65" customHeight="1" x14ac:dyDescent="0.85"/>
    <row r="5" spans="1:27" ht="14.65" x14ac:dyDescent="0.85"/>
    <row r="6" spans="1:27" ht="14.65" x14ac:dyDescent="0.85">
      <c r="K6" s="1"/>
      <c r="L6" s="1"/>
      <c r="M6" s="1"/>
      <c r="N6" s="1"/>
      <c r="O6" s="1"/>
      <c r="P6" s="1"/>
      <c r="Q6" s="1"/>
      <c r="U6" s="1"/>
      <c r="V6" s="1"/>
      <c r="W6" s="1"/>
      <c r="X6" s="1"/>
      <c r="Y6" s="1"/>
      <c r="Z6" s="1"/>
      <c r="AA6" s="1"/>
    </row>
    <row r="7" spans="1:27" ht="14.65" x14ac:dyDescent="0.85">
      <c r="K7" s="1"/>
      <c r="L7" s="1"/>
      <c r="M7" s="1"/>
      <c r="N7" s="1"/>
      <c r="O7" s="1"/>
      <c r="P7" s="1"/>
      <c r="Q7" s="1"/>
      <c r="U7" s="1"/>
      <c r="V7" s="1"/>
      <c r="W7" s="1"/>
      <c r="X7" s="1"/>
      <c r="Y7" s="1"/>
      <c r="Z7" s="1"/>
      <c r="AA7" s="1"/>
    </row>
    <row r="8" spans="1:27" ht="14.65" x14ac:dyDescent="0.85">
      <c r="K8" s="1"/>
      <c r="L8" s="1"/>
      <c r="M8" s="1"/>
      <c r="N8" s="1"/>
      <c r="O8" s="1"/>
      <c r="P8" s="1"/>
      <c r="Q8" s="1"/>
      <c r="U8" s="1"/>
      <c r="V8" s="1"/>
      <c r="W8" s="1"/>
      <c r="X8" s="1"/>
      <c r="Y8" s="1"/>
      <c r="Z8" s="1"/>
      <c r="AA8" s="1"/>
    </row>
    <row r="9" spans="1:27" ht="14.65" x14ac:dyDescent="0.85">
      <c r="K9" s="1"/>
      <c r="L9" s="1"/>
      <c r="M9" s="1"/>
      <c r="N9" s="1"/>
      <c r="O9" s="1"/>
      <c r="P9" s="1"/>
      <c r="Q9" s="1"/>
      <c r="U9" s="1"/>
      <c r="V9" s="1"/>
      <c r="W9" s="1"/>
      <c r="X9" s="1"/>
      <c r="Y9" s="1"/>
      <c r="Z9" s="1"/>
      <c r="AA9" s="1"/>
    </row>
    <row r="10" spans="1:27" ht="14.65" x14ac:dyDescent="0.85">
      <c r="K10" s="1"/>
      <c r="L10" s="1"/>
      <c r="M10" s="1"/>
      <c r="N10" s="1"/>
      <c r="O10" s="1"/>
      <c r="P10" s="1"/>
      <c r="Q10" s="1"/>
      <c r="U10" s="1"/>
      <c r="V10" s="1"/>
      <c r="W10" s="1"/>
      <c r="X10" s="1"/>
      <c r="Y10" s="1"/>
      <c r="Z10" s="1"/>
      <c r="AA10" s="1"/>
    </row>
    <row r="11" spans="1:27" ht="14.65" x14ac:dyDescent="0.85">
      <c r="K11" s="1"/>
      <c r="L11" s="1"/>
      <c r="M11" s="1"/>
      <c r="N11" s="1"/>
      <c r="O11" s="1"/>
      <c r="P11" s="1"/>
      <c r="Q11" s="1"/>
      <c r="U11" s="1"/>
      <c r="V11" s="1"/>
      <c r="W11" s="1"/>
      <c r="X11" s="1"/>
      <c r="Y11" s="1"/>
      <c r="Z11" s="1"/>
      <c r="AA11" s="1"/>
    </row>
    <row r="12" spans="1:27" ht="14.65" x14ac:dyDescent="0.85">
      <c r="K12" s="1"/>
      <c r="L12" s="1"/>
      <c r="M12" s="1"/>
      <c r="N12" s="1"/>
      <c r="O12" s="1"/>
      <c r="P12" s="1"/>
      <c r="Q12" s="1"/>
      <c r="U12" s="1"/>
      <c r="V12" s="1"/>
      <c r="W12" s="1"/>
      <c r="X12" s="1"/>
      <c r="Y12" s="1"/>
      <c r="Z12" s="1"/>
      <c r="AA12" s="1"/>
    </row>
    <row r="13" spans="1:27" ht="14.65" x14ac:dyDescent="0.85">
      <c r="K13" s="1"/>
      <c r="L13" s="1"/>
      <c r="M13" s="1"/>
      <c r="N13" s="1"/>
      <c r="O13" s="1"/>
      <c r="P13" s="1"/>
      <c r="Q13" s="1"/>
      <c r="U13" s="1"/>
      <c r="V13" s="1"/>
      <c r="W13" s="1"/>
      <c r="X13" s="1"/>
      <c r="Y13" s="1"/>
      <c r="Z13" s="1"/>
      <c r="AA13" s="1"/>
    </row>
    <row r="14" spans="1:27" ht="14.65" x14ac:dyDescent="0.85">
      <c r="K14" s="1"/>
      <c r="L14" s="1"/>
      <c r="M14" s="1"/>
      <c r="N14" s="1"/>
      <c r="O14" s="1"/>
      <c r="P14" s="1"/>
      <c r="Q14" s="1"/>
      <c r="U14" s="1"/>
      <c r="V14" s="1"/>
      <c r="W14" s="1"/>
      <c r="X14" s="1"/>
      <c r="Y14" s="1"/>
      <c r="Z14" s="1"/>
      <c r="AA14" s="1"/>
    </row>
    <row r="15" spans="1:27" ht="14.65" x14ac:dyDescent="0.85">
      <c r="K15" s="1"/>
      <c r="L15" s="1"/>
      <c r="M15" s="1"/>
      <c r="N15" s="1"/>
      <c r="O15" s="1"/>
      <c r="P15" s="1"/>
      <c r="Q15" s="1"/>
      <c r="U15" s="1"/>
      <c r="V15" s="1"/>
      <c r="W15" s="1"/>
      <c r="X15" s="1"/>
      <c r="Y15" s="1"/>
      <c r="Z15" s="1"/>
      <c r="AA15" s="1"/>
    </row>
    <row r="16" spans="1:27" ht="14.65" x14ac:dyDescent="0.85">
      <c r="K16" s="1"/>
      <c r="L16" s="1"/>
      <c r="M16" s="1"/>
      <c r="N16" s="1"/>
      <c r="O16" s="1"/>
      <c r="P16" s="1"/>
      <c r="Q16" s="1"/>
      <c r="U16" s="1"/>
      <c r="V16" s="1"/>
      <c r="W16" s="1"/>
      <c r="X16" s="1"/>
      <c r="Y16" s="1"/>
      <c r="Z16" s="1"/>
      <c r="AA16" s="1"/>
    </row>
    <row r="17" spans="1:27" ht="14.65" x14ac:dyDescent="0.85">
      <c r="K17" s="1"/>
      <c r="L17" s="1"/>
      <c r="M17" s="1"/>
      <c r="N17" s="1"/>
      <c r="O17" s="1"/>
      <c r="P17" s="1"/>
      <c r="Q17" s="1"/>
      <c r="U17" s="1"/>
      <c r="V17" s="1"/>
      <c r="W17" s="1"/>
      <c r="X17" s="1"/>
      <c r="Y17" s="1"/>
      <c r="Z17" s="1"/>
      <c r="AA17" s="1"/>
    </row>
    <row r="18" spans="1:27" ht="14.65" x14ac:dyDescent="0.85">
      <c r="K18" s="1"/>
      <c r="L18" s="1"/>
      <c r="M18" s="1"/>
      <c r="N18" s="1"/>
      <c r="O18" s="1"/>
      <c r="P18" s="1"/>
      <c r="Q18" s="1"/>
      <c r="U18" s="1"/>
      <c r="V18" s="1"/>
      <c r="W18" s="1"/>
      <c r="X18" s="1"/>
      <c r="Y18" s="1"/>
      <c r="Z18" s="1"/>
      <c r="AA18" s="1"/>
    </row>
    <row r="19" spans="1:27" ht="14.65" x14ac:dyDescent="0.85">
      <c r="K19" s="1"/>
      <c r="L19" s="1"/>
      <c r="M19" s="1"/>
      <c r="N19" s="1"/>
      <c r="O19" s="1"/>
      <c r="P19" s="1"/>
      <c r="Q19" s="1"/>
      <c r="U19" s="1"/>
      <c r="V19" s="1"/>
      <c r="W19" s="1"/>
      <c r="X19" s="1"/>
      <c r="Y19" s="1"/>
      <c r="Z19" s="1"/>
      <c r="AA19" s="1"/>
    </row>
    <row r="20" spans="1:27" x14ac:dyDescent="0.85">
      <c r="K20" s="1"/>
      <c r="L20" s="1"/>
      <c r="M20" s="1"/>
      <c r="N20" s="1"/>
      <c r="O20" s="1"/>
      <c r="P20" s="1"/>
      <c r="Q20" s="1"/>
      <c r="U20" s="1"/>
      <c r="V20" s="1"/>
      <c r="W20" s="1"/>
      <c r="X20" s="1"/>
      <c r="Y20" s="1"/>
      <c r="Z20" s="1"/>
      <c r="AA20" s="1"/>
    </row>
    <row r="21" spans="1:27" x14ac:dyDescent="0.85">
      <c r="K21" s="1"/>
      <c r="L21" s="1"/>
      <c r="M21" s="1"/>
      <c r="N21" s="1"/>
      <c r="O21" s="1"/>
      <c r="P21" s="1"/>
      <c r="Q21" s="1"/>
      <c r="U21" s="1"/>
      <c r="V21" s="1"/>
      <c r="W21" s="1"/>
      <c r="X21" s="1"/>
      <c r="Y21" s="1"/>
      <c r="Z21" s="1"/>
      <c r="AA21" s="1"/>
    </row>
    <row r="22" spans="1:27" x14ac:dyDescent="0.85">
      <c r="A22" s="6" t="s">
        <v>34</v>
      </c>
      <c r="K22" s="1"/>
      <c r="L22" s="1"/>
      <c r="M22" s="1"/>
      <c r="N22" s="1"/>
      <c r="O22" s="1"/>
      <c r="P22" s="1"/>
      <c r="Q22" s="1"/>
      <c r="U22" s="1"/>
      <c r="V22" s="1"/>
      <c r="W22" s="1"/>
      <c r="X22" s="1"/>
      <c r="Y22" s="1"/>
      <c r="Z22" s="1"/>
      <c r="AA22" s="1"/>
    </row>
    <row r="23" spans="1:27" x14ac:dyDescent="0.85">
      <c r="K23" s="1"/>
      <c r="L23" s="1"/>
      <c r="M23" s="1"/>
      <c r="N23" s="1"/>
      <c r="O23" s="1"/>
      <c r="P23" s="1"/>
      <c r="Q23" s="1"/>
      <c r="U23" s="1"/>
      <c r="V23" s="1"/>
      <c r="W23" s="1"/>
      <c r="X23" s="1"/>
      <c r="Y23" s="1"/>
      <c r="Z23" s="1"/>
      <c r="AA23" s="1"/>
    </row>
    <row r="24" spans="1:27" x14ac:dyDescent="0.85">
      <c r="K24" s="1"/>
      <c r="L24" s="1"/>
      <c r="M24" s="1"/>
      <c r="N24" s="1"/>
      <c r="O24" s="1"/>
      <c r="P24" s="1"/>
      <c r="Q24" s="1"/>
      <c r="U24" s="1"/>
      <c r="V24" s="1"/>
      <c r="W24" s="1"/>
      <c r="X24" s="1"/>
      <c r="Y24" s="1"/>
      <c r="Z24" s="1"/>
      <c r="AA24" s="1"/>
    </row>
    <row r="25" spans="1:27" x14ac:dyDescent="0.85">
      <c r="K25" s="1"/>
      <c r="L25" s="1"/>
      <c r="M25" s="1"/>
      <c r="N25" s="1"/>
      <c r="O25" s="1"/>
      <c r="P25" s="1"/>
      <c r="Q25" s="1"/>
      <c r="U25" s="1"/>
      <c r="V25" s="1"/>
      <c r="W25" s="1"/>
      <c r="X25" s="1"/>
      <c r="Y25" s="1"/>
      <c r="Z25" s="1"/>
      <c r="AA25" s="1"/>
    </row>
    <row r="26" spans="1:27" x14ac:dyDescent="0.85">
      <c r="K26" s="1"/>
      <c r="L26" s="1"/>
      <c r="M26" s="1"/>
      <c r="N26" s="1"/>
      <c r="O26" s="1"/>
      <c r="P26" s="1"/>
      <c r="Q26" s="1"/>
      <c r="U26" s="1"/>
      <c r="V26" s="1"/>
      <c r="W26" s="1"/>
      <c r="X26" s="1"/>
      <c r="Y26" s="1"/>
      <c r="Z26" s="1"/>
      <c r="AA26" s="1"/>
    </row>
    <row r="27" spans="1:27" x14ac:dyDescent="0.85">
      <c r="K27" s="1"/>
      <c r="L27" s="1"/>
      <c r="M27" s="1"/>
      <c r="N27" s="1"/>
      <c r="O27" s="1"/>
      <c r="P27" s="1"/>
      <c r="Q27" s="1"/>
      <c r="U27" s="1"/>
      <c r="V27" s="1"/>
      <c r="W27" s="1"/>
      <c r="X27" s="1"/>
      <c r="Y27" s="1"/>
      <c r="Z27" s="1"/>
      <c r="AA27" s="1"/>
    </row>
    <row r="28" spans="1:27" x14ac:dyDescent="0.85">
      <c r="K28" s="1"/>
      <c r="L28" s="1"/>
      <c r="M28" s="1"/>
      <c r="N28" s="1"/>
      <c r="O28" s="1"/>
      <c r="P28" s="1"/>
      <c r="Q28" s="1"/>
      <c r="U28" s="1"/>
      <c r="V28" s="1"/>
      <c r="W28" s="1"/>
      <c r="X28" s="1"/>
      <c r="Y28" s="1"/>
      <c r="Z28" s="1"/>
      <c r="AA28" s="1"/>
    </row>
    <row r="29" spans="1:27" x14ac:dyDescent="0.85">
      <c r="K29" s="1"/>
      <c r="L29" s="1"/>
      <c r="M29" s="1"/>
      <c r="N29" s="1"/>
      <c r="O29" s="1"/>
      <c r="P29" s="1"/>
      <c r="Q29" s="1"/>
      <c r="U29" s="1"/>
      <c r="V29" s="1"/>
      <c r="W29" s="1"/>
      <c r="X29" s="1"/>
      <c r="Y29" s="1"/>
      <c r="Z29" s="1"/>
      <c r="AA29" s="1"/>
    </row>
    <row r="30" spans="1:27" x14ac:dyDescent="0.85">
      <c r="K30" s="1"/>
      <c r="L30" s="1"/>
      <c r="M30" s="1"/>
      <c r="N30" s="1"/>
      <c r="O30" s="1"/>
      <c r="P30" s="1"/>
      <c r="Q30" s="1"/>
      <c r="U30" s="1"/>
      <c r="V30" s="1"/>
      <c r="W30" s="1"/>
      <c r="X30" s="1"/>
      <c r="Y30" s="1"/>
      <c r="Z30" s="1"/>
      <c r="AA30" s="1"/>
    </row>
    <row r="31" spans="1:27" x14ac:dyDescent="0.85">
      <c r="K31" s="1"/>
      <c r="L31" s="1"/>
      <c r="M31" s="1"/>
      <c r="N31" s="1"/>
      <c r="O31" s="1"/>
      <c r="P31" s="1"/>
      <c r="Q31" s="1"/>
      <c r="U31" s="1"/>
      <c r="V31" s="1"/>
      <c r="W31" s="1"/>
      <c r="X31" s="1"/>
      <c r="Y31" s="1"/>
      <c r="Z31" s="1"/>
      <c r="AA31" s="1"/>
    </row>
    <row r="32" spans="1:27" x14ac:dyDescent="0.85">
      <c r="K32" s="1"/>
      <c r="L32" s="1"/>
      <c r="M32" s="1"/>
      <c r="N32" s="1"/>
      <c r="O32" s="1"/>
      <c r="P32" s="1"/>
      <c r="Q32" s="1"/>
    </row>
  </sheetData>
  <mergeCells count="2">
    <mergeCell ref="M3:O3"/>
    <mergeCell ref="C1:I1"/>
  </mergeCells>
  <conditionalFormatting sqref="K6:Q32">
    <cfRule type="expression" dxfId="10" priority="5">
      <formula>$Q6 &gt; 10000</formula>
    </cfRule>
  </conditionalFormatting>
  <conditionalFormatting sqref="U6:AA31">
    <cfRule type="expression" dxfId="9" priority="3">
      <formula>$Q6 &gt; 10000</formula>
    </cfRule>
  </conditionalFormatting>
  <conditionalFormatting sqref="K2">
    <cfRule type="expression" dxfId="8" priority="2">
      <formula>$Q2 &gt; 10000</formula>
    </cfRule>
  </conditionalFormatting>
  <dataValidations count="1">
    <dataValidation type="list" allowBlank="1" showInputMessage="1" showErrorMessage="1" sqref="A2" xr:uid="{FBA341F7-B53D-40FE-9073-E8DFC7E6B155}">
      <formula1>Params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C6B7B-C308-4369-B725-05C64C64DE0D}">
  <sheetPr codeName="Sheet5"/>
  <dimension ref="A1:I32"/>
  <sheetViews>
    <sheetView workbookViewId="0">
      <selection activeCell="B7" sqref="B7"/>
    </sheetView>
  </sheetViews>
  <sheetFormatPr defaultRowHeight="14.6" x14ac:dyDescent="0.85"/>
  <cols>
    <col min="1" max="1" width="14.11328125" bestFit="1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8" width="13.73046875" customWidth="1"/>
    <col min="9" max="9" width="11.53515625" customWidth="1"/>
  </cols>
  <sheetData>
    <row r="1" spans="1:9" ht="16.149999999999999" x14ac:dyDescent="0.85">
      <c r="A1" s="2" t="s">
        <v>8</v>
      </c>
      <c r="C1" s="9" t="s">
        <v>6</v>
      </c>
      <c r="D1" s="8"/>
      <c r="E1" s="8"/>
      <c r="F1" s="8"/>
      <c r="G1" s="8"/>
      <c r="H1" s="8"/>
      <c r="I1" s="8"/>
    </row>
    <row r="2" spans="1:9" ht="14.65" x14ac:dyDescent="0.85">
      <c r="A2" s="2" t="s">
        <v>9</v>
      </c>
    </row>
    <row r="4" spans="1:9" ht="14.65" customHeight="1" x14ac:dyDescent="0.85">
      <c r="A4" t="s">
        <v>22</v>
      </c>
      <c r="B4" s="5" t="b">
        <v>1</v>
      </c>
    </row>
    <row r="5" spans="1:9" ht="14.65" x14ac:dyDescent="0.85">
      <c r="A5" t="s">
        <v>23</v>
      </c>
      <c r="B5" s="5" t="b">
        <v>0</v>
      </c>
      <c r="I5">
        <v>2023</v>
      </c>
    </row>
    <row r="6" spans="1:9" ht="14.65" x14ac:dyDescent="0.85">
      <c r="A6" t="s">
        <v>24</v>
      </c>
      <c r="B6" s="5" t="b">
        <v>0</v>
      </c>
      <c r="I6">
        <f>I5+1</f>
        <v>2024</v>
      </c>
    </row>
    <row r="7" spans="1:9" ht="14.65" x14ac:dyDescent="0.85">
      <c r="A7" t="s">
        <v>25</v>
      </c>
      <c r="B7" s="5" t="b">
        <v>0</v>
      </c>
      <c r="I7">
        <f t="shared" ref="I7:I22" si="0">I6+1</f>
        <v>2025</v>
      </c>
    </row>
    <row r="8" spans="1:9" ht="14.65" x14ac:dyDescent="0.85">
      <c r="I8">
        <f t="shared" si="0"/>
        <v>2026</v>
      </c>
    </row>
    <row r="9" spans="1:9" ht="14.65" x14ac:dyDescent="0.85">
      <c r="A9" t="s">
        <v>26</v>
      </c>
      <c r="B9" s="5" t="b">
        <v>1</v>
      </c>
      <c r="I9">
        <f t="shared" si="0"/>
        <v>2027</v>
      </c>
    </row>
    <row r="10" spans="1:9" ht="14.65" x14ac:dyDescent="0.85">
      <c r="A10" t="s">
        <v>27</v>
      </c>
      <c r="B10" s="5" t="b">
        <v>1</v>
      </c>
      <c r="I10">
        <f t="shared" si="0"/>
        <v>2028</v>
      </c>
    </row>
    <row r="11" spans="1:9" ht="14.65" x14ac:dyDescent="0.85">
      <c r="A11" t="s">
        <v>28</v>
      </c>
      <c r="B11" s="5" t="b">
        <v>1</v>
      </c>
      <c r="I11">
        <f t="shared" si="0"/>
        <v>2029</v>
      </c>
    </row>
    <row r="12" spans="1:9" ht="14.65" x14ac:dyDescent="0.85">
      <c r="A12" t="s">
        <v>29</v>
      </c>
      <c r="B12" s="5" t="b">
        <v>1</v>
      </c>
      <c r="I12">
        <f t="shared" si="0"/>
        <v>2030</v>
      </c>
    </row>
    <row r="13" spans="1:9" ht="14.65" x14ac:dyDescent="0.85">
      <c r="A13" t="s">
        <v>30</v>
      </c>
      <c r="B13" s="5" t="b">
        <v>1</v>
      </c>
      <c r="I13">
        <f t="shared" si="0"/>
        <v>2031</v>
      </c>
    </row>
    <row r="14" spans="1:9" ht="14.65" x14ac:dyDescent="0.85">
      <c r="A14" t="s">
        <v>31</v>
      </c>
      <c r="B14" s="5" t="b">
        <v>1</v>
      </c>
      <c r="I14">
        <f t="shared" si="0"/>
        <v>2032</v>
      </c>
    </row>
    <row r="15" spans="1:9" ht="14.65" x14ac:dyDescent="0.85">
      <c r="I15">
        <f t="shared" si="0"/>
        <v>2033</v>
      </c>
    </row>
    <row r="16" spans="1:9" ht="14.65" x14ac:dyDescent="0.85">
      <c r="I16">
        <f t="shared" si="0"/>
        <v>2034</v>
      </c>
    </row>
    <row r="17" spans="9:9" ht="14.65" x14ac:dyDescent="0.85">
      <c r="I17">
        <f t="shared" si="0"/>
        <v>2035</v>
      </c>
    </row>
    <row r="18" spans="9:9" ht="14.65" x14ac:dyDescent="0.85">
      <c r="I18">
        <f t="shared" si="0"/>
        <v>2036</v>
      </c>
    </row>
    <row r="19" spans="9:9" ht="14.65" x14ac:dyDescent="0.85">
      <c r="I19">
        <f t="shared" si="0"/>
        <v>2037</v>
      </c>
    </row>
    <row r="20" spans="9:9" x14ac:dyDescent="0.85">
      <c r="I20">
        <f t="shared" si="0"/>
        <v>2038</v>
      </c>
    </row>
    <row r="21" spans="9:9" x14ac:dyDescent="0.85">
      <c r="I21">
        <f t="shared" si="0"/>
        <v>2039</v>
      </c>
    </row>
    <row r="22" spans="9:9" x14ac:dyDescent="0.85">
      <c r="I22">
        <f t="shared" si="0"/>
        <v>2040</v>
      </c>
    </row>
    <row r="23" spans="9:9" x14ac:dyDescent="0.85">
      <c r="I23">
        <f t="shared" ref="I23:I32" si="1">I22+1</f>
        <v>2041</v>
      </c>
    </row>
    <row r="24" spans="9:9" x14ac:dyDescent="0.85">
      <c r="I24">
        <f t="shared" si="1"/>
        <v>2042</v>
      </c>
    </row>
    <row r="25" spans="9:9" x14ac:dyDescent="0.85">
      <c r="I25">
        <f t="shared" si="1"/>
        <v>2043</v>
      </c>
    </row>
    <row r="26" spans="9:9" x14ac:dyDescent="0.85">
      <c r="I26">
        <f t="shared" si="1"/>
        <v>2044</v>
      </c>
    </row>
    <row r="27" spans="9:9" x14ac:dyDescent="0.85">
      <c r="I27">
        <f t="shared" si="1"/>
        <v>2045</v>
      </c>
    </row>
    <row r="28" spans="9:9" x14ac:dyDescent="0.85">
      <c r="I28">
        <f t="shared" si="1"/>
        <v>2046</v>
      </c>
    </row>
    <row r="29" spans="9:9" x14ac:dyDescent="0.85">
      <c r="I29">
        <f t="shared" si="1"/>
        <v>2047</v>
      </c>
    </row>
    <row r="30" spans="9:9" x14ac:dyDescent="0.85">
      <c r="I30">
        <f t="shared" si="1"/>
        <v>2048</v>
      </c>
    </row>
    <row r="31" spans="9:9" x14ac:dyDescent="0.85">
      <c r="I31">
        <f t="shared" si="1"/>
        <v>2049</v>
      </c>
    </row>
    <row r="32" spans="9:9" x14ac:dyDescent="0.85">
      <c r="I32">
        <f t="shared" si="1"/>
        <v>2050</v>
      </c>
    </row>
  </sheetData>
  <mergeCells count="1">
    <mergeCell ref="C1:I1"/>
  </mergeCells>
  <dataValidations count="1">
    <dataValidation type="list" allowBlank="1" showInputMessage="1" showErrorMessage="1" sqref="A2" xr:uid="{88D65C1F-558A-4663-B549-55B891711BDC}">
      <formula1>Params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7EDE5-8FEE-47AB-9518-62B7C472B416}">
  <sheetPr codeName="Sheet2"/>
  <dimension ref="A2:R39"/>
  <sheetViews>
    <sheetView tabSelected="1" topLeftCell="A5" workbookViewId="0">
      <selection activeCell="J14" sqref="J14"/>
    </sheetView>
  </sheetViews>
  <sheetFormatPr defaultRowHeight="14.6" x14ac:dyDescent="0.85"/>
  <cols>
    <col min="1" max="1" width="11.53515625" customWidth="1"/>
    <col min="2" max="2" width="10.8046875" bestFit="1" customWidth="1"/>
    <col min="3" max="9" width="12.69140625" customWidth="1"/>
    <col min="10" max="10" width="10.65234375" style="10" bestFit="1" customWidth="1"/>
    <col min="11" max="11" width="3.11328125" customWidth="1"/>
  </cols>
  <sheetData>
    <row r="2" spans="1:18" x14ac:dyDescent="0.85">
      <c r="C2" s="4"/>
    </row>
    <row r="3" spans="1:18" x14ac:dyDescent="0.85">
      <c r="B3" t="s">
        <v>12</v>
      </c>
      <c r="C3" t="e">
        <f>VLOOKUP(Region, Region_lookup,2,FALSE)</f>
        <v>#REF!</v>
      </c>
      <c r="E3" s="8" t="str">
        <f>Graph!$A$1 &amp; " - " &amp; Graph!$A$2</f>
        <v>California - Capacity GW</v>
      </c>
      <c r="F3" s="8"/>
      <c r="G3" s="8"/>
    </row>
    <row r="4" spans="1:18" x14ac:dyDescent="0.85">
      <c r="B4" t="s">
        <v>13</v>
      </c>
      <c r="C4" t="e">
        <f>VLOOKUP(Parameter,Param_Table,4,FALSE)</f>
        <v>#REF!</v>
      </c>
    </row>
    <row r="5" spans="1:18" x14ac:dyDescent="0.85">
      <c r="B5" t="s">
        <v>20</v>
      </c>
      <c r="C5" t="e">
        <f>VLOOKUP(Parameter,Param_Table,2,FALSE)</f>
        <v>#REF!</v>
      </c>
    </row>
    <row r="6" spans="1:18" x14ac:dyDescent="0.85">
      <c r="B6" t="str">
        <f>Parameter</f>
        <v>Capacity GW</v>
      </c>
    </row>
    <row r="11" spans="1:18" x14ac:dyDescent="0.85">
      <c r="A11" t="s">
        <v>21</v>
      </c>
      <c r="B11" t="s">
        <v>10</v>
      </c>
      <c r="C11" t="e">
        <f t="shared" ref="C11:H11" si="0">VLOOKUP(C$12,NRG_Table,2,FALSE)</f>
        <v>#REF!</v>
      </c>
      <c r="D11" t="e">
        <f t="shared" si="0"/>
        <v>#REF!</v>
      </c>
      <c r="E11" t="e">
        <f t="shared" si="0"/>
        <v>#REF!</v>
      </c>
      <c r="F11" t="e">
        <f t="shared" si="0"/>
        <v>#REF!</v>
      </c>
      <c r="G11" t="e">
        <f t="shared" si="0"/>
        <v>#REF!</v>
      </c>
      <c r="H11" t="e">
        <f t="shared" si="0"/>
        <v>#REF!</v>
      </c>
      <c r="L11" s="6" t="s">
        <v>18</v>
      </c>
    </row>
    <row r="12" spans="1:18" x14ac:dyDescent="0.85">
      <c r="A12">
        <v>2023</v>
      </c>
      <c r="B12">
        <v>-1</v>
      </c>
      <c r="C12" t="s">
        <v>0</v>
      </c>
      <c r="D12" t="s">
        <v>1</v>
      </c>
      <c r="E12" t="s">
        <v>2</v>
      </c>
      <c r="F12" t="s">
        <v>3</v>
      </c>
      <c r="G12" t="s">
        <v>4</v>
      </c>
      <c r="H12" t="s">
        <v>11</v>
      </c>
      <c r="I12" t="s">
        <v>5</v>
      </c>
      <c r="J12" s="10">
        <f>2023</f>
        <v>2023</v>
      </c>
      <c r="K12">
        <v>0</v>
      </c>
      <c r="L12" t="s">
        <v>0</v>
      </c>
      <c r="M12" t="s">
        <v>1</v>
      </c>
      <c r="N12" t="s">
        <v>2</v>
      </c>
      <c r="O12" t="s">
        <v>3</v>
      </c>
      <c r="P12" t="s">
        <v>4</v>
      </c>
      <c r="Q12" t="s">
        <v>11</v>
      </c>
      <c r="R12" t="s">
        <v>5</v>
      </c>
    </row>
    <row r="13" spans="1:18" x14ac:dyDescent="0.85">
      <c r="A13">
        <f>A12+1</f>
        <v>2024</v>
      </c>
      <c r="B13">
        <f>B12+1</f>
        <v>0</v>
      </c>
      <c r="C13" s="7" t="e" cm="1">
        <f t="array" aca="1" ref="C13" ca="1" xml:space="preserve"> Mult * OFFSET(INDIRECT(Region_abbr &amp; "!A1"), Param_offset + C$11,$B13+1)</f>
        <v>#REF!</v>
      </c>
      <c r="D13" s="7" t="e" cm="1">
        <f t="array" aca="1" ref="D13" ca="1" xml:space="preserve"> Mult * OFFSET(INDIRECT(Region_abbr &amp; "!A1"), Param_offset + D$11,$B13+1)</f>
        <v>#REF!</v>
      </c>
      <c r="E13" s="7" t="e" cm="1">
        <f t="array" aca="1" ref="E13" ca="1" xml:space="preserve"> Mult * OFFSET(INDIRECT(Region_abbr &amp; "!A1"), Param_offset + E$11,$B13+1)</f>
        <v>#REF!</v>
      </c>
      <c r="F13" s="7" t="e" cm="1">
        <f t="array" aca="1" ref="F13" ca="1" xml:space="preserve"> Mult * OFFSET(INDIRECT(Region_abbr &amp; "!A1"), Param_offset + F$11,$B13+1)</f>
        <v>#REF!</v>
      </c>
      <c r="G13" s="7" t="e" cm="1">
        <f t="array" aca="1" ref="G13" ca="1" xml:space="preserve"> Mult * OFFSET(INDIRECT(Region_abbr &amp; "!A1"), Param_offset + G$11,$B13+1)</f>
        <v>#REF!</v>
      </c>
      <c r="H13" s="7" t="e" cm="1">
        <f t="array" aca="1" ref="H13" ca="1" xml:space="preserve"> Mult * OFFSET(INDIRECT(Region_abbr &amp; "!A1"), Param_offset + H$11,$B13+1)</f>
        <v>#REF!</v>
      </c>
      <c r="I13" s="1" t="e">
        <f ca="1">SUM(C13:H13)</f>
        <v>#REF!</v>
      </c>
      <c r="J13" s="10">
        <f>J12+1</f>
        <v>2024</v>
      </c>
      <c r="K13">
        <f>K12+1</f>
        <v>1</v>
      </c>
      <c r="L13" s="1" t="e">
        <f t="shared" ref="L13:R13" ca="1" si="1">C14-C13</f>
        <v>#REF!</v>
      </c>
      <c r="M13" s="1" t="e">
        <f t="shared" ca="1" si="1"/>
        <v>#REF!</v>
      </c>
      <c r="N13" s="1" t="e">
        <f t="shared" ca="1" si="1"/>
        <v>#REF!</v>
      </c>
      <c r="O13" s="1" t="e">
        <f t="shared" ca="1" si="1"/>
        <v>#REF!</v>
      </c>
      <c r="P13" s="1" t="e">
        <f t="shared" ca="1" si="1"/>
        <v>#REF!</v>
      </c>
      <c r="Q13" s="1" t="e">
        <f t="shared" ca="1" si="1"/>
        <v>#REF!</v>
      </c>
      <c r="R13" s="1" t="e">
        <f t="shared" ca="1" si="1"/>
        <v>#REF!</v>
      </c>
    </row>
    <row r="14" spans="1:18" x14ac:dyDescent="0.85">
      <c r="C14" s="7"/>
      <c r="D14" s="7"/>
      <c r="E14" s="7"/>
      <c r="F14" s="7"/>
      <c r="G14" s="7"/>
      <c r="H14" s="7"/>
      <c r="I14" s="1"/>
      <c r="L14" s="1"/>
      <c r="M14" s="1"/>
      <c r="N14" s="1"/>
      <c r="O14" s="1"/>
      <c r="P14" s="1"/>
      <c r="Q14" s="1"/>
      <c r="R14" s="1"/>
    </row>
    <row r="15" spans="1:18" x14ac:dyDescent="0.85">
      <c r="C15" s="7"/>
      <c r="D15" s="7"/>
      <c r="E15" s="7"/>
      <c r="F15" s="7"/>
      <c r="G15" s="7"/>
      <c r="H15" s="7"/>
      <c r="I15" s="1"/>
      <c r="L15" s="1"/>
      <c r="M15" s="1"/>
      <c r="N15" s="1"/>
      <c r="O15" s="1"/>
      <c r="P15" s="1"/>
      <c r="Q15" s="1"/>
      <c r="R15" s="1"/>
    </row>
    <row r="16" spans="1:18" x14ac:dyDescent="0.85">
      <c r="C16" s="7"/>
      <c r="D16" s="7"/>
      <c r="E16" s="7"/>
      <c r="F16" s="7"/>
      <c r="G16" s="7"/>
      <c r="H16" s="7"/>
      <c r="I16" s="1"/>
      <c r="L16" s="1"/>
      <c r="M16" s="1"/>
      <c r="N16" s="1"/>
      <c r="O16" s="1"/>
      <c r="P16" s="1"/>
      <c r="Q16" s="1"/>
      <c r="R16" s="1"/>
    </row>
    <row r="17" spans="3:18" x14ac:dyDescent="0.85">
      <c r="C17" s="7"/>
      <c r="D17" s="7"/>
      <c r="E17" s="7"/>
      <c r="F17" s="7"/>
      <c r="G17" s="7"/>
      <c r="H17" s="7"/>
      <c r="I17" s="1"/>
      <c r="L17" s="1"/>
      <c r="M17" s="1"/>
      <c r="N17" s="1"/>
      <c r="O17" s="1"/>
      <c r="P17" s="1"/>
      <c r="Q17" s="1"/>
      <c r="R17" s="1"/>
    </row>
    <row r="18" spans="3:18" x14ac:dyDescent="0.85">
      <c r="C18" s="7"/>
      <c r="D18" s="7"/>
      <c r="E18" s="7"/>
      <c r="F18" s="7"/>
      <c r="G18" s="7"/>
      <c r="H18" s="7"/>
      <c r="I18" s="1"/>
      <c r="L18" s="1"/>
      <c r="M18" s="1"/>
      <c r="N18" s="1"/>
      <c r="O18" s="1"/>
      <c r="P18" s="1"/>
      <c r="Q18" s="1"/>
      <c r="R18" s="1"/>
    </row>
    <row r="19" spans="3:18" x14ac:dyDescent="0.85">
      <c r="C19" s="7"/>
      <c r="D19" s="7"/>
      <c r="E19" s="7"/>
      <c r="F19" s="7"/>
      <c r="G19" s="7"/>
      <c r="H19" s="7"/>
      <c r="I19" s="1"/>
      <c r="L19" s="1"/>
      <c r="M19" s="1"/>
      <c r="N19" s="1"/>
      <c r="O19" s="1"/>
      <c r="P19" s="1"/>
      <c r="Q19" s="1"/>
      <c r="R19" s="1"/>
    </row>
    <row r="20" spans="3:18" x14ac:dyDescent="0.85">
      <c r="C20" s="7"/>
      <c r="D20" s="7"/>
      <c r="E20" s="7"/>
      <c r="F20" s="7"/>
      <c r="G20" s="7"/>
      <c r="H20" s="7"/>
      <c r="I20" s="1"/>
      <c r="L20" s="1"/>
      <c r="M20" s="1"/>
      <c r="N20" s="1"/>
      <c r="O20" s="1"/>
      <c r="P20" s="1"/>
      <c r="Q20" s="1"/>
      <c r="R20" s="1"/>
    </row>
    <row r="21" spans="3:18" x14ac:dyDescent="0.85">
      <c r="C21" s="7"/>
      <c r="D21" s="7"/>
      <c r="E21" s="7"/>
      <c r="F21" s="7"/>
      <c r="G21" s="7"/>
      <c r="H21" s="7"/>
      <c r="I21" s="1"/>
      <c r="L21" s="1"/>
      <c r="M21" s="1"/>
      <c r="N21" s="1"/>
      <c r="O21" s="1"/>
      <c r="P21" s="1"/>
      <c r="Q21" s="1"/>
      <c r="R21" s="1"/>
    </row>
    <row r="22" spans="3:18" x14ac:dyDescent="0.85">
      <c r="C22" s="7"/>
      <c r="D22" s="7"/>
      <c r="E22" s="7"/>
      <c r="F22" s="7"/>
      <c r="G22" s="7"/>
      <c r="H22" s="7"/>
      <c r="I22" s="1"/>
      <c r="L22" s="1"/>
      <c r="M22" s="1"/>
      <c r="N22" s="1"/>
      <c r="O22" s="1"/>
      <c r="P22" s="1"/>
      <c r="Q22" s="1"/>
      <c r="R22" s="1"/>
    </row>
    <row r="23" spans="3:18" x14ac:dyDescent="0.85">
      <c r="C23" s="7"/>
      <c r="D23" s="7"/>
      <c r="E23" s="7"/>
      <c r="F23" s="7"/>
      <c r="G23" s="7"/>
      <c r="H23" s="7"/>
      <c r="I23" s="1"/>
      <c r="L23" s="1"/>
      <c r="M23" s="1"/>
      <c r="N23" s="1"/>
      <c r="O23" s="1"/>
      <c r="P23" s="1"/>
      <c r="Q23" s="1"/>
      <c r="R23" s="1"/>
    </row>
    <row r="24" spans="3:18" x14ac:dyDescent="0.85">
      <c r="C24" s="7"/>
      <c r="D24" s="7"/>
      <c r="E24" s="7"/>
      <c r="F24" s="7"/>
      <c r="G24" s="7"/>
      <c r="H24" s="7"/>
      <c r="I24" s="1"/>
      <c r="L24" s="1"/>
      <c r="M24" s="1"/>
      <c r="N24" s="1"/>
      <c r="O24" s="1"/>
      <c r="P24" s="1"/>
      <c r="Q24" s="1"/>
      <c r="R24" s="1"/>
    </row>
    <row r="25" spans="3:18" x14ac:dyDescent="0.85">
      <c r="C25" s="7"/>
      <c r="D25" s="7"/>
      <c r="E25" s="7"/>
      <c r="F25" s="7"/>
      <c r="G25" s="7"/>
      <c r="H25" s="7"/>
      <c r="I25" s="1"/>
      <c r="L25" s="1"/>
      <c r="M25" s="1"/>
      <c r="N25" s="1"/>
      <c r="O25" s="1"/>
      <c r="P25" s="1"/>
      <c r="Q25" s="1"/>
      <c r="R25" s="1"/>
    </row>
    <row r="26" spans="3:18" x14ac:dyDescent="0.85">
      <c r="C26" s="7"/>
      <c r="D26" s="7"/>
      <c r="E26" s="7"/>
      <c r="F26" s="7"/>
      <c r="G26" s="7"/>
      <c r="H26" s="7"/>
      <c r="I26" s="1"/>
      <c r="L26" s="1"/>
      <c r="M26" s="1"/>
      <c r="N26" s="1"/>
      <c r="O26" s="1"/>
      <c r="P26" s="1"/>
      <c r="Q26" s="1"/>
      <c r="R26" s="1"/>
    </row>
    <row r="27" spans="3:18" x14ac:dyDescent="0.85">
      <c r="C27" s="7"/>
      <c r="D27" s="7"/>
      <c r="E27" s="7"/>
      <c r="F27" s="7"/>
      <c r="G27" s="7"/>
      <c r="H27" s="7"/>
      <c r="I27" s="1"/>
      <c r="L27" s="1"/>
      <c r="M27" s="1"/>
      <c r="N27" s="1"/>
      <c r="O27" s="1"/>
      <c r="P27" s="1"/>
      <c r="Q27" s="1"/>
      <c r="R27" s="1"/>
    </row>
    <row r="28" spans="3:18" x14ac:dyDescent="0.85">
      <c r="C28" s="7"/>
      <c r="D28" s="7"/>
      <c r="E28" s="7"/>
      <c r="F28" s="7"/>
      <c r="G28" s="7"/>
      <c r="H28" s="7"/>
      <c r="I28" s="1"/>
      <c r="L28" s="1"/>
      <c r="M28" s="1"/>
      <c r="N28" s="1"/>
      <c r="O28" s="1"/>
      <c r="P28" s="1"/>
      <c r="Q28" s="1"/>
      <c r="R28" s="1"/>
    </row>
    <row r="29" spans="3:18" x14ac:dyDescent="0.85">
      <c r="C29" s="7"/>
      <c r="D29" s="7"/>
      <c r="E29" s="7"/>
      <c r="F29" s="7"/>
      <c r="G29" s="7"/>
      <c r="H29" s="7"/>
      <c r="I29" s="1"/>
      <c r="L29" s="1"/>
      <c r="M29" s="1"/>
      <c r="N29" s="1"/>
      <c r="O29" s="1"/>
      <c r="P29" s="1"/>
      <c r="Q29" s="1"/>
      <c r="R29" s="1"/>
    </row>
    <row r="30" spans="3:18" x14ac:dyDescent="0.85">
      <c r="C30" s="7"/>
      <c r="D30" s="7"/>
      <c r="E30" s="7"/>
      <c r="F30" s="7"/>
      <c r="G30" s="7"/>
      <c r="H30" s="7"/>
      <c r="I30" s="1"/>
      <c r="L30" s="1"/>
      <c r="M30" s="1"/>
      <c r="N30" s="1"/>
      <c r="O30" s="1"/>
      <c r="P30" s="1"/>
      <c r="Q30" s="1"/>
      <c r="R30" s="1"/>
    </row>
    <row r="31" spans="3:18" x14ac:dyDescent="0.85">
      <c r="C31" s="7"/>
      <c r="D31" s="7"/>
      <c r="E31" s="7"/>
      <c r="F31" s="7"/>
      <c r="G31" s="7"/>
      <c r="H31" s="7"/>
      <c r="I31" s="1"/>
      <c r="L31" s="1"/>
      <c r="M31" s="1"/>
      <c r="N31" s="1"/>
      <c r="O31" s="1"/>
      <c r="P31" s="1"/>
      <c r="Q31" s="1"/>
      <c r="R31" s="1"/>
    </row>
    <row r="32" spans="3:18" x14ac:dyDescent="0.85">
      <c r="C32" s="7"/>
      <c r="D32" s="7"/>
      <c r="E32" s="7"/>
      <c r="F32" s="7"/>
      <c r="G32" s="7"/>
      <c r="H32" s="7"/>
      <c r="I32" s="1"/>
      <c r="L32" s="1"/>
      <c r="M32" s="1"/>
      <c r="N32" s="1"/>
      <c r="O32" s="1"/>
      <c r="P32" s="1"/>
      <c r="Q32" s="1"/>
      <c r="R32" s="1"/>
    </row>
    <row r="33" spans="3:18" x14ac:dyDescent="0.85">
      <c r="C33" s="7"/>
      <c r="D33" s="7"/>
      <c r="E33" s="7"/>
      <c r="F33" s="7"/>
      <c r="G33" s="7"/>
      <c r="H33" s="7"/>
      <c r="I33" s="1"/>
      <c r="L33" s="1"/>
      <c r="M33" s="1"/>
      <c r="N33" s="1"/>
      <c r="O33" s="1"/>
      <c r="P33" s="1"/>
      <c r="Q33" s="1"/>
      <c r="R33" s="1"/>
    </row>
    <row r="34" spans="3:18" x14ac:dyDescent="0.85">
      <c r="C34" s="7"/>
      <c r="D34" s="7"/>
      <c r="E34" s="7"/>
      <c r="F34" s="7"/>
      <c r="G34" s="7"/>
      <c r="H34" s="7"/>
      <c r="I34" s="1"/>
      <c r="L34" s="1"/>
      <c r="M34" s="1"/>
      <c r="N34" s="1"/>
      <c r="O34" s="1"/>
      <c r="P34" s="1"/>
      <c r="Q34" s="1"/>
      <c r="R34" s="1"/>
    </row>
    <row r="35" spans="3:18" x14ac:dyDescent="0.85">
      <c r="C35" s="7"/>
      <c r="D35" s="7"/>
      <c r="E35" s="7"/>
      <c r="F35" s="7"/>
      <c r="G35" s="7"/>
      <c r="H35" s="7"/>
      <c r="I35" s="1"/>
      <c r="L35" s="1"/>
      <c r="M35" s="1"/>
      <c r="N35" s="1"/>
      <c r="O35" s="1"/>
      <c r="P35" s="1"/>
      <c r="Q35" s="1"/>
      <c r="R35" s="1"/>
    </row>
    <row r="36" spans="3:18" x14ac:dyDescent="0.85">
      <c r="C36" s="7"/>
      <c r="D36" s="7"/>
      <c r="E36" s="7"/>
      <c r="F36" s="7"/>
      <c r="G36" s="7"/>
      <c r="H36" s="7"/>
      <c r="I36" s="1"/>
      <c r="L36" s="1"/>
      <c r="M36" s="1"/>
      <c r="N36" s="1"/>
      <c r="O36" s="1"/>
      <c r="P36" s="1"/>
      <c r="Q36" s="1"/>
      <c r="R36" s="1"/>
    </row>
    <row r="37" spans="3:18" x14ac:dyDescent="0.85">
      <c r="C37" s="7"/>
      <c r="D37" s="7"/>
      <c r="E37" s="7"/>
      <c r="F37" s="7"/>
      <c r="G37" s="7"/>
      <c r="H37" s="7"/>
      <c r="I37" s="1"/>
      <c r="L37" s="1"/>
      <c r="M37" s="1"/>
      <c r="N37" s="1"/>
      <c r="O37" s="1"/>
      <c r="P37" s="1"/>
      <c r="Q37" s="1"/>
      <c r="R37" s="1"/>
    </row>
    <row r="38" spans="3:18" x14ac:dyDescent="0.85">
      <c r="C38" s="7"/>
      <c r="D38" s="7"/>
      <c r="E38" s="7"/>
      <c r="F38" s="7"/>
      <c r="G38" s="7"/>
      <c r="H38" s="7"/>
      <c r="I38" s="1"/>
      <c r="L38" s="1"/>
      <c r="M38" s="1"/>
      <c r="N38" s="1"/>
      <c r="O38" s="1"/>
      <c r="P38" s="1"/>
      <c r="Q38" s="1"/>
      <c r="R38" s="1"/>
    </row>
    <row r="39" spans="3:18" x14ac:dyDescent="0.85">
      <c r="C39" s="7"/>
      <c r="D39" s="7"/>
      <c r="E39" s="7"/>
      <c r="F39" s="7"/>
      <c r="G39" s="7"/>
      <c r="H39" s="7"/>
      <c r="I39" s="1"/>
    </row>
  </sheetData>
  <mergeCells count="1">
    <mergeCell ref="E3:G3"/>
  </mergeCells>
  <conditionalFormatting sqref="C13:I39 J13">
    <cfRule type="expression" dxfId="7" priority="3">
      <formula>$P13 &gt; 10000</formula>
    </cfRule>
  </conditionalFormatting>
  <conditionalFormatting sqref="L13:R38">
    <cfRule type="expression" dxfId="6" priority="2">
      <formula>$P13 &gt; 10000</formula>
    </cfRule>
  </conditionalFormatting>
  <conditionalFormatting sqref="C2">
    <cfRule type="expression" dxfId="5" priority="1">
      <formula>$P2 &gt; 10000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76A7E-D8DB-44EB-B1D7-64960F4154EB}">
  <sheetPr codeName="Sheet3"/>
  <dimension ref="A1:AM34"/>
  <sheetViews>
    <sheetView workbookViewId="0">
      <selection activeCell="A7" sqref="A7"/>
    </sheetView>
  </sheetViews>
  <sheetFormatPr defaultRowHeight="14.6" x14ac:dyDescent="0.85"/>
  <cols>
    <col min="1" max="1" width="11.765625" customWidth="1"/>
    <col min="3" max="4" width="5.15234375" style="3" bestFit="1" customWidth="1"/>
    <col min="5" max="5" width="6.84375" style="3" bestFit="1" customWidth="1"/>
    <col min="6" max="6" width="5.15234375" style="3" bestFit="1" customWidth="1"/>
    <col min="7" max="7" width="4.11328125" style="3" bestFit="1" customWidth="1"/>
    <col min="8" max="8" width="6.5" style="3" bestFit="1" customWidth="1"/>
    <col min="9" max="9" width="6.15234375" style="3" bestFit="1" customWidth="1"/>
  </cols>
  <sheetData>
    <row r="1" spans="1:39" x14ac:dyDescent="0.85">
      <c r="A1" s="8" t="s">
        <v>32</v>
      </c>
      <c r="B1" s="8"/>
      <c r="C1" s="3" t="e">
        <f>VLOOKUP(Region_Cost,Region_lookup,2,FALSE)</f>
        <v>#REF!</v>
      </c>
    </row>
    <row r="2" spans="1:39" x14ac:dyDescent="0.85"/>
    <row r="3" spans="1:39" x14ac:dyDescent="0.85">
      <c r="A3" s="6" t="s">
        <v>14</v>
      </c>
      <c r="K3" s="6" t="s">
        <v>15</v>
      </c>
      <c r="U3" s="6" t="s">
        <v>16</v>
      </c>
      <c r="AE3" s="6" t="s">
        <v>17</v>
      </c>
    </row>
    <row r="4" spans="1:39" x14ac:dyDescent="0.85">
      <c r="A4" t="s">
        <v>35</v>
      </c>
      <c r="B4" t="e">
        <f>VLOOKUP(A3 &amp; " Cost",Param_Table,4,FALSE)</f>
        <v>#REF!</v>
      </c>
      <c r="K4" t="s">
        <v>35</v>
      </c>
      <c r="L4" t="e">
        <f>VLOOKUP(K3 &amp; " Cost",Param_Table,4,FALSE)</f>
        <v>#REF!</v>
      </c>
      <c r="U4" t="s">
        <v>35</v>
      </c>
      <c r="V4" t="e">
        <f>VLOOKUP(U3 &amp; " Cost",Param_Table,4,FALSE)</f>
        <v>#REF!</v>
      </c>
      <c r="AE4" t="s">
        <v>35</v>
      </c>
      <c r="AF4" t="e">
        <f>VLOOKUP(AE3 &amp; " Cost",Param_Table,4,FALSE)</f>
        <v>#REF!</v>
      </c>
    </row>
    <row r="5" spans="1:39" x14ac:dyDescent="0.85">
      <c r="A5" t="s">
        <v>7</v>
      </c>
      <c r="B5" t="e">
        <f>VLOOKUP(A3 &amp; " Cost",Param_Table,2,FALSE)</f>
        <v>#REF!</v>
      </c>
      <c r="K5" t="s">
        <v>7</v>
      </c>
      <c r="L5" t="e">
        <f>VLOOKUP(K3 &amp; " Cost",Param_Table,2,FALSE)</f>
        <v>#REF!</v>
      </c>
      <c r="M5" s="3"/>
      <c r="N5" s="3"/>
      <c r="O5" s="3"/>
      <c r="P5" s="3"/>
      <c r="Q5" s="3"/>
      <c r="R5" s="3"/>
      <c r="S5" s="3"/>
      <c r="U5" t="s">
        <v>7</v>
      </c>
      <c r="V5" t="e">
        <f>VLOOKUP(U3 &amp; " Cost",Param_Table,2,FALSE)</f>
        <v>#REF!</v>
      </c>
      <c r="W5" s="3"/>
      <c r="X5" s="3"/>
      <c r="Y5" s="3"/>
      <c r="Z5" s="3"/>
      <c r="AA5" s="3"/>
      <c r="AB5" s="3"/>
      <c r="AC5" s="3"/>
      <c r="AE5" t="s">
        <v>7</v>
      </c>
      <c r="AF5" t="e">
        <f>VLOOKUP(AE3 &amp; " Cost",Param_Table,2,FALSE)</f>
        <v>#REF!</v>
      </c>
      <c r="AG5" s="3"/>
      <c r="AH5" s="3"/>
      <c r="AI5" s="3"/>
      <c r="AJ5" s="3"/>
      <c r="AK5" s="3"/>
      <c r="AL5" s="3"/>
      <c r="AM5" s="3"/>
    </row>
    <row r="6" spans="1:39" x14ac:dyDescent="0.85">
      <c r="A6" t="s">
        <v>10</v>
      </c>
      <c r="B6" t="s">
        <v>33</v>
      </c>
      <c r="C6" s="3" t="e">
        <f t="shared" ref="C6:H6" si="0">VALUE(VLOOKUP(C$7,NRG_Table,2,FALSE))</f>
        <v>#REF!</v>
      </c>
      <c r="D6" s="3" t="e">
        <f t="shared" si="0"/>
        <v>#REF!</v>
      </c>
      <c r="E6" s="3" t="e">
        <f t="shared" si="0"/>
        <v>#REF!</v>
      </c>
      <c r="F6" s="3" t="e">
        <f t="shared" si="0"/>
        <v>#REF!</v>
      </c>
      <c r="G6" s="3" t="e">
        <f t="shared" si="0"/>
        <v>#REF!</v>
      </c>
      <c r="H6" s="3" t="e">
        <f t="shared" si="0"/>
        <v>#REF!</v>
      </c>
      <c r="K6" t="s">
        <v>10</v>
      </c>
      <c r="L6" t="s">
        <v>33</v>
      </c>
      <c r="M6" s="3" t="e">
        <f t="shared" ref="M6:R6" si="1">VALUE(VLOOKUP(M$7,NRG_Table,2,FALSE))</f>
        <v>#REF!</v>
      </c>
      <c r="N6" s="3" t="e">
        <f t="shared" si="1"/>
        <v>#REF!</v>
      </c>
      <c r="O6" s="3" t="e">
        <f t="shared" si="1"/>
        <v>#REF!</v>
      </c>
      <c r="P6" s="3" t="e">
        <f t="shared" si="1"/>
        <v>#REF!</v>
      </c>
      <c r="Q6" s="3" t="e">
        <f t="shared" si="1"/>
        <v>#REF!</v>
      </c>
      <c r="R6" s="3" t="e">
        <f t="shared" si="1"/>
        <v>#REF!</v>
      </c>
      <c r="S6" s="3"/>
      <c r="U6" t="s">
        <v>10</v>
      </c>
      <c r="V6" t="s">
        <v>33</v>
      </c>
      <c r="W6" s="3" t="e">
        <f t="shared" ref="W6:AB6" si="2">VALUE(VLOOKUP(W$7,NRG_Table,2,FALSE))</f>
        <v>#REF!</v>
      </c>
      <c r="X6" s="3" t="e">
        <f t="shared" si="2"/>
        <v>#REF!</v>
      </c>
      <c r="Y6" s="3" t="e">
        <f t="shared" si="2"/>
        <v>#REF!</v>
      </c>
      <c r="Z6" s="3" t="e">
        <f t="shared" si="2"/>
        <v>#REF!</v>
      </c>
      <c r="AA6" s="3" t="e">
        <f t="shared" si="2"/>
        <v>#REF!</v>
      </c>
      <c r="AB6" s="3" t="e">
        <f t="shared" si="2"/>
        <v>#REF!</v>
      </c>
      <c r="AC6" s="3"/>
      <c r="AE6" t="s">
        <v>10</v>
      </c>
      <c r="AF6" t="s">
        <v>33</v>
      </c>
      <c r="AG6" s="3" t="e">
        <f t="shared" ref="AG6:AL6" si="3">VALUE(VLOOKUP(AG$7,NRG_Table,2,FALSE))</f>
        <v>#REF!</v>
      </c>
      <c r="AH6" s="3" t="e">
        <f t="shared" si="3"/>
        <v>#REF!</v>
      </c>
      <c r="AI6" s="3" t="e">
        <f t="shared" si="3"/>
        <v>#REF!</v>
      </c>
      <c r="AJ6" s="3" t="e">
        <f t="shared" si="3"/>
        <v>#REF!</v>
      </c>
      <c r="AK6" s="3" t="e">
        <f t="shared" si="3"/>
        <v>#REF!</v>
      </c>
      <c r="AL6" s="3" t="e">
        <f t="shared" si="3"/>
        <v>#REF!</v>
      </c>
      <c r="AM6" s="3"/>
    </row>
    <row r="7" spans="1:39" x14ac:dyDescent="0.85">
      <c r="A7">
        <v>2023</v>
      </c>
      <c r="B7">
        <v>-1</v>
      </c>
      <c r="C7" s="3" t="s">
        <v>0</v>
      </c>
      <c r="D7" s="3" t="s">
        <v>1</v>
      </c>
      <c r="E7" s="3" t="s">
        <v>2</v>
      </c>
      <c r="F7" s="3" t="s">
        <v>3</v>
      </c>
      <c r="G7" s="3" t="s">
        <v>4</v>
      </c>
      <c r="H7" s="3" t="s">
        <v>11</v>
      </c>
      <c r="I7" s="3" t="s">
        <v>5</v>
      </c>
      <c r="K7">
        <v>2023</v>
      </c>
      <c r="L7">
        <v>-1</v>
      </c>
      <c r="M7" s="3" t="s">
        <v>0</v>
      </c>
      <c r="N7" s="3" t="s">
        <v>1</v>
      </c>
      <c r="O7" s="3" t="s">
        <v>2</v>
      </c>
      <c r="P7" s="3" t="s">
        <v>3</v>
      </c>
      <c r="Q7" s="3" t="s">
        <v>4</v>
      </c>
      <c r="R7" s="3" t="s">
        <v>11</v>
      </c>
      <c r="S7" s="3" t="s">
        <v>5</v>
      </c>
      <c r="U7">
        <v>2023</v>
      </c>
      <c r="V7">
        <v>-1</v>
      </c>
      <c r="W7" s="3" t="s">
        <v>0</v>
      </c>
      <c r="X7" s="3" t="s">
        <v>1</v>
      </c>
      <c r="Y7" s="3" t="s">
        <v>2</v>
      </c>
      <c r="Z7" s="3" t="s">
        <v>3</v>
      </c>
      <c r="AA7" s="3" t="s">
        <v>4</v>
      </c>
      <c r="AB7" s="3" t="s">
        <v>11</v>
      </c>
      <c r="AC7" s="3" t="s">
        <v>5</v>
      </c>
      <c r="AE7">
        <v>2023</v>
      </c>
      <c r="AF7">
        <v>-1</v>
      </c>
      <c r="AG7" s="3" t="s">
        <v>0</v>
      </c>
      <c r="AH7" s="3" t="s">
        <v>1</v>
      </c>
      <c r="AI7" s="3" t="s">
        <v>2</v>
      </c>
      <c r="AJ7" s="3" t="s">
        <v>3</v>
      </c>
      <c r="AK7" s="3" t="s">
        <v>4</v>
      </c>
      <c r="AL7" s="3" t="s">
        <v>11</v>
      </c>
      <c r="AM7" s="3" t="s">
        <v>5</v>
      </c>
    </row>
    <row r="8" spans="1:39" x14ac:dyDescent="0.85">
      <c r="A8">
        <f>A7+1</f>
        <v>2024</v>
      </c>
      <c r="B8">
        <f>B7+1</f>
        <v>0</v>
      </c>
      <c r="C8" s="3" t="e" cm="1">
        <f t="array" aca="1" ref="C8" ca="1">$B$4 *
INDIRECT("Include_" &amp; $A$3)*INDIRECT("Include_" &amp; C$7)*
OFFSET(INDIRECT(Region_abbr &amp; "!A1"), $B$5 + C$6,$B8+1)</f>
        <v>#REF!</v>
      </c>
      <c r="D8" s="3" t="e" cm="1">
        <f t="array" aca="1" ref="D8" ca="1">$B$4 *
INDIRECT("Include_" &amp; $A$3)*INDIRECT("Include_" &amp; D$7)*
OFFSET(INDIRECT(Region_abbr &amp; "!A1"), $B$5 + D$6,$B8+1)</f>
        <v>#REF!</v>
      </c>
      <c r="E8" s="3" t="e" cm="1">
        <f t="array" aca="1" ref="E8" ca="1">$B$4 *
INDIRECT("Include_" &amp; $A$3)*INDIRECT("Include_" &amp; E$7)*
OFFSET(INDIRECT(Region_abbr &amp; "!A1"), $B$5 + E$6,$B8+1)</f>
        <v>#REF!</v>
      </c>
      <c r="F8" s="3" t="e" cm="1">
        <f t="array" aca="1" ref="F8" ca="1">$B$4 *
INDIRECT("Include_" &amp; $A$3)*INDIRECT("Include_" &amp; F$7)*
OFFSET(INDIRECT(Region_abbr &amp; "!A1"), $B$5 + F$6,$B8+1)</f>
        <v>#REF!</v>
      </c>
      <c r="G8" s="3" t="e" cm="1">
        <f t="array" aca="1" ref="G8" ca="1">$B$4 *
INDIRECT("Include_" &amp; $A$3)*INDIRECT("Include_" &amp; G$7)*
OFFSET(INDIRECT(Region_abbr &amp; "!A1"), $B$5 + G$6,$B8+1)</f>
        <v>#REF!</v>
      </c>
      <c r="H8" s="3" t="e" cm="1">
        <f t="array" aca="1" ref="H8" ca="1">$B$4 *
INDIRECT("Include_" &amp; $A$3)*INDIRECT("Include_" &amp; H$7)*
OFFSET(INDIRECT(Region_abbr &amp; "!A1"), $B$5 + H$6,$B8+1)</f>
        <v>#REF!</v>
      </c>
      <c r="I8" s="3" t="e">
        <f ca="1">SUM(C8:H8)</f>
        <v>#REF!</v>
      </c>
      <c r="K8">
        <f>K7+1</f>
        <v>2024</v>
      </c>
      <c r="L8">
        <f>L7+1</f>
        <v>0</v>
      </c>
      <c r="M8" s="3" t="e" cm="1">
        <f t="array" aca="1" ref="M8" ca="1">$L$4 *
INDIRECT("Include_" &amp; $K$3)*INDIRECT("Include_" &amp; M$7)*
OFFSET(INDIRECT(Region_abbr &amp; "!A1"), $L$5 + M$6,$L8+1)</f>
        <v>#REF!</v>
      </c>
      <c r="N8" s="3" t="e" cm="1">
        <f t="array" aca="1" ref="N8" ca="1">$L$4 *
INDIRECT("Include_" &amp; $K$3)*INDIRECT("Include_" &amp; N$7)*
OFFSET(INDIRECT(Region_abbr &amp; "!A1"), $L$5 + N$6,$L8+1)</f>
        <v>#REF!</v>
      </c>
      <c r="O8" s="3" t="e" cm="1">
        <f t="array" aca="1" ref="O8" ca="1">$L$4 *
INDIRECT("Include_" &amp; $K$3)*INDIRECT("Include_" &amp; O$7)*
OFFSET(INDIRECT(Region_abbr &amp; "!A1"), $L$5 + O$6,$L8+1)</f>
        <v>#REF!</v>
      </c>
      <c r="P8" s="3" t="e" cm="1">
        <f t="array" aca="1" ref="P8" ca="1">$L$4 *
INDIRECT("Include_" &amp; $K$3)*INDIRECT("Include_" &amp; P$7)*
OFFSET(INDIRECT(Region_abbr &amp; "!A1"), $L$5 + P$6,$L8+1)</f>
        <v>#REF!</v>
      </c>
      <c r="Q8" s="3" t="e" cm="1">
        <f t="array" aca="1" ref="Q8" ca="1">$L$4 *
INDIRECT("Include_" &amp; $K$3)*INDIRECT("Include_" &amp; Q$7)*
OFFSET(INDIRECT(Region_abbr &amp; "!A1"), $L$5 + Q$6,$L8+1)</f>
        <v>#REF!</v>
      </c>
      <c r="R8" s="3" t="e" cm="1">
        <f t="array" aca="1" ref="R8" ca="1">$L$4 *
INDIRECT("Include_" &amp; $K$3)*INDIRECT("Include_" &amp; R$7)*
OFFSET(INDIRECT(Region_abbr &amp; "!A1"), $L$5 + R$6,$L8+1)</f>
        <v>#REF!</v>
      </c>
      <c r="S8" s="3" t="e">
        <f ca="1">SUM(M8:R8)</f>
        <v>#REF!</v>
      </c>
      <c r="U8">
        <f>U7+1</f>
        <v>2024</v>
      </c>
      <c r="V8">
        <f>V7+1</f>
        <v>0</v>
      </c>
      <c r="W8" s="3" t="e" cm="1">
        <f t="array" aca="1" ref="W8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W$6,$V8+1)</f>
        <v>#REF!</v>
      </c>
      <c r="X8" s="3" t="e" cm="1">
        <f t="array" aca="1" ref="X8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X$6,$V8+1)</f>
        <v>#REF!</v>
      </c>
      <c r="Y8" s="3" t="e" cm="1">
        <f t="array" aca="1" ref="Y8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Y$6,$V8+1)</f>
        <v>#REF!</v>
      </c>
      <c r="Z8" s="3" t="e" cm="1">
        <f t="array" aca="1" ref="Z8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Z$6,$V8+1)</f>
        <v>#REF!</v>
      </c>
      <c r="AA8" s="3" t="e" cm="1">
        <f t="array" aca="1" ref="AA8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AA$6,$V8+1)</f>
        <v>#REF!</v>
      </c>
      <c r="AB8" s="3" t="e" cm="1">
        <f t="array" aca="1" ref="AB8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AB$6,$V8+1)</f>
        <v>#REF!</v>
      </c>
      <c r="AC8" s="3" t="e">
        <f ca="1">SUM(W8:AB8)</f>
        <v>#REF!</v>
      </c>
      <c r="AE8">
        <f>AE7+1</f>
        <v>2024</v>
      </c>
      <c r="AF8">
        <f>AF7+1</f>
        <v>0</v>
      </c>
      <c r="AG8" s="3" t="e" cm="1">
        <f t="array" aca="1" ref="AG8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AG$6,$AF8+1)</f>
        <v>#REF!</v>
      </c>
      <c r="AH8" s="3" t="e" cm="1">
        <f t="array" aca="1" ref="AH8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AH$6,$AF8+1)</f>
        <v>#REF!</v>
      </c>
      <c r="AI8" s="3" t="e" cm="1">
        <f t="array" aca="1" ref="AI8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AI$6,$AF8+1)</f>
        <v>#REF!</v>
      </c>
      <c r="AJ8" s="3" t="e" cm="1">
        <f t="array" aca="1" ref="AJ8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AJ$6,$AF8+1)</f>
        <v>#REF!</v>
      </c>
      <c r="AK8" s="3" t="e" cm="1">
        <f t="array" aca="1" ref="AK8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AK$6,$AF8+1)</f>
        <v>#REF!</v>
      </c>
      <c r="AL8" s="3" t="e" cm="1">
        <f t="array" aca="1" ref="AL8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AL$6,$AF8+1)</f>
        <v>#REF!</v>
      </c>
      <c r="AM8" s="3" t="e">
        <f ca="1">SUM(AG8:AL8)</f>
        <v>#REF!</v>
      </c>
    </row>
    <row r="9" spans="1:39" x14ac:dyDescent="0.85">
      <c r="M9" s="3"/>
      <c r="N9" s="3"/>
      <c r="O9" s="3"/>
      <c r="P9" s="3"/>
      <c r="Q9" s="3"/>
      <c r="R9" s="3"/>
      <c r="S9" s="3"/>
      <c r="W9" s="3"/>
      <c r="X9" s="3"/>
      <c r="Y9" s="3"/>
      <c r="Z9" s="3"/>
      <c r="AA9" s="3"/>
      <c r="AB9" s="3"/>
      <c r="AC9" s="3"/>
      <c r="AG9" s="3"/>
      <c r="AH9" s="3"/>
      <c r="AI9" s="3"/>
      <c r="AJ9" s="3"/>
      <c r="AK9" s="3"/>
      <c r="AL9" s="3"/>
      <c r="AM9" s="3"/>
    </row>
    <row r="10" spans="1:39" x14ac:dyDescent="0.85">
      <c r="M10" s="3"/>
      <c r="N10" s="3"/>
      <c r="O10" s="3"/>
      <c r="P10" s="3"/>
      <c r="Q10" s="3"/>
      <c r="R10" s="3"/>
      <c r="S10" s="3"/>
      <c r="W10" s="3"/>
      <c r="X10" s="3"/>
      <c r="Y10" s="3"/>
      <c r="Z10" s="3"/>
      <c r="AA10" s="3"/>
      <c r="AB10" s="3"/>
      <c r="AC10" s="3"/>
      <c r="AG10" s="3"/>
      <c r="AH10" s="3"/>
      <c r="AI10" s="3"/>
      <c r="AJ10" s="3"/>
      <c r="AK10" s="3"/>
      <c r="AL10" s="3"/>
      <c r="AM10" s="3"/>
    </row>
    <row r="11" spans="1:39" x14ac:dyDescent="0.85">
      <c r="M11" s="3"/>
      <c r="N11" s="3"/>
      <c r="O11" s="3"/>
      <c r="P11" s="3"/>
      <c r="Q11" s="3"/>
      <c r="R11" s="3"/>
      <c r="S11" s="3"/>
      <c r="W11" s="3"/>
      <c r="X11" s="3"/>
      <c r="Y11" s="3"/>
      <c r="Z11" s="3"/>
      <c r="AA11" s="3"/>
      <c r="AB11" s="3"/>
      <c r="AC11" s="3"/>
      <c r="AG11" s="3"/>
      <c r="AH11" s="3"/>
      <c r="AI11" s="3"/>
      <c r="AJ11" s="3"/>
      <c r="AK11" s="3"/>
      <c r="AL11" s="3"/>
      <c r="AM11" s="3"/>
    </row>
    <row r="12" spans="1:39" x14ac:dyDescent="0.85">
      <c r="M12" s="3"/>
      <c r="N12" s="3"/>
      <c r="O12" s="3"/>
      <c r="P12" s="3"/>
      <c r="Q12" s="3"/>
      <c r="R12" s="3"/>
      <c r="S12" s="3"/>
      <c r="W12" s="3"/>
      <c r="X12" s="3"/>
      <c r="Y12" s="3"/>
      <c r="Z12" s="3"/>
      <c r="AA12" s="3"/>
      <c r="AB12" s="3"/>
      <c r="AC12" s="3"/>
      <c r="AG12" s="3"/>
      <c r="AH12" s="3"/>
      <c r="AI12" s="3"/>
      <c r="AJ12" s="3"/>
      <c r="AK12" s="3"/>
      <c r="AL12" s="3"/>
      <c r="AM12" s="3"/>
    </row>
    <row r="13" spans="1:39" x14ac:dyDescent="0.85">
      <c r="M13" s="3"/>
      <c r="N13" s="3"/>
      <c r="O13" s="3"/>
      <c r="P13" s="3"/>
      <c r="Q13" s="3"/>
      <c r="R13" s="3"/>
      <c r="S13" s="3"/>
      <c r="W13" s="3"/>
      <c r="X13" s="3"/>
      <c r="Y13" s="3"/>
      <c r="Z13" s="3"/>
      <c r="AA13" s="3"/>
      <c r="AB13" s="3"/>
      <c r="AC13" s="3"/>
      <c r="AG13" s="3"/>
      <c r="AH13" s="3"/>
      <c r="AI13" s="3"/>
      <c r="AJ13" s="3"/>
      <c r="AK13" s="3"/>
      <c r="AL13" s="3"/>
      <c r="AM13" s="3"/>
    </row>
    <row r="14" spans="1:39" x14ac:dyDescent="0.85">
      <c r="M14" s="3"/>
      <c r="N14" s="3"/>
      <c r="O14" s="3"/>
      <c r="P14" s="3"/>
      <c r="Q14" s="3"/>
      <c r="R14" s="3"/>
      <c r="S14" s="3"/>
      <c r="W14" s="3"/>
      <c r="X14" s="3"/>
      <c r="Y14" s="3"/>
      <c r="Z14" s="3"/>
      <c r="AA14" s="3"/>
      <c r="AB14" s="3"/>
      <c r="AC14" s="3"/>
      <c r="AG14" s="3"/>
      <c r="AH14" s="3"/>
      <c r="AI14" s="3"/>
      <c r="AJ14" s="3"/>
      <c r="AK14" s="3"/>
      <c r="AL14" s="3"/>
      <c r="AM14" s="3"/>
    </row>
    <row r="15" spans="1:39" x14ac:dyDescent="0.85">
      <c r="M15" s="3"/>
      <c r="N15" s="3"/>
      <c r="O15" s="3"/>
      <c r="P15" s="3"/>
      <c r="Q15" s="3"/>
      <c r="R15" s="3"/>
      <c r="S15" s="3"/>
      <c r="W15" s="3"/>
      <c r="X15" s="3"/>
      <c r="Y15" s="3"/>
      <c r="Z15" s="3"/>
      <c r="AA15" s="3"/>
      <c r="AB15" s="3"/>
      <c r="AC15" s="3"/>
      <c r="AG15" s="3"/>
      <c r="AH15" s="3"/>
      <c r="AI15" s="3"/>
      <c r="AJ15" s="3"/>
      <c r="AK15" s="3"/>
      <c r="AL15" s="3"/>
      <c r="AM15" s="3"/>
    </row>
    <row r="16" spans="1:39" x14ac:dyDescent="0.85">
      <c r="M16" s="3"/>
      <c r="N16" s="3"/>
      <c r="O16" s="3"/>
      <c r="P16" s="3"/>
      <c r="Q16" s="3"/>
      <c r="R16" s="3"/>
      <c r="S16" s="3"/>
      <c r="W16" s="3"/>
      <c r="X16" s="3"/>
      <c r="Y16" s="3"/>
      <c r="Z16" s="3"/>
      <c r="AA16" s="3"/>
      <c r="AB16" s="3"/>
      <c r="AC16" s="3"/>
      <c r="AG16" s="3"/>
      <c r="AH16" s="3"/>
      <c r="AI16" s="3"/>
      <c r="AJ16" s="3"/>
      <c r="AK16" s="3"/>
      <c r="AL16" s="3"/>
      <c r="AM16" s="3"/>
    </row>
    <row r="17" spans="13:39" x14ac:dyDescent="0.85">
      <c r="M17" s="3"/>
      <c r="N17" s="3"/>
      <c r="O17" s="3"/>
      <c r="P17" s="3"/>
      <c r="Q17" s="3"/>
      <c r="R17" s="3"/>
      <c r="S17" s="3"/>
      <c r="W17" s="3"/>
      <c r="X17" s="3"/>
      <c r="Y17" s="3"/>
      <c r="Z17" s="3"/>
      <c r="AA17" s="3"/>
      <c r="AB17" s="3"/>
      <c r="AC17" s="3"/>
      <c r="AG17" s="3"/>
      <c r="AH17" s="3"/>
      <c r="AI17" s="3"/>
      <c r="AJ17" s="3"/>
      <c r="AK17" s="3"/>
      <c r="AL17" s="3"/>
      <c r="AM17" s="3"/>
    </row>
    <row r="18" spans="13:39" x14ac:dyDescent="0.85">
      <c r="M18" s="3"/>
      <c r="N18" s="3"/>
      <c r="O18" s="3"/>
      <c r="P18" s="3"/>
      <c r="Q18" s="3"/>
      <c r="R18" s="3"/>
      <c r="S18" s="3"/>
      <c r="W18" s="3"/>
      <c r="X18" s="3"/>
      <c r="Y18" s="3"/>
      <c r="Z18" s="3"/>
      <c r="AA18" s="3"/>
      <c r="AB18" s="3"/>
      <c r="AC18" s="3"/>
      <c r="AG18" s="3"/>
      <c r="AH18" s="3"/>
      <c r="AI18" s="3"/>
      <c r="AJ18" s="3"/>
      <c r="AK18" s="3"/>
      <c r="AL18" s="3"/>
      <c r="AM18" s="3"/>
    </row>
    <row r="19" spans="13:39" x14ac:dyDescent="0.85">
      <c r="M19" s="3"/>
      <c r="N19" s="3"/>
      <c r="O19" s="3"/>
      <c r="P19" s="3"/>
      <c r="Q19" s="3"/>
      <c r="R19" s="3"/>
      <c r="S19" s="3"/>
      <c r="W19" s="3"/>
      <c r="X19" s="3"/>
      <c r="Y19" s="3"/>
      <c r="Z19" s="3"/>
      <c r="AA19" s="3"/>
      <c r="AB19" s="3"/>
      <c r="AC19" s="3"/>
      <c r="AG19" s="3"/>
      <c r="AH19" s="3"/>
      <c r="AI19" s="3"/>
      <c r="AJ19" s="3"/>
      <c r="AK19" s="3"/>
      <c r="AL19" s="3"/>
      <c r="AM19" s="3"/>
    </row>
    <row r="20" spans="13:39" x14ac:dyDescent="0.85">
      <c r="M20" s="3"/>
      <c r="N20" s="3"/>
      <c r="O20" s="3"/>
      <c r="P20" s="3"/>
      <c r="Q20" s="3"/>
      <c r="R20" s="3"/>
      <c r="S20" s="3"/>
      <c r="W20" s="3"/>
      <c r="X20" s="3"/>
      <c r="Y20" s="3"/>
      <c r="Z20" s="3"/>
      <c r="AA20" s="3"/>
      <c r="AB20" s="3"/>
      <c r="AC20" s="3"/>
      <c r="AG20" s="3"/>
      <c r="AH20" s="3"/>
      <c r="AI20" s="3"/>
      <c r="AJ20" s="3"/>
      <c r="AK20" s="3"/>
      <c r="AL20" s="3"/>
      <c r="AM20" s="3"/>
    </row>
    <row r="21" spans="13:39" x14ac:dyDescent="0.85">
      <c r="M21" s="3"/>
      <c r="N21" s="3"/>
      <c r="O21" s="3"/>
      <c r="P21" s="3"/>
      <c r="Q21" s="3"/>
      <c r="R21" s="3"/>
      <c r="S21" s="3"/>
      <c r="W21" s="3"/>
      <c r="X21" s="3"/>
      <c r="Y21" s="3"/>
      <c r="Z21" s="3"/>
      <c r="AA21" s="3"/>
      <c r="AB21" s="3"/>
      <c r="AC21" s="3"/>
      <c r="AG21" s="3"/>
      <c r="AH21" s="3"/>
      <c r="AI21" s="3"/>
      <c r="AJ21" s="3"/>
      <c r="AK21" s="3"/>
      <c r="AL21" s="3"/>
      <c r="AM21" s="3"/>
    </row>
    <row r="22" spans="13:39" x14ac:dyDescent="0.85">
      <c r="M22" s="3"/>
      <c r="N22" s="3"/>
      <c r="O22" s="3"/>
      <c r="P22" s="3"/>
      <c r="Q22" s="3"/>
      <c r="R22" s="3"/>
      <c r="S22" s="3"/>
      <c r="W22" s="3"/>
      <c r="X22" s="3"/>
      <c r="Y22" s="3"/>
      <c r="Z22" s="3"/>
      <c r="AA22" s="3"/>
      <c r="AB22" s="3"/>
      <c r="AC22" s="3"/>
      <c r="AG22" s="3"/>
      <c r="AH22" s="3"/>
      <c r="AI22" s="3"/>
      <c r="AJ22" s="3"/>
      <c r="AK22" s="3"/>
      <c r="AL22" s="3"/>
      <c r="AM22" s="3"/>
    </row>
    <row r="23" spans="13:39" x14ac:dyDescent="0.85">
      <c r="M23" s="3"/>
      <c r="N23" s="3"/>
      <c r="O23" s="3"/>
      <c r="P23" s="3"/>
      <c r="Q23" s="3"/>
      <c r="R23" s="3"/>
      <c r="S23" s="3"/>
      <c r="W23" s="3"/>
      <c r="X23" s="3"/>
      <c r="Y23" s="3"/>
      <c r="Z23" s="3"/>
      <c r="AA23" s="3"/>
      <c r="AB23" s="3"/>
      <c r="AC23" s="3"/>
      <c r="AG23" s="3"/>
      <c r="AH23" s="3"/>
      <c r="AI23" s="3"/>
      <c r="AJ23" s="3"/>
      <c r="AK23" s="3"/>
      <c r="AL23" s="3"/>
      <c r="AM23" s="3"/>
    </row>
    <row r="24" spans="13:39" x14ac:dyDescent="0.85">
      <c r="M24" s="3"/>
      <c r="N24" s="3"/>
      <c r="O24" s="3"/>
      <c r="P24" s="3"/>
      <c r="Q24" s="3"/>
      <c r="R24" s="3"/>
      <c r="S24" s="3"/>
      <c r="W24" s="3"/>
      <c r="X24" s="3"/>
      <c r="Y24" s="3"/>
      <c r="Z24" s="3"/>
      <c r="AA24" s="3"/>
      <c r="AB24" s="3"/>
      <c r="AC24" s="3"/>
      <c r="AG24" s="3"/>
      <c r="AH24" s="3"/>
      <c r="AI24" s="3"/>
      <c r="AJ24" s="3"/>
      <c r="AK24" s="3"/>
      <c r="AL24" s="3"/>
      <c r="AM24" s="3"/>
    </row>
    <row r="25" spans="13:39" x14ac:dyDescent="0.85">
      <c r="M25" s="3"/>
      <c r="N25" s="3"/>
      <c r="O25" s="3"/>
      <c r="P25" s="3"/>
      <c r="Q25" s="3"/>
      <c r="R25" s="3"/>
      <c r="S25" s="3"/>
      <c r="W25" s="3"/>
      <c r="X25" s="3"/>
      <c r="Y25" s="3"/>
      <c r="Z25" s="3"/>
      <c r="AA25" s="3"/>
      <c r="AB25" s="3"/>
      <c r="AC25" s="3"/>
      <c r="AG25" s="3"/>
      <c r="AH25" s="3"/>
      <c r="AI25" s="3"/>
      <c r="AJ25" s="3"/>
      <c r="AK25" s="3"/>
      <c r="AL25" s="3"/>
      <c r="AM25" s="3"/>
    </row>
    <row r="26" spans="13:39" x14ac:dyDescent="0.85">
      <c r="M26" s="3"/>
      <c r="N26" s="3"/>
      <c r="O26" s="3"/>
      <c r="P26" s="3"/>
      <c r="Q26" s="3"/>
      <c r="R26" s="3"/>
      <c r="S26" s="3"/>
      <c r="W26" s="3"/>
      <c r="X26" s="3"/>
      <c r="Y26" s="3"/>
      <c r="Z26" s="3"/>
      <c r="AA26" s="3"/>
      <c r="AB26" s="3"/>
      <c r="AC26" s="3"/>
      <c r="AG26" s="3"/>
      <c r="AH26" s="3"/>
      <c r="AI26" s="3"/>
      <c r="AJ26" s="3"/>
      <c r="AK26" s="3"/>
      <c r="AL26" s="3"/>
      <c r="AM26" s="3"/>
    </row>
    <row r="27" spans="13:39" x14ac:dyDescent="0.85">
      <c r="M27" s="3"/>
      <c r="N27" s="3"/>
      <c r="O27" s="3"/>
      <c r="P27" s="3"/>
      <c r="Q27" s="3"/>
      <c r="R27" s="3"/>
      <c r="S27" s="3"/>
      <c r="W27" s="3"/>
      <c r="X27" s="3"/>
      <c r="Y27" s="3"/>
      <c r="Z27" s="3"/>
      <c r="AA27" s="3"/>
      <c r="AB27" s="3"/>
      <c r="AC27" s="3"/>
      <c r="AG27" s="3"/>
      <c r="AH27" s="3"/>
      <c r="AI27" s="3"/>
      <c r="AJ27" s="3"/>
      <c r="AK27" s="3"/>
      <c r="AL27" s="3"/>
      <c r="AM27" s="3"/>
    </row>
    <row r="28" spans="13:39" x14ac:dyDescent="0.85">
      <c r="M28" s="3"/>
      <c r="N28" s="3"/>
      <c r="O28" s="3"/>
      <c r="P28" s="3"/>
      <c r="Q28" s="3"/>
      <c r="R28" s="3"/>
      <c r="S28" s="3"/>
      <c r="W28" s="3"/>
      <c r="X28" s="3"/>
      <c r="Y28" s="3"/>
      <c r="Z28" s="3"/>
      <c r="AA28" s="3"/>
      <c r="AB28" s="3"/>
      <c r="AC28" s="3"/>
      <c r="AG28" s="3"/>
      <c r="AH28" s="3"/>
      <c r="AI28" s="3"/>
      <c r="AJ28" s="3"/>
      <c r="AK28" s="3"/>
      <c r="AL28" s="3"/>
      <c r="AM28" s="3"/>
    </row>
    <row r="29" spans="13:39" x14ac:dyDescent="0.85">
      <c r="M29" s="3"/>
      <c r="N29" s="3"/>
      <c r="O29" s="3"/>
      <c r="P29" s="3"/>
      <c r="Q29" s="3"/>
      <c r="R29" s="3"/>
      <c r="S29" s="3"/>
      <c r="W29" s="3"/>
      <c r="X29" s="3"/>
      <c r="Y29" s="3"/>
      <c r="Z29" s="3"/>
      <c r="AA29" s="3"/>
      <c r="AB29" s="3"/>
      <c r="AC29" s="3"/>
      <c r="AG29" s="3"/>
      <c r="AH29" s="3"/>
      <c r="AI29" s="3"/>
      <c r="AJ29" s="3"/>
      <c r="AK29" s="3"/>
      <c r="AL29" s="3"/>
      <c r="AM29" s="3"/>
    </row>
    <row r="30" spans="13:39" x14ac:dyDescent="0.85">
      <c r="M30" s="3"/>
      <c r="N30" s="3"/>
      <c r="O30" s="3"/>
      <c r="P30" s="3"/>
      <c r="Q30" s="3"/>
      <c r="R30" s="3"/>
      <c r="S30" s="3"/>
      <c r="W30" s="3"/>
      <c r="X30" s="3"/>
      <c r="Y30" s="3"/>
      <c r="Z30" s="3"/>
      <c r="AA30" s="3"/>
      <c r="AB30" s="3"/>
      <c r="AC30" s="3"/>
      <c r="AG30" s="3"/>
      <c r="AH30" s="3"/>
      <c r="AI30" s="3"/>
      <c r="AJ30" s="3"/>
      <c r="AK30" s="3"/>
      <c r="AL30" s="3"/>
      <c r="AM30" s="3"/>
    </row>
    <row r="31" spans="13:39" x14ac:dyDescent="0.85">
      <c r="M31" s="3"/>
      <c r="N31" s="3"/>
      <c r="O31" s="3"/>
      <c r="P31" s="3"/>
      <c r="Q31" s="3"/>
      <c r="R31" s="3"/>
      <c r="S31" s="3"/>
      <c r="W31" s="3"/>
      <c r="X31" s="3"/>
      <c r="Y31" s="3"/>
      <c r="Z31" s="3"/>
      <c r="AA31" s="3"/>
      <c r="AB31" s="3"/>
      <c r="AC31" s="3"/>
      <c r="AG31" s="3"/>
      <c r="AH31" s="3"/>
      <c r="AI31" s="3"/>
      <c r="AJ31" s="3"/>
      <c r="AK31" s="3"/>
      <c r="AL31" s="3"/>
      <c r="AM31" s="3"/>
    </row>
    <row r="32" spans="13:39" x14ac:dyDescent="0.85">
      <c r="M32" s="3"/>
      <c r="N32" s="3"/>
      <c r="O32" s="3"/>
      <c r="P32" s="3"/>
      <c r="Q32" s="3"/>
      <c r="R32" s="3"/>
      <c r="S32" s="3"/>
      <c r="W32" s="3"/>
      <c r="X32" s="3"/>
      <c r="Y32" s="3"/>
      <c r="Z32" s="3"/>
      <c r="AA32" s="3"/>
      <c r="AB32" s="3"/>
      <c r="AC32" s="3"/>
      <c r="AG32" s="3"/>
      <c r="AH32" s="3"/>
      <c r="AI32" s="3"/>
      <c r="AJ32" s="3"/>
      <c r="AK32" s="3"/>
      <c r="AL32" s="3"/>
      <c r="AM32" s="3"/>
    </row>
    <row r="33" spans="13:39" x14ac:dyDescent="0.85">
      <c r="M33" s="3"/>
      <c r="N33" s="3"/>
      <c r="O33" s="3"/>
      <c r="P33" s="3"/>
      <c r="Q33" s="3"/>
      <c r="R33" s="3"/>
      <c r="S33" s="3"/>
      <c r="W33" s="3"/>
      <c r="X33" s="3"/>
      <c r="Y33" s="3"/>
      <c r="Z33" s="3"/>
      <c r="AA33" s="3"/>
      <c r="AB33" s="3"/>
      <c r="AC33" s="3"/>
      <c r="AG33" s="3"/>
      <c r="AH33" s="3"/>
      <c r="AI33" s="3"/>
      <c r="AJ33" s="3"/>
      <c r="AK33" s="3"/>
      <c r="AL33" s="3"/>
      <c r="AM33" s="3"/>
    </row>
    <row r="34" spans="13:39" x14ac:dyDescent="0.85">
      <c r="M34" s="3"/>
      <c r="N34" s="3"/>
      <c r="O34" s="3"/>
      <c r="P34" s="3"/>
      <c r="Q34" s="3"/>
      <c r="R34" s="3"/>
      <c r="S34" s="3"/>
      <c r="W34" s="3"/>
      <c r="X34" s="3"/>
      <c r="Y34" s="3"/>
      <c r="Z34" s="3"/>
      <c r="AA34" s="3"/>
      <c r="AB34" s="3"/>
      <c r="AC34" s="3"/>
      <c r="AG34" s="3"/>
      <c r="AH34" s="3"/>
      <c r="AI34" s="3"/>
      <c r="AJ34" s="3"/>
      <c r="AK34" s="3"/>
      <c r="AL34" s="3"/>
      <c r="AM34" s="3"/>
    </row>
  </sheetData>
  <mergeCells count="1">
    <mergeCell ref="A1:B1"/>
  </mergeCells>
  <conditionalFormatting sqref="C8:I34">
    <cfRule type="expression" dxfId="4" priority="10">
      <formula>#REF! &gt; 10000</formula>
    </cfRule>
  </conditionalFormatting>
  <conditionalFormatting sqref="M8:S34">
    <cfRule type="expression" dxfId="3" priority="4">
      <formula>#REF! &gt; 10000</formula>
    </cfRule>
  </conditionalFormatting>
  <conditionalFormatting sqref="W8:AC34">
    <cfRule type="expression" dxfId="2" priority="3">
      <formula>#REF! &gt; 10000</formula>
    </cfRule>
  </conditionalFormatting>
  <conditionalFormatting sqref="AM8:AM34">
    <cfRule type="expression" dxfId="1" priority="2">
      <formula>#REF! &gt; 10000</formula>
    </cfRule>
  </conditionalFormatting>
  <conditionalFormatting sqref="AG8:AL34">
    <cfRule type="expression" dxfId="0" priority="1">
      <formula>#REF! &gt; 10000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</vt:i4>
      </vt:variant>
    </vt:vector>
  </HeadingPairs>
  <TitlesOfParts>
    <vt:vector size="35" baseType="lpstr">
      <vt:lpstr>Graph</vt:lpstr>
      <vt:lpstr>Cost_Graph</vt:lpstr>
      <vt:lpstr>Calc</vt:lpstr>
      <vt:lpstr>Cost_Calc</vt:lpstr>
      <vt:lpstr>Battery_Cost</vt:lpstr>
      <vt:lpstr>Capital</vt:lpstr>
      <vt:lpstr>CO2_</vt:lpstr>
      <vt:lpstr>Coal_Cost</vt:lpstr>
      <vt:lpstr>Delta_Corner</vt:lpstr>
      <vt:lpstr>filename_</vt:lpstr>
      <vt:lpstr>Fixed</vt:lpstr>
      <vt:lpstr>Gas_Cost</vt:lpstr>
      <vt:lpstr>Include_Battery</vt:lpstr>
      <vt:lpstr>Include_Capital</vt:lpstr>
      <vt:lpstr>Include_CO2</vt:lpstr>
      <vt:lpstr>Include_Coal</vt:lpstr>
      <vt:lpstr>Include_Fixed</vt:lpstr>
      <vt:lpstr>Include_Gas</vt:lpstr>
      <vt:lpstr>Include_Nuclear</vt:lpstr>
      <vt:lpstr>Include_Solar</vt:lpstr>
      <vt:lpstr>Include_Variable</vt:lpstr>
      <vt:lpstr>Include_Wind</vt:lpstr>
      <vt:lpstr>Mult</vt:lpstr>
      <vt:lpstr>Nuclear_Cost</vt:lpstr>
      <vt:lpstr>Param_offset</vt:lpstr>
      <vt:lpstr>Parameter</vt:lpstr>
      <vt:lpstr>Region</vt:lpstr>
      <vt:lpstr>Region_abbr</vt:lpstr>
      <vt:lpstr>Region_Abbr_Cost</vt:lpstr>
      <vt:lpstr>Region_Cost</vt:lpstr>
      <vt:lpstr>Solar_Cost</vt:lpstr>
      <vt:lpstr>Table_Corner</vt:lpstr>
      <vt:lpstr>Variable</vt:lpstr>
      <vt:lpstr>Wind_Cost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2025-09-13T00:00:45Z</dcterms:modified>
</cp:coreProperties>
</file>