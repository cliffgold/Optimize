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C553DBA3-26B6-4613-B66E-749349EB08A0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Select_Cases" sheetId="1" r:id="rId1"/>
    <sheet name="Structure" sheetId="8" r:id="rId2"/>
    <sheet name="Reference" sheetId="38" r:id="rId3"/>
  </sheets>
  <functionGroups builtInGroupCount="19"/>
  <definedNames>
    <definedName name="_1st_ref">Reference!$I$2</definedName>
    <definedName name="All_Cases">Select_Cases!$B$10:$G$109</definedName>
    <definedName name="Analysis_Case2Filename">Reference!$S$2:$T$5</definedName>
    <definedName name="Analysis2Long">Reference!$M$2:$N$4</definedName>
    <definedName name="Analysis2Short">Reference!$N$2:$O$4</definedName>
    <definedName name="Case_Count">Select_Cases!$C$10</definedName>
    <definedName name="Case2Long">Reference!$P$2:$Q$5</definedName>
    <definedName name="Case2Short">Reference!$Q$2:$R$5</definedName>
    <definedName name="Cases_Key_Cells">Select_Cases!$D$2</definedName>
    <definedName name="CO2_Constant">Reference!$U$2:$U$7</definedName>
    <definedName name="CO2_Per_Year">Reference!$V$2:$V$7</definedName>
    <definedName name="Dir_Structure">Structure!$A$3</definedName>
    <definedName name="Dir2Long">Reference!$M$2:$N$5</definedName>
    <definedName name="File_Structure">Structure!$B$3</definedName>
    <definedName name="First_Case">Select_Cases!$B$11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_abbr">Reference!$D$10</definedName>
    <definedName name="Region_lookup">Reference!$A$2:$B$15</definedName>
    <definedName name="Regions">Reference!$A$2:$A$15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Reference!$P$2:$Q$6</definedName>
    <definedName name="SubSub_Structure">Structure!$C$4</definedName>
    <definedName name="To_Long">Reference!$B$2:$C$16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38" l="1"/>
  <c r="S6" i="38"/>
  <c r="R6" i="38"/>
  <c r="G6" i="38"/>
  <c r="S5" i="38"/>
  <c r="R5" i="38"/>
  <c r="O5" i="38"/>
  <c r="G5" i="38"/>
  <c r="S4" i="38"/>
  <c r="R4" i="38"/>
  <c r="O4" i="38"/>
  <c r="G4" i="38"/>
  <c r="S3" i="38"/>
  <c r="R3" i="38"/>
  <c r="O3" i="38"/>
  <c r="K3" i="38"/>
  <c r="K4" i="38" s="1"/>
  <c r="K5" i="38" s="1"/>
  <c r="K6" i="38" s="1"/>
  <c r="K7" i="38" s="1"/>
  <c r="G3" i="38"/>
  <c r="S2" i="38"/>
  <c r="R2" i="38"/>
  <c r="O2" i="38"/>
  <c r="K2" i="38"/>
  <c r="G2" i="38"/>
  <c r="C1" i="38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5FF9ED1-FCE9-41DA-8A97-971BB88E735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6A9FA86-2177-469C-B16D-DF5725DA0E4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<sst xmlns="http://schemas.openxmlformats.org/spreadsheetml/2006/main" count="127" uniqueCount="93">
  <si>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</si>
  <si>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</si>
  <si>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</si>
  <si>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</si>
  <si>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</si>
  <si>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</si>
  <si>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</si>
  <si>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</si>
  <si>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</si>
  <si>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</si>
  <si>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Regions</t>
  </si>
  <si>
    <t>Params</t>
  </si>
  <si>
    <t>Units</t>
  </si>
  <si>
    <t>Mults</t>
  </si>
  <si>
    <t>1st ref</t>
  </si>
  <si>
    <t>CSV</t>
  </si>
  <si>
    <t>Offset</t>
  </si>
  <si>
    <t>Analysis</t>
  </si>
  <si>
    <t>Entire US</t>
  </si>
  <si>
    <t>US</t>
  </si>
  <si>
    <t>Capacity</t>
  </si>
  <si>
    <t>GW</t>
  </si>
  <si>
    <t>Solar</t>
  </si>
  <si>
    <t>Nominal</t>
  </si>
  <si>
    <t>California</t>
  </si>
  <si>
    <t>CAL</t>
  </si>
  <si>
    <t>Energy</t>
  </si>
  <si>
    <t>TWh</t>
  </si>
  <si>
    <t>Wind</t>
  </si>
  <si>
    <t>Reduced Nuclear Capital Cost</t>
  </si>
  <si>
    <t>3_Qtr_Cap</t>
  </si>
  <si>
    <t>By 25%</t>
  </si>
  <si>
    <t>Nuke_Cap$_0.75_1</t>
  </si>
  <si>
    <t>Carolinas</t>
  </si>
  <si>
    <t>CAR</t>
  </si>
  <si>
    <t>Supply</t>
  </si>
  <si>
    <t>Nuclear</t>
  </si>
  <si>
    <t>Increase Max Build Rate All NRGs</t>
  </si>
  <si>
    <t>Half_Cap</t>
  </si>
  <si>
    <t>In Half</t>
  </si>
  <si>
    <t>Nuke_Cap$_0.5_1</t>
  </si>
  <si>
    <t>Central</t>
  </si>
  <si>
    <t>CENT</t>
  </si>
  <si>
    <t>Cost</t>
  </si>
  <si>
    <t>B$</t>
  </si>
  <si>
    <t>Gas</t>
  </si>
  <si>
    <t>`</t>
  </si>
  <si>
    <t>Double_All</t>
  </si>
  <si>
    <t>By 2x</t>
  </si>
  <si>
    <t>Florida</t>
  </si>
  <si>
    <t>FLA</t>
  </si>
  <si>
    <t>CO2_Cost</t>
  </si>
  <si>
    <t>Coal</t>
  </si>
  <si>
    <t>Mid Atlantic</t>
  </si>
  <si>
    <t>MIDA</t>
  </si>
  <si>
    <t>CO2_MTons</t>
  </si>
  <si>
    <t>MTons</t>
  </si>
  <si>
    <t>Storage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</si>
  <si>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</si>
  <si>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</si>
  <si>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</si>
  <si>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</si>
  <si>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</si>
  <si>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</si>
  <si>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</si>
  <si>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</si>
  <si>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</si>
  <si>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</si>
  <si>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</si>
  <si>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</si>
  <si>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</si>
  <si>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</si>
  <si>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</si>
  <si>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</si>
  <si>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</si>
  <si>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CO2</t>
  </si>
  <si>
    <t>Constant</t>
  </si>
  <si>
    <t>Per_Year</t>
  </si>
  <si>
    <t>Lib_Compare_</t>
  </si>
  <si>
    <t>.xlsm</t>
  </si>
  <si>
    <t>NRG Table</t>
  </si>
  <si>
    <t>Analysis Long</t>
  </si>
  <si>
    <t>Analysis Short</t>
  </si>
  <si>
    <t>Case Long</t>
  </si>
  <si>
    <t>Case Short</t>
  </si>
  <si>
    <t>Analysis Case</t>
  </si>
  <si>
    <t>FileName Extension</t>
  </si>
  <si>
    <t>Regions abbrs</t>
  </si>
  <si>
    <t>Parm Count</t>
  </si>
  <si>
    <t>CO2 Constant</t>
  </si>
  <si>
    <t>CO2 Per Year</t>
  </si>
  <si>
    <t>2024-06-17</t>
  </si>
  <si>
    <t>Coal_Grow_2_1-Gas_Grow_2_1-Nuke_Grow_2_1-Solar_Grow_2_1-Batt_Grow_2_1-Wind_Grow_2_1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</si>
</sst>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164" fontId="0" fillId="0" borderId="0" xfId="0" applyNumberFormat="1"/>
    <xf numFmtId="164" fontId="0" fillId="2" borderId="1" xfId="0" applyNumberFormat="1" applyFill="1" applyBorder="1" applyAlignment="1" applyProtection="1">
      <alignment horizontal="center"/>
      <protection locked="0"/>
    </xf>
    <xf numFmtId="0" fontId="4" fillId="0" borderId="0" xfId="0" applyFont="1"/>
    <xf numFmtId="14" fontId="0" fillId="2" borderId="1" xfId="0" quotePrefix="1" applyNumberForma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G114"/>
  <sheetViews>
    <sheetView topLeftCell="B1" workbookViewId="0">
      <selection activeCell="E2" sqref="E2"/>
    </sheetView>
  </sheetViews>
  <sheetFormatPr defaultRowHeight="14.6" x14ac:dyDescent="0.85"/>
  <cols>
    <col min="1" max="1" width="12.34375" customWidth="1"/>
    <col min="2" max="2" width="37.23046875" customWidth="1"/>
    <col min="3" max="3" width="5.69140625" customWidth="1"/>
    <col min="4" max="4" width="29.34375" customWidth="1"/>
    <col min="5" max="5" width="27.84375" customWidth="1"/>
    <col min="6" max="6" width="17.73046875" customWidth="1"/>
    <col min="7" max="7" width="11.3828125" customWidth="1"/>
  </cols>
  <sheetData>
    <row r="1" spans="1:7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7" ht="14.65" x14ac:dyDescent="0.85">
      <c r="A2" s="7" t="s">
        <v>78</v>
      </c>
      <c r="B2" s="8" t="s">
        <v>91</v>
      </c>
      <c r="C2" s="7" t="s">
        <v>79</v>
      </c>
      <c r="D2" s="3" t="s">
        <v>9</v>
      </c>
      <c r="E2" s="3" t="s">
        <v>9</v>
      </c>
      <c r="F2" s="3" t="s">
        <v>9</v>
      </c>
      <c r="G2" s="6" t="s">
        <v>9</v>
      </c>
    </row>
    <row r="9" spans="1:7" ht="14.65" x14ac:dyDescent="0.85">
      <c r="G9" s="4"/>
    </row>
    <row r="10" spans="1:7" ht="14.65" x14ac:dyDescent="0.85">
      <c r="B10" s="1" t="s">
        <v>0</v>
      </c>
      <c r="C10">
        <v>0</v>
      </c>
    </row>
    <row r="11" spans="1:7" ht="14.65" x14ac:dyDescent="0.85">
      <c r="B11" s="12"/>
      <c r="C11" s="12"/>
      <c r="D11" s="12"/>
      <c r="E11" s="12"/>
      <c r="F11" s="12"/>
      <c r="G11" s="12"/>
    </row>
    <row r="12" spans="1:7" ht="14.65" x14ac:dyDescent="0.85">
      <c r="B12" s="12"/>
      <c r="C12" s="12"/>
      <c r="D12" s="12"/>
      <c r="E12" s="12"/>
      <c r="F12" s="12"/>
      <c r="G12" s="12"/>
    </row>
    <row r="13" spans="1:7" ht="14.65" x14ac:dyDescent="0.85">
      <c r="B13" s="12"/>
      <c r="C13" s="12"/>
      <c r="D13" s="12"/>
      <c r="E13" s="12"/>
      <c r="F13" s="12"/>
      <c r="G13" s="12"/>
    </row>
    <row r="14" spans="1:7" ht="14.65" x14ac:dyDescent="0.85">
      <c r="B14" s="12"/>
      <c r="C14" s="12"/>
      <c r="D14" s="12"/>
      <c r="E14" s="12"/>
      <c r="F14" s="12"/>
      <c r="G14" s="12"/>
    </row>
    <row r="15" spans="1:7" ht="14.65" x14ac:dyDescent="0.85">
      <c r="B15" s="12"/>
      <c r="C15" s="12"/>
      <c r="D15" s="12"/>
      <c r="E15" s="12"/>
      <c r="F15" s="12"/>
      <c r="G15" s="12"/>
    </row>
    <row r="16" spans="1:7" ht="14.65" x14ac:dyDescent="0.85">
      <c r="B16" s="12"/>
      <c r="C16" s="12"/>
      <c r="D16" s="12"/>
      <c r="E16" s="12"/>
      <c r="F16" s="12"/>
      <c r="G16" s="12"/>
    </row>
    <row r="17" spans="2:7" ht="14.65" x14ac:dyDescent="0.85">
      <c r="B17" s="12"/>
      <c r="C17" s="12"/>
      <c r="D17" s="12"/>
      <c r="E17" s="12"/>
      <c r="F17" s="12"/>
      <c r="G17" s="12"/>
    </row>
    <row r="18" spans="2:7" ht="14.65" x14ac:dyDescent="0.85">
      <c r="B18" s="12"/>
      <c r="C18" s="12"/>
      <c r="D18" s="12"/>
      <c r="E18" s="12"/>
      <c r="F18" s="12"/>
      <c r="G18" s="12"/>
    </row>
    <row r="19" spans="2:7" ht="14.65" x14ac:dyDescent="0.85">
      <c r="B19" s="12"/>
      <c r="C19" s="12"/>
      <c r="D19" s="12"/>
      <c r="E19" s="12"/>
      <c r="F19" s="12"/>
      <c r="G19" s="12"/>
    </row>
    <row r="20" spans="2:7" ht="14.65" x14ac:dyDescent="0.85">
      <c r="B20" s="12"/>
      <c r="C20" s="12"/>
      <c r="D20" s="12"/>
      <c r="E20" s="12"/>
      <c r="F20" s="12"/>
      <c r="G20" s="12"/>
    </row>
    <row r="21" spans="2:7" ht="14.65" x14ac:dyDescent="0.85">
      <c r="B21" s="12"/>
      <c r="C21" s="12"/>
      <c r="D21" s="12"/>
      <c r="E21" s="12"/>
      <c r="F21" s="12"/>
      <c r="G21" s="12"/>
    </row>
    <row r="22" spans="2:7" ht="14.65" x14ac:dyDescent="0.85">
      <c r="B22" s="12"/>
      <c r="C22" s="12"/>
      <c r="D22" s="12"/>
      <c r="E22" s="12"/>
      <c r="F22" s="12"/>
      <c r="G22" s="12"/>
    </row>
    <row r="23" spans="2:7" x14ac:dyDescent="0.85">
      <c r="B23" s="12"/>
      <c r="C23" s="12"/>
      <c r="D23" s="12"/>
      <c r="E23" s="12"/>
      <c r="F23" s="12"/>
      <c r="G23" s="12"/>
    </row>
    <row r="24" spans="2:7" x14ac:dyDescent="0.85">
      <c r="B24" s="12"/>
      <c r="C24" s="12"/>
      <c r="D24" s="12"/>
      <c r="E24" s="12"/>
      <c r="F24" s="12"/>
      <c r="G24" s="12"/>
    </row>
    <row r="25" spans="2:7" x14ac:dyDescent="0.85">
      <c r="B25" s="12"/>
      <c r="C25" s="12"/>
      <c r="D25" s="12"/>
      <c r="E25" s="12"/>
      <c r="F25" s="12"/>
      <c r="G25" s="12"/>
    </row>
    <row r="26" spans="2:7" x14ac:dyDescent="0.85">
      <c r="B26" s="12"/>
      <c r="C26" s="12"/>
      <c r="D26" s="12"/>
      <c r="E26" s="12"/>
      <c r="F26" s="12"/>
      <c r="G26" s="12"/>
    </row>
    <row r="27" spans="2:7" x14ac:dyDescent="0.85">
      <c r="B27" s="12"/>
      <c r="C27" s="12"/>
      <c r="D27" s="12"/>
      <c r="E27" s="12"/>
      <c r="F27" s="12"/>
      <c r="G27" s="12"/>
    </row>
    <row r="28" spans="2:7" x14ac:dyDescent="0.85">
      <c r="B28" s="12"/>
      <c r="C28" s="12"/>
      <c r="D28" s="12"/>
      <c r="E28" s="12"/>
      <c r="F28" s="12"/>
      <c r="G28" s="12"/>
    </row>
    <row r="29" spans="2:7" x14ac:dyDescent="0.85">
      <c r="B29" s="12"/>
      <c r="C29" s="12"/>
      <c r="D29" s="12"/>
      <c r="E29" s="12"/>
      <c r="F29" s="12"/>
      <c r="G29" s="12"/>
    </row>
    <row r="30" spans="2:7" x14ac:dyDescent="0.85">
      <c r="B30" s="12"/>
      <c r="C30" s="12"/>
      <c r="D30" s="12"/>
      <c r="E30" s="12"/>
      <c r="F30" s="12"/>
      <c r="G30" s="12"/>
    </row>
    <row r="31" spans="2:7" x14ac:dyDescent="0.85">
      <c r="B31" s="12"/>
      <c r="C31" s="12"/>
      <c r="D31" s="12"/>
      <c r="E31" s="12"/>
      <c r="F31" s="12"/>
      <c r="G31" s="12"/>
    </row>
    <row r="32" spans="2:7" x14ac:dyDescent="0.85">
      <c r="B32" s="12"/>
      <c r="C32" s="12"/>
      <c r="D32" s="12"/>
      <c r="E32" s="12"/>
      <c r="F32" s="12"/>
      <c r="G32" s="12"/>
    </row>
    <row r="33" spans="2:7" x14ac:dyDescent="0.85">
      <c r="B33" s="12"/>
      <c r="C33" s="12"/>
      <c r="D33" s="12"/>
      <c r="E33" s="12"/>
      <c r="F33" s="12"/>
      <c r="G33" s="12"/>
    </row>
    <row r="34" spans="2:7" x14ac:dyDescent="0.85">
      <c r="B34" s="12"/>
      <c r="C34" s="12"/>
      <c r="D34" s="12"/>
      <c r="E34" s="12"/>
      <c r="F34" s="12"/>
      <c r="G34" s="12"/>
    </row>
    <row r="35" spans="2:7" x14ac:dyDescent="0.85">
      <c r="B35" s="12"/>
      <c r="C35" s="12"/>
      <c r="D35" s="12"/>
      <c r="E35" s="12"/>
      <c r="F35" s="12"/>
      <c r="G35" s="12"/>
    </row>
    <row r="36" spans="2:7" x14ac:dyDescent="0.85">
      <c r="B36" s="12"/>
      <c r="C36" s="12"/>
      <c r="D36" s="12"/>
      <c r="E36" s="12"/>
      <c r="F36" s="12"/>
      <c r="G36" s="12"/>
    </row>
    <row r="37" spans="2:7" x14ac:dyDescent="0.85">
      <c r="B37" s="12"/>
      <c r="C37" s="12"/>
      <c r="D37" s="12"/>
      <c r="E37" s="12"/>
      <c r="F37" s="12"/>
      <c r="G37" s="12"/>
    </row>
    <row r="38" spans="2:7" x14ac:dyDescent="0.85">
      <c r="B38" s="12"/>
      <c r="C38" s="12"/>
      <c r="D38" s="12"/>
      <c r="E38" s="12"/>
      <c r="F38" s="12"/>
      <c r="G38" s="12"/>
    </row>
    <row r="39" spans="2:7" x14ac:dyDescent="0.85">
      <c r="B39" s="12"/>
      <c r="C39" s="12"/>
      <c r="D39" s="12"/>
      <c r="E39" s="12"/>
      <c r="F39" s="12"/>
      <c r="G39" s="12"/>
    </row>
    <row r="40" spans="2:7" x14ac:dyDescent="0.85">
      <c r="B40" s="12"/>
      <c r="C40" s="12"/>
      <c r="D40" s="12"/>
      <c r="E40" s="12"/>
      <c r="F40" s="12"/>
      <c r="G40" s="12"/>
    </row>
    <row r="41" spans="2:7" x14ac:dyDescent="0.85">
      <c r="B41" s="12"/>
      <c r="C41" s="12"/>
      <c r="D41" s="12"/>
      <c r="E41" s="12"/>
      <c r="F41" s="12"/>
      <c r="G41" s="12"/>
    </row>
    <row r="42" spans="2:7" x14ac:dyDescent="0.85">
      <c r="B42" s="12"/>
      <c r="C42" s="12"/>
      <c r="D42" s="12"/>
      <c r="E42" s="12"/>
      <c r="F42" s="12"/>
      <c r="G42" s="12"/>
    </row>
    <row r="43" spans="2:7" x14ac:dyDescent="0.85">
      <c r="B43" s="12"/>
      <c r="C43" s="12"/>
      <c r="D43" s="12"/>
      <c r="E43" s="12"/>
      <c r="F43" s="12"/>
      <c r="G43" s="12"/>
    </row>
    <row r="44" spans="2:7" x14ac:dyDescent="0.85">
      <c r="B44" s="12"/>
      <c r="C44" s="12"/>
      <c r="D44" s="12"/>
      <c r="E44" s="12"/>
      <c r="F44" s="12"/>
      <c r="G44" s="12"/>
    </row>
    <row r="45" spans="2:7" x14ac:dyDescent="0.85">
      <c r="B45" s="12"/>
      <c r="C45" s="12"/>
      <c r="D45" s="12"/>
      <c r="E45" s="12"/>
      <c r="F45" s="12"/>
      <c r="G45" s="12"/>
    </row>
    <row r="46" spans="2:7" x14ac:dyDescent="0.85">
      <c r="B46" s="12"/>
      <c r="C46" s="12"/>
      <c r="D46" s="12"/>
      <c r="E46" s="12"/>
      <c r="F46" s="12"/>
      <c r="G46" s="12"/>
    </row>
    <row r="47" spans="2:7" x14ac:dyDescent="0.85">
      <c r="B47" s="12"/>
      <c r="C47" s="12"/>
      <c r="D47" s="12"/>
      <c r="E47" s="12"/>
      <c r="F47" s="12"/>
      <c r="G47" s="12"/>
    </row>
    <row r="48" spans="2:7" x14ac:dyDescent="0.85">
      <c r="B48" s="12"/>
      <c r="C48" s="12"/>
      <c r="D48" s="12"/>
      <c r="E48" s="12"/>
      <c r="F48" s="12"/>
      <c r="G48" s="12"/>
    </row>
    <row r="49" spans="2:7" x14ac:dyDescent="0.85">
      <c r="B49" s="12"/>
      <c r="C49" s="12"/>
      <c r="D49" s="12"/>
      <c r="E49" s="12"/>
      <c r="F49" s="12"/>
      <c r="G49" s="12"/>
    </row>
    <row r="50" spans="2:7" x14ac:dyDescent="0.85">
      <c r="B50" s="12"/>
      <c r="C50" s="12"/>
      <c r="D50" s="12"/>
      <c r="E50" s="12"/>
      <c r="F50" s="12"/>
      <c r="G50" s="12"/>
    </row>
    <row r="51" spans="2:7" x14ac:dyDescent="0.85">
      <c r="B51" s="12"/>
      <c r="C51" s="12"/>
      <c r="D51" s="12"/>
      <c r="E51" s="12"/>
      <c r="F51" s="12"/>
      <c r="G51" s="12"/>
    </row>
    <row r="52" spans="2:7" x14ac:dyDescent="0.85">
      <c r="B52" s="12"/>
      <c r="C52" s="12"/>
      <c r="D52" s="12"/>
      <c r="E52" s="12"/>
      <c r="F52" s="12"/>
      <c r="G52" s="12"/>
    </row>
    <row r="53" spans="2:7" x14ac:dyDescent="0.85">
      <c r="B53" s="12"/>
      <c r="C53" s="12"/>
      <c r="D53" s="12"/>
      <c r="E53" s="12"/>
      <c r="F53" s="12"/>
      <c r="G53" s="12"/>
    </row>
    <row r="54" spans="2:7" x14ac:dyDescent="0.85">
      <c r="B54" s="12"/>
      <c r="C54" s="12"/>
      <c r="D54" s="12"/>
      <c r="E54" s="12"/>
      <c r="F54" s="12"/>
      <c r="G54" s="12"/>
    </row>
    <row r="55" spans="2:7" x14ac:dyDescent="0.85">
      <c r="B55" s="12"/>
      <c r="C55" s="12"/>
      <c r="D55" s="12"/>
      <c r="E55" s="12"/>
      <c r="F55" s="12"/>
      <c r="G55" s="12"/>
    </row>
    <row r="56" spans="2:7" x14ac:dyDescent="0.85">
      <c r="B56" s="12"/>
      <c r="C56" s="12"/>
      <c r="D56" s="12"/>
      <c r="E56" s="12"/>
      <c r="F56" s="12"/>
      <c r="G56" s="12"/>
    </row>
    <row r="57" spans="2:7" x14ac:dyDescent="0.85">
      <c r="B57" s="12"/>
      <c r="C57" s="12"/>
      <c r="D57" s="12"/>
      <c r="E57" s="12"/>
      <c r="F57" s="12"/>
      <c r="G57" s="12"/>
    </row>
    <row r="58" spans="2:7" x14ac:dyDescent="0.85">
      <c r="B58" s="12"/>
      <c r="C58" s="12"/>
      <c r="D58" s="12"/>
      <c r="E58" s="12"/>
      <c r="F58" s="12"/>
      <c r="G58" s="12"/>
    </row>
    <row r="59" spans="2:7" x14ac:dyDescent="0.85">
      <c r="B59" s="12"/>
      <c r="C59" s="12"/>
      <c r="D59" s="12"/>
      <c r="E59" s="12"/>
      <c r="F59" s="12"/>
      <c r="G59" s="12"/>
    </row>
    <row r="60" spans="2:7" x14ac:dyDescent="0.85">
      <c r="B60" s="12"/>
      <c r="C60" s="12"/>
      <c r="D60" s="12"/>
      <c r="E60" s="12"/>
      <c r="F60" s="12"/>
      <c r="G60" s="12"/>
    </row>
    <row r="61" spans="2:7" x14ac:dyDescent="0.85">
      <c r="B61" s="12"/>
      <c r="C61" s="12"/>
      <c r="D61" s="12"/>
      <c r="E61" s="12"/>
      <c r="F61" s="12"/>
      <c r="G61" s="12"/>
    </row>
    <row r="62" spans="2:7" x14ac:dyDescent="0.85">
      <c r="B62" s="12"/>
      <c r="C62" s="12"/>
      <c r="D62" s="12"/>
      <c r="E62" s="12"/>
      <c r="F62" s="12"/>
      <c r="G62" s="12"/>
    </row>
    <row r="63" spans="2:7" x14ac:dyDescent="0.85">
      <c r="B63" s="12"/>
      <c r="C63" s="12"/>
      <c r="D63" s="12"/>
      <c r="E63" s="12"/>
      <c r="F63" s="12"/>
      <c r="G63" s="12"/>
    </row>
    <row r="64" spans="2:7" x14ac:dyDescent="0.85">
      <c r="B64" s="12"/>
      <c r="C64" s="12"/>
      <c r="D64" s="12"/>
      <c r="E64" s="12"/>
      <c r="F64" s="12"/>
      <c r="G64" s="12"/>
    </row>
    <row r="65" spans="2:7" x14ac:dyDescent="0.85">
      <c r="B65" s="12"/>
      <c r="C65" s="12"/>
      <c r="D65" s="12"/>
      <c r="E65" s="12"/>
      <c r="F65" s="12"/>
      <c r="G65" s="12"/>
    </row>
    <row r="66" spans="2:7" x14ac:dyDescent="0.85">
      <c r="B66" s="12"/>
      <c r="C66" s="12"/>
      <c r="D66" s="12"/>
      <c r="E66" s="12"/>
      <c r="F66" s="12"/>
      <c r="G66" s="12"/>
    </row>
    <row r="67" spans="2:7" x14ac:dyDescent="0.85">
      <c r="B67" s="12"/>
      <c r="C67" s="12"/>
      <c r="D67" s="12"/>
      <c r="E67" s="12"/>
      <c r="F67" s="12"/>
      <c r="G67" s="12"/>
    </row>
    <row r="68" spans="2:7" x14ac:dyDescent="0.85">
      <c r="B68" s="12"/>
      <c r="C68" s="12"/>
      <c r="D68" s="12"/>
      <c r="E68" s="12"/>
      <c r="F68" s="12"/>
      <c r="G68" s="12"/>
    </row>
    <row r="69" spans="2:7" x14ac:dyDescent="0.85">
      <c r="B69" s="12"/>
      <c r="C69" s="12"/>
      <c r="D69" s="12"/>
      <c r="E69" s="12"/>
      <c r="F69" s="12"/>
      <c r="G69" s="12"/>
    </row>
    <row r="70" spans="2:7" x14ac:dyDescent="0.85">
      <c r="B70" s="12"/>
      <c r="C70" s="12"/>
      <c r="D70" s="12"/>
      <c r="E70" s="12"/>
      <c r="F70" s="12"/>
      <c r="G70" s="12"/>
    </row>
    <row r="71" spans="2:7" x14ac:dyDescent="0.85">
      <c r="B71" s="12"/>
      <c r="C71" s="12"/>
      <c r="D71" s="12"/>
      <c r="E71" s="12"/>
      <c r="F71" s="12"/>
      <c r="G71" s="12"/>
    </row>
    <row r="72" spans="2:7" x14ac:dyDescent="0.85">
      <c r="B72" s="12"/>
      <c r="C72" s="12"/>
      <c r="D72" s="12"/>
      <c r="E72" s="12"/>
      <c r="F72" s="12"/>
      <c r="G72" s="12"/>
    </row>
    <row r="73" spans="2:7" x14ac:dyDescent="0.85">
      <c r="B73" s="12"/>
      <c r="C73" s="12"/>
      <c r="D73" s="12"/>
      <c r="E73" s="12"/>
      <c r="F73" s="12"/>
      <c r="G73" s="12"/>
    </row>
    <row r="74" spans="2:7" x14ac:dyDescent="0.85">
      <c r="B74" s="12"/>
      <c r="C74" s="12"/>
      <c r="D74" s="12"/>
      <c r="E74" s="12"/>
      <c r="F74" s="12"/>
      <c r="G74" s="12"/>
    </row>
    <row r="75" spans="2:7" x14ac:dyDescent="0.85">
      <c r="B75" s="12"/>
      <c r="C75" s="12"/>
      <c r="D75" s="12"/>
      <c r="E75" s="12"/>
      <c r="F75" s="12"/>
      <c r="G75" s="12"/>
    </row>
    <row r="76" spans="2:7" x14ac:dyDescent="0.85">
      <c r="B76" s="12"/>
      <c r="C76" s="12"/>
      <c r="D76" s="12"/>
      <c r="E76" s="12"/>
      <c r="F76" s="12"/>
      <c r="G76" s="12"/>
    </row>
    <row r="77" spans="2:7" x14ac:dyDescent="0.85">
      <c r="B77" s="12"/>
      <c r="C77" s="12"/>
      <c r="D77" s="12"/>
      <c r="E77" s="12"/>
      <c r="F77" s="12"/>
      <c r="G77" s="12"/>
    </row>
    <row r="78" spans="2:7" x14ac:dyDescent="0.85">
      <c r="B78" s="12"/>
      <c r="C78" s="12"/>
      <c r="D78" s="12"/>
      <c r="E78" s="12"/>
      <c r="F78" s="12"/>
      <c r="G78" s="12"/>
    </row>
    <row r="79" spans="2:7" x14ac:dyDescent="0.85">
      <c r="B79" s="12"/>
      <c r="C79" s="12"/>
      <c r="D79" s="12"/>
      <c r="E79" s="12"/>
      <c r="F79" s="12"/>
      <c r="G79" s="12"/>
    </row>
    <row r="80" spans="2:7" x14ac:dyDescent="0.85">
      <c r="B80" s="12"/>
      <c r="C80" s="12"/>
      <c r="D80" s="12"/>
      <c r="E80" s="12"/>
      <c r="F80" s="12"/>
      <c r="G80" s="12"/>
    </row>
    <row r="81" spans="2:7" x14ac:dyDescent="0.85">
      <c r="B81" s="12"/>
      <c r="C81" s="12"/>
      <c r="D81" s="12"/>
      <c r="E81" s="12"/>
      <c r="F81" s="12"/>
      <c r="G81" s="12"/>
    </row>
    <row r="82" spans="2:7" x14ac:dyDescent="0.85">
      <c r="B82" s="12"/>
      <c r="C82" s="12"/>
      <c r="D82" s="12"/>
      <c r="E82" s="12"/>
      <c r="F82" s="12"/>
      <c r="G82" s="12"/>
    </row>
    <row r="83" spans="2:7" x14ac:dyDescent="0.85">
      <c r="B83" s="12"/>
      <c r="C83" s="12"/>
      <c r="D83" s="12"/>
      <c r="E83" s="12"/>
      <c r="F83" s="12"/>
      <c r="G83" s="12"/>
    </row>
    <row r="84" spans="2:7" x14ac:dyDescent="0.85">
      <c r="B84" s="12"/>
      <c r="C84" s="12"/>
      <c r="D84" s="12"/>
      <c r="E84" s="12"/>
      <c r="F84" s="12"/>
      <c r="G84" s="12"/>
    </row>
    <row r="85" spans="2:7" x14ac:dyDescent="0.85">
      <c r="B85" s="12"/>
      <c r="C85" s="12"/>
      <c r="D85" s="12"/>
      <c r="E85" s="12"/>
      <c r="F85" s="12"/>
      <c r="G85" s="12"/>
    </row>
    <row r="86" spans="2:7" x14ac:dyDescent="0.85">
      <c r="B86" s="12"/>
      <c r="C86" s="12"/>
      <c r="D86" s="12"/>
      <c r="E86" s="12"/>
      <c r="F86" s="12"/>
      <c r="G86" s="12"/>
    </row>
    <row r="87" spans="2:7" x14ac:dyDescent="0.85">
      <c r="B87" s="12"/>
      <c r="C87" s="12"/>
      <c r="D87" s="12"/>
      <c r="E87" s="12"/>
      <c r="F87" s="12"/>
      <c r="G87" s="12"/>
    </row>
    <row r="88" spans="2:7" x14ac:dyDescent="0.85">
      <c r="B88" s="12"/>
      <c r="C88" s="12"/>
      <c r="D88" s="12"/>
      <c r="E88" s="12"/>
      <c r="F88" s="12"/>
      <c r="G88" s="12"/>
    </row>
    <row r="89" spans="2:7" x14ac:dyDescent="0.85">
      <c r="B89" s="12"/>
      <c r="C89" s="12"/>
      <c r="D89" s="12"/>
      <c r="E89" s="12"/>
      <c r="F89" s="12"/>
      <c r="G89" s="12"/>
    </row>
    <row r="90" spans="2:7" x14ac:dyDescent="0.85">
      <c r="B90" s="12"/>
      <c r="C90" s="12"/>
      <c r="D90" s="12"/>
      <c r="E90" s="12"/>
      <c r="F90" s="12"/>
      <c r="G90" s="12"/>
    </row>
    <row r="91" spans="2:7" x14ac:dyDescent="0.85">
      <c r="B91" s="12"/>
      <c r="C91" s="12"/>
      <c r="D91" s="12"/>
      <c r="E91" s="12"/>
      <c r="F91" s="12"/>
      <c r="G91" s="12"/>
    </row>
    <row r="92" spans="2:7" x14ac:dyDescent="0.85">
      <c r="B92" s="12"/>
      <c r="C92" s="12"/>
      <c r="D92" s="12"/>
      <c r="E92" s="12"/>
      <c r="F92" s="12"/>
      <c r="G92" s="12"/>
    </row>
    <row r="93" spans="2:7" x14ac:dyDescent="0.85">
      <c r="B93" s="12"/>
      <c r="C93" s="12"/>
      <c r="D93" s="12"/>
      <c r="E93" s="12"/>
      <c r="F93" s="12"/>
      <c r="G93" s="12"/>
    </row>
    <row r="94" spans="2:7" x14ac:dyDescent="0.85">
      <c r="B94" s="12"/>
      <c r="C94" s="12"/>
      <c r="D94" s="12"/>
      <c r="E94" s="12"/>
      <c r="F94" s="12"/>
      <c r="G94" s="12"/>
    </row>
    <row r="95" spans="2:7" x14ac:dyDescent="0.85">
      <c r="B95" s="12"/>
      <c r="C95" s="12"/>
      <c r="D95" s="12"/>
      <c r="E95" s="12"/>
      <c r="F95" s="12"/>
      <c r="G95" s="12"/>
    </row>
    <row r="96" spans="2:7" x14ac:dyDescent="0.85">
      <c r="B96" s="12"/>
      <c r="C96" s="12"/>
      <c r="D96" s="12"/>
      <c r="E96" s="12"/>
      <c r="F96" s="12"/>
      <c r="G96" s="12"/>
    </row>
    <row r="97" spans="2:7" x14ac:dyDescent="0.85">
      <c r="B97" s="12"/>
      <c r="C97" s="12"/>
      <c r="D97" s="12"/>
      <c r="E97" s="12"/>
      <c r="F97" s="12"/>
      <c r="G97" s="12"/>
    </row>
    <row r="98" spans="2:7" x14ac:dyDescent="0.85">
      <c r="B98" s="12"/>
      <c r="C98" s="12"/>
      <c r="D98" s="12"/>
      <c r="E98" s="12"/>
      <c r="F98" s="12"/>
      <c r="G98" s="12"/>
    </row>
    <row r="99" spans="2:7" x14ac:dyDescent="0.85">
      <c r="B99" s="12"/>
      <c r="C99" s="12"/>
      <c r="D99" s="12"/>
      <c r="E99" s="12"/>
      <c r="F99" s="12"/>
      <c r="G99" s="12"/>
    </row>
    <row r="100" spans="2:7" x14ac:dyDescent="0.85">
      <c r="B100" s="12"/>
      <c r="C100" s="12"/>
      <c r="D100" s="12"/>
      <c r="E100" s="12"/>
      <c r="F100" s="12"/>
      <c r="G100" s="12"/>
    </row>
    <row r="101" spans="2:7" x14ac:dyDescent="0.85">
      <c r="B101" s="12"/>
      <c r="C101" s="12"/>
      <c r="D101" s="12"/>
      <c r="E101" s="12"/>
      <c r="F101" s="12"/>
      <c r="G101" s="12"/>
    </row>
    <row r="102" spans="2:7" x14ac:dyDescent="0.85">
      <c r="B102" s="12"/>
      <c r="C102" s="12"/>
      <c r="D102" s="12"/>
      <c r="E102" s="12"/>
      <c r="F102" s="12"/>
      <c r="G102" s="12"/>
    </row>
    <row r="103" spans="2:7" x14ac:dyDescent="0.85">
      <c r="B103" s="12"/>
      <c r="C103" s="12"/>
      <c r="D103" s="12"/>
      <c r="E103" s="12"/>
      <c r="F103" s="12"/>
      <c r="G103" s="12"/>
    </row>
    <row r="104" spans="2:7" x14ac:dyDescent="0.85">
      <c r="B104" s="12"/>
      <c r="C104" s="12"/>
      <c r="D104" s="12"/>
      <c r="E104" s="12"/>
      <c r="F104" s="12"/>
      <c r="G104" s="12"/>
    </row>
    <row r="105" spans="2:7" x14ac:dyDescent="0.85">
      <c r="B105" s="12"/>
      <c r="C105" s="12"/>
      <c r="D105" s="12"/>
      <c r="E105" s="12"/>
      <c r="F105" s="12"/>
      <c r="G105" s="12"/>
    </row>
    <row r="106" spans="2:7" x14ac:dyDescent="0.85">
      <c r="B106" s="12"/>
      <c r="C106" s="12"/>
      <c r="D106" s="12"/>
      <c r="E106" s="12"/>
      <c r="F106" s="12"/>
      <c r="G106" s="12"/>
    </row>
    <row r="107" spans="2:7" x14ac:dyDescent="0.85">
      <c r="B107" s="12"/>
      <c r="C107" s="12"/>
      <c r="D107" s="12"/>
      <c r="E107" s="12"/>
      <c r="F107" s="12"/>
      <c r="G107" s="12"/>
    </row>
    <row r="108" spans="2:7" x14ac:dyDescent="0.85">
      <c r="B108" s="12"/>
      <c r="C108" s="12"/>
      <c r="D108" s="12"/>
      <c r="E108" s="12"/>
      <c r="F108" s="12"/>
      <c r="G108" s="12"/>
    </row>
    <row r="109" spans="2:7" x14ac:dyDescent="0.85">
      <c r="B109" s="12"/>
      <c r="C109" s="12"/>
      <c r="D109" s="12"/>
      <c r="E109" s="12"/>
      <c r="F109" s="12"/>
      <c r="G109" s="12"/>
    </row>
    <row r="110" spans="2:7" x14ac:dyDescent="0.85">
      <c r="B110" s="12"/>
      <c r="C110" s="12"/>
      <c r="D110" s="12"/>
      <c r="E110" s="12"/>
      <c r="F110" s="12"/>
      <c r="G110" s="12"/>
    </row>
    <row r="111" spans="2:7" x14ac:dyDescent="0.85">
      <c r="B111" s="12"/>
      <c r="C111" s="12"/>
      <c r="D111" s="12"/>
      <c r="E111" s="12"/>
      <c r="F111" s="12"/>
      <c r="G111" s="12"/>
    </row>
    <row r="112" spans="2:7" x14ac:dyDescent="0.85">
      <c r="B112" s="12"/>
      <c r="C112" s="12"/>
      <c r="D112" s="12"/>
      <c r="E112" s="12"/>
      <c r="F112" s="12"/>
      <c r="G112" s="12"/>
    </row>
    <row r="113" spans="2:7" x14ac:dyDescent="0.85">
      <c r="B113" s="12"/>
      <c r="C113" s="12"/>
      <c r="D113" s="12"/>
      <c r="E113" s="12"/>
      <c r="F113" s="12"/>
      <c r="G113" s="12"/>
    </row>
    <row r="114" spans="2:7" x14ac:dyDescent="0.85">
      <c r="B114" s="12"/>
      <c r="C114" s="12"/>
      <c r="D114" s="12"/>
      <c r="E114" s="12"/>
      <c r="F114" s="12"/>
      <c r="G114" s="12"/>
    </row>
  </sheetData>
  <mergeCells count="104">
    <mergeCell ref="B16:G16"/>
    <mergeCell ref="B11:G11"/>
    <mergeCell ref="B12:G12"/>
    <mergeCell ref="B13:G13"/>
    <mergeCell ref="B14:G14"/>
    <mergeCell ref="B15:G15"/>
    <mergeCell ref="B28:G28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40:G40"/>
    <mergeCell ref="B29:G29"/>
    <mergeCell ref="B30:G30"/>
    <mergeCell ref="B31:G31"/>
    <mergeCell ref="B32:G32"/>
    <mergeCell ref="B33:G33"/>
    <mergeCell ref="B34:G34"/>
    <mergeCell ref="B35:G35"/>
    <mergeCell ref="B36:G36"/>
    <mergeCell ref="B37:G37"/>
    <mergeCell ref="B38:G38"/>
    <mergeCell ref="B39:G39"/>
    <mergeCell ref="B52:G52"/>
    <mergeCell ref="B41:G41"/>
    <mergeCell ref="B42:G42"/>
    <mergeCell ref="B43:G43"/>
    <mergeCell ref="B44:G44"/>
    <mergeCell ref="B45:G45"/>
    <mergeCell ref="B46:G46"/>
    <mergeCell ref="B47:G47"/>
    <mergeCell ref="B48:G48"/>
    <mergeCell ref="B49:G49"/>
    <mergeCell ref="B50:G50"/>
    <mergeCell ref="B51:G51"/>
    <mergeCell ref="B64:G64"/>
    <mergeCell ref="B53:G53"/>
    <mergeCell ref="B54:G54"/>
    <mergeCell ref="B55:G55"/>
    <mergeCell ref="B56:G56"/>
    <mergeCell ref="B57:G57"/>
    <mergeCell ref="B58:G58"/>
    <mergeCell ref="B59:G59"/>
    <mergeCell ref="B60:G60"/>
    <mergeCell ref="B61:G61"/>
    <mergeCell ref="B62:G62"/>
    <mergeCell ref="B63:G63"/>
    <mergeCell ref="B76:G76"/>
    <mergeCell ref="B65:G65"/>
    <mergeCell ref="B66:G66"/>
    <mergeCell ref="B67:G67"/>
    <mergeCell ref="B68:G68"/>
    <mergeCell ref="B69:G69"/>
    <mergeCell ref="B70:G70"/>
    <mergeCell ref="B71:G71"/>
    <mergeCell ref="B72:G72"/>
    <mergeCell ref="B73:G73"/>
    <mergeCell ref="B74:G74"/>
    <mergeCell ref="B75:G75"/>
    <mergeCell ref="B83:G83"/>
    <mergeCell ref="B84:G84"/>
    <mergeCell ref="B85:G85"/>
    <mergeCell ref="B77:G77"/>
    <mergeCell ref="B78:G78"/>
    <mergeCell ref="B79:G79"/>
    <mergeCell ref="B80:G80"/>
    <mergeCell ref="B81:G81"/>
    <mergeCell ref="B82:G82"/>
    <mergeCell ref="B91:G91"/>
    <mergeCell ref="B92:G92"/>
    <mergeCell ref="B93:G93"/>
    <mergeCell ref="B94:G94"/>
    <mergeCell ref="B95:G95"/>
    <mergeCell ref="B86:G86"/>
    <mergeCell ref="B87:G87"/>
    <mergeCell ref="B88:G88"/>
    <mergeCell ref="B89:G89"/>
    <mergeCell ref="B90:G90"/>
    <mergeCell ref="B101:G101"/>
    <mergeCell ref="B102:G102"/>
    <mergeCell ref="B103:G103"/>
    <mergeCell ref="B104:G104"/>
    <mergeCell ref="B105:G105"/>
    <mergeCell ref="B96:G96"/>
    <mergeCell ref="B97:G97"/>
    <mergeCell ref="B98:G98"/>
    <mergeCell ref="B99:G99"/>
    <mergeCell ref="B100:G100"/>
    <mergeCell ref="B111:G111"/>
    <mergeCell ref="B112:G112"/>
    <mergeCell ref="B113:G113"/>
    <mergeCell ref="B114:G114"/>
    <mergeCell ref="B106:G106"/>
    <mergeCell ref="B107:G107"/>
    <mergeCell ref="B108:G108"/>
    <mergeCell ref="B109:G109"/>
    <mergeCell ref="B110:G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D2" sqref="D2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75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5" t="str" cm="1">
        <f t="array" ref="D2">IF(Selected_CType = "Constant",CO2_Constant,IF(Selected_CType = "Per_Year",CO2_Per_Year,""))</f>
        <v/>
      </c>
    </row>
    <row r="3" spans="1:4" x14ac:dyDescent="0.85">
      <c r="A3" t="s">
        <v>29</v>
      </c>
      <c r="C3" t="s">
        <v>76</v>
      </c>
      <c r="D3" s="5"/>
    </row>
    <row r="4" spans="1:4" x14ac:dyDescent="0.85">
      <c r="A4" t="s">
        <v>23</v>
      </c>
      <c r="C4" t="s">
        <v>77</v>
      </c>
      <c r="D4" s="5"/>
    </row>
    <row r="5" spans="1:4" x14ac:dyDescent="0.85">
      <c r="A5" t="s">
        <v>37</v>
      </c>
      <c r="D5" s="5"/>
    </row>
    <row r="6" spans="1:4" x14ac:dyDescent="0.85">
      <c r="D6" s="5"/>
    </row>
    <row r="7" spans="1:4" x14ac:dyDescent="0.85">
      <c r="D7" s="5"/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6EBC8-E52B-485B-A5E5-32DBCCE060B0}">
  <dimension ref="A1:V15"/>
  <sheetViews>
    <sheetView tabSelected="1" topLeftCell="K1" workbookViewId="0">
      <selection activeCell="T6" sqref="T6"/>
    </sheetView>
  </sheetViews>
  <sheetFormatPr defaultRowHeight="14.6" x14ac:dyDescent="0.85"/>
  <cols>
    <col min="1" max="3" width="12.07421875" style="10" customWidth="1"/>
    <col min="4" max="4" width="14.69140625" style="10" customWidth="1"/>
    <col min="5" max="5" width="1.65234375" style="10" bestFit="1" customWidth="1"/>
    <col min="6" max="6" width="8.265625" style="10" customWidth="1"/>
    <col min="7" max="7" width="9.15234375" style="10" customWidth="1"/>
    <col min="8" max="8" width="10.73046875" style="10" bestFit="1" customWidth="1"/>
    <col min="9" max="12" width="8.921875" style="10"/>
    <col min="13" max="13" width="9.73046875" style="10" customWidth="1"/>
    <col min="14" max="14" width="15.73046875" style="10" customWidth="1"/>
    <col min="15" max="15" width="8.8828125" style="10" bestFit="1" customWidth="1"/>
    <col min="16" max="16" width="14.11328125" style="10" customWidth="1"/>
    <col min="17" max="17" width="9.9609375" style="10" customWidth="1"/>
    <col min="18" max="18" width="11.34375" style="10" customWidth="1"/>
    <col min="19" max="19" width="10.11328125" style="10" customWidth="1"/>
    <col min="20" max="20" width="19.8828125" style="10" customWidth="1"/>
    <col min="21" max="16384" width="8.921875" style="10"/>
  </cols>
  <sheetData>
    <row r="1" spans="1:22" s="9" customFormat="1" ht="29.15" x14ac:dyDescent="0.85">
      <c r="A1" s="9" t="s">
        <v>10</v>
      </c>
      <c r="B1" s="9" t="s">
        <v>87</v>
      </c>
      <c r="C1" s="9" t="str">
        <f>A1</f>
        <v>Regions</v>
      </c>
      <c r="D1" s="9" t="s">
        <v>11</v>
      </c>
      <c r="E1" s="10"/>
      <c r="F1" s="9" t="s">
        <v>12</v>
      </c>
      <c r="G1" s="9" t="s">
        <v>13</v>
      </c>
      <c r="H1" s="9" t="s">
        <v>88</v>
      </c>
      <c r="I1" s="9" t="s">
        <v>14</v>
      </c>
      <c r="J1" s="9" t="s">
        <v>80</v>
      </c>
      <c r="K1" s="9" t="s">
        <v>15</v>
      </c>
      <c r="L1" s="9" t="s">
        <v>16</v>
      </c>
      <c r="M1" s="9" t="s">
        <v>17</v>
      </c>
      <c r="N1" s="9" t="s">
        <v>81</v>
      </c>
      <c r="O1" s="9" t="s">
        <v>82</v>
      </c>
      <c r="P1" s="9" t="s">
        <v>7</v>
      </c>
      <c r="Q1" s="9" t="s">
        <v>83</v>
      </c>
      <c r="R1" s="9" t="s">
        <v>84</v>
      </c>
      <c r="S1" s="9" t="s">
        <v>85</v>
      </c>
      <c r="T1" s="9" t="s">
        <v>86</v>
      </c>
      <c r="U1" s="9" t="s">
        <v>89</v>
      </c>
      <c r="V1" s="9" t="s">
        <v>90</v>
      </c>
    </row>
    <row r="2" spans="1:22" x14ac:dyDescent="0.85">
      <c r="A2" s="10" t="s">
        <v>18</v>
      </c>
      <c r="B2" s="10" t="s">
        <v>19</v>
      </c>
      <c r="C2" s="10" t="s">
        <v>18</v>
      </c>
      <c r="D2" s="10" t="s">
        <v>20</v>
      </c>
      <c r="E2" s="10">
        <v>0</v>
      </c>
      <c r="F2" s="10" t="s">
        <v>21</v>
      </c>
      <c r="G2" s="10">
        <f>1/1000</f>
        <v>1E-3</v>
      </c>
      <c r="H2" s="10">
        <v>11</v>
      </c>
      <c r="I2" s="10">
        <v>16</v>
      </c>
      <c r="J2" s="10" t="s">
        <v>22</v>
      </c>
      <c r="K2" s="10">
        <f>_1st_ref</f>
        <v>16</v>
      </c>
      <c r="L2" s="10">
        <v>1</v>
      </c>
      <c r="M2" s="11" t="s">
        <v>9</v>
      </c>
      <c r="N2" s="11" t="s">
        <v>9</v>
      </c>
      <c r="O2" s="10" t="str">
        <f>M2</f>
        <v>-&lt;0&gt;-</v>
      </c>
      <c r="P2" s="11" t="s">
        <v>9</v>
      </c>
      <c r="Q2" s="11" t="s">
        <v>9</v>
      </c>
      <c r="R2" s="10" t="str">
        <f t="shared" ref="R2:R3" si="0">P2</f>
        <v>-&lt;0&gt;-</v>
      </c>
      <c r="S2" s="10" t="str">
        <f>M2 &amp; "_" &amp; P2</f>
        <v>-&lt;0&gt;-_-&lt;0&gt;-</v>
      </c>
      <c r="U2" s="11" t="s">
        <v>9</v>
      </c>
      <c r="V2" s="11" t="s">
        <v>9</v>
      </c>
    </row>
    <row r="3" spans="1:22" ht="29.15" x14ac:dyDescent="0.85">
      <c r="A3" s="10" t="s">
        <v>24</v>
      </c>
      <c r="B3" s="10" t="s">
        <v>25</v>
      </c>
      <c r="C3" s="10" t="s">
        <v>24</v>
      </c>
      <c r="D3" s="10" t="s">
        <v>26</v>
      </c>
      <c r="E3" s="10">
        <v>1</v>
      </c>
      <c r="F3" s="10" t="s">
        <v>27</v>
      </c>
      <c r="G3" s="10">
        <f>1/1000000</f>
        <v>9.9999999999999995E-7</v>
      </c>
      <c r="J3" s="10" t="s">
        <v>28</v>
      </c>
      <c r="K3" s="10">
        <f>K2+Param_Count</f>
        <v>27</v>
      </c>
      <c r="L3" s="10">
        <v>2</v>
      </c>
      <c r="M3" s="10" t="s">
        <v>1</v>
      </c>
      <c r="N3" s="10" t="s">
        <v>23</v>
      </c>
      <c r="O3" s="10" t="str">
        <f>M3</f>
        <v>Default</v>
      </c>
      <c r="P3" s="10" t="s">
        <v>1</v>
      </c>
      <c r="Q3" s="10" t="s">
        <v>23</v>
      </c>
      <c r="R3" s="10" t="str">
        <f t="shared" si="0"/>
        <v>Default</v>
      </c>
      <c r="S3" s="10" t="str">
        <f>M3 &amp; "_" &amp; P3</f>
        <v>Default_Default</v>
      </c>
      <c r="U3" s="10">
        <v>0</v>
      </c>
      <c r="V3" s="10">
        <v>0</v>
      </c>
    </row>
    <row r="4" spans="1:22" ht="43.75" x14ac:dyDescent="0.85">
      <c r="A4" s="10" t="s">
        <v>33</v>
      </c>
      <c r="B4" s="10" t="s">
        <v>34</v>
      </c>
      <c r="C4" s="10" t="s">
        <v>33</v>
      </c>
      <c r="D4" s="10" t="s">
        <v>35</v>
      </c>
      <c r="E4" s="10">
        <v>2</v>
      </c>
      <c r="F4" s="10" t="s">
        <v>27</v>
      </c>
      <c r="G4" s="10">
        <f>1/1000000</f>
        <v>9.9999999999999995E-7</v>
      </c>
      <c r="J4" s="10" t="s">
        <v>36</v>
      </c>
      <c r="K4" s="10">
        <f>K3+Param_Count</f>
        <v>38</v>
      </c>
      <c r="L4" s="10">
        <v>3</v>
      </c>
      <c r="M4" s="10" t="s">
        <v>3</v>
      </c>
      <c r="N4" s="10" t="s">
        <v>29</v>
      </c>
      <c r="O4" s="10" t="str">
        <f t="shared" ref="O4:O5" si="1">M4</f>
        <v>Cheap_Nuclear</v>
      </c>
      <c r="P4" s="10" t="s">
        <v>30</v>
      </c>
      <c r="Q4" s="10" t="s">
        <v>31</v>
      </c>
      <c r="R4" s="10" t="str">
        <f>P4</f>
        <v>3_Qtr_Cap</v>
      </c>
      <c r="S4" s="10" t="str">
        <f>M4 &amp; "_" &amp; P4</f>
        <v>Cheap_Nuclear_3_Qtr_Cap</v>
      </c>
      <c r="T4" s="10" t="s">
        <v>32</v>
      </c>
      <c r="U4" s="10">
        <v>100</v>
      </c>
      <c r="V4" s="10">
        <v>10</v>
      </c>
    </row>
    <row r="5" spans="1:22" ht="43.75" x14ac:dyDescent="0.85">
      <c r="A5" s="10" t="s">
        <v>41</v>
      </c>
      <c r="B5" s="10" t="s">
        <v>42</v>
      </c>
      <c r="C5" s="10" t="s">
        <v>41</v>
      </c>
      <c r="D5" s="10" t="s">
        <v>43</v>
      </c>
      <c r="E5" s="10">
        <v>3</v>
      </c>
      <c r="F5" s="10" t="s">
        <v>44</v>
      </c>
      <c r="G5" s="10">
        <f>1/1000</f>
        <v>1E-3</v>
      </c>
      <c r="J5" s="10" t="s">
        <v>45</v>
      </c>
      <c r="K5" s="10">
        <f>K4+Param_Count</f>
        <v>49</v>
      </c>
      <c r="L5" s="10">
        <v>4</v>
      </c>
      <c r="M5" s="10" t="s">
        <v>4</v>
      </c>
      <c r="N5" s="10" t="s">
        <v>37</v>
      </c>
      <c r="O5" s="10" t="str">
        <f t="shared" si="1"/>
        <v>Fast_Build</v>
      </c>
      <c r="P5" s="10" t="s">
        <v>38</v>
      </c>
      <c r="Q5" s="10" t="s">
        <v>39</v>
      </c>
      <c r="R5" s="10" t="str">
        <f>P5</f>
        <v>Half_Cap</v>
      </c>
      <c r="S5" s="10" t="str">
        <f>M4 &amp; "_" &amp; P5</f>
        <v>Cheap_Nuclear_Half_Cap</v>
      </c>
      <c r="T5" s="10" t="s">
        <v>40</v>
      </c>
      <c r="U5" s="10">
        <v>200</v>
      </c>
      <c r="V5" s="10">
        <v>15</v>
      </c>
    </row>
    <row r="6" spans="1:22" ht="87.45" x14ac:dyDescent="0.85">
      <c r="A6" s="10" t="s">
        <v>49</v>
      </c>
      <c r="B6" s="10" t="s">
        <v>50</v>
      </c>
      <c r="C6" s="10" t="s">
        <v>49</v>
      </c>
      <c r="D6" s="10" t="s">
        <v>51</v>
      </c>
      <c r="E6" s="10">
        <v>4</v>
      </c>
      <c r="F6" s="10" t="s">
        <v>44</v>
      </c>
      <c r="G6" s="10">
        <f>1/1000</f>
        <v>1E-3</v>
      </c>
      <c r="J6" s="10" t="s">
        <v>52</v>
      </c>
      <c r="K6" s="10">
        <f>K5+Param_Count</f>
        <v>60</v>
      </c>
      <c r="L6" s="10">
        <v>5</v>
      </c>
      <c r="N6" s="10" t="s">
        <v>46</v>
      </c>
      <c r="P6" s="10" t="s">
        <v>47</v>
      </c>
      <c r="Q6" s="10" t="s">
        <v>48</v>
      </c>
      <c r="R6" s="10" t="str">
        <f>P6</f>
        <v>Double_All</v>
      </c>
      <c r="S6" s="10" t="str">
        <f>M5 &amp; "_" &amp; P6</f>
        <v>Fast_Build_Double_All</v>
      </c>
      <c r="T6" s="10" t="s">
        <v>92</v>
      </c>
      <c r="U6" s="10">
        <v>350</v>
      </c>
      <c r="V6" s="10">
        <v>20</v>
      </c>
    </row>
    <row r="7" spans="1:22" x14ac:dyDescent="0.85">
      <c r="A7" s="10" t="s">
        <v>53</v>
      </c>
      <c r="B7" s="10" t="s">
        <v>54</v>
      </c>
      <c r="C7" s="10" t="s">
        <v>53</v>
      </c>
      <c r="D7" s="10" t="s">
        <v>55</v>
      </c>
      <c r="E7" s="10">
        <v>5</v>
      </c>
      <c r="F7" s="10" t="s">
        <v>56</v>
      </c>
      <c r="G7" s="10">
        <v>1</v>
      </c>
      <c r="J7" s="10" t="s">
        <v>57</v>
      </c>
      <c r="K7" s="10">
        <f>K6+Param_Count</f>
        <v>71</v>
      </c>
      <c r="L7" s="10">
        <v>6</v>
      </c>
      <c r="U7" s="10">
        <v>500</v>
      </c>
      <c r="V7" s="10">
        <v>30</v>
      </c>
    </row>
    <row r="8" spans="1:22" x14ac:dyDescent="0.85">
      <c r="A8" s="10" t="s">
        <v>58</v>
      </c>
      <c r="B8" s="10" t="s">
        <v>59</v>
      </c>
      <c r="C8" s="10" t="s">
        <v>58</v>
      </c>
      <c r="J8" s="10" t="s">
        <v>60</v>
      </c>
      <c r="L8" s="10">
        <v>7</v>
      </c>
    </row>
    <row r="9" spans="1:22" x14ac:dyDescent="0.85">
      <c r="A9" s="10" t="s">
        <v>61</v>
      </c>
      <c r="B9" s="10" t="s">
        <v>62</v>
      </c>
      <c r="C9" s="10" t="s">
        <v>61</v>
      </c>
      <c r="D9" s="9"/>
    </row>
    <row r="10" spans="1:22" x14ac:dyDescent="0.85">
      <c r="A10" s="10" t="s">
        <v>63</v>
      </c>
      <c r="B10" s="10" t="s">
        <v>64</v>
      </c>
      <c r="C10" s="10" t="s">
        <v>63</v>
      </c>
    </row>
    <row r="11" spans="1:22" x14ac:dyDescent="0.85">
      <c r="A11" s="10" t="s">
        <v>65</v>
      </c>
      <c r="B11" s="10" t="s">
        <v>66</v>
      </c>
      <c r="C11" s="10" t="s">
        <v>65</v>
      </c>
    </row>
    <row r="12" spans="1:22" x14ac:dyDescent="0.85">
      <c r="A12" s="10" t="s">
        <v>67</v>
      </c>
      <c r="B12" s="10" t="s">
        <v>68</v>
      </c>
      <c r="C12" s="10" t="s">
        <v>67</v>
      </c>
    </row>
    <row r="13" spans="1:22" x14ac:dyDescent="0.85">
      <c r="A13" s="10" t="s">
        <v>69</v>
      </c>
      <c r="B13" s="10" t="s">
        <v>70</v>
      </c>
      <c r="C13" s="10" t="s">
        <v>69</v>
      </c>
    </row>
    <row r="14" spans="1:22" x14ac:dyDescent="0.85">
      <c r="A14" s="10" t="s">
        <v>71</v>
      </c>
      <c r="B14" s="10" t="s">
        <v>72</v>
      </c>
      <c r="C14" s="10" t="s">
        <v>71</v>
      </c>
    </row>
    <row r="15" spans="1:22" x14ac:dyDescent="0.85">
      <c r="A15" s="10" t="s">
        <v>73</v>
      </c>
      <c r="B15" s="10" t="s">
        <v>74</v>
      </c>
      <c r="C15" s="10" t="s">
        <v>73</v>
      </c>
      <c r="O15" s="10">
        <f t="shared" ref="O15" si="2">M15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Select_Cases</vt:lpstr>
      <vt:lpstr>Structure</vt:lpstr>
      <vt:lpstr>Reference</vt:lpstr>
      <vt:lpstr>_1st_ref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NRG_Selections</vt:lpstr>
      <vt:lpstr>NRG_Table</vt:lpstr>
      <vt:lpstr>Param_Count</vt:lpstr>
      <vt:lpstr>Param_Table</vt:lpstr>
      <vt:lpstr>Params</vt:lpstr>
      <vt:lpstr>Region_abbr</vt:lpstr>
      <vt:lpstr>Region_lookup</vt:lpstr>
      <vt:lpstr>Regions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To_Long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2024-06-17T20:04:36Z</dcterms:modified>
</cp:coreProperties>
</file>