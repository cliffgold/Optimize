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Macro\"/>
    </mc:Choice>
  </mc:AlternateContent>
  <xr:revisionPtr revIDLastSave="0" documentId="13_ncr:1_{E682F82A-70D7-401B-9430-0479DC51BEED}" xr6:coauthVersionLast="47" xr6:coauthVersionMax="47" xr10:uidLastSave="{00000000-0000-0000-0000-000000000000}"/>
  <bookViews>
    <workbookView xWindow="-90" yWindow="-90" windowWidth="16637" windowHeight="9437" xr2:uid="{8C7994C1-A10A-4AD4-8C33-2FA8764EDF37}"/>
  </bookViews>
  <sheets>
    <sheet name="Select_Cases" sheetId="1" r:id="rId1"/>
    <sheet name="Structure" sheetId="8" r:id="rId2"/>
    <sheet name="Alias" sheetId="51" r:id="rId3"/>
  </sheets>
  <functionGroups builtInGroupCount="19"/>
  <definedNames>
    <definedName name="All_Cases">Select_Cases!$B$10:$G$109</definedName>
    <definedName name="Analysis_Case2Filename">Alias!$I$2:$J$103</definedName>
    <definedName name="Analysis2Long">Alias!$A$2:$B$100</definedName>
    <definedName name="Analysis2Short">Alias!$B$2:$C$100</definedName>
    <definedName name="Case_Count">Select_Cases!$C$10</definedName>
    <definedName name="Case2Long">Alias!$E$2:$F$102</definedName>
    <definedName name="Case2Short">Alias!$F$2:$G$102</definedName>
    <definedName name="Cases_Key_Cells">Select_Cases!$D$2,Select_Cases!$F$2</definedName>
    <definedName name="CO2_Constant">Alias!$L$2:$L$7</definedName>
    <definedName name="CO2_Per_Year">Alias!$M$2:$M$7</definedName>
    <definedName name="Dir_Structure">Structure!$A$3</definedName>
    <definedName name="Dir2Long">Alias!$A$2:$B$100</definedName>
    <definedName name="File_Structure">Structure!$B$3</definedName>
    <definedName name="First_Case">Select_Cases!$C$11</definedName>
    <definedName name="First_Description">Select_Cases!$B$11</definedName>
    <definedName name="Selected_AType">Select_Cases!$D$2</definedName>
    <definedName name="Selected_Case">Select_Cases!$E$2</definedName>
    <definedName name="Selected_CO2">Select_Cases!$G$2</definedName>
    <definedName name="Selected_CType">Select_Cases!$F$2</definedName>
    <definedName name="Sub_Structure">Structure!$B$3</definedName>
    <definedName name="Sub2Long">Alias!$E$2:$F$102</definedName>
    <definedName name="SubSub_Structure">Structure!$C$4</definedName>
    <definedName name="User_Filename">Select_Cases!$B$2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" i="51" l="1"/>
  <c r="I13" i="51"/>
  <c r="I12" i="51"/>
  <c r="I10" i="51"/>
  <c r="G10" i="51"/>
  <c r="I9" i="51"/>
  <c r="G9" i="51"/>
  <c r="I8" i="51"/>
  <c r="G8" i="51"/>
  <c r="I7" i="51"/>
  <c r="G7" i="51"/>
  <c r="C7" i="51"/>
  <c r="I6" i="51"/>
  <c r="G6" i="51"/>
  <c r="C6" i="51"/>
  <c r="I5" i="51"/>
  <c r="G5" i="51"/>
  <c r="C5" i="51"/>
  <c r="I4" i="51"/>
  <c r="G4" i="51"/>
  <c r="C4" i="51"/>
  <c r="I3" i="51"/>
  <c r="G3" i="51"/>
  <c r="C3" i="51"/>
  <c r="I2" i="51"/>
  <c r="G2" i="51"/>
  <c r="C2" i="51"/>
  <c r="D2" i="8" l="1" a="1"/>
  <c r="D2" i="8" s="1"/>
  <c r="C2" i="8"/>
  <c r="B2" i="8" l="1"/>
  <c r="A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B1" authorId="0" shapeId="0" xr:uid="{B1F67AA3-DAED-47F1-8A22-31B5842D8C6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This is part of the filename.  Initialized to Date.  Can be any legal part of filename.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<sst xmlns="http://schemas.openxmlformats.org/spreadsheetml/2006/main" count="77" uniqueCount="57">
  <si>
    <t>Cases</t>
  </si>
  <si>
    <t>Default</t>
  </si>
  <si>
    <t>User Filename</t>
  </si>
  <si>
    <t>Cheap_Nuclear</t>
  </si>
  <si>
    <t>Fast_Build</t>
  </si>
  <si>
    <t>CO2 Type</t>
  </si>
  <si>
    <t>CO2 Value</t>
  </si>
  <si>
    <t>Case</t>
  </si>
  <si>
    <t>Analysis Type</t>
  </si>
  <si>
    <t>-&lt;0&gt;-</t>
  </si>
  <si>
    <t>Analysis</t>
  </si>
  <si>
    <t>Nominal</t>
  </si>
  <si>
    <t>Reduced Nuclear Capital Cost</t>
  </si>
  <si>
    <t>3_Qtr_Cap</t>
  </si>
  <si>
    <t>By 25%</t>
  </si>
  <si>
    <t>Nuke_Cap$_0.75_1</t>
  </si>
  <si>
    <t>Increase Max Build Rate All NRGs</t>
  </si>
  <si>
    <t>Half_Cap</t>
  </si>
  <si>
    <t>In Half</t>
  </si>
  <si>
    <t>Nuke_Cap$_0.5_1</t>
  </si>
  <si>
    <t>Double_All</t>
  </si>
  <si>
    <t>By 2x</t>
  </si>
  <si>
    <t>CO2</t>
  </si>
  <si>
    <t>.xlsm</t>
  </si>
  <si>
    <t>Analysis Long</t>
  </si>
  <si>
    <t>Analysis Short</t>
  </si>
  <si>
    <t>Case Long</t>
  </si>
  <si>
    <t>Case Short</t>
  </si>
  <si>
    <t>FileName Extension</t>
  </si>
  <si>
    <t>CO2 Constant</t>
  </si>
  <si>
    <t>CO2 Per Year</t>
  </si>
  <si>
    <t>Constant_CO2</t>
  </si>
  <si>
    <t>Increasing_CO2</t>
  </si>
  <si>
    <t>All_NRG_Grow_2_1</t>
  </si>
  <si>
    <t>5%_Per_Year</t>
  </si>
  <si>
    <t>5% Cheaper Per Year</t>
  </si>
  <si>
    <t>Cheap_Renewable</t>
  </si>
  <si>
    <t>Reduced Solar/Wind/Battery Capital Cost</t>
  </si>
  <si>
    <t>Interest_Rate</t>
  </si>
  <si>
    <t>Reduced interest Rate from 12%</t>
  </si>
  <si>
    <t>3%_Interest</t>
  </si>
  <si>
    <t>To 3% per year</t>
  </si>
  <si>
    <t>6%_Interest</t>
  </si>
  <si>
    <t>To 6% per year</t>
  </si>
  <si>
    <t>Analysis+Case</t>
  </si>
  <si>
    <t>Quad_All</t>
  </si>
  <si>
    <t>By 4x</t>
  </si>
  <si>
    <t>All_NRG_Grow_4_1</t>
  </si>
  <si>
    <t>Solar_Cap$_0.5_1-Wind_Cap$_0.5_1-Batt_Cap$_0.5_1</t>
  </si>
  <si>
    <t>Solar_Cap$_0.75_1-Wind_Cap$_0.75_1-Batt_Cap$_0.75_1</t>
  </si>
  <si>
    <t>Results\ Lib_Compare_</t>
  </si>
  <si>
    <t>Int_0.06_1</t>
  </si>
  <si>
    <t>Int_0.03_1</t>
  </si>
  <si>
    <t>Nuke_Cap$_0.95_0.95</t>
  </si>
  <si>
    <t>2024-06-29</t>
  </si>
  <si>
    <t>Cheap_Renewable_5%_Per_Year</t>
  </si>
  <si>
    <t>Solar_Cap$_0.95_0.95-Wind_Cap$_0.95_0.95-Batt_Cap$_0.95_0.95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</si>
</sst>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/>
    <xf numFmtId="164" fontId="0" fillId="0" borderId="0" xfId="0" applyNumberFormat="1"/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14" fontId="0" fillId="2" borderId="1" xfId="0" quotePrefix="1" applyNumberForma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164" fontId="0" fillId="2" borderId="1" xfId="0" applyNumberForma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right" vertical="center" wrapText="1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92528</xdr:colOff>
      <xdr:row>3</xdr:row>
      <xdr:rowOff>29937</xdr:rowOff>
    </xdr:from>
    <xdr:to>
      <xdr:col>1</xdr:col>
      <xdr:colOff>750897</xdr:colOff>
      <xdr:row>4</xdr:row>
      <xdr:rowOff>89808</xdr:rowOff>
    </xdr:to>
    <xdr:sp macro="[0]!Add_Case" textlink="">
      <xdr:nvSpPr>
        <xdr:cNvPr id="2" name="Rectangle 1">
          <a:extLst>
            <a:ext uri="{FF2B5EF4-FFF2-40B4-BE49-F238E27FC236}">
              <a16:creationId xmlns:a16="http://schemas.microsoft.com/office/drawing/2014/main" id="{ABDCD2ED-AD5F-5C2E-654F-BB3986D29AC5}"/>
            </a:ext>
          </a:extLst>
        </xdr:cNvPr>
        <xdr:cNvSpPr/>
      </xdr:nvSpPr>
      <xdr:spPr>
        <a:xfrm>
          <a:off x="92528" y="604158"/>
          <a:ext cx="658369" cy="244929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rPr>
            <a:t>Add</a:t>
          </a:r>
        </a:p>
      </xdr:txBody>
    </xdr:sp>
    <xdr:clientData/>
  </xdr:twoCellAnchor>
  <xdr:twoCellAnchor>
    <xdr:from>
      <xdr:col>1</xdr:col>
      <xdr:colOff>103413</xdr:colOff>
      <xdr:row>5</xdr:row>
      <xdr:rowOff>48986</xdr:rowOff>
    </xdr:from>
    <xdr:to>
      <xdr:col>1</xdr:col>
      <xdr:colOff>761781</xdr:colOff>
      <xdr:row>6</xdr:row>
      <xdr:rowOff>110817</xdr:rowOff>
    </xdr:to>
    <xdr:sp macro="[0]!UnAdd_Case" textlink="">
      <xdr:nvSpPr>
        <xdr:cNvPr id="3" name="Rectangle 2">
          <a:extLst>
            <a:ext uri="{FF2B5EF4-FFF2-40B4-BE49-F238E27FC236}">
              <a16:creationId xmlns:a16="http://schemas.microsoft.com/office/drawing/2014/main" id="{FD1B9448-1E16-2905-063F-C008C092DB8D}"/>
            </a:ext>
          </a:extLst>
        </xdr:cNvPr>
        <xdr:cNvSpPr/>
      </xdr:nvSpPr>
      <xdr:spPr>
        <a:xfrm>
          <a:off x="103413" y="993322"/>
          <a:ext cx="658368" cy="246888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rPr>
            <a:t>Un Add</a:t>
          </a:r>
        </a:p>
      </xdr:txBody>
    </xdr:sp>
    <xdr:clientData/>
  </xdr:twoCellAnchor>
  <xdr:twoCellAnchor>
    <xdr:from>
      <xdr:col>1</xdr:col>
      <xdr:colOff>1276350</xdr:colOff>
      <xdr:row>3</xdr:row>
      <xdr:rowOff>54429</xdr:rowOff>
    </xdr:from>
    <xdr:to>
      <xdr:col>1</xdr:col>
      <xdr:colOff>2411186</xdr:colOff>
      <xdr:row>6</xdr:row>
      <xdr:rowOff>157843</xdr:rowOff>
    </xdr:to>
    <xdr:sp macro="[0]!Run_Cas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5CEC046-5895-99E0-4262-F46D95089632}"/>
            </a:ext>
          </a:extLst>
        </xdr:cNvPr>
        <xdr:cNvSpPr/>
      </xdr:nvSpPr>
      <xdr:spPr>
        <a:xfrm>
          <a:off x="1276350" y="628650"/>
          <a:ext cx="1134836" cy="658586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2400">
              <a:ln>
                <a:noFill/>
              </a:ln>
              <a:solidFill>
                <a:schemeClr val="tx1"/>
              </a:solidFill>
            </a:rPr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9A7B-A228-4F75-941F-BBF6AD6C26D0}">
  <sheetPr codeName="Sheet1"/>
  <dimension ref="A1:H114"/>
  <sheetViews>
    <sheetView tabSelected="1" workbookViewId="0">
      <selection activeCell="D2" sqref="D2"/>
    </sheetView>
  </sheetViews>
  <sheetFormatPr defaultRowHeight="14.6" x14ac:dyDescent="0.85"/>
  <cols>
    <col min="1" max="1" width="12.3046875" bestFit="1" customWidth="1"/>
    <col min="2" max="2" width="37.23046875" customWidth="1"/>
    <col min="3" max="3" width="5.69140625" customWidth="1"/>
    <col min="4" max="4" width="29.34375" customWidth="1"/>
    <col min="5" max="5" width="22.34375" customWidth="1"/>
    <col min="6" max="6" width="17.73046875" customWidth="1"/>
    <col min="7" max="7" width="11.3828125" customWidth="1"/>
  </cols>
  <sheetData>
    <row r="1" spans="1:8" s="2" customFormat="1" ht="16.149999999999999" customHeight="1" x14ac:dyDescent="0.9">
      <c r="B1" s="2" t="s">
        <v>2</v>
      </c>
      <c r="D1" s="2" t="s">
        <v>8</v>
      </c>
      <c r="E1" s="2" t="s">
        <v>7</v>
      </c>
      <c r="F1" s="2" t="s">
        <v>5</v>
      </c>
      <c r="G1" s="2" t="s">
        <v>6</v>
      </c>
    </row>
    <row r="2" spans="1:8" s="14" customFormat="1" ht="43.75" x14ac:dyDescent="0.85">
      <c r="A2" s="16" t="s">
        <v>50</v>
      </c>
      <c r="B2" s="10" t="s">
        <v>54</v>
      </c>
      <c r="C2" s="15" t="s">
        <v>23</v>
      </c>
      <c r="D2" s="11" t="s">
        <v>9</v>
      </c>
      <c r="E2" s="12" t="s">
        <v>9</v>
      </c>
      <c r="F2" s="12" t="s">
        <v>9</v>
      </c>
      <c r="G2" s="13" t="s">
        <v>9</v>
      </c>
    </row>
    <row r="9" spans="1:8" ht="14.65" x14ac:dyDescent="0.85">
      <c r="G9" s="3"/>
    </row>
    <row r="10" spans="1:8" ht="14.65" x14ac:dyDescent="0.85">
      <c r="B10" s="1" t="s">
        <v>0</v>
      </c>
      <c r="C10">
        <v>0</v>
      </c>
    </row>
    <row r="11" spans="1:8" ht="14.65" x14ac:dyDescent="0.85">
      <c r="C11" s="17"/>
      <c r="D11" s="17"/>
      <c r="E11" s="17"/>
      <c r="F11" s="17"/>
      <c r="G11" s="17"/>
      <c r="H11" s="17"/>
    </row>
    <row r="12" spans="1:8" ht="14.65" x14ac:dyDescent="0.85">
      <c r="C12" s="17"/>
      <c r="D12" s="17"/>
      <c r="E12" s="17"/>
      <c r="F12" s="17"/>
      <c r="G12" s="17"/>
      <c r="H12" s="17"/>
    </row>
    <row r="13" spans="1:8" ht="14.65" x14ac:dyDescent="0.85">
      <c r="C13" s="17"/>
      <c r="D13" s="17"/>
      <c r="E13" s="17"/>
      <c r="F13" s="17"/>
      <c r="G13" s="17"/>
      <c r="H13" s="17"/>
    </row>
    <row r="14" spans="1:8" ht="14.65" x14ac:dyDescent="0.85">
      <c r="C14" s="17"/>
      <c r="D14" s="17"/>
      <c r="E14" s="17"/>
      <c r="F14" s="17"/>
      <c r="G14" s="17"/>
      <c r="H14" s="17"/>
    </row>
    <row r="15" spans="1:8" ht="14.65" x14ac:dyDescent="0.85">
      <c r="C15" s="17"/>
      <c r="D15" s="17"/>
      <c r="E15" s="17"/>
      <c r="F15" s="17"/>
      <c r="G15" s="17"/>
      <c r="H15" s="17"/>
    </row>
    <row r="16" spans="1:8" x14ac:dyDescent="0.85">
      <c r="C16" s="17"/>
      <c r="D16" s="17"/>
      <c r="E16" s="17"/>
      <c r="F16" s="17"/>
      <c r="G16" s="17"/>
      <c r="H16" s="17"/>
    </row>
    <row r="17" spans="3:8" x14ac:dyDescent="0.85">
      <c r="C17" s="17"/>
      <c r="D17" s="17"/>
      <c r="E17" s="17"/>
      <c r="F17" s="17"/>
      <c r="G17" s="17"/>
      <c r="H17" s="17"/>
    </row>
    <row r="18" spans="3:8" x14ac:dyDescent="0.85">
      <c r="C18" s="17"/>
      <c r="D18" s="17"/>
      <c r="E18" s="17"/>
      <c r="F18" s="17"/>
      <c r="G18" s="17"/>
      <c r="H18" s="17"/>
    </row>
    <row r="19" spans="3:8" x14ac:dyDescent="0.85">
      <c r="C19" s="17"/>
      <c r="D19" s="17"/>
      <c r="E19" s="17"/>
      <c r="F19" s="17"/>
      <c r="G19" s="17"/>
      <c r="H19" s="17"/>
    </row>
    <row r="20" spans="3:8" x14ac:dyDescent="0.85">
      <c r="C20" s="17"/>
      <c r="D20" s="17"/>
      <c r="E20" s="17"/>
      <c r="F20" s="17"/>
      <c r="G20" s="17"/>
      <c r="H20" s="17"/>
    </row>
    <row r="21" spans="3:8" x14ac:dyDescent="0.85">
      <c r="C21" s="17"/>
      <c r="D21" s="17"/>
      <c r="E21" s="17"/>
      <c r="F21" s="17"/>
      <c r="G21" s="17"/>
      <c r="H21" s="17"/>
    </row>
    <row r="22" spans="3:8" x14ac:dyDescent="0.85">
      <c r="C22" s="17"/>
      <c r="D22" s="17"/>
      <c r="E22" s="17"/>
      <c r="F22" s="17"/>
      <c r="G22" s="17"/>
      <c r="H22" s="17"/>
    </row>
    <row r="23" spans="3:8" x14ac:dyDescent="0.85">
      <c r="C23" s="17"/>
      <c r="D23" s="17"/>
      <c r="E23" s="17"/>
      <c r="F23" s="17"/>
      <c r="G23" s="17"/>
      <c r="H23" s="17"/>
    </row>
    <row r="24" spans="3:8" x14ac:dyDescent="0.85">
      <c r="C24" s="17"/>
      <c r="D24" s="17"/>
      <c r="E24" s="17"/>
      <c r="F24" s="17"/>
      <c r="G24" s="17"/>
      <c r="H24" s="17"/>
    </row>
    <row r="25" spans="3:8" x14ac:dyDescent="0.85">
      <c r="C25" s="17"/>
      <c r="D25" s="17"/>
      <c r="E25" s="17"/>
      <c r="F25" s="17"/>
      <c r="G25" s="17"/>
      <c r="H25" s="17"/>
    </row>
    <row r="26" spans="3:8" x14ac:dyDescent="0.85">
      <c r="C26" s="17"/>
      <c r="D26" s="17"/>
      <c r="E26" s="17"/>
      <c r="F26" s="17"/>
      <c r="G26" s="17"/>
      <c r="H26" s="17"/>
    </row>
    <row r="27" spans="3:8" x14ac:dyDescent="0.85">
      <c r="C27" s="17"/>
      <c r="D27" s="17"/>
      <c r="E27" s="17"/>
      <c r="F27" s="17"/>
      <c r="G27" s="17"/>
      <c r="H27" s="17"/>
    </row>
    <row r="28" spans="3:8" x14ac:dyDescent="0.85">
      <c r="C28" s="17"/>
      <c r="D28" s="17"/>
      <c r="E28" s="17"/>
      <c r="F28" s="17"/>
      <c r="G28" s="17"/>
      <c r="H28" s="17"/>
    </row>
    <row r="29" spans="3:8" x14ac:dyDescent="0.85">
      <c r="C29" s="17"/>
      <c r="D29" s="17"/>
      <c r="E29" s="17"/>
      <c r="F29" s="17"/>
      <c r="G29" s="17"/>
      <c r="H29" s="17"/>
    </row>
    <row r="30" spans="3:8" x14ac:dyDescent="0.85">
      <c r="C30" s="17"/>
      <c r="D30" s="17"/>
      <c r="E30" s="17"/>
      <c r="F30" s="17"/>
      <c r="G30" s="17"/>
      <c r="H30" s="17"/>
    </row>
    <row r="31" spans="3:8" x14ac:dyDescent="0.85">
      <c r="C31" s="17"/>
      <c r="D31" s="17"/>
      <c r="E31" s="17"/>
      <c r="F31" s="17"/>
      <c r="G31" s="17"/>
      <c r="H31" s="17"/>
    </row>
    <row r="32" spans="3:8" x14ac:dyDescent="0.85">
      <c r="C32" s="17"/>
      <c r="D32" s="17"/>
      <c r="E32" s="17"/>
      <c r="F32" s="17"/>
      <c r="G32" s="17"/>
      <c r="H32" s="17"/>
    </row>
    <row r="33" spans="3:8" x14ac:dyDescent="0.85">
      <c r="C33" s="17"/>
      <c r="D33" s="17"/>
      <c r="E33" s="17"/>
      <c r="F33" s="17"/>
      <c r="G33" s="17"/>
      <c r="H33" s="17"/>
    </row>
    <row r="34" spans="3:8" x14ac:dyDescent="0.85">
      <c r="C34" s="17"/>
      <c r="D34" s="17"/>
      <c r="E34" s="17"/>
      <c r="F34" s="17"/>
      <c r="G34" s="17"/>
      <c r="H34" s="17"/>
    </row>
    <row r="35" spans="3:8" x14ac:dyDescent="0.85">
      <c r="C35" s="17"/>
      <c r="D35" s="17"/>
      <c r="E35" s="17"/>
      <c r="F35" s="17"/>
      <c r="G35" s="17"/>
      <c r="H35" s="17"/>
    </row>
    <row r="36" spans="3:8" x14ac:dyDescent="0.85">
      <c r="C36" s="17"/>
      <c r="D36" s="17"/>
      <c r="E36" s="17"/>
      <c r="F36" s="17"/>
      <c r="G36" s="17"/>
      <c r="H36" s="17"/>
    </row>
    <row r="37" spans="3:8" x14ac:dyDescent="0.85">
      <c r="C37" s="17"/>
      <c r="D37" s="17"/>
      <c r="E37" s="17"/>
      <c r="F37" s="17"/>
      <c r="G37" s="17"/>
      <c r="H37" s="17"/>
    </row>
    <row r="38" spans="3:8" x14ac:dyDescent="0.85">
      <c r="C38" s="17"/>
      <c r="D38" s="17"/>
      <c r="E38" s="17"/>
      <c r="F38" s="17"/>
      <c r="G38" s="17"/>
      <c r="H38" s="17"/>
    </row>
    <row r="39" spans="3:8" x14ac:dyDescent="0.85">
      <c r="C39" s="17"/>
      <c r="D39" s="17"/>
      <c r="E39" s="17"/>
      <c r="F39" s="17"/>
      <c r="G39" s="17"/>
      <c r="H39" s="17"/>
    </row>
    <row r="40" spans="3:8" x14ac:dyDescent="0.85">
      <c r="C40" s="17"/>
      <c r="D40" s="17"/>
      <c r="E40" s="17"/>
      <c r="F40" s="17"/>
      <c r="G40" s="17"/>
      <c r="H40" s="17"/>
    </row>
    <row r="41" spans="3:8" x14ac:dyDescent="0.85">
      <c r="C41" s="17"/>
      <c r="D41" s="17"/>
      <c r="E41" s="17"/>
      <c r="F41" s="17"/>
      <c r="G41" s="17"/>
      <c r="H41" s="17"/>
    </row>
    <row r="42" spans="3:8" x14ac:dyDescent="0.85">
      <c r="C42" s="17"/>
      <c r="D42" s="17"/>
      <c r="E42" s="17"/>
      <c r="F42" s="17"/>
      <c r="G42" s="17"/>
      <c r="H42" s="17"/>
    </row>
    <row r="43" spans="3:8" x14ac:dyDescent="0.85">
      <c r="C43" s="17"/>
      <c r="D43" s="17"/>
      <c r="E43" s="17"/>
      <c r="F43" s="17"/>
      <c r="G43" s="17"/>
      <c r="H43" s="17"/>
    </row>
    <row r="44" spans="3:8" x14ac:dyDescent="0.85">
      <c r="C44" s="17"/>
      <c r="D44" s="17"/>
      <c r="E44" s="17"/>
      <c r="F44" s="17"/>
      <c r="G44" s="17"/>
      <c r="H44" s="17"/>
    </row>
    <row r="45" spans="3:8" x14ac:dyDescent="0.85">
      <c r="C45" s="17"/>
      <c r="D45" s="17"/>
      <c r="E45" s="17"/>
      <c r="F45" s="17"/>
      <c r="G45" s="17"/>
      <c r="H45" s="17"/>
    </row>
    <row r="46" spans="3:8" x14ac:dyDescent="0.85">
      <c r="C46" s="17"/>
      <c r="D46" s="17"/>
      <c r="E46" s="17"/>
      <c r="F46" s="17"/>
      <c r="G46" s="17"/>
      <c r="H46" s="17"/>
    </row>
    <row r="47" spans="3:8" x14ac:dyDescent="0.85">
      <c r="C47" s="17"/>
      <c r="D47" s="17"/>
      <c r="E47" s="17"/>
      <c r="F47" s="17"/>
      <c r="G47" s="17"/>
      <c r="H47" s="17"/>
    </row>
    <row r="48" spans="3:8" x14ac:dyDescent="0.85">
      <c r="C48" s="17"/>
      <c r="D48" s="17"/>
      <c r="E48" s="17"/>
      <c r="F48" s="17"/>
      <c r="G48" s="17"/>
      <c r="H48" s="17"/>
    </row>
    <row r="49" spans="3:8" x14ac:dyDescent="0.85">
      <c r="C49" s="17"/>
      <c r="D49" s="17"/>
      <c r="E49" s="17"/>
      <c r="F49" s="17"/>
      <c r="G49" s="17"/>
      <c r="H49" s="17"/>
    </row>
    <row r="50" spans="3:8" x14ac:dyDescent="0.85">
      <c r="C50" s="17"/>
      <c r="D50" s="17"/>
      <c r="E50" s="17"/>
      <c r="F50" s="17"/>
      <c r="G50" s="17"/>
      <c r="H50" s="17"/>
    </row>
    <row r="51" spans="3:8" x14ac:dyDescent="0.85">
      <c r="C51" s="17"/>
      <c r="D51" s="17"/>
      <c r="E51" s="17"/>
      <c r="F51" s="17"/>
      <c r="G51" s="17"/>
      <c r="H51" s="17"/>
    </row>
    <row r="52" spans="3:8" x14ac:dyDescent="0.85">
      <c r="C52" s="17"/>
      <c r="D52" s="17"/>
      <c r="E52" s="17"/>
      <c r="F52" s="17"/>
      <c r="G52" s="17"/>
      <c r="H52" s="17"/>
    </row>
    <row r="53" spans="3:8" x14ac:dyDescent="0.85">
      <c r="C53" s="17"/>
      <c r="D53" s="17"/>
      <c r="E53" s="17"/>
      <c r="F53" s="17"/>
      <c r="G53" s="17"/>
      <c r="H53" s="17"/>
    </row>
    <row r="54" spans="3:8" x14ac:dyDescent="0.85">
      <c r="C54" s="17"/>
      <c r="D54" s="17"/>
      <c r="E54" s="17"/>
      <c r="F54" s="17"/>
      <c r="G54" s="17"/>
      <c r="H54" s="17"/>
    </row>
    <row r="55" spans="3:8" x14ac:dyDescent="0.85">
      <c r="C55" s="17"/>
      <c r="D55" s="17"/>
      <c r="E55" s="17"/>
      <c r="F55" s="17"/>
      <c r="G55" s="17"/>
      <c r="H55" s="17"/>
    </row>
    <row r="56" spans="3:8" x14ac:dyDescent="0.85">
      <c r="C56" s="17"/>
      <c r="D56" s="17"/>
      <c r="E56" s="17"/>
      <c r="F56" s="17"/>
      <c r="G56" s="17"/>
      <c r="H56" s="17"/>
    </row>
    <row r="57" spans="3:8" x14ac:dyDescent="0.85">
      <c r="C57" s="17"/>
      <c r="D57" s="17"/>
      <c r="E57" s="17"/>
      <c r="F57" s="17"/>
      <c r="G57" s="17"/>
      <c r="H57" s="17"/>
    </row>
    <row r="58" spans="3:8" x14ac:dyDescent="0.85">
      <c r="C58" s="17"/>
      <c r="D58" s="17"/>
      <c r="E58" s="17"/>
      <c r="F58" s="17"/>
      <c r="G58" s="17"/>
      <c r="H58" s="17"/>
    </row>
    <row r="59" spans="3:8" x14ac:dyDescent="0.85">
      <c r="C59" s="17"/>
      <c r="D59" s="17"/>
      <c r="E59" s="17"/>
      <c r="F59" s="17"/>
      <c r="G59" s="17"/>
      <c r="H59" s="17"/>
    </row>
    <row r="60" spans="3:8" x14ac:dyDescent="0.85">
      <c r="C60" s="17"/>
      <c r="D60" s="17"/>
      <c r="E60" s="17"/>
      <c r="F60" s="17"/>
      <c r="G60" s="17"/>
      <c r="H60" s="17"/>
    </row>
    <row r="61" spans="3:8" x14ac:dyDescent="0.85">
      <c r="C61" s="17"/>
      <c r="D61" s="17"/>
      <c r="E61" s="17"/>
      <c r="F61" s="17"/>
      <c r="G61" s="17"/>
      <c r="H61" s="17"/>
    </row>
    <row r="62" spans="3:8" x14ac:dyDescent="0.85">
      <c r="C62" s="17"/>
      <c r="D62" s="17"/>
      <c r="E62" s="17"/>
      <c r="F62" s="17"/>
      <c r="G62" s="17"/>
      <c r="H62" s="17"/>
    </row>
    <row r="63" spans="3:8" x14ac:dyDescent="0.85">
      <c r="C63" s="17"/>
      <c r="D63" s="17"/>
      <c r="E63" s="17"/>
      <c r="F63" s="17"/>
      <c r="G63" s="17"/>
      <c r="H63" s="17"/>
    </row>
    <row r="64" spans="3:8" x14ac:dyDescent="0.85">
      <c r="C64" s="17"/>
      <c r="D64" s="17"/>
      <c r="E64" s="17"/>
      <c r="F64" s="17"/>
      <c r="G64" s="17"/>
      <c r="H64" s="17"/>
    </row>
    <row r="65" spans="3:8" x14ac:dyDescent="0.85">
      <c r="C65" s="17"/>
      <c r="D65" s="17"/>
      <c r="E65" s="17"/>
      <c r="F65" s="17"/>
      <c r="G65" s="17"/>
      <c r="H65" s="17"/>
    </row>
    <row r="66" spans="3:8" x14ac:dyDescent="0.85">
      <c r="C66" s="17"/>
      <c r="D66" s="17"/>
      <c r="E66" s="17"/>
      <c r="F66" s="17"/>
      <c r="G66" s="17"/>
      <c r="H66" s="17"/>
    </row>
    <row r="67" spans="3:8" x14ac:dyDescent="0.85">
      <c r="C67" s="17"/>
      <c r="D67" s="17"/>
      <c r="E67" s="17"/>
      <c r="F67" s="17"/>
      <c r="G67" s="17"/>
      <c r="H67" s="17"/>
    </row>
    <row r="68" spans="3:8" x14ac:dyDescent="0.85">
      <c r="C68" s="17"/>
      <c r="D68" s="17"/>
      <c r="E68" s="17"/>
      <c r="F68" s="17"/>
      <c r="G68" s="17"/>
      <c r="H68" s="17"/>
    </row>
    <row r="69" spans="3:8" x14ac:dyDescent="0.85">
      <c r="C69" s="17"/>
      <c r="D69" s="17"/>
      <c r="E69" s="17"/>
      <c r="F69" s="17"/>
      <c r="G69" s="17"/>
      <c r="H69" s="17"/>
    </row>
    <row r="70" spans="3:8" x14ac:dyDescent="0.85">
      <c r="C70" s="17"/>
      <c r="D70" s="17"/>
      <c r="E70" s="17"/>
      <c r="F70" s="17"/>
      <c r="G70" s="17"/>
      <c r="H70" s="17"/>
    </row>
    <row r="71" spans="3:8" x14ac:dyDescent="0.85">
      <c r="C71" s="17"/>
      <c r="D71" s="17"/>
      <c r="E71" s="17"/>
      <c r="F71" s="17"/>
      <c r="G71" s="17"/>
      <c r="H71" s="17"/>
    </row>
    <row r="72" spans="3:8" x14ac:dyDescent="0.85">
      <c r="C72" s="17"/>
      <c r="D72" s="17"/>
      <c r="E72" s="17"/>
      <c r="F72" s="17"/>
      <c r="G72" s="17"/>
      <c r="H72" s="17"/>
    </row>
    <row r="73" spans="3:8" x14ac:dyDescent="0.85">
      <c r="C73" s="17"/>
      <c r="D73" s="17"/>
      <c r="E73" s="17"/>
      <c r="F73" s="17"/>
      <c r="G73" s="17"/>
      <c r="H73" s="17"/>
    </row>
    <row r="74" spans="3:8" x14ac:dyDescent="0.85">
      <c r="C74" s="17"/>
      <c r="D74" s="17"/>
      <c r="E74" s="17"/>
      <c r="F74" s="17"/>
      <c r="G74" s="17"/>
      <c r="H74" s="17"/>
    </row>
    <row r="75" spans="3:8" x14ac:dyDescent="0.85">
      <c r="C75" s="17"/>
      <c r="D75" s="17"/>
      <c r="E75" s="17"/>
      <c r="F75" s="17"/>
      <c r="G75" s="17"/>
      <c r="H75" s="17"/>
    </row>
    <row r="76" spans="3:8" x14ac:dyDescent="0.85">
      <c r="C76" s="17"/>
      <c r="D76" s="17"/>
      <c r="E76" s="17"/>
      <c r="F76" s="17"/>
      <c r="G76" s="17"/>
      <c r="H76" s="17"/>
    </row>
    <row r="77" spans="3:8" x14ac:dyDescent="0.85">
      <c r="C77" s="17"/>
      <c r="D77" s="17"/>
      <c r="E77" s="17"/>
      <c r="F77" s="17"/>
      <c r="G77" s="17"/>
      <c r="H77" s="17"/>
    </row>
    <row r="78" spans="3:8" x14ac:dyDescent="0.85">
      <c r="C78" s="17"/>
      <c r="D78" s="17"/>
      <c r="E78" s="17"/>
      <c r="F78" s="17"/>
      <c r="G78" s="17"/>
      <c r="H78" s="17"/>
    </row>
    <row r="79" spans="3:8" x14ac:dyDescent="0.85">
      <c r="C79" s="17"/>
      <c r="D79" s="17"/>
      <c r="E79" s="17"/>
      <c r="F79" s="17"/>
      <c r="G79" s="17"/>
      <c r="H79" s="17"/>
    </row>
    <row r="80" spans="3:8" x14ac:dyDescent="0.85">
      <c r="C80" s="17"/>
      <c r="D80" s="17"/>
      <c r="E80" s="17"/>
      <c r="F80" s="17"/>
      <c r="G80" s="17"/>
      <c r="H80" s="17"/>
    </row>
    <row r="81" spans="3:8" x14ac:dyDescent="0.85">
      <c r="C81" s="17"/>
      <c r="D81" s="17"/>
      <c r="E81" s="17"/>
      <c r="F81" s="17"/>
      <c r="G81" s="17"/>
      <c r="H81" s="17"/>
    </row>
    <row r="82" spans="3:8" x14ac:dyDescent="0.85">
      <c r="C82" s="17"/>
      <c r="D82" s="17"/>
      <c r="E82" s="17"/>
      <c r="F82" s="17"/>
      <c r="G82" s="17"/>
      <c r="H82" s="17"/>
    </row>
    <row r="83" spans="3:8" x14ac:dyDescent="0.85">
      <c r="C83" s="17"/>
      <c r="D83" s="17"/>
      <c r="E83" s="17"/>
      <c r="F83" s="17"/>
      <c r="G83" s="17"/>
      <c r="H83" s="17"/>
    </row>
    <row r="84" spans="3:8" x14ac:dyDescent="0.85">
      <c r="C84" s="17"/>
      <c r="D84" s="17"/>
      <c r="E84" s="17"/>
      <c r="F84" s="17"/>
      <c r="G84" s="17"/>
      <c r="H84" s="17"/>
    </row>
    <row r="85" spans="3:8" x14ac:dyDescent="0.85">
      <c r="C85" s="17"/>
      <c r="D85" s="17"/>
      <c r="E85" s="17"/>
      <c r="F85" s="17"/>
      <c r="G85" s="17"/>
      <c r="H85" s="17"/>
    </row>
    <row r="86" spans="3:8" x14ac:dyDescent="0.85">
      <c r="C86" s="17"/>
      <c r="D86" s="17"/>
      <c r="E86" s="17"/>
      <c r="F86" s="17"/>
      <c r="G86" s="17"/>
      <c r="H86" s="17"/>
    </row>
    <row r="87" spans="3:8" x14ac:dyDescent="0.85">
      <c r="C87" s="17"/>
      <c r="D87" s="17"/>
      <c r="E87" s="17"/>
      <c r="F87" s="17"/>
      <c r="G87" s="17"/>
      <c r="H87" s="17"/>
    </row>
    <row r="88" spans="3:8" x14ac:dyDescent="0.85">
      <c r="C88" s="17"/>
      <c r="D88" s="17"/>
      <c r="E88" s="17"/>
      <c r="F88" s="17"/>
      <c r="G88" s="17"/>
      <c r="H88" s="17"/>
    </row>
    <row r="89" spans="3:8" x14ac:dyDescent="0.85">
      <c r="C89" s="17"/>
      <c r="D89" s="17"/>
      <c r="E89" s="17"/>
      <c r="F89" s="17"/>
      <c r="G89" s="17"/>
      <c r="H89" s="17"/>
    </row>
    <row r="90" spans="3:8" x14ac:dyDescent="0.85">
      <c r="C90" s="17"/>
      <c r="D90" s="17"/>
      <c r="E90" s="17"/>
      <c r="F90" s="17"/>
      <c r="G90" s="17"/>
      <c r="H90" s="17"/>
    </row>
    <row r="91" spans="3:8" x14ac:dyDescent="0.85">
      <c r="C91" s="17"/>
      <c r="D91" s="17"/>
      <c r="E91" s="17"/>
      <c r="F91" s="17"/>
      <c r="G91" s="17"/>
      <c r="H91" s="17"/>
    </row>
    <row r="92" spans="3:8" x14ac:dyDescent="0.85">
      <c r="C92" s="17"/>
      <c r="D92" s="17"/>
      <c r="E92" s="17"/>
      <c r="F92" s="17"/>
      <c r="G92" s="17"/>
      <c r="H92" s="17"/>
    </row>
    <row r="93" spans="3:8" x14ac:dyDescent="0.85">
      <c r="C93" s="17"/>
      <c r="D93" s="17"/>
      <c r="E93" s="17"/>
      <c r="F93" s="17"/>
      <c r="G93" s="17"/>
      <c r="H93" s="17"/>
    </row>
    <row r="94" spans="3:8" x14ac:dyDescent="0.85">
      <c r="C94" s="17"/>
      <c r="D94" s="17"/>
      <c r="E94" s="17"/>
      <c r="F94" s="17"/>
      <c r="G94" s="17"/>
      <c r="H94" s="17"/>
    </row>
    <row r="95" spans="3:8" x14ac:dyDescent="0.85">
      <c r="C95" s="17"/>
      <c r="D95" s="17"/>
      <c r="E95" s="17"/>
      <c r="F95" s="17"/>
      <c r="G95" s="17"/>
      <c r="H95" s="17"/>
    </row>
    <row r="96" spans="3:8" x14ac:dyDescent="0.85">
      <c r="C96" s="17"/>
      <c r="D96" s="17"/>
      <c r="E96" s="17"/>
      <c r="F96" s="17"/>
      <c r="G96" s="17"/>
      <c r="H96" s="17"/>
    </row>
    <row r="97" spans="3:8" x14ac:dyDescent="0.85">
      <c r="C97" s="17"/>
      <c r="D97" s="17"/>
      <c r="E97" s="17"/>
      <c r="F97" s="17"/>
      <c r="G97" s="17"/>
      <c r="H97" s="17"/>
    </row>
    <row r="98" spans="3:8" x14ac:dyDescent="0.85">
      <c r="C98" s="17"/>
      <c r="D98" s="17"/>
      <c r="E98" s="17"/>
      <c r="F98" s="17"/>
      <c r="G98" s="17"/>
      <c r="H98" s="17"/>
    </row>
    <row r="99" spans="3:8" x14ac:dyDescent="0.85">
      <c r="C99" s="17"/>
      <c r="D99" s="17"/>
      <c r="E99" s="17"/>
      <c r="F99" s="17"/>
      <c r="G99" s="17"/>
      <c r="H99" s="17"/>
    </row>
    <row r="100" spans="3:8" x14ac:dyDescent="0.85">
      <c r="C100" s="17"/>
      <c r="D100" s="17"/>
      <c r="E100" s="17"/>
      <c r="F100" s="17"/>
      <c r="G100" s="17"/>
      <c r="H100" s="17"/>
    </row>
    <row r="101" spans="3:8" x14ac:dyDescent="0.85">
      <c r="C101" s="17"/>
      <c r="D101" s="17"/>
      <c r="E101" s="17"/>
      <c r="F101" s="17"/>
      <c r="G101" s="17"/>
      <c r="H101" s="17"/>
    </row>
    <row r="102" spans="3:8" x14ac:dyDescent="0.85">
      <c r="C102" s="17"/>
      <c r="D102" s="17"/>
      <c r="E102" s="17"/>
      <c r="F102" s="17"/>
      <c r="G102" s="17"/>
      <c r="H102" s="17"/>
    </row>
    <row r="103" spans="3:8" x14ac:dyDescent="0.85">
      <c r="C103" s="17"/>
      <c r="D103" s="17"/>
      <c r="E103" s="17"/>
      <c r="F103" s="17"/>
      <c r="G103" s="17"/>
      <c r="H103" s="17"/>
    </row>
    <row r="104" spans="3:8" x14ac:dyDescent="0.85">
      <c r="C104" s="17"/>
      <c r="D104" s="17"/>
      <c r="E104" s="17"/>
      <c r="F104" s="17"/>
      <c r="G104" s="17"/>
      <c r="H104" s="17"/>
    </row>
    <row r="105" spans="3:8" x14ac:dyDescent="0.85">
      <c r="C105" s="17"/>
      <c r="D105" s="17"/>
      <c r="E105" s="17"/>
      <c r="F105" s="17"/>
      <c r="G105" s="17"/>
      <c r="H105" s="17"/>
    </row>
    <row r="106" spans="3:8" x14ac:dyDescent="0.85">
      <c r="C106" s="17"/>
      <c r="D106" s="17"/>
      <c r="E106" s="17"/>
      <c r="F106" s="17"/>
      <c r="G106" s="17"/>
      <c r="H106" s="17"/>
    </row>
    <row r="107" spans="3:8" x14ac:dyDescent="0.85">
      <c r="C107" s="17"/>
      <c r="D107" s="17"/>
      <c r="E107" s="17"/>
      <c r="F107" s="17"/>
      <c r="G107" s="17"/>
      <c r="H107" s="17"/>
    </row>
    <row r="108" spans="3:8" x14ac:dyDescent="0.85">
      <c r="C108" s="17"/>
      <c r="D108" s="17"/>
      <c r="E108" s="17"/>
      <c r="F108" s="17"/>
      <c r="G108" s="17"/>
      <c r="H108" s="17"/>
    </row>
    <row r="109" spans="3:8" x14ac:dyDescent="0.85">
      <c r="C109" s="17"/>
      <c r="D109" s="17"/>
      <c r="E109" s="17"/>
      <c r="F109" s="17"/>
      <c r="G109" s="17"/>
      <c r="H109" s="17"/>
    </row>
    <row r="110" spans="3:8" x14ac:dyDescent="0.85">
      <c r="C110" s="17"/>
      <c r="D110" s="17"/>
      <c r="E110" s="17"/>
      <c r="F110" s="17"/>
      <c r="G110" s="17"/>
      <c r="H110" s="17"/>
    </row>
    <row r="111" spans="3:8" x14ac:dyDescent="0.85">
      <c r="C111" s="17"/>
      <c r="D111" s="17"/>
      <c r="E111" s="17"/>
      <c r="F111" s="17"/>
      <c r="G111" s="17"/>
      <c r="H111" s="17"/>
    </row>
    <row r="112" spans="3:8" x14ac:dyDescent="0.85">
      <c r="C112" s="17"/>
      <c r="D112" s="17"/>
      <c r="E112" s="17"/>
      <c r="F112" s="17"/>
      <c r="G112" s="17"/>
      <c r="H112" s="17"/>
    </row>
    <row r="113" spans="2:8" x14ac:dyDescent="0.85">
      <c r="C113" s="17"/>
      <c r="D113" s="17"/>
      <c r="E113" s="17"/>
      <c r="F113" s="17"/>
      <c r="G113" s="17"/>
      <c r="H113" s="17"/>
    </row>
    <row r="114" spans="2:8" x14ac:dyDescent="0.85">
      <c r="B114" s="17"/>
      <c r="C114" s="17"/>
      <c r="D114" s="17"/>
      <c r="E114" s="17"/>
      <c r="F114" s="17"/>
      <c r="G114" s="17"/>
    </row>
  </sheetData>
  <mergeCells count="104">
    <mergeCell ref="C16:H16"/>
    <mergeCell ref="C11:H11"/>
    <mergeCell ref="C12:H12"/>
    <mergeCell ref="C13:H13"/>
    <mergeCell ref="C14:H14"/>
    <mergeCell ref="C15:H15"/>
    <mergeCell ref="C28:H28"/>
    <mergeCell ref="C17:H17"/>
    <mergeCell ref="C18:H18"/>
    <mergeCell ref="C19:H19"/>
    <mergeCell ref="C20:H20"/>
    <mergeCell ref="C21:H21"/>
    <mergeCell ref="C22:H22"/>
    <mergeCell ref="C23:H23"/>
    <mergeCell ref="C24:H24"/>
    <mergeCell ref="C25:H25"/>
    <mergeCell ref="C26:H26"/>
    <mergeCell ref="C27:H27"/>
    <mergeCell ref="C40:H40"/>
    <mergeCell ref="C29:H29"/>
    <mergeCell ref="C30:H30"/>
    <mergeCell ref="C31:H31"/>
    <mergeCell ref="C32:H32"/>
    <mergeCell ref="C33:H33"/>
    <mergeCell ref="C34:H34"/>
    <mergeCell ref="C35:H35"/>
    <mergeCell ref="C36:H36"/>
    <mergeCell ref="C37:H37"/>
    <mergeCell ref="C38:H38"/>
    <mergeCell ref="C39:H39"/>
    <mergeCell ref="C52:H52"/>
    <mergeCell ref="C41:H41"/>
    <mergeCell ref="C42:H42"/>
    <mergeCell ref="C43:H43"/>
    <mergeCell ref="C44:H44"/>
    <mergeCell ref="C45:H45"/>
    <mergeCell ref="C46:H46"/>
    <mergeCell ref="C47:H47"/>
    <mergeCell ref="C48:H48"/>
    <mergeCell ref="C49:H49"/>
    <mergeCell ref="C50:H50"/>
    <mergeCell ref="C51:H51"/>
    <mergeCell ref="C64:H64"/>
    <mergeCell ref="C53:H53"/>
    <mergeCell ref="C54:H54"/>
    <mergeCell ref="C55:H55"/>
    <mergeCell ref="C56:H56"/>
    <mergeCell ref="C57:H57"/>
    <mergeCell ref="C58:H58"/>
    <mergeCell ref="C59:H59"/>
    <mergeCell ref="C60:H60"/>
    <mergeCell ref="C61:H61"/>
    <mergeCell ref="C62:H62"/>
    <mergeCell ref="C63:H63"/>
    <mergeCell ref="C76:H76"/>
    <mergeCell ref="C65:H65"/>
    <mergeCell ref="C66:H66"/>
    <mergeCell ref="C67:H67"/>
    <mergeCell ref="C68:H68"/>
    <mergeCell ref="C69:H69"/>
    <mergeCell ref="C70:H70"/>
    <mergeCell ref="C71:H71"/>
    <mergeCell ref="C72:H72"/>
    <mergeCell ref="C73:H73"/>
    <mergeCell ref="C74:H74"/>
    <mergeCell ref="C75:H75"/>
    <mergeCell ref="C83:H83"/>
    <mergeCell ref="C84:H84"/>
    <mergeCell ref="C85:H85"/>
    <mergeCell ref="C77:H77"/>
    <mergeCell ref="C78:H78"/>
    <mergeCell ref="C79:H79"/>
    <mergeCell ref="C80:H80"/>
    <mergeCell ref="C81:H81"/>
    <mergeCell ref="C82:H82"/>
    <mergeCell ref="C91:H91"/>
    <mergeCell ref="C92:H92"/>
    <mergeCell ref="C93:H93"/>
    <mergeCell ref="C94:H94"/>
    <mergeCell ref="C95:H95"/>
    <mergeCell ref="C86:H86"/>
    <mergeCell ref="C87:H87"/>
    <mergeCell ref="C88:H88"/>
    <mergeCell ref="C89:H89"/>
    <mergeCell ref="C90:H90"/>
    <mergeCell ref="C101:H101"/>
    <mergeCell ref="C102:H102"/>
    <mergeCell ref="C103:H103"/>
    <mergeCell ref="C104:H104"/>
    <mergeCell ref="C105:H105"/>
    <mergeCell ref="C96:H96"/>
    <mergeCell ref="C97:H97"/>
    <mergeCell ref="C98:H98"/>
    <mergeCell ref="C99:H99"/>
    <mergeCell ref="C100:H100"/>
    <mergeCell ref="C111:H111"/>
    <mergeCell ref="C112:H112"/>
    <mergeCell ref="C113:H113"/>
    <mergeCell ref="B114:G114"/>
    <mergeCell ref="C106:H106"/>
    <mergeCell ref="C107:H107"/>
    <mergeCell ref="C108:H108"/>
    <mergeCell ref="C109:H109"/>
    <mergeCell ref="C110:H110"/>
  </mergeCell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8B6093B-9B27-4EF5-8F31-C73C6C090782}">
          <x14:formula1>
            <xm:f>Structure!$A$2:$A$99</xm:f>
          </x14:formula1>
          <xm:sqref>D2</xm:sqref>
        </x14:dataValidation>
        <x14:dataValidation type="list" allowBlank="1" showInputMessage="1" showErrorMessage="1" xr:uid="{BFBF598B-81DF-4DAE-9835-163D3060EA26}">
          <x14:formula1>
            <xm:f>Structure!$B$2:$B$99</xm:f>
          </x14:formula1>
          <xm:sqref>E2</xm:sqref>
        </x14:dataValidation>
        <x14:dataValidation type="list" allowBlank="1" showInputMessage="1" showErrorMessage="1" xr:uid="{A041F8FF-7ACD-4812-B810-8EB880ACF74D}">
          <x14:formula1>
            <xm:f>Structure!$C$2:$C$4</xm:f>
          </x14:formula1>
          <xm:sqref>F2</xm:sqref>
        </x14:dataValidation>
        <x14:dataValidation type="list" allowBlank="1" showInputMessage="1" showErrorMessage="1" xr:uid="{23D8B161-E628-4CD3-8390-AA9552A45743}">
          <x14:formula1>
            <xm:f>Structure!$D$2:$D$17</xm:f>
          </x14:formula1>
          <xm:sqref>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D4E88-2565-44B8-9D47-3DCDD787A7EA}">
  <sheetPr codeName="Sheet6"/>
  <dimension ref="A1:D66"/>
  <sheetViews>
    <sheetView workbookViewId="0">
      <selection activeCell="B3" sqref="B3"/>
    </sheetView>
  </sheetViews>
  <sheetFormatPr defaultRowHeight="14.6" x14ac:dyDescent="0.85"/>
  <cols>
    <col min="1" max="1" width="21.765625" customWidth="1"/>
    <col min="2" max="3" width="19.23046875" customWidth="1"/>
    <col min="4" max="4" width="6.15234375" customWidth="1"/>
  </cols>
  <sheetData>
    <row r="1" spans="1:4" x14ac:dyDescent="0.85">
      <c r="A1" t="s">
        <v>8</v>
      </c>
      <c r="B1" t="s">
        <v>7</v>
      </c>
      <c r="C1" t="s">
        <v>5</v>
      </c>
      <c r="D1" t="s">
        <v>22</v>
      </c>
    </row>
    <row r="2" spans="1:4" x14ac:dyDescent="0.85">
      <c r="A2" t="str">
        <f>"-&lt;0&gt;-"</f>
        <v>-&lt;0&gt;-</v>
      </c>
      <c r="B2" t="str">
        <f>"-&lt;0&gt;-"</f>
        <v>-&lt;0&gt;-</v>
      </c>
      <c r="C2" t="str">
        <f>"-&lt;0&gt;-"</f>
        <v>-&lt;0&gt;-</v>
      </c>
      <c r="D2" s="4" t="str" cm="1">
        <f t="array" ref="D2">IF(Selected_CType = "Constant_CO2",CO2_Constant,IF(Selected_CType = "Increasing_CO2",CO2_Per_Year,""))</f>
        <v/>
      </c>
    </row>
    <row r="3" spans="1:4" x14ac:dyDescent="0.85">
      <c r="A3" t="s">
        <v>12</v>
      </c>
      <c r="C3" t="s">
        <v>31</v>
      </c>
      <c r="D3" s="4"/>
    </row>
    <row r="4" spans="1:4" x14ac:dyDescent="0.85">
      <c r="A4" t="s">
        <v>37</v>
      </c>
      <c r="C4" t="s">
        <v>32</v>
      </c>
      <c r="D4" s="4"/>
    </row>
    <row r="5" spans="1:4" x14ac:dyDescent="0.85">
      <c r="A5" t="s">
        <v>11</v>
      </c>
      <c r="D5" s="4"/>
    </row>
    <row r="6" spans="1:4" x14ac:dyDescent="0.85">
      <c r="A6" t="s">
        <v>16</v>
      </c>
      <c r="D6" s="4"/>
    </row>
    <row r="7" spans="1:4" x14ac:dyDescent="0.85">
      <c r="A7" t="s">
        <v>39</v>
      </c>
      <c r="D7" s="4"/>
    </row>
    <row r="8" spans="1:4" x14ac:dyDescent="0.85"/>
    <row r="9" spans="1:4" x14ac:dyDescent="0.85"/>
    <row r="10" spans="1:4" x14ac:dyDescent="0.85"/>
    <row r="11" spans="1:4" x14ac:dyDescent="0.85"/>
    <row r="12" spans="1:4" x14ac:dyDescent="0.85"/>
    <row r="13" spans="1:4" x14ac:dyDescent="0.85"/>
    <row r="14" spans="1:4" x14ac:dyDescent="0.85"/>
    <row r="15" spans="1:4" x14ac:dyDescent="0.85"/>
    <row r="16" spans="1:4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  <row r="34" x14ac:dyDescent="0.85"/>
    <row r="35" x14ac:dyDescent="0.85"/>
    <row r="36" x14ac:dyDescent="0.85"/>
    <row r="37" x14ac:dyDescent="0.85"/>
    <row r="38" x14ac:dyDescent="0.85"/>
    <row r="39" x14ac:dyDescent="0.85"/>
    <row r="40" x14ac:dyDescent="0.85"/>
    <row r="41" x14ac:dyDescent="0.85"/>
    <row r="42" x14ac:dyDescent="0.85"/>
    <row r="43" x14ac:dyDescent="0.85"/>
    <row r="44" x14ac:dyDescent="0.85"/>
    <row r="45" x14ac:dyDescent="0.85"/>
    <row r="46" x14ac:dyDescent="0.85"/>
    <row r="47" x14ac:dyDescent="0.85"/>
    <row r="48" x14ac:dyDescent="0.85"/>
    <row r="49" x14ac:dyDescent="0.85"/>
    <row r="50" x14ac:dyDescent="0.85"/>
    <row r="51" x14ac:dyDescent="0.85"/>
    <row r="52" x14ac:dyDescent="0.85"/>
    <row r="53" x14ac:dyDescent="0.85"/>
    <row r="54" x14ac:dyDescent="0.85"/>
    <row r="55" x14ac:dyDescent="0.85"/>
    <row r="56" x14ac:dyDescent="0.85"/>
    <row r="57" x14ac:dyDescent="0.85"/>
    <row r="58" x14ac:dyDescent="0.85"/>
    <row r="59" x14ac:dyDescent="0.85"/>
    <row r="60" x14ac:dyDescent="0.85"/>
    <row r="61" x14ac:dyDescent="0.85"/>
    <row r="62" x14ac:dyDescent="0.85"/>
    <row r="63" x14ac:dyDescent="0.85"/>
    <row r="64" x14ac:dyDescent="0.85"/>
    <row r="65" x14ac:dyDescent="0.85"/>
    <row r="66" x14ac:dyDescent="0.8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1562E-2FBA-43A8-A235-AE9DB9262926}">
  <sheetPr codeName="Sheet2"/>
  <dimension ref="A1:M16"/>
  <sheetViews>
    <sheetView workbookViewId="0">
      <selection sqref="A1:XFD1048576"/>
    </sheetView>
  </sheetViews>
  <sheetFormatPr defaultColWidth="36.61328125" defaultRowHeight="14.6" x14ac:dyDescent="0.85"/>
  <cols>
    <col min="1" max="1" width="15.4609375" style="6" bestFit="1" customWidth="1"/>
    <col min="2" max="2" width="27.3828125" style="6" bestFit="1" customWidth="1"/>
    <col min="3" max="3" width="15.4609375" style="6" bestFit="1" customWidth="1"/>
    <col min="4" max="4" width="4.07421875" style="9" customWidth="1"/>
    <col min="5" max="5" width="11.15234375" style="6" bestFit="1" customWidth="1"/>
    <col min="6" max="6" width="17.34375" style="6" bestFit="1" customWidth="1"/>
    <col min="7" max="7" width="11.15234375" style="6" bestFit="1" customWidth="1"/>
    <col min="8" max="8" width="3.421875" style="9" customWidth="1"/>
    <col min="9" max="9" width="27.11328125" style="6" customWidth="1"/>
    <col min="10" max="10" width="18.765625" style="6" customWidth="1"/>
    <col min="11" max="11" width="3.34375" style="9" customWidth="1"/>
    <col min="12" max="12" width="11.73046875" style="6" bestFit="1" customWidth="1"/>
    <col min="13" max="13" width="11.34375" style="6" bestFit="1" customWidth="1"/>
    <col min="14" max="16384" width="36.61328125" style="6"/>
  </cols>
  <sheetData>
    <row r="1" spans="1:13" s="5" customFormat="1" ht="29.15" x14ac:dyDescent="0.85">
      <c r="A1" s="5" t="s">
        <v>10</v>
      </c>
      <c r="B1" s="5" t="s">
        <v>24</v>
      </c>
      <c r="C1" s="5" t="s">
        <v>25</v>
      </c>
      <c r="D1" s="8"/>
      <c r="E1" s="5" t="s">
        <v>7</v>
      </c>
      <c r="F1" s="5" t="s">
        <v>26</v>
      </c>
      <c r="G1" s="5" t="s">
        <v>27</v>
      </c>
      <c r="H1" s="8"/>
      <c r="I1" s="5" t="s">
        <v>44</v>
      </c>
      <c r="J1" s="5" t="s">
        <v>28</v>
      </c>
      <c r="K1" s="8"/>
      <c r="L1" s="5" t="s">
        <v>29</v>
      </c>
      <c r="M1" s="5" t="s">
        <v>30</v>
      </c>
    </row>
    <row r="2" spans="1:13" ht="14.65" x14ac:dyDescent="0.85">
      <c r="A2" s="7" t="s">
        <v>9</v>
      </c>
      <c r="B2" s="7" t="s">
        <v>9</v>
      </c>
      <c r="C2" s="6" t="str">
        <f>A2</f>
        <v>-&lt;0&gt;-</v>
      </c>
      <c r="E2" s="7" t="s">
        <v>9</v>
      </c>
      <c r="F2" s="7" t="s">
        <v>9</v>
      </c>
      <c r="G2" s="6" t="str">
        <f t="shared" ref="G2:G10" si="0">E2</f>
        <v>-&lt;0&gt;-</v>
      </c>
      <c r="I2" s="6" t="str">
        <f>A2 &amp; "_" &amp; E2</f>
        <v>-&lt;0&gt;-_-&lt;0&gt;-</v>
      </c>
      <c r="L2" s="7" t="s">
        <v>9</v>
      </c>
      <c r="M2" s="7" t="s">
        <v>9</v>
      </c>
    </row>
    <row r="3" spans="1:13" ht="14.65" x14ac:dyDescent="0.85">
      <c r="A3" s="6" t="s">
        <v>1</v>
      </c>
      <c r="B3" s="6" t="s">
        <v>11</v>
      </c>
      <c r="C3" s="6" t="str">
        <f>A3</f>
        <v>Default</v>
      </c>
      <c r="E3" s="6" t="s">
        <v>1</v>
      </c>
      <c r="F3" s="6" t="s">
        <v>11</v>
      </c>
      <c r="G3" s="6" t="str">
        <f t="shared" si="0"/>
        <v>Default</v>
      </c>
      <c r="I3" s="6" t="str">
        <f>A3 &amp; "_" &amp; E3</f>
        <v>Default_Default</v>
      </c>
      <c r="L3" s="6">
        <v>0</v>
      </c>
      <c r="M3" s="6">
        <v>0</v>
      </c>
    </row>
    <row r="4" spans="1:13" ht="14.65" x14ac:dyDescent="0.85">
      <c r="A4" s="6" t="s">
        <v>3</v>
      </c>
      <c r="B4" s="6" t="s">
        <v>12</v>
      </c>
      <c r="C4" s="6" t="str">
        <f t="shared" ref="C4:C7" si="1">A4</f>
        <v>Cheap_Nuclear</v>
      </c>
      <c r="E4" s="6" t="s">
        <v>13</v>
      </c>
      <c r="F4" s="6" t="s">
        <v>14</v>
      </c>
      <c r="G4" s="6" t="str">
        <f t="shared" si="0"/>
        <v>3_Qtr_Cap</v>
      </c>
      <c r="I4" s="6" t="str">
        <f>A4 &amp; "_" &amp; E4</f>
        <v>Cheap_Nuclear_3_Qtr_Cap</v>
      </c>
      <c r="J4" s="6" t="s">
        <v>15</v>
      </c>
      <c r="L4" s="6">
        <v>100</v>
      </c>
      <c r="M4" s="6">
        <v>10</v>
      </c>
    </row>
    <row r="5" spans="1:13" ht="29.15" x14ac:dyDescent="0.85">
      <c r="A5" s="6" t="s">
        <v>4</v>
      </c>
      <c r="B5" s="6" t="s">
        <v>16</v>
      </c>
      <c r="C5" s="6" t="str">
        <f t="shared" si="1"/>
        <v>Fast_Build</v>
      </c>
      <c r="E5" s="6" t="s">
        <v>17</v>
      </c>
      <c r="F5" s="6" t="s">
        <v>18</v>
      </c>
      <c r="G5" s="6" t="str">
        <f t="shared" si="0"/>
        <v>Half_Cap</v>
      </c>
      <c r="I5" s="6" t="str">
        <f>A4 &amp; "_" &amp; E5</f>
        <v>Cheap_Nuclear_Half_Cap</v>
      </c>
      <c r="J5" s="6" t="s">
        <v>19</v>
      </c>
      <c r="L5" s="6">
        <v>200</v>
      </c>
      <c r="M5" s="6">
        <v>15</v>
      </c>
    </row>
    <row r="6" spans="1:13" ht="29.15" x14ac:dyDescent="0.85">
      <c r="A6" s="6" t="s">
        <v>36</v>
      </c>
      <c r="B6" s="6" t="s">
        <v>37</v>
      </c>
      <c r="C6" s="6" t="str">
        <f t="shared" si="1"/>
        <v>Cheap_Renewable</v>
      </c>
      <c r="E6" s="6" t="s">
        <v>20</v>
      </c>
      <c r="F6" s="6" t="s">
        <v>21</v>
      </c>
      <c r="G6" s="6" t="str">
        <f t="shared" si="0"/>
        <v>Double_All</v>
      </c>
      <c r="I6" s="6" t="str">
        <f>A4 &amp; "_" &amp; E10</f>
        <v>Cheap_Nuclear_5%_Per_Year</v>
      </c>
      <c r="J6" s="6" t="s">
        <v>53</v>
      </c>
      <c r="L6" s="6">
        <v>350</v>
      </c>
      <c r="M6" s="6">
        <v>20</v>
      </c>
    </row>
    <row r="7" spans="1:13" ht="14.65" x14ac:dyDescent="0.85">
      <c r="A7" s="6" t="s">
        <v>38</v>
      </c>
      <c r="B7" s="6" t="s">
        <v>39</v>
      </c>
      <c r="C7" s="6" t="str">
        <f t="shared" si="1"/>
        <v>Interest_Rate</v>
      </c>
      <c r="E7" s="6" t="s">
        <v>45</v>
      </c>
      <c r="F7" s="6" t="s">
        <v>46</v>
      </c>
      <c r="G7" s="6" t="str">
        <f t="shared" si="0"/>
        <v>Quad_All</v>
      </c>
      <c r="I7" s="6" t="str">
        <f>A5 &amp; "_" &amp; E6</f>
        <v>Fast_Build_Double_All</v>
      </c>
      <c r="J7" s="6" t="s">
        <v>33</v>
      </c>
      <c r="L7" s="6">
        <v>500</v>
      </c>
      <c r="M7" s="6">
        <v>30</v>
      </c>
    </row>
    <row r="8" spans="1:13" ht="14.65" x14ac:dyDescent="0.85">
      <c r="E8" s="6" t="s">
        <v>40</v>
      </c>
      <c r="F8" s="6" t="s">
        <v>41</v>
      </c>
      <c r="G8" s="6" t="str">
        <f t="shared" si="0"/>
        <v>3%_Interest</v>
      </c>
      <c r="I8" s="6" t="str">
        <f>A5 &amp; "_" &amp;E7</f>
        <v>Fast_Build_Quad_All</v>
      </c>
      <c r="J8" s="6" t="s">
        <v>47</v>
      </c>
    </row>
    <row r="9" spans="1:13" ht="43.85" x14ac:dyDescent="0.85">
      <c r="E9" s="6" t="s">
        <v>42</v>
      </c>
      <c r="F9" s="6" t="s">
        <v>43</v>
      </c>
      <c r="G9" s="6" t="str">
        <f t="shared" si="0"/>
        <v>6%_Interest</v>
      </c>
      <c r="I9" s="6" t="str">
        <f>C6 &amp; "_" &amp; E4</f>
        <v>Cheap_Renewable_3_Qtr_Cap</v>
      </c>
      <c r="J9" s="6" t="s">
        <v>49</v>
      </c>
    </row>
    <row r="10" spans="1:13" ht="43.85" x14ac:dyDescent="0.85">
      <c r="E10" s="6" t="s">
        <v>34</v>
      </c>
      <c r="F10" s="6" t="s">
        <v>35</v>
      </c>
      <c r="G10" s="6" t="str">
        <f t="shared" si="0"/>
        <v>5%_Per_Year</v>
      </c>
      <c r="I10" s="6" t="str">
        <f>C6 &amp; "_" &amp; E5</f>
        <v>Cheap_Renewable_Half_Cap</v>
      </c>
      <c r="J10" s="6" t="s">
        <v>48</v>
      </c>
    </row>
    <row r="11" spans="1:13" ht="72.900000000000006" x14ac:dyDescent="0.85">
      <c r="I11" s="6" t="s">
        <v>55</v>
      </c>
      <c r="J11" s="6" t="s">
        <v>56</v>
      </c>
    </row>
    <row r="12" spans="1:13" x14ac:dyDescent="0.85">
      <c r="I12" s="6" t="str">
        <f>A7 &amp; "_" &amp; E8</f>
        <v>Interest_Rate_3%_Interest</v>
      </c>
      <c r="J12" s="6" t="s">
        <v>52</v>
      </c>
    </row>
    <row r="13" spans="1:13" x14ac:dyDescent="0.85">
      <c r="I13" s="6" t="str">
        <f>A7 &amp; "_" &amp; E9</f>
        <v>Interest_Rate_6%_Interest</v>
      </c>
      <c r="J13" s="6" t="s">
        <v>51</v>
      </c>
    </row>
    <row r="16" spans="1:13" x14ac:dyDescent="0.85">
      <c r="C16" s="6">
        <f t="shared" ref="C16" si="2">A16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23</vt:i4>
      </vt:variant>
    </vt:vector>
  </HeadingPairs>
  <TitlesOfParts>
    <vt:vector size="26" baseType="lpstr">
      <vt:lpstr>Select_Cases</vt:lpstr>
      <vt:lpstr>Structure</vt:lpstr>
      <vt:lpstr>Alias</vt:lpstr>
      <vt:lpstr>All_Cases</vt:lpstr>
      <vt:lpstr>Analysis_Case2Filename</vt:lpstr>
      <vt:lpstr>Analysis2Long</vt:lpstr>
      <vt:lpstr>Analysis2Short</vt:lpstr>
      <vt:lpstr>Case_Count</vt:lpstr>
      <vt:lpstr>Case2Long</vt:lpstr>
      <vt:lpstr>Case2Short</vt:lpstr>
      <vt:lpstr>Cases_Key_Cells</vt:lpstr>
      <vt:lpstr>CO2_Constant</vt:lpstr>
      <vt:lpstr>CO2_Per_Year</vt:lpstr>
      <vt:lpstr>Dir_Structure</vt:lpstr>
      <vt:lpstr>Dir2Long</vt:lpstr>
      <vt:lpstr>File_Structure</vt:lpstr>
      <vt:lpstr>First_Case</vt:lpstr>
      <vt:lpstr>First_Description</vt:lpstr>
      <vt:lpstr>Selected_AType</vt:lpstr>
      <vt:lpstr>Selected_Case</vt:lpstr>
      <vt:lpstr>Selected_CO2</vt:lpstr>
      <vt:lpstr>Selected_CType</vt:lpstr>
      <vt:lpstr>Sub_Structure</vt:lpstr>
      <vt:lpstr>Sub2Long</vt:lpstr>
      <vt:lpstr>SubSub_Structure</vt:lpstr>
      <vt:lpstr>User_Filename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2023-10-26T21:09:11Z</dcterms:created>
  <dcterms:modified xsi:type="dcterms:W3CDTF">2024-06-29T18:24:54Z</dcterms:modified>
</cp:coreProperties>
</file>