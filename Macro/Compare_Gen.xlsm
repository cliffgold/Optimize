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2331FB6D-E364-41D8-8254-703D15586C94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<sst xmlns="http://schemas.openxmlformats.org/spreadsheetml/2006/main" count="83" uniqueCount="59">
  <si>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</si>
  <si>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</si>
  <si>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</si>
  <si>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</si>
  <si>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</si>
  <si>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</si>
  <si>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</si>
  <si>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</si>
  <si>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</si>
  <si>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</si>
  <si>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</si>
  <si>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</si>
  <si>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</si>
  <si>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</si>
  <si>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</si>
  <si>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</si>
  <si>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</si>
  <si>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</si>
  <si>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</si>
  <si>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</si>
  <si>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</si>
  <si>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</si>
  <si>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</si>
  <si>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</si>
  <si>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</si>
  <si>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</si>
  <si>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</si>
  <si>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</si>
  <si>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</si>
  <si>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</si>
  <si>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</si>
  <si>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</si>
  <si>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</si>
  <si>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</si>
  <si>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</si>
  <si>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</si>
  <si>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</si>
  <si>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</si>
  <si>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</si>
  <si>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</si>
  <si>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</si>
  <si>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</si>
  <si>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</si>
  <si>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</si>
  <si>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</si>
  <si>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</si>
  <si>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</si>
  <si>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</si>
  <si>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</si>
  <si>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</si>
  <si>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</si>
  <si>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</si>
  <si>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</si>
  <si>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</si>
  <si>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Cheap_Renewable_5%_Per_Year</t>
  </si>
  <si>
    <t>Solar_Cap$_0.95_0.95-Wind_Cap$_0.95_0.95-Batt_Cap$_0.95_0.95</t>
  </si>
  <si>
    <t>Debug</t>
  </si>
  <si>
    <t>Debug_5%_Per_Year</t>
  </si>
  <si>
    <t>2024-06-30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</si>
</sst>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C10" sqref="C10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58</v>
      </c>
      <c r="C2" s="15" t="s">
        <v>23</v>
      </c>
      <c r="D2" s="11" t="s">
        <v>9</v>
      </c>
      <c r="E2" s="12" t="s">
        <v>9</v>
      </c>
      <c r="F2" s="12" t="s">
        <v>9</v>
      </c>
      <c r="G2" s="13" t="s">
        <v>9</v>
      </c>
    </row>
    <row r="9" spans="1:8" ht="14.65" x14ac:dyDescent="0.85">
      <c r="G9" s="3"/>
    </row>
    <row r="10" spans="1:8" ht="14.65" x14ac:dyDescent="0.85">
      <c r="B10" s="1" t="s">
        <v>0</v>
      </c>
      <c r="C10">
        <v>0</v>
      </c>
    </row>
    <row r="11" spans="1:8" ht="14.65" x14ac:dyDescent="0.85">
      <c r="C11" s="17"/>
      <c r="D11" s="17"/>
      <c r="E11" s="17"/>
      <c r="F11" s="17"/>
      <c r="G11" s="17"/>
      <c r="H11" s="17"/>
    </row>
    <row r="12" spans="1:8" ht="14.65" x14ac:dyDescent="0.85">
      <c r="C12" s="17"/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sheetProtection sheet="1" objects="1" scenarios="1"/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">IF(Selected_CType = "Constant_CO2",CO2_Constant,IF(Selected_CType = "Increasing_CO2",CO2_Per_Year,""))</f>
        <v/>
      </c>
    </row>
    <row r="3" spans="1:4" x14ac:dyDescent="0.85">
      <c r="A3" t="s">
        <v>12</v>
      </c>
      <c r="C3" t="s">
        <v>31</v>
      </c>
      <c r="D3" s="4"/>
    </row>
    <row r="4" spans="1:4" x14ac:dyDescent="0.85">
      <c r="A4" t="s">
        <v>37</v>
      </c>
      <c r="C4" t="s">
        <v>32</v>
      </c>
      <c r="D4" s="4"/>
    </row>
    <row r="5" spans="1:4" x14ac:dyDescent="0.85">
      <c r="A5" t="s">
        <v>56</v>
      </c>
      <c r="D5" s="4"/>
    </row>
    <row r="6" spans="1:4" x14ac:dyDescent="0.85">
      <c r="A6" t="s">
        <v>11</v>
      </c>
      <c r="D6" s="4"/>
    </row>
    <row r="7" spans="1:4" x14ac:dyDescent="0.85">
      <c r="A7" t="s">
        <v>16</v>
      </c>
      <c r="D7" s="4"/>
    </row>
    <row r="8" spans="1:4" x14ac:dyDescent="0.85">
      <c r="A8" t="s">
        <v>39</v>
      </c>
    </row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L4" sqref="L4:M4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9.6523437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56</v>
      </c>
      <c r="B4" s="6" t="s">
        <v>56</v>
      </c>
      <c r="C4" s="6" t="s">
        <v>56</v>
      </c>
      <c r="E4" s="6" t="s">
        <v>13</v>
      </c>
      <c r="F4" s="6" t="s">
        <v>14</v>
      </c>
      <c r="G4" s="6" t="str">
        <f t="shared" si="0"/>
        <v>3_Qtr_Cap</v>
      </c>
      <c r="I4" s="6" t="s">
        <v>57</v>
      </c>
      <c r="J4" s="6" t="s">
        <v>53</v>
      </c>
      <c r="L4" s="6">
        <v>100</v>
      </c>
      <c r="M4" s="6">
        <v>10</v>
      </c>
    </row>
    <row r="5" spans="1:13" ht="14.65" x14ac:dyDescent="0.85">
      <c r="A5" s="6" t="s">
        <v>3</v>
      </c>
      <c r="B5" s="6" t="s">
        <v>12</v>
      </c>
      <c r="C5" s="6" t="str">
        <f t="shared" ref="C5:C8" si="1">A5</f>
        <v>Cheap_Nuclear</v>
      </c>
      <c r="E5" s="6" t="s">
        <v>17</v>
      </c>
      <c r="F5" s="6" t="s">
        <v>18</v>
      </c>
      <c r="G5" s="6" t="str">
        <f t="shared" si="0"/>
        <v>Half_Cap</v>
      </c>
      <c r="I5" s="6" t="str">
        <f>A5 &amp; "_" &amp; E4</f>
        <v>Cheap_Nuclear_3_Qtr_Cap</v>
      </c>
      <c r="J5" s="6" t="s">
        <v>15</v>
      </c>
      <c r="L5" s="6">
        <v>200</v>
      </c>
      <c r="M5" s="6">
        <v>15</v>
      </c>
    </row>
    <row r="6" spans="1:13" ht="29.15" x14ac:dyDescent="0.85">
      <c r="A6" s="6" t="s">
        <v>4</v>
      </c>
      <c r="B6" s="6" t="s">
        <v>16</v>
      </c>
      <c r="C6" s="6" t="str">
        <f t="shared" si="1"/>
        <v>Fast_Build</v>
      </c>
      <c r="E6" s="6" t="s">
        <v>20</v>
      </c>
      <c r="F6" s="6" t="s">
        <v>21</v>
      </c>
      <c r="G6" s="6" t="str">
        <f t="shared" si="0"/>
        <v>Double_All</v>
      </c>
      <c r="I6" s="6" t="str">
        <f>A5 &amp; "_" &amp; E5</f>
        <v>Cheap_Nuclear_Half_Cap</v>
      </c>
      <c r="J6" s="6" t="s">
        <v>19</v>
      </c>
      <c r="L6" s="6">
        <v>350</v>
      </c>
      <c r="M6" s="6">
        <v>20</v>
      </c>
    </row>
    <row r="7" spans="1:13" ht="29.15" x14ac:dyDescent="0.85">
      <c r="A7" s="6" t="s">
        <v>36</v>
      </c>
      <c r="B7" s="6" t="s">
        <v>37</v>
      </c>
      <c r="C7" s="6" t="str">
        <f t="shared" si="1"/>
        <v>Cheap_Renewable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E10</f>
        <v>Cheap_Nuclear_5%_Per_Year</v>
      </c>
      <c r="J7" s="6" t="s">
        <v>53</v>
      </c>
      <c r="L7" s="6">
        <v>500</v>
      </c>
      <c r="M7" s="6">
        <v>30</v>
      </c>
    </row>
    <row r="8" spans="1:13" ht="14.65" x14ac:dyDescent="0.85">
      <c r="A8" s="6" t="s">
        <v>38</v>
      </c>
      <c r="B8" s="6" t="s">
        <v>39</v>
      </c>
      <c r="C8" s="6" t="str">
        <f t="shared" si="1"/>
        <v>Interest_Rate</v>
      </c>
      <c r="E8" s="6" t="s">
        <v>40</v>
      </c>
      <c r="F8" s="6" t="s">
        <v>41</v>
      </c>
      <c r="G8" s="6" t="str">
        <f t="shared" si="0"/>
        <v>3%_Interest</v>
      </c>
      <c r="I8" s="6" t="str">
        <f>A6 &amp; "_" &amp; E6</f>
        <v>Fast_Build_Double_All</v>
      </c>
      <c r="J8" s="6" t="s">
        <v>33</v>
      </c>
    </row>
    <row r="9" spans="1:13" ht="14.6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A6 &amp; "_" &amp;E7</f>
        <v>Fast_Build_Quad_All</v>
      </c>
      <c r="J9" s="6" t="s">
        <v>47</v>
      </c>
    </row>
    <row r="10" spans="1:13" ht="43.9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C7 &amp; "_" &amp; E4</f>
        <v>Cheap_Renewable_3_Qtr_Cap</v>
      </c>
      <c r="J10" s="6" t="s">
        <v>49</v>
      </c>
    </row>
    <row r="11" spans="1:13" ht="43.9" x14ac:dyDescent="0.85">
      <c r="I11" s="6" t="str">
        <f>C7 &amp; "_" &amp; E5</f>
        <v>Cheap_Renewable_Half_Cap</v>
      </c>
      <c r="J11" s="6" t="s">
        <v>48</v>
      </c>
    </row>
    <row r="12" spans="1:13" ht="43.75" x14ac:dyDescent="0.85">
      <c r="I12" s="6" t="s">
        <v>54</v>
      </c>
      <c r="J12" s="6" t="s">
        <v>55</v>
      </c>
    </row>
    <row r="13" spans="1:13" x14ac:dyDescent="0.85">
      <c r="I13" s="6" t="str">
        <f>A8 &amp; "_" &amp; E8</f>
        <v>Interest_Rate_3%_Interest</v>
      </c>
      <c r="J13" s="6" t="s">
        <v>52</v>
      </c>
    </row>
    <row r="14" spans="1:13" x14ac:dyDescent="0.85">
      <c r="I14" s="6" t="str">
        <f>A8 &amp; "_" &amp; E9</f>
        <v>Interest_Rate_6%_Interest</v>
      </c>
      <c r="J14" s="6" t="s">
        <v>51</v>
      </c>
    </row>
    <row r="17" spans="3:3" x14ac:dyDescent="0.85">
      <c r="C17" s="6">
        <f t="shared" ref="C17" si="2">A17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2024-06-30T18:50:17Z</dcterms:modified>
</cp:coreProperties>
</file>