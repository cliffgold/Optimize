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d0e7a053322a97/Documents/GenAtomic/Optimize/Macro/"/>
    </mc:Choice>
  </mc:AlternateContent>
  <xr:revisionPtr revIDLastSave="28" documentId="13_ncr:1_{63AECB17-B799-44EB-B6FF-C266041B7D0D}" xr6:coauthVersionLast="47" xr6:coauthVersionMax="47" xr10:uidLastSave="{E8339655-1B9F-4E28-9982-09FE12AF82EB}"/>
  <bookViews>
    <workbookView xWindow="-90" yWindow="-90" windowWidth="19380" windowHeight="10980" xr2:uid="{C81145A1-E574-4696-BBD3-79E862FF097E}"/>
  </bookViews>
  <sheets>
    <sheet name="Reference" sheetId="4" r:id="rId1"/>
  </sheets>
  <externalReferences>
    <externalReference r:id="rId2"/>
  </externalReferences>
  <definedNames>
    <definedName name="_1st_ref">Reference!$I$2</definedName>
    <definedName name="Billion">Reference!$N$4</definedName>
    <definedName name="Million">Reference!$N$3</definedName>
    <definedName name="Mult">[1]Calc!$C$4</definedName>
    <definedName name="NRG_Selections">Reference!$J$2:$J$8</definedName>
    <definedName name="NRG_Table">Reference!$J$2:$L$8</definedName>
    <definedName name="Param_Count">Reference!$H$2</definedName>
    <definedName name="Param_offset">[1]Calc!$C$5</definedName>
    <definedName name="Param_Table">Reference!$D$2:$G$10</definedName>
    <definedName name="Parameter">[1]Graph!$A$2</definedName>
    <definedName name="Params">Reference!$D$2:$D$6</definedName>
    <definedName name="Region">[1]Graph!$A$1</definedName>
    <definedName name="Region_abbr">[1]Calc!$C$3</definedName>
    <definedName name="Region_Cost">[1]Cost_Graph!$A$1</definedName>
    <definedName name="Region_lookup">Reference!$A$2:$B$15</definedName>
    <definedName name="Regions">Reference!$A$2:$A$15</definedName>
    <definedName name="Thousand">Reference!$N$2</definedName>
    <definedName name="To_Long">Reference!$B$2:$C$16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9" i="4"/>
  <c r="G8" i="4"/>
  <c r="G7" i="4"/>
  <c r="G3" i="4"/>
  <c r="K2" i="4"/>
  <c r="K3" i="4" s="1"/>
  <c r="K4" i="4" s="1"/>
  <c r="K5" i="4" s="1"/>
  <c r="K6" i="4" s="1"/>
  <c r="K7" i="4" s="1"/>
  <c r="G2" i="4" a="1"/>
  <c r="G2" i="4" s="1"/>
  <c r="C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Cliff Gold</author>
  </authors>
  <commentList>
    <comment ref="H2" authorId="0" shapeId="0" xr:uid="{EA4D4957-F324-42A9-B268-A5B75D101284}">
      <text>
        <r>
          <rPr>
            <b/>
            <sz val="9"/>
            <color indexed="81"/>
            <rFont val="Tahoma"/>
            <family val="2"/>
          </rPr>
          <t>Cliff Gold:</t>
        </r>
        <r>
          <rPr>
            <sz val="9"/>
            <color indexed="81"/>
            <rFont val="Tahoma"/>
            <family val="2"/>
          </rPr>
          <t xml:space="preserve">
Number per NRG</t>
        </r>
      </text>
    </comment>
    <comment ref="I2" authorId="0" shapeId="0" xr:uid="{1292026F-555F-4FE6-A7AE-C2FCE2E82A82}">
      <text>
        <r>
          <rPr>
            <b/>
            <sz val="9"/>
            <color indexed="81"/>
            <rFont val="Tahoma"/>
            <family val="2"/>
          </rPr>
          <t>Cliff Gold:</t>
        </r>
        <r>
          <rPr>
            <sz val="9"/>
            <color indexed="81"/>
            <rFont val="Tahoma"/>
            <family val="2"/>
          </rPr>
          <t xml:space="preserve">
Number of Globals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<sst xmlns="http://schemas.openxmlformats.org/spreadsheetml/2006/main" count="80" uniqueCount="62">
  <si>
    <t>Texas</t>
  </si>
  <si>
    <t>TEX</t>
  </si>
  <si>
    <t>Tennessee</t>
  </si>
  <si>
    <t>TEN</t>
  </si>
  <si>
    <t>South West</t>
  </si>
  <si>
    <t>SW</t>
  </si>
  <si>
    <t>South East</t>
  </si>
  <si>
    <t>SE</t>
  </si>
  <si>
    <t>North West</t>
  </si>
  <si>
    <t>NW</t>
  </si>
  <si>
    <t>New York</t>
  </si>
  <si>
    <t>NY</t>
  </si>
  <si>
    <t>North East</t>
  </si>
  <si>
    <t>NE</t>
  </si>
  <si>
    <t>Mid West</t>
  </si>
  <si>
    <t>MIDW</t>
  </si>
  <si>
    <t>MTons</t>
  </si>
  <si>
    <t>CO2_MTons</t>
  </si>
  <si>
    <t>Mid Atlantic</t>
  </si>
  <si>
    <t>MIDA</t>
  </si>
  <si>
    <t>Coal</t>
  </si>
  <si>
    <t>B$</t>
  </si>
  <si>
    <t>Florida</t>
  </si>
  <si>
    <t>FLA</t>
  </si>
  <si>
    <t>Gas</t>
  </si>
  <si>
    <t>Central</t>
  </si>
  <si>
    <t>CENT</t>
  </si>
  <si>
    <t>Nuclear</t>
  </si>
  <si>
    <t>TWh</t>
  </si>
  <si>
    <t>Carolinas</t>
  </si>
  <si>
    <t>CAR</t>
  </si>
  <si>
    <t>Wind</t>
  </si>
  <si>
    <t>California</t>
  </si>
  <si>
    <t>CAL</t>
  </si>
  <si>
    <t>Solar</t>
  </si>
  <si>
    <t>GW</t>
  </si>
  <si>
    <t>Entire US</t>
  </si>
  <si>
    <t>1st ref</t>
  </si>
  <si>
    <t>Mults</t>
  </si>
  <si>
    <t>Units</t>
  </si>
  <si>
    <t>Params</t>
  </si>
  <si>
    <t>Regions</t>
  </si>
  <si>
    <t>All_NRGs</t>
  </si>
  <si>
    <t>US</t>
  </si>
  <si>
    <t>CSV</t>
  </si>
  <si>
    <t>Offset</t>
  </si>
  <si>
    <t>Regions abbrs</t>
  </si>
  <si>
    <t>Parm Count</t>
  </si>
  <si>
    <t>NRG Table</t>
  </si>
  <si>
    <t>Capacity GW</t>
  </si>
  <si>
    <t>Thousand</t>
  </si>
  <si>
    <t>Energy TWh</t>
  </si>
  <si>
    <t>Million</t>
  </si>
  <si>
    <t>Billion</t>
  </si>
  <si>
    <t>Capital Cost</t>
  </si>
  <si>
    <t>Fixed Cost</t>
  </si>
  <si>
    <t>Variable Cost</t>
  </si>
  <si>
    <t>Battery</t>
  </si>
  <si>
    <t>CO2 Cost</t>
  </si>
  <si>
    <t>Max_Build</t>
  </si>
  <si>
    <t>PCT</t>
  </si>
  <si>
    <t>Cap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</si>
</sst>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cd0e7a053322a97/Documents/GenAtomic/Optimize/Library/Default/Debug_New/Lib-Default_Debug_New-CAL-CO2_40_40.xlsm" TargetMode="External"/><Relationship Id="rId1" Type="http://schemas.openxmlformats.org/officeDocument/2006/relationships/externalLinkPath" Target="/7cd0e7a053322a97/Documents/GenAtomic/Optimize/Library/Default/Debug_New/Lib-Default_Debug_New-CAL-CO2_40_4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ph"/>
      <sheetName val="Cost_Graph"/>
      <sheetName val="Calc"/>
      <sheetName val="Cost_Calc"/>
      <sheetName val="Reference"/>
      <sheetName val="Inbox"/>
      <sheetName val="CAL"/>
    </sheetNames>
    <sheetDataSet>
      <sheetData sheetId="0">
        <row r="1">
          <cell r="A1" t="str">
            <v>California</v>
          </cell>
        </row>
        <row r="2">
          <cell r="A2" t="str">
            <v>Capacity GW</v>
          </cell>
        </row>
      </sheetData>
      <sheetData sheetId="1">
        <row r="1">
          <cell r="A1" t="str">
            <v>California</v>
          </cell>
        </row>
      </sheetData>
      <sheetData sheetId="2">
        <row r="3">
          <cell r="C3" t="str">
            <v>CAL</v>
          </cell>
        </row>
        <row r="4">
          <cell r="C4">
            <v>1E-3</v>
          </cell>
        </row>
        <row r="5">
          <cell r="C5">
            <v>0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0355-6987-4C33-9EAD-98515261771F}">
  <sheetPr codeName="Sheet2"/>
  <dimension ref="A1:N21"/>
  <sheetViews>
    <sheetView tabSelected="1" workbookViewId="0">
      <selection activeCell="E7" sqref="E7"/>
    </sheetView>
  </sheetViews>
  <sheetFormatPr defaultColWidth="8.86328125" defaultRowHeight="14.75" x14ac:dyDescent="0.75"/>
  <cols>
    <col min="1" max="3" width="12.1328125" style="2" customWidth="1"/>
    <col min="4" max="4" width="14.7265625" style="2" customWidth="1"/>
    <col min="5" max="5" width="2.6796875" style="2" bestFit="1" customWidth="1"/>
    <col min="6" max="6" width="8.26953125" style="2" customWidth="1"/>
    <col min="7" max="7" width="9.1328125" style="2" customWidth="1"/>
    <col min="8" max="8" width="10.7265625" style="2" bestFit="1" customWidth="1"/>
    <col min="9" max="13" width="8.86328125" style="2"/>
    <col min="14" max="14" width="12.1328125" style="4" bestFit="1" customWidth="1"/>
    <col min="15" max="16384" width="8.86328125" style="2"/>
  </cols>
  <sheetData>
    <row r="1" spans="1:14" s="1" customFormat="1" ht="29.5" x14ac:dyDescent="0.75">
      <c r="A1" s="1" t="s">
        <v>41</v>
      </c>
      <c r="B1" s="1" t="s">
        <v>46</v>
      </c>
      <c r="C1" s="1" t="str">
        <f>A1</f>
        <v>Regions</v>
      </c>
      <c r="D1" s="1" t="s">
        <v>40</v>
      </c>
      <c r="E1" s="2"/>
      <c r="F1" s="1" t="s">
        <v>39</v>
      </c>
      <c r="G1" s="1" t="s">
        <v>38</v>
      </c>
      <c r="H1" s="1" t="s">
        <v>47</v>
      </c>
      <c r="I1" s="1" t="s">
        <v>37</v>
      </c>
      <c r="J1" s="1" t="s">
        <v>48</v>
      </c>
      <c r="K1" s="1" t="s">
        <v>44</v>
      </c>
      <c r="L1" s="1" t="s">
        <v>45</v>
      </c>
      <c r="N1" s="3"/>
    </row>
    <row r="2" spans="1:14" x14ac:dyDescent="0.75">
      <c r="A2" s="2" t="s">
        <v>36</v>
      </c>
      <c r="B2" s="2" t="s">
        <v>43</v>
      </c>
      <c r="C2" s="2" t="s">
        <v>36</v>
      </c>
      <c r="D2" s="2" t="s">
        <v>49</v>
      </c>
      <c r="E2" s="2">
        <v>0</v>
      </c>
      <c r="F2" s="2" t="s">
        <v>35</v>
      </c>
      <c r="G2" s="2" cm="1">
        <f t="array" ref="G2">1/Thousand</f>
        <v>1E-3</v>
      </c>
      <c r="H2" s="2">
        <v>12</v>
      </c>
      <c r="I2" s="2">
        <v>8</v>
      </c>
      <c r="J2" s="2" t="s">
        <v>34</v>
      </c>
      <c r="K2" s="2">
        <f>_1st_ref</f>
        <v>8</v>
      </c>
      <c r="L2" s="2">
        <v>1</v>
      </c>
      <c r="M2" s="2" t="s">
        <v>50</v>
      </c>
      <c r="N2" s="4">
        <v>1000</v>
      </c>
    </row>
    <row r="3" spans="1:14" x14ac:dyDescent="0.75">
      <c r="A3" s="2" t="s">
        <v>32</v>
      </c>
      <c r="B3" s="2" t="s">
        <v>33</v>
      </c>
      <c r="C3" s="2" t="s">
        <v>32</v>
      </c>
      <c r="D3" s="2" t="s">
        <v>51</v>
      </c>
      <c r="E3" s="2">
        <v>1</v>
      </c>
      <c r="F3" s="2" t="s">
        <v>28</v>
      </c>
      <c r="G3" s="2">
        <f>1/Million</f>
        <v>9.9999999999999995E-7</v>
      </c>
      <c r="J3" s="2" t="s">
        <v>31</v>
      </c>
      <c r="K3" s="2">
        <f>K2+Param_Count</f>
        <v>20</v>
      </c>
      <c r="L3" s="2">
        <v>2</v>
      </c>
      <c r="M3" s="2" t="s">
        <v>52</v>
      </c>
      <c r="N3" s="4">
        <v>1000000</v>
      </c>
    </row>
    <row r="4" spans="1:14" x14ac:dyDescent="0.75">
      <c r="A4" s="2" t="s">
        <v>29</v>
      </c>
      <c r="B4" s="2" t="s">
        <v>30</v>
      </c>
      <c r="C4" s="2" t="s">
        <v>29</v>
      </c>
      <c r="D4" s="2" t="s">
        <v>17</v>
      </c>
      <c r="E4" s="2">
        <v>6</v>
      </c>
      <c r="F4" s="2" t="s">
        <v>16</v>
      </c>
      <c r="G4" s="2">
        <v>1</v>
      </c>
      <c r="J4" s="2" t="s">
        <v>27</v>
      </c>
      <c r="K4" s="2">
        <f>K3+Param_Count</f>
        <v>32</v>
      </c>
      <c r="L4" s="2">
        <v>3</v>
      </c>
      <c r="M4" s="2" t="s">
        <v>53</v>
      </c>
      <c r="N4" s="4">
        <v>1000000000</v>
      </c>
    </row>
    <row r="5" spans="1:14" x14ac:dyDescent="0.75">
      <c r="A5" s="2" t="s">
        <v>25</v>
      </c>
      <c r="B5" s="2" t="s">
        <v>26</v>
      </c>
      <c r="C5" s="2" t="s">
        <v>25</v>
      </c>
      <c r="D5" s="2" t="s">
        <v>59</v>
      </c>
      <c r="E5" s="2">
        <v>9</v>
      </c>
      <c r="F5" s="2" t="s">
        <v>60</v>
      </c>
      <c r="G5" s="2">
        <v>1</v>
      </c>
      <c r="J5" s="2" t="s">
        <v>24</v>
      </c>
      <c r="K5" s="2">
        <f>K4+Param_Count</f>
        <v>44</v>
      </c>
      <c r="L5" s="2">
        <v>4</v>
      </c>
    </row>
    <row r="6" spans="1:14" x14ac:dyDescent="0.75">
      <c r="A6" s="2" t="s">
        <v>22</v>
      </c>
      <c r="B6" s="2" t="s">
        <v>23</v>
      </c>
      <c r="C6" s="2" t="s">
        <v>22</v>
      </c>
      <c r="D6" s="2" t="s">
        <v>61</v>
      </c>
      <c r="E6" s="2">
        <v>10</v>
      </c>
      <c r="F6" s="2" t="s">
        <v>60</v>
      </c>
      <c r="G6" s="2">
        <v>1</v>
      </c>
      <c r="J6" s="2" t="s">
        <v>20</v>
      </c>
      <c r="K6" s="2">
        <f>K5+Param_Count</f>
        <v>56</v>
      </c>
      <c r="L6" s="2">
        <v>5</v>
      </c>
    </row>
    <row r="7" spans="1:14" x14ac:dyDescent="0.75">
      <c r="A7" s="2" t="s">
        <v>18</v>
      </c>
      <c r="B7" s="2" t="s">
        <v>19</v>
      </c>
      <c r="C7" s="2" t="s">
        <v>18</v>
      </c>
      <c r="D7" s="2" t="s">
        <v>54</v>
      </c>
      <c r="E7" s="2">
        <v>2</v>
      </c>
      <c r="F7" s="2" t="s">
        <v>21</v>
      </c>
      <c r="G7" s="2">
        <f>1/Thousand</f>
        <v>1E-3</v>
      </c>
      <c r="J7" s="2" t="s">
        <v>57</v>
      </c>
      <c r="K7" s="2">
        <f>K6+Param_Count</f>
        <v>68</v>
      </c>
      <c r="L7" s="2">
        <v>6</v>
      </c>
    </row>
    <row r="8" spans="1:14" x14ac:dyDescent="0.75">
      <c r="A8" s="2" t="s">
        <v>14</v>
      </c>
      <c r="B8" s="2" t="s">
        <v>15</v>
      </c>
      <c r="C8" s="2" t="s">
        <v>14</v>
      </c>
      <c r="D8" s="2" t="s">
        <v>55</v>
      </c>
      <c r="E8" s="2">
        <v>3</v>
      </c>
      <c r="F8" s="2" t="s">
        <v>21</v>
      </c>
      <c r="G8" s="2">
        <f>1/Thousand</f>
        <v>1E-3</v>
      </c>
      <c r="J8" s="2" t="s">
        <v>42</v>
      </c>
      <c r="L8" s="2">
        <v>7</v>
      </c>
    </row>
    <row r="9" spans="1:14" x14ac:dyDescent="0.75">
      <c r="A9" s="2" t="s">
        <v>12</v>
      </c>
      <c r="B9" s="2" t="s">
        <v>13</v>
      </c>
      <c r="C9" s="2" t="s">
        <v>12</v>
      </c>
      <c r="D9" s="2" t="s">
        <v>56</v>
      </c>
      <c r="E9" s="2">
        <v>4</v>
      </c>
      <c r="F9" s="2" t="s">
        <v>21</v>
      </c>
      <c r="G9" s="2">
        <f>1/Thousand</f>
        <v>1E-3</v>
      </c>
    </row>
    <row r="10" spans="1:14" x14ac:dyDescent="0.75">
      <c r="A10" s="2" t="s">
        <v>10</v>
      </c>
      <c r="B10" s="2" t="s">
        <v>11</v>
      </c>
      <c r="C10" s="2" t="s">
        <v>10</v>
      </c>
      <c r="D10" s="2" t="s">
        <v>58</v>
      </c>
      <c r="E10" s="2">
        <v>5</v>
      </c>
      <c r="F10" s="2" t="s">
        <v>21</v>
      </c>
      <c r="G10" s="2">
        <f>1/Thousand</f>
        <v>1E-3</v>
      </c>
    </row>
    <row r="11" spans="1:14" x14ac:dyDescent="0.75">
      <c r="A11" s="2" t="s">
        <v>8</v>
      </c>
      <c r="B11" s="2" t="s">
        <v>9</v>
      </c>
      <c r="C11" s="2" t="s">
        <v>8</v>
      </c>
    </row>
    <row r="12" spans="1:14" x14ac:dyDescent="0.75">
      <c r="A12" s="2" t="s">
        <v>6</v>
      </c>
      <c r="B12" s="2" t="s">
        <v>7</v>
      </c>
      <c r="C12" s="2" t="s">
        <v>6</v>
      </c>
      <c r="G12"/>
    </row>
    <row r="13" spans="1:14" x14ac:dyDescent="0.75">
      <c r="A13" s="2" t="s">
        <v>4</v>
      </c>
      <c r="B13" s="2" t="s">
        <v>5</v>
      </c>
      <c r="C13" s="2" t="s">
        <v>4</v>
      </c>
      <c r="G13"/>
    </row>
    <row r="14" spans="1:14" x14ac:dyDescent="0.75">
      <c r="A14" s="2" t="s">
        <v>2</v>
      </c>
      <c r="B14" s="2" t="s">
        <v>3</v>
      </c>
      <c r="C14" s="2" t="s">
        <v>2</v>
      </c>
      <c r="G14"/>
    </row>
    <row r="15" spans="1:14" x14ac:dyDescent="0.75">
      <c r="A15" s="2" t="s">
        <v>0</v>
      </c>
      <c r="B15" s="2" t="s">
        <v>1</v>
      </c>
      <c r="C15" s="2" t="s">
        <v>0</v>
      </c>
      <c r="G15"/>
    </row>
    <row r="16" spans="1:14" x14ac:dyDescent="0.75">
      <c r="G16"/>
    </row>
    <row r="17" spans="7:7" x14ac:dyDescent="0.75">
      <c r="G17"/>
    </row>
    <row r="18" spans="7:7" x14ac:dyDescent="0.75">
      <c r="G18"/>
    </row>
    <row r="19" spans="7:7" x14ac:dyDescent="0.75">
      <c r="G19"/>
    </row>
    <row r="20" spans="7:7" x14ac:dyDescent="0.75">
      <c r="G20"/>
    </row>
    <row r="21" spans="7:7" x14ac:dyDescent="0.75">
      <c r="G2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Reference</vt:lpstr>
      <vt:lpstr>_1st_ref</vt:lpstr>
      <vt:lpstr>Billion</vt:lpstr>
      <vt:lpstr>Million</vt:lpstr>
      <vt:lpstr>NRG_Selections</vt:lpstr>
      <vt:lpstr>NRG_Table</vt:lpstr>
      <vt:lpstr>Param_Count</vt:lpstr>
      <vt:lpstr>Param_Table</vt:lpstr>
      <vt:lpstr>Params</vt:lpstr>
      <vt:lpstr>Region_lookup</vt:lpstr>
      <vt:lpstr>Regions</vt:lpstr>
      <vt:lpstr>Thousand</vt:lpstr>
      <vt:lpstr>To_Long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Gold</dc:creator>
  <cp:lastModifiedBy>Cliff Gold</cp:lastModifiedBy>
  <dcterms:created xsi:type="dcterms:W3CDTF">2024-03-12T00:09:29Z</dcterms:created>
  <dcterms:modified xsi:type="dcterms:W3CDTF">2025-11-06T00:08:19Z</dcterms:modified>
</cp:coreProperties>
</file>